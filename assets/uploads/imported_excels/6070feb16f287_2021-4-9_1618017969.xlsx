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esktop\"/>
    </mc:Choice>
  </mc:AlternateContent>
  <bookViews>
    <workbookView xWindow="0" yWindow="0" windowWidth="2370" windowHeight="0" tabRatio="598" activeTab="4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3" l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U8" i="2" l="1"/>
  <c r="R8" i="2"/>
  <c r="S8" i="2" s="1"/>
  <c r="Q8" i="2"/>
  <c r="O8" i="2"/>
  <c r="M8" i="2"/>
  <c r="K8" i="2"/>
  <c r="I8" i="2"/>
  <c r="G8" i="2"/>
  <c r="E8" i="2"/>
  <c r="C8" i="2"/>
  <c r="I8" i="3"/>
  <c r="G8" i="3"/>
  <c r="E8" i="3"/>
  <c r="C8" i="3"/>
  <c r="J8" i="3" s="1"/>
  <c r="K8" i="3" s="1"/>
  <c r="W8" i="4"/>
  <c r="S8" i="4"/>
  <c r="Z8" i="4" s="1"/>
  <c r="AA8" i="4" s="1"/>
  <c r="Q8" i="4"/>
  <c r="O8" i="4"/>
  <c r="M8" i="4"/>
  <c r="K8" i="4"/>
  <c r="X8" i="4" s="1"/>
  <c r="H8" i="4"/>
  <c r="F8" i="4"/>
  <c r="I8" i="4" s="1"/>
  <c r="D8" i="4"/>
  <c r="R8" i="1"/>
  <c r="S8" i="1" s="1"/>
  <c r="O8" i="1"/>
  <c r="P8" i="1" s="1"/>
  <c r="L8" i="1"/>
  <c r="M8" i="1" s="1"/>
  <c r="K8" i="1"/>
  <c r="J8" i="1"/>
  <c r="I8" i="1"/>
  <c r="G8" i="1"/>
  <c r="F8" i="1"/>
  <c r="D8" i="1"/>
  <c r="C8" i="1"/>
  <c r="T8" i="1" s="1"/>
  <c r="U8" i="1" s="1"/>
  <c r="Y8" i="4" l="1"/>
  <c r="C4" i="5" l="1"/>
  <c r="U34" i="4" l="1"/>
  <c r="B34" i="4"/>
  <c r="N13" i="1" l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K13" i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I4" i="1"/>
  <c r="E13" i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13" i="5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V13" i="4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13" i="4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P13" i="4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N13" i="4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L13" i="4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J13" i="4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G13" i="4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E13" i="4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H13" i="3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D13" i="3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B13" i="3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13" i="2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D13" i="2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F13" i="2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H13" i="2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J4" i="2"/>
  <c r="J5" i="2" s="1"/>
  <c r="J6" i="2" s="1"/>
  <c r="J7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P13" i="2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T13" i="2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L13" i="2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N13" i="2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C4" i="1" l="1"/>
  <c r="N94" i="10"/>
  <c r="I5" i="1" l="1"/>
  <c r="C5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C6" i="1"/>
  <c r="I6" i="1"/>
  <c r="C32" i="5"/>
  <c r="C31" i="5"/>
  <c r="I7" i="1" l="1"/>
  <c r="C7" i="1"/>
  <c r="J32" i="11"/>
  <c r="J11" i="11"/>
  <c r="K11" i="11" s="1"/>
  <c r="I3" i="11"/>
  <c r="I4" i="11"/>
  <c r="I6" i="11"/>
  <c r="I7" i="11"/>
  <c r="I8" i="11"/>
  <c r="I9" i="11"/>
  <c r="I10" i="11"/>
  <c r="I12" i="11"/>
  <c r="G25" i="3" l="1"/>
  <c r="I9" i="1" l="1"/>
  <c r="C9" i="1"/>
  <c r="K30" i="9"/>
  <c r="K31" i="9"/>
  <c r="X30" i="8"/>
  <c r="X31" i="8"/>
  <c r="Q31" i="8"/>
  <c r="P31" i="8"/>
  <c r="O31" i="8"/>
  <c r="N31" i="8"/>
  <c r="Q30" i="8"/>
  <c r="P30" i="8"/>
  <c r="O30" i="8"/>
  <c r="N30" i="8"/>
  <c r="R4" i="2"/>
  <c r="R5" i="2" s="1"/>
  <c r="R6" i="2" s="1"/>
  <c r="R7" i="2" s="1"/>
  <c r="R9" i="2" s="1"/>
  <c r="R10" i="2" s="1"/>
  <c r="R11" i="2" s="1"/>
  <c r="R12" i="2" s="1"/>
  <c r="R13" i="2" s="1"/>
  <c r="R14" i="2" s="1"/>
  <c r="R15" i="2" s="1"/>
  <c r="R16" i="2" s="1"/>
  <c r="R17" i="2" s="1"/>
  <c r="R19" i="2" s="1"/>
  <c r="R20" i="2" s="1"/>
  <c r="R21" i="2" s="1"/>
  <c r="R22" i="2" s="1"/>
  <c r="R23" i="2" s="1"/>
  <c r="R24" i="2" s="1"/>
  <c r="R25" i="2" s="1"/>
  <c r="R26" i="2" s="1"/>
  <c r="R29" i="2" s="1"/>
  <c r="R31" i="2" s="1"/>
  <c r="R33" i="2" s="1"/>
  <c r="H33" i="3"/>
  <c r="G33" i="3"/>
  <c r="D33" i="3"/>
  <c r="B33" i="3"/>
  <c r="R33" i="4"/>
  <c r="T34" i="4"/>
  <c r="P33" i="4"/>
  <c r="N33" i="4"/>
  <c r="L33" i="4"/>
  <c r="G33" i="4"/>
  <c r="E33" i="4"/>
  <c r="Z2" i="4"/>
  <c r="I2" i="4"/>
  <c r="R33" i="1"/>
  <c r="S33" i="1" s="1"/>
  <c r="N33" i="1"/>
  <c r="O33" i="1" s="1"/>
  <c r="K33" i="1"/>
  <c r="L33" i="1" s="1"/>
  <c r="M33" i="1" s="1"/>
  <c r="E33" i="1"/>
  <c r="F33" i="1" s="1"/>
  <c r="D2" i="1"/>
  <c r="S2" i="1"/>
  <c r="P2" i="1"/>
  <c r="M2" i="1"/>
  <c r="J2" i="1"/>
  <c r="G2" i="1"/>
  <c r="I10" i="1" l="1"/>
  <c r="C10" i="1"/>
  <c r="E33" i="2"/>
  <c r="J22" i="11"/>
  <c r="Q33" i="4"/>
  <c r="J9" i="11"/>
  <c r="K9" i="11" s="1"/>
  <c r="G33" i="2"/>
  <c r="J23" i="11"/>
  <c r="I33" i="3"/>
  <c r="J30" i="11"/>
  <c r="M33" i="4"/>
  <c r="J7" i="11"/>
  <c r="K7" i="11" s="1"/>
  <c r="S33" i="4"/>
  <c r="J10" i="11"/>
  <c r="K10" i="11" s="1"/>
  <c r="K33" i="2"/>
  <c r="J17" i="11"/>
  <c r="O33" i="2"/>
  <c r="J25" i="11"/>
  <c r="H33" i="4"/>
  <c r="J4" i="11"/>
  <c r="K4" i="11" s="1"/>
  <c r="C33" i="3"/>
  <c r="J29" i="11"/>
  <c r="K31" i="2"/>
  <c r="Q33" i="2"/>
  <c r="J19" i="11"/>
  <c r="F33" i="4"/>
  <c r="J3" i="11"/>
  <c r="K3" i="11" s="1"/>
  <c r="O33" i="4"/>
  <c r="J8" i="11"/>
  <c r="K8" i="11" s="1"/>
  <c r="C33" i="2"/>
  <c r="J21" i="11"/>
  <c r="M33" i="2"/>
  <c r="J18" i="11"/>
  <c r="S33" i="2"/>
  <c r="J20" i="11"/>
  <c r="K33" i="4"/>
  <c r="J6" i="11"/>
  <c r="K6" i="11" s="1"/>
  <c r="E33" i="3"/>
  <c r="J31" i="11"/>
  <c r="I33" i="2"/>
  <c r="J24" i="11"/>
  <c r="U33" i="2"/>
  <c r="J16" i="11"/>
  <c r="K32" i="2"/>
  <c r="S32" i="2"/>
  <c r="S31" i="2"/>
  <c r="U30" i="2"/>
  <c r="C32" i="2"/>
  <c r="M32" i="4"/>
  <c r="H31" i="4"/>
  <c r="J30" i="8" s="1"/>
  <c r="O31" i="1"/>
  <c r="U30" i="8" s="1"/>
  <c r="L31" i="1"/>
  <c r="V30" i="8" s="1"/>
  <c r="R32" i="1"/>
  <c r="R31" i="1"/>
  <c r="P33" i="1"/>
  <c r="O32" i="1"/>
  <c r="L32" i="1"/>
  <c r="G33" i="1"/>
  <c r="F32" i="1"/>
  <c r="F31" i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Y2" i="4"/>
  <c r="U2" i="1"/>
  <c r="AC30" i="8" l="1"/>
  <c r="B13" i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C11" i="1"/>
  <c r="H13" i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I11" i="1"/>
  <c r="I33" i="4"/>
  <c r="AA30" i="8"/>
  <c r="J33" i="3"/>
  <c r="K33" i="3" s="1"/>
  <c r="K5" i="11"/>
  <c r="AA31" i="8"/>
  <c r="AC31" i="8"/>
  <c r="I32" i="4"/>
  <c r="P31" i="1"/>
  <c r="M31" i="1"/>
  <c r="G31" i="9"/>
  <c r="B33" i="5"/>
  <c r="C33" i="5" s="1"/>
  <c r="G30" i="9"/>
  <c r="W30" i="8"/>
  <c r="S31" i="1"/>
  <c r="W31" i="8"/>
  <c r="S32" i="1"/>
  <c r="U31" i="8"/>
  <c r="P32" i="1"/>
  <c r="M32" i="1"/>
  <c r="V31" i="8"/>
  <c r="S30" i="8"/>
  <c r="G31" i="1"/>
  <c r="G32" i="1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H32" i="1" l="1"/>
  <c r="I31" i="1"/>
  <c r="J35" i="11"/>
  <c r="Z31" i="4"/>
  <c r="L30" i="8"/>
  <c r="K31" i="3"/>
  <c r="M30" i="8" s="1"/>
  <c r="AD30" i="8"/>
  <c r="AE30" i="8" s="1"/>
  <c r="K32" i="3"/>
  <c r="M31" i="8" s="1"/>
  <c r="L31" i="8"/>
  <c r="AD31" i="8"/>
  <c r="AE31" i="8" s="1"/>
  <c r="V33" i="4"/>
  <c r="W32" i="4"/>
  <c r="W25" i="4"/>
  <c r="F25" i="4"/>
  <c r="T30" i="8" l="1"/>
  <c r="J31" i="1"/>
  <c r="H33" i="1"/>
  <c r="I33" i="1" s="1"/>
  <c r="I32" i="1"/>
  <c r="W33" i="4"/>
  <c r="Z33" i="4" s="1"/>
  <c r="J12" i="11"/>
  <c r="K12" i="11" s="1"/>
  <c r="K13" i="11" s="1"/>
  <c r="K14" i="11" s="1"/>
  <c r="Y31" i="8"/>
  <c r="E31" i="9" s="1"/>
  <c r="Y30" i="8"/>
  <c r="E30" i="9" s="1"/>
  <c r="X32" i="4"/>
  <c r="Y32" i="4" s="1"/>
  <c r="Z32" i="4"/>
  <c r="H23" i="4"/>
  <c r="T31" i="8" l="1"/>
  <c r="J32" i="1"/>
  <c r="J33" i="1"/>
  <c r="X33" i="4"/>
  <c r="Y33" i="4" s="1"/>
  <c r="F21" i="4"/>
  <c r="I20" i="3" l="1"/>
  <c r="Q20" i="2" l="1"/>
  <c r="R30" i="1"/>
  <c r="O30" i="1"/>
  <c r="L30" i="1"/>
  <c r="I30" i="1"/>
  <c r="F30" i="1"/>
  <c r="C30" i="5"/>
  <c r="G29" i="9" s="1"/>
  <c r="S30" i="2"/>
  <c r="S30" i="1" l="1"/>
  <c r="W29" i="8"/>
  <c r="P30" i="1"/>
  <c r="U29" i="8"/>
  <c r="M30" i="1"/>
  <c r="V29" i="8"/>
  <c r="J30" i="1"/>
  <c r="T29" i="8"/>
  <c r="G30" i="1"/>
  <c r="S29" i="8"/>
  <c r="C12" i="1"/>
  <c r="C13" i="1" l="1"/>
  <c r="W15" i="4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R15" i="1"/>
  <c r="S15" i="1" s="1"/>
  <c r="O15" i="1"/>
  <c r="P15" i="1" s="1"/>
  <c r="L15" i="1"/>
  <c r="M15" i="1" s="1"/>
  <c r="I15" i="1"/>
  <c r="J15" i="1" s="1"/>
  <c r="F15" i="1"/>
  <c r="G15" i="1" s="1"/>
  <c r="R14" i="1"/>
  <c r="S14" i="1" s="1"/>
  <c r="O14" i="1"/>
  <c r="P14" i="1" s="1"/>
  <c r="L14" i="1"/>
  <c r="M14" i="1" s="1"/>
  <c r="I14" i="1"/>
  <c r="J14" i="1" s="1"/>
  <c r="F14" i="1"/>
  <c r="G14" i="1" s="1"/>
  <c r="C15" i="5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C14" i="1"/>
  <c r="D14" i="1" s="1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C15" i="1"/>
  <c r="Y14" i="4"/>
  <c r="F5" i="4"/>
  <c r="F6" i="4"/>
  <c r="C16" i="1" l="1"/>
  <c r="D15" i="1"/>
  <c r="T15" i="1"/>
  <c r="U15" i="1" s="1"/>
  <c r="E11" i="2"/>
  <c r="C17" i="1" l="1"/>
  <c r="C5" i="5"/>
  <c r="C6" i="5"/>
  <c r="C7" i="5"/>
  <c r="C8" i="5"/>
  <c r="C9" i="5"/>
  <c r="C10" i="5"/>
  <c r="C11" i="5"/>
  <c r="C12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8" i="1"/>
  <c r="C13" i="2"/>
  <c r="C19" i="1" l="1"/>
  <c r="C26" i="2"/>
  <c r="C20" i="1" l="1"/>
  <c r="I19" i="2"/>
  <c r="I20" i="2"/>
  <c r="C21" i="1" l="1"/>
  <c r="G10" i="2"/>
  <c r="C22" i="1" l="1"/>
  <c r="H10" i="4"/>
  <c r="C23" i="1" l="1"/>
  <c r="D23" i="1" s="1"/>
  <c r="H12" i="4"/>
  <c r="H11" i="4"/>
  <c r="H5" i="4"/>
  <c r="H6" i="4"/>
  <c r="H7" i="4"/>
  <c r="C4" i="3"/>
  <c r="C5" i="3"/>
  <c r="C6" i="3"/>
  <c r="C7" i="3"/>
  <c r="C24" i="1" l="1"/>
  <c r="H13" i="4"/>
  <c r="C25" i="1" l="1"/>
  <c r="C26" i="1" l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D6" i="1"/>
  <c r="D7" i="1"/>
  <c r="R8" i="8"/>
  <c r="D10" i="1"/>
  <c r="G2" i="9"/>
  <c r="AB2" i="8"/>
  <c r="AC2" i="8"/>
  <c r="S18" i="2"/>
  <c r="S19" i="2"/>
  <c r="Q7" i="8"/>
  <c r="R10" i="1"/>
  <c r="W9" i="8" s="1"/>
  <c r="L10" i="1"/>
  <c r="M10" i="1" s="1"/>
  <c r="M5" i="4"/>
  <c r="M78" i="10"/>
  <c r="E4" i="2"/>
  <c r="F7" i="1"/>
  <c r="G7" i="1" s="1"/>
  <c r="L7" i="1"/>
  <c r="V6" i="8" s="1"/>
  <c r="R5" i="1"/>
  <c r="W4" i="8" s="1"/>
  <c r="R6" i="1"/>
  <c r="W5" i="8" s="1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M88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D4" i="1"/>
  <c r="F4" i="1"/>
  <c r="J4" i="1"/>
  <c r="L4" i="1"/>
  <c r="R4" i="1"/>
  <c r="S4" i="1" s="1"/>
  <c r="L5" i="1"/>
  <c r="L6" i="1"/>
  <c r="M6" i="1" s="1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I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F6" i="1"/>
  <c r="F5" i="1"/>
  <c r="G5" i="1" s="1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O7" i="1"/>
  <c r="U6" i="8" s="1"/>
  <c r="O6" i="1"/>
  <c r="D7" i="4"/>
  <c r="Q6" i="8" s="1"/>
  <c r="J6" i="8"/>
  <c r="K7" i="8"/>
  <c r="M7" i="8"/>
  <c r="O9" i="1"/>
  <c r="P9" i="1" s="1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R7" i="1"/>
  <c r="W9" i="4"/>
  <c r="O7" i="8"/>
  <c r="L7" i="8"/>
  <c r="S9" i="4"/>
  <c r="O8" i="8" s="1"/>
  <c r="M9" i="4"/>
  <c r="L8" i="8" s="1"/>
  <c r="K9" i="4"/>
  <c r="K8" i="8" s="1"/>
  <c r="F9" i="4"/>
  <c r="I8" i="8" s="1"/>
  <c r="I7" i="8"/>
  <c r="R9" i="1"/>
  <c r="S20" i="1"/>
  <c r="W19" i="8"/>
  <c r="O10" i="1"/>
  <c r="P10" i="1" s="1"/>
  <c r="L9" i="1"/>
  <c r="M9" i="1" s="1"/>
  <c r="F9" i="1"/>
  <c r="G9" i="1" s="1"/>
  <c r="H9" i="4"/>
  <c r="J8" i="8" s="1"/>
  <c r="L11" i="1"/>
  <c r="V10" i="8" s="1"/>
  <c r="J10" i="1"/>
  <c r="F10" i="1"/>
  <c r="S9" i="8" s="1"/>
  <c r="R11" i="1"/>
  <c r="S11" i="1" s="1"/>
  <c r="J11" i="1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K29" i="11"/>
  <c r="C14" i="11" s="1"/>
  <c r="O4" i="1"/>
  <c r="O5" i="1"/>
  <c r="P5" i="1" s="1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F11" i="1"/>
  <c r="S10" i="8" s="1"/>
  <c r="D12" i="1"/>
  <c r="D11" i="1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O17" i="1"/>
  <c r="P17" i="1" s="1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I16" i="1"/>
  <c r="J16" i="1" s="1"/>
  <c r="N14" i="8"/>
  <c r="G13" i="9"/>
  <c r="G16" i="3"/>
  <c r="G15" i="8" s="1"/>
  <c r="G14" i="8"/>
  <c r="R16" i="1"/>
  <c r="L16" i="1"/>
  <c r="M16" i="1" s="1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F16" i="1"/>
  <c r="G16" i="1" s="1"/>
  <c r="G17" i="3"/>
  <c r="E17" i="3"/>
  <c r="F16" i="8" s="1"/>
  <c r="Q16" i="2"/>
  <c r="AC15" i="8" s="1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R17" i="1"/>
  <c r="W16" i="8" s="1"/>
  <c r="O16" i="1"/>
  <c r="U15" i="8" s="1"/>
  <c r="L17" i="1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R18" i="1"/>
  <c r="S18" i="1" s="1"/>
  <c r="E19" i="2"/>
  <c r="G19" i="2"/>
  <c r="M19" i="2"/>
  <c r="Q19" i="2"/>
  <c r="U17" i="2"/>
  <c r="R19" i="1"/>
  <c r="W18" i="8" s="1"/>
  <c r="M22" i="4"/>
  <c r="L21" i="8" s="1"/>
  <c r="U18" i="2"/>
  <c r="U19" i="2"/>
  <c r="G20" i="2"/>
  <c r="L20" i="1"/>
  <c r="M20" i="1" s="1"/>
  <c r="U20" i="2"/>
  <c r="G21" i="2"/>
  <c r="U22" i="2"/>
  <c r="U21" i="2"/>
  <c r="W20" i="4"/>
  <c r="P19" i="8" s="1"/>
  <c r="F20" i="4"/>
  <c r="I19" i="8" s="1"/>
  <c r="G16" i="9"/>
  <c r="L21" i="1"/>
  <c r="M21" i="1" s="1"/>
  <c r="I17" i="1"/>
  <c r="U23" i="2"/>
  <c r="E20" i="2"/>
  <c r="E21" i="2"/>
  <c r="C20" i="2"/>
  <c r="S22" i="4"/>
  <c r="O21" i="8" s="1"/>
  <c r="K20" i="4"/>
  <c r="K19" i="8" s="1"/>
  <c r="G18" i="9"/>
  <c r="G19" i="9"/>
  <c r="O18" i="1"/>
  <c r="U17" i="8" s="1"/>
  <c r="L23" i="1"/>
  <c r="M23" i="1" s="1"/>
  <c r="L22" i="1"/>
  <c r="M22" i="1" s="1"/>
  <c r="I20" i="1"/>
  <c r="J20" i="1" s="1"/>
  <c r="F20" i="1"/>
  <c r="U24" i="2"/>
  <c r="M20" i="2"/>
  <c r="AA19" i="8" s="1"/>
  <c r="C21" i="2"/>
  <c r="S20" i="4"/>
  <c r="O19" i="8" s="1"/>
  <c r="K21" i="4"/>
  <c r="K20" i="8" s="1"/>
  <c r="O19" i="1"/>
  <c r="P19" i="1" s="1"/>
  <c r="U25" i="2"/>
  <c r="Q21" i="2"/>
  <c r="C22" i="2"/>
  <c r="C23" i="2"/>
  <c r="O20" i="4"/>
  <c r="M19" i="8" s="1"/>
  <c r="K22" i="4"/>
  <c r="K21" i="8" s="1"/>
  <c r="G20" i="9"/>
  <c r="F21" i="1"/>
  <c r="S20" i="8" s="1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C20" i="3"/>
  <c r="E19" i="8" s="1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O21" i="1"/>
  <c r="U20" i="8" s="1"/>
  <c r="O22" i="1"/>
  <c r="U21" i="8" s="1"/>
  <c r="O20" i="1"/>
  <c r="U19" i="8" s="1"/>
  <c r="I21" i="1"/>
  <c r="T20" i="8" s="1"/>
  <c r="F22" i="1"/>
  <c r="G22" i="1" s="1"/>
  <c r="F23" i="1"/>
  <c r="G23" i="1" s="1"/>
  <c r="I22" i="3"/>
  <c r="H21" i="8" s="1"/>
  <c r="E22" i="3"/>
  <c r="F21" i="8" s="1"/>
  <c r="E21" i="3"/>
  <c r="F20" i="8" s="1"/>
  <c r="E20" i="3"/>
  <c r="F19" i="8" s="1"/>
  <c r="C22" i="3"/>
  <c r="E21" i="8" s="1"/>
  <c r="O23" i="1"/>
  <c r="I22" i="1"/>
  <c r="J22" i="1" s="1"/>
  <c r="I23" i="3"/>
  <c r="H22" i="8" s="1"/>
  <c r="C23" i="3"/>
  <c r="E22" i="8" s="1"/>
  <c r="I26" i="1"/>
  <c r="T25" i="8" s="1"/>
  <c r="I23" i="1"/>
  <c r="J23" i="1" s="1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L24" i="1"/>
  <c r="V23" i="8" s="1"/>
  <c r="R21" i="1"/>
  <c r="W20" i="8" s="1"/>
  <c r="E23" i="3"/>
  <c r="F22" i="8" s="1"/>
  <c r="F23" i="4"/>
  <c r="F22" i="4"/>
  <c r="I21" i="8" s="1"/>
  <c r="F24" i="1"/>
  <c r="G24" i="1" s="1"/>
  <c r="R22" i="1"/>
  <c r="W21" i="8" s="1"/>
  <c r="R23" i="1"/>
  <c r="W22" i="8" s="1"/>
  <c r="M23" i="2"/>
  <c r="I25" i="3"/>
  <c r="H24" i="8" s="1"/>
  <c r="G24" i="3"/>
  <c r="G23" i="8" s="1"/>
  <c r="E24" i="3"/>
  <c r="F23" i="8" s="1"/>
  <c r="I25" i="1"/>
  <c r="J25" i="1" s="1"/>
  <c r="I24" i="1"/>
  <c r="T23" i="8" s="1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R24" i="1"/>
  <c r="W23" i="8" s="1"/>
  <c r="O24" i="1"/>
  <c r="P24" i="1" s="1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R25" i="1"/>
  <c r="W24" i="8" s="1"/>
  <c r="L25" i="1"/>
  <c r="M25" i="1" s="1"/>
  <c r="I27" i="1"/>
  <c r="T26" i="8" s="1"/>
  <c r="E26" i="2"/>
  <c r="Q26" i="4"/>
  <c r="N25" i="8" s="1"/>
  <c r="Q27" i="4"/>
  <c r="N26" i="8" s="1"/>
  <c r="O25" i="4"/>
  <c r="M24" i="8" s="1"/>
  <c r="M26" i="4"/>
  <c r="L25" i="8" s="1"/>
  <c r="R26" i="1"/>
  <c r="W25" i="8" s="1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R27" i="1"/>
  <c r="S27" i="1" s="1"/>
  <c r="R28" i="1"/>
  <c r="W27" i="8" s="1"/>
  <c r="O26" i="1"/>
  <c r="U25" i="8" s="1"/>
  <c r="O25" i="1"/>
  <c r="P25" i="1" s="1"/>
  <c r="F26" i="1"/>
  <c r="G26" i="1" s="1"/>
  <c r="F25" i="1"/>
  <c r="S24" i="8" s="1"/>
  <c r="E30" i="3"/>
  <c r="F29" i="8" s="1"/>
  <c r="O27" i="1"/>
  <c r="U26" i="8" s="1"/>
  <c r="L26" i="1"/>
  <c r="V25" i="8" s="1"/>
  <c r="I28" i="1"/>
  <c r="J28" i="1" s="1"/>
  <c r="I29" i="1"/>
  <c r="F27" i="1"/>
  <c r="G27" i="1" s="1"/>
  <c r="G27" i="9"/>
  <c r="G26" i="9"/>
  <c r="G28" i="9"/>
  <c r="O28" i="1"/>
  <c r="P28" i="1" s="1"/>
  <c r="L27" i="1"/>
  <c r="M27" i="1" s="1"/>
  <c r="F28" i="1"/>
  <c r="S27" i="8" s="1"/>
  <c r="O29" i="1"/>
  <c r="P29" i="1" s="1"/>
  <c r="L28" i="1"/>
  <c r="V27" i="8" s="1"/>
  <c r="F29" i="1"/>
  <c r="G29" i="1" s="1"/>
  <c r="L29" i="1"/>
  <c r="M29" i="1" s="1"/>
  <c r="V3" i="8" l="1"/>
  <c r="U3" i="8"/>
  <c r="M3" i="8"/>
  <c r="L3" i="8"/>
  <c r="K3" i="8"/>
  <c r="N3" i="8"/>
  <c r="J3" i="8"/>
  <c r="P3" i="8"/>
  <c r="Q3" i="8"/>
  <c r="O3" i="8"/>
  <c r="H3" i="8"/>
  <c r="I34" i="3"/>
  <c r="F3" i="8"/>
  <c r="AB3" i="8"/>
  <c r="M34" i="2"/>
  <c r="Q34" i="2"/>
  <c r="U34" i="2"/>
  <c r="E34" i="2"/>
  <c r="S34" i="2"/>
  <c r="AA27" i="8"/>
  <c r="T5" i="8"/>
  <c r="G6" i="1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C27" i="1"/>
  <c r="AC18" i="8"/>
  <c r="Z19" i="8"/>
  <c r="AA2" i="8"/>
  <c r="AC25" i="8"/>
  <c r="AC20" i="8"/>
  <c r="AC28" i="8"/>
  <c r="AA14" i="8"/>
  <c r="U4" i="8"/>
  <c r="S5" i="1"/>
  <c r="AA6" i="8"/>
  <c r="AA23" i="8"/>
  <c r="AC10" i="8"/>
  <c r="AC14" i="8"/>
  <c r="AA4" i="8"/>
  <c r="AC7" i="8"/>
  <c r="S25" i="8"/>
  <c r="AA3" i="8"/>
  <c r="S19" i="1"/>
  <c r="V15" i="8"/>
  <c r="J5" i="1"/>
  <c r="G11" i="1"/>
  <c r="T13" i="8"/>
  <c r="I5" i="4"/>
  <c r="AD13" i="8"/>
  <c r="AE13" i="8" s="1"/>
  <c r="AC5" i="8"/>
  <c r="AC27" i="8"/>
  <c r="AC23" i="8"/>
  <c r="AC21" i="8"/>
  <c r="AC19" i="8"/>
  <c r="AC11" i="8"/>
  <c r="AA5" i="8"/>
  <c r="AC29" i="8"/>
  <c r="W26" i="8"/>
  <c r="T19" i="8"/>
  <c r="S21" i="1"/>
  <c r="U13" i="8"/>
  <c r="V21" i="8"/>
  <c r="M26" i="1"/>
  <c r="Z27" i="8"/>
  <c r="Z20" i="8"/>
  <c r="AC17" i="8"/>
  <c r="AC24" i="8"/>
  <c r="AC16" i="8"/>
  <c r="Z25" i="8"/>
  <c r="U18" i="8"/>
  <c r="U27" i="8"/>
  <c r="P26" i="1"/>
  <c r="P20" i="1"/>
  <c r="V19" i="8"/>
  <c r="V26" i="8"/>
  <c r="T24" i="8"/>
  <c r="Z27" i="4"/>
  <c r="X27" i="4"/>
  <c r="H16" i="4"/>
  <c r="I16" i="4" s="1"/>
  <c r="S26" i="1"/>
  <c r="W17" i="8"/>
  <c r="U16" i="8"/>
  <c r="P22" i="1"/>
  <c r="U24" i="8"/>
  <c r="M28" i="1"/>
  <c r="M24" i="1"/>
  <c r="V14" i="8"/>
  <c r="T15" i="8"/>
  <c r="S22" i="8"/>
  <c r="S28" i="8"/>
  <c r="G25" i="1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AE15" i="8" s="1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M4" i="1"/>
  <c r="V28" i="8"/>
  <c r="P27" i="1"/>
  <c r="J26" i="1"/>
  <c r="V22" i="8"/>
  <c r="S13" i="8"/>
  <c r="U14" i="8"/>
  <c r="U9" i="8"/>
  <c r="M11" i="1"/>
  <c r="S5" i="8"/>
  <c r="D9" i="1"/>
  <c r="R5" i="8"/>
  <c r="S28" i="1"/>
  <c r="V20" i="8"/>
  <c r="T22" i="8"/>
  <c r="P18" i="1"/>
  <c r="W7" i="8"/>
  <c r="R7" i="8"/>
  <c r="G10" i="1"/>
  <c r="M7" i="1"/>
  <c r="T6" i="1"/>
  <c r="S10" i="1"/>
  <c r="W13" i="8"/>
  <c r="W10" i="8"/>
  <c r="S17" i="1"/>
  <c r="P21" i="1"/>
  <c r="V24" i="8"/>
  <c r="J27" i="1"/>
  <c r="T27" i="8"/>
  <c r="J6" i="1"/>
  <c r="S7" i="8"/>
  <c r="S23" i="8"/>
  <c r="S4" i="8"/>
  <c r="T5" i="1"/>
  <c r="U5" i="1" s="1"/>
  <c r="R10" i="8"/>
  <c r="R11" i="8"/>
  <c r="T10" i="1"/>
  <c r="U10" i="1" s="1"/>
  <c r="D5" i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E24" i="8" s="1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J29" i="1"/>
  <c r="R29" i="1"/>
  <c r="Z18" i="8"/>
  <c r="I18" i="2"/>
  <c r="Z17" i="8" s="1"/>
  <c r="M5" i="1"/>
  <c r="V4" i="8"/>
  <c r="L4" i="8"/>
  <c r="X5" i="4"/>
  <c r="F13" i="1"/>
  <c r="G13" i="1" s="1"/>
  <c r="F12" i="1"/>
  <c r="O13" i="1"/>
  <c r="O11" i="1"/>
  <c r="T11" i="1" s="1"/>
  <c r="U11" i="1" s="1"/>
  <c r="G28" i="1"/>
  <c r="S26" i="8"/>
  <c r="S25" i="1"/>
  <c r="X26" i="4"/>
  <c r="X23" i="4"/>
  <c r="U23" i="8"/>
  <c r="I22" i="8"/>
  <c r="P23" i="1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P6" i="1"/>
  <c r="I17" i="8"/>
  <c r="I11" i="2"/>
  <c r="S3" i="8"/>
  <c r="G4" i="1"/>
  <c r="U28" i="8"/>
  <c r="G30" i="3"/>
  <c r="G29" i="8" s="1"/>
  <c r="X28" i="4"/>
  <c r="X25" i="4"/>
  <c r="P22" i="8"/>
  <c r="T21" i="8"/>
  <c r="U22" i="8"/>
  <c r="J21" i="1"/>
  <c r="Z28" i="8"/>
  <c r="J17" i="1"/>
  <c r="T16" i="8"/>
  <c r="M18" i="4"/>
  <c r="L17" i="8" s="1"/>
  <c r="M19" i="4"/>
  <c r="L18" i="8" s="1"/>
  <c r="K17" i="4"/>
  <c r="I10" i="8"/>
  <c r="M10" i="8"/>
  <c r="P11" i="8"/>
  <c r="S9" i="1"/>
  <c r="W8" i="8"/>
  <c r="T8" i="8"/>
  <c r="J9" i="1"/>
  <c r="P8" i="8"/>
  <c r="Z9" i="4"/>
  <c r="M8" i="8"/>
  <c r="X9" i="4"/>
  <c r="Z28" i="4"/>
  <c r="J24" i="3"/>
  <c r="K24" i="3" s="1"/>
  <c r="S24" i="1"/>
  <c r="J24" i="1"/>
  <c r="S23" i="1"/>
  <c r="W29" i="4"/>
  <c r="W30" i="4"/>
  <c r="N15" i="8"/>
  <c r="X16" i="4"/>
  <c r="S14" i="8"/>
  <c r="C17" i="3"/>
  <c r="E16" i="8" s="1"/>
  <c r="AD16" i="8" s="1"/>
  <c r="AE16" i="8" s="1"/>
  <c r="S16" i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H4" i="8"/>
  <c r="AD4" i="8" s="1"/>
  <c r="AE4" i="8" s="1"/>
  <c r="J5" i="3"/>
  <c r="K5" i="3" s="1"/>
  <c r="J5" i="8"/>
  <c r="K9" i="2"/>
  <c r="Z2" i="8"/>
  <c r="G21" i="1"/>
  <c r="J10" i="8"/>
  <c r="W2" i="8"/>
  <c r="N7" i="8"/>
  <c r="S7" i="1"/>
  <c r="W6" i="8"/>
  <c r="V7" i="8"/>
  <c r="AC3" i="8"/>
  <c r="P4" i="8"/>
  <c r="Z5" i="4"/>
  <c r="R2" i="8"/>
  <c r="C8" i="11"/>
  <c r="D8" i="11" s="1"/>
  <c r="K17" i="2"/>
  <c r="AA16" i="8" s="1"/>
  <c r="AC6" i="8"/>
  <c r="T6" i="8"/>
  <c r="J7" i="1"/>
  <c r="G3" i="8"/>
  <c r="J4" i="3"/>
  <c r="Q11" i="4"/>
  <c r="J6" i="3"/>
  <c r="P7" i="1"/>
  <c r="AD2" i="8"/>
  <c r="AE2" i="8" s="1"/>
  <c r="N64" i="10"/>
  <c r="M17" i="1"/>
  <c r="V16" i="8"/>
  <c r="F18" i="1"/>
  <c r="F19" i="1"/>
  <c r="L13" i="1"/>
  <c r="L12" i="1"/>
  <c r="R12" i="1"/>
  <c r="R13" i="1"/>
  <c r="G20" i="1"/>
  <c r="S19" i="8"/>
  <c r="I18" i="1"/>
  <c r="I19" i="1"/>
  <c r="I13" i="1"/>
  <c r="I12" i="1"/>
  <c r="O12" i="1"/>
  <c r="P16" i="1"/>
  <c r="F17" i="1"/>
  <c r="V8" i="8"/>
  <c r="T7" i="1"/>
  <c r="U7" i="1" s="1"/>
  <c r="T3" i="8"/>
  <c r="W3" i="8"/>
  <c r="T10" i="8"/>
  <c r="S8" i="8"/>
  <c r="S6" i="1"/>
  <c r="S22" i="1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E29" i="8" s="1"/>
  <c r="AD21" i="8"/>
  <c r="AE21" i="8" s="1"/>
  <c r="AD7" i="8"/>
  <c r="AE7" i="8" s="1"/>
  <c r="AD3" i="8"/>
  <c r="AE3" i="8" s="1"/>
  <c r="AD19" i="8"/>
  <c r="AE19" i="8" s="1"/>
  <c r="AD12" i="8"/>
  <c r="AE12" i="8" s="1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E27" i="8" s="1"/>
  <c r="AD26" i="8"/>
  <c r="AE26" i="8" s="1"/>
  <c r="J27" i="3"/>
  <c r="K27" i="3" s="1"/>
  <c r="J26" i="3"/>
  <c r="K26" i="3" s="1"/>
  <c r="AD25" i="8"/>
  <c r="AE25" i="8" s="1"/>
  <c r="AD23" i="8"/>
  <c r="AE23" i="8" s="1"/>
  <c r="AD22" i="8"/>
  <c r="AE22" i="8" s="1"/>
  <c r="H17" i="8"/>
  <c r="AD14" i="8"/>
  <c r="AE14" i="8" s="1"/>
  <c r="AD20" i="8"/>
  <c r="AE20" i="8" s="1"/>
  <c r="J21" i="3"/>
  <c r="K21" i="3" s="1"/>
  <c r="H11" i="8"/>
  <c r="AD11" i="8" s="1"/>
  <c r="AE11" i="8" s="1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W34" i="4" l="1"/>
  <c r="I34" i="1"/>
  <c r="Y7" i="4"/>
  <c r="F34" i="1"/>
  <c r="G34" i="3"/>
  <c r="O34" i="1"/>
  <c r="M34" i="4"/>
  <c r="Y3" i="8"/>
  <c r="E3" i="9" s="1"/>
  <c r="Q34" i="4"/>
  <c r="E34" i="3"/>
  <c r="K4" i="3"/>
  <c r="O34" i="2"/>
  <c r="U6" i="1"/>
  <c r="K6" i="3"/>
  <c r="C28" i="1"/>
  <c r="Y5" i="4"/>
  <c r="Y4" i="4"/>
  <c r="S12" i="8"/>
  <c r="Y16" i="4"/>
  <c r="H17" i="4"/>
  <c r="J15" i="8"/>
  <c r="Y15" i="8" s="1"/>
  <c r="Z12" i="4"/>
  <c r="J17" i="3"/>
  <c r="K17" i="3" s="1"/>
  <c r="Y9" i="4"/>
  <c r="Y6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AE28" i="8" s="1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G12" i="1"/>
  <c r="S11" i="8"/>
  <c r="S29" i="1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P11" i="1"/>
  <c r="U10" i="8"/>
  <c r="AA28" i="4"/>
  <c r="U4" i="1"/>
  <c r="L18" i="1"/>
  <c r="L19" i="1"/>
  <c r="P12" i="1"/>
  <c r="U11" i="8"/>
  <c r="T12" i="8"/>
  <c r="J13" i="1"/>
  <c r="J18" i="1"/>
  <c r="T17" i="8"/>
  <c r="S12" i="1"/>
  <c r="W11" i="8"/>
  <c r="V12" i="8"/>
  <c r="M13" i="1"/>
  <c r="G18" i="1"/>
  <c r="S17" i="8"/>
  <c r="G17" i="1"/>
  <c r="S16" i="8"/>
  <c r="P13" i="1"/>
  <c r="U12" i="8"/>
  <c r="J12" i="1"/>
  <c r="T11" i="8"/>
  <c r="T12" i="1"/>
  <c r="U12" i="1" s="1"/>
  <c r="T18" i="8"/>
  <c r="J19" i="1"/>
  <c r="W12" i="8"/>
  <c r="S13" i="1"/>
  <c r="V11" i="8"/>
  <c r="M12" i="1"/>
  <c r="G19" i="1"/>
  <c r="S18" i="8"/>
  <c r="Y2" i="8"/>
  <c r="E2" i="9" s="1"/>
  <c r="F18" i="8"/>
  <c r="I34" i="2" l="1"/>
  <c r="K34" i="4"/>
  <c r="S34" i="1"/>
  <c r="L34" i="1"/>
  <c r="P34" i="1"/>
  <c r="O34" i="4"/>
  <c r="J34" i="1"/>
  <c r="G34" i="1"/>
  <c r="S34" i="4"/>
  <c r="C34" i="3"/>
  <c r="Z10" i="8"/>
  <c r="AA32" i="4"/>
  <c r="AA31" i="4"/>
  <c r="C29" i="1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AE17" i="8" s="1"/>
  <c r="J18" i="3"/>
  <c r="J34" i="3" s="1"/>
  <c r="K19" i="2"/>
  <c r="AA18" i="8" s="1"/>
  <c r="AD18" i="8"/>
  <c r="AE18" i="8" s="1"/>
  <c r="Y11" i="4"/>
  <c r="G12" i="2"/>
  <c r="G13" i="2"/>
  <c r="Z12" i="8" s="1"/>
  <c r="AA12" i="4"/>
  <c r="K18" i="8"/>
  <c r="X19" i="4"/>
  <c r="M17" i="8"/>
  <c r="Z19" i="4"/>
  <c r="Y13" i="4"/>
  <c r="Y10" i="8"/>
  <c r="V18" i="8"/>
  <c r="M19" i="1"/>
  <c r="M18" i="1"/>
  <c r="M34" i="1" s="1"/>
  <c r="V17" i="8"/>
  <c r="G34" i="2" l="1"/>
  <c r="Z34" i="4"/>
  <c r="C30" i="1"/>
  <c r="R29" i="8" s="1"/>
  <c r="J17" i="8"/>
  <c r="Y17" i="8" s="1"/>
  <c r="I18" i="4"/>
  <c r="Y18" i="4" s="1"/>
  <c r="H19" i="4"/>
  <c r="K12" i="2"/>
  <c r="AA11" i="8" s="1"/>
  <c r="Z11" i="8"/>
  <c r="AA22" i="4"/>
  <c r="AA19" i="4"/>
  <c r="AA21" i="4"/>
  <c r="K18" i="3"/>
  <c r="K34" i="3" s="1"/>
  <c r="AA20" i="4"/>
  <c r="K21" i="2"/>
  <c r="AA20" i="8" s="1"/>
  <c r="AA10" i="8"/>
  <c r="X34" i="4"/>
  <c r="AA34" i="4" l="1"/>
  <c r="D30" i="1"/>
  <c r="T30" i="1"/>
  <c r="U30" i="1" s="1"/>
  <c r="C31" i="1"/>
  <c r="J18" i="8"/>
  <c r="Y18" i="8" s="1"/>
  <c r="I19" i="4"/>
  <c r="Y19" i="4" s="1"/>
  <c r="H20" i="4"/>
  <c r="K22" i="2"/>
  <c r="AA21" i="8" s="1"/>
  <c r="K23" i="2"/>
  <c r="AA13" i="8"/>
  <c r="K13" i="2"/>
  <c r="AA22" i="8" l="1"/>
  <c r="K34" i="2"/>
  <c r="R30" i="8"/>
  <c r="T31" i="1"/>
  <c r="U31" i="1" s="1"/>
  <c r="D31" i="1"/>
  <c r="B33" i="1"/>
  <c r="C33" i="1" s="1"/>
  <c r="C32" i="1"/>
  <c r="J19" i="8"/>
  <c r="Y19" i="8" s="1"/>
  <c r="I20" i="4"/>
  <c r="Y20" i="4" s="1"/>
  <c r="H21" i="4"/>
  <c r="AA12" i="8"/>
  <c r="D33" i="1" l="1"/>
  <c r="T33" i="1"/>
  <c r="U33" i="1" s="1"/>
  <c r="D32" i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D13" i="1" l="1"/>
  <c r="T13" i="1"/>
  <c r="R13" i="8"/>
  <c r="U13" i="1" l="1"/>
  <c r="R14" i="8"/>
  <c r="T16" i="1" l="1"/>
  <c r="D16" i="1"/>
  <c r="R15" i="8"/>
  <c r="U16" i="1" l="1"/>
  <c r="D17" i="1"/>
  <c r="R16" i="8"/>
  <c r="T17" i="1"/>
  <c r="U17" i="1" s="1"/>
  <c r="R17" i="8" l="1"/>
  <c r="T18" i="1"/>
  <c r="D18" i="1"/>
  <c r="U18" i="1" l="1"/>
  <c r="R18" i="8"/>
  <c r="T19" i="1"/>
  <c r="U19" i="1" s="1"/>
  <c r="D19" i="1"/>
  <c r="D20" i="1" l="1"/>
  <c r="R19" i="8"/>
  <c r="T20" i="1"/>
  <c r="U20" i="1" s="1"/>
  <c r="R20" i="8" l="1"/>
  <c r="T21" i="1"/>
  <c r="U21" i="1" s="1"/>
  <c r="D21" i="1"/>
  <c r="R21" i="8" l="1"/>
  <c r="D22" i="1"/>
  <c r="T22" i="1"/>
  <c r="U22" i="1" s="1"/>
  <c r="R22" i="8" l="1"/>
  <c r="T23" i="1"/>
  <c r="U23" i="1" s="1"/>
  <c r="D24" i="1" l="1"/>
  <c r="R23" i="8"/>
  <c r="T24" i="1"/>
  <c r="U24" i="1" s="1"/>
  <c r="D25" i="1" l="1"/>
  <c r="T25" i="1"/>
  <c r="U25" i="1" s="1"/>
  <c r="R24" i="8"/>
  <c r="T26" i="1" l="1"/>
  <c r="U26" i="1" s="1"/>
  <c r="D26" i="1"/>
  <c r="R25" i="8"/>
  <c r="T27" i="1" l="1"/>
  <c r="U27" i="1" s="1"/>
  <c r="D27" i="1"/>
  <c r="R26" i="8"/>
  <c r="T28" i="1" l="1"/>
  <c r="U28" i="1" s="1"/>
  <c r="R27" i="8"/>
  <c r="D28" i="1"/>
  <c r="T29" i="1" l="1"/>
  <c r="T34" i="1" s="1"/>
  <c r="D29" i="1"/>
  <c r="D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C13" i="4" l="1"/>
  <c r="D13" i="4" l="1"/>
  <c r="Q12" i="8" s="1"/>
  <c r="E12" i="9" s="1"/>
  <c r="C14" i="4"/>
  <c r="C15" i="4" l="1"/>
  <c r="D14" i="4"/>
  <c r="Q13" i="8" s="1"/>
  <c r="E13" i="9" s="1"/>
  <c r="C16" i="4" l="1"/>
  <c r="D15" i="4"/>
  <c r="Q14" i="8" s="1"/>
  <c r="E14" i="9" s="1"/>
  <c r="D16" i="4" l="1"/>
  <c r="Q15" i="8" s="1"/>
  <c r="E15" i="9" s="1"/>
  <c r="C17" i="4"/>
  <c r="C18" i="4" l="1"/>
  <c r="D17" i="4"/>
  <c r="Q16" i="8" s="1"/>
  <c r="E16" i="9" s="1"/>
  <c r="C19" i="4" l="1"/>
  <c r="D18" i="4"/>
  <c r="Q17" i="8" s="1"/>
  <c r="E17" i="9" s="1"/>
  <c r="C20" i="4" l="1"/>
  <c r="D19" i="4"/>
  <c r="Q18" i="8" s="1"/>
  <c r="E18" i="9" s="1"/>
  <c r="C21" i="4" l="1"/>
  <c r="D20" i="4"/>
  <c r="Q19" i="8" s="1"/>
  <c r="E19" i="9" s="1"/>
  <c r="C22" i="4" l="1"/>
  <c r="D21" i="4"/>
  <c r="Q20" i="8" s="1"/>
  <c r="E20" i="9" s="1"/>
  <c r="D22" i="4" l="1"/>
  <c r="Q21" i="8" s="1"/>
  <c r="E21" i="9" s="1"/>
  <c r="C23" i="4"/>
  <c r="D23" i="4" l="1"/>
  <c r="Q22" i="8" s="1"/>
  <c r="E22" i="9" s="1"/>
  <c r="C24" i="4"/>
  <c r="D24" i="4" l="1"/>
  <c r="Q23" i="8" s="1"/>
  <c r="E23" i="9" s="1"/>
  <c r="C25" i="4"/>
  <c r="C26" i="4" l="1"/>
  <c r="D25" i="4"/>
  <c r="Q24" i="8" s="1"/>
  <c r="E24" i="9" s="1"/>
  <c r="C27" i="4" l="1"/>
  <c r="D26" i="4"/>
  <c r="Q25" i="8" s="1"/>
  <c r="E25" i="9" s="1"/>
  <c r="D27" i="4" l="1"/>
  <c r="Q26" i="8" s="1"/>
  <c r="E26" i="9" s="1"/>
  <c r="C28" i="4"/>
  <c r="D28" i="4" l="1"/>
  <c r="Q27" i="8" s="1"/>
  <c r="E27" i="9" s="1"/>
  <c r="C29" i="4"/>
  <c r="D29" i="4" l="1"/>
  <c r="Q28" i="8" s="1"/>
  <c r="E28" i="9" s="1"/>
  <c r="C30" i="4"/>
  <c r="C31" i="4" l="1"/>
  <c r="D30" i="4"/>
  <c r="Q29" i="8" s="1"/>
  <c r="E29" i="9" s="1"/>
  <c r="D31" i="4" l="1"/>
  <c r="C32" i="4"/>
  <c r="D32" i="4" l="1"/>
  <c r="C33" i="4"/>
  <c r="D33" i="4" l="1"/>
  <c r="D34" i="4" s="1"/>
  <c r="J26" i="11"/>
  <c r="K26" i="11" s="1"/>
  <c r="C7" i="11" l="1"/>
  <c r="D7" i="11" s="1"/>
  <c r="C5" i="11"/>
  <c r="D5" i="11" s="1"/>
  <c r="C6" i="11"/>
  <c r="D6" i="11" s="1"/>
</calcChain>
</file>

<file path=xl/sharedStrings.xml><?xml version="1.0" encoding="utf-8"?>
<sst xmlns="http://schemas.openxmlformats.org/spreadsheetml/2006/main" count="447" uniqueCount="144">
  <si>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</si>
  <si>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</si>
  <si>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</si>
  <si>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</si>
  <si>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</si>
  <si>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</si>
  <si>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</si>
  <si>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</si>
  <si>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</si>
  <si>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</si>
  <si>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</si>
  <si>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</si>
  <si>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>Last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</si>
  <si>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</si>
  <si>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</si>
  <si>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</si>
  <si>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</si>
  <si>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</si>
  <si>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</si>
  <si>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</si>
  <si>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</si>
  <si>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</si>
  <si>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</si>
  <si>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</si>
  <si>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</si>
  <si>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</si>
  <si>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</si>
  <si>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</si>
  <si>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</si>
  <si>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</si>
  <si>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</si>
  <si>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</si>
  <si>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</si>
  <si>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</si>
  <si>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</si>
  <si>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</si>
  <si>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</si>
  <si>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</si>
  <si>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</si>
  <si>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</si>
  <si>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</si>
  <si>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</si>
  <si>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</si>
  <si>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</si>
  <si>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</si>
  <si>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</si>
  <si>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</si>
  <si>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</si>
  <si>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</si>
  <si>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</si>
  <si>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</si>
  <si>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</si>
  <si>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</si>
  <si>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</si>
  <si>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</si>
  <si>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</si>
  <si>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</si>
  <si>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</si>
  <si>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</si>
  <si>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</si>
  <si>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</si>
  <si>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</si>
  <si>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</si>
  <si>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</si>
  <si>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</si>
  <si>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</si>
  <si>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</si>
  <si>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</si>
  <si>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</si>
  <si>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</si>
  <si>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</si>
  <si>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</si>
  <si>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</si>
  <si>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</si>
  <si>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</si>
  <si>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</si>
  <si>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</si>
  <si>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</si>
  <si>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</si>
  <si>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</si>
  <si>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</si>
  <si>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</si>
  <si>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</si>
  <si>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</si>
  <si>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</si>
  <si>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</si>
  <si>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</si>
  <si>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</si>
  <si>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</si>
  <si>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</si>
  <si>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</si>
  <si>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</si>
  <si>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</si>
  <si>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</si>
  <si>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</si>
  <si>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</si>
  <si>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</si>
  <si>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</si>
  <si>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</si>
  <si>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</si>
  <si>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</si>
  <si>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</si>
  <si>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</si>
  <si>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</si>
  <si>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</si>
  <si>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</si>
  <si>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</si>
  <si>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</si>
  <si>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</si>
  <si>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</si>
  <si>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</si>
  <si>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</si>
  <si>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</si>
  <si>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</si>
  <si>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</si>
  <si>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</si>
  <si>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</si>
  <si>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</si>
  <si>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</si>
  <si>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</si>
  <si>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</si>
  <si>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</si>
  <si>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</si>
  <si>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</si>
  <si>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</si>
  <si>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</si>
  <si>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</si>
  <si>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</si>
  <si>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</si>
  <si>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</si>
  <si>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</si>
  <si>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</si>
  <si>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</si>
  <si>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</si>
  <si>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</si>
  <si>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</si>
  <si>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</si>
  <si>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</si>
  <si>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</si>
  <si>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>Acutal till January  2021</t>
  </si>
  <si>
    <t>Acutal till Februry   2021</t>
  </si>
  <si>
    <t xml:space="preserve">              Total</t>
  </si>
  <si>
    <t>Acutal till March 2021</t>
  </si>
  <si>
    <t>Energy Monthly Statement April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</si>
</sst>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3" fontId="21" fillId="0" borderId="4" xfId="8" applyNumberFormat="1" applyFont="1" applyFill="1" applyBorder="1" applyAlignment="1">
      <alignment horizontal="left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3" fontId="23" fillId="0" borderId="4" xfId="8" applyNumberFormat="1" applyFont="1" applyFill="1" applyBorder="1" applyAlignment="1">
      <alignment horizontal="left" vertical="center" wrapText="1"/>
    </xf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0" borderId="1" xfId="4" applyFont="1" applyBorder="1" applyAlignment="1">
      <alignment horizont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3" fontId="21" fillId="19" borderId="4" xfId="8" applyNumberFormat="1" applyFont="1" applyFill="1" applyBorder="1" applyAlignment="1">
      <alignment horizontal="left" vertical="center" wrapText="1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4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1"/>
  <sheetViews>
    <sheetView zoomScale="85" zoomScaleNormal="85" workbookViewId="0">
      <selection activeCell="A32" sqref="A32:XFD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46</v>
      </c>
      <c r="B1" s="61" t="s">
        <v>0</v>
      </c>
      <c r="C1" s="61" t="s">
        <v>47</v>
      </c>
      <c r="D1" s="61" t="s">
        <v>48</v>
      </c>
      <c r="E1" s="60" t="s">
        <v>49</v>
      </c>
      <c r="F1" s="60" t="s">
        <v>50</v>
      </c>
      <c r="G1" s="60" t="s">
        <v>75</v>
      </c>
      <c r="H1" s="60" t="s">
        <v>76</v>
      </c>
      <c r="I1" s="60" t="s">
        <v>51</v>
      </c>
      <c r="J1" s="60" t="s">
        <v>52</v>
      </c>
      <c r="K1" s="60" t="s">
        <v>53</v>
      </c>
    </row>
    <row r="2" spans="1:14" x14ac:dyDescent="0.2">
      <c r="A2" s="58" t="s">
        <v>54</v>
      </c>
      <c r="B2" s="63">
        <v>1</v>
      </c>
      <c r="C2" s="63">
        <v>4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51030.146099999998</v>
      </c>
      <c r="F2" s="15">
        <v>0</v>
      </c>
      <c r="G2" s="47">
        <f>Gas!C3*0.9147</f>
        <v>1723.2947999999999</v>
      </c>
      <c r="H2" s="15">
        <v>0</v>
      </c>
      <c r="I2" s="47">
        <v>0</v>
      </c>
      <c r="J2" s="48">
        <v>0</v>
      </c>
      <c r="K2" s="47">
        <f>ELECT.!B3</f>
        <v>160</v>
      </c>
    </row>
    <row r="3" spans="1:14" x14ac:dyDescent="0.2">
      <c r="A3" s="58" t="s">
        <v>54</v>
      </c>
      <c r="B3" s="63">
        <f>B2+1</f>
        <v>2</v>
      </c>
      <c r="C3" s="63">
        <v>4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33778.836572</v>
      </c>
      <c r="F3" s="15">
        <v>0</v>
      </c>
      <c r="G3" s="47">
        <f>Gas!C4*0.9147</f>
        <v>2328.8262</v>
      </c>
      <c r="H3" s="15">
        <v>0</v>
      </c>
      <c r="I3" s="47">
        <v>0</v>
      </c>
      <c r="J3" s="48">
        <v>0</v>
      </c>
      <c r="K3" s="47">
        <f>ELECT.!B4</f>
        <v>182</v>
      </c>
    </row>
    <row r="4" spans="1:14" x14ac:dyDescent="0.2">
      <c r="A4" s="58" t="s">
        <v>54</v>
      </c>
      <c r="B4" s="63">
        <f t="shared" ref="B4:B31" si="0">B3+1</f>
        <v>3</v>
      </c>
      <c r="C4" s="63">
        <v>4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54012.191967999992</v>
      </c>
      <c r="F4" s="15">
        <v>0</v>
      </c>
      <c r="G4" s="47">
        <f>Gas!C5*0.9147</f>
        <v>2069.0513999999998</v>
      </c>
      <c r="H4" s="15">
        <v>0</v>
      </c>
      <c r="I4" s="47">
        <v>0</v>
      </c>
      <c r="J4" s="48">
        <v>0</v>
      </c>
      <c r="K4" s="47">
        <f>ELECT.!B5</f>
        <v>183</v>
      </c>
    </row>
    <row r="5" spans="1:14" x14ac:dyDescent="0.2">
      <c r="A5" s="58" t="s">
        <v>54</v>
      </c>
      <c r="B5" s="63">
        <f t="shared" si="0"/>
        <v>4</v>
      </c>
      <c r="C5" s="63">
        <v>4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43419.317328000005</v>
      </c>
      <c r="F5" s="15">
        <v>0</v>
      </c>
      <c r="G5" s="47">
        <f>Gas!C6*0.9147</f>
        <v>2009.5958999999998</v>
      </c>
      <c r="H5" s="15">
        <v>0</v>
      </c>
      <c r="I5" s="47">
        <v>0</v>
      </c>
      <c r="J5" s="48">
        <v>0</v>
      </c>
      <c r="K5" s="47">
        <f>ELECT.!B6</f>
        <v>168</v>
      </c>
    </row>
    <row r="6" spans="1:14" x14ac:dyDescent="0.2">
      <c r="A6" s="58" t="s">
        <v>54</v>
      </c>
      <c r="B6" s="63">
        <f t="shared" si="0"/>
        <v>5</v>
      </c>
      <c r="C6" s="63">
        <v>4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57575.566788000004</v>
      </c>
      <c r="F6" s="15">
        <v>0</v>
      </c>
      <c r="G6" s="47">
        <f>Gas!C7*0.9147</f>
        <v>2364.4994999999999</v>
      </c>
      <c r="H6" s="15">
        <v>0</v>
      </c>
      <c r="I6" s="47">
        <v>0</v>
      </c>
      <c r="J6" s="48">
        <v>0</v>
      </c>
      <c r="K6" s="47">
        <f>ELECT.!B7</f>
        <v>138</v>
      </c>
    </row>
    <row r="7" spans="1:14" x14ac:dyDescent="0.2">
      <c r="A7" s="58" t="s">
        <v>54</v>
      </c>
      <c r="B7" s="63">
        <f t="shared" si="0"/>
        <v>6</v>
      </c>
      <c r="C7" s="63">
        <v>4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39153.974479999997</v>
      </c>
      <c r="F7" s="15">
        <v>0</v>
      </c>
      <c r="G7" s="47">
        <f>Gas!C8*0.9147</f>
        <v>2071.7954999999997</v>
      </c>
      <c r="H7" s="15">
        <v>0</v>
      </c>
      <c r="I7" s="47">
        <v>0</v>
      </c>
      <c r="J7" s="48">
        <v>0</v>
      </c>
      <c r="K7" s="47">
        <f>ELECT.!B8</f>
        <v>146</v>
      </c>
    </row>
    <row r="8" spans="1:14" x14ac:dyDescent="0.2">
      <c r="A8" s="58" t="s">
        <v>54</v>
      </c>
      <c r="B8" s="63">
        <f t="shared" si="0"/>
        <v>7</v>
      </c>
      <c r="C8" s="63">
        <v>4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57611.489032000005</v>
      </c>
      <c r="F8" s="15">
        <v>0</v>
      </c>
      <c r="G8" s="47">
        <f>Gas!C9*0.9147</f>
        <v>1940.9933999999998</v>
      </c>
      <c r="H8" s="15">
        <v>0</v>
      </c>
      <c r="I8" s="47">
        <v>0</v>
      </c>
      <c r="J8" s="48">
        <v>0</v>
      </c>
      <c r="K8" s="47">
        <f>ELECT.!B9</f>
        <v>154</v>
      </c>
    </row>
    <row r="9" spans="1:14" x14ac:dyDescent="0.2">
      <c r="A9" s="58" t="s">
        <v>54</v>
      </c>
      <c r="B9" s="63">
        <f t="shared" si="0"/>
        <v>8</v>
      </c>
      <c r="C9" s="63">
        <v>4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52074.496287999995</v>
      </c>
      <c r="F9" s="15">
        <v>0</v>
      </c>
      <c r="G9" s="47">
        <f>Gas!C10*0.9147</f>
        <v>1865.9879999999998</v>
      </c>
      <c r="H9" s="15">
        <v>0</v>
      </c>
      <c r="I9" s="47">
        <v>0</v>
      </c>
      <c r="J9" s="48">
        <v>0</v>
      </c>
      <c r="K9" s="47">
        <f>ELECT.!B10</f>
        <v>148</v>
      </c>
      <c r="N9" t="s">
        <v>13</v>
      </c>
    </row>
    <row r="10" spans="1:14" x14ac:dyDescent="0.2">
      <c r="A10" s="58" t="s">
        <v>54</v>
      </c>
      <c r="B10" s="63">
        <f t="shared" si="0"/>
        <v>9</v>
      </c>
      <c r="C10" s="63">
        <v>4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48628.162691999998</v>
      </c>
      <c r="F10" s="15">
        <v>0</v>
      </c>
      <c r="G10" s="47">
        <f>Gas!C11*0.9147</f>
        <v>1976.6667</v>
      </c>
      <c r="H10" s="15">
        <v>0</v>
      </c>
      <c r="I10" s="47">
        <v>0</v>
      </c>
      <c r="J10" s="48">
        <v>0</v>
      </c>
      <c r="K10" s="47">
        <f>ELECT.!B11</f>
        <v>144</v>
      </c>
    </row>
    <row r="11" spans="1:14" x14ac:dyDescent="0.2">
      <c r="A11" s="58" t="s">
        <v>54</v>
      </c>
      <c r="B11" s="63">
        <f t="shared" si="0"/>
        <v>10</v>
      </c>
      <c r="C11" s="63">
        <v>4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67860.505827999994</v>
      </c>
      <c r="F11" s="15">
        <v>0</v>
      </c>
      <c r="G11" s="47">
        <f>Gas!C12*0.9147</f>
        <v>1992.2166</v>
      </c>
      <c r="H11" s="15">
        <v>0</v>
      </c>
      <c r="I11" s="47">
        <v>0</v>
      </c>
      <c r="J11" s="48">
        <v>0</v>
      </c>
      <c r="K11" s="47">
        <f>ELECT.!B12</f>
        <v>141</v>
      </c>
    </row>
    <row r="12" spans="1:14" x14ac:dyDescent="0.2">
      <c r="A12" s="58" t="s">
        <v>54</v>
      </c>
      <c r="B12" s="63">
        <f t="shared" si="0"/>
        <v>11</v>
      </c>
      <c r="C12" s="63">
        <v>4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5">
        <v>0</v>
      </c>
      <c r="G12" s="47">
        <f>Gas!C13*0.9147</f>
        <v>0</v>
      </c>
      <c r="H12" s="15">
        <v>0</v>
      </c>
      <c r="I12" s="47">
        <v>0</v>
      </c>
      <c r="J12" s="48">
        <v>0</v>
      </c>
      <c r="K12" s="47">
        <f>ELECT.!B13</f>
        <v>0</v>
      </c>
    </row>
    <row r="13" spans="1:14" x14ac:dyDescent="0.2">
      <c r="A13" s="58" t="s">
        <v>54</v>
      </c>
      <c r="B13" s="63">
        <f t="shared" si="0"/>
        <v>12</v>
      </c>
      <c r="C13" s="63">
        <v>4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5">
        <v>0</v>
      </c>
      <c r="G13" s="47">
        <f>Gas!C14*0.9147</f>
        <v>0</v>
      </c>
      <c r="H13" s="15">
        <v>0</v>
      </c>
      <c r="I13" s="47">
        <v>0</v>
      </c>
      <c r="J13" s="48">
        <v>0</v>
      </c>
      <c r="K13" s="47">
        <f>ELECT.!B14</f>
        <v>0</v>
      </c>
    </row>
    <row r="14" spans="1:14" x14ac:dyDescent="0.2">
      <c r="A14" s="58" t="s">
        <v>54</v>
      </c>
      <c r="B14" s="63">
        <f t="shared" si="0"/>
        <v>13</v>
      </c>
      <c r="C14" s="63">
        <v>4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5">
        <v>0</v>
      </c>
      <c r="G14" s="47">
        <f>Gas!C15*0.9147</f>
        <v>0</v>
      </c>
      <c r="H14" s="15">
        <v>0</v>
      </c>
      <c r="I14" s="47">
        <v>0</v>
      </c>
      <c r="J14" s="48">
        <v>0</v>
      </c>
      <c r="K14" s="47">
        <f>ELECT.!B15</f>
        <v>0</v>
      </c>
    </row>
    <row r="15" spans="1:14" x14ac:dyDescent="0.2">
      <c r="A15" s="58" t="s">
        <v>54</v>
      </c>
      <c r="B15" s="63">
        <f t="shared" si="0"/>
        <v>14</v>
      </c>
      <c r="C15" s="63">
        <v>4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5">
        <v>0</v>
      </c>
      <c r="G15" s="47">
        <f>Gas!C16*0.9147</f>
        <v>0</v>
      </c>
      <c r="H15" s="15">
        <v>0</v>
      </c>
      <c r="I15" s="47">
        <v>0</v>
      </c>
      <c r="J15" s="48">
        <v>0</v>
      </c>
      <c r="K15" s="47">
        <f>ELECT.!B16</f>
        <v>0</v>
      </c>
    </row>
    <row r="16" spans="1:14" x14ac:dyDescent="0.2">
      <c r="A16" s="58" t="s">
        <v>54</v>
      </c>
      <c r="B16" s="63">
        <f t="shared" si="0"/>
        <v>15</v>
      </c>
      <c r="C16" s="63">
        <v>4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5">
        <v>0</v>
      </c>
      <c r="G16" s="47">
        <f>Gas!C17*0.9147</f>
        <v>0</v>
      </c>
      <c r="H16" s="15">
        <v>0</v>
      </c>
      <c r="I16" s="47">
        <v>0</v>
      </c>
      <c r="J16" s="48">
        <v>0</v>
      </c>
      <c r="K16" s="47">
        <f>ELECT.!B17</f>
        <v>0</v>
      </c>
    </row>
    <row r="17" spans="1:13" x14ac:dyDescent="0.2">
      <c r="A17" s="58" t="s">
        <v>54</v>
      </c>
      <c r="B17" s="63">
        <f t="shared" si="0"/>
        <v>16</v>
      </c>
      <c r="C17" s="63">
        <v>4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5">
        <v>0</v>
      </c>
      <c r="G17" s="47">
        <f>Gas!C18*0.9147</f>
        <v>0</v>
      </c>
      <c r="H17" s="15">
        <v>0</v>
      </c>
      <c r="I17" s="47">
        <v>0</v>
      </c>
      <c r="J17" s="48">
        <v>0</v>
      </c>
      <c r="K17" s="47">
        <f>ELECT.!B18</f>
        <v>0</v>
      </c>
    </row>
    <row r="18" spans="1:13" x14ac:dyDescent="0.2">
      <c r="A18" s="58" t="s">
        <v>54</v>
      </c>
      <c r="B18" s="63">
        <f t="shared" si="0"/>
        <v>17</v>
      </c>
      <c r="C18" s="63">
        <v>4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5">
        <v>0</v>
      </c>
      <c r="G18" s="47">
        <f>Gas!C19*0.9147</f>
        <v>0</v>
      </c>
      <c r="H18" s="15">
        <v>0</v>
      </c>
      <c r="I18" s="47">
        <v>0</v>
      </c>
      <c r="J18" s="48">
        <v>0</v>
      </c>
      <c r="K18" s="47">
        <f>ELECT.!B19</f>
        <v>0</v>
      </c>
    </row>
    <row r="19" spans="1:13" x14ac:dyDescent="0.2">
      <c r="A19" s="58" t="s">
        <v>54</v>
      </c>
      <c r="B19" s="63">
        <f t="shared" si="0"/>
        <v>18</v>
      </c>
      <c r="C19" s="63">
        <v>4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5">
        <v>0</v>
      </c>
      <c r="G19" s="47">
        <f>Gas!C20*0.9147</f>
        <v>0</v>
      </c>
      <c r="H19" s="15">
        <v>0</v>
      </c>
      <c r="I19" s="47">
        <v>0</v>
      </c>
      <c r="J19" s="48">
        <v>0</v>
      </c>
      <c r="K19" s="47">
        <f>ELECT.!B20</f>
        <v>0</v>
      </c>
    </row>
    <row r="20" spans="1:13" x14ac:dyDescent="0.2">
      <c r="A20" s="58" t="s">
        <v>54</v>
      </c>
      <c r="B20" s="63">
        <f t="shared" si="0"/>
        <v>19</v>
      </c>
      <c r="C20" s="63">
        <v>4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5">
        <v>0</v>
      </c>
      <c r="G20" s="47">
        <f>Gas!C21*0.9147</f>
        <v>0</v>
      </c>
      <c r="H20" s="15">
        <v>0</v>
      </c>
      <c r="I20" s="47">
        <v>0</v>
      </c>
      <c r="J20" s="48">
        <v>0</v>
      </c>
      <c r="K20" s="47">
        <f>ELECT.!B21</f>
        <v>0</v>
      </c>
    </row>
    <row r="21" spans="1:13" x14ac:dyDescent="0.2">
      <c r="A21" s="58" t="s">
        <v>54</v>
      </c>
      <c r="B21" s="63">
        <f t="shared" si="0"/>
        <v>20</v>
      </c>
      <c r="C21" s="63">
        <v>4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5">
        <v>0</v>
      </c>
      <c r="G21" s="47">
        <f>Gas!C22*0.9147</f>
        <v>0</v>
      </c>
      <c r="H21" s="15">
        <v>0</v>
      </c>
      <c r="I21" s="47">
        <v>0</v>
      </c>
      <c r="J21" s="48">
        <v>0</v>
      </c>
      <c r="K21" s="47">
        <f>ELECT.!B22</f>
        <v>0</v>
      </c>
    </row>
    <row r="22" spans="1:13" x14ac:dyDescent="0.2">
      <c r="A22" s="58" t="s">
        <v>54</v>
      </c>
      <c r="B22" s="63">
        <f t="shared" si="0"/>
        <v>21</v>
      </c>
      <c r="C22" s="63">
        <v>4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5">
        <v>0</v>
      </c>
      <c r="G22" s="47">
        <f>Gas!C23*0.9147</f>
        <v>0</v>
      </c>
      <c r="H22" s="15">
        <v>0</v>
      </c>
      <c r="I22" s="47">
        <v>0</v>
      </c>
      <c r="J22" s="48">
        <v>0</v>
      </c>
      <c r="K22" s="47">
        <f>ELECT.!B23</f>
        <v>0</v>
      </c>
    </row>
    <row r="23" spans="1:13" x14ac:dyDescent="0.2">
      <c r="A23" s="58" t="s">
        <v>54</v>
      </c>
      <c r="B23" s="63">
        <f t="shared" si="0"/>
        <v>22</v>
      </c>
      <c r="C23" s="63">
        <v>4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5">
        <v>0</v>
      </c>
      <c r="G23" s="47">
        <f>Gas!C24*0.9147</f>
        <v>0</v>
      </c>
      <c r="H23" s="15">
        <v>0</v>
      </c>
      <c r="I23" s="47">
        <v>0</v>
      </c>
      <c r="J23" s="48">
        <v>0</v>
      </c>
      <c r="K23" s="47">
        <f>ELECT.!B24</f>
        <v>0</v>
      </c>
    </row>
    <row r="24" spans="1:13" x14ac:dyDescent="0.2">
      <c r="A24" s="58" t="s">
        <v>54</v>
      </c>
      <c r="B24" s="63">
        <f t="shared" si="0"/>
        <v>23</v>
      </c>
      <c r="C24" s="63">
        <v>4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5">
        <v>0</v>
      </c>
      <c r="G24" s="47">
        <f>Gas!C25*0.9147</f>
        <v>0</v>
      </c>
      <c r="H24" s="15">
        <v>0</v>
      </c>
      <c r="I24" s="47">
        <v>0</v>
      </c>
      <c r="J24" s="48">
        <v>0</v>
      </c>
      <c r="K24" s="47">
        <f>ELECT.!B25</f>
        <v>0</v>
      </c>
    </row>
    <row r="25" spans="1:13" x14ac:dyDescent="0.2">
      <c r="A25" s="58" t="s">
        <v>54</v>
      </c>
      <c r="B25" s="63">
        <f t="shared" si="0"/>
        <v>24</v>
      </c>
      <c r="C25" s="63">
        <v>4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5">
        <v>0</v>
      </c>
      <c r="G25" s="47">
        <f>Gas!C26*0.9147</f>
        <v>0</v>
      </c>
      <c r="H25" s="15">
        <v>0</v>
      </c>
      <c r="I25" s="47">
        <v>0</v>
      </c>
      <c r="J25" s="48">
        <v>0</v>
      </c>
      <c r="K25" s="47">
        <f>ELECT.!B26</f>
        <v>0</v>
      </c>
    </row>
    <row r="26" spans="1:13" x14ac:dyDescent="0.2">
      <c r="A26" s="58" t="s">
        <v>54</v>
      </c>
      <c r="B26" s="63">
        <f>B25+1</f>
        <v>25</v>
      </c>
      <c r="C26" s="63">
        <v>4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5">
        <v>0</v>
      </c>
      <c r="G26" s="47">
        <f>Gas!C27*0.9147</f>
        <v>0</v>
      </c>
      <c r="H26" s="15">
        <v>0</v>
      </c>
      <c r="I26" s="47">
        <v>0</v>
      </c>
      <c r="J26" s="48">
        <v>0</v>
      </c>
      <c r="K26" s="47">
        <f>ELECT.!B27</f>
        <v>0</v>
      </c>
      <c r="M26" s="36" t="s">
        <v>13</v>
      </c>
    </row>
    <row r="27" spans="1:13" x14ac:dyDescent="0.2">
      <c r="A27" s="58" t="s">
        <v>54</v>
      </c>
      <c r="B27" s="63">
        <f t="shared" si="0"/>
        <v>26</v>
      </c>
      <c r="C27" s="63">
        <v>4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5">
        <v>0</v>
      </c>
      <c r="G27" s="47">
        <f>Gas!C28*0.9147</f>
        <v>0</v>
      </c>
      <c r="H27" s="15">
        <v>0</v>
      </c>
      <c r="I27" s="47">
        <v>0</v>
      </c>
      <c r="J27" s="48">
        <v>0</v>
      </c>
      <c r="K27" s="47">
        <f>ELECT.!B28</f>
        <v>0</v>
      </c>
    </row>
    <row r="28" spans="1:13" x14ac:dyDescent="0.2">
      <c r="A28" s="58" t="s">
        <v>54</v>
      </c>
      <c r="B28" s="63">
        <f t="shared" si="0"/>
        <v>27</v>
      </c>
      <c r="C28" s="63">
        <v>4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5">
        <v>0</v>
      </c>
      <c r="G28" s="47">
        <f>Gas!C29*0.9147</f>
        <v>0</v>
      </c>
      <c r="H28" s="15">
        <v>0</v>
      </c>
      <c r="I28" s="47">
        <v>0</v>
      </c>
      <c r="J28" s="48">
        <v>0</v>
      </c>
      <c r="K28" s="47">
        <f>ELECT.!B29</f>
        <v>0</v>
      </c>
    </row>
    <row r="29" spans="1:13" x14ac:dyDescent="0.2">
      <c r="A29" s="58" t="s">
        <v>54</v>
      </c>
      <c r="B29" s="63">
        <f t="shared" si="0"/>
        <v>28</v>
      </c>
      <c r="C29" s="63">
        <v>4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5">
        <v>0</v>
      </c>
      <c r="G29" s="47">
        <f>Gas!C30*0.9147</f>
        <v>0</v>
      </c>
      <c r="H29" s="15">
        <v>0</v>
      </c>
      <c r="I29" s="47">
        <v>0</v>
      </c>
      <c r="J29" s="48">
        <v>0</v>
      </c>
      <c r="K29" s="47">
        <f>ELECT.!B30</f>
        <v>0</v>
      </c>
    </row>
    <row r="30" spans="1:13" x14ac:dyDescent="0.2">
      <c r="A30" s="58" t="s">
        <v>54</v>
      </c>
      <c r="B30" s="63">
        <f t="shared" si="0"/>
        <v>29</v>
      </c>
      <c r="C30" s="63">
        <v>4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5">
        <v>0</v>
      </c>
      <c r="G30" s="47">
        <f>Gas!C31*0.9147</f>
        <v>0</v>
      </c>
      <c r="H30" s="15">
        <v>0</v>
      </c>
      <c r="I30" s="47">
        <v>0</v>
      </c>
      <c r="J30" s="48">
        <v>0</v>
      </c>
      <c r="K30" s="47">
        <f>ELECT.!B31</f>
        <v>0</v>
      </c>
    </row>
    <row r="31" spans="1:13" x14ac:dyDescent="0.2">
      <c r="A31" s="58" t="s">
        <v>54</v>
      </c>
      <c r="B31" s="63">
        <f t="shared" si="0"/>
        <v>30</v>
      </c>
      <c r="C31" s="63">
        <v>4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5">
        <v>0</v>
      </c>
      <c r="G31" s="47">
        <f>Gas!C32*0.9147</f>
        <v>0</v>
      </c>
      <c r="H31" s="15">
        <v>0</v>
      </c>
      <c r="I31" s="47">
        <v>0</v>
      </c>
      <c r="J31" s="48">
        <v>0</v>
      </c>
      <c r="K31" s="47">
        <f>ELECT.!B32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zoomScale="85" zoomScaleNormal="85" workbookViewId="0">
      <selection activeCell="A32" sqref="A32:XFD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46</v>
      </c>
      <c r="B1" s="61" t="s">
        <v>0</v>
      </c>
      <c r="C1" s="61" t="s">
        <v>47</v>
      </c>
      <c r="D1" s="61" t="s">
        <v>48</v>
      </c>
      <c r="E1" s="62" t="s">
        <v>65</v>
      </c>
      <c r="F1" s="62" t="s">
        <v>66</v>
      </c>
      <c r="G1" s="62" t="s">
        <v>67</v>
      </c>
      <c r="H1" s="62" t="s">
        <v>68</v>
      </c>
      <c r="I1" s="62" t="s">
        <v>58</v>
      </c>
      <c r="J1" s="62" t="s">
        <v>57</v>
      </c>
      <c r="K1" s="62" t="s">
        <v>56</v>
      </c>
      <c r="L1" s="62" t="s">
        <v>59</v>
      </c>
      <c r="M1" s="62" t="s">
        <v>60</v>
      </c>
      <c r="N1" s="62" t="s">
        <v>61</v>
      </c>
      <c r="O1" s="62" t="s">
        <v>62</v>
      </c>
      <c r="P1" s="62" t="s">
        <v>63</v>
      </c>
      <c r="Q1" s="62" t="s">
        <v>77</v>
      </c>
      <c r="R1" s="64" t="s">
        <v>69</v>
      </c>
      <c r="S1" s="64" t="s">
        <v>70</v>
      </c>
      <c r="T1" s="64" t="s">
        <v>71</v>
      </c>
      <c r="U1" s="64" t="s">
        <v>72</v>
      </c>
      <c r="V1" s="64" t="s">
        <v>73</v>
      </c>
      <c r="W1" s="64" t="s">
        <v>74</v>
      </c>
      <c r="X1" s="59" t="s">
        <v>53</v>
      </c>
      <c r="Y1" s="146" t="s">
        <v>129</v>
      </c>
      <c r="Z1" s="44" t="s">
        <v>130</v>
      </c>
      <c r="AA1" s="44" t="s">
        <v>131</v>
      </c>
      <c r="AB1" s="44" t="s">
        <v>132</v>
      </c>
      <c r="AC1" s="44" t="s">
        <v>133</v>
      </c>
      <c r="AD1" s="147" t="s">
        <v>134</v>
      </c>
      <c r="AE1" s="147" t="s">
        <v>135</v>
      </c>
    </row>
    <row r="2" spans="1:31" x14ac:dyDescent="0.2">
      <c r="A2" s="58" t="s">
        <v>54</v>
      </c>
      <c r="B2" s="63">
        <v>1</v>
      </c>
      <c r="C2" s="63">
        <v>4</v>
      </c>
      <c r="D2" s="63">
        <v>2021</v>
      </c>
      <c r="E2" s="47">
        <f>Water!C3</f>
        <v>740</v>
      </c>
      <c r="F2" s="47">
        <f>Water!E3</f>
        <v>359.1</v>
      </c>
      <c r="G2" s="47">
        <f>Water!G3</f>
        <v>191.7</v>
      </c>
      <c r="H2" s="47">
        <f>Water!I3</f>
        <v>3.3479999999999999</v>
      </c>
      <c r="I2" s="47">
        <f>ELECT.!F3</f>
        <v>8893</v>
      </c>
      <c r="J2" s="47">
        <f>ELECT.!H3</f>
        <v>45508</v>
      </c>
      <c r="K2" s="47">
        <f>ELECT.!K3</f>
        <v>4854</v>
      </c>
      <c r="L2" s="47">
        <f>ELECT.!M3</f>
        <v>6261</v>
      </c>
      <c r="M2" s="47">
        <f>ELECT.!O3</f>
        <v>2466</v>
      </c>
      <c r="N2" s="47">
        <f>ELECT.!Q3</f>
        <v>8474</v>
      </c>
      <c r="O2" s="47">
        <f>ELECT.!S3</f>
        <v>9775</v>
      </c>
      <c r="P2" s="47">
        <f>ELECT.!W3*2</f>
        <v>21300</v>
      </c>
      <c r="Q2" s="47">
        <f>ELECT.!D3</f>
        <v>320</v>
      </c>
      <c r="R2" s="48">
        <f>BTU!C3</f>
        <v>4.125</v>
      </c>
      <c r="S2" s="48">
        <f>BTU!F3</f>
        <v>1.2909999999997126</v>
      </c>
      <c r="T2" s="48">
        <f>BTU!I3</f>
        <v>5</v>
      </c>
      <c r="U2" s="48">
        <f>BTU!O3</f>
        <v>1.1720000000000255</v>
      </c>
      <c r="V2" s="48">
        <f>BTU!L3</f>
        <v>0.80999999999949068</v>
      </c>
      <c r="W2" s="48">
        <f>BTU!R3</f>
        <v>0.11499999999978172</v>
      </c>
      <c r="X2" s="45">
        <f>ELECT.!B3</f>
        <v>160</v>
      </c>
      <c r="Y2" s="45">
        <f>I2+J2-(K2+L2+M2+N2+O2+P2)</f>
        <v>1271</v>
      </c>
      <c r="Z2">
        <f>'Mall, Citadel, Rotana'!C3+'Mall, Citadel, Rotana'!E3+'Mall, Citadel, Rotana'!G3+'Mall, Citadel, Rotana'!I3</f>
        <v>1712</v>
      </c>
      <c r="AA2">
        <f>'Mall, Citadel, Rotana'!K3+'Mall, Citadel, Rotana'!M3</f>
        <v>800</v>
      </c>
      <c r="AB2">
        <f>'Mall, Citadel, Rotana'!O3</f>
        <v>163</v>
      </c>
      <c r="AC2">
        <f>'Mall, Citadel, Rotana'!Q3+'Mall, Citadel, Rotana'!S3</f>
        <v>61</v>
      </c>
      <c r="AD2" s="45">
        <f>(E2-H2-194)*0.1318</f>
        <v>71.521533600000012</v>
      </c>
      <c r="AE2" s="45">
        <f>E2-H2-AD2-194</f>
        <v>471.13046640000005</v>
      </c>
    </row>
    <row r="3" spans="1:31" x14ac:dyDescent="0.2">
      <c r="A3" s="58" t="s">
        <v>54</v>
      </c>
      <c r="B3" s="63">
        <f>B2+1</f>
        <v>2</v>
      </c>
      <c r="C3" s="63">
        <v>4</v>
      </c>
      <c r="D3" s="63">
        <v>2021</v>
      </c>
      <c r="E3" s="47">
        <f>Water!C4</f>
        <v>240</v>
      </c>
      <c r="F3" s="47">
        <f>Water!E4</f>
        <v>332.1</v>
      </c>
      <c r="G3" s="47">
        <f>Water!G4</f>
        <v>353.7</v>
      </c>
      <c r="H3" s="47">
        <f>Water!I4</f>
        <v>3.726</v>
      </c>
      <c r="I3" s="47">
        <f>ELECT.!F4</f>
        <v>5807</v>
      </c>
      <c r="J3" s="47">
        <f>ELECT.!H4</f>
        <v>30588</v>
      </c>
      <c r="K3" s="47">
        <f>ELECT.!K4</f>
        <v>3392</v>
      </c>
      <c r="L3" s="47">
        <f>ELECT.!M4</f>
        <v>3820</v>
      </c>
      <c r="M3" s="47">
        <f>ELECT.!O4</f>
        <v>1866</v>
      </c>
      <c r="N3" s="47">
        <f>ELECT.!Q4</f>
        <v>5778</v>
      </c>
      <c r="O3" s="47">
        <f>ELECT.!S4</f>
        <v>6487</v>
      </c>
      <c r="P3" s="47">
        <f>ELECT.!W4*2</f>
        <v>14246</v>
      </c>
      <c r="Q3" s="47">
        <f>ELECT.!D4</f>
        <v>640</v>
      </c>
      <c r="R3" s="48">
        <f>BTU!C4</f>
        <v>4.2249999999985448</v>
      </c>
      <c r="S3" s="48">
        <f>BTU!F4</f>
        <v>1.0289999999999964</v>
      </c>
      <c r="T3" s="48">
        <f>BTU!I4</f>
        <v>5</v>
      </c>
      <c r="U3" s="48">
        <f>BTU!O4</f>
        <v>1.3690000000001419</v>
      </c>
      <c r="V3" s="48">
        <f>BTU!L4</f>
        <v>0.63000000000101863</v>
      </c>
      <c r="W3" s="48">
        <f>BTU!R4</f>
        <v>0.61999999999989086</v>
      </c>
      <c r="X3" s="45">
        <f>ELECT.!B4</f>
        <v>182</v>
      </c>
      <c r="Y3" s="45">
        <f t="shared" ref="Y3:Y31" si="0">I3+J3-(K3+L3+M3+N3+O3+P3)</f>
        <v>806</v>
      </c>
      <c r="Z3">
        <f>'Mall, Citadel, Rotana'!C4+'Mall, Citadel, Rotana'!E4+'Mall, Citadel, Rotana'!G4+'Mall, Citadel, Rotana'!I4</f>
        <v>1539</v>
      </c>
      <c r="AA3">
        <f>'Mall, Citadel, Rotana'!K4+'Mall, Citadel, Rotana'!M4</f>
        <v>480</v>
      </c>
      <c r="AB3">
        <f>'Mall, Citadel, Rotana'!O4</f>
        <v>207</v>
      </c>
      <c r="AC3">
        <f>'Mall, Citadel, Rotana'!Q4+'Mall, Citadel, Rotana'!S4</f>
        <v>20</v>
      </c>
      <c r="AD3" s="45">
        <f t="shared" ref="AD3:AD31" si="1">(E3-H3-194)*0.1318</f>
        <v>5.5717132000000005</v>
      </c>
      <c r="AE3" s="45">
        <f t="shared" ref="AE3:AE31" si="2">E3-H3-AD3-194</f>
        <v>36.702286799999996</v>
      </c>
    </row>
    <row r="4" spans="1:31" x14ac:dyDescent="0.2">
      <c r="A4" s="58" t="s">
        <v>54</v>
      </c>
      <c r="B4" s="63">
        <f t="shared" ref="B4:B31" si="3">B3+1</f>
        <v>3</v>
      </c>
      <c r="C4" s="63">
        <v>4</v>
      </c>
      <c r="D4" s="63">
        <v>2021</v>
      </c>
      <c r="E4" s="47">
        <f>Water!C5</f>
        <v>1240</v>
      </c>
      <c r="F4" s="47">
        <f>Water!E5</f>
        <v>329.4</v>
      </c>
      <c r="G4" s="47">
        <f>Water!G5</f>
        <v>229.5</v>
      </c>
      <c r="H4" s="47">
        <f>Water!I5</f>
        <v>5.0490000000000004</v>
      </c>
      <c r="I4" s="47">
        <f>ELECT.!F5</f>
        <v>8458</v>
      </c>
      <c r="J4" s="47">
        <f>ELECT.!H5</f>
        <v>47825</v>
      </c>
      <c r="K4" s="47">
        <f>ELECT.!K5</f>
        <v>4721</v>
      </c>
      <c r="L4" s="47">
        <f>ELECT.!M5</f>
        <v>5582</v>
      </c>
      <c r="M4" s="47">
        <f>ELECT.!O5</f>
        <v>2690</v>
      </c>
      <c r="N4" s="47">
        <f>ELECT.!Q5</f>
        <v>8747</v>
      </c>
      <c r="O4" s="47">
        <f>ELECT.!S5</f>
        <v>10416</v>
      </c>
      <c r="P4" s="47">
        <f>ELECT.!W5*2</f>
        <v>22936</v>
      </c>
      <c r="Q4" s="47">
        <f>ELECT.!D5</f>
        <v>160</v>
      </c>
      <c r="R4" s="48">
        <f>BTU!C5</f>
        <v>4.8300000000017462</v>
      </c>
      <c r="S4" s="48">
        <f>BTU!F5</f>
        <v>0.55700000000024374</v>
      </c>
      <c r="T4" s="48">
        <f>BTU!I5</f>
        <v>5</v>
      </c>
      <c r="U4" s="48">
        <f>BTU!O5</f>
        <v>1.25</v>
      </c>
      <c r="V4" s="48">
        <f>BTU!L5</f>
        <v>0.21999999999934516</v>
      </c>
      <c r="W4" s="48">
        <f>BTU!R5</f>
        <v>0.98999999999978172</v>
      </c>
      <c r="X4" s="45">
        <f>ELECT.!B5</f>
        <v>183</v>
      </c>
      <c r="Y4" s="45">
        <f t="shared" si="0"/>
        <v>1191</v>
      </c>
      <c r="Z4">
        <f>'Mall, Citadel, Rotana'!C5+'Mall, Citadel, Rotana'!E5+'Mall, Citadel, Rotana'!G5+'Mall, Citadel, Rotana'!I5</f>
        <v>1201</v>
      </c>
      <c r="AA4">
        <f>'Mall, Citadel, Rotana'!K5+'Mall, Citadel, Rotana'!M5</f>
        <v>320</v>
      </c>
      <c r="AB4">
        <f>'Mall, Citadel, Rotana'!O5</f>
        <v>8</v>
      </c>
      <c r="AC4">
        <f>'Mall, Citadel, Rotana'!Q5+'Mall, Citadel, Rotana'!S5</f>
        <v>49</v>
      </c>
      <c r="AD4" s="45">
        <f t="shared" si="1"/>
        <v>137.1973418</v>
      </c>
      <c r="AE4" s="45">
        <f t="shared" si="2"/>
        <v>903.75365820000002</v>
      </c>
    </row>
    <row r="5" spans="1:31" x14ac:dyDescent="0.2">
      <c r="A5" s="58" t="s">
        <v>54</v>
      </c>
      <c r="B5" s="63">
        <f t="shared" si="3"/>
        <v>4</v>
      </c>
      <c r="C5" s="63">
        <v>4</v>
      </c>
      <c r="D5" s="63">
        <v>2021</v>
      </c>
      <c r="E5" s="47">
        <f>Water!C6</f>
        <v>820</v>
      </c>
      <c r="F5" s="47">
        <f>Water!E6</f>
        <v>345.6</v>
      </c>
      <c r="G5" s="47">
        <f>Water!G6</f>
        <v>256.5</v>
      </c>
      <c r="H5" s="47">
        <f>Water!I6</f>
        <v>5.0490000000000004</v>
      </c>
      <c r="I5" s="47">
        <f>ELECT.!F6</f>
        <v>6940</v>
      </c>
      <c r="J5" s="47">
        <f>ELECT.!H6</f>
        <v>38969</v>
      </c>
      <c r="K5" s="47">
        <f>ELECT.!K6</f>
        <v>4001</v>
      </c>
      <c r="L5" s="47">
        <f>ELECT.!M6</f>
        <v>4511</v>
      </c>
      <c r="M5" s="47">
        <f>ELECT.!O6</f>
        <v>2296</v>
      </c>
      <c r="N5" s="47">
        <f>ELECT.!Q6</f>
        <v>7259</v>
      </c>
      <c r="O5" s="47">
        <f>ELECT.!S6</f>
        <v>8558</v>
      </c>
      <c r="P5" s="47">
        <f>ELECT.!W6*2</f>
        <v>18434</v>
      </c>
      <c r="Q5" s="47">
        <f>ELECT.!D6</f>
        <v>480</v>
      </c>
      <c r="R5" s="48">
        <f>BTU!C6</f>
        <v>3.2999999999992724</v>
      </c>
      <c r="S5" s="48">
        <f>BTU!F6</f>
        <v>0.44900000000006912</v>
      </c>
      <c r="T5" s="48">
        <f>BTU!I6</f>
        <v>4</v>
      </c>
      <c r="U5" s="48">
        <f>BTU!O6</f>
        <v>0.86599999999998545</v>
      </c>
      <c r="V5" s="48">
        <f>BTU!L6</f>
        <v>0</v>
      </c>
      <c r="W5" s="48">
        <f>BTU!R6</f>
        <v>0.86000000000058208</v>
      </c>
      <c r="X5" s="45">
        <f>ELECT.!B6</f>
        <v>168</v>
      </c>
      <c r="Y5" s="45">
        <f t="shared" si="0"/>
        <v>850</v>
      </c>
      <c r="Z5">
        <f>'Mall, Citadel, Rotana'!C6+'Mall, Citadel, Rotana'!E6+'Mall, Citadel, Rotana'!G6+'Mall, Citadel, Rotana'!I6</f>
        <v>1359</v>
      </c>
      <c r="AA5">
        <f>'Mall, Citadel, Rotana'!K6+'Mall, Citadel, Rotana'!M6</f>
        <v>480</v>
      </c>
      <c r="AB5">
        <f>'Mall, Citadel, Rotana'!O6</f>
        <v>56</v>
      </c>
      <c r="AC5">
        <f>'Mall, Citadel, Rotana'!Q6+'Mall, Citadel, Rotana'!S6</f>
        <v>80</v>
      </c>
      <c r="AD5" s="45">
        <f t="shared" si="1"/>
        <v>81.841341800000009</v>
      </c>
      <c r="AE5" s="45">
        <f t="shared" si="2"/>
        <v>539.10965820000001</v>
      </c>
    </row>
    <row r="6" spans="1:31" x14ac:dyDescent="0.2">
      <c r="A6" s="58" t="s">
        <v>54</v>
      </c>
      <c r="B6" s="63">
        <f t="shared" si="3"/>
        <v>5</v>
      </c>
      <c r="C6" s="63">
        <v>4</v>
      </c>
      <c r="D6" s="63">
        <v>2021</v>
      </c>
      <c r="E6" s="47">
        <f>Water!C7</f>
        <v>750</v>
      </c>
      <c r="F6" s="47">
        <f>Water!E7</f>
        <v>324</v>
      </c>
      <c r="G6" s="47">
        <f>Water!G7</f>
        <v>259.2</v>
      </c>
      <c r="H6" s="47">
        <f>Water!I7</f>
        <v>4.4279999999999999</v>
      </c>
      <c r="I6" s="47">
        <f>ELECT.!F7</f>
        <v>8713</v>
      </c>
      <c r="J6" s="47">
        <f>ELECT.!H7</f>
        <v>51895</v>
      </c>
      <c r="K6" s="47">
        <f>ELECT.!K7</f>
        <v>5767</v>
      </c>
      <c r="L6" s="47">
        <f>ELECT.!M7</f>
        <v>5757</v>
      </c>
      <c r="M6" s="47">
        <f>ELECT.!O7</f>
        <v>2766</v>
      </c>
      <c r="N6" s="47">
        <f>ELECT.!Q7</f>
        <v>10485</v>
      </c>
      <c r="O6" s="47">
        <f>ELECT.!S7</f>
        <v>10869</v>
      </c>
      <c r="P6" s="47">
        <f>ELECT.!W7*2</f>
        <v>23538</v>
      </c>
      <c r="Q6" s="47">
        <f>ELECT.!D7</f>
        <v>320</v>
      </c>
      <c r="R6" s="48">
        <f>BTU!C7</f>
        <v>4.7180000000007567</v>
      </c>
      <c r="S6" s="48">
        <f>BTU!F7</f>
        <v>1.000999999999749</v>
      </c>
      <c r="T6" s="48">
        <f>BTU!I7</f>
        <v>6</v>
      </c>
      <c r="U6" s="48">
        <f>BTU!O7</f>
        <v>1.2680000000000291</v>
      </c>
      <c r="V6" s="48">
        <f>BTU!L7</f>
        <v>0</v>
      </c>
      <c r="W6" s="48">
        <f>BTU!R7</f>
        <v>0.2999999999992724</v>
      </c>
      <c r="X6" s="45">
        <f>ELECT.!B7</f>
        <v>138</v>
      </c>
      <c r="Y6" s="45">
        <f t="shared" si="0"/>
        <v>1426</v>
      </c>
      <c r="Z6">
        <f>'Mall, Citadel, Rotana'!C7+'Mall, Citadel, Rotana'!E7+'Mall, Citadel, Rotana'!G7+'Mall, Citadel, Rotana'!I7</f>
        <v>1369</v>
      </c>
      <c r="AA6">
        <f>'Mall, Citadel, Rotana'!K7+'Mall, Citadel, Rotana'!M7</f>
        <v>640</v>
      </c>
      <c r="AB6">
        <f>'Mall, Citadel, Rotana'!O7</f>
        <v>114</v>
      </c>
      <c r="AC6">
        <f>'Mall, Citadel, Rotana'!Q7+'Mall, Citadel, Rotana'!S7</f>
        <v>163</v>
      </c>
      <c r="AD6" s="45">
        <f t="shared" si="1"/>
        <v>72.697189600000002</v>
      </c>
      <c r="AE6" s="45">
        <f t="shared" si="2"/>
        <v>478.8748104</v>
      </c>
    </row>
    <row r="7" spans="1:31" x14ac:dyDescent="0.2">
      <c r="A7" s="58" t="s">
        <v>54</v>
      </c>
      <c r="B7" s="63">
        <f t="shared" si="3"/>
        <v>6</v>
      </c>
      <c r="C7" s="63">
        <v>4</v>
      </c>
      <c r="D7" s="63">
        <v>2021</v>
      </c>
      <c r="E7" s="47">
        <f>Water!C8</f>
        <v>1170</v>
      </c>
      <c r="F7" s="47">
        <f>Water!E8</f>
        <v>340.2</v>
      </c>
      <c r="G7" s="47">
        <f>Water!G8</f>
        <v>318.60000000000002</v>
      </c>
      <c r="H7" s="47">
        <f>Water!I8</f>
        <v>3.78</v>
      </c>
      <c r="I7" s="47">
        <f>ELECT.!F8</f>
        <v>6869</v>
      </c>
      <c r="J7" s="47">
        <f>ELECT.!H8</f>
        <v>35406</v>
      </c>
      <c r="K7" s="47">
        <f>ELECT.!K8</f>
        <v>4378</v>
      </c>
      <c r="L7" s="47">
        <f>ELECT.!M8</f>
        <v>4452</v>
      </c>
      <c r="M7" s="47">
        <f>ELECT.!O8</f>
        <v>2302</v>
      </c>
      <c r="N7" s="47">
        <f>ELECT.!Q8</f>
        <v>7666</v>
      </c>
      <c r="O7" s="47">
        <f>ELECT.!S8</f>
        <v>6792</v>
      </c>
      <c r="P7" s="47">
        <f>ELECT.!W8*2</f>
        <v>15928</v>
      </c>
      <c r="Q7" s="47">
        <f>ELECT.!D8</f>
        <v>320</v>
      </c>
      <c r="R7" s="48">
        <f>BTU!C8</f>
        <v>4.4330000000009022</v>
      </c>
      <c r="S7" s="48">
        <f>BTU!F8</f>
        <v>1.4059999999999491</v>
      </c>
      <c r="T7" s="48">
        <f>BTU!I8</f>
        <v>5</v>
      </c>
      <c r="U7" s="48">
        <f>BTU!O8</f>
        <v>1.387000000000171</v>
      </c>
      <c r="V7" s="48">
        <f>BTU!L8</f>
        <v>0</v>
      </c>
      <c r="W7" s="48">
        <f>BTU!R8</f>
        <v>0.4000000000005457</v>
      </c>
      <c r="X7" s="45">
        <f>ELECT.!B8</f>
        <v>146</v>
      </c>
      <c r="Y7" s="45">
        <f t="shared" si="0"/>
        <v>757</v>
      </c>
      <c r="Z7">
        <f>'Mall, Citadel, Rotana'!C8+'Mall, Citadel, Rotana'!E8+'Mall, Citadel, Rotana'!G8+'Mall, Citadel, Rotana'!I8</f>
        <v>1542</v>
      </c>
      <c r="AA7">
        <f>'Mall, Citadel, Rotana'!K8+'Mall, Citadel, Rotana'!M8</f>
        <v>800</v>
      </c>
      <c r="AB7">
        <f>'Mall, Citadel, Rotana'!O8</f>
        <v>140</v>
      </c>
      <c r="AC7">
        <f>'Mall, Citadel, Rotana'!Q8+'Mall, Citadel, Rotana'!S8</f>
        <v>128</v>
      </c>
      <c r="AD7" s="45">
        <f t="shared" si="1"/>
        <v>128.13859600000001</v>
      </c>
      <c r="AE7" s="45">
        <f t="shared" si="2"/>
        <v>844.08140400000002</v>
      </c>
    </row>
    <row r="8" spans="1:31" x14ac:dyDescent="0.2">
      <c r="A8" s="58" t="s">
        <v>54</v>
      </c>
      <c r="B8" s="63">
        <f t="shared" si="3"/>
        <v>7</v>
      </c>
      <c r="C8" s="63">
        <v>4</v>
      </c>
      <c r="D8" s="63">
        <v>2021</v>
      </c>
      <c r="E8" s="47">
        <f>Water!C9</f>
        <v>560</v>
      </c>
      <c r="F8" s="47">
        <f>Water!E9</f>
        <v>337.5</v>
      </c>
      <c r="G8" s="47">
        <f>Water!G9</f>
        <v>297</v>
      </c>
      <c r="H8" s="47">
        <f>Water!I9</f>
        <v>3.4020000000000001</v>
      </c>
      <c r="I8" s="47">
        <f>ELECT.!F9</f>
        <v>9751</v>
      </c>
      <c r="J8" s="47">
        <f>ELECT.!H9</f>
        <v>50539</v>
      </c>
      <c r="K8" s="47">
        <f>ELECT.!K9</f>
        <v>6262</v>
      </c>
      <c r="L8" s="47">
        <f>ELECT.!M9</f>
        <v>6262</v>
      </c>
      <c r="M8" s="47">
        <f>ELECT.!O9</f>
        <v>4070</v>
      </c>
      <c r="N8" s="47">
        <f>ELECT.!Q9</f>
        <v>11031</v>
      </c>
      <c r="O8" s="47">
        <f>ELECT.!S9</f>
        <v>9398</v>
      </c>
      <c r="P8" s="47">
        <f>ELECT.!W9*2</f>
        <v>22800</v>
      </c>
      <c r="Q8" s="47">
        <f>ELECT.!D9</f>
        <v>480</v>
      </c>
      <c r="R8" s="48">
        <f>BTU!C9</f>
        <v>5.3629999999975553</v>
      </c>
      <c r="S8" s="48">
        <f>BTU!F9</f>
        <v>1.5480000000002292</v>
      </c>
      <c r="T8" s="48">
        <f>BTU!I9</f>
        <v>5</v>
      </c>
      <c r="U8" s="48">
        <f>BTU!O9</f>
        <v>1.418999999999869</v>
      </c>
      <c r="V8" s="48">
        <f>BTU!L9</f>
        <v>0.81999999999970896</v>
      </c>
      <c r="W8" s="48">
        <f>BTU!R9</f>
        <v>0.3499999999994543</v>
      </c>
      <c r="X8" s="45">
        <f>ELECT.!B9</f>
        <v>154</v>
      </c>
      <c r="Y8" s="45">
        <f t="shared" si="0"/>
        <v>467</v>
      </c>
      <c r="Z8">
        <f>'Mall, Citadel, Rotana'!C9+'Mall, Citadel, Rotana'!E9+'Mall, Citadel, Rotana'!G9+'Mall, Citadel, Rotana'!I9</f>
        <v>1221</v>
      </c>
      <c r="AA8">
        <f>'Mall, Citadel, Rotana'!K9+'Mall, Citadel, Rotana'!M9</f>
        <v>480</v>
      </c>
      <c r="AB8">
        <f>'Mall, Citadel, Rotana'!O9</f>
        <v>115</v>
      </c>
      <c r="AC8">
        <f>'Mall, Citadel, Rotana'!Q9+'Mall, Citadel, Rotana'!S9</f>
        <v>130</v>
      </c>
      <c r="AD8" s="45">
        <f t="shared" si="1"/>
        <v>47.790416399999991</v>
      </c>
      <c r="AE8" s="45">
        <f t="shared" si="2"/>
        <v>314.80758359999999</v>
      </c>
    </row>
    <row r="9" spans="1:31" x14ac:dyDescent="0.2">
      <c r="A9" s="58" t="s">
        <v>54</v>
      </c>
      <c r="B9" s="63">
        <f t="shared" si="3"/>
        <v>8</v>
      </c>
      <c r="C9" s="63">
        <v>4</v>
      </c>
      <c r="D9" s="63">
        <v>2021</v>
      </c>
      <c r="E9" s="47">
        <f>Water!C10</f>
        <v>500</v>
      </c>
      <c r="F9" s="47">
        <f>Water!E10</f>
        <v>375.3</v>
      </c>
      <c r="G9" s="47">
        <f>Water!G10</f>
        <v>375.3</v>
      </c>
      <c r="H9" s="47">
        <f>Water!I10</f>
        <v>4.05</v>
      </c>
      <c r="I9" s="47">
        <f>ELECT.!F10</f>
        <v>8764</v>
      </c>
      <c r="J9" s="47">
        <f>ELECT.!H10</f>
        <v>46300</v>
      </c>
      <c r="K9" s="47">
        <f>ELECT.!K10</f>
        <v>6002</v>
      </c>
      <c r="L9" s="47">
        <f>ELECT.!M10</f>
        <v>4933</v>
      </c>
      <c r="M9" s="47">
        <f>ELECT.!O10</f>
        <v>2946</v>
      </c>
      <c r="N9" s="47">
        <f>ELECT.!Q10</f>
        <v>9787</v>
      </c>
      <c r="O9" s="47">
        <f>ELECT.!S10</f>
        <v>9006</v>
      </c>
      <c r="P9" s="47">
        <f>ELECT.!W10*2</f>
        <v>20526</v>
      </c>
      <c r="Q9" s="47">
        <f>ELECT.!D10</f>
        <v>480</v>
      </c>
      <c r="R9" s="48">
        <f>BTU!C10</f>
        <v>6.3559999999997672</v>
      </c>
      <c r="S9" s="48">
        <f>BTU!F10</f>
        <v>1.7309999999997672</v>
      </c>
      <c r="T9" s="48">
        <f>BTU!I10</f>
        <v>6</v>
      </c>
      <c r="U9" s="48">
        <f>BTU!O10</f>
        <v>1.5409999999997126</v>
      </c>
      <c r="V9" s="48">
        <f>BTU!L10</f>
        <v>1.6300000000010186</v>
      </c>
      <c r="W9" s="48">
        <f>BTU!R10</f>
        <v>1.5300000000006548</v>
      </c>
      <c r="X9" s="45">
        <f>ELECT.!B10</f>
        <v>148</v>
      </c>
      <c r="Y9" s="45">
        <f t="shared" si="0"/>
        <v>1864</v>
      </c>
      <c r="Z9">
        <f>'Mall, Citadel, Rotana'!C10+'Mall, Citadel, Rotana'!E10+'Mall, Citadel, Rotana'!G10+'Mall, Citadel, Rotana'!I10</f>
        <v>1408</v>
      </c>
      <c r="AA9">
        <f>'Mall, Citadel, Rotana'!K10+'Mall, Citadel, Rotana'!M10</f>
        <v>640</v>
      </c>
      <c r="AB9">
        <f>'Mall, Citadel, Rotana'!O10</f>
        <v>115</v>
      </c>
      <c r="AC9">
        <f>'Mall, Citadel, Rotana'!Q10+'Mall, Citadel, Rotana'!S10</f>
        <v>150</v>
      </c>
      <c r="AD9" s="45">
        <f t="shared" si="1"/>
        <v>39.79701</v>
      </c>
      <c r="AE9" s="45">
        <f t="shared" si="2"/>
        <v>262.15298999999999</v>
      </c>
    </row>
    <row r="10" spans="1:31" x14ac:dyDescent="0.2">
      <c r="A10" s="58" t="s">
        <v>54</v>
      </c>
      <c r="B10" s="63">
        <f t="shared" si="3"/>
        <v>9</v>
      </c>
      <c r="C10" s="63">
        <v>4</v>
      </c>
      <c r="D10" s="63">
        <v>2021</v>
      </c>
      <c r="E10" s="47">
        <f>Water!C11</f>
        <v>550</v>
      </c>
      <c r="F10" s="47">
        <f>Water!E11</f>
        <v>321.3</v>
      </c>
      <c r="G10" s="47">
        <f>Water!G11</f>
        <v>356.4</v>
      </c>
      <c r="H10" s="47">
        <f>Water!I11</f>
        <v>4.59</v>
      </c>
      <c r="I10" s="47">
        <f>ELECT.!F11</f>
        <v>7221</v>
      </c>
      <c r="J10" s="47">
        <f>ELECT.!H11</f>
        <v>44359</v>
      </c>
      <c r="K10" s="47">
        <f>ELECT.!K11</f>
        <v>5428</v>
      </c>
      <c r="L10" s="47">
        <f>ELECT.!M11</f>
        <v>4453</v>
      </c>
      <c r="M10" s="47">
        <f>ELECT.!O11</f>
        <v>2628</v>
      </c>
      <c r="N10" s="47">
        <f>ELECT.!Q11</f>
        <v>9136</v>
      </c>
      <c r="O10" s="47">
        <f>ELECT.!S11</f>
        <v>8657</v>
      </c>
      <c r="P10" s="47">
        <f>ELECT.!W11*2</f>
        <v>20306</v>
      </c>
      <c r="Q10" s="47">
        <f>ELECT.!D11</f>
        <v>640</v>
      </c>
      <c r="R10" s="48">
        <f>BTU!C11</f>
        <v>6.5750000000007276</v>
      </c>
      <c r="S10" s="48">
        <f>BTU!F11</f>
        <v>1.8120000000003529</v>
      </c>
      <c r="T10" s="48">
        <f>BTU!I11</f>
        <v>7</v>
      </c>
      <c r="U10" s="48">
        <f>BTU!O11</f>
        <v>1.9600000000000364</v>
      </c>
      <c r="V10" s="48">
        <f>BTU!L11</f>
        <v>1.680000000000291</v>
      </c>
      <c r="W10" s="48">
        <f>BTU!R11</f>
        <v>1.0670000000000073</v>
      </c>
      <c r="X10" s="45">
        <f>ELECT.!B11</f>
        <v>144</v>
      </c>
      <c r="Y10" s="45">
        <f t="shared" si="0"/>
        <v>972</v>
      </c>
      <c r="Z10">
        <f>'Mall, Citadel, Rotana'!C11+'Mall, Citadel, Rotana'!E11+'Mall, Citadel, Rotana'!G11+'Mall, Citadel, Rotana'!I11</f>
        <v>1419</v>
      </c>
      <c r="AA10">
        <f>'Mall, Citadel, Rotana'!K11+'Mall, Citadel, Rotana'!M11</f>
        <v>640</v>
      </c>
      <c r="AB10">
        <f>'Mall, Citadel, Rotana'!O11</f>
        <v>127</v>
      </c>
      <c r="AC10">
        <f>'Mall, Citadel, Rotana'!Q11+'Mall, Citadel, Rotana'!S11</f>
        <v>180</v>
      </c>
      <c r="AD10" s="45">
        <f t="shared" si="1"/>
        <v>46.315837999999999</v>
      </c>
      <c r="AE10" s="45">
        <f t="shared" si="2"/>
        <v>305.09416199999998</v>
      </c>
    </row>
    <row r="11" spans="1:31" x14ac:dyDescent="0.2">
      <c r="A11" s="58" t="s">
        <v>54</v>
      </c>
      <c r="B11" s="63">
        <f t="shared" si="3"/>
        <v>10</v>
      </c>
      <c r="C11" s="63">
        <v>4</v>
      </c>
      <c r="D11" s="63">
        <v>2021</v>
      </c>
      <c r="E11" s="47">
        <f>Water!C12</f>
        <v>1660</v>
      </c>
      <c r="F11" s="47">
        <f>Water!E12</f>
        <v>369.9</v>
      </c>
      <c r="G11" s="47">
        <f>Water!G12</f>
        <v>194.4</v>
      </c>
      <c r="H11" s="47">
        <f>Water!I12</f>
        <v>2.5379999999999998</v>
      </c>
      <c r="I11" s="47">
        <f>ELECT.!F12</f>
        <v>10215</v>
      </c>
      <c r="J11" s="47">
        <f>ELECT.!H12</f>
        <v>60635</v>
      </c>
      <c r="K11" s="47">
        <f>ELECT.!K12</f>
        <v>6841</v>
      </c>
      <c r="L11" s="47">
        <f>ELECT.!M12</f>
        <v>6803</v>
      </c>
      <c r="M11" s="47">
        <f>ELECT.!O12</f>
        <v>3216</v>
      </c>
      <c r="N11" s="47">
        <f>ELECT.!Q12</f>
        <v>11893</v>
      </c>
      <c r="O11" s="47">
        <f>ELECT.!S12</f>
        <v>12357</v>
      </c>
      <c r="P11" s="47">
        <f>ELECT.!W12*2</f>
        <v>28210</v>
      </c>
      <c r="Q11" s="47">
        <f>ELECT.!D12</f>
        <v>320</v>
      </c>
      <c r="R11" s="48">
        <f>BTU!C12</f>
        <v>5.5180000000000291</v>
      </c>
      <c r="S11" s="48">
        <f>BTU!F12</f>
        <v>0.91399999999975989</v>
      </c>
      <c r="T11" s="48">
        <f>BTU!I12</f>
        <v>5</v>
      </c>
      <c r="U11" s="48">
        <f>BTU!O12</f>
        <v>1.5530000000003383</v>
      </c>
      <c r="V11" s="48">
        <f>BTU!L12</f>
        <v>1.1999999999989086</v>
      </c>
      <c r="W11" s="48">
        <f>BTU!R12</f>
        <v>1.0429999999996653</v>
      </c>
      <c r="X11" s="45">
        <f>ELECT.!B12</f>
        <v>141</v>
      </c>
      <c r="Y11" s="45">
        <f t="shared" si="0"/>
        <v>1530</v>
      </c>
      <c r="Z11">
        <f>'Mall, Citadel, Rotana'!C12+'Mall, Citadel, Rotana'!E12+'Mall, Citadel, Rotana'!G12+'Mall, Citadel, Rotana'!I12</f>
        <v>1392</v>
      </c>
      <c r="AA11">
        <f>'Mall, Citadel, Rotana'!K12+'Mall, Citadel, Rotana'!M12</f>
        <v>480</v>
      </c>
      <c r="AB11">
        <f>'Mall, Citadel, Rotana'!O12</f>
        <v>82</v>
      </c>
      <c r="AC11">
        <f>'Mall, Citadel, Rotana'!Q12+'Mall, Citadel, Rotana'!S12</f>
        <v>169</v>
      </c>
      <c r="AD11" s="45">
        <f t="shared" si="1"/>
        <v>192.88429160000001</v>
      </c>
      <c r="AE11" s="45">
        <f t="shared" si="2"/>
        <v>1270.5777083999999</v>
      </c>
    </row>
    <row r="12" spans="1:31" x14ac:dyDescent="0.2">
      <c r="A12" s="58" t="s">
        <v>54</v>
      </c>
      <c r="B12" s="63">
        <f t="shared" si="3"/>
        <v>11</v>
      </c>
      <c r="C12" s="63">
        <v>4</v>
      </c>
      <c r="D12" s="63">
        <v>2021</v>
      </c>
      <c r="E12" s="47">
        <f>Water!C13</f>
        <v>0</v>
      </c>
      <c r="F12" s="47">
        <f>Water!E13</f>
        <v>0</v>
      </c>
      <c r="G12" s="47">
        <f>Water!G13</f>
        <v>0</v>
      </c>
      <c r="H12" s="47">
        <f>Water!I13</f>
        <v>0</v>
      </c>
      <c r="I12" s="47">
        <f>ELECT.!F13</f>
        <v>0</v>
      </c>
      <c r="J12" s="47">
        <f>ELECT.!H13</f>
        <v>0</v>
      </c>
      <c r="K12" s="47">
        <f>ELECT.!K13</f>
        <v>0</v>
      </c>
      <c r="L12" s="47">
        <f>ELECT.!M13</f>
        <v>0</v>
      </c>
      <c r="M12" s="47">
        <f>ELECT.!O13</f>
        <v>0</v>
      </c>
      <c r="N12" s="47">
        <f>ELECT.!Q13</f>
        <v>0</v>
      </c>
      <c r="O12" s="47">
        <f>ELECT.!S13</f>
        <v>0</v>
      </c>
      <c r="P12" s="47">
        <f>ELECT.!W13*2</f>
        <v>0</v>
      </c>
      <c r="Q12" s="47">
        <f>ELECT.!D13</f>
        <v>0</v>
      </c>
      <c r="R12" s="48">
        <f>BTU!C13</f>
        <v>0</v>
      </c>
      <c r="S12" s="48">
        <f>BTU!F13</f>
        <v>0</v>
      </c>
      <c r="T12" s="48">
        <f>BTU!I13</f>
        <v>0</v>
      </c>
      <c r="U12" s="48">
        <f>BTU!O13</f>
        <v>0</v>
      </c>
      <c r="V12" s="48">
        <f>BTU!L13</f>
        <v>0</v>
      </c>
      <c r="W12" s="48" t="str">
        <f>BTU!R13</f>
        <v>0</v>
      </c>
      <c r="X12" s="45">
        <f>ELECT.!B13</f>
        <v>0</v>
      </c>
      <c r="Y12" s="45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45">
        <f t="shared" si="1"/>
        <v>-25.569199999999999</v>
      </c>
      <c r="AE12" s="45">
        <f t="shared" si="2"/>
        <v>-168.4308</v>
      </c>
    </row>
    <row r="13" spans="1:31" x14ac:dyDescent="0.2">
      <c r="A13" s="58" t="s">
        <v>54</v>
      </c>
      <c r="B13" s="63">
        <f t="shared" si="3"/>
        <v>12</v>
      </c>
      <c r="C13" s="63">
        <v>4</v>
      </c>
      <c r="D13" s="63">
        <v>2021</v>
      </c>
      <c r="E13" s="47">
        <f>Water!C14</f>
        <v>0</v>
      </c>
      <c r="F13" s="47">
        <f>Water!E14</f>
        <v>0</v>
      </c>
      <c r="G13" s="47">
        <f>Water!G14</f>
        <v>0</v>
      </c>
      <c r="H13" s="47">
        <f>Water!I14</f>
        <v>0</v>
      </c>
      <c r="I13" s="47">
        <f>ELECT.!F14</f>
        <v>0</v>
      </c>
      <c r="J13" s="47">
        <f>ELECT.!H14</f>
        <v>0</v>
      </c>
      <c r="K13" s="47">
        <f>ELECT.!K14</f>
        <v>0</v>
      </c>
      <c r="L13" s="47">
        <f>ELECT.!M14</f>
        <v>0</v>
      </c>
      <c r="M13" s="47">
        <f>ELECT.!O14</f>
        <v>0</v>
      </c>
      <c r="N13" s="47">
        <f>ELECT.!Q14</f>
        <v>0</v>
      </c>
      <c r="O13" s="47">
        <f>ELECT.!S14</f>
        <v>0</v>
      </c>
      <c r="P13" s="47">
        <f>ELECT.!W14*2</f>
        <v>0</v>
      </c>
      <c r="Q13" s="47">
        <f>ELECT.!D14</f>
        <v>0</v>
      </c>
      <c r="R13" s="48">
        <f>BTU!C14</f>
        <v>0</v>
      </c>
      <c r="S13" s="48">
        <f>BTU!F14</f>
        <v>0</v>
      </c>
      <c r="T13" s="48">
        <f>BTU!I14</f>
        <v>0</v>
      </c>
      <c r="U13" s="48">
        <f>BTU!O14</f>
        <v>0</v>
      </c>
      <c r="V13" s="48">
        <f>BTU!L14</f>
        <v>0</v>
      </c>
      <c r="W13" s="48">
        <f>BTU!R14</f>
        <v>0</v>
      </c>
      <c r="X13" s="45">
        <f>ELECT.!B14</f>
        <v>0</v>
      </c>
      <c r="Y13" s="45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5">
        <f t="shared" si="1"/>
        <v>-25.569199999999999</v>
      </c>
      <c r="AE13" s="45">
        <f t="shared" si="2"/>
        <v>-168.4308</v>
      </c>
    </row>
    <row r="14" spans="1:31" x14ac:dyDescent="0.2">
      <c r="A14" s="58" t="s">
        <v>54</v>
      </c>
      <c r="B14" s="63">
        <f t="shared" si="3"/>
        <v>13</v>
      </c>
      <c r="C14" s="63">
        <v>4</v>
      </c>
      <c r="D14" s="63">
        <v>2021</v>
      </c>
      <c r="E14" s="47">
        <f>Water!C15</f>
        <v>0</v>
      </c>
      <c r="F14" s="47">
        <f>Water!E15</f>
        <v>0</v>
      </c>
      <c r="G14" s="47">
        <f>Water!G15</f>
        <v>0</v>
      </c>
      <c r="H14" s="47">
        <f>Water!I15</f>
        <v>0</v>
      </c>
      <c r="I14" s="47">
        <f>ELECT.!F15</f>
        <v>0</v>
      </c>
      <c r="J14" s="47">
        <f>ELECT.!H15</f>
        <v>0</v>
      </c>
      <c r="K14" s="47">
        <f>ELECT.!K15</f>
        <v>0</v>
      </c>
      <c r="L14" s="47">
        <f>ELECT.!M15</f>
        <v>0</v>
      </c>
      <c r="M14" s="47">
        <f>ELECT.!O15</f>
        <v>0</v>
      </c>
      <c r="N14" s="47">
        <f>ELECT.!Q15</f>
        <v>0</v>
      </c>
      <c r="O14" s="47">
        <f>ELECT.!S15</f>
        <v>0</v>
      </c>
      <c r="P14" s="47">
        <f>ELECT.!W15*2</f>
        <v>0</v>
      </c>
      <c r="Q14" s="47">
        <f>ELECT.!D15</f>
        <v>0</v>
      </c>
      <c r="R14" s="48">
        <f>BTU!C15</f>
        <v>0</v>
      </c>
      <c r="S14" s="48">
        <f>BTU!F15</f>
        <v>0</v>
      </c>
      <c r="T14" s="48">
        <f>BTU!I15</f>
        <v>0</v>
      </c>
      <c r="U14" s="48">
        <f>BTU!O15</f>
        <v>0</v>
      </c>
      <c r="V14" s="48">
        <f>BTU!L15</f>
        <v>0</v>
      </c>
      <c r="W14" s="48">
        <f>BTU!R15</f>
        <v>0</v>
      </c>
      <c r="X14" s="45">
        <f>ELECT.!B15</f>
        <v>0</v>
      </c>
      <c r="Y14" s="45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5">
        <f t="shared" si="1"/>
        <v>-25.569199999999999</v>
      </c>
      <c r="AE14" s="45">
        <f t="shared" si="2"/>
        <v>-168.4308</v>
      </c>
    </row>
    <row r="15" spans="1:31" x14ac:dyDescent="0.2">
      <c r="A15" s="58" t="s">
        <v>54</v>
      </c>
      <c r="B15" s="63">
        <f t="shared" si="3"/>
        <v>14</v>
      </c>
      <c r="C15" s="63">
        <v>4</v>
      </c>
      <c r="D15" s="63">
        <v>2021</v>
      </c>
      <c r="E15" s="47">
        <f>Water!C16</f>
        <v>0</v>
      </c>
      <c r="F15" s="47">
        <f>Water!E16</f>
        <v>0</v>
      </c>
      <c r="G15" s="47">
        <f>Water!G16</f>
        <v>0</v>
      </c>
      <c r="H15" s="47">
        <f>Water!I16</f>
        <v>0</v>
      </c>
      <c r="I15" s="47">
        <f>ELECT.!F16</f>
        <v>0</v>
      </c>
      <c r="J15" s="47">
        <f>ELECT.!H16</f>
        <v>0</v>
      </c>
      <c r="K15" s="47">
        <f>ELECT.!K16</f>
        <v>0</v>
      </c>
      <c r="L15" s="47">
        <f>ELECT.!M16</f>
        <v>0</v>
      </c>
      <c r="M15" s="47">
        <f>ELECT.!O16</f>
        <v>0</v>
      </c>
      <c r="N15" s="47">
        <f>ELECT.!Q16</f>
        <v>0</v>
      </c>
      <c r="O15" s="47">
        <f>ELECT.!S16</f>
        <v>0</v>
      </c>
      <c r="P15" s="47">
        <f>ELECT.!W16*2</f>
        <v>0</v>
      </c>
      <c r="Q15" s="47">
        <f>ELECT.!D16</f>
        <v>0</v>
      </c>
      <c r="R15" s="48">
        <f>BTU!C16</f>
        <v>0</v>
      </c>
      <c r="S15" s="48">
        <f>BTU!F16</f>
        <v>0</v>
      </c>
      <c r="T15" s="48">
        <f>BTU!I16</f>
        <v>0</v>
      </c>
      <c r="U15" s="48">
        <f>BTU!O16</f>
        <v>0</v>
      </c>
      <c r="V15" s="48">
        <f>BTU!L16</f>
        <v>0</v>
      </c>
      <c r="W15" s="48">
        <f>BTU!R16</f>
        <v>0</v>
      </c>
      <c r="X15" s="45">
        <f>ELECT.!B16</f>
        <v>0</v>
      </c>
      <c r="Y15" s="4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5">
        <f t="shared" si="1"/>
        <v>-25.569199999999999</v>
      </c>
      <c r="AE15" s="45">
        <f t="shared" si="2"/>
        <v>-168.4308</v>
      </c>
    </row>
    <row r="16" spans="1:31" x14ac:dyDescent="0.2">
      <c r="A16" s="58" t="s">
        <v>54</v>
      </c>
      <c r="B16" s="63">
        <f t="shared" si="3"/>
        <v>15</v>
      </c>
      <c r="C16" s="63">
        <v>4</v>
      </c>
      <c r="D16" s="63">
        <v>2021</v>
      </c>
      <c r="E16" s="47">
        <f>Water!C17</f>
        <v>0</v>
      </c>
      <c r="F16" s="47">
        <f>Water!E17</f>
        <v>0</v>
      </c>
      <c r="G16" s="47">
        <f>Water!G17</f>
        <v>0</v>
      </c>
      <c r="H16" s="47">
        <f>Water!I17</f>
        <v>0</v>
      </c>
      <c r="I16" s="47">
        <f>ELECT.!F17</f>
        <v>0</v>
      </c>
      <c r="J16" s="47">
        <f>ELECT.!H17</f>
        <v>0</v>
      </c>
      <c r="K16" s="47">
        <f>ELECT.!K17</f>
        <v>0</v>
      </c>
      <c r="L16" s="47">
        <f>ELECT.!M17</f>
        <v>0</v>
      </c>
      <c r="M16" s="47">
        <f>ELECT.!O17</f>
        <v>0</v>
      </c>
      <c r="N16" s="47">
        <f>ELECT.!Q17</f>
        <v>0</v>
      </c>
      <c r="O16" s="47">
        <f>ELECT.!S17</f>
        <v>0</v>
      </c>
      <c r="P16" s="47">
        <f>ELECT.!W17*2</f>
        <v>0</v>
      </c>
      <c r="Q16" s="47">
        <f>ELECT.!D17</f>
        <v>0</v>
      </c>
      <c r="R16" s="48">
        <f>BTU!C17</f>
        <v>0</v>
      </c>
      <c r="S16" s="48">
        <f>BTU!F17</f>
        <v>0</v>
      </c>
      <c r="T16" s="48">
        <f>BTU!I17</f>
        <v>0</v>
      </c>
      <c r="U16" s="48">
        <f>BTU!O17</f>
        <v>0</v>
      </c>
      <c r="V16" s="48">
        <f>BTU!L17</f>
        <v>0</v>
      </c>
      <c r="W16" s="48">
        <f>BTU!R17</f>
        <v>0</v>
      </c>
      <c r="X16" s="45">
        <f>ELECT.!B17</f>
        <v>0</v>
      </c>
      <c r="Y16" s="4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5">
        <f t="shared" si="1"/>
        <v>-25.569199999999999</v>
      </c>
      <c r="AE16" s="45">
        <f t="shared" si="2"/>
        <v>-168.4308</v>
      </c>
    </row>
    <row r="17" spans="1:31" x14ac:dyDescent="0.2">
      <c r="A17" s="58" t="s">
        <v>54</v>
      </c>
      <c r="B17" s="63">
        <f t="shared" si="3"/>
        <v>16</v>
      </c>
      <c r="C17" s="63">
        <v>4</v>
      </c>
      <c r="D17" s="63">
        <v>2021</v>
      </c>
      <c r="E17" s="47">
        <f>Water!C18</f>
        <v>0</v>
      </c>
      <c r="F17" s="47">
        <f>Water!E18</f>
        <v>0</v>
      </c>
      <c r="G17" s="47">
        <f>Water!G18</f>
        <v>0</v>
      </c>
      <c r="H17" s="47">
        <f>Water!I18</f>
        <v>0</v>
      </c>
      <c r="I17" s="47">
        <f>ELECT.!F18</f>
        <v>0</v>
      </c>
      <c r="J17" s="47">
        <f>ELECT.!H18</f>
        <v>0</v>
      </c>
      <c r="K17" s="47">
        <f>ELECT.!K18</f>
        <v>0</v>
      </c>
      <c r="L17" s="47">
        <f>ELECT.!M18</f>
        <v>0</v>
      </c>
      <c r="M17" s="47">
        <f>ELECT.!O18</f>
        <v>0</v>
      </c>
      <c r="N17" s="47">
        <f>ELECT.!Q18</f>
        <v>0</v>
      </c>
      <c r="O17" s="47">
        <f>ELECT.!S18</f>
        <v>0</v>
      </c>
      <c r="P17" s="47">
        <f>ELECT.!W18*2</f>
        <v>0</v>
      </c>
      <c r="Q17" s="47">
        <f>ELECT.!D18</f>
        <v>0</v>
      </c>
      <c r="R17" s="48">
        <f>BTU!C18</f>
        <v>0</v>
      </c>
      <c r="S17" s="48">
        <f>BTU!F18</f>
        <v>0</v>
      </c>
      <c r="T17" s="48">
        <f>BTU!I18</f>
        <v>0</v>
      </c>
      <c r="U17" s="48">
        <f>BTU!O18</f>
        <v>0</v>
      </c>
      <c r="V17" s="48">
        <f>BTU!L18</f>
        <v>0</v>
      </c>
      <c r="W17" s="48">
        <f>BTU!R18</f>
        <v>0</v>
      </c>
      <c r="X17" s="45">
        <f>ELECT.!B18</f>
        <v>0</v>
      </c>
      <c r="Y17" s="4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5">
        <f t="shared" si="1"/>
        <v>-25.569199999999999</v>
      </c>
      <c r="AE17" s="45">
        <f t="shared" si="2"/>
        <v>-168.4308</v>
      </c>
    </row>
    <row r="18" spans="1:31" x14ac:dyDescent="0.2">
      <c r="A18" s="58" t="s">
        <v>54</v>
      </c>
      <c r="B18" s="63">
        <f t="shared" si="3"/>
        <v>17</v>
      </c>
      <c r="C18" s="63">
        <v>4</v>
      </c>
      <c r="D18" s="63">
        <v>2021</v>
      </c>
      <c r="E18" s="47">
        <f>Water!C19</f>
        <v>0</v>
      </c>
      <c r="F18" s="47">
        <f>Water!E19</f>
        <v>0</v>
      </c>
      <c r="G18" s="47">
        <f>Water!G19</f>
        <v>0</v>
      </c>
      <c r="H18" s="47">
        <f>Water!I19</f>
        <v>0</v>
      </c>
      <c r="I18" s="47">
        <f>ELECT.!F19</f>
        <v>0</v>
      </c>
      <c r="J18" s="47">
        <f>ELECT.!H19</f>
        <v>0</v>
      </c>
      <c r="K18" s="47">
        <f>ELECT.!K19</f>
        <v>0</v>
      </c>
      <c r="L18" s="47">
        <f>ELECT.!M19</f>
        <v>0</v>
      </c>
      <c r="M18" s="47">
        <f>ELECT.!O19</f>
        <v>0</v>
      </c>
      <c r="N18" s="47">
        <f>ELECT.!Q19</f>
        <v>0</v>
      </c>
      <c r="O18" s="47">
        <f>ELECT.!S19</f>
        <v>0</v>
      </c>
      <c r="P18" s="47">
        <f>ELECT.!W19*2</f>
        <v>0</v>
      </c>
      <c r="Q18" s="47">
        <f>ELECT.!D19</f>
        <v>0</v>
      </c>
      <c r="R18" s="48">
        <f>BTU!C19</f>
        <v>0</v>
      </c>
      <c r="S18" s="48">
        <f>BTU!F19</f>
        <v>0</v>
      </c>
      <c r="T18" s="48">
        <f>BTU!I19</f>
        <v>0</v>
      </c>
      <c r="U18" s="48">
        <f>BTU!O19</f>
        <v>0</v>
      </c>
      <c r="V18" s="48">
        <f>BTU!L19</f>
        <v>0</v>
      </c>
      <c r="W18" s="48">
        <f>BTU!R19</f>
        <v>0</v>
      </c>
      <c r="X18" s="45">
        <f>ELECT.!B19</f>
        <v>0</v>
      </c>
      <c r="Y18" s="4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5">
        <f t="shared" si="1"/>
        <v>-25.569199999999999</v>
      </c>
      <c r="AE18" s="45">
        <f t="shared" si="2"/>
        <v>-168.4308</v>
      </c>
    </row>
    <row r="19" spans="1:31" x14ac:dyDescent="0.2">
      <c r="A19" s="58" t="s">
        <v>54</v>
      </c>
      <c r="B19" s="63">
        <f t="shared" si="3"/>
        <v>18</v>
      </c>
      <c r="C19" s="63">
        <v>4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0</v>
      </c>
      <c r="J19" s="47">
        <f>ELECT.!H20</f>
        <v>0</v>
      </c>
      <c r="K19" s="47">
        <f>ELECT.!K20</f>
        <v>0</v>
      </c>
      <c r="L19" s="47">
        <f>ELECT.!M20</f>
        <v>0</v>
      </c>
      <c r="M19" s="47">
        <f>ELECT.!O20</f>
        <v>0</v>
      </c>
      <c r="N19" s="47">
        <f>ELECT.!Q20</f>
        <v>0</v>
      </c>
      <c r="O19" s="47">
        <f>ELECT.!S20</f>
        <v>0</v>
      </c>
      <c r="P19" s="47">
        <f>ELECT.!W20*2</f>
        <v>0</v>
      </c>
      <c r="Q19" s="47">
        <f>ELECT.!D20</f>
        <v>0</v>
      </c>
      <c r="R19" s="48">
        <f>BTU!C20</f>
        <v>0</v>
      </c>
      <c r="S19" s="48">
        <f>BTU!F20</f>
        <v>0</v>
      </c>
      <c r="T19" s="48">
        <f>BTU!I20</f>
        <v>0</v>
      </c>
      <c r="U19" s="48">
        <f>BTU!O20</f>
        <v>0</v>
      </c>
      <c r="V19" s="48">
        <f>BTU!L20</f>
        <v>0</v>
      </c>
      <c r="W19" s="48">
        <f>BTU!R20</f>
        <v>0</v>
      </c>
      <c r="X19" s="45">
        <f>ELECT.!B20</f>
        <v>0</v>
      </c>
      <c r="Y19" s="4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54</v>
      </c>
      <c r="B20" s="63">
        <f t="shared" si="3"/>
        <v>19</v>
      </c>
      <c r="C20" s="63">
        <v>4</v>
      </c>
      <c r="D20" s="63">
        <v>2021</v>
      </c>
      <c r="E20" s="47">
        <f>Water!C21</f>
        <v>0</v>
      </c>
      <c r="F20" s="47">
        <f>Water!E21</f>
        <v>0</v>
      </c>
      <c r="G20" s="47">
        <f>Water!G21</f>
        <v>0</v>
      </c>
      <c r="H20" s="47">
        <f>Water!I21</f>
        <v>0</v>
      </c>
      <c r="I20" s="47">
        <f>ELECT.!F21</f>
        <v>0</v>
      </c>
      <c r="J20" s="47">
        <f>ELECT.!H21</f>
        <v>0</v>
      </c>
      <c r="K20" s="47">
        <f>ELECT.!K21</f>
        <v>0</v>
      </c>
      <c r="L20" s="47">
        <f>ELECT.!M21</f>
        <v>0</v>
      </c>
      <c r="M20" s="47">
        <f>ELECT.!O21</f>
        <v>0</v>
      </c>
      <c r="N20" s="47">
        <f>ELECT.!Q21</f>
        <v>0</v>
      </c>
      <c r="O20" s="47">
        <f>ELECT.!S21</f>
        <v>0</v>
      </c>
      <c r="P20" s="47">
        <f>ELECT.!W21*2</f>
        <v>0</v>
      </c>
      <c r="Q20" s="47">
        <f>ELECT.!D21</f>
        <v>0</v>
      </c>
      <c r="R20" s="48">
        <f>BTU!C21</f>
        <v>0</v>
      </c>
      <c r="S20" s="48">
        <f>BTU!F21</f>
        <v>0</v>
      </c>
      <c r="T20" s="48">
        <f>BTU!I21</f>
        <v>0</v>
      </c>
      <c r="U20" s="48">
        <f>BTU!O21</f>
        <v>0</v>
      </c>
      <c r="V20" s="48">
        <f>BTU!L21</f>
        <v>0</v>
      </c>
      <c r="W20" s="48">
        <f>BTU!R21</f>
        <v>0</v>
      </c>
      <c r="X20" s="45">
        <f>ELECT.!B21</f>
        <v>0</v>
      </c>
      <c r="Y20" s="4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5">
        <f t="shared" si="1"/>
        <v>-25.569199999999999</v>
      </c>
      <c r="AE20" s="45">
        <f t="shared" si="2"/>
        <v>-168.4308</v>
      </c>
    </row>
    <row r="21" spans="1:31" x14ac:dyDescent="0.2">
      <c r="A21" s="58" t="s">
        <v>54</v>
      </c>
      <c r="B21" s="63">
        <f t="shared" si="3"/>
        <v>20</v>
      </c>
      <c r="C21" s="63">
        <v>4</v>
      </c>
      <c r="D21" s="63">
        <v>2021</v>
      </c>
      <c r="E21" s="47">
        <f>Water!C22</f>
        <v>0</v>
      </c>
      <c r="F21" s="47">
        <f>Water!E22</f>
        <v>0</v>
      </c>
      <c r="G21" s="47">
        <f>Water!G22</f>
        <v>0</v>
      </c>
      <c r="H21" s="47">
        <f>Water!I22</f>
        <v>0</v>
      </c>
      <c r="I21" s="47">
        <f>ELECT.!F22</f>
        <v>0</v>
      </c>
      <c r="J21" s="47">
        <f>ELECT.!H22</f>
        <v>0</v>
      </c>
      <c r="K21" s="47">
        <f>ELECT.!K22</f>
        <v>0</v>
      </c>
      <c r="L21" s="47">
        <f>ELECT.!M22</f>
        <v>0</v>
      </c>
      <c r="M21" s="47">
        <f>ELECT.!O22</f>
        <v>0</v>
      </c>
      <c r="N21" s="47">
        <f>ELECT.!Q22</f>
        <v>0</v>
      </c>
      <c r="O21" s="47">
        <f>ELECT.!S22</f>
        <v>0</v>
      </c>
      <c r="P21" s="47">
        <f>ELECT.!W22*2</f>
        <v>0</v>
      </c>
      <c r="Q21" s="47">
        <f>ELECT.!D22</f>
        <v>0</v>
      </c>
      <c r="R21" s="48">
        <f>BTU!C22</f>
        <v>0</v>
      </c>
      <c r="S21" s="48">
        <f>BTU!F22</f>
        <v>0</v>
      </c>
      <c r="T21" s="48">
        <f>BTU!I22</f>
        <v>0</v>
      </c>
      <c r="U21" s="48">
        <f>BTU!O22</f>
        <v>0</v>
      </c>
      <c r="V21" s="48">
        <f>BTU!L22</f>
        <v>0</v>
      </c>
      <c r="W21" s="48">
        <f>BTU!R22</f>
        <v>0</v>
      </c>
      <c r="X21" s="45">
        <f>ELECT.!B22</f>
        <v>0</v>
      </c>
      <c r="Y21" s="4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5">
        <f t="shared" si="1"/>
        <v>-25.569199999999999</v>
      </c>
      <c r="AE21" s="45">
        <f t="shared" si="2"/>
        <v>-168.4308</v>
      </c>
    </row>
    <row r="22" spans="1:31" x14ac:dyDescent="0.2">
      <c r="A22" s="58" t="s">
        <v>54</v>
      </c>
      <c r="B22" s="63">
        <f t="shared" si="3"/>
        <v>21</v>
      </c>
      <c r="C22" s="63">
        <v>4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54</v>
      </c>
      <c r="B23" s="63">
        <f t="shared" si="3"/>
        <v>22</v>
      </c>
      <c r="C23" s="63">
        <v>4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54</v>
      </c>
      <c r="B24" s="63">
        <f t="shared" si="3"/>
        <v>23</v>
      </c>
      <c r="C24" s="63">
        <v>4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54</v>
      </c>
      <c r="B25" s="63">
        <f t="shared" si="3"/>
        <v>24</v>
      </c>
      <c r="C25" s="63">
        <v>4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54</v>
      </c>
      <c r="B26" s="63">
        <f>B25+1</f>
        <v>25</v>
      </c>
      <c r="C26" s="63">
        <v>4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54</v>
      </c>
      <c r="B27" s="63">
        <f t="shared" si="3"/>
        <v>26</v>
      </c>
      <c r="C27" s="63">
        <v>4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54</v>
      </c>
      <c r="B28" s="63">
        <f t="shared" si="3"/>
        <v>27</v>
      </c>
      <c r="C28" s="63">
        <v>4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54</v>
      </c>
      <c r="B29" s="63">
        <f t="shared" si="3"/>
        <v>28</v>
      </c>
      <c r="C29" s="63">
        <v>4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54</v>
      </c>
      <c r="B30" s="63">
        <f t="shared" si="3"/>
        <v>29</v>
      </c>
      <c r="C30" s="63">
        <v>4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54</v>
      </c>
      <c r="B31" s="63">
        <f t="shared" si="3"/>
        <v>30</v>
      </c>
      <c r="C31" s="63">
        <v>4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workbookViewId="0">
      <selection activeCell="B12" sqref="A12:XFD12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14</v>
      </c>
      <c r="C1" s="13" t="s">
        <v>15</v>
      </c>
      <c r="D1" s="1" t="s">
        <v>16</v>
      </c>
      <c r="E1" s="13" t="s">
        <v>17</v>
      </c>
      <c r="F1" s="1" t="s">
        <v>18</v>
      </c>
      <c r="G1" s="13" t="s">
        <v>17</v>
      </c>
      <c r="H1" s="1" t="s">
        <v>19</v>
      </c>
      <c r="I1" s="13" t="s">
        <v>17</v>
      </c>
      <c r="J1" s="1" t="s">
        <v>20</v>
      </c>
      <c r="K1" s="13" t="s">
        <v>17</v>
      </c>
      <c r="L1" s="1" t="s">
        <v>21</v>
      </c>
      <c r="M1" s="13" t="s">
        <v>17</v>
      </c>
      <c r="N1" s="42" t="s">
        <v>45</v>
      </c>
      <c r="O1" s="13" t="s">
        <v>17</v>
      </c>
      <c r="P1" s="1" t="s">
        <v>22</v>
      </c>
      <c r="Q1" s="13" t="s">
        <v>17</v>
      </c>
      <c r="R1" s="1" t="s">
        <v>23</v>
      </c>
      <c r="S1" s="14" t="s">
        <v>17</v>
      </c>
      <c r="T1" s="1" t="s">
        <v>136</v>
      </c>
      <c r="U1" s="14" t="s">
        <v>17</v>
      </c>
    </row>
    <row r="2" spans="1:24" ht="13.5" thickBot="1" x14ac:dyDescent="0.25">
      <c r="A2" s="10" t="s">
        <v>12</v>
      </c>
      <c r="B2" s="1">
        <v>45039</v>
      </c>
      <c r="C2" s="16">
        <v>0</v>
      </c>
      <c r="D2" s="1">
        <v>39393</v>
      </c>
      <c r="E2" s="16">
        <v>0</v>
      </c>
      <c r="F2" s="1">
        <v>20221</v>
      </c>
      <c r="G2" s="16">
        <v>0</v>
      </c>
      <c r="H2" s="1">
        <v>239849</v>
      </c>
      <c r="I2" s="16">
        <v>0</v>
      </c>
      <c r="J2" s="1">
        <v>303517</v>
      </c>
      <c r="K2" s="16">
        <v>0</v>
      </c>
      <c r="L2" s="1">
        <v>24778</v>
      </c>
      <c r="M2" s="16">
        <v>0</v>
      </c>
      <c r="N2" s="42">
        <v>212904</v>
      </c>
      <c r="O2" s="16">
        <v>0</v>
      </c>
      <c r="P2" s="1">
        <v>98110</v>
      </c>
      <c r="Q2" s="16">
        <v>0</v>
      </c>
      <c r="R2" s="1">
        <v>55047</v>
      </c>
      <c r="S2" s="16">
        <v>0</v>
      </c>
      <c r="T2" s="1">
        <v>3580</v>
      </c>
      <c r="U2" s="16">
        <v>0</v>
      </c>
    </row>
    <row r="3" spans="1:24" ht="13.5" thickBot="1" x14ac:dyDescent="0.25">
      <c r="A3" s="10">
        <v>44286</v>
      </c>
      <c r="B3" s="42">
        <v>45047</v>
      </c>
      <c r="C3" s="16">
        <v>1280</v>
      </c>
      <c r="D3" s="42">
        <v>39395</v>
      </c>
      <c r="E3" s="16">
        <v>320</v>
      </c>
      <c r="F3" s="42">
        <v>20224</v>
      </c>
      <c r="G3" s="16">
        <v>60</v>
      </c>
      <c r="H3" s="42">
        <v>239901</v>
      </c>
      <c r="I3" s="16">
        <v>52</v>
      </c>
      <c r="J3" s="42">
        <v>303517</v>
      </c>
      <c r="K3" s="16">
        <v>0</v>
      </c>
      <c r="L3" s="42">
        <v>24783</v>
      </c>
      <c r="M3" s="16">
        <v>800</v>
      </c>
      <c r="N3" s="42">
        <v>213067</v>
      </c>
      <c r="O3" s="16">
        <v>163</v>
      </c>
      <c r="P3" s="42">
        <v>98351</v>
      </c>
      <c r="Q3" s="16">
        <v>61</v>
      </c>
      <c r="R3" s="42">
        <v>55047</v>
      </c>
      <c r="S3" s="16">
        <v>0</v>
      </c>
      <c r="T3" s="42">
        <v>3583</v>
      </c>
      <c r="U3" s="16">
        <v>160</v>
      </c>
    </row>
    <row r="4" spans="1:24" ht="13.5" thickBot="1" x14ac:dyDescent="0.25">
      <c r="A4" s="10">
        <v>44287</v>
      </c>
      <c r="B4" s="42">
        <v>45053</v>
      </c>
      <c r="C4" s="16">
        <f t="shared" ref="C4:C33" si="0">(B4-B3)*800/5</f>
        <v>960</v>
      </c>
      <c r="D4" s="42">
        <v>39398</v>
      </c>
      <c r="E4" s="16">
        <f t="shared" ref="E4:E33" si="1">(D4-D3)*800/5</f>
        <v>480</v>
      </c>
      <c r="F4" s="42">
        <v>20228</v>
      </c>
      <c r="G4" s="16">
        <f t="shared" ref="G4:G33" si="2">(F4-F3)*100/5</f>
        <v>80</v>
      </c>
      <c r="H4" s="42">
        <v>239920</v>
      </c>
      <c r="I4" s="16">
        <f t="shared" ref="I4:I33" si="3">(H4-H3)</f>
        <v>19</v>
      </c>
      <c r="J4" s="42">
        <f t="shared" ref="B4:T33" si="4">J3</f>
        <v>303517</v>
      </c>
      <c r="K4" s="16">
        <f t="shared" ref="K4:K33" si="5">(J4-J3)*800/5</f>
        <v>0</v>
      </c>
      <c r="L4" s="42">
        <v>24786</v>
      </c>
      <c r="M4" s="16">
        <f t="shared" ref="M4:M33" si="6">(L4-L3)*800/5</f>
        <v>480</v>
      </c>
      <c r="N4" s="42">
        <v>213274</v>
      </c>
      <c r="O4" s="16">
        <f t="shared" ref="O4:O33" si="7">N4-N3</f>
        <v>207</v>
      </c>
      <c r="P4" s="42">
        <v>98371</v>
      </c>
      <c r="Q4" s="16">
        <f t="shared" ref="Q4:Q33" si="8">P4-P3</f>
        <v>20</v>
      </c>
      <c r="R4" s="1">
        <f t="shared" ref="R4:R33" si="9">R3</f>
        <v>55047</v>
      </c>
      <c r="S4" s="16">
        <f t="shared" ref="S4:S33" si="10">R4-R3</f>
        <v>0</v>
      </c>
      <c r="T4" s="42">
        <v>3585</v>
      </c>
      <c r="U4" s="16">
        <f t="shared" ref="U4:U33" si="11">(T4-T3)*800/5</f>
        <v>320</v>
      </c>
    </row>
    <row r="5" spans="1:24" ht="13.5" thickBot="1" x14ac:dyDescent="0.25">
      <c r="A5" s="10">
        <v>44288</v>
      </c>
      <c r="B5" s="42">
        <v>45057</v>
      </c>
      <c r="C5" s="16">
        <f t="shared" si="0"/>
        <v>640</v>
      </c>
      <c r="D5" s="42">
        <v>39401</v>
      </c>
      <c r="E5" s="16">
        <f t="shared" si="1"/>
        <v>480</v>
      </c>
      <c r="F5" s="42">
        <v>20231</v>
      </c>
      <c r="G5" s="16">
        <f t="shared" si="2"/>
        <v>60</v>
      </c>
      <c r="H5" s="42">
        <v>239941</v>
      </c>
      <c r="I5" s="16">
        <f t="shared" si="3"/>
        <v>21</v>
      </c>
      <c r="J5" s="42">
        <f t="shared" si="4"/>
        <v>303517</v>
      </c>
      <c r="K5" s="16">
        <f t="shared" si="5"/>
        <v>0</v>
      </c>
      <c r="L5" s="42">
        <v>24788</v>
      </c>
      <c r="M5" s="16">
        <f t="shared" si="6"/>
        <v>320</v>
      </c>
      <c r="N5" s="42">
        <v>213282</v>
      </c>
      <c r="O5" s="16">
        <f t="shared" si="7"/>
        <v>8</v>
      </c>
      <c r="P5" s="42">
        <v>98420</v>
      </c>
      <c r="Q5" s="16">
        <f t="shared" si="8"/>
        <v>49</v>
      </c>
      <c r="R5" s="1">
        <f t="shared" si="9"/>
        <v>55047</v>
      </c>
      <c r="S5" s="16">
        <f t="shared" si="10"/>
        <v>0</v>
      </c>
      <c r="T5" s="42">
        <v>3586</v>
      </c>
      <c r="U5" s="16">
        <f t="shared" si="11"/>
        <v>160</v>
      </c>
    </row>
    <row r="6" spans="1:24" ht="13.5" thickBot="1" x14ac:dyDescent="0.25">
      <c r="A6" s="10">
        <v>44289</v>
      </c>
      <c r="B6" s="42">
        <v>45062</v>
      </c>
      <c r="C6" s="16">
        <f t="shared" si="0"/>
        <v>800</v>
      </c>
      <c r="D6" s="42">
        <v>39404</v>
      </c>
      <c r="E6" s="16">
        <f t="shared" si="1"/>
        <v>480</v>
      </c>
      <c r="F6" s="42">
        <v>20234</v>
      </c>
      <c r="G6" s="16">
        <f t="shared" si="2"/>
        <v>60</v>
      </c>
      <c r="H6" s="42">
        <v>239960</v>
      </c>
      <c r="I6" s="16">
        <f t="shared" si="3"/>
        <v>19</v>
      </c>
      <c r="J6" s="42">
        <f t="shared" si="4"/>
        <v>303517</v>
      </c>
      <c r="K6" s="16">
        <f t="shared" si="5"/>
        <v>0</v>
      </c>
      <c r="L6" s="42">
        <v>24791</v>
      </c>
      <c r="M6" s="16">
        <f t="shared" si="6"/>
        <v>480</v>
      </c>
      <c r="N6" s="42">
        <v>213338</v>
      </c>
      <c r="O6" s="16">
        <f t="shared" si="7"/>
        <v>56</v>
      </c>
      <c r="P6" s="42">
        <v>98500</v>
      </c>
      <c r="Q6" s="16">
        <f t="shared" si="8"/>
        <v>80</v>
      </c>
      <c r="R6" s="1">
        <f t="shared" si="9"/>
        <v>55047</v>
      </c>
      <c r="S6" s="16">
        <f>R30-R5</f>
        <v>0</v>
      </c>
      <c r="T6" s="42">
        <v>3587</v>
      </c>
      <c r="U6" s="16">
        <f t="shared" si="11"/>
        <v>160</v>
      </c>
    </row>
    <row r="7" spans="1:24" ht="13.5" thickBot="1" x14ac:dyDescent="0.25">
      <c r="A7" s="10">
        <v>44290</v>
      </c>
      <c r="B7" s="42">
        <v>45067</v>
      </c>
      <c r="C7" s="16">
        <f t="shared" si="0"/>
        <v>800</v>
      </c>
      <c r="D7" s="42">
        <v>39407</v>
      </c>
      <c r="E7" s="16">
        <f t="shared" si="1"/>
        <v>480</v>
      </c>
      <c r="F7" s="42">
        <v>20237</v>
      </c>
      <c r="G7" s="16">
        <f t="shared" si="2"/>
        <v>60</v>
      </c>
      <c r="H7" s="42">
        <v>239989</v>
      </c>
      <c r="I7" s="16">
        <f t="shared" si="3"/>
        <v>29</v>
      </c>
      <c r="J7" s="42">
        <f t="shared" si="4"/>
        <v>303517</v>
      </c>
      <c r="K7" s="16">
        <f t="shared" si="5"/>
        <v>0</v>
      </c>
      <c r="L7" s="42">
        <v>24795</v>
      </c>
      <c r="M7" s="16">
        <f t="shared" si="6"/>
        <v>640</v>
      </c>
      <c r="N7" s="42">
        <v>213452</v>
      </c>
      <c r="O7" s="16">
        <f t="shared" si="7"/>
        <v>114</v>
      </c>
      <c r="P7" s="42">
        <v>98663</v>
      </c>
      <c r="Q7" s="16">
        <f t="shared" si="8"/>
        <v>163</v>
      </c>
      <c r="R7" s="1">
        <f t="shared" si="9"/>
        <v>55047</v>
      </c>
      <c r="S7" s="16">
        <f>R7-R30</f>
        <v>0</v>
      </c>
      <c r="T7" s="42">
        <v>3588</v>
      </c>
      <c r="U7" s="16">
        <f t="shared" si="11"/>
        <v>160</v>
      </c>
    </row>
    <row r="8" spans="1:24" ht="13.5" thickBot="1" x14ac:dyDescent="0.25">
      <c r="A8" s="10">
        <v>44291</v>
      </c>
      <c r="B8" s="42">
        <v>45073</v>
      </c>
      <c r="C8" s="16">
        <f t="shared" si="0"/>
        <v>960</v>
      </c>
      <c r="D8" s="42">
        <v>39410</v>
      </c>
      <c r="E8" s="16">
        <f t="shared" si="1"/>
        <v>480</v>
      </c>
      <c r="F8" s="42">
        <v>20241</v>
      </c>
      <c r="G8" s="16">
        <f t="shared" si="2"/>
        <v>80</v>
      </c>
      <c r="H8" s="42">
        <v>240011</v>
      </c>
      <c r="I8" s="16">
        <f t="shared" si="3"/>
        <v>22</v>
      </c>
      <c r="J8" s="42">
        <v>303517</v>
      </c>
      <c r="K8" s="16">
        <f t="shared" si="5"/>
        <v>0</v>
      </c>
      <c r="L8" s="42">
        <v>24800</v>
      </c>
      <c r="M8" s="16">
        <f t="shared" si="6"/>
        <v>800</v>
      </c>
      <c r="N8" s="42">
        <v>213592</v>
      </c>
      <c r="O8" s="16">
        <f t="shared" si="7"/>
        <v>140</v>
      </c>
      <c r="P8" s="42">
        <v>98791</v>
      </c>
      <c r="Q8" s="16">
        <f t="shared" si="8"/>
        <v>128</v>
      </c>
      <c r="R8" s="1">
        <f t="shared" si="9"/>
        <v>55047</v>
      </c>
      <c r="S8" s="16">
        <f t="shared" ref="S8" si="12">R8-R7</f>
        <v>0</v>
      </c>
      <c r="T8" s="42">
        <v>3590</v>
      </c>
      <c r="U8" s="16">
        <f t="shared" si="11"/>
        <v>320</v>
      </c>
    </row>
    <row r="9" spans="1:24" ht="13.5" thickBot="1" x14ac:dyDescent="0.25">
      <c r="A9" s="10">
        <v>44292</v>
      </c>
      <c r="B9" s="42">
        <v>45078</v>
      </c>
      <c r="C9" s="16">
        <f t="shared" si="0"/>
        <v>800</v>
      </c>
      <c r="D9" s="42">
        <v>39412</v>
      </c>
      <c r="E9" s="16">
        <f t="shared" si="1"/>
        <v>320</v>
      </c>
      <c r="F9" s="42">
        <v>20244</v>
      </c>
      <c r="G9" s="16">
        <f t="shared" si="2"/>
        <v>60</v>
      </c>
      <c r="H9" s="42">
        <v>240052</v>
      </c>
      <c r="I9" s="16">
        <f t="shared" si="3"/>
        <v>41</v>
      </c>
      <c r="J9" s="42">
        <v>303517</v>
      </c>
      <c r="K9" s="16">
        <f t="shared" si="5"/>
        <v>0</v>
      </c>
      <c r="L9" s="42">
        <v>24803</v>
      </c>
      <c r="M9" s="16">
        <f t="shared" si="6"/>
        <v>480</v>
      </c>
      <c r="N9" s="42">
        <v>213707</v>
      </c>
      <c r="O9" s="16">
        <f t="shared" si="7"/>
        <v>115</v>
      </c>
      <c r="P9" s="42">
        <v>98921</v>
      </c>
      <c r="Q9" s="16">
        <f>P9-P8</f>
        <v>130</v>
      </c>
      <c r="R9" s="1">
        <f t="shared" si="9"/>
        <v>55047</v>
      </c>
      <c r="S9" s="16">
        <f>R9-R8</f>
        <v>0</v>
      </c>
      <c r="T9" s="42">
        <v>3591</v>
      </c>
      <c r="U9" s="16">
        <f t="shared" si="11"/>
        <v>160</v>
      </c>
    </row>
    <row r="10" spans="1:24" ht="13.5" thickBot="1" x14ac:dyDescent="0.25">
      <c r="A10" s="10">
        <v>44293</v>
      </c>
      <c r="B10" s="42">
        <v>45083</v>
      </c>
      <c r="C10" s="16">
        <f t="shared" si="0"/>
        <v>800</v>
      </c>
      <c r="D10" s="42">
        <v>39415</v>
      </c>
      <c r="E10" s="16">
        <f t="shared" si="1"/>
        <v>480</v>
      </c>
      <c r="F10" s="42">
        <v>20248</v>
      </c>
      <c r="G10" s="16">
        <f t="shared" si="2"/>
        <v>80</v>
      </c>
      <c r="H10" s="42">
        <v>240100</v>
      </c>
      <c r="I10" s="16">
        <f t="shared" si="3"/>
        <v>48</v>
      </c>
      <c r="J10" s="42">
        <f t="shared" si="4"/>
        <v>303517</v>
      </c>
      <c r="K10" s="16">
        <f t="shared" si="5"/>
        <v>0</v>
      </c>
      <c r="L10" s="42">
        <v>24807</v>
      </c>
      <c r="M10" s="16">
        <f t="shared" si="6"/>
        <v>640</v>
      </c>
      <c r="N10" s="42">
        <v>213822</v>
      </c>
      <c r="O10" s="16">
        <f t="shared" si="7"/>
        <v>115</v>
      </c>
      <c r="P10" s="42">
        <v>99071</v>
      </c>
      <c r="Q10" s="16">
        <f>P10-P9</f>
        <v>150</v>
      </c>
      <c r="R10" s="1">
        <f t="shared" si="9"/>
        <v>55047</v>
      </c>
      <c r="S10" s="16">
        <f>R10-R9</f>
        <v>0</v>
      </c>
      <c r="T10" s="42">
        <v>3592</v>
      </c>
      <c r="U10" s="16">
        <f t="shared" si="11"/>
        <v>160</v>
      </c>
    </row>
    <row r="11" spans="1:24" ht="13.5" thickBot="1" x14ac:dyDescent="0.25">
      <c r="A11" s="10">
        <v>44294</v>
      </c>
      <c r="B11" s="42">
        <v>45088</v>
      </c>
      <c r="C11" s="16">
        <f t="shared" si="0"/>
        <v>800</v>
      </c>
      <c r="D11" s="42">
        <v>39418</v>
      </c>
      <c r="E11" s="16">
        <f t="shared" si="1"/>
        <v>480</v>
      </c>
      <c r="F11" s="42">
        <v>20252</v>
      </c>
      <c r="G11" s="16">
        <f t="shared" si="2"/>
        <v>80</v>
      </c>
      <c r="H11" s="42">
        <v>240159</v>
      </c>
      <c r="I11" s="16">
        <f t="shared" si="3"/>
        <v>59</v>
      </c>
      <c r="J11" s="42">
        <f t="shared" si="4"/>
        <v>303517</v>
      </c>
      <c r="K11" s="16">
        <f t="shared" si="5"/>
        <v>0</v>
      </c>
      <c r="L11" s="42">
        <v>24811</v>
      </c>
      <c r="M11" s="16">
        <f t="shared" si="6"/>
        <v>640</v>
      </c>
      <c r="N11" s="42">
        <v>213949</v>
      </c>
      <c r="O11" s="16">
        <f t="shared" si="7"/>
        <v>127</v>
      </c>
      <c r="P11" s="42">
        <v>99251</v>
      </c>
      <c r="Q11" s="16">
        <f t="shared" si="8"/>
        <v>180</v>
      </c>
      <c r="R11" s="1">
        <f t="shared" si="9"/>
        <v>55047</v>
      </c>
      <c r="S11" s="16">
        <f t="shared" si="10"/>
        <v>0</v>
      </c>
      <c r="T11" s="42">
        <v>3594</v>
      </c>
      <c r="U11" s="16">
        <f t="shared" si="11"/>
        <v>320</v>
      </c>
    </row>
    <row r="12" spans="1:24" ht="13.5" thickBot="1" x14ac:dyDescent="0.25">
      <c r="A12" s="10">
        <v>44295</v>
      </c>
      <c r="B12" s="42">
        <v>45093</v>
      </c>
      <c r="C12" s="16">
        <f t="shared" si="0"/>
        <v>800</v>
      </c>
      <c r="D12" s="42">
        <v>39421</v>
      </c>
      <c r="E12" s="16">
        <f t="shared" si="1"/>
        <v>480</v>
      </c>
      <c r="F12" s="42">
        <v>20255</v>
      </c>
      <c r="G12" s="16">
        <f t="shared" si="2"/>
        <v>60</v>
      </c>
      <c r="H12" s="42">
        <v>240211</v>
      </c>
      <c r="I12" s="16">
        <f t="shared" si="3"/>
        <v>52</v>
      </c>
      <c r="J12" s="42">
        <f t="shared" si="4"/>
        <v>303517</v>
      </c>
      <c r="K12" s="16">
        <f t="shared" si="5"/>
        <v>0</v>
      </c>
      <c r="L12" s="42">
        <v>24814</v>
      </c>
      <c r="M12" s="16">
        <f t="shared" si="6"/>
        <v>480</v>
      </c>
      <c r="N12" s="42">
        <v>214031</v>
      </c>
      <c r="O12" s="16">
        <f t="shared" si="7"/>
        <v>82</v>
      </c>
      <c r="P12" s="42">
        <v>99420</v>
      </c>
      <c r="Q12" s="16">
        <f t="shared" si="8"/>
        <v>169</v>
      </c>
      <c r="R12" s="1">
        <f t="shared" si="9"/>
        <v>55047</v>
      </c>
      <c r="S12" s="16">
        <f t="shared" si="10"/>
        <v>0</v>
      </c>
      <c r="T12" s="42">
        <v>3595</v>
      </c>
      <c r="U12" s="16">
        <f t="shared" si="11"/>
        <v>160</v>
      </c>
    </row>
    <row r="13" spans="1:24" ht="13.5" thickBot="1" x14ac:dyDescent="0.25">
      <c r="A13" s="10">
        <v>44296</v>
      </c>
      <c r="B13" s="42">
        <f t="shared" ref="B13:B33" si="13">B12</f>
        <v>45093</v>
      </c>
      <c r="C13" s="16">
        <f t="shared" si="0"/>
        <v>0</v>
      </c>
      <c r="D13" s="42">
        <f t="shared" si="4"/>
        <v>39421</v>
      </c>
      <c r="E13" s="16">
        <f t="shared" si="1"/>
        <v>0</v>
      </c>
      <c r="F13" s="42">
        <f t="shared" si="4"/>
        <v>20255</v>
      </c>
      <c r="G13" s="16">
        <f t="shared" si="2"/>
        <v>0</v>
      </c>
      <c r="H13" s="42">
        <f t="shared" si="4"/>
        <v>240211</v>
      </c>
      <c r="I13" s="16">
        <f t="shared" si="3"/>
        <v>0</v>
      </c>
      <c r="J13" s="42">
        <f t="shared" si="4"/>
        <v>303517</v>
      </c>
      <c r="K13" s="16">
        <f t="shared" si="5"/>
        <v>0</v>
      </c>
      <c r="L13" s="42">
        <f t="shared" si="4"/>
        <v>24814</v>
      </c>
      <c r="M13" s="16">
        <f t="shared" si="6"/>
        <v>0</v>
      </c>
      <c r="N13" s="42">
        <f t="shared" si="4"/>
        <v>214031</v>
      </c>
      <c r="O13" s="16">
        <f t="shared" si="7"/>
        <v>0</v>
      </c>
      <c r="P13" s="42">
        <f t="shared" si="4"/>
        <v>99420</v>
      </c>
      <c r="Q13" s="16">
        <f t="shared" si="8"/>
        <v>0</v>
      </c>
      <c r="R13" s="1">
        <f t="shared" si="9"/>
        <v>55047</v>
      </c>
      <c r="S13" s="16">
        <f t="shared" si="10"/>
        <v>0</v>
      </c>
      <c r="T13" s="42">
        <f t="shared" si="4"/>
        <v>3595</v>
      </c>
      <c r="U13" s="16">
        <f t="shared" si="11"/>
        <v>0</v>
      </c>
    </row>
    <row r="14" spans="1:24" ht="13.5" thickBot="1" x14ac:dyDescent="0.25">
      <c r="A14" s="10">
        <v>44297</v>
      </c>
      <c r="B14" s="42">
        <f t="shared" si="13"/>
        <v>45093</v>
      </c>
      <c r="C14" s="16">
        <f t="shared" si="0"/>
        <v>0</v>
      </c>
      <c r="D14" s="42">
        <f t="shared" si="4"/>
        <v>39421</v>
      </c>
      <c r="E14" s="16">
        <f t="shared" si="1"/>
        <v>0</v>
      </c>
      <c r="F14" s="42">
        <f t="shared" si="4"/>
        <v>20255</v>
      </c>
      <c r="G14" s="16">
        <f t="shared" si="2"/>
        <v>0</v>
      </c>
      <c r="H14" s="42">
        <f t="shared" si="4"/>
        <v>240211</v>
      </c>
      <c r="I14" s="16">
        <f t="shared" si="3"/>
        <v>0</v>
      </c>
      <c r="J14" s="42">
        <f t="shared" si="4"/>
        <v>303517</v>
      </c>
      <c r="K14" s="16">
        <f t="shared" si="5"/>
        <v>0</v>
      </c>
      <c r="L14" s="42">
        <f t="shared" si="4"/>
        <v>24814</v>
      </c>
      <c r="M14" s="16">
        <f t="shared" si="6"/>
        <v>0</v>
      </c>
      <c r="N14" s="42">
        <f t="shared" si="4"/>
        <v>214031</v>
      </c>
      <c r="O14" s="16">
        <f t="shared" si="7"/>
        <v>0</v>
      </c>
      <c r="P14" s="42">
        <f t="shared" si="4"/>
        <v>99420</v>
      </c>
      <c r="Q14" s="16">
        <f t="shared" si="8"/>
        <v>0</v>
      </c>
      <c r="R14" s="1">
        <f t="shared" si="9"/>
        <v>55047</v>
      </c>
      <c r="S14" s="16">
        <f t="shared" si="10"/>
        <v>0</v>
      </c>
      <c r="T14" s="42">
        <f t="shared" si="4"/>
        <v>3595</v>
      </c>
      <c r="U14" s="16">
        <f>(T14-T13)*800/5</f>
        <v>0</v>
      </c>
    </row>
    <row r="15" spans="1:24" ht="13.5" thickBot="1" x14ac:dyDescent="0.25">
      <c r="A15" s="10">
        <v>44298</v>
      </c>
      <c r="B15" s="42">
        <f t="shared" si="13"/>
        <v>45093</v>
      </c>
      <c r="C15" s="16">
        <f t="shared" si="0"/>
        <v>0</v>
      </c>
      <c r="D15" s="42">
        <f t="shared" si="4"/>
        <v>39421</v>
      </c>
      <c r="E15" s="16">
        <f t="shared" si="1"/>
        <v>0</v>
      </c>
      <c r="F15" s="42">
        <f t="shared" si="4"/>
        <v>20255</v>
      </c>
      <c r="G15" s="16">
        <f t="shared" si="2"/>
        <v>0</v>
      </c>
      <c r="H15" s="42">
        <f t="shared" si="4"/>
        <v>240211</v>
      </c>
      <c r="I15" s="16">
        <f t="shared" si="3"/>
        <v>0</v>
      </c>
      <c r="J15" s="42">
        <f t="shared" si="4"/>
        <v>303517</v>
      </c>
      <c r="K15" s="16">
        <f t="shared" si="5"/>
        <v>0</v>
      </c>
      <c r="L15" s="42">
        <f t="shared" si="4"/>
        <v>24814</v>
      </c>
      <c r="M15" s="16">
        <f t="shared" si="6"/>
        <v>0</v>
      </c>
      <c r="N15" s="42">
        <f t="shared" si="4"/>
        <v>214031</v>
      </c>
      <c r="O15" s="16">
        <f t="shared" si="7"/>
        <v>0</v>
      </c>
      <c r="P15" s="42">
        <f t="shared" si="4"/>
        <v>99420</v>
      </c>
      <c r="Q15" s="16">
        <f t="shared" si="8"/>
        <v>0</v>
      </c>
      <c r="R15" s="1">
        <f t="shared" si="9"/>
        <v>55047</v>
      </c>
      <c r="S15" s="16">
        <f t="shared" si="10"/>
        <v>0</v>
      </c>
      <c r="T15" s="42">
        <f t="shared" si="4"/>
        <v>3595</v>
      </c>
      <c r="U15" s="16">
        <f t="shared" ref="U15" si="14">(T15-T14)*800/5</f>
        <v>0</v>
      </c>
      <c r="X15" t="s">
        <v>13</v>
      </c>
    </row>
    <row r="16" spans="1:24" ht="13.5" thickBot="1" x14ac:dyDescent="0.25">
      <c r="A16" s="10">
        <v>44299</v>
      </c>
      <c r="B16" s="42">
        <f t="shared" si="13"/>
        <v>45093</v>
      </c>
      <c r="C16" s="16">
        <f t="shared" si="0"/>
        <v>0</v>
      </c>
      <c r="D16" s="42">
        <f t="shared" si="4"/>
        <v>39421</v>
      </c>
      <c r="E16" s="16">
        <f t="shared" si="1"/>
        <v>0</v>
      </c>
      <c r="F16" s="42">
        <f t="shared" si="4"/>
        <v>20255</v>
      </c>
      <c r="G16" s="16">
        <f t="shared" si="2"/>
        <v>0</v>
      </c>
      <c r="H16" s="42">
        <f t="shared" si="4"/>
        <v>240211</v>
      </c>
      <c r="I16" s="16">
        <f t="shared" si="3"/>
        <v>0</v>
      </c>
      <c r="J16" s="42">
        <f t="shared" si="4"/>
        <v>303517</v>
      </c>
      <c r="K16" s="16">
        <f t="shared" si="5"/>
        <v>0</v>
      </c>
      <c r="L16" s="42">
        <f t="shared" si="4"/>
        <v>24814</v>
      </c>
      <c r="M16" s="16">
        <f t="shared" si="6"/>
        <v>0</v>
      </c>
      <c r="N16" s="42">
        <f t="shared" si="4"/>
        <v>214031</v>
      </c>
      <c r="O16" s="16">
        <f t="shared" si="7"/>
        <v>0</v>
      </c>
      <c r="P16" s="42">
        <f t="shared" si="4"/>
        <v>99420</v>
      </c>
      <c r="Q16" s="16">
        <f t="shared" si="8"/>
        <v>0</v>
      </c>
      <c r="R16" s="1">
        <f t="shared" si="9"/>
        <v>55047</v>
      </c>
      <c r="S16" s="16">
        <f t="shared" si="10"/>
        <v>0</v>
      </c>
      <c r="T16" s="42">
        <f t="shared" si="4"/>
        <v>3595</v>
      </c>
      <c r="U16" s="16">
        <f t="shared" si="11"/>
        <v>0</v>
      </c>
      <c r="W16" t="s">
        <v>13</v>
      </c>
    </row>
    <row r="17" spans="1:23" ht="13.5" thickBot="1" x14ac:dyDescent="0.25">
      <c r="A17" s="10">
        <v>44300</v>
      </c>
      <c r="B17" s="42">
        <f t="shared" si="13"/>
        <v>45093</v>
      </c>
      <c r="C17" s="16">
        <f t="shared" si="0"/>
        <v>0</v>
      </c>
      <c r="D17" s="42">
        <f t="shared" si="4"/>
        <v>39421</v>
      </c>
      <c r="E17" s="16">
        <f t="shared" si="1"/>
        <v>0</v>
      </c>
      <c r="F17" s="42">
        <f t="shared" si="4"/>
        <v>20255</v>
      </c>
      <c r="G17" s="16">
        <f t="shared" si="2"/>
        <v>0</v>
      </c>
      <c r="H17" s="42">
        <f t="shared" si="4"/>
        <v>240211</v>
      </c>
      <c r="I17" s="16">
        <f t="shared" si="3"/>
        <v>0</v>
      </c>
      <c r="J17" s="42">
        <f t="shared" si="4"/>
        <v>303517</v>
      </c>
      <c r="K17" s="16">
        <f t="shared" si="5"/>
        <v>0</v>
      </c>
      <c r="L17" s="42">
        <f t="shared" si="4"/>
        <v>24814</v>
      </c>
      <c r="M17" s="16">
        <f t="shared" si="6"/>
        <v>0</v>
      </c>
      <c r="N17" s="42">
        <f t="shared" si="4"/>
        <v>214031</v>
      </c>
      <c r="O17" s="16">
        <f t="shared" si="7"/>
        <v>0</v>
      </c>
      <c r="P17" s="42">
        <f t="shared" si="4"/>
        <v>99420</v>
      </c>
      <c r="Q17" s="16">
        <f t="shared" si="8"/>
        <v>0</v>
      </c>
      <c r="R17" s="1">
        <f t="shared" si="9"/>
        <v>55047</v>
      </c>
      <c r="S17" s="16">
        <f>S16</f>
        <v>0</v>
      </c>
      <c r="T17" s="42">
        <f t="shared" si="4"/>
        <v>3595</v>
      </c>
      <c r="U17" s="16">
        <f t="shared" si="11"/>
        <v>0</v>
      </c>
    </row>
    <row r="18" spans="1:23" ht="13.5" thickBot="1" x14ac:dyDescent="0.25">
      <c r="A18" s="10">
        <v>44301</v>
      </c>
      <c r="B18" s="42">
        <f t="shared" si="13"/>
        <v>45093</v>
      </c>
      <c r="C18" s="16">
        <f t="shared" si="0"/>
        <v>0</v>
      </c>
      <c r="D18" s="42">
        <f t="shared" si="4"/>
        <v>39421</v>
      </c>
      <c r="E18" s="16">
        <f t="shared" si="1"/>
        <v>0</v>
      </c>
      <c r="F18" s="42">
        <f t="shared" si="4"/>
        <v>20255</v>
      </c>
      <c r="G18" s="16">
        <f t="shared" si="2"/>
        <v>0</v>
      </c>
      <c r="H18" s="42">
        <f t="shared" si="4"/>
        <v>240211</v>
      </c>
      <c r="I18" s="16">
        <f t="shared" si="3"/>
        <v>0</v>
      </c>
      <c r="J18" s="42">
        <f t="shared" si="4"/>
        <v>303517</v>
      </c>
      <c r="K18" s="16">
        <f t="shared" si="5"/>
        <v>0</v>
      </c>
      <c r="L18" s="42">
        <f t="shared" si="4"/>
        <v>24814</v>
      </c>
      <c r="M18" s="16">
        <f t="shared" si="6"/>
        <v>0</v>
      </c>
      <c r="N18" s="42">
        <f t="shared" si="4"/>
        <v>214031</v>
      </c>
      <c r="O18" s="16">
        <f t="shared" si="7"/>
        <v>0</v>
      </c>
      <c r="P18" s="42">
        <f t="shared" si="4"/>
        <v>99420</v>
      </c>
      <c r="Q18" s="16">
        <f t="shared" si="8"/>
        <v>0</v>
      </c>
      <c r="R18" s="1">
        <v>55047</v>
      </c>
      <c r="S18" s="16">
        <f t="shared" si="10"/>
        <v>0</v>
      </c>
      <c r="T18" s="42">
        <f t="shared" si="4"/>
        <v>3595</v>
      </c>
      <c r="U18" s="16">
        <f t="shared" si="11"/>
        <v>0</v>
      </c>
    </row>
    <row r="19" spans="1:23" ht="13.5" thickBot="1" x14ac:dyDescent="0.25">
      <c r="A19" s="10">
        <v>44302</v>
      </c>
      <c r="B19" s="42">
        <f t="shared" si="13"/>
        <v>45093</v>
      </c>
      <c r="C19" s="16">
        <f t="shared" si="0"/>
        <v>0</v>
      </c>
      <c r="D19" s="42">
        <f t="shared" si="4"/>
        <v>39421</v>
      </c>
      <c r="E19" s="16">
        <f t="shared" si="1"/>
        <v>0</v>
      </c>
      <c r="F19" s="42">
        <f t="shared" si="4"/>
        <v>20255</v>
      </c>
      <c r="G19" s="16">
        <f t="shared" si="2"/>
        <v>0</v>
      </c>
      <c r="H19" s="42">
        <f t="shared" si="4"/>
        <v>240211</v>
      </c>
      <c r="I19" s="16">
        <f t="shared" si="3"/>
        <v>0</v>
      </c>
      <c r="J19" s="42">
        <f t="shared" si="4"/>
        <v>303517</v>
      </c>
      <c r="K19" s="16">
        <f t="shared" si="5"/>
        <v>0</v>
      </c>
      <c r="L19" s="42">
        <f t="shared" si="4"/>
        <v>24814</v>
      </c>
      <c r="M19" s="16">
        <f t="shared" si="6"/>
        <v>0</v>
      </c>
      <c r="N19" s="42">
        <f t="shared" si="4"/>
        <v>214031</v>
      </c>
      <c r="O19" s="16">
        <f t="shared" si="7"/>
        <v>0</v>
      </c>
      <c r="P19" s="42">
        <f t="shared" si="4"/>
        <v>99420</v>
      </c>
      <c r="Q19" s="16">
        <f t="shared" si="8"/>
        <v>0</v>
      </c>
      <c r="R19" s="1">
        <f t="shared" si="9"/>
        <v>55047</v>
      </c>
      <c r="S19" s="16">
        <f t="shared" si="10"/>
        <v>0</v>
      </c>
      <c r="T19" s="42">
        <f t="shared" si="4"/>
        <v>3595</v>
      </c>
      <c r="U19" s="16">
        <f t="shared" si="11"/>
        <v>0</v>
      </c>
      <c r="W19" t="s">
        <v>13</v>
      </c>
    </row>
    <row r="20" spans="1:23" ht="13.5" thickBot="1" x14ac:dyDescent="0.25">
      <c r="A20" s="10">
        <v>44303</v>
      </c>
      <c r="B20" s="42">
        <f t="shared" si="13"/>
        <v>45093</v>
      </c>
      <c r="C20" s="16">
        <f t="shared" si="0"/>
        <v>0</v>
      </c>
      <c r="D20" s="42">
        <f t="shared" si="4"/>
        <v>39421</v>
      </c>
      <c r="E20" s="16">
        <f t="shared" si="1"/>
        <v>0</v>
      </c>
      <c r="F20" s="42">
        <f t="shared" si="4"/>
        <v>20255</v>
      </c>
      <c r="G20" s="16">
        <f t="shared" si="2"/>
        <v>0</v>
      </c>
      <c r="H20" s="42">
        <f t="shared" si="4"/>
        <v>240211</v>
      </c>
      <c r="I20" s="16">
        <f t="shared" si="3"/>
        <v>0</v>
      </c>
      <c r="J20" s="42">
        <f t="shared" si="4"/>
        <v>303517</v>
      </c>
      <c r="K20" s="16">
        <v>0</v>
      </c>
      <c r="L20" s="42">
        <f t="shared" si="4"/>
        <v>24814</v>
      </c>
      <c r="M20" s="16">
        <f t="shared" si="6"/>
        <v>0</v>
      </c>
      <c r="N20" s="42">
        <f t="shared" si="4"/>
        <v>214031</v>
      </c>
      <c r="O20" s="16">
        <f t="shared" si="7"/>
        <v>0</v>
      </c>
      <c r="P20" s="42">
        <f t="shared" si="4"/>
        <v>99420</v>
      </c>
      <c r="Q20" s="16">
        <f t="shared" si="8"/>
        <v>0</v>
      </c>
      <c r="R20" s="1">
        <f t="shared" si="9"/>
        <v>55047</v>
      </c>
      <c r="S20" s="16">
        <f t="shared" si="10"/>
        <v>0</v>
      </c>
      <c r="T20" s="42">
        <f t="shared" si="4"/>
        <v>3595</v>
      </c>
      <c r="U20" s="16">
        <f t="shared" si="11"/>
        <v>0</v>
      </c>
    </row>
    <row r="21" spans="1:23" ht="13.5" thickBot="1" x14ac:dyDescent="0.25">
      <c r="A21" s="10">
        <v>44304</v>
      </c>
      <c r="B21" s="42">
        <f t="shared" si="13"/>
        <v>45093</v>
      </c>
      <c r="C21" s="16">
        <f t="shared" si="0"/>
        <v>0</v>
      </c>
      <c r="D21" s="42">
        <f t="shared" si="4"/>
        <v>39421</v>
      </c>
      <c r="E21" s="16">
        <f t="shared" si="1"/>
        <v>0</v>
      </c>
      <c r="F21" s="42">
        <f t="shared" si="4"/>
        <v>20255</v>
      </c>
      <c r="G21" s="16">
        <f t="shared" si="2"/>
        <v>0</v>
      </c>
      <c r="H21" s="42">
        <f t="shared" si="4"/>
        <v>240211</v>
      </c>
      <c r="I21" s="16">
        <f t="shared" si="3"/>
        <v>0</v>
      </c>
      <c r="J21" s="42">
        <f t="shared" si="4"/>
        <v>303517</v>
      </c>
      <c r="K21" s="16">
        <f t="shared" si="5"/>
        <v>0</v>
      </c>
      <c r="L21" s="42">
        <f t="shared" si="4"/>
        <v>24814</v>
      </c>
      <c r="M21" s="16">
        <f t="shared" si="6"/>
        <v>0</v>
      </c>
      <c r="N21" s="42">
        <f t="shared" si="4"/>
        <v>214031</v>
      </c>
      <c r="O21" s="16">
        <f t="shared" si="7"/>
        <v>0</v>
      </c>
      <c r="P21" s="42">
        <f t="shared" si="4"/>
        <v>99420</v>
      </c>
      <c r="Q21" s="16">
        <f t="shared" si="8"/>
        <v>0</v>
      </c>
      <c r="R21" s="1">
        <f t="shared" si="9"/>
        <v>55047</v>
      </c>
      <c r="S21" s="16">
        <f t="shared" si="10"/>
        <v>0</v>
      </c>
      <c r="T21" s="42">
        <f t="shared" si="4"/>
        <v>3595</v>
      </c>
      <c r="U21" s="16">
        <f t="shared" si="11"/>
        <v>0</v>
      </c>
    </row>
    <row r="22" spans="1:23" ht="13.5" thickBot="1" x14ac:dyDescent="0.25">
      <c r="A22" s="10">
        <v>44305</v>
      </c>
      <c r="B22" s="42">
        <f t="shared" si="13"/>
        <v>45093</v>
      </c>
      <c r="C22" s="16">
        <f t="shared" si="0"/>
        <v>0</v>
      </c>
      <c r="D22" s="42">
        <f t="shared" si="4"/>
        <v>39421</v>
      </c>
      <c r="E22" s="16">
        <f t="shared" si="1"/>
        <v>0</v>
      </c>
      <c r="F22" s="42">
        <f t="shared" si="4"/>
        <v>20255</v>
      </c>
      <c r="G22" s="16">
        <f t="shared" si="2"/>
        <v>0</v>
      </c>
      <c r="H22" s="42">
        <f t="shared" si="4"/>
        <v>240211</v>
      </c>
      <c r="I22" s="16">
        <f t="shared" si="3"/>
        <v>0</v>
      </c>
      <c r="J22" s="42">
        <f t="shared" si="4"/>
        <v>303517</v>
      </c>
      <c r="K22" s="16">
        <f t="shared" si="5"/>
        <v>0</v>
      </c>
      <c r="L22" s="42">
        <f t="shared" si="4"/>
        <v>24814</v>
      </c>
      <c r="M22" s="16">
        <f t="shared" si="6"/>
        <v>0</v>
      </c>
      <c r="N22" s="42">
        <f t="shared" si="4"/>
        <v>214031</v>
      </c>
      <c r="O22" s="16">
        <f t="shared" si="7"/>
        <v>0</v>
      </c>
      <c r="P22" s="42">
        <f t="shared" si="4"/>
        <v>99420</v>
      </c>
      <c r="Q22" s="16">
        <f t="shared" si="8"/>
        <v>0</v>
      </c>
      <c r="R22" s="1">
        <f t="shared" si="9"/>
        <v>55047</v>
      </c>
      <c r="S22" s="16">
        <f t="shared" si="10"/>
        <v>0</v>
      </c>
      <c r="T22" s="42">
        <f t="shared" si="4"/>
        <v>3595</v>
      </c>
      <c r="U22" s="16">
        <f t="shared" si="11"/>
        <v>0</v>
      </c>
    </row>
    <row r="23" spans="1:23" ht="13.5" thickBot="1" x14ac:dyDescent="0.25">
      <c r="A23" s="10">
        <v>44306</v>
      </c>
      <c r="B23" s="42">
        <f t="shared" si="13"/>
        <v>45093</v>
      </c>
      <c r="C23" s="16">
        <f t="shared" si="0"/>
        <v>0</v>
      </c>
      <c r="D23" s="42">
        <f t="shared" si="4"/>
        <v>39421</v>
      </c>
      <c r="E23" s="16">
        <f t="shared" si="1"/>
        <v>0</v>
      </c>
      <c r="F23" s="42">
        <f t="shared" si="4"/>
        <v>20255</v>
      </c>
      <c r="G23" s="16">
        <f t="shared" si="2"/>
        <v>0</v>
      </c>
      <c r="H23" s="42">
        <f t="shared" si="4"/>
        <v>240211</v>
      </c>
      <c r="I23" s="16">
        <f t="shared" si="3"/>
        <v>0</v>
      </c>
      <c r="J23" s="42">
        <f t="shared" si="4"/>
        <v>303517</v>
      </c>
      <c r="K23" s="16">
        <f t="shared" si="5"/>
        <v>0</v>
      </c>
      <c r="L23" s="42">
        <f t="shared" si="4"/>
        <v>24814</v>
      </c>
      <c r="M23" s="16">
        <f t="shared" si="6"/>
        <v>0</v>
      </c>
      <c r="N23" s="42">
        <f t="shared" si="4"/>
        <v>214031</v>
      </c>
      <c r="O23" s="16">
        <f t="shared" si="7"/>
        <v>0</v>
      </c>
      <c r="P23" s="42">
        <f t="shared" si="4"/>
        <v>99420</v>
      </c>
      <c r="Q23" s="16">
        <f t="shared" si="8"/>
        <v>0</v>
      </c>
      <c r="R23" s="1">
        <f t="shared" si="9"/>
        <v>55047</v>
      </c>
      <c r="S23" s="16">
        <f t="shared" si="10"/>
        <v>0</v>
      </c>
      <c r="T23" s="42">
        <f t="shared" si="4"/>
        <v>3595</v>
      </c>
      <c r="U23" s="16">
        <f t="shared" si="11"/>
        <v>0</v>
      </c>
    </row>
    <row r="24" spans="1:23" s="156" customFormat="1" ht="13.5" thickBot="1" x14ac:dyDescent="0.25">
      <c r="A24" s="10">
        <v>44307</v>
      </c>
      <c r="B24" s="42">
        <f t="shared" si="13"/>
        <v>45093</v>
      </c>
      <c r="C24" s="16">
        <f t="shared" si="0"/>
        <v>0</v>
      </c>
      <c r="D24" s="42">
        <f t="shared" si="4"/>
        <v>39421</v>
      </c>
      <c r="E24" s="16">
        <f t="shared" si="1"/>
        <v>0</v>
      </c>
      <c r="F24" s="42">
        <f t="shared" si="4"/>
        <v>20255</v>
      </c>
      <c r="G24" s="16">
        <f t="shared" si="2"/>
        <v>0</v>
      </c>
      <c r="H24" s="42">
        <f t="shared" si="4"/>
        <v>240211</v>
      </c>
      <c r="I24" s="16">
        <f t="shared" si="3"/>
        <v>0</v>
      </c>
      <c r="J24" s="42">
        <f t="shared" si="4"/>
        <v>303517</v>
      </c>
      <c r="K24" s="16">
        <f t="shared" si="5"/>
        <v>0</v>
      </c>
      <c r="L24" s="42">
        <f t="shared" si="4"/>
        <v>24814</v>
      </c>
      <c r="M24" s="16">
        <f t="shared" si="6"/>
        <v>0</v>
      </c>
      <c r="N24" s="42">
        <f t="shared" si="4"/>
        <v>214031</v>
      </c>
      <c r="O24" s="16">
        <f t="shared" si="7"/>
        <v>0</v>
      </c>
      <c r="P24" s="42">
        <f t="shared" si="4"/>
        <v>99420</v>
      </c>
      <c r="Q24" s="16">
        <f t="shared" si="8"/>
        <v>0</v>
      </c>
      <c r="R24" s="1">
        <f t="shared" si="9"/>
        <v>55047</v>
      </c>
      <c r="S24" s="16">
        <f t="shared" si="10"/>
        <v>0</v>
      </c>
      <c r="T24" s="42">
        <f t="shared" si="4"/>
        <v>3595</v>
      </c>
      <c r="U24" s="16">
        <f t="shared" si="11"/>
        <v>0</v>
      </c>
    </row>
    <row r="25" spans="1:23" ht="13.5" thickBot="1" x14ac:dyDescent="0.25">
      <c r="A25" s="10">
        <v>44308</v>
      </c>
      <c r="B25" s="42">
        <f t="shared" si="13"/>
        <v>45093</v>
      </c>
      <c r="C25" s="16">
        <f t="shared" si="0"/>
        <v>0</v>
      </c>
      <c r="D25" s="42">
        <f t="shared" si="4"/>
        <v>39421</v>
      </c>
      <c r="E25" s="16">
        <f t="shared" si="1"/>
        <v>0</v>
      </c>
      <c r="F25" s="42">
        <f t="shared" si="4"/>
        <v>20255</v>
      </c>
      <c r="G25" s="16">
        <f t="shared" si="2"/>
        <v>0</v>
      </c>
      <c r="H25" s="42">
        <f t="shared" si="4"/>
        <v>240211</v>
      </c>
      <c r="I25" s="16">
        <f t="shared" si="3"/>
        <v>0</v>
      </c>
      <c r="J25" s="42">
        <f t="shared" si="4"/>
        <v>303517</v>
      </c>
      <c r="K25" s="16">
        <f t="shared" si="5"/>
        <v>0</v>
      </c>
      <c r="L25" s="42">
        <f t="shared" si="4"/>
        <v>24814</v>
      </c>
      <c r="M25" s="16">
        <f t="shared" si="6"/>
        <v>0</v>
      </c>
      <c r="N25" s="42">
        <f t="shared" si="4"/>
        <v>214031</v>
      </c>
      <c r="O25" s="16">
        <f t="shared" si="7"/>
        <v>0</v>
      </c>
      <c r="P25" s="42">
        <f t="shared" si="4"/>
        <v>99420</v>
      </c>
      <c r="Q25" s="16">
        <f t="shared" si="8"/>
        <v>0</v>
      </c>
      <c r="R25" s="1">
        <f t="shared" si="9"/>
        <v>55047</v>
      </c>
      <c r="S25" s="16">
        <f t="shared" si="10"/>
        <v>0</v>
      </c>
      <c r="T25" s="42">
        <f t="shared" si="4"/>
        <v>3595</v>
      </c>
      <c r="U25" s="16">
        <f t="shared" si="11"/>
        <v>0</v>
      </c>
      <c r="V25" t="s">
        <v>13</v>
      </c>
    </row>
    <row r="26" spans="1:23" ht="12.75" customHeight="1" thickBot="1" x14ac:dyDescent="0.25">
      <c r="A26" s="10">
        <v>44309</v>
      </c>
      <c r="B26" s="42">
        <f t="shared" si="13"/>
        <v>45093</v>
      </c>
      <c r="C26" s="16">
        <f t="shared" si="0"/>
        <v>0</v>
      </c>
      <c r="D26" s="42">
        <f t="shared" si="4"/>
        <v>39421</v>
      </c>
      <c r="E26" s="16">
        <f t="shared" si="1"/>
        <v>0</v>
      </c>
      <c r="F26" s="42">
        <f t="shared" si="4"/>
        <v>20255</v>
      </c>
      <c r="G26" s="16">
        <f t="shared" si="2"/>
        <v>0</v>
      </c>
      <c r="H26" s="42">
        <f t="shared" si="4"/>
        <v>240211</v>
      </c>
      <c r="I26" s="16">
        <f t="shared" si="3"/>
        <v>0</v>
      </c>
      <c r="J26" s="42">
        <f t="shared" si="4"/>
        <v>303517</v>
      </c>
      <c r="K26" s="16">
        <f t="shared" si="5"/>
        <v>0</v>
      </c>
      <c r="L26" s="42">
        <f t="shared" si="4"/>
        <v>24814</v>
      </c>
      <c r="M26" s="16">
        <f t="shared" si="6"/>
        <v>0</v>
      </c>
      <c r="N26" s="42">
        <f t="shared" si="4"/>
        <v>214031</v>
      </c>
      <c r="O26" s="16">
        <f t="shared" si="7"/>
        <v>0</v>
      </c>
      <c r="P26" s="42">
        <f t="shared" si="4"/>
        <v>99420</v>
      </c>
      <c r="Q26" s="16">
        <f t="shared" si="8"/>
        <v>0</v>
      </c>
      <c r="R26" s="1">
        <f t="shared" si="9"/>
        <v>55047</v>
      </c>
      <c r="S26" s="16">
        <f t="shared" si="10"/>
        <v>0</v>
      </c>
      <c r="T26" s="42">
        <f t="shared" si="4"/>
        <v>3595</v>
      </c>
      <c r="U26" s="16">
        <f t="shared" si="11"/>
        <v>0</v>
      </c>
      <c r="W26" t="s">
        <v>13</v>
      </c>
    </row>
    <row r="27" spans="1:23" ht="13.5" thickBot="1" x14ac:dyDescent="0.25">
      <c r="A27" s="10">
        <v>44310</v>
      </c>
      <c r="B27" s="42">
        <f t="shared" si="13"/>
        <v>45093</v>
      </c>
      <c r="C27" s="16">
        <f t="shared" si="0"/>
        <v>0</v>
      </c>
      <c r="D27" s="42">
        <f t="shared" si="4"/>
        <v>39421</v>
      </c>
      <c r="E27" s="16">
        <f t="shared" si="1"/>
        <v>0</v>
      </c>
      <c r="F27" s="42">
        <f t="shared" si="4"/>
        <v>20255</v>
      </c>
      <c r="G27" s="16">
        <f t="shared" si="2"/>
        <v>0</v>
      </c>
      <c r="H27" s="42">
        <f t="shared" si="4"/>
        <v>240211</v>
      </c>
      <c r="I27" s="16">
        <f t="shared" si="3"/>
        <v>0</v>
      </c>
      <c r="J27" s="42">
        <f t="shared" si="4"/>
        <v>303517</v>
      </c>
      <c r="K27" s="16">
        <f t="shared" si="5"/>
        <v>0</v>
      </c>
      <c r="L27" s="42">
        <f t="shared" si="4"/>
        <v>24814</v>
      </c>
      <c r="M27" s="16">
        <f t="shared" si="6"/>
        <v>0</v>
      </c>
      <c r="N27" s="42">
        <f t="shared" si="4"/>
        <v>214031</v>
      </c>
      <c r="O27" s="16">
        <f t="shared" si="7"/>
        <v>0</v>
      </c>
      <c r="P27" s="42">
        <f t="shared" si="4"/>
        <v>99420</v>
      </c>
      <c r="Q27" s="16">
        <f t="shared" si="8"/>
        <v>0</v>
      </c>
      <c r="R27" s="1">
        <v>55047</v>
      </c>
      <c r="S27" s="16">
        <f t="shared" si="10"/>
        <v>0</v>
      </c>
      <c r="T27" s="42">
        <f t="shared" si="4"/>
        <v>3595</v>
      </c>
      <c r="U27" s="16">
        <f t="shared" si="11"/>
        <v>0</v>
      </c>
    </row>
    <row r="28" spans="1:23" ht="13.5" thickBot="1" x14ac:dyDescent="0.25">
      <c r="A28" s="10">
        <v>44311</v>
      </c>
      <c r="B28" s="42">
        <f t="shared" si="13"/>
        <v>45093</v>
      </c>
      <c r="C28" s="16">
        <f t="shared" si="0"/>
        <v>0</v>
      </c>
      <c r="D28" s="42">
        <f t="shared" si="4"/>
        <v>39421</v>
      </c>
      <c r="E28" s="16">
        <f t="shared" si="1"/>
        <v>0</v>
      </c>
      <c r="F28" s="42">
        <f t="shared" si="4"/>
        <v>20255</v>
      </c>
      <c r="G28" s="16">
        <f t="shared" si="2"/>
        <v>0</v>
      </c>
      <c r="H28" s="42">
        <f t="shared" si="4"/>
        <v>240211</v>
      </c>
      <c r="I28" s="16">
        <f t="shared" si="3"/>
        <v>0</v>
      </c>
      <c r="J28" s="42">
        <f t="shared" si="4"/>
        <v>303517</v>
      </c>
      <c r="K28" s="16">
        <f t="shared" si="5"/>
        <v>0</v>
      </c>
      <c r="L28" s="42">
        <f t="shared" si="4"/>
        <v>24814</v>
      </c>
      <c r="M28" s="16">
        <f t="shared" si="6"/>
        <v>0</v>
      </c>
      <c r="N28" s="42">
        <f t="shared" si="4"/>
        <v>214031</v>
      </c>
      <c r="O28" s="16">
        <f t="shared" si="7"/>
        <v>0</v>
      </c>
      <c r="P28" s="42">
        <f t="shared" si="4"/>
        <v>99420</v>
      </c>
      <c r="Q28" s="17">
        <f t="shared" si="8"/>
        <v>0</v>
      </c>
      <c r="R28" s="1">
        <v>55047</v>
      </c>
      <c r="S28" s="17">
        <f t="shared" si="10"/>
        <v>0</v>
      </c>
      <c r="T28" s="42">
        <f t="shared" si="4"/>
        <v>3595</v>
      </c>
      <c r="U28" s="16">
        <f t="shared" si="11"/>
        <v>0</v>
      </c>
    </row>
    <row r="29" spans="1:23" ht="13.5" thickBot="1" x14ac:dyDescent="0.25">
      <c r="A29" s="10">
        <v>44312</v>
      </c>
      <c r="B29" s="42">
        <f t="shared" si="13"/>
        <v>45093</v>
      </c>
      <c r="C29" s="16">
        <f t="shared" si="0"/>
        <v>0</v>
      </c>
      <c r="D29" s="42">
        <f t="shared" si="4"/>
        <v>39421</v>
      </c>
      <c r="E29" s="16">
        <f t="shared" si="1"/>
        <v>0</v>
      </c>
      <c r="F29" s="42">
        <f t="shared" si="4"/>
        <v>20255</v>
      </c>
      <c r="G29" s="16">
        <f t="shared" si="2"/>
        <v>0</v>
      </c>
      <c r="H29" s="42">
        <f t="shared" si="4"/>
        <v>240211</v>
      </c>
      <c r="I29" s="16">
        <f t="shared" si="3"/>
        <v>0</v>
      </c>
      <c r="J29" s="42">
        <f t="shared" si="4"/>
        <v>303517</v>
      </c>
      <c r="K29" s="16">
        <f t="shared" si="5"/>
        <v>0</v>
      </c>
      <c r="L29" s="42">
        <f t="shared" si="4"/>
        <v>24814</v>
      </c>
      <c r="M29" s="16">
        <f t="shared" si="6"/>
        <v>0</v>
      </c>
      <c r="N29" s="42">
        <f t="shared" si="4"/>
        <v>214031</v>
      </c>
      <c r="O29" s="16">
        <f t="shared" si="7"/>
        <v>0</v>
      </c>
      <c r="P29" s="42">
        <f t="shared" si="4"/>
        <v>99420</v>
      </c>
      <c r="Q29" s="16">
        <f t="shared" si="8"/>
        <v>0</v>
      </c>
      <c r="R29" s="1">
        <f t="shared" si="9"/>
        <v>55047</v>
      </c>
      <c r="S29" s="16">
        <f t="shared" si="10"/>
        <v>0</v>
      </c>
      <c r="T29" s="42">
        <f t="shared" si="4"/>
        <v>3595</v>
      </c>
      <c r="U29" s="16">
        <f t="shared" si="11"/>
        <v>0</v>
      </c>
    </row>
    <row r="30" spans="1:23" ht="13.5" thickBot="1" x14ac:dyDescent="0.25">
      <c r="A30" s="10">
        <v>44313</v>
      </c>
      <c r="B30" s="42">
        <f t="shared" si="13"/>
        <v>45093</v>
      </c>
      <c r="C30" s="16">
        <f t="shared" si="0"/>
        <v>0</v>
      </c>
      <c r="D30" s="42">
        <f t="shared" si="4"/>
        <v>39421</v>
      </c>
      <c r="E30" s="16">
        <f t="shared" si="1"/>
        <v>0</v>
      </c>
      <c r="F30" s="42">
        <f t="shared" si="4"/>
        <v>20255</v>
      </c>
      <c r="G30" s="16">
        <f t="shared" si="2"/>
        <v>0</v>
      </c>
      <c r="H30" s="42">
        <f t="shared" si="4"/>
        <v>240211</v>
      </c>
      <c r="I30" s="16">
        <f t="shared" si="3"/>
        <v>0</v>
      </c>
      <c r="J30" s="42">
        <f t="shared" si="4"/>
        <v>303517</v>
      </c>
      <c r="K30" s="16">
        <f t="shared" si="5"/>
        <v>0</v>
      </c>
      <c r="L30" s="42">
        <f t="shared" si="4"/>
        <v>24814</v>
      </c>
      <c r="M30" s="16">
        <f t="shared" si="6"/>
        <v>0</v>
      </c>
      <c r="N30" s="42">
        <f t="shared" si="4"/>
        <v>214031</v>
      </c>
      <c r="O30" s="16">
        <f t="shared" si="7"/>
        <v>0</v>
      </c>
      <c r="P30" s="42">
        <f t="shared" si="4"/>
        <v>99420</v>
      </c>
      <c r="Q30" s="16">
        <f t="shared" si="8"/>
        <v>0</v>
      </c>
      <c r="R30" s="1">
        <v>55047</v>
      </c>
      <c r="S30" s="16">
        <f t="shared" si="10"/>
        <v>0</v>
      </c>
      <c r="T30" s="42">
        <f t="shared" si="4"/>
        <v>3595</v>
      </c>
      <c r="U30" s="16">
        <f t="shared" si="11"/>
        <v>0</v>
      </c>
    </row>
    <row r="31" spans="1:23" ht="13.5" thickBot="1" x14ac:dyDescent="0.25">
      <c r="A31" s="10">
        <v>44314</v>
      </c>
      <c r="B31" s="42">
        <f t="shared" si="13"/>
        <v>45093</v>
      </c>
      <c r="C31" s="16">
        <f t="shared" si="0"/>
        <v>0</v>
      </c>
      <c r="D31" s="42">
        <f t="shared" si="4"/>
        <v>39421</v>
      </c>
      <c r="E31" s="16">
        <f t="shared" si="1"/>
        <v>0</v>
      </c>
      <c r="F31" s="42">
        <f t="shared" si="4"/>
        <v>20255</v>
      </c>
      <c r="G31" s="16">
        <f t="shared" si="2"/>
        <v>0</v>
      </c>
      <c r="H31" s="42">
        <f t="shared" si="4"/>
        <v>240211</v>
      </c>
      <c r="I31" s="16">
        <f t="shared" si="3"/>
        <v>0</v>
      </c>
      <c r="J31" s="42">
        <f t="shared" si="4"/>
        <v>303517</v>
      </c>
      <c r="K31" s="16">
        <f t="shared" si="5"/>
        <v>0</v>
      </c>
      <c r="L31" s="42">
        <f t="shared" si="4"/>
        <v>24814</v>
      </c>
      <c r="M31" s="16">
        <f t="shared" si="6"/>
        <v>0</v>
      </c>
      <c r="N31" s="42">
        <f t="shared" si="4"/>
        <v>214031</v>
      </c>
      <c r="O31" s="16">
        <f t="shared" si="7"/>
        <v>0</v>
      </c>
      <c r="P31" s="42">
        <f t="shared" si="4"/>
        <v>99420</v>
      </c>
      <c r="Q31" s="16">
        <f t="shared" si="8"/>
        <v>0</v>
      </c>
      <c r="R31" s="1">
        <f t="shared" si="9"/>
        <v>55047</v>
      </c>
      <c r="S31" s="16">
        <f t="shared" si="10"/>
        <v>0</v>
      </c>
      <c r="T31" s="42">
        <f t="shared" si="4"/>
        <v>3595</v>
      </c>
      <c r="U31" s="16">
        <f t="shared" si="11"/>
        <v>0</v>
      </c>
    </row>
    <row r="32" spans="1:23" ht="15" customHeight="1" thickBot="1" x14ac:dyDescent="0.25">
      <c r="A32" s="10">
        <v>44315</v>
      </c>
      <c r="B32" s="42">
        <f t="shared" si="13"/>
        <v>45093</v>
      </c>
      <c r="C32" s="16">
        <f t="shared" si="0"/>
        <v>0</v>
      </c>
      <c r="D32" s="42">
        <f t="shared" si="4"/>
        <v>39421</v>
      </c>
      <c r="E32" s="16">
        <f t="shared" si="1"/>
        <v>0</v>
      </c>
      <c r="F32" s="42">
        <f t="shared" si="4"/>
        <v>20255</v>
      </c>
      <c r="G32" s="16">
        <f t="shared" si="2"/>
        <v>0</v>
      </c>
      <c r="H32" s="42">
        <f t="shared" si="4"/>
        <v>240211</v>
      </c>
      <c r="I32" s="16">
        <f t="shared" si="3"/>
        <v>0</v>
      </c>
      <c r="J32" s="42">
        <f t="shared" si="4"/>
        <v>303517</v>
      </c>
      <c r="K32" s="16">
        <f t="shared" si="5"/>
        <v>0</v>
      </c>
      <c r="L32" s="42">
        <f t="shared" si="4"/>
        <v>24814</v>
      </c>
      <c r="M32" s="16">
        <f t="shared" si="6"/>
        <v>0</v>
      </c>
      <c r="N32" s="42">
        <f t="shared" si="4"/>
        <v>214031</v>
      </c>
      <c r="O32" s="16">
        <f t="shared" si="7"/>
        <v>0</v>
      </c>
      <c r="P32" s="42">
        <f t="shared" si="4"/>
        <v>99420</v>
      </c>
      <c r="Q32" s="16">
        <f t="shared" si="8"/>
        <v>0</v>
      </c>
      <c r="R32" s="1">
        <v>55047</v>
      </c>
      <c r="S32" s="16">
        <f t="shared" si="10"/>
        <v>0</v>
      </c>
      <c r="T32" s="42">
        <f t="shared" si="4"/>
        <v>3595</v>
      </c>
      <c r="U32" s="16">
        <f t="shared" si="11"/>
        <v>0</v>
      </c>
      <c r="V32" t="s">
        <v>13</v>
      </c>
    </row>
    <row r="33" spans="1:21" ht="13.5" thickBot="1" x14ac:dyDescent="0.25">
      <c r="A33" s="10">
        <v>44316</v>
      </c>
      <c r="B33" s="42">
        <f t="shared" si="13"/>
        <v>45093</v>
      </c>
      <c r="C33" s="16">
        <f t="shared" si="0"/>
        <v>0</v>
      </c>
      <c r="D33" s="42">
        <f t="shared" si="4"/>
        <v>39421</v>
      </c>
      <c r="E33" s="16">
        <f t="shared" si="1"/>
        <v>0</v>
      </c>
      <c r="F33" s="42">
        <f t="shared" si="4"/>
        <v>20255</v>
      </c>
      <c r="G33" s="16">
        <f t="shared" si="2"/>
        <v>0</v>
      </c>
      <c r="H33" s="42">
        <f t="shared" si="4"/>
        <v>240211</v>
      </c>
      <c r="I33" s="16">
        <f t="shared" si="3"/>
        <v>0</v>
      </c>
      <c r="J33" s="42">
        <f t="shared" ref="J33" si="15">J32</f>
        <v>303517</v>
      </c>
      <c r="K33" s="16">
        <f t="shared" si="5"/>
        <v>0</v>
      </c>
      <c r="L33" s="42">
        <f t="shared" ref="L33" si="16">L32</f>
        <v>24814</v>
      </c>
      <c r="M33" s="16">
        <f t="shared" si="6"/>
        <v>0</v>
      </c>
      <c r="N33" s="42">
        <f>N32</f>
        <v>214031</v>
      </c>
      <c r="O33" s="16">
        <f t="shared" si="7"/>
        <v>0</v>
      </c>
      <c r="P33" s="42">
        <f t="shared" ref="P33" si="17">P32</f>
        <v>99420</v>
      </c>
      <c r="Q33" s="16">
        <f t="shared" si="8"/>
        <v>0</v>
      </c>
      <c r="R33" s="1">
        <f t="shared" si="9"/>
        <v>55047</v>
      </c>
      <c r="S33" s="16">
        <f t="shared" si="10"/>
        <v>0</v>
      </c>
      <c r="T33" s="42">
        <f t="shared" ref="T33" si="18">T32</f>
        <v>3595</v>
      </c>
      <c r="U33" s="16">
        <f t="shared" si="11"/>
        <v>0</v>
      </c>
    </row>
    <row r="34" spans="1:21" ht="16.5" thickBot="1" x14ac:dyDescent="0.3">
      <c r="A34" s="10" t="s">
        <v>24</v>
      </c>
      <c r="B34" s="1"/>
      <c r="C34" s="11">
        <f>SUM(C3:C33)</f>
        <v>8640</v>
      </c>
      <c r="D34" s="13"/>
      <c r="E34" s="11">
        <f>SUM(E3:E33)</f>
        <v>4480</v>
      </c>
      <c r="F34" s="13"/>
      <c r="G34" s="11">
        <f>SUM(G3:G33)</f>
        <v>680</v>
      </c>
      <c r="H34" s="13"/>
      <c r="I34" s="11">
        <f>SUM(I3:I33)</f>
        <v>362</v>
      </c>
      <c r="J34" s="13"/>
      <c r="K34" s="11">
        <f>SUM(K3:K33)</f>
        <v>0</v>
      </c>
      <c r="L34" s="13"/>
      <c r="M34" s="11">
        <f>SUM(M3:M33)</f>
        <v>5760</v>
      </c>
      <c r="N34" s="43"/>
      <c r="O34" s="11">
        <f>SUM(O3:O33)</f>
        <v>1127</v>
      </c>
      <c r="P34" s="13"/>
      <c r="Q34" s="11">
        <f>SUM(Q3:Q33)</f>
        <v>1130</v>
      </c>
      <c r="R34" s="1"/>
      <c r="S34" s="11">
        <f>SUM(S3:S33)</f>
        <v>0</v>
      </c>
      <c r="T34" s="1"/>
      <c r="U34" s="11">
        <f>SUM(U3:U33)</f>
        <v>2080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selection activeCell="A12" sqref="A12:XFD12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25</v>
      </c>
      <c r="C1" s="4" t="s">
        <v>26</v>
      </c>
      <c r="D1" s="3" t="s">
        <v>27</v>
      </c>
      <c r="E1" s="4" t="s">
        <v>26</v>
      </c>
      <c r="F1" s="3" t="s">
        <v>28</v>
      </c>
      <c r="G1" s="22" t="s">
        <v>26</v>
      </c>
      <c r="H1" s="3" t="s">
        <v>29</v>
      </c>
      <c r="I1" s="53" t="s">
        <v>26</v>
      </c>
      <c r="J1" s="3" t="s">
        <v>24</v>
      </c>
      <c r="K1" s="3" t="s">
        <v>30</v>
      </c>
    </row>
    <row r="2" spans="1:14" ht="16.5" thickBot="1" x14ac:dyDescent="0.3">
      <c r="A2" s="10" t="s">
        <v>12</v>
      </c>
      <c r="B2" s="3">
        <v>407443</v>
      </c>
      <c r="C2" s="49">
        <v>0</v>
      </c>
      <c r="D2" s="3">
        <v>3767800</v>
      </c>
      <c r="E2" s="49">
        <v>0</v>
      </c>
      <c r="F2" s="3">
        <v>2454800</v>
      </c>
      <c r="G2" s="49">
        <v>0</v>
      </c>
      <c r="H2" s="3">
        <v>726024</v>
      </c>
      <c r="I2" s="54"/>
      <c r="J2" s="23"/>
      <c r="K2" s="24"/>
    </row>
    <row r="3" spans="1:14" ht="16.5" thickBot="1" x14ac:dyDescent="0.3">
      <c r="A3" s="10">
        <v>44286</v>
      </c>
      <c r="B3" s="3">
        <v>407517</v>
      </c>
      <c r="C3" s="49">
        <v>740</v>
      </c>
      <c r="D3" s="3">
        <v>3781100</v>
      </c>
      <c r="E3" s="49">
        <v>359.1</v>
      </c>
      <c r="F3" s="3">
        <v>2534500</v>
      </c>
      <c r="G3" s="49">
        <v>191.7</v>
      </c>
      <c r="H3" s="3">
        <v>726148</v>
      </c>
      <c r="I3" s="54">
        <v>3.3479999999999999</v>
      </c>
      <c r="J3" s="23">
        <v>1294.1479999999999</v>
      </c>
      <c r="K3" s="24">
        <v>7583.7072799999996</v>
      </c>
    </row>
    <row r="4" spans="1:14" ht="16.5" thickBot="1" x14ac:dyDescent="0.3">
      <c r="A4" s="10">
        <v>44287</v>
      </c>
      <c r="B4" s="3">
        <v>407541</v>
      </c>
      <c r="C4" s="49">
        <f t="shared" ref="C4:C8" si="0">(IF((B4-B3)&lt;0,"0",(B4-B3)))*10</f>
        <v>240</v>
      </c>
      <c r="D4" s="3">
        <v>3793400</v>
      </c>
      <c r="E4" s="49">
        <f t="shared" ref="E4:E33" si="1">(IF((D4-D3)&lt;0,"0",(D4-D3)))*0.027</f>
        <v>332.1</v>
      </c>
      <c r="F4" s="3">
        <v>2547600</v>
      </c>
      <c r="G4" s="49">
        <f>(IF((F4-F3)&lt;0,"0",(F4-F3)))*0.027</f>
        <v>353.7</v>
      </c>
      <c r="H4" s="3">
        <v>726286</v>
      </c>
      <c r="I4" s="54">
        <f>(IF((H4-H3)&lt;0,"0",(H4-H3)))*0.027</f>
        <v>3.726</v>
      </c>
      <c r="J4" s="23">
        <f t="shared" ref="J4:J33" si="2">C4+E4+G4+I4</f>
        <v>929.52599999999995</v>
      </c>
      <c r="K4" s="24">
        <f t="shared" ref="K4:K33" si="3">J4*5.86</f>
        <v>5447.0223599999999</v>
      </c>
    </row>
    <row r="5" spans="1:14" ht="16.5" thickBot="1" x14ac:dyDescent="0.3">
      <c r="A5" s="10">
        <v>44288</v>
      </c>
      <c r="B5" s="3">
        <v>407665</v>
      </c>
      <c r="C5" s="49">
        <f t="shared" si="0"/>
        <v>1240</v>
      </c>
      <c r="D5" s="3">
        <v>3805600</v>
      </c>
      <c r="E5" s="49">
        <f t="shared" si="1"/>
        <v>329.4</v>
      </c>
      <c r="F5" s="3">
        <v>2556100</v>
      </c>
      <c r="G5" s="49">
        <f t="shared" ref="G5:G33" si="4">(IF((F5-F4)&lt;0,"0",(F5-F4)))*0.027</f>
        <v>229.5</v>
      </c>
      <c r="H5" s="3">
        <v>726473</v>
      </c>
      <c r="I5" s="54">
        <f t="shared" ref="I5:I33" si="5">(IF((H5-H4)&lt;0,"0",(H5-H4)))*0.027</f>
        <v>5.0490000000000004</v>
      </c>
      <c r="J5" s="23">
        <f t="shared" si="2"/>
        <v>1803.9490000000001</v>
      </c>
      <c r="K5" s="24">
        <f t="shared" si="3"/>
        <v>10571.141140000002</v>
      </c>
    </row>
    <row r="6" spans="1:14" ht="16.5" thickBot="1" x14ac:dyDescent="0.3">
      <c r="A6" s="10">
        <v>44289</v>
      </c>
      <c r="B6" s="3">
        <v>407747</v>
      </c>
      <c r="C6" s="49">
        <f t="shared" si="0"/>
        <v>820</v>
      </c>
      <c r="D6" s="3">
        <v>3818400</v>
      </c>
      <c r="E6" s="49">
        <f t="shared" si="1"/>
        <v>345.6</v>
      </c>
      <c r="F6" s="3">
        <v>2565600</v>
      </c>
      <c r="G6" s="49">
        <f t="shared" si="4"/>
        <v>256.5</v>
      </c>
      <c r="H6" s="3">
        <v>726660</v>
      </c>
      <c r="I6" s="54">
        <f t="shared" si="5"/>
        <v>5.0490000000000004</v>
      </c>
      <c r="J6" s="23">
        <f t="shared" si="2"/>
        <v>1427.1489999999999</v>
      </c>
      <c r="K6" s="24">
        <f t="shared" si="3"/>
        <v>8363.093139999999</v>
      </c>
    </row>
    <row r="7" spans="1:14" ht="16.5" thickBot="1" x14ac:dyDescent="0.3">
      <c r="A7" s="10">
        <v>44290</v>
      </c>
      <c r="B7" s="3">
        <v>407822</v>
      </c>
      <c r="C7" s="49">
        <f t="shared" si="0"/>
        <v>750</v>
      </c>
      <c r="D7" s="3">
        <v>3830400</v>
      </c>
      <c r="E7" s="49">
        <f t="shared" si="1"/>
        <v>324</v>
      </c>
      <c r="F7" s="3">
        <v>2575200</v>
      </c>
      <c r="G7" s="49">
        <f t="shared" si="4"/>
        <v>259.2</v>
      </c>
      <c r="H7" s="3">
        <v>726824</v>
      </c>
      <c r="I7" s="54">
        <f t="shared" si="5"/>
        <v>4.4279999999999999</v>
      </c>
      <c r="J7" s="23">
        <f t="shared" si="2"/>
        <v>1337.6280000000002</v>
      </c>
      <c r="K7" s="24">
        <f t="shared" si="3"/>
        <v>7838.5000800000016</v>
      </c>
      <c r="L7" t="s">
        <v>13</v>
      </c>
      <c r="N7" t="s">
        <v>13</v>
      </c>
    </row>
    <row r="8" spans="1:14" ht="16.5" thickBot="1" x14ac:dyDescent="0.3">
      <c r="A8" s="10">
        <v>44291</v>
      </c>
      <c r="B8" s="3">
        <v>407939</v>
      </c>
      <c r="C8" s="49">
        <f t="shared" si="0"/>
        <v>1170</v>
      </c>
      <c r="D8" s="3">
        <v>3843000</v>
      </c>
      <c r="E8" s="49">
        <f t="shared" si="1"/>
        <v>340.2</v>
      </c>
      <c r="F8" s="3">
        <v>2587000</v>
      </c>
      <c r="G8" s="49">
        <f t="shared" si="4"/>
        <v>318.60000000000002</v>
      </c>
      <c r="H8" s="3">
        <v>726964</v>
      </c>
      <c r="I8" s="54">
        <f t="shared" si="5"/>
        <v>3.78</v>
      </c>
      <c r="J8" s="23">
        <f t="shared" si="2"/>
        <v>1832.5800000000002</v>
      </c>
      <c r="K8" s="24">
        <f t="shared" si="3"/>
        <v>10738.918800000001</v>
      </c>
    </row>
    <row r="9" spans="1:14" ht="16.5" thickBot="1" x14ac:dyDescent="0.3">
      <c r="A9" s="10">
        <v>44292</v>
      </c>
      <c r="B9" s="3">
        <v>407995</v>
      </c>
      <c r="C9" s="49">
        <f t="shared" ref="C9:C33" si="6">(IF((B9-B8)&lt;0,"0",(B9-B8)))*10</f>
        <v>560</v>
      </c>
      <c r="D9" s="3">
        <v>3855500</v>
      </c>
      <c r="E9" s="49">
        <f t="shared" si="1"/>
        <v>337.5</v>
      </c>
      <c r="F9" s="3">
        <v>2598000</v>
      </c>
      <c r="G9" s="49">
        <f t="shared" si="4"/>
        <v>297</v>
      </c>
      <c r="H9" s="3">
        <v>727090</v>
      </c>
      <c r="I9" s="54">
        <f t="shared" si="5"/>
        <v>3.4020000000000001</v>
      </c>
      <c r="J9" s="23">
        <f t="shared" si="2"/>
        <v>1197.902</v>
      </c>
      <c r="K9" s="24">
        <f t="shared" si="3"/>
        <v>7019.7057200000008</v>
      </c>
    </row>
    <row r="10" spans="1:14" ht="16.5" thickBot="1" x14ac:dyDescent="0.3">
      <c r="A10" s="10">
        <v>44293</v>
      </c>
      <c r="B10" s="3">
        <v>408045</v>
      </c>
      <c r="C10" s="49">
        <f>(IF((B10-B9)&lt;0,"0",(B10-B9)))*10</f>
        <v>500</v>
      </c>
      <c r="D10" s="3">
        <v>3869400</v>
      </c>
      <c r="E10" s="49">
        <f t="shared" si="1"/>
        <v>375.3</v>
      </c>
      <c r="F10" s="3">
        <v>2611900</v>
      </c>
      <c r="G10" s="49">
        <f t="shared" si="4"/>
        <v>375.3</v>
      </c>
      <c r="H10" s="3">
        <v>727240</v>
      </c>
      <c r="I10" s="54">
        <f t="shared" si="5"/>
        <v>4.05</v>
      </c>
      <c r="J10" s="23">
        <f t="shared" si="2"/>
        <v>1254.6499999999999</v>
      </c>
      <c r="K10" s="24">
        <f t="shared" si="3"/>
        <v>7352.2489999999998</v>
      </c>
    </row>
    <row r="11" spans="1:14" ht="16.5" thickBot="1" x14ac:dyDescent="0.3">
      <c r="A11" s="10">
        <v>44294</v>
      </c>
      <c r="B11" s="3">
        <v>408100</v>
      </c>
      <c r="C11" s="49">
        <f t="shared" si="6"/>
        <v>550</v>
      </c>
      <c r="D11" s="3">
        <v>3881300</v>
      </c>
      <c r="E11" s="49">
        <f t="shared" si="1"/>
        <v>321.3</v>
      </c>
      <c r="F11" s="3">
        <v>2625100</v>
      </c>
      <c r="G11" s="49">
        <f t="shared" si="4"/>
        <v>356.4</v>
      </c>
      <c r="H11" s="3">
        <v>727410</v>
      </c>
      <c r="I11" s="54">
        <f t="shared" si="5"/>
        <v>4.59</v>
      </c>
      <c r="J11" s="23">
        <f t="shared" si="2"/>
        <v>1232.2899999999997</v>
      </c>
      <c r="K11" s="24">
        <f t="shared" si="3"/>
        <v>7221.219399999999</v>
      </c>
      <c r="N11" t="s">
        <v>13</v>
      </c>
    </row>
    <row r="12" spans="1:14" ht="16.5" thickBot="1" x14ac:dyDescent="0.3">
      <c r="A12" s="10">
        <v>44295</v>
      </c>
      <c r="B12" s="3">
        <v>408266</v>
      </c>
      <c r="C12" s="49">
        <f t="shared" si="6"/>
        <v>1660</v>
      </c>
      <c r="D12" s="3">
        <v>3895000</v>
      </c>
      <c r="E12" s="49">
        <f t="shared" si="1"/>
        <v>369.9</v>
      </c>
      <c r="F12" s="3">
        <v>2632300</v>
      </c>
      <c r="G12" s="49">
        <f t="shared" si="4"/>
        <v>194.4</v>
      </c>
      <c r="H12" s="3">
        <v>727504</v>
      </c>
      <c r="I12" s="54">
        <f t="shared" si="5"/>
        <v>2.5379999999999998</v>
      </c>
      <c r="J12" s="23">
        <f t="shared" si="2"/>
        <v>2226.8380000000002</v>
      </c>
      <c r="K12" s="24">
        <f t="shared" si="3"/>
        <v>13049.270680000001</v>
      </c>
    </row>
    <row r="13" spans="1:14" ht="16.5" thickBot="1" x14ac:dyDescent="0.3">
      <c r="A13" s="10">
        <v>44296</v>
      </c>
      <c r="B13" s="3">
        <f t="shared" ref="B12:B33" si="7">B12</f>
        <v>408266</v>
      </c>
      <c r="C13" s="49">
        <f t="shared" si="6"/>
        <v>0</v>
      </c>
      <c r="D13" s="3">
        <f t="shared" ref="D12:D33" si="8">D12</f>
        <v>3895000</v>
      </c>
      <c r="E13" s="49">
        <f t="shared" si="1"/>
        <v>0</v>
      </c>
      <c r="F13" s="3">
        <f t="shared" ref="F12:F33" si="9">F12</f>
        <v>2632300</v>
      </c>
      <c r="G13" s="49">
        <f t="shared" si="4"/>
        <v>0</v>
      </c>
      <c r="H13" s="3">
        <f t="shared" ref="H12:H33" si="10">H12</f>
        <v>727504</v>
      </c>
      <c r="I13" s="54">
        <f t="shared" si="5"/>
        <v>0</v>
      </c>
      <c r="J13" s="23">
        <f t="shared" si="2"/>
        <v>0</v>
      </c>
      <c r="K13" s="24">
        <f t="shared" si="3"/>
        <v>0</v>
      </c>
    </row>
    <row r="14" spans="1:14" ht="16.5" thickBot="1" x14ac:dyDescent="0.3">
      <c r="A14" s="10">
        <v>44297</v>
      </c>
      <c r="B14" s="3">
        <f t="shared" si="7"/>
        <v>408266</v>
      </c>
      <c r="C14" s="49">
        <f t="shared" si="6"/>
        <v>0</v>
      </c>
      <c r="D14" s="3">
        <f t="shared" si="8"/>
        <v>3895000</v>
      </c>
      <c r="E14" s="49">
        <f t="shared" si="1"/>
        <v>0</v>
      </c>
      <c r="F14" s="3">
        <f t="shared" si="9"/>
        <v>2632300</v>
      </c>
      <c r="G14" s="49">
        <f t="shared" si="4"/>
        <v>0</v>
      </c>
      <c r="H14" s="3">
        <f t="shared" si="10"/>
        <v>727504</v>
      </c>
      <c r="I14" s="54">
        <f t="shared" si="5"/>
        <v>0</v>
      </c>
      <c r="J14" s="23">
        <f t="shared" si="2"/>
        <v>0</v>
      </c>
      <c r="K14" s="24">
        <f t="shared" si="3"/>
        <v>0</v>
      </c>
    </row>
    <row r="15" spans="1:14" ht="16.5" thickBot="1" x14ac:dyDescent="0.3">
      <c r="A15" s="10">
        <v>44298</v>
      </c>
      <c r="B15" s="3">
        <f t="shared" si="7"/>
        <v>408266</v>
      </c>
      <c r="C15" s="49">
        <f t="shared" si="6"/>
        <v>0</v>
      </c>
      <c r="D15" s="3">
        <f t="shared" si="8"/>
        <v>3895000</v>
      </c>
      <c r="E15" s="49">
        <f t="shared" si="1"/>
        <v>0</v>
      </c>
      <c r="F15" s="3">
        <f t="shared" si="9"/>
        <v>2632300</v>
      </c>
      <c r="G15" s="49">
        <f t="shared" si="4"/>
        <v>0</v>
      </c>
      <c r="H15" s="3">
        <f t="shared" si="10"/>
        <v>727504</v>
      </c>
      <c r="I15" s="54">
        <f t="shared" si="5"/>
        <v>0</v>
      </c>
      <c r="J15" s="23">
        <f t="shared" si="2"/>
        <v>0</v>
      </c>
      <c r="K15" s="24">
        <f t="shared" si="3"/>
        <v>0</v>
      </c>
    </row>
    <row r="16" spans="1:14" ht="16.5" thickBot="1" x14ac:dyDescent="0.3">
      <c r="A16" s="10">
        <v>44299</v>
      </c>
      <c r="B16" s="3">
        <f t="shared" si="7"/>
        <v>408266</v>
      </c>
      <c r="C16" s="49">
        <f t="shared" si="6"/>
        <v>0</v>
      </c>
      <c r="D16" s="3">
        <f t="shared" si="8"/>
        <v>3895000</v>
      </c>
      <c r="E16" s="49">
        <f t="shared" si="1"/>
        <v>0</v>
      </c>
      <c r="F16" s="3">
        <f t="shared" si="9"/>
        <v>2632300</v>
      </c>
      <c r="G16" s="49">
        <f t="shared" si="4"/>
        <v>0</v>
      </c>
      <c r="H16" s="3">
        <f t="shared" si="10"/>
        <v>727504</v>
      </c>
      <c r="I16" s="54">
        <f t="shared" si="5"/>
        <v>0</v>
      </c>
      <c r="J16" s="23">
        <f t="shared" si="2"/>
        <v>0</v>
      </c>
      <c r="K16" s="24">
        <f t="shared" si="3"/>
        <v>0</v>
      </c>
    </row>
    <row r="17" spans="1:25" ht="16.5" thickBot="1" x14ac:dyDescent="0.3">
      <c r="A17" s="10">
        <v>44300</v>
      </c>
      <c r="B17" s="3">
        <f t="shared" si="7"/>
        <v>408266</v>
      </c>
      <c r="C17" s="49">
        <f t="shared" si="6"/>
        <v>0</v>
      </c>
      <c r="D17" s="3">
        <f t="shared" si="8"/>
        <v>3895000</v>
      </c>
      <c r="E17" s="49">
        <f t="shared" si="1"/>
        <v>0</v>
      </c>
      <c r="F17" s="3">
        <f t="shared" si="9"/>
        <v>2632300</v>
      </c>
      <c r="G17" s="49">
        <f t="shared" si="4"/>
        <v>0</v>
      </c>
      <c r="H17" s="3">
        <f t="shared" si="10"/>
        <v>727504</v>
      </c>
      <c r="I17" s="54">
        <f t="shared" si="5"/>
        <v>0</v>
      </c>
      <c r="J17" s="23">
        <f t="shared" si="2"/>
        <v>0</v>
      </c>
      <c r="K17" s="24">
        <f t="shared" si="3"/>
        <v>0</v>
      </c>
      <c r="P17" t="s">
        <v>13</v>
      </c>
      <c r="R17" t="s">
        <v>13</v>
      </c>
    </row>
    <row r="18" spans="1:25" ht="16.5" thickBot="1" x14ac:dyDescent="0.3">
      <c r="A18" s="10">
        <v>44301</v>
      </c>
      <c r="B18" s="3">
        <f t="shared" si="7"/>
        <v>408266</v>
      </c>
      <c r="C18" s="49">
        <f t="shared" si="6"/>
        <v>0</v>
      </c>
      <c r="D18" s="3">
        <f t="shared" si="8"/>
        <v>3895000</v>
      </c>
      <c r="E18" s="49">
        <f t="shared" si="1"/>
        <v>0</v>
      </c>
      <c r="F18" s="3">
        <f t="shared" si="9"/>
        <v>2632300</v>
      </c>
      <c r="G18" s="49">
        <f t="shared" si="4"/>
        <v>0</v>
      </c>
      <c r="H18" s="3">
        <f t="shared" si="10"/>
        <v>727504</v>
      </c>
      <c r="I18" s="54">
        <f t="shared" si="5"/>
        <v>0</v>
      </c>
      <c r="J18" s="23">
        <f t="shared" si="2"/>
        <v>0</v>
      </c>
      <c r="K18" s="24">
        <f t="shared" si="3"/>
        <v>0</v>
      </c>
      <c r="Q18" t="s">
        <v>44</v>
      </c>
    </row>
    <row r="19" spans="1:25" ht="16.5" thickBot="1" x14ac:dyDescent="0.3">
      <c r="A19" s="10">
        <v>44302</v>
      </c>
      <c r="B19" s="3">
        <f t="shared" si="7"/>
        <v>408266</v>
      </c>
      <c r="C19" s="49">
        <f t="shared" si="6"/>
        <v>0</v>
      </c>
      <c r="D19" s="3">
        <f t="shared" si="8"/>
        <v>3895000</v>
      </c>
      <c r="E19" s="49">
        <f t="shared" si="1"/>
        <v>0</v>
      </c>
      <c r="F19" s="3">
        <f t="shared" si="9"/>
        <v>2632300</v>
      </c>
      <c r="G19" s="49">
        <f t="shared" si="4"/>
        <v>0</v>
      </c>
      <c r="H19" s="3">
        <f t="shared" si="10"/>
        <v>727504</v>
      </c>
      <c r="I19" s="54">
        <f t="shared" si="5"/>
        <v>0</v>
      </c>
      <c r="J19" s="23">
        <f t="shared" si="2"/>
        <v>0</v>
      </c>
      <c r="K19" s="24">
        <f t="shared" si="3"/>
        <v>0</v>
      </c>
      <c r="Q19" t="s">
        <v>13</v>
      </c>
    </row>
    <row r="20" spans="1:25" ht="16.5" thickBot="1" x14ac:dyDescent="0.3">
      <c r="A20" s="10">
        <v>44303</v>
      </c>
      <c r="B20" s="3">
        <f t="shared" si="7"/>
        <v>408266</v>
      </c>
      <c r="C20" s="49">
        <f t="shared" si="6"/>
        <v>0</v>
      </c>
      <c r="D20" s="3">
        <f t="shared" si="8"/>
        <v>3895000</v>
      </c>
      <c r="E20" s="49">
        <f t="shared" si="1"/>
        <v>0</v>
      </c>
      <c r="F20" s="3">
        <f t="shared" si="9"/>
        <v>2632300</v>
      </c>
      <c r="G20" s="49">
        <f t="shared" si="4"/>
        <v>0</v>
      </c>
      <c r="H20" s="3">
        <f t="shared" si="10"/>
        <v>727504</v>
      </c>
      <c r="I20" s="54">
        <f t="shared" si="5"/>
        <v>0</v>
      </c>
      <c r="J20" s="23">
        <f t="shared" si="2"/>
        <v>0</v>
      </c>
      <c r="K20" s="24">
        <f t="shared" si="3"/>
        <v>0</v>
      </c>
    </row>
    <row r="21" spans="1:25" ht="16.5" thickBot="1" x14ac:dyDescent="0.3">
      <c r="A21" s="10">
        <v>44304</v>
      </c>
      <c r="B21" s="3">
        <f t="shared" si="7"/>
        <v>408266</v>
      </c>
      <c r="C21" s="49">
        <f t="shared" si="6"/>
        <v>0</v>
      </c>
      <c r="D21" s="3">
        <f t="shared" si="8"/>
        <v>3895000</v>
      </c>
      <c r="E21" s="49">
        <f t="shared" si="1"/>
        <v>0</v>
      </c>
      <c r="F21" s="3">
        <f t="shared" si="9"/>
        <v>2632300</v>
      </c>
      <c r="G21" s="49">
        <f t="shared" si="4"/>
        <v>0</v>
      </c>
      <c r="H21" s="3">
        <f t="shared" si="10"/>
        <v>727504</v>
      </c>
      <c r="I21" s="54">
        <f t="shared" si="5"/>
        <v>0</v>
      </c>
      <c r="J21" s="23">
        <f t="shared" si="2"/>
        <v>0</v>
      </c>
      <c r="K21" s="24">
        <f t="shared" si="3"/>
        <v>0</v>
      </c>
    </row>
    <row r="22" spans="1:25" ht="16.5" thickBot="1" x14ac:dyDescent="0.3">
      <c r="A22" s="10">
        <v>44305</v>
      </c>
      <c r="B22" s="3">
        <f t="shared" si="7"/>
        <v>408266</v>
      </c>
      <c r="C22" s="49">
        <f t="shared" si="6"/>
        <v>0</v>
      </c>
      <c r="D22" s="3">
        <f t="shared" si="8"/>
        <v>3895000</v>
      </c>
      <c r="E22" s="49">
        <f t="shared" si="1"/>
        <v>0</v>
      </c>
      <c r="F22" s="3">
        <f t="shared" si="9"/>
        <v>2632300</v>
      </c>
      <c r="G22" s="49">
        <f t="shared" si="4"/>
        <v>0</v>
      </c>
      <c r="H22" s="3">
        <f t="shared" si="10"/>
        <v>727504</v>
      </c>
      <c r="I22" s="54">
        <f t="shared" si="5"/>
        <v>0</v>
      </c>
      <c r="J22" s="23">
        <f t="shared" si="2"/>
        <v>0</v>
      </c>
      <c r="K22" s="24">
        <f t="shared" si="3"/>
        <v>0</v>
      </c>
      <c r="P22" t="s">
        <v>13</v>
      </c>
      <c r="S22" s="36" t="s">
        <v>13</v>
      </c>
    </row>
    <row r="23" spans="1:25" ht="16.5" thickBot="1" x14ac:dyDescent="0.3">
      <c r="A23" s="10">
        <v>44306</v>
      </c>
      <c r="B23" s="3">
        <f t="shared" si="7"/>
        <v>408266</v>
      </c>
      <c r="C23" s="49">
        <f t="shared" si="6"/>
        <v>0</v>
      </c>
      <c r="D23" s="3">
        <f t="shared" si="8"/>
        <v>3895000</v>
      </c>
      <c r="E23" s="49">
        <f t="shared" si="1"/>
        <v>0</v>
      </c>
      <c r="F23" s="3">
        <f t="shared" si="9"/>
        <v>2632300</v>
      </c>
      <c r="G23" s="49">
        <f t="shared" si="4"/>
        <v>0</v>
      </c>
      <c r="H23" s="3">
        <f t="shared" si="10"/>
        <v>727504</v>
      </c>
      <c r="I23" s="54">
        <f t="shared" si="5"/>
        <v>0</v>
      </c>
      <c r="J23" s="23">
        <f t="shared" si="2"/>
        <v>0</v>
      </c>
      <c r="K23" s="24">
        <f t="shared" si="3"/>
        <v>0</v>
      </c>
      <c r="Q23" t="s">
        <v>13</v>
      </c>
    </row>
    <row r="24" spans="1:25" ht="16.5" thickBot="1" x14ac:dyDescent="0.3">
      <c r="A24" s="10">
        <v>44307</v>
      </c>
      <c r="B24" s="3">
        <f t="shared" si="7"/>
        <v>408266</v>
      </c>
      <c r="C24" s="49">
        <f t="shared" si="6"/>
        <v>0</v>
      </c>
      <c r="D24" s="3">
        <f t="shared" si="8"/>
        <v>3895000</v>
      </c>
      <c r="E24" s="49">
        <f t="shared" si="1"/>
        <v>0</v>
      </c>
      <c r="F24" s="3">
        <f t="shared" si="9"/>
        <v>2632300</v>
      </c>
      <c r="G24" s="49">
        <f t="shared" si="4"/>
        <v>0</v>
      </c>
      <c r="H24" s="3">
        <f t="shared" si="10"/>
        <v>727504</v>
      </c>
      <c r="I24" s="54">
        <f t="shared" si="5"/>
        <v>0</v>
      </c>
      <c r="J24" s="23">
        <f t="shared" si="2"/>
        <v>0</v>
      </c>
      <c r="K24" s="24">
        <f t="shared" si="3"/>
        <v>0</v>
      </c>
    </row>
    <row r="25" spans="1:25" ht="17.25" customHeight="1" thickBot="1" x14ac:dyDescent="0.4">
      <c r="A25" s="10">
        <v>44308</v>
      </c>
      <c r="B25" s="3">
        <f t="shared" si="7"/>
        <v>408266</v>
      </c>
      <c r="C25" s="49">
        <f t="shared" si="6"/>
        <v>0</v>
      </c>
      <c r="D25" s="3">
        <f t="shared" si="8"/>
        <v>3895000</v>
      </c>
      <c r="E25" s="49">
        <f t="shared" si="1"/>
        <v>0</v>
      </c>
      <c r="F25" s="3">
        <f t="shared" si="9"/>
        <v>2632300</v>
      </c>
      <c r="G25" s="49">
        <f>F25-F24</f>
        <v>0</v>
      </c>
      <c r="H25" s="3">
        <f t="shared" si="10"/>
        <v>727504</v>
      </c>
      <c r="I25" s="54">
        <f t="shared" si="5"/>
        <v>0</v>
      </c>
      <c r="J25" s="23">
        <f t="shared" si="2"/>
        <v>0</v>
      </c>
      <c r="K25" s="24">
        <f t="shared" si="3"/>
        <v>0</v>
      </c>
      <c r="Y25" s="65"/>
    </row>
    <row r="26" spans="1:25" ht="16.5" thickBot="1" x14ac:dyDescent="0.3">
      <c r="A26" s="10">
        <v>44309</v>
      </c>
      <c r="B26" s="3">
        <f t="shared" si="7"/>
        <v>408266</v>
      </c>
      <c r="C26" s="49">
        <f t="shared" si="6"/>
        <v>0</v>
      </c>
      <c r="D26" s="3">
        <f t="shared" si="8"/>
        <v>3895000</v>
      </c>
      <c r="E26" s="49">
        <f t="shared" si="1"/>
        <v>0</v>
      </c>
      <c r="F26" s="3">
        <f t="shared" si="9"/>
        <v>2632300</v>
      </c>
      <c r="G26" s="49">
        <f t="shared" si="4"/>
        <v>0</v>
      </c>
      <c r="H26" s="3">
        <f t="shared" si="10"/>
        <v>727504</v>
      </c>
      <c r="I26" s="54">
        <f t="shared" si="5"/>
        <v>0</v>
      </c>
      <c r="J26" s="23">
        <f t="shared" si="2"/>
        <v>0</v>
      </c>
      <c r="K26" s="24">
        <f t="shared" si="3"/>
        <v>0</v>
      </c>
      <c r="L26" t="s">
        <v>13</v>
      </c>
    </row>
    <row r="27" spans="1:25" ht="16.5" thickBot="1" x14ac:dyDescent="0.3">
      <c r="A27" s="10">
        <v>44310</v>
      </c>
      <c r="B27" s="3">
        <f t="shared" si="7"/>
        <v>408266</v>
      </c>
      <c r="C27" s="49">
        <f t="shared" si="6"/>
        <v>0</v>
      </c>
      <c r="D27" s="3">
        <f t="shared" si="8"/>
        <v>3895000</v>
      </c>
      <c r="E27" s="49">
        <f t="shared" si="1"/>
        <v>0</v>
      </c>
      <c r="F27" s="3">
        <f t="shared" si="9"/>
        <v>2632300</v>
      </c>
      <c r="G27" s="49">
        <f t="shared" si="4"/>
        <v>0</v>
      </c>
      <c r="H27" s="3">
        <f t="shared" si="10"/>
        <v>727504</v>
      </c>
      <c r="I27" s="54">
        <f t="shared" si="5"/>
        <v>0</v>
      </c>
      <c r="J27" s="23">
        <f t="shared" si="2"/>
        <v>0</v>
      </c>
      <c r="K27" s="24">
        <f t="shared" si="3"/>
        <v>0</v>
      </c>
      <c r="O27" t="s">
        <v>13</v>
      </c>
    </row>
    <row r="28" spans="1:25" ht="16.5" thickBot="1" x14ac:dyDescent="0.3">
      <c r="A28" s="10">
        <v>44311</v>
      </c>
      <c r="B28" s="3">
        <f t="shared" si="7"/>
        <v>408266</v>
      </c>
      <c r="C28" s="49">
        <f t="shared" si="6"/>
        <v>0</v>
      </c>
      <c r="D28" s="3">
        <f t="shared" si="8"/>
        <v>3895000</v>
      </c>
      <c r="E28" s="49">
        <f t="shared" si="1"/>
        <v>0</v>
      </c>
      <c r="F28" s="3">
        <f t="shared" si="9"/>
        <v>2632300</v>
      </c>
      <c r="G28" s="49">
        <f t="shared" si="4"/>
        <v>0</v>
      </c>
      <c r="H28" s="3">
        <f t="shared" si="10"/>
        <v>727504</v>
      </c>
      <c r="I28" s="54">
        <f t="shared" si="5"/>
        <v>0</v>
      </c>
      <c r="J28" s="23">
        <f t="shared" si="2"/>
        <v>0</v>
      </c>
      <c r="K28" s="24">
        <f t="shared" si="3"/>
        <v>0</v>
      </c>
    </row>
    <row r="29" spans="1:25" ht="16.5" thickBot="1" x14ac:dyDescent="0.3">
      <c r="A29" s="10">
        <v>44312</v>
      </c>
      <c r="B29" s="3">
        <f t="shared" si="7"/>
        <v>408266</v>
      </c>
      <c r="C29" s="49">
        <f t="shared" si="6"/>
        <v>0</v>
      </c>
      <c r="D29" s="3">
        <f t="shared" si="8"/>
        <v>3895000</v>
      </c>
      <c r="E29" s="49">
        <f t="shared" si="1"/>
        <v>0</v>
      </c>
      <c r="F29" s="3">
        <f t="shared" si="9"/>
        <v>2632300</v>
      </c>
      <c r="G29" s="49">
        <f t="shared" si="4"/>
        <v>0</v>
      </c>
      <c r="H29" s="3">
        <f t="shared" si="10"/>
        <v>727504</v>
      </c>
      <c r="I29" s="54">
        <f t="shared" si="5"/>
        <v>0</v>
      </c>
      <c r="J29" s="23">
        <f t="shared" si="2"/>
        <v>0</v>
      </c>
      <c r="K29" s="24">
        <f t="shared" si="3"/>
        <v>0</v>
      </c>
    </row>
    <row r="30" spans="1:25" ht="16.5" thickBot="1" x14ac:dyDescent="0.3">
      <c r="A30" s="10">
        <v>44313</v>
      </c>
      <c r="B30" s="3">
        <f t="shared" si="7"/>
        <v>408266</v>
      </c>
      <c r="C30" s="49">
        <f t="shared" si="6"/>
        <v>0</v>
      </c>
      <c r="D30" s="3">
        <f t="shared" si="8"/>
        <v>3895000</v>
      </c>
      <c r="E30" s="49">
        <f t="shared" si="1"/>
        <v>0</v>
      </c>
      <c r="F30" s="3">
        <f t="shared" si="9"/>
        <v>2632300</v>
      </c>
      <c r="G30" s="49">
        <f t="shared" si="4"/>
        <v>0</v>
      </c>
      <c r="H30" s="3">
        <f t="shared" si="10"/>
        <v>727504</v>
      </c>
      <c r="I30" s="54">
        <f t="shared" si="5"/>
        <v>0</v>
      </c>
      <c r="J30" s="23">
        <f t="shared" si="2"/>
        <v>0</v>
      </c>
      <c r="K30" s="24">
        <f t="shared" si="3"/>
        <v>0</v>
      </c>
    </row>
    <row r="31" spans="1:25" ht="16.5" thickBot="1" x14ac:dyDescent="0.3">
      <c r="A31" s="10">
        <v>44314</v>
      </c>
      <c r="B31" s="3">
        <f t="shared" si="7"/>
        <v>408266</v>
      </c>
      <c r="C31" s="49">
        <f t="shared" si="6"/>
        <v>0</v>
      </c>
      <c r="D31" s="3">
        <f t="shared" si="8"/>
        <v>3895000</v>
      </c>
      <c r="E31" s="49">
        <f t="shared" si="1"/>
        <v>0</v>
      </c>
      <c r="F31" s="3">
        <f t="shared" si="9"/>
        <v>2632300</v>
      </c>
      <c r="G31" s="49">
        <f t="shared" si="4"/>
        <v>0</v>
      </c>
      <c r="H31" s="3">
        <f t="shared" si="10"/>
        <v>727504</v>
      </c>
      <c r="I31" s="54">
        <f t="shared" si="5"/>
        <v>0</v>
      </c>
      <c r="J31" s="23">
        <f t="shared" si="2"/>
        <v>0</v>
      </c>
      <c r="K31" s="24">
        <f t="shared" si="3"/>
        <v>0</v>
      </c>
    </row>
    <row r="32" spans="1:25" ht="16.5" thickBot="1" x14ac:dyDescent="0.3">
      <c r="A32" s="10">
        <v>44315</v>
      </c>
      <c r="B32" s="3">
        <f t="shared" si="7"/>
        <v>408266</v>
      </c>
      <c r="C32" s="49">
        <f t="shared" si="6"/>
        <v>0</v>
      </c>
      <c r="D32" s="3">
        <f t="shared" si="8"/>
        <v>3895000</v>
      </c>
      <c r="E32" s="49">
        <f t="shared" si="1"/>
        <v>0</v>
      </c>
      <c r="F32" s="3">
        <f t="shared" si="9"/>
        <v>2632300</v>
      </c>
      <c r="G32" s="49">
        <f t="shared" si="4"/>
        <v>0</v>
      </c>
      <c r="H32" s="3">
        <f t="shared" si="10"/>
        <v>727504</v>
      </c>
      <c r="I32" s="54">
        <f t="shared" si="5"/>
        <v>0</v>
      </c>
      <c r="J32" s="23">
        <f t="shared" si="2"/>
        <v>0</v>
      </c>
      <c r="K32" s="24">
        <f t="shared" si="3"/>
        <v>0</v>
      </c>
    </row>
    <row r="33" spans="1:11" ht="16.5" thickBot="1" x14ac:dyDescent="0.3">
      <c r="A33" s="10">
        <v>44316</v>
      </c>
      <c r="B33" s="3">
        <f t="shared" si="7"/>
        <v>408266</v>
      </c>
      <c r="C33" s="49">
        <f t="shared" si="6"/>
        <v>0</v>
      </c>
      <c r="D33" s="3">
        <f t="shared" si="8"/>
        <v>3895000</v>
      </c>
      <c r="E33" s="49">
        <f t="shared" si="1"/>
        <v>0</v>
      </c>
      <c r="F33" s="3">
        <f t="shared" si="9"/>
        <v>2632300</v>
      </c>
      <c r="G33" s="49">
        <f t="shared" si="4"/>
        <v>0</v>
      </c>
      <c r="H33" s="3">
        <f t="shared" si="10"/>
        <v>727504</v>
      </c>
      <c r="I33" s="54">
        <f t="shared" si="5"/>
        <v>0</v>
      </c>
      <c r="J33" s="23">
        <f t="shared" si="2"/>
        <v>0</v>
      </c>
      <c r="K33" s="24">
        <f t="shared" si="3"/>
        <v>0</v>
      </c>
    </row>
    <row r="34" spans="1:11" ht="21" thickBot="1" x14ac:dyDescent="0.3">
      <c r="A34" s="9" t="s">
        <v>24</v>
      </c>
      <c r="B34" s="3"/>
      <c r="C34" s="66">
        <f>SUM(C3:C33)</f>
        <v>8230</v>
      </c>
      <c r="D34" s="3"/>
      <c r="E34" s="66">
        <f>SUM(E3:E33)</f>
        <v>3434.4000000000005</v>
      </c>
      <c r="F34" s="3"/>
      <c r="G34" s="66">
        <f>SUM(G3:G33)</f>
        <v>2832.3000000000006</v>
      </c>
      <c r="H34" s="3"/>
      <c r="I34" s="66">
        <f>SUM(I3:I33)</f>
        <v>39.959999999999994</v>
      </c>
      <c r="J34" s="66">
        <f>SUM(J3:J33)</f>
        <v>14536.659999999998</v>
      </c>
      <c r="K34" s="66">
        <f>SUM(K3:K33)</f>
        <v>85184.827600000004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abSelected="1" zoomScale="120" zoomScaleNormal="120" zoomScaleSheetLayoutView="110" workbookViewId="0">
      <selection activeCell="B12" sqref="B12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0.28515625" style="26" bestFit="1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55</v>
      </c>
      <c r="C1" s="52" t="s">
        <v>64</v>
      </c>
      <c r="D1" s="52" t="s">
        <v>17</v>
      </c>
      <c r="E1" s="3" t="s">
        <v>31</v>
      </c>
      <c r="F1" s="4" t="s">
        <v>26</v>
      </c>
      <c r="G1" s="3" t="s">
        <v>32</v>
      </c>
      <c r="H1" s="4" t="s">
        <v>26</v>
      </c>
      <c r="I1" s="3" t="s">
        <v>24</v>
      </c>
      <c r="J1" s="3" t="s">
        <v>33</v>
      </c>
      <c r="K1" s="4" t="s">
        <v>26</v>
      </c>
      <c r="L1" s="3" t="s">
        <v>34</v>
      </c>
      <c r="M1" s="4" t="s">
        <v>26</v>
      </c>
      <c r="N1" s="3" t="s">
        <v>35</v>
      </c>
      <c r="O1" s="4" t="s">
        <v>26</v>
      </c>
      <c r="P1" s="3" t="s">
        <v>36</v>
      </c>
      <c r="Q1" s="4" t="s">
        <v>26</v>
      </c>
      <c r="R1" s="3" t="s">
        <v>37</v>
      </c>
      <c r="S1" s="4" t="s">
        <v>26</v>
      </c>
      <c r="T1" s="3" t="s">
        <v>38</v>
      </c>
      <c r="U1" s="4" t="s">
        <v>26</v>
      </c>
      <c r="V1" s="3" t="s">
        <v>39</v>
      </c>
      <c r="W1" s="4" t="s">
        <v>26</v>
      </c>
      <c r="X1" s="3" t="s">
        <v>24</v>
      </c>
      <c r="Y1" s="3" t="s">
        <v>40</v>
      </c>
      <c r="Z1" s="25" t="s">
        <v>41</v>
      </c>
      <c r="AA1" s="25" t="s">
        <v>42</v>
      </c>
    </row>
    <row r="2" spans="1:27" ht="16.5" thickBot="1" x14ac:dyDescent="0.25">
      <c r="A2" s="10" t="s">
        <v>12</v>
      </c>
      <c r="B2" s="49"/>
      <c r="C2" s="49">
        <v>18067</v>
      </c>
      <c r="D2" s="49"/>
      <c r="E2" s="140">
        <v>25433539</v>
      </c>
      <c r="F2" s="49"/>
      <c r="G2" s="144">
        <v>79837635</v>
      </c>
      <c r="H2" s="49"/>
      <c r="I2" s="141">
        <f t="shared" ref="I2" si="0">F2+H2</f>
        <v>0</v>
      </c>
      <c r="J2" s="140">
        <v>7752235</v>
      </c>
      <c r="K2" s="49"/>
      <c r="L2" s="142">
        <v>7774835</v>
      </c>
      <c r="M2" s="49"/>
      <c r="N2" s="140">
        <v>5008835</v>
      </c>
      <c r="O2" s="49"/>
      <c r="P2" s="142">
        <v>2893394</v>
      </c>
      <c r="Q2" s="49"/>
      <c r="R2" s="140">
        <v>16985908</v>
      </c>
      <c r="S2" s="49"/>
      <c r="T2" s="140">
        <v>0</v>
      </c>
      <c r="U2" s="143"/>
      <c r="V2" s="140">
        <v>4578564</v>
      </c>
      <c r="W2" s="49"/>
      <c r="X2" s="28"/>
      <c r="Y2" s="35">
        <f t="shared" ref="Y2" si="1">I2-X2</f>
        <v>0</v>
      </c>
      <c r="Z2" s="27">
        <f t="shared" ref="Z2" si="2">(0.93352*(W2+S2)+0.5568*(Q2+O2))*0.26</f>
        <v>0</v>
      </c>
      <c r="AA2" s="27"/>
    </row>
    <row r="3" spans="1:27" ht="16.5" thickBot="1" x14ac:dyDescent="0.25">
      <c r="A3" s="10">
        <v>44286</v>
      </c>
      <c r="B3" s="49">
        <v>160</v>
      </c>
      <c r="C3" s="49">
        <v>18069</v>
      </c>
      <c r="D3" s="49">
        <v>320</v>
      </c>
      <c r="E3" s="140">
        <v>25442432</v>
      </c>
      <c r="F3" s="49">
        <v>8893</v>
      </c>
      <c r="G3" s="144">
        <v>79883133</v>
      </c>
      <c r="H3" s="49">
        <v>45508</v>
      </c>
      <c r="I3" s="141">
        <v>54401</v>
      </c>
      <c r="J3" s="140">
        <v>7757089</v>
      </c>
      <c r="K3" s="49">
        <v>4854</v>
      </c>
      <c r="L3" s="142">
        <v>7781096</v>
      </c>
      <c r="M3" s="49">
        <v>6261</v>
      </c>
      <c r="N3" s="140">
        <v>5010068</v>
      </c>
      <c r="O3" s="49">
        <v>2466</v>
      </c>
      <c r="P3" s="142">
        <v>2901868</v>
      </c>
      <c r="Q3" s="49">
        <v>8474</v>
      </c>
      <c r="R3" s="140">
        <v>16995683</v>
      </c>
      <c r="S3" s="49">
        <v>9775</v>
      </c>
      <c r="T3" s="140">
        <v>0</v>
      </c>
      <c r="U3" s="143"/>
      <c r="V3" s="140">
        <v>4589219</v>
      </c>
      <c r="W3" s="49">
        <v>10650</v>
      </c>
      <c r="X3" s="28">
        <v>42480</v>
      </c>
      <c r="Y3" s="35">
        <v>11921</v>
      </c>
      <c r="Z3" s="27">
        <v>6541.2198800000006</v>
      </c>
      <c r="AA3" s="27">
        <v>24533.201222400003</v>
      </c>
    </row>
    <row r="4" spans="1:27" ht="16.5" thickBot="1" x14ac:dyDescent="0.25">
      <c r="A4" s="10">
        <v>44287</v>
      </c>
      <c r="B4" s="49">
        <v>182</v>
      </c>
      <c r="C4" s="49">
        <v>18073</v>
      </c>
      <c r="D4" s="49">
        <f t="shared" ref="D4:D33" si="3">IF((C4-C3)&lt;0,"0",(C4-C3))*160</f>
        <v>640</v>
      </c>
      <c r="E4" s="140">
        <v>25448239</v>
      </c>
      <c r="F4" s="49">
        <f t="shared" ref="F4:F33" si="4">IF((E4-E3)&lt;0,"0",(E4-E3))</f>
        <v>5807</v>
      </c>
      <c r="G4" s="144">
        <v>79913721</v>
      </c>
      <c r="H4" s="49">
        <f t="shared" ref="H4:H33" si="5">IF((G4-G3)&lt;0,"0",(G4-G3))</f>
        <v>30588</v>
      </c>
      <c r="I4" s="141">
        <f t="shared" ref="I4:I30" si="6">F4+H4</f>
        <v>36395</v>
      </c>
      <c r="J4" s="140">
        <v>7760481</v>
      </c>
      <c r="K4" s="49">
        <f t="shared" ref="K4:K33" si="7">IF((J4-J3)&lt;0,"0",(J4-J3))</f>
        <v>3392</v>
      </c>
      <c r="L4" s="142">
        <v>7784916</v>
      </c>
      <c r="M4" s="49">
        <f t="shared" ref="M4:M33" si="8">IF((L4-L3)&lt;0,"0",(L4-L3))</f>
        <v>3820</v>
      </c>
      <c r="N4" s="140">
        <v>5011001</v>
      </c>
      <c r="O4" s="49">
        <f>(IF((N4-N3)&lt;P96,"0",(N4-N3)))*2</f>
        <v>1866</v>
      </c>
      <c r="P4" s="142">
        <v>2907646</v>
      </c>
      <c r="Q4" s="49">
        <f t="shared" ref="Q4:Q33" si="9">IF((P4-P3)&lt;0,"0",(P4-P3))</f>
        <v>5778</v>
      </c>
      <c r="R4" s="140">
        <v>17002170</v>
      </c>
      <c r="S4" s="49">
        <f t="shared" ref="S4:S33" si="10">IF((R4-R3)&lt;0,"0",(R4-R3))</f>
        <v>6487</v>
      </c>
      <c r="T4" s="140">
        <v>0</v>
      </c>
      <c r="U4" s="143"/>
      <c r="V4" s="140">
        <v>4596342</v>
      </c>
      <c r="W4" s="49">
        <f t="shared" ref="W4:W33" si="11">IF((V4-V3)&lt;0,"0",(V4-V3))</f>
        <v>7123</v>
      </c>
      <c r="X4" s="28">
        <f t="shared" ref="X4:X33" si="12">K4+M4+O4+Q4+S4+U4+W4</f>
        <v>28466</v>
      </c>
      <c r="Y4" s="35">
        <f t="shared" ref="Y4:Y33" si="13">I4-X4</f>
        <v>7929</v>
      </c>
      <c r="Z4" s="27">
        <f t="shared" ref="Z4:Z33" si="14">(0.93352*(W4+S4)+0.5568*(Q4+O4))*0.26</f>
        <v>4409.9604639999998</v>
      </c>
      <c r="AA4" s="27">
        <f>SUM(Z2:Z4)</f>
        <v>10951.180344</v>
      </c>
    </row>
    <row r="5" spans="1:27" ht="16.5" thickBot="1" x14ac:dyDescent="0.25">
      <c r="A5" s="10">
        <v>44288</v>
      </c>
      <c r="B5" s="49">
        <v>183</v>
      </c>
      <c r="C5" s="49">
        <v>18074</v>
      </c>
      <c r="D5" s="49">
        <f t="shared" si="3"/>
        <v>160</v>
      </c>
      <c r="E5" s="140">
        <v>25456697</v>
      </c>
      <c r="F5" s="49">
        <f t="shared" si="4"/>
        <v>8458</v>
      </c>
      <c r="G5" s="144">
        <v>79961546</v>
      </c>
      <c r="H5" s="49">
        <f t="shared" si="5"/>
        <v>47825</v>
      </c>
      <c r="I5" s="141">
        <f t="shared" si="6"/>
        <v>56283</v>
      </c>
      <c r="J5" s="140">
        <v>7765202</v>
      </c>
      <c r="K5" s="49">
        <f t="shared" si="7"/>
        <v>4721</v>
      </c>
      <c r="L5" s="142">
        <v>7790498</v>
      </c>
      <c r="M5" s="49">
        <f t="shared" si="8"/>
        <v>5582</v>
      </c>
      <c r="N5" s="140">
        <v>5012346</v>
      </c>
      <c r="O5" s="49">
        <f t="shared" ref="O5:O33" si="15">(IF((N5-N4)&lt;0,"0",(N5-N4)))*2</f>
        <v>2690</v>
      </c>
      <c r="P5" s="142">
        <v>2916393</v>
      </c>
      <c r="Q5" s="49">
        <f t="shared" si="9"/>
        <v>8747</v>
      </c>
      <c r="R5" s="140">
        <v>17012586</v>
      </c>
      <c r="S5" s="49">
        <f t="shared" si="10"/>
        <v>10416</v>
      </c>
      <c r="T5" s="140">
        <v>0</v>
      </c>
      <c r="U5" s="143"/>
      <c r="V5" s="140">
        <v>4607810</v>
      </c>
      <c r="W5" s="49">
        <f t="shared" si="11"/>
        <v>11468</v>
      </c>
      <c r="X5" s="28">
        <f t="shared" si="12"/>
        <v>43624</v>
      </c>
      <c r="Y5" s="35">
        <f t="shared" si="13"/>
        <v>12659</v>
      </c>
      <c r="Z5" s="27">
        <f t="shared" si="14"/>
        <v>6967.2910527999993</v>
      </c>
      <c r="AA5" s="27">
        <f>SUM(Z3:Z5)</f>
        <v>17918.4713968</v>
      </c>
    </row>
    <row r="6" spans="1:27" ht="16.5" thickBot="1" x14ac:dyDescent="0.25">
      <c r="A6" s="10">
        <v>44289</v>
      </c>
      <c r="B6" s="49">
        <v>168</v>
      </c>
      <c r="C6" s="49">
        <v>18077</v>
      </c>
      <c r="D6" s="49">
        <f t="shared" si="3"/>
        <v>480</v>
      </c>
      <c r="E6" s="140">
        <v>25463637</v>
      </c>
      <c r="F6" s="49">
        <f t="shared" si="4"/>
        <v>6940</v>
      </c>
      <c r="G6" s="144">
        <v>80000515</v>
      </c>
      <c r="H6" s="49">
        <f t="shared" si="5"/>
        <v>38969</v>
      </c>
      <c r="I6" s="141">
        <v>7769203</v>
      </c>
      <c r="J6" s="140">
        <v>7769203</v>
      </c>
      <c r="K6" s="49">
        <f t="shared" si="7"/>
        <v>4001</v>
      </c>
      <c r="L6" s="142">
        <v>7795009</v>
      </c>
      <c r="M6" s="49">
        <f t="shared" si="8"/>
        <v>4511</v>
      </c>
      <c r="N6" s="140">
        <v>5013494</v>
      </c>
      <c r="O6" s="49">
        <f t="shared" si="15"/>
        <v>2296</v>
      </c>
      <c r="P6" s="142">
        <v>2923652</v>
      </c>
      <c r="Q6" s="49">
        <f t="shared" si="9"/>
        <v>7259</v>
      </c>
      <c r="R6" s="140">
        <v>17021144</v>
      </c>
      <c r="S6" s="49">
        <f t="shared" si="10"/>
        <v>8558</v>
      </c>
      <c r="T6" s="140">
        <v>0</v>
      </c>
      <c r="U6" s="143"/>
      <c r="V6" s="140">
        <v>4617027</v>
      </c>
      <c r="W6" s="49">
        <f t="shared" si="11"/>
        <v>9217</v>
      </c>
      <c r="X6" s="28">
        <f t="shared" si="12"/>
        <v>35842</v>
      </c>
      <c r="Y6" s="35">
        <f t="shared" si="13"/>
        <v>7733361</v>
      </c>
      <c r="Z6" s="27">
        <f t="shared" si="14"/>
        <v>5697.5209199999999</v>
      </c>
      <c r="AA6" s="27">
        <f>SUM(Z4:Z6)</f>
        <v>17074.772436799998</v>
      </c>
    </row>
    <row r="7" spans="1:27" ht="16.5" thickBot="1" x14ac:dyDescent="0.25">
      <c r="A7" s="10">
        <v>44290</v>
      </c>
      <c r="B7" s="49">
        <v>138</v>
      </c>
      <c r="C7" s="49">
        <v>18079</v>
      </c>
      <c r="D7" s="49">
        <f t="shared" si="3"/>
        <v>320</v>
      </c>
      <c r="E7" s="140">
        <v>25472350</v>
      </c>
      <c r="F7" s="49">
        <f t="shared" si="4"/>
        <v>8713</v>
      </c>
      <c r="G7" s="144">
        <v>80052410</v>
      </c>
      <c r="H7" s="49">
        <f t="shared" si="5"/>
        <v>51895</v>
      </c>
      <c r="I7" s="141">
        <f t="shared" si="6"/>
        <v>60608</v>
      </c>
      <c r="J7" s="140">
        <v>7774970</v>
      </c>
      <c r="K7" s="49">
        <f t="shared" si="7"/>
        <v>5767</v>
      </c>
      <c r="L7" s="142">
        <v>7800766</v>
      </c>
      <c r="M7" s="49">
        <f t="shared" si="8"/>
        <v>5757</v>
      </c>
      <c r="N7" s="140">
        <v>5014877</v>
      </c>
      <c r="O7" s="49">
        <f t="shared" si="15"/>
        <v>2766</v>
      </c>
      <c r="P7" s="142">
        <v>2934137</v>
      </c>
      <c r="Q7" s="49">
        <f t="shared" si="9"/>
        <v>10485</v>
      </c>
      <c r="R7" s="140">
        <v>17032013</v>
      </c>
      <c r="S7" s="49">
        <f t="shared" si="10"/>
        <v>10869</v>
      </c>
      <c r="T7" s="140">
        <v>0</v>
      </c>
      <c r="U7" s="143"/>
      <c r="V7" s="140">
        <v>4628796</v>
      </c>
      <c r="W7" s="49">
        <f t="shared" si="11"/>
        <v>11769</v>
      </c>
      <c r="X7" s="28">
        <f t="shared" si="12"/>
        <v>47413</v>
      </c>
      <c r="Y7" s="35">
        <f t="shared" si="13"/>
        <v>13195</v>
      </c>
      <c r="Z7" s="27">
        <f t="shared" si="14"/>
        <v>7412.9074656000003</v>
      </c>
      <c r="AA7" s="27">
        <f t="shared" ref="AA7:AA33" si="16">SUM(Z4:Z7)</f>
        <v>24487.679902399999</v>
      </c>
    </row>
    <row r="8" spans="1:27" ht="16.5" thickBot="1" x14ac:dyDescent="0.25">
      <c r="A8" s="10">
        <v>44291</v>
      </c>
      <c r="B8" s="49">
        <v>146</v>
      </c>
      <c r="C8" s="49">
        <v>18081</v>
      </c>
      <c r="D8" s="49">
        <f t="shared" si="3"/>
        <v>320</v>
      </c>
      <c r="E8" s="140">
        <v>25479219</v>
      </c>
      <c r="F8" s="49">
        <f t="shared" si="4"/>
        <v>6869</v>
      </c>
      <c r="G8" s="144">
        <v>80087816</v>
      </c>
      <c r="H8" s="49">
        <f t="shared" si="5"/>
        <v>35406</v>
      </c>
      <c r="I8" s="141">
        <f t="shared" si="6"/>
        <v>42275</v>
      </c>
      <c r="J8" s="140">
        <v>7779348</v>
      </c>
      <c r="K8" s="49">
        <f t="shared" si="7"/>
        <v>4378</v>
      </c>
      <c r="L8" s="142">
        <v>7805218</v>
      </c>
      <c r="M8" s="49">
        <f t="shared" si="8"/>
        <v>4452</v>
      </c>
      <c r="N8" s="140">
        <v>5016028</v>
      </c>
      <c r="O8" s="49">
        <f t="shared" si="15"/>
        <v>2302</v>
      </c>
      <c r="P8" s="142">
        <v>2941803</v>
      </c>
      <c r="Q8" s="49">
        <f t="shared" si="9"/>
        <v>7666</v>
      </c>
      <c r="R8" s="140">
        <v>17038805</v>
      </c>
      <c r="S8" s="49">
        <f t="shared" si="10"/>
        <v>6792</v>
      </c>
      <c r="T8" s="140">
        <v>0</v>
      </c>
      <c r="U8" s="143"/>
      <c r="V8" s="140">
        <v>4636760</v>
      </c>
      <c r="W8" s="49">
        <f t="shared" si="11"/>
        <v>7964</v>
      </c>
      <c r="X8" s="28">
        <f t="shared" si="12"/>
        <v>33554</v>
      </c>
      <c r="Y8" s="35">
        <f t="shared" si="13"/>
        <v>8721</v>
      </c>
      <c r="Z8" s="27">
        <f t="shared" si="14"/>
        <v>5024.5529151999999</v>
      </c>
      <c r="AA8" s="27">
        <f t="shared" si="16"/>
        <v>25102.272353599998</v>
      </c>
    </row>
    <row r="9" spans="1:27" ht="16.5" thickBot="1" x14ac:dyDescent="0.25">
      <c r="A9" s="10">
        <v>44292</v>
      </c>
      <c r="B9" s="49">
        <v>154</v>
      </c>
      <c r="C9" s="49">
        <v>18084</v>
      </c>
      <c r="D9" s="49">
        <f t="shared" si="3"/>
        <v>480</v>
      </c>
      <c r="E9" s="140">
        <v>25488970</v>
      </c>
      <c r="F9" s="49">
        <f t="shared" si="4"/>
        <v>9751</v>
      </c>
      <c r="G9" s="144">
        <v>80138355</v>
      </c>
      <c r="H9" s="49">
        <f t="shared" si="5"/>
        <v>50539</v>
      </c>
      <c r="I9" s="141">
        <f t="shared" si="6"/>
        <v>60290</v>
      </c>
      <c r="J9" s="140">
        <v>7785610</v>
      </c>
      <c r="K9" s="49">
        <f t="shared" si="7"/>
        <v>6262</v>
      </c>
      <c r="L9" s="142">
        <v>7811480</v>
      </c>
      <c r="M9" s="49">
        <f t="shared" si="8"/>
        <v>6262</v>
      </c>
      <c r="N9" s="140">
        <v>5018063</v>
      </c>
      <c r="O9" s="49">
        <f t="shared" si="15"/>
        <v>4070</v>
      </c>
      <c r="P9" s="142">
        <v>2952834</v>
      </c>
      <c r="Q9" s="49">
        <f t="shared" si="9"/>
        <v>11031</v>
      </c>
      <c r="R9" s="140">
        <v>17048203</v>
      </c>
      <c r="S9" s="49">
        <f t="shared" si="10"/>
        <v>9398</v>
      </c>
      <c r="T9" s="140">
        <v>0</v>
      </c>
      <c r="U9" s="143"/>
      <c r="V9" s="140">
        <v>4648160</v>
      </c>
      <c r="W9" s="49">
        <f t="shared" si="11"/>
        <v>11400</v>
      </c>
      <c r="X9" s="28">
        <f t="shared" si="12"/>
        <v>48423</v>
      </c>
      <c r="Y9" s="35">
        <f t="shared" si="13"/>
        <v>11867</v>
      </c>
      <c r="Z9" s="27">
        <f t="shared" si="14"/>
        <v>7234.1322976000001</v>
      </c>
      <c r="AA9" s="27">
        <f t="shared" si="16"/>
        <v>25369.113598399999</v>
      </c>
    </row>
    <row r="10" spans="1:27" ht="16.5" thickBot="1" x14ac:dyDescent="0.25">
      <c r="A10" s="10">
        <v>44293</v>
      </c>
      <c r="B10" s="49">
        <v>148</v>
      </c>
      <c r="C10" s="49">
        <v>18087</v>
      </c>
      <c r="D10" s="49">
        <f t="shared" si="3"/>
        <v>480</v>
      </c>
      <c r="E10" s="140">
        <v>25497734</v>
      </c>
      <c r="F10" s="49">
        <f t="shared" si="4"/>
        <v>8764</v>
      </c>
      <c r="G10" s="144">
        <v>80184655</v>
      </c>
      <c r="H10" s="49">
        <f t="shared" si="5"/>
        <v>46300</v>
      </c>
      <c r="I10" s="141">
        <f t="shared" si="6"/>
        <v>55064</v>
      </c>
      <c r="J10" s="140">
        <v>7791612</v>
      </c>
      <c r="K10" s="49">
        <f t="shared" si="7"/>
        <v>6002</v>
      </c>
      <c r="L10" s="142">
        <v>7816413</v>
      </c>
      <c r="M10" s="49">
        <f t="shared" si="8"/>
        <v>4933</v>
      </c>
      <c r="N10" s="140">
        <v>5019536</v>
      </c>
      <c r="O10" s="49">
        <f t="shared" si="15"/>
        <v>2946</v>
      </c>
      <c r="P10" s="142">
        <v>2962621</v>
      </c>
      <c r="Q10" s="49">
        <f t="shared" si="9"/>
        <v>9787</v>
      </c>
      <c r="R10" s="140">
        <v>17057209</v>
      </c>
      <c r="S10" s="49">
        <f t="shared" si="10"/>
        <v>9006</v>
      </c>
      <c r="T10" s="140">
        <v>0</v>
      </c>
      <c r="U10" s="143"/>
      <c r="V10" s="140">
        <v>4658423</v>
      </c>
      <c r="W10" s="49">
        <f t="shared" si="11"/>
        <v>10263</v>
      </c>
      <c r="X10" s="28">
        <f t="shared" si="12"/>
        <v>42937</v>
      </c>
      <c r="Y10" s="35">
        <f t="shared" si="13"/>
        <v>12127</v>
      </c>
      <c r="Z10" s="27">
        <f t="shared" si="14"/>
        <v>6520.2101327999999</v>
      </c>
      <c r="AA10" s="27">
        <f t="shared" si="16"/>
        <v>26191.802811199999</v>
      </c>
    </row>
    <row r="11" spans="1:27" ht="16.5" thickBot="1" x14ac:dyDescent="0.25">
      <c r="A11" s="10">
        <v>44294</v>
      </c>
      <c r="B11" s="49">
        <v>144</v>
      </c>
      <c r="C11" s="49">
        <v>18091</v>
      </c>
      <c r="D11" s="49">
        <f t="shared" si="3"/>
        <v>640</v>
      </c>
      <c r="E11" s="140">
        <v>25504955</v>
      </c>
      <c r="F11" s="49">
        <f t="shared" si="4"/>
        <v>7221</v>
      </c>
      <c r="G11" s="144">
        <v>80229014</v>
      </c>
      <c r="H11" s="49">
        <f t="shared" si="5"/>
        <v>44359</v>
      </c>
      <c r="I11" s="141">
        <f t="shared" si="6"/>
        <v>51580</v>
      </c>
      <c r="J11" s="140">
        <v>7797040</v>
      </c>
      <c r="K11" s="49">
        <f t="shared" si="7"/>
        <v>5428</v>
      </c>
      <c r="L11" s="142">
        <v>7820866</v>
      </c>
      <c r="M11" s="49">
        <f t="shared" si="8"/>
        <v>4453</v>
      </c>
      <c r="N11" s="140">
        <v>5020850</v>
      </c>
      <c r="O11" s="49">
        <f t="shared" si="15"/>
        <v>2628</v>
      </c>
      <c r="P11" s="142">
        <v>2971757</v>
      </c>
      <c r="Q11" s="49">
        <f t="shared" si="9"/>
        <v>9136</v>
      </c>
      <c r="R11" s="140">
        <v>17065866</v>
      </c>
      <c r="S11" s="49">
        <f t="shared" si="10"/>
        <v>8657</v>
      </c>
      <c r="T11" s="140">
        <v>0</v>
      </c>
      <c r="U11" s="143"/>
      <c r="V11" s="140">
        <v>4668576</v>
      </c>
      <c r="W11" s="49">
        <f t="shared" si="11"/>
        <v>10153</v>
      </c>
      <c r="X11" s="28">
        <f t="shared" si="12"/>
        <v>40455</v>
      </c>
      <c r="Y11" s="35">
        <f t="shared" si="13"/>
        <v>11125</v>
      </c>
      <c r="Z11" s="27">
        <f t="shared" si="14"/>
        <v>6268.5236640000003</v>
      </c>
      <c r="AA11" s="27">
        <f t="shared" si="16"/>
        <v>25047.419009599998</v>
      </c>
    </row>
    <row r="12" spans="1:27" ht="16.5" thickBot="1" x14ac:dyDescent="0.25">
      <c r="A12" s="10">
        <v>44295</v>
      </c>
      <c r="B12" s="49">
        <v>141</v>
      </c>
      <c r="C12" s="49">
        <v>18093</v>
      </c>
      <c r="D12" s="49">
        <f t="shared" si="3"/>
        <v>320</v>
      </c>
      <c r="E12" s="140">
        <v>25515170</v>
      </c>
      <c r="F12" s="49">
        <f t="shared" si="4"/>
        <v>10215</v>
      </c>
      <c r="G12" s="144">
        <v>80289649</v>
      </c>
      <c r="H12" s="49">
        <f t="shared" si="5"/>
        <v>60635</v>
      </c>
      <c r="I12" s="141">
        <f t="shared" si="6"/>
        <v>70850</v>
      </c>
      <c r="J12" s="140">
        <v>7803881</v>
      </c>
      <c r="K12" s="49">
        <f t="shared" si="7"/>
        <v>6841</v>
      </c>
      <c r="L12" s="142">
        <v>7827669</v>
      </c>
      <c r="M12" s="49">
        <f t="shared" si="8"/>
        <v>6803</v>
      </c>
      <c r="N12" s="140">
        <v>5022458</v>
      </c>
      <c r="O12" s="49">
        <f t="shared" si="15"/>
        <v>3216</v>
      </c>
      <c r="P12" s="142">
        <v>2983650</v>
      </c>
      <c r="Q12" s="49">
        <f t="shared" si="9"/>
        <v>11893</v>
      </c>
      <c r="R12" s="140">
        <v>17078223</v>
      </c>
      <c r="S12" s="49">
        <f t="shared" si="10"/>
        <v>12357</v>
      </c>
      <c r="T12" s="140">
        <v>0</v>
      </c>
      <c r="U12" s="143"/>
      <c r="V12" s="140">
        <v>4682681</v>
      </c>
      <c r="W12" s="49">
        <f t="shared" si="11"/>
        <v>14105</v>
      </c>
      <c r="X12" s="28">
        <f t="shared" si="12"/>
        <v>55215</v>
      </c>
      <c r="Y12" s="35">
        <f t="shared" si="13"/>
        <v>15635</v>
      </c>
      <c r="Z12" s="27">
        <f t="shared" si="14"/>
        <v>8610.0293344000002</v>
      </c>
      <c r="AA12" s="27">
        <f t="shared" si="16"/>
        <v>28632.895428800002</v>
      </c>
    </row>
    <row r="13" spans="1:27" ht="16.5" thickBot="1" x14ac:dyDescent="0.25">
      <c r="A13" s="10">
        <v>44296</v>
      </c>
      <c r="B13" s="49"/>
      <c r="C13" s="49">
        <f t="shared" ref="C12:C33" si="17">C12</f>
        <v>18093</v>
      </c>
      <c r="D13" s="49">
        <f t="shared" si="3"/>
        <v>0</v>
      </c>
      <c r="E13" s="140">
        <f t="shared" ref="E12:E33" si="18">E12</f>
        <v>25515170</v>
      </c>
      <c r="F13" s="49">
        <f t="shared" si="4"/>
        <v>0</v>
      </c>
      <c r="G13" s="144">
        <f t="shared" ref="G12:G33" si="19">G12</f>
        <v>80289649</v>
      </c>
      <c r="H13" s="49">
        <f t="shared" si="5"/>
        <v>0</v>
      </c>
      <c r="I13" s="141">
        <f t="shared" si="6"/>
        <v>0</v>
      </c>
      <c r="J13" s="140">
        <f t="shared" ref="J12:J33" si="20">J12</f>
        <v>7803881</v>
      </c>
      <c r="K13" s="49">
        <f t="shared" si="7"/>
        <v>0</v>
      </c>
      <c r="L13" s="142">
        <f t="shared" ref="L12:L33" si="21">L12</f>
        <v>7827669</v>
      </c>
      <c r="M13" s="49">
        <f t="shared" si="8"/>
        <v>0</v>
      </c>
      <c r="N13" s="140">
        <f t="shared" ref="N12:N33" si="22">N12</f>
        <v>5022458</v>
      </c>
      <c r="O13" s="49">
        <f t="shared" si="15"/>
        <v>0</v>
      </c>
      <c r="P13" s="142">
        <f t="shared" ref="P12:P33" si="23">P12</f>
        <v>2983650</v>
      </c>
      <c r="Q13" s="49">
        <f t="shared" si="9"/>
        <v>0</v>
      </c>
      <c r="R13" s="140">
        <f t="shared" ref="R12:R33" si="24">R12</f>
        <v>17078223</v>
      </c>
      <c r="S13" s="49">
        <f>IF((R13-R12)&lt;0,"0",(R13-R12))</f>
        <v>0</v>
      </c>
      <c r="T13" s="140">
        <v>0</v>
      </c>
      <c r="U13" s="143"/>
      <c r="V13" s="140">
        <f t="shared" ref="V12:V33" si="25">V12</f>
        <v>4682681</v>
      </c>
      <c r="W13" s="49">
        <f t="shared" si="11"/>
        <v>0</v>
      </c>
      <c r="X13" s="28">
        <f t="shared" si="12"/>
        <v>0</v>
      </c>
      <c r="Y13" s="35">
        <f t="shared" si="13"/>
        <v>0</v>
      </c>
      <c r="Z13" s="27">
        <f t="shared" si="14"/>
        <v>0</v>
      </c>
      <c r="AA13" s="27">
        <f t="shared" si="16"/>
        <v>21398.763131200001</v>
      </c>
    </row>
    <row r="14" spans="1:27" ht="16.5" thickBot="1" x14ac:dyDescent="0.25">
      <c r="A14" s="10">
        <v>44297</v>
      </c>
      <c r="B14" s="49"/>
      <c r="C14" s="49">
        <f t="shared" si="17"/>
        <v>18093</v>
      </c>
      <c r="D14" s="49">
        <f t="shared" si="3"/>
        <v>0</v>
      </c>
      <c r="E14" s="140">
        <f t="shared" si="18"/>
        <v>25515170</v>
      </c>
      <c r="F14" s="49">
        <f>IF((E14-E13)&lt;0,"0",(E14-E13))</f>
        <v>0</v>
      </c>
      <c r="G14" s="144">
        <f t="shared" si="19"/>
        <v>80289649</v>
      </c>
      <c r="H14" s="49">
        <f t="shared" si="5"/>
        <v>0</v>
      </c>
      <c r="I14" s="141">
        <f t="shared" si="6"/>
        <v>0</v>
      </c>
      <c r="J14" s="140">
        <f t="shared" si="20"/>
        <v>7803881</v>
      </c>
      <c r="K14" s="49">
        <f t="shared" si="7"/>
        <v>0</v>
      </c>
      <c r="L14" s="142">
        <f t="shared" si="21"/>
        <v>7827669</v>
      </c>
      <c r="M14" s="49">
        <f t="shared" si="8"/>
        <v>0</v>
      </c>
      <c r="N14" s="140">
        <f t="shared" si="22"/>
        <v>5022458</v>
      </c>
      <c r="O14" s="49">
        <f t="shared" si="15"/>
        <v>0</v>
      </c>
      <c r="P14" s="142">
        <f t="shared" si="23"/>
        <v>2983650</v>
      </c>
      <c r="Q14" s="49">
        <f t="shared" si="9"/>
        <v>0</v>
      </c>
      <c r="R14" s="140">
        <f t="shared" si="24"/>
        <v>17078223</v>
      </c>
      <c r="S14" s="49">
        <f>IF((R14-R13)&lt;0,"0",(R14-R13))</f>
        <v>0</v>
      </c>
      <c r="T14" s="140">
        <v>0</v>
      </c>
      <c r="U14" s="143"/>
      <c r="V14" s="140">
        <f t="shared" si="25"/>
        <v>4682681</v>
      </c>
      <c r="W14" s="49">
        <f t="shared" si="11"/>
        <v>0</v>
      </c>
      <c r="X14" s="28">
        <f t="shared" si="12"/>
        <v>0</v>
      </c>
      <c r="Y14" s="35">
        <f t="shared" si="13"/>
        <v>0</v>
      </c>
      <c r="Z14" s="27">
        <f t="shared" si="14"/>
        <v>0</v>
      </c>
      <c r="AA14" s="27">
        <f t="shared" si="16"/>
        <v>14878.5529984</v>
      </c>
    </row>
    <row r="15" spans="1:27" ht="16.5" thickBot="1" x14ac:dyDescent="0.25">
      <c r="A15" s="10">
        <v>44298</v>
      </c>
      <c r="B15" s="49"/>
      <c r="C15" s="49">
        <f t="shared" si="17"/>
        <v>18093</v>
      </c>
      <c r="D15" s="49">
        <f t="shared" si="3"/>
        <v>0</v>
      </c>
      <c r="E15" s="140">
        <f t="shared" si="18"/>
        <v>25515170</v>
      </c>
      <c r="F15" s="49">
        <f>IF((E15-E14)&lt;0,"0",(E15-E14))</f>
        <v>0</v>
      </c>
      <c r="G15" s="144">
        <f t="shared" si="19"/>
        <v>80289649</v>
      </c>
      <c r="H15" s="49">
        <f t="shared" si="5"/>
        <v>0</v>
      </c>
      <c r="I15" s="141">
        <f t="shared" si="6"/>
        <v>0</v>
      </c>
      <c r="J15" s="140">
        <f t="shared" si="20"/>
        <v>7803881</v>
      </c>
      <c r="K15" s="49">
        <f t="shared" si="7"/>
        <v>0</v>
      </c>
      <c r="L15" s="142">
        <f t="shared" si="21"/>
        <v>7827669</v>
      </c>
      <c r="M15" s="49">
        <f t="shared" si="8"/>
        <v>0</v>
      </c>
      <c r="N15" s="140">
        <f t="shared" si="22"/>
        <v>5022458</v>
      </c>
      <c r="O15" s="49">
        <f t="shared" si="15"/>
        <v>0</v>
      </c>
      <c r="P15" s="142">
        <f t="shared" si="23"/>
        <v>2983650</v>
      </c>
      <c r="Q15" s="49">
        <f t="shared" si="9"/>
        <v>0</v>
      </c>
      <c r="R15" s="140">
        <f t="shared" si="24"/>
        <v>17078223</v>
      </c>
      <c r="S15" s="49">
        <f>IF((R15-R14)&lt;0,"0",(R15-R14))</f>
        <v>0</v>
      </c>
      <c r="T15" s="140">
        <v>0</v>
      </c>
      <c r="U15" s="143"/>
      <c r="V15" s="140">
        <f t="shared" si="25"/>
        <v>4682681</v>
      </c>
      <c r="W15" s="49">
        <f t="shared" si="11"/>
        <v>0</v>
      </c>
      <c r="X15" s="28">
        <f t="shared" si="12"/>
        <v>0</v>
      </c>
      <c r="Y15" s="35">
        <f t="shared" si="13"/>
        <v>0</v>
      </c>
      <c r="Z15" s="27">
        <f t="shared" si="14"/>
        <v>0</v>
      </c>
      <c r="AA15" s="27">
        <f t="shared" si="16"/>
        <v>8610.0293344000002</v>
      </c>
    </row>
    <row r="16" spans="1:27" ht="16.5" thickBot="1" x14ac:dyDescent="0.25">
      <c r="A16" s="10">
        <v>44299</v>
      </c>
      <c r="B16" s="49"/>
      <c r="C16" s="49">
        <f t="shared" si="17"/>
        <v>18093</v>
      </c>
      <c r="D16" s="49">
        <f t="shared" si="3"/>
        <v>0</v>
      </c>
      <c r="E16" s="140">
        <f t="shared" si="18"/>
        <v>25515170</v>
      </c>
      <c r="F16" s="49">
        <f>IF((E16-E15)&lt;0,"0",(E16-E15))</f>
        <v>0</v>
      </c>
      <c r="G16" s="144">
        <f t="shared" si="19"/>
        <v>80289649</v>
      </c>
      <c r="H16" s="49">
        <f t="shared" si="5"/>
        <v>0</v>
      </c>
      <c r="I16" s="141">
        <f t="shared" si="6"/>
        <v>0</v>
      </c>
      <c r="J16" s="140">
        <f t="shared" si="20"/>
        <v>7803881</v>
      </c>
      <c r="K16" s="49">
        <f t="shared" si="7"/>
        <v>0</v>
      </c>
      <c r="L16" s="142">
        <f t="shared" si="21"/>
        <v>7827669</v>
      </c>
      <c r="M16" s="49">
        <f t="shared" si="8"/>
        <v>0</v>
      </c>
      <c r="N16" s="140">
        <f t="shared" si="22"/>
        <v>5022458</v>
      </c>
      <c r="O16" s="49">
        <f t="shared" si="15"/>
        <v>0</v>
      </c>
      <c r="P16" s="142">
        <f t="shared" si="23"/>
        <v>2983650</v>
      </c>
      <c r="Q16" s="49">
        <f t="shared" si="9"/>
        <v>0</v>
      </c>
      <c r="R16" s="140">
        <f t="shared" si="24"/>
        <v>17078223</v>
      </c>
      <c r="S16" s="49">
        <f t="shared" si="10"/>
        <v>0</v>
      </c>
      <c r="T16" s="140">
        <v>0</v>
      </c>
      <c r="U16" s="143"/>
      <c r="V16" s="140">
        <f t="shared" si="25"/>
        <v>4682681</v>
      </c>
      <c r="W16" s="49">
        <f t="shared" si="11"/>
        <v>0</v>
      </c>
      <c r="X16" s="28">
        <f t="shared" si="12"/>
        <v>0</v>
      </c>
      <c r="Y16" s="35">
        <f t="shared" si="13"/>
        <v>0</v>
      </c>
      <c r="Z16" s="27">
        <f t="shared" si="14"/>
        <v>0</v>
      </c>
      <c r="AA16" s="27">
        <f t="shared" si="16"/>
        <v>0</v>
      </c>
    </row>
    <row r="17" spans="1:27" s="154" customFormat="1" ht="16.5" thickBot="1" x14ac:dyDescent="0.25">
      <c r="A17" s="10">
        <v>44300</v>
      </c>
      <c r="B17" s="149"/>
      <c r="C17" s="49">
        <f t="shared" si="17"/>
        <v>18093</v>
      </c>
      <c r="D17" s="49">
        <f t="shared" si="3"/>
        <v>0</v>
      </c>
      <c r="E17" s="140">
        <f t="shared" si="18"/>
        <v>25515170</v>
      </c>
      <c r="F17" s="149">
        <f t="shared" si="4"/>
        <v>0</v>
      </c>
      <c r="G17" s="144">
        <f t="shared" si="19"/>
        <v>80289649</v>
      </c>
      <c r="H17" s="49">
        <f t="shared" si="5"/>
        <v>0</v>
      </c>
      <c r="I17" s="151">
        <f t="shared" si="6"/>
        <v>0</v>
      </c>
      <c r="J17" s="140">
        <f t="shared" si="20"/>
        <v>7803881</v>
      </c>
      <c r="K17" s="149">
        <f t="shared" si="7"/>
        <v>0</v>
      </c>
      <c r="L17" s="142">
        <f t="shared" si="21"/>
        <v>7827669</v>
      </c>
      <c r="M17" s="149">
        <f t="shared" si="8"/>
        <v>0</v>
      </c>
      <c r="N17" s="140">
        <f t="shared" si="22"/>
        <v>5022458</v>
      </c>
      <c r="O17" s="149">
        <f t="shared" si="15"/>
        <v>0</v>
      </c>
      <c r="P17" s="142">
        <f t="shared" si="23"/>
        <v>2983650</v>
      </c>
      <c r="Q17" s="149">
        <f t="shared" si="9"/>
        <v>0</v>
      </c>
      <c r="R17" s="140">
        <f t="shared" si="24"/>
        <v>17078223</v>
      </c>
      <c r="S17" s="149">
        <f t="shared" si="10"/>
        <v>0</v>
      </c>
      <c r="T17" s="150">
        <v>0</v>
      </c>
      <c r="U17" s="143"/>
      <c r="V17" s="140">
        <f t="shared" si="25"/>
        <v>4682681</v>
      </c>
      <c r="W17" s="149">
        <f t="shared" si="11"/>
        <v>0</v>
      </c>
      <c r="X17" s="28">
        <f t="shared" si="12"/>
        <v>0</v>
      </c>
      <c r="Y17" s="152">
        <f t="shared" si="13"/>
        <v>0</v>
      </c>
      <c r="Z17" s="153">
        <f t="shared" si="14"/>
        <v>0</v>
      </c>
      <c r="AA17" s="153">
        <f t="shared" si="16"/>
        <v>0</v>
      </c>
    </row>
    <row r="18" spans="1:27" s="154" customFormat="1" ht="16.5" thickBot="1" x14ac:dyDescent="0.25">
      <c r="A18" s="10">
        <v>44301</v>
      </c>
      <c r="B18" s="149"/>
      <c r="C18" s="49">
        <f t="shared" si="17"/>
        <v>18093</v>
      </c>
      <c r="D18" s="49">
        <f t="shared" si="3"/>
        <v>0</v>
      </c>
      <c r="E18" s="140">
        <f t="shared" si="18"/>
        <v>25515170</v>
      </c>
      <c r="F18" s="149">
        <f t="shared" si="4"/>
        <v>0</v>
      </c>
      <c r="G18" s="144">
        <f t="shared" si="19"/>
        <v>80289649</v>
      </c>
      <c r="H18" s="49">
        <f t="shared" si="5"/>
        <v>0</v>
      </c>
      <c r="I18" s="151">
        <f t="shared" si="6"/>
        <v>0</v>
      </c>
      <c r="J18" s="140">
        <f t="shared" si="20"/>
        <v>7803881</v>
      </c>
      <c r="K18" s="149">
        <f t="shared" si="7"/>
        <v>0</v>
      </c>
      <c r="L18" s="142">
        <f t="shared" si="21"/>
        <v>7827669</v>
      </c>
      <c r="M18" s="149">
        <f t="shared" si="8"/>
        <v>0</v>
      </c>
      <c r="N18" s="140">
        <f t="shared" si="22"/>
        <v>5022458</v>
      </c>
      <c r="O18" s="149">
        <f t="shared" si="15"/>
        <v>0</v>
      </c>
      <c r="P18" s="142">
        <f t="shared" si="23"/>
        <v>2983650</v>
      </c>
      <c r="Q18" s="149">
        <f t="shared" si="9"/>
        <v>0</v>
      </c>
      <c r="R18" s="140">
        <f t="shared" si="24"/>
        <v>17078223</v>
      </c>
      <c r="S18" s="149">
        <f t="shared" si="10"/>
        <v>0</v>
      </c>
      <c r="T18" s="150">
        <v>0</v>
      </c>
      <c r="U18" s="143"/>
      <c r="V18" s="140">
        <f t="shared" si="25"/>
        <v>4682681</v>
      </c>
      <c r="W18" s="149">
        <f t="shared" si="11"/>
        <v>0</v>
      </c>
      <c r="X18" s="28">
        <f t="shared" si="12"/>
        <v>0</v>
      </c>
      <c r="Y18" s="152">
        <f t="shared" si="13"/>
        <v>0</v>
      </c>
      <c r="Z18" s="153">
        <f t="shared" si="14"/>
        <v>0</v>
      </c>
      <c r="AA18" s="153">
        <f t="shared" si="16"/>
        <v>0</v>
      </c>
    </row>
    <row r="19" spans="1:27" s="154" customFormat="1" ht="16.5" thickBot="1" x14ac:dyDescent="0.25">
      <c r="A19" s="10">
        <v>44302</v>
      </c>
      <c r="B19" s="149"/>
      <c r="C19" s="49">
        <f t="shared" si="17"/>
        <v>18093</v>
      </c>
      <c r="D19" s="49">
        <f>IF((C19-C18)&lt;0,"0",(C19-C18))*160</f>
        <v>0</v>
      </c>
      <c r="E19" s="140">
        <f t="shared" si="18"/>
        <v>25515170</v>
      </c>
      <c r="F19" s="149">
        <f t="shared" si="4"/>
        <v>0</v>
      </c>
      <c r="G19" s="144">
        <f t="shared" si="19"/>
        <v>80289649</v>
      </c>
      <c r="H19" s="49">
        <f t="shared" si="5"/>
        <v>0</v>
      </c>
      <c r="I19" s="151">
        <f t="shared" si="6"/>
        <v>0</v>
      </c>
      <c r="J19" s="140">
        <f t="shared" si="20"/>
        <v>7803881</v>
      </c>
      <c r="K19" s="149">
        <f t="shared" si="7"/>
        <v>0</v>
      </c>
      <c r="L19" s="142">
        <f t="shared" si="21"/>
        <v>7827669</v>
      </c>
      <c r="M19" s="149">
        <f t="shared" si="8"/>
        <v>0</v>
      </c>
      <c r="N19" s="140">
        <f t="shared" si="22"/>
        <v>5022458</v>
      </c>
      <c r="O19" s="149">
        <f t="shared" si="15"/>
        <v>0</v>
      </c>
      <c r="P19" s="142">
        <f t="shared" si="23"/>
        <v>2983650</v>
      </c>
      <c r="Q19" s="149">
        <f t="shared" si="9"/>
        <v>0</v>
      </c>
      <c r="R19" s="140">
        <f t="shared" si="24"/>
        <v>17078223</v>
      </c>
      <c r="S19" s="149">
        <f t="shared" si="10"/>
        <v>0</v>
      </c>
      <c r="T19" s="150">
        <v>0</v>
      </c>
      <c r="U19" s="143"/>
      <c r="V19" s="140">
        <f t="shared" si="25"/>
        <v>4682681</v>
      </c>
      <c r="W19" s="149">
        <f t="shared" si="11"/>
        <v>0</v>
      </c>
      <c r="X19" s="28">
        <f t="shared" si="12"/>
        <v>0</v>
      </c>
      <c r="Y19" s="152">
        <f t="shared" si="13"/>
        <v>0</v>
      </c>
      <c r="Z19" s="153">
        <f t="shared" si="14"/>
        <v>0</v>
      </c>
      <c r="AA19" s="153">
        <f t="shared" si="16"/>
        <v>0</v>
      </c>
    </row>
    <row r="20" spans="1:27" s="154" customFormat="1" ht="16.5" thickBot="1" x14ac:dyDescent="0.25">
      <c r="A20" s="10">
        <v>44303</v>
      </c>
      <c r="B20" s="149"/>
      <c r="C20" s="49">
        <f t="shared" si="17"/>
        <v>18093</v>
      </c>
      <c r="D20" s="49">
        <f>IF((C20-C19)&lt;0,"0",(C20-C19))*160</f>
        <v>0</v>
      </c>
      <c r="E20" s="140">
        <f t="shared" si="18"/>
        <v>25515170</v>
      </c>
      <c r="F20" s="149">
        <f t="shared" si="4"/>
        <v>0</v>
      </c>
      <c r="G20" s="144">
        <f t="shared" si="19"/>
        <v>80289649</v>
      </c>
      <c r="H20" s="49">
        <f t="shared" si="5"/>
        <v>0</v>
      </c>
      <c r="I20" s="151">
        <f t="shared" si="6"/>
        <v>0</v>
      </c>
      <c r="J20" s="140">
        <f t="shared" si="20"/>
        <v>7803881</v>
      </c>
      <c r="K20" s="149">
        <f t="shared" si="7"/>
        <v>0</v>
      </c>
      <c r="L20" s="142">
        <f t="shared" si="21"/>
        <v>7827669</v>
      </c>
      <c r="M20" s="149">
        <f t="shared" si="8"/>
        <v>0</v>
      </c>
      <c r="N20" s="140">
        <f t="shared" si="22"/>
        <v>5022458</v>
      </c>
      <c r="O20" s="149">
        <f t="shared" si="15"/>
        <v>0</v>
      </c>
      <c r="P20" s="142">
        <f t="shared" si="23"/>
        <v>2983650</v>
      </c>
      <c r="Q20" s="149">
        <f t="shared" si="9"/>
        <v>0</v>
      </c>
      <c r="R20" s="140">
        <f t="shared" si="24"/>
        <v>17078223</v>
      </c>
      <c r="S20" s="149">
        <f t="shared" si="10"/>
        <v>0</v>
      </c>
      <c r="T20" s="150">
        <v>0</v>
      </c>
      <c r="U20" s="143"/>
      <c r="V20" s="140">
        <f t="shared" si="25"/>
        <v>4682681</v>
      </c>
      <c r="W20" s="149">
        <f t="shared" si="11"/>
        <v>0</v>
      </c>
      <c r="X20" s="28">
        <f t="shared" si="12"/>
        <v>0</v>
      </c>
      <c r="Y20" s="152">
        <f t="shared" si="13"/>
        <v>0</v>
      </c>
      <c r="Z20" s="153">
        <f t="shared" si="14"/>
        <v>0</v>
      </c>
      <c r="AA20" s="153">
        <f t="shared" si="16"/>
        <v>0</v>
      </c>
    </row>
    <row r="21" spans="1:27" s="154" customFormat="1" ht="16.5" thickBot="1" x14ac:dyDescent="0.25">
      <c r="A21" s="10">
        <v>44304</v>
      </c>
      <c r="B21" s="149"/>
      <c r="C21" s="49">
        <f t="shared" si="17"/>
        <v>18093</v>
      </c>
      <c r="D21" s="49">
        <f>IF((C21-C20)&lt;0,"0",(C21-C20))*160</f>
        <v>0</v>
      </c>
      <c r="E21" s="140">
        <f t="shared" si="18"/>
        <v>25515170</v>
      </c>
      <c r="F21" s="149">
        <f t="shared" si="4"/>
        <v>0</v>
      </c>
      <c r="G21" s="144">
        <f t="shared" si="19"/>
        <v>80289649</v>
      </c>
      <c r="H21" s="49">
        <f t="shared" si="5"/>
        <v>0</v>
      </c>
      <c r="I21" s="151">
        <f t="shared" si="6"/>
        <v>0</v>
      </c>
      <c r="J21" s="140">
        <f t="shared" si="20"/>
        <v>7803881</v>
      </c>
      <c r="K21" s="149">
        <f t="shared" si="7"/>
        <v>0</v>
      </c>
      <c r="L21" s="142">
        <f t="shared" si="21"/>
        <v>7827669</v>
      </c>
      <c r="M21" s="149">
        <f t="shared" si="8"/>
        <v>0</v>
      </c>
      <c r="N21" s="140">
        <f t="shared" si="22"/>
        <v>5022458</v>
      </c>
      <c r="O21" s="149">
        <f t="shared" si="15"/>
        <v>0</v>
      </c>
      <c r="P21" s="142">
        <f t="shared" si="23"/>
        <v>2983650</v>
      </c>
      <c r="Q21" s="149">
        <f t="shared" si="9"/>
        <v>0</v>
      </c>
      <c r="R21" s="140">
        <f t="shared" si="24"/>
        <v>17078223</v>
      </c>
      <c r="S21" s="149">
        <f t="shared" si="10"/>
        <v>0</v>
      </c>
      <c r="T21" s="150">
        <v>0</v>
      </c>
      <c r="U21" s="143"/>
      <c r="V21" s="140">
        <f t="shared" si="25"/>
        <v>4682681</v>
      </c>
      <c r="W21" s="149">
        <f t="shared" si="11"/>
        <v>0</v>
      </c>
      <c r="X21" s="28">
        <f t="shared" si="12"/>
        <v>0</v>
      </c>
      <c r="Y21" s="152">
        <f t="shared" si="13"/>
        <v>0</v>
      </c>
      <c r="Z21" s="153">
        <f t="shared" si="14"/>
        <v>0</v>
      </c>
      <c r="AA21" s="153">
        <f t="shared" si="16"/>
        <v>0</v>
      </c>
    </row>
    <row r="22" spans="1:27" ht="16.5" thickBot="1" x14ac:dyDescent="0.25">
      <c r="A22" s="10">
        <v>44305</v>
      </c>
      <c r="B22" s="49"/>
      <c r="C22" s="49">
        <f t="shared" si="17"/>
        <v>18093</v>
      </c>
      <c r="D22" s="49">
        <f t="shared" si="3"/>
        <v>0</v>
      </c>
      <c r="E22" s="140">
        <f t="shared" si="18"/>
        <v>25515170</v>
      </c>
      <c r="F22" s="49">
        <f t="shared" si="4"/>
        <v>0</v>
      </c>
      <c r="G22" s="144">
        <f t="shared" si="19"/>
        <v>80289649</v>
      </c>
      <c r="H22" s="49">
        <f t="shared" si="5"/>
        <v>0</v>
      </c>
      <c r="I22" s="141">
        <f t="shared" si="6"/>
        <v>0</v>
      </c>
      <c r="J22" s="140">
        <f t="shared" si="20"/>
        <v>7803881</v>
      </c>
      <c r="K22" s="49">
        <f t="shared" si="7"/>
        <v>0</v>
      </c>
      <c r="L22" s="142">
        <f t="shared" si="21"/>
        <v>7827669</v>
      </c>
      <c r="M22" s="49">
        <f t="shared" si="8"/>
        <v>0</v>
      </c>
      <c r="N22" s="140">
        <f t="shared" si="22"/>
        <v>5022458</v>
      </c>
      <c r="O22" s="49">
        <f t="shared" si="15"/>
        <v>0</v>
      </c>
      <c r="P22" s="142">
        <f t="shared" si="23"/>
        <v>2983650</v>
      </c>
      <c r="Q22" s="49">
        <f t="shared" si="9"/>
        <v>0</v>
      </c>
      <c r="R22" s="140">
        <f t="shared" si="24"/>
        <v>17078223</v>
      </c>
      <c r="S22" s="49">
        <f t="shared" si="10"/>
        <v>0</v>
      </c>
      <c r="T22" s="140">
        <v>0</v>
      </c>
      <c r="U22" s="143"/>
      <c r="V22" s="140">
        <f t="shared" si="25"/>
        <v>4682681</v>
      </c>
      <c r="W22" s="49">
        <f t="shared" si="11"/>
        <v>0</v>
      </c>
      <c r="X22" s="28">
        <f t="shared" si="12"/>
        <v>0</v>
      </c>
      <c r="Y22" s="35">
        <f t="shared" si="13"/>
        <v>0</v>
      </c>
      <c r="Z22" s="27">
        <f t="shared" si="14"/>
        <v>0</v>
      </c>
      <c r="AA22" s="27">
        <f t="shared" si="16"/>
        <v>0</v>
      </c>
    </row>
    <row r="23" spans="1:27" ht="16.5" thickBot="1" x14ac:dyDescent="0.25">
      <c r="A23" s="10">
        <v>44306</v>
      </c>
      <c r="B23" s="49"/>
      <c r="C23" s="49">
        <f t="shared" si="17"/>
        <v>18093</v>
      </c>
      <c r="D23" s="49">
        <f t="shared" si="3"/>
        <v>0</v>
      </c>
      <c r="E23" s="140">
        <f t="shared" si="18"/>
        <v>25515170</v>
      </c>
      <c r="F23" s="49">
        <f t="shared" si="4"/>
        <v>0</v>
      </c>
      <c r="G23" s="144">
        <f t="shared" si="19"/>
        <v>80289649</v>
      </c>
      <c r="H23" s="49">
        <f t="shared" si="5"/>
        <v>0</v>
      </c>
      <c r="I23" s="141">
        <f t="shared" si="6"/>
        <v>0</v>
      </c>
      <c r="J23" s="140">
        <f t="shared" si="20"/>
        <v>7803881</v>
      </c>
      <c r="K23" s="49">
        <f t="shared" si="7"/>
        <v>0</v>
      </c>
      <c r="L23" s="142">
        <f t="shared" si="21"/>
        <v>7827669</v>
      </c>
      <c r="M23" s="49">
        <f t="shared" si="8"/>
        <v>0</v>
      </c>
      <c r="N23" s="140">
        <f t="shared" si="22"/>
        <v>5022458</v>
      </c>
      <c r="O23" s="49">
        <f t="shared" si="15"/>
        <v>0</v>
      </c>
      <c r="P23" s="142">
        <f t="shared" si="23"/>
        <v>2983650</v>
      </c>
      <c r="Q23" s="49">
        <f t="shared" si="9"/>
        <v>0</v>
      </c>
      <c r="R23" s="140">
        <f t="shared" si="24"/>
        <v>17078223</v>
      </c>
      <c r="S23" s="49">
        <f t="shared" si="10"/>
        <v>0</v>
      </c>
      <c r="T23" s="140">
        <v>0</v>
      </c>
      <c r="U23" s="143"/>
      <c r="V23" s="140">
        <f t="shared" si="25"/>
        <v>4682681</v>
      </c>
      <c r="W23" s="49">
        <f t="shared" si="11"/>
        <v>0</v>
      </c>
      <c r="X23" s="28">
        <f t="shared" si="12"/>
        <v>0</v>
      </c>
      <c r="Y23" s="35">
        <f t="shared" si="13"/>
        <v>0</v>
      </c>
      <c r="Z23" s="27">
        <f t="shared" si="14"/>
        <v>0</v>
      </c>
      <c r="AA23" s="27">
        <f t="shared" si="16"/>
        <v>0</v>
      </c>
    </row>
    <row r="24" spans="1:27" ht="16.5" thickBot="1" x14ac:dyDescent="0.25">
      <c r="A24" s="10">
        <v>44307</v>
      </c>
      <c r="B24" s="49"/>
      <c r="C24" s="49">
        <f t="shared" si="17"/>
        <v>18093</v>
      </c>
      <c r="D24" s="49">
        <f t="shared" si="3"/>
        <v>0</v>
      </c>
      <c r="E24" s="140">
        <f t="shared" si="18"/>
        <v>25515170</v>
      </c>
      <c r="F24" s="49">
        <f t="shared" si="4"/>
        <v>0</v>
      </c>
      <c r="G24" s="144">
        <f t="shared" si="19"/>
        <v>80289649</v>
      </c>
      <c r="H24" s="49">
        <f t="shared" si="5"/>
        <v>0</v>
      </c>
      <c r="I24" s="141">
        <f t="shared" si="6"/>
        <v>0</v>
      </c>
      <c r="J24" s="140">
        <f t="shared" si="20"/>
        <v>7803881</v>
      </c>
      <c r="K24" s="49">
        <f t="shared" si="7"/>
        <v>0</v>
      </c>
      <c r="L24" s="142">
        <f t="shared" si="21"/>
        <v>7827669</v>
      </c>
      <c r="M24" s="49">
        <f t="shared" si="8"/>
        <v>0</v>
      </c>
      <c r="N24" s="140">
        <f t="shared" si="22"/>
        <v>5022458</v>
      </c>
      <c r="O24" s="49">
        <f t="shared" si="15"/>
        <v>0</v>
      </c>
      <c r="P24" s="142">
        <f t="shared" si="23"/>
        <v>2983650</v>
      </c>
      <c r="Q24" s="49">
        <f t="shared" si="9"/>
        <v>0</v>
      </c>
      <c r="R24" s="140">
        <f t="shared" si="24"/>
        <v>17078223</v>
      </c>
      <c r="S24" s="49">
        <f t="shared" si="10"/>
        <v>0</v>
      </c>
      <c r="T24" s="140">
        <v>0</v>
      </c>
      <c r="U24" s="143"/>
      <c r="V24" s="140">
        <f t="shared" si="25"/>
        <v>4682681</v>
      </c>
      <c r="W24" s="49">
        <f t="shared" si="11"/>
        <v>0</v>
      </c>
      <c r="X24" s="28">
        <f t="shared" si="12"/>
        <v>0</v>
      </c>
      <c r="Y24" s="35">
        <f t="shared" si="13"/>
        <v>0</v>
      </c>
      <c r="Z24" s="27">
        <f t="shared" si="14"/>
        <v>0</v>
      </c>
      <c r="AA24" s="27">
        <f t="shared" si="16"/>
        <v>0</v>
      </c>
    </row>
    <row r="25" spans="1:27" ht="16.5" thickBot="1" x14ac:dyDescent="0.25">
      <c r="A25" s="10">
        <v>44308</v>
      </c>
      <c r="B25" s="49"/>
      <c r="C25" s="49">
        <f t="shared" si="17"/>
        <v>18093</v>
      </c>
      <c r="D25" s="49">
        <f t="shared" si="3"/>
        <v>0</v>
      </c>
      <c r="E25" s="140">
        <f t="shared" si="18"/>
        <v>25515170</v>
      </c>
      <c r="F25" s="49">
        <f t="shared" si="4"/>
        <v>0</v>
      </c>
      <c r="G25" s="144">
        <f t="shared" si="19"/>
        <v>80289649</v>
      </c>
      <c r="H25" s="49">
        <f t="shared" si="5"/>
        <v>0</v>
      </c>
      <c r="I25" s="141">
        <f t="shared" si="6"/>
        <v>0</v>
      </c>
      <c r="J25" s="140">
        <f t="shared" si="20"/>
        <v>7803881</v>
      </c>
      <c r="K25" s="49">
        <f t="shared" si="7"/>
        <v>0</v>
      </c>
      <c r="L25" s="142">
        <f t="shared" si="21"/>
        <v>7827669</v>
      </c>
      <c r="M25" s="49">
        <f t="shared" si="8"/>
        <v>0</v>
      </c>
      <c r="N25" s="140">
        <f t="shared" si="22"/>
        <v>5022458</v>
      </c>
      <c r="O25" s="49">
        <f t="shared" si="15"/>
        <v>0</v>
      </c>
      <c r="P25" s="142">
        <f t="shared" si="23"/>
        <v>2983650</v>
      </c>
      <c r="Q25" s="49">
        <f t="shared" si="9"/>
        <v>0</v>
      </c>
      <c r="R25" s="140">
        <f t="shared" si="24"/>
        <v>17078223</v>
      </c>
      <c r="S25" s="49">
        <f t="shared" si="10"/>
        <v>0</v>
      </c>
      <c r="T25" s="140">
        <v>0</v>
      </c>
      <c r="U25" s="143"/>
      <c r="V25" s="140">
        <f t="shared" si="25"/>
        <v>4682681</v>
      </c>
      <c r="W25" s="49">
        <f t="shared" si="11"/>
        <v>0</v>
      </c>
      <c r="X25" s="28">
        <f t="shared" si="12"/>
        <v>0</v>
      </c>
      <c r="Y25" s="35">
        <f t="shared" si="13"/>
        <v>0</v>
      </c>
      <c r="Z25" s="27">
        <f t="shared" si="14"/>
        <v>0</v>
      </c>
      <c r="AA25" s="27">
        <f t="shared" si="16"/>
        <v>0</v>
      </c>
    </row>
    <row r="26" spans="1:27" ht="16.5" thickBot="1" x14ac:dyDescent="0.25">
      <c r="A26" s="10">
        <v>44309</v>
      </c>
      <c r="B26" s="49"/>
      <c r="C26" s="49">
        <f t="shared" si="17"/>
        <v>18093</v>
      </c>
      <c r="D26" s="49">
        <f t="shared" si="3"/>
        <v>0</v>
      </c>
      <c r="E26" s="140">
        <f t="shared" si="18"/>
        <v>25515170</v>
      </c>
      <c r="F26" s="49">
        <f t="shared" si="4"/>
        <v>0</v>
      </c>
      <c r="G26" s="144">
        <f t="shared" si="19"/>
        <v>80289649</v>
      </c>
      <c r="H26" s="49">
        <f t="shared" si="5"/>
        <v>0</v>
      </c>
      <c r="I26" s="141">
        <f t="shared" si="6"/>
        <v>0</v>
      </c>
      <c r="J26" s="140">
        <f t="shared" si="20"/>
        <v>7803881</v>
      </c>
      <c r="K26" s="49">
        <f t="shared" si="7"/>
        <v>0</v>
      </c>
      <c r="L26" s="142">
        <f t="shared" si="21"/>
        <v>7827669</v>
      </c>
      <c r="M26" s="49">
        <f t="shared" si="8"/>
        <v>0</v>
      </c>
      <c r="N26" s="140">
        <f t="shared" si="22"/>
        <v>5022458</v>
      </c>
      <c r="O26" s="49">
        <f t="shared" si="15"/>
        <v>0</v>
      </c>
      <c r="P26" s="142">
        <f t="shared" si="23"/>
        <v>2983650</v>
      </c>
      <c r="Q26" s="49">
        <f t="shared" si="9"/>
        <v>0</v>
      </c>
      <c r="R26" s="140">
        <f t="shared" si="24"/>
        <v>17078223</v>
      </c>
      <c r="S26" s="49">
        <f t="shared" si="10"/>
        <v>0</v>
      </c>
      <c r="T26" s="140">
        <v>0</v>
      </c>
      <c r="U26" s="143"/>
      <c r="V26" s="140">
        <f t="shared" si="25"/>
        <v>4682681</v>
      </c>
      <c r="W26" s="49">
        <f t="shared" si="11"/>
        <v>0</v>
      </c>
      <c r="X26" s="28">
        <f t="shared" si="12"/>
        <v>0</v>
      </c>
      <c r="Y26" s="35">
        <f t="shared" si="13"/>
        <v>0</v>
      </c>
      <c r="Z26" s="27">
        <f t="shared" si="14"/>
        <v>0</v>
      </c>
      <c r="AA26" s="27">
        <f t="shared" si="16"/>
        <v>0</v>
      </c>
    </row>
    <row r="27" spans="1:27" ht="16.5" thickBot="1" x14ac:dyDescent="0.25">
      <c r="A27" s="10">
        <v>44310</v>
      </c>
      <c r="B27" s="49"/>
      <c r="C27" s="49">
        <f t="shared" si="17"/>
        <v>18093</v>
      </c>
      <c r="D27" s="49">
        <f t="shared" si="3"/>
        <v>0</v>
      </c>
      <c r="E27" s="140">
        <f t="shared" si="18"/>
        <v>25515170</v>
      </c>
      <c r="F27" s="49">
        <f t="shared" si="4"/>
        <v>0</v>
      </c>
      <c r="G27" s="144">
        <f t="shared" si="19"/>
        <v>80289649</v>
      </c>
      <c r="H27" s="49">
        <f t="shared" si="5"/>
        <v>0</v>
      </c>
      <c r="I27" s="141">
        <f t="shared" si="6"/>
        <v>0</v>
      </c>
      <c r="J27" s="140">
        <f t="shared" si="20"/>
        <v>7803881</v>
      </c>
      <c r="K27" s="49">
        <f t="shared" si="7"/>
        <v>0</v>
      </c>
      <c r="L27" s="142">
        <f t="shared" si="21"/>
        <v>7827669</v>
      </c>
      <c r="M27" s="49">
        <f t="shared" si="8"/>
        <v>0</v>
      </c>
      <c r="N27" s="140">
        <f t="shared" si="22"/>
        <v>5022458</v>
      </c>
      <c r="O27" s="49">
        <f t="shared" si="15"/>
        <v>0</v>
      </c>
      <c r="P27" s="142">
        <f t="shared" si="23"/>
        <v>2983650</v>
      </c>
      <c r="Q27" s="49">
        <f t="shared" si="9"/>
        <v>0</v>
      </c>
      <c r="R27" s="140">
        <f t="shared" si="24"/>
        <v>17078223</v>
      </c>
      <c r="S27" s="49">
        <f t="shared" si="10"/>
        <v>0</v>
      </c>
      <c r="T27" s="140">
        <v>0</v>
      </c>
      <c r="U27" s="143"/>
      <c r="V27" s="140">
        <f t="shared" si="25"/>
        <v>4682681</v>
      </c>
      <c r="W27" s="49">
        <f t="shared" si="11"/>
        <v>0</v>
      </c>
      <c r="X27" s="28">
        <f t="shared" si="12"/>
        <v>0</v>
      </c>
      <c r="Y27" s="35">
        <f t="shared" si="13"/>
        <v>0</v>
      </c>
      <c r="Z27" s="27">
        <f t="shared" si="14"/>
        <v>0</v>
      </c>
      <c r="AA27" s="27">
        <f t="shared" si="16"/>
        <v>0</v>
      </c>
    </row>
    <row r="28" spans="1:27" ht="16.5" thickBot="1" x14ac:dyDescent="0.25">
      <c r="A28" s="10">
        <v>44311</v>
      </c>
      <c r="B28" s="49"/>
      <c r="C28" s="49">
        <f t="shared" si="17"/>
        <v>18093</v>
      </c>
      <c r="D28" s="49">
        <f t="shared" si="3"/>
        <v>0</v>
      </c>
      <c r="E28" s="140">
        <f t="shared" si="18"/>
        <v>25515170</v>
      </c>
      <c r="F28" s="49">
        <f t="shared" si="4"/>
        <v>0</v>
      </c>
      <c r="G28" s="144">
        <f t="shared" si="19"/>
        <v>80289649</v>
      </c>
      <c r="H28" s="49">
        <f t="shared" si="5"/>
        <v>0</v>
      </c>
      <c r="I28" s="141">
        <f t="shared" si="6"/>
        <v>0</v>
      </c>
      <c r="J28" s="140">
        <f t="shared" si="20"/>
        <v>7803881</v>
      </c>
      <c r="K28" s="49">
        <f t="shared" si="7"/>
        <v>0</v>
      </c>
      <c r="L28" s="142">
        <f t="shared" si="21"/>
        <v>7827669</v>
      </c>
      <c r="M28" s="49">
        <f t="shared" si="8"/>
        <v>0</v>
      </c>
      <c r="N28" s="140">
        <f t="shared" si="22"/>
        <v>5022458</v>
      </c>
      <c r="O28" s="49">
        <f t="shared" si="15"/>
        <v>0</v>
      </c>
      <c r="P28" s="142">
        <f t="shared" si="23"/>
        <v>2983650</v>
      </c>
      <c r="Q28" s="49">
        <f t="shared" si="9"/>
        <v>0</v>
      </c>
      <c r="R28" s="140">
        <f t="shared" si="24"/>
        <v>17078223</v>
      </c>
      <c r="S28" s="49">
        <f t="shared" si="10"/>
        <v>0</v>
      </c>
      <c r="T28" s="140">
        <v>0</v>
      </c>
      <c r="U28" s="143"/>
      <c r="V28" s="140">
        <f t="shared" si="25"/>
        <v>4682681</v>
      </c>
      <c r="W28" s="49">
        <f t="shared" si="11"/>
        <v>0</v>
      </c>
      <c r="X28" s="28">
        <f t="shared" si="12"/>
        <v>0</v>
      </c>
      <c r="Y28" s="35">
        <f t="shared" si="13"/>
        <v>0</v>
      </c>
      <c r="Z28" s="27">
        <f t="shared" si="14"/>
        <v>0</v>
      </c>
      <c r="AA28" s="27">
        <f t="shared" si="16"/>
        <v>0</v>
      </c>
    </row>
    <row r="29" spans="1:27" ht="16.5" thickBot="1" x14ac:dyDescent="0.25">
      <c r="A29" s="10">
        <v>44312</v>
      </c>
      <c r="B29" s="49"/>
      <c r="C29" s="49">
        <f t="shared" si="17"/>
        <v>18093</v>
      </c>
      <c r="D29" s="49">
        <f t="shared" si="3"/>
        <v>0</v>
      </c>
      <c r="E29" s="140">
        <f t="shared" si="18"/>
        <v>25515170</v>
      </c>
      <c r="F29" s="49">
        <f t="shared" si="4"/>
        <v>0</v>
      </c>
      <c r="G29" s="144">
        <f t="shared" si="19"/>
        <v>80289649</v>
      </c>
      <c r="H29" s="49">
        <f t="shared" si="5"/>
        <v>0</v>
      </c>
      <c r="I29" s="141">
        <f t="shared" si="6"/>
        <v>0</v>
      </c>
      <c r="J29" s="140">
        <f t="shared" si="20"/>
        <v>7803881</v>
      </c>
      <c r="K29" s="49">
        <f t="shared" si="7"/>
        <v>0</v>
      </c>
      <c r="L29" s="142">
        <f t="shared" si="21"/>
        <v>7827669</v>
      </c>
      <c r="M29" s="49">
        <f t="shared" si="8"/>
        <v>0</v>
      </c>
      <c r="N29" s="140">
        <f t="shared" si="22"/>
        <v>5022458</v>
      </c>
      <c r="O29" s="49">
        <f t="shared" si="15"/>
        <v>0</v>
      </c>
      <c r="P29" s="142">
        <f t="shared" si="23"/>
        <v>2983650</v>
      </c>
      <c r="Q29" s="49">
        <f t="shared" si="9"/>
        <v>0</v>
      </c>
      <c r="R29" s="140">
        <f t="shared" si="24"/>
        <v>17078223</v>
      </c>
      <c r="S29" s="49">
        <f t="shared" si="10"/>
        <v>0</v>
      </c>
      <c r="T29" s="140">
        <v>0</v>
      </c>
      <c r="U29" s="143"/>
      <c r="V29" s="140">
        <f t="shared" si="25"/>
        <v>4682681</v>
      </c>
      <c r="W29" s="49">
        <f t="shared" si="11"/>
        <v>0</v>
      </c>
      <c r="X29" s="28">
        <f t="shared" si="12"/>
        <v>0</v>
      </c>
      <c r="Y29" s="35">
        <f t="shared" si="13"/>
        <v>0</v>
      </c>
      <c r="Z29" s="27">
        <f t="shared" si="14"/>
        <v>0</v>
      </c>
      <c r="AA29" s="27">
        <f t="shared" si="16"/>
        <v>0</v>
      </c>
    </row>
    <row r="30" spans="1:27" ht="16.5" thickBot="1" x14ac:dyDescent="0.25">
      <c r="A30" s="10">
        <v>44313</v>
      </c>
      <c r="B30" s="49"/>
      <c r="C30" s="49">
        <f t="shared" si="17"/>
        <v>18093</v>
      </c>
      <c r="D30" s="49">
        <f t="shared" si="3"/>
        <v>0</v>
      </c>
      <c r="E30" s="140">
        <f t="shared" si="18"/>
        <v>25515170</v>
      </c>
      <c r="F30" s="49">
        <f t="shared" si="4"/>
        <v>0</v>
      </c>
      <c r="G30" s="144">
        <f t="shared" si="19"/>
        <v>80289649</v>
      </c>
      <c r="H30" s="49">
        <f t="shared" si="5"/>
        <v>0</v>
      </c>
      <c r="I30" s="141">
        <f t="shared" si="6"/>
        <v>0</v>
      </c>
      <c r="J30" s="140">
        <f t="shared" si="20"/>
        <v>7803881</v>
      </c>
      <c r="K30" s="49">
        <f t="shared" si="7"/>
        <v>0</v>
      </c>
      <c r="L30" s="142">
        <f t="shared" si="21"/>
        <v>7827669</v>
      </c>
      <c r="M30" s="49">
        <f t="shared" si="8"/>
        <v>0</v>
      </c>
      <c r="N30" s="140">
        <f t="shared" si="22"/>
        <v>5022458</v>
      </c>
      <c r="O30" s="49">
        <f t="shared" si="15"/>
        <v>0</v>
      </c>
      <c r="P30" s="142">
        <f t="shared" si="23"/>
        <v>2983650</v>
      </c>
      <c r="Q30" s="49">
        <f t="shared" si="9"/>
        <v>0</v>
      </c>
      <c r="R30" s="140">
        <f t="shared" si="24"/>
        <v>17078223</v>
      </c>
      <c r="S30" s="49">
        <f t="shared" si="10"/>
        <v>0</v>
      </c>
      <c r="T30" s="140">
        <v>0</v>
      </c>
      <c r="U30" s="143"/>
      <c r="V30" s="140">
        <f t="shared" si="25"/>
        <v>4682681</v>
      </c>
      <c r="W30" s="49">
        <f t="shared" si="11"/>
        <v>0</v>
      </c>
      <c r="X30" s="28">
        <f t="shared" si="12"/>
        <v>0</v>
      </c>
      <c r="Y30" s="35">
        <f t="shared" si="13"/>
        <v>0</v>
      </c>
      <c r="Z30" s="27">
        <f t="shared" si="14"/>
        <v>0</v>
      </c>
      <c r="AA30" s="27">
        <f t="shared" si="16"/>
        <v>0</v>
      </c>
    </row>
    <row r="31" spans="1:27" ht="16.5" thickBot="1" x14ac:dyDescent="0.25">
      <c r="A31" s="10">
        <v>44314</v>
      </c>
      <c r="B31" s="49"/>
      <c r="C31" s="49">
        <f t="shared" si="17"/>
        <v>18093</v>
      </c>
      <c r="D31" s="49">
        <f t="shared" si="3"/>
        <v>0</v>
      </c>
      <c r="E31" s="140">
        <f t="shared" si="18"/>
        <v>25515170</v>
      </c>
      <c r="F31" s="49">
        <f t="shared" si="4"/>
        <v>0</v>
      </c>
      <c r="G31" s="144">
        <f t="shared" si="19"/>
        <v>80289649</v>
      </c>
      <c r="H31" s="49">
        <f t="shared" si="5"/>
        <v>0</v>
      </c>
      <c r="I31" s="28">
        <f>F31+H31</f>
        <v>0</v>
      </c>
      <c r="J31" s="140">
        <f t="shared" si="20"/>
        <v>7803881</v>
      </c>
      <c r="K31" s="49">
        <f t="shared" si="7"/>
        <v>0</v>
      </c>
      <c r="L31" s="142">
        <f t="shared" si="21"/>
        <v>7827669</v>
      </c>
      <c r="M31" s="49">
        <f t="shared" si="8"/>
        <v>0</v>
      </c>
      <c r="N31" s="140">
        <f t="shared" si="22"/>
        <v>5022458</v>
      </c>
      <c r="O31" s="49">
        <f t="shared" si="15"/>
        <v>0</v>
      </c>
      <c r="P31" s="142">
        <f t="shared" si="23"/>
        <v>2983650</v>
      </c>
      <c r="Q31" s="49">
        <f t="shared" si="9"/>
        <v>0</v>
      </c>
      <c r="R31" s="140">
        <f t="shared" si="24"/>
        <v>17078223</v>
      </c>
      <c r="S31" s="49">
        <f t="shared" si="10"/>
        <v>0</v>
      </c>
      <c r="T31" s="140">
        <v>0</v>
      </c>
      <c r="U31" s="29"/>
      <c r="V31" s="140">
        <f t="shared" si="25"/>
        <v>4682681</v>
      </c>
      <c r="W31" s="49">
        <f t="shared" si="11"/>
        <v>0</v>
      </c>
      <c r="X31" s="28">
        <f t="shared" si="12"/>
        <v>0</v>
      </c>
      <c r="Y31" s="35">
        <f t="shared" si="13"/>
        <v>0</v>
      </c>
      <c r="Z31" s="27">
        <f t="shared" si="14"/>
        <v>0</v>
      </c>
      <c r="AA31" s="27">
        <f t="shared" si="16"/>
        <v>0</v>
      </c>
    </row>
    <row r="32" spans="1:27" ht="16.5" thickBot="1" x14ac:dyDescent="0.25">
      <c r="A32" s="10">
        <v>44315</v>
      </c>
      <c r="B32" s="49"/>
      <c r="C32" s="49">
        <f t="shared" si="17"/>
        <v>18093</v>
      </c>
      <c r="D32" s="49">
        <f t="shared" si="3"/>
        <v>0</v>
      </c>
      <c r="E32" s="140">
        <f t="shared" si="18"/>
        <v>25515170</v>
      </c>
      <c r="F32" s="49">
        <f t="shared" si="4"/>
        <v>0</v>
      </c>
      <c r="G32" s="144">
        <f t="shared" si="19"/>
        <v>80289649</v>
      </c>
      <c r="H32" s="49">
        <f t="shared" si="5"/>
        <v>0</v>
      </c>
      <c r="I32" s="28">
        <f t="shared" ref="I32:I33" si="26">F32+H32</f>
        <v>0</v>
      </c>
      <c r="J32" s="140">
        <f t="shared" si="20"/>
        <v>7803881</v>
      </c>
      <c r="K32" s="49">
        <f t="shared" si="7"/>
        <v>0</v>
      </c>
      <c r="L32" s="142">
        <f t="shared" si="21"/>
        <v>7827669</v>
      </c>
      <c r="M32" s="49">
        <f t="shared" si="8"/>
        <v>0</v>
      </c>
      <c r="N32" s="140">
        <f t="shared" si="22"/>
        <v>5022458</v>
      </c>
      <c r="O32" s="49">
        <f t="shared" si="15"/>
        <v>0</v>
      </c>
      <c r="P32" s="142">
        <f t="shared" si="23"/>
        <v>2983650</v>
      </c>
      <c r="Q32" s="49">
        <f t="shared" si="9"/>
        <v>0</v>
      </c>
      <c r="R32" s="140">
        <f t="shared" si="24"/>
        <v>17078223</v>
      </c>
      <c r="S32" s="49">
        <f t="shared" si="10"/>
        <v>0</v>
      </c>
      <c r="T32" s="140">
        <v>0</v>
      </c>
      <c r="U32" s="29"/>
      <c r="V32" s="140">
        <f t="shared" si="25"/>
        <v>4682681</v>
      </c>
      <c r="W32" s="49">
        <f t="shared" si="11"/>
        <v>0</v>
      </c>
      <c r="X32" s="28">
        <f t="shared" si="12"/>
        <v>0</v>
      </c>
      <c r="Y32" s="35">
        <f t="shared" si="13"/>
        <v>0</v>
      </c>
      <c r="Z32" s="27">
        <f t="shared" si="14"/>
        <v>0</v>
      </c>
      <c r="AA32" s="27">
        <f t="shared" si="16"/>
        <v>0</v>
      </c>
    </row>
    <row r="33" spans="1:28" ht="16.5" thickBot="1" x14ac:dyDescent="0.25">
      <c r="A33" s="10">
        <v>44316</v>
      </c>
      <c r="B33" s="49"/>
      <c r="C33" s="49">
        <f t="shared" si="17"/>
        <v>18093</v>
      </c>
      <c r="D33" s="49">
        <f t="shared" si="3"/>
        <v>0</v>
      </c>
      <c r="E33" s="140">
        <f t="shared" si="18"/>
        <v>25515170</v>
      </c>
      <c r="F33" s="49">
        <f t="shared" si="4"/>
        <v>0</v>
      </c>
      <c r="G33" s="144">
        <f t="shared" si="19"/>
        <v>80289649</v>
      </c>
      <c r="H33" s="49">
        <f t="shared" si="5"/>
        <v>0</v>
      </c>
      <c r="I33" s="28">
        <f t="shared" si="26"/>
        <v>0</v>
      </c>
      <c r="J33" s="140">
        <f t="shared" si="20"/>
        <v>7803881</v>
      </c>
      <c r="K33" s="49">
        <f t="shared" si="7"/>
        <v>0</v>
      </c>
      <c r="L33" s="142">
        <f t="shared" si="21"/>
        <v>7827669</v>
      </c>
      <c r="M33" s="49">
        <f t="shared" si="8"/>
        <v>0</v>
      </c>
      <c r="N33" s="140">
        <f t="shared" si="22"/>
        <v>5022458</v>
      </c>
      <c r="O33" s="49">
        <f t="shared" si="15"/>
        <v>0</v>
      </c>
      <c r="P33" s="142">
        <f t="shared" si="23"/>
        <v>2983650</v>
      </c>
      <c r="Q33" s="49">
        <f t="shared" si="9"/>
        <v>0</v>
      </c>
      <c r="R33" s="140">
        <f t="shared" si="24"/>
        <v>17078223</v>
      </c>
      <c r="S33" s="49">
        <f t="shared" si="10"/>
        <v>0</v>
      </c>
      <c r="T33" s="140">
        <v>0</v>
      </c>
      <c r="U33" s="29"/>
      <c r="V33" s="140">
        <f t="shared" si="25"/>
        <v>4682681</v>
      </c>
      <c r="W33" s="49">
        <f t="shared" si="11"/>
        <v>0</v>
      </c>
      <c r="X33" s="28">
        <f t="shared" si="12"/>
        <v>0</v>
      </c>
      <c r="Y33" s="35">
        <f t="shared" si="13"/>
        <v>0</v>
      </c>
      <c r="Z33" s="27">
        <f t="shared" si="14"/>
        <v>0</v>
      </c>
      <c r="AA33" s="27">
        <f t="shared" si="16"/>
        <v>0</v>
      </c>
    </row>
    <row r="34" spans="1:28" ht="16.5" thickBot="1" x14ac:dyDescent="0.25">
      <c r="A34" s="6" t="s">
        <v>24</v>
      </c>
      <c r="B34" s="162">
        <f>SUM(B2:B33)</f>
        <v>1564</v>
      </c>
      <c r="C34" s="162"/>
      <c r="D34" s="162">
        <f>SUM(D2:D33)</f>
        <v>4160</v>
      </c>
      <c r="E34" s="162">
        <v>0</v>
      </c>
      <c r="F34" s="162">
        <f>SUM(F2:F33)</f>
        <v>81631</v>
      </c>
      <c r="G34" s="162">
        <v>0</v>
      </c>
      <c r="H34" s="162">
        <f>SUM(H2:H33)</f>
        <v>452024</v>
      </c>
      <c r="I34" s="162">
        <f t="shared" ref="I34:X34" si="27">SUM(I5:I33)</f>
        <v>8166153</v>
      </c>
      <c r="J34" s="162">
        <v>0</v>
      </c>
      <c r="K34" s="162">
        <f>SUM(K2:K33)</f>
        <v>51646</v>
      </c>
      <c r="L34" s="162">
        <v>0</v>
      </c>
      <c r="M34" s="162">
        <f>SUM(M2:M33)</f>
        <v>52834</v>
      </c>
      <c r="N34" s="162">
        <v>0</v>
      </c>
      <c r="O34" s="162">
        <f>SUM(O2:O33)</f>
        <v>27246</v>
      </c>
      <c r="P34" s="162">
        <v>0</v>
      </c>
      <c r="Q34" s="162">
        <f>SUM(Q2:Q33)</f>
        <v>90256</v>
      </c>
      <c r="R34" s="162">
        <v>0</v>
      </c>
      <c r="S34" s="162">
        <f>SUM(S2:S33)</f>
        <v>92315</v>
      </c>
      <c r="T34" s="162">
        <f t="shared" si="27"/>
        <v>0</v>
      </c>
      <c r="U34" s="162">
        <f>SUM(U2:U33)</f>
        <v>0</v>
      </c>
      <c r="V34" s="162">
        <v>0</v>
      </c>
      <c r="W34" s="162">
        <f>SUM(W2:W33)</f>
        <v>104112</v>
      </c>
      <c r="X34" s="162">
        <f t="shared" si="27"/>
        <v>347463</v>
      </c>
      <c r="Y34" s="162">
        <f>SUM(Y2:Y33)</f>
        <v>7838540</v>
      </c>
      <c r="Z34" s="162">
        <f>SUM(Z2:Z33)</f>
        <v>64686.3481264</v>
      </c>
      <c r="AA34" s="162">
        <f>SUM(AA2:AA33)</f>
        <v>270196.15396800003</v>
      </c>
    </row>
    <row r="35" spans="1:28" x14ac:dyDescent="0.25">
      <c r="U35" s="26" t="s">
        <v>13</v>
      </c>
      <c r="Y35" s="31"/>
    </row>
    <row r="36" spans="1:28" x14ac:dyDescent="0.25">
      <c r="Y36" s="31"/>
      <c r="AB36" s="148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pageMargins left="0.75" right="0.75" top="1" bottom="1" header="0.5" footer="0.5"/>
  <pageSetup paperSize="9" scale="2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selection activeCell="A12" sqref="A12:XFD12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43</v>
      </c>
      <c r="C1" s="34" t="s">
        <v>26</v>
      </c>
    </row>
    <row r="2" spans="1:9" ht="24" thickBot="1" x14ac:dyDescent="0.4">
      <c r="A2" s="32" t="s">
        <v>12</v>
      </c>
      <c r="B2" s="157">
        <v>17250461</v>
      </c>
      <c r="C2" s="55"/>
    </row>
    <row r="3" spans="1:9" ht="24" thickBot="1" x14ac:dyDescent="0.4">
      <c r="A3" s="10">
        <v>44286</v>
      </c>
      <c r="B3" s="157">
        <v>17252345</v>
      </c>
      <c r="C3" s="55">
        <v>1884</v>
      </c>
    </row>
    <row r="4" spans="1:9" ht="24" thickBot="1" x14ac:dyDescent="0.4">
      <c r="A4" s="10">
        <v>44287</v>
      </c>
      <c r="B4" s="157">
        <v>17254891</v>
      </c>
      <c r="C4" s="55">
        <f t="shared" ref="C4:C30" si="0">IF((B4-B3)&lt;0,"0",(B4-B3))</f>
        <v>2546</v>
      </c>
    </row>
    <row r="5" spans="1:9" ht="24" thickBot="1" x14ac:dyDescent="0.4">
      <c r="A5" s="10">
        <v>44288</v>
      </c>
      <c r="B5" s="157">
        <v>17257153</v>
      </c>
      <c r="C5" s="55">
        <f t="shared" si="0"/>
        <v>2262</v>
      </c>
    </row>
    <row r="6" spans="1:9" ht="24" thickBot="1" x14ac:dyDescent="0.4">
      <c r="A6" s="10">
        <v>44289</v>
      </c>
      <c r="B6" s="157">
        <v>17259350</v>
      </c>
      <c r="C6" s="55">
        <f t="shared" si="0"/>
        <v>2197</v>
      </c>
    </row>
    <row r="7" spans="1:9" ht="24" thickBot="1" x14ac:dyDescent="0.4">
      <c r="A7" s="10">
        <v>44290</v>
      </c>
      <c r="B7" s="157">
        <v>17261935</v>
      </c>
      <c r="C7" s="55">
        <f t="shared" si="0"/>
        <v>2585</v>
      </c>
    </row>
    <row r="8" spans="1:9" ht="24" thickBot="1" x14ac:dyDescent="0.4">
      <c r="A8" s="10">
        <v>44291</v>
      </c>
      <c r="B8" s="157">
        <v>17264200</v>
      </c>
      <c r="C8" s="55">
        <f t="shared" si="0"/>
        <v>2265</v>
      </c>
    </row>
    <row r="9" spans="1:9" ht="24" thickBot="1" x14ac:dyDescent="0.4">
      <c r="A9" s="10">
        <v>44292</v>
      </c>
      <c r="B9" s="157">
        <v>17266322</v>
      </c>
      <c r="C9" s="55">
        <f t="shared" si="0"/>
        <v>2122</v>
      </c>
    </row>
    <row r="10" spans="1:9" ht="24" thickBot="1" x14ac:dyDescent="0.4">
      <c r="A10" s="10">
        <v>44293</v>
      </c>
      <c r="B10" s="157">
        <v>17268362</v>
      </c>
      <c r="C10" s="55">
        <f t="shared" si="0"/>
        <v>2040</v>
      </c>
    </row>
    <row r="11" spans="1:9" ht="24" thickBot="1" x14ac:dyDescent="0.4">
      <c r="A11" s="10">
        <v>44294</v>
      </c>
      <c r="B11" s="157">
        <v>17270523</v>
      </c>
      <c r="C11" s="55">
        <f t="shared" si="0"/>
        <v>2161</v>
      </c>
    </row>
    <row r="12" spans="1:9" ht="24" thickBot="1" x14ac:dyDescent="0.4">
      <c r="A12" s="10">
        <v>44295</v>
      </c>
      <c r="B12" s="157">
        <v>17272701</v>
      </c>
      <c r="C12" s="55">
        <f t="shared" si="0"/>
        <v>2178</v>
      </c>
    </row>
    <row r="13" spans="1:9" ht="24" thickBot="1" x14ac:dyDescent="0.4">
      <c r="A13" s="10">
        <v>44296</v>
      </c>
      <c r="B13" s="157">
        <f t="shared" ref="B12:B32" si="1">B12</f>
        <v>17272701</v>
      </c>
      <c r="C13" s="55">
        <f t="shared" si="0"/>
        <v>0</v>
      </c>
    </row>
    <row r="14" spans="1:9" ht="24" thickBot="1" x14ac:dyDescent="0.4">
      <c r="A14" s="10">
        <v>44297</v>
      </c>
      <c r="B14" s="157">
        <f t="shared" si="1"/>
        <v>17272701</v>
      </c>
      <c r="C14" s="55">
        <f t="shared" si="0"/>
        <v>0</v>
      </c>
    </row>
    <row r="15" spans="1:9" ht="24" thickBot="1" x14ac:dyDescent="0.4">
      <c r="A15" s="10">
        <v>44298</v>
      </c>
      <c r="B15" s="157">
        <f t="shared" si="1"/>
        <v>17272701</v>
      </c>
      <c r="C15" s="55">
        <f t="shared" si="0"/>
        <v>0</v>
      </c>
      <c r="I15" t="s">
        <v>13</v>
      </c>
    </row>
    <row r="16" spans="1:9" ht="26.25" customHeight="1" thickBot="1" x14ac:dyDescent="0.4">
      <c r="A16" s="10">
        <v>44299</v>
      </c>
      <c r="B16" s="157">
        <f t="shared" si="1"/>
        <v>17272701</v>
      </c>
      <c r="C16" s="55">
        <f t="shared" si="0"/>
        <v>0</v>
      </c>
    </row>
    <row r="17" spans="1:9" ht="25.5" customHeight="1" thickBot="1" x14ac:dyDescent="0.4">
      <c r="A17" s="10">
        <v>44300</v>
      </c>
      <c r="B17" s="157">
        <f t="shared" si="1"/>
        <v>17272701</v>
      </c>
      <c r="C17" s="55">
        <f t="shared" si="0"/>
        <v>0</v>
      </c>
      <c r="F17" s="155"/>
    </row>
    <row r="18" spans="1:9" ht="24" thickBot="1" x14ac:dyDescent="0.4">
      <c r="A18" s="10">
        <v>44301</v>
      </c>
      <c r="B18" s="157">
        <f t="shared" si="1"/>
        <v>17272701</v>
      </c>
      <c r="C18" s="55">
        <f t="shared" si="0"/>
        <v>0</v>
      </c>
    </row>
    <row r="19" spans="1:9" ht="24" thickBot="1" x14ac:dyDescent="0.4">
      <c r="A19" s="10">
        <v>44302</v>
      </c>
      <c r="B19" s="157">
        <f t="shared" si="1"/>
        <v>17272701</v>
      </c>
      <c r="C19" s="55">
        <f t="shared" si="0"/>
        <v>0</v>
      </c>
    </row>
    <row r="20" spans="1:9" ht="24" thickBot="1" x14ac:dyDescent="0.4">
      <c r="A20" s="10">
        <v>44303</v>
      </c>
      <c r="B20" s="157">
        <f t="shared" si="1"/>
        <v>17272701</v>
      </c>
      <c r="C20" s="55">
        <f t="shared" si="0"/>
        <v>0</v>
      </c>
    </row>
    <row r="21" spans="1:9" ht="24" thickBot="1" x14ac:dyDescent="0.4">
      <c r="A21" s="10">
        <v>44304</v>
      </c>
      <c r="B21" s="157">
        <f t="shared" si="1"/>
        <v>17272701</v>
      </c>
      <c r="C21" s="55">
        <f t="shared" si="0"/>
        <v>0</v>
      </c>
    </row>
    <row r="22" spans="1:9" ht="24" thickBot="1" x14ac:dyDescent="0.4">
      <c r="A22" s="10">
        <v>44305</v>
      </c>
      <c r="B22" s="157">
        <f t="shared" si="1"/>
        <v>17272701</v>
      </c>
      <c r="C22" s="55">
        <f t="shared" si="0"/>
        <v>0</v>
      </c>
    </row>
    <row r="23" spans="1:9" ht="24" thickBot="1" x14ac:dyDescent="0.4">
      <c r="A23" s="10">
        <v>44306</v>
      </c>
      <c r="B23" s="157">
        <f t="shared" si="1"/>
        <v>17272701</v>
      </c>
      <c r="C23" s="55">
        <f t="shared" si="0"/>
        <v>0</v>
      </c>
      <c r="F23" t="s">
        <v>13</v>
      </c>
    </row>
    <row r="24" spans="1:9" ht="24" thickBot="1" x14ac:dyDescent="0.4">
      <c r="A24" s="10">
        <v>44307</v>
      </c>
      <c r="B24" s="157">
        <f t="shared" si="1"/>
        <v>17272701</v>
      </c>
      <c r="C24" s="55">
        <f t="shared" si="0"/>
        <v>0</v>
      </c>
      <c r="E24" t="s">
        <v>13</v>
      </c>
    </row>
    <row r="25" spans="1:9" ht="24" thickBot="1" x14ac:dyDescent="0.4">
      <c r="A25" s="10">
        <v>44308</v>
      </c>
      <c r="B25" s="157">
        <f t="shared" si="1"/>
        <v>17272701</v>
      </c>
      <c r="C25" s="55">
        <f t="shared" si="0"/>
        <v>0</v>
      </c>
    </row>
    <row r="26" spans="1:9" ht="24" thickBot="1" x14ac:dyDescent="0.4">
      <c r="A26" s="10">
        <v>44309</v>
      </c>
      <c r="B26" s="157">
        <f t="shared" si="1"/>
        <v>17272701</v>
      </c>
      <c r="C26" s="55">
        <f t="shared" si="0"/>
        <v>0</v>
      </c>
    </row>
    <row r="27" spans="1:9" ht="24" thickBot="1" x14ac:dyDescent="0.4">
      <c r="A27" s="10">
        <v>44310</v>
      </c>
      <c r="B27" s="157">
        <f t="shared" si="1"/>
        <v>17272701</v>
      </c>
      <c r="C27" s="55">
        <f t="shared" si="0"/>
        <v>0</v>
      </c>
    </row>
    <row r="28" spans="1:9" ht="24" thickBot="1" x14ac:dyDescent="0.4">
      <c r="A28" s="10">
        <v>44311</v>
      </c>
      <c r="B28" s="157">
        <f t="shared" si="1"/>
        <v>17272701</v>
      </c>
      <c r="C28" s="55">
        <f t="shared" si="0"/>
        <v>0</v>
      </c>
      <c r="I28" t="s">
        <v>13</v>
      </c>
    </row>
    <row r="29" spans="1:9" ht="24" thickBot="1" x14ac:dyDescent="0.4">
      <c r="A29" s="10">
        <v>44312</v>
      </c>
      <c r="B29" s="157">
        <f t="shared" si="1"/>
        <v>17272701</v>
      </c>
      <c r="C29" s="55">
        <f t="shared" si="0"/>
        <v>0</v>
      </c>
    </row>
    <row r="30" spans="1:9" ht="24" thickBot="1" x14ac:dyDescent="0.4">
      <c r="A30" s="10">
        <v>44313</v>
      </c>
      <c r="B30" s="157">
        <f t="shared" si="1"/>
        <v>17272701</v>
      </c>
      <c r="C30" s="55">
        <f t="shared" si="0"/>
        <v>0</v>
      </c>
    </row>
    <row r="31" spans="1:9" ht="24" thickBot="1" x14ac:dyDescent="0.4">
      <c r="A31" s="10">
        <v>44314</v>
      </c>
      <c r="B31" s="157">
        <f t="shared" si="1"/>
        <v>17272701</v>
      </c>
      <c r="C31" s="55">
        <f>IF((B31-B30)&lt;0,"0",(B31-B30))</f>
        <v>0</v>
      </c>
    </row>
    <row r="32" spans="1:9" ht="24" thickBot="1" x14ac:dyDescent="0.4">
      <c r="A32" s="10">
        <v>44315</v>
      </c>
      <c r="B32" s="157">
        <f t="shared" si="1"/>
        <v>17272701</v>
      </c>
      <c r="C32" s="55">
        <f t="shared" ref="C32:C33" si="2">IF((B32-B31)&lt;0,"0",(B32-B31))</f>
        <v>0</v>
      </c>
    </row>
    <row r="33" spans="1:3" ht="24" thickBot="1" x14ac:dyDescent="0.4">
      <c r="A33" s="10">
        <v>44316</v>
      </c>
      <c r="B33" s="157">
        <f t="shared" ref="B33" si="3">B32</f>
        <v>17272701</v>
      </c>
      <c r="C33" s="55">
        <f t="shared" si="2"/>
        <v>0</v>
      </c>
    </row>
    <row r="34" spans="1:3" ht="24" thickBot="1" x14ac:dyDescent="0.4">
      <c r="A34" s="165" t="s">
        <v>141</v>
      </c>
      <c r="B34" s="166"/>
      <c r="C34" s="160">
        <f>SUM(C3:C33)</f>
        <v>22240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zoomScale="98" zoomScaleNormal="98" workbookViewId="0">
      <selection activeCell="G12" sqref="A12:XFD12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85546875" style="46" bestFit="1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 t="s">
        <v>12</v>
      </c>
      <c r="B2" s="1">
        <v>20276.262999999999</v>
      </c>
      <c r="C2" s="54">
        <v>0</v>
      </c>
      <c r="D2" s="38">
        <f t="shared" ref="D2" si="0">C2*1.9*1000</f>
        <v>0</v>
      </c>
      <c r="E2" s="1">
        <v>3509.5659999999998</v>
      </c>
      <c r="F2" s="54">
        <v>0</v>
      </c>
      <c r="G2" s="38">
        <f t="shared" ref="G2" si="1">F2*1.9*1000</f>
        <v>0</v>
      </c>
      <c r="H2" s="1">
        <v>2721</v>
      </c>
      <c r="I2" s="54">
        <v>0</v>
      </c>
      <c r="J2" s="38">
        <f t="shared" ref="J2" si="2">I2*1.9*1000</f>
        <v>0</v>
      </c>
      <c r="K2" s="7">
        <v>13315.91</v>
      </c>
      <c r="L2" s="54">
        <v>0</v>
      </c>
      <c r="M2" s="38">
        <f t="shared" ref="M2" si="3">L2*1.9*1000</f>
        <v>0</v>
      </c>
      <c r="N2" s="7">
        <v>2970.8620000000001</v>
      </c>
      <c r="O2" s="54">
        <v>0</v>
      </c>
      <c r="P2" s="38">
        <f t="shared" ref="P2" si="4">O2*1.9*1000</f>
        <v>0</v>
      </c>
      <c r="Q2" s="7">
        <v>4723.67</v>
      </c>
      <c r="R2" s="54">
        <v>0</v>
      </c>
      <c r="S2" s="38">
        <f t="shared" ref="S2" si="5">R2*1.9*1000</f>
        <v>0</v>
      </c>
      <c r="T2" s="8">
        <v>0</v>
      </c>
      <c r="U2" s="40">
        <f t="shared" ref="U2" si="6">T2*1.9*1000</f>
        <v>0</v>
      </c>
    </row>
    <row r="3" spans="1:25" ht="16.5" thickBot="1" x14ac:dyDescent="0.25">
      <c r="A3" s="10">
        <v>44286</v>
      </c>
      <c r="B3" s="1">
        <v>20280.445</v>
      </c>
      <c r="C3" s="54">
        <v>4.125</v>
      </c>
      <c r="D3" s="38">
        <v>7837.4999999999991</v>
      </c>
      <c r="E3" s="1">
        <v>3510.6309999999999</v>
      </c>
      <c r="F3" s="54">
        <v>1.2909999999997126</v>
      </c>
      <c r="G3" s="38">
        <v>2452.8999999994539</v>
      </c>
      <c r="H3" s="1">
        <v>2727</v>
      </c>
      <c r="I3" s="54">
        <v>5</v>
      </c>
      <c r="J3" s="38">
        <v>9500</v>
      </c>
      <c r="K3" s="7">
        <v>13318.56</v>
      </c>
      <c r="L3" s="54">
        <v>0.80999999999949068</v>
      </c>
      <c r="M3" s="38">
        <v>1538.9999999990323</v>
      </c>
      <c r="N3" s="7">
        <v>2972.1869999999999</v>
      </c>
      <c r="O3" s="54">
        <v>1.1720000000000255</v>
      </c>
      <c r="P3" s="38">
        <v>2226.8000000000484</v>
      </c>
      <c r="Q3" s="7">
        <v>4724.13</v>
      </c>
      <c r="R3" s="54">
        <v>0.11499999999978172</v>
      </c>
      <c r="S3" s="38">
        <v>218.49999999958524</v>
      </c>
      <c r="T3" s="8">
        <v>12.51299999999901</v>
      </c>
      <c r="U3" s="40">
        <v>23774.69999999812</v>
      </c>
    </row>
    <row r="4" spans="1:25" ht="16.5" thickBot="1" x14ac:dyDescent="0.25">
      <c r="A4" s="10">
        <v>44287</v>
      </c>
      <c r="B4" s="1">
        <v>20284.669999999998</v>
      </c>
      <c r="C4" s="54">
        <f t="shared" ref="C4:C33" si="7">IF((B4-B3)&lt;0,"0",(B4-B3))</f>
        <v>4.2249999999985448</v>
      </c>
      <c r="D4" s="38">
        <f t="shared" ref="D4:D33" si="8">C4*1.9*1000</f>
        <v>8027.4999999972342</v>
      </c>
      <c r="E4" s="1">
        <v>3511.66</v>
      </c>
      <c r="F4" s="54">
        <f t="shared" ref="F4:F33" si="9">IF((E4-E3)&lt;0,"0",(E4-E3))</f>
        <v>1.0289999999999964</v>
      </c>
      <c r="G4" s="38">
        <f t="shared" ref="G4:G33" si="10">F4*1.9*1000</f>
        <v>1955.0999999999929</v>
      </c>
      <c r="H4" s="1">
        <v>2732</v>
      </c>
      <c r="I4" s="54">
        <f t="shared" ref="I4:I33" si="11">IF((H4-H3)&lt;0,"0",(H4-H3))</f>
        <v>5</v>
      </c>
      <c r="J4" s="38">
        <f t="shared" ref="J4:J33" si="12">I4*1.9*1000</f>
        <v>9500</v>
      </c>
      <c r="K4" s="7">
        <v>13319.19</v>
      </c>
      <c r="L4" s="54">
        <f t="shared" ref="L4:L33" si="13">IF((K4-K3)&lt;0,"0",(K4-K3))</f>
        <v>0.63000000000101863</v>
      </c>
      <c r="M4" s="38">
        <f t="shared" ref="M4:M33" si="14">L4*1.9*1000</f>
        <v>1197.0000000019354</v>
      </c>
      <c r="N4" s="7">
        <v>2973.556</v>
      </c>
      <c r="O4" s="54">
        <f t="shared" ref="O4:O33" si="15">IF((N4-N3)&lt;0,"0",(N4-N3))</f>
        <v>1.3690000000001419</v>
      </c>
      <c r="P4" s="38">
        <v>2230</v>
      </c>
      <c r="Q4" s="7">
        <v>4724.75</v>
      </c>
      <c r="R4" s="54">
        <f t="shared" ref="R4:R33" si="16">IF((Q4-Q3)&lt;0,"0",(Q4-Q3))</f>
        <v>0.61999999999989086</v>
      </c>
      <c r="S4" s="38">
        <f t="shared" ref="S4:S33" si="17">R4*1.9*1000</f>
        <v>1177.9999999997926</v>
      </c>
      <c r="T4" s="8">
        <v>0</v>
      </c>
      <c r="U4" s="40">
        <f t="shared" ref="U4:U33" si="18">T4*1.9*1000</f>
        <v>0</v>
      </c>
    </row>
    <row r="5" spans="1:25" ht="16.5" thickBot="1" x14ac:dyDescent="0.25">
      <c r="A5" s="10">
        <v>44288</v>
      </c>
      <c r="B5" s="1">
        <v>20289.5</v>
      </c>
      <c r="C5" s="54">
        <f t="shared" si="7"/>
        <v>4.8300000000017462</v>
      </c>
      <c r="D5" s="38">
        <f t="shared" si="8"/>
        <v>9177.0000000033178</v>
      </c>
      <c r="E5" s="1">
        <v>3512.2170000000001</v>
      </c>
      <c r="F5" s="54">
        <f t="shared" si="9"/>
        <v>0.55700000000024374</v>
      </c>
      <c r="G5" s="38">
        <f t="shared" si="10"/>
        <v>1058.3000000004629</v>
      </c>
      <c r="H5" s="1">
        <v>2737</v>
      </c>
      <c r="I5" s="54">
        <f t="shared" si="11"/>
        <v>5</v>
      </c>
      <c r="J5" s="38">
        <f t="shared" si="12"/>
        <v>9500</v>
      </c>
      <c r="K5" s="7">
        <v>13319.41</v>
      </c>
      <c r="L5" s="54">
        <f t="shared" si="13"/>
        <v>0.21999999999934516</v>
      </c>
      <c r="M5" s="38">
        <f t="shared" si="14"/>
        <v>417.99999999875581</v>
      </c>
      <c r="N5" s="7">
        <v>2974.806</v>
      </c>
      <c r="O5" s="54">
        <f t="shared" si="15"/>
        <v>1.25</v>
      </c>
      <c r="P5" s="38">
        <f t="shared" ref="P5:P33" si="19">O5*1.9*1000</f>
        <v>2375</v>
      </c>
      <c r="Q5" s="7">
        <v>4725.74</v>
      </c>
      <c r="R5" s="54">
        <f t="shared" si="16"/>
        <v>0.98999999999978172</v>
      </c>
      <c r="S5" s="38">
        <f t="shared" si="17"/>
        <v>1880.9999999995853</v>
      </c>
      <c r="T5" s="8">
        <f t="shared" ref="T5:T33" si="20">C5+F5+I5+L5+O5+R5</f>
        <v>12.847000000001117</v>
      </c>
      <c r="U5" s="40">
        <f t="shared" si="18"/>
        <v>24409.30000000212</v>
      </c>
    </row>
    <row r="6" spans="1:25" ht="16.5" thickBot="1" x14ac:dyDescent="0.25">
      <c r="A6" s="10">
        <v>44289</v>
      </c>
      <c r="B6" s="1">
        <v>20292.8</v>
      </c>
      <c r="C6" s="54">
        <f t="shared" si="7"/>
        <v>3.2999999999992724</v>
      </c>
      <c r="D6" s="38">
        <f t="shared" si="8"/>
        <v>6269.9999999986176</v>
      </c>
      <c r="E6" s="1">
        <v>3512.6660000000002</v>
      </c>
      <c r="F6" s="54">
        <f t="shared" si="9"/>
        <v>0.44900000000006912</v>
      </c>
      <c r="G6" s="38">
        <f t="shared" si="10"/>
        <v>853.10000000013133</v>
      </c>
      <c r="H6" s="1">
        <v>2741</v>
      </c>
      <c r="I6" s="54">
        <f t="shared" si="11"/>
        <v>4</v>
      </c>
      <c r="J6" s="38">
        <f t="shared" si="12"/>
        <v>7600</v>
      </c>
      <c r="K6" s="7">
        <v>13319.41</v>
      </c>
      <c r="L6" s="54">
        <f t="shared" si="13"/>
        <v>0</v>
      </c>
      <c r="M6" s="38">
        <f t="shared" si="14"/>
        <v>0</v>
      </c>
      <c r="N6" s="7">
        <v>2975.672</v>
      </c>
      <c r="O6" s="54">
        <f t="shared" si="15"/>
        <v>0.86599999999998545</v>
      </c>
      <c r="P6" s="38">
        <f t="shared" si="19"/>
        <v>1645.3999999999721</v>
      </c>
      <c r="Q6" s="7">
        <v>4726.6000000000004</v>
      </c>
      <c r="R6" s="54">
        <f t="shared" si="16"/>
        <v>0.86000000000058208</v>
      </c>
      <c r="S6" s="38">
        <f t="shared" si="17"/>
        <v>1634.0000000011059</v>
      </c>
      <c r="T6" s="8">
        <f t="shared" si="20"/>
        <v>9.4749999999999091</v>
      </c>
      <c r="U6" s="40">
        <f t="shared" si="18"/>
        <v>18002.499999999825</v>
      </c>
    </row>
    <row r="7" spans="1:25" ht="16.5" thickBot="1" x14ac:dyDescent="0.25">
      <c r="A7" s="10">
        <v>44290</v>
      </c>
      <c r="B7" s="1">
        <v>20297.518</v>
      </c>
      <c r="C7" s="54">
        <f t="shared" si="7"/>
        <v>4.7180000000007567</v>
      </c>
      <c r="D7" s="38">
        <f t="shared" si="8"/>
        <v>8964.2000000014377</v>
      </c>
      <c r="E7" s="1">
        <v>3513.6669999999999</v>
      </c>
      <c r="F7" s="54">
        <f t="shared" si="9"/>
        <v>1.000999999999749</v>
      </c>
      <c r="G7" s="38">
        <f t="shared" si="10"/>
        <v>1901.8999999995231</v>
      </c>
      <c r="H7" s="1">
        <v>2747</v>
      </c>
      <c r="I7" s="54">
        <f t="shared" si="11"/>
        <v>6</v>
      </c>
      <c r="J7" s="38">
        <f t="shared" si="12"/>
        <v>11399.999999999998</v>
      </c>
      <c r="K7" s="7">
        <v>13319.41</v>
      </c>
      <c r="L7" s="54">
        <f t="shared" si="13"/>
        <v>0</v>
      </c>
      <c r="M7" s="38">
        <f t="shared" si="14"/>
        <v>0</v>
      </c>
      <c r="N7" s="7">
        <v>2976.94</v>
      </c>
      <c r="O7" s="54">
        <f t="shared" si="15"/>
        <v>1.2680000000000291</v>
      </c>
      <c r="P7" s="38">
        <f t="shared" si="19"/>
        <v>2409.2000000000553</v>
      </c>
      <c r="Q7" s="7">
        <v>4726.8999999999996</v>
      </c>
      <c r="R7" s="54">
        <f t="shared" si="16"/>
        <v>0.2999999999992724</v>
      </c>
      <c r="S7" s="38">
        <f t="shared" si="17"/>
        <v>569.99999999861745</v>
      </c>
      <c r="T7" s="8">
        <f t="shared" si="20"/>
        <v>13.286999999999807</v>
      </c>
      <c r="U7" s="40">
        <f t="shared" si="18"/>
        <v>25245.299999999632</v>
      </c>
    </row>
    <row r="8" spans="1:25" ht="16.5" thickBot="1" x14ac:dyDescent="0.25">
      <c r="A8" s="10">
        <v>44291</v>
      </c>
      <c r="B8" s="1">
        <v>20301.951000000001</v>
      </c>
      <c r="C8" s="54">
        <f t="shared" si="7"/>
        <v>4.4330000000009022</v>
      </c>
      <c r="D8" s="38">
        <f t="shared" si="8"/>
        <v>8422.7000000017124</v>
      </c>
      <c r="E8" s="1">
        <v>3515.0729999999999</v>
      </c>
      <c r="F8" s="54">
        <f t="shared" si="9"/>
        <v>1.4059999999999491</v>
      </c>
      <c r="G8" s="38">
        <f t="shared" si="10"/>
        <v>2671.3999999999028</v>
      </c>
      <c r="H8" s="1">
        <v>2752</v>
      </c>
      <c r="I8" s="54">
        <f t="shared" si="11"/>
        <v>5</v>
      </c>
      <c r="J8" s="38">
        <f t="shared" si="12"/>
        <v>9500</v>
      </c>
      <c r="K8" s="7">
        <f t="shared" ref="K8" si="21">K7</f>
        <v>13319.41</v>
      </c>
      <c r="L8" s="54">
        <f>IF((K8-K7)&lt;0,"0",(K8-K7))</f>
        <v>0</v>
      </c>
      <c r="M8" s="38">
        <f t="shared" si="14"/>
        <v>0</v>
      </c>
      <c r="N8" s="7">
        <v>2978.3270000000002</v>
      </c>
      <c r="O8" s="54">
        <f t="shared" si="15"/>
        <v>1.387000000000171</v>
      </c>
      <c r="P8" s="38">
        <f t="shared" si="19"/>
        <v>2635.3000000003244</v>
      </c>
      <c r="Q8" s="7">
        <v>4727.3</v>
      </c>
      <c r="R8" s="54">
        <f t="shared" si="16"/>
        <v>0.4000000000005457</v>
      </c>
      <c r="S8" s="38">
        <f t="shared" si="17"/>
        <v>760.00000000103671</v>
      </c>
      <c r="T8" s="8">
        <f t="shared" si="20"/>
        <v>12.626000000001568</v>
      </c>
      <c r="U8" s="40">
        <f t="shared" si="18"/>
        <v>23989.400000002977</v>
      </c>
    </row>
    <row r="9" spans="1:25" ht="16.5" thickBot="1" x14ac:dyDescent="0.25">
      <c r="A9" s="10">
        <v>44292</v>
      </c>
      <c r="B9" s="1">
        <v>20307.313999999998</v>
      </c>
      <c r="C9" s="54">
        <f t="shared" si="7"/>
        <v>5.3629999999975553</v>
      </c>
      <c r="D9" s="38">
        <f t="shared" si="8"/>
        <v>10189.699999995355</v>
      </c>
      <c r="E9" s="1">
        <v>3516.6210000000001</v>
      </c>
      <c r="F9" s="54">
        <f t="shared" si="9"/>
        <v>1.5480000000002292</v>
      </c>
      <c r="G9" s="38">
        <f t="shared" si="10"/>
        <v>2941.2000000004355</v>
      </c>
      <c r="H9" s="1">
        <v>2757</v>
      </c>
      <c r="I9" s="54">
        <f t="shared" si="11"/>
        <v>5</v>
      </c>
      <c r="J9" s="38">
        <f t="shared" si="12"/>
        <v>9500</v>
      </c>
      <c r="K9" s="7">
        <v>13320.23</v>
      </c>
      <c r="L9" s="54">
        <f t="shared" si="13"/>
        <v>0.81999999999970896</v>
      </c>
      <c r="M9" s="38">
        <f t="shared" si="14"/>
        <v>1557.999999999447</v>
      </c>
      <c r="N9" s="7">
        <v>2979.7460000000001</v>
      </c>
      <c r="O9" s="54">
        <f t="shared" si="15"/>
        <v>1.418999999999869</v>
      </c>
      <c r="P9" s="38">
        <f t="shared" si="19"/>
        <v>2696.0999999997512</v>
      </c>
      <c r="Q9" s="7">
        <v>4727.6499999999996</v>
      </c>
      <c r="R9" s="54">
        <f t="shared" si="16"/>
        <v>0.3499999999994543</v>
      </c>
      <c r="S9" s="38">
        <f t="shared" si="17"/>
        <v>664.99999999896318</v>
      </c>
      <c r="T9" s="8">
        <f t="shared" si="20"/>
        <v>14.499999999996817</v>
      </c>
      <c r="U9" s="40">
        <f t="shared" si="18"/>
        <v>27549.99999999395</v>
      </c>
    </row>
    <row r="10" spans="1:25" ht="16.5" thickBot="1" x14ac:dyDescent="0.25">
      <c r="A10" s="10">
        <v>44293</v>
      </c>
      <c r="B10" s="1">
        <v>20313.669999999998</v>
      </c>
      <c r="C10" s="54">
        <f t="shared" si="7"/>
        <v>6.3559999999997672</v>
      </c>
      <c r="D10" s="38">
        <f t="shared" si="8"/>
        <v>12076.399999999558</v>
      </c>
      <c r="E10" s="1">
        <v>3518.3519999999999</v>
      </c>
      <c r="F10" s="54">
        <f t="shared" si="9"/>
        <v>1.7309999999997672</v>
      </c>
      <c r="G10" s="38">
        <f t="shared" si="10"/>
        <v>3288.8999999995576</v>
      </c>
      <c r="H10" s="1">
        <v>2763</v>
      </c>
      <c r="I10" s="54">
        <f t="shared" si="11"/>
        <v>6</v>
      </c>
      <c r="J10" s="38">
        <f t="shared" si="12"/>
        <v>11399.999999999998</v>
      </c>
      <c r="K10" s="7">
        <v>13321.86</v>
      </c>
      <c r="L10" s="54">
        <f t="shared" si="13"/>
        <v>1.6300000000010186</v>
      </c>
      <c r="M10" s="38">
        <f t="shared" si="14"/>
        <v>3097.0000000019354</v>
      </c>
      <c r="N10" s="7">
        <v>2981.2869999999998</v>
      </c>
      <c r="O10" s="54">
        <f t="shared" si="15"/>
        <v>1.5409999999997126</v>
      </c>
      <c r="P10" s="38">
        <f t="shared" si="19"/>
        <v>2927.8999999994539</v>
      </c>
      <c r="Q10" s="7">
        <v>4729.18</v>
      </c>
      <c r="R10" s="54">
        <f t="shared" si="16"/>
        <v>1.5300000000006548</v>
      </c>
      <c r="S10" s="38">
        <f t="shared" si="17"/>
        <v>2907.0000000012437</v>
      </c>
      <c r="T10" s="8">
        <f t="shared" si="20"/>
        <v>18.78800000000092</v>
      </c>
      <c r="U10" s="40">
        <f t="shared" si="18"/>
        <v>35697.200000001751</v>
      </c>
    </row>
    <row r="11" spans="1:25" ht="16.5" thickBot="1" x14ac:dyDescent="0.25">
      <c r="A11" s="10">
        <v>44294</v>
      </c>
      <c r="B11" s="1">
        <v>20320.244999999999</v>
      </c>
      <c r="C11" s="54">
        <f t="shared" si="7"/>
        <v>6.5750000000007276</v>
      </c>
      <c r="D11" s="38">
        <f t="shared" si="8"/>
        <v>12492.500000001382</v>
      </c>
      <c r="E11" s="1">
        <v>3520.1640000000002</v>
      </c>
      <c r="F11" s="54">
        <f t="shared" si="9"/>
        <v>1.8120000000003529</v>
      </c>
      <c r="G11" s="38">
        <f t="shared" si="10"/>
        <v>3442.80000000067</v>
      </c>
      <c r="H11" s="1">
        <v>2770</v>
      </c>
      <c r="I11" s="54">
        <f t="shared" si="11"/>
        <v>7</v>
      </c>
      <c r="J11" s="38">
        <f t="shared" si="12"/>
        <v>13299.999999999998</v>
      </c>
      <c r="K11" s="7">
        <v>13323.54</v>
      </c>
      <c r="L11" s="54">
        <f t="shared" si="13"/>
        <v>1.680000000000291</v>
      </c>
      <c r="M11" s="38">
        <f t="shared" si="14"/>
        <v>3192.0000000005525</v>
      </c>
      <c r="N11" s="7">
        <v>2983.2469999999998</v>
      </c>
      <c r="O11" s="54">
        <f t="shared" si="15"/>
        <v>1.9600000000000364</v>
      </c>
      <c r="P11" s="38">
        <f t="shared" si="19"/>
        <v>3724.0000000000691</v>
      </c>
      <c r="Q11" s="7">
        <v>4730.2470000000003</v>
      </c>
      <c r="R11" s="54">
        <f t="shared" si="16"/>
        <v>1.0670000000000073</v>
      </c>
      <c r="S11" s="38">
        <f t="shared" si="17"/>
        <v>2027.3000000000136</v>
      </c>
      <c r="T11" s="8">
        <f t="shared" si="20"/>
        <v>20.094000000001415</v>
      </c>
      <c r="U11" s="40">
        <f t="shared" si="18"/>
        <v>38178.600000002691</v>
      </c>
    </row>
    <row r="12" spans="1:25" ht="16.5" thickBot="1" x14ac:dyDescent="0.25">
      <c r="A12" s="10">
        <v>44295</v>
      </c>
      <c r="B12" s="1">
        <v>20325.762999999999</v>
      </c>
      <c r="C12" s="54">
        <f t="shared" si="7"/>
        <v>5.5180000000000291</v>
      </c>
      <c r="D12" s="38">
        <f t="shared" si="8"/>
        <v>10484.200000000055</v>
      </c>
      <c r="E12" s="1">
        <v>3521.078</v>
      </c>
      <c r="F12" s="54">
        <f t="shared" si="9"/>
        <v>0.91399999999975989</v>
      </c>
      <c r="G12" s="38">
        <f t="shared" si="10"/>
        <v>1736.5999999995436</v>
      </c>
      <c r="H12" s="1">
        <v>2775</v>
      </c>
      <c r="I12" s="54">
        <f t="shared" si="11"/>
        <v>5</v>
      </c>
      <c r="J12" s="38">
        <f t="shared" si="12"/>
        <v>9500</v>
      </c>
      <c r="K12" s="7">
        <v>13324.74</v>
      </c>
      <c r="L12" s="54">
        <f t="shared" si="13"/>
        <v>1.1999999999989086</v>
      </c>
      <c r="M12" s="38">
        <f t="shared" si="14"/>
        <v>2279.9999999979264</v>
      </c>
      <c r="N12" s="7">
        <v>2984.8</v>
      </c>
      <c r="O12" s="54">
        <f t="shared" si="15"/>
        <v>1.5530000000003383</v>
      </c>
      <c r="P12" s="38">
        <f t="shared" si="19"/>
        <v>2950.7000000006424</v>
      </c>
      <c r="Q12" s="7">
        <v>4731.29</v>
      </c>
      <c r="R12" s="54">
        <f t="shared" si="16"/>
        <v>1.0429999999996653</v>
      </c>
      <c r="S12" s="38">
        <f t="shared" si="17"/>
        <v>1981.6999999993641</v>
      </c>
      <c r="T12" s="8">
        <f t="shared" si="20"/>
        <v>15.227999999998701</v>
      </c>
      <c r="U12" s="40">
        <f t="shared" si="18"/>
        <v>28933.199999997531</v>
      </c>
    </row>
    <row r="13" spans="1:25" ht="16.5" thickBot="1" x14ac:dyDescent="0.25">
      <c r="A13" s="10">
        <v>44296</v>
      </c>
      <c r="B13" s="1">
        <f t="shared" ref="B12:B33" si="22">B12</f>
        <v>20325.762999999999</v>
      </c>
      <c r="C13" s="54">
        <f t="shared" si="7"/>
        <v>0</v>
      </c>
      <c r="D13" s="38">
        <f t="shared" si="8"/>
        <v>0</v>
      </c>
      <c r="E13" s="1">
        <f t="shared" ref="E12:E33" si="23">E12</f>
        <v>3521.078</v>
      </c>
      <c r="F13" s="54">
        <f t="shared" si="9"/>
        <v>0</v>
      </c>
      <c r="G13" s="38">
        <f t="shared" si="10"/>
        <v>0</v>
      </c>
      <c r="H13" s="1">
        <f t="shared" ref="H12:H33" si="24">H12</f>
        <v>2775</v>
      </c>
      <c r="I13" s="54">
        <f t="shared" si="11"/>
        <v>0</v>
      </c>
      <c r="J13" s="38">
        <f t="shared" si="12"/>
        <v>0</v>
      </c>
      <c r="K13" s="7">
        <f t="shared" ref="K12:K33" si="25">K12</f>
        <v>13324.74</v>
      </c>
      <c r="L13" s="54">
        <f t="shared" si="13"/>
        <v>0</v>
      </c>
      <c r="M13" s="38">
        <f t="shared" si="14"/>
        <v>0</v>
      </c>
      <c r="N13" s="7">
        <f t="shared" ref="N12:N32" si="26">N12</f>
        <v>2984.8</v>
      </c>
      <c r="O13" s="54">
        <f t="shared" si="15"/>
        <v>0</v>
      </c>
      <c r="P13" s="38">
        <f t="shared" si="19"/>
        <v>0</v>
      </c>
      <c r="Q13" s="7">
        <v>4730.2470000000003</v>
      </c>
      <c r="R13" s="54" t="str">
        <f t="shared" si="16"/>
        <v>0</v>
      </c>
      <c r="S13" s="38">
        <f t="shared" si="17"/>
        <v>0</v>
      </c>
      <c r="T13" s="8">
        <f t="shared" si="20"/>
        <v>0</v>
      </c>
      <c r="U13" s="40">
        <f t="shared" si="18"/>
        <v>0</v>
      </c>
    </row>
    <row r="14" spans="1:25" ht="16.5" thickBot="1" x14ac:dyDescent="0.25">
      <c r="A14" s="10">
        <v>44297</v>
      </c>
      <c r="B14" s="1">
        <f t="shared" si="22"/>
        <v>20325.762999999999</v>
      </c>
      <c r="C14" s="54">
        <f t="shared" si="7"/>
        <v>0</v>
      </c>
      <c r="D14" s="38">
        <f t="shared" si="8"/>
        <v>0</v>
      </c>
      <c r="E14" s="1">
        <f t="shared" si="23"/>
        <v>3521.078</v>
      </c>
      <c r="F14" s="54">
        <f t="shared" si="9"/>
        <v>0</v>
      </c>
      <c r="G14" s="38">
        <f t="shared" si="10"/>
        <v>0</v>
      </c>
      <c r="H14" s="1">
        <f t="shared" si="24"/>
        <v>2775</v>
      </c>
      <c r="I14" s="54">
        <f t="shared" si="11"/>
        <v>0</v>
      </c>
      <c r="J14" s="38">
        <f t="shared" si="12"/>
        <v>0</v>
      </c>
      <c r="K14" s="7">
        <f t="shared" si="25"/>
        <v>13324.74</v>
      </c>
      <c r="L14" s="54">
        <f t="shared" si="13"/>
        <v>0</v>
      </c>
      <c r="M14" s="38">
        <f t="shared" si="14"/>
        <v>0</v>
      </c>
      <c r="N14" s="7">
        <f t="shared" si="26"/>
        <v>2984.8</v>
      </c>
      <c r="O14" s="54">
        <f t="shared" si="15"/>
        <v>0</v>
      </c>
      <c r="P14" s="38">
        <f t="shared" si="19"/>
        <v>0</v>
      </c>
      <c r="Q14" s="7">
        <v>4730.2470000000003</v>
      </c>
      <c r="R14" s="54">
        <f t="shared" si="16"/>
        <v>0</v>
      </c>
      <c r="S14" s="38">
        <f t="shared" si="17"/>
        <v>0</v>
      </c>
      <c r="T14" s="8">
        <f t="shared" si="20"/>
        <v>0</v>
      </c>
      <c r="U14" s="40">
        <f t="shared" si="18"/>
        <v>0</v>
      </c>
    </row>
    <row r="15" spans="1:25" ht="16.5" thickBot="1" x14ac:dyDescent="0.25">
      <c r="A15" s="10">
        <v>44298</v>
      </c>
      <c r="B15" s="1">
        <f t="shared" si="22"/>
        <v>20325.762999999999</v>
      </c>
      <c r="C15" s="54">
        <f t="shared" si="7"/>
        <v>0</v>
      </c>
      <c r="D15" s="38">
        <f t="shared" si="8"/>
        <v>0</v>
      </c>
      <c r="E15" s="1">
        <f t="shared" si="23"/>
        <v>3521.078</v>
      </c>
      <c r="F15" s="54">
        <f t="shared" si="9"/>
        <v>0</v>
      </c>
      <c r="G15" s="38">
        <f t="shared" si="10"/>
        <v>0</v>
      </c>
      <c r="H15" s="1">
        <f t="shared" si="24"/>
        <v>2775</v>
      </c>
      <c r="I15" s="54">
        <f t="shared" si="11"/>
        <v>0</v>
      </c>
      <c r="J15" s="38">
        <f t="shared" si="12"/>
        <v>0</v>
      </c>
      <c r="K15" s="7">
        <f t="shared" si="25"/>
        <v>13324.74</v>
      </c>
      <c r="L15" s="54">
        <f t="shared" si="13"/>
        <v>0</v>
      </c>
      <c r="M15" s="38">
        <f t="shared" si="14"/>
        <v>0</v>
      </c>
      <c r="N15" s="7">
        <f t="shared" si="26"/>
        <v>2984.8</v>
      </c>
      <c r="O15" s="54">
        <f t="shared" si="15"/>
        <v>0</v>
      </c>
      <c r="P15" s="38">
        <f t="shared" si="19"/>
        <v>0</v>
      </c>
      <c r="Q15" s="7">
        <v>4730.2470000000003</v>
      </c>
      <c r="R15" s="54">
        <f t="shared" si="16"/>
        <v>0</v>
      </c>
      <c r="S15" s="38">
        <f t="shared" si="17"/>
        <v>0</v>
      </c>
      <c r="T15" s="8">
        <f t="shared" si="20"/>
        <v>0</v>
      </c>
      <c r="U15" s="40">
        <f t="shared" si="18"/>
        <v>0</v>
      </c>
      <c r="W15" t="s">
        <v>13</v>
      </c>
    </row>
    <row r="16" spans="1:25" ht="16.5" thickBot="1" x14ac:dyDescent="0.25">
      <c r="A16" s="10">
        <v>44299</v>
      </c>
      <c r="B16" s="1">
        <f t="shared" si="22"/>
        <v>20325.762999999999</v>
      </c>
      <c r="C16" s="54">
        <f t="shared" si="7"/>
        <v>0</v>
      </c>
      <c r="D16" s="38">
        <f t="shared" si="8"/>
        <v>0</v>
      </c>
      <c r="E16" s="1">
        <f t="shared" si="23"/>
        <v>3521.078</v>
      </c>
      <c r="F16" s="54">
        <f t="shared" si="9"/>
        <v>0</v>
      </c>
      <c r="G16" s="38">
        <f t="shared" si="10"/>
        <v>0</v>
      </c>
      <c r="H16" s="1">
        <f t="shared" si="24"/>
        <v>2775</v>
      </c>
      <c r="I16" s="54">
        <f t="shared" si="11"/>
        <v>0</v>
      </c>
      <c r="J16" s="38">
        <f t="shared" si="12"/>
        <v>0</v>
      </c>
      <c r="K16" s="7">
        <f t="shared" si="25"/>
        <v>13324.74</v>
      </c>
      <c r="L16" s="54">
        <f t="shared" si="13"/>
        <v>0</v>
      </c>
      <c r="M16" s="38">
        <f t="shared" si="14"/>
        <v>0</v>
      </c>
      <c r="N16" s="7">
        <f t="shared" si="26"/>
        <v>2984.8</v>
      </c>
      <c r="O16" s="54">
        <f t="shared" si="15"/>
        <v>0</v>
      </c>
      <c r="P16" s="38">
        <f t="shared" si="19"/>
        <v>0</v>
      </c>
      <c r="Q16" s="7">
        <v>4730.2470000000003</v>
      </c>
      <c r="R16" s="54">
        <f t="shared" si="16"/>
        <v>0</v>
      </c>
      <c r="S16" s="38">
        <f t="shared" si="17"/>
        <v>0</v>
      </c>
      <c r="T16" s="8">
        <f t="shared" si="20"/>
        <v>0</v>
      </c>
      <c r="U16" s="40">
        <f t="shared" si="18"/>
        <v>0</v>
      </c>
      <c r="Y16" t="s">
        <v>13</v>
      </c>
    </row>
    <row r="17" spans="1:24" ht="16.5" thickBot="1" x14ac:dyDescent="0.25">
      <c r="A17" s="10">
        <v>44300</v>
      </c>
      <c r="B17" s="1">
        <f t="shared" si="22"/>
        <v>20325.762999999999</v>
      </c>
      <c r="C17" s="54">
        <f>IF((B17-B16)&lt;0,"0",(B17-B16))</f>
        <v>0</v>
      </c>
      <c r="D17" s="38">
        <f t="shared" si="8"/>
        <v>0</v>
      </c>
      <c r="E17" s="1">
        <f t="shared" si="23"/>
        <v>3521.078</v>
      </c>
      <c r="F17" s="54">
        <f t="shared" si="9"/>
        <v>0</v>
      </c>
      <c r="G17" s="38">
        <f t="shared" si="10"/>
        <v>0</v>
      </c>
      <c r="H17" s="1">
        <f t="shared" si="24"/>
        <v>2775</v>
      </c>
      <c r="I17" s="54">
        <f t="shared" si="11"/>
        <v>0</v>
      </c>
      <c r="J17" s="38">
        <f t="shared" si="12"/>
        <v>0</v>
      </c>
      <c r="K17" s="7">
        <f t="shared" si="25"/>
        <v>13324.74</v>
      </c>
      <c r="L17" s="54">
        <f t="shared" si="13"/>
        <v>0</v>
      </c>
      <c r="M17" s="38">
        <f t="shared" si="14"/>
        <v>0</v>
      </c>
      <c r="N17" s="7">
        <f t="shared" si="26"/>
        <v>2984.8</v>
      </c>
      <c r="O17" s="54">
        <f t="shared" si="15"/>
        <v>0</v>
      </c>
      <c r="P17" s="38">
        <f t="shared" si="19"/>
        <v>0</v>
      </c>
      <c r="Q17" s="7">
        <v>4730.2470000000003</v>
      </c>
      <c r="R17" s="54">
        <f t="shared" si="16"/>
        <v>0</v>
      </c>
      <c r="S17" s="38">
        <f t="shared" si="17"/>
        <v>0</v>
      </c>
      <c r="T17" s="8">
        <f t="shared" si="20"/>
        <v>0</v>
      </c>
      <c r="U17" s="40">
        <f t="shared" si="18"/>
        <v>0</v>
      </c>
    </row>
    <row r="18" spans="1:24" ht="16.5" thickBot="1" x14ac:dyDescent="0.25">
      <c r="A18" s="10">
        <v>44301</v>
      </c>
      <c r="B18" s="1">
        <f t="shared" si="22"/>
        <v>20325.762999999999</v>
      </c>
      <c r="C18" s="54">
        <f>IF((B18-B17)&lt;0,"0",(B18-B17))</f>
        <v>0</v>
      </c>
      <c r="D18" s="38">
        <f t="shared" si="8"/>
        <v>0</v>
      </c>
      <c r="E18" s="1">
        <f t="shared" si="23"/>
        <v>3521.078</v>
      </c>
      <c r="F18" s="54">
        <f t="shared" si="9"/>
        <v>0</v>
      </c>
      <c r="G18" s="38">
        <f t="shared" si="10"/>
        <v>0</v>
      </c>
      <c r="H18" s="1">
        <f t="shared" si="24"/>
        <v>2775</v>
      </c>
      <c r="I18" s="54">
        <f t="shared" si="11"/>
        <v>0</v>
      </c>
      <c r="J18" s="38">
        <f t="shared" si="12"/>
        <v>0</v>
      </c>
      <c r="K18" s="7">
        <f t="shared" si="25"/>
        <v>13324.74</v>
      </c>
      <c r="L18" s="54">
        <f t="shared" si="13"/>
        <v>0</v>
      </c>
      <c r="M18" s="38">
        <f t="shared" si="14"/>
        <v>0</v>
      </c>
      <c r="N18" s="7">
        <f t="shared" si="26"/>
        <v>2984.8</v>
      </c>
      <c r="O18" s="54">
        <f t="shared" si="15"/>
        <v>0</v>
      </c>
      <c r="P18" s="38">
        <f t="shared" si="19"/>
        <v>0</v>
      </c>
      <c r="Q18" s="7">
        <v>4730.2470000000003</v>
      </c>
      <c r="R18" s="54">
        <f t="shared" si="16"/>
        <v>0</v>
      </c>
      <c r="S18" s="38">
        <f t="shared" si="17"/>
        <v>0</v>
      </c>
      <c r="T18" s="8">
        <f t="shared" si="20"/>
        <v>0</v>
      </c>
      <c r="U18" s="40">
        <f t="shared" si="18"/>
        <v>0</v>
      </c>
    </row>
    <row r="19" spans="1:24" ht="16.5" thickBot="1" x14ac:dyDescent="0.25">
      <c r="A19" s="10">
        <v>44302</v>
      </c>
      <c r="B19" s="1">
        <f t="shared" si="22"/>
        <v>20325.762999999999</v>
      </c>
      <c r="C19" s="54">
        <f>IF((B19-B18)&lt;0,"0",(B19-B18))</f>
        <v>0</v>
      </c>
      <c r="D19" s="38">
        <f t="shared" si="8"/>
        <v>0</v>
      </c>
      <c r="E19" s="1">
        <f t="shared" si="23"/>
        <v>3521.078</v>
      </c>
      <c r="F19" s="54">
        <f t="shared" si="9"/>
        <v>0</v>
      </c>
      <c r="G19" s="38">
        <f t="shared" si="10"/>
        <v>0</v>
      </c>
      <c r="H19" s="1">
        <f t="shared" si="24"/>
        <v>2775</v>
      </c>
      <c r="I19" s="54">
        <f t="shared" si="11"/>
        <v>0</v>
      </c>
      <c r="J19" s="38">
        <f t="shared" si="12"/>
        <v>0</v>
      </c>
      <c r="K19" s="7">
        <f t="shared" si="25"/>
        <v>13324.74</v>
      </c>
      <c r="L19" s="54">
        <f t="shared" si="13"/>
        <v>0</v>
      </c>
      <c r="M19" s="38">
        <f t="shared" si="14"/>
        <v>0</v>
      </c>
      <c r="N19" s="7">
        <f t="shared" si="26"/>
        <v>2984.8</v>
      </c>
      <c r="O19" s="54">
        <f t="shared" si="15"/>
        <v>0</v>
      </c>
      <c r="P19" s="38">
        <f t="shared" si="19"/>
        <v>0</v>
      </c>
      <c r="Q19" s="7">
        <v>4730.2470000000003</v>
      </c>
      <c r="R19" s="54">
        <f t="shared" si="16"/>
        <v>0</v>
      </c>
      <c r="S19" s="38">
        <f t="shared" si="17"/>
        <v>0</v>
      </c>
      <c r="T19" s="8">
        <f t="shared" si="20"/>
        <v>0</v>
      </c>
      <c r="U19" s="40">
        <f t="shared" si="18"/>
        <v>0</v>
      </c>
    </row>
    <row r="20" spans="1:24" ht="16.5" thickBot="1" x14ac:dyDescent="0.25">
      <c r="A20" s="10">
        <v>44303</v>
      </c>
      <c r="B20" s="1">
        <f t="shared" si="22"/>
        <v>20325.762999999999</v>
      </c>
      <c r="C20" s="54">
        <f t="shared" si="7"/>
        <v>0</v>
      </c>
      <c r="D20" s="38">
        <f t="shared" si="8"/>
        <v>0</v>
      </c>
      <c r="E20" s="1">
        <f t="shared" si="23"/>
        <v>3521.078</v>
      </c>
      <c r="F20" s="54">
        <f t="shared" si="9"/>
        <v>0</v>
      </c>
      <c r="G20" s="38">
        <f t="shared" si="10"/>
        <v>0</v>
      </c>
      <c r="H20" s="1">
        <f t="shared" si="24"/>
        <v>2775</v>
      </c>
      <c r="I20" s="54">
        <f t="shared" si="11"/>
        <v>0</v>
      </c>
      <c r="J20" s="38">
        <f t="shared" si="12"/>
        <v>0</v>
      </c>
      <c r="K20" s="7">
        <f t="shared" si="25"/>
        <v>13324.74</v>
      </c>
      <c r="L20" s="54">
        <f t="shared" si="13"/>
        <v>0</v>
      </c>
      <c r="M20" s="38">
        <f t="shared" si="14"/>
        <v>0</v>
      </c>
      <c r="N20" s="7">
        <f t="shared" si="26"/>
        <v>2984.8</v>
      </c>
      <c r="O20" s="54">
        <f t="shared" si="15"/>
        <v>0</v>
      </c>
      <c r="P20" s="38">
        <f t="shared" si="19"/>
        <v>0</v>
      </c>
      <c r="Q20" s="7">
        <v>4730.2470000000003</v>
      </c>
      <c r="R20" s="54">
        <v>0</v>
      </c>
      <c r="S20" s="38">
        <f t="shared" si="17"/>
        <v>0</v>
      </c>
      <c r="T20" s="8">
        <f t="shared" si="20"/>
        <v>0</v>
      </c>
      <c r="U20" s="40">
        <f t="shared" si="18"/>
        <v>0</v>
      </c>
      <c r="X20" t="s">
        <v>13</v>
      </c>
    </row>
    <row r="21" spans="1:24" ht="16.5" thickBot="1" x14ac:dyDescent="0.25">
      <c r="A21" s="10">
        <v>44304</v>
      </c>
      <c r="B21" s="1">
        <f t="shared" si="22"/>
        <v>20325.762999999999</v>
      </c>
      <c r="C21" s="54">
        <f t="shared" si="7"/>
        <v>0</v>
      </c>
      <c r="D21" s="38">
        <f t="shared" si="8"/>
        <v>0</v>
      </c>
      <c r="E21" s="1">
        <f t="shared" si="23"/>
        <v>3521.078</v>
      </c>
      <c r="F21" s="54">
        <f t="shared" si="9"/>
        <v>0</v>
      </c>
      <c r="G21" s="38">
        <f t="shared" si="10"/>
        <v>0</v>
      </c>
      <c r="H21" s="1">
        <f t="shared" si="24"/>
        <v>2775</v>
      </c>
      <c r="I21" s="54">
        <f t="shared" si="11"/>
        <v>0</v>
      </c>
      <c r="J21" s="38">
        <f t="shared" si="12"/>
        <v>0</v>
      </c>
      <c r="K21" s="7">
        <f t="shared" si="25"/>
        <v>13324.74</v>
      </c>
      <c r="L21" s="54">
        <f t="shared" si="13"/>
        <v>0</v>
      </c>
      <c r="M21" s="38">
        <f t="shared" si="14"/>
        <v>0</v>
      </c>
      <c r="N21" s="7">
        <f t="shared" si="26"/>
        <v>2984.8</v>
      </c>
      <c r="O21" s="54">
        <f t="shared" si="15"/>
        <v>0</v>
      </c>
      <c r="P21" s="38">
        <f t="shared" si="19"/>
        <v>0</v>
      </c>
      <c r="Q21" s="7">
        <v>4730.2470000000003</v>
      </c>
      <c r="R21" s="54">
        <f t="shared" si="16"/>
        <v>0</v>
      </c>
      <c r="S21" s="38">
        <f t="shared" si="17"/>
        <v>0</v>
      </c>
      <c r="T21" s="8">
        <f t="shared" si="20"/>
        <v>0</v>
      </c>
      <c r="U21" s="40">
        <f t="shared" si="18"/>
        <v>0</v>
      </c>
    </row>
    <row r="22" spans="1:24" ht="16.5" thickBot="1" x14ac:dyDescent="0.25">
      <c r="A22" s="10">
        <v>44305</v>
      </c>
      <c r="B22" s="1">
        <f t="shared" si="22"/>
        <v>20325.762999999999</v>
      </c>
      <c r="C22" s="54">
        <f t="shared" si="7"/>
        <v>0</v>
      </c>
      <c r="D22" s="38">
        <f t="shared" si="8"/>
        <v>0</v>
      </c>
      <c r="E22" s="1">
        <f t="shared" si="23"/>
        <v>3521.078</v>
      </c>
      <c r="F22" s="54">
        <f t="shared" si="9"/>
        <v>0</v>
      </c>
      <c r="G22" s="38">
        <f t="shared" si="10"/>
        <v>0</v>
      </c>
      <c r="H22" s="1">
        <f t="shared" si="24"/>
        <v>2775</v>
      </c>
      <c r="I22" s="54">
        <f t="shared" si="11"/>
        <v>0</v>
      </c>
      <c r="J22" s="38">
        <f t="shared" si="12"/>
        <v>0</v>
      </c>
      <c r="K22" s="7">
        <f t="shared" si="25"/>
        <v>13324.74</v>
      </c>
      <c r="L22" s="54">
        <f t="shared" si="13"/>
        <v>0</v>
      </c>
      <c r="M22" s="38">
        <f t="shared" si="14"/>
        <v>0</v>
      </c>
      <c r="N22" s="7">
        <f t="shared" si="26"/>
        <v>2984.8</v>
      </c>
      <c r="O22" s="54">
        <f t="shared" si="15"/>
        <v>0</v>
      </c>
      <c r="P22" s="38">
        <f t="shared" si="19"/>
        <v>0</v>
      </c>
      <c r="Q22" s="7">
        <v>4730.2470000000003</v>
      </c>
      <c r="R22" s="54">
        <f t="shared" si="16"/>
        <v>0</v>
      </c>
      <c r="S22" s="38">
        <f t="shared" si="17"/>
        <v>0</v>
      </c>
      <c r="T22" s="8">
        <f t="shared" si="20"/>
        <v>0</v>
      </c>
      <c r="U22" s="40">
        <f t="shared" si="18"/>
        <v>0</v>
      </c>
    </row>
    <row r="23" spans="1:24" ht="16.5" thickBot="1" x14ac:dyDescent="0.25">
      <c r="A23" s="10">
        <v>44306</v>
      </c>
      <c r="B23" s="1">
        <f t="shared" si="22"/>
        <v>20325.762999999999</v>
      </c>
      <c r="C23" s="54">
        <f t="shared" si="7"/>
        <v>0</v>
      </c>
      <c r="D23" s="38">
        <f t="shared" si="8"/>
        <v>0</v>
      </c>
      <c r="E23" s="1">
        <f t="shared" si="23"/>
        <v>3521.078</v>
      </c>
      <c r="F23" s="54">
        <f t="shared" si="9"/>
        <v>0</v>
      </c>
      <c r="G23" s="38">
        <f t="shared" si="10"/>
        <v>0</v>
      </c>
      <c r="H23" s="1">
        <f t="shared" si="24"/>
        <v>2775</v>
      </c>
      <c r="I23" s="54">
        <f t="shared" si="11"/>
        <v>0</v>
      </c>
      <c r="J23" s="38">
        <f t="shared" si="12"/>
        <v>0</v>
      </c>
      <c r="K23" s="7">
        <f t="shared" si="25"/>
        <v>13324.74</v>
      </c>
      <c r="L23" s="54">
        <f t="shared" si="13"/>
        <v>0</v>
      </c>
      <c r="M23" s="38">
        <f t="shared" si="14"/>
        <v>0</v>
      </c>
      <c r="N23" s="7">
        <f t="shared" si="26"/>
        <v>2984.8</v>
      </c>
      <c r="O23" s="54">
        <f t="shared" si="15"/>
        <v>0</v>
      </c>
      <c r="P23" s="38">
        <f t="shared" si="19"/>
        <v>0</v>
      </c>
      <c r="Q23" s="7">
        <v>4730.2470000000003</v>
      </c>
      <c r="R23" s="54">
        <f t="shared" si="16"/>
        <v>0</v>
      </c>
      <c r="S23" s="38">
        <f t="shared" si="17"/>
        <v>0</v>
      </c>
      <c r="T23" s="8">
        <f t="shared" si="20"/>
        <v>0</v>
      </c>
      <c r="U23" s="40">
        <f t="shared" si="18"/>
        <v>0</v>
      </c>
    </row>
    <row r="24" spans="1:24" ht="16.5" thickBot="1" x14ac:dyDescent="0.25">
      <c r="A24" s="10">
        <v>44307</v>
      </c>
      <c r="B24" s="1">
        <f t="shared" si="22"/>
        <v>20325.762999999999</v>
      </c>
      <c r="C24" s="54">
        <f t="shared" si="7"/>
        <v>0</v>
      </c>
      <c r="D24" s="38">
        <f t="shared" si="8"/>
        <v>0</v>
      </c>
      <c r="E24" s="1">
        <f t="shared" si="23"/>
        <v>3521.078</v>
      </c>
      <c r="F24" s="54">
        <f t="shared" si="9"/>
        <v>0</v>
      </c>
      <c r="G24" s="38">
        <f t="shared" si="10"/>
        <v>0</v>
      </c>
      <c r="H24" s="1">
        <f t="shared" si="24"/>
        <v>2775</v>
      </c>
      <c r="I24" s="54">
        <f t="shared" si="11"/>
        <v>0</v>
      </c>
      <c r="J24" s="38">
        <f t="shared" si="12"/>
        <v>0</v>
      </c>
      <c r="K24" s="7">
        <f t="shared" si="25"/>
        <v>13324.74</v>
      </c>
      <c r="L24" s="54">
        <f t="shared" si="13"/>
        <v>0</v>
      </c>
      <c r="M24" s="38">
        <f t="shared" si="14"/>
        <v>0</v>
      </c>
      <c r="N24" s="7">
        <f t="shared" si="26"/>
        <v>2984.8</v>
      </c>
      <c r="O24" s="54">
        <f t="shared" si="15"/>
        <v>0</v>
      </c>
      <c r="P24" s="38">
        <f t="shared" si="19"/>
        <v>0</v>
      </c>
      <c r="Q24" s="7">
        <v>4730.2470000000003</v>
      </c>
      <c r="R24" s="54">
        <f t="shared" si="16"/>
        <v>0</v>
      </c>
      <c r="S24" s="38">
        <f t="shared" si="17"/>
        <v>0</v>
      </c>
      <c r="T24" s="8">
        <f t="shared" si="20"/>
        <v>0</v>
      </c>
      <c r="U24" s="40">
        <f t="shared" si="18"/>
        <v>0</v>
      </c>
    </row>
    <row r="25" spans="1:24" ht="16.5" thickBot="1" x14ac:dyDescent="0.25">
      <c r="A25" s="10">
        <v>44308</v>
      </c>
      <c r="B25" s="1">
        <f t="shared" si="22"/>
        <v>20325.762999999999</v>
      </c>
      <c r="C25" s="54">
        <f t="shared" si="7"/>
        <v>0</v>
      </c>
      <c r="D25" s="38">
        <f t="shared" si="8"/>
        <v>0</v>
      </c>
      <c r="E25" s="1">
        <f t="shared" si="23"/>
        <v>3521.078</v>
      </c>
      <c r="F25" s="54">
        <f t="shared" si="9"/>
        <v>0</v>
      </c>
      <c r="G25" s="38">
        <f t="shared" si="10"/>
        <v>0</v>
      </c>
      <c r="H25" s="1">
        <f t="shared" si="24"/>
        <v>2775</v>
      </c>
      <c r="I25" s="54">
        <f t="shared" si="11"/>
        <v>0</v>
      </c>
      <c r="J25" s="38">
        <f t="shared" si="12"/>
        <v>0</v>
      </c>
      <c r="K25" s="7">
        <f t="shared" si="25"/>
        <v>13324.74</v>
      </c>
      <c r="L25" s="54">
        <f t="shared" si="13"/>
        <v>0</v>
      </c>
      <c r="M25" s="38">
        <f t="shared" si="14"/>
        <v>0</v>
      </c>
      <c r="N25" s="7">
        <f t="shared" si="26"/>
        <v>2984.8</v>
      </c>
      <c r="O25" s="54">
        <f t="shared" si="15"/>
        <v>0</v>
      </c>
      <c r="P25" s="38">
        <f t="shared" si="19"/>
        <v>0</v>
      </c>
      <c r="Q25" s="7">
        <v>4730.2470000000003</v>
      </c>
      <c r="R25" s="54">
        <f t="shared" si="16"/>
        <v>0</v>
      </c>
      <c r="S25" s="38">
        <f t="shared" si="17"/>
        <v>0</v>
      </c>
      <c r="T25" s="8">
        <f t="shared" si="20"/>
        <v>0</v>
      </c>
      <c r="U25" s="40">
        <f t="shared" si="18"/>
        <v>0</v>
      </c>
    </row>
    <row r="26" spans="1:24" ht="16.5" thickBot="1" x14ac:dyDescent="0.25">
      <c r="A26" s="10">
        <v>44309</v>
      </c>
      <c r="B26" s="1">
        <f t="shared" si="22"/>
        <v>20325.762999999999</v>
      </c>
      <c r="C26" s="54">
        <f t="shared" si="7"/>
        <v>0</v>
      </c>
      <c r="D26" s="38">
        <f t="shared" si="8"/>
        <v>0</v>
      </c>
      <c r="E26" s="1">
        <f t="shared" si="23"/>
        <v>3521.078</v>
      </c>
      <c r="F26" s="54">
        <f t="shared" si="9"/>
        <v>0</v>
      </c>
      <c r="G26" s="38">
        <f t="shared" si="10"/>
        <v>0</v>
      </c>
      <c r="H26" s="1">
        <f t="shared" si="24"/>
        <v>2775</v>
      </c>
      <c r="I26" s="54">
        <f t="shared" si="11"/>
        <v>0</v>
      </c>
      <c r="J26" s="38">
        <f t="shared" si="12"/>
        <v>0</v>
      </c>
      <c r="K26" s="7">
        <f t="shared" si="25"/>
        <v>13324.74</v>
      </c>
      <c r="L26" s="54">
        <f t="shared" si="13"/>
        <v>0</v>
      </c>
      <c r="M26" s="38">
        <f t="shared" si="14"/>
        <v>0</v>
      </c>
      <c r="N26" s="7">
        <f t="shared" si="26"/>
        <v>2984.8</v>
      </c>
      <c r="O26" s="54">
        <f t="shared" si="15"/>
        <v>0</v>
      </c>
      <c r="P26" s="38">
        <f t="shared" si="19"/>
        <v>0</v>
      </c>
      <c r="Q26" s="7">
        <v>4730.2470000000003</v>
      </c>
      <c r="R26" s="54">
        <f t="shared" si="16"/>
        <v>0</v>
      </c>
      <c r="S26" s="38">
        <f t="shared" si="17"/>
        <v>0</v>
      </c>
      <c r="T26" s="8">
        <f t="shared" si="20"/>
        <v>0</v>
      </c>
      <c r="U26" s="40">
        <f t="shared" si="18"/>
        <v>0</v>
      </c>
      <c r="V26" t="s">
        <v>13</v>
      </c>
    </row>
    <row r="27" spans="1:24" ht="16.5" thickBot="1" x14ac:dyDescent="0.25">
      <c r="A27" s="10">
        <v>44310</v>
      </c>
      <c r="B27" s="1">
        <f t="shared" si="22"/>
        <v>20325.762999999999</v>
      </c>
      <c r="C27" s="54">
        <f t="shared" si="7"/>
        <v>0</v>
      </c>
      <c r="D27" s="38">
        <f t="shared" si="8"/>
        <v>0</v>
      </c>
      <c r="E27" s="1">
        <f t="shared" si="23"/>
        <v>3521.078</v>
      </c>
      <c r="F27" s="54">
        <f t="shared" si="9"/>
        <v>0</v>
      </c>
      <c r="G27" s="38">
        <f t="shared" si="10"/>
        <v>0</v>
      </c>
      <c r="H27" s="1">
        <f t="shared" si="24"/>
        <v>2775</v>
      </c>
      <c r="I27" s="54">
        <f t="shared" si="11"/>
        <v>0</v>
      </c>
      <c r="J27" s="38">
        <f t="shared" si="12"/>
        <v>0</v>
      </c>
      <c r="K27" s="7">
        <f t="shared" si="25"/>
        <v>13324.74</v>
      </c>
      <c r="L27" s="54">
        <f t="shared" si="13"/>
        <v>0</v>
      </c>
      <c r="M27" s="38">
        <f t="shared" si="14"/>
        <v>0</v>
      </c>
      <c r="N27" s="7">
        <f t="shared" si="26"/>
        <v>2984.8</v>
      </c>
      <c r="O27" s="54">
        <f t="shared" si="15"/>
        <v>0</v>
      </c>
      <c r="P27" s="38">
        <f t="shared" si="19"/>
        <v>0</v>
      </c>
      <c r="Q27" s="7">
        <v>4730.2470000000003</v>
      </c>
      <c r="R27" s="54">
        <f t="shared" si="16"/>
        <v>0</v>
      </c>
      <c r="S27" s="38">
        <f t="shared" si="17"/>
        <v>0</v>
      </c>
      <c r="T27" s="8">
        <f t="shared" si="20"/>
        <v>0</v>
      </c>
      <c r="U27" s="40">
        <f t="shared" si="18"/>
        <v>0</v>
      </c>
      <c r="V27" t="s">
        <v>13</v>
      </c>
    </row>
    <row r="28" spans="1:24" ht="16.5" thickBot="1" x14ac:dyDescent="0.25">
      <c r="A28" s="10">
        <v>44311</v>
      </c>
      <c r="B28" s="1">
        <f t="shared" si="22"/>
        <v>20325.762999999999</v>
      </c>
      <c r="C28" s="54">
        <f t="shared" si="7"/>
        <v>0</v>
      </c>
      <c r="D28" s="38">
        <f t="shared" si="8"/>
        <v>0</v>
      </c>
      <c r="E28" s="1">
        <f t="shared" si="23"/>
        <v>3521.078</v>
      </c>
      <c r="F28" s="54">
        <f t="shared" si="9"/>
        <v>0</v>
      </c>
      <c r="G28" s="38">
        <f t="shared" si="10"/>
        <v>0</v>
      </c>
      <c r="H28" s="1">
        <f t="shared" si="24"/>
        <v>2775</v>
      </c>
      <c r="I28" s="54">
        <f t="shared" si="11"/>
        <v>0</v>
      </c>
      <c r="J28" s="38">
        <f t="shared" si="12"/>
        <v>0</v>
      </c>
      <c r="K28" s="7">
        <f t="shared" si="25"/>
        <v>13324.74</v>
      </c>
      <c r="L28" s="54">
        <f t="shared" si="13"/>
        <v>0</v>
      </c>
      <c r="M28" s="38">
        <f t="shared" si="14"/>
        <v>0</v>
      </c>
      <c r="N28" s="7">
        <f t="shared" si="26"/>
        <v>2984.8</v>
      </c>
      <c r="O28" s="54">
        <f t="shared" si="15"/>
        <v>0</v>
      </c>
      <c r="P28" s="38">
        <f t="shared" si="19"/>
        <v>0</v>
      </c>
      <c r="Q28" s="7">
        <v>4730.2470000000003</v>
      </c>
      <c r="R28" s="54">
        <f t="shared" si="16"/>
        <v>0</v>
      </c>
      <c r="S28" s="38">
        <f t="shared" si="17"/>
        <v>0</v>
      </c>
      <c r="T28" s="8">
        <f t="shared" si="20"/>
        <v>0</v>
      </c>
      <c r="U28" s="40">
        <f t="shared" si="18"/>
        <v>0</v>
      </c>
    </row>
    <row r="29" spans="1:24" ht="16.5" thickBot="1" x14ac:dyDescent="0.25">
      <c r="A29" s="10">
        <v>44312</v>
      </c>
      <c r="B29" s="1">
        <f t="shared" si="22"/>
        <v>20325.762999999999</v>
      </c>
      <c r="C29" s="54">
        <f t="shared" si="7"/>
        <v>0</v>
      </c>
      <c r="D29" s="38">
        <f t="shared" si="8"/>
        <v>0</v>
      </c>
      <c r="E29" s="1">
        <f t="shared" si="23"/>
        <v>3521.078</v>
      </c>
      <c r="F29" s="54">
        <f t="shared" si="9"/>
        <v>0</v>
      </c>
      <c r="G29" s="38">
        <f t="shared" si="10"/>
        <v>0</v>
      </c>
      <c r="H29" s="1">
        <f t="shared" si="24"/>
        <v>2775</v>
      </c>
      <c r="I29" s="54">
        <f t="shared" si="11"/>
        <v>0</v>
      </c>
      <c r="J29" s="38">
        <f t="shared" si="12"/>
        <v>0</v>
      </c>
      <c r="K29" s="7">
        <f t="shared" si="25"/>
        <v>13324.74</v>
      </c>
      <c r="L29" s="54">
        <f t="shared" si="13"/>
        <v>0</v>
      </c>
      <c r="M29" s="38">
        <f t="shared" si="14"/>
        <v>0</v>
      </c>
      <c r="N29" s="7">
        <f t="shared" si="26"/>
        <v>2984.8</v>
      </c>
      <c r="O29" s="54">
        <f t="shared" si="15"/>
        <v>0</v>
      </c>
      <c r="P29" s="38">
        <f t="shared" si="19"/>
        <v>0</v>
      </c>
      <c r="Q29" s="7">
        <v>4730.2470000000003</v>
      </c>
      <c r="R29" s="54">
        <f t="shared" si="16"/>
        <v>0</v>
      </c>
      <c r="S29" s="38">
        <f t="shared" si="17"/>
        <v>0</v>
      </c>
      <c r="T29" s="8">
        <f t="shared" si="20"/>
        <v>0</v>
      </c>
      <c r="U29" s="40">
        <f t="shared" si="18"/>
        <v>0</v>
      </c>
    </row>
    <row r="30" spans="1:24" ht="16.5" thickBot="1" x14ac:dyDescent="0.25">
      <c r="A30" s="10">
        <v>44313</v>
      </c>
      <c r="B30" s="1">
        <f t="shared" si="22"/>
        <v>20325.762999999999</v>
      </c>
      <c r="C30" s="54">
        <f t="shared" si="7"/>
        <v>0</v>
      </c>
      <c r="D30" s="38">
        <f t="shared" si="8"/>
        <v>0</v>
      </c>
      <c r="E30" s="1">
        <f t="shared" si="23"/>
        <v>3521.078</v>
      </c>
      <c r="F30" s="54">
        <f t="shared" si="9"/>
        <v>0</v>
      </c>
      <c r="G30" s="38">
        <f t="shared" si="10"/>
        <v>0</v>
      </c>
      <c r="H30" s="1">
        <f t="shared" si="24"/>
        <v>2775</v>
      </c>
      <c r="I30" s="54">
        <f t="shared" si="11"/>
        <v>0</v>
      </c>
      <c r="J30" s="38">
        <f t="shared" si="12"/>
        <v>0</v>
      </c>
      <c r="K30" s="7">
        <f t="shared" si="25"/>
        <v>13324.74</v>
      </c>
      <c r="L30" s="54">
        <f t="shared" si="13"/>
        <v>0</v>
      </c>
      <c r="M30" s="38">
        <f t="shared" si="14"/>
        <v>0</v>
      </c>
      <c r="N30" s="7">
        <f t="shared" si="26"/>
        <v>2984.8</v>
      </c>
      <c r="O30" s="54">
        <f t="shared" si="15"/>
        <v>0</v>
      </c>
      <c r="P30" s="38">
        <f t="shared" si="19"/>
        <v>0</v>
      </c>
      <c r="Q30" s="7">
        <v>4730.2470000000003</v>
      </c>
      <c r="R30" s="54">
        <f t="shared" si="16"/>
        <v>0</v>
      </c>
      <c r="S30" s="38">
        <f t="shared" si="17"/>
        <v>0</v>
      </c>
      <c r="T30" s="8">
        <f t="shared" si="20"/>
        <v>0</v>
      </c>
      <c r="U30" s="40">
        <f t="shared" si="18"/>
        <v>0</v>
      </c>
    </row>
    <row r="31" spans="1:24" ht="16.5" thickBot="1" x14ac:dyDescent="0.25">
      <c r="A31" s="10">
        <v>44314</v>
      </c>
      <c r="B31" s="1">
        <f t="shared" si="22"/>
        <v>20325.762999999999</v>
      </c>
      <c r="C31" s="54">
        <f t="shared" si="7"/>
        <v>0</v>
      </c>
      <c r="D31" s="38">
        <f t="shared" si="8"/>
        <v>0</v>
      </c>
      <c r="E31" s="1">
        <f t="shared" si="23"/>
        <v>3521.078</v>
      </c>
      <c r="F31" s="54">
        <f t="shared" si="9"/>
        <v>0</v>
      </c>
      <c r="G31" s="38">
        <f t="shared" si="10"/>
        <v>0</v>
      </c>
      <c r="H31" s="1">
        <f t="shared" si="24"/>
        <v>2775</v>
      </c>
      <c r="I31" s="54">
        <f t="shared" si="11"/>
        <v>0</v>
      </c>
      <c r="J31" s="38">
        <f t="shared" si="12"/>
        <v>0</v>
      </c>
      <c r="K31" s="7">
        <f t="shared" si="25"/>
        <v>13324.74</v>
      </c>
      <c r="L31" s="54">
        <f t="shared" si="13"/>
        <v>0</v>
      </c>
      <c r="M31" s="38">
        <f t="shared" si="14"/>
        <v>0</v>
      </c>
      <c r="N31" s="7">
        <f t="shared" si="26"/>
        <v>2984.8</v>
      </c>
      <c r="O31" s="54">
        <f t="shared" si="15"/>
        <v>0</v>
      </c>
      <c r="P31" s="38">
        <f t="shared" si="19"/>
        <v>0</v>
      </c>
      <c r="Q31" s="7">
        <v>4730.2470000000003</v>
      </c>
      <c r="R31" s="54">
        <f t="shared" si="16"/>
        <v>0</v>
      </c>
      <c r="S31" s="38">
        <f t="shared" si="17"/>
        <v>0</v>
      </c>
      <c r="T31" s="8">
        <f t="shared" si="20"/>
        <v>0</v>
      </c>
      <c r="U31" s="40">
        <f t="shared" si="18"/>
        <v>0</v>
      </c>
    </row>
    <row r="32" spans="1:24" ht="16.5" thickBot="1" x14ac:dyDescent="0.25">
      <c r="A32" s="10">
        <v>44315</v>
      </c>
      <c r="B32" s="1">
        <f t="shared" si="22"/>
        <v>20325.762999999999</v>
      </c>
      <c r="C32" s="54">
        <f t="shared" si="7"/>
        <v>0</v>
      </c>
      <c r="D32" s="38">
        <f t="shared" si="8"/>
        <v>0</v>
      </c>
      <c r="E32" s="1">
        <f t="shared" si="23"/>
        <v>3521.078</v>
      </c>
      <c r="F32" s="54">
        <f t="shared" si="9"/>
        <v>0</v>
      </c>
      <c r="G32" s="38">
        <f t="shared" si="10"/>
        <v>0</v>
      </c>
      <c r="H32" s="1">
        <f t="shared" si="24"/>
        <v>2775</v>
      </c>
      <c r="I32" s="54">
        <f t="shared" si="11"/>
        <v>0</v>
      </c>
      <c r="J32" s="38">
        <f t="shared" si="12"/>
        <v>0</v>
      </c>
      <c r="K32" s="7">
        <f t="shared" si="25"/>
        <v>13324.74</v>
      </c>
      <c r="L32" s="54">
        <f t="shared" si="13"/>
        <v>0</v>
      </c>
      <c r="M32" s="38">
        <f t="shared" si="14"/>
        <v>0</v>
      </c>
      <c r="N32" s="7">
        <f t="shared" si="26"/>
        <v>2984.8</v>
      </c>
      <c r="O32" s="54">
        <f t="shared" si="15"/>
        <v>0</v>
      </c>
      <c r="P32" s="38">
        <f t="shared" si="19"/>
        <v>0</v>
      </c>
      <c r="Q32" s="7">
        <v>4730.2470000000003</v>
      </c>
      <c r="R32" s="54">
        <f t="shared" si="16"/>
        <v>0</v>
      </c>
      <c r="S32" s="38">
        <f t="shared" si="17"/>
        <v>0</v>
      </c>
      <c r="T32" s="8">
        <f t="shared" si="20"/>
        <v>0</v>
      </c>
      <c r="U32" s="40">
        <f t="shared" si="18"/>
        <v>0</v>
      </c>
    </row>
    <row r="33" spans="1:27" ht="16.5" thickBot="1" x14ac:dyDescent="0.25">
      <c r="A33" s="10">
        <v>44316</v>
      </c>
      <c r="B33" s="1">
        <f t="shared" si="22"/>
        <v>20325.762999999999</v>
      </c>
      <c r="C33" s="54">
        <f t="shared" si="7"/>
        <v>0</v>
      </c>
      <c r="D33" s="38">
        <f t="shared" si="8"/>
        <v>0</v>
      </c>
      <c r="E33" s="1">
        <f t="shared" si="23"/>
        <v>3521.078</v>
      </c>
      <c r="F33" s="54">
        <f t="shared" si="9"/>
        <v>0</v>
      </c>
      <c r="G33" s="38">
        <f t="shared" si="10"/>
        <v>0</v>
      </c>
      <c r="H33" s="1">
        <f t="shared" si="24"/>
        <v>2775</v>
      </c>
      <c r="I33" s="54">
        <f t="shared" si="11"/>
        <v>0</v>
      </c>
      <c r="J33" s="38">
        <f t="shared" si="12"/>
        <v>0</v>
      </c>
      <c r="K33" s="7">
        <f t="shared" si="25"/>
        <v>13324.74</v>
      </c>
      <c r="L33" s="54">
        <f t="shared" si="13"/>
        <v>0</v>
      </c>
      <c r="M33" s="38">
        <f t="shared" si="14"/>
        <v>0</v>
      </c>
      <c r="N33" s="7">
        <f t="shared" ref="N33" si="27">N32</f>
        <v>2984.8</v>
      </c>
      <c r="O33" s="54">
        <f t="shared" si="15"/>
        <v>0</v>
      </c>
      <c r="P33" s="38">
        <f t="shared" si="19"/>
        <v>0</v>
      </c>
      <c r="Q33" s="7">
        <v>4730.2470000000003</v>
      </c>
      <c r="R33" s="54">
        <f t="shared" si="16"/>
        <v>0</v>
      </c>
      <c r="S33" s="38">
        <f t="shared" si="17"/>
        <v>0</v>
      </c>
      <c r="T33" s="8">
        <f t="shared" si="20"/>
        <v>0</v>
      </c>
      <c r="U33" s="40">
        <f t="shared" si="18"/>
        <v>0</v>
      </c>
    </row>
    <row r="34" spans="1:27" s="26" customFormat="1" ht="16.5" thickBot="1" x14ac:dyDescent="0.25">
      <c r="A34" s="6" t="s">
        <v>24</v>
      </c>
      <c r="B34" s="162"/>
      <c r="C34" s="162">
        <v>0</v>
      </c>
      <c r="D34" s="162">
        <f>SUM(D2:D33)</f>
        <v>93941.699999998673</v>
      </c>
      <c r="E34" s="162">
        <v>0</v>
      </c>
      <c r="F34" s="162">
        <f>SUM(F2:F33)</f>
        <v>11.737999999999829</v>
      </c>
      <c r="G34" s="162">
        <f>SUM(G2:G33)</f>
        <v>22302.199999999673</v>
      </c>
      <c r="H34" s="162"/>
      <c r="I34" s="162">
        <f>SUM(I2:I33)</f>
        <v>53</v>
      </c>
      <c r="J34" s="162">
        <f>SUM(J2:J33)</f>
        <v>100700</v>
      </c>
      <c r="K34" s="162"/>
      <c r="L34" s="162">
        <f>SUM(L2:L33)</f>
        <v>6.9899999999997817</v>
      </c>
      <c r="M34" s="162">
        <f>SUM(M2:M33)</f>
        <v>13280.999999999585</v>
      </c>
      <c r="N34" s="162"/>
      <c r="O34" s="162">
        <f>SUM(O2:O33)</f>
        <v>13.785000000000309</v>
      </c>
      <c r="P34" s="162">
        <f>SUM(P2:P33)</f>
        <v>25820.400000000314</v>
      </c>
      <c r="Q34" s="162"/>
      <c r="R34" s="162">
        <v>0</v>
      </c>
      <c r="S34" s="162">
        <f>SUM(S2:S33)</f>
        <v>13822.499999999309</v>
      </c>
      <c r="T34" s="162">
        <f>SUM(T2:T33)</f>
        <v>129.35799999999927</v>
      </c>
      <c r="U34" s="162">
        <f>SUM(U2:U33)</f>
        <v>245780.19999999861</v>
      </c>
      <c r="V34"/>
      <c r="W34"/>
      <c r="X34"/>
      <c r="Y34"/>
      <c r="Z34"/>
      <c r="AA34"/>
    </row>
    <row r="35" spans="1:27" x14ac:dyDescent="0.2">
      <c r="D35" t="s">
        <v>13</v>
      </c>
      <c r="I35" s="46" t="s">
        <v>13</v>
      </c>
      <c r="R35" s="46" t="s">
        <v>13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85" zoomScaleNormal="85" workbookViewId="0">
      <selection activeCell="J21" sqref="J2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67" t="s">
        <v>143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</row>
    <row r="2" spans="1:11" ht="13.5" thickBot="1" x14ac:dyDescent="0.25">
      <c r="A2" s="108"/>
      <c r="B2" s="109" t="s">
        <v>93</v>
      </c>
      <c r="C2" s="110">
        <f>K8+K9+K14</f>
        <v>128616</v>
      </c>
      <c r="D2" s="110">
        <f>C2*1.27</f>
        <v>163342.32</v>
      </c>
      <c r="E2" s="111"/>
      <c r="F2" s="108"/>
      <c r="G2" s="108"/>
      <c r="H2" s="112" t="s">
        <v>94</v>
      </c>
      <c r="I2" s="113"/>
      <c r="J2" s="113"/>
      <c r="K2" s="113"/>
    </row>
    <row r="3" spans="1:11" ht="13.5" thickBot="1" x14ac:dyDescent="0.25">
      <c r="A3" s="108"/>
      <c r="B3" s="108"/>
      <c r="C3" s="108"/>
      <c r="D3" s="108"/>
      <c r="E3" s="108"/>
      <c r="F3" s="108"/>
      <c r="G3" s="108"/>
      <c r="H3" s="114" t="s">
        <v>95</v>
      </c>
      <c r="I3" s="158">
        <f>ELECT.!E2</f>
        <v>25433539</v>
      </c>
      <c r="J3" s="158">
        <f>ELECT.!E33</f>
        <v>25515170</v>
      </c>
      <c r="K3" s="105">
        <f>J3-I3</f>
        <v>81631</v>
      </c>
    </row>
    <row r="4" spans="1:11" ht="13.5" thickBot="1" x14ac:dyDescent="0.25">
      <c r="A4" s="108"/>
      <c r="B4" s="116" t="s">
        <v>96</v>
      </c>
      <c r="C4" s="117" t="s">
        <v>97</v>
      </c>
      <c r="D4" s="117" t="s">
        <v>98</v>
      </c>
      <c r="E4" s="117"/>
      <c r="F4" s="108"/>
      <c r="G4" s="108"/>
      <c r="H4" s="114" t="s">
        <v>99</v>
      </c>
      <c r="I4" s="115">
        <f>ELECT.!G2</f>
        <v>79837635</v>
      </c>
      <c r="J4" s="158">
        <f>ELECT.!G33</f>
        <v>80289649</v>
      </c>
      <c r="K4" s="105">
        <f>J4-I4</f>
        <v>452014</v>
      </c>
    </row>
    <row r="5" spans="1:11" ht="13.5" thickBot="1" x14ac:dyDescent="0.25">
      <c r="A5" s="108"/>
      <c r="B5" s="114" t="s">
        <v>28</v>
      </c>
      <c r="C5" s="118">
        <f>(K10+K12)*0.842284+K26</f>
        <v>257307.613916</v>
      </c>
      <c r="D5" s="118">
        <f t="shared" ref="D5:D11" si="0">C5*1.27</f>
        <v>326780.66967332002</v>
      </c>
      <c r="E5" s="119"/>
      <c r="F5" s="108"/>
      <c r="G5" s="108"/>
      <c r="H5" s="114" t="s">
        <v>24</v>
      </c>
      <c r="I5" s="120"/>
      <c r="J5" s="120"/>
      <c r="K5" s="145">
        <f>K3+K4</f>
        <v>533645</v>
      </c>
    </row>
    <row r="6" spans="1:11" ht="13.5" thickBot="1" x14ac:dyDescent="0.25">
      <c r="A6" s="108"/>
      <c r="B6" s="114" t="s">
        <v>100</v>
      </c>
      <c r="C6" s="118">
        <f>(K10+K12+K26)*0.1488</f>
        <v>45340.699199999995</v>
      </c>
      <c r="D6" s="118">
        <f t="shared" si="0"/>
        <v>57582.687983999997</v>
      </c>
      <c r="E6" s="119"/>
      <c r="F6" s="108"/>
      <c r="G6" s="108"/>
      <c r="H6" s="114" t="s">
        <v>101</v>
      </c>
      <c r="I6" s="163">
        <f>ELECT.!J2</f>
        <v>7752235</v>
      </c>
      <c r="J6" s="159">
        <f>ELECT.!J33</f>
        <v>7803881</v>
      </c>
      <c r="K6" s="105">
        <f>J6-I6</f>
        <v>51646</v>
      </c>
    </row>
    <row r="7" spans="1:11" ht="13.5" thickBot="1" x14ac:dyDescent="0.25">
      <c r="A7" s="108"/>
      <c r="B7" s="114" t="s">
        <v>102</v>
      </c>
      <c r="C7" s="118">
        <f>(K6+K7)-(C8+C9+C10+C11+K26)</f>
        <v>77721</v>
      </c>
      <c r="D7" s="118">
        <f t="shared" si="0"/>
        <v>98705.67</v>
      </c>
      <c r="E7" s="119"/>
      <c r="F7" s="108"/>
      <c r="G7" s="108"/>
      <c r="H7" s="114" t="s">
        <v>103</v>
      </c>
      <c r="I7" s="163">
        <f>ELECT.!L2</f>
        <v>7774835</v>
      </c>
      <c r="J7" s="159">
        <f>ELECT.!L33</f>
        <v>7827669</v>
      </c>
      <c r="K7" s="105">
        <f>J7-I7</f>
        <v>52834</v>
      </c>
    </row>
    <row r="8" spans="1:11" ht="13.5" thickBot="1" x14ac:dyDescent="0.25">
      <c r="A8" s="108"/>
      <c r="B8" s="114" t="s">
        <v>104</v>
      </c>
      <c r="C8" s="118">
        <f>K21+K22+K23+K24</f>
        <v>12002</v>
      </c>
      <c r="D8" s="118">
        <f t="shared" si="0"/>
        <v>15242.54</v>
      </c>
      <c r="E8" s="119"/>
      <c r="F8" s="108"/>
      <c r="G8" s="108"/>
      <c r="H8" s="114" t="s">
        <v>105</v>
      </c>
      <c r="I8" s="163">
        <f>ELECT.!N2</f>
        <v>5008835</v>
      </c>
      <c r="J8" s="159">
        <f>ELECT.!N33</f>
        <v>5022458</v>
      </c>
      <c r="K8" s="105">
        <f>(J8-I8)*2</f>
        <v>27246</v>
      </c>
    </row>
    <row r="9" spans="1:11" ht="13.5" thickBot="1" x14ac:dyDescent="0.25">
      <c r="A9" s="108"/>
      <c r="B9" s="114" t="s">
        <v>138</v>
      </c>
      <c r="C9" s="118">
        <f>K25+K16+K17</f>
        <v>3527</v>
      </c>
      <c r="D9" s="118">
        <f t="shared" si="0"/>
        <v>4479.29</v>
      </c>
      <c r="E9" s="119"/>
      <c r="F9" s="108"/>
      <c r="G9" s="108"/>
      <c r="H9" s="114" t="s">
        <v>106</v>
      </c>
      <c r="I9" s="163">
        <f>ELECT.!P2</f>
        <v>2893394</v>
      </c>
      <c r="J9" s="159">
        <f>ELECT.!P33</f>
        <v>2983650</v>
      </c>
      <c r="K9" s="105">
        <f>J9-I9</f>
        <v>90256</v>
      </c>
    </row>
    <row r="10" spans="1:11" ht="13.5" thickBot="1" x14ac:dyDescent="0.25">
      <c r="A10" s="108"/>
      <c r="B10" s="114" t="s">
        <v>107</v>
      </c>
      <c r="C10" s="118">
        <f>K18</f>
        <v>5760</v>
      </c>
      <c r="D10" s="118">
        <f t="shared" si="0"/>
        <v>7315.2</v>
      </c>
      <c r="E10" s="119"/>
      <c r="F10" s="108"/>
      <c r="G10" s="108"/>
      <c r="H10" s="114" t="s">
        <v>108</v>
      </c>
      <c r="I10" s="163">
        <f>ELECT.!R2</f>
        <v>16985908</v>
      </c>
      <c r="J10" s="159">
        <f>ELECT.!R33</f>
        <v>17078223</v>
      </c>
      <c r="K10" s="105">
        <f>J10-I10</f>
        <v>92315</v>
      </c>
    </row>
    <row r="11" spans="1:11" ht="13.5" thickBot="1" x14ac:dyDescent="0.25">
      <c r="A11" s="108"/>
      <c r="B11" s="114" t="s">
        <v>109</v>
      </c>
      <c r="C11" s="118">
        <f>K19+K20</f>
        <v>1310</v>
      </c>
      <c r="D11" s="118">
        <f t="shared" si="0"/>
        <v>1663.7</v>
      </c>
      <c r="E11" s="119"/>
      <c r="F11" s="108"/>
      <c r="G11" s="108"/>
      <c r="H11" s="114" t="s">
        <v>110</v>
      </c>
      <c r="I11" s="121">
        <v>0</v>
      </c>
      <c r="J11" s="159">
        <f>ELECT.!J38</f>
        <v>0</v>
      </c>
      <c r="K11" s="105">
        <f>J11-I11</f>
        <v>0</v>
      </c>
    </row>
    <row r="12" spans="1:11" ht="13.5" thickBot="1" x14ac:dyDescent="0.25">
      <c r="A12" s="108"/>
      <c r="B12" s="108"/>
      <c r="C12" s="122"/>
      <c r="D12" s="122"/>
      <c r="E12" s="122"/>
      <c r="F12" s="108"/>
      <c r="G12" s="108"/>
      <c r="H12" s="114" t="s">
        <v>111</v>
      </c>
      <c r="I12" s="163">
        <f>ELECT.!V2</f>
        <v>4578564</v>
      </c>
      <c r="J12" s="159">
        <f>ELECT.!V33</f>
        <v>4682681</v>
      </c>
      <c r="K12" s="105">
        <f>(J12-I12)*2</f>
        <v>208234</v>
      </c>
    </row>
    <row r="13" spans="1:11" ht="13.5" thickBot="1" x14ac:dyDescent="0.25">
      <c r="A13" s="108"/>
      <c r="B13" s="112" t="s">
        <v>112</v>
      </c>
      <c r="C13" s="119" t="s">
        <v>113</v>
      </c>
      <c r="D13" s="119" t="s">
        <v>98</v>
      </c>
      <c r="E13" s="119"/>
      <c r="F13" s="108"/>
      <c r="G13" s="108"/>
      <c r="H13" s="114" t="s">
        <v>114</v>
      </c>
      <c r="I13" s="123"/>
      <c r="J13" s="124"/>
      <c r="K13" s="125">
        <f>SUM(K6:K12)</f>
        <v>522531</v>
      </c>
    </row>
    <row r="14" spans="1:11" ht="13.5" thickBot="1" x14ac:dyDescent="0.25">
      <c r="A14" s="108"/>
      <c r="B14" s="114" t="s">
        <v>43</v>
      </c>
      <c r="C14" s="118">
        <f>K29</f>
        <v>8230</v>
      </c>
      <c r="D14" s="126">
        <f t="shared" ref="D14:D22" si="1">C14*10.03</f>
        <v>82546.899999999994</v>
      </c>
      <c r="E14" s="127"/>
      <c r="F14" s="108"/>
      <c r="G14" s="108"/>
      <c r="H14" s="114" t="s">
        <v>115</v>
      </c>
      <c r="I14" s="123"/>
      <c r="J14" s="124"/>
      <c r="K14" s="106">
        <f>K5-K13</f>
        <v>11114</v>
      </c>
    </row>
    <row r="15" spans="1:11" ht="13.5" thickBot="1" x14ac:dyDescent="0.25">
      <c r="A15" s="108"/>
      <c r="B15" s="114" t="s">
        <v>116</v>
      </c>
      <c r="C15" s="128">
        <f>K30</f>
        <v>39.96</v>
      </c>
      <c r="D15" s="126">
        <f t="shared" si="1"/>
        <v>400.79879999999997</v>
      </c>
      <c r="E15" s="127"/>
      <c r="F15" s="108"/>
      <c r="G15" s="108"/>
      <c r="H15" s="108"/>
      <c r="I15" s="108"/>
      <c r="J15" s="108"/>
      <c r="K15" s="108"/>
    </row>
    <row r="16" spans="1:11" ht="13.5" thickBot="1" x14ac:dyDescent="0.25">
      <c r="A16" s="108"/>
      <c r="B16" s="114" t="s">
        <v>100</v>
      </c>
      <c r="C16" s="128">
        <f>(C14-C15-C17-C18-C19-C20-C21)*0.1318</f>
        <v>312.37127199999998</v>
      </c>
      <c r="D16" s="126">
        <f t="shared" si="1"/>
        <v>3133.0838581599996</v>
      </c>
      <c r="E16" s="127"/>
      <c r="F16" s="108"/>
      <c r="G16" s="108"/>
      <c r="H16" s="129" t="s">
        <v>137</v>
      </c>
      <c r="I16" s="130">
        <f>'Mall, Citadel, Rotana'!T2</f>
        <v>3580</v>
      </c>
      <c r="J16" s="130">
        <f>'Mall, Citadel, Rotana'!T33</f>
        <v>3595</v>
      </c>
      <c r="K16" s="107">
        <f>(J16-I16)*160</f>
        <v>2400</v>
      </c>
    </row>
    <row r="17" spans="1:11" ht="13.5" thickBot="1" x14ac:dyDescent="0.25">
      <c r="A17" s="108"/>
      <c r="B17" s="114" t="s">
        <v>104</v>
      </c>
      <c r="C17" s="128">
        <v>1420</v>
      </c>
      <c r="D17" s="126">
        <f t="shared" si="1"/>
        <v>14242.599999999999</v>
      </c>
      <c r="E17" s="127"/>
      <c r="F17" s="108"/>
      <c r="G17" s="108"/>
      <c r="H17" s="129" t="s">
        <v>20</v>
      </c>
      <c r="I17" s="130">
        <f>'Mall, Citadel, Rotana'!J2</f>
        <v>303517</v>
      </c>
      <c r="J17" s="130">
        <f>'Mall, Citadel, Rotana'!J33</f>
        <v>303517</v>
      </c>
      <c r="K17" s="107">
        <f>(J17-I17)*160</f>
        <v>0</v>
      </c>
    </row>
    <row r="18" spans="1:11" ht="13.5" thickBot="1" x14ac:dyDescent="0.25">
      <c r="A18" s="108"/>
      <c r="B18" s="114" t="s">
        <v>109</v>
      </c>
      <c r="C18" s="128">
        <v>200</v>
      </c>
      <c r="D18" s="126">
        <f t="shared" si="1"/>
        <v>2005.9999999999998</v>
      </c>
      <c r="E18" s="127"/>
      <c r="F18" s="108"/>
      <c r="G18" s="108"/>
      <c r="H18" s="129" t="s">
        <v>21</v>
      </c>
      <c r="I18" s="130">
        <f>'Mall, Citadel, Rotana'!L2</f>
        <v>24778</v>
      </c>
      <c r="J18" s="130">
        <f>'Mall, Citadel, Rotana'!L33</f>
        <v>24814</v>
      </c>
      <c r="K18" s="107">
        <f>(J18-I18)*160</f>
        <v>5760</v>
      </c>
    </row>
    <row r="19" spans="1:11" ht="15.75" thickBot="1" x14ac:dyDescent="0.25">
      <c r="A19" s="108"/>
      <c r="B19" s="114" t="s">
        <v>138</v>
      </c>
      <c r="C19" s="128">
        <v>600</v>
      </c>
      <c r="D19" s="126">
        <f t="shared" si="1"/>
        <v>6018</v>
      </c>
      <c r="E19" s="168" t="s">
        <v>117</v>
      </c>
      <c r="F19" s="169"/>
      <c r="G19" s="108"/>
      <c r="H19" s="129" t="s">
        <v>118</v>
      </c>
      <c r="I19" s="130">
        <f>'Mall, Citadel, Rotana'!P2</f>
        <v>98110</v>
      </c>
      <c r="J19" s="130">
        <f>'Mall, Citadel, Rotana'!P33</f>
        <v>99420</v>
      </c>
      <c r="K19" s="107">
        <f>J19-I19</f>
        <v>1310</v>
      </c>
    </row>
    <row r="20" spans="1:11" ht="13.5" thickBot="1" x14ac:dyDescent="0.25">
      <c r="A20" s="108"/>
      <c r="B20" s="114" t="s">
        <v>107</v>
      </c>
      <c r="C20" s="128">
        <v>600</v>
      </c>
      <c r="D20" s="126">
        <f t="shared" si="1"/>
        <v>6018</v>
      </c>
      <c r="E20" s="127"/>
      <c r="F20" s="108"/>
      <c r="G20" s="108"/>
      <c r="H20" s="129" t="s">
        <v>119</v>
      </c>
      <c r="I20" s="130">
        <f>'Mall, Citadel, Rotana'!R2</f>
        <v>55047</v>
      </c>
      <c r="J20" s="130">
        <f>'Mall, Citadel, Rotana'!R33</f>
        <v>55047</v>
      </c>
      <c r="K20" s="107">
        <f>J20-I20</f>
        <v>0</v>
      </c>
    </row>
    <row r="21" spans="1:11" ht="13.5" thickBot="1" x14ac:dyDescent="0.25">
      <c r="A21" s="108"/>
      <c r="B21" s="114" t="s">
        <v>93</v>
      </c>
      <c r="C21" s="128">
        <v>3000</v>
      </c>
      <c r="D21" s="126">
        <f t="shared" si="1"/>
        <v>30089.999999999996</v>
      </c>
      <c r="E21" s="127"/>
      <c r="F21" s="108"/>
      <c r="G21" s="108"/>
      <c r="H21" s="129" t="s">
        <v>14</v>
      </c>
      <c r="I21" s="130">
        <f>'Mall, Citadel, Rotana'!B2</f>
        <v>45039</v>
      </c>
      <c r="J21" s="130">
        <f>'Mall, Citadel, Rotana'!B33</f>
        <v>45093</v>
      </c>
      <c r="K21" s="107">
        <f>(J21-I21)*120</f>
        <v>6480</v>
      </c>
    </row>
    <row r="22" spans="1:11" ht="13.5" thickBot="1" x14ac:dyDescent="0.25">
      <c r="A22" s="108"/>
      <c r="B22" s="114" t="s">
        <v>120</v>
      </c>
      <c r="C22" s="126">
        <f>C14-(C15+C16+C17+C18+C19+C20+C21)</f>
        <v>2057.6687280000006</v>
      </c>
      <c r="D22" s="126">
        <f t="shared" si="1"/>
        <v>20638.417341840006</v>
      </c>
      <c r="E22" s="127"/>
      <c r="F22" s="108"/>
      <c r="G22" s="108"/>
      <c r="H22" s="129" t="s">
        <v>16</v>
      </c>
      <c r="I22" s="130">
        <f>'Mall, Citadel, Rotana'!D2</f>
        <v>39393</v>
      </c>
      <c r="J22" s="130">
        <f>'Mall, Citadel, Rotana'!D33</f>
        <v>39421</v>
      </c>
      <c r="K22" s="107">
        <f>(J22-I22)*160</f>
        <v>4480</v>
      </c>
    </row>
    <row r="23" spans="1:11" x14ac:dyDescent="0.2">
      <c r="A23" s="108"/>
      <c r="B23" s="108"/>
      <c r="C23" s="122"/>
      <c r="D23" s="131"/>
      <c r="E23" s="127"/>
      <c r="F23" s="108"/>
      <c r="G23" s="108"/>
      <c r="H23" s="129" t="s">
        <v>18</v>
      </c>
      <c r="I23" s="130">
        <f>'Mall, Citadel, Rotana'!F2</f>
        <v>20221</v>
      </c>
      <c r="J23" s="130">
        <f>'Mall, Citadel, Rotana'!F33</f>
        <v>20255</v>
      </c>
      <c r="K23" s="107">
        <f>(J23-I23)*20</f>
        <v>680</v>
      </c>
    </row>
    <row r="24" spans="1:11" x14ac:dyDescent="0.2">
      <c r="A24" s="108"/>
      <c r="B24" s="112" t="s">
        <v>121</v>
      </c>
      <c r="C24" s="122"/>
      <c r="D24" s="122"/>
      <c r="E24" s="122"/>
      <c r="F24" s="108"/>
      <c r="G24" s="108"/>
      <c r="H24" s="129" t="s">
        <v>19</v>
      </c>
      <c r="I24" s="130">
        <f>'Mall, Citadel, Rotana'!H2</f>
        <v>239849</v>
      </c>
      <c r="J24" s="130">
        <f>'Mall, Citadel, Rotana'!H33</f>
        <v>240211</v>
      </c>
      <c r="K24" s="107">
        <f>J24-I24</f>
        <v>362</v>
      </c>
    </row>
    <row r="25" spans="1:11" ht="13.5" thickBot="1" x14ac:dyDescent="0.25">
      <c r="A25" s="108"/>
      <c r="B25" s="108"/>
      <c r="C25" s="119" t="s">
        <v>113</v>
      </c>
      <c r="D25" s="119" t="s">
        <v>122</v>
      </c>
      <c r="E25" s="119"/>
      <c r="F25" s="108"/>
      <c r="G25" s="108"/>
      <c r="H25" s="129" t="s">
        <v>123</v>
      </c>
      <c r="I25" s="130">
        <f>'Mall, Citadel, Rotana'!N2</f>
        <v>212904</v>
      </c>
      <c r="J25" s="130">
        <f>'Mall, Citadel, Rotana'!N33</f>
        <v>214031</v>
      </c>
      <c r="K25" s="107">
        <f>J25-I25</f>
        <v>1127</v>
      </c>
    </row>
    <row r="26" spans="1:11" ht="13.5" thickBot="1" x14ac:dyDescent="0.25">
      <c r="A26" s="108"/>
      <c r="B26" s="114" t="s">
        <v>43</v>
      </c>
      <c r="C26" s="132">
        <f>K35</f>
        <v>22240</v>
      </c>
      <c r="D26" s="118">
        <f>C26*3.65</f>
        <v>81176</v>
      </c>
      <c r="E26" s="119"/>
      <c r="F26" s="108"/>
      <c r="G26" s="108"/>
      <c r="H26" s="129" t="s">
        <v>124</v>
      </c>
      <c r="I26" s="139">
        <f>ELECT.!C2</f>
        <v>18067</v>
      </c>
      <c r="J26" s="139">
        <f>ELECT.!C33</f>
        <v>18093</v>
      </c>
      <c r="K26" s="107">
        <f>(J26-I26)*160</f>
        <v>4160</v>
      </c>
    </row>
    <row r="27" spans="1:11" ht="13.5" thickBot="1" x14ac:dyDescent="0.25">
      <c r="A27" s="108"/>
      <c r="B27" s="109" t="s">
        <v>125</v>
      </c>
      <c r="C27" s="132">
        <f>C26</f>
        <v>22240</v>
      </c>
      <c r="D27" s="118">
        <f>C27*3.65</f>
        <v>81176</v>
      </c>
      <c r="E27" s="119"/>
      <c r="F27" s="108"/>
      <c r="G27" s="108"/>
      <c r="H27" s="112"/>
      <c r="I27" s="133"/>
      <c r="J27" s="108"/>
      <c r="K27" s="108"/>
    </row>
    <row r="28" spans="1:11" x14ac:dyDescent="0.2">
      <c r="A28" s="108"/>
      <c r="B28" s="108"/>
      <c r="C28" s="108"/>
      <c r="D28" s="108"/>
      <c r="E28" s="108"/>
      <c r="F28" s="108"/>
      <c r="G28" s="108"/>
      <c r="H28" s="112" t="s">
        <v>112</v>
      </c>
      <c r="I28" s="133"/>
      <c r="J28" s="108"/>
      <c r="K28" s="108"/>
    </row>
    <row r="29" spans="1:11" x14ac:dyDescent="0.2">
      <c r="A29" s="108"/>
      <c r="B29" s="108"/>
      <c r="C29" s="108"/>
      <c r="D29" s="108"/>
      <c r="E29" s="108"/>
      <c r="F29" s="108"/>
      <c r="G29" s="108" t="s">
        <v>13</v>
      </c>
      <c r="H29" s="129" t="s">
        <v>25</v>
      </c>
      <c r="I29" s="130">
        <f>Water!B2</f>
        <v>407443</v>
      </c>
      <c r="J29" s="130">
        <f>Water!B33</f>
        <v>408266</v>
      </c>
      <c r="K29" s="107">
        <f>(J29-I29)*10</f>
        <v>8230</v>
      </c>
    </row>
    <row r="30" spans="1:11" x14ac:dyDescent="0.2">
      <c r="A30" s="108"/>
      <c r="B30" s="108"/>
      <c r="C30" s="108"/>
      <c r="D30" s="108"/>
      <c r="E30" s="108"/>
      <c r="F30" s="108"/>
      <c r="G30" s="108"/>
      <c r="H30" s="129" t="s">
        <v>126</v>
      </c>
      <c r="I30" s="130">
        <f>Water!H2</f>
        <v>726024</v>
      </c>
      <c r="J30" s="130">
        <f>Water!H33</f>
        <v>727504</v>
      </c>
      <c r="K30" s="107">
        <f>(J30-I30)*0.027</f>
        <v>39.96</v>
      </c>
    </row>
    <row r="31" spans="1:11" x14ac:dyDescent="0.2">
      <c r="A31" s="108"/>
      <c r="B31" s="108"/>
      <c r="C31" s="108"/>
      <c r="D31" s="108"/>
      <c r="E31" s="108"/>
      <c r="F31" s="108"/>
      <c r="G31" s="108"/>
      <c r="H31" s="129" t="s">
        <v>127</v>
      </c>
      <c r="I31" s="130">
        <f>Water!D2</f>
        <v>3767800</v>
      </c>
      <c r="J31" s="130">
        <f>Water!D33</f>
        <v>3895000</v>
      </c>
      <c r="K31" s="107">
        <f>(J31-I31)*0.027</f>
        <v>3434.4</v>
      </c>
    </row>
    <row r="32" spans="1:11" x14ac:dyDescent="0.2">
      <c r="A32" s="108"/>
      <c r="B32" s="108"/>
      <c r="C32" s="108"/>
      <c r="D32" s="108"/>
      <c r="E32" s="108"/>
      <c r="F32" s="108"/>
      <c r="G32" s="108"/>
      <c r="H32" s="129" t="s">
        <v>128</v>
      </c>
      <c r="I32" s="130">
        <f>Water!F2</f>
        <v>2454800</v>
      </c>
      <c r="J32" s="130">
        <f>Water!F33</f>
        <v>2632300</v>
      </c>
      <c r="K32" s="107">
        <f>(J32-I32)*0.027</f>
        <v>4792.5</v>
      </c>
    </row>
    <row r="33" spans="1:11" x14ac:dyDescent="0.2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</row>
    <row r="34" spans="1:11" x14ac:dyDescent="0.2">
      <c r="A34" s="134"/>
      <c r="B34" s="134"/>
      <c r="C34" s="134"/>
      <c r="D34" s="134"/>
      <c r="E34" s="134"/>
      <c r="F34" s="134"/>
      <c r="G34" s="134"/>
      <c r="H34" s="134" t="s">
        <v>121</v>
      </c>
      <c r="I34" s="134"/>
      <c r="J34" s="134"/>
      <c r="K34" s="134"/>
    </row>
    <row r="35" spans="1:11" x14ac:dyDescent="0.2">
      <c r="A35" s="134"/>
      <c r="B35" s="134"/>
      <c r="C35" s="134"/>
      <c r="D35" s="134"/>
      <c r="E35" s="134"/>
      <c r="F35" s="134"/>
      <c r="G35" s="135"/>
      <c r="H35" s="136" t="s">
        <v>43</v>
      </c>
      <c r="I35" s="137">
        <f>Gas!B2</f>
        <v>17250461</v>
      </c>
      <c r="J35" s="161">
        <f>Gas!B33</f>
        <v>17272701</v>
      </c>
      <c r="K35" s="138">
        <f>J35-I35</f>
        <v>22240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zoomScaleNormal="100" workbookViewId="0">
      <selection activeCell="N10" sqref="N10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7"/>
      <c r="C1" s="68" t="s">
        <v>78</v>
      </c>
      <c r="D1" s="69" t="s">
        <v>79</v>
      </c>
      <c r="E1" s="69" t="s">
        <v>139</v>
      </c>
      <c r="F1" s="69" t="s">
        <v>140</v>
      </c>
      <c r="G1" s="69" t="s">
        <v>92</v>
      </c>
      <c r="H1" s="70" t="s">
        <v>80</v>
      </c>
      <c r="J1" s="68" t="s">
        <v>78</v>
      </c>
      <c r="K1" s="69" t="s">
        <v>79</v>
      </c>
      <c r="L1" s="69" t="s">
        <v>140</v>
      </c>
      <c r="M1" s="69" t="s">
        <v>142</v>
      </c>
      <c r="N1" s="69" t="s">
        <v>92</v>
      </c>
      <c r="O1" s="70" t="s">
        <v>80</v>
      </c>
    </row>
    <row r="2" spans="2:15" ht="15" x14ac:dyDescent="0.2">
      <c r="B2" s="67"/>
      <c r="C2" s="170">
        <v>6</v>
      </c>
      <c r="D2" s="71" t="s">
        <v>81</v>
      </c>
      <c r="E2" s="72">
        <v>272089</v>
      </c>
      <c r="F2" s="72">
        <v>274698</v>
      </c>
      <c r="G2" s="73">
        <f>F2-E2</f>
        <v>2609</v>
      </c>
      <c r="H2" s="74"/>
      <c r="J2" s="170">
        <v>6</v>
      </c>
      <c r="K2" s="71" t="s">
        <v>81</v>
      </c>
      <c r="L2" s="72">
        <v>274698</v>
      </c>
      <c r="M2" s="72">
        <v>275850</v>
      </c>
      <c r="N2" s="73">
        <f>M2-L2</f>
        <v>1152</v>
      </c>
      <c r="O2" s="74"/>
    </row>
    <row r="3" spans="2:15" ht="15" x14ac:dyDescent="0.2">
      <c r="B3" s="67"/>
      <c r="C3" s="172"/>
      <c r="D3" s="71" t="s">
        <v>82</v>
      </c>
      <c r="E3" s="72">
        <v>237334</v>
      </c>
      <c r="F3" s="72">
        <v>238756</v>
      </c>
      <c r="G3" s="73">
        <f t="shared" ref="G3:G60" si="0">F3-E3</f>
        <v>1422</v>
      </c>
      <c r="H3" s="74"/>
      <c r="J3" s="172"/>
      <c r="K3" s="71" t="s">
        <v>82</v>
      </c>
      <c r="L3" s="72">
        <v>238756</v>
      </c>
      <c r="M3" s="72">
        <v>239970</v>
      </c>
      <c r="N3" s="73">
        <f t="shared" ref="N3:N60" si="1">M3-L3</f>
        <v>1214</v>
      </c>
      <c r="O3" s="74"/>
    </row>
    <row r="4" spans="2:15" ht="15" x14ac:dyDescent="0.2">
      <c r="B4" s="67"/>
      <c r="C4" s="171"/>
      <c r="D4" s="71" t="s">
        <v>83</v>
      </c>
      <c r="E4" s="72">
        <v>186678</v>
      </c>
      <c r="F4" s="72">
        <v>187896</v>
      </c>
      <c r="G4" s="73">
        <f t="shared" si="0"/>
        <v>1218</v>
      </c>
      <c r="H4" s="74"/>
      <c r="J4" s="171"/>
      <c r="K4" s="71" t="s">
        <v>83</v>
      </c>
      <c r="L4" s="72">
        <v>187896</v>
      </c>
      <c r="M4" s="72">
        <v>188683</v>
      </c>
      <c r="N4" s="73">
        <f t="shared" si="1"/>
        <v>787</v>
      </c>
      <c r="O4" s="74"/>
    </row>
    <row r="5" spans="2:15" ht="15" x14ac:dyDescent="0.2">
      <c r="B5" s="67"/>
      <c r="C5" s="170">
        <v>7</v>
      </c>
      <c r="D5" s="71" t="s">
        <v>81</v>
      </c>
      <c r="E5" s="72">
        <v>234919</v>
      </c>
      <c r="F5" s="72">
        <v>235909</v>
      </c>
      <c r="G5" s="73">
        <f t="shared" si="0"/>
        <v>990</v>
      </c>
      <c r="H5" s="74"/>
      <c r="J5" s="170">
        <v>7</v>
      </c>
      <c r="K5" s="71" t="s">
        <v>81</v>
      </c>
      <c r="L5" s="72">
        <v>235909</v>
      </c>
      <c r="M5" s="72">
        <v>236863</v>
      </c>
      <c r="N5" s="73">
        <f t="shared" si="1"/>
        <v>954</v>
      </c>
      <c r="O5" s="74"/>
    </row>
    <row r="6" spans="2:15" ht="15" x14ac:dyDescent="0.2">
      <c r="B6" s="67"/>
      <c r="C6" s="172"/>
      <c r="D6" s="71" t="s">
        <v>82</v>
      </c>
      <c r="E6" s="72">
        <v>153441</v>
      </c>
      <c r="F6" s="72">
        <v>153504</v>
      </c>
      <c r="G6" s="73">
        <f t="shared" si="0"/>
        <v>63</v>
      </c>
      <c r="H6" s="74"/>
      <c r="J6" s="172"/>
      <c r="K6" s="71" t="s">
        <v>82</v>
      </c>
      <c r="L6" s="72">
        <v>153504</v>
      </c>
      <c r="M6" s="72">
        <v>153544</v>
      </c>
      <c r="N6" s="73">
        <f t="shared" si="1"/>
        <v>40</v>
      </c>
      <c r="O6" s="74"/>
    </row>
    <row r="7" spans="2:15" ht="15" x14ac:dyDescent="0.2">
      <c r="B7" s="67"/>
      <c r="C7" s="171"/>
      <c r="D7" s="71" t="s">
        <v>83</v>
      </c>
      <c r="E7" s="72">
        <v>115849</v>
      </c>
      <c r="F7" s="72">
        <v>116610</v>
      </c>
      <c r="G7" s="73">
        <f t="shared" si="0"/>
        <v>761</v>
      </c>
      <c r="H7" s="74"/>
      <c r="J7" s="171"/>
      <c r="K7" s="71" t="s">
        <v>83</v>
      </c>
      <c r="L7" s="72">
        <v>116610</v>
      </c>
      <c r="M7" s="72">
        <v>117142</v>
      </c>
      <c r="N7" s="73">
        <f t="shared" si="1"/>
        <v>532</v>
      </c>
      <c r="O7" s="74"/>
    </row>
    <row r="8" spans="2:15" ht="15" x14ac:dyDescent="0.2">
      <c r="B8" s="67"/>
      <c r="C8" s="170">
        <v>8</v>
      </c>
      <c r="D8" s="71" t="s">
        <v>81</v>
      </c>
      <c r="E8" s="72">
        <v>71827</v>
      </c>
      <c r="F8" s="72">
        <v>72003</v>
      </c>
      <c r="G8" s="73">
        <f t="shared" si="0"/>
        <v>176</v>
      </c>
      <c r="H8" s="74"/>
      <c r="J8" s="170">
        <v>8</v>
      </c>
      <c r="K8" s="71" t="s">
        <v>81</v>
      </c>
      <c r="L8" s="72">
        <v>72003</v>
      </c>
      <c r="M8" s="72">
        <v>72212</v>
      </c>
      <c r="N8" s="73">
        <f t="shared" si="1"/>
        <v>209</v>
      </c>
      <c r="O8" s="74"/>
    </row>
    <row r="9" spans="2:15" ht="15" x14ac:dyDescent="0.2">
      <c r="B9" s="67"/>
      <c r="C9" s="172"/>
      <c r="D9" s="71" t="s">
        <v>82</v>
      </c>
      <c r="E9" s="72">
        <v>1580</v>
      </c>
      <c r="F9" s="72">
        <v>1580</v>
      </c>
      <c r="G9" s="73">
        <f t="shared" si="0"/>
        <v>0</v>
      </c>
      <c r="H9" s="76" t="s">
        <v>13</v>
      </c>
      <c r="J9" s="172"/>
      <c r="K9" s="71" t="s">
        <v>82</v>
      </c>
      <c r="L9" s="72">
        <v>158</v>
      </c>
      <c r="M9" s="72">
        <v>158</v>
      </c>
      <c r="N9" s="73">
        <f t="shared" si="1"/>
        <v>0</v>
      </c>
      <c r="O9" s="76" t="s">
        <v>13</v>
      </c>
    </row>
    <row r="10" spans="2:15" ht="15" x14ac:dyDescent="0.2">
      <c r="B10" s="67"/>
      <c r="C10" s="171"/>
      <c r="D10" s="71" t="s">
        <v>83</v>
      </c>
      <c r="E10" s="72">
        <v>94047</v>
      </c>
      <c r="F10" s="72">
        <v>94510</v>
      </c>
      <c r="G10" s="73">
        <f t="shared" si="0"/>
        <v>463</v>
      </c>
      <c r="H10" s="74"/>
      <c r="J10" s="171"/>
      <c r="K10" s="71" t="s">
        <v>83</v>
      </c>
      <c r="L10" s="72">
        <v>94510</v>
      </c>
      <c r="M10" s="72">
        <v>94935</v>
      </c>
      <c r="N10" s="73">
        <f t="shared" si="1"/>
        <v>425</v>
      </c>
      <c r="O10" s="74"/>
    </row>
    <row r="11" spans="2:15" ht="15" x14ac:dyDescent="0.2">
      <c r="B11" s="67"/>
      <c r="C11" s="170">
        <v>9</v>
      </c>
      <c r="D11" s="71" t="s">
        <v>81</v>
      </c>
      <c r="E11" s="72">
        <v>34479</v>
      </c>
      <c r="F11" s="72">
        <v>39500</v>
      </c>
      <c r="G11" s="73">
        <f t="shared" si="0"/>
        <v>5021</v>
      </c>
      <c r="H11" s="74"/>
      <c r="J11" s="170">
        <v>9</v>
      </c>
      <c r="K11" s="71" t="s">
        <v>81</v>
      </c>
      <c r="L11" s="72">
        <v>39500</v>
      </c>
      <c r="M11" s="72">
        <v>39500</v>
      </c>
      <c r="N11" s="73">
        <f t="shared" si="1"/>
        <v>0</v>
      </c>
      <c r="O11" s="74"/>
    </row>
    <row r="12" spans="2:15" ht="15" x14ac:dyDescent="0.2">
      <c r="B12" s="67"/>
      <c r="C12" s="172"/>
      <c r="D12" s="71" t="s">
        <v>82</v>
      </c>
      <c r="E12" s="72">
        <v>0</v>
      </c>
      <c r="F12" s="72">
        <v>0</v>
      </c>
      <c r="G12" s="73">
        <f t="shared" si="0"/>
        <v>0</v>
      </c>
      <c r="H12" s="76" t="s">
        <v>13</v>
      </c>
      <c r="J12" s="172"/>
      <c r="K12" s="71" t="s">
        <v>82</v>
      </c>
      <c r="L12" s="72">
        <v>0</v>
      </c>
      <c r="M12" s="72">
        <v>0</v>
      </c>
      <c r="N12" s="73">
        <f t="shared" si="1"/>
        <v>0</v>
      </c>
      <c r="O12" s="76" t="s">
        <v>13</v>
      </c>
    </row>
    <row r="13" spans="2:15" ht="15" x14ac:dyDescent="0.2">
      <c r="B13" s="67"/>
      <c r="C13" s="171"/>
      <c r="D13" s="71" t="s">
        <v>83</v>
      </c>
      <c r="E13" s="72">
        <v>28176</v>
      </c>
      <c r="F13" s="72">
        <v>28245</v>
      </c>
      <c r="G13" s="73">
        <f t="shared" si="0"/>
        <v>69</v>
      </c>
      <c r="H13" s="74"/>
      <c r="I13" s="77"/>
      <c r="J13" s="171"/>
      <c r="K13" s="71" t="s">
        <v>83</v>
      </c>
      <c r="L13" s="72">
        <v>28245</v>
      </c>
      <c r="M13" s="72">
        <v>28318</v>
      </c>
      <c r="N13" s="73">
        <f t="shared" si="1"/>
        <v>73</v>
      </c>
      <c r="O13" s="74"/>
    </row>
    <row r="14" spans="2:15" ht="15" x14ac:dyDescent="0.2">
      <c r="B14" s="67"/>
      <c r="C14" s="170">
        <v>10</v>
      </c>
      <c r="D14" s="71" t="s">
        <v>81</v>
      </c>
      <c r="E14" s="72">
        <v>185278</v>
      </c>
      <c r="F14" s="72">
        <v>187336</v>
      </c>
      <c r="G14" s="73">
        <f t="shared" si="0"/>
        <v>2058</v>
      </c>
      <c r="H14" s="74"/>
      <c r="I14" s="78"/>
      <c r="J14" s="170">
        <v>10</v>
      </c>
      <c r="K14" s="71" t="s">
        <v>81</v>
      </c>
      <c r="L14" s="72">
        <v>187336</v>
      </c>
      <c r="M14" s="72">
        <v>189237</v>
      </c>
      <c r="N14" s="73">
        <f t="shared" si="1"/>
        <v>1901</v>
      </c>
      <c r="O14" s="74"/>
    </row>
    <row r="15" spans="2:15" ht="15" x14ac:dyDescent="0.2">
      <c r="B15" s="67"/>
      <c r="C15" s="172"/>
      <c r="D15" s="71" t="s">
        <v>82</v>
      </c>
      <c r="E15" s="72">
        <v>7705</v>
      </c>
      <c r="F15" s="72">
        <v>7717</v>
      </c>
      <c r="G15" s="73">
        <f t="shared" si="0"/>
        <v>12</v>
      </c>
      <c r="H15" s="74"/>
      <c r="I15" s="78"/>
      <c r="J15" s="172"/>
      <c r="K15" s="71" t="s">
        <v>82</v>
      </c>
      <c r="L15" s="72">
        <v>7717</v>
      </c>
      <c r="M15" s="72">
        <v>7717</v>
      </c>
      <c r="N15" s="73">
        <f t="shared" si="1"/>
        <v>0</v>
      </c>
      <c r="O15" s="74"/>
    </row>
    <row r="16" spans="2:15" ht="15" x14ac:dyDescent="0.2">
      <c r="B16" s="67"/>
      <c r="C16" s="171"/>
      <c r="D16" s="71" t="s">
        <v>83</v>
      </c>
      <c r="E16" s="72">
        <v>179162</v>
      </c>
      <c r="F16" s="72">
        <v>180413</v>
      </c>
      <c r="G16" s="73">
        <f t="shared" si="0"/>
        <v>1251</v>
      </c>
      <c r="H16" s="74"/>
      <c r="I16" s="78"/>
      <c r="J16" s="171"/>
      <c r="K16" s="71" t="s">
        <v>83</v>
      </c>
      <c r="L16" s="72">
        <v>180413</v>
      </c>
      <c r="M16" s="72">
        <v>181852</v>
      </c>
      <c r="N16" s="73">
        <f t="shared" si="1"/>
        <v>1439</v>
      </c>
      <c r="O16" s="74"/>
    </row>
    <row r="17" spans="2:15" ht="15" x14ac:dyDescent="0.2">
      <c r="B17" s="67"/>
      <c r="C17" s="170">
        <v>11</v>
      </c>
      <c r="D17" s="71" t="s">
        <v>81</v>
      </c>
      <c r="E17" s="75">
        <v>62746</v>
      </c>
      <c r="F17" s="75">
        <v>62793</v>
      </c>
      <c r="G17" s="73">
        <f t="shared" si="0"/>
        <v>47</v>
      </c>
      <c r="H17" s="74"/>
      <c r="I17" s="78"/>
      <c r="J17" s="170">
        <v>11</v>
      </c>
      <c r="K17" s="71" t="s">
        <v>81</v>
      </c>
      <c r="L17" s="75">
        <v>62793</v>
      </c>
      <c r="M17" s="75">
        <v>62836</v>
      </c>
      <c r="N17" s="73">
        <f t="shared" si="1"/>
        <v>43</v>
      </c>
      <c r="O17" s="74"/>
    </row>
    <row r="18" spans="2:15" ht="15" x14ac:dyDescent="0.2">
      <c r="B18" s="67"/>
      <c r="C18" s="172"/>
      <c r="D18" s="71" t="s">
        <v>82</v>
      </c>
      <c r="E18" s="75">
        <v>206185</v>
      </c>
      <c r="F18" s="75">
        <v>208087</v>
      </c>
      <c r="G18" s="73">
        <f t="shared" si="0"/>
        <v>1902</v>
      </c>
      <c r="H18" s="74"/>
      <c r="I18" s="78"/>
      <c r="J18" s="172"/>
      <c r="K18" s="71" t="s">
        <v>82</v>
      </c>
      <c r="L18" s="75">
        <v>208087</v>
      </c>
      <c r="M18" s="75">
        <v>209562</v>
      </c>
      <c r="N18" s="73">
        <f t="shared" si="1"/>
        <v>1475</v>
      </c>
      <c r="O18" s="74"/>
    </row>
    <row r="19" spans="2:15" ht="15" x14ac:dyDescent="0.2">
      <c r="B19" s="67"/>
      <c r="C19" s="171"/>
      <c r="D19" s="71" t="s">
        <v>83</v>
      </c>
      <c r="E19" s="72">
        <v>30413</v>
      </c>
      <c r="F19" s="72">
        <v>30454</v>
      </c>
      <c r="G19" s="73">
        <f t="shared" si="0"/>
        <v>41</v>
      </c>
      <c r="H19" s="74"/>
      <c r="I19" s="78"/>
      <c r="J19" s="171"/>
      <c r="K19" s="71" t="s">
        <v>83</v>
      </c>
      <c r="L19" s="72">
        <v>30454</v>
      </c>
      <c r="M19" s="72">
        <v>30495</v>
      </c>
      <c r="N19" s="73">
        <f t="shared" si="1"/>
        <v>41</v>
      </c>
      <c r="O19" s="74"/>
    </row>
    <row r="20" spans="2:15" ht="15" x14ac:dyDescent="0.2">
      <c r="B20" s="67"/>
      <c r="C20" s="170">
        <v>12</v>
      </c>
      <c r="D20" s="71" t="s">
        <v>81</v>
      </c>
      <c r="E20" s="79">
        <v>144889</v>
      </c>
      <c r="F20" s="79">
        <v>144946</v>
      </c>
      <c r="G20" s="73">
        <f t="shared" si="0"/>
        <v>57</v>
      </c>
      <c r="H20" s="74"/>
      <c r="I20" s="78"/>
      <c r="J20" s="170">
        <v>12</v>
      </c>
      <c r="K20" s="71" t="s">
        <v>81</v>
      </c>
      <c r="L20" s="79">
        <v>144946</v>
      </c>
      <c r="M20" s="79">
        <v>145081</v>
      </c>
      <c r="N20" s="73">
        <f t="shared" si="1"/>
        <v>135</v>
      </c>
      <c r="O20" s="74"/>
    </row>
    <row r="21" spans="2:15" ht="15" x14ac:dyDescent="0.2">
      <c r="B21" s="67"/>
      <c r="C21" s="172"/>
      <c r="D21" s="71" t="s">
        <v>82</v>
      </c>
      <c r="E21" s="72">
        <v>22263</v>
      </c>
      <c r="F21" s="72">
        <v>22284</v>
      </c>
      <c r="G21" s="73">
        <f t="shared" si="0"/>
        <v>21</v>
      </c>
      <c r="H21" s="74"/>
      <c r="I21" s="80" t="s">
        <v>13</v>
      </c>
      <c r="J21" s="172"/>
      <c r="K21" s="71" t="s">
        <v>82</v>
      </c>
      <c r="L21" s="72">
        <v>22284</v>
      </c>
      <c r="M21" s="72">
        <v>22318</v>
      </c>
      <c r="N21" s="73">
        <f t="shared" si="1"/>
        <v>34</v>
      </c>
      <c r="O21" s="74"/>
    </row>
    <row r="22" spans="2:15" ht="15" x14ac:dyDescent="0.2">
      <c r="B22" s="67"/>
      <c r="C22" s="171"/>
      <c r="D22" s="71" t="s">
        <v>83</v>
      </c>
      <c r="E22" s="72">
        <v>234818</v>
      </c>
      <c r="F22" s="72">
        <v>235976</v>
      </c>
      <c r="G22" s="73">
        <f t="shared" si="0"/>
        <v>1158</v>
      </c>
      <c r="H22" s="74"/>
      <c r="I22" s="78"/>
      <c r="J22" s="171"/>
      <c r="K22" s="71" t="s">
        <v>83</v>
      </c>
      <c r="L22" s="72">
        <v>235976</v>
      </c>
      <c r="M22" s="72">
        <v>237679</v>
      </c>
      <c r="N22" s="73">
        <f t="shared" si="1"/>
        <v>1703</v>
      </c>
      <c r="O22" s="74"/>
    </row>
    <row r="23" spans="2:15" ht="15" x14ac:dyDescent="0.2">
      <c r="B23" s="67"/>
      <c r="C23" s="170">
        <v>14</v>
      </c>
      <c r="D23" s="71" t="s">
        <v>81</v>
      </c>
      <c r="E23" s="72">
        <v>115980</v>
      </c>
      <c r="F23" s="72">
        <v>116112</v>
      </c>
      <c r="G23" s="73">
        <f t="shared" si="0"/>
        <v>132</v>
      </c>
      <c r="H23" s="74"/>
      <c r="I23" s="78"/>
      <c r="J23" s="170">
        <v>14</v>
      </c>
      <c r="K23" s="71" t="s">
        <v>81</v>
      </c>
      <c r="L23" s="72">
        <v>116112</v>
      </c>
      <c r="M23" s="72">
        <v>116245</v>
      </c>
      <c r="N23" s="73">
        <f t="shared" si="1"/>
        <v>133</v>
      </c>
      <c r="O23" s="74"/>
    </row>
    <row r="24" spans="2:15" ht="15" x14ac:dyDescent="0.2">
      <c r="B24" s="67"/>
      <c r="C24" s="172"/>
      <c r="D24" s="71" t="s">
        <v>82</v>
      </c>
      <c r="E24" s="81">
        <v>23756</v>
      </c>
      <c r="F24" s="81">
        <v>23763</v>
      </c>
      <c r="G24" s="73">
        <f t="shared" si="0"/>
        <v>7</v>
      </c>
      <c r="H24" s="74"/>
      <c r="I24" s="78"/>
      <c r="J24" s="172"/>
      <c r="K24" s="71" t="s">
        <v>82</v>
      </c>
      <c r="L24" s="81">
        <v>23763</v>
      </c>
      <c r="M24" s="81">
        <v>23763</v>
      </c>
      <c r="N24" s="73">
        <f t="shared" si="1"/>
        <v>0</v>
      </c>
      <c r="O24" s="74"/>
    </row>
    <row r="25" spans="2:15" ht="15" x14ac:dyDescent="0.2">
      <c r="B25" s="67"/>
      <c r="C25" s="171"/>
      <c r="D25" s="71" t="s">
        <v>83</v>
      </c>
      <c r="E25" s="72">
        <v>1916</v>
      </c>
      <c r="F25" s="72">
        <v>1916</v>
      </c>
      <c r="G25" s="73">
        <f t="shared" si="0"/>
        <v>0</v>
      </c>
      <c r="H25" s="74"/>
      <c r="I25" s="78"/>
      <c r="J25" s="171"/>
      <c r="K25" s="71" t="s">
        <v>83</v>
      </c>
      <c r="L25" s="72">
        <v>1916</v>
      </c>
      <c r="M25" s="72">
        <v>1957</v>
      </c>
      <c r="N25" s="73">
        <f t="shared" si="1"/>
        <v>41</v>
      </c>
      <c r="O25" s="74"/>
    </row>
    <row r="26" spans="2:15" ht="15" x14ac:dyDescent="0.2">
      <c r="B26" s="67"/>
      <c r="C26" s="170">
        <v>15</v>
      </c>
      <c r="D26" s="71" t="s">
        <v>81</v>
      </c>
      <c r="E26" s="79">
        <v>39380</v>
      </c>
      <c r="F26" s="79">
        <v>39380</v>
      </c>
      <c r="G26" s="73">
        <f t="shared" si="0"/>
        <v>0</v>
      </c>
      <c r="H26" s="74"/>
      <c r="I26" s="80" t="s">
        <v>13</v>
      </c>
      <c r="J26" s="170">
        <v>15</v>
      </c>
      <c r="K26" s="71" t="s">
        <v>81</v>
      </c>
      <c r="L26" s="79">
        <v>39380</v>
      </c>
      <c r="M26" s="79">
        <v>39380</v>
      </c>
      <c r="N26" s="73">
        <f t="shared" si="1"/>
        <v>0</v>
      </c>
      <c r="O26" s="74"/>
    </row>
    <row r="27" spans="2:15" ht="15" x14ac:dyDescent="0.2">
      <c r="B27" s="67"/>
      <c r="C27" s="172"/>
      <c r="D27" s="71" t="s">
        <v>82</v>
      </c>
      <c r="E27" s="72">
        <v>78699</v>
      </c>
      <c r="F27" s="72">
        <v>78845</v>
      </c>
      <c r="G27" s="73">
        <f t="shared" si="0"/>
        <v>146</v>
      </c>
      <c r="H27" s="74"/>
      <c r="I27" s="80" t="s">
        <v>13</v>
      </c>
      <c r="J27" s="172"/>
      <c r="K27" s="71" t="s">
        <v>82</v>
      </c>
      <c r="L27" s="72">
        <v>78845</v>
      </c>
      <c r="M27" s="72">
        <v>78969</v>
      </c>
      <c r="N27" s="73">
        <f t="shared" si="1"/>
        <v>124</v>
      </c>
      <c r="O27" s="74"/>
    </row>
    <row r="28" spans="2:15" ht="15" x14ac:dyDescent="0.2">
      <c r="B28" s="67"/>
      <c r="C28" s="171"/>
      <c r="D28" s="71" t="s">
        <v>83</v>
      </c>
      <c r="E28" s="72">
        <v>148592</v>
      </c>
      <c r="F28" s="72">
        <v>149338</v>
      </c>
      <c r="G28" s="73">
        <f t="shared" si="0"/>
        <v>746</v>
      </c>
      <c r="H28" s="74"/>
      <c r="I28" s="78"/>
      <c r="J28" s="171"/>
      <c r="K28" s="71" t="s">
        <v>83</v>
      </c>
      <c r="L28" s="72">
        <v>149338</v>
      </c>
      <c r="M28" s="72">
        <v>150141</v>
      </c>
      <c r="N28" s="73">
        <f t="shared" si="1"/>
        <v>803</v>
      </c>
      <c r="O28" s="74"/>
    </row>
    <row r="29" spans="2:15" ht="15" x14ac:dyDescent="0.2">
      <c r="B29" s="67"/>
      <c r="C29" s="170">
        <v>16</v>
      </c>
      <c r="D29" s="71" t="s">
        <v>81</v>
      </c>
      <c r="E29" s="79">
        <v>97965</v>
      </c>
      <c r="F29" s="79">
        <v>97965</v>
      </c>
      <c r="G29" s="73">
        <f t="shared" si="0"/>
        <v>0</v>
      </c>
      <c r="H29" s="76" t="s">
        <v>13</v>
      </c>
      <c r="I29" s="78"/>
      <c r="J29" s="170">
        <v>16</v>
      </c>
      <c r="K29" s="71" t="s">
        <v>81</v>
      </c>
      <c r="L29" s="79">
        <v>97965</v>
      </c>
      <c r="M29" s="79">
        <v>97965</v>
      </c>
      <c r="N29" s="73">
        <f t="shared" si="1"/>
        <v>0</v>
      </c>
      <c r="O29" s="76" t="s">
        <v>13</v>
      </c>
    </row>
    <row r="30" spans="2:15" ht="15" x14ac:dyDescent="0.2">
      <c r="B30" s="67"/>
      <c r="C30" s="172"/>
      <c r="D30" s="71" t="s">
        <v>82</v>
      </c>
      <c r="E30" s="79">
        <v>58630</v>
      </c>
      <c r="F30" s="79">
        <v>58630</v>
      </c>
      <c r="G30" s="73">
        <f t="shared" si="0"/>
        <v>0</v>
      </c>
      <c r="H30" s="74"/>
      <c r="I30" s="78"/>
      <c r="J30" s="172"/>
      <c r="K30" s="71" t="s">
        <v>82</v>
      </c>
      <c r="L30" s="79">
        <v>58630</v>
      </c>
      <c r="M30" s="79">
        <v>58979</v>
      </c>
      <c r="N30" s="73">
        <f t="shared" si="1"/>
        <v>349</v>
      </c>
      <c r="O30" s="74"/>
    </row>
    <row r="31" spans="2:15" ht="15" x14ac:dyDescent="0.2">
      <c r="B31" s="67"/>
      <c r="C31" s="171"/>
      <c r="D31" s="71" t="s">
        <v>83</v>
      </c>
      <c r="E31" s="72">
        <v>68411</v>
      </c>
      <c r="F31" s="72">
        <v>68462</v>
      </c>
      <c r="G31" s="73">
        <f t="shared" si="0"/>
        <v>51</v>
      </c>
      <c r="H31" s="82"/>
      <c r="I31" s="78"/>
      <c r="J31" s="171"/>
      <c r="K31" s="71" t="s">
        <v>83</v>
      </c>
      <c r="L31" s="72">
        <v>68462</v>
      </c>
      <c r="M31" s="72">
        <v>68462</v>
      </c>
      <c r="N31" s="73">
        <f t="shared" si="1"/>
        <v>0</v>
      </c>
      <c r="O31" s="82"/>
    </row>
    <row r="32" spans="2:15" ht="15" x14ac:dyDescent="0.2">
      <c r="B32" s="67"/>
      <c r="C32" s="170">
        <v>17</v>
      </c>
      <c r="D32" s="71" t="s">
        <v>81</v>
      </c>
      <c r="E32" s="72">
        <v>31309</v>
      </c>
      <c r="F32" s="72">
        <v>31484</v>
      </c>
      <c r="G32" s="73">
        <f t="shared" si="0"/>
        <v>175</v>
      </c>
      <c r="H32" s="74"/>
      <c r="I32" s="78"/>
      <c r="J32" s="170">
        <v>17</v>
      </c>
      <c r="K32" s="71" t="s">
        <v>81</v>
      </c>
      <c r="L32" s="72">
        <v>31484</v>
      </c>
      <c r="M32" s="72">
        <v>31649</v>
      </c>
      <c r="N32" s="73">
        <f t="shared" si="1"/>
        <v>165</v>
      </c>
      <c r="O32" s="74"/>
    </row>
    <row r="33" spans="2:15" ht="15" x14ac:dyDescent="0.2">
      <c r="B33" s="67"/>
      <c r="C33" s="172"/>
      <c r="D33" s="71" t="s">
        <v>82</v>
      </c>
      <c r="E33" s="72">
        <v>64144</v>
      </c>
      <c r="F33" s="72">
        <v>64144</v>
      </c>
      <c r="G33" s="73">
        <f t="shared" si="0"/>
        <v>0</v>
      </c>
      <c r="H33" s="74"/>
      <c r="I33" s="78"/>
      <c r="J33" s="172"/>
      <c r="K33" s="71" t="s">
        <v>82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71"/>
      <c r="D34" s="71" t="s">
        <v>83</v>
      </c>
      <c r="E34" s="72">
        <v>11259</v>
      </c>
      <c r="F34" s="72">
        <v>11261</v>
      </c>
      <c r="G34" s="73">
        <f t="shared" si="0"/>
        <v>2</v>
      </c>
      <c r="H34" s="82"/>
      <c r="I34" s="78"/>
      <c r="J34" s="171"/>
      <c r="K34" s="71" t="s">
        <v>83</v>
      </c>
      <c r="L34" s="72">
        <v>11261</v>
      </c>
      <c r="M34" s="72">
        <v>11309</v>
      </c>
      <c r="N34" s="73">
        <f t="shared" si="1"/>
        <v>48</v>
      </c>
      <c r="O34" s="82"/>
    </row>
    <row r="35" spans="2:15" ht="15" x14ac:dyDescent="0.2">
      <c r="B35" s="67"/>
      <c r="C35" s="170">
        <v>18</v>
      </c>
      <c r="D35" s="71" t="s">
        <v>81</v>
      </c>
      <c r="E35" s="72">
        <v>230291</v>
      </c>
      <c r="F35" s="72">
        <v>231326</v>
      </c>
      <c r="G35" s="73">
        <f t="shared" si="0"/>
        <v>1035</v>
      </c>
      <c r="H35" s="82"/>
      <c r="I35" s="78"/>
      <c r="J35" s="170">
        <v>18</v>
      </c>
      <c r="K35" s="71" t="s">
        <v>81</v>
      </c>
      <c r="L35" s="72">
        <v>231326</v>
      </c>
      <c r="M35" s="72">
        <v>232437</v>
      </c>
      <c r="N35" s="73">
        <f t="shared" si="1"/>
        <v>1111</v>
      </c>
      <c r="O35" s="82"/>
    </row>
    <row r="36" spans="2:15" ht="15" x14ac:dyDescent="0.2">
      <c r="B36" s="67"/>
      <c r="C36" s="172"/>
      <c r="D36" s="71" t="s">
        <v>82</v>
      </c>
      <c r="E36" s="81">
        <v>16753</v>
      </c>
      <c r="F36" s="81">
        <v>16753</v>
      </c>
      <c r="G36" s="73">
        <f t="shared" si="0"/>
        <v>0</v>
      </c>
      <c r="H36" s="74"/>
      <c r="I36" s="78"/>
      <c r="J36" s="172"/>
      <c r="K36" s="71" t="s">
        <v>82</v>
      </c>
      <c r="L36" s="81">
        <v>16753</v>
      </c>
      <c r="M36" s="81">
        <v>16753</v>
      </c>
      <c r="N36" s="73">
        <f t="shared" si="1"/>
        <v>0</v>
      </c>
      <c r="O36" s="74"/>
    </row>
    <row r="37" spans="2:15" ht="15" x14ac:dyDescent="0.2">
      <c r="B37" s="67"/>
      <c r="C37" s="171"/>
      <c r="D37" s="71" t="s">
        <v>83</v>
      </c>
      <c r="E37" s="72">
        <v>71607</v>
      </c>
      <c r="F37" s="72">
        <v>72822</v>
      </c>
      <c r="G37" s="73">
        <f t="shared" si="0"/>
        <v>1215</v>
      </c>
      <c r="H37" s="74"/>
      <c r="I37" s="78"/>
      <c r="J37" s="171"/>
      <c r="K37" s="71" t="s">
        <v>83</v>
      </c>
      <c r="L37" s="72">
        <v>72822</v>
      </c>
      <c r="M37" s="72">
        <v>53012</v>
      </c>
      <c r="N37" s="164">
        <f t="shared" si="1"/>
        <v>-19810</v>
      </c>
      <c r="O37" s="74"/>
    </row>
    <row r="38" spans="2:15" ht="15" x14ac:dyDescent="0.2">
      <c r="B38" s="67"/>
      <c r="C38" s="170">
        <v>19</v>
      </c>
      <c r="D38" s="71" t="s">
        <v>81</v>
      </c>
      <c r="E38" s="72">
        <v>20678</v>
      </c>
      <c r="F38" s="72">
        <v>20813</v>
      </c>
      <c r="G38" s="73">
        <f t="shared" si="0"/>
        <v>135</v>
      </c>
      <c r="H38" s="74"/>
      <c r="I38" s="78"/>
      <c r="J38" s="170">
        <v>19</v>
      </c>
      <c r="K38" s="71" t="s">
        <v>81</v>
      </c>
      <c r="L38" s="72">
        <v>20813</v>
      </c>
      <c r="M38" s="72">
        <v>20948</v>
      </c>
      <c r="N38" s="73">
        <f t="shared" si="1"/>
        <v>135</v>
      </c>
      <c r="O38" s="74"/>
    </row>
    <row r="39" spans="2:15" ht="15" x14ac:dyDescent="0.2">
      <c r="B39" s="67"/>
      <c r="C39" s="172"/>
      <c r="D39" s="71" t="s">
        <v>82</v>
      </c>
      <c r="E39" s="79">
        <v>81679</v>
      </c>
      <c r="F39" s="79">
        <v>81825</v>
      </c>
      <c r="G39" s="73">
        <f t="shared" si="0"/>
        <v>146</v>
      </c>
      <c r="H39" s="82"/>
      <c r="I39" s="78"/>
      <c r="J39" s="172"/>
      <c r="K39" s="71" t="s">
        <v>82</v>
      </c>
      <c r="L39" s="79">
        <v>81825</v>
      </c>
      <c r="M39" s="79">
        <v>82016</v>
      </c>
      <c r="N39" s="73">
        <f t="shared" si="1"/>
        <v>191</v>
      </c>
      <c r="O39" s="82"/>
    </row>
    <row r="40" spans="2:15" ht="15" x14ac:dyDescent="0.2">
      <c r="B40" s="67"/>
      <c r="C40" s="171"/>
      <c r="D40" s="71" t="s">
        <v>83</v>
      </c>
      <c r="E40" s="72">
        <v>52908</v>
      </c>
      <c r="F40" s="72">
        <v>52948</v>
      </c>
      <c r="G40" s="73">
        <f t="shared" si="0"/>
        <v>40</v>
      </c>
      <c r="H40" s="74"/>
      <c r="I40" s="78"/>
      <c r="J40" s="171"/>
      <c r="K40" s="71" t="s">
        <v>83</v>
      </c>
      <c r="L40" s="72">
        <v>52948</v>
      </c>
      <c r="M40" s="72">
        <v>53012</v>
      </c>
      <c r="N40" s="73">
        <f t="shared" si="1"/>
        <v>64</v>
      </c>
      <c r="O40" s="74"/>
    </row>
    <row r="41" spans="2:15" ht="15" x14ac:dyDescent="0.2">
      <c r="B41" s="67"/>
      <c r="C41" s="170">
        <v>20</v>
      </c>
      <c r="D41" s="71" t="s">
        <v>81</v>
      </c>
      <c r="E41" s="72">
        <v>116094</v>
      </c>
      <c r="F41" s="72">
        <v>116595</v>
      </c>
      <c r="G41" s="73">
        <f t="shared" si="0"/>
        <v>501</v>
      </c>
      <c r="H41" s="74"/>
      <c r="I41" s="78"/>
      <c r="J41" s="170">
        <v>20</v>
      </c>
      <c r="K41" s="71" t="s">
        <v>81</v>
      </c>
      <c r="L41" s="72">
        <v>116595</v>
      </c>
      <c r="M41" s="72">
        <v>117288</v>
      </c>
      <c r="N41" s="73">
        <f t="shared" si="1"/>
        <v>693</v>
      </c>
      <c r="O41" s="74"/>
    </row>
    <row r="42" spans="2:15" ht="15" x14ac:dyDescent="0.2">
      <c r="B42" s="67"/>
      <c r="C42" s="172"/>
      <c r="D42" s="71" t="s">
        <v>82</v>
      </c>
      <c r="E42" s="79">
        <v>68225</v>
      </c>
      <c r="F42" s="79">
        <v>68333</v>
      </c>
      <c r="G42" s="73">
        <f t="shared" si="0"/>
        <v>108</v>
      </c>
      <c r="H42" s="74"/>
      <c r="J42" s="172"/>
      <c r="K42" s="71" t="s">
        <v>82</v>
      </c>
      <c r="L42" s="79">
        <v>68333</v>
      </c>
      <c r="M42" s="79">
        <v>68478</v>
      </c>
      <c r="N42" s="73">
        <f t="shared" si="1"/>
        <v>145</v>
      </c>
      <c r="O42" s="74"/>
    </row>
    <row r="43" spans="2:15" ht="15" x14ac:dyDescent="0.2">
      <c r="B43" s="67"/>
      <c r="C43" s="171"/>
      <c r="D43" s="71" t="s">
        <v>83</v>
      </c>
      <c r="E43" s="72">
        <v>3223</v>
      </c>
      <c r="F43" s="72">
        <v>3224</v>
      </c>
      <c r="G43" s="73">
        <f t="shared" si="0"/>
        <v>1</v>
      </c>
      <c r="H43" s="74"/>
      <c r="J43" s="171"/>
      <c r="K43" s="71" t="s">
        <v>83</v>
      </c>
      <c r="L43" s="72">
        <v>3224</v>
      </c>
      <c r="M43" s="72">
        <v>3234</v>
      </c>
      <c r="N43" s="73">
        <f t="shared" si="1"/>
        <v>10</v>
      </c>
      <c r="O43" s="74"/>
    </row>
    <row r="44" spans="2:15" ht="15" x14ac:dyDescent="0.2">
      <c r="B44" s="67"/>
      <c r="C44" s="83"/>
      <c r="D44" s="84"/>
      <c r="E44" s="84"/>
      <c r="F44" s="84"/>
      <c r="G44" s="84"/>
      <c r="H44" s="86"/>
      <c r="J44" s="83"/>
      <c r="K44" s="84"/>
      <c r="L44" s="84"/>
      <c r="M44" s="84"/>
      <c r="N44" s="84"/>
      <c r="O44" s="86"/>
    </row>
    <row r="45" spans="2:15" ht="15" x14ac:dyDescent="0.2">
      <c r="B45" s="67"/>
      <c r="C45" s="170">
        <v>21</v>
      </c>
      <c r="D45" s="87" t="s">
        <v>84</v>
      </c>
      <c r="E45" s="72">
        <v>3114</v>
      </c>
      <c r="F45" s="72">
        <v>3182</v>
      </c>
      <c r="G45" s="73">
        <f t="shared" si="0"/>
        <v>68</v>
      </c>
      <c r="H45" s="76" t="s">
        <v>13</v>
      </c>
      <c r="J45" s="170">
        <v>21</v>
      </c>
      <c r="K45" s="87" t="s">
        <v>84</v>
      </c>
      <c r="L45" s="72">
        <v>3182</v>
      </c>
      <c r="M45" s="72">
        <v>3182</v>
      </c>
      <c r="N45" s="73">
        <f t="shared" si="1"/>
        <v>0</v>
      </c>
      <c r="O45" s="76" t="s">
        <v>13</v>
      </c>
    </row>
    <row r="46" spans="2:15" ht="15" x14ac:dyDescent="0.2">
      <c r="B46" s="67"/>
      <c r="C46" s="172"/>
      <c r="D46" s="87" t="s">
        <v>83</v>
      </c>
      <c r="E46" s="72">
        <v>38096</v>
      </c>
      <c r="F46" s="72">
        <v>38125</v>
      </c>
      <c r="G46" s="73">
        <f t="shared" si="0"/>
        <v>29</v>
      </c>
      <c r="H46" s="74"/>
      <c r="J46" s="172"/>
      <c r="K46" s="87" t="s">
        <v>83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70">
        <v>22</v>
      </c>
      <c r="D47" s="87" t="s">
        <v>84</v>
      </c>
      <c r="E47" s="88">
        <v>13917</v>
      </c>
      <c r="F47" s="88">
        <v>13917</v>
      </c>
      <c r="G47" s="73">
        <f t="shared" si="0"/>
        <v>0</v>
      </c>
      <c r="H47" s="74"/>
      <c r="I47" t="s">
        <v>13</v>
      </c>
      <c r="J47" s="170">
        <v>22</v>
      </c>
      <c r="K47" s="87" t="s">
        <v>84</v>
      </c>
      <c r="L47" s="88">
        <v>13917</v>
      </c>
      <c r="M47" s="88">
        <v>13917</v>
      </c>
      <c r="N47" s="73">
        <f t="shared" si="1"/>
        <v>0</v>
      </c>
      <c r="O47" s="74"/>
    </row>
    <row r="48" spans="2:15" ht="15" x14ac:dyDescent="0.2">
      <c r="B48" s="67"/>
      <c r="C48" s="172"/>
      <c r="D48" s="87" t="s">
        <v>83</v>
      </c>
      <c r="E48" s="88">
        <v>18873</v>
      </c>
      <c r="F48" s="88">
        <v>19003</v>
      </c>
      <c r="G48" s="73">
        <f t="shared" si="0"/>
        <v>130</v>
      </c>
      <c r="H48" s="74"/>
      <c r="J48" s="172"/>
      <c r="K48" s="87" t="s">
        <v>83</v>
      </c>
      <c r="L48" s="88">
        <v>19003</v>
      </c>
      <c r="M48" s="88">
        <v>19003</v>
      </c>
      <c r="N48" s="73">
        <f t="shared" si="1"/>
        <v>0</v>
      </c>
      <c r="O48" s="74"/>
    </row>
    <row r="49" spans="1:15" ht="15" x14ac:dyDescent="0.2">
      <c r="B49" s="67"/>
      <c r="C49" s="170">
        <v>23</v>
      </c>
      <c r="D49" s="71" t="s">
        <v>84</v>
      </c>
      <c r="E49" s="88"/>
      <c r="F49" s="88"/>
      <c r="G49" s="73">
        <f t="shared" si="0"/>
        <v>0</v>
      </c>
      <c r="H49" s="74"/>
      <c r="J49" s="170">
        <v>23</v>
      </c>
      <c r="K49" s="71" t="s">
        <v>84</v>
      </c>
      <c r="L49" s="88"/>
      <c r="M49" s="88"/>
      <c r="N49" s="73">
        <f t="shared" si="1"/>
        <v>0</v>
      </c>
      <c r="O49" s="74"/>
    </row>
    <row r="50" spans="1:15" ht="15" x14ac:dyDescent="0.2">
      <c r="B50" s="67"/>
      <c r="C50" s="172"/>
      <c r="D50" s="71" t="s">
        <v>83</v>
      </c>
      <c r="E50" s="88"/>
      <c r="F50" s="88"/>
      <c r="G50" s="73">
        <f t="shared" si="0"/>
        <v>0</v>
      </c>
      <c r="H50" s="74"/>
      <c r="J50" s="172"/>
      <c r="K50" s="71" t="s">
        <v>83</v>
      </c>
      <c r="L50" s="88"/>
      <c r="M50" s="88"/>
      <c r="N50" s="73">
        <f t="shared" si="1"/>
        <v>0</v>
      </c>
      <c r="O50" s="74"/>
    </row>
    <row r="51" spans="1:15" ht="15" x14ac:dyDescent="0.2">
      <c r="B51" s="67"/>
      <c r="C51" s="89"/>
      <c r="D51" s="84"/>
      <c r="E51" s="85"/>
      <c r="F51" s="85"/>
      <c r="G51" s="85"/>
      <c r="H51" s="86"/>
      <c r="J51" s="89"/>
      <c r="K51" s="84"/>
      <c r="L51" s="85"/>
      <c r="M51" s="85"/>
      <c r="N51" s="85"/>
      <c r="O51" s="86"/>
    </row>
    <row r="52" spans="1:15" ht="15" x14ac:dyDescent="0.2">
      <c r="B52" s="67"/>
      <c r="C52" s="173">
        <v>24</v>
      </c>
      <c r="D52" s="71" t="s">
        <v>85</v>
      </c>
      <c r="E52" s="79">
        <v>236508</v>
      </c>
      <c r="F52" s="79">
        <v>237611</v>
      </c>
      <c r="G52" s="73">
        <f t="shared" si="0"/>
        <v>1103</v>
      </c>
      <c r="H52" s="90"/>
      <c r="J52" s="173">
        <v>24</v>
      </c>
      <c r="K52" s="71" t="s">
        <v>85</v>
      </c>
      <c r="L52" s="79">
        <v>237611</v>
      </c>
      <c r="M52" s="79">
        <v>238619</v>
      </c>
      <c r="N52" s="73">
        <f t="shared" si="1"/>
        <v>1008</v>
      </c>
      <c r="O52" s="90"/>
    </row>
    <row r="53" spans="1:15" ht="15" x14ac:dyDescent="0.2">
      <c r="B53" s="67"/>
      <c r="C53" s="174"/>
      <c r="D53" s="71" t="s">
        <v>86</v>
      </c>
      <c r="E53" s="79">
        <v>533385</v>
      </c>
      <c r="F53" s="79">
        <v>533854</v>
      </c>
      <c r="G53" s="73">
        <f t="shared" si="0"/>
        <v>469</v>
      </c>
      <c r="H53" s="82"/>
      <c r="J53" s="174"/>
      <c r="K53" s="71" t="s">
        <v>86</v>
      </c>
      <c r="L53" s="79">
        <v>533854</v>
      </c>
      <c r="M53" s="79">
        <v>544307</v>
      </c>
      <c r="N53" s="73">
        <f t="shared" si="1"/>
        <v>10453</v>
      </c>
      <c r="O53" s="82"/>
    </row>
    <row r="54" spans="1:15" ht="15" x14ac:dyDescent="0.2">
      <c r="B54" s="67"/>
      <c r="C54" s="175"/>
      <c r="D54" s="71" t="s">
        <v>85</v>
      </c>
      <c r="E54" s="79">
        <v>34567</v>
      </c>
      <c r="F54" s="79">
        <v>34567</v>
      </c>
      <c r="G54" s="73">
        <f t="shared" si="0"/>
        <v>0</v>
      </c>
      <c r="H54" s="91" t="s">
        <v>13</v>
      </c>
      <c r="J54" s="175"/>
      <c r="K54" s="71" t="s">
        <v>85</v>
      </c>
      <c r="L54" s="79">
        <v>34567</v>
      </c>
      <c r="M54" s="79">
        <v>34567</v>
      </c>
      <c r="N54" s="73">
        <f t="shared" si="1"/>
        <v>0</v>
      </c>
      <c r="O54" s="91" t="s">
        <v>13</v>
      </c>
    </row>
    <row r="55" spans="1:15" ht="15" x14ac:dyDescent="0.2">
      <c r="B55" s="67"/>
      <c r="C55" s="170">
        <v>25</v>
      </c>
      <c r="D55" s="71" t="s">
        <v>85</v>
      </c>
      <c r="E55" s="88">
        <v>330</v>
      </c>
      <c r="F55" s="88">
        <v>330</v>
      </c>
      <c r="G55" s="73">
        <f t="shared" si="0"/>
        <v>0</v>
      </c>
      <c r="H55" s="74"/>
      <c r="J55" s="170">
        <v>25</v>
      </c>
      <c r="K55" s="71" t="s">
        <v>85</v>
      </c>
      <c r="L55" s="88">
        <v>330</v>
      </c>
      <c r="M55" s="88">
        <v>330</v>
      </c>
      <c r="N55" s="73">
        <f t="shared" si="1"/>
        <v>0</v>
      </c>
      <c r="O55" s="74"/>
    </row>
    <row r="56" spans="1:15" ht="15" x14ac:dyDescent="0.2">
      <c r="B56" s="67"/>
      <c r="C56" s="171"/>
      <c r="D56" s="71" t="s">
        <v>86</v>
      </c>
      <c r="E56" s="88">
        <v>3</v>
      </c>
      <c r="F56" s="88">
        <v>3</v>
      </c>
      <c r="G56" s="73">
        <f t="shared" si="0"/>
        <v>0</v>
      </c>
      <c r="H56" s="74"/>
      <c r="J56" s="171"/>
      <c r="K56" s="71" t="s">
        <v>86</v>
      </c>
      <c r="L56" s="88">
        <v>3</v>
      </c>
      <c r="M56" s="88">
        <v>3</v>
      </c>
      <c r="N56" s="73">
        <f t="shared" si="1"/>
        <v>0</v>
      </c>
      <c r="O56" s="74"/>
    </row>
    <row r="57" spans="1:15" ht="15" x14ac:dyDescent="0.2">
      <c r="B57" s="67"/>
      <c r="C57" s="170">
        <v>26</v>
      </c>
      <c r="D57" s="71" t="s">
        <v>85</v>
      </c>
      <c r="E57" s="72">
        <v>685258</v>
      </c>
      <c r="F57" s="72">
        <v>688763</v>
      </c>
      <c r="G57" s="73">
        <f t="shared" si="0"/>
        <v>3505</v>
      </c>
      <c r="H57" s="74"/>
      <c r="J57" s="170">
        <v>26</v>
      </c>
      <c r="K57" s="71" t="s">
        <v>85</v>
      </c>
      <c r="L57" s="72">
        <v>688763</v>
      </c>
      <c r="M57" s="72">
        <v>692347</v>
      </c>
      <c r="N57" s="73">
        <f t="shared" si="1"/>
        <v>3584</v>
      </c>
      <c r="O57" s="74"/>
    </row>
    <row r="58" spans="1:15" ht="15" x14ac:dyDescent="0.2">
      <c r="A58" s="78"/>
      <c r="B58" s="67"/>
      <c r="C58" s="171"/>
      <c r="D58" s="71" t="s">
        <v>86</v>
      </c>
      <c r="E58" s="72">
        <v>750021</v>
      </c>
      <c r="F58" s="72">
        <v>754384</v>
      </c>
      <c r="G58" s="73">
        <f t="shared" si="0"/>
        <v>4363</v>
      </c>
      <c r="H58" s="82"/>
      <c r="I58" s="78"/>
      <c r="J58" s="171"/>
      <c r="K58" s="71" t="s">
        <v>86</v>
      </c>
      <c r="L58" s="72">
        <v>754384</v>
      </c>
      <c r="M58" s="72">
        <v>758854</v>
      </c>
      <c r="N58" s="73">
        <f t="shared" si="1"/>
        <v>4470</v>
      </c>
      <c r="O58" s="82"/>
    </row>
    <row r="59" spans="1:15" ht="15" x14ac:dyDescent="0.2">
      <c r="A59" s="78"/>
      <c r="B59" s="67"/>
      <c r="C59" s="170">
        <v>27</v>
      </c>
      <c r="D59" s="71" t="s">
        <v>85</v>
      </c>
      <c r="E59" s="72">
        <v>233248</v>
      </c>
      <c r="F59" s="72">
        <v>234450</v>
      </c>
      <c r="G59" s="73">
        <f t="shared" si="0"/>
        <v>1202</v>
      </c>
      <c r="H59" s="74"/>
      <c r="I59" s="78"/>
      <c r="J59" s="170">
        <v>27</v>
      </c>
      <c r="K59" s="71" t="s">
        <v>85</v>
      </c>
      <c r="L59" s="72">
        <v>234450</v>
      </c>
      <c r="M59" s="72">
        <v>33554</v>
      </c>
      <c r="N59" s="73">
        <f t="shared" si="1"/>
        <v>-200896</v>
      </c>
      <c r="O59" s="74"/>
    </row>
    <row r="60" spans="1:15" ht="15" x14ac:dyDescent="0.2">
      <c r="A60" s="78"/>
      <c r="B60" s="67"/>
      <c r="C60" s="171"/>
      <c r="D60" s="71" t="s">
        <v>86</v>
      </c>
      <c r="E60" s="72">
        <v>93345</v>
      </c>
      <c r="F60" s="72">
        <v>95207</v>
      </c>
      <c r="G60" s="73">
        <f t="shared" si="0"/>
        <v>1862</v>
      </c>
      <c r="H60" s="74"/>
      <c r="I60" s="78"/>
      <c r="J60" s="171"/>
      <c r="K60" s="71" t="s">
        <v>86</v>
      </c>
      <c r="L60" s="72">
        <v>95207</v>
      </c>
      <c r="M60" s="72">
        <v>96054</v>
      </c>
      <c r="N60" s="73">
        <f t="shared" si="1"/>
        <v>847</v>
      </c>
      <c r="O60" s="74"/>
    </row>
    <row r="61" spans="1:15" ht="15" x14ac:dyDescent="0.2">
      <c r="A61" s="78"/>
      <c r="B61" s="67"/>
      <c r="C61" s="83"/>
      <c r="D61" s="84"/>
      <c r="E61" s="72"/>
      <c r="F61" s="72"/>
      <c r="G61" s="92"/>
      <c r="H61" s="86"/>
      <c r="I61" s="78"/>
      <c r="J61" s="83"/>
      <c r="K61" s="84"/>
      <c r="L61" s="72"/>
      <c r="M61" s="72"/>
      <c r="N61" s="92"/>
      <c r="O61" s="86"/>
    </row>
    <row r="62" spans="1:15" ht="15" x14ac:dyDescent="0.2">
      <c r="A62" s="78"/>
      <c r="B62" s="67"/>
      <c r="C62" s="170">
        <v>28</v>
      </c>
      <c r="D62" s="179" t="s">
        <v>87</v>
      </c>
      <c r="E62" s="72"/>
      <c r="F62" s="72"/>
      <c r="G62" s="73"/>
      <c r="H62" s="181" t="s">
        <v>88</v>
      </c>
      <c r="I62" s="78"/>
      <c r="J62" s="170">
        <v>28</v>
      </c>
      <c r="K62" s="179" t="s">
        <v>87</v>
      </c>
      <c r="L62" s="72"/>
      <c r="M62" s="72"/>
      <c r="N62" s="73"/>
      <c r="O62" s="181" t="s">
        <v>88</v>
      </c>
    </row>
    <row r="63" spans="1:15" ht="15" x14ac:dyDescent="0.2">
      <c r="A63" s="78"/>
      <c r="B63" s="67"/>
      <c r="C63" s="171"/>
      <c r="D63" s="180"/>
      <c r="E63" s="72"/>
      <c r="F63" s="72"/>
      <c r="G63" s="73"/>
      <c r="H63" s="182"/>
      <c r="I63" s="78"/>
      <c r="J63" s="171"/>
      <c r="K63" s="180"/>
      <c r="L63" s="72"/>
      <c r="M63" s="72"/>
      <c r="N63" s="73"/>
      <c r="O63" s="182"/>
    </row>
    <row r="64" spans="1:15" x14ac:dyDescent="0.2">
      <c r="A64" s="78"/>
      <c r="B64" s="67"/>
      <c r="C64" s="183" t="s">
        <v>89</v>
      </c>
      <c r="D64" s="183"/>
      <c r="E64" s="183"/>
      <c r="F64" s="183"/>
      <c r="G64" s="93">
        <f>SUM(G2:G63)</f>
        <v>36510</v>
      </c>
      <c r="H64" s="94"/>
      <c r="I64" s="78"/>
      <c r="J64" s="183" t="s">
        <v>89</v>
      </c>
      <c r="K64" s="183"/>
      <c r="L64" s="183"/>
      <c r="M64" s="183"/>
      <c r="N64" s="93">
        <f>SUM(N2:N63)</f>
        <v>-184175</v>
      </c>
      <c r="O64" s="94"/>
    </row>
    <row r="68" spans="1:15" ht="13.5" thickBot="1" x14ac:dyDescent="0.25">
      <c r="A68" s="95"/>
      <c r="B68" s="95"/>
      <c r="C68" s="95"/>
      <c r="D68" s="96" t="s">
        <v>13</v>
      </c>
      <c r="E68" s="95"/>
      <c r="F68" s="95"/>
      <c r="G68" s="95"/>
      <c r="H68" s="95"/>
    </row>
    <row r="69" spans="1:15" ht="13.5" thickBot="1" x14ac:dyDescent="0.25">
      <c r="A69" s="97"/>
      <c r="B69" s="184">
        <v>44228</v>
      </c>
      <c r="C69" s="185"/>
      <c r="D69" s="185"/>
      <c r="E69" s="186"/>
      <c r="F69" s="97"/>
      <c r="G69" s="184">
        <v>44256</v>
      </c>
      <c r="H69" s="185"/>
      <c r="I69" s="185"/>
      <c r="J69" s="186"/>
      <c r="K69" s="97"/>
      <c r="L69" s="176" t="s">
        <v>26</v>
      </c>
      <c r="M69" s="177"/>
      <c r="N69" s="177"/>
      <c r="O69" s="178"/>
    </row>
    <row r="70" spans="1:15" ht="13.5" thickBot="1" x14ac:dyDescent="0.25">
      <c r="A70" s="95"/>
      <c r="B70" s="98" t="s">
        <v>78</v>
      </c>
      <c r="C70" s="98">
        <v>30</v>
      </c>
      <c r="D70" s="98" t="s">
        <v>90</v>
      </c>
      <c r="E70" s="98" t="s">
        <v>91</v>
      </c>
      <c r="F70" s="95"/>
      <c r="G70" s="98" t="s">
        <v>78</v>
      </c>
      <c r="H70" s="98">
        <v>30</v>
      </c>
      <c r="I70" s="98" t="s">
        <v>90</v>
      </c>
      <c r="J70" s="98" t="s">
        <v>91</v>
      </c>
      <c r="K70" s="95"/>
      <c r="L70" s="99" t="s">
        <v>78</v>
      </c>
      <c r="M70" s="99">
        <v>30</v>
      </c>
      <c r="N70" s="99" t="s">
        <v>90</v>
      </c>
      <c r="O70" s="99" t="s">
        <v>91</v>
      </c>
    </row>
    <row r="71" spans="1:15" ht="15.75" thickBot="1" x14ac:dyDescent="0.25">
      <c r="A71" s="95"/>
      <c r="B71" s="100">
        <v>6</v>
      </c>
      <c r="C71" s="101">
        <v>90775</v>
      </c>
      <c r="D71" s="102">
        <v>54843</v>
      </c>
      <c r="E71" s="103">
        <v>78552</v>
      </c>
      <c r="F71" s="95"/>
      <c r="G71" s="100">
        <v>6</v>
      </c>
      <c r="H71" s="101">
        <v>91470</v>
      </c>
      <c r="I71" s="102">
        <v>54889</v>
      </c>
      <c r="J71" s="103">
        <v>78552</v>
      </c>
      <c r="K71" s="95"/>
      <c r="L71" s="99">
        <v>6</v>
      </c>
      <c r="M71" s="104">
        <f>H71-C71</f>
        <v>695</v>
      </c>
      <c r="N71" s="104">
        <f>I71-D71</f>
        <v>46</v>
      </c>
      <c r="O71" s="104">
        <f>J71-E71</f>
        <v>0</v>
      </c>
    </row>
    <row r="72" spans="1:15" ht="15.75" thickBot="1" x14ac:dyDescent="0.25">
      <c r="A72" s="95"/>
      <c r="B72" s="100">
        <v>7</v>
      </c>
      <c r="C72" s="101">
        <v>94967</v>
      </c>
      <c r="D72" s="102">
        <v>103139</v>
      </c>
      <c r="E72" s="103">
        <v>62576</v>
      </c>
      <c r="F72" s="95"/>
      <c r="G72" s="100">
        <v>7</v>
      </c>
      <c r="H72" s="101">
        <v>95126</v>
      </c>
      <c r="I72" s="102">
        <v>103305</v>
      </c>
      <c r="J72" s="103">
        <v>62782</v>
      </c>
      <c r="K72" s="95"/>
      <c r="L72" s="99">
        <v>7</v>
      </c>
      <c r="M72" s="104">
        <f t="shared" ref="M72:O94" si="2">H72-C72</f>
        <v>159</v>
      </c>
      <c r="N72" s="104">
        <f t="shared" si="2"/>
        <v>166</v>
      </c>
      <c r="O72" s="104">
        <f t="shared" si="2"/>
        <v>206</v>
      </c>
    </row>
    <row r="73" spans="1:15" ht="15.75" thickBot="1" x14ac:dyDescent="0.25">
      <c r="A73" s="95"/>
      <c r="B73" s="100">
        <v>8</v>
      </c>
      <c r="C73" s="101">
        <v>110347</v>
      </c>
      <c r="D73" s="102">
        <v>242489</v>
      </c>
      <c r="E73" s="103">
        <v>105323</v>
      </c>
      <c r="F73" s="95"/>
      <c r="G73" s="100">
        <v>8</v>
      </c>
      <c r="H73" s="101">
        <v>110953</v>
      </c>
      <c r="I73" s="102">
        <v>242857</v>
      </c>
      <c r="J73" s="103">
        <v>105408</v>
      </c>
      <c r="K73" s="95"/>
      <c r="L73" s="99">
        <v>8</v>
      </c>
      <c r="M73" s="104">
        <f t="shared" si="2"/>
        <v>606</v>
      </c>
      <c r="N73" s="104">
        <f t="shared" si="2"/>
        <v>368</v>
      </c>
      <c r="O73" s="104">
        <f t="shared" si="2"/>
        <v>85</v>
      </c>
    </row>
    <row r="74" spans="1:15" ht="15.75" thickBot="1" x14ac:dyDescent="0.25">
      <c r="A74" s="95"/>
      <c r="B74" s="100">
        <v>9</v>
      </c>
      <c r="C74" s="101">
        <v>67954</v>
      </c>
      <c r="D74" s="102">
        <v>148472</v>
      </c>
      <c r="E74" s="103">
        <v>147276</v>
      </c>
      <c r="F74" s="95"/>
      <c r="G74" s="100">
        <v>9</v>
      </c>
      <c r="H74" s="101">
        <v>68063</v>
      </c>
      <c r="I74" s="102">
        <v>149328</v>
      </c>
      <c r="J74" s="103">
        <v>148112</v>
      </c>
      <c r="K74" s="95"/>
      <c r="L74" s="99">
        <v>9</v>
      </c>
      <c r="M74" s="104">
        <f t="shared" si="2"/>
        <v>109</v>
      </c>
      <c r="N74" s="104">
        <f t="shared" si="2"/>
        <v>856</v>
      </c>
      <c r="O74" s="104">
        <f t="shared" si="2"/>
        <v>836</v>
      </c>
    </row>
    <row r="75" spans="1:15" ht="15.75" thickBot="1" x14ac:dyDescent="0.25">
      <c r="A75" s="95"/>
      <c r="B75" s="100">
        <v>10</v>
      </c>
      <c r="C75" s="101">
        <v>68687</v>
      </c>
      <c r="D75" s="102">
        <v>110346</v>
      </c>
      <c r="E75" s="103">
        <v>140694</v>
      </c>
      <c r="F75" s="95"/>
      <c r="G75" s="100">
        <v>10</v>
      </c>
      <c r="H75" s="101">
        <v>69195</v>
      </c>
      <c r="I75" s="102">
        <v>110744</v>
      </c>
      <c r="J75" s="103">
        <v>141284</v>
      </c>
      <c r="K75" s="95"/>
      <c r="L75" s="99">
        <v>10</v>
      </c>
      <c r="M75" s="104">
        <f t="shared" si="2"/>
        <v>508</v>
      </c>
      <c r="N75" s="104">
        <f t="shared" si="2"/>
        <v>398</v>
      </c>
      <c r="O75" s="104">
        <f t="shared" si="2"/>
        <v>590</v>
      </c>
    </row>
    <row r="76" spans="1:15" ht="15.75" thickBot="1" x14ac:dyDescent="0.25">
      <c r="A76" s="95"/>
      <c r="B76" s="100">
        <v>11</v>
      </c>
      <c r="C76" s="101">
        <v>150937</v>
      </c>
      <c r="D76" s="102">
        <v>179158</v>
      </c>
      <c r="E76" s="103">
        <v>210113</v>
      </c>
      <c r="F76" s="95"/>
      <c r="G76" s="100">
        <v>11</v>
      </c>
      <c r="H76" s="101">
        <v>151372</v>
      </c>
      <c r="I76" s="102">
        <v>179549</v>
      </c>
      <c r="J76" s="103">
        <v>210251</v>
      </c>
      <c r="K76" s="95"/>
      <c r="L76" s="99">
        <v>11</v>
      </c>
      <c r="M76" s="104">
        <f t="shared" si="2"/>
        <v>435</v>
      </c>
      <c r="N76" s="104">
        <f t="shared" si="2"/>
        <v>391</v>
      </c>
      <c r="O76" s="104">
        <f t="shared" si="2"/>
        <v>138</v>
      </c>
    </row>
    <row r="77" spans="1:15" ht="15.75" thickBot="1" x14ac:dyDescent="0.25">
      <c r="A77" s="95"/>
      <c r="B77" s="100">
        <v>12</v>
      </c>
      <c r="C77" s="101">
        <v>146499</v>
      </c>
      <c r="D77" s="102">
        <v>95492</v>
      </c>
      <c r="E77" s="103">
        <v>100024</v>
      </c>
      <c r="F77" s="95"/>
      <c r="G77" s="100">
        <v>12</v>
      </c>
      <c r="H77" s="101">
        <v>147165</v>
      </c>
      <c r="I77" s="102">
        <v>95707</v>
      </c>
      <c r="J77" s="103">
        <v>100054</v>
      </c>
      <c r="K77" s="95"/>
      <c r="L77" s="99">
        <v>12</v>
      </c>
      <c r="M77" s="104">
        <f t="shared" si="2"/>
        <v>666</v>
      </c>
      <c r="N77" s="104">
        <f>I77-D77</f>
        <v>215</v>
      </c>
      <c r="O77" s="104">
        <f t="shared" si="2"/>
        <v>30</v>
      </c>
    </row>
    <row r="78" spans="1:15" ht="15.75" thickBot="1" x14ac:dyDescent="0.25">
      <c r="A78" s="95"/>
      <c r="B78" s="100">
        <v>14</v>
      </c>
      <c r="C78" s="101">
        <v>123654</v>
      </c>
      <c r="D78" s="102">
        <v>47628</v>
      </c>
      <c r="E78" s="103">
        <v>50623</v>
      </c>
      <c r="F78" s="95"/>
      <c r="G78" s="100">
        <v>14</v>
      </c>
      <c r="H78" s="101">
        <v>123657</v>
      </c>
      <c r="I78" s="102">
        <v>47659</v>
      </c>
      <c r="J78" s="103">
        <v>50711</v>
      </c>
      <c r="K78" s="95"/>
      <c r="L78" s="99">
        <v>14</v>
      </c>
      <c r="M78" s="104">
        <f t="shared" si="2"/>
        <v>3</v>
      </c>
      <c r="N78" s="104">
        <f t="shared" si="2"/>
        <v>31</v>
      </c>
      <c r="O78" s="104">
        <f t="shared" si="2"/>
        <v>88</v>
      </c>
    </row>
    <row r="79" spans="1:15" ht="15.75" thickBot="1" x14ac:dyDescent="0.25">
      <c r="A79" s="95"/>
      <c r="B79" s="100">
        <v>15</v>
      </c>
      <c r="C79" s="101">
        <v>164622</v>
      </c>
      <c r="D79" s="103">
        <v>143229</v>
      </c>
      <c r="E79" s="103">
        <v>155553</v>
      </c>
      <c r="F79" s="95"/>
      <c r="G79" s="100">
        <v>15</v>
      </c>
      <c r="H79" s="101">
        <v>165166</v>
      </c>
      <c r="I79" s="102">
        <v>144390</v>
      </c>
      <c r="J79" s="103">
        <v>156136</v>
      </c>
      <c r="K79" s="95"/>
      <c r="L79" s="99">
        <v>15</v>
      </c>
      <c r="M79" s="104">
        <f t="shared" si="2"/>
        <v>544</v>
      </c>
      <c r="N79" s="104">
        <f t="shared" si="2"/>
        <v>1161</v>
      </c>
      <c r="O79" s="104">
        <f t="shared" si="2"/>
        <v>583</v>
      </c>
    </row>
    <row r="80" spans="1:15" ht="15.75" thickBot="1" x14ac:dyDescent="0.25">
      <c r="A80" s="95"/>
      <c r="B80" s="100">
        <v>16</v>
      </c>
      <c r="C80" s="101">
        <v>120434</v>
      </c>
      <c r="D80" s="102">
        <v>144955</v>
      </c>
      <c r="E80" s="103">
        <v>214702</v>
      </c>
      <c r="F80" s="95"/>
      <c r="G80" s="100">
        <v>16</v>
      </c>
      <c r="H80" s="101">
        <v>120591</v>
      </c>
      <c r="I80" s="102">
        <v>145481</v>
      </c>
      <c r="J80" s="103">
        <v>214855</v>
      </c>
      <c r="K80" s="95"/>
      <c r="L80" s="99">
        <v>16</v>
      </c>
      <c r="M80" s="104">
        <f t="shared" si="2"/>
        <v>157</v>
      </c>
      <c r="N80" s="104">
        <f t="shared" si="2"/>
        <v>526</v>
      </c>
      <c r="O80" s="104">
        <f t="shared" si="2"/>
        <v>153</v>
      </c>
    </row>
    <row r="81" spans="1:15" ht="15.75" thickBot="1" x14ac:dyDescent="0.25">
      <c r="A81" s="95"/>
      <c r="B81" s="100">
        <v>17</v>
      </c>
      <c r="C81" s="101">
        <v>38476</v>
      </c>
      <c r="D81" s="102">
        <v>84120</v>
      </c>
      <c r="E81" s="103">
        <v>201146</v>
      </c>
      <c r="F81" s="95"/>
      <c r="G81" s="100">
        <v>17</v>
      </c>
      <c r="H81" s="101">
        <v>38476</v>
      </c>
      <c r="I81" s="102">
        <v>84399</v>
      </c>
      <c r="J81" s="103">
        <v>201455</v>
      </c>
      <c r="K81" s="95"/>
      <c r="L81" s="99">
        <v>17</v>
      </c>
      <c r="M81" s="104">
        <f t="shared" si="2"/>
        <v>0</v>
      </c>
      <c r="N81" s="104">
        <f t="shared" si="2"/>
        <v>279</v>
      </c>
      <c r="O81" s="104">
        <f t="shared" si="2"/>
        <v>309</v>
      </c>
    </row>
    <row r="82" spans="1:15" ht="15.75" thickBot="1" x14ac:dyDescent="0.25">
      <c r="A82" s="95"/>
      <c r="B82" s="100">
        <v>18</v>
      </c>
      <c r="C82" s="101">
        <v>135815</v>
      </c>
      <c r="D82" s="102">
        <v>71782</v>
      </c>
      <c r="E82" s="103">
        <v>161761</v>
      </c>
      <c r="F82" s="95"/>
      <c r="G82" s="100">
        <v>18</v>
      </c>
      <c r="H82" s="101">
        <v>135942</v>
      </c>
      <c r="I82" s="102">
        <v>71992</v>
      </c>
      <c r="J82" s="103">
        <v>162109</v>
      </c>
      <c r="K82" s="95"/>
      <c r="L82" s="99">
        <v>18</v>
      </c>
      <c r="M82" s="104">
        <f t="shared" si="2"/>
        <v>127</v>
      </c>
      <c r="N82" s="104">
        <f t="shared" si="2"/>
        <v>210</v>
      </c>
      <c r="O82" s="104">
        <f t="shared" si="2"/>
        <v>348</v>
      </c>
    </row>
    <row r="83" spans="1:15" ht="15.75" thickBot="1" x14ac:dyDescent="0.25">
      <c r="A83" s="95"/>
      <c r="B83" s="100">
        <v>19</v>
      </c>
      <c r="C83" s="101">
        <v>74571</v>
      </c>
      <c r="D83" s="102">
        <v>168677</v>
      </c>
      <c r="E83" s="103">
        <v>118794</v>
      </c>
      <c r="F83" s="95"/>
      <c r="G83" s="100">
        <v>19</v>
      </c>
      <c r="H83" s="101">
        <v>74916</v>
      </c>
      <c r="I83" s="102">
        <v>169125</v>
      </c>
      <c r="J83" s="103">
        <v>119705</v>
      </c>
      <c r="K83" s="95"/>
      <c r="L83" s="99">
        <v>19</v>
      </c>
      <c r="M83" s="104">
        <f t="shared" si="2"/>
        <v>345</v>
      </c>
      <c r="N83" s="104">
        <f t="shared" si="2"/>
        <v>448</v>
      </c>
      <c r="O83" s="104">
        <f t="shared" si="2"/>
        <v>911</v>
      </c>
    </row>
    <row r="84" spans="1:15" ht="15.75" thickBot="1" x14ac:dyDescent="0.25">
      <c r="A84" s="95"/>
      <c r="B84" s="100">
        <v>20</v>
      </c>
      <c r="C84" s="101">
        <v>141834</v>
      </c>
      <c r="D84" s="102">
        <v>169763</v>
      </c>
      <c r="E84" s="103">
        <v>86594</v>
      </c>
      <c r="F84" s="95"/>
      <c r="G84" s="100">
        <v>20</v>
      </c>
      <c r="H84" s="101">
        <v>141936</v>
      </c>
      <c r="I84" s="102">
        <v>170122</v>
      </c>
      <c r="J84" s="103">
        <v>87002</v>
      </c>
      <c r="K84" s="95"/>
      <c r="L84" s="99">
        <v>20</v>
      </c>
      <c r="M84" s="104">
        <f>H84-C84</f>
        <v>102</v>
      </c>
      <c r="N84" s="104">
        <f t="shared" si="2"/>
        <v>359</v>
      </c>
      <c r="O84" s="104">
        <f t="shared" si="2"/>
        <v>408</v>
      </c>
    </row>
    <row r="85" spans="1:15" ht="15.75" thickBot="1" x14ac:dyDescent="0.25">
      <c r="A85" s="95"/>
      <c r="B85" s="100">
        <v>21</v>
      </c>
      <c r="C85" s="101">
        <v>190110</v>
      </c>
      <c r="D85" s="102">
        <v>87677</v>
      </c>
      <c r="E85" s="103">
        <v>108563</v>
      </c>
      <c r="F85" s="95"/>
      <c r="G85" s="100">
        <v>21</v>
      </c>
      <c r="H85" s="101">
        <v>190497</v>
      </c>
      <c r="I85" s="102">
        <v>87854</v>
      </c>
      <c r="J85" s="103">
        <v>109217</v>
      </c>
      <c r="K85" s="95"/>
      <c r="L85" s="99">
        <v>21</v>
      </c>
      <c r="M85" s="104">
        <f t="shared" si="2"/>
        <v>387</v>
      </c>
      <c r="N85" s="104">
        <f t="shared" si="2"/>
        <v>177</v>
      </c>
      <c r="O85" s="104">
        <f t="shared" si="2"/>
        <v>654</v>
      </c>
    </row>
    <row r="86" spans="1:15" ht="15.75" thickBot="1" x14ac:dyDescent="0.25">
      <c r="A86" s="95"/>
      <c r="B86" s="100">
        <v>22</v>
      </c>
      <c r="C86" s="101">
        <v>129832</v>
      </c>
      <c r="D86" s="102">
        <v>89214</v>
      </c>
      <c r="E86" s="103">
        <v>113073</v>
      </c>
      <c r="F86" s="95"/>
      <c r="G86" s="100">
        <v>22</v>
      </c>
      <c r="H86" s="101">
        <v>130468</v>
      </c>
      <c r="I86" s="102">
        <v>89706</v>
      </c>
      <c r="J86" s="103">
        <v>113532</v>
      </c>
      <c r="K86" s="95"/>
      <c r="L86" s="99">
        <v>22</v>
      </c>
      <c r="M86" s="104">
        <f t="shared" si="2"/>
        <v>636</v>
      </c>
      <c r="N86" s="104">
        <f t="shared" si="2"/>
        <v>492</v>
      </c>
      <c r="O86" s="104">
        <f t="shared" si="2"/>
        <v>459</v>
      </c>
    </row>
    <row r="87" spans="1:15" ht="15.75" thickBot="1" x14ac:dyDescent="0.25">
      <c r="A87" s="95"/>
      <c r="B87" s="100">
        <v>23</v>
      </c>
      <c r="C87" s="101">
        <v>127095</v>
      </c>
      <c r="D87" s="102">
        <v>153993</v>
      </c>
      <c r="E87" s="103">
        <v>287225</v>
      </c>
      <c r="F87" s="95"/>
      <c r="G87" s="100">
        <v>23</v>
      </c>
      <c r="H87" s="101">
        <v>126084</v>
      </c>
      <c r="I87" s="102">
        <v>154166</v>
      </c>
      <c r="J87" s="103">
        <v>287362</v>
      </c>
      <c r="K87" s="95"/>
      <c r="L87" s="99">
        <v>23</v>
      </c>
      <c r="M87" s="104">
        <f t="shared" si="2"/>
        <v>-1011</v>
      </c>
      <c r="N87" s="104">
        <f t="shared" si="2"/>
        <v>173</v>
      </c>
      <c r="O87" s="104">
        <f t="shared" si="2"/>
        <v>137</v>
      </c>
    </row>
    <row r="88" spans="1:15" ht="15.75" thickBot="1" x14ac:dyDescent="0.25">
      <c r="A88" s="95"/>
      <c r="B88" s="100">
        <v>24</v>
      </c>
      <c r="C88" s="101">
        <v>78015</v>
      </c>
      <c r="D88" s="102">
        <v>148505</v>
      </c>
      <c r="E88" s="103">
        <v>101009</v>
      </c>
      <c r="F88" s="95"/>
      <c r="G88" s="100">
        <v>24</v>
      </c>
      <c r="H88" s="101">
        <v>78141</v>
      </c>
      <c r="I88" s="102">
        <v>148871</v>
      </c>
      <c r="J88" s="103">
        <v>101100</v>
      </c>
      <c r="K88" s="95"/>
      <c r="L88" s="99">
        <v>24</v>
      </c>
      <c r="M88" s="104">
        <f t="shared" si="2"/>
        <v>126</v>
      </c>
      <c r="N88" s="104">
        <f t="shared" si="2"/>
        <v>366</v>
      </c>
      <c r="O88" s="104">
        <f>J88-E88</f>
        <v>91</v>
      </c>
    </row>
    <row r="89" spans="1:15" ht="15.75" thickBot="1" x14ac:dyDescent="0.25">
      <c r="A89" s="95"/>
      <c r="B89" s="100">
        <v>25</v>
      </c>
      <c r="C89" s="101">
        <v>120043</v>
      </c>
      <c r="D89" s="102">
        <v>178534</v>
      </c>
      <c r="E89" s="103">
        <v>155803</v>
      </c>
      <c r="F89" s="95"/>
      <c r="G89" s="100">
        <v>25</v>
      </c>
      <c r="H89" s="101">
        <v>120117</v>
      </c>
      <c r="I89" s="102">
        <v>178766</v>
      </c>
      <c r="J89" s="103">
        <v>157645</v>
      </c>
      <c r="K89" s="95"/>
      <c r="L89" s="99">
        <v>25</v>
      </c>
      <c r="M89" s="104">
        <f t="shared" si="2"/>
        <v>74</v>
      </c>
      <c r="N89" s="104">
        <f t="shared" si="2"/>
        <v>232</v>
      </c>
      <c r="O89" s="104">
        <f>J89-E89</f>
        <v>1842</v>
      </c>
    </row>
    <row r="90" spans="1:15" ht="15.75" thickBot="1" x14ac:dyDescent="0.25">
      <c r="A90" s="95"/>
      <c r="B90" s="100">
        <v>26</v>
      </c>
      <c r="C90" s="101">
        <v>110896</v>
      </c>
      <c r="D90" s="102">
        <v>50258</v>
      </c>
      <c r="E90" s="103">
        <v>52916</v>
      </c>
      <c r="F90" s="95"/>
      <c r="G90" s="100">
        <v>26</v>
      </c>
      <c r="H90" s="101">
        <v>110959</v>
      </c>
      <c r="I90" s="102">
        <v>50394</v>
      </c>
      <c r="J90" s="103">
        <v>52714</v>
      </c>
      <c r="K90" s="95"/>
      <c r="L90" s="99">
        <v>26</v>
      </c>
      <c r="M90" s="104">
        <f t="shared" si="2"/>
        <v>63</v>
      </c>
      <c r="N90" s="104">
        <f t="shared" si="2"/>
        <v>136</v>
      </c>
      <c r="O90" s="104">
        <f t="shared" si="2"/>
        <v>-202</v>
      </c>
    </row>
    <row r="91" spans="1:15" ht="15.75" thickBot="1" x14ac:dyDescent="0.25">
      <c r="A91" s="95"/>
      <c r="B91" s="100">
        <v>27</v>
      </c>
      <c r="C91" s="101">
        <v>100954</v>
      </c>
      <c r="D91" s="102">
        <v>107381</v>
      </c>
      <c r="E91" s="103">
        <v>119608</v>
      </c>
      <c r="F91" s="95"/>
      <c r="G91" s="100">
        <v>27</v>
      </c>
      <c r="H91" s="101">
        <v>101127</v>
      </c>
      <c r="I91" s="102">
        <v>107674</v>
      </c>
      <c r="J91" s="103">
        <v>119724</v>
      </c>
      <c r="K91" s="95"/>
      <c r="L91" s="99">
        <v>27</v>
      </c>
      <c r="M91" s="104">
        <f t="shared" si="2"/>
        <v>173</v>
      </c>
      <c r="N91" s="104">
        <f t="shared" si="2"/>
        <v>293</v>
      </c>
      <c r="O91" s="104">
        <f t="shared" si="2"/>
        <v>116</v>
      </c>
    </row>
    <row r="92" spans="1:15" ht="15.75" thickBot="1" x14ac:dyDescent="0.25">
      <c r="A92" s="95"/>
      <c r="B92" s="100">
        <v>28</v>
      </c>
      <c r="C92" s="101">
        <v>192744</v>
      </c>
      <c r="D92" s="102">
        <v>101904</v>
      </c>
      <c r="E92" s="103">
        <v>109404</v>
      </c>
      <c r="F92" s="95"/>
      <c r="G92" s="100">
        <v>28</v>
      </c>
      <c r="H92" s="101">
        <v>1933586</v>
      </c>
      <c r="I92" s="102">
        <v>101990</v>
      </c>
      <c r="J92" s="103">
        <v>109763</v>
      </c>
      <c r="K92" s="95"/>
      <c r="L92" s="99">
        <v>28</v>
      </c>
      <c r="M92" s="104">
        <f t="shared" si="2"/>
        <v>1740842</v>
      </c>
      <c r="N92" s="104">
        <f t="shared" si="2"/>
        <v>86</v>
      </c>
      <c r="O92" s="104">
        <f t="shared" si="2"/>
        <v>359</v>
      </c>
    </row>
    <row r="93" spans="1:15" ht="15.75" thickBot="1" x14ac:dyDescent="0.25">
      <c r="A93" s="95"/>
      <c r="B93" s="100">
        <v>29</v>
      </c>
      <c r="C93" s="101"/>
      <c r="D93" s="102">
        <v>79720</v>
      </c>
      <c r="E93" s="103"/>
      <c r="F93" s="95"/>
      <c r="G93" s="100">
        <v>29</v>
      </c>
      <c r="H93" s="101"/>
      <c r="I93" s="102">
        <v>79720</v>
      </c>
      <c r="J93" s="103"/>
      <c r="K93" s="95"/>
      <c r="L93" s="99">
        <v>29</v>
      </c>
      <c r="M93" s="104">
        <f t="shared" si="2"/>
        <v>0</v>
      </c>
      <c r="N93" s="104">
        <f t="shared" si="2"/>
        <v>0</v>
      </c>
      <c r="O93" s="104"/>
    </row>
    <row r="94" spans="1:15" ht="15.75" thickBot="1" x14ac:dyDescent="0.25">
      <c r="A94" s="95"/>
      <c r="B94" s="100">
        <v>30</v>
      </c>
      <c r="C94" s="101"/>
      <c r="D94" s="102">
        <v>14818</v>
      </c>
      <c r="E94" s="103"/>
      <c r="F94" s="95"/>
      <c r="G94" s="100">
        <v>30</v>
      </c>
      <c r="H94" s="101"/>
      <c r="I94" s="102">
        <v>14818</v>
      </c>
      <c r="J94" s="103"/>
      <c r="K94" s="95"/>
      <c r="L94" s="99">
        <v>30</v>
      </c>
      <c r="M94" s="104">
        <f t="shared" si="2"/>
        <v>0</v>
      </c>
      <c r="N94" s="104">
        <f>I94-D94</f>
        <v>0</v>
      </c>
      <c r="O94" s="95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2018-07-02T08:24:59Z</cp:lastPrinted>
  <dcterms:created xsi:type="dcterms:W3CDTF">2017-07-31T14:40:49Z</dcterms:created>
  <dcterms:modified xsi:type="dcterms:W3CDTF">2021-04-10T01:16:44Z</dcterms:modified>
</cp:coreProperties>
</file>