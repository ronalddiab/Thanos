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B28" i="3" l="1"/>
  <c r="I12" i="1" l="1"/>
  <c r="G2" i="1" l="1"/>
  <c r="G3" i="1"/>
  <c r="G4" i="1"/>
  <c r="G5" i="1"/>
  <c r="G9" i="1"/>
  <c r="G10" i="1"/>
  <c r="I8" i="1"/>
  <c r="I9" i="1"/>
  <c r="G8" i="1"/>
  <c r="E8" i="1"/>
  <c r="I3" i="1" l="1"/>
  <c r="I4" i="1"/>
  <c r="I5" i="1"/>
  <c r="I6" i="1"/>
  <c r="I7" i="1"/>
  <c r="I10" i="1"/>
  <c r="I11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G6" i="1"/>
  <c r="G7" i="1"/>
  <c r="G11" i="1"/>
  <c r="G14" i="1"/>
  <c r="G15" i="1"/>
  <c r="G18" i="1"/>
  <c r="G19" i="1"/>
  <c r="G22" i="1"/>
  <c r="G23" i="1"/>
  <c r="G26" i="1"/>
  <c r="G27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9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</calcChain>
</file>

<file path=xl/sharedStrings.xml><?xml version="1.0" encoding="utf-8"?>
<sst xmlns="http://schemas.openxmlformats.org/spreadsheetml/2006/main" count="102" uniqueCount="33">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</sst>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3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0" fillId="1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opLeftCell="A16" workbookViewId="0">
      <selection activeCell="A30" sqref="A30:XFD30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2</v>
      </c>
      <c r="D2" s="9">
        <v>2021</v>
      </c>
      <c r="E2" s="20">
        <f>Submetering!E3</f>
        <v>6210</v>
      </c>
      <c r="F2" s="16">
        <v>0.12</v>
      </c>
      <c r="G2" s="20">
        <f>Submetering!F3+Submetering!G3</f>
        <v>461.85233644859818</v>
      </c>
      <c r="H2" s="16">
        <v>0.71</v>
      </c>
      <c r="I2" s="20">
        <f>Submetering!J3+Submetering!I3+Submetering!H3</f>
        <v>40.818853478499996</v>
      </c>
      <c r="J2" s="16">
        <v>2.3196172978505634</v>
      </c>
      <c r="K2" s="20">
        <f>Submetering!K2</f>
        <v>22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2</v>
      </c>
      <c r="D3" s="9">
        <v>2021</v>
      </c>
      <c r="E3" s="20">
        <f>Submetering!E4</f>
        <v>6174</v>
      </c>
      <c r="F3" s="16">
        <v>0.12</v>
      </c>
      <c r="G3" s="20">
        <f>Submetering!F4+Submetering!G4</f>
        <v>397.31401869158884</v>
      </c>
      <c r="H3" s="16">
        <v>0.71</v>
      </c>
      <c r="I3" s="20">
        <f>Submetering!J4+Submetering!I4+Submetering!H4</f>
        <v>39.875467207600003</v>
      </c>
      <c r="J3" s="16">
        <v>2.3196172978505634</v>
      </c>
      <c r="K3" s="20">
        <f>Submetering!K3</f>
        <v>17</v>
      </c>
      <c r="L3" s="20">
        <f>Submetering!L3</f>
        <v>0</v>
      </c>
    </row>
    <row r="4" spans="1:24" x14ac:dyDescent="0.25">
      <c r="A4" s="17" t="s">
        <v>32</v>
      </c>
      <c r="B4" s="9">
        <f t="shared" ref="B4:B29" si="0">B3+1</f>
        <v>3</v>
      </c>
      <c r="C4" s="6">
        <v>2</v>
      </c>
      <c r="D4" s="9">
        <v>2021</v>
      </c>
      <c r="E4" s="20">
        <f>Submetering!E5</f>
        <v>6167.25</v>
      </c>
      <c r="F4" s="16">
        <v>0.12</v>
      </c>
      <c r="G4" s="20">
        <f>Submetering!F5+Submetering!G5</f>
        <v>485.62386091308412</v>
      </c>
      <c r="H4" s="16">
        <v>0.71</v>
      </c>
      <c r="I4" s="20">
        <f>Submetering!J5+Submetering!I5+Submetering!H5</f>
        <v>46.938230769199997</v>
      </c>
      <c r="J4" s="16">
        <v>2.3196172978505634</v>
      </c>
      <c r="K4" s="20">
        <f>Submetering!K4</f>
        <v>18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2</v>
      </c>
      <c r="D5" s="9">
        <v>2021</v>
      </c>
      <c r="E5" s="20">
        <f>Submetering!E6</f>
        <v>6178.5</v>
      </c>
      <c r="F5" s="16">
        <v>0.12</v>
      </c>
      <c r="G5" s="20">
        <f>Submetering!F6+Submetering!G6</f>
        <v>498.76314196710285</v>
      </c>
      <c r="H5" s="16">
        <v>0.71</v>
      </c>
      <c r="I5" s="20">
        <f>Submetering!J6+Submetering!I6+Submetering!H6</f>
        <v>47.071071005900002</v>
      </c>
      <c r="J5" s="16">
        <v>2.3196172978505634</v>
      </c>
      <c r="K5" s="20">
        <f>Submetering!K5</f>
        <v>18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2</v>
      </c>
      <c r="D6" s="9">
        <v>2021</v>
      </c>
      <c r="E6" s="20">
        <f>Submetering!E7</f>
        <v>6041.25</v>
      </c>
      <c r="F6" s="16">
        <v>0.12</v>
      </c>
      <c r="G6" s="20">
        <f>Submetering!F7+Submetering!G7</f>
        <v>535.19890352869152</v>
      </c>
      <c r="H6" s="16">
        <v>0.71</v>
      </c>
      <c r="I6" s="20">
        <f>Submetering!J7+Submetering!I7+Submetering!H7</f>
        <v>45.470700696100003</v>
      </c>
      <c r="J6" s="16">
        <v>2.3196172978505634</v>
      </c>
      <c r="K6" s="20">
        <f>Submetering!K6</f>
        <v>27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2</v>
      </c>
      <c r="D7" s="9">
        <v>2021</v>
      </c>
      <c r="E7" s="20">
        <f>Submetering!E8</f>
        <v>5742</v>
      </c>
      <c r="F7" s="16">
        <v>0.12</v>
      </c>
      <c r="G7" s="20">
        <f>Submetering!F8+Submetering!G8</f>
        <v>577.35447150775701</v>
      </c>
      <c r="H7" s="16">
        <v>0.71</v>
      </c>
      <c r="I7" s="20">
        <f>Submetering!J8+Submetering!I8+Submetering!H8</f>
        <v>43.149771966000003</v>
      </c>
      <c r="J7" s="16">
        <v>2.3196172978505634</v>
      </c>
      <c r="K7" s="20">
        <f>Submetering!K7</f>
        <v>25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2</v>
      </c>
      <c r="D8" s="9">
        <v>2021</v>
      </c>
      <c r="E8" s="20">
        <f>Submetering!E9</f>
        <v>6021</v>
      </c>
      <c r="F8" s="16">
        <v>0.12</v>
      </c>
      <c r="G8" s="20">
        <f>Submetering!F9+Submetering!G9</f>
        <v>569.15872748364495</v>
      </c>
      <c r="H8" s="16">
        <v>0.71</v>
      </c>
      <c r="I8" s="20">
        <f>Submetering!J9+Submetering!I9+Submetering!H9</f>
        <v>50.589527337899995</v>
      </c>
      <c r="J8" s="16">
        <v>2.3196172978505634</v>
      </c>
      <c r="K8" s="20">
        <f>Submetering!K8</f>
        <v>18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2</v>
      </c>
      <c r="D9" s="9">
        <v>2021</v>
      </c>
      <c r="E9" s="20">
        <f>Submetering!E9</f>
        <v>6021</v>
      </c>
      <c r="F9" s="16">
        <v>0.12</v>
      </c>
      <c r="G9" s="20">
        <f>Submetering!F10+Submetering!G10</f>
        <v>555.94771101214963</v>
      </c>
      <c r="H9" s="16">
        <v>0.71</v>
      </c>
      <c r="I9" s="20">
        <f>Submetering!J10+Submetering!I10+Submetering!H10</f>
        <v>46.853000000000002</v>
      </c>
      <c r="J9" s="16">
        <v>2.3196172978505634</v>
      </c>
      <c r="K9" s="20">
        <f>Submetering!K9</f>
        <v>19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2</v>
      </c>
      <c r="D10" s="9">
        <v>2021</v>
      </c>
      <c r="E10" s="20">
        <f>Submetering!E10</f>
        <v>6144.75</v>
      </c>
      <c r="F10" s="16">
        <v>0.12</v>
      </c>
      <c r="G10" s="20">
        <f>Submetering!F11+Submetering!G11</f>
        <v>670.46527736579446</v>
      </c>
      <c r="H10" s="16">
        <v>0.71</v>
      </c>
      <c r="I10" s="20">
        <f>Submetering!J10+Submetering!I10+Submetering!H10</f>
        <v>46.853000000000002</v>
      </c>
      <c r="J10" s="16">
        <v>2.3196172978505634</v>
      </c>
      <c r="K10" s="20">
        <f>Submetering!K10</f>
        <v>25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2</v>
      </c>
      <c r="D11" s="9">
        <v>2021</v>
      </c>
      <c r="E11" s="20">
        <f>Submetering!E11</f>
        <v>5940</v>
      </c>
      <c r="F11" s="16">
        <v>0.12</v>
      </c>
      <c r="G11" s="20">
        <f>Submetering!F11+Submetering!G11</f>
        <v>670.46527736579446</v>
      </c>
      <c r="H11" s="16">
        <v>0.71</v>
      </c>
      <c r="I11" s="20">
        <f>Submetering!J11+Submetering!I11+Submetering!H11</f>
        <v>42.664999999999999</v>
      </c>
      <c r="J11" s="16">
        <v>2.3196172978505634</v>
      </c>
      <c r="K11" s="20">
        <f>Submetering!K11</f>
        <v>20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2</v>
      </c>
      <c r="D12" s="9">
        <v>2021</v>
      </c>
      <c r="E12" s="20">
        <f>Submetering!E12</f>
        <v>6126.75</v>
      </c>
      <c r="F12" s="16">
        <v>0.12</v>
      </c>
      <c r="G12" s="20">
        <f>Submetering!F12+Submetering!G12</f>
        <v>858.00573171915903</v>
      </c>
      <c r="H12" s="16">
        <v>0.71</v>
      </c>
      <c r="I12" s="20">
        <f>Submetering!J12+Submetering!I12+Submetering!H12</f>
        <v>41.936999999999998</v>
      </c>
      <c r="J12" s="16">
        <v>2.3196172978505634</v>
      </c>
      <c r="K12" s="20">
        <f>Submetering!K12</f>
        <v>28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2</v>
      </c>
      <c r="D13" s="9">
        <v>2021</v>
      </c>
      <c r="E13" s="20">
        <f>Submetering!E13</f>
        <v>6138</v>
      </c>
      <c r="F13" s="16">
        <v>0.12</v>
      </c>
      <c r="G13" s="20">
        <f>Submetering!F13+Submetering!G13</f>
        <v>1107.5240013853272</v>
      </c>
      <c r="H13" s="16">
        <v>0.71</v>
      </c>
      <c r="I13" s="20">
        <f>Submetering!J13+Submetering!I13+Submetering!H13</f>
        <v>48.194869918700007</v>
      </c>
      <c r="J13" s="16">
        <v>2.3196172978505634</v>
      </c>
      <c r="K13" s="20">
        <f>Submetering!K13</f>
        <v>40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2</v>
      </c>
      <c r="D14" s="9">
        <v>2021</v>
      </c>
      <c r="E14" s="20">
        <f>Submetering!E14</f>
        <v>6331.5</v>
      </c>
      <c r="F14" s="16">
        <v>0.12</v>
      </c>
      <c r="G14" s="20">
        <f>Submetering!F14+Submetering!G14</f>
        <v>1187.1895252814954</v>
      </c>
      <c r="H14" s="16">
        <v>0.71</v>
      </c>
      <c r="I14" s="20">
        <f>Submetering!H12+Submetering!J12+Submetering!I12</f>
        <v>41.936999999999998</v>
      </c>
      <c r="J14" s="16">
        <v>2.3196172978505634</v>
      </c>
      <c r="K14" s="20">
        <f>Submetering!K14</f>
        <v>64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2</v>
      </c>
      <c r="D15" s="9">
        <v>2021</v>
      </c>
      <c r="E15" s="20">
        <f>Submetering!E15</f>
        <v>6097.5</v>
      </c>
      <c r="F15" s="16">
        <v>0.12</v>
      </c>
      <c r="G15" s="20">
        <f>Submetering!F15+Submetering!G15</f>
        <v>1075.5322114442056</v>
      </c>
      <c r="H15" s="16">
        <v>0.71</v>
      </c>
      <c r="I15" s="20">
        <f>Submetering!J15+Submetering!I15+Submetering!H15</f>
        <v>47.565740716400001</v>
      </c>
      <c r="J15" s="16">
        <v>2.3196172978505634</v>
      </c>
      <c r="K15" s="20">
        <f>Submetering!K15</f>
        <v>39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2</v>
      </c>
      <c r="D16" s="9">
        <v>2021</v>
      </c>
      <c r="E16" s="20">
        <f>Submetering!E16</f>
        <v>6117.75</v>
      </c>
      <c r="F16" s="16">
        <v>0.12</v>
      </c>
      <c r="G16" s="20">
        <f>Submetering!F16+Submetering!G16</f>
        <v>903.40963897803738</v>
      </c>
      <c r="H16" s="16">
        <v>0.71</v>
      </c>
      <c r="I16" s="20">
        <f>Submetering!J16+Submetering!I16+Submetering!H16</f>
        <v>46.594999999999999</v>
      </c>
      <c r="J16" s="16">
        <v>2.3196172978505634</v>
      </c>
      <c r="K16" s="20">
        <f>Submetering!K16</f>
        <v>26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2</v>
      </c>
      <c r="D17" s="9">
        <v>2021</v>
      </c>
      <c r="E17" s="20">
        <f>Submetering!E17</f>
        <v>5796</v>
      </c>
      <c r="F17" s="16">
        <v>0.12</v>
      </c>
      <c r="G17" s="20">
        <f>Submetering!F17+Submetering!G17</f>
        <v>695.04081370728977</v>
      </c>
      <c r="H17" s="16">
        <v>0.71</v>
      </c>
      <c r="I17" s="20">
        <f>Submetering!J17+Submetering!I17+Submetering!H17</f>
        <v>40.383000000000003</v>
      </c>
      <c r="J17" s="16">
        <v>2.3196172978505634</v>
      </c>
      <c r="K17" s="20">
        <f>Submetering!K17</f>
        <v>18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2</v>
      </c>
      <c r="D18" s="9">
        <v>2021</v>
      </c>
      <c r="E18" s="20">
        <f>Submetering!E18</f>
        <v>5969.25</v>
      </c>
      <c r="F18" s="16">
        <v>0.12</v>
      </c>
      <c r="G18" s="20">
        <f>Submetering!F18+Submetering!G18</f>
        <v>457.32189778953273</v>
      </c>
      <c r="H18" s="16">
        <v>0.71</v>
      </c>
      <c r="I18" s="20">
        <f>Submetering!J18+Submetering!I18+Submetering!H18</f>
        <v>40.3829420203</v>
      </c>
      <c r="J18" s="16">
        <v>2.3196172978505634</v>
      </c>
      <c r="K18" s="20">
        <f>Submetering!K18</f>
        <v>25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2</v>
      </c>
      <c r="D19" s="9">
        <v>2021</v>
      </c>
      <c r="E19" s="20">
        <f>Submetering!E19</f>
        <v>6390</v>
      </c>
      <c r="F19" s="16">
        <v>0.12</v>
      </c>
      <c r="G19" s="20">
        <f>Submetering!F19+Submetering!G19</f>
        <v>445.02022735850471</v>
      </c>
      <c r="H19" s="16">
        <v>0.71</v>
      </c>
      <c r="I19" s="20">
        <f>Submetering!J19+Submetering!I19+Submetering!H19</f>
        <v>42.873041154500001</v>
      </c>
      <c r="J19" s="16">
        <v>2.3196172978505634</v>
      </c>
      <c r="K19" s="20">
        <f>Submetering!K19</f>
        <v>25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2</v>
      </c>
      <c r="D20" s="9">
        <v>2021</v>
      </c>
      <c r="E20" s="20">
        <f>Submetering!E20</f>
        <v>6369.75</v>
      </c>
      <c r="F20" s="16">
        <v>0.12</v>
      </c>
      <c r="G20" s="20">
        <f>Submetering!F20+Submetering!G20</f>
        <v>360.73503032616827</v>
      </c>
      <c r="H20" s="16">
        <v>0.71</v>
      </c>
      <c r="I20" s="20">
        <f>Submetering!J20+Submetering!I20+Submetering!H20</f>
        <v>47.683371591099998</v>
      </c>
      <c r="J20" s="16">
        <v>2.3196172978505634</v>
      </c>
      <c r="K20" s="20">
        <f>Submetering!K20</f>
        <v>27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2</v>
      </c>
      <c r="D21" s="9">
        <v>2021</v>
      </c>
      <c r="E21" s="20">
        <f>Submetering!E21</f>
        <v>6689.25</v>
      </c>
      <c r="F21" s="16">
        <v>0.12</v>
      </c>
      <c r="G21" s="20">
        <f>Submetering!F21+Submetering!G21</f>
        <v>350.22065284485984</v>
      </c>
      <c r="H21" s="16">
        <v>0.71</v>
      </c>
      <c r="I21" s="20">
        <f>Submetering!J21+Submetering!I21+Submetering!H21</f>
        <v>44.249366199400001</v>
      </c>
      <c r="J21" s="16">
        <v>2.3196172978505634</v>
      </c>
      <c r="K21" s="20">
        <f>Submetering!K21</f>
        <v>42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2</v>
      </c>
      <c r="D22" s="9">
        <v>2021</v>
      </c>
      <c r="E22" s="20">
        <f>Submetering!E22</f>
        <v>6084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20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2</v>
      </c>
      <c r="D23" s="9">
        <v>2021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2</v>
      </c>
      <c r="D24" s="9">
        <v>2021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2</v>
      </c>
      <c r="D25" s="9">
        <v>2021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2</v>
      </c>
      <c r="D26" s="9">
        <v>2021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2</v>
      </c>
      <c r="D27" s="9">
        <v>2021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2</v>
      </c>
      <c r="D28" s="9">
        <v>2021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2</v>
      </c>
      <c r="D29" s="9">
        <v>2021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C30" s="6"/>
      <c r="E30" s="20"/>
      <c r="G30" s="20"/>
      <c r="I30" s="20"/>
      <c r="J30" s="16"/>
      <c r="K30" s="20"/>
      <c r="L30" s="20"/>
    </row>
    <row r="31" spans="1:12" x14ac:dyDescent="0.25">
      <c r="C31" s="6"/>
      <c r="E31" s="20"/>
      <c r="G31" s="20"/>
      <c r="I31" s="20"/>
      <c r="J31" s="16"/>
      <c r="K31" s="20"/>
      <c r="L31" s="20"/>
    </row>
    <row r="32" spans="1:12" x14ac:dyDescent="0.25">
      <c r="C32" s="6"/>
      <c r="E32" s="20"/>
      <c r="G32" s="20"/>
      <c r="I32" s="20"/>
      <c r="J32" s="16"/>
      <c r="K32" s="20"/>
      <c r="L32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C8" activePane="bottomRight" state="frozen"/>
      <selection pane="topRight" activeCell="C1" sqref="C1"/>
      <selection pane="bottomLeft" activeCell="A2" sqref="A2"/>
      <selection pane="bottomRight" activeCell="K1" sqref="K1:K1048576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2</v>
      </c>
      <c r="D2" s="6">
        <v>2021</v>
      </c>
      <c r="E2" s="20">
        <v>6198.75</v>
      </c>
      <c r="F2" s="20">
        <v>529.41588785046736</v>
      </c>
      <c r="G2" s="20">
        <v>18.703295064485985</v>
      </c>
      <c r="H2" s="20">
        <v>4.1449999999999996</v>
      </c>
      <c r="I2" s="20">
        <v>28</v>
      </c>
      <c r="J2" s="20">
        <v>21.9855096573</v>
      </c>
      <c r="K2" s="20">
        <v>22</v>
      </c>
    </row>
    <row r="3" spans="1:12" x14ac:dyDescent="0.25">
      <c r="A3" s="17" t="s">
        <v>32</v>
      </c>
      <c r="B3" s="6">
        <f>B2+1</f>
        <v>2</v>
      </c>
      <c r="C3" s="6">
        <v>2</v>
      </c>
      <c r="D3" s="6">
        <v>2021</v>
      </c>
      <c r="E3" s="20">
        <v>6210</v>
      </c>
      <c r="F3" s="20">
        <v>441.68411214953278</v>
      </c>
      <c r="G3" s="20">
        <v>20.168224299065422</v>
      </c>
      <c r="H3" s="20">
        <v>2.8090000000000002</v>
      </c>
      <c r="I3" s="20">
        <v>18</v>
      </c>
      <c r="J3" s="20">
        <v>20.009853478499998</v>
      </c>
      <c r="K3" s="20">
        <v>17</v>
      </c>
    </row>
    <row r="4" spans="1:12" x14ac:dyDescent="0.25">
      <c r="A4" s="17" t="s">
        <v>32</v>
      </c>
      <c r="B4" s="6">
        <f t="shared" ref="B4:B29" si="0">B3+1</f>
        <v>3</v>
      </c>
      <c r="C4" s="6">
        <v>2</v>
      </c>
      <c r="D4" s="6">
        <v>2021</v>
      </c>
      <c r="E4" s="20">
        <v>6174</v>
      </c>
      <c r="F4" s="20">
        <v>397.31401869158884</v>
      </c>
      <c r="G4" s="20">
        <v>0</v>
      </c>
      <c r="H4" s="20">
        <v>0.88900000000000001</v>
      </c>
      <c r="I4" s="20">
        <v>20</v>
      </c>
      <c r="J4" s="20">
        <v>18.986467207600001</v>
      </c>
      <c r="K4" s="20">
        <v>18</v>
      </c>
    </row>
    <row r="5" spans="1:12" x14ac:dyDescent="0.25">
      <c r="A5" s="17" t="s">
        <v>32</v>
      </c>
      <c r="B5" s="6">
        <f t="shared" si="0"/>
        <v>4</v>
      </c>
      <c r="C5" s="6">
        <v>2</v>
      </c>
      <c r="D5" s="6">
        <v>2021</v>
      </c>
      <c r="E5" s="20">
        <v>6167.25</v>
      </c>
      <c r="F5" s="20">
        <v>465.8859813084112</v>
      </c>
      <c r="G5" s="20">
        <v>19.737879604672898</v>
      </c>
      <c r="H5" s="20">
        <v>0.91900000000000004</v>
      </c>
      <c r="I5" s="20">
        <v>23</v>
      </c>
      <c r="J5" s="20">
        <v>23.0192307692</v>
      </c>
      <c r="K5" s="20">
        <v>18</v>
      </c>
    </row>
    <row r="6" spans="1:12" x14ac:dyDescent="0.25">
      <c r="A6" s="17" t="s">
        <v>32</v>
      </c>
      <c r="B6" s="6">
        <f t="shared" si="0"/>
        <v>5</v>
      </c>
      <c r="C6" s="6">
        <v>2</v>
      </c>
      <c r="D6" s="6">
        <v>2021</v>
      </c>
      <c r="E6" s="20">
        <v>6178.5</v>
      </c>
      <c r="F6" s="20">
        <v>480.00373831775704</v>
      </c>
      <c r="G6" s="20">
        <v>18.759403649345796</v>
      </c>
      <c r="H6" s="20">
        <v>0.56899999999999995</v>
      </c>
      <c r="I6" s="20">
        <v>22</v>
      </c>
      <c r="J6" s="20">
        <v>24.5020710059</v>
      </c>
      <c r="K6" s="6">
        <v>27</v>
      </c>
    </row>
    <row r="7" spans="1:12" x14ac:dyDescent="0.25">
      <c r="A7" s="17" t="s">
        <v>32</v>
      </c>
      <c r="B7" s="6">
        <f t="shared" si="0"/>
        <v>6</v>
      </c>
      <c r="C7" s="6">
        <v>2</v>
      </c>
      <c r="D7" s="6">
        <v>2021</v>
      </c>
      <c r="E7" s="20">
        <v>6041.25</v>
      </c>
      <c r="F7" s="20">
        <v>516.3065420560747</v>
      </c>
      <c r="G7" s="20">
        <v>18.892361472616823</v>
      </c>
      <c r="H7" s="20">
        <v>0.96199999999999997</v>
      </c>
      <c r="I7" s="47">
        <v>22</v>
      </c>
      <c r="J7" s="20">
        <v>22.5087006961</v>
      </c>
      <c r="K7" s="6">
        <v>25</v>
      </c>
    </row>
    <row r="8" spans="1:12" x14ac:dyDescent="0.25">
      <c r="A8" s="17" t="s">
        <v>32</v>
      </c>
      <c r="B8" s="6">
        <f t="shared" si="0"/>
        <v>7</v>
      </c>
      <c r="C8" s="6">
        <v>2</v>
      </c>
      <c r="D8" s="6">
        <v>2021</v>
      </c>
      <c r="E8" s="20">
        <v>5742</v>
      </c>
      <c r="F8" s="20">
        <v>557.65140186915892</v>
      </c>
      <c r="G8" s="20">
        <v>19.70306963859813</v>
      </c>
      <c r="H8" s="20">
        <v>1.1639999999999999</v>
      </c>
      <c r="I8" s="47">
        <v>22</v>
      </c>
      <c r="J8" s="20">
        <v>19.985771966000001</v>
      </c>
      <c r="K8" s="20">
        <v>18</v>
      </c>
    </row>
    <row r="9" spans="1:12" x14ac:dyDescent="0.25">
      <c r="A9" s="17" t="s">
        <v>32</v>
      </c>
      <c r="B9" s="6">
        <f t="shared" si="0"/>
        <v>8</v>
      </c>
      <c r="C9" s="6">
        <v>2</v>
      </c>
      <c r="D9" s="6">
        <v>2021</v>
      </c>
      <c r="E9" s="20">
        <v>6021</v>
      </c>
      <c r="F9" s="20">
        <v>548.66225868691595</v>
      </c>
      <c r="G9" s="20">
        <v>20.496468796728973</v>
      </c>
      <c r="H9" s="20">
        <v>5.0839999999999996</v>
      </c>
      <c r="I9" s="47">
        <v>22</v>
      </c>
      <c r="J9" s="20">
        <v>23.505527337899998</v>
      </c>
      <c r="K9" s="6">
        <v>19</v>
      </c>
    </row>
    <row r="10" spans="1:12" x14ac:dyDescent="0.25">
      <c r="A10" s="17" t="s">
        <v>32</v>
      </c>
      <c r="B10" s="6">
        <f t="shared" si="0"/>
        <v>9</v>
      </c>
      <c r="C10" s="6">
        <v>2</v>
      </c>
      <c r="D10" s="6">
        <v>2021</v>
      </c>
      <c r="E10" s="20">
        <v>6144.75</v>
      </c>
      <c r="F10" s="20">
        <v>534.37138617289725</v>
      </c>
      <c r="G10" s="20">
        <v>21.57632483925234</v>
      </c>
      <c r="H10" s="20">
        <v>3.8530000000000002</v>
      </c>
      <c r="I10" s="47">
        <v>22</v>
      </c>
      <c r="J10" s="20">
        <v>21</v>
      </c>
      <c r="K10" s="20">
        <v>25</v>
      </c>
    </row>
    <row r="11" spans="1:12" x14ac:dyDescent="0.25">
      <c r="A11" s="17" t="s">
        <v>32</v>
      </c>
      <c r="B11" s="6">
        <f t="shared" si="0"/>
        <v>10</v>
      </c>
      <c r="C11" s="6">
        <v>2</v>
      </c>
      <c r="D11" s="6">
        <v>2021</v>
      </c>
      <c r="E11" s="20">
        <v>5940</v>
      </c>
      <c r="F11" s="20">
        <v>651.43364485981317</v>
      </c>
      <c r="G11" s="20">
        <v>19.03163250598131</v>
      </c>
      <c r="H11" s="20">
        <v>0.66500000000000004</v>
      </c>
      <c r="I11" s="47">
        <v>22</v>
      </c>
      <c r="J11" s="20">
        <v>20</v>
      </c>
      <c r="K11" s="6">
        <v>20</v>
      </c>
    </row>
    <row r="12" spans="1:12" x14ac:dyDescent="0.25">
      <c r="A12" s="17" t="s">
        <v>32</v>
      </c>
      <c r="B12" s="6">
        <f t="shared" si="0"/>
        <v>11</v>
      </c>
      <c r="C12" s="6">
        <v>2</v>
      </c>
      <c r="D12" s="6">
        <v>2021</v>
      </c>
      <c r="E12" s="20">
        <v>6126.75</v>
      </c>
      <c r="F12" s="20">
        <v>841.01495327102816</v>
      </c>
      <c r="G12" s="20">
        <v>16.990778448130843</v>
      </c>
      <c r="H12" s="20">
        <v>0.93700000000000006</v>
      </c>
      <c r="I12" s="47">
        <v>22</v>
      </c>
      <c r="J12" s="20">
        <v>19</v>
      </c>
      <c r="K12" s="6">
        <v>28</v>
      </c>
    </row>
    <row r="13" spans="1:12" x14ac:dyDescent="0.25">
      <c r="A13" s="17" t="s">
        <v>32</v>
      </c>
      <c r="B13" s="6">
        <f t="shared" si="0"/>
        <v>12</v>
      </c>
      <c r="C13" s="6">
        <v>2</v>
      </c>
      <c r="D13" s="6">
        <v>2021</v>
      </c>
      <c r="E13" s="20">
        <v>6138</v>
      </c>
      <c r="F13" s="20">
        <v>1085.0504672897198</v>
      </c>
      <c r="G13" s="20">
        <v>22.473534095607477</v>
      </c>
      <c r="H13" s="20">
        <v>0.70299999999999996</v>
      </c>
      <c r="I13" s="47">
        <v>22</v>
      </c>
      <c r="J13" s="20">
        <v>25.491869918700001</v>
      </c>
      <c r="K13" s="6">
        <v>40</v>
      </c>
    </row>
    <row r="14" spans="1:12" x14ac:dyDescent="0.25">
      <c r="A14" s="17" t="s">
        <v>32</v>
      </c>
      <c r="B14" s="6">
        <f t="shared" si="0"/>
        <v>13</v>
      </c>
      <c r="C14" s="6">
        <v>2</v>
      </c>
      <c r="D14" s="6">
        <v>2021</v>
      </c>
      <c r="E14" s="20">
        <v>6331.5</v>
      </c>
      <c r="F14" s="20">
        <v>1157.6560747663552</v>
      </c>
      <c r="G14" s="20">
        <v>29.533450515140188</v>
      </c>
      <c r="H14" s="20">
        <v>0.895568779501</v>
      </c>
      <c r="I14" s="47">
        <v>22</v>
      </c>
      <c r="J14" s="20">
        <v>23.995820585400001</v>
      </c>
      <c r="K14" s="6">
        <v>64</v>
      </c>
    </row>
    <row r="15" spans="1:12" x14ac:dyDescent="0.25">
      <c r="A15" s="17" t="s">
        <v>32</v>
      </c>
      <c r="B15" s="6">
        <f t="shared" si="0"/>
        <v>14</v>
      </c>
      <c r="C15" s="6">
        <v>2</v>
      </c>
      <c r="D15" s="6">
        <v>2021</v>
      </c>
      <c r="E15" s="20">
        <v>6097.5</v>
      </c>
      <c r="F15" s="20">
        <v>1048.747663551402</v>
      </c>
      <c r="G15" s="20">
        <v>26.78454789280374</v>
      </c>
      <c r="H15" s="20">
        <v>1.0534312205</v>
      </c>
      <c r="I15" s="47">
        <v>22</v>
      </c>
      <c r="J15" s="20">
        <v>24.512309495899999</v>
      </c>
      <c r="K15" s="6">
        <v>39</v>
      </c>
    </row>
    <row r="16" spans="1:12" x14ac:dyDescent="0.25">
      <c r="A16" s="17" t="s">
        <v>32</v>
      </c>
      <c r="B16" s="6">
        <f t="shared" si="0"/>
        <v>15</v>
      </c>
      <c r="C16" s="6">
        <v>2</v>
      </c>
      <c r="D16" s="6">
        <v>2021</v>
      </c>
      <c r="E16" s="20">
        <v>6117.75</v>
      </c>
      <c r="F16" s="20">
        <v>881.35140186915885</v>
      </c>
      <c r="G16" s="20">
        <v>22.058237108878505</v>
      </c>
      <c r="H16" s="20">
        <v>0.59499999999999997</v>
      </c>
      <c r="I16" s="47">
        <v>22</v>
      </c>
      <c r="J16" s="20">
        <v>24</v>
      </c>
      <c r="K16" s="20">
        <v>26</v>
      </c>
    </row>
    <row r="17" spans="1:11" x14ac:dyDescent="0.25">
      <c r="A17" s="17" t="s">
        <v>32</v>
      </c>
      <c r="B17" s="6">
        <f t="shared" si="0"/>
        <v>16</v>
      </c>
      <c r="C17" s="6">
        <v>2</v>
      </c>
      <c r="D17" s="6">
        <v>2021</v>
      </c>
      <c r="E17" s="20">
        <v>5796</v>
      </c>
      <c r="F17" s="20">
        <v>675.63551401869165</v>
      </c>
      <c r="G17" s="20">
        <v>19.405299688598131</v>
      </c>
      <c r="H17" s="20">
        <v>1.383</v>
      </c>
      <c r="I17" s="47">
        <v>22</v>
      </c>
      <c r="J17" s="20">
        <v>17</v>
      </c>
      <c r="K17" s="20">
        <v>18</v>
      </c>
    </row>
    <row r="18" spans="1:11" x14ac:dyDescent="0.25">
      <c r="A18" s="17" t="s">
        <v>32</v>
      </c>
      <c r="B18" s="6">
        <f t="shared" si="0"/>
        <v>17</v>
      </c>
      <c r="C18" s="6">
        <v>2</v>
      </c>
      <c r="D18" s="6">
        <v>2021</v>
      </c>
      <c r="E18" s="20">
        <v>5969.25</v>
      </c>
      <c r="F18" s="20">
        <v>439.66728971962618</v>
      </c>
      <c r="G18" s="20">
        <v>17.654608069906544</v>
      </c>
      <c r="H18" s="20">
        <v>0.89400000000000002</v>
      </c>
      <c r="I18" s="47">
        <v>22</v>
      </c>
      <c r="J18" s="20">
        <v>17.488942020300001</v>
      </c>
      <c r="K18" s="6">
        <v>25</v>
      </c>
    </row>
    <row r="19" spans="1:11" x14ac:dyDescent="0.25">
      <c r="A19" s="17" t="s">
        <v>32</v>
      </c>
      <c r="B19" s="6">
        <f t="shared" si="0"/>
        <v>18</v>
      </c>
      <c r="C19" s="6">
        <v>2</v>
      </c>
      <c r="D19" s="6">
        <v>2021</v>
      </c>
      <c r="E19" s="20">
        <v>6390</v>
      </c>
      <c r="F19" s="20">
        <v>425.5495327102804</v>
      </c>
      <c r="G19" s="20">
        <v>19.470694648224303</v>
      </c>
      <c r="H19" s="20">
        <v>0.69299999999999995</v>
      </c>
      <c r="I19" s="47">
        <v>22</v>
      </c>
      <c r="J19" s="20">
        <v>20.1800411545</v>
      </c>
      <c r="K19" s="20">
        <v>25</v>
      </c>
    </row>
    <row r="20" spans="1:11" x14ac:dyDescent="0.25">
      <c r="A20" s="17" t="s">
        <v>32</v>
      </c>
      <c r="B20" s="6">
        <f t="shared" si="0"/>
        <v>19</v>
      </c>
      <c r="C20" s="6">
        <v>2</v>
      </c>
      <c r="D20" s="6">
        <v>2021</v>
      </c>
      <c r="E20" s="20">
        <v>6369.75</v>
      </c>
      <c r="F20" s="20">
        <v>339.83457943925237</v>
      </c>
      <c r="G20" s="20">
        <v>20.900450886915888</v>
      </c>
      <c r="H20" s="20">
        <v>0.82499999999999996</v>
      </c>
      <c r="I20" s="47">
        <v>22</v>
      </c>
      <c r="J20" s="20">
        <v>24.858371591099999</v>
      </c>
      <c r="K20" s="20">
        <v>27</v>
      </c>
    </row>
    <row r="21" spans="1:11" x14ac:dyDescent="0.25">
      <c r="A21" s="17" t="s">
        <v>32</v>
      </c>
      <c r="B21" s="6">
        <f t="shared" si="0"/>
        <v>20</v>
      </c>
      <c r="C21" s="6">
        <v>2</v>
      </c>
      <c r="D21" s="6">
        <v>2021</v>
      </c>
      <c r="E21" s="20">
        <v>6689.25</v>
      </c>
      <c r="F21" s="20">
        <v>328.74205607476637</v>
      </c>
      <c r="G21" s="20">
        <v>21.478596770093457</v>
      </c>
      <c r="H21" s="20">
        <v>1.282</v>
      </c>
      <c r="I21" s="47">
        <v>22</v>
      </c>
      <c r="J21" s="20">
        <v>20.967366199400001</v>
      </c>
      <c r="K21" s="20">
        <v>42</v>
      </c>
    </row>
    <row r="22" spans="1:11" x14ac:dyDescent="0.25">
      <c r="A22" s="17" t="s">
        <v>32</v>
      </c>
      <c r="B22" s="6">
        <f t="shared" si="0"/>
        <v>21</v>
      </c>
      <c r="C22" s="6">
        <v>2</v>
      </c>
      <c r="D22" s="6">
        <v>2021</v>
      </c>
      <c r="E22" s="20">
        <v>6084</v>
      </c>
      <c r="F22" s="20">
        <v>0</v>
      </c>
      <c r="G22" s="20">
        <v>0</v>
      </c>
      <c r="K22" s="20">
        <v>20</v>
      </c>
    </row>
    <row r="23" spans="1:11" x14ac:dyDescent="0.25">
      <c r="A23" s="17" t="s">
        <v>32</v>
      </c>
      <c r="B23" s="6">
        <f t="shared" si="0"/>
        <v>22</v>
      </c>
      <c r="C23" s="6">
        <v>2</v>
      </c>
      <c r="D23" s="6">
        <v>2021</v>
      </c>
      <c r="K23" s="20"/>
    </row>
    <row r="24" spans="1:11" x14ac:dyDescent="0.25">
      <c r="A24" s="17" t="s">
        <v>32</v>
      </c>
      <c r="B24" s="6">
        <f t="shared" si="0"/>
        <v>23</v>
      </c>
      <c r="C24" s="6">
        <v>2</v>
      </c>
      <c r="D24" s="6">
        <v>2021</v>
      </c>
      <c r="K24" s="20"/>
    </row>
    <row r="25" spans="1:11" x14ac:dyDescent="0.25">
      <c r="A25" s="17" t="s">
        <v>32</v>
      </c>
      <c r="B25" s="6">
        <f t="shared" si="0"/>
        <v>24</v>
      </c>
      <c r="C25" s="6">
        <v>2</v>
      </c>
      <c r="D25" s="6">
        <v>2021</v>
      </c>
      <c r="K25" s="20"/>
    </row>
    <row r="26" spans="1:11" x14ac:dyDescent="0.25">
      <c r="A26" s="17" t="s">
        <v>32</v>
      </c>
      <c r="B26" s="6">
        <f>B25+1</f>
        <v>25</v>
      </c>
      <c r="C26" s="6">
        <v>2</v>
      </c>
      <c r="D26" s="6">
        <v>2021</v>
      </c>
      <c r="K26" s="20"/>
    </row>
    <row r="27" spans="1:11" ht="14.25" customHeight="1" x14ac:dyDescent="0.25">
      <c r="A27" s="17" t="s">
        <v>32</v>
      </c>
      <c r="B27" s="6">
        <f t="shared" si="0"/>
        <v>26</v>
      </c>
      <c r="C27" s="6">
        <v>2</v>
      </c>
      <c r="D27" s="6">
        <v>2021</v>
      </c>
      <c r="K27" s="20"/>
    </row>
    <row r="28" spans="1:11" x14ac:dyDescent="0.25">
      <c r="A28" s="17" t="s">
        <v>32</v>
      </c>
      <c r="B28" s="6">
        <f t="shared" si="0"/>
        <v>27</v>
      </c>
      <c r="C28" s="6">
        <v>2</v>
      </c>
      <c r="D28" s="6">
        <v>2021</v>
      </c>
      <c r="K28" s="20"/>
    </row>
    <row r="29" spans="1:11" x14ac:dyDescent="0.25">
      <c r="A29" s="17" t="s">
        <v>32</v>
      </c>
      <c r="B29" s="6">
        <f t="shared" si="0"/>
        <v>28</v>
      </c>
      <c r="C29" s="6">
        <v>2</v>
      </c>
      <c r="D29" s="6">
        <v>2021</v>
      </c>
      <c r="K29" s="20"/>
    </row>
    <row r="30" spans="1:11" x14ac:dyDescent="0.25">
      <c r="K30" s="20"/>
    </row>
    <row r="31" spans="1:11" x14ac:dyDescent="0.25">
      <c r="K31" s="20"/>
    </row>
    <row r="32" spans="1:11" x14ac:dyDescent="0.25">
      <c r="K32" s="20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42"/>
      <c r="C1" s="1"/>
      <c r="D1" s="11"/>
      <c r="E1" s="1"/>
      <c r="F1" s="14"/>
      <c r="G1" s="1"/>
      <c r="H1" s="1"/>
      <c r="I1" s="43"/>
      <c r="J1" s="32"/>
      <c r="K1" s="33"/>
      <c r="L1" s="33"/>
      <c r="M1" s="33"/>
      <c r="N1" s="33"/>
      <c r="O1" s="33"/>
      <c r="P1" s="21"/>
      <c r="Q1" s="21"/>
    </row>
    <row r="2" spans="1:17" ht="35.25" customHeight="1" thickBot="1" x14ac:dyDescent="0.3">
      <c r="A2" s="19" t="s">
        <v>15</v>
      </c>
      <c r="B2" s="42"/>
      <c r="C2" s="36" t="s">
        <v>22</v>
      </c>
      <c r="D2" s="37"/>
      <c r="E2" s="46" t="s">
        <v>23</v>
      </c>
      <c r="F2" s="46"/>
      <c r="G2" s="46" t="s">
        <v>24</v>
      </c>
      <c r="H2" s="46"/>
      <c r="I2" s="44"/>
      <c r="J2" s="34" t="s">
        <v>27</v>
      </c>
      <c r="K2" s="35"/>
      <c r="L2" s="38" t="s">
        <v>28</v>
      </c>
      <c r="M2" s="38"/>
      <c r="N2" s="38" t="s">
        <v>29</v>
      </c>
      <c r="O2" s="38"/>
      <c r="P2" s="10"/>
      <c r="Q2" s="10"/>
    </row>
    <row r="3" spans="1:17" ht="44.25" customHeight="1" x14ac:dyDescent="0.25">
      <c r="A3" s="2" t="s">
        <v>0</v>
      </c>
      <c r="B3" s="4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2"/>
      <c r="C4" s="18">
        <v>22342913</v>
      </c>
      <c r="D4" s="39">
        <f>IF((C5-C4&lt;0), "",C5-C4)</f>
        <v>7975</v>
      </c>
      <c r="E4" s="18">
        <v>23837512</v>
      </c>
      <c r="F4" s="40">
        <f>IF((E5-E4&lt;0), "",E5-E4)</f>
        <v>5799</v>
      </c>
      <c r="G4" s="18">
        <v>9975816</v>
      </c>
      <c r="H4" s="39">
        <f>IF((G5-G4&lt;0), "",G5-G4)</f>
        <v>3477</v>
      </c>
      <c r="I4" s="44"/>
      <c r="J4" s="18"/>
      <c r="K4" s="39">
        <v>0</v>
      </c>
      <c r="L4" s="18"/>
      <c r="M4" s="39">
        <v>0</v>
      </c>
      <c r="N4" s="18">
        <v>75776</v>
      </c>
      <c r="O4" s="39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2"/>
      <c r="C5" s="18">
        <v>22350888</v>
      </c>
      <c r="D5" s="39"/>
      <c r="E5" s="18">
        <v>23843311</v>
      </c>
      <c r="F5" s="41"/>
      <c r="G5" s="18">
        <v>9979293</v>
      </c>
      <c r="H5" s="39"/>
      <c r="I5" s="44"/>
      <c r="J5" s="18">
        <v>0</v>
      </c>
      <c r="K5" s="39"/>
      <c r="L5" s="18">
        <v>0</v>
      </c>
      <c r="M5" s="39"/>
      <c r="N5" s="18">
        <v>75809</v>
      </c>
      <c r="O5" s="39"/>
      <c r="P5" s="23"/>
      <c r="Q5" s="23"/>
    </row>
    <row r="6" spans="1:17" ht="45" customHeight="1" x14ac:dyDescent="0.3">
      <c r="A6" s="7">
        <v>43557</v>
      </c>
      <c r="B6" s="4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2021-02-22T15:38:54Z</dcterms:modified>
</cp:coreProperties>
</file>