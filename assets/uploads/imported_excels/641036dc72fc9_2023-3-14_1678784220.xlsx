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2\"/>
    </mc:Choice>
  </mc:AlternateContent>
  <xr:revisionPtr revIDLastSave="0" documentId="13_ncr:1_{2900A36A-366D-4E44-879F-8C1741A6867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4" l="1"/>
  <c r="K32" i="4" s="1"/>
  <c r="F32" i="4"/>
  <c r="G32" i="4"/>
  <c r="K3" i="4"/>
  <c r="L3" i="4"/>
  <c r="N3" i="4"/>
  <c r="O3" i="4"/>
  <c r="K4" i="4"/>
  <c r="L4" i="4"/>
  <c r="N4" i="4" s="1"/>
  <c r="O4" i="4"/>
  <c r="K5" i="4"/>
  <c r="L5" i="4"/>
  <c r="N5" i="4" s="1"/>
  <c r="O5" i="4"/>
  <c r="K6" i="4"/>
  <c r="L6" i="4"/>
  <c r="N6" i="4"/>
  <c r="O6" i="4"/>
  <c r="K7" i="4"/>
  <c r="L7" i="4"/>
  <c r="N7" i="4" s="1"/>
  <c r="O7" i="4"/>
  <c r="K8" i="4"/>
  <c r="L8" i="4"/>
  <c r="N8" i="4" s="1"/>
  <c r="O8" i="4"/>
  <c r="K9" i="4"/>
  <c r="L9" i="4"/>
  <c r="N9" i="4"/>
  <c r="O9" i="4"/>
  <c r="K10" i="4"/>
  <c r="L10" i="4"/>
  <c r="N10" i="4" s="1"/>
  <c r="O10" i="4"/>
  <c r="K11" i="4"/>
  <c r="L11" i="4"/>
  <c r="N11" i="4" s="1"/>
  <c r="O11" i="4"/>
  <c r="K12" i="4"/>
  <c r="L12" i="4"/>
  <c r="N12" i="4"/>
  <c r="O12" i="4"/>
  <c r="K13" i="4"/>
  <c r="L13" i="4"/>
  <c r="N13" i="4" s="1"/>
  <c r="O13" i="4"/>
  <c r="K14" i="4"/>
  <c r="L14" i="4"/>
  <c r="N14" i="4" s="1"/>
  <c r="O14" i="4"/>
  <c r="K15" i="4"/>
  <c r="L15" i="4"/>
  <c r="N15" i="4"/>
  <c r="O15" i="4"/>
  <c r="K16" i="4"/>
  <c r="L16" i="4"/>
  <c r="N16" i="4" s="1"/>
  <c r="O16" i="4"/>
  <c r="K17" i="4"/>
  <c r="L17" i="4"/>
  <c r="N17" i="4" s="1"/>
  <c r="O17" i="4"/>
  <c r="K18" i="4"/>
  <c r="L18" i="4"/>
  <c r="N18" i="4"/>
  <c r="O18" i="4"/>
  <c r="K19" i="4"/>
  <c r="L19" i="4"/>
  <c r="N19" i="4" s="1"/>
  <c r="O19" i="4"/>
  <c r="K20" i="4"/>
  <c r="L20" i="4"/>
  <c r="N20" i="4" s="1"/>
  <c r="O20" i="4"/>
  <c r="K21" i="4"/>
  <c r="L21" i="4"/>
  <c r="N21" i="4"/>
  <c r="O21" i="4"/>
  <c r="K22" i="4"/>
  <c r="L22" i="4"/>
  <c r="N22" i="4" s="1"/>
  <c r="O22" i="4"/>
  <c r="K23" i="4"/>
  <c r="L23" i="4"/>
  <c r="N23" i="4" s="1"/>
  <c r="O23" i="4"/>
  <c r="K24" i="4"/>
  <c r="L24" i="4"/>
  <c r="N24" i="4"/>
  <c r="O24" i="4"/>
  <c r="K25" i="4"/>
  <c r="L25" i="4"/>
  <c r="N25" i="4" s="1"/>
  <c r="O25" i="4"/>
  <c r="K26" i="4"/>
  <c r="L26" i="4"/>
  <c r="N26" i="4" s="1"/>
  <c r="O26" i="4"/>
  <c r="K27" i="4"/>
  <c r="L27" i="4"/>
  <c r="N27" i="4"/>
  <c r="O27" i="4"/>
  <c r="K28" i="4"/>
  <c r="L28" i="4"/>
  <c r="N28" i="4" s="1"/>
  <c r="O28" i="4"/>
  <c r="K29" i="4"/>
  <c r="L29" i="4"/>
  <c r="N29" i="4" s="1"/>
  <c r="O29" i="4"/>
  <c r="K30" i="4"/>
  <c r="L30" i="4"/>
  <c r="N30" i="4"/>
  <c r="O30" i="4"/>
  <c r="K31" i="4"/>
  <c r="L31" i="4"/>
  <c r="N31" i="4" s="1"/>
  <c r="O31" i="4"/>
  <c r="L32" i="4"/>
  <c r="N32" i="4" s="1"/>
  <c r="O32" i="4"/>
  <c r="K2" i="4"/>
  <c r="O2" i="4"/>
  <c r="L2" i="4"/>
  <c r="N2" i="4" s="1"/>
  <c r="J32" i="4" l="1"/>
  <c r="F36" i="2" l="1"/>
  <c r="E37" i="1"/>
  <c r="F37" i="1"/>
  <c r="E36" i="2"/>
  <c r="G35" i="2"/>
  <c r="G36" i="1"/>
  <c r="H36" i="1"/>
  <c r="I36" i="1"/>
  <c r="J36" i="1" l="1"/>
  <c r="K36" i="1" s="1"/>
  <c r="L36" i="1" s="1"/>
  <c r="I6" i="1"/>
  <c r="C37" i="1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6" i="2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H6" i="1"/>
  <c r="G34" i="1"/>
  <c r="E30" i="4" s="1"/>
  <c r="H34" i="1"/>
  <c r="I34" i="1"/>
  <c r="G40" i="2" l="1"/>
  <c r="J34" i="1"/>
  <c r="K34" i="1" s="1"/>
  <c r="L34" i="1" l="1"/>
  <c r="J30" i="4" s="1"/>
  <c r="G6" i="1" l="1"/>
  <c r="E2" i="4" l="1"/>
  <c r="G46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G37" i="1" l="1"/>
  <c r="I37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J37" i="1" l="1"/>
  <c r="K6" i="1"/>
  <c r="K37" i="1" s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J2" i="4" s="1"/>
  <c r="L37" i="1" l="1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<sst xmlns="http://schemas.openxmlformats.org/spreadsheetml/2006/main" count="117" uniqueCount="45">
  <si>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</si>
  <si>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</si>
  <si>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</si>
  <si>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</si>
  <si>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</si>
  <si>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</si>
  <si>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</si>
  <si>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</si>
  <si>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</si>
  <si>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</si>
  <si>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</si>
  <si>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</si>
  <si>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</si>
  <si>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</si>
  <si>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</si>
  <si>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</si>
  <si>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</si>
  <si>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</si>
  <si>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</si>
  <si>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</si>
  <si>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</si>
  <si>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</si>
  <si>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</si>
  <si>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</si>
  <si>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</si>
  <si>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</si>
  <si>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</si>
  <si>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</si>
  <si>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</si>
  <si>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</si>
  <si>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Electricity Distribution 2022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</si>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</sst>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9" fillId="0" borderId="0" xfId="8" applyNumberFormat="1" applyAlignment="1">
      <alignment horizontal="center"/>
    </xf>
    <xf numFmtId="164" fontId="1" fillId="0" borderId="5" xfId="1" applyFont="1" applyBorder="1" applyAlignment="1">
      <alignment vertical="center"/>
    </xf>
    <xf numFmtId="3" fontId="1" fillId="0" borderId="5" xfId="1" applyNumberFormat="1" applyFont="1" applyBorder="1" applyAlignment="1">
      <alignment vertical="center"/>
    </xf>
    <xf numFmtId="39" fontId="1" fillId="2" borderId="4" xfId="1" applyNumberFormat="1" applyFont="1" applyFill="1" applyBorder="1" applyAlignment="1">
      <alignment horizontal="center"/>
    </xf>
    <xf numFmtId="39" fontId="1" fillId="0" borderId="4" xfId="1" applyNumberFormat="1" applyFont="1" applyBorder="1" applyAlignment="1">
      <alignment horizontal="center"/>
    </xf>
    <xf numFmtId="1" fontId="7" fillId="2" borderId="0" xfId="0" applyNumberFormat="1" applyFont="1" applyFill="1" applyAlignment="1">
      <alignment horizont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90" zoomScaleNormal="90" workbookViewId="0">
      <selection activeCell="J35" sqref="J35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08" t="s">
        <v>24</v>
      </c>
      <c r="B1" s="109" t="s">
        <v>23</v>
      </c>
      <c r="C1" s="109" t="s">
        <v>22</v>
      </c>
      <c r="D1" s="110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37</v>
      </c>
      <c r="O1" s="143" t="s">
        <v>43</v>
      </c>
    </row>
    <row r="2" spans="1:15" x14ac:dyDescent="0.25">
      <c r="A2" s="48" t="s">
        <v>44</v>
      </c>
      <c r="B2" s="45">
        <v>1</v>
      </c>
      <c r="C2" s="45">
        <v>3</v>
      </c>
      <c r="D2" s="45">
        <v>2022</v>
      </c>
      <c r="E2" s="43">
        <f>Electricity!G6</f>
        <v>24520</v>
      </c>
      <c r="F2" s="43">
        <f>Electricity!E6</f>
        <v>4400</v>
      </c>
      <c r="G2" s="43">
        <f>Electricity!F6</f>
        <v>20120</v>
      </c>
      <c r="H2" s="47">
        <v>1553.67</v>
      </c>
      <c r="I2" s="57" t="s">
        <v>28</v>
      </c>
      <c r="J2" s="106">
        <f>Electricity!L6</f>
        <v>28340266.598399997</v>
      </c>
      <c r="K2" s="43">
        <f>J2/E2</f>
        <v>1155.8020635562805</v>
      </c>
      <c r="L2" s="58">
        <f>Water!G5</f>
        <v>288</v>
      </c>
      <c r="M2" s="58">
        <v>12550</v>
      </c>
      <c r="N2" s="106">
        <f>M2*L2</f>
        <v>3614400</v>
      </c>
      <c r="O2" s="43">
        <f>Electricity!C6</f>
        <v>157</v>
      </c>
    </row>
    <row r="3" spans="1:15" x14ac:dyDescent="0.25">
      <c r="A3" s="48" t="s">
        <v>44</v>
      </c>
      <c r="B3" s="45">
        <v>2</v>
      </c>
      <c r="C3" s="45">
        <v>3</v>
      </c>
      <c r="D3" s="45">
        <v>2022</v>
      </c>
      <c r="E3" s="43">
        <f>Electricity!G7</f>
        <v>21760</v>
      </c>
      <c r="F3" s="43">
        <f>Electricity!E7</f>
        <v>2400</v>
      </c>
      <c r="G3" s="43">
        <f>Electricity!F7</f>
        <v>19360</v>
      </c>
      <c r="H3" s="47">
        <v>1553.67</v>
      </c>
      <c r="I3" s="57" t="s">
        <v>28</v>
      </c>
      <c r="J3" s="106">
        <f>Electricity!L7</f>
        <v>24352265.0112</v>
      </c>
      <c r="K3" s="43">
        <f t="shared" ref="K3:K32" si="0">J3/E3</f>
        <v>1119.1298258823529</v>
      </c>
      <c r="L3" s="58">
        <f>Water!G6</f>
        <v>291</v>
      </c>
      <c r="M3" s="58">
        <v>12550</v>
      </c>
      <c r="N3" s="106">
        <f t="shared" ref="N3:N32" si="1">M3*L3</f>
        <v>3652050</v>
      </c>
      <c r="O3" s="43">
        <f>Electricity!C7</f>
        <v>157</v>
      </c>
    </row>
    <row r="4" spans="1:15" x14ac:dyDescent="0.25">
      <c r="A4" s="48" t="s">
        <v>44</v>
      </c>
      <c r="B4" s="45">
        <v>3</v>
      </c>
      <c r="C4" s="45">
        <v>3</v>
      </c>
      <c r="D4" s="45">
        <v>2022</v>
      </c>
      <c r="E4" s="43">
        <f>Electricity!G8</f>
        <v>26720</v>
      </c>
      <c r="F4" s="43">
        <f>Electricity!E8</f>
        <v>6360</v>
      </c>
      <c r="G4" s="43">
        <f>Electricity!F8</f>
        <v>20360</v>
      </c>
      <c r="H4" s="47">
        <v>1553.67</v>
      </c>
      <c r="I4" s="57" t="s">
        <v>28</v>
      </c>
      <c r="J4" s="106">
        <f>Electricity!L8</f>
        <v>31713097.728</v>
      </c>
      <c r="K4" s="43">
        <f t="shared" si="0"/>
        <v>1186.8674299401198</v>
      </c>
      <c r="L4" s="58">
        <f>Water!G7</f>
        <v>288</v>
      </c>
      <c r="M4" s="58">
        <v>12550</v>
      </c>
      <c r="N4" s="106">
        <f t="shared" si="1"/>
        <v>3614400</v>
      </c>
      <c r="O4" s="43">
        <f>Electricity!C8</f>
        <v>157</v>
      </c>
    </row>
    <row r="5" spans="1:15" x14ac:dyDescent="0.25">
      <c r="A5" s="48" t="s">
        <v>44</v>
      </c>
      <c r="B5" s="45">
        <v>4</v>
      </c>
      <c r="C5" s="45">
        <v>3</v>
      </c>
      <c r="D5" s="45">
        <v>2022</v>
      </c>
      <c r="E5" s="43">
        <f>Electricity!G9</f>
        <v>24440</v>
      </c>
      <c r="F5" s="43">
        <f>Electricity!E9</f>
        <v>4640</v>
      </c>
      <c r="G5" s="43">
        <f>Electricity!F9</f>
        <v>19800</v>
      </c>
      <c r="H5" s="47">
        <v>1553.67</v>
      </c>
      <c r="I5" s="57" t="s">
        <v>28</v>
      </c>
      <c r="J5" s="106">
        <f>Electricity!L9</f>
        <v>28382692.1472</v>
      </c>
      <c r="K5" s="43">
        <f t="shared" si="0"/>
        <v>1161.321282618658</v>
      </c>
      <c r="L5" s="58">
        <f>Water!G8</f>
        <v>275</v>
      </c>
      <c r="M5" s="58">
        <v>12550</v>
      </c>
      <c r="N5" s="106">
        <f t="shared" si="1"/>
        <v>3451250</v>
      </c>
      <c r="O5" s="43">
        <f>Electricity!C9</f>
        <v>157</v>
      </c>
    </row>
    <row r="6" spans="1:15" x14ac:dyDescent="0.25">
      <c r="A6" s="48" t="s">
        <v>44</v>
      </c>
      <c r="B6" s="45">
        <v>5</v>
      </c>
      <c r="C6" s="45">
        <v>3</v>
      </c>
      <c r="D6" s="45">
        <v>2022</v>
      </c>
      <c r="E6" s="43">
        <f>Electricity!G10</f>
        <v>24320</v>
      </c>
      <c r="F6" s="43">
        <f>Electricity!E10</f>
        <v>4400</v>
      </c>
      <c r="G6" s="43">
        <f>Electricity!F10</f>
        <v>19920</v>
      </c>
      <c r="H6" s="47">
        <v>1553.67</v>
      </c>
      <c r="I6" s="57" t="s">
        <v>28</v>
      </c>
      <c r="J6" s="106">
        <f>Electricity!L10</f>
        <v>28128138.854399998</v>
      </c>
      <c r="K6" s="43">
        <f t="shared" si="0"/>
        <v>1156.5846568421052</v>
      </c>
      <c r="L6" s="58">
        <f>Water!G9</f>
        <v>280</v>
      </c>
      <c r="M6" s="58">
        <v>12550</v>
      </c>
      <c r="N6" s="106">
        <f t="shared" si="1"/>
        <v>3514000</v>
      </c>
      <c r="O6" s="43">
        <f>Electricity!C10</f>
        <v>157</v>
      </c>
    </row>
    <row r="7" spans="1:15" x14ac:dyDescent="0.25">
      <c r="A7" s="48" t="s">
        <v>44</v>
      </c>
      <c r="B7" s="45">
        <v>6</v>
      </c>
      <c r="C7" s="45">
        <v>3</v>
      </c>
      <c r="D7" s="45">
        <v>2022</v>
      </c>
      <c r="E7" s="43">
        <f>Electricity!G11</f>
        <v>24280</v>
      </c>
      <c r="F7" s="43">
        <f>Electricity!E11</f>
        <v>4120</v>
      </c>
      <c r="G7" s="43">
        <f>Electricity!F11</f>
        <v>20160</v>
      </c>
      <c r="H7" s="47">
        <v>1553.67</v>
      </c>
      <c r="I7" s="57" t="s">
        <v>28</v>
      </c>
      <c r="J7" s="106">
        <f>Electricity!L11</f>
        <v>27937223.884799998</v>
      </c>
      <c r="K7" s="43">
        <f t="shared" si="0"/>
        <v>1150.6270133772653</v>
      </c>
      <c r="L7" s="58">
        <f>Water!G10</f>
        <v>293</v>
      </c>
      <c r="M7" s="58">
        <v>12550</v>
      </c>
      <c r="N7" s="106">
        <f t="shared" si="1"/>
        <v>3677150</v>
      </c>
      <c r="O7" s="43">
        <f>Electricity!C11</f>
        <v>157</v>
      </c>
    </row>
    <row r="8" spans="1:15" x14ac:dyDescent="0.25">
      <c r="A8" s="48" t="s">
        <v>44</v>
      </c>
      <c r="B8" s="45">
        <v>7</v>
      </c>
      <c r="C8" s="45">
        <v>3</v>
      </c>
      <c r="D8" s="45">
        <v>2022</v>
      </c>
      <c r="E8" s="43">
        <f>Electricity!G12</f>
        <v>24480</v>
      </c>
      <c r="F8" s="43">
        <f>Electricity!E12</f>
        <v>4520</v>
      </c>
      <c r="G8" s="43">
        <f>Electricity!F12</f>
        <v>19960</v>
      </c>
      <c r="H8" s="47">
        <v>1553.67</v>
      </c>
      <c r="I8" s="57" t="s">
        <v>28</v>
      </c>
      <c r="J8" s="106">
        <f>Electricity!L12</f>
        <v>28361479.3728</v>
      </c>
      <c r="K8" s="43">
        <f t="shared" si="0"/>
        <v>1158.5571639215686</v>
      </c>
      <c r="L8" s="58">
        <f>Water!G11</f>
        <v>267</v>
      </c>
      <c r="M8" s="58">
        <v>12550</v>
      </c>
      <c r="N8" s="106">
        <f t="shared" si="1"/>
        <v>3350850</v>
      </c>
      <c r="O8" s="43">
        <f>Electricity!C12</f>
        <v>157</v>
      </c>
    </row>
    <row r="9" spans="1:15" x14ac:dyDescent="0.25">
      <c r="A9" s="48" t="s">
        <v>44</v>
      </c>
      <c r="B9" s="45">
        <v>8</v>
      </c>
      <c r="C9" s="45">
        <v>3</v>
      </c>
      <c r="D9" s="45">
        <v>2022</v>
      </c>
      <c r="E9" s="43">
        <f>Electricity!G13</f>
        <v>24920</v>
      </c>
      <c r="F9" s="43">
        <f>Electricity!E13</f>
        <v>4360</v>
      </c>
      <c r="G9" s="43">
        <f>Electricity!F13</f>
        <v>20560</v>
      </c>
      <c r="H9" s="47">
        <v>1553.67</v>
      </c>
      <c r="I9" s="57" t="s">
        <v>28</v>
      </c>
      <c r="J9" s="106">
        <f>Electricity!L13</f>
        <v>28743309.311999999</v>
      </c>
      <c r="K9" s="43">
        <f t="shared" si="0"/>
        <v>1153.4233271268058</v>
      </c>
      <c r="L9" s="58">
        <f>Water!G12</f>
        <v>283</v>
      </c>
      <c r="M9" s="58">
        <v>12550</v>
      </c>
      <c r="N9" s="106">
        <f t="shared" si="1"/>
        <v>3551650</v>
      </c>
      <c r="O9" s="43">
        <f>Electricity!C13</f>
        <v>157</v>
      </c>
    </row>
    <row r="10" spans="1:15" x14ac:dyDescent="0.25">
      <c r="A10" s="48" t="s">
        <v>44</v>
      </c>
      <c r="B10" s="45">
        <v>9</v>
      </c>
      <c r="C10" s="45">
        <v>3</v>
      </c>
      <c r="D10" s="45">
        <v>2022</v>
      </c>
      <c r="E10" s="43">
        <f>Electricity!G14</f>
        <v>24960</v>
      </c>
      <c r="F10" s="43">
        <f>Electricity!E14</f>
        <v>4320</v>
      </c>
      <c r="G10" s="43">
        <f>Electricity!F14</f>
        <v>20640</v>
      </c>
      <c r="H10" s="47">
        <v>1553.67</v>
      </c>
      <c r="I10" s="57" t="s">
        <v>28</v>
      </c>
      <c r="J10" s="106">
        <f>Electricity!L14</f>
        <v>28764522.086399999</v>
      </c>
      <c r="K10" s="43">
        <f t="shared" si="0"/>
        <v>1152.424763076923</v>
      </c>
      <c r="L10" s="58">
        <f>Water!G13</f>
        <v>285</v>
      </c>
      <c r="M10" s="58">
        <v>12550</v>
      </c>
      <c r="N10" s="106">
        <f t="shared" si="1"/>
        <v>3576750</v>
      </c>
      <c r="O10" s="43">
        <f>Electricity!C14</f>
        <v>157</v>
      </c>
    </row>
    <row r="11" spans="1:15" x14ac:dyDescent="0.25">
      <c r="A11" s="48" t="s">
        <v>44</v>
      </c>
      <c r="B11" s="45">
        <v>10</v>
      </c>
      <c r="C11" s="45">
        <v>3</v>
      </c>
      <c r="D11" s="45">
        <v>2022</v>
      </c>
      <c r="E11" s="43">
        <f>Electricity!G15</f>
        <v>26000</v>
      </c>
      <c r="F11" s="43">
        <f>Electricity!E15</f>
        <v>4920</v>
      </c>
      <c r="G11" s="43">
        <f>Electricity!F15</f>
        <v>21080</v>
      </c>
      <c r="H11" s="47">
        <v>1553.67</v>
      </c>
      <c r="I11" s="57" t="s">
        <v>28</v>
      </c>
      <c r="J11" s="106">
        <f>Electricity!L15</f>
        <v>30185777.971199997</v>
      </c>
      <c r="K11" s="43">
        <f t="shared" si="0"/>
        <v>1160.9914604307692</v>
      </c>
      <c r="L11" s="58">
        <f>Water!G14</f>
        <v>344</v>
      </c>
      <c r="M11" s="58">
        <v>12550</v>
      </c>
      <c r="N11" s="106">
        <f t="shared" si="1"/>
        <v>4317200</v>
      </c>
      <c r="O11" s="43">
        <f>Electricity!C15</f>
        <v>157</v>
      </c>
    </row>
    <row r="12" spans="1:15" x14ac:dyDescent="0.25">
      <c r="A12" s="48" t="s">
        <v>44</v>
      </c>
      <c r="B12" s="45">
        <v>11</v>
      </c>
      <c r="C12" s="45">
        <v>3</v>
      </c>
      <c r="D12" s="45">
        <v>2022</v>
      </c>
      <c r="E12" s="43">
        <f>Electricity!G16</f>
        <v>22080</v>
      </c>
      <c r="F12" s="43">
        <f>Electricity!E16</f>
        <v>4600</v>
      </c>
      <c r="G12" s="43">
        <f>Electricity!F16</f>
        <v>17480</v>
      </c>
      <c r="H12" s="47">
        <v>1553.67</v>
      </c>
      <c r="I12" s="57" t="s">
        <v>28</v>
      </c>
      <c r="J12" s="106">
        <f>Electricity!L16</f>
        <v>25858371.9936</v>
      </c>
      <c r="K12" s="43">
        <f t="shared" si="0"/>
        <v>1171.12192</v>
      </c>
      <c r="L12" s="58">
        <f>Water!G15</f>
        <v>434</v>
      </c>
      <c r="M12" s="58">
        <v>12550</v>
      </c>
      <c r="N12" s="106">
        <f t="shared" si="1"/>
        <v>5446700</v>
      </c>
      <c r="O12" s="43">
        <f>Electricity!C16</f>
        <v>157</v>
      </c>
    </row>
    <row r="13" spans="1:15" x14ac:dyDescent="0.25">
      <c r="A13" s="48" t="s">
        <v>44</v>
      </c>
      <c r="B13" s="45">
        <v>12</v>
      </c>
      <c r="C13" s="45">
        <v>3</v>
      </c>
      <c r="D13" s="45">
        <v>2022</v>
      </c>
      <c r="E13" s="43">
        <f>Electricity!G17</f>
        <v>25920</v>
      </c>
      <c r="F13" s="43">
        <f>Electricity!E17</f>
        <v>1760</v>
      </c>
      <c r="G13" s="43">
        <f>Electricity!F17</f>
        <v>24160</v>
      </c>
      <c r="H13" s="47">
        <v>1553.67</v>
      </c>
      <c r="I13" s="57" t="s">
        <v>28</v>
      </c>
      <c r="J13" s="106">
        <f>Electricity!L17</f>
        <v>28425117.695999999</v>
      </c>
      <c r="K13" s="43">
        <f t="shared" si="0"/>
        <v>1096.6480592592593</v>
      </c>
      <c r="L13" s="58">
        <f>Water!G16</f>
        <v>333</v>
      </c>
      <c r="M13" s="58">
        <v>12550</v>
      </c>
      <c r="N13" s="106">
        <f t="shared" si="1"/>
        <v>4179150</v>
      </c>
      <c r="O13" s="43">
        <f>Electricity!C17</f>
        <v>157</v>
      </c>
    </row>
    <row r="14" spans="1:15" x14ac:dyDescent="0.25">
      <c r="A14" s="48" t="s">
        <v>44</v>
      </c>
      <c r="B14" s="45">
        <v>13</v>
      </c>
      <c r="C14" s="45">
        <v>3</v>
      </c>
      <c r="D14" s="45">
        <v>2022</v>
      </c>
      <c r="E14" s="43">
        <f>Electricity!G18</f>
        <v>26280</v>
      </c>
      <c r="F14" s="43">
        <f>Electricity!E18</f>
        <v>5360</v>
      </c>
      <c r="G14" s="43">
        <f>Electricity!F18</f>
        <v>20920</v>
      </c>
      <c r="H14" s="47">
        <v>1553.67</v>
      </c>
      <c r="I14" s="57" t="s">
        <v>28</v>
      </c>
      <c r="J14" s="106">
        <f>Electricity!L18</f>
        <v>30716097.331199996</v>
      </c>
      <c r="K14" s="43">
        <f t="shared" si="0"/>
        <v>1168.8012683105021</v>
      </c>
      <c r="L14" s="58">
        <f>Water!G17</f>
        <v>278</v>
      </c>
      <c r="M14" s="58">
        <v>12550</v>
      </c>
      <c r="N14" s="106">
        <f t="shared" si="1"/>
        <v>3488900</v>
      </c>
      <c r="O14" s="43">
        <f>Electricity!C18</f>
        <v>157</v>
      </c>
    </row>
    <row r="15" spans="1:15" x14ac:dyDescent="0.25">
      <c r="A15" s="48" t="s">
        <v>44</v>
      </c>
      <c r="B15" s="45">
        <v>14</v>
      </c>
      <c r="C15" s="45">
        <v>3</v>
      </c>
      <c r="D15" s="45">
        <v>2022</v>
      </c>
      <c r="E15" s="43">
        <f>Electricity!G19</f>
        <v>25880</v>
      </c>
      <c r="F15" s="43">
        <f>Electricity!E19</f>
        <v>6480</v>
      </c>
      <c r="G15" s="43">
        <f>Electricity!F19</f>
        <v>19400</v>
      </c>
      <c r="H15" s="47">
        <v>1553.67</v>
      </c>
      <c r="I15" s="57" t="s">
        <v>28</v>
      </c>
      <c r="J15" s="106">
        <f>Electricity!L19</f>
        <v>30885799.5264</v>
      </c>
      <c r="K15" s="43">
        <f t="shared" si="0"/>
        <v>1193.4234747449768</v>
      </c>
      <c r="L15" s="58">
        <f>Water!G18</f>
        <v>273</v>
      </c>
      <c r="M15" s="58">
        <v>12550</v>
      </c>
      <c r="N15" s="106">
        <f t="shared" si="1"/>
        <v>3426150</v>
      </c>
      <c r="O15" s="43">
        <f>Electricity!C19</f>
        <v>157</v>
      </c>
    </row>
    <row r="16" spans="1:15" x14ac:dyDescent="0.25">
      <c r="A16" s="48" t="s">
        <v>44</v>
      </c>
      <c r="B16" s="45">
        <v>15</v>
      </c>
      <c r="C16" s="45">
        <v>3</v>
      </c>
      <c r="D16" s="45">
        <v>2022</v>
      </c>
      <c r="E16" s="43">
        <f>Electricity!G20</f>
        <v>25840</v>
      </c>
      <c r="F16" s="43">
        <f>Electricity!E20</f>
        <v>4640</v>
      </c>
      <c r="G16" s="43">
        <f>Electricity!F20</f>
        <v>21200</v>
      </c>
      <c r="H16" s="47">
        <v>1553.67</v>
      </c>
      <c r="I16" s="57" t="s">
        <v>28</v>
      </c>
      <c r="J16" s="106">
        <f>Electricity!L20</f>
        <v>29867586.3552</v>
      </c>
      <c r="K16" s="43">
        <f t="shared" si="0"/>
        <v>1155.86634501548</v>
      </c>
      <c r="L16" s="58">
        <f>Water!G19</f>
        <v>301</v>
      </c>
      <c r="M16" s="58">
        <v>12550</v>
      </c>
      <c r="N16" s="106">
        <f t="shared" si="1"/>
        <v>3777550</v>
      </c>
      <c r="O16" s="43">
        <f>Electricity!C20</f>
        <v>157</v>
      </c>
    </row>
    <row r="17" spans="1:15" x14ac:dyDescent="0.25">
      <c r="A17" s="48" t="s">
        <v>44</v>
      </c>
      <c r="B17" s="45">
        <v>16</v>
      </c>
      <c r="C17" s="45">
        <v>3</v>
      </c>
      <c r="D17" s="45">
        <v>2022</v>
      </c>
      <c r="E17" s="43">
        <f>Electricity!G21</f>
        <v>23880</v>
      </c>
      <c r="F17" s="43">
        <f>Electricity!E21</f>
        <v>4560</v>
      </c>
      <c r="G17" s="43">
        <f>Electricity!F21</f>
        <v>19320</v>
      </c>
      <c r="H17" s="47">
        <v>1553.67</v>
      </c>
      <c r="I17" s="57" t="s">
        <v>28</v>
      </c>
      <c r="J17" s="106">
        <f>Electricity!L21</f>
        <v>27746308.915199999</v>
      </c>
      <c r="K17" s="43">
        <f t="shared" si="0"/>
        <v>1161.9057334673366</v>
      </c>
      <c r="L17" s="58">
        <f>Water!G20</f>
        <v>404</v>
      </c>
      <c r="M17" s="58">
        <v>12550</v>
      </c>
      <c r="N17" s="106">
        <f t="shared" si="1"/>
        <v>5070200</v>
      </c>
      <c r="O17" s="43">
        <f>Electricity!C21</f>
        <v>157</v>
      </c>
    </row>
    <row r="18" spans="1:15" x14ac:dyDescent="0.25">
      <c r="A18" s="48" t="s">
        <v>44</v>
      </c>
      <c r="B18" s="45">
        <v>17</v>
      </c>
      <c r="C18" s="45">
        <v>3</v>
      </c>
      <c r="D18" s="45">
        <v>2022</v>
      </c>
      <c r="E18" s="43">
        <f>Electricity!G22</f>
        <v>25840</v>
      </c>
      <c r="F18" s="43">
        <f>Electricity!E22</f>
        <v>3160</v>
      </c>
      <c r="G18" s="43">
        <f>Electricity!F22</f>
        <v>22680</v>
      </c>
      <c r="H18" s="47">
        <v>1553.67</v>
      </c>
      <c r="I18" s="57" t="s">
        <v>28</v>
      </c>
      <c r="J18" s="106">
        <f>Electricity!L22</f>
        <v>29082713.702399999</v>
      </c>
      <c r="K18" s="43">
        <f t="shared" si="0"/>
        <v>1125.4920163467491</v>
      </c>
      <c r="L18" s="58">
        <f>Water!G21</f>
        <v>419</v>
      </c>
      <c r="M18" s="58">
        <v>12550</v>
      </c>
      <c r="N18" s="106">
        <f t="shared" si="1"/>
        <v>5258450</v>
      </c>
      <c r="O18" s="43">
        <f>Electricity!C22</f>
        <v>157</v>
      </c>
    </row>
    <row r="19" spans="1:15" x14ac:dyDescent="0.25">
      <c r="A19" s="48" t="s">
        <v>44</v>
      </c>
      <c r="B19" s="45">
        <v>18</v>
      </c>
      <c r="C19" s="45">
        <v>3</v>
      </c>
      <c r="D19" s="45">
        <v>2022</v>
      </c>
      <c r="E19" s="43">
        <f>Electricity!G23</f>
        <v>25040</v>
      </c>
      <c r="F19" s="43">
        <f>Electricity!E23</f>
        <v>3840</v>
      </c>
      <c r="G19" s="43">
        <f>Electricity!F23</f>
        <v>21200</v>
      </c>
      <c r="H19" s="47">
        <v>1553.67</v>
      </c>
      <c r="I19" s="57" t="s">
        <v>28</v>
      </c>
      <c r="J19" s="106">
        <f>Electricity!L23</f>
        <v>28594819.891200002</v>
      </c>
      <c r="K19" s="43">
        <f t="shared" si="0"/>
        <v>1141.9656506070289</v>
      </c>
      <c r="L19" s="58">
        <f>Water!G22</f>
        <v>128</v>
      </c>
      <c r="M19" s="58">
        <v>12550</v>
      </c>
      <c r="N19" s="106">
        <f t="shared" si="1"/>
        <v>1606400</v>
      </c>
      <c r="O19" s="43">
        <f>Electricity!C23</f>
        <v>157</v>
      </c>
    </row>
    <row r="20" spans="1:15" x14ac:dyDescent="0.25">
      <c r="A20" s="48" t="s">
        <v>44</v>
      </c>
      <c r="B20" s="45">
        <v>19</v>
      </c>
      <c r="C20" s="45">
        <v>3</v>
      </c>
      <c r="D20" s="45">
        <v>2022</v>
      </c>
      <c r="E20" s="43">
        <f>Electricity!G24</f>
        <v>23600</v>
      </c>
      <c r="F20" s="43">
        <f>Electricity!E24</f>
        <v>4280</v>
      </c>
      <c r="G20" s="43">
        <f>Electricity!F24</f>
        <v>19320</v>
      </c>
      <c r="H20" s="47">
        <v>1553.67</v>
      </c>
      <c r="I20" s="57" t="s">
        <v>28</v>
      </c>
      <c r="J20" s="106">
        <f>Electricity!L24</f>
        <v>27300840.652799994</v>
      </c>
      <c r="K20" s="43">
        <f t="shared" si="0"/>
        <v>1156.8152818983049</v>
      </c>
      <c r="L20" s="58">
        <f>Water!G23</f>
        <v>410</v>
      </c>
      <c r="M20" s="58">
        <v>12550</v>
      </c>
      <c r="N20" s="106">
        <f t="shared" si="1"/>
        <v>5145500</v>
      </c>
      <c r="O20" s="43">
        <f>Electricity!C24</f>
        <v>157</v>
      </c>
    </row>
    <row r="21" spans="1:15" x14ac:dyDescent="0.25">
      <c r="A21" s="48" t="s">
        <v>44</v>
      </c>
      <c r="B21" s="45">
        <v>20</v>
      </c>
      <c r="C21" s="45">
        <v>3</v>
      </c>
      <c r="D21" s="45">
        <v>2022</v>
      </c>
      <c r="E21" s="43">
        <f>Electricity!G25</f>
        <v>29720</v>
      </c>
      <c r="F21" s="43">
        <f>Electricity!E25</f>
        <v>7240</v>
      </c>
      <c r="G21" s="43">
        <f>Electricity!F25</f>
        <v>22480</v>
      </c>
      <c r="H21" s="47">
        <v>1553.67</v>
      </c>
      <c r="I21" s="57" t="s">
        <v>28</v>
      </c>
      <c r="J21" s="106">
        <f>Electricity!L25</f>
        <v>35361694.924799994</v>
      </c>
      <c r="K21" s="43">
        <f t="shared" si="0"/>
        <v>1189.8282276177656</v>
      </c>
      <c r="L21" s="58">
        <f>Water!G24</f>
        <v>385</v>
      </c>
      <c r="M21" s="58">
        <v>12550</v>
      </c>
      <c r="N21" s="106">
        <f t="shared" si="1"/>
        <v>4831750</v>
      </c>
      <c r="O21" s="43">
        <f>Electricity!C25</f>
        <v>157</v>
      </c>
    </row>
    <row r="22" spans="1:15" x14ac:dyDescent="0.25">
      <c r="A22" s="48" t="s">
        <v>44</v>
      </c>
      <c r="B22" s="45">
        <v>21</v>
      </c>
      <c r="C22" s="45">
        <v>3</v>
      </c>
      <c r="D22" s="45">
        <v>2022</v>
      </c>
      <c r="E22" s="43">
        <f>Electricity!G26</f>
        <v>20840</v>
      </c>
      <c r="F22" s="43">
        <f>Electricity!E26</f>
        <v>520</v>
      </c>
      <c r="G22" s="43">
        <f>Electricity!F26</f>
        <v>20320</v>
      </c>
      <c r="H22" s="47">
        <v>1553.67</v>
      </c>
      <c r="I22" s="57" t="s">
        <v>28</v>
      </c>
      <c r="J22" s="106">
        <f>Electricity!L26</f>
        <v>22379476.991999995</v>
      </c>
      <c r="K22" s="43">
        <f t="shared" si="0"/>
        <v>1073.8712568138194</v>
      </c>
      <c r="L22" s="58">
        <f>Water!G25</f>
        <v>285</v>
      </c>
      <c r="M22" s="58">
        <v>12550</v>
      </c>
      <c r="N22" s="106">
        <f t="shared" si="1"/>
        <v>3576750</v>
      </c>
      <c r="O22" s="43">
        <f>Electricity!C26</f>
        <v>157</v>
      </c>
    </row>
    <row r="23" spans="1:15" x14ac:dyDescent="0.25">
      <c r="A23" s="48" t="s">
        <v>44</v>
      </c>
      <c r="B23" s="45">
        <v>22</v>
      </c>
      <c r="C23" s="45">
        <v>3</v>
      </c>
      <c r="D23" s="45">
        <v>2022</v>
      </c>
      <c r="E23" s="43">
        <f>Electricity!G27</f>
        <v>30080</v>
      </c>
      <c r="F23" s="43">
        <f>Electricity!E27</f>
        <v>8680</v>
      </c>
      <c r="G23" s="43">
        <f>Electricity!F27</f>
        <v>21400</v>
      </c>
      <c r="H23" s="47">
        <v>1553.67</v>
      </c>
      <c r="I23" s="57" t="s">
        <v>28</v>
      </c>
      <c r="J23" s="106">
        <f>Electricity!L27</f>
        <v>36507184.742399998</v>
      </c>
      <c r="K23" s="43">
        <f t="shared" si="0"/>
        <v>1213.6697055319148</v>
      </c>
      <c r="L23" s="58">
        <f>Water!G26</f>
        <v>291</v>
      </c>
      <c r="M23" s="58">
        <v>12550</v>
      </c>
      <c r="N23" s="106">
        <f t="shared" si="1"/>
        <v>3652050</v>
      </c>
      <c r="O23" s="43">
        <f>Electricity!C27</f>
        <v>157</v>
      </c>
    </row>
    <row r="24" spans="1:15" x14ac:dyDescent="0.25">
      <c r="A24" s="48" t="s">
        <v>44</v>
      </c>
      <c r="B24" s="45">
        <v>23</v>
      </c>
      <c r="C24" s="45">
        <v>3</v>
      </c>
      <c r="D24" s="45">
        <v>2022</v>
      </c>
      <c r="E24" s="43">
        <f>Electricity!G28</f>
        <v>24764</v>
      </c>
      <c r="F24" s="43">
        <f>Electricity!E28</f>
        <v>4640</v>
      </c>
      <c r="G24" s="43">
        <f>Electricity!F28</f>
        <v>20124</v>
      </c>
      <c r="H24" s="47">
        <v>1553.67</v>
      </c>
      <c r="I24" s="57" t="s">
        <v>28</v>
      </c>
      <c r="J24" s="106">
        <f>Electricity!L28</f>
        <v>28726339.09248</v>
      </c>
      <c r="K24" s="43">
        <f t="shared" si="0"/>
        <v>1160.0040014731062</v>
      </c>
      <c r="L24" s="58">
        <f>Water!G27</f>
        <v>303</v>
      </c>
      <c r="M24" s="58">
        <v>12550</v>
      </c>
      <c r="N24" s="106">
        <f t="shared" si="1"/>
        <v>3802650</v>
      </c>
      <c r="O24" s="43">
        <f>Electricity!C28</f>
        <v>157</v>
      </c>
    </row>
    <row r="25" spans="1:15" x14ac:dyDescent="0.25">
      <c r="A25" s="48" t="s">
        <v>44</v>
      </c>
      <c r="B25" s="45">
        <v>24</v>
      </c>
      <c r="C25" s="45">
        <v>3</v>
      </c>
      <c r="D25" s="45">
        <v>2022</v>
      </c>
      <c r="E25" s="43">
        <f>Electricity!G29</f>
        <v>25916</v>
      </c>
      <c r="F25" s="43">
        <f>Electricity!E29</f>
        <v>4600</v>
      </c>
      <c r="G25" s="43">
        <f>Electricity!F29</f>
        <v>21316</v>
      </c>
      <c r="H25" s="47">
        <v>1553.67</v>
      </c>
      <c r="I25" s="57" t="s">
        <v>28</v>
      </c>
      <c r="J25" s="106">
        <f>Electricity!L29</f>
        <v>29926982.123520002</v>
      </c>
      <c r="K25" s="43">
        <f t="shared" si="0"/>
        <v>1154.768564729125</v>
      </c>
      <c r="L25" s="58">
        <f>Water!G28</f>
        <v>319</v>
      </c>
      <c r="M25" s="58">
        <v>12550</v>
      </c>
      <c r="N25" s="106">
        <f t="shared" si="1"/>
        <v>4003450</v>
      </c>
      <c r="O25" s="43">
        <f>Electricity!C29</f>
        <v>157</v>
      </c>
    </row>
    <row r="26" spans="1:15" x14ac:dyDescent="0.25">
      <c r="A26" s="48" t="s">
        <v>44</v>
      </c>
      <c r="B26" s="45">
        <v>25</v>
      </c>
      <c r="C26" s="45">
        <v>3</v>
      </c>
      <c r="D26" s="45">
        <v>2022</v>
      </c>
      <c r="E26" s="43">
        <f>Electricity!G30</f>
        <v>26320</v>
      </c>
      <c r="F26" s="43">
        <f>Electricity!E30</f>
        <v>4680</v>
      </c>
      <c r="G26" s="43">
        <f>Electricity!F30</f>
        <v>21640</v>
      </c>
      <c r="H26" s="47">
        <v>1553.67</v>
      </c>
      <c r="I26" s="57" t="s">
        <v>28</v>
      </c>
      <c r="J26" s="106">
        <f>Electricity!L30</f>
        <v>30397905.715199996</v>
      </c>
      <c r="K26" s="43">
        <f t="shared" si="0"/>
        <v>1154.9356274772035</v>
      </c>
      <c r="L26" s="58">
        <f>Water!G29</f>
        <v>310</v>
      </c>
      <c r="M26" s="58">
        <v>12550</v>
      </c>
      <c r="N26" s="106">
        <f t="shared" si="1"/>
        <v>3890500</v>
      </c>
      <c r="O26" s="43">
        <f>Electricity!C30</f>
        <v>157</v>
      </c>
    </row>
    <row r="27" spans="1:15" x14ac:dyDescent="0.25">
      <c r="A27" s="48" t="s">
        <v>44</v>
      </c>
      <c r="B27" s="45">
        <v>26</v>
      </c>
      <c r="C27" s="45">
        <v>3</v>
      </c>
      <c r="D27" s="45">
        <v>2022</v>
      </c>
      <c r="E27" s="43">
        <f>Electricity!G31</f>
        <v>22440</v>
      </c>
      <c r="F27" s="43">
        <f>Electricity!E31</f>
        <v>1320</v>
      </c>
      <c r="G27" s="43">
        <f>Electricity!F31</f>
        <v>21120</v>
      </c>
      <c r="H27" s="47">
        <v>1553.67</v>
      </c>
      <c r="I27" s="57" t="s">
        <v>28</v>
      </c>
      <c r="J27" s="106">
        <f>Electricity!L31</f>
        <v>24500754.431999996</v>
      </c>
      <c r="K27" s="43">
        <f t="shared" si="0"/>
        <v>1091.8339764705881</v>
      </c>
      <c r="L27" s="58">
        <f>Water!G30</f>
        <v>352</v>
      </c>
      <c r="M27" s="58">
        <v>12550</v>
      </c>
      <c r="N27" s="106">
        <f t="shared" si="1"/>
        <v>4417600</v>
      </c>
      <c r="O27" s="43">
        <f>Electricity!C31</f>
        <v>157</v>
      </c>
    </row>
    <row r="28" spans="1:15" x14ac:dyDescent="0.25">
      <c r="A28" s="48" t="s">
        <v>44</v>
      </c>
      <c r="B28" s="45">
        <v>27</v>
      </c>
      <c r="C28" s="45">
        <v>3</v>
      </c>
      <c r="D28" s="45">
        <v>2022</v>
      </c>
      <c r="E28" s="43">
        <f>Electricity!G32</f>
        <v>29320</v>
      </c>
      <c r="F28" s="43">
        <f>Electricity!E32</f>
        <v>7840</v>
      </c>
      <c r="G28" s="43">
        <f>Electricity!F32</f>
        <v>21480</v>
      </c>
      <c r="H28" s="47">
        <v>1553.67</v>
      </c>
      <c r="I28" s="57" t="s">
        <v>28</v>
      </c>
      <c r="J28" s="106">
        <f>Electricity!L32</f>
        <v>35255631.052799992</v>
      </c>
      <c r="K28" s="43">
        <f t="shared" si="0"/>
        <v>1202.4430781991812</v>
      </c>
      <c r="L28" s="58">
        <f>Water!G31</f>
        <v>456</v>
      </c>
      <c r="M28" s="58">
        <v>12550</v>
      </c>
      <c r="N28" s="106">
        <f t="shared" si="1"/>
        <v>5722800</v>
      </c>
      <c r="O28" s="43">
        <f>Electricity!C32</f>
        <v>157</v>
      </c>
    </row>
    <row r="29" spans="1:15" x14ac:dyDescent="0.25">
      <c r="A29" s="48" t="s">
        <v>44</v>
      </c>
      <c r="B29" s="45">
        <v>28</v>
      </c>
      <c r="C29" s="45">
        <v>3</v>
      </c>
      <c r="D29" s="45">
        <v>2022</v>
      </c>
      <c r="E29" s="43">
        <f>Electricity!G33</f>
        <v>29280</v>
      </c>
      <c r="F29" s="43">
        <f>Electricity!E33</f>
        <v>5000</v>
      </c>
      <c r="G29" s="43">
        <f>Electricity!F33</f>
        <v>24280</v>
      </c>
      <c r="H29" s="47">
        <v>1553.67</v>
      </c>
      <c r="I29" s="57" t="s">
        <v>28</v>
      </c>
      <c r="J29" s="106">
        <f>Electricity!L33</f>
        <v>33707098.521600001</v>
      </c>
      <c r="K29" s="43">
        <f t="shared" si="0"/>
        <v>1151.1987200000001</v>
      </c>
      <c r="L29" s="58">
        <f>Water!G32</f>
        <v>316</v>
      </c>
      <c r="M29" s="58">
        <v>12550</v>
      </c>
      <c r="N29" s="106">
        <f t="shared" si="1"/>
        <v>3965800</v>
      </c>
      <c r="O29" s="43">
        <f>Electricity!C33</f>
        <v>157</v>
      </c>
    </row>
    <row r="30" spans="1:15" s="43" customFormat="1" x14ac:dyDescent="0.25">
      <c r="A30" s="48" t="s">
        <v>44</v>
      </c>
      <c r="B30" s="45">
        <v>29</v>
      </c>
      <c r="C30" s="45">
        <v>3</v>
      </c>
      <c r="D30" s="45">
        <v>2022</v>
      </c>
      <c r="E30" s="43">
        <f>Electricity!G34</f>
        <v>21480</v>
      </c>
      <c r="F30" s="43">
        <f>Electricity!E34</f>
        <v>4360</v>
      </c>
      <c r="G30" s="43">
        <f>Electricity!F34</f>
        <v>17120</v>
      </c>
      <c r="H30" s="47">
        <v>1553.67</v>
      </c>
      <c r="I30" s="57" t="s">
        <v>28</v>
      </c>
      <c r="J30" s="106">
        <f>Electricity!L34</f>
        <v>25094712.115199998</v>
      </c>
      <c r="K30" s="43">
        <f t="shared" si="0"/>
        <v>1168.2826869273742</v>
      </c>
      <c r="L30" s="58">
        <f>Water!G33</f>
        <v>284</v>
      </c>
      <c r="M30" s="58">
        <v>12550</v>
      </c>
      <c r="N30" s="106">
        <f t="shared" si="1"/>
        <v>3564200</v>
      </c>
      <c r="O30" s="43">
        <f>Electricity!C34</f>
        <v>157</v>
      </c>
    </row>
    <row r="31" spans="1:15" s="43" customFormat="1" x14ac:dyDescent="0.25">
      <c r="A31" s="48" t="s">
        <v>44</v>
      </c>
      <c r="B31" s="45">
        <v>30</v>
      </c>
      <c r="C31" s="45">
        <v>3</v>
      </c>
      <c r="D31" s="45">
        <v>2022</v>
      </c>
      <c r="E31" s="43">
        <f>Electricity!G35</f>
        <v>26320</v>
      </c>
      <c r="F31" s="43">
        <f>Electricity!E35</f>
        <v>4880</v>
      </c>
      <c r="G31" s="43">
        <f>Electricity!F35</f>
        <v>21440</v>
      </c>
      <c r="H31" s="47">
        <v>1553.67</v>
      </c>
      <c r="I31" s="57" t="s">
        <v>28</v>
      </c>
      <c r="J31" s="106">
        <f>Electricity!L35</f>
        <v>30503969.587199997</v>
      </c>
      <c r="K31" s="43">
        <f t="shared" si="0"/>
        <v>1158.9654098480241</v>
      </c>
      <c r="L31" s="58">
        <f>Water!G34</f>
        <v>280</v>
      </c>
      <c r="M31" s="58">
        <v>12550</v>
      </c>
      <c r="N31" s="106">
        <f t="shared" si="1"/>
        <v>3514000</v>
      </c>
      <c r="O31" s="43">
        <f>Electricity!C35</f>
        <v>157</v>
      </c>
    </row>
    <row r="32" spans="1:15" s="43" customFormat="1" x14ac:dyDescent="0.25">
      <c r="A32" s="48" t="s">
        <v>44</v>
      </c>
      <c r="B32" s="45">
        <v>31</v>
      </c>
      <c r="C32" s="45">
        <v>3</v>
      </c>
      <c r="D32" s="45">
        <v>2022</v>
      </c>
      <c r="E32" s="43">
        <f>Electricity!G36</f>
        <v>25480</v>
      </c>
      <c r="F32" s="43">
        <f>Electricity!E36</f>
        <v>4720</v>
      </c>
      <c r="G32" s="43">
        <f>Electricity!F36</f>
        <v>20760</v>
      </c>
      <c r="H32" s="47">
        <v>1553.67</v>
      </c>
      <c r="I32" s="57" t="s">
        <v>28</v>
      </c>
      <c r="J32" s="106">
        <f>Electricity!L36</f>
        <v>29528181.9648</v>
      </c>
      <c r="K32" s="43">
        <f t="shared" si="0"/>
        <v>1158.8768432025117</v>
      </c>
      <c r="L32" s="58">
        <f>Water!G35</f>
        <v>311</v>
      </c>
      <c r="M32" s="58">
        <v>12550</v>
      </c>
      <c r="N32" s="106">
        <f t="shared" si="1"/>
        <v>3903050</v>
      </c>
      <c r="O32" s="43">
        <f>Electricity!C36</f>
        <v>157</v>
      </c>
    </row>
    <row r="33" spans="10:13" x14ac:dyDescent="0.25">
      <c r="J33" s="113"/>
      <c r="M33" s="1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view="pageBreakPreview" zoomScale="80" zoomScaleNormal="80" zoomScaleSheetLayoutView="80" workbookViewId="0">
      <pane ySplit="4" topLeftCell="A5" activePane="bottomLeft" state="frozen"/>
      <selection pane="bottomLeft" activeCell="E3" sqref="E3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3" t="s">
        <v>30</v>
      </c>
      <c r="C1" s="124"/>
      <c r="D1" s="124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5" t="s">
        <v>0</v>
      </c>
      <c r="C2" s="137" t="s">
        <v>34</v>
      </c>
      <c r="D2" s="128" t="s">
        <v>9</v>
      </c>
      <c r="E2" s="131" t="s">
        <v>38</v>
      </c>
      <c r="F2" s="132"/>
      <c r="G2" s="132"/>
      <c r="H2" s="132"/>
      <c r="I2" s="132"/>
      <c r="J2" s="132"/>
      <c r="K2" s="132"/>
      <c r="L2" s="133"/>
      <c r="M2" s="2"/>
      <c r="N2" s="2"/>
      <c r="O2" s="1"/>
      <c r="P2" s="1"/>
      <c r="Q2" s="1"/>
    </row>
    <row r="3" spans="2:17" s="23" customFormat="1" ht="25.5" customHeight="1" x14ac:dyDescent="0.25">
      <c r="B3" s="126"/>
      <c r="C3" s="138"/>
      <c r="D3" s="129"/>
      <c r="E3" s="20" t="s">
        <v>7</v>
      </c>
      <c r="F3" s="24" t="s">
        <v>13</v>
      </c>
      <c r="G3" s="24" t="s">
        <v>16</v>
      </c>
      <c r="H3" s="134" t="s">
        <v>17</v>
      </c>
      <c r="I3" s="135"/>
      <c r="J3" s="136"/>
      <c r="K3" s="119" t="s">
        <v>36</v>
      </c>
      <c r="L3" s="121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7"/>
      <c r="C4" s="52"/>
      <c r="D4" s="130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20"/>
      <c r="L4" s="122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35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44621</v>
      </c>
      <c r="C6" s="59">
        <v>157</v>
      </c>
      <c r="D6" s="87">
        <v>1035.78</v>
      </c>
      <c r="E6" s="114">
        <v>4400</v>
      </c>
      <c r="F6" s="115">
        <v>20120</v>
      </c>
      <c r="G6" s="80">
        <f>F6+E6</f>
        <v>24520</v>
      </c>
      <c r="H6" s="81">
        <f t="shared" ref="H6:H33" si="0">E6*1.5*D6</f>
        <v>6836148</v>
      </c>
      <c r="I6" s="81">
        <f t="shared" ref="I6:I33" si="1">F6*D6</f>
        <v>20839893.599999998</v>
      </c>
      <c r="J6" s="81">
        <f t="shared" ref="J6:J30" si="2">I6+H6</f>
        <v>27676041.599999998</v>
      </c>
      <c r="K6" s="81">
        <f>J6*0.024</f>
        <v>664224.99839999992</v>
      </c>
      <c r="L6" s="104">
        <f>J6+K6</f>
        <v>28340266.598399997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44622</v>
      </c>
      <c r="C7" s="59">
        <v>157</v>
      </c>
      <c r="D7" s="87">
        <v>1035.78</v>
      </c>
      <c r="E7" s="114">
        <v>2400</v>
      </c>
      <c r="F7" s="115">
        <v>19360</v>
      </c>
      <c r="G7" s="80">
        <f t="shared" ref="G7:G33" si="3">F7+E7</f>
        <v>21760</v>
      </c>
      <c r="H7" s="81">
        <f t="shared" si="0"/>
        <v>3728808</v>
      </c>
      <c r="I7" s="81">
        <f t="shared" si="1"/>
        <v>20052700.800000001</v>
      </c>
      <c r="J7" s="81">
        <f t="shared" si="2"/>
        <v>23781508.800000001</v>
      </c>
      <c r="K7" s="81">
        <f t="shared" ref="K7:K36" si="4">J7*0.024</f>
        <v>570756.21120000002</v>
      </c>
      <c r="L7" s="104">
        <f>J7+K7</f>
        <v>24352265.0112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44623</v>
      </c>
      <c r="C8" s="59">
        <v>157</v>
      </c>
      <c r="D8" s="87">
        <v>1035.78</v>
      </c>
      <c r="E8" s="114">
        <v>6360</v>
      </c>
      <c r="F8" s="115">
        <v>20360</v>
      </c>
      <c r="G8" s="80">
        <f t="shared" si="3"/>
        <v>26720</v>
      </c>
      <c r="H8" s="81">
        <f t="shared" si="0"/>
        <v>9881341.1999999993</v>
      </c>
      <c r="I8" s="81">
        <f t="shared" si="1"/>
        <v>21088480.800000001</v>
      </c>
      <c r="J8" s="81">
        <f t="shared" si="2"/>
        <v>30969822</v>
      </c>
      <c r="K8" s="81">
        <f t="shared" si="4"/>
        <v>743275.728</v>
      </c>
      <c r="L8" s="104">
        <f t="shared" ref="L8:L30" si="5">J8+K8</f>
        <v>31713097.728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44624</v>
      </c>
      <c r="C9" s="59">
        <v>157</v>
      </c>
      <c r="D9" s="87">
        <v>1035.78</v>
      </c>
      <c r="E9" s="114">
        <v>4640</v>
      </c>
      <c r="F9" s="115">
        <v>19800</v>
      </c>
      <c r="G9" s="80">
        <f t="shared" si="3"/>
        <v>24440</v>
      </c>
      <c r="H9" s="81">
        <f t="shared" si="0"/>
        <v>7209028.7999999998</v>
      </c>
      <c r="I9" s="81">
        <f t="shared" si="1"/>
        <v>20508444</v>
      </c>
      <c r="J9" s="81">
        <f t="shared" si="2"/>
        <v>27717472.800000001</v>
      </c>
      <c r="K9" s="81">
        <f t="shared" si="4"/>
        <v>665219.34720000008</v>
      </c>
      <c r="L9" s="104">
        <f t="shared" si="5"/>
        <v>28382692.1472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44625</v>
      </c>
      <c r="C10" s="59">
        <v>157</v>
      </c>
      <c r="D10" s="87">
        <v>1035.78</v>
      </c>
      <c r="E10" s="114">
        <v>4400</v>
      </c>
      <c r="F10" s="115">
        <v>19920</v>
      </c>
      <c r="G10" s="80">
        <f t="shared" si="3"/>
        <v>24320</v>
      </c>
      <c r="H10" s="81">
        <f t="shared" si="0"/>
        <v>6836148</v>
      </c>
      <c r="I10" s="81">
        <f t="shared" si="1"/>
        <v>20632737.599999998</v>
      </c>
      <c r="J10" s="81">
        <f t="shared" si="2"/>
        <v>27468885.599999998</v>
      </c>
      <c r="K10" s="81">
        <f t="shared" si="4"/>
        <v>659253.25439999998</v>
      </c>
      <c r="L10" s="104">
        <f t="shared" si="5"/>
        <v>28128138.854399998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44626</v>
      </c>
      <c r="C11" s="59">
        <v>157</v>
      </c>
      <c r="D11" s="87">
        <v>1035.78</v>
      </c>
      <c r="E11" s="114">
        <v>4120</v>
      </c>
      <c r="F11" s="115">
        <v>20160</v>
      </c>
      <c r="G11" s="80">
        <f t="shared" si="3"/>
        <v>24280</v>
      </c>
      <c r="H11" s="81">
        <f t="shared" si="0"/>
        <v>6401120.3999999994</v>
      </c>
      <c r="I11" s="81">
        <f t="shared" si="1"/>
        <v>20881324.800000001</v>
      </c>
      <c r="J11" s="81">
        <f t="shared" si="2"/>
        <v>27282445.199999999</v>
      </c>
      <c r="K11" s="81">
        <f t="shared" si="4"/>
        <v>654778.68480000005</v>
      </c>
      <c r="L11" s="104">
        <f t="shared" si="5"/>
        <v>27937223.884799998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44627</v>
      </c>
      <c r="C12" s="59">
        <v>157</v>
      </c>
      <c r="D12" s="87">
        <v>1035.78</v>
      </c>
      <c r="E12" s="114">
        <v>4520</v>
      </c>
      <c r="F12" s="115">
        <v>19960</v>
      </c>
      <c r="G12" s="80">
        <f t="shared" si="3"/>
        <v>24480</v>
      </c>
      <c r="H12" s="81">
        <f t="shared" si="0"/>
        <v>7022588.3999999994</v>
      </c>
      <c r="I12" s="81">
        <f t="shared" si="1"/>
        <v>20674168.800000001</v>
      </c>
      <c r="J12" s="81">
        <f t="shared" si="2"/>
        <v>27696757.199999999</v>
      </c>
      <c r="K12" s="81">
        <f t="shared" si="4"/>
        <v>664722.17279999994</v>
      </c>
      <c r="L12" s="104">
        <f t="shared" si="5"/>
        <v>28361479.3728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44628</v>
      </c>
      <c r="C13" s="59">
        <v>157</v>
      </c>
      <c r="D13" s="87">
        <v>1035.78</v>
      </c>
      <c r="E13" s="114">
        <v>4360</v>
      </c>
      <c r="F13" s="115">
        <v>20560</v>
      </c>
      <c r="G13" s="80">
        <f t="shared" si="3"/>
        <v>24920</v>
      </c>
      <c r="H13" s="81">
        <f t="shared" si="0"/>
        <v>6774001.2000000002</v>
      </c>
      <c r="I13" s="81">
        <f t="shared" si="1"/>
        <v>21295636.800000001</v>
      </c>
      <c r="J13" s="81">
        <f t="shared" si="2"/>
        <v>28069638</v>
      </c>
      <c r="K13" s="81">
        <f t="shared" si="4"/>
        <v>673671.31200000003</v>
      </c>
      <c r="L13" s="104">
        <f t="shared" si="5"/>
        <v>28743309.311999999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44629</v>
      </c>
      <c r="C14" s="59">
        <v>157</v>
      </c>
      <c r="D14" s="87">
        <v>1035.78</v>
      </c>
      <c r="E14" s="114">
        <v>4320</v>
      </c>
      <c r="F14" s="115">
        <v>20640</v>
      </c>
      <c r="G14" s="80">
        <f t="shared" si="3"/>
        <v>24960</v>
      </c>
      <c r="H14" s="81">
        <f t="shared" si="0"/>
        <v>6711854.3999999994</v>
      </c>
      <c r="I14" s="81">
        <f t="shared" si="1"/>
        <v>21378499.199999999</v>
      </c>
      <c r="J14" s="81">
        <f t="shared" si="2"/>
        <v>28090353.599999998</v>
      </c>
      <c r="K14" s="81">
        <f t="shared" si="4"/>
        <v>674168.48639999994</v>
      </c>
      <c r="L14" s="104">
        <f t="shared" si="5"/>
        <v>28764522.086399999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44630</v>
      </c>
      <c r="C15" s="59">
        <v>157</v>
      </c>
      <c r="D15" s="87">
        <v>1035.78</v>
      </c>
      <c r="E15" s="114">
        <v>4920</v>
      </c>
      <c r="F15" s="115">
        <v>21080</v>
      </c>
      <c r="G15" s="80">
        <f t="shared" si="3"/>
        <v>26000</v>
      </c>
      <c r="H15" s="81">
        <f t="shared" si="0"/>
        <v>7644056.3999999994</v>
      </c>
      <c r="I15" s="81">
        <f t="shared" si="1"/>
        <v>21834242.399999999</v>
      </c>
      <c r="J15" s="81">
        <f t="shared" si="2"/>
        <v>29478298.799999997</v>
      </c>
      <c r="K15" s="81">
        <f t="shared" si="4"/>
        <v>707479.17119999998</v>
      </c>
      <c r="L15" s="104">
        <f t="shared" si="5"/>
        <v>30185777.971199997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44631</v>
      </c>
      <c r="C16" s="59">
        <v>157</v>
      </c>
      <c r="D16" s="87">
        <v>1035.78</v>
      </c>
      <c r="E16" s="114">
        <v>4600</v>
      </c>
      <c r="F16" s="115">
        <v>17480</v>
      </c>
      <c r="G16" s="80">
        <f t="shared" si="3"/>
        <v>22080</v>
      </c>
      <c r="H16" s="81">
        <f t="shared" si="0"/>
        <v>7146882</v>
      </c>
      <c r="I16" s="81">
        <f t="shared" si="1"/>
        <v>18105434.399999999</v>
      </c>
      <c r="J16" s="81">
        <f t="shared" si="2"/>
        <v>25252316.399999999</v>
      </c>
      <c r="K16" s="81">
        <f t="shared" si="4"/>
        <v>606055.59360000002</v>
      </c>
      <c r="L16" s="104">
        <f t="shared" si="5"/>
        <v>25858371.9936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44632</v>
      </c>
      <c r="C17" s="59">
        <v>157</v>
      </c>
      <c r="D17" s="87">
        <v>1035.78</v>
      </c>
      <c r="E17" s="114">
        <v>1760</v>
      </c>
      <c r="F17" s="115">
        <v>24160</v>
      </c>
      <c r="G17" s="80">
        <f t="shared" si="3"/>
        <v>25920</v>
      </c>
      <c r="H17" s="81">
        <f t="shared" si="0"/>
        <v>2734459.1999999997</v>
      </c>
      <c r="I17" s="81">
        <f t="shared" si="1"/>
        <v>25024444.800000001</v>
      </c>
      <c r="J17" s="81">
        <f t="shared" si="2"/>
        <v>27758904</v>
      </c>
      <c r="K17" s="81">
        <f t="shared" si="4"/>
        <v>666213.696</v>
      </c>
      <c r="L17" s="104">
        <f t="shared" si="5"/>
        <v>28425117.695999999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44633</v>
      </c>
      <c r="C18" s="59">
        <v>157</v>
      </c>
      <c r="D18" s="87">
        <v>1035.78</v>
      </c>
      <c r="E18" s="114">
        <v>5360</v>
      </c>
      <c r="F18" s="115">
        <v>20920</v>
      </c>
      <c r="G18" s="80">
        <f t="shared" si="3"/>
        <v>26280</v>
      </c>
      <c r="H18" s="81">
        <f t="shared" si="0"/>
        <v>8327671.2000000002</v>
      </c>
      <c r="I18" s="81">
        <f t="shared" si="1"/>
        <v>21668517.599999998</v>
      </c>
      <c r="J18" s="81">
        <f t="shared" si="2"/>
        <v>29996188.799999997</v>
      </c>
      <c r="K18" s="81">
        <f t="shared" si="4"/>
        <v>719908.53119999997</v>
      </c>
      <c r="L18" s="104">
        <f t="shared" si="5"/>
        <v>30716097.331199996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44634</v>
      </c>
      <c r="C19" s="59">
        <v>157</v>
      </c>
      <c r="D19" s="87">
        <v>1035.78</v>
      </c>
      <c r="E19" s="114">
        <v>6480</v>
      </c>
      <c r="F19" s="115">
        <v>19400</v>
      </c>
      <c r="G19" s="80">
        <f t="shared" si="3"/>
        <v>25880</v>
      </c>
      <c r="H19" s="81">
        <f t="shared" si="0"/>
        <v>10067781.6</v>
      </c>
      <c r="I19" s="81">
        <f t="shared" si="1"/>
        <v>20094132</v>
      </c>
      <c r="J19" s="81">
        <f t="shared" si="2"/>
        <v>30161913.600000001</v>
      </c>
      <c r="K19" s="81">
        <f t="shared" si="4"/>
        <v>723885.9264</v>
      </c>
      <c r="L19" s="104">
        <f t="shared" si="5"/>
        <v>30885799.5264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44635</v>
      </c>
      <c r="C20" s="59">
        <v>157</v>
      </c>
      <c r="D20" s="87">
        <v>1035.78</v>
      </c>
      <c r="E20" s="114">
        <v>4640</v>
      </c>
      <c r="F20" s="115">
        <v>21200</v>
      </c>
      <c r="G20" s="80">
        <f t="shared" si="3"/>
        <v>25840</v>
      </c>
      <c r="H20" s="81">
        <f t="shared" si="0"/>
        <v>7209028.7999999998</v>
      </c>
      <c r="I20" s="81">
        <f t="shared" si="1"/>
        <v>21958536</v>
      </c>
      <c r="J20" s="81">
        <f t="shared" si="2"/>
        <v>29167564.800000001</v>
      </c>
      <c r="K20" s="81">
        <f t="shared" si="4"/>
        <v>700021.55520000006</v>
      </c>
      <c r="L20" s="104">
        <f t="shared" si="5"/>
        <v>29867586.3552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44636</v>
      </c>
      <c r="C21" s="59">
        <v>157</v>
      </c>
      <c r="D21" s="87">
        <v>1035.78</v>
      </c>
      <c r="E21" s="114">
        <v>4560</v>
      </c>
      <c r="F21" s="115">
        <v>19320</v>
      </c>
      <c r="G21" s="80">
        <f t="shared" si="3"/>
        <v>23880</v>
      </c>
      <c r="H21" s="81">
        <f t="shared" si="0"/>
        <v>7084735.2000000002</v>
      </c>
      <c r="I21" s="81">
        <f t="shared" si="1"/>
        <v>20011269.599999998</v>
      </c>
      <c r="J21" s="81">
        <f t="shared" si="2"/>
        <v>27096004.799999997</v>
      </c>
      <c r="K21" s="81">
        <f t="shared" si="4"/>
        <v>650304.1152</v>
      </c>
      <c r="L21" s="104">
        <f t="shared" si="5"/>
        <v>27746308.915199999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44637</v>
      </c>
      <c r="C22" s="59">
        <v>157</v>
      </c>
      <c r="D22" s="87">
        <v>1035.78</v>
      </c>
      <c r="E22" s="114">
        <v>3160</v>
      </c>
      <c r="F22" s="115">
        <v>22680</v>
      </c>
      <c r="G22" s="80">
        <f t="shared" si="3"/>
        <v>25840</v>
      </c>
      <c r="H22" s="81">
        <f t="shared" si="0"/>
        <v>4909597.2</v>
      </c>
      <c r="I22" s="81">
        <f t="shared" si="1"/>
        <v>23491490.399999999</v>
      </c>
      <c r="J22" s="81">
        <f t="shared" si="2"/>
        <v>28401087.599999998</v>
      </c>
      <c r="K22" s="81">
        <f t="shared" si="4"/>
        <v>681626.10239999997</v>
      </c>
      <c r="L22" s="104">
        <f t="shared" si="5"/>
        <v>29082713.702399999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44638</v>
      </c>
      <c r="C23" s="59">
        <v>157</v>
      </c>
      <c r="D23" s="87">
        <v>1035.78</v>
      </c>
      <c r="E23" s="114">
        <v>3840</v>
      </c>
      <c r="F23" s="115">
        <v>21200</v>
      </c>
      <c r="G23" s="80">
        <f t="shared" si="3"/>
        <v>25040</v>
      </c>
      <c r="H23" s="81">
        <f t="shared" si="0"/>
        <v>5966092.7999999998</v>
      </c>
      <c r="I23" s="81">
        <f t="shared" si="1"/>
        <v>21958536</v>
      </c>
      <c r="J23" s="81">
        <f t="shared" si="2"/>
        <v>27924628.800000001</v>
      </c>
      <c r="K23" s="81">
        <f t="shared" si="4"/>
        <v>670191.09120000002</v>
      </c>
      <c r="L23" s="104">
        <f t="shared" si="5"/>
        <v>28594819.891200002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44639</v>
      </c>
      <c r="C24" s="59">
        <v>157</v>
      </c>
      <c r="D24" s="87">
        <v>1035.78</v>
      </c>
      <c r="E24" s="114">
        <v>4280</v>
      </c>
      <c r="F24" s="115">
        <v>19320</v>
      </c>
      <c r="G24" s="80">
        <f t="shared" si="3"/>
        <v>23600</v>
      </c>
      <c r="H24" s="81">
        <f t="shared" si="0"/>
        <v>6649707.5999999996</v>
      </c>
      <c r="I24" s="81">
        <f t="shared" si="1"/>
        <v>20011269.599999998</v>
      </c>
      <c r="J24" s="81">
        <f t="shared" si="2"/>
        <v>26660977.199999996</v>
      </c>
      <c r="K24" s="81">
        <f t="shared" si="4"/>
        <v>639863.45279999985</v>
      </c>
      <c r="L24" s="104">
        <f t="shared" si="5"/>
        <v>27300840.652799994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44640</v>
      </c>
      <c r="C25" s="59">
        <v>157</v>
      </c>
      <c r="D25" s="87">
        <v>1035.78</v>
      </c>
      <c r="E25" s="114">
        <v>7240</v>
      </c>
      <c r="F25" s="115">
        <v>22480</v>
      </c>
      <c r="G25" s="80">
        <f t="shared" si="3"/>
        <v>29720</v>
      </c>
      <c r="H25" s="81">
        <f t="shared" si="0"/>
        <v>11248570.799999999</v>
      </c>
      <c r="I25" s="81">
        <f t="shared" si="1"/>
        <v>23284334.399999999</v>
      </c>
      <c r="J25" s="81">
        <f t="shared" si="2"/>
        <v>34532905.199999996</v>
      </c>
      <c r="K25" s="81">
        <f t="shared" si="4"/>
        <v>828789.72479999997</v>
      </c>
      <c r="L25" s="104">
        <f t="shared" si="5"/>
        <v>35361694.924799994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44641</v>
      </c>
      <c r="C26" s="59">
        <v>157</v>
      </c>
      <c r="D26" s="87">
        <v>1035.78</v>
      </c>
      <c r="E26" s="114">
        <v>520</v>
      </c>
      <c r="F26" s="115">
        <v>20320</v>
      </c>
      <c r="G26" s="80">
        <f t="shared" si="3"/>
        <v>20840</v>
      </c>
      <c r="H26" s="81">
        <f t="shared" si="0"/>
        <v>807908.4</v>
      </c>
      <c r="I26" s="81">
        <f t="shared" si="1"/>
        <v>21047049.599999998</v>
      </c>
      <c r="J26" s="81">
        <f t="shared" si="2"/>
        <v>21854957.999999996</v>
      </c>
      <c r="K26" s="81">
        <f t="shared" si="4"/>
        <v>524518.99199999997</v>
      </c>
      <c r="L26" s="104">
        <f>J26+K26</f>
        <v>22379476.991999995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44642</v>
      </c>
      <c r="C27" s="59">
        <v>157</v>
      </c>
      <c r="D27" s="87">
        <v>1035.78</v>
      </c>
      <c r="E27" s="114">
        <v>8680</v>
      </c>
      <c r="F27" s="115">
        <v>21400</v>
      </c>
      <c r="G27" s="80">
        <f t="shared" si="3"/>
        <v>30080</v>
      </c>
      <c r="H27" s="81">
        <f t="shared" si="0"/>
        <v>13485855.6</v>
      </c>
      <c r="I27" s="81">
        <f t="shared" si="1"/>
        <v>22165692</v>
      </c>
      <c r="J27" s="81">
        <f t="shared" si="2"/>
        <v>35651547.600000001</v>
      </c>
      <c r="K27" s="81">
        <f t="shared" si="4"/>
        <v>855637.14240000001</v>
      </c>
      <c r="L27" s="104">
        <f t="shared" si="5"/>
        <v>36507184.742399998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44643</v>
      </c>
      <c r="C28" s="59">
        <v>157</v>
      </c>
      <c r="D28" s="87">
        <v>1035.78</v>
      </c>
      <c r="E28" s="114">
        <v>4640</v>
      </c>
      <c r="F28" s="115">
        <v>20124</v>
      </c>
      <c r="G28" s="80">
        <f t="shared" si="3"/>
        <v>24764</v>
      </c>
      <c r="H28" s="81">
        <f t="shared" si="0"/>
        <v>7209028.7999999998</v>
      </c>
      <c r="I28" s="81">
        <f t="shared" si="1"/>
        <v>20844036.719999999</v>
      </c>
      <c r="J28" s="81">
        <f t="shared" si="2"/>
        <v>28053065.52</v>
      </c>
      <c r="K28" s="81">
        <f t="shared" si="4"/>
        <v>673273.57247999997</v>
      </c>
      <c r="L28" s="104">
        <f t="shared" si="5"/>
        <v>28726339.09248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44644</v>
      </c>
      <c r="C29" s="59">
        <v>157</v>
      </c>
      <c r="D29" s="87">
        <v>1035.78</v>
      </c>
      <c r="E29" s="114">
        <v>4600</v>
      </c>
      <c r="F29" s="115">
        <v>21316</v>
      </c>
      <c r="G29" s="80">
        <f t="shared" si="3"/>
        <v>25916</v>
      </c>
      <c r="H29" s="81">
        <f t="shared" si="0"/>
        <v>7146882</v>
      </c>
      <c r="I29" s="81">
        <f t="shared" si="1"/>
        <v>22078686.48</v>
      </c>
      <c r="J29" s="81">
        <f t="shared" si="2"/>
        <v>29225568.48</v>
      </c>
      <c r="K29" s="81">
        <f t="shared" si="4"/>
        <v>701413.64352000004</v>
      </c>
      <c r="L29" s="104">
        <f t="shared" si="5"/>
        <v>29926982.123520002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44645</v>
      </c>
      <c r="C30" s="59">
        <v>157</v>
      </c>
      <c r="D30" s="87">
        <v>1035.78</v>
      </c>
      <c r="E30" s="114">
        <v>4680</v>
      </c>
      <c r="F30" s="115">
        <v>21640</v>
      </c>
      <c r="G30" s="80">
        <f t="shared" si="3"/>
        <v>26320</v>
      </c>
      <c r="H30" s="81">
        <f t="shared" si="0"/>
        <v>7271175.5999999996</v>
      </c>
      <c r="I30" s="81">
        <f t="shared" si="1"/>
        <v>22414279.199999999</v>
      </c>
      <c r="J30" s="81">
        <f t="shared" si="2"/>
        <v>29685454.799999997</v>
      </c>
      <c r="K30" s="81">
        <f t="shared" si="4"/>
        <v>712450.91519999993</v>
      </c>
      <c r="L30" s="104">
        <f t="shared" si="5"/>
        <v>30397905.715199996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44646</v>
      </c>
      <c r="C31" s="59">
        <v>157</v>
      </c>
      <c r="D31" s="87">
        <v>1035.78</v>
      </c>
      <c r="E31" s="114">
        <v>1320</v>
      </c>
      <c r="F31" s="115">
        <v>21120</v>
      </c>
      <c r="G31" s="80">
        <f t="shared" si="3"/>
        <v>22440</v>
      </c>
      <c r="H31" s="81">
        <f t="shared" si="0"/>
        <v>2050844.4</v>
      </c>
      <c r="I31" s="81">
        <f t="shared" si="1"/>
        <v>21875673.599999998</v>
      </c>
      <c r="J31" s="81">
        <f t="shared" ref="J31:J33" si="6">I31+H31</f>
        <v>23926517.999999996</v>
      </c>
      <c r="K31" s="81">
        <f t="shared" si="4"/>
        <v>574236.43199999991</v>
      </c>
      <c r="L31" s="104">
        <f t="shared" ref="L31:L33" si="7">J31+K31</f>
        <v>24500754.431999996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44647</v>
      </c>
      <c r="C32" s="59">
        <v>157</v>
      </c>
      <c r="D32" s="87">
        <v>1035.78</v>
      </c>
      <c r="E32" s="114">
        <v>7840</v>
      </c>
      <c r="F32" s="115">
        <v>21480</v>
      </c>
      <c r="G32" s="80">
        <f t="shared" si="3"/>
        <v>29320</v>
      </c>
      <c r="H32" s="81">
        <f t="shared" si="0"/>
        <v>12180772.799999999</v>
      </c>
      <c r="I32" s="81">
        <f t="shared" si="1"/>
        <v>22248554.399999999</v>
      </c>
      <c r="J32" s="81">
        <f t="shared" si="6"/>
        <v>34429327.199999996</v>
      </c>
      <c r="K32" s="81">
        <f t="shared" si="4"/>
        <v>826303.85279999988</v>
      </c>
      <c r="L32" s="104">
        <f t="shared" si="7"/>
        <v>35255631.052799992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44648</v>
      </c>
      <c r="C33" s="59">
        <v>157</v>
      </c>
      <c r="D33" s="87">
        <v>1035.78</v>
      </c>
      <c r="E33" s="114">
        <v>5000</v>
      </c>
      <c r="F33" s="115">
        <v>24280</v>
      </c>
      <c r="G33" s="80">
        <f t="shared" si="3"/>
        <v>29280</v>
      </c>
      <c r="H33" s="81">
        <f t="shared" si="0"/>
        <v>7768350</v>
      </c>
      <c r="I33" s="81">
        <f t="shared" si="1"/>
        <v>25148738.399999999</v>
      </c>
      <c r="J33" s="81">
        <f t="shared" si="6"/>
        <v>32917088.399999999</v>
      </c>
      <c r="K33" s="81">
        <f t="shared" si="4"/>
        <v>790010.12159999995</v>
      </c>
      <c r="L33" s="104">
        <f t="shared" si="7"/>
        <v>33707098.521600001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44649</v>
      </c>
      <c r="C34" s="59">
        <v>157</v>
      </c>
      <c r="D34" s="87">
        <v>1035.78</v>
      </c>
      <c r="E34" s="114">
        <v>4360</v>
      </c>
      <c r="F34" s="115">
        <v>17120</v>
      </c>
      <c r="G34" s="80">
        <f t="shared" ref="G34" si="8">F34+E34</f>
        <v>21480</v>
      </c>
      <c r="H34" s="81">
        <f t="shared" ref="H34" si="9">E34*1.5*D34</f>
        <v>6774001.2000000002</v>
      </c>
      <c r="I34" s="81">
        <f t="shared" ref="I34" si="10">F34*D34</f>
        <v>17732553.599999998</v>
      </c>
      <c r="J34" s="81">
        <f t="shared" ref="J34" si="11">I34+H34</f>
        <v>24506554.799999997</v>
      </c>
      <c r="K34" s="81">
        <f t="shared" si="4"/>
        <v>588157.31519999995</v>
      </c>
      <c r="L34" s="104">
        <f t="shared" ref="L34" si="12">J34+K34</f>
        <v>25094712.115199998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44650</v>
      </c>
      <c r="C35" s="59">
        <v>157</v>
      </c>
      <c r="D35" s="87">
        <v>1035.78</v>
      </c>
      <c r="E35" s="114">
        <v>4880</v>
      </c>
      <c r="F35" s="115">
        <v>21440</v>
      </c>
      <c r="G35" s="80">
        <f t="shared" ref="G35:G36" si="13">F35+E35</f>
        <v>26320</v>
      </c>
      <c r="H35" s="81">
        <f t="shared" ref="H35:H36" si="14">E35*1.5*D35</f>
        <v>7581909.5999999996</v>
      </c>
      <c r="I35" s="81">
        <f t="shared" ref="I35:I36" si="15">F35*D35</f>
        <v>22207123.199999999</v>
      </c>
      <c r="J35" s="81">
        <f t="shared" ref="J35:J36" si="16">I35+H35</f>
        <v>29789032.799999997</v>
      </c>
      <c r="K35" s="81">
        <f t="shared" si="4"/>
        <v>714936.7871999999</v>
      </c>
      <c r="L35" s="104">
        <f t="shared" ref="L35:L36" si="17">J35+K35</f>
        <v>30503969.587199997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44651</v>
      </c>
      <c r="C36" s="59">
        <v>157</v>
      </c>
      <c r="D36" s="87">
        <v>1035.78</v>
      </c>
      <c r="E36" s="114">
        <v>4720</v>
      </c>
      <c r="F36" s="115">
        <v>20760</v>
      </c>
      <c r="G36" s="80">
        <f t="shared" si="13"/>
        <v>25480</v>
      </c>
      <c r="H36" s="81">
        <f t="shared" si="14"/>
        <v>7333322.3999999994</v>
      </c>
      <c r="I36" s="81">
        <f t="shared" si="15"/>
        <v>21502792.800000001</v>
      </c>
      <c r="J36" s="81">
        <f t="shared" si="16"/>
        <v>28836115.199999999</v>
      </c>
      <c r="K36" s="81">
        <f t="shared" si="4"/>
        <v>692066.7648</v>
      </c>
      <c r="L36" s="104">
        <f t="shared" si="17"/>
        <v>29528181.9648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SUM(C6:C35)</f>
        <v>4710</v>
      </c>
      <c r="D37" s="88"/>
      <c r="E37" s="82">
        <f>SUM(E6:E36)</f>
        <v>141600</v>
      </c>
      <c r="F37" s="82">
        <f>SUM(F6:F36)</f>
        <v>641120</v>
      </c>
      <c r="G37" s="82">
        <f t="shared" ref="G37:L37" si="18">SUM(G6:G36)</f>
        <v>782720</v>
      </c>
      <c r="H37" s="82">
        <f t="shared" si="18"/>
        <v>219999672</v>
      </c>
      <c r="I37" s="82">
        <f t="shared" si="18"/>
        <v>664059273.60000002</v>
      </c>
      <c r="J37" s="82">
        <f t="shared" si="18"/>
        <v>884058945.60000002</v>
      </c>
      <c r="K37" s="82">
        <f t="shared" si="18"/>
        <v>21217414.694399998</v>
      </c>
      <c r="L37" s="82">
        <f t="shared" si="18"/>
        <v>905276360.2944001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Normal="100" workbookViewId="0">
      <selection activeCell="E40" sqref="E40"/>
    </sheetView>
  </sheetViews>
  <sheetFormatPr defaultRowHeight="15" x14ac:dyDescent="0.25"/>
  <cols>
    <col min="1" max="4" width="9.140625" style="55"/>
    <col min="5" max="5" width="19.28515625" style="55" customWidth="1"/>
    <col min="6" max="6" width="22.42578125" style="6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9" t="s">
        <v>3</v>
      </c>
      <c r="C1" s="139"/>
      <c r="D1" s="139"/>
      <c r="E1" s="139"/>
      <c r="F1" s="139"/>
      <c r="G1" s="139"/>
    </row>
    <row r="2" spans="1:43" ht="15" customHeight="1" x14ac:dyDescent="0.25">
      <c r="B2" s="139"/>
      <c r="C2" s="139"/>
      <c r="D2" s="139"/>
      <c r="E2" s="139"/>
      <c r="F2" s="139"/>
      <c r="G2" s="139"/>
    </row>
    <row r="3" spans="1:43" s="63" customFormat="1" ht="27" customHeight="1" x14ac:dyDescent="0.3">
      <c r="A3" s="61"/>
      <c r="B3" s="140" t="s">
        <v>0</v>
      </c>
      <c r="C3" s="140" t="s">
        <v>22</v>
      </c>
      <c r="D3" s="141" t="s">
        <v>21</v>
      </c>
      <c r="E3" s="75" t="s">
        <v>31</v>
      </c>
      <c r="F3" s="77" t="s">
        <v>33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40"/>
      <c r="C4" s="140"/>
      <c r="D4" s="142"/>
      <c r="E4" s="78" t="s">
        <v>32</v>
      </c>
      <c r="F4" s="77" t="s">
        <v>32</v>
      </c>
      <c r="G4" s="62" t="s">
        <v>32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9">
        <v>1</v>
      </c>
      <c r="C5" s="79">
        <v>3</v>
      </c>
      <c r="D5" s="79">
        <v>2022</v>
      </c>
      <c r="E5" s="112">
        <v>5</v>
      </c>
      <c r="F5" s="116">
        <v>283</v>
      </c>
      <c r="G5" s="56">
        <f>E5+F5</f>
        <v>288</v>
      </c>
    </row>
    <row r="6" spans="1:43" ht="15.75" x14ac:dyDescent="0.25">
      <c r="B6" s="79">
        <v>2</v>
      </c>
      <c r="C6" s="79">
        <v>3</v>
      </c>
      <c r="D6" s="79">
        <v>2022</v>
      </c>
      <c r="E6" s="111">
        <v>6</v>
      </c>
      <c r="F6" s="117">
        <v>285</v>
      </c>
      <c r="G6" s="56">
        <f t="shared" ref="G6:G34" si="0">E6+F6</f>
        <v>291</v>
      </c>
    </row>
    <row r="7" spans="1:43" ht="15.75" x14ac:dyDescent="0.25">
      <c r="B7" s="79">
        <v>3</v>
      </c>
      <c r="C7" s="79">
        <v>3</v>
      </c>
      <c r="D7" s="79">
        <v>2022</v>
      </c>
      <c r="E7" s="111">
        <v>6</v>
      </c>
      <c r="F7" s="117">
        <v>282</v>
      </c>
      <c r="G7" s="56">
        <f t="shared" si="0"/>
        <v>288</v>
      </c>
    </row>
    <row r="8" spans="1:43" ht="15.75" x14ac:dyDescent="0.25">
      <c r="B8" s="79">
        <v>4</v>
      </c>
      <c r="C8" s="79">
        <v>3</v>
      </c>
      <c r="D8" s="79">
        <v>2022</v>
      </c>
      <c r="E8" s="111">
        <v>6</v>
      </c>
      <c r="F8" s="117">
        <v>269</v>
      </c>
      <c r="G8" s="56">
        <f t="shared" si="0"/>
        <v>275</v>
      </c>
    </row>
    <row r="9" spans="1:43" ht="15.75" x14ac:dyDescent="0.25">
      <c r="B9" s="79">
        <v>5</v>
      </c>
      <c r="C9" s="79">
        <v>3</v>
      </c>
      <c r="D9" s="79">
        <v>2022</v>
      </c>
      <c r="E9" s="111">
        <v>6</v>
      </c>
      <c r="F9" s="117">
        <v>274</v>
      </c>
      <c r="G9" s="56">
        <f t="shared" si="0"/>
        <v>280</v>
      </c>
    </row>
    <row r="10" spans="1:43" ht="15.75" x14ac:dyDescent="0.25">
      <c r="B10" s="79">
        <v>6</v>
      </c>
      <c r="C10" s="79">
        <v>3</v>
      </c>
      <c r="D10" s="79">
        <v>2022</v>
      </c>
      <c r="E10" s="111">
        <v>9</v>
      </c>
      <c r="F10" s="117">
        <v>284</v>
      </c>
      <c r="G10" s="56">
        <f t="shared" si="0"/>
        <v>293</v>
      </c>
    </row>
    <row r="11" spans="1:43" ht="15.75" x14ac:dyDescent="0.25">
      <c r="B11" s="79">
        <v>7</v>
      </c>
      <c r="C11" s="79">
        <v>3</v>
      </c>
      <c r="D11" s="79">
        <v>2022</v>
      </c>
      <c r="E11" s="111">
        <v>3</v>
      </c>
      <c r="F11" s="116">
        <v>264</v>
      </c>
      <c r="G11" s="56">
        <f t="shared" si="0"/>
        <v>267</v>
      </c>
    </row>
    <row r="12" spans="1:43" ht="15.75" x14ac:dyDescent="0.25">
      <c r="B12" s="79">
        <v>8</v>
      </c>
      <c r="C12" s="79">
        <v>3</v>
      </c>
      <c r="D12" s="79">
        <v>2022</v>
      </c>
      <c r="E12" s="111">
        <v>5</v>
      </c>
      <c r="F12" s="116">
        <v>278</v>
      </c>
      <c r="G12" s="56">
        <f t="shared" si="0"/>
        <v>283</v>
      </c>
    </row>
    <row r="13" spans="1:43" ht="15.75" x14ac:dyDescent="0.25">
      <c r="B13" s="79">
        <v>9</v>
      </c>
      <c r="C13" s="79">
        <v>3</v>
      </c>
      <c r="D13" s="79">
        <v>2022</v>
      </c>
      <c r="E13" s="111">
        <v>6</v>
      </c>
      <c r="F13" s="116">
        <v>279</v>
      </c>
      <c r="G13" s="56">
        <f t="shared" si="0"/>
        <v>285</v>
      </c>
    </row>
    <row r="14" spans="1:43" ht="15.75" x14ac:dyDescent="0.25">
      <c r="B14" s="79">
        <v>10</v>
      </c>
      <c r="C14" s="79">
        <v>3</v>
      </c>
      <c r="D14" s="79">
        <v>2022</v>
      </c>
      <c r="E14" s="111">
        <v>8</v>
      </c>
      <c r="F14" s="117">
        <v>336</v>
      </c>
      <c r="G14" s="56">
        <f t="shared" si="0"/>
        <v>344</v>
      </c>
    </row>
    <row r="15" spans="1:43" ht="15.75" x14ac:dyDescent="0.25">
      <c r="B15" s="79">
        <v>11</v>
      </c>
      <c r="C15" s="79">
        <v>3</v>
      </c>
      <c r="D15" s="79">
        <v>2022</v>
      </c>
      <c r="E15" s="111">
        <v>10</v>
      </c>
      <c r="F15" s="117">
        <v>424</v>
      </c>
      <c r="G15" s="56">
        <f t="shared" si="0"/>
        <v>434</v>
      </c>
    </row>
    <row r="16" spans="1:43" ht="15.75" x14ac:dyDescent="0.25">
      <c r="B16" s="79">
        <v>12</v>
      </c>
      <c r="C16" s="79">
        <v>3</v>
      </c>
      <c r="D16" s="79">
        <v>2022</v>
      </c>
      <c r="E16" s="111">
        <v>6</v>
      </c>
      <c r="F16" s="117">
        <v>327</v>
      </c>
      <c r="G16" s="56">
        <f t="shared" si="0"/>
        <v>333</v>
      </c>
    </row>
    <row r="17" spans="2:7" ht="15.75" x14ac:dyDescent="0.25">
      <c r="B17" s="79">
        <v>13</v>
      </c>
      <c r="C17" s="79">
        <v>3</v>
      </c>
      <c r="D17" s="79">
        <v>2022</v>
      </c>
      <c r="E17" s="111">
        <v>6</v>
      </c>
      <c r="F17" s="117">
        <v>272</v>
      </c>
      <c r="G17" s="56">
        <f t="shared" si="0"/>
        <v>278</v>
      </c>
    </row>
    <row r="18" spans="2:7" ht="15.75" x14ac:dyDescent="0.25">
      <c r="B18" s="79">
        <v>14</v>
      </c>
      <c r="C18" s="79">
        <v>3</v>
      </c>
      <c r="D18" s="79">
        <v>2022</v>
      </c>
      <c r="E18" s="111">
        <v>7</v>
      </c>
      <c r="F18" s="117">
        <v>266</v>
      </c>
      <c r="G18" s="56">
        <f t="shared" si="0"/>
        <v>273</v>
      </c>
    </row>
    <row r="19" spans="2:7" ht="15.75" x14ac:dyDescent="0.25">
      <c r="B19" s="79">
        <v>15</v>
      </c>
      <c r="C19" s="79">
        <v>3</v>
      </c>
      <c r="D19" s="79">
        <v>2022</v>
      </c>
      <c r="E19" s="112">
        <v>7</v>
      </c>
      <c r="F19" s="116">
        <v>294</v>
      </c>
      <c r="G19" s="56">
        <f t="shared" si="0"/>
        <v>301</v>
      </c>
    </row>
    <row r="20" spans="2:7" ht="15.75" x14ac:dyDescent="0.25">
      <c r="B20" s="79">
        <v>16</v>
      </c>
      <c r="C20" s="79">
        <v>3</v>
      </c>
      <c r="D20" s="79">
        <v>2022</v>
      </c>
      <c r="E20" s="111">
        <v>7</v>
      </c>
      <c r="F20" s="117">
        <v>397</v>
      </c>
      <c r="G20" s="56">
        <f t="shared" si="0"/>
        <v>404</v>
      </c>
    </row>
    <row r="21" spans="2:7" ht="15.75" x14ac:dyDescent="0.25">
      <c r="B21" s="79">
        <v>17</v>
      </c>
      <c r="C21" s="79">
        <v>3</v>
      </c>
      <c r="D21" s="79">
        <v>2022</v>
      </c>
      <c r="E21" s="111">
        <v>9</v>
      </c>
      <c r="F21" s="117">
        <v>410</v>
      </c>
      <c r="G21" s="56">
        <f t="shared" si="0"/>
        <v>419</v>
      </c>
    </row>
    <row r="22" spans="2:7" ht="15.75" x14ac:dyDescent="0.25">
      <c r="B22" s="79">
        <v>18</v>
      </c>
      <c r="C22" s="79">
        <v>3</v>
      </c>
      <c r="D22" s="79">
        <v>2022</v>
      </c>
      <c r="E22" s="111">
        <v>8</v>
      </c>
      <c r="F22" s="117">
        <v>120</v>
      </c>
      <c r="G22" s="56">
        <f t="shared" si="0"/>
        <v>128</v>
      </c>
    </row>
    <row r="23" spans="2:7" ht="15.75" x14ac:dyDescent="0.25">
      <c r="B23" s="79">
        <v>19</v>
      </c>
      <c r="C23" s="79">
        <v>3</v>
      </c>
      <c r="D23" s="79">
        <v>2022</v>
      </c>
      <c r="E23" s="111">
        <v>11</v>
      </c>
      <c r="F23" s="117">
        <v>399</v>
      </c>
      <c r="G23" s="56">
        <f t="shared" si="0"/>
        <v>410</v>
      </c>
    </row>
    <row r="24" spans="2:7" ht="15.75" x14ac:dyDescent="0.25">
      <c r="B24" s="79">
        <v>20</v>
      </c>
      <c r="C24" s="79">
        <v>3</v>
      </c>
      <c r="D24" s="79">
        <v>2022</v>
      </c>
      <c r="E24" s="111">
        <v>12</v>
      </c>
      <c r="F24" s="117">
        <v>373</v>
      </c>
      <c r="G24" s="56">
        <f t="shared" si="0"/>
        <v>385</v>
      </c>
    </row>
    <row r="25" spans="2:7" ht="15.75" x14ac:dyDescent="0.25">
      <c r="B25" s="79">
        <v>21</v>
      </c>
      <c r="C25" s="79">
        <v>3</v>
      </c>
      <c r="D25" s="79">
        <v>2022</v>
      </c>
      <c r="E25" s="111">
        <v>9</v>
      </c>
      <c r="F25" s="117">
        <v>276</v>
      </c>
      <c r="G25" s="56">
        <f t="shared" si="0"/>
        <v>285</v>
      </c>
    </row>
    <row r="26" spans="2:7" ht="15.75" x14ac:dyDescent="0.25">
      <c r="B26" s="79">
        <v>22</v>
      </c>
      <c r="C26" s="79">
        <v>3</v>
      </c>
      <c r="D26" s="79">
        <v>2022</v>
      </c>
      <c r="E26" s="112">
        <v>6</v>
      </c>
      <c r="F26" s="116">
        <v>285</v>
      </c>
      <c r="G26" s="56">
        <f t="shared" si="0"/>
        <v>291</v>
      </c>
    </row>
    <row r="27" spans="2:7" ht="15.75" x14ac:dyDescent="0.25">
      <c r="B27" s="79">
        <v>23</v>
      </c>
      <c r="C27" s="79">
        <v>3</v>
      </c>
      <c r="D27" s="79">
        <v>2022</v>
      </c>
      <c r="E27" s="111">
        <v>9</v>
      </c>
      <c r="F27" s="117">
        <v>294</v>
      </c>
      <c r="G27" s="56">
        <f t="shared" si="0"/>
        <v>303</v>
      </c>
    </row>
    <row r="28" spans="2:7" ht="15.75" x14ac:dyDescent="0.25">
      <c r="B28" s="79">
        <v>24</v>
      </c>
      <c r="C28" s="79">
        <v>3</v>
      </c>
      <c r="D28" s="79">
        <v>2022</v>
      </c>
      <c r="E28" s="111">
        <v>9</v>
      </c>
      <c r="F28" s="117">
        <v>310</v>
      </c>
      <c r="G28" s="56">
        <f t="shared" si="0"/>
        <v>319</v>
      </c>
    </row>
    <row r="29" spans="2:7" ht="15.75" x14ac:dyDescent="0.25">
      <c r="B29" s="79">
        <v>25</v>
      </c>
      <c r="C29" s="79">
        <v>3</v>
      </c>
      <c r="D29" s="79">
        <v>2022</v>
      </c>
      <c r="E29" s="111">
        <v>8</v>
      </c>
      <c r="F29" s="117">
        <v>302</v>
      </c>
      <c r="G29" s="56">
        <f t="shared" si="0"/>
        <v>310</v>
      </c>
    </row>
    <row r="30" spans="2:7" ht="15.75" x14ac:dyDescent="0.25">
      <c r="B30" s="79">
        <v>26</v>
      </c>
      <c r="C30" s="79">
        <v>3</v>
      </c>
      <c r="D30" s="79">
        <v>2022</v>
      </c>
      <c r="E30" s="111">
        <v>11</v>
      </c>
      <c r="F30" s="117">
        <v>341</v>
      </c>
      <c r="G30" s="56">
        <f t="shared" si="0"/>
        <v>352</v>
      </c>
    </row>
    <row r="31" spans="2:7" ht="15.75" x14ac:dyDescent="0.25">
      <c r="B31" s="79">
        <v>27</v>
      </c>
      <c r="C31" s="79">
        <v>3</v>
      </c>
      <c r="D31" s="79">
        <v>2022</v>
      </c>
      <c r="E31" s="111">
        <v>13</v>
      </c>
      <c r="F31" s="117">
        <v>443</v>
      </c>
      <c r="G31" s="56">
        <f t="shared" si="0"/>
        <v>456</v>
      </c>
    </row>
    <row r="32" spans="2:7" ht="15.75" x14ac:dyDescent="0.25">
      <c r="B32" s="79">
        <v>28</v>
      </c>
      <c r="C32" s="79">
        <v>3</v>
      </c>
      <c r="D32" s="79">
        <v>2022</v>
      </c>
      <c r="E32" s="111">
        <v>10</v>
      </c>
      <c r="F32" s="117">
        <v>306</v>
      </c>
      <c r="G32" s="56">
        <f t="shared" si="0"/>
        <v>316</v>
      </c>
    </row>
    <row r="33" spans="2:9" ht="15.75" x14ac:dyDescent="0.25">
      <c r="B33" s="79">
        <v>29</v>
      </c>
      <c r="C33" s="79">
        <v>3</v>
      </c>
      <c r="D33" s="79">
        <v>2022</v>
      </c>
      <c r="E33" s="111">
        <v>7</v>
      </c>
      <c r="F33" s="117">
        <v>277</v>
      </c>
      <c r="G33" s="56">
        <f t="shared" si="0"/>
        <v>284</v>
      </c>
    </row>
    <row r="34" spans="2:9" ht="15.75" x14ac:dyDescent="0.25">
      <c r="B34" s="79">
        <v>30</v>
      </c>
      <c r="C34" s="79">
        <v>3</v>
      </c>
      <c r="D34" s="79">
        <v>2022</v>
      </c>
      <c r="E34" s="111">
        <v>7</v>
      </c>
      <c r="F34" s="117">
        <v>273</v>
      </c>
      <c r="G34" s="56">
        <f t="shared" si="0"/>
        <v>280</v>
      </c>
    </row>
    <row r="35" spans="2:9" ht="15.75" x14ac:dyDescent="0.25">
      <c r="B35" s="79">
        <v>31</v>
      </c>
      <c r="C35" s="79">
        <v>3</v>
      </c>
      <c r="D35" s="79">
        <v>2022</v>
      </c>
      <c r="E35" s="111">
        <v>10</v>
      </c>
      <c r="F35" s="117">
        <v>301</v>
      </c>
      <c r="G35" s="56">
        <f t="shared" ref="G35" si="1">E35+F35</f>
        <v>311</v>
      </c>
    </row>
    <row r="36" spans="2:9" ht="21" x14ac:dyDescent="0.35">
      <c r="B36" s="64"/>
      <c r="C36" s="64"/>
      <c r="D36" s="64"/>
      <c r="E36" s="14">
        <f>SUM(E5:E35)</f>
        <v>242</v>
      </c>
      <c r="F36" s="14">
        <f>SUM(F5:F35)</f>
        <v>9524</v>
      </c>
      <c r="G36" s="14">
        <f>SUM(G5:G35)</f>
        <v>9766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118"/>
      <c r="G40" s="67">
        <f>G36</f>
        <v>9766</v>
      </c>
      <c r="H40" s="68"/>
    </row>
    <row r="41" spans="2:9" ht="15.75" x14ac:dyDescent="0.25">
      <c r="B41" s="70"/>
      <c r="C41" s="70"/>
      <c r="D41" s="70"/>
      <c r="E41" s="70"/>
      <c r="F41" s="118"/>
      <c r="G41" s="69"/>
      <c r="H41" s="68"/>
    </row>
    <row r="42" spans="2:9" ht="15.75" x14ac:dyDescent="0.25">
      <c r="B42" s="70"/>
      <c r="C42" s="70"/>
      <c r="D42" s="70"/>
      <c r="E42" s="70"/>
      <c r="F42" s="118"/>
      <c r="G42" s="69"/>
      <c r="H42" s="68"/>
    </row>
    <row r="43" spans="2:9" ht="15.75" x14ac:dyDescent="0.25">
      <c r="B43" s="70" t="s">
        <v>4</v>
      </c>
      <c r="C43" s="70"/>
      <c r="D43" s="70"/>
      <c r="F43" s="65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118" t="s">
        <v>5</v>
      </c>
      <c r="G46" s="74">
        <f>G40*G43</f>
        <v>122563300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2023-03-14T08:43:38Z</dcterms:modified>
</cp:coreProperties>
</file>