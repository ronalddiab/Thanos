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3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HEP Daily Report 2022\"/>
    </mc:Choice>
  </mc:AlternateContent>
  <xr:revisionPtr revIDLastSave="49" documentId="11_BAA942FCA7BEAABB974CAE7280EFB50BD3AD1A25" xr6:coauthVersionLast="47" xr6:coauthVersionMax="47" xr10:uidLastSave="{264F6B61-29F6-420F-B77F-54370E1DBF32}"/>
  <bookViews>
    <workbookView xWindow="0" yWindow="0" windowWidth="28800" windowHeight="12435" tabRatio="762" activeTab="1" xr2:uid="{00000000-000D-0000-FFFF-FFFF00000000}"/>
  </bookViews>
  <sheets>
    <sheet name="TOTAL" sheetId="11" r:id="rId1"/>
    <sheet name="FS Jimbaran May 2022" sheetId="14" r:id="rId2"/>
    <sheet name="RNs &amp; Covers May 2022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46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G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12" i="14"/>
  <c r="O12" i="14" l="1"/>
  <c r="AL13" i="14" l="1"/>
  <c r="AL14" i="14"/>
  <c r="AL15" i="14"/>
  <c r="AL16" i="14"/>
  <c r="AL17" i="14"/>
  <c r="AL18" i="14"/>
  <c r="AL19" i="14"/>
  <c r="AL20" i="14"/>
  <c r="AL21" i="14"/>
  <c r="AL22" i="14"/>
  <c r="AL23" i="14"/>
  <c r="AL24" i="14"/>
  <c r="AL25" i="14"/>
  <c r="AL26" i="14"/>
  <c r="AL27" i="14"/>
  <c r="AL28" i="14"/>
  <c r="AL29" i="14"/>
  <c r="AL30" i="14"/>
  <c r="AL31" i="14"/>
  <c r="AL32" i="14"/>
  <c r="AL33" i="14"/>
  <c r="AL34" i="14"/>
  <c r="AL35" i="14"/>
  <c r="AL36" i="14"/>
  <c r="AL37" i="14"/>
  <c r="AL38" i="14"/>
  <c r="AL39" i="14"/>
  <c r="AL40" i="14"/>
  <c r="AL41" i="14"/>
  <c r="AL42" i="14"/>
  <c r="AL12" i="14"/>
  <c r="X46" i="14" l="1"/>
  <c r="I46" i="14"/>
  <c r="AI13" i="14" l="1"/>
  <c r="AI14" i="14"/>
  <c r="AI15" i="14"/>
  <c r="AI16" i="14"/>
  <c r="AI17" i="14"/>
  <c r="AI18" i="14"/>
  <c r="AI19" i="14"/>
  <c r="AI20" i="14"/>
  <c r="AI21" i="14"/>
  <c r="AI22" i="14"/>
  <c r="AI23" i="14"/>
  <c r="AI24" i="14"/>
  <c r="AI25" i="14"/>
  <c r="AI26" i="14"/>
  <c r="AI27" i="14"/>
  <c r="AI28" i="14"/>
  <c r="AI29" i="14"/>
  <c r="AI30" i="14"/>
  <c r="AI31" i="14"/>
  <c r="AI32" i="14"/>
  <c r="AI33" i="14"/>
  <c r="AI34" i="14"/>
  <c r="AI35" i="14"/>
  <c r="AI36" i="14"/>
  <c r="AI37" i="14"/>
  <c r="AI38" i="14"/>
  <c r="AI39" i="14"/>
  <c r="AI40" i="14"/>
  <c r="AI41" i="14"/>
  <c r="AI42" i="14"/>
  <c r="AI12" i="14"/>
  <c r="AA17" i="14" l="1"/>
  <c r="AB17" i="14" s="1"/>
  <c r="AA18" i="14"/>
  <c r="AB18" i="14" s="1"/>
  <c r="AA20" i="14"/>
  <c r="AB20" i="14" s="1"/>
  <c r="AA25" i="14"/>
  <c r="AB25" i="14" s="1"/>
  <c r="AA26" i="14"/>
  <c r="AB26" i="14" s="1"/>
  <c r="AA28" i="14"/>
  <c r="AB28" i="14" s="1"/>
  <c r="AA33" i="14"/>
  <c r="AB33" i="14" s="1"/>
  <c r="AA34" i="14"/>
  <c r="AB34" i="14" s="1"/>
  <c r="AA36" i="14"/>
  <c r="AB36" i="14" s="1"/>
  <c r="AA41" i="14"/>
  <c r="AB41" i="14" s="1"/>
  <c r="AA42" i="14"/>
  <c r="AB42" i="14" s="1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12" i="14"/>
  <c r="AA13" i="14"/>
  <c r="AB13" i="14" s="1"/>
  <c r="AA14" i="14"/>
  <c r="AB14" i="14" s="1"/>
  <c r="AA15" i="14"/>
  <c r="AB15" i="14" s="1"/>
  <c r="AA16" i="14"/>
  <c r="AB16" i="14" s="1"/>
  <c r="AA19" i="14"/>
  <c r="AB19" i="14" s="1"/>
  <c r="AA21" i="14"/>
  <c r="AB21" i="14" s="1"/>
  <c r="AA22" i="14"/>
  <c r="AB22" i="14" s="1"/>
  <c r="AA23" i="14"/>
  <c r="AB23" i="14" s="1"/>
  <c r="AA24" i="14"/>
  <c r="AB24" i="14" s="1"/>
  <c r="AA27" i="14"/>
  <c r="AB27" i="14" s="1"/>
  <c r="AA29" i="14"/>
  <c r="AB29" i="14" s="1"/>
  <c r="AA30" i="14"/>
  <c r="AB30" i="14" s="1"/>
  <c r="AA31" i="14"/>
  <c r="AB31" i="14" s="1"/>
  <c r="AA32" i="14"/>
  <c r="AB32" i="14" s="1"/>
  <c r="AA35" i="14"/>
  <c r="AB35" i="14" s="1"/>
  <c r="AA37" i="14"/>
  <c r="AB37" i="14" s="1"/>
  <c r="AA38" i="14"/>
  <c r="AB38" i="14" s="1"/>
  <c r="AA39" i="14"/>
  <c r="AB39" i="14" s="1"/>
  <c r="AA40" i="14"/>
  <c r="AB40" i="14" s="1"/>
  <c r="AA12" i="14"/>
  <c r="AB12" i="14" s="1"/>
  <c r="V46" i="14" l="1"/>
  <c r="AB46" i="14"/>
  <c r="C7" i="10" l="1"/>
  <c r="N3" i="11" s="1"/>
  <c r="C8" i="10"/>
  <c r="N4" i="11" s="1"/>
  <c r="C9" i="10"/>
  <c r="N5" i="11" s="1"/>
  <c r="C10" i="10"/>
  <c r="N6" i="11" s="1"/>
  <c r="C11" i="10"/>
  <c r="N7" i="11" s="1"/>
  <c r="C12" i="10"/>
  <c r="N8" i="11" s="1"/>
  <c r="C13" i="10"/>
  <c r="N9" i="11" s="1"/>
  <c r="C14" i="10"/>
  <c r="N10" i="11" s="1"/>
  <c r="C15" i="10"/>
  <c r="N11" i="11" s="1"/>
  <c r="C16" i="10"/>
  <c r="N12" i="11" s="1"/>
  <c r="C17" i="10"/>
  <c r="N13" i="11" s="1"/>
  <c r="C18" i="10"/>
  <c r="N14" i="11" s="1"/>
  <c r="C19" i="10"/>
  <c r="N15" i="11" s="1"/>
  <c r="C20" i="10"/>
  <c r="N16" i="11" s="1"/>
  <c r="C21" i="10"/>
  <c r="N17" i="11" s="1"/>
  <c r="C22" i="10"/>
  <c r="N18" i="11" s="1"/>
  <c r="C23" i="10"/>
  <c r="N19" i="11" s="1"/>
  <c r="C24" i="10"/>
  <c r="N20" i="11" s="1"/>
  <c r="C25" i="10"/>
  <c r="N21" i="11" s="1"/>
  <c r="C26" i="10"/>
  <c r="N22" i="11" s="1"/>
  <c r="C27" i="10"/>
  <c r="N23" i="11" s="1"/>
  <c r="C28" i="10"/>
  <c r="N24" i="11" s="1"/>
  <c r="C29" i="10"/>
  <c r="N25" i="11" s="1"/>
  <c r="C30" i="10"/>
  <c r="N26" i="11" s="1"/>
  <c r="C31" i="10"/>
  <c r="N27" i="11" s="1"/>
  <c r="C32" i="10"/>
  <c r="N28" i="11" s="1"/>
  <c r="C33" i="10"/>
  <c r="N29" i="11" s="1"/>
  <c r="C34" i="10"/>
  <c r="N30" i="11" s="1"/>
  <c r="C35" i="10"/>
  <c r="N31" i="11" s="1"/>
  <c r="C36" i="10"/>
  <c r="N32" i="11" s="1"/>
  <c r="C6" i="10"/>
  <c r="N2" i="11" s="1"/>
  <c r="B7" i="10"/>
  <c r="M3" i="11" s="1"/>
  <c r="B8" i="10"/>
  <c r="M4" i="11" s="1"/>
  <c r="B9" i="10"/>
  <c r="M5" i="11" s="1"/>
  <c r="B10" i="10"/>
  <c r="M6" i="11" s="1"/>
  <c r="B11" i="10"/>
  <c r="M7" i="11" s="1"/>
  <c r="B12" i="10"/>
  <c r="M8" i="11" s="1"/>
  <c r="B13" i="10"/>
  <c r="M9" i="11" s="1"/>
  <c r="B14" i="10"/>
  <c r="M10" i="11" s="1"/>
  <c r="B15" i="10"/>
  <c r="M11" i="11" s="1"/>
  <c r="B16" i="10"/>
  <c r="M12" i="11" s="1"/>
  <c r="B17" i="10"/>
  <c r="M13" i="11" s="1"/>
  <c r="B18" i="10"/>
  <c r="M14" i="11" s="1"/>
  <c r="B19" i="10"/>
  <c r="M15" i="11" s="1"/>
  <c r="B20" i="10"/>
  <c r="M16" i="11" s="1"/>
  <c r="B21" i="10"/>
  <c r="M17" i="11" s="1"/>
  <c r="B22" i="10"/>
  <c r="M18" i="11" s="1"/>
  <c r="B23" i="10"/>
  <c r="M19" i="11" s="1"/>
  <c r="B24" i="10"/>
  <c r="M20" i="11" s="1"/>
  <c r="B25" i="10"/>
  <c r="M21" i="11" s="1"/>
  <c r="B26" i="10"/>
  <c r="M22" i="11" s="1"/>
  <c r="B27" i="10"/>
  <c r="M23" i="11" s="1"/>
  <c r="B28" i="10"/>
  <c r="M24" i="11" s="1"/>
  <c r="B29" i="10"/>
  <c r="M25" i="11" s="1"/>
  <c r="B30" i="10"/>
  <c r="M26" i="11" s="1"/>
  <c r="B31" i="10"/>
  <c r="M27" i="11" s="1"/>
  <c r="B32" i="10"/>
  <c r="M28" i="11" s="1"/>
  <c r="B33" i="10"/>
  <c r="M29" i="11" s="1"/>
  <c r="B34" i="10"/>
  <c r="M30" i="11" s="1"/>
  <c r="B35" i="10"/>
  <c r="M31" i="11" s="1"/>
  <c r="B36" i="10"/>
  <c r="M32" i="11" s="1"/>
  <c r="B6" i="10"/>
  <c r="M2" i="11" s="1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12" i="14"/>
  <c r="O13" i="14"/>
  <c r="O21" i="14"/>
  <c r="O16" i="14"/>
  <c r="O17" i="14"/>
  <c r="O18" i="14"/>
  <c r="O20" i="14"/>
  <c r="O24" i="14"/>
  <c r="O25" i="14"/>
  <c r="O26" i="14"/>
  <c r="O28" i="14"/>
  <c r="O32" i="14"/>
  <c r="O33" i="14"/>
  <c r="O34" i="14"/>
  <c r="O36" i="14"/>
  <c r="O40" i="14"/>
  <c r="O41" i="14"/>
  <c r="O42" i="14"/>
  <c r="O38" i="14" l="1"/>
  <c r="O22" i="14"/>
  <c r="O14" i="14"/>
  <c r="O30" i="14"/>
  <c r="O23" i="14"/>
  <c r="O15" i="14"/>
  <c r="O39" i="14"/>
  <c r="O31" i="14"/>
  <c r="O37" i="14"/>
  <c r="O29" i="14"/>
  <c r="O35" i="14"/>
  <c r="O27" i="14"/>
  <c r="O19" i="14"/>
  <c r="P46" i="14"/>
  <c r="L46" i="14"/>
  <c r="K46" i="14"/>
  <c r="J46" i="14"/>
  <c r="H46" i="14"/>
  <c r="G46" i="14"/>
  <c r="F46" i="14"/>
  <c r="E46" i="14"/>
  <c r="AK46" i="14" l="1"/>
  <c r="AJ46" i="14"/>
  <c r="AH46" i="14"/>
  <c r="AF46" i="14"/>
  <c r="AE46" i="14"/>
  <c r="M46" i="14"/>
  <c r="C46" i="14"/>
  <c r="D46" i="14"/>
  <c r="Z46" i="14"/>
  <c r="W46" i="14"/>
  <c r="AI46" i="14" l="1"/>
  <c r="AL46" i="14"/>
  <c r="AK48" i="14"/>
  <c r="E32" i="11"/>
  <c r="F32" i="11"/>
  <c r="G32" i="11"/>
  <c r="H32" i="11"/>
  <c r="I32" i="11"/>
  <c r="J32" i="11"/>
  <c r="K32" i="11"/>
  <c r="L32" i="11"/>
  <c r="C37" i="10" l="1"/>
  <c r="B37" i="10"/>
  <c r="AG46" i="14" l="1"/>
  <c r="AH48" i="14" s="1"/>
  <c r="N46" i="14" l="1"/>
  <c r="F31" i="11" l="1"/>
  <c r="F30" i="1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K21" i="11"/>
  <c r="K22" i="11"/>
  <c r="K23" i="11"/>
  <c r="K24" i="11"/>
  <c r="K25" i="11"/>
  <c r="K26" i="11"/>
  <c r="K27" i="11"/>
  <c r="K28" i="11"/>
  <c r="K29" i="11"/>
  <c r="AA46" i="14" l="1"/>
  <c r="AA48" i="14" s="1"/>
  <c r="L29" i="11"/>
  <c r="L27" i="11"/>
  <c r="L25" i="11"/>
  <c r="L23" i="11"/>
  <c r="L21" i="11"/>
  <c r="E23" i="11"/>
  <c r="E24" i="11"/>
  <c r="E25" i="11"/>
  <c r="E26" i="11"/>
  <c r="E27" i="11"/>
  <c r="E28" i="11"/>
  <c r="E29" i="11"/>
  <c r="L28" i="11"/>
  <c r="L26" i="11"/>
  <c r="L24" i="11"/>
  <c r="L22" i="11"/>
  <c r="E21" i="11" l="1"/>
  <c r="E22" i="11"/>
  <c r="F28" i="11"/>
  <c r="F26" i="11"/>
  <c r="F24" i="11"/>
  <c r="F22" i="11"/>
  <c r="F29" i="11"/>
  <c r="F27" i="11"/>
  <c r="F25" i="11"/>
  <c r="F23" i="11"/>
  <c r="F21" i="11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J20" i="11"/>
  <c r="I15" i="11"/>
  <c r="K14" i="11"/>
  <c r="I9" i="11"/>
  <c r="I7" i="11"/>
  <c r="K6" i="11"/>
  <c r="K2" i="11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H12" i="11"/>
  <c r="H14" i="11"/>
  <c r="H15" i="11"/>
  <c r="G16" i="11"/>
  <c r="H16" i="11"/>
  <c r="H18" i="11"/>
  <c r="H19" i="11"/>
  <c r="H20" i="11"/>
  <c r="H4" i="11"/>
  <c r="H6" i="11"/>
  <c r="H10" i="11"/>
  <c r="H17" i="11"/>
  <c r="G20" i="11"/>
  <c r="G15" i="11"/>
  <c r="G14" i="11"/>
  <c r="J13" i="11"/>
  <c r="J14" i="11"/>
  <c r="J6" i="11"/>
  <c r="J5" i="11"/>
  <c r="G7" i="11"/>
  <c r="G11" i="11"/>
  <c r="J17" i="11"/>
  <c r="G13" i="11"/>
  <c r="J4" i="11"/>
  <c r="G5" i="11"/>
  <c r="G3" i="11"/>
  <c r="J11" i="11"/>
  <c r="J12" i="11"/>
  <c r="J16" i="11"/>
  <c r="J8" i="11"/>
  <c r="K3" i="11"/>
  <c r="G6" i="11"/>
  <c r="I12" i="11"/>
  <c r="I4" i="11"/>
  <c r="J15" i="11"/>
  <c r="G12" i="11"/>
  <c r="G4" i="11"/>
  <c r="I18" i="11"/>
  <c r="K16" i="11"/>
  <c r="K8" i="11"/>
  <c r="G19" i="11"/>
  <c r="I17" i="11"/>
  <c r="K15" i="11"/>
  <c r="K7" i="11"/>
  <c r="L10" i="11"/>
  <c r="I10" i="11"/>
  <c r="G18" i="11"/>
  <c r="G10" i="11"/>
  <c r="I16" i="11"/>
  <c r="I8" i="11"/>
  <c r="J19" i="11"/>
  <c r="J3" i="11"/>
  <c r="L9" i="11"/>
  <c r="G17" i="11"/>
  <c r="J18" i="11"/>
  <c r="J10" i="11"/>
  <c r="K13" i="11"/>
  <c r="K5" i="11"/>
  <c r="I14" i="11"/>
  <c r="I6" i="11"/>
  <c r="K12" i="11"/>
  <c r="K4" i="11"/>
  <c r="L2" i="11"/>
  <c r="H2" i="11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L14" i="11"/>
  <c r="L12" i="11"/>
  <c r="L18" i="11"/>
  <c r="L4" i="11"/>
  <c r="L20" i="11"/>
  <c r="L19" i="11"/>
  <c r="L8" i="11"/>
  <c r="L15" i="11"/>
  <c r="L13" i="11"/>
  <c r="L16" i="11"/>
  <c r="L7" i="11"/>
  <c r="L17" i="11"/>
  <c r="L5" i="11"/>
  <c r="L11" i="11"/>
  <c r="J9" i="11"/>
  <c r="L3" i="11"/>
  <c r="O46" i="14" l="1"/>
  <c r="P48" i="14" s="1"/>
  <c r="F7" i="11"/>
  <c r="F2" i="11"/>
  <c r="L6" i="11"/>
  <c r="U47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<sst xmlns="http://schemas.openxmlformats.org/spreadsheetml/2006/main" count="102" uniqueCount="56">
  <si>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</si>
  <si>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</si>
  <si>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</si>
  <si>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</si>
  <si>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</si>
  <si>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</si>
  <si>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</si>
  <si>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</si>
  <si>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</si>
  <si>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</si>
  <si>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</si>
  <si>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</si>
  <si>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</si>
  <si>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</si>
  <si>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</si>
  <si>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</si>
  <si>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</si>
  <si>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MAY 2022</t>
  </si>
  <si>
    <t>Date</t>
  </si>
  <si>
    <t>Room Nights</t>
  </si>
  <si>
    <t>ELECTRICITY Resort &amp; Sundara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</si>
  <si>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</si>
  <si>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</si>
  <si>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</si>
  <si>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</si>
  <si>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</si>
  <si>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</si>
  <si>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</si>
  <si>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</si>
  <si>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</si>
  <si>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</si>
  <si>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</si>
  <si>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</si>
  <si>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</si>
  <si>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</si>
  <si>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</si>
  <si>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</si>
  <si>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</si>
  <si>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</si>
  <si>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</si>
  <si>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</si>
  <si>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</si>
  <si>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</si>
  <si>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</si>
  <si>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</si>
  <si>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</si>
  <si>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</si>
  <si>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</si>
  <si>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</si>
  <si>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</si>
  <si>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</si>
  <si>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</si>
  <si>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</si>
  <si>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</si>
  <si>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</si>
  <si>
    <t>5/1/20225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</si>
</sst>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&quot;$&quot;#,##0"/>
    <numFmt numFmtId="167" formatCode="_-* #,##0.0_-;\-* #,##0.0_-;_-* &quot;-&quot;??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68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6" fillId="3" borderId="0" xfId="0" applyNumberFormat="1" applyFont="1" applyFill="1"/>
    <xf numFmtId="166" fontId="0" fillId="0" borderId="21" xfId="2" applyNumberFormat="1" applyFont="1" applyBorder="1"/>
    <xf numFmtId="166" fontId="0" fillId="3" borderId="5" xfId="0" applyNumberFormat="1" applyFill="1" applyBorder="1"/>
    <xf numFmtId="166" fontId="0" fillId="0" borderId="0" xfId="0" applyNumberFormat="1"/>
    <xf numFmtId="0" fontId="0" fillId="0" borderId="13" xfId="0" applyBorder="1" applyAlignment="1">
      <alignment horizontal="center" vertical="center" wrapText="1"/>
    </xf>
    <xf numFmtId="166" fontId="0" fillId="0" borderId="9" xfId="2" applyNumberFormat="1" applyFont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6" fontId="0" fillId="0" borderId="26" xfId="0" applyNumberFormat="1" applyBorder="1" applyAlignment="1">
      <alignment horizontal="center" vertical="center" wrapText="1"/>
    </xf>
    <xf numFmtId="166" fontId="0" fillId="0" borderId="43" xfId="0" applyNumberFormat="1" applyBorder="1" applyAlignment="1">
      <alignment horizontal="center" vertical="center" wrapText="1"/>
    </xf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6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7" fontId="6" fillId="3" borderId="0" xfId="2" applyNumberFormat="1" applyFont="1" applyFill="1" applyBorder="1" applyAlignment="1"/>
    <xf numFmtId="167" fontId="0" fillId="3" borderId="0" xfId="2" applyNumberFormat="1" applyFont="1" applyFill="1" applyBorder="1"/>
    <xf numFmtId="167" fontId="0" fillId="3" borderId="47" xfId="2" applyNumberFormat="1" applyFont="1" applyFill="1" applyBorder="1"/>
    <xf numFmtId="167" fontId="0" fillId="0" borderId="0" xfId="2" applyNumberFormat="1" applyFont="1" applyBorder="1"/>
    <xf numFmtId="167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0" fillId="0" borderId="29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5" fontId="8" fillId="0" borderId="44" xfId="2" applyNumberFormat="1" applyFont="1" applyBorder="1" applyAlignment="1">
      <alignment horizontal="center" vertical="center" wrapText="1"/>
    </xf>
    <xf numFmtId="167" fontId="0" fillId="0" borderId="35" xfId="2" applyNumberFormat="1" applyFont="1" applyBorder="1" applyAlignment="1">
      <alignment horizontal="center" vertical="center" wrapText="1"/>
    </xf>
    <xf numFmtId="167" fontId="4" fillId="0" borderId="0" xfId="2" applyNumberFormat="1" applyFont="1" applyBorder="1"/>
    <xf numFmtId="165" fontId="0" fillId="3" borderId="14" xfId="2" applyNumberFormat="1" applyFont="1" applyFill="1" applyBorder="1"/>
    <xf numFmtId="0" fontId="0" fillId="3" borderId="58" xfId="0" applyFill="1" applyBorder="1"/>
    <xf numFmtId="0" fontId="0" fillId="3" borderId="15" xfId="0" applyFill="1" applyBorder="1"/>
    <xf numFmtId="0" fontId="0" fillId="3" borderId="59" xfId="0" applyFill="1" applyBorder="1"/>
    <xf numFmtId="0" fontId="0" fillId="3" borderId="60" xfId="0" applyFill="1" applyBorder="1"/>
    <xf numFmtId="165" fontId="0" fillId="3" borderId="48" xfId="2" applyNumberFormat="1" applyFont="1" applyFill="1" applyBorder="1"/>
    <xf numFmtId="0" fontId="11" fillId="11" borderId="56" xfId="0" applyFont="1" applyFill="1" applyBorder="1" applyAlignment="1">
      <alignment horizontal="center" vertical="center" shrinkToFit="1"/>
    </xf>
    <xf numFmtId="0" fontId="0" fillId="0" borderId="6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5" fontId="0" fillId="0" borderId="21" xfId="0" applyNumberFormat="1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2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0" fontId="0" fillId="3" borderId="52" xfId="0" applyFill="1" applyBorder="1" applyAlignment="1">
      <alignment wrapText="1"/>
    </xf>
    <xf numFmtId="43" fontId="0" fillId="0" borderId="0" xfId="0" applyNumberFormat="1"/>
    <xf numFmtId="167" fontId="0" fillId="0" borderId="41" xfId="2" applyNumberFormat="1" applyFont="1" applyBorder="1" applyAlignment="1">
      <alignment horizontal="center" vertical="center" wrapText="1"/>
    </xf>
    <xf numFmtId="167" fontId="0" fillId="0" borderId="25" xfId="2" applyNumberFormat="1" applyFont="1" applyBorder="1" applyAlignment="1">
      <alignment horizontal="center" vertical="center" wrapText="1"/>
    </xf>
    <xf numFmtId="167" fontId="0" fillId="0" borderId="22" xfId="2" applyNumberFormat="1" applyFont="1" applyBorder="1"/>
    <xf numFmtId="167" fontId="0" fillId="0" borderId="47" xfId="2" applyNumberFormat="1" applyFont="1" applyBorder="1"/>
    <xf numFmtId="164" fontId="5" fillId="0" borderId="0" xfId="2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1" fillId="0" borderId="1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1" fillId="0" borderId="10" xfId="2" applyNumberFormat="1" applyFont="1" applyBorder="1"/>
    <xf numFmtId="164" fontId="0" fillId="3" borderId="49" xfId="0" applyNumberFormat="1" applyFill="1" applyBorder="1"/>
    <xf numFmtId="0" fontId="0" fillId="3" borderId="58" xfId="0" applyFill="1" applyBorder="1" applyAlignment="1">
      <alignment wrapText="1"/>
    </xf>
    <xf numFmtId="0" fontId="7" fillId="3" borderId="58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7" fontId="17" fillId="0" borderId="0" xfId="2" applyNumberFormat="1" applyFont="1"/>
    <xf numFmtId="166" fontId="17" fillId="0" borderId="0" xfId="0" applyNumberFormat="1" applyFont="1"/>
    <xf numFmtId="167" fontId="0" fillId="0" borderId="16" xfId="2" applyNumberFormat="1" applyFont="1" applyBorder="1"/>
    <xf numFmtId="167" fontId="0" fillId="0" borderId="14" xfId="2" applyNumberFormat="1" applyFont="1" applyBorder="1"/>
    <xf numFmtId="167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7" fontId="17" fillId="3" borderId="14" xfId="2" applyNumberFormat="1" applyFont="1" applyFill="1" applyBorder="1" applyAlignment="1">
      <alignment vertical="top" wrapText="1"/>
    </xf>
    <xf numFmtId="167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164" fontId="0" fillId="3" borderId="65" xfId="2" applyFont="1" applyFill="1" applyBorder="1"/>
    <xf numFmtId="164" fontId="0" fillId="3" borderId="46" xfId="2" applyFont="1" applyFill="1" applyBorder="1"/>
    <xf numFmtId="164" fontId="0" fillId="3" borderId="45" xfId="2" applyFont="1" applyFill="1" applyBorder="1"/>
    <xf numFmtId="164" fontId="0" fillId="3" borderId="56" xfId="2" applyFont="1" applyFill="1" applyBorder="1"/>
    <xf numFmtId="164" fontId="17" fillId="0" borderId="0" xfId="0" applyNumberFormat="1" applyFont="1"/>
    <xf numFmtId="164" fontId="0" fillId="0" borderId="0" xfId="0" applyNumberFormat="1"/>
    <xf numFmtId="164" fontId="0" fillId="0" borderId="0" xfId="2" applyFont="1" applyBorder="1"/>
    <xf numFmtId="164" fontId="0" fillId="0" borderId="0" xfId="2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3" borderId="63" xfId="0" applyFill="1" applyBorder="1" applyAlignment="1">
      <alignment wrapText="1"/>
    </xf>
    <xf numFmtId="0" fontId="7" fillId="3" borderId="33" xfId="4" applyFill="1" applyBorder="1" applyAlignment="1">
      <alignment vertical="top" wrapText="1"/>
    </xf>
    <xf numFmtId="164" fontId="0" fillId="3" borderId="66" xfId="2" applyFont="1" applyFill="1" applyBorder="1"/>
    <xf numFmtId="165" fontId="0" fillId="0" borderId="30" xfId="0" applyNumberFormat="1" applyBorder="1"/>
    <xf numFmtId="167" fontId="0" fillId="0" borderId="67" xfId="2" applyNumberFormat="1" applyFont="1" applyBorder="1"/>
    <xf numFmtId="9" fontId="17" fillId="0" borderId="0" xfId="5" applyFont="1"/>
    <xf numFmtId="164" fontId="0" fillId="3" borderId="0" xfId="2" applyFont="1" applyFill="1" applyBorder="1"/>
    <xf numFmtId="0" fontId="0" fillId="0" borderId="68" xfId="0" applyBorder="1" applyAlignment="1">
      <alignment horizontal="center" vertical="center" wrapText="1"/>
    </xf>
    <xf numFmtId="37" fontId="0" fillId="0" borderId="8" xfId="0" applyNumberFormat="1" applyBorder="1"/>
    <xf numFmtId="0" fontId="0" fillId="0" borderId="29" xfId="0" applyBorder="1" applyAlignment="1">
      <alignment horizontal="center" vertical="center" wrapText="1"/>
    </xf>
    <xf numFmtId="1" fontId="0" fillId="0" borderId="9" xfId="2" applyNumberFormat="1" applyFont="1" applyBorder="1"/>
    <xf numFmtId="1" fontId="0" fillId="0" borderId="8" xfId="2" applyNumberFormat="1" applyFont="1" applyBorder="1"/>
    <xf numFmtId="1" fontId="0" fillId="0" borderId="45" xfId="2" applyNumberFormat="1" applyFont="1" applyBorder="1"/>
    <xf numFmtId="1" fontId="2" fillId="0" borderId="45" xfId="2" applyNumberFormat="1" applyFont="1" applyBorder="1"/>
    <xf numFmtId="1" fontId="0" fillId="0" borderId="10" xfId="2" applyNumberFormat="1" applyFont="1" applyBorder="1"/>
    <xf numFmtId="1" fontId="0" fillId="0" borderId="21" xfId="0" applyNumberFormat="1" applyBorder="1"/>
    <xf numFmtId="1" fontId="2" fillId="0" borderId="8" xfId="2" applyNumberFormat="1" applyFont="1" applyBorder="1"/>
    <xf numFmtId="1" fontId="0" fillId="0" borderId="55" xfId="2" applyNumberFormat="1" applyFont="1" applyBorder="1"/>
    <xf numFmtId="1" fontId="0" fillId="0" borderId="29" xfId="2" applyNumberFormat="1" applyFont="1" applyBorder="1"/>
    <xf numFmtId="1" fontId="2" fillId="0" borderId="29" xfId="2" applyNumberFormat="1" applyFont="1" applyBorder="1"/>
    <xf numFmtId="1" fontId="0" fillId="3" borderId="14" xfId="2" applyNumberFormat="1" applyFont="1" applyFill="1" applyBorder="1"/>
    <xf numFmtId="1" fontId="0" fillId="3" borderId="0" xfId="2" applyNumberFormat="1" applyFont="1" applyFill="1" applyBorder="1"/>
    <xf numFmtId="1" fontId="0" fillId="3" borderId="0" xfId="0" applyNumberFormat="1" applyFill="1"/>
    <xf numFmtId="1" fontId="8" fillId="3" borderId="0" xfId="2" applyNumberFormat="1" applyFont="1" applyFill="1" applyBorder="1"/>
    <xf numFmtId="1" fontId="1" fillId="0" borderId="39" xfId="0" applyNumberFormat="1" applyFont="1" applyBorder="1"/>
    <xf numFmtId="1" fontId="9" fillId="6" borderId="23" xfId="2" applyNumberFormat="1" applyFont="1" applyFill="1" applyBorder="1"/>
    <xf numFmtId="1" fontId="1" fillId="6" borderId="23" xfId="2" applyNumberFormat="1" applyFont="1" applyFill="1" applyBorder="1"/>
    <xf numFmtId="1" fontId="1" fillId="0" borderId="23" xfId="2" applyNumberFormat="1" applyFont="1" applyBorder="1"/>
    <xf numFmtId="1" fontId="9" fillId="6" borderId="23" xfId="0" applyNumberFormat="1" applyFont="1" applyFill="1" applyBorder="1"/>
    <xf numFmtId="1" fontId="9" fillId="12" borderId="7" xfId="1" applyNumberFormat="1" applyFont="1" applyFill="1" applyBorder="1"/>
    <xf numFmtId="1" fontId="1" fillId="3" borderId="6" xfId="0" applyNumberFormat="1" applyFont="1" applyFill="1" applyBorder="1"/>
    <xf numFmtId="164" fontId="14" fillId="3" borderId="8" xfId="2" applyFont="1" applyFill="1" applyBorder="1" applyProtection="1">
      <protection locked="0"/>
    </xf>
    <xf numFmtId="1" fontId="0" fillId="0" borderId="32" xfId="0" applyNumberFormat="1" applyBorder="1"/>
    <xf numFmtId="1" fontId="0" fillId="0" borderId="56" xfId="2" applyNumberFormat="1" applyFont="1" applyBorder="1"/>
    <xf numFmtId="1" fontId="2" fillId="0" borderId="56" xfId="2" applyNumberFormat="1" applyFont="1" applyBorder="1"/>
    <xf numFmtId="165" fontId="1" fillId="0" borderId="55" xfId="2" applyNumberFormat="1" applyFont="1" applyBorder="1"/>
    <xf numFmtId="1" fontId="0" fillId="0" borderId="30" xfId="2" applyNumberFormat="1" applyFont="1" applyBorder="1"/>
    <xf numFmtId="165" fontId="0" fillId="0" borderId="32" xfId="0" applyNumberFormat="1" applyBorder="1"/>
    <xf numFmtId="166" fontId="0" fillId="0" borderId="30" xfId="2" applyNumberFormat="1" applyFont="1" applyBorder="1"/>
    <xf numFmtId="1" fontId="4" fillId="0" borderId="0" xfId="0" applyNumberFormat="1" applyFont="1" applyAlignment="1">
      <alignment horizontal="center"/>
    </xf>
    <xf numFmtId="1" fontId="0" fillId="3" borderId="23" xfId="0" applyNumberFormat="1" applyFill="1" applyBorder="1"/>
    <xf numFmtId="1" fontId="0" fillId="3" borderId="23" xfId="2" applyNumberFormat="1" applyFont="1" applyFill="1" applyBorder="1"/>
    <xf numFmtId="1" fontId="1" fillId="12" borderId="7" xfId="0" applyNumberFormat="1" applyFont="1" applyFill="1" applyBorder="1"/>
    <xf numFmtId="164" fontId="0" fillId="0" borderId="67" xfId="2" applyFont="1" applyBorder="1"/>
    <xf numFmtId="166" fontId="0" fillId="0" borderId="32" xfId="2" applyNumberFormat="1" applyFont="1" applyBorder="1"/>
    <xf numFmtId="1" fontId="9" fillId="6" borderId="39" xfId="0" applyNumberFormat="1" applyFont="1" applyFill="1" applyBorder="1"/>
    <xf numFmtId="1" fontId="9" fillId="5" borderId="6" xfId="0" applyNumberFormat="1" applyFont="1" applyFill="1" applyBorder="1"/>
    <xf numFmtId="1" fontId="1" fillId="3" borderId="33" xfId="2" applyNumberFormat="1" applyFont="1" applyFill="1" applyBorder="1"/>
    <xf numFmtId="1" fontId="20" fillId="14" borderId="23" xfId="0" applyNumberFormat="1" applyFont="1" applyFill="1" applyBorder="1"/>
    <xf numFmtId="1" fontId="20" fillId="14" borderId="31" xfId="2" applyNumberFormat="1" applyFont="1" applyFill="1" applyBorder="1"/>
    <xf numFmtId="1" fontId="9" fillId="12" borderId="6" xfId="2" applyNumberFormat="1" applyFont="1" applyFill="1" applyBorder="1"/>
    <xf numFmtId="1" fontId="9" fillId="13" borderId="6" xfId="2" applyNumberFormat="1" applyFont="1" applyFill="1" applyBorder="1"/>
    <xf numFmtId="0" fontId="21" fillId="0" borderId="69" xfId="0" applyFont="1" applyBorder="1"/>
    <xf numFmtId="0" fontId="21" fillId="0" borderId="70" xfId="0" applyFont="1" applyBorder="1"/>
    <xf numFmtId="0" fontId="21" fillId="0" borderId="0" xfId="0" applyFont="1"/>
    <xf numFmtId="1" fontId="0" fillId="0" borderId="13" xfId="2" applyNumberFormat="1" applyFont="1" applyBorder="1" applyAlignment="1">
      <alignment horizontal="center" vertical="center" wrapText="1"/>
    </xf>
    <xf numFmtId="167" fontId="1" fillId="0" borderId="35" xfId="2" applyNumberFormat="1" applyFont="1" applyBorder="1" applyAlignment="1">
      <alignment horizontal="center" vertical="center" wrapText="1"/>
    </xf>
    <xf numFmtId="167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167" fontId="1" fillId="4" borderId="1" xfId="2" applyNumberFormat="1" applyFont="1" applyFill="1" applyBorder="1" applyAlignment="1">
      <alignment horizontal="center" vertical="center"/>
    </xf>
    <xf numFmtId="167" fontId="1" fillId="4" borderId="40" xfId="2" applyNumberFormat="1" applyFont="1" applyFill="1" applyBorder="1" applyAlignment="1">
      <alignment horizontal="center" vertical="center"/>
    </xf>
    <xf numFmtId="167" fontId="1" fillId="4" borderId="2" xfId="2" applyNumberFormat="1" applyFont="1" applyFill="1" applyBorder="1" applyAlignment="1">
      <alignment horizontal="center" vertical="center"/>
    </xf>
    <xf numFmtId="17" fontId="6" fillId="3" borderId="57" xfId="0" applyNumberFormat="1" applyFont="1" applyFill="1" applyBorder="1" applyAlignment="1">
      <alignment horizontal="center"/>
    </xf>
    <xf numFmtId="0" fontId="6" fillId="3" borderId="57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3"/>
  <sheetViews>
    <sheetView workbookViewId="0">
      <selection activeCell="E10" sqref="E10"/>
    </sheetView>
  </sheetViews>
  <sheetFormatPr defaultColWidth="11.5703125" defaultRowHeight="15"/>
  <cols>
    <col min="1" max="1" width="18.42578125" style="126" customWidth="1"/>
    <col min="2" max="2" width="11.5703125" style="127"/>
    <col min="3" max="3" width="11.5703125" style="128"/>
    <col min="4" max="4" width="13.42578125" style="127" customWidth="1"/>
    <col min="5" max="5" width="12.5703125" style="125" customWidth="1"/>
    <col min="6" max="6" width="12.5703125" style="129" customWidth="1"/>
    <col min="7" max="7" width="11.5703125" style="125"/>
    <col min="8" max="8" width="11.5703125" style="129"/>
    <col min="9" max="9" width="11.5703125" style="130"/>
    <col min="10" max="10" width="11.5703125" style="131"/>
    <col min="11" max="11" width="11.5703125" style="125"/>
    <col min="12" max="12" width="11.5703125" style="131"/>
    <col min="13" max="25" width="11.5703125" style="125"/>
  </cols>
  <sheetData>
    <row r="1" spans="1:15" s="119" customFormat="1" ht="60">
      <c r="A1" s="115" t="s">
        <v>0</v>
      </c>
      <c r="B1" s="115" t="s">
        <v>1</v>
      </c>
      <c r="C1" s="116" t="s">
        <v>2</v>
      </c>
      <c r="D1" s="115" t="s">
        <v>3</v>
      </c>
      <c r="E1" s="114" t="s">
        <v>4</v>
      </c>
      <c r="F1" s="117" t="s">
        <v>5</v>
      </c>
      <c r="G1" s="114" t="s">
        <v>6</v>
      </c>
      <c r="H1" s="117" t="s">
        <v>7</v>
      </c>
      <c r="I1" s="114" t="s">
        <v>8</v>
      </c>
      <c r="J1" s="117" t="s">
        <v>9</v>
      </c>
      <c r="K1" s="114" t="s">
        <v>10</v>
      </c>
      <c r="L1" s="118" t="s">
        <v>11</v>
      </c>
      <c r="M1" s="114" t="s">
        <v>12</v>
      </c>
      <c r="N1" s="114" t="s">
        <v>13</v>
      </c>
    </row>
    <row r="2" spans="1:15">
      <c r="A2" s="120" t="s">
        <v>14</v>
      </c>
      <c r="B2" s="121">
        <v>1</v>
      </c>
      <c r="C2" s="122">
        <v>5</v>
      </c>
      <c r="D2" s="121">
        <v>2022</v>
      </c>
      <c r="E2" s="123">
        <f>'FS Jimbaran May 2022'!P12</f>
        <v>21939.9999999998</v>
      </c>
      <c r="F2" s="132">
        <f>'FS Jimbaran May 2022'!O12/'FS Jimbaran May 2022'!P12</f>
        <v>1137.7528714676378</v>
      </c>
      <c r="G2" s="123">
        <f>'FS Jimbaran May 2022'!AG12</f>
        <v>766.23120000004235</v>
      </c>
      <c r="H2" s="132">
        <f>'FS Jimbaran May 2022'!AH12/'FS Jimbaran May 2022'!AG12</f>
        <v>19018.621626997177</v>
      </c>
      <c r="I2" s="123">
        <f>'FS Jimbaran May 2022'!AJ12</f>
        <v>301.04999999999927</v>
      </c>
      <c r="J2" s="124">
        <f>'FS Jimbaran May 2022'!AK12/'FS Jimbaran May 2022'!AJ12</f>
        <v>17500</v>
      </c>
      <c r="K2" s="123">
        <f>'FS Jimbaran May 2022'!V12</f>
        <v>626.55999999999995</v>
      </c>
      <c r="L2" s="132">
        <f>'FS Jimbaran May 2022'!AA12/'FS Jimbaran May 2022'!V12</f>
        <v>7013.6394318181819</v>
      </c>
      <c r="M2" s="123">
        <f>'RNs &amp; Covers May 2022'!B6</f>
        <v>75</v>
      </c>
      <c r="N2" s="123">
        <f>'RNs &amp; Covers May 2022'!C6</f>
        <v>425</v>
      </c>
    </row>
    <row r="3" spans="1:15">
      <c r="A3" s="120" t="s">
        <v>14</v>
      </c>
      <c r="B3" s="121">
        <f>B2+1</f>
        <v>2</v>
      </c>
      <c r="C3" s="122">
        <v>5</v>
      </c>
      <c r="D3" s="121">
        <v>2022</v>
      </c>
      <c r="E3" s="123">
        <f>'FS Jimbaran May 2022'!P13</f>
        <v>23599.999999999764</v>
      </c>
      <c r="F3" s="132">
        <f>'FS Jimbaran May 2022'!O13/'FS Jimbaran May 2022'!P13</f>
        <v>1136.2857711864447</v>
      </c>
      <c r="G3" s="123">
        <f>'FS Jimbaran May 2022'!AG13</f>
        <v>680.76883999995675</v>
      </c>
      <c r="H3" s="132">
        <f>'FS Jimbaran May 2022'!AH13/'FS Jimbaran May 2022'!AG13</f>
        <v>18947.657844034104</v>
      </c>
      <c r="I3" s="123">
        <f>'FS Jimbaran May 2022'!AJ13</f>
        <v>403.32000000000153</v>
      </c>
      <c r="J3" s="124">
        <f>'FS Jimbaran May 2022'!AK13/'FS Jimbaran May 2022'!AJ13</f>
        <v>17500</v>
      </c>
      <c r="K3" s="123">
        <f>'FS Jimbaran May 2022'!V13</f>
        <v>658.6</v>
      </c>
      <c r="L3" s="132">
        <f>'FS Jimbaran May 2022'!AA13/'FS Jimbaran May 2022'!V13</f>
        <v>6433.8121081081081</v>
      </c>
      <c r="M3" s="123">
        <f>'RNs &amp; Covers May 2022'!B7</f>
        <v>91</v>
      </c>
      <c r="N3" s="123">
        <f>'RNs &amp; Covers May 2022'!C7</f>
        <v>524</v>
      </c>
    </row>
    <row r="4" spans="1:15">
      <c r="A4" s="120" t="s">
        <v>14</v>
      </c>
      <c r="B4" s="121">
        <f t="shared" ref="B4:B32" si="0">B3+1</f>
        <v>3</v>
      </c>
      <c r="C4" s="122">
        <v>5</v>
      </c>
      <c r="D4" s="121">
        <v>2022</v>
      </c>
      <c r="E4" s="123">
        <f>'FS Jimbaran May 2022'!P14</f>
        <v>23320.000000000135</v>
      </c>
      <c r="F4" s="132">
        <f>'FS Jimbaran May 2022'!O14/'FS Jimbaran May 2022'!P14</f>
        <v>1133.4950943396184</v>
      </c>
      <c r="G4" s="123">
        <f>'FS Jimbaran May 2022'!AG14</f>
        <v>683.30648000004146</v>
      </c>
      <c r="H4" s="132">
        <f>'FS Jimbaran May 2022'!AH14/'FS Jimbaran May 2022'!AG14</f>
        <v>18947.529781365462</v>
      </c>
      <c r="I4" s="123">
        <f>'FS Jimbaran May 2022'!AJ14</f>
        <v>823.73999999999978</v>
      </c>
      <c r="J4" s="124">
        <f>'FS Jimbaran May 2022'!AK14/'FS Jimbaran May 2022'!AJ14</f>
        <v>17500</v>
      </c>
      <c r="K4" s="123">
        <f>'FS Jimbaran May 2022'!V14</f>
        <v>687.97</v>
      </c>
      <c r="L4" s="132">
        <f>'FS Jimbaran May 2022'!AA14/'FS Jimbaran May 2022'!V14</f>
        <v>6766.5195084087973</v>
      </c>
      <c r="M4" s="123">
        <f>'RNs &amp; Covers May 2022'!B8</f>
        <v>86</v>
      </c>
      <c r="N4" s="123">
        <f>'RNs &amp; Covers May 2022'!C8</f>
        <v>583</v>
      </c>
    </row>
    <row r="5" spans="1:15">
      <c r="A5" s="120" t="s">
        <v>14</v>
      </c>
      <c r="B5" s="121">
        <f t="shared" si="0"/>
        <v>4</v>
      </c>
      <c r="C5" s="122">
        <v>5</v>
      </c>
      <c r="D5" s="121">
        <v>2022</v>
      </c>
      <c r="E5" s="123">
        <f>'FS Jimbaran May 2022'!P15</f>
        <v>23159.999999999967</v>
      </c>
      <c r="F5" s="132">
        <f>'FS Jimbaran May 2022'!O15/'FS Jimbaran May 2022'!P15</f>
        <v>1134.1701554404167</v>
      </c>
      <c r="G5" s="123">
        <f>'FS Jimbaran May 2022'!AG15</f>
        <v>734.9419999999908</v>
      </c>
      <c r="H5" s="132">
        <f>'FS Jimbaran May 2022'!AH15/'FS Jimbaran May 2022'!AG15</f>
        <v>18897.209351486239</v>
      </c>
      <c r="I5" s="123">
        <f>'FS Jimbaran May 2022'!AJ15</f>
        <v>136.6500000000342</v>
      </c>
      <c r="J5" s="124">
        <f>'FS Jimbaran May 2022'!AK15/'FS Jimbaran May 2022'!AJ15</f>
        <v>17500</v>
      </c>
      <c r="K5" s="123">
        <f>'FS Jimbaran May 2022'!V15</f>
        <v>665.72</v>
      </c>
      <c r="L5" s="132">
        <f>'FS Jimbaran May 2022'!AA15/'FS Jimbaran May 2022'!V15</f>
        <v>6887.4875935828886</v>
      </c>
      <c r="M5" s="123">
        <f>'RNs &amp; Covers May 2022'!B9</f>
        <v>80</v>
      </c>
      <c r="N5" s="123">
        <f>'RNs &amp; Covers May 2022'!C9</f>
        <v>611</v>
      </c>
    </row>
    <row r="6" spans="1:15">
      <c r="A6" s="120" t="s">
        <v>14</v>
      </c>
      <c r="B6" s="121">
        <f t="shared" si="0"/>
        <v>5</v>
      </c>
      <c r="C6" s="122">
        <v>5</v>
      </c>
      <c r="D6" s="121">
        <v>2022</v>
      </c>
      <c r="E6" s="123">
        <f>'FS Jimbaran May 2022'!P16</f>
        <v>22540.000000000047</v>
      </c>
      <c r="F6" s="132">
        <f>'FS Jimbaran May 2022'!O16/'FS Jimbaran May 2022'!P16</f>
        <v>1130.4431233362877</v>
      </c>
      <c r="G6" s="123">
        <f>'FS Jimbaran May 2022'!AG16</f>
        <v>511.47543999996526</v>
      </c>
      <c r="H6" s="132">
        <f>'FS Jimbaran May 2022'!AH16/'FS Jimbaran May 2022'!AG16</f>
        <v>19009.820444164434</v>
      </c>
      <c r="I6" s="123">
        <f>'FS Jimbaran May 2022'!AJ16</f>
        <v>371.51000000000022</v>
      </c>
      <c r="J6" s="124">
        <f>'FS Jimbaran May 2022'!AK16/'FS Jimbaran May 2022'!AJ16</f>
        <v>17500</v>
      </c>
      <c r="K6" s="123">
        <f>'FS Jimbaran May 2022'!V16</f>
        <v>617.66000000000008</v>
      </c>
      <c r="L6" s="132">
        <f>'FS Jimbaran May 2022'!AA16/'FS Jimbaran May 2022'!V16</f>
        <v>6321.7774063400575</v>
      </c>
      <c r="M6" s="123">
        <f>'RNs &amp; Covers May 2022'!B10</f>
        <v>58</v>
      </c>
      <c r="N6" s="123">
        <f>'RNs &amp; Covers May 2022'!C10</f>
        <v>558</v>
      </c>
    </row>
    <row r="7" spans="1:15">
      <c r="A7" s="120" t="s">
        <v>14</v>
      </c>
      <c r="B7" s="121">
        <f t="shared" si="0"/>
        <v>6</v>
      </c>
      <c r="C7" s="122">
        <v>5</v>
      </c>
      <c r="D7" s="121">
        <v>2022</v>
      </c>
      <c r="E7" s="123">
        <f>'FS Jimbaran May 2022'!P17</f>
        <v>22979.999999999905</v>
      </c>
      <c r="F7" s="132">
        <f>'FS Jimbaran May 2022'!O17/'FS Jimbaran May 2022'!P17</f>
        <v>1130.8842558746746</v>
      </c>
      <c r="G7" s="123">
        <f>'FS Jimbaran May 2022'!AG17</f>
        <v>504.76483999999897</v>
      </c>
      <c r="H7" s="132">
        <f>'FS Jimbaran May 2022'!AH17/'FS Jimbaran May 2022'!AG17</f>
        <v>19019.764617519711</v>
      </c>
      <c r="I7" s="123">
        <f>'FS Jimbaran May 2022'!AJ17</f>
        <v>397.97999999999956</v>
      </c>
      <c r="J7" s="124">
        <f>'FS Jimbaran May 2022'!AK17/'FS Jimbaran May 2022'!AJ17</f>
        <v>17500</v>
      </c>
      <c r="K7" s="123">
        <f>'FS Jimbaran May 2022'!V17</f>
        <v>639.02</v>
      </c>
      <c r="L7" s="132">
        <f>'FS Jimbaran May 2022'!AA17/'FS Jimbaran May 2022'!V17</f>
        <v>6347.9449025069653</v>
      </c>
      <c r="M7" s="123">
        <f>'RNs &amp; Covers May 2022'!B11</f>
        <v>46</v>
      </c>
      <c r="N7" s="123">
        <f>'RNs &amp; Covers May 2022'!C11</f>
        <v>395</v>
      </c>
    </row>
    <row r="8" spans="1:15">
      <c r="A8" s="120" t="s">
        <v>14</v>
      </c>
      <c r="B8" s="121">
        <f t="shared" si="0"/>
        <v>7</v>
      </c>
      <c r="C8" s="122">
        <v>5</v>
      </c>
      <c r="D8" s="121">
        <v>2022</v>
      </c>
      <c r="E8" s="123">
        <f>'FS Jimbaran May 2022'!P18</f>
        <v>22560.000000000146</v>
      </c>
      <c r="F8" s="132">
        <f>'FS Jimbaran May 2022'!O18/'FS Jimbaran May 2022'!P18</f>
        <v>1131.2774468085111</v>
      </c>
      <c r="G8" s="123">
        <f>'FS Jimbaran May 2022'!AG18</f>
        <v>101.13964000000043</v>
      </c>
      <c r="H8" s="132">
        <f>'FS Jimbaran May 2022'!AH18/'FS Jimbaran May 2022'!AG18</f>
        <v>18699.563534139535</v>
      </c>
      <c r="I8" s="123">
        <f>'FS Jimbaran May 2022'!AJ18</f>
        <v>317.45000000000073</v>
      </c>
      <c r="J8" s="124">
        <f>'FS Jimbaran May 2022'!AK18/'FS Jimbaran May 2022'!AJ18</f>
        <v>17500</v>
      </c>
      <c r="K8" s="123">
        <f>'FS Jimbaran May 2022'!V18</f>
        <v>606.98</v>
      </c>
      <c r="L8" s="132">
        <f>'FS Jimbaran May 2022'!AA18/'FS Jimbaran May 2022'!V18</f>
        <v>5472.8112609970676</v>
      </c>
      <c r="M8" s="123">
        <f>'RNs &amp; Covers May 2022'!B12</f>
        <v>42</v>
      </c>
      <c r="N8" s="123">
        <f>'RNs &amp; Covers May 2022'!C12</f>
        <v>367</v>
      </c>
    </row>
    <row r="9" spans="1:15">
      <c r="A9" s="120" t="s">
        <v>14</v>
      </c>
      <c r="B9" s="121">
        <f t="shared" si="0"/>
        <v>8</v>
      </c>
      <c r="C9" s="122">
        <v>5</v>
      </c>
      <c r="D9" s="121">
        <v>2022</v>
      </c>
      <c r="E9" s="123">
        <f>'FS Jimbaran May 2022'!P19</f>
        <v>21479.999999999873</v>
      </c>
      <c r="F9" s="132">
        <f>'FS Jimbaran May 2022'!O19/'FS Jimbaran May 2022'!P19</f>
        <v>1126.9170670391054</v>
      </c>
      <c r="G9" s="123">
        <f>'FS Jimbaran May 2022'!AG19</f>
        <v>117.32532000000022</v>
      </c>
      <c r="H9" s="132">
        <f>'FS Jimbaran May 2022'!AH19/'FS Jimbaran May 2022'!AG19</f>
        <v>18064.41791081414</v>
      </c>
      <c r="I9" s="123">
        <f>'FS Jimbaran May 2022'!AJ19</f>
        <v>378.60000000000036</v>
      </c>
      <c r="J9" s="124">
        <f>'FS Jimbaran May 2022'!AK19/'FS Jimbaran May 2022'!AJ19</f>
        <v>17500</v>
      </c>
      <c r="K9" s="123">
        <f>'FS Jimbaran May 2022'!V19</f>
        <v>640.79999999999995</v>
      </c>
      <c r="L9" s="132">
        <f>'FS Jimbaran May 2022'!AA19/'FS Jimbaran May 2022'!V19</f>
        <v>6227.7262222222225</v>
      </c>
      <c r="M9" s="123">
        <f>'RNs &amp; Covers May 2022'!B13</f>
        <v>36</v>
      </c>
      <c r="N9" s="123">
        <f>'RNs &amp; Covers May 2022'!C13</f>
        <v>313</v>
      </c>
      <c r="O9" s="125" t="s">
        <v>15</v>
      </c>
    </row>
    <row r="10" spans="1:15">
      <c r="A10" s="120" t="s">
        <v>14</v>
      </c>
      <c r="B10" s="121">
        <f t="shared" si="0"/>
        <v>9</v>
      </c>
      <c r="C10" s="122">
        <v>5</v>
      </c>
      <c r="D10" s="121">
        <v>2022</v>
      </c>
      <c r="E10" s="123">
        <f>'FS Jimbaran May 2022'!P20</f>
        <v>20759.999999999622</v>
      </c>
      <c r="F10" s="132">
        <f>'FS Jimbaran May 2022'!O20/'FS Jimbaran May 2022'!P20</f>
        <v>1135.0671965317936</v>
      </c>
      <c r="G10" s="123">
        <f>'FS Jimbaran May 2022'!AG20</f>
        <v>101.98207999999867</v>
      </c>
      <c r="H10" s="132">
        <f>'FS Jimbaran May 2022'!AH20/'FS Jimbaran May 2022'!AG20</f>
        <v>18305.742812854955</v>
      </c>
      <c r="I10" s="123">
        <f>'FS Jimbaran May 2022'!AJ20</f>
        <v>421.26999999999862</v>
      </c>
      <c r="J10" s="124">
        <f>'FS Jimbaran May 2022'!AK20/'FS Jimbaran May 2022'!AJ20</f>
        <v>17500</v>
      </c>
      <c r="K10" s="123">
        <f>'FS Jimbaran May 2022'!V20</f>
        <v>679.07</v>
      </c>
      <c r="L10" s="132">
        <f>'FS Jimbaran May 2022'!AA20/'FS Jimbaran May 2022'!V20</f>
        <v>6799.5645871559636</v>
      </c>
      <c r="M10" s="123">
        <f>'RNs &amp; Covers May 2022'!B14</f>
        <v>25</v>
      </c>
      <c r="N10" s="123">
        <f>'RNs &amp; Covers May 2022'!C14</f>
        <v>270</v>
      </c>
    </row>
    <row r="11" spans="1:15">
      <c r="A11" s="120" t="s">
        <v>14</v>
      </c>
      <c r="B11" s="121">
        <f t="shared" si="0"/>
        <v>10</v>
      </c>
      <c r="C11" s="122">
        <v>5</v>
      </c>
      <c r="D11" s="121">
        <v>2022</v>
      </c>
      <c r="E11" s="123">
        <f>'FS Jimbaran May 2022'!P21</f>
        <v>20880.000000000389</v>
      </c>
      <c r="F11" s="132">
        <f>'FS Jimbaran May 2022'!O21/'FS Jimbaran May 2022'!P21</f>
        <v>1126.0635057471259</v>
      </c>
      <c r="G11" s="123">
        <f>'FS Jimbaran May 2022'!AG21</f>
        <v>482.17120000000034</v>
      </c>
      <c r="H11" s="132">
        <f>'FS Jimbaran May 2022'!AH21/'FS Jimbaran May 2022'!AG21</f>
        <v>19100.000000000004</v>
      </c>
      <c r="I11" s="123">
        <f>'FS Jimbaran May 2022'!AJ21</f>
        <v>338.23000000000138</v>
      </c>
      <c r="J11" s="124">
        <f>'FS Jimbaran May 2022'!AK21/'FS Jimbaran May 2022'!AJ21</f>
        <v>17500</v>
      </c>
      <c r="K11" s="123">
        <f>'FS Jimbaran May 2022'!V21</f>
        <v>656.82</v>
      </c>
      <c r="L11" s="132">
        <f>'FS Jimbaran May 2022'!AA21/'FS Jimbaran May 2022'!V21</f>
        <v>6365.3513821138213</v>
      </c>
      <c r="M11" s="123">
        <f>'RNs &amp; Covers May 2022'!B15</f>
        <v>22</v>
      </c>
      <c r="N11" s="123">
        <f>'RNs &amp; Covers May 2022'!C15</f>
        <v>222</v>
      </c>
    </row>
    <row r="12" spans="1:15">
      <c r="A12" s="120" t="s">
        <v>14</v>
      </c>
      <c r="B12" s="121">
        <f t="shared" si="0"/>
        <v>11</v>
      </c>
      <c r="C12" s="122">
        <v>5</v>
      </c>
      <c r="D12" s="121">
        <v>2022</v>
      </c>
      <c r="E12" s="123">
        <f>'FS Jimbaran May 2022'!P22</f>
        <v>20419.999999999985</v>
      </c>
      <c r="F12" s="132">
        <f>'FS Jimbaran May 2022'!O22/'FS Jimbaran May 2022'!P22</f>
        <v>1128.0973163565138</v>
      </c>
      <c r="G12" s="123">
        <f>'FS Jimbaran May 2022'!AG22</f>
        <v>85.675559999999919</v>
      </c>
      <c r="H12" s="132">
        <f>'FS Jimbaran May 2022'!AH22/'FS Jimbaran May 2022'!AG22</f>
        <v>19100</v>
      </c>
      <c r="I12" s="123">
        <f>'FS Jimbaran May 2022'!AJ22</f>
        <v>419.88999999999942</v>
      </c>
      <c r="J12" s="124">
        <f>'FS Jimbaran May 2022'!AK22/'FS Jimbaran May 2022'!AJ22</f>
        <v>17500</v>
      </c>
      <c r="K12" s="123">
        <f>'FS Jimbaran May 2022'!V22</f>
        <v>653.26</v>
      </c>
      <c r="L12" s="132">
        <f>'FS Jimbaran May 2022'!AA22/'FS Jimbaran May 2022'!V22</f>
        <v>6302.1080653950967</v>
      </c>
      <c r="M12" s="123">
        <f>'RNs &amp; Covers May 2022'!B16</f>
        <v>22</v>
      </c>
      <c r="N12" s="123">
        <f>'RNs &amp; Covers May 2022'!C16</f>
        <v>180</v>
      </c>
    </row>
    <row r="13" spans="1:15">
      <c r="A13" s="120" t="s">
        <v>14</v>
      </c>
      <c r="B13" s="121">
        <f t="shared" si="0"/>
        <v>12</v>
      </c>
      <c r="C13" s="122">
        <v>5</v>
      </c>
      <c r="D13" s="121">
        <v>2022</v>
      </c>
      <c r="E13" s="123">
        <f>'FS Jimbaran May 2022'!P23</f>
        <v>20259.99999999996</v>
      </c>
      <c r="F13" s="132">
        <f>'FS Jimbaran May 2022'!O23/'FS Jimbaran May 2022'!P23</f>
        <v>1132.9163277393864</v>
      </c>
      <c r="G13" s="123">
        <f>'FS Jimbaran May 2022'!AG23</f>
        <v>89.740400000000719</v>
      </c>
      <c r="H13" s="132">
        <f>'FS Jimbaran May 2022'!AH23/'FS Jimbaran May 2022'!AG23</f>
        <v>18648.698245160489</v>
      </c>
      <c r="I13" s="123">
        <f>'FS Jimbaran May 2022'!AJ23</f>
        <v>351.94000000000051</v>
      </c>
      <c r="J13" s="124">
        <f>'FS Jimbaran May 2022'!AK23/'FS Jimbaran May 2022'!AJ23</f>
        <v>17500</v>
      </c>
      <c r="K13" s="123">
        <f>'FS Jimbaran May 2022'!V23</f>
        <v>623.89</v>
      </c>
      <c r="L13" s="132">
        <f>'FS Jimbaran May 2022'!AA23/'FS Jimbaran May 2022'!V23</f>
        <v>6810.1114122681884</v>
      </c>
      <c r="M13" s="123">
        <f>'RNs &amp; Covers May 2022'!B17</f>
        <v>20</v>
      </c>
      <c r="N13" s="123">
        <f>'RNs &amp; Covers May 2022'!C17</f>
        <v>204</v>
      </c>
    </row>
    <row r="14" spans="1:15">
      <c r="A14" s="120" t="s">
        <v>14</v>
      </c>
      <c r="B14" s="121">
        <f t="shared" si="0"/>
        <v>13</v>
      </c>
      <c r="C14" s="122">
        <v>5</v>
      </c>
      <c r="D14" s="121">
        <v>2022</v>
      </c>
      <c r="E14" s="123">
        <f>'FS Jimbaran May 2022'!P24</f>
        <v>21540.000000000164</v>
      </c>
      <c r="F14" s="132">
        <f>'FS Jimbaran May 2022'!O24/'FS Jimbaran May 2022'!P24</f>
        <v>1128.1057938718684</v>
      </c>
      <c r="G14" s="123">
        <f>'FS Jimbaran May 2022'!AG24</f>
        <v>202.38832000000019</v>
      </c>
      <c r="H14" s="132">
        <f>'FS Jimbaran May 2022'!AH24/'FS Jimbaran May 2022'!AG24</f>
        <v>18899.889637900054</v>
      </c>
      <c r="I14" s="123">
        <f>'FS Jimbaran May 2022'!AJ24</f>
        <v>339.31999999999971</v>
      </c>
      <c r="J14" s="124">
        <f>'FS Jimbaran May 2022'!AK24/'FS Jimbaran May 2022'!AJ24</f>
        <v>17500</v>
      </c>
      <c r="K14" s="123">
        <f>'FS Jimbaran May 2022'!V24</f>
        <v>655.04000000000008</v>
      </c>
      <c r="L14" s="132">
        <f>'FS Jimbaran May 2022'!AA24/'FS Jimbaran May 2022'!V24</f>
        <v>6837.3260326086966</v>
      </c>
      <c r="M14" s="123">
        <f>'RNs &amp; Covers May 2022'!B18</f>
        <v>24</v>
      </c>
      <c r="N14" s="123">
        <f>'RNs &amp; Covers May 2022'!C18</f>
        <v>263</v>
      </c>
    </row>
    <row r="15" spans="1:15">
      <c r="A15" s="120" t="s">
        <v>14</v>
      </c>
      <c r="B15" s="121">
        <f t="shared" si="0"/>
        <v>14</v>
      </c>
      <c r="C15" s="122">
        <v>5</v>
      </c>
      <c r="D15" s="121">
        <v>2022</v>
      </c>
      <c r="E15" s="123">
        <f>'FS Jimbaran May 2022'!P25</f>
        <v>20579.99999999964</v>
      </c>
      <c r="F15" s="132">
        <f>'FS Jimbaran May 2022'!O25/'FS Jimbaran May 2022'!P25</f>
        <v>1131.4059475218651</v>
      </c>
      <c r="G15" s="123">
        <f>'FS Jimbaran May 2022'!AG25</f>
        <v>512.29376000000025</v>
      </c>
      <c r="H15" s="132">
        <f>'FS Jimbaran May 2022'!AH25/'FS Jimbaran May 2022'!AG25</f>
        <v>18941.887591994095</v>
      </c>
      <c r="I15" s="123">
        <f>'FS Jimbaran May 2022'!AJ25</f>
        <v>385.47999999999956</v>
      </c>
      <c r="J15" s="124">
        <f>'FS Jimbaran May 2022'!AK25/'FS Jimbaran May 2022'!AJ25</f>
        <v>17500</v>
      </c>
      <c r="K15" s="123">
        <f>'FS Jimbaran May 2022'!V25</f>
        <v>658.6</v>
      </c>
      <c r="L15" s="132">
        <f>'FS Jimbaran May 2022'!AA25/'FS Jimbaran May 2022'!V25</f>
        <v>6415.2643783783778</v>
      </c>
      <c r="M15" s="123">
        <f>'RNs &amp; Covers May 2022'!B19</f>
        <v>25</v>
      </c>
      <c r="N15" s="123">
        <f>'RNs &amp; Covers May 2022'!C19</f>
        <v>274</v>
      </c>
    </row>
    <row r="16" spans="1:15">
      <c r="A16" s="120" t="s">
        <v>14</v>
      </c>
      <c r="B16" s="121">
        <f t="shared" si="0"/>
        <v>15</v>
      </c>
      <c r="C16" s="122">
        <v>5</v>
      </c>
      <c r="D16" s="121">
        <v>2022</v>
      </c>
      <c r="E16" s="123">
        <f>'FS Jimbaran May 2022'!P26</f>
        <v>18899.999999999865</v>
      </c>
      <c r="F16" s="132">
        <f>'FS Jimbaran May 2022'!O26/'FS Jimbaran May 2022'!P26</f>
        <v>1127.8493333333342</v>
      </c>
      <c r="G16" s="123">
        <f>'FS Jimbaran May 2022'!AG26</f>
        <v>96.064359999999553</v>
      </c>
      <c r="H16" s="132">
        <f>'FS Jimbaran May 2022'!AH26/'FS Jimbaran May 2022'!AG26</f>
        <v>18678.407642542978</v>
      </c>
      <c r="I16" s="123">
        <f>'FS Jimbaran May 2022'!AJ26</f>
        <v>347.22999999999956</v>
      </c>
      <c r="J16" s="124">
        <f>'FS Jimbaran May 2022'!AK26/'FS Jimbaran May 2022'!AJ26</f>
        <v>17500</v>
      </c>
      <c r="K16" s="123">
        <f>'FS Jimbaran May 2022'!V26</f>
        <v>671.06000000000006</v>
      </c>
      <c r="L16" s="132">
        <f>'FS Jimbaran May 2022'!AA26/'FS Jimbaran May 2022'!V26</f>
        <v>6465.9877453580893</v>
      </c>
      <c r="M16" s="123">
        <f>'RNs &amp; Covers May 2022'!B20</f>
        <v>20</v>
      </c>
      <c r="N16" s="123">
        <f>'RNs &amp; Covers May 2022'!C20</f>
        <v>260</v>
      </c>
    </row>
    <row r="17" spans="1:14">
      <c r="A17" s="120" t="s">
        <v>14</v>
      </c>
      <c r="B17" s="121">
        <f t="shared" si="0"/>
        <v>16</v>
      </c>
      <c r="C17" s="122">
        <v>5</v>
      </c>
      <c r="D17" s="121">
        <v>2022</v>
      </c>
      <c r="E17" s="123">
        <f>'FS Jimbaran May 2022'!P27</f>
        <v>20560.000000000884</v>
      </c>
      <c r="F17" s="132">
        <f>'FS Jimbaran May 2022'!O27/'FS Jimbaran May 2022'!P27</f>
        <v>1134.5216731517492</v>
      </c>
      <c r="G17" s="123">
        <f>'FS Jimbaran May 2022'!AG27</f>
        <v>71.856080000000503</v>
      </c>
      <c r="H17" s="132">
        <f>'FS Jimbaran May 2022'!AH27/'FS Jimbaran May 2022'!AG27</f>
        <v>18536.373372997808</v>
      </c>
      <c r="I17" s="123">
        <f>'FS Jimbaran May 2022'!AJ27</f>
        <v>478.70000000000073</v>
      </c>
      <c r="J17" s="124">
        <f>'FS Jimbaran May 2022'!AK27/'FS Jimbaran May 2022'!AJ27</f>
        <v>17500</v>
      </c>
      <c r="K17" s="123">
        <f>'FS Jimbaran May 2022'!V27</f>
        <v>651.48</v>
      </c>
      <c r="L17" s="132">
        <f>'FS Jimbaran May 2022'!AA27/'FS Jimbaran May 2022'!V27</f>
        <v>6251.4767759562837</v>
      </c>
      <c r="M17" s="123">
        <f>'RNs &amp; Covers May 2022'!B21</f>
        <v>21</v>
      </c>
      <c r="N17" s="123">
        <f>'RNs &amp; Covers May 2022'!C21</f>
        <v>232</v>
      </c>
    </row>
    <row r="18" spans="1:14">
      <c r="A18" s="120" t="s">
        <v>14</v>
      </c>
      <c r="B18" s="121">
        <f t="shared" si="0"/>
        <v>17</v>
      </c>
      <c r="C18" s="122">
        <v>5</v>
      </c>
      <c r="D18" s="121">
        <v>2022</v>
      </c>
      <c r="E18" s="123">
        <f>'FS Jimbaran May 2022'!P28</f>
        <v>19179.999999999724</v>
      </c>
      <c r="F18" s="132">
        <f>'FS Jimbaran May 2022'!O28/'FS Jimbaran May 2022'!P28</f>
        <v>1131.3655370177271</v>
      </c>
      <c r="G18" s="123">
        <f>'FS Jimbaran May 2022'!AG28</f>
        <v>93.88579999999962</v>
      </c>
      <c r="H18" s="132">
        <f>'FS Jimbaran May 2022'!AH28/'FS Jimbaran May 2022'!AG28</f>
        <v>18237.249722535249</v>
      </c>
      <c r="I18" s="123">
        <f>'FS Jimbaran May 2022'!AJ28</f>
        <v>336.48999999999978</v>
      </c>
      <c r="J18" s="124">
        <f>'FS Jimbaran May 2022'!AK28/'FS Jimbaran May 2022'!AJ28</f>
        <v>17500</v>
      </c>
      <c r="K18" s="123">
        <f>'FS Jimbaran May 2022'!V28</f>
        <v>596.30000000000007</v>
      </c>
      <c r="L18" s="132">
        <f>'FS Jimbaran May 2022'!AA28/'FS Jimbaran May 2022'!V28</f>
        <v>6314.2207761194031</v>
      </c>
      <c r="M18" s="123">
        <f>'RNs &amp; Covers May 2022'!B22</f>
        <v>26</v>
      </c>
      <c r="N18" s="123">
        <f>'RNs &amp; Covers May 2022'!C22</f>
        <v>398</v>
      </c>
    </row>
    <row r="19" spans="1:14">
      <c r="A19" s="120" t="s">
        <v>14</v>
      </c>
      <c r="B19" s="121">
        <f t="shared" si="0"/>
        <v>18</v>
      </c>
      <c r="C19" s="122">
        <v>5</v>
      </c>
      <c r="D19" s="121">
        <v>2022</v>
      </c>
      <c r="E19" s="123">
        <f>'FS Jimbaran May 2022'!P29</f>
        <v>19400.000000000062</v>
      </c>
      <c r="F19" s="132">
        <f>'FS Jimbaran May 2022'!O29/'FS Jimbaran May 2022'!P29</f>
        <v>1129.2137628865971</v>
      </c>
      <c r="G19" s="123">
        <f>'FS Jimbaran May 2022'!AG29</f>
        <v>496.1449199999995</v>
      </c>
      <c r="H19" s="132">
        <f>'FS Jimbaran May 2022'!AH29/'FS Jimbaran May 2022'!AG29</f>
        <v>19018.370624453837</v>
      </c>
      <c r="I19" s="123">
        <f>'FS Jimbaran May 2022'!AJ29</f>
        <v>399.20999999999913</v>
      </c>
      <c r="J19" s="124">
        <f>'FS Jimbaran May 2022'!AK29/'FS Jimbaran May 2022'!AJ29</f>
        <v>17500</v>
      </c>
      <c r="K19" s="123">
        <f>'FS Jimbaran May 2022'!V29</f>
        <v>606.09</v>
      </c>
      <c r="L19" s="132">
        <f>'FS Jimbaran May 2022'!AA29/'FS Jimbaran May 2022'!V29</f>
        <v>6562.9653157121884</v>
      </c>
      <c r="M19" s="123">
        <f>'RNs &amp; Covers May 2022'!B23</f>
        <v>20</v>
      </c>
      <c r="N19" s="123">
        <f>'RNs &amp; Covers May 2022'!C23</f>
        <v>310</v>
      </c>
    </row>
    <row r="20" spans="1:14">
      <c r="A20" s="120" t="s">
        <v>14</v>
      </c>
      <c r="B20" s="121">
        <f t="shared" si="0"/>
        <v>19</v>
      </c>
      <c r="C20" s="122">
        <v>5</v>
      </c>
      <c r="D20" s="121">
        <v>2022</v>
      </c>
      <c r="E20" s="123">
        <f>'FS Jimbaran May 2022'!P30</f>
        <v>21039.99999999988</v>
      </c>
      <c r="F20" s="132">
        <f>'FS Jimbaran May 2022'!O30/'FS Jimbaran May 2022'!P30</f>
        <v>1137.1919201520952</v>
      </c>
      <c r="G20" s="123">
        <f>'FS Jimbaran May 2022'!AG30</f>
        <v>91.83152000000058</v>
      </c>
      <c r="H20" s="132">
        <f>'FS Jimbaran May 2022'!AH30/'FS Jimbaran May 2022'!AG30</f>
        <v>18217.94991523608</v>
      </c>
      <c r="I20" s="123">
        <f>'FS Jimbaran May 2022'!AJ30</f>
        <v>397.65000000000146</v>
      </c>
      <c r="J20" s="124">
        <f>'FS Jimbaran May 2022'!AK30/'FS Jimbaran May 2022'!AJ30</f>
        <v>17500</v>
      </c>
      <c r="K20" s="123">
        <f>'FS Jimbaran May 2022'!V30</f>
        <v>652.37000000000012</v>
      </c>
      <c r="L20" s="132">
        <f>'FS Jimbaran May 2022'!AA30/'FS Jimbaran May 2022'!V30</f>
        <v>5874.2425375170533</v>
      </c>
      <c r="M20" s="123">
        <f>'RNs &amp; Covers May 2022'!B24</f>
        <v>31</v>
      </c>
      <c r="N20" s="123">
        <f>'RNs &amp; Covers May 2022'!C24</f>
        <v>310</v>
      </c>
    </row>
    <row r="21" spans="1:14">
      <c r="A21" s="120" t="s">
        <v>14</v>
      </c>
      <c r="B21" s="121">
        <f t="shared" si="0"/>
        <v>20</v>
      </c>
      <c r="C21" s="122">
        <v>5</v>
      </c>
      <c r="D21" s="121">
        <v>2022</v>
      </c>
      <c r="E21" s="123">
        <f>'FS Jimbaran May 2022'!P31</f>
        <v>20340</v>
      </c>
      <c r="F21" s="132">
        <f>'FS Jimbaran May 2022'!O31/'FS Jimbaran May 2022'!P31</f>
        <v>1133.5527433628292</v>
      </c>
      <c r="G21" s="123">
        <f>'FS Jimbaran May 2022'!AG31</f>
        <v>78.663399999998887</v>
      </c>
      <c r="H21" s="132">
        <f>'FS Jimbaran May 2022'!AH31/'FS Jimbaran May 2022'!AG31</f>
        <v>18585.148112082614</v>
      </c>
      <c r="I21" s="123">
        <f>'FS Jimbaran May 2022'!AJ31</f>
        <v>479.89999999999964</v>
      </c>
      <c r="J21" s="124">
        <f>'FS Jimbaran May 2022'!AK31/'FS Jimbaran May 2022'!AJ31</f>
        <v>17500</v>
      </c>
      <c r="K21" s="123">
        <f>'FS Jimbaran May 2022'!V31</f>
        <v>680.85</v>
      </c>
      <c r="L21" s="132">
        <f>'FS Jimbaran May 2022'!AA31/'FS Jimbaran May 2022'!V31</f>
        <v>6523.7625359477124</v>
      </c>
      <c r="M21" s="123">
        <f>'RNs &amp; Covers May 2022'!B25</f>
        <v>33</v>
      </c>
      <c r="N21" s="123">
        <f>'RNs &amp; Covers May 2022'!C25</f>
        <v>247</v>
      </c>
    </row>
    <row r="22" spans="1:14">
      <c r="A22" s="120" t="s">
        <v>14</v>
      </c>
      <c r="B22" s="121">
        <f t="shared" si="0"/>
        <v>21</v>
      </c>
      <c r="C22" s="122">
        <v>5</v>
      </c>
      <c r="D22" s="121">
        <v>2022</v>
      </c>
      <c r="E22" s="123">
        <f>'FS Jimbaran May 2022'!P32</f>
        <v>21340.000000000058</v>
      </c>
      <c r="F22" s="132">
        <f>'FS Jimbaran May 2022'!O32/'FS Jimbaran May 2022'!P32</f>
        <v>1129.941818181816</v>
      </c>
      <c r="G22" s="123">
        <f>'FS Jimbaran May 2022'!AG32</f>
        <v>84.460280000000864</v>
      </c>
      <c r="H22" s="132">
        <f>'FS Jimbaran May 2022'!AH32/'FS Jimbaran May 2022'!AG32</f>
        <v>18140.969317174899</v>
      </c>
      <c r="I22" s="123">
        <f>'FS Jimbaran May 2022'!AJ32</f>
        <v>332.69000000000051</v>
      </c>
      <c r="J22" s="124">
        <f>'FS Jimbaran May 2022'!AK32/'FS Jimbaran May 2022'!AJ32</f>
        <v>17500</v>
      </c>
      <c r="K22" s="123">
        <f>'FS Jimbaran May 2022'!V32</f>
        <v>656.82</v>
      </c>
      <c r="L22" s="132">
        <f>'FS Jimbaran May 2022'!AA32/'FS Jimbaran May 2022'!V32</f>
        <v>6235.1654200542007</v>
      </c>
      <c r="M22" s="123">
        <f>'RNs &amp; Covers May 2022'!B26</f>
        <v>32</v>
      </c>
      <c r="N22" s="123">
        <f>'RNs &amp; Covers May 2022'!C26</f>
        <v>367</v>
      </c>
    </row>
    <row r="23" spans="1:14">
      <c r="A23" s="120" t="s">
        <v>14</v>
      </c>
      <c r="B23" s="121">
        <f t="shared" si="0"/>
        <v>22</v>
      </c>
      <c r="C23" s="122">
        <v>5</v>
      </c>
      <c r="D23" s="121">
        <v>2022</v>
      </c>
      <c r="E23" s="123">
        <f>'FS Jimbaran May 2022'!P33</f>
        <v>21019.999999999869</v>
      </c>
      <c r="F23" s="132">
        <f>'FS Jimbaran May 2022'!O33/'FS Jimbaran May 2022'!P33</f>
        <v>1133.8390960989545</v>
      </c>
      <c r="G23" s="123">
        <f>'FS Jimbaran May 2022'!AG33</f>
        <v>596.7422399999997</v>
      </c>
      <c r="H23" s="132">
        <f>'FS Jimbaran May 2022'!AH33/'FS Jimbaran May 2022'!AG33</f>
        <v>18896.39450359673</v>
      </c>
      <c r="I23" s="123">
        <f>'FS Jimbaran May 2022'!AJ33</f>
        <v>333.20000000000073</v>
      </c>
      <c r="J23" s="124">
        <f>'FS Jimbaran May 2022'!AK33/'FS Jimbaran May 2022'!AJ33</f>
        <v>17500</v>
      </c>
      <c r="K23" s="123">
        <f>'FS Jimbaran May 2022'!V33</f>
        <v>581.16999999999996</v>
      </c>
      <c r="L23" s="132">
        <f>'FS Jimbaran May 2022'!AA33/'FS Jimbaran May 2022'!V33</f>
        <v>6220.9534762634003</v>
      </c>
      <c r="M23" s="123">
        <f>'RNs &amp; Covers May 2022'!B27</f>
        <v>21</v>
      </c>
      <c r="N23" s="123">
        <f>'RNs &amp; Covers May 2022'!C27</f>
        <v>244</v>
      </c>
    </row>
    <row r="24" spans="1:14">
      <c r="A24" s="120" t="s">
        <v>14</v>
      </c>
      <c r="B24" s="121">
        <f t="shared" si="0"/>
        <v>23</v>
      </c>
      <c r="C24" s="122">
        <v>5</v>
      </c>
      <c r="D24" s="121">
        <v>2022</v>
      </c>
      <c r="E24" s="123">
        <f>'FS Jimbaran May 2022'!P34</f>
        <v>21119.999999999378</v>
      </c>
      <c r="F24" s="132">
        <f>'FS Jimbaran May 2022'!O34/'FS Jimbaran May 2022'!P34</f>
        <v>1132.3939488636393</v>
      </c>
      <c r="G24" s="123">
        <f>'FS Jimbaran May 2022'!AG34</f>
        <v>63.152159999999192</v>
      </c>
      <c r="H24" s="132">
        <f>'FS Jimbaran May 2022'!AH34/'FS Jimbaran May 2022'!AG34</f>
        <v>17817.383538425274</v>
      </c>
      <c r="I24" s="123">
        <f>'FS Jimbaran May 2022'!AJ34</f>
        <v>349.19999999999709</v>
      </c>
      <c r="J24" s="124">
        <f>'FS Jimbaran May 2022'!AK34/'FS Jimbaran May 2022'!AJ34</f>
        <v>17500</v>
      </c>
      <c r="K24" s="123">
        <f>'FS Jimbaran May 2022'!V34</f>
        <v>596.29999999999995</v>
      </c>
      <c r="L24" s="132">
        <f>'FS Jimbaran May 2022'!AA34/'FS Jimbaran May 2022'!V34</f>
        <v>6621.5040597014931</v>
      </c>
      <c r="M24" s="123">
        <f>'RNs &amp; Covers May 2022'!B28</f>
        <v>21</v>
      </c>
      <c r="N24" s="123">
        <f>'RNs &amp; Covers May 2022'!C28</f>
        <v>155</v>
      </c>
    </row>
    <row r="25" spans="1:14">
      <c r="A25" s="120" t="s">
        <v>14</v>
      </c>
      <c r="B25" s="121">
        <f t="shared" si="0"/>
        <v>24</v>
      </c>
      <c r="C25" s="122">
        <v>5</v>
      </c>
      <c r="D25" s="121">
        <v>2022</v>
      </c>
      <c r="E25" s="123">
        <f>'FS Jimbaran May 2022'!P35</f>
        <v>23720.000000000142</v>
      </c>
      <c r="F25" s="132">
        <f>'FS Jimbaran May 2022'!O35/'FS Jimbaran May 2022'!P35</f>
        <v>1126.1705817875229</v>
      </c>
      <c r="G25" s="123">
        <f>'FS Jimbaran May 2022'!AG35</f>
        <v>54.498840000000797</v>
      </c>
      <c r="H25" s="132">
        <f>'FS Jimbaran May 2022'!AH35/'FS Jimbaran May 2022'!AG35</f>
        <v>19100</v>
      </c>
      <c r="I25" s="123">
        <f>'FS Jimbaran May 2022'!AJ35</f>
        <v>376.21000000000276</v>
      </c>
      <c r="J25" s="124">
        <f>'FS Jimbaran May 2022'!AK35/'FS Jimbaran May 2022'!AJ35</f>
        <v>17500</v>
      </c>
      <c r="K25" s="123">
        <f>'FS Jimbaran May 2022'!V35</f>
        <v>595.41</v>
      </c>
      <c r="L25" s="132">
        <f>'FS Jimbaran May 2022'!AA35/'FS Jimbaran May 2022'!V35</f>
        <v>6604.5399402092689</v>
      </c>
      <c r="M25" s="123">
        <f>'RNs &amp; Covers May 2022'!B29</f>
        <v>85</v>
      </c>
      <c r="N25" s="123">
        <f>'RNs &amp; Covers May 2022'!C29</f>
        <v>267</v>
      </c>
    </row>
    <row r="26" spans="1:14">
      <c r="A26" s="120" t="s">
        <v>14</v>
      </c>
      <c r="B26" s="121">
        <f>B25+1</f>
        <v>25</v>
      </c>
      <c r="C26" s="122">
        <v>5</v>
      </c>
      <c r="D26" s="121">
        <v>2022</v>
      </c>
      <c r="E26" s="123">
        <f>'FS Jimbaran May 2022'!P36</f>
        <v>19640.000000000924</v>
      </c>
      <c r="F26" s="132">
        <f>'FS Jimbaran May 2022'!O36/'FS Jimbaran May 2022'!P36</f>
        <v>1140.2018126272881</v>
      </c>
      <c r="G26" s="123">
        <f>'FS Jimbaran May 2022'!AG36</f>
        <v>55.626679999999773</v>
      </c>
      <c r="H26" s="132">
        <f>'FS Jimbaran May 2022'!AH36/'FS Jimbaran May 2022'!AG36</f>
        <v>19100</v>
      </c>
      <c r="I26" s="123">
        <f>'FS Jimbaran May 2022'!AJ36</f>
        <v>487.94999999999709</v>
      </c>
      <c r="J26" s="124">
        <f>'FS Jimbaran May 2022'!AK36/'FS Jimbaran May 2022'!AJ36</f>
        <v>17500</v>
      </c>
      <c r="K26" s="123">
        <f>'FS Jimbaran May 2022'!V36</f>
        <v>737.81</v>
      </c>
      <c r="L26" s="132">
        <f>'FS Jimbaran May 2022'!AA36/'FS Jimbaran May 2022'!V36</f>
        <v>5967.0536791314844</v>
      </c>
      <c r="M26" s="123">
        <f>'RNs &amp; Covers May 2022'!B30</f>
        <v>23</v>
      </c>
      <c r="N26" s="123">
        <f>'RNs &amp; Covers May 2022'!C30</f>
        <v>443</v>
      </c>
    </row>
    <row r="27" spans="1:14">
      <c r="A27" s="120" t="s">
        <v>14</v>
      </c>
      <c r="B27" s="121">
        <f t="shared" si="0"/>
        <v>26</v>
      </c>
      <c r="C27" s="122">
        <v>5</v>
      </c>
      <c r="D27" s="121">
        <v>2022</v>
      </c>
      <c r="E27" s="123">
        <f>'FS Jimbaran May 2022'!P37</f>
        <v>18359.999999999334</v>
      </c>
      <c r="F27" s="132">
        <f>'FS Jimbaran May 2022'!O37/'FS Jimbaran May 2022'!P37</f>
        <v>1123.7874509803953</v>
      </c>
      <c r="G27" s="123">
        <f>'FS Jimbaran May 2022'!AG37</f>
        <v>559.32899999999995</v>
      </c>
      <c r="H27" s="132">
        <f>'FS Jimbaran May 2022'!AH37/'FS Jimbaran May 2022'!AG37</f>
        <v>19027.591810901995</v>
      </c>
      <c r="I27" s="123">
        <f>'FS Jimbaran May 2022'!AJ37</f>
        <v>445.89000000000306</v>
      </c>
      <c r="J27" s="124">
        <f>'FS Jimbaran May 2022'!AK37/'FS Jimbaran May 2022'!AJ37</f>
        <v>17500</v>
      </c>
      <c r="K27" s="123">
        <f>'FS Jimbaran May 2022'!V37</f>
        <v>674.62</v>
      </c>
      <c r="L27" s="132">
        <f>'FS Jimbaran May 2022'!AA37/'FS Jimbaran May 2022'!V37</f>
        <v>6399.9465963060693</v>
      </c>
      <c r="M27" s="123">
        <f>'RNs &amp; Covers May 2022'!B31</f>
        <v>24</v>
      </c>
      <c r="N27" s="123">
        <f>'RNs &amp; Covers May 2022'!C31</f>
        <v>183</v>
      </c>
    </row>
    <row r="28" spans="1:14">
      <c r="A28" s="120" t="s">
        <v>14</v>
      </c>
      <c r="B28" s="121">
        <f t="shared" si="0"/>
        <v>27</v>
      </c>
      <c r="C28" s="122">
        <v>5</v>
      </c>
      <c r="D28" s="121">
        <v>2022</v>
      </c>
      <c r="E28" s="123">
        <f>'FS Jimbaran May 2022'!P38</f>
        <v>17820.000000000022</v>
      </c>
      <c r="F28" s="132">
        <f>'FS Jimbaran May 2022'!O38/'FS Jimbaran May 2022'!P38</f>
        <v>1132.2668013467985</v>
      </c>
      <c r="G28" s="123">
        <f>'FS Jimbaran May 2022'!AG38</f>
        <v>49.061040000001164</v>
      </c>
      <c r="H28" s="132">
        <f>'FS Jimbaran May 2022'!AH38/'FS Jimbaran May 2022'!AG38</f>
        <v>19100</v>
      </c>
      <c r="I28" s="123">
        <f>'FS Jimbaran May 2022'!AJ38</f>
        <v>354.44999999999709</v>
      </c>
      <c r="J28" s="124">
        <f>'FS Jimbaran May 2022'!AK38/'FS Jimbaran May 2022'!AJ38</f>
        <v>17500</v>
      </c>
      <c r="K28" s="123">
        <f>'FS Jimbaran May 2022'!V38</f>
        <v>635.46</v>
      </c>
      <c r="L28" s="132">
        <f>'FS Jimbaran May 2022'!AA38/'FS Jimbaran May 2022'!V38</f>
        <v>6417.3945098039212</v>
      </c>
      <c r="M28" s="123">
        <f>'RNs &amp; Covers May 2022'!B32</f>
        <v>27</v>
      </c>
      <c r="N28" s="123">
        <f>'RNs &amp; Covers May 2022'!C32</f>
        <v>213</v>
      </c>
    </row>
    <row r="29" spans="1:14">
      <c r="A29" s="120" t="s">
        <v>14</v>
      </c>
      <c r="B29" s="121">
        <f t="shared" si="0"/>
        <v>28</v>
      </c>
      <c r="C29" s="122">
        <v>5</v>
      </c>
      <c r="D29" s="121">
        <v>2022</v>
      </c>
      <c r="E29" s="123">
        <f>'FS Jimbaran May 2022'!P39</f>
        <v>19080.00000000024</v>
      </c>
      <c r="F29" s="132">
        <f>'FS Jimbaran May 2022'!O39/'FS Jimbaran May 2022'!P39</f>
        <v>1126.4378930817631</v>
      </c>
      <c r="G29" s="123">
        <f>'FS Jimbaran May 2022'!AG39</f>
        <v>151.75979999999964</v>
      </c>
      <c r="H29" s="132">
        <f>'FS Jimbaran May 2022'!AH39/'FS Jimbaran May 2022'!AG39</f>
        <v>6514.3218428068258</v>
      </c>
      <c r="I29" s="123">
        <f>'FS Jimbaran May 2022'!AJ39</f>
        <v>341.05000000000291</v>
      </c>
      <c r="J29" s="124">
        <f>'FS Jimbaran May 2022'!AK39/'FS Jimbaran May 2022'!AJ39</f>
        <v>17500</v>
      </c>
      <c r="K29" s="123">
        <f>'FS Jimbaran May 2022'!V39</f>
        <v>528.66</v>
      </c>
      <c r="L29" s="132">
        <f>'FS Jimbaran May 2022'!AA39/'FS Jimbaran May 2022'!V39</f>
        <v>6301.6673400673408</v>
      </c>
      <c r="M29" s="123">
        <f>'RNs &amp; Covers May 2022'!B33</f>
        <v>29</v>
      </c>
      <c r="N29" s="123">
        <f>'RNs &amp; Covers May 2022'!C33</f>
        <v>226</v>
      </c>
    </row>
    <row r="30" spans="1:14">
      <c r="A30" s="120" t="s">
        <v>14</v>
      </c>
      <c r="B30" s="121">
        <f t="shared" si="0"/>
        <v>29</v>
      </c>
      <c r="C30" s="122">
        <v>5</v>
      </c>
      <c r="D30" s="121">
        <v>2022</v>
      </c>
      <c r="E30" s="123">
        <f>'FS Jimbaran May 2022'!P40</f>
        <v>19099.999999999483</v>
      </c>
      <c r="F30" s="132">
        <f>'FS Jimbaran May 2022'!O40/'FS Jimbaran May 2022'!P40</f>
        <v>1133.9350680628277</v>
      </c>
      <c r="G30" s="123">
        <f>'FS Jimbaran May 2022'!AG40</f>
        <v>54.337719999999116</v>
      </c>
      <c r="H30" s="132">
        <f>'FS Jimbaran May 2022'!AH40/'FS Jimbaran May 2022'!AG40</f>
        <v>54250.536312528959</v>
      </c>
      <c r="I30" s="123">
        <f>'FS Jimbaran May 2022'!AJ40</f>
        <v>340.31999999999971</v>
      </c>
      <c r="J30" s="124">
        <f>'FS Jimbaran May 2022'!AK40/'FS Jimbaran May 2022'!AJ40</f>
        <v>17500</v>
      </c>
      <c r="K30" s="123">
        <f>'FS Jimbaran May 2022'!V40</f>
        <v>512.64</v>
      </c>
      <c r="L30" s="132">
        <f>'FS Jimbaran May 2022'!AA40/'FS Jimbaran May 2022'!V40</f>
        <v>6913.9922222222231</v>
      </c>
      <c r="M30" s="123">
        <f>'RNs &amp; Covers May 2022'!B34</f>
        <v>30</v>
      </c>
      <c r="N30" s="123">
        <f>'RNs &amp; Covers May 2022'!C34</f>
        <v>340</v>
      </c>
    </row>
    <row r="31" spans="1:14">
      <c r="A31" s="120" t="s">
        <v>14</v>
      </c>
      <c r="B31" s="121">
        <f t="shared" si="0"/>
        <v>30</v>
      </c>
      <c r="C31" s="122">
        <v>5</v>
      </c>
      <c r="D31" s="121">
        <v>2022</v>
      </c>
      <c r="E31" s="123">
        <f>'FS Jimbaran May 2022'!P41</f>
        <v>19180.000000000604</v>
      </c>
      <c r="F31" s="132">
        <f>'FS Jimbaran May 2022'!O41/'FS Jimbaran May 2022'!P41</f>
        <v>1134.0656934306496</v>
      </c>
      <c r="G31" s="123">
        <f>'FS Jimbaran May 2022'!AG41</f>
        <v>76.682799999999631</v>
      </c>
      <c r="H31" s="132">
        <f>'FS Jimbaran May 2022'!AH41/'FS Jimbaran May 2022'!AG41</f>
        <v>17515.550814524242</v>
      </c>
      <c r="I31" s="123">
        <f>'FS Jimbaran May 2022'!AJ41</f>
        <v>359.37999999999738</v>
      </c>
      <c r="J31" s="124">
        <f>'FS Jimbaran May 2022'!AK41/'FS Jimbaran May 2022'!AJ41</f>
        <v>17500</v>
      </c>
      <c r="K31" s="123">
        <f>'FS Jimbaran May 2022'!V41</f>
        <v>665.72</v>
      </c>
      <c r="L31" s="132">
        <f>'FS Jimbaran May 2022'!AA41/'FS Jimbaran May 2022'!V41</f>
        <v>6245.2600534759358</v>
      </c>
      <c r="M31" s="123">
        <f>'RNs &amp; Covers May 2022'!B35</f>
        <v>29</v>
      </c>
      <c r="N31" s="123">
        <f>'RNs &amp; Covers May 2022'!C35</f>
        <v>209</v>
      </c>
    </row>
    <row r="32" spans="1:14">
      <c r="A32" s="120" t="s">
        <v>14</v>
      </c>
      <c r="B32" s="121">
        <f t="shared" si="0"/>
        <v>31</v>
      </c>
      <c r="C32" s="122">
        <v>5</v>
      </c>
      <c r="D32" s="121">
        <v>2022</v>
      </c>
      <c r="E32" s="123">
        <f>'FS Jimbaran May 2022'!P42</f>
        <v>19560.000000000029</v>
      </c>
      <c r="F32" s="132">
        <f>'FS Jimbaran May 2022'!O42/'FS Jimbaran May 2022'!P42</f>
        <v>1134.8039570552201</v>
      </c>
      <c r="G32" s="123">
        <f>'FS Jimbaran May 2022'!AG42</f>
        <v>559.77208000000053</v>
      </c>
      <c r="H32" s="132">
        <f>'FS Jimbaran May 2022'!AH42/'FS Jimbaran May 2022'!AG42</f>
        <v>19027.64912462229</v>
      </c>
      <c r="I32" s="123">
        <f>'FS Jimbaran May 2022'!AJ42</f>
        <v>550.55000000000291</v>
      </c>
      <c r="J32" s="124">
        <f>'FS Jimbaran May 2022'!AK42/'FS Jimbaran May 2022'!AJ42</f>
        <v>17500</v>
      </c>
      <c r="K32" s="123">
        <f>'FS Jimbaran May 2022'!V42</f>
        <v>596.29999999999995</v>
      </c>
      <c r="L32" s="132">
        <f>'FS Jimbaran May 2022'!AA42/'FS Jimbaran May 2022'!V42</f>
        <v>6416.6485373134337</v>
      </c>
      <c r="M32" s="123">
        <f>'RNs &amp; Covers May 2022'!B36</f>
        <v>26</v>
      </c>
      <c r="N32" s="123">
        <f>'RNs &amp; Covers May 2022'!C36</f>
        <v>198</v>
      </c>
    </row>
    <row r="33" spans="12:12">
      <c r="L33" s="2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69"/>
  <sheetViews>
    <sheetView tabSelected="1" zoomScale="85" zoomScaleNormal="85" workbookViewId="0">
      <pane xSplit="4" ySplit="10" topLeftCell="Z15" activePane="bottomRight" state="frozen"/>
      <selection pane="bottomRight" activeCell="Y46" sqref="Y46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7.28515625" style="3" customWidth="1"/>
    <col min="4" max="4" width="7.28515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55" bestFit="1" customWidth="1"/>
    <col min="14" max="14" width="20.42578125" style="59" customWidth="1"/>
    <col min="15" max="15" width="18.85546875" customWidth="1"/>
    <col min="16" max="16" width="15.140625" style="59" customWidth="1"/>
    <col min="17" max="17" width="19.7109375" hidden="1" customWidth="1"/>
    <col min="18" max="18" width="18.140625" style="79" hidden="1" customWidth="1"/>
    <col min="19" max="19" width="24.28515625" hidden="1" customWidth="1"/>
    <col min="20" max="20" width="21.140625" hidden="1" customWidth="1"/>
    <col min="21" max="21" width="18.85546875" hidden="1" customWidth="1"/>
    <col min="22" max="22" width="13.7109375" customWidth="1"/>
    <col min="23" max="23" width="12.140625" customWidth="1"/>
    <col min="24" max="24" width="13.5703125" customWidth="1"/>
    <col min="25" max="25" width="13.28515625" customWidth="1"/>
    <col min="26" max="26" width="13.5703125" customWidth="1"/>
    <col min="27" max="27" width="11.5703125" customWidth="1"/>
    <col min="28" max="28" width="10.5703125" customWidth="1"/>
    <col min="29" max="29" width="13.42578125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1.42578125" bestFit="1" customWidth="1"/>
    <col min="34" max="34" width="19" style="3" customWidth="1"/>
    <col min="35" max="35" width="10.5703125" customWidth="1"/>
    <col min="36" max="36" width="13.28515625" style="79" bestFit="1" customWidth="1"/>
    <col min="37" max="37" width="20.7109375" bestFit="1" customWidth="1"/>
    <col min="38" max="38" width="12.140625" style="35" customWidth="1"/>
    <col min="39" max="39" width="2.28515625" style="7" customWidth="1"/>
  </cols>
  <sheetData>
    <row r="5" spans="1:39">
      <c r="N5" s="133"/>
      <c r="X5" s="134"/>
    </row>
    <row r="6" spans="1:39" s="23" customFormat="1" ht="19.5" thickBot="1">
      <c r="B6" s="23" t="s">
        <v>16</v>
      </c>
      <c r="C6" s="31"/>
      <c r="E6" s="31"/>
      <c r="F6" s="31"/>
      <c r="H6" s="31"/>
      <c r="L6" s="31"/>
      <c r="M6" s="50"/>
      <c r="N6" s="56"/>
      <c r="P6" s="56"/>
      <c r="R6" s="75"/>
      <c r="AD6" s="31"/>
      <c r="AH6" s="31"/>
      <c r="AJ6" s="75"/>
      <c r="AL6" s="32"/>
    </row>
    <row r="7" spans="1:39" s="11" customFormat="1" ht="16.5" thickBot="1">
      <c r="A7" s="27"/>
      <c r="B7" s="233" t="s">
        <v>17</v>
      </c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5"/>
      <c r="AM7" s="27"/>
    </row>
    <row r="8" spans="1:39" s="7" customFormat="1" ht="15.75" customHeight="1" thickBot="1">
      <c r="A8" s="24"/>
      <c r="B8" s="236" t="s">
        <v>18</v>
      </c>
      <c r="C8" s="239" t="s">
        <v>19</v>
      </c>
      <c r="D8" s="242" t="s">
        <v>13</v>
      </c>
      <c r="E8" s="244" t="s">
        <v>20</v>
      </c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5"/>
      <c r="V8" s="246" t="s">
        <v>21</v>
      </c>
      <c r="W8" s="247"/>
      <c r="X8" s="247"/>
      <c r="Y8" s="247"/>
      <c r="Z8" s="247"/>
      <c r="AA8" s="247"/>
      <c r="AB8" s="248"/>
      <c r="AC8" s="249" t="s">
        <v>22</v>
      </c>
      <c r="AD8" s="249"/>
      <c r="AE8" s="249"/>
      <c r="AF8" s="249"/>
      <c r="AG8" s="249"/>
      <c r="AH8" s="249"/>
      <c r="AI8" s="249"/>
      <c r="AJ8" s="249"/>
      <c r="AK8" s="249"/>
      <c r="AL8" s="250"/>
      <c r="AM8" s="26"/>
    </row>
    <row r="9" spans="1:39" ht="15" customHeight="1" thickBot="1">
      <c r="B9" s="237"/>
      <c r="C9" s="240"/>
      <c r="D9" s="243"/>
      <c r="E9" s="251" t="s">
        <v>23</v>
      </c>
      <c r="F9" s="252"/>
      <c r="G9" s="252"/>
      <c r="H9" s="252"/>
      <c r="I9" s="253"/>
      <c r="J9" s="254" t="s">
        <v>24</v>
      </c>
      <c r="K9" s="254"/>
      <c r="L9" s="254"/>
      <c r="M9" s="254"/>
      <c r="N9" s="255"/>
      <c r="O9" s="242" t="s">
        <v>25</v>
      </c>
      <c r="P9" s="257" t="s">
        <v>26</v>
      </c>
      <c r="Q9" s="259" t="s">
        <v>27</v>
      </c>
      <c r="R9" s="225" t="s">
        <v>28</v>
      </c>
      <c r="S9" s="227" t="s">
        <v>29</v>
      </c>
      <c r="T9" s="229" t="s">
        <v>30</v>
      </c>
      <c r="U9" s="230"/>
      <c r="V9" s="45"/>
      <c r="W9" s="45" t="s">
        <v>31</v>
      </c>
      <c r="X9" s="45"/>
      <c r="Y9" s="46"/>
      <c r="Z9" s="168"/>
      <c r="AA9" s="231" t="s">
        <v>32</v>
      </c>
      <c r="AB9" s="232"/>
      <c r="AC9" s="249" t="s">
        <v>33</v>
      </c>
      <c r="AD9" s="249"/>
      <c r="AE9" s="249"/>
      <c r="AF9" s="249"/>
      <c r="AG9" s="249"/>
      <c r="AH9" s="249"/>
      <c r="AI9" s="250"/>
      <c r="AJ9" s="261" t="s">
        <v>34</v>
      </c>
      <c r="AK9" s="262"/>
      <c r="AL9" s="263"/>
    </row>
    <row r="10" spans="1:39" ht="61.5" customHeight="1" thickBot="1">
      <c r="A10" s="25"/>
      <c r="B10" s="238"/>
      <c r="C10" s="241"/>
      <c r="D10" s="243"/>
      <c r="E10" s="85" t="s">
        <v>35</v>
      </c>
      <c r="F10" s="73" t="s">
        <v>36</v>
      </c>
      <c r="G10" s="105" t="s">
        <v>37</v>
      </c>
      <c r="H10" s="16" t="s">
        <v>36</v>
      </c>
      <c r="I10" s="86" t="s">
        <v>38</v>
      </c>
      <c r="J10" s="85" t="s">
        <v>35</v>
      </c>
      <c r="K10" s="74" t="s">
        <v>36</v>
      </c>
      <c r="L10" s="105" t="s">
        <v>37</v>
      </c>
      <c r="M10" s="51" t="s">
        <v>36</v>
      </c>
      <c r="N10" s="82" t="s">
        <v>39</v>
      </c>
      <c r="O10" s="256"/>
      <c r="P10" s="258"/>
      <c r="Q10" s="260"/>
      <c r="R10" s="226"/>
      <c r="S10" s="228"/>
      <c r="T10" s="135" t="s">
        <v>40</v>
      </c>
      <c r="U10" s="21" t="s">
        <v>41</v>
      </c>
      <c r="V10" s="136" t="s">
        <v>42</v>
      </c>
      <c r="W10" s="178" t="s">
        <v>43</v>
      </c>
      <c r="X10" s="178" t="s">
        <v>44</v>
      </c>
      <c r="Y10" s="20" t="s">
        <v>45</v>
      </c>
      <c r="Z10" s="20" t="s">
        <v>46</v>
      </c>
      <c r="AA10" s="20" t="s">
        <v>40</v>
      </c>
      <c r="AB10" s="12" t="s">
        <v>41</v>
      </c>
      <c r="AC10" s="99" t="s">
        <v>47</v>
      </c>
      <c r="AD10" s="41" t="s">
        <v>48</v>
      </c>
      <c r="AE10" s="40" t="s">
        <v>49</v>
      </c>
      <c r="AF10" s="40" t="s">
        <v>50</v>
      </c>
      <c r="AG10" s="40" t="s">
        <v>51</v>
      </c>
      <c r="AH10" s="41" t="s">
        <v>40</v>
      </c>
      <c r="AI10" s="42" t="s">
        <v>41</v>
      </c>
      <c r="AJ10" s="108" t="s">
        <v>52</v>
      </c>
      <c r="AK10" s="40" t="s">
        <v>40</v>
      </c>
      <c r="AL10" s="44" t="s">
        <v>41</v>
      </c>
      <c r="AM10" s="25"/>
    </row>
    <row r="11" spans="1:39">
      <c r="A11" s="25"/>
      <c r="B11" s="48"/>
      <c r="C11" s="87"/>
      <c r="D11" s="176"/>
      <c r="E11" s="18"/>
      <c r="F11" s="80"/>
      <c r="G11" s="17"/>
      <c r="H11" s="18"/>
      <c r="I11" s="88"/>
      <c r="J11" s="81"/>
      <c r="K11" s="17"/>
      <c r="L11" s="18"/>
      <c r="M11" s="52"/>
      <c r="N11" s="83"/>
      <c r="O11" s="47"/>
      <c r="P11" s="89"/>
      <c r="Q11" s="137"/>
      <c r="R11" s="90"/>
      <c r="S11" s="138"/>
      <c r="T11" s="138"/>
      <c r="U11" s="167"/>
      <c r="V11" s="81"/>
      <c r="W11" s="17"/>
      <c r="X11" s="17"/>
      <c r="Y11" s="19"/>
      <c r="Z11" s="19"/>
      <c r="AA11" s="19"/>
      <c r="AB11" s="88">
        <v>14522</v>
      </c>
      <c r="AC11" s="100">
        <v>18990</v>
      </c>
      <c r="AD11" s="224">
        <v>955000</v>
      </c>
      <c r="AE11" s="36">
        <v>955000</v>
      </c>
      <c r="AF11" s="36">
        <v>188700</v>
      </c>
      <c r="AG11" s="36"/>
      <c r="AH11" s="38"/>
      <c r="AI11" s="39"/>
      <c r="AJ11" s="109"/>
      <c r="AK11" s="36">
        <v>17500</v>
      </c>
      <c r="AL11" s="43"/>
      <c r="AM11" s="25"/>
    </row>
    <row r="12" spans="1:39" ht="15">
      <c r="A12" s="30"/>
      <c r="B12" s="49">
        <v>1</v>
      </c>
      <c r="C12" s="221">
        <v>75</v>
      </c>
      <c r="D12" s="221">
        <v>425</v>
      </c>
      <c r="E12" s="183">
        <v>16039.999999999964</v>
      </c>
      <c r="F12" s="180">
        <v>16613911.199999962</v>
      </c>
      <c r="G12" s="180">
        <v>3839.9999999999181</v>
      </c>
      <c r="H12" s="180">
        <v>5966092.7999998732</v>
      </c>
      <c r="I12" s="184">
        <f>F12+H12</f>
        <v>22580003.999999836</v>
      </c>
      <c r="J12" s="183">
        <v>1579.9999999999272</v>
      </c>
      <c r="K12" s="180">
        <v>1636532.3999999247</v>
      </c>
      <c r="L12" s="185">
        <v>479.99999999998977</v>
      </c>
      <c r="M12" s="185">
        <v>745761.59999998414</v>
      </c>
      <c r="N12" s="184">
        <f>K12+M12</f>
        <v>2382293.9999999087</v>
      </c>
      <c r="O12" s="181">
        <f>I12+N12</f>
        <v>24962297.999999747</v>
      </c>
      <c r="P12" s="182">
        <f>E12+G12+J12+L12</f>
        <v>21939.9999999998</v>
      </c>
      <c r="Q12" s="106"/>
      <c r="R12" s="151"/>
      <c r="S12" s="161"/>
      <c r="T12" s="160"/>
      <c r="U12" s="159">
        <v>0</v>
      </c>
      <c r="V12" s="139">
        <f>W12+Y12</f>
        <v>626.55999999999995</v>
      </c>
      <c r="W12" s="2">
        <v>126.38</v>
      </c>
      <c r="X12" s="180">
        <v>2271111.79</v>
      </c>
      <c r="Y12" s="28">
        <v>500.18</v>
      </c>
      <c r="Z12" s="179">
        <v>2123354.1324</v>
      </c>
      <c r="AA12" s="179">
        <f>X12+Z12</f>
        <v>4394465.9223999996</v>
      </c>
      <c r="AB12" s="101">
        <f>AA12/$AB$11</f>
        <v>302.60748673736396</v>
      </c>
      <c r="AC12" s="200">
        <v>566.8604400000421</v>
      </c>
      <c r="AD12" s="2">
        <v>100</v>
      </c>
      <c r="AE12" s="2">
        <v>99.370760000000288</v>
      </c>
      <c r="AF12" s="2">
        <v>0</v>
      </c>
      <c r="AG12" s="2">
        <f>AC12+AD12+AE12+AF12</f>
        <v>766.23120000004235</v>
      </c>
      <c r="AH12" s="180">
        <v>14572661.271600805</v>
      </c>
      <c r="AI12" s="37">
        <f>AH12/14522</f>
        <v>1003.488587770335</v>
      </c>
      <c r="AJ12" s="110">
        <v>301.04999999999927</v>
      </c>
      <c r="AK12" s="180">
        <v>5268374.999999987</v>
      </c>
      <c r="AL12" s="33">
        <f>AK12/14522</f>
        <v>362.78577330946058</v>
      </c>
      <c r="AM12" s="6"/>
    </row>
    <row r="13" spans="1:39" ht="15">
      <c r="A13" s="30"/>
      <c r="B13" s="49">
        <v>2</v>
      </c>
      <c r="C13" s="221">
        <v>91</v>
      </c>
      <c r="D13" s="221">
        <v>524</v>
      </c>
      <c r="E13" s="183">
        <v>17479.999999999563</v>
      </c>
      <c r="F13" s="180">
        <v>18105434.399999548</v>
      </c>
      <c r="G13" s="180">
        <v>4120.0000000001182</v>
      </c>
      <c r="H13" s="180">
        <v>6401120.4000001838</v>
      </c>
      <c r="I13" s="184">
        <f t="shared" ref="I13:I42" si="0">F13+H13</f>
        <v>24506554.799999733</v>
      </c>
      <c r="J13" s="183">
        <v>1540.0000000000773</v>
      </c>
      <c r="K13" s="180">
        <v>1595101.20000008</v>
      </c>
      <c r="L13" s="185">
        <v>460.00000000000796</v>
      </c>
      <c r="M13" s="185">
        <v>714688.20000001241</v>
      </c>
      <c r="N13" s="184">
        <f t="shared" ref="N13:N42" si="1">K13+M13</f>
        <v>2309789.4000000926</v>
      </c>
      <c r="O13" s="181">
        <f t="shared" ref="O13:O42" si="2">I13+N13</f>
        <v>26816344.199999824</v>
      </c>
      <c r="P13" s="182">
        <f t="shared" ref="P13:P42" si="3">E13+G13+J13+L13</f>
        <v>23599.999999999764</v>
      </c>
      <c r="Q13" s="141"/>
      <c r="R13" s="152"/>
      <c r="S13" s="161"/>
      <c r="T13" s="160"/>
      <c r="U13" s="159">
        <v>0</v>
      </c>
      <c r="V13" s="139">
        <f t="shared" ref="V13:V42" si="4">W13+Y13</f>
        <v>658.6</v>
      </c>
      <c r="W13" s="2">
        <v>105.02</v>
      </c>
      <c r="X13" s="180">
        <v>1887261.91</v>
      </c>
      <c r="Y13" s="28">
        <v>553.58000000000004</v>
      </c>
      <c r="Z13" s="179">
        <v>2350046.7444000002</v>
      </c>
      <c r="AA13" s="179">
        <f t="shared" ref="AA13:AA42" si="5">X13+Z13</f>
        <v>4237308.6544000003</v>
      </c>
      <c r="AB13" s="101">
        <f t="shared" ref="AB13:AB42" si="6">AA13/$AB$11</f>
        <v>291.78547406693298</v>
      </c>
      <c r="AC13" s="200">
        <v>574.63447999995537</v>
      </c>
      <c r="AD13" s="2">
        <v>0</v>
      </c>
      <c r="AE13" s="2">
        <v>94.134360000001379</v>
      </c>
      <c r="AF13" s="2">
        <v>12</v>
      </c>
      <c r="AG13" s="2">
        <f t="shared" ref="AG13:AG42" si="7">AC13+AD13+AE13+AF13</f>
        <v>680.76883999995675</v>
      </c>
      <c r="AH13" s="180">
        <v>12898975.051199179</v>
      </c>
      <c r="AI13" s="37">
        <f t="shared" ref="AI13:AI42" si="8">AH13/14522</f>
        <v>888.23681663677041</v>
      </c>
      <c r="AJ13" s="110">
        <v>403.32000000000153</v>
      </c>
      <c r="AK13" s="180">
        <v>7058100.000000027</v>
      </c>
      <c r="AL13" s="33">
        <f t="shared" ref="AL13:AL42" si="9">AK13/14522</f>
        <v>486.02809530367904</v>
      </c>
      <c r="AM13" s="6"/>
    </row>
    <row r="14" spans="1:39" ht="15">
      <c r="A14" s="30"/>
      <c r="B14" s="49">
        <v>3</v>
      </c>
      <c r="C14" s="221">
        <v>86</v>
      </c>
      <c r="D14" s="221">
        <v>583</v>
      </c>
      <c r="E14" s="183">
        <v>17560.0000000004</v>
      </c>
      <c r="F14" s="180">
        <v>18188296.800000414</v>
      </c>
      <c r="G14" s="180">
        <v>3919.9999999998454</v>
      </c>
      <c r="H14" s="180">
        <v>6090386.3999997601</v>
      </c>
      <c r="I14" s="184">
        <f t="shared" si="0"/>
        <v>24278683.200000174</v>
      </c>
      <c r="J14" s="183">
        <v>1359.9999999999</v>
      </c>
      <c r="K14" s="180">
        <v>1408660.7999998964</v>
      </c>
      <c r="L14" s="185">
        <v>479.99999999998977</v>
      </c>
      <c r="M14" s="185">
        <v>745761.59999998414</v>
      </c>
      <c r="N14" s="184">
        <f t="shared" si="1"/>
        <v>2154422.3999998807</v>
      </c>
      <c r="O14" s="181">
        <f t="shared" si="2"/>
        <v>26433105.600000054</v>
      </c>
      <c r="P14" s="182">
        <f t="shared" si="3"/>
        <v>23320.000000000135</v>
      </c>
      <c r="Q14" s="141"/>
      <c r="R14" s="152"/>
      <c r="S14" s="161"/>
      <c r="T14" s="160"/>
      <c r="U14" s="159">
        <v>0</v>
      </c>
      <c r="V14" s="139">
        <f t="shared" si="4"/>
        <v>687.97</v>
      </c>
      <c r="W14" s="2">
        <v>126.38</v>
      </c>
      <c r="X14" s="180">
        <v>2271111.79</v>
      </c>
      <c r="Y14" s="28">
        <v>561.59</v>
      </c>
      <c r="Z14" s="179">
        <v>2384050.6362000001</v>
      </c>
      <c r="AA14" s="179">
        <f t="shared" si="5"/>
        <v>4655162.4262000006</v>
      </c>
      <c r="AB14" s="101">
        <f t="shared" si="6"/>
        <v>320.55931870265806</v>
      </c>
      <c r="AC14" s="200">
        <v>578.94444000004216</v>
      </c>
      <c r="AD14" s="2">
        <v>0</v>
      </c>
      <c r="AE14" s="2">
        <v>92.362039999999325</v>
      </c>
      <c r="AF14" s="2">
        <v>12</v>
      </c>
      <c r="AG14" s="2">
        <f t="shared" si="7"/>
        <v>683.30648000004146</v>
      </c>
      <c r="AH14" s="180">
        <v>12946969.879600788</v>
      </c>
      <c r="AI14" s="37">
        <f t="shared" si="8"/>
        <v>891.54179035950881</v>
      </c>
      <c r="AJ14" s="110">
        <v>823.73999999999978</v>
      </c>
      <c r="AK14" s="180">
        <v>14415449.999999996</v>
      </c>
      <c r="AL14" s="33">
        <f t="shared" si="9"/>
        <v>992.6628563558736</v>
      </c>
      <c r="AM14" s="6"/>
    </row>
    <row r="15" spans="1:39" ht="15">
      <c r="A15" s="30"/>
      <c r="B15" s="49">
        <v>4</v>
      </c>
      <c r="C15" s="221">
        <v>80</v>
      </c>
      <c r="D15" s="221">
        <v>611</v>
      </c>
      <c r="E15" s="183">
        <v>17239.999999999782</v>
      </c>
      <c r="F15" s="180">
        <v>17856847.199999772</v>
      </c>
      <c r="G15" s="180">
        <v>3920.0000000000728</v>
      </c>
      <c r="H15" s="180">
        <v>6090386.4000001131</v>
      </c>
      <c r="I15" s="184">
        <f t="shared" si="0"/>
        <v>23947233.599999886</v>
      </c>
      <c r="J15" s="183">
        <v>1520.0000000000955</v>
      </c>
      <c r="K15" s="180">
        <v>1574385.6000000988</v>
      </c>
      <c r="L15" s="185">
        <v>480.00000000001819</v>
      </c>
      <c r="M15" s="185">
        <v>745761.60000002827</v>
      </c>
      <c r="N15" s="184">
        <f t="shared" si="1"/>
        <v>2320147.2000001268</v>
      </c>
      <c r="O15" s="181">
        <f t="shared" si="2"/>
        <v>26267380.800000012</v>
      </c>
      <c r="P15" s="182">
        <f t="shared" si="3"/>
        <v>23159.999999999967</v>
      </c>
      <c r="Q15" s="141"/>
      <c r="R15" s="152"/>
      <c r="S15" s="161"/>
      <c r="T15" s="160"/>
      <c r="U15" s="159">
        <v>0</v>
      </c>
      <c r="V15" s="139">
        <f t="shared" si="4"/>
        <v>665.72</v>
      </c>
      <c r="W15" s="2">
        <v>128.16</v>
      </c>
      <c r="X15" s="180">
        <v>2303099.2799999998</v>
      </c>
      <c r="Y15" s="28">
        <v>537.56000000000006</v>
      </c>
      <c r="Z15" s="179">
        <v>2282038.9608000005</v>
      </c>
      <c r="AA15" s="179">
        <f t="shared" si="5"/>
        <v>4585138.2408000007</v>
      </c>
      <c r="AB15" s="101">
        <f t="shared" si="6"/>
        <v>315.73738058118721</v>
      </c>
      <c r="AC15" s="200">
        <v>618.53967999999054</v>
      </c>
      <c r="AD15" s="2">
        <v>0</v>
      </c>
      <c r="AE15" s="2">
        <v>92.402320000000216</v>
      </c>
      <c r="AF15" s="2">
        <v>24</v>
      </c>
      <c r="AG15" s="2">
        <f t="shared" si="7"/>
        <v>734.9419999999908</v>
      </c>
      <c r="AH15" s="180">
        <v>13888352.835199825</v>
      </c>
      <c r="AI15" s="37">
        <f t="shared" si="8"/>
        <v>956.3663982371454</v>
      </c>
      <c r="AJ15" s="110">
        <v>136.6500000000342</v>
      </c>
      <c r="AK15" s="180">
        <v>2391375.0000005984</v>
      </c>
      <c r="AL15" s="33">
        <f t="shared" si="9"/>
        <v>164.67256576233291</v>
      </c>
      <c r="AM15" s="6"/>
    </row>
    <row r="16" spans="1:39" ht="15">
      <c r="A16" s="30"/>
      <c r="B16" s="49">
        <v>5</v>
      </c>
      <c r="C16" s="221">
        <v>58</v>
      </c>
      <c r="D16" s="221">
        <v>558</v>
      </c>
      <c r="E16" s="183">
        <v>16760.000000000218</v>
      </c>
      <c r="F16" s="180">
        <v>17359672.800000224</v>
      </c>
      <c r="G16" s="180">
        <v>3639.9999999998727</v>
      </c>
      <c r="H16" s="180">
        <v>5655358.7999998024</v>
      </c>
      <c r="I16" s="184">
        <f t="shared" si="0"/>
        <v>23015031.600000028</v>
      </c>
      <c r="J16" s="183">
        <v>1659.9999999999682</v>
      </c>
      <c r="K16" s="180">
        <v>1719394.799999967</v>
      </c>
      <c r="L16" s="185">
        <v>479.99999999998977</v>
      </c>
      <c r="M16" s="185">
        <v>745761.59999998414</v>
      </c>
      <c r="N16" s="184">
        <f t="shared" si="1"/>
        <v>2465156.399999951</v>
      </c>
      <c r="O16" s="181">
        <f t="shared" si="2"/>
        <v>25480187.999999978</v>
      </c>
      <c r="P16" s="182">
        <f t="shared" si="3"/>
        <v>22540.000000000047</v>
      </c>
      <c r="Q16" s="141"/>
      <c r="R16" s="152"/>
      <c r="S16" s="161"/>
      <c r="T16" s="160"/>
      <c r="U16" s="159">
        <v>0</v>
      </c>
      <c r="V16" s="139">
        <f t="shared" si="4"/>
        <v>617.66000000000008</v>
      </c>
      <c r="W16" s="2">
        <v>93.45</v>
      </c>
      <c r="X16" s="180">
        <v>1679343.2250000001</v>
      </c>
      <c r="Y16" s="28">
        <v>524.21</v>
      </c>
      <c r="Z16" s="179">
        <v>2225365.8078000005</v>
      </c>
      <c r="AA16" s="179">
        <f t="shared" si="5"/>
        <v>3904709.0328000006</v>
      </c>
      <c r="AB16" s="101">
        <f t="shared" si="6"/>
        <v>268.88231874397468</v>
      </c>
      <c r="AC16" s="200">
        <v>419.31479999996481</v>
      </c>
      <c r="AD16" s="2">
        <v>0</v>
      </c>
      <c r="AE16" s="2">
        <v>92.160640000000427</v>
      </c>
      <c r="AF16" s="2">
        <v>0</v>
      </c>
      <c r="AG16" s="2">
        <f t="shared" si="7"/>
        <v>511.47543999996526</v>
      </c>
      <c r="AH16" s="180">
        <v>9723056.2759993393</v>
      </c>
      <c r="AI16" s="37">
        <f t="shared" si="8"/>
        <v>669.539751824772</v>
      </c>
      <c r="AJ16" s="110">
        <v>371.51000000000022</v>
      </c>
      <c r="AK16" s="180">
        <v>6501425.0000000037</v>
      </c>
      <c r="AL16" s="33">
        <f t="shared" si="9"/>
        <v>447.69487673874147</v>
      </c>
      <c r="AM16" s="6"/>
    </row>
    <row r="17" spans="1:39" ht="15">
      <c r="A17" s="30"/>
      <c r="B17" s="49">
        <v>6</v>
      </c>
      <c r="C17" s="221">
        <v>46</v>
      </c>
      <c r="D17" s="221">
        <v>395</v>
      </c>
      <c r="E17" s="183">
        <v>17159.999999999854</v>
      </c>
      <c r="F17" s="180">
        <v>17773984.799999848</v>
      </c>
      <c r="G17" s="180">
        <v>3720.0000000000273</v>
      </c>
      <c r="H17" s="180">
        <v>5779652.4000000423</v>
      </c>
      <c r="I17" s="184">
        <f t="shared" si="0"/>
        <v>23553637.199999891</v>
      </c>
      <c r="J17" s="183">
        <v>1600.0000000000227</v>
      </c>
      <c r="K17" s="180">
        <v>1657248.0000000235</v>
      </c>
      <c r="L17" s="185">
        <v>500</v>
      </c>
      <c r="M17" s="185">
        <v>776835</v>
      </c>
      <c r="N17" s="184">
        <f t="shared" si="1"/>
        <v>2434083.0000000233</v>
      </c>
      <c r="O17" s="181">
        <f t="shared" si="2"/>
        <v>25987720.199999914</v>
      </c>
      <c r="P17" s="182">
        <f t="shared" si="3"/>
        <v>22979.999999999905</v>
      </c>
      <c r="Q17" s="141"/>
      <c r="R17" s="152"/>
      <c r="S17" s="161"/>
      <c r="T17" s="160"/>
      <c r="U17" s="159">
        <v>0</v>
      </c>
      <c r="V17" s="139">
        <f t="shared" si="4"/>
        <v>639.02</v>
      </c>
      <c r="W17" s="2">
        <v>97.9</v>
      </c>
      <c r="X17" s="180">
        <v>1759311.9500000002</v>
      </c>
      <c r="Y17" s="28">
        <v>541.12</v>
      </c>
      <c r="Z17" s="179">
        <v>2297151.8016000004</v>
      </c>
      <c r="AA17" s="179">
        <f t="shared" si="5"/>
        <v>4056463.7516000005</v>
      </c>
      <c r="AB17" s="101">
        <f t="shared" si="6"/>
        <v>279.33230626635452</v>
      </c>
      <c r="AC17" s="200">
        <v>0</v>
      </c>
      <c r="AD17" s="2">
        <v>400</v>
      </c>
      <c r="AE17" s="2">
        <v>92.764839999998969</v>
      </c>
      <c r="AF17" s="2">
        <v>12</v>
      </c>
      <c r="AG17" s="2">
        <f t="shared" si="7"/>
        <v>504.76483999999897</v>
      </c>
      <c r="AH17" s="180">
        <v>9600508.4439999796</v>
      </c>
      <c r="AI17" s="37">
        <f t="shared" si="8"/>
        <v>661.10098085662992</v>
      </c>
      <c r="AJ17" s="110">
        <v>397.97999999999956</v>
      </c>
      <c r="AK17" s="180">
        <v>6964649.9999999925</v>
      </c>
      <c r="AL17" s="33">
        <f t="shared" si="9"/>
        <v>479.59303126291093</v>
      </c>
      <c r="AM17" s="6"/>
    </row>
    <row r="18" spans="1:39" ht="15">
      <c r="A18" s="30"/>
      <c r="B18" s="49">
        <v>7</v>
      </c>
      <c r="C18" s="221">
        <v>42</v>
      </c>
      <c r="D18" s="221">
        <v>367</v>
      </c>
      <c r="E18" s="183">
        <v>16800.000000000182</v>
      </c>
      <c r="F18" s="180">
        <v>17401104.000000186</v>
      </c>
      <c r="G18" s="180">
        <v>3680.0000000000637</v>
      </c>
      <c r="H18" s="180">
        <v>5717505.6000000993</v>
      </c>
      <c r="I18" s="184">
        <f t="shared" si="0"/>
        <v>23118609.600000285</v>
      </c>
      <c r="J18" s="183">
        <v>1599.9999999999091</v>
      </c>
      <c r="K18" s="180">
        <v>1657247.9999999057</v>
      </c>
      <c r="L18" s="185">
        <v>479.99999999998977</v>
      </c>
      <c r="M18" s="185">
        <v>745761.59999998414</v>
      </c>
      <c r="N18" s="184">
        <f t="shared" si="1"/>
        <v>2403009.5999998897</v>
      </c>
      <c r="O18" s="181">
        <f t="shared" si="2"/>
        <v>25521619.200000174</v>
      </c>
      <c r="P18" s="182">
        <f t="shared" si="3"/>
        <v>22560.000000000146</v>
      </c>
      <c r="Q18" s="141"/>
      <c r="R18" s="152"/>
      <c r="S18" s="161"/>
      <c r="T18" s="160"/>
      <c r="U18" s="159">
        <v>0</v>
      </c>
      <c r="V18" s="139">
        <f t="shared" si="4"/>
        <v>606.98</v>
      </c>
      <c r="W18" s="2">
        <v>54.29</v>
      </c>
      <c r="X18" s="180">
        <v>975618.44499999995</v>
      </c>
      <c r="Y18" s="28">
        <v>552.69000000000005</v>
      </c>
      <c r="Z18" s="179">
        <v>2346268.5342000006</v>
      </c>
      <c r="AA18" s="179">
        <f t="shared" si="5"/>
        <v>3321886.9792000004</v>
      </c>
      <c r="AB18" s="101">
        <f t="shared" si="6"/>
        <v>228.74858691640273</v>
      </c>
      <c r="AC18" s="200">
        <v>0</v>
      </c>
      <c r="AD18" s="2">
        <v>0</v>
      </c>
      <c r="AE18" s="2">
        <v>89.139640000000426</v>
      </c>
      <c r="AF18" s="2">
        <v>12</v>
      </c>
      <c r="AG18" s="2">
        <f t="shared" si="7"/>
        <v>101.13964000000043</v>
      </c>
      <c r="AH18" s="180">
        <v>1891267.1240000082</v>
      </c>
      <c r="AI18" s="37">
        <f t="shared" si="8"/>
        <v>130.23461809668146</v>
      </c>
      <c r="AJ18" s="110">
        <v>317.45000000000073</v>
      </c>
      <c r="AK18" s="180">
        <v>5555375.000000013</v>
      </c>
      <c r="AL18" s="33">
        <f t="shared" si="9"/>
        <v>382.54889133728227</v>
      </c>
      <c r="AM18" s="6"/>
    </row>
    <row r="19" spans="1:39" ht="15">
      <c r="A19" s="30"/>
      <c r="B19" s="49">
        <v>8</v>
      </c>
      <c r="C19" s="221">
        <v>36</v>
      </c>
      <c r="D19" s="221">
        <v>313</v>
      </c>
      <c r="E19" s="183">
        <v>16079.999999999927</v>
      </c>
      <c r="F19" s="180">
        <v>16655342.399999924</v>
      </c>
      <c r="G19" s="180">
        <v>3319.9999999999363</v>
      </c>
      <c r="H19" s="180">
        <v>5158184.3999999017</v>
      </c>
      <c r="I19" s="184">
        <f t="shared" si="0"/>
        <v>21813526.799999826</v>
      </c>
      <c r="J19" s="183">
        <v>1620.0000000000045</v>
      </c>
      <c r="K19" s="180">
        <v>1677963.6000000047</v>
      </c>
      <c r="L19" s="185">
        <v>460.00000000000796</v>
      </c>
      <c r="M19" s="185">
        <v>714688.20000001241</v>
      </c>
      <c r="N19" s="184">
        <f t="shared" si="1"/>
        <v>2392651.800000017</v>
      </c>
      <c r="O19" s="181">
        <f t="shared" si="2"/>
        <v>24206178.599999841</v>
      </c>
      <c r="P19" s="182">
        <f t="shared" si="3"/>
        <v>21479.999999999873</v>
      </c>
      <c r="Q19" s="141"/>
      <c r="R19" s="152"/>
      <c r="S19" s="161"/>
      <c r="T19" s="160"/>
      <c r="U19" s="159">
        <v>0</v>
      </c>
      <c r="V19" s="139">
        <f t="shared" si="4"/>
        <v>640.79999999999995</v>
      </c>
      <c r="W19" s="2">
        <v>92.56</v>
      </c>
      <c r="X19" s="180">
        <v>1663349.48</v>
      </c>
      <c r="Y19" s="28">
        <v>548.24</v>
      </c>
      <c r="Z19" s="179">
        <v>2327377.4832000001</v>
      </c>
      <c r="AA19" s="179">
        <f t="shared" si="5"/>
        <v>3990726.9632000001</v>
      </c>
      <c r="AB19" s="101">
        <f t="shared" si="6"/>
        <v>274.80560275444157</v>
      </c>
      <c r="AC19" s="200">
        <v>0</v>
      </c>
      <c r="AD19" s="2">
        <v>0</v>
      </c>
      <c r="AE19" s="2">
        <v>81.325320000000218</v>
      </c>
      <c r="AF19" s="2">
        <v>36</v>
      </c>
      <c r="AG19" s="2">
        <f t="shared" si="7"/>
        <v>117.32532000000022</v>
      </c>
      <c r="AH19" s="180">
        <v>2119413.6120000044</v>
      </c>
      <c r="AI19" s="37">
        <f t="shared" si="8"/>
        <v>145.94502217325467</v>
      </c>
      <c r="AJ19" s="110">
        <v>378.60000000000036</v>
      </c>
      <c r="AK19" s="180">
        <v>6625500.0000000065</v>
      </c>
      <c r="AL19" s="33">
        <f t="shared" si="9"/>
        <v>456.23881008125647</v>
      </c>
      <c r="AM19" s="6"/>
    </row>
    <row r="20" spans="1:39" ht="15">
      <c r="A20" s="30"/>
      <c r="B20" s="49">
        <v>9</v>
      </c>
      <c r="C20" s="221">
        <v>25</v>
      </c>
      <c r="D20" s="221">
        <v>270</v>
      </c>
      <c r="E20" s="183">
        <v>15479.999999999563</v>
      </c>
      <c r="F20" s="180">
        <v>16033874.399999548</v>
      </c>
      <c r="G20" s="180">
        <v>3519.9999999999818</v>
      </c>
      <c r="H20" s="180">
        <v>5468918.3999999724</v>
      </c>
      <c r="I20" s="184">
        <f t="shared" si="0"/>
        <v>21502792.79999952</v>
      </c>
      <c r="J20" s="183">
        <v>1300.0000000000682</v>
      </c>
      <c r="K20" s="180">
        <v>1346514.0000000705</v>
      </c>
      <c r="L20" s="185">
        <v>460.00000000000796</v>
      </c>
      <c r="M20" s="185">
        <v>714688.20000001241</v>
      </c>
      <c r="N20" s="184">
        <f t="shared" si="1"/>
        <v>2061202.2000000831</v>
      </c>
      <c r="O20" s="181">
        <f t="shared" si="2"/>
        <v>23563994.999999605</v>
      </c>
      <c r="P20" s="182">
        <f t="shared" si="3"/>
        <v>20759.999999999622</v>
      </c>
      <c r="Q20" s="141"/>
      <c r="R20" s="152"/>
      <c r="S20" s="161"/>
      <c r="T20" s="160"/>
      <c r="U20" s="159">
        <v>0</v>
      </c>
      <c r="V20" s="139">
        <f t="shared" si="4"/>
        <v>679.07</v>
      </c>
      <c r="W20" s="2">
        <v>126.38</v>
      </c>
      <c r="X20" s="180">
        <v>2271111.79</v>
      </c>
      <c r="Y20" s="28">
        <v>552.69000000000005</v>
      </c>
      <c r="Z20" s="179">
        <v>2346268.5342000006</v>
      </c>
      <c r="AA20" s="179">
        <f t="shared" si="5"/>
        <v>4617380.3242000006</v>
      </c>
      <c r="AB20" s="101">
        <f t="shared" si="6"/>
        <v>317.95760392507924</v>
      </c>
      <c r="AC20" s="200">
        <v>0</v>
      </c>
      <c r="AD20" s="2">
        <v>0</v>
      </c>
      <c r="AE20" s="2">
        <v>77.982079999998675</v>
      </c>
      <c r="AF20" s="2">
        <v>24</v>
      </c>
      <c r="AG20" s="2">
        <f t="shared" si="7"/>
        <v>101.98207999999867</v>
      </c>
      <c r="AH20" s="180">
        <v>1866857.7279999747</v>
      </c>
      <c r="AI20" s="37">
        <f t="shared" si="8"/>
        <v>128.5537617408053</v>
      </c>
      <c r="AJ20" s="110">
        <v>421.26999999999862</v>
      </c>
      <c r="AK20" s="180">
        <v>7372224.9999999758</v>
      </c>
      <c r="AL20" s="33">
        <f t="shared" si="9"/>
        <v>507.65906899875881</v>
      </c>
      <c r="AM20" s="6"/>
    </row>
    <row r="21" spans="1:39" ht="15">
      <c r="A21" s="30"/>
      <c r="B21" s="49">
        <v>10</v>
      </c>
      <c r="C21" s="221">
        <v>22</v>
      </c>
      <c r="D21" s="221">
        <v>222</v>
      </c>
      <c r="E21" s="183">
        <v>15560.0000000004</v>
      </c>
      <c r="F21" s="180">
        <v>16116736.800000414</v>
      </c>
      <c r="G21" s="180">
        <v>3200.0000000000455</v>
      </c>
      <c r="H21" s="180">
        <v>4971744.0000000708</v>
      </c>
      <c r="I21" s="184">
        <f t="shared" si="0"/>
        <v>21088480.800000485</v>
      </c>
      <c r="J21" s="183">
        <v>1679.99999999995</v>
      </c>
      <c r="K21" s="180">
        <v>1740110.3999999482</v>
      </c>
      <c r="L21" s="185">
        <v>439.99999999999773</v>
      </c>
      <c r="M21" s="185">
        <v>683614.79999999655</v>
      </c>
      <c r="N21" s="184">
        <f t="shared" si="1"/>
        <v>2423725.1999999448</v>
      </c>
      <c r="O21" s="181">
        <f t="shared" si="2"/>
        <v>23512206.000000428</v>
      </c>
      <c r="P21" s="182">
        <f t="shared" si="3"/>
        <v>20880.000000000389</v>
      </c>
      <c r="Q21" s="141"/>
      <c r="R21" s="152"/>
      <c r="S21" s="161"/>
      <c r="T21" s="160"/>
      <c r="U21" s="159">
        <v>0</v>
      </c>
      <c r="V21" s="139">
        <f t="shared" si="4"/>
        <v>656.82</v>
      </c>
      <c r="W21" s="2">
        <v>101.46000000000001</v>
      </c>
      <c r="X21" s="180">
        <v>1823286.9300000002</v>
      </c>
      <c r="Y21" s="28">
        <v>555.36</v>
      </c>
      <c r="Z21" s="179">
        <v>2357603.1648000004</v>
      </c>
      <c r="AA21" s="179">
        <f t="shared" si="5"/>
        <v>4180890.0948000005</v>
      </c>
      <c r="AB21" s="101">
        <f t="shared" si="6"/>
        <v>287.90043346646473</v>
      </c>
      <c r="AC21" s="200">
        <v>0</v>
      </c>
      <c r="AD21" s="2">
        <v>400</v>
      </c>
      <c r="AE21" s="2">
        <v>82.171200000000354</v>
      </c>
      <c r="AF21" s="2">
        <v>0</v>
      </c>
      <c r="AG21" s="2">
        <f t="shared" si="7"/>
        <v>482.17120000000034</v>
      </c>
      <c r="AH21" s="180">
        <v>9209469.9200000074</v>
      </c>
      <c r="AI21" s="37">
        <f t="shared" si="8"/>
        <v>634.17366203002393</v>
      </c>
      <c r="AJ21" s="110">
        <v>338.23000000000138</v>
      </c>
      <c r="AK21" s="180">
        <v>5919025.0000000242</v>
      </c>
      <c r="AL21" s="33">
        <f t="shared" si="9"/>
        <v>407.59020796033769</v>
      </c>
      <c r="AM21" s="6"/>
    </row>
    <row r="22" spans="1:39" ht="15">
      <c r="A22" s="30"/>
      <c r="B22" s="49">
        <v>11</v>
      </c>
      <c r="C22" s="221">
        <v>22</v>
      </c>
      <c r="D22" s="221">
        <v>180</v>
      </c>
      <c r="E22" s="183">
        <v>15039.999999999964</v>
      </c>
      <c r="F22" s="180">
        <v>15578131.199999962</v>
      </c>
      <c r="G22" s="180">
        <v>3240.0000000000091</v>
      </c>
      <c r="H22" s="180">
        <v>5033890.8000000147</v>
      </c>
      <c r="I22" s="184">
        <f t="shared" si="0"/>
        <v>20612021.999999978</v>
      </c>
      <c r="J22" s="183">
        <v>1740.0000000000091</v>
      </c>
      <c r="K22" s="180">
        <v>1802257.2000000093</v>
      </c>
      <c r="L22" s="185">
        <v>400.00000000000568</v>
      </c>
      <c r="M22" s="185">
        <v>621468.00000000885</v>
      </c>
      <c r="N22" s="184">
        <f t="shared" si="1"/>
        <v>2423725.2000000179</v>
      </c>
      <c r="O22" s="181">
        <f t="shared" si="2"/>
        <v>23035747.199999996</v>
      </c>
      <c r="P22" s="182">
        <f t="shared" si="3"/>
        <v>20419.999999999985</v>
      </c>
      <c r="Q22" s="141"/>
      <c r="R22" s="152"/>
      <c r="S22" s="161"/>
      <c r="T22" s="160"/>
      <c r="U22" s="159">
        <v>0</v>
      </c>
      <c r="V22" s="139">
        <f t="shared" si="4"/>
        <v>653.26</v>
      </c>
      <c r="W22" s="2">
        <v>97.9</v>
      </c>
      <c r="X22" s="180">
        <v>1759311.9500000002</v>
      </c>
      <c r="Y22" s="28">
        <v>555.36</v>
      </c>
      <c r="Z22" s="179">
        <v>2357603.1648000004</v>
      </c>
      <c r="AA22" s="179">
        <f t="shared" si="5"/>
        <v>4116915.1148000006</v>
      </c>
      <c r="AB22" s="101">
        <f t="shared" si="6"/>
        <v>283.4950499104807</v>
      </c>
      <c r="AC22" s="200">
        <v>0</v>
      </c>
      <c r="AD22" s="2">
        <v>0</v>
      </c>
      <c r="AE22" s="2">
        <v>85.675559999999919</v>
      </c>
      <c r="AF22" s="2">
        <v>0</v>
      </c>
      <c r="AG22" s="2">
        <f t="shared" si="7"/>
        <v>85.675559999999919</v>
      </c>
      <c r="AH22" s="180">
        <v>1636403.1959999984</v>
      </c>
      <c r="AI22" s="37">
        <f t="shared" si="8"/>
        <v>112.68442335766412</v>
      </c>
      <c r="AJ22" s="110">
        <v>419.88999999999942</v>
      </c>
      <c r="AK22" s="180">
        <v>7348074.9999999898</v>
      </c>
      <c r="AL22" s="33">
        <f t="shared" si="9"/>
        <v>505.99607492080912</v>
      </c>
      <c r="AM22" s="6"/>
    </row>
    <row r="23" spans="1:39" ht="15">
      <c r="A23" s="30"/>
      <c r="B23" s="49">
        <v>12</v>
      </c>
      <c r="C23" s="221">
        <v>20</v>
      </c>
      <c r="D23" s="221">
        <v>204</v>
      </c>
      <c r="E23" s="183">
        <v>15039.999999999964</v>
      </c>
      <c r="F23" s="180">
        <v>15578131.199999962</v>
      </c>
      <c r="G23" s="180">
        <v>3319.9999999999363</v>
      </c>
      <c r="H23" s="180">
        <v>5158184.3999999017</v>
      </c>
      <c r="I23" s="184">
        <f t="shared" si="0"/>
        <v>20736315.599999864</v>
      </c>
      <c r="J23" s="183">
        <v>1420.0000000000728</v>
      </c>
      <c r="K23" s="180">
        <v>1470807.6000000753</v>
      </c>
      <c r="L23" s="185">
        <v>479.99999999998977</v>
      </c>
      <c r="M23" s="185">
        <v>745761.59999998414</v>
      </c>
      <c r="N23" s="184">
        <f t="shared" si="1"/>
        <v>2216569.2000000593</v>
      </c>
      <c r="O23" s="181">
        <f t="shared" si="2"/>
        <v>22952884.799999923</v>
      </c>
      <c r="P23" s="182">
        <f t="shared" si="3"/>
        <v>20259.99999999996</v>
      </c>
      <c r="Q23" s="141"/>
      <c r="R23" s="152"/>
      <c r="S23" s="161"/>
      <c r="T23" s="160"/>
      <c r="U23" s="159">
        <v>0</v>
      </c>
      <c r="V23" s="139">
        <f t="shared" si="4"/>
        <v>623.89</v>
      </c>
      <c r="W23" s="2">
        <v>116.59</v>
      </c>
      <c r="X23" s="180">
        <v>2095180.595</v>
      </c>
      <c r="Y23" s="28">
        <v>507.3</v>
      </c>
      <c r="Z23" s="179">
        <v>2153579.8140000002</v>
      </c>
      <c r="AA23" s="179">
        <f t="shared" si="5"/>
        <v>4248760.409</v>
      </c>
      <c r="AB23" s="101">
        <f t="shared" si="6"/>
        <v>292.57405378047099</v>
      </c>
      <c r="AC23" s="200">
        <v>0</v>
      </c>
      <c r="AD23" s="2">
        <v>0</v>
      </c>
      <c r="AE23" s="2">
        <v>77.740400000000719</v>
      </c>
      <c r="AF23" s="2">
        <v>12</v>
      </c>
      <c r="AG23" s="2">
        <f t="shared" si="7"/>
        <v>89.740400000000719</v>
      </c>
      <c r="AH23" s="180">
        <v>1673541.6400000136</v>
      </c>
      <c r="AI23" s="37">
        <f t="shared" si="8"/>
        <v>115.2418151769738</v>
      </c>
      <c r="AJ23" s="110">
        <v>351.94000000000051</v>
      </c>
      <c r="AK23" s="180">
        <v>6158950.0000000093</v>
      </c>
      <c r="AL23" s="33">
        <f t="shared" si="9"/>
        <v>424.11169260432513</v>
      </c>
      <c r="AM23" s="6"/>
    </row>
    <row r="24" spans="1:39" ht="15">
      <c r="A24" s="30"/>
      <c r="B24" s="49">
        <v>13</v>
      </c>
      <c r="C24" s="221">
        <v>24</v>
      </c>
      <c r="D24" s="221">
        <v>263</v>
      </c>
      <c r="E24" s="183">
        <v>15840.000000000146</v>
      </c>
      <c r="F24" s="180">
        <v>16406755.20000015</v>
      </c>
      <c r="G24" s="180">
        <v>3360.0000000001273</v>
      </c>
      <c r="H24" s="180">
        <v>5220331.2000001976</v>
      </c>
      <c r="I24" s="184">
        <f t="shared" si="0"/>
        <v>21627086.400000349</v>
      </c>
      <c r="J24" s="183">
        <v>1859.9999999999</v>
      </c>
      <c r="K24" s="180">
        <v>1926550.7999998964</v>
      </c>
      <c r="L24" s="185">
        <v>479.99999999998977</v>
      </c>
      <c r="M24" s="185">
        <v>745761.59999998414</v>
      </c>
      <c r="N24" s="184">
        <f t="shared" si="1"/>
        <v>2672312.3999998807</v>
      </c>
      <c r="O24" s="181">
        <f t="shared" si="2"/>
        <v>24299398.800000228</v>
      </c>
      <c r="P24" s="182">
        <f t="shared" si="3"/>
        <v>21540.000000000164</v>
      </c>
      <c r="Q24" s="141"/>
      <c r="R24" s="141"/>
      <c r="S24" s="161"/>
      <c r="T24" s="160"/>
      <c r="U24" s="159">
        <v>0</v>
      </c>
      <c r="V24" s="139">
        <f t="shared" si="4"/>
        <v>655.04000000000008</v>
      </c>
      <c r="W24" s="2">
        <v>123.71000000000001</v>
      </c>
      <c r="X24" s="180">
        <v>2223130.5550000002</v>
      </c>
      <c r="Y24" s="28">
        <v>531.33000000000004</v>
      </c>
      <c r="Z24" s="179">
        <v>2255591.4894000003</v>
      </c>
      <c r="AA24" s="179">
        <f t="shared" si="5"/>
        <v>4478722.0444000009</v>
      </c>
      <c r="AB24" s="101">
        <f t="shared" si="6"/>
        <v>308.40945079190203</v>
      </c>
      <c r="AC24" s="200">
        <v>0</v>
      </c>
      <c r="AD24" s="2">
        <v>100</v>
      </c>
      <c r="AE24" s="2">
        <v>90.388320000000206</v>
      </c>
      <c r="AF24" s="2">
        <v>12</v>
      </c>
      <c r="AG24" s="2">
        <f t="shared" si="7"/>
        <v>202.38832000000019</v>
      </c>
      <c r="AH24" s="180">
        <v>3825116.9120000042</v>
      </c>
      <c r="AI24" s="37">
        <f t="shared" si="8"/>
        <v>263.40152265528195</v>
      </c>
      <c r="AJ24" s="110">
        <v>339.31999999999971</v>
      </c>
      <c r="AK24" s="180">
        <v>5938099.9999999953</v>
      </c>
      <c r="AL24" s="33">
        <f t="shared" si="9"/>
        <v>408.90373226828228</v>
      </c>
      <c r="AM24" s="6"/>
    </row>
    <row r="25" spans="1:39" ht="15">
      <c r="A25" s="30"/>
      <c r="B25" s="49">
        <v>14</v>
      </c>
      <c r="C25" s="221">
        <v>25</v>
      </c>
      <c r="D25" s="221">
        <v>274</v>
      </c>
      <c r="E25" s="183">
        <v>15279.999999999745</v>
      </c>
      <c r="F25" s="180">
        <v>15826718.399999736</v>
      </c>
      <c r="G25" s="180">
        <v>3359.9999999999</v>
      </c>
      <c r="H25" s="180">
        <v>5220331.1999998447</v>
      </c>
      <c r="I25" s="184">
        <f t="shared" si="0"/>
        <v>21047049.599999581</v>
      </c>
      <c r="J25" s="183">
        <v>1500</v>
      </c>
      <c r="K25" s="180">
        <v>1553670</v>
      </c>
      <c r="L25" s="185">
        <v>439.99999999999773</v>
      </c>
      <c r="M25" s="185">
        <v>683614.79999999655</v>
      </c>
      <c r="N25" s="184">
        <f t="shared" si="1"/>
        <v>2237284.7999999966</v>
      </c>
      <c r="O25" s="181">
        <f t="shared" si="2"/>
        <v>23284334.399999578</v>
      </c>
      <c r="P25" s="182">
        <f t="shared" si="3"/>
        <v>20579.99999999964</v>
      </c>
      <c r="Q25" s="142"/>
      <c r="R25" s="142"/>
      <c r="S25" s="161"/>
      <c r="T25" s="160"/>
      <c r="U25" s="159">
        <v>0</v>
      </c>
      <c r="V25" s="139">
        <f t="shared" si="4"/>
        <v>658.6</v>
      </c>
      <c r="W25" s="2">
        <v>104.13</v>
      </c>
      <c r="X25" s="180">
        <v>1871268.1649999998</v>
      </c>
      <c r="Y25" s="28">
        <v>554.47</v>
      </c>
      <c r="Z25" s="179">
        <v>2353824.9546000003</v>
      </c>
      <c r="AA25" s="179">
        <f t="shared" si="5"/>
        <v>4225093.1195999999</v>
      </c>
      <c r="AB25" s="101">
        <f t="shared" si="6"/>
        <v>290.94429965569481</v>
      </c>
      <c r="AC25" s="200">
        <v>0</v>
      </c>
      <c r="AD25" s="2">
        <v>400</v>
      </c>
      <c r="AE25" s="2">
        <v>88.29376000000029</v>
      </c>
      <c r="AF25" s="2">
        <v>24</v>
      </c>
      <c r="AG25" s="2">
        <f t="shared" si="7"/>
        <v>512.29376000000025</v>
      </c>
      <c r="AH25" s="180">
        <v>9703810.8160000052</v>
      </c>
      <c r="AI25" s="37">
        <f t="shared" si="8"/>
        <v>668.21448946426153</v>
      </c>
      <c r="AJ25" s="110">
        <v>385.47999999999956</v>
      </c>
      <c r="AK25" s="180">
        <v>6745899.9999999925</v>
      </c>
      <c r="AL25" s="33">
        <f t="shared" si="9"/>
        <v>464.52967910756041</v>
      </c>
      <c r="AM25" s="6"/>
    </row>
    <row r="26" spans="1:39" ht="15">
      <c r="A26" s="30"/>
      <c r="B26" s="49">
        <v>15</v>
      </c>
      <c r="C26" s="221">
        <v>20</v>
      </c>
      <c r="D26" s="221">
        <v>260</v>
      </c>
      <c r="E26" s="183">
        <v>14239.999999999782</v>
      </c>
      <c r="F26" s="180">
        <v>14749507.199999774</v>
      </c>
      <c r="G26" s="180">
        <v>3000</v>
      </c>
      <c r="H26" s="180">
        <v>4661010</v>
      </c>
      <c r="I26" s="184">
        <f t="shared" si="0"/>
        <v>19410517.199999772</v>
      </c>
      <c r="J26" s="183">
        <v>1300.0000000000682</v>
      </c>
      <c r="K26" s="180">
        <v>1346514.0000000705</v>
      </c>
      <c r="L26" s="185">
        <v>360.00000000001364</v>
      </c>
      <c r="M26" s="185">
        <v>559321.20000002126</v>
      </c>
      <c r="N26" s="184">
        <f t="shared" si="1"/>
        <v>1905835.2000000919</v>
      </c>
      <c r="O26" s="181">
        <f t="shared" si="2"/>
        <v>21316352.399999864</v>
      </c>
      <c r="P26" s="182">
        <f t="shared" si="3"/>
        <v>18899.999999999865</v>
      </c>
      <c r="Q26" s="141"/>
      <c r="R26" s="152"/>
      <c r="S26" s="161"/>
      <c r="T26" s="160"/>
      <c r="U26" s="159">
        <v>0</v>
      </c>
      <c r="V26" s="139">
        <f t="shared" si="4"/>
        <v>671.06000000000006</v>
      </c>
      <c r="W26" s="2">
        <v>108.58</v>
      </c>
      <c r="X26" s="180">
        <v>1951236.89</v>
      </c>
      <c r="Y26" s="28">
        <v>562.48</v>
      </c>
      <c r="Z26" s="179">
        <v>2387828.8464000002</v>
      </c>
      <c r="AA26" s="179">
        <f t="shared" si="5"/>
        <v>4339065.7363999998</v>
      </c>
      <c r="AB26" s="101">
        <f t="shared" si="6"/>
        <v>298.79257240049577</v>
      </c>
      <c r="AC26" s="200">
        <v>0</v>
      </c>
      <c r="AD26" s="2">
        <v>0</v>
      </c>
      <c r="AE26" s="2">
        <v>84.064359999999553</v>
      </c>
      <c r="AF26" s="2">
        <v>12</v>
      </c>
      <c r="AG26" s="2">
        <f t="shared" si="7"/>
        <v>96.064359999999553</v>
      </c>
      <c r="AH26" s="180">
        <v>1794329.2759999915</v>
      </c>
      <c r="AI26" s="37">
        <f t="shared" si="8"/>
        <v>123.5593772207679</v>
      </c>
      <c r="AJ26" s="110">
        <v>347.22999999999956</v>
      </c>
      <c r="AK26" s="180">
        <v>6076524.9999999925</v>
      </c>
      <c r="AL26" s="33">
        <f t="shared" si="9"/>
        <v>418.43582151218789</v>
      </c>
      <c r="AM26" s="6"/>
    </row>
    <row r="27" spans="1:39" ht="15">
      <c r="A27" s="30"/>
      <c r="B27" s="49">
        <v>16</v>
      </c>
      <c r="C27" s="221">
        <v>21</v>
      </c>
      <c r="D27" s="221">
        <v>232</v>
      </c>
      <c r="E27" s="183">
        <v>15160.000000000764</v>
      </c>
      <c r="F27" s="180">
        <v>15702424.800000791</v>
      </c>
      <c r="G27" s="180">
        <v>3400.0000000000909</v>
      </c>
      <c r="H27" s="180">
        <v>5282478.0000001416</v>
      </c>
      <c r="I27" s="184">
        <f t="shared" si="0"/>
        <v>20984902.800000932</v>
      </c>
      <c r="J27" s="183">
        <v>1480.0000000000182</v>
      </c>
      <c r="K27" s="180">
        <v>1532954.4000000188</v>
      </c>
      <c r="L27" s="185">
        <v>520.00000000001023</v>
      </c>
      <c r="M27" s="185">
        <v>807908.40000001597</v>
      </c>
      <c r="N27" s="184">
        <f t="shared" si="1"/>
        <v>2340862.8000000347</v>
      </c>
      <c r="O27" s="181">
        <f t="shared" si="2"/>
        <v>23325765.600000966</v>
      </c>
      <c r="P27" s="182">
        <f t="shared" si="3"/>
        <v>20560.000000000884</v>
      </c>
      <c r="Q27" s="141"/>
      <c r="R27" s="141"/>
      <c r="S27" s="161"/>
      <c r="T27" s="160"/>
      <c r="U27" s="159">
        <v>0</v>
      </c>
      <c r="V27" s="139">
        <f t="shared" si="4"/>
        <v>651.48</v>
      </c>
      <c r="W27" s="2">
        <v>95.23</v>
      </c>
      <c r="X27" s="180">
        <v>1711330.7150000001</v>
      </c>
      <c r="Y27" s="28">
        <v>556.25</v>
      </c>
      <c r="Z27" s="179">
        <v>2361381.375</v>
      </c>
      <c r="AA27" s="179">
        <f t="shared" si="5"/>
        <v>4072712.09</v>
      </c>
      <c r="AB27" s="101">
        <f t="shared" si="6"/>
        <v>280.45118372125052</v>
      </c>
      <c r="AC27" s="200">
        <v>0</v>
      </c>
      <c r="AD27" s="2">
        <v>0</v>
      </c>
      <c r="AE27" s="2">
        <v>59.856080000000503</v>
      </c>
      <c r="AF27" s="2">
        <v>12</v>
      </c>
      <c r="AG27" s="2">
        <f t="shared" si="7"/>
        <v>71.856080000000503</v>
      </c>
      <c r="AH27" s="180">
        <v>1331951.1280000096</v>
      </c>
      <c r="AI27" s="37">
        <f t="shared" si="8"/>
        <v>91.719537804710754</v>
      </c>
      <c r="AJ27" s="110">
        <v>478.70000000000073</v>
      </c>
      <c r="AK27" s="180">
        <v>8377250.000000013</v>
      </c>
      <c r="AL27" s="33">
        <f t="shared" si="9"/>
        <v>576.86613414130375</v>
      </c>
      <c r="AM27" s="6"/>
    </row>
    <row r="28" spans="1:39" ht="15">
      <c r="A28" s="30"/>
      <c r="B28" s="49">
        <v>17</v>
      </c>
      <c r="C28" s="221">
        <v>26</v>
      </c>
      <c r="D28" s="221">
        <v>398</v>
      </c>
      <c r="E28" s="183">
        <v>15199.999999999818</v>
      </c>
      <c r="F28" s="180">
        <v>15743855.999999812</v>
      </c>
      <c r="G28" s="180">
        <v>3519.9999999999818</v>
      </c>
      <c r="H28" s="180">
        <v>5468918.3999999724</v>
      </c>
      <c r="I28" s="184">
        <f t="shared" si="0"/>
        <v>21212774.399999782</v>
      </c>
      <c r="J28" s="183">
        <v>439.99999999994088</v>
      </c>
      <c r="K28" s="180">
        <v>455743.19999993878</v>
      </c>
      <c r="L28" s="185">
        <v>19.99999999998181</v>
      </c>
      <c r="M28" s="185">
        <v>31073.399999971742</v>
      </c>
      <c r="N28" s="184">
        <f t="shared" si="1"/>
        <v>486816.59999991051</v>
      </c>
      <c r="O28" s="181">
        <f t="shared" si="2"/>
        <v>21699590.999999695</v>
      </c>
      <c r="P28" s="182">
        <f t="shared" si="3"/>
        <v>19179.999999999724</v>
      </c>
      <c r="Q28" s="142"/>
      <c r="R28" s="142"/>
      <c r="S28" s="161"/>
      <c r="T28" s="160"/>
      <c r="U28" s="159">
        <v>0</v>
      </c>
      <c r="V28" s="139">
        <f t="shared" si="4"/>
        <v>596.30000000000007</v>
      </c>
      <c r="W28" s="2">
        <v>89.89</v>
      </c>
      <c r="X28" s="180">
        <v>1615368.2450000001</v>
      </c>
      <c r="Y28" s="28">
        <v>506.41</v>
      </c>
      <c r="Z28" s="179">
        <v>2149801.6038000002</v>
      </c>
      <c r="AA28" s="179">
        <f t="shared" si="5"/>
        <v>3765169.8488000003</v>
      </c>
      <c r="AB28" s="101">
        <f t="shared" si="6"/>
        <v>259.27350563283295</v>
      </c>
      <c r="AC28" s="200">
        <v>0</v>
      </c>
      <c r="AD28" s="2">
        <v>0</v>
      </c>
      <c r="AE28" s="2">
        <v>69.88579999999962</v>
      </c>
      <c r="AF28" s="2">
        <v>24</v>
      </c>
      <c r="AG28" s="2">
        <f t="shared" si="7"/>
        <v>93.88579999999962</v>
      </c>
      <c r="AH28" s="180">
        <v>1712218.7799999928</v>
      </c>
      <c r="AI28" s="37">
        <f t="shared" si="8"/>
        <v>117.90516320066057</v>
      </c>
      <c r="AJ28" s="110">
        <v>336.48999999999978</v>
      </c>
      <c r="AK28" s="180">
        <v>5888574.9999999963</v>
      </c>
      <c r="AL28" s="33">
        <f t="shared" si="9"/>
        <v>405.49338934031101</v>
      </c>
      <c r="AM28" s="6"/>
    </row>
    <row r="29" spans="1:39" ht="15">
      <c r="A29" s="30"/>
      <c r="B29" s="49">
        <v>18</v>
      </c>
      <c r="C29" s="221">
        <v>20</v>
      </c>
      <c r="D29" s="221">
        <v>310</v>
      </c>
      <c r="E29" s="183">
        <v>14960.000000000036</v>
      </c>
      <c r="F29" s="180">
        <v>15495268.800000038</v>
      </c>
      <c r="G29" s="180">
        <v>3039.9999999999636</v>
      </c>
      <c r="H29" s="180">
        <v>4723156.7999999439</v>
      </c>
      <c r="I29" s="184">
        <f t="shared" si="0"/>
        <v>20218425.599999983</v>
      </c>
      <c r="J29" s="183">
        <v>940.00000000005457</v>
      </c>
      <c r="K29" s="180">
        <v>973633.20000005653</v>
      </c>
      <c r="L29" s="185">
        <v>460.00000000000796</v>
      </c>
      <c r="M29" s="185">
        <v>714688.20000001241</v>
      </c>
      <c r="N29" s="184">
        <f t="shared" si="1"/>
        <v>1688321.4000000688</v>
      </c>
      <c r="O29" s="181">
        <f t="shared" si="2"/>
        <v>21906747.000000052</v>
      </c>
      <c r="P29" s="182">
        <f t="shared" si="3"/>
        <v>19400.000000000062</v>
      </c>
      <c r="Q29" s="142"/>
      <c r="R29" s="142"/>
      <c r="S29" s="161"/>
      <c r="T29" s="160"/>
      <c r="U29" s="159">
        <v>0</v>
      </c>
      <c r="V29" s="139">
        <f t="shared" si="4"/>
        <v>606.09</v>
      </c>
      <c r="W29" s="2">
        <v>102.35000000000001</v>
      </c>
      <c r="X29" s="180">
        <v>1839280.675</v>
      </c>
      <c r="Y29" s="28">
        <v>503.74</v>
      </c>
      <c r="Z29" s="179">
        <v>2138466.9732000004</v>
      </c>
      <c r="AA29" s="179">
        <f t="shared" si="5"/>
        <v>3977747.6482000006</v>
      </c>
      <c r="AB29" s="101">
        <f t="shared" si="6"/>
        <v>273.91183364550341</v>
      </c>
      <c r="AC29" s="200">
        <v>0</v>
      </c>
      <c r="AD29" s="2">
        <v>400</v>
      </c>
      <c r="AE29" s="2">
        <v>84.144919999999473</v>
      </c>
      <c r="AF29" s="2">
        <v>12</v>
      </c>
      <c r="AG29" s="2">
        <f t="shared" si="7"/>
        <v>496.1449199999995</v>
      </c>
      <c r="AH29" s="180">
        <v>9435867.9719999898</v>
      </c>
      <c r="AI29" s="37">
        <f t="shared" si="8"/>
        <v>649.76366698801746</v>
      </c>
      <c r="AJ29" s="110">
        <v>399.20999999999913</v>
      </c>
      <c r="AK29" s="180">
        <v>6986174.9999999851</v>
      </c>
      <c r="AL29" s="33">
        <f t="shared" si="9"/>
        <v>481.07526511499691</v>
      </c>
      <c r="AM29" s="6"/>
    </row>
    <row r="30" spans="1:39" ht="15">
      <c r="A30" s="30"/>
      <c r="B30" s="49">
        <v>19</v>
      </c>
      <c r="C30" s="221">
        <v>31</v>
      </c>
      <c r="D30" s="221">
        <v>310</v>
      </c>
      <c r="E30" s="183">
        <v>15279.999999999745</v>
      </c>
      <c r="F30" s="180">
        <v>15826718.399999736</v>
      </c>
      <c r="G30" s="180">
        <v>3600.0000000001364</v>
      </c>
      <c r="H30" s="180">
        <v>5593212.0000002123</v>
      </c>
      <c r="I30" s="184">
        <f t="shared" si="0"/>
        <v>21419930.399999946</v>
      </c>
      <c r="J30" s="183">
        <v>1639.9999999999864</v>
      </c>
      <c r="K30" s="180">
        <v>1698679.1999999858</v>
      </c>
      <c r="L30" s="185">
        <v>520.00000000001023</v>
      </c>
      <c r="M30" s="185">
        <v>807908.40000001597</v>
      </c>
      <c r="N30" s="184">
        <f t="shared" si="1"/>
        <v>2506587.6000000015</v>
      </c>
      <c r="O30" s="181">
        <f t="shared" si="2"/>
        <v>23926517.999999948</v>
      </c>
      <c r="P30" s="182">
        <f t="shared" si="3"/>
        <v>21039.99999999988</v>
      </c>
      <c r="Q30" s="141"/>
      <c r="R30" s="141"/>
      <c r="S30" s="161"/>
      <c r="T30" s="160"/>
      <c r="U30" s="159">
        <v>0</v>
      </c>
      <c r="V30" s="139">
        <f t="shared" si="4"/>
        <v>652.37000000000012</v>
      </c>
      <c r="W30" s="2">
        <v>77.430000000000007</v>
      </c>
      <c r="X30" s="180">
        <v>1391455.8150000002</v>
      </c>
      <c r="Y30" s="28">
        <v>574.94000000000005</v>
      </c>
      <c r="Z30" s="179">
        <v>2440723.7892000005</v>
      </c>
      <c r="AA30" s="179">
        <f t="shared" si="5"/>
        <v>3832179.6042000009</v>
      </c>
      <c r="AB30" s="101">
        <f t="shared" si="6"/>
        <v>263.88786697424604</v>
      </c>
      <c r="AC30" s="200">
        <v>0</v>
      </c>
      <c r="AD30" s="2">
        <v>0</v>
      </c>
      <c r="AE30" s="2">
        <v>67.83152000000058</v>
      </c>
      <c r="AF30" s="2">
        <v>24</v>
      </c>
      <c r="AG30" s="2">
        <f t="shared" si="7"/>
        <v>91.83152000000058</v>
      </c>
      <c r="AH30" s="180">
        <v>1672982.0320000111</v>
      </c>
      <c r="AI30" s="37">
        <f t="shared" si="8"/>
        <v>115.203279988983</v>
      </c>
      <c r="AJ30" s="110">
        <v>397.65000000000146</v>
      </c>
      <c r="AK30" s="180">
        <v>6958875.0000000251</v>
      </c>
      <c r="AL30" s="33">
        <f t="shared" si="9"/>
        <v>479.19535876601191</v>
      </c>
      <c r="AM30" s="6"/>
    </row>
    <row r="31" spans="1:39" ht="15">
      <c r="A31" s="30"/>
      <c r="B31" s="49">
        <v>20</v>
      </c>
      <c r="C31" s="221">
        <v>33</v>
      </c>
      <c r="D31" s="221">
        <v>247</v>
      </c>
      <c r="E31" s="183">
        <v>14880.000000000109</v>
      </c>
      <c r="F31" s="180">
        <v>15412406.400000112</v>
      </c>
      <c r="G31" s="180">
        <v>3359.9999999999</v>
      </c>
      <c r="H31" s="180">
        <v>5220331.1999998447</v>
      </c>
      <c r="I31" s="184">
        <f t="shared" si="0"/>
        <v>20632737.599999957</v>
      </c>
      <c r="J31" s="183">
        <v>1620.0000000000045</v>
      </c>
      <c r="K31" s="180">
        <v>1677963.6000000047</v>
      </c>
      <c r="L31" s="185">
        <v>479.99999999998977</v>
      </c>
      <c r="M31" s="185">
        <v>745761.59999998414</v>
      </c>
      <c r="N31" s="184">
        <f t="shared" si="1"/>
        <v>2423725.199999989</v>
      </c>
      <c r="O31" s="181">
        <f t="shared" si="2"/>
        <v>23056462.799999945</v>
      </c>
      <c r="P31" s="182">
        <f t="shared" si="3"/>
        <v>20340</v>
      </c>
      <c r="Q31" s="142"/>
      <c r="R31" s="142"/>
      <c r="S31" s="161"/>
      <c r="T31" s="160"/>
      <c r="U31" s="159">
        <v>0</v>
      </c>
      <c r="V31" s="139">
        <f t="shared" si="4"/>
        <v>680.85</v>
      </c>
      <c r="W31" s="2">
        <v>113.03</v>
      </c>
      <c r="X31" s="180">
        <v>2031205.615</v>
      </c>
      <c r="Y31" s="28">
        <v>567.82000000000005</v>
      </c>
      <c r="Z31" s="179">
        <v>2410498.1076000002</v>
      </c>
      <c r="AA31" s="179">
        <f t="shared" si="5"/>
        <v>4441703.7226</v>
      </c>
      <c r="AB31" s="101">
        <f t="shared" si="6"/>
        <v>305.86033071202314</v>
      </c>
      <c r="AC31" s="200">
        <v>0</v>
      </c>
      <c r="AD31" s="2">
        <v>0</v>
      </c>
      <c r="AE31" s="2">
        <v>66.663399999998887</v>
      </c>
      <c r="AF31" s="2">
        <v>12</v>
      </c>
      <c r="AG31" s="2">
        <f t="shared" si="7"/>
        <v>78.663399999998887</v>
      </c>
      <c r="AH31" s="180">
        <v>1461970.9399999788</v>
      </c>
      <c r="AI31" s="37">
        <f t="shared" si="8"/>
        <v>100.67283707478163</v>
      </c>
      <c r="AJ31" s="110">
        <v>479.89999999999964</v>
      </c>
      <c r="AK31" s="180">
        <v>8398249.9999999944</v>
      </c>
      <c r="AL31" s="33">
        <f t="shared" si="9"/>
        <v>578.31221594821614</v>
      </c>
      <c r="AM31" s="6"/>
    </row>
    <row r="32" spans="1:39" ht="15">
      <c r="A32" s="30"/>
      <c r="B32" s="49">
        <v>21</v>
      </c>
      <c r="C32" s="221">
        <v>32</v>
      </c>
      <c r="D32" s="221">
        <v>367</v>
      </c>
      <c r="E32" s="183">
        <v>15760.000000000218</v>
      </c>
      <c r="F32" s="180">
        <v>16323892.800000226</v>
      </c>
      <c r="G32" s="180">
        <v>3359.9999999999</v>
      </c>
      <c r="H32" s="180">
        <v>5220331.1999998447</v>
      </c>
      <c r="I32" s="184">
        <f t="shared" si="0"/>
        <v>21544224.000000071</v>
      </c>
      <c r="J32" s="183">
        <v>1699.9999999999318</v>
      </c>
      <c r="K32" s="180">
        <v>1760825.9999999292</v>
      </c>
      <c r="L32" s="185">
        <v>520.00000000001023</v>
      </c>
      <c r="M32" s="185">
        <v>807908.40000001597</v>
      </c>
      <c r="N32" s="184">
        <f t="shared" si="1"/>
        <v>2568734.3999999454</v>
      </c>
      <c r="O32" s="181">
        <f t="shared" si="2"/>
        <v>24112958.400000017</v>
      </c>
      <c r="P32" s="182">
        <f t="shared" si="3"/>
        <v>21340.000000000058</v>
      </c>
      <c r="Q32" s="141"/>
      <c r="R32" s="153"/>
      <c r="S32" s="161"/>
      <c r="T32" s="160"/>
      <c r="U32" s="159">
        <v>0</v>
      </c>
      <c r="V32" s="139">
        <f t="shared" si="4"/>
        <v>656.82</v>
      </c>
      <c r="W32" s="2">
        <v>95.23</v>
      </c>
      <c r="X32" s="180">
        <v>1711330.7150000001</v>
      </c>
      <c r="Y32" s="28">
        <v>561.59</v>
      </c>
      <c r="Z32" s="179">
        <v>2384050.6362000001</v>
      </c>
      <c r="AA32" s="179">
        <f t="shared" si="5"/>
        <v>4095381.3512000004</v>
      </c>
      <c r="AB32" s="101">
        <f t="shared" si="6"/>
        <v>282.01221258779788</v>
      </c>
      <c r="AC32" s="200">
        <v>0</v>
      </c>
      <c r="AD32" s="2">
        <v>0</v>
      </c>
      <c r="AE32" s="2">
        <v>60.460280000000871</v>
      </c>
      <c r="AF32" s="2">
        <v>24</v>
      </c>
      <c r="AG32" s="2">
        <f t="shared" si="7"/>
        <v>84.460280000000864</v>
      </c>
      <c r="AH32" s="180">
        <v>1532191.3480000165</v>
      </c>
      <c r="AI32" s="37">
        <f t="shared" si="8"/>
        <v>105.50828728825344</v>
      </c>
      <c r="AJ32" s="110">
        <v>332.69000000000051</v>
      </c>
      <c r="AK32" s="180">
        <v>5822075.0000000093</v>
      </c>
      <c r="AL32" s="33">
        <f t="shared" si="9"/>
        <v>400.91413028508532</v>
      </c>
      <c r="AM32" s="6"/>
    </row>
    <row r="33" spans="1:39" ht="15">
      <c r="A33" s="30"/>
      <c r="B33" s="49">
        <v>22</v>
      </c>
      <c r="C33" s="221">
        <v>21</v>
      </c>
      <c r="D33" s="221">
        <v>244</v>
      </c>
      <c r="E33" s="183">
        <v>15239.999999999782</v>
      </c>
      <c r="F33" s="180">
        <v>15785287.199999774</v>
      </c>
      <c r="G33" s="180">
        <v>3480.0000000000182</v>
      </c>
      <c r="H33" s="180">
        <v>5406771.6000000285</v>
      </c>
      <c r="I33" s="184">
        <f t="shared" si="0"/>
        <v>21192058.799999803</v>
      </c>
      <c r="J33" s="183">
        <v>1800.0000000000682</v>
      </c>
      <c r="K33" s="180">
        <v>1864404.0000000705</v>
      </c>
      <c r="L33" s="185">
        <v>500</v>
      </c>
      <c r="M33" s="185">
        <v>776835</v>
      </c>
      <c r="N33" s="184">
        <f t="shared" si="1"/>
        <v>2641239.0000000708</v>
      </c>
      <c r="O33" s="181">
        <f t="shared" si="2"/>
        <v>23833297.799999874</v>
      </c>
      <c r="P33" s="182">
        <f t="shared" si="3"/>
        <v>21019.999999999869</v>
      </c>
      <c r="Q33" s="141"/>
      <c r="R33" s="154"/>
      <c r="S33" s="161"/>
      <c r="T33" s="160"/>
      <c r="U33" s="159">
        <v>0</v>
      </c>
      <c r="V33" s="139">
        <f t="shared" si="4"/>
        <v>581.16999999999996</v>
      </c>
      <c r="W33" s="2">
        <v>83.66</v>
      </c>
      <c r="X33" s="180">
        <v>1503412.03</v>
      </c>
      <c r="Y33" s="28">
        <v>497.51</v>
      </c>
      <c r="Z33" s="179">
        <v>2112019.5018000002</v>
      </c>
      <c r="AA33" s="179">
        <f t="shared" si="5"/>
        <v>3615431.5318</v>
      </c>
      <c r="AB33" s="101">
        <f t="shared" si="6"/>
        <v>248.96236963228205</v>
      </c>
      <c r="AC33" s="200">
        <v>0</v>
      </c>
      <c r="AD33" s="2">
        <v>500</v>
      </c>
      <c r="AE33" s="2">
        <v>60.742239999999704</v>
      </c>
      <c r="AF33" s="2">
        <v>36</v>
      </c>
      <c r="AG33" s="2">
        <f t="shared" si="7"/>
        <v>596.7422399999997</v>
      </c>
      <c r="AH33" s="180">
        <v>11276276.783999994</v>
      </c>
      <c r="AI33" s="37">
        <f t="shared" si="8"/>
        <v>776.49612890786352</v>
      </c>
      <c r="AJ33" s="110">
        <v>333.20000000000073</v>
      </c>
      <c r="AK33" s="180">
        <v>5831000.000000013</v>
      </c>
      <c r="AL33" s="33">
        <f t="shared" si="9"/>
        <v>401.52871505302392</v>
      </c>
      <c r="AM33" s="6"/>
    </row>
    <row r="34" spans="1:39" ht="15">
      <c r="A34" s="30"/>
      <c r="B34" s="49">
        <v>23</v>
      </c>
      <c r="C34" s="221">
        <v>21</v>
      </c>
      <c r="D34" s="221">
        <v>155</v>
      </c>
      <c r="E34" s="183">
        <v>15599.999999999454</v>
      </c>
      <c r="F34" s="180">
        <v>16158167.999999434</v>
      </c>
      <c r="G34" s="180">
        <v>3480.0000000000182</v>
      </c>
      <c r="H34" s="180">
        <v>5406771.6000000285</v>
      </c>
      <c r="I34" s="184">
        <f t="shared" si="0"/>
        <v>21564939.599999461</v>
      </c>
      <c r="J34" s="183">
        <v>1579.9999999999272</v>
      </c>
      <c r="K34" s="180">
        <v>1636532.3999999247</v>
      </c>
      <c r="L34" s="185">
        <v>459.99999999997954</v>
      </c>
      <c r="M34" s="185">
        <v>714688.19999996829</v>
      </c>
      <c r="N34" s="184">
        <f t="shared" si="1"/>
        <v>2351220.599999893</v>
      </c>
      <c r="O34" s="181">
        <f t="shared" si="2"/>
        <v>23916160.199999355</v>
      </c>
      <c r="P34" s="182">
        <f t="shared" si="3"/>
        <v>21119.999999999378</v>
      </c>
      <c r="Q34" s="142"/>
      <c r="R34" s="155"/>
      <c r="S34" s="161"/>
      <c r="T34" s="160"/>
      <c r="U34" s="159">
        <v>0</v>
      </c>
      <c r="V34" s="139">
        <f t="shared" si="4"/>
        <v>596.29999999999995</v>
      </c>
      <c r="W34" s="2">
        <v>103.24</v>
      </c>
      <c r="X34" s="180">
        <v>1855274.42</v>
      </c>
      <c r="Y34" s="28">
        <v>493.06</v>
      </c>
      <c r="Z34" s="179">
        <v>2093128.4508000002</v>
      </c>
      <c r="AA34" s="179">
        <f t="shared" si="5"/>
        <v>3948402.8708000001</v>
      </c>
      <c r="AB34" s="101">
        <f t="shared" si="6"/>
        <v>271.89112180140478</v>
      </c>
      <c r="AC34" s="200">
        <v>0</v>
      </c>
      <c r="AD34" s="2">
        <v>0</v>
      </c>
      <c r="AE34" s="2">
        <v>39.152159999999192</v>
      </c>
      <c r="AF34" s="2">
        <v>24</v>
      </c>
      <c r="AG34" s="2">
        <f t="shared" si="7"/>
        <v>63.152159999999192</v>
      </c>
      <c r="AH34" s="180">
        <v>1125206.2559999847</v>
      </c>
      <c r="AI34" s="37">
        <f t="shared" si="8"/>
        <v>77.482871229857096</v>
      </c>
      <c r="AJ34" s="110">
        <v>349.19999999999709</v>
      </c>
      <c r="AK34" s="180">
        <v>6110999.9999999488</v>
      </c>
      <c r="AL34" s="33">
        <f t="shared" si="9"/>
        <v>420.8098058118681</v>
      </c>
      <c r="AM34" s="6"/>
    </row>
    <row r="35" spans="1:39" ht="15">
      <c r="A35" s="30"/>
      <c r="B35" s="49">
        <v>24</v>
      </c>
      <c r="C35" s="221">
        <v>85</v>
      </c>
      <c r="D35" s="221">
        <v>267</v>
      </c>
      <c r="E35" s="183">
        <v>18039.999999999964</v>
      </c>
      <c r="F35" s="180">
        <v>18685471.199999962</v>
      </c>
      <c r="G35" s="180">
        <v>3640.0000000001</v>
      </c>
      <c r="H35" s="180">
        <v>5655358.8000001553</v>
      </c>
      <c r="I35" s="184">
        <f t="shared" si="0"/>
        <v>24340830.000000119</v>
      </c>
      <c r="J35" s="183">
        <v>1540.0000000000773</v>
      </c>
      <c r="K35" s="180">
        <v>1595101.20000008</v>
      </c>
      <c r="L35" s="185">
        <v>500</v>
      </c>
      <c r="M35" s="185">
        <v>776835</v>
      </c>
      <c r="N35" s="184">
        <f t="shared" si="1"/>
        <v>2371936.2000000803</v>
      </c>
      <c r="O35" s="181">
        <f t="shared" si="2"/>
        <v>26712766.2000002</v>
      </c>
      <c r="P35" s="182">
        <f t="shared" si="3"/>
        <v>23720.000000000142</v>
      </c>
      <c r="Q35" s="141"/>
      <c r="R35" s="153"/>
      <c r="S35" s="161"/>
      <c r="T35" s="160"/>
      <c r="U35" s="159">
        <v>0</v>
      </c>
      <c r="V35" s="139">
        <f t="shared" si="4"/>
        <v>595.41</v>
      </c>
      <c r="W35" s="2">
        <v>102.35000000000001</v>
      </c>
      <c r="X35" s="180">
        <v>1839280.675</v>
      </c>
      <c r="Y35" s="28">
        <v>493.06</v>
      </c>
      <c r="Z35" s="179">
        <v>2093128.4508000002</v>
      </c>
      <c r="AA35" s="179">
        <f t="shared" si="5"/>
        <v>3932409.1258000005</v>
      </c>
      <c r="AB35" s="101">
        <f t="shared" si="6"/>
        <v>270.7897759124088</v>
      </c>
      <c r="AC35" s="200">
        <v>0</v>
      </c>
      <c r="AD35" s="2">
        <v>0</v>
      </c>
      <c r="AE35" s="2">
        <v>54.498840000000797</v>
      </c>
      <c r="AF35" s="2">
        <v>0</v>
      </c>
      <c r="AG35" s="2">
        <f t="shared" si="7"/>
        <v>54.498840000000797</v>
      </c>
      <c r="AH35" s="180">
        <v>1040927.8440000152</v>
      </c>
      <c r="AI35" s="37">
        <f t="shared" si="8"/>
        <v>71.679372262774763</v>
      </c>
      <c r="AJ35" s="110">
        <v>376.21000000000276</v>
      </c>
      <c r="AK35" s="180">
        <v>6583675.0000000484</v>
      </c>
      <c r="AL35" s="33">
        <f t="shared" si="9"/>
        <v>453.35869714915634</v>
      </c>
      <c r="AM35" s="6"/>
    </row>
    <row r="36" spans="1:39" ht="15">
      <c r="A36" s="30"/>
      <c r="B36" s="49">
        <v>25</v>
      </c>
      <c r="C36" s="221">
        <v>23</v>
      </c>
      <c r="D36" s="221">
        <v>443</v>
      </c>
      <c r="E36" s="183">
        <v>14040.000000000873</v>
      </c>
      <c r="F36" s="180">
        <v>14542351.200000905</v>
      </c>
      <c r="G36" s="180">
        <v>3440.0000000000546</v>
      </c>
      <c r="H36" s="180">
        <v>5344624.8000000855</v>
      </c>
      <c r="I36" s="184">
        <f t="shared" si="0"/>
        <v>19886976.000000991</v>
      </c>
      <c r="J36" s="183">
        <v>1639.9999999999864</v>
      </c>
      <c r="K36" s="180">
        <v>1698679.1999999858</v>
      </c>
      <c r="L36" s="185">
        <v>520.00000000001023</v>
      </c>
      <c r="M36" s="185">
        <v>807908.40000001597</v>
      </c>
      <c r="N36" s="184">
        <f t="shared" si="1"/>
        <v>2506587.6000000015</v>
      </c>
      <c r="O36" s="181">
        <f t="shared" si="2"/>
        <v>22393563.600000992</v>
      </c>
      <c r="P36" s="182">
        <f t="shared" si="3"/>
        <v>19640.000000000924</v>
      </c>
      <c r="Q36" s="141"/>
      <c r="R36" s="153"/>
      <c r="S36" s="161"/>
      <c r="T36" s="160"/>
      <c r="U36" s="159">
        <v>0</v>
      </c>
      <c r="V36" s="139">
        <f t="shared" si="4"/>
        <v>737.81</v>
      </c>
      <c r="W36" s="2">
        <v>92.56</v>
      </c>
      <c r="X36" s="180">
        <v>1663349.48</v>
      </c>
      <c r="Y36" s="28">
        <v>645.25</v>
      </c>
      <c r="Z36" s="179">
        <v>2739202.395</v>
      </c>
      <c r="AA36" s="179">
        <f t="shared" si="5"/>
        <v>4402551.875</v>
      </c>
      <c r="AB36" s="101">
        <f t="shared" si="6"/>
        <v>303.16429383005095</v>
      </c>
      <c r="AC36" s="200">
        <v>0</v>
      </c>
      <c r="AD36" s="2">
        <v>0</v>
      </c>
      <c r="AE36" s="2">
        <v>55.626679999999773</v>
      </c>
      <c r="AF36" s="2">
        <v>0</v>
      </c>
      <c r="AG36" s="2">
        <f t="shared" si="7"/>
        <v>55.626679999999773</v>
      </c>
      <c r="AH36" s="180">
        <v>1062469.5879999956</v>
      </c>
      <c r="AI36" s="37">
        <f t="shared" si="8"/>
        <v>73.162759124087287</v>
      </c>
      <c r="AJ36" s="110">
        <v>487.94999999999709</v>
      </c>
      <c r="AK36" s="180">
        <v>8539124.9999999497</v>
      </c>
      <c r="AL36" s="33">
        <f t="shared" si="9"/>
        <v>588.01301473625881</v>
      </c>
      <c r="AM36" s="6"/>
    </row>
    <row r="37" spans="1:39" ht="15">
      <c r="A37" s="30"/>
      <c r="B37" s="49">
        <v>26</v>
      </c>
      <c r="C37" s="221">
        <v>24</v>
      </c>
      <c r="D37" s="221">
        <v>183</v>
      </c>
      <c r="E37" s="183">
        <v>13759.999999999309</v>
      </c>
      <c r="F37" s="180">
        <v>14252332.799999284</v>
      </c>
      <c r="G37" s="180">
        <v>2759.9999999999909</v>
      </c>
      <c r="H37" s="180">
        <v>4288129.1999999862</v>
      </c>
      <c r="I37" s="184">
        <f t="shared" si="0"/>
        <v>18540461.99999927</v>
      </c>
      <c r="J37" s="183">
        <v>1480.0000000000182</v>
      </c>
      <c r="K37" s="180">
        <v>1532954.4000000188</v>
      </c>
      <c r="L37" s="185">
        <v>360.00000000001364</v>
      </c>
      <c r="M37" s="185">
        <v>559321.20000002126</v>
      </c>
      <c r="N37" s="184">
        <f t="shared" si="1"/>
        <v>2092275.6000000401</v>
      </c>
      <c r="O37" s="181">
        <f t="shared" si="2"/>
        <v>20632737.599999309</v>
      </c>
      <c r="P37" s="182">
        <f t="shared" si="3"/>
        <v>18359.999999999334</v>
      </c>
      <c r="Q37" s="141"/>
      <c r="R37" s="153"/>
      <c r="S37" s="161"/>
      <c r="T37" s="160"/>
      <c r="U37" s="159">
        <v>0</v>
      </c>
      <c r="V37" s="139">
        <f t="shared" si="4"/>
        <v>674.62</v>
      </c>
      <c r="W37" s="2">
        <v>105.91</v>
      </c>
      <c r="X37" s="180">
        <v>1903255.655</v>
      </c>
      <c r="Y37" s="28">
        <v>568.71</v>
      </c>
      <c r="Z37" s="179">
        <v>2414276.3178000003</v>
      </c>
      <c r="AA37" s="179">
        <f t="shared" si="5"/>
        <v>4317531.9728000006</v>
      </c>
      <c r="AB37" s="101">
        <f t="shared" si="6"/>
        <v>297.309735077813</v>
      </c>
      <c r="AC37" s="200">
        <v>0</v>
      </c>
      <c r="AD37" s="2">
        <v>500</v>
      </c>
      <c r="AE37" s="2">
        <v>47.328999999999994</v>
      </c>
      <c r="AF37" s="2">
        <v>12</v>
      </c>
      <c r="AG37" s="2">
        <f t="shared" si="7"/>
        <v>559.32899999999995</v>
      </c>
      <c r="AH37" s="180">
        <v>10642683.9</v>
      </c>
      <c r="AI37" s="37">
        <f t="shared" si="8"/>
        <v>732.86626497727593</v>
      </c>
      <c r="AJ37" s="110">
        <v>445.89000000000306</v>
      </c>
      <c r="AK37" s="180">
        <v>7803075.0000000531</v>
      </c>
      <c r="AL37" s="33">
        <f t="shared" si="9"/>
        <v>537.32784740394254</v>
      </c>
      <c r="AM37" s="6"/>
    </row>
    <row r="38" spans="1:39" ht="15">
      <c r="A38" s="30"/>
      <c r="B38" s="49">
        <v>27</v>
      </c>
      <c r="C38" s="221">
        <v>27</v>
      </c>
      <c r="D38" s="221">
        <v>213</v>
      </c>
      <c r="E38" s="183">
        <v>12880.000000000109</v>
      </c>
      <c r="F38" s="180">
        <v>13340846.400000112</v>
      </c>
      <c r="G38" s="180">
        <v>2839.9999999999181</v>
      </c>
      <c r="H38" s="180">
        <v>4412422.7999998732</v>
      </c>
      <c r="I38" s="184">
        <f t="shared" si="0"/>
        <v>17753269.199999984</v>
      </c>
      <c r="J38" s="183">
        <v>1620.0000000000045</v>
      </c>
      <c r="K38" s="180">
        <v>1677963.6000000047</v>
      </c>
      <c r="L38" s="185">
        <v>479.99999999998977</v>
      </c>
      <c r="M38" s="185">
        <v>745761.59999998414</v>
      </c>
      <c r="N38" s="184">
        <f t="shared" si="1"/>
        <v>2423725.199999989</v>
      </c>
      <c r="O38" s="181">
        <f t="shared" si="2"/>
        <v>20176994.399999972</v>
      </c>
      <c r="P38" s="182">
        <f t="shared" si="3"/>
        <v>17820.000000000022</v>
      </c>
      <c r="Q38" s="141"/>
      <c r="R38" s="153"/>
      <c r="S38" s="161"/>
      <c r="T38" s="160"/>
      <c r="U38" s="159">
        <v>0</v>
      </c>
      <c r="V38" s="139">
        <f t="shared" si="4"/>
        <v>635.46</v>
      </c>
      <c r="W38" s="2">
        <v>100.57000000000001</v>
      </c>
      <c r="X38" s="180">
        <v>1807293.1850000001</v>
      </c>
      <c r="Y38" s="28">
        <v>534.89</v>
      </c>
      <c r="Z38" s="179">
        <v>2270704.3302000002</v>
      </c>
      <c r="AA38" s="179">
        <f t="shared" si="5"/>
        <v>4077997.5152000003</v>
      </c>
      <c r="AB38" s="101">
        <f t="shared" si="6"/>
        <v>280.81514358903735</v>
      </c>
      <c r="AC38" s="200">
        <v>0</v>
      </c>
      <c r="AD38" s="2">
        <v>0</v>
      </c>
      <c r="AE38" s="2">
        <v>49.061040000001164</v>
      </c>
      <c r="AF38" s="2">
        <v>0</v>
      </c>
      <c r="AG38" s="2">
        <f t="shared" si="7"/>
        <v>49.061040000001164</v>
      </c>
      <c r="AH38" s="180">
        <v>937065.86400002218</v>
      </c>
      <c r="AI38" s="37">
        <f t="shared" si="8"/>
        <v>64.527328467154817</v>
      </c>
      <c r="AJ38" s="110">
        <v>354.44999999999709</v>
      </c>
      <c r="AK38" s="180">
        <v>6202874.9999999488</v>
      </c>
      <c r="AL38" s="33">
        <f t="shared" si="9"/>
        <v>427.13641371711532</v>
      </c>
      <c r="AM38" s="6"/>
    </row>
    <row r="39" spans="1:39" ht="15">
      <c r="A39" s="30"/>
      <c r="B39" s="49">
        <v>28</v>
      </c>
      <c r="C39" s="221">
        <v>29</v>
      </c>
      <c r="D39" s="221">
        <v>226</v>
      </c>
      <c r="E39" s="183">
        <v>13880.000000000109</v>
      </c>
      <c r="F39" s="180">
        <v>14376626.400000112</v>
      </c>
      <c r="G39" s="180">
        <v>2880.0000000001091</v>
      </c>
      <c r="H39" s="180">
        <v>4474569.6000001701</v>
      </c>
      <c r="I39" s="184">
        <f t="shared" si="0"/>
        <v>18851196.000000283</v>
      </c>
      <c r="J39" s="183">
        <v>1860.0000000000136</v>
      </c>
      <c r="K39" s="180">
        <v>1926550.800000014</v>
      </c>
      <c r="L39" s="185">
        <v>460.00000000000796</v>
      </c>
      <c r="M39" s="185">
        <v>714688.20000001241</v>
      </c>
      <c r="N39" s="184">
        <f t="shared" si="1"/>
        <v>2641239.0000000265</v>
      </c>
      <c r="O39" s="181">
        <f t="shared" si="2"/>
        <v>21492435.000000309</v>
      </c>
      <c r="P39" s="182">
        <f t="shared" si="3"/>
        <v>19080.00000000024</v>
      </c>
      <c r="Q39" s="141"/>
      <c r="R39" s="156"/>
      <c r="S39" s="161"/>
      <c r="T39" s="160"/>
      <c r="U39" s="159">
        <v>0</v>
      </c>
      <c r="V39" s="139">
        <f t="shared" si="4"/>
        <v>528.66</v>
      </c>
      <c r="W39" s="2">
        <v>79.210000000000008</v>
      </c>
      <c r="X39" s="180">
        <v>1423443.3050000002</v>
      </c>
      <c r="Y39" s="28">
        <v>449.45</v>
      </c>
      <c r="Z39" s="179">
        <v>1907996.1510000001</v>
      </c>
      <c r="AA39" s="179">
        <f t="shared" si="5"/>
        <v>3331439.4560000002</v>
      </c>
      <c r="AB39" s="101">
        <f t="shared" si="6"/>
        <v>229.40638038837628</v>
      </c>
      <c r="AC39" s="200">
        <v>0</v>
      </c>
      <c r="AD39" s="2">
        <v>100</v>
      </c>
      <c r="AE39" s="2">
        <v>51.759799999999629</v>
      </c>
      <c r="AF39" s="2">
        <v>0</v>
      </c>
      <c r="AG39" s="2">
        <f t="shared" si="7"/>
        <v>151.75979999999964</v>
      </c>
      <c r="AH39" s="180">
        <v>988612.17999999295</v>
      </c>
      <c r="AI39" s="37">
        <f t="shared" si="8"/>
        <v>68.076861313868122</v>
      </c>
      <c r="AJ39" s="110">
        <v>341.05000000000291</v>
      </c>
      <c r="AK39" s="180">
        <v>5968375.0000000512</v>
      </c>
      <c r="AL39" s="33">
        <f t="shared" si="9"/>
        <v>410.98850020658665</v>
      </c>
      <c r="AM39" s="6"/>
    </row>
    <row r="40" spans="1:39" ht="15">
      <c r="A40" s="30"/>
      <c r="B40" s="49">
        <v>29</v>
      </c>
      <c r="C40" s="221">
        <v>30</v>
      </c>
      <c r="D40" s="221">
        <v>340</v>
      </c>
      <c r="E40" s="183">
        <v>13399.999999999636</v>
      </c>
      <c r="F40" s="180">
        <v>13879451.999999624</v>
      </c>
      <c r="G40" s="180">
        <v>3079.9999999999272</v>
      </c>
      <c r="H40" s="180">
        <v>4785303.5999998869</v>
      </c>
      <c r="I40" s="184">
        <f t="shared" si="0"/>
        <v>18664755.59999951</v>
      </c>
      <c r="J40" s="183">
        <v>2079.9999999999272</v>
      </c>
      <c r="K40" s="180">
        <v>2154422.3999999245</v>
      </c>
      <c r="L40" s="185">
        <v>539.99999999999204</v>
      </c>
      <c r="M40" s="185">
        <v>838981.79999998771</v>
      </c>
      <c r="N40" s="184">
        <f t="shared" si="1"/>
        <v>2993404.1999999122</v>
      </c>
      <c r="O40" s="181">
        <f t="shared" si="2"/>
        <v>21658159.799999423</v>
      </c>
      <c r="P40" s="182">
        <f t="shared" si="3"/>
        <v>19099.999999999483</v>
      </c>
      <c r="Q40" s="142"/>
      <c r="R40" s="157"/>
      <c r="S40" s="161"/>
      <c r="T40" s="160"/>
      <c r="U40" s="159">
        <v>0</v>
      </c>
      <c r="V40" s="139">
        <f t="shared" si="4"/>
        <v>512.64</v>
      </c>
      <c r="W40" s="2">
        <v>99.68</v>
      </c>
      <c r="X40" s="180">
        <v>1791299.4400000002</v>
      </c>
      <c r="Y40" s="28">
        <v>412.96</v>
      </c>
      <c r="Z40" s="179">
        <v>1753089.5327999999</v>
      </c>
      <c r="AA40" s="179">
        <f t="shared" si="5"/>
        <v>3544388.9728000001</v>
      </c>
      <c r="AB40" s="101">
        <f t="shared" si="6"/>
        <v>244.07030524721114</v>
      </c>
      <c r="AC40" s="200">
        <v>0</v>
      </c>
      <c r="AD40" s="2">
        <v>0</v>
      </c>
      <c r="AE40" s="2">
        <v>54.337719999999116</v>
      </c>
      <c r="AF40" s="2">
        <v>0</v>
      </c>
      <c r="AG40" s="2">
        <f t="shared" si="7"/>
        <v>54.337719999999116</v>
      </c>
      <c r="AH40" s="180">
        <v>2947850.4519999833</v>
      </c>
      <c r="AI40" s="37">
        <f t="shared" si="8"/>
        <v>202.99204324473098</v>
      </c>
      <c r="AJ40" s="110">
        <v>340.31999999999971</v>
      </c>
      <c r="AK40" s="180">
        <v>5955599.9999999953</v>
      </c>
      <c r="AL40" s="33">
        <f t="shared" si="9"/>
        <v>410.1088004407103</v>
      </c>
      <c r="AM40" s="6"/>
    </row>
    <row r="41" spans="1:39" ht="17.25" customHeight="1">
      <c r="A41" s="30"/>
      <c r="B41" s="49">
        <v>30</v>
      </c>
      <c r="C41" s="222">
        <v>29</v>
      </c>
      <c r="D41" s="221">
        <v>209</v>
      </c>
      <c r="E41" s="183">
        <v>14240.000000000691</v>
      </c>
      <c r="F41" s="180">
        <v>14749507.200000716</v>
      </c>
      <c r="G41" s="180">
        <v>3159.9999999998545</v>
      </c>
      <c r="H41" s="180">
        <v>4909597.1999997739</v>
      </c>
      <c r="I41" s="184">
        <f t="shared" si="0"/>
        <v>19659104.40000049</v>
      </c>
      <c r="J41" s="183">
        <v>1300.0000000000682</v>
      </c>
      <c r="K41" s="180">
        <v>1346514.0000000705</v>
      </c>
      <c r="L41" s="185">
        <v>479.99999999998977</v>
      </c>
      <c r="M41" s="185">
        <v>745761.59999998414</v>
      </c>
      <c r="N41" s="184">
        <f t="shared" si="1"/>
        <v>2092275.6000000546</v>
      </c>
      <c r="O41" s="181">
        <f t="shared" si="2"/>
        <v>21751380.000000544</v>
      </c>
      <c r="P41" s="182">
        <f t="shared" si="3"/>
        <v>19180.000000000604</v>
      </c>
      <c r="Q41" s="141"/>
      <c r="R41" s="158"/>
      <c r="S41" s="161"/>
      <c r="T41" s="160"/>
      <c r="U41" s="159">
        <v>0</v>
      </c>
      <c r="V41" s="139">
        <f t="shared" si="4"/>
        <v>665.72</v>
      </c>
      <c r="W41" s="2">
        <v>97.01</v>
      </c>
      <c r="X41" s="180">
        <v>1743318.2050000001</v>
      </c>
      <c r="Y41" s="28">
        <v>568.71</v>
      </c>
      <c r="Z41" s="179">
        <v>2414276.3178000003</v>
      </c>
      <c r="AA41" s="179">
        <f t="shared" si="5"/>
        <v>4157594.5228000004</v>
      </c>
      <c r="AB41" s="101">
        <f t="shared" si="6"/>
        <v>286.29627618785292</v>
      </c>
      <c r="AC41" s="200">
        <v>0</v>
      </c>
      <c r="AD41" s="2">
        <v>0</v>
      </c>
      <c r="AE41" s="2">
        <v>40.682799999999631</v>
      </c>
      <c r="AF41" s="2">
        <v>36</v>
      </c>
      <c r="AG41" s="2">
        <f t="shared" si="7"/>
        <v>76.682799999999631</v>
      </c>
      <c r="AH41" s="180">
        <v>1343141.479999993</v>
      </c>
      <c r="AI41" s="37">
        <f t="shared" si="8"/>
        <v>92.490117063764842</v>
      </c>
      <c r="AJ41" s="110">
        <v>359.37999999999738</v>
      </c>
      <c r="AK41" s="180">
        <v>6289149.9999999544</v>
      </c>
      <c r="AL41" s="33">
        <f t="shared" si="9"/>
        <v>433.07739980718594</v>
      </c>
      <c r="AM41" s="6"/>
    </row>
    <row r="42" spans="1:39" ht="15">
      <c r="A42" s="30"/>
      <c r="B42" s="98">
        <v>31</v>
      </c>
      <c r="C42" s="221">
        <v>26</v>
      </c>
      <c r="D42" s="223">
        <v>198</v>
      </c>
      <c r="E42" s="186">
        <v>14199.999999999818</v>
      </c>
      <c r="F42" s="187">
        <v>14708075.999999812</v>
      </c>
      <c r="G42" s="187">
        <v>3280.0000000002001</v>
      </c>
      <c r="H42" s="187">
        <v>5096037.6000003107</v>
      </c>
      <c r="I42" s="201">
        <f t="shared" si="0"/>
        <v>19804113.600000121</v>
      </c>
      <c r="J42" s="186">
        <v>1620.0000000000045</v>
      </c>
      <c r="K42" s="187">
        <v>1677963.6000000047</v>
      </c>
      <c r="L42" s="188">
        <v>460.00000000000796</v>
      </c>
      <c r="M42" s="188">
        <v>714688.20000001241</v>
      </c>
      <c r="N42" s="201">
        <f t="shared" si="1"/>
        <v>2392651.800000017</v>
      </c>
      <c r="O42" s="202">
        <f t="shared" si="2"/>
        <v>22196765.400000136</v>
      </c>
      <c r="P42" s="203">
        <f t="shared" si="3"/>
        <v>19560.000000000029</v>
      </c>
      <c r="Q42" s="169"/>
      <c r="R42" s="170"/>
      <c r="S42" s="162"/>
      <c r="T42" s="162"/>
      <c r="U42" s="171"/>
      <c r="V42" s="204">
        <f t="shared" si="4"/>
        <v>596.29999999999995</v>
      </c>
      <c r="W42" s="84">
        <v>94.34</v>
      </c>
      <c r="X42" s="187">
        <v>1695336.97</v>
      </c>
      <c r="Y42" s="172">
        <v>501.96</v>
      </c>
      <c r="Z42" s="205">
        <v>2130910.5528000002</v>
      </c>
      <c r="AA42" s="205">
        <f t="shared" si="5"/>
        <v>3826247.5228000004</v>
      </c>
      <c r="AB42" s="206">
        <f t="shared" si="6"/>
        <v>263.47937768902358</v>
      </c>
      <c r="AC42" s="212">
        <v>0</v>
      </c>
      <c r="AD42" s="84">
        <v>500</v>
      </c>
      <c r="AE42" s="84">
        <v>47.772080000000507</v>
      </c>
      <c r="AF42" s="84">
        <v>12</v>
      </c>
      <c r="AG42" s="84">
        <f t="shared" si="7"/>
        <v>559.77208000000053</v>
      </c>
      <c r="AH42" s="187">
        <v>10651146.728000009</v>
      </c>
      <c r="AI42" s="207">
        <f t="shared" si="8"/>
        <v>733.4490241013641</v>
      </c>
      <c r="AJ42" s="173">
        <v>550.55000000000291</v>
      </c>
      <c r="AK42" s="180">
        <v>9634625.0000000503</v>
      </c>
      <c r="AL42" s="213">
        <f t="shared" si="9"/>
        <v>663.45028233026096</v>
      </c>
      <c r="AM42" s="6"/>
    </row>
    <row r="43" spans="1:39" s="7" customFormat="1" ht="13.5" customHeight="1">
      <c r="B43" s="93"/>
      <c r="C43" s="94"/>
      <c r="D43" s="94"/>
      <c r="E43" s="189"/>
      <c r="F43" s="190"/>
      <c r="G43" s="191"/>
      <c r="H43" s="190"/>
      <c r="I43" s="191"/>
      <c r="J43" s="191"/>
      <c r="K43" s="191"/>
      <c r="L43" s="190"/>
      <c r="M43" s="192"/>
      <c r="N43" s="192"/>
      <c r="P43" s="57"/>
      <c r="R43" s="76"/>
      <c r="S43" s="6"/>
      <c r="U43" s="29"/>
      <c r="V43" s="102"/>
      <c r="AB43" s="29"/>
      <c r="AD43" s="6"/>
      <c r="AJ43" s="76"/>
      <c r="AL43" s="29"/>
    </row>
    <row r="44" spans="1:39" s="7" customFormat="1" ht="6" customHeight="1">
      <c r="B44" s="93"/>
      <c r="C44" s="94"/>
      <c r="D44" s="94"/>
      <c r="E44" s="92"/>
      <c r="F44" s="6"/>
      <c r="H44" s="6"/>
      <c r="L44" s="6"/>
      <c r="M44" s="53"/>
      <c r="N44" s="57"/>
      <c r="P44" s="57"/>
      <c r="R44" s="76"/>
      <c r="S44" s="14"/>
      <c r="T44" s="14"/>
      <c r="U44" s="29"/>
      <c r="V44" s="102"/>
      <c r="AB44" s="103"/>
      <c r="AD44" s="6"/>
      <c r="AH44" s="6"/>
      <c r="AJ44" s="78"/>
      <c r="AK44" s="4"/>
      <c r="AL44" s="34"/>
    </row>
    <row r="45" spans="1:39" s="7" customFormat="1" ht="16.5" thickBot="1">
      <c r="B45" s="95"/>
      <c r="C45" s="96"/>
      <c r="D45" s="96"/>
      <c r="E45" s="97"/>
      <c r="F45" s="63"/>
      <c r="G45" s="62"/>
      <c r="H45" s="63"/>
      <c r="I45" s="62"/>
      <c r="J45" s="62"/>
      <c r="K45" s="62"/>
      <c r="L45" s="63"/>
      <c r="M45" s="64"/>
      <c r="N45" s="65"/>
      <c r="O45" s="62"/>
      <c r="P45" s="65"/>
      <c r="Q45" s="62"/>
      <c r="R45" s="77"/>
      <c r="S45" s="66"/>
      <c r="T45" s="62"/>
      <c r="U45" s="140"/>
      <c r="V45" s="104"/>
      <c r="W45" s="68"/>
      <c r="X45" s="62"/>
      <c r="Y45" s="62"/>
      <c r="Z45" s="62"/>
      <c r="AA45" s="62"/>
      <c r="AB45" s="67"/>
      <c r="AC45" s="69"/>
      <c r="AD45" s="63"/>
      <c r="AE45" s="69"/>
      <c r="AF45" s="69"/>
      <c r="AG45" s="69"/>
      <c r="AH45" s="63"/>
      <c r="AI45" s="62"/>
      <c r="AJ45" s="111"/>
      <c r="AK45" s="70"/>
      <c r="AL45" s="71"/>
    </row>
    <row r="46" spans="1:39" ht="17.25" thickTop="1" thickBot="1">
      <c r="A46" s="22"/>
      <c r="B46" s="60"/>
      <c r="C46" s="61">
        <f t="shared" ref="C46:O46" si="10">SUM(C12:C42)</f>
        <v>1150</v>
      </c>
      <c r="D46" s="61">
        <f t="shared" si="10"/>
        <v>9791</v>
      </c>
      <c r="E46" s="193">
        <f t="shared" si="10"/>
        <v>478120</v>
      </c>
      <c r="F46" s="193">
        <f t="shared" si="10"/>
        <v>495227133.59999979</v>
      </c>
      <c r="G46" s="193">
        <f t="shared" si="10"/>
        <v>105480.00000000001</v>
      </c>
      <c r="H46" s="193">
        <f t="shared" si="10"/>
        <v>163881111.59999999</v>
      </c>
      <c r="I46" s="193">
        <f>SUM(I12:I42)</f>
        <v>659108245.19999993</v>
      </c>
      <c r="J46" s="193">
        <f t="shared" si="10"/>
        <v>47620.000000000007</v>
      </c>
      <c r="K46" s="193">
        <f t="shared" si="10"/>
        <v>49323843.599999987</v>
      </c>
      <c r="L46" s="193">
        <f t="shared" si="10"/>
        <v>14159.999999999996</v>
      </c>
      <c r="M46" s="193">
        <f t="shared" si="10"/>
        <v>21999967.200000003</v>
      </c>
      <c r="N46" s="193">
        <f t="shared" si="10"/>
        <v>71323810.799999982</v>
      </c>
      <c r="O46" s="214">
        <f t="shared" si="10"/>
        <v>730432056.00000012</v>
      </c>
      <c r="P46" s="194">
        <f>SUM(P12:P42)</f>
        <v>645379.99999999977</v>
      </c>
      <c r="Q46" s="195"/>
      <c r="R46" s="196"/>
      <c r="S46" s="197"/>
      <c r="T46" s="197"/>
      <c r="U46" s="198"/>
      <c r="V46" s="215">
        <f t="shared" ref="V46:AB46" si="11">SUM(V12:V42)</f>
        <v>19709.05</v>
      </c>
      <c r="W46" s="199">
        <f t="shared" si="11"/>
        <v>3134.58</v>
      </c>
      <c r="X46" s="199">
        <f>SUM(X12:X42)</f>
        <v>56329969.889999993</v>
      </c>
      <c r="Y46" s="199">
        <f>SUM(Y12:Y42)</f>
        <v>16574.469999999998</v>
      </c>
      <c r="Z46" s="199">
        <f t="shared" si="11"/>
        <v>70361608.554600015</v>
      </c>
      <c r="AA46" s="215">
        <f t="shared" si="11"/>
        <v>126691578.44460002</v>
      </c>
      <c r="AB46" s="199">
        <f t="shared" si="11"/>
        <v>8724.1136513290185</v>
      </c>
      <c r="AC46" s="209">
        <f>SUM(AC12:AC41)</f>
        <v>2758.2938399999948</v>
      </c>
      <c r="AD46" s="210">
        <f>SUM(AD12:AD41)</f>
        <v>2900</v>
      </c>
      <c r="AE46" s="209">
        <f>SUM(AE12:AE42)</f>
        <v>2229.7799600000008</v>
      </c>
      <c r="AF46" s="209">
        <f>SUM(AF12:AF42)</f>
        <v>420</v>
      </c>
      <c r="AG46" s="217">
        <f>SUM(AG12:AG42)</f>
        <v>8808.0737999999965</v>
      </c>
      <c r="AH46" s="218">
        <f>SUM(AH12:AH42)</f>
        <v>166513297.25759992</v>
      </c>
      <c r="AI46" s="216">
        <f>AH46/$AL$47</f>
        <v>12832.316765497151</v>
      </c>
      <c r="AJ46" s="220">
        <f>SUM(AJ12:AJ42)</f>
        <v>12096.500000000036</v>
      </c>
      <c r="AK46" s="219">
        <f>SUM(AK12:AK42)</f>
        <v>211688750.00000066</v>
      </c>
      <c r="AL46" s="211">
        <f>AK46/AL47</f>
        <v>16313.754759715805</v>
      </c>
      <c r="AM46" s="22"/>
    </row>
    <row r="47" spans="1:39">
      <c r="A47" s="22"/>
      <c r="B47" s="22"/>
      <c r="C47" s="4"/>
      <c r="D47" s="10"/>
      <c r="E47" s="4"/>
      <c r="F47" s="4"/>
      <c r="G47" s="10"/>
      <c r="H47" s="4"/>
      <c r="I47" s="8"/>
      <c r="J47" s="8"/>
      <c r="K47" s="8"/>
      <c r="L47" s="15"/>
      <c r="M47" s="54"/>
      <c r="N47" s="58"/>
      <c r="O47" s="9"/>
      <c r="P47" s="58"/>
      <c r="Q47" s="9"/>
      <c r="R47" s="91"/>
      <c r="S47" s="13"/>
      <c r="T47" s="72" t="s">
        <v>53</v>
      </c>
      <c r="U47" s="113" t="e">
        <f>U46/S46</f>
        <v>#DIV/0!</v>
      </c>
      <c r="V47" s="143" t="s">
        <v>54</v>
      </c>
      <c r="W47" s="10"/>
      <c r="X47" s="10"/>
      <c r="Y47" s="107"/>
      <c r="Z47" s="10"/>
      <c r="AA47" s="10"/>
      <c r="AB47" s="10"/>
      <c r="AC47" s="14"/>
      <c r="AD47" s="6"/>
      <c r="AE47" s="14"/>
      <c r="AF47" s="14"/>
      <c r="AG47" s="6"/>
      <c r="AH47" s="165"/>
      <c r="AI47" s="10"/>
      <c r="AJ47" s="78"/>
      <c r="AK47" s="10"/>
      <c r="AL47" s="112">
        <v>12976.09</v>
      </c>
      <c r="AM47" s="22"/>
    </row>
    <row r="48" spans="1:39">
      <c r="A48" s="22"/>
      <c r="B48" s="22"/>
      <c r="C48" s="4"/>
      <c r="D48" s="10"/>
      <c r="E48" s="4"/>
      <c r="F48" s="4"/>
      <c r="G48" s="10"/>
      <c r="H48" s="4"/>
      <c r="I48" s="8"/>
      <c r="J48" s="8"/>
      <c r="K48" s="8"/>
      <c r="L48" s="15"/>
      <c r="M48" s="54"/>
      <c r="N48" s="58"/>
      <c r="O48" s="9"/>
      <c r="P48" s="58">
        <f>O46/P46</f>
        <v>1131.7860113421557</v>
      </c>
      <c r="Q48" s="9"/>
      <c r="R48" s="91"/>
      <c r="S48" s="13"/>
      <c r="T48" s="166"/>
      <c r="U48" s="113"/>
      <c r="V48" s="143"/>
      <c r="W48" s="164"/>
      <c r="X48" s="164"/>
      <c r="Y48" s="107"/>
      <c r="Z48" s="164"/>
      <c r="AA48" s="10">
        <f>AA46/V46</f>
        <v>6428.0915845563341</v>
      </c>
      <c r="AB48" s="10"/>
      <c r="AC48" s="14"/>
      <c r="AD48" s="6"/>
      <c r="AE48" s="14"/>
      <c r="AF48" s="14"/>
      <c r="AG48" s="6"/>
      <c r="AH48" s="165">
        <f>AH46/AG46</f>
        <v>18904.621037303295</v>
      </c>
      <c r="AI48" s="10"/>
      <c r="AJ48" s="78"/>
      <c r="AK48" s="10">
        <f>AK46/AJ46</f>
        <v>17500</v>
      </c>
      <c r="AL48" s="112"/>
      <c r="AM48" s="22"/>
    </row>
    <row r="49" spans="1:39">
      <c r="A49" s="22"/>
      <c r="B49" s="22"/>
      <c r="C49" s="4"/>
      <c r="D49" s="10"/>
      <c r="E49" s="4"/>
      <c r="F49" s="4"/>
      <c r="G49" s="10"/>
      <c r="H49" s="4"/>
      <c r="I49" s="8"/>
      <c r="J49" s="8"/>
      <c r="K49" s="8"/>
      <c r="L49" s="15"/>
      <c r="M49" s="54"/>
      <c r="N49" s="58"/>
      <c r="O49" s="9"/>
      <c r="P49" s="58"/>
      <c r="Q49" s="9"/>
      <c r="R49" s="91"/>
      <c r="S49" s="13"/>
      <c r="T49" s="72"/>
      <c r="U49" s="113"/>
      <c r="V49" s="143"/>
      <c r="W49" s="10"/>
      <c r="X49" s="10"/>
      <c r="Y49" s="107"/>
      <c r="Z49" s="164"/>
      <c r="AA49" s="10"/>
      <c r="AB49" s="10"/>
      <c r="AC49" s="14"/>
      <c r="AD49" s="6"/>
      <c r="AE49" s="14"/>
      <c r="AF49" s="14"/>
      <c r="AG49" s="175"/>
      <c r="AH49" s="165"/>
      <c r="AI49" s="10"/>
      <c r="AJ49" s="78"/>
      <c r="AK49" s="10"/>
      <c r="AL49" s="112"/>
      <c r="AM49" s="22"/>
    </row>
    <row r="50" spans="1:39" s="146" customFormat="1">
      <c r="A50" s="144"/>
      <c r="B50" s="144"/>
      <c r="C50" s="145"/>
      <c r="E50" s="145"/>
      <c r="F50" s="145"/>
      <c r="H50" s="145"/>
      <c r="L50" s="145"/>
      <c r="M50" s="147"/>
      <c r="N50" s="148"/>
      <c r="P50" s="148"/>
      <c r="R50" s="149"/>
      <c r="T50" s="163"/>
      <c r="Y50" s="174"/>
      <c r="AD50" s="145"/>
      <c r="AG50" s="163"/>
      <c r="AH50" s="145"/>
      <c r="AJ50" s="149"/>
      <c r="AL50" s="150"/>
      <c r="AM50" s="144"/>
    </row>
    <row r="51" spans="1:39" s="146" customFormat="1">
      <c r="A51" s="144"/>
      <c r="B51" s="144"/>
      <c r="C51" s="145"/>
      <c r="E51" s="145"/>
      <c r="F51" s="145"/>
      <c r="H51" s="145"/>
      <c r="L51" s="145"/>
      <c r="M51" s="147"/>
      <c r="N51" s="148"/>
      <c r="P51" s="148"/>
      <c r="R51" s="149"/>
      <c r="S51" s="163"/>
      <c r="T51" s="163"/>
      <c r="Z51" s="163"/>
      <c r="AD51" s="145"/>
      <c r="AH51" s="145"/>
      <c r="AJ51" s="149"/>
      <c r="AL51" s="150"/>
      <c r="AM51" s="144"/>
    </row>
    <row r="52" spans="1:39" s="146" customFormat="1">
      <c r="A52" s="144"/>
      <c r="B52" s="144"/>
      <c r="C52" s="145"/>
      <c r="E52" s="145"/>
      <c r="F52" s="145"/>
      <c r="H52" s="145"/>
      <c r="L52" s="145"/>
      <c r="M52" s="147"/>
      <c r="N52" s="148"/>
      <c r="P52" s="148"/>
      <c r="R52" s="149"/>
      <c r="X52" s="163"/>
      <c r="AD52" s="145"/>
      <c r="AH52" s="145"/>
      <c r="AJ52" s="149"/>
      <c r="AL52" s="150"/>
      <c r="AM52" s="144"/>
    </row>
    <row r="53" spans="1:39" s="146" customFormat="1">
      <c r="A53" s="144"/>
      <c r="B53" s="144"/>
      <c r="C53" s="145"/>
      <c r="E53" s="145"/>
      <c r="F53" s="145"/>
      <c r="H53" s="145"/>
      <c r="L53" s="145"/>
      <c r="M53" s="147"/>
      <c r="N53" s="148"/>
      <c r="P53" s="148"/>
      <c r="R53" s="149"/>
      <c r="S53" s="163"/>
      <c r="AD53" s="145"/>
      <c r="AH53" s="145"/>
      <c r="AJ53" s="149"/>
      <c r="AL53" s="150"/>
      <c r="AM53" s="144"/>
    </row>
    <row r="54" spans="1:39" s="146" customFormat="1">
      <c r="A54" s="144"/>
      <c r="B54" s="144"/>
      <c r="C54" s="145"/>
      <c r="E54" s="145"/>
      <c r="F54" s="145"/>
      <c r="H54" s="145"/>
      <c r="L54" s="145"/>
      <c r="M54" s="147"/>
      <c r="N54" s="148"/>
      <c r="P54" s="148"/>
      <c r="R54" s="149"/>
      <c r="T54" s="163"/>
      <c r="AD54" s="145"/>
      <c r="AH54" s="145"/>
      <c r="AJ54" s="149"/>
      <c r="AL54" s="150"/>
      <c r="AM54" s="144"/>
    </row>
    <row r="55" spans="1:39" s="146" customFormat="1">
      <c r="A55" s="144"/>
      <c r="B55" s="144"/>
      <c r="C55" s="145"/>
      <c r="E55" s="145"/>
      <c r="F55" s="145"/>
      <c r="H55" s="145"/>
      <c r="L55" s="145"/>
      <c r="M55" s="147"/>
      <c r="N55" s="148"/>
      <c r="P55" s="148"/>
      <c r="R55" s="149"/>
      <c r="AD55" s="145"/>
      <c r="AH55" s="145"/>
      <c r="AJ55" s="149"/>
      <c r="AL55" s="150"/>
      <c r="AM55" s="144"/>
    </row>
    <row r="56" spans="1:39" s="146" customFormat="1">
      <c r="A56" s="144"/>
      <c r="B56" s="144"/>
      <c r="C56" s="145"/>
      <c r="E56" s="145"/>
      <c r="F56" s="145"/>
      <c r="H56" s="145"/>
      <c r="L56" s="145"/>
      <c r="M56" s="147"/>
      <c r="N56" s="148"/>
      <c r="P56" s="148"/>
      <c r="R56" s="149"/>
      <c r="AD56" s="145"/>
      <c r="AH56" s="145"/>
      <c r="AJ56" s="149"/>
      <c r="AL56" s="150"/>
      <c r="AM56" s="144"/>
    </row>
    <row r="57" spans="1:39" s="146" customFormat="1">
      <c r="A57" s="144"/>
      <c r="B57" s="144"/>
      <c r="C57" s="145"/>
      <c r="E57" s="145"/>
      <c r="F57" s="145"/>
      <c r="H57" s="145"/>
      <c r="L57" s="145"/>
      <c r="M57" s="147"/>
      <c r="N57" s="148"/>
      <c r="P57" s="148"/>
      <c r="R57" s="149"/>
      <c r="AD57" s="145"/>
      <c r="AH57" s="145"/>
      <c r="AJ57" s="149"/>
      <c r="AL57" s="150"/>
      <c r="AM57" s="144"/>
    </row>
    <row r="58" spans="1:39" s="146" customFormat="1">
      <c r="A58" s="144"/>
      <c r="B58" s="144"/>
      <c r="C58" s="145"/>
      <c r="E58" s="145"/>
      <c r="F58" s="145"/>
      <c r="H58" s="145"/>
      <c r="L58" s="145"/>
      <c r="M58" s="147"/>
      <c r="N58" s="148"/>
      <c r="P58" s="148"/>
      <c r="R58" s="149"/>
      <c r="AD58" s="145"/>
      <c r="AH58" s="145"/>
      <c r="AJ58" s="149"/>
      <c r="AL58" s="150"/>
      <c r="AM58" s="144"/>
    </row>
    <row r="59" spans="1:39" s="146" customFormat="1">
      <c r="A59" s="144"/>
      <c r="B59" s="144"/>
      <c r="C59" s="145"/>
      <c r="E59" s="145"/>
      <c r="F59" s="145"/>
      <c r="H59" s="145"/>
      <c r="L59" s="145"/>
      <c r="M59" s="147"/>
      <c r="N59" s="148"/>
      <c r="P59" s="148"/>
      <c r="R59" s="149"/>
      <c r="AD59" s="145"/>
      <c r="AH59" s="145"/>
      <c r="AJ59" s="149"/>
      <c r="AL59" s="150"/>
      <c r="AM59" s="144"/>
    </row>
    <row r="60" spans="1:39" s="146" customFormat="1">
      <c r="A60" s="144"/>
      <c r="B60" s="144"/>
      <c r="C60" s="145"/>
      <c r="E60" s="145"/>
      <c r="F60" s="145"/>
      <c r="H60" s="145"/>
      <c r="L60" s="145"/>
      <c r="M60" s="147"/>
      <c r="N60" s="148"/>
      <c r="P60" s="148"/>
      <c r="R60" s="149"/>
      <c r="AD60" s="145"/>
      <c r="AH60" s="145"/>
      <c r="AJ60" s="149"/>
      <c r="AL60" s="150"/>
      <c r="AM60" s="144"/>
    </row>
    <row r="61" spans="1:39" s="146" customFormat="1">
      <c r="A61" s="144"/>
      <c r="B61" s="144"/>
      <c r="C61" s="145"/>
      <c r="E61" s="145"/>
      <c r="F61" s="145"/>
      <c r="H61" s="145"/>
      <c r="L61" s="145"/>
      <c r="M61" s="147"/>
      <c r="N61" s="148"/>
      <c r="P61" s="148"/>
      <c r="R61" s="149"/>
      <c r="AD61" s="145"/>
      <c r="AH61" s="145"/>
      <c r="AJ61" s="149"/>
      <c r="AL61" s="150"/>
      <c r="AM61" s="144"/>
    </row>
    <row r="62" spans="1:39" s="146" customFormat="1">
      <c r="A62" s="144"/>
      <c r="B62" s="144"/>
      <c r="C62" s="145"/>
      <c r="E62" s="145"/>
      <c r="F62" s="145"/>
      <c r="H62" s="145"/>
      <c r="I62" s="145"/>
      <c r="J62" s="145"/>
      <c r="L62" s="145"/>
      <c r="M62" s="147"/>
      <c r="N62" s="148"/>
      <c r="P62" s="148"/>
      <c r="R62" s="149"/>
      <c r="AD62" s="145"/>
      <c r="AH62" s="145"/>
      <c r="AJ62" s="149"/>
      <c r="AL62" s="150"/>
      <c r="AM62" s="144"/>
    </row>
    <row r="63" spans="1:39" s="146" customFormat="1">
      <c r="A63" s="144"/>
      <c r="B63" s="144"/>
      <c r="C63" s="145"/>
      <c r="E63" s="145"/>
      <c r="F63" s="145"/>
      <c r="H63" s="145"/>
      <c r="L63" s="145"/>
      <c r="M63" s="147"/>
      <c r="N63" s="148"/>
      <c r="P63" s="148"/>
      <c r="R63" s="149"/>
      <c r="AD63" s="145"/>
      <c r="AH63" s="145"/>
      <c r="AJ63" s="149"/>
      <c r="AL63" s="150"/>
      <c r="AM63" s="144"/>
    </row>
    <row r="64" spans="1:39" s="146" customFormat="1">
      <c r="A64" s="144"/>
      <c r="B64" s="144"/>
      <c r="C64" s="145"/>
      <c r="E64" s="145"/>
      <c r="F64" s="145"/>
      <c r="H64" s="145"/>
      <c r="L64" s="145"/>
      <c r="M64" s="147"/>
      <c r="N64" s="148"/>
      <c r="P64" s="148"/>
      <c r="R64" s="149"/>
      <c r="AD64" s="145"/>
      <c r="AH64" s="145"/>
      <c r="AJ64" s="149"/>
      <c r="AL64" s="150"/>
      <c r="AM64" s="144"/>
    </row>
    <row r="65" spans="1:39" s="146" customFormat="1">
      <c r="A65" s="144"/>
      <c r="B65" s="144"/>
      <c r="C65" s="145"/>
      <c r="E65" s="145"/>
      <c r="F65" s="145"/>
      <c r="H65" s="145"/>
      <c r="L65" s="145"/>
      <c r="M65" s="147"/>
      <c r="N65" s="148"/>
      <c r="P65" s="148"/>
      <c r="R65" s="149"/>
      <c r="AD65" s="145"/>
      <c r="AH65" s="145"/>
      <c r="AJ65" s="149"/>
      <c r="AL65" s="150"/>
      <c r="AM65" s="144"/>
    </row>
    <row r="66" spans="1:39" s="146" customFormat="1">
      <c r="A66" s="144"/>
      <c r="B66" s="144"/>
      <c r="C66" s="145"/>
      <c r="E66" s="145"/>
      <c r="F66" s="145"/>
      <c r="H66" s="145"/>
      <c r="L66" s="145"/>
      <c r="M66" s="147"/>
      <c r="N66" s="148"/>
      <c r="P66" s="148"/>
      <c r="R66" s="149"/>
      <c r="AD66" s="145"/>
      <c r="AH66" s="145"/>
      <c r="AJ66" s="149"/>
      <c r="AL66" s="150"/>
      <c r="AM66" s="144"/>
    </row>
    <row r="67" spans="1:39" s="146" customFormat="1">
      <c r="A67" s="144"/>
      <c r="B67" s="144"/>
      <c r="C67" s="145"/>
      <c r="E67" s="145"/>
      <c r="F67" s="145"/>
      <c r="H67" s="145"/>
      <c r="L67" s="145"/>
      <c r="M67" s="147"/>
      <c r="N67" s="148"/>
      <c r="P67" s="148"/>
      <c r="R67" s="149"/>
      <c r="AD67" s="145"/>
      <c r="AH67" s="145"/>
      <c r="AJ67" s="149"/>
      <c r="AL67" s="150"/>
      <c r="AM67" s="144"/>
    </row>
    <row r="68" spans="1:39" s="146" customFormat="1">
      <c r="A68" s="144"/>
      <c r="B68" s="144"/>
      <c r="C68" s="145"/>
      <c r="E68" s="145"/>
      <c r="F68" s="145"/>
      <c r="H68" s="145"/>
      <c r="L68" s="145"/>
      <c r="M68" s="147"/>
      <c r="N68" s="148"/>
      <c r="P68" s="148"/>
      <c r="R68" s="149"/>
      <c r="AD68" s="145"/>
      <c r="AH68" s="145"/>
      <c r="AJ68" s="149"/>
      <c r="AL68" s="150"/>
      <c r="AM68" s="144"/>
    </row>
    <row r="69" spans="1:39" s="146" customFormat="1">
      <c r="A69" s="144"/>
      <c r="B69" s="144"/>
      <c r="C69" s="145"/>
      <c r="E69" s="145"/>
      <c r="F69" s="145"/>
      <c r="H69" s="145"/>
      <c r="L69" s="145"/>
      <c r="M69" s="147"/>
      <c r="N69" s="148"/>
      <c r="P69" s="148"/>
      <c r="R69" s="149"/>
      <c r="AD69" s="145"/>
      <c r="AH69" s="145"/>
      <c r="AJ69" s="149"/>
      <c r="AL69" s="150"/>
      <c r="AM69" s="144"/>
    </row>
  </sheetData>
  <mergeCells count="18">
    <mergeCell ref="Q9:Q10"/>
    <mergeCell ref="AJ9:AL9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xSplit="1" ySplit="5" topLeftCell="B6" activePane="bottomRight" state="frozen"/>
      <selection pane="bottomRight" activeCell="F20" sqref="F20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3" t="s">
        <v>16</v>
      </c>
    </row>
    <row r="2" spans="1:3" ht="18">
      <c r="A2" s="264" t="s">
        <v>55</v>
      </c>
      <c r="B2" s="265"/>
      <c r="C2" s="265"/>
    </row>
    <row r="3" spans="1:3">
      <c r="A3" s="267" t="s">
        <v>18</v>
      </c>
      <c r="B3" s="266" t="s">
        <v>19</v>
      </c>
      <c r="C3" s="266" t="s">
        <v>13</v>
      </c>
    </row>
    <row r="4" spans="1:3">
      <c r="A4" s="267"/>
      <c r="B4" s="266"/>
      <c r="C4" s="266"/>
    </row>
    <row r="5" spans="1:3">
      <c r="A5" s="267"/>
      <c r="B5" s="266"/>
      <c r="C5" s="266"/>
    </row>
    <row r="6" spans="1:3">
      <c r="A6" s="1">
        <v>1</v>
      </c>
      <c r="B6" s="1">
        <f>'FS Jimbaran May 2022'!C12</f>
        <v>75</v>
      </c>
      <c r="C6" s="177">
        <f>'FS Jimbaran May 2022'!D12</f>
        <v>425</v>
      </c>
    </row>
    <row r="7" spans="1:3">
      <c r="A7" s="1">
        <v>2</v>
      </c>
      <c r="B7" s="1">
        <f>'FS Jimbaran May 2022'!C13</f>
        <v>91</v>
      </c>
      <c r="C7" s="177">
        <f>'FS Jimbaran May 2022'!D13</f>
        <v>524</v>
      </c>
    </row>
    <row r="8" spans="1:3">
      <c r="A8" s="1">
        <f>A7+1</f>
        <v>3</v>
      </c>
      <c r="B8" s="1">
        <f>'FS Jimbaran May 2022'!C14</f>
        <v>86</v>
      </c>
      <c r="C8" s="177">
        <f>'FS Jimbaran May 2022'!D14</f>
        <v>583</v>
      </c>
    </row>
    <row r="9" spans="1:3">
      <c r="A9" s="1">
        <f>A8+1</f>
        <v>4</v>
      </c>
      <c r="B9" s="1">
        <f>'FS Jimbaran May 2022'!C15</f>
        <v>80</v>
      </c>
      <c r="C9" s="177">
        <f>'FS Jimbaran May 2022'!D15</f>
        <v>611</v>
      </c>
    </row>
    <row r="10" spans="1:3">
      <c r="A10" s="1">
        <f t="shared" ref="A10:A36" si="0">A9+1</f>
        <v>5</v>
      </c>
      <c r="B10" s="1">
        <f>'FS Jimbaran May 2022'!C16</f>
        <v>58</v>
      </c>
      <c r="C10" s="177">
        <f>'FS Jimbaran May 2022'!D16</f>
        <v>558</v>
      </c>
    </row>
    <row r="11" spans="1:3">
      <c r="A11" s="1">
        <f t="shared" si="0"/>
        <v>6</v>
      </c>
      <c r="B11" s="1">
        <f>'FS Jimbaran May 2022'!C17</f>
        <v>46</v>
      </c>
      <c r="C11" s="177">
        <f>'FS Jimbaran May 2022'!D17</f>
        <v>395</v>
      </c>
    </row>
    <row r="12" spans="1:3">
      <c r="A12" s="1">
        <f t="shared" si="0"/>
        <v>7</v>
      </c>
      <c r="B12" s="1">
        <f>'FS Jimbaran May 2022'!C18</f>
        <v>42</v>
      </c>
      <c r="C12" s="177">
        <f>'FS Jimbaran May 2022'!D18</f>
        <v>367</v>
      </c>
    </row>
    <row r="13" spans="1:3">
      <c r="A13" s="1">
        <f t="shared" si="0"/>
        <v>8</v>
      </c>
      <c r="B13" s="1">
        <f>'FS Jimbaran May 2022'!C19</f>
        <v>36</v>
      </c>
      <c r="C13" s="177">
        <f>'FS Jimbaran May 2022'!D19</f>
        <v>313</v>
      </c>
    </row>
    <row r="14" spans="1:3">
      <c r="A14" s="1">
        <f t="shared" si="0"/>
        <v>9</v>
      </c>
      <c r="B14" s="1">
        <f>'FS Jimbaran May 2022'!C20</f>
        <v>25</v>
      </c>
      <c r="C14" s="177">
        <f>'FS Jimbaran May 2022'!D20</f>
        <v>270</v>
      </c>
    </row>
    <row r="15" spans="1:3">
      <c r="A15" s="1">
        <f t="shared" si="0"/>
        <v>10</v>
      </c>
      <c r="B15" s="1">
        <f>'FS Jimbaran May 2022'!C21</f>
        <v>22</v>
      </c>
      <c r="C15" s="177">
        <f>'FS Jimbaran May 2022'!D21</f>
        <v>222</v>
      </c>
    </row>
    <row r="16" spans="1:3">
      <c r="A16" s="1">
        <f t="shared" si="0"/>
        <v>11</v>
      </c>
      <c r="B16" s="1">
        <f>'FS Jimbaran May 2022'!C22</f>
        <v>22</v>
      </c>
      <c r="C16" s="177">
        <f>'FS Jimbaran May 2022'!D22</f>
        <v>180</v>
      </c>
    </row>
    <row r="17" spans="1:3">
      <c r="A17" s="1">
        <f t="shared" si="0"/>
        <v>12</v>
      </c>
      <c r="B17" s="1">
        <f>'FS Jimbaran May 2022'!C23</f>
        <v>20</v>
      </c>
      <c r="C17" s="177">
        <f>'FS Jimbaran May 2022'!D23</f>
        <v>204</v>
      </c>
    </row>
    <row r="18" spans="1:3">
      <c r="A18" s="1">
        <f t="shared" si="0"/>
        <v>13</v>
      </c>
      <c r="B18" s="1">
        <f>'FS Jimbaran May 2022'!C24</f>
        <v>24</v>
      </c>
      <c r="C18" s="177">
        <f>'FS Jimbaran May 2022'!D24</f>
        <v>263</v>
      </c>
    </row>
    <row r="19" spans="1:3">
      <c r="A19" s="1">
        <f t="shared" si="0"/>
        <v>14</v>
      </c>
      <c r="B19" s="1">
        <f>'FS Jimbaran May 2022'!C25</f>
        <v>25</v>
      </c>
      <c r="C19" s="177">
        <f>'FS Jimbaran May 2022'!D25</f>
        <v>274</v>
      </c>
    </row>
    <row r="20" spans="1:3">
      <c r="A20" s="1">
        <f t="shared" si="0"/>
        <v>15</v>
      </c>
      <c r="B20" s="1">
        <f>'FS Jimbaran May 2022'!C26</f>
        <v>20</v>
      </c>
      <c r="C20" s="177">
        <f>'FS Jimbaran May 2022'!D26</f>
        <v>260</v>
      </c>
    </row>
    <row r="21" spans="1:3">
      <c r="A21" s="1">
        <f t="shared" si="0"/>
        <v>16</v>
      </c>
      <c r="B21" s="1">
        <f>'FS Jimbaran May 2022'!C27</f>
        <v>21</v>
      </c>
      <c r="C21" s="177">
        <f>'FS Jimbaran May 2022'!D27</f>
        <v>232</v>
      </c>
    </row>
    <row r="22" spans="1:3">
      <c r="A22" s="1">
        <f t="shared" si="0"/>
        <v>17</v>
      </c>
      <c r="B22" s="1">
        <f>'FS Jimbaran May 2022'!C28</f>
        <v>26</v>
      </c>
      <c r="C22" s="177">
        <f>'FS Jimbaran May 2022'!D28</f>
        <v>398</v>
      </c>
    </row>
    <row r="23" spans="1:3">
      <c r="A23" s="1">
        <f t="shared" si="0"/>
        <v>18</v>
      </c>
      <c r="B23" s="1">
        <f>'FS Jimbaran May 2022'!C29</f>
        <v>20</v>
      </c>
      <c r="C23" s="177">
        <f>'FS Jimbaran May 2022'!D29</f>
        <v>310</v>
      </c>
    </row>
    <row r="24" spans="1:3">
      <c r="A24" s="1">
        <f t="shared" si="0"/>
        <v>19</v>
      </c>
      <c r="B24" s="1">
        <f>'FS Jimbaran May 2022'!C30</f>
        <v>31</v>
      </c>
      <c r="C24" s="177">
        <f>'FS Jimbaran May 2022'!D30</f>
        <v>310</v>
      </c>
    </row>
    <row r="25" spans="1:3">
      <c r="A25" s="1">
        <f t="shared" si="0"/>
        <v>20</v>
      </c>
      <c r="B25" s="1">
        <f>'FS Jimbaran May 2022'!C31</f>
        <v>33</v>
      </c>
      <c r="C25" s="177">
        <f>'FS Jimbaran May 2022'!D31</f>
        <v>247</v>
      </c>
    </row>
    <row r="26" spans="1:3">
      <c r="A26" s="1">
        <f t="shared" si="0"/>
        <v>21</v>
      </c>
      <c r="B26" s="1">
        <f>'FS Jimbaran May 2022'!C32</f>
        <v>32</v>
      </c>
      <c r="C26" s="177">
        <f>'FS Jimbaran May 2022'!D32</f>
        <v>367</v>
      </c>
    </row>
    <row r="27" spans="1:3">
      <c r="A27" s="1">
        <f t="shared" si="0"/>
        <v>22</v>
      </c>
      <c r="B27" s="1">
        <f>'FS Jimbaran May 2022'!C33</f>
        <v>21</v>
      </c>
      <c r="C27" s="177">
        <f>'FS Jimbaran May 2022'!D33</f>
        <v>244</v>
      </c>
    </row>
    <row r="28" spans="1:3">
      <c r="A28" s="1">
        <f t="shared" si="0"/>
        <v>23</v>
      </c>
      <c r="B28" s="1">
        <f>'FS Jimbaran May 2022'!C34</f>
        <v>21</v>
      </c>
      <c r="C28" s="177">
        <f>'FS Jimbaran May 2022'!D34</f>
        <v>155</v>
      </c>
    </row>
    <row r="29" spans="1:3">
      <c r="A29" s="1">
        <f t="shared" si="0"/>
        <v>24</v>
      </c>
      <c r="B29" s="1">
        <f>'FS Jimbaran May 2022'!C35</f>
        <v>85</v>
      </c>
      <c r="C29" s="177">
        <f>'FS Jimbaran May 2022'!D35</f>
        <v>267</v>
      </c>
    </row>
    <row r="30" spans="1:3">
      <c r="A30" s="1">
        <f t="shared" si="0"/>
        <v>25</v>
      </c>
      <c r="B30" s="1">
        <f>'FS Jimbaran May 2022'!C36</f>
        <v>23</v>
      </c>
      <c r="C30" s="177">
        <f>'FS Jimbaran May 2022'!D36</f>
        <v>443</v>
      </c>
    </row>
    <row r="31" spans="1:3">
      <c r="A31" s="1">
        <f t="shared" si="0"/>
        <v>26</v>
      </c>
      <c r="B31" s="1">
        <f>'FS Jimbaran May 2022'!C37</f>
        <v>24</v>
      </c>
      <c r="C31" s="177">
        <f>'FS Jimbaran May 2022'!D37</f>
        <v>183</v>
      </c>
    </row>
    <row r="32" spans="1:3">
      <c r="A32" s="1">
        <f t="shared" si="0"/>
        <v>27</v>
      </c>
      <c r="B32" s="1">
        <f>'FS Jimbaran May 2022'!C38</f>
        <v>27</v>
      </c>
      <c r="C32" s="177">
        <f>'FS Jimbaran May 2022'!D38</f>
        <v>213</v>
      </c>
    </row>
    <row r="33" spans="1:3">
      <c r="A33" s="1">
        <f t="shared" si="0"/>
        <v>28</v>
      </c>
      <c r="B33" s="1">
        <f>'FS Jimbaran May 2022'!C39</f>
        <v>29</v>
      </c>
      <c r="C33" s="177">
        <f>'FS Jimbaran May 2022'!D39</f>
        <v>226</v>
      </c>
    </row>
    <row r="34" spans="1:3">
      <c r="A34" s="1">
        <f t="shared" si="0"/>
        <v>29</v>
      </c>
      <c r="B34" s="1">
        <f>'FS Jimbaran May 2022'!C40</f>
        <v>30</v>
      </c>
      <c r="C34" s="177">
        <f>'FS Jimbaran May 2022'!D40</f>
        <v>340</v>
      </c>
    </row>
    <row r="35" spans="1:3">
      <c r="A35" s="1">
        <f t="shared" si="0"/>
        <v>30</v>
      </c>
      <c r="B35" s="1">
        <f>'FS Jimbaran May 2022'!C41</f>
        <v>29</v>
      </c>
      <c r="C35" s="177">
        <f>'FS Jimbaran May 2022'!D41</f>
        <v>209</v>
      </c>
    </row>
    <row r="36" spans="1:3">
      <c r="A36" s="1">
        <f t="shared" si="0"/>
        <v>31</v>
      </c>
      <c r="B36" s="1">
        <f>'FS Jimbaran May 2022'!C42</f>
        <v>26</v>
      </c>
      <c r="C36" s="177">
        <f>'FS Jimbaran May 2022'!D42</f>
        <v>198</v>
      </c>
    </row>
    <row r="37" spans="1:3">
      <c r="B37" s="5">
        <f>SUM(B6:B36)</f>
        <v>1150</v>
      </c>
      <c r="C37" s="5">
        <f>SUM(C6:C36)</f>
        <v>9791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0A38594D-18CE-456A-B070-8050B88B38DC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 Safitri</cp:lastModifiedBy>
  <cp:revision/>
  <dcterms:created xsi:type="dcterms:W3CDTF">2020-09-16T08:52:25Z</dcterms:created>
  <dcterms:modified xsi:type="dcterms:W3CDTF">2022-06-30T07:42:22Z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