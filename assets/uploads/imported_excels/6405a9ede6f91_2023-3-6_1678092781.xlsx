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D35" i="119"/>
  <c r="E32" i="117" s="1"/>
  <c r="F35" i="119"/>
  <c r="G32" i="117" s="1"/>
  <c r="H35" i="119"/>
  <c r="I32" i="117" s="1"/>
  <c r="M32" i="117"/>
  <c r="N32" i="117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<sst xmlns="http://schemas.openxmlformats.org/spreadsheetml/2006/main" count="61" uniqueCount="29">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</sst>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2021</v>
      </c>
      <c r="E2" s="9">
        <f>'Macao Daily'!D5</f>
        <v>29711</v>
      </c>
      <c r="F2" s="31">
        <v>1.2029000000000001</v>
      </c>
      <c r="G2" s="9">
        <f>'Macao Daily'!F5</f>
        <v>118.38709677418228</v>
      </c>
      <c r="H2" s="31">
        <v>8.73</v>
      </c>
      <c r="I2" s="9">
        <f>'Macao Daily'!H5</f>
        <v>68328</v>
      </c>
      <c r="J2" s="31">
        <v>0.25</v>
      </c>
      <c r="K2" s="9">
        <f>'Macao Daily'!J5</f>
        <v>208.80547961173579</v>
      </c>
      <c r="L2" s="31">
        <v>7.7610301457376698</v>
      </c>
      <c r="M2" s="9">
        <f>'Macao Daily'!K5</f>
        <v>125</v>
      </c>
      <c r="N2" s="9">
        <f>'Macao Daily'!L5</f>
        <v>319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2021</v>
      </c>
      <c r="E3" s="9">
        <f>'Macao Daily'!D6</f>
        <v>29845</v>
      </c>
      <c r="F3" s="31">
        <v>1.2029000000000001</v>
      </c>
      <c r="G3" s="9">
        <f>'Macao Daily'!F6</f>
        <v>107.38709677418228</v>
      </c>
      <c r="H3" s="31">
        <v>8.73</v>
      </c>
      <c r="I3" s="9">
        <f>'Macao Daily'!H6</f>
        <v>61008</v>
      </c>
      <c r="J3" s="31">
        <v>0.25</v>
      </c>
      <c r="K3" s="9">
        <f>'Macao Daily'!J6</f>
        <v>213.16424210881814</v>
      </c>
      <c r="L3" s="31">
        <v>7.7610301457376698</v>
      </c>
      <c r="M3" s="9">
        <f>'Macao Daily'!K6</f>
        <v>140</v>
      </c>
      <c r="N3" s="9">
        <f>'Macao Daily'!L6</f>
        <v>234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10</v>
      </c>
      <c r="D4" s="7">
        <v>2021</v>
      </c>
      <c r="E4" s="9">
        <f>'Macao Daily'!D7</f>
        <v>30386</v>
      </c>
      <c r="F4" s="31">
        <v>1.2029000000000001</v>
      </c>
      <c r="G4" s="9">
        <f>'Macao Daily'!F7</f>
        <v>109.38709677418228</v>
      </c>
      <c r="H4" s="31">
        <v>8.73</v>
      </c>
      <c r="I4" s="9">
        <f>'Macao Daily'!H7</f>
        <v>58747</v>
      </c>
      <c r="J4" s="31">
        <v>0.25</v>
      </c>
      <c r="K4" s="9">
        <f>'Macao Daily'!J7</f>
        <v>210.93297083047219</v>
      </c>
      <c r="L4" s="31">
        <v>7.7610301457376698</v>
      </c>
      <c r="M4" s="9">
        <f>'Macao Daily'!K7</f>
        <v>137</v>
      </c>
      <c r="N4" s="9">
        <f>'Macao Daily'!L7</f>
        <v>317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2021</v>
      </c>
      <c r="E5" s="9">
        <f>'Macao Daily'!D8</f>
        <v>30347</v>
      </c>
      <c r="F5" s="31">
        <v>1.2029000000000001</v>
      </c>
      <c r="G5" s="9">
        <f>'Macao Daily'!F8</f>
        <v>106.38709677418228</v>
      </c>
      <c r="H5" s="31">
        <v>8.73</v>
      </c>
      <c r="I5" s="9">
        <f>'Macao Daily'!H8</f>
        <v>60980</v>
      </c>
      <c r="J5" s="31">
        <v>0.25</v>
      </c>
      <c r="K5" s="9">
        <f>'Macao Daily'!J8</f>
        <v>233.03812349331565</v>
      </c>
      <c r="L5" s="31">
        <v>7.7610301457376698</v>
      </c>
      <c r="M5" s="9">
        <f>'Macao Daily'!K8</f>
        <v>140</v>
      </c>
      <c r="N5" s="9">
        <f>'Macao Daily'!L8</f>
        <v>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2021</v>
      </c>
      <c r="E6" s="9">
        <f>'Macao Daily'!D9</f>
        <v>29509</v>
      </c>
      <c r="F6" s="31">
        <v>1.2029000000000001</v>
      </c>
      <c r="G6" s="9">
        <f>'Macao Daily'!F9</f>
        <v>93.387096774182282</v>
      </c>
      <c r="H6" s="31">
        <v>8.73</v>
      </c>
      <c r="I6" s="9">
        <f>'Macao Daily'!H9</f>
        <v>60250</v>
      </c>
      <c r="J6" s="31">
        <v>0.25</v>
      </c>
      <c r="K6" s="9">
        <f>'Macao Daily'!J9</f>
        <v>220.01372603233904</v>
      </c>
      <c r="L6" s="31">
        <v>7.7610301457376698</v>
      </c>
      <c r="M6" s="9">
        <f>'Macao Daily'!K9</f>
        <v>134</v>
      </c>
      <c r="N6" s="9">
        <f>'Macao Daily'!L9</f>
        <v>114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2021</v>
      </c>
      <c r="E7" s="9">
        <f>'Macao Daily'!D10</f>
        <v>28280</v>
      </c>
      <c r="F7" s="31">
        <v>1.2029000000000001</v>
      </c>
      <c r="G7" s="9">
        <f>'Macao Daily'!F10</f>
        <v>100.38709677418228</v>
      </c>
      <c r="H7" s="31">
        <v>8.73</v>
      </c>
      <c r="I7" s="9">
        <f>'Macao Daily'!H10</f>
        <v>57023</v>
      </c>
      <c r="J7" s="31">
        <v>0.25</v>
      </c>
      <c r="K7" s="9">
        <f>'Macao Daily'!J10</f>
        <v>214.61716294102371</v>
      </c>
      <c r="L7" s="31">
        <v>7.7610301457376698</v>
      </c>
      <c r="M7" s="9">
        <f>'Macao Daily'!K10</f>
        <v>126</v>
      </c>
      <c r="N7" s="9">
        <f>'Macao Daily'!L10</f>
        <v>112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2021</v>
      </c>
      <c r="E8" s="9">
        <f>'Macao Daily'!D11</f>
        <v>28284</v>
      </c>
      <c r="F8" s="31">
        <v>1.2029000000000001</v>
      </c>
      <c r="G8" s="9">
        <f>'Macao Daily'!F11</f>
        <v>107.38709677418228</v>
      </c>
      <c r="H8" s="31">
        <v>8.73</v>
      </c>
      <c r="I8" s="9">
        <f>'Macao Daily'!H11</f>
        <v>58195</v>
      </c>
      <c r="J8" s="31">
        <v>0.25</v>
      </c>
      <c r="K8" s="9">
        <f>'Macao Daily'!J11</f>
        <v>207.66389895789325</v>
      </c>
      <c r="L8" s="31">
        <v>7.7610301457376698</v>
      </c>
      <c r="M8" s="9">
        <f>'Macao Daily'!K11</f>
        <v>121</v>
      </c>
      <c r="N8" s="9">
        <f>'Macao Daily'!L11</f>
        <v>112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2021</v>
      </c>
      <c r="E9" s="9">
        <f>'Macao Daily'!D12</f>
        <v>28880</v>
      </c>
      <c r="F9" s="31">
        <v>1.2029000000000001</v>
      </c>
      <c r="G9" s="9">
        <f>'Macao Daily'!F12</f>
        <v>107.38709677418228</v>
      </c>
      <c r="H9" s="31">
        <v>8.73</v>
      </c>
      <c r="I9" s="9">
        <f>'Macao Daily'!H12</f>
        <v>54852</v>
      </c>
      <c r="J9" s="31">
        <v>0.25</v>
      </c>
      <c r="K9" s="9">
        <f>'Macao Daily'!J12</f>
        <v>216.58898407057859</v>
      </c>
      <c r="L9" s="31">
        <v>7.7610301457376698</v>
      </c>
      <c r="M9" s="9">
        <f>'Macao Daily'!K12</f>
        <v>133</v>
      </c>
      <c r="N9" s="9">
        <f>'Macao Daily'!L12</f>
        <v>108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2021</v>
      </c>
      <c r="E10" s="9">
        <f>'Macao Daily'!D13</f>
        <v>28967</v>
      </c>
      <c r="F10" s="31">
        <v>1.2029000000000001</v>
      </c>
      <c r="G10" s="9">
        <f>'Macao Daily'!F13</f>
        <v>94.387096774182282</v>
      </c>
      <c r="H10" s="31">
        <v>8.73</v>
      </c>
      <c r="I10" s="9">
        <f>'Macao Daily'!H13</f>
        <v>65320</v>
      </c>
      <c r="J10" s="31">
        <v>0.25</v>
      </c>
      <c r="K10" s="9">
        <f>'Macao Daily'!J13</f>
        <v>214.77283303020522</v>
      </c>
      <c r="L10" s="31">
        <v>7.7610301457376698</v>
      </c>
      <c r="M10" s="9">
        <f>'Macao Daily'!K13</f>
        <v>143</v>
      </c>
      <c r="N10" s="9">
        <f>'Macao Daily'!L13</f>
        <v>75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2021</v>
      </c>
      <c r="E11" s="9">
        <f>'Macao Daily'!D14</f>
        <v>22800</v>
      </c>
      <c r="F11" s="31">
        <v>1.2029000000000001</v>
      </c>
      <c r="G11" s="9">
        <f>'Macao Daily'!F14</f>
        <v>99.387096774182282</v>
      </c>
      <c r="H11" s="31">
        <v>8.73</v>
      </c>
      <c r="I11" s="9">
        <f>'Macao Daily'!H14</f>
        <v>45296</v>
      </c>
      <c r="J11" s="31">
        <v>0.25</v>
      </c>
      <c r="K11" s="9">
        <f>'Macao Daily'!J14</f>
        <v>162.10445285961032</v>
      </c>
      <c r="L11" s="31">
        <v>7.7610301457376698</v>
      </c>
      <c r="M11" s="9">
        <f>'Macao Daily'!K14</f>
        <v>131</v>
      </c>
      <c r="N11" s="9">
        <f>'Macao Daily'!L14</f>
        <v>129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2021</v>
      </c>
      <c r="E12" s="9">
        <f>'Macao Daily'!D15</f>
        <v>27732</v>
      </c>
      <c r="F12" s="31">
        <v>1.2029000000000001</v>
      </c>
      <c r="G12" s="9">
        <f>'Macao Daily'!F15</f>
        <v>107.38709677418228</v>
      </c>
      <c r="H12" s="31">
        <v>8.73</v>
      </c>
      <c r="I12" s="9">
        <f>'Macao Daily'!H15</f>
        <v>51923</v>
      </c>
      <c r="J12" s="31">
        <v>0.25</v>
      </c>
      <c r="K12" s="9">
        <f>'Macao Daily'!J15</f>
        <v>169.26527696172707</v>
      </c>
      <c r="L12" s="31">
        <v>7.7610301457376698</v>
      </c>
      <c r="M12" s="9">
        <f>'Macao Daily'!K15</f>
        <v>147</v>
      </c>
      <c r="N12" s="9">
        <f>'Macao Daily'!L15</f>
        <v>94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2021</v>
      </c>
      <c r="E13" s="9">
        <f>'Macao Daily'!D16</f>
        <v>26968</v>
      </c>
      <c r="F13" s="31">
        <v>1.2029000000000001</v>
      </c>
      <c r="G13" s="9">
        <f>'Macao Daily'!F16</f>
        <v>111.38709677418228</v>
      </c>
      <c r="H13" s="31">
        <v>8.73</v>
      </c>
      <c r="I13" s="9">
        <f>'Macao Daily'!H16</f>
        <v>38961</v>
      </c>
      <c r="J13" s="31">
        <v>0.25</v>
      </c>
      <c r="K13" s="9">
        <f>'Macao Daily'!J16</f>
        <v>170.56252770475112</v>
      </c>
      <c r="L13" s="31">
        <v>7.7610301457376698</v>
      </c>
      <c r="M13" s="9">
        <f>'Macao Daily'!K16</f>
        <v>200</v>
      </c>
      <c r="N13" s="9">
        <f>'Macao Daily'!L16</f>
        <v>381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2021</v>
      </c>
      <c r="E14" s="9">
        <f>'Macao Daily'!D17</f>
        <v>25152</v>
      </c>
      <c r="F14" s="31">
        <v>1.2029000000000001</v>
      </c>
      <c r="G14" s="9">
        <f>'Macao Daily'!F17</f>
        <v>72.387096774182282</v>
      </c>
      <c r="H14" s="31">
        <v>8.73</v>
      </c>
      <c r="I14" s="9">
        <f>'Macao Daily'!H17</f>
        <v>43195</v>
      </c>
      <c r="J14" s="31">
        <v>0.25</v>
      </c>
      <c r="K14" s="9">
        <f>'Macao Daily'!J17</f>
        <v>161.58555256249383</v>
      </c>
      <c r="L14" s="31">
        <v>7.7610301457376698</v>
      </c>
      <c r="M14" s="9">
        <f>'Macao Daily'!K17</f>
        <v>143</v>
      </c>
      <c r="N14" s="9">
        <f>'Macao Daily'!L17</f>
        <v>71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2021</v>
      </c>
      <c r="E15" s="9">
        <f>'Macao Daily'!D18</f>
        <v>27982</v>
      </c>
      <c r="F15" s="31">
        <v>1.2029000000000001</v>
      </c>
      <c r="G15" s="9">
        <f>'Macao Daily'!F18</f>
        <v>95.387096774182282</v>
      </c>
      <c r="H15" s="31">
        <v>8.73</v>
      </c>
      <c r="I15" s="9">
        <f>'Macao Daily'!H18</f>
        <v>59563</v>
      </c>
      <c r="J15" s="31">
        <v>0.25</v>
      </c>
      <c r="K15" s="9">
        <f>'Macao Daily'!J18</f>
        <v>195.62541206181049</v>
      </c>
      <c r="L15" s="31">
        <v>7.7610301457376698</v>
      </c>
      <c r="M15" s="9">
        <f>'Macao Daily'!K18</f>
        <v>119</v>
      </c>
      <c r="N15" s="9">
        <f>'Macao Daily'!L18</f>
        <v>209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2021</v>
      </c>
      <c r="E16" s="9">
        <f>'Macao Daily'!D19</f>
        <v>27272</v>
      </c>
      <c r="F16" s="31">
        <v>1.2029000000000001</v>
      </c>
      <c r="G16" s="9">
        <f>'Macao Daily'!F19</f>
        <v>105.38709677418228</v>
      </c>
      <c r="H16" s="31">
        <v>8.73</v>
      </c>
      <c r="I16" s="9">
        <f>'Macao Daily'!H19</f>
        <v>46633</v>
      </c>
      <c r="J16" s="31">
        <v>0.25</v>
      </c>
      <c r="K16" s="9">
        <f>'Macao Daily'!J19</f>
        <v>184.157715492649</v>
      </c>
      <c r="L16" s="31">
        <v>7.7610301457376698</v>
      </c>
      <c r="M16" s="9">
        <f>'Macao Daily'!K19</f>
        <v>114</v>
      </c>
      <c r="N16" s="9">
        <f>'Macao Daily'!L19</f>
        <v>117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2021</v>
      </c>
      <c r="E17" s="9">
        <f>'Macao Daily'!D20</f>
        <v>27033</v>
      </c>
      <c r="F17" s="31">
        <v>1.2029000000000001</v>
      </c>
      <c r="G17" s="9">
        <f>'Macao Daily'!F20</f>
        <v>102.38709677418228</v>
      </c>
      <c r="H17" s="31">
        <v>8.73</v>
      </c>
      <c r="I17" s="9">
        <f>'Macao Daily'!H20</f>
        <v>43328</v>
      </c>
      <c r="J17" s="31">
        <v>0.25</v>
      </c>
      <c r="K17" s="9">
        <f>'Macao Daily'!J20</f>
        <v>193.44603081326932</v>
      </c>
      <c r="L17" s="31">
        <v>7.7610301457376698</v>
      </c>
      <c r="M17" s="9">
        <f>'Macao Daily'!K20</f>
        <v>129</v>
      </c>
      <c r="N17" s="9">
        <f>'Macao Daily'!L20</f>
        <v>186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2021</v>
      </c>
      <c r="E18" s="9">
        <f>'Macao Daily'!D21</f>
        <v>26800</v>
      </c>
      <c r="F18" s="31">
        <v>1.2029000000000001</v>
      </c>
      <c r="G18" s="9">
        <f>'Macao Daily'!F21</f>
        <v>103.38709677418228</v>
      </c>
      <c r="H18" s="31">
        <v>8.73</v>
      </c>
      <c r="I18" s="9">
        <f>'Macao Daily'!H21</f>
        <v>33086</v>
      </c>
      <c r="J18" s="31">
        <v>0.25</v>
      </c>
      <c r="K18" s="9">
        <f>'Macao Daily'!J21</f>
        <v>218.76836531888694</v>
      </c>
      <c r="L18" s="31">
        <v>7.7610301457376698</v>
      </c>
      <c r="M18" s="9">
        <f>'Macao Daily'!K21</f>
        <v>118</v>
      </c>
      <c r="N18" s="9">
        <f>'Macao Daily'!L21</f>
        <v>233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2021</v>
      </c>
      <c r="E19" s="9">
        <f>'Macao Daily'!D22</f>
        <v>27564</v>
      </c>
      <c r="F19" s="31">
        <v>1.2029000000000001</v>
      </c>
      <c r="G19" s="9">
        <f>'Macao Daily'!F22</f>
        <v>96.387096774182282</v>
      </c>
      <c r="H19" s="31">
        <v>8.73</v>
      </c>
      <c r="I19" s="9">
        <f>'Macao Daily'!H22</f>
        <v>33484</v>
      </c>
      <c r="J19" s="31">
        <v>0.25</v>
      </c>
      <c r="K19" s="9">
        <f>'Macao Daily'!J22</f>
        <v>214.04637261410244</v>
      </c>
      <c r="L19" s="31">
        <v>7.7610301457376698</v>
      </c>
      <c r="M19" s="9">
        <f>'Macao Daily'!K22</f>
        <v>121</v>
      </c>
      <c r="N19" s="9">
        <f>'Macao Daily'!L22</f>
        <v>82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2021</v>
      </c>
      <c r="E20" s="9">
        <f>'Macao Daily'!D23</f>
        <v>29590</v>
      </c>
      <c r="F20" s="31">
        <v>1.2029000000000001</v>
      </c>
      <c r="G20" s="9">
        <f>'Macao Daily'!F23</f>
        <v>90.387096774182282</v>
      </c>
      <c r="H20" s="31">
        <v>8.73</v>
      </c>
      <c r="I20" s="9">
        <f>'Macao Daily'!H23</f>
        <v>44141</v>
      </c>
      <c r="J20" s="31">
        <v>0.25</v>
      </c>
      <c r="K20" s="9">
        <f>'Macao Daily'!J23</f>
        <v>181.14809376862831</v>
      </c>
      <c r="L20" s="31">
        <v>7.7610301457376698</v>
      </c>
      <c r="M20" s="9">
        <f>'Macao Daily'!K23</f>
        <v>101</v>
      </c>
      <c r="N20" s="9">
        <f>'Macao Daily'!L23</f>
        <v>61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2021</v>
      </c>
      <c r="E21" s="9">
        <f>'Macao Daily'!D24</f>
        <v>26326</v>
      </c>
      <c r="F21" s="31">
        <v>1.2029000000000001</v>
      </c>
      <c r="G21" s="9">
        <f>'Macao Daily'!F24</f>
        <v>89.387096774182282</v>
      </c>
      <c r="H21" s="31">
        <v>8.73</v>
      </c>
      <c r="I21" s="9">
        <f>'Macao Daily'!H24</f>
        <v>45187</v>
      </c>
      <c r="J21" s="31">
        <v>0.25</v>
      </c>
      <c r="K21" s="9">
        <f>'Macao Daily'!J24</f>
        <v>164.2838341081515</v>
      </c>
      <c r="L21" s="31">
        <v>7.7610301457376698</v>
      </c>
      <c r="M21" s="9">
        <f>'Macao Daily'!K24</f>
        <v>65</v>
      </c>
      <c r="N21" s="9">
        <f>'Macao Daily'!L24</f>
        <v>87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2021</v>
      </c>
      <c r="E22" s="9">
        <f>'Macao Daily'!D25</f>
        <v>29700</v>
      </c>
      <c r="F22" s="31">
        <v>1.2029000000000001</v>
      </c>
      <c r="G22" s="9">
        <f>'Macao Daily'!F25</f>
        <v>97.387096774182282</v>
      </c>
      <c r="H22" s="31">
        <v>8.73</v>
      </c>
      <c r="I22" s="9">
        <f>'Macao Daily'!H25</f>
        <v>42570</v>
      </c>
      <c r="J22" s="31">
        <v>0.25</v>
      </c>
      <c r="K22" s="9">
        <f>'Macao Daily'!J25</f>
        <v>180.36974332272075</v>
      </c>
      <c r="L22" s="31">
        <v>7.7610301457376698</v>
      </c>
      <c r="M22" s="9">
        <f>'Macao Daily'!K25</f>
        <v>76</v>
      </c>
      <c r="N22" s="9">
        <f>'Macao Daily'!L25</f>
        <v>133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2021</v>
      </c>
      <c r="E23" s="9">
        <f>'Macao Daily'!D26</f>
        <v>29482</v>
      </c>
      <c r="F23" s="31">
        <v>1.2029000000000001</v>
      </c>
      <c r="G23" s="9">
        <f>'Macao Daily'!F26</f>
        <v>114.38709677418228</v>
      </c>
      <c r="H23" s="31">
        <v>8.73</v>
      </c>
      <c r="I23" s="9">
        <f>'Macao Daily'!H26</f>
        <v>24993</v>
      </c>
      <c r="J23" s="31">
        <v>0.25</v>
      </c>
      <c r="K23" s="9">
        <f>'Macao Daily'!J26</f>
        <v>192.51201027841307</v>
      </c>
      <c r="L23" s="31">
        <v>7.7610301457376698</v>
      </c>
      <c r="M23" s="9">
        <f>'Macao Daily'!K26</f>
        <v>116</v>
      </c>
      <c r="N23" s="9">
        <f>'Macao Daily'!L26</f>
        <v>195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2021</v>
      </c>
      <c r="E24" s="9">
        <f>'Macao Daily'!D27</f>
        <v>29385</v>
      </c>
      <c r="F24" s="31">
        <v>1.2029000000000001</v>
      </c>
      <c r="G24" s="9">
        <f>'Macao Daily'!F27</f>
        <v>105.38709677418228</v>
      </c>
      <c r="H24" s="31">
        <v>8.73</v>
      </c>
      <c r="I24" s="9">
        <f>'Macao Daily'!H27</f>
        <v>23359</v>
      </c>
      <c r="J24" s="31">
        <v>0.25</v>
      </c>
      <c r="K24" s="9">
        <f>'Macao Daily'!J27</f>
        <v>182.34156445227563</v>
      </c>
      <c r="L24" s="31">
        <v>7.7610301457376698</v>
      </c>
      <c r="M24" s="9">
        <f>'Macao Daily'!K27</f>
        <v>164</v>
      </c>
      <c r="N24" s="9">
        <f>'Macao Daily'!L27</f>
        <v>384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2021</v>
      </c>
      <c r="E25" s="9">
        <f>'Macao Daily'!D28</f>
        <v>29672</v>
      </c>
      <c r="F25" s="31">
        <v>1.2029000000000001</v>
      </c>
      <c r="G25" s="9">
        <f>'Macao Daily'!F28</f>
        <v>110.38709677418228</v>
      </c>
      <c r="H25" s="31">
        <v>8.73</v>
      </c>
      <c r="I25" s="9">
        <f>'Macao Daily'!H28</f>
        <v>24180</v>
      </c>
      <c r="J25" s="31">
        <v>0.25</v>
      </c>
      <c r="K25" s="9">
        <f>'Macao Daily'!J28</f>
        <v>210.82919077109545</v>
      </c>
      <c r="L25" s="31">
        <v>7.7610301457376698</v>
      </c>
      <c r="M25" s="9">
        <f>'Macao Daily'!K28</f>
        <v>116</v>
      </c>
      <c r="N25" s="9">
        <f>'Macao Daily'!L28</f>
        <v>372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2021</v>
      </c>
      <c r="E26" s="9">
        <f>'Macao Daily'!D29</f>
        <v>32477</v>
      </c>
      <c r="F26" s="31">
        <v>1.2029000000000001</v>
      </c>
      <c r="G26" s="9">
        <f>'Macao Daily'!F29</f>
        <v>103.38709677418228</v>
      </c>
      <c r="H26" s="31">
        <v>8.73</v>
      </c>
      <c r="I26" s="9">
        <f>'Macao Daily'!H29</f>
        <v>29101</v>
      </c>
      <c r="J26" s="31">
        <v>0.25</v>
      </c>
      <c r="K26" s="9">
        <f>'Macao Daily'!J29</f>
        <v>196.71510268608108</v>
      </c>
      <c r="L26" s="31">
        <v>7.7610301457376698</v>
      </c>
      <c r="M26" s="9">
        <f>'Macao Daily'!K29</f>
        <v>120</v>
      </c>
      <c r="N26" s="9">
        <f>'Macao Daily'!L29</f>
        <v>164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2021</v>
      </c>
      <c r="E27" s="9">
        <f>'Macao Daily'!D30</f>
        <v>27553</v>
      </c>
      <c r="F27" s="31">
        <v>1.2029000000000001</v>
      </c>
      <c r="G27" s="9">
        <f>'Macao Daily'!F30</f>
        <v>94.387096774182282</v>
      </c>
      <c r="H27" s="31">
        <v>8.73</v>
      </c>
      <c r="I27" s="9">
        <f>'Macao Daily'!H30</f>
        <v>29969</v>
      </c>
      <c r="J27" s="31">
        <v>0.25</v>
      </c>
      <c r="K27" s="9">
        <f>'Macao Daily'!J30</f>
        <v>172.32678871555254</v>
      </c>
      <c r="L27" s="31">
        <v>7.7610301457376698</v>
      </c>
      <c r="M27" s="9">
        <f>'Macao Daily'!K30</f>
        <v>146</v>
      </c>
      <c r="N27" s="9">
        <f>'Macao Daily'!L30</f>
        <v>142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2021</v>
      </c>
      <c r="E28" s="9">
        <f>'Macao Daily'!D31</f>
        <v>29022</v>
      </c>
      <c r="F28" s="31">
        <v>1.2029000000000001</v>
      </c>
      <c r="G28" s="9">
        <f>'Macao Daily'!F31</f>
        <v>90.387096774182282</v>
      </c>
      <c r="H28" s="31">
        <v>8.73</v>
      </c>
      <c r="I28" s="9">
        <f>'Macao Daily'!H31</f>
        <v>35375</v>
      </c>
      <c r="J28" s="31">
        <v>0.25</v>
      </c>
      <c r="K28" s="9">
        <f>'Macao Daily'!J31</f>
        <v>193.18658066471107</v>
      </c>
      <c r="L28" s="31">
        <v>7.7610301457376698</v>
      </c>
      <c r="M28" s="9">
        <f>'Macao Daily'!K31</f>
        <v>140</v>
      </c>
      <c r="N28" s="9">
        <f>'Macao Daily'!L31</f>
        <v>171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2021</v>
      </c>
      <c r="E29" s="9">
        <f>'Macao Daily'!D32</f>
        <v>30090</v>
      </c>
      <c r="F29" s="31">
        <v>1.2029000000000001</v>
      </c>
      <c r="G29" s="9">
        <f>'Macao Daily'!F32</f>
        <v>95.387096774182282</v>
      </c>
      <c r="H29" s="31">
        <v>8.73</v>
      </c>
      <c r="I29" s="9">
        <f>'Macao Daily'!H32</f>
        <v>35641</v>
      </c>
      <c r="J29" s="31">
        <v>0.25</v>
      </c>
      <c r="K29" s="9">
        <f>'Macao Daily'!J32</f>
        <v>182.54912457126193</v>
      </c>
      <c r="L29" s="31">
        <v>7.7610301457376698</v>
      </c>
      <c r="M29" s="9">
        <f>'Macao Daily'!K32</f>
        <v>145</v>
      </c>
      <c r="N29" s="9">
        <f>'Macao Daily'!L32</f>
        <v>188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2021</v>
      </c>
      <c r="E30" s="9">
        <f>'Macao Daily'!D33</f>
        <v>30437</v>
      </c>
      <c r="F30" s="31">
        <v>1.2029000000000001</v>
      </c>
      <c r="G30" s="9">
        <f>'Macao Daily'!F33</f>
        <v>108.38709677418228</v>
      </c>
      <c r="H30" s="31">
        <v>8.73</v>
      </c>
      <c r="I30" s="9">
        <f>'Macao Daily'!H33</f>
        <v>39820</v>
      </c>
      <c r="J30" s="31">
        <v>0.25</v>
      </c>
      <c r="K30" s="9">
        <f>'Macao Daily'!J33</f>
        <v>229.9247217096854</v>
      </c>
      <c r="L30" s="31">
        <v>7.7610301457376698</v>
      </c>
      <c r="M30" s="9">
        <f>'Macao Daily'!K33</f>
        <v>223</v>
      </c>
      <c r="N30" s="9">
        <f>'Macao Daily'!L33</f>
        <v>241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2021</v>
      </c>
      <c r="E31" s="9">
        <f>'Macao Daily'!D34</f>
        <v>32532</v>
      </c>
      <c r="F31" s="31">
        <v>1.2029000000000001</v>
      </c>
      <c r="G31" s="9">
        <f>'Macao Daily'!F34</f>
        <v>113.38709677418228</v>
      </c>
      <c r="H31" s="31">
        <v>8.73</v>
      </c>
      <c r="I31" s="9">
        <f>'Macao Daily'!H34</f>
        <v>38469</v>
      </c>
      <c r="J31" s="31">
        <v>0.25</v>
      </c>
      <c r="K31" s="9">
        <f>'Macao Daily'!J34</f>
        <v>264.89860174409114</v>
      </c>
      <c r="L31" s="31">
        <v>7.7610301457376698</v>
      </c>
      <c r="M31" s="9">
        <f>'Macao Daily'!K34</f>
        <v>220</v>
      </c>
      <c r="N31" s="9">
        <f>'Macao Daily'!L34</f>
        <v>429</v>
      </c>
    </row>
    <row r="32" spans="1:14" ht="15" x14ac:dyDescent="0.25">
      <c r="A32" s="6" t="s">
        <v>13</v>
      </c>
      <c r="B32" s="7">
        <v>31</v>
      </c>
      <c r="C32" s="8">
        <v>10</v>
      </c>
      <c r="D32" s="7">
        <v>2021</v>
      </c>
      <c r="E32" s="9">
        <f>'Macao Daily'!D35</f>
        <v>31615</v>
      </c>
      <c r="F32" s="31">
        <v>1.2029000000000001</v>
      </c>
      <c r="G32" s="9">
        <f>'Macao Daily'!F35</f>
        <v>108.38709677418228</v>
      </c>
      <c r="H32" s="31">
        <v>8.73</v>
      </c>
      <c r="I32" s="9">
        <f>'Macao Daily'!H35</f>
        <v>38523</v>
      </c>
      <c r="J32" s="31">
        <v>0.25</v>
      </c>
      <c r="K32" s="9">
        <f>'Macao Daily'!J35</f>
        <v>232.15599298803136</v>
      </c>
      <c r="L32" s="31">
        <v>7.7610301457376698</v>
      </c>
      <c r="M32" s="9">
        <f>'Macao Daily'!K35</f>
        <v>185</v>
      </c>
      <c r="N32" s="9">
        <f>'Macao Daily'!L35</f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O6" sqref="O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3" customWidth="1"/>
    <col min="6" max="8" width="14.85546875" style="26" customWidth="1"/>
    <col min="9" max="9" width="12.28515625" style="13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44469</v>
      </c>
      <c r="B4" s="37"/>
      <c r="C4" s="35">
        <v>31182872</v>
      </c>
      <c r="D4" s="25"/>
      <c r="E4" s="35">
        <v>565814.99999999569</v>
      </c>
      <c r="F4" s="25"/>
      <c r="G4" s="35">
        <v>108654065</v>
      </c>
      <c r="H4" s="25"/>
      <c r="I4" s="12">
        <v>1061845.2313155378</v>
      </c>
      <c r="J4" s="33"/>
      <c r="K4" s="34">
        <v>88</v>
      </c>
      <c r="L4" s="34">
        <v>197</v>
      </c>
    </row>
    <row r="5" spans="1:12" ht="33" customHeight="1" x14ac:dyDescent="0.25">
      <c r="A5" s="24">
        <v>44470</v>
      </c>
      <c r="B5" s="37"/>
      <c r="C5" s="35">
        <v>31212583</v>
      </c>
      <c r="D5" s="25">
        <f t="shared" ref="D5:D19" si="0">IF((C5-C4&lt;0), "0",C5-C4)</f>
        <v>29711</v>
      </c>
      <c r="E5" s="35">
        <v>565933.38709676987</v>
      </c>
      <c r="F5" s="25">
        <f>IF((E5-E4&lt;0), "0",E5-E4)</f>
        <v>118.38709677418228</v>
      </c>
      <c r="G5" s="35">
        <v>108722393</v>
      </c>
      <c r="H5" s="25">
        <f>IF((G5-G4&lt;0), "0",G5-G4)</f>
        <v>68328</v>
      </c>
      <c r="I5" s="12">
        <v>1062054.0367951496</v>
      </c>
      <c r="J5" s="33">
        <f>IF((I5-I4&lt;0), "0",I5-I4)</f>
        <v>208.80547961173579</v>
      </c>
      <c r="K5" s="34">
        <v>125</v>
      </c>
      <c r="L5" s="34">
        <v>319</v>
      </c>
    </row>
    <row r="6" spans="1:12" ht="45" customHeight="1" x14ac:dyDescent="0.25">
      <c r="A6" s="24">
        <v>44471</v>
      </c>
      <c r="B6" s="37"/>
      <c r="C6" s="35">
        <v>31242428</v>
      </c>
      <c r="D6" s="25">
        <f t="shared" si="0"/>
        <v>29845</v>
      </c>
      <c r="E6" s="35">
        <v>566040.77419354406</v>
      </c>
      <c r="F6" s="25">
        <f t="shared" ref="F6:F19" si="1">IF((E6-E5&lt;0), "0",E6-E5)</f>
        <v>107.38709677418228</v>
      </c>
      <c r="G6" s="35">
        <v>108783401</v>
      </c>
      <c r="H6" s="25">
        <f t="shared" ref="H6:H32" si="2">IF((G6-G5&lt;0), "0",G6-G5)</f>
        <v>61008</v>
      </c>
      <c r="I6" s="12">
        <v>1062267.2010372584</v>
      </c>
      <c r="J6" s="33">
        <f t="shared" ref="J6:J32" si="3">IF((I6-I5&lt;0), "0",I6-I5)</f>
        <v>213.16424210881814</v>
      </c>
      <c r="K6" s="34">
        <v>140</v>
      </c>
      <c r="L6" s="34">
        <v>234</v>
      </c>
    </row>
    <row r="7" spans="1:12" ht="45" customHeight="1" x14ac:dyDescent="0.25">
      <c r="A7" s="24">
        <v>44472</v>
      </c>
      <c r="B7" s="37"/>
      <c r="C7" s="35">
        <v>31272814</v>
      </c>
      <c r="D7" s="25">
        <f t="shared" si="0"/>
        <v>30386</v>
      </c>
      <c r="E7" s="35">
        <v>566150.16129031824</v>
      </c>
      <c r="F7" s="25">
        <f t="shared" si="1"/>
        <v>109.38709677418228</v>
      </c>
      <c r="G7" s="35">
        <v>108842148</v>
      </c>
      <c r="H7" s="25">
        <f t="shared" si="2"/>
        <v>58747</v>
      </c>
      <c r="I7" s="12">
        <v>1062478.1340080888</v>
      </c>
      <c r="J7" s="33">
        <f t="shared" si="3"/>
        <v>210.93297083047219</v>
      </c>
      <c r="K7" s="34">
        <v>137</v>
      </c>
      <c r="L7" s="34">
        <v>317</v>
      </c>
    </row>
    <row r="8" spans="1:12" ht="45" customHeight="1" x14ac:dyDescent="0.25">
      <c r="A8" s="24">
        <v>44473</v>
      </c>
      <c r="B8" s="37"/>
      <c r="C8" s="35">
        <v>31303161</v>
      </c>
      <c r="D8" s="25">
        <f t="shared" si="0"/>
        <v>30347</v>
      </c>
      <c r="E8" s="35">
        <v>566256.54838709242</v>
      </c>
      <c r="F8" s="25">
        <f t="shared" si="1"/>
        <v>106.38709677418228</v>
      </c>
      <c r="G8" s="35">
        <v>108903128</v>
      </c>
      <c r="H8" s="25">
        <f t="shared" si="2"/>
        <v>60980</v>
      </c>
      <c r="I8" s="12">
        <v>1062711.1721315822</v>
      </c>
      <c r="J8" s="33">
        <f t="shared" si="3"/>
        <v>233.03812349331565</v>
      </c>
      <c r="K8" s="34">
        <v>140</v>
      </c>
      <c r="L8" s="34">
        <v>142</v>
      </c>
    </row>
    <row r="9" spans="1:12" ht="45" customHeight="1" x14ac:dyDescent="0.25">
      <c r="A9" s="24">
        <v>44474</v>
      </c>
      <c r="B9" s="37"/>
      <c r="C9" s="35">
        <v>31332670</v>
      </c>
      <c r="D9" s="25">
        <f t="shared" si="0"/>
        <v>29509</v>
      </c>
      <c r="E9" s="35">
        <v>566349.9354838666</v>
      </c>
      <c r="F9" s="25">
        <f t="shared" si="1"/>
        <v>93.387096774182282</v>
      </c>
      <c r="G9" s="35">
        <v>108963378</v>
      </c>
      <c r="H9" s="25">
        <f t="shared" si="2"/>
        <v>60250</v>
      </c>
      <c r="I9" s="12">
        <v>1062931.1858576145</v>
      </c>
      <c r="J9" s="33">
        <f t="shared" si="3"/>
        <v>220.01372603233904</v>
      </c>
      <c r="K9" s="34">
        <v>134</v>
      </c>
      <c r="L9" s="34">
        <v>114</v>
      </c>
    </row>
    <row r="10" spans="1:12" ht="45" customHeight="1" x14ac:dyDescent="0.25">
      <c r="A10" s="24">
        <v>44475</v>
      </c>
      <c r="B10" s="37"/>
      <c r="C10" s="35">
        <v>31360950</v>
      </c>
      <c r="D10" s="25">
        <f t="shared" si="0"/>
        <v>28280</v>
      </c>
      <c r="E10" s="35">
        <v>566450.32258064079</v>
      </c>
      <c r="F10" s="25">
        <f t="shared" si="1"/>
        <v>100.38709677418228</v>
      </c>
      <c r="G10" s="35">
        <v>109020401</v>
      </c>
      <c r="H10" s="25">
        <f t="shared" si="2"/>
        <v>57023</v>
      </c>
      <c r="I10" s="12">
        <v>1063145.8030205555</v>
      </c>
      <c r="J10" s="33">
        <f t="shared" si="3"/>
        <v>214.61716294102371</v>
      </c>
      <c r="K10" s="34">
        <v>126</v>
      </c>
      <c r="L10" s="34">
        <v>112</v>
      </c>
    </row>
    <row r="11" spans="1:12" ht="45" customHeight="1" x14ac:dyDescent="0.25">
      <c r="A11" s="24">
        <v>44476</v>
      </c>
      <c r="B11" s="37"/>
      <c r="C11" s="35">
        <v>31389234</v>
      </c>
      <c r="D11" s="25">
        <f t="shared" si="0"/>
        <v>28284</v>
      </c>
      <c r="E11" s="35">
        <v>566557.70967741497</v>
      </c>
      <c r="F11" s="25">
        <f t="shared" si="1"/>
        <v>107.38709677418228</v>
      </c>
      <c r="G11" s="35">
        <v>109078596</v>
      </c>
      <c r="H11" s="25">
        <f t="shared" si="2"/>
        <v>58195</v>
      </c>
      <c r="I11" s="12">
        <v>1063353.4669195134</v>
      </c>
      <c r="J11" s="33">
        <f t="shared" si="3"/>
        <v>207.66389895789325</v>
      </c>
      <c r="K11" s="34">
        <v>121</v>
      </c>
      <c r="L11" s="34">
        <v>112</v>
      </c>
    </row>
    <row r="12" spans="1:12" ht="45" customHeight="1" x14ac:dyDescent="0.25">
      <c r="A12" s="24">
        <v>44477</v>
      </c>
      <c r="B12" s="37"/>
      <c r="C12" s="35">
        <v>31418114</v>
      </c>
      <c r="D12" s="25">
        <f t="shared" si="0"/>
        <v>28880</v>
      </c>
      <c r="E12" s="35">
        <v>566665.09677418915</v>
      </c>
      <c r="F12" s="25">
        <f t="shared" si="1"/>
        <v>107.38709677418228</v>
      </c>
      <c r="G12" s="35">
        <v>109133448</v>
      </c>
      <c r="H12" s="25">
        <f t="shared" si="2"/>
        <v>54852</v>
      </c>
      <c r="I12" s="12">
        <v>1063570.055903584</v>
      </c>
      <c r="J12" s="33">
        <f t="shared" si="3"/>
        <v>216.58898407057859</v>
      </c>
      <c r="K12" s="34">
        <v>133</v>
      </c>
      <c r="L12" s="34">
        <v>108</v>
      </c>
    </row>
    <row r="13" spans="1:12" ht="45" customHeight="1" x14ac:dyDescent="0.25">
      <c r="A13" s="24">
        <v>44478</v>
      </c>
      <c r="B13" s="37"/>
      <c r="C13" s="35">
        <v>31447081</v>
      </c>
      <c r="D13" s="25">
        <f t="shared" si="0"/>
        <v>28967</v>
      </c>
      <c r="E13" s="35">
        <v>566759.48387096333</v>
      </c>
      <c r="F13" s="25">
        <f t="shared" si="1"/>
        <v>94.387096774182282</v>
      </c>
      <c r="G13" s="35">
        <v>109198768</v>
      </c>
      <c r="H13" s="25">
        <f t="shared" si="2"/>
        <v>65320</v>
      </c>
      <c r="I13" s="12">
        <v>1063784.8287366142</v>
      </c>
      <c r="J13" s="33">
        <f t="shared" si="3"/>
        <v>214.77283303020522</v>
      </c>
      <c r="K13" s="34">
        <v>143</v>
      </c>
      <c r="L13" s="34">
        <v>75</v>
      </c>
    </row>
    <row r="14" spans="1:12" ht="45" customHeight="1" x14ac:dyDescent="0.25">
      <c r="A14" s="24">
        <v>44479</v>
      </c>
      <c r="B14" s="37"/>
      <c r="C14" s="35">
        <v>31469881</v>
      </c>
      <c r="D14" s="25">
        <f t="shared" si="0"/>
        <v>22800</v>
      </c>
      <c r="E14" s="35">
        <v>566858.87096773752</v>
      </c>
      <c r="F14" s="25">
        <f t="shared" si="1"/>
        <v>99.387096774182282</v>
      </c>
      <c r="G14" s="35">
        <v>109244064</v>
      </c>
      <c r="H14" s="25">
        <f t="shared" si="2"/>
        <v>45296</v>
      </c>
      <c r="I14" s="12">
        <v>1063946.9331894738</v>
      </c>
      <c r="J14" s="33">
        <f t="shared" si="3"/>
        <v>162.10445285961032</v>
      </c>
      <c r="K14" s="34">
        <v>131</v>
      </c>
      <c r="L14" s="34">
        <v>129</v>
      </c>
    </row>
    <row r="15" spans="1:12" ht="45" customHeight="1" x14ac:dyDescent="0.25">
      <c r="A15" s="24">
        <v>44480</v>
      </c>
      <c r="B15" s="37"/>
      <c r="C15" s="35">
        <v>31497613</v>
      </c>
      <c r="D15" s="25">
        <f t="shared" si="0"/>
        <v>27732</v>
      </c>
      <c r="E15" s="35">
        <v>566966.2580645117</v>
      </c>
      <c r="F15" s="25">
        <f t="shared" si="1"/>
        <v>107.38709677418228</v>
      </c>
      <c r="G15" s="35">
        <v>109295987</v>
      </c>
      <c r="H15" s="25">
        <f t="shared" si="2"/>
        <v>51923</v>
      </c>
      <c r="I15" s="12">
        <v>1064116.1984664355</v>
      </c>
      <c r="J15" s="33">
        <f t="shared" si="3"/>
        <v>169.26527696172707</v>
      </c>
      <c r="K15" s="34">
        <v>147</v>
      </c>
      <c r="L15" s="34">
        <v>94</v>
      </c>
    </row>
    <row r="16" spans="1:12" ht="45" customHeight="1" x14ac:dyDescent="0.25">
      <c r="A16" s="24">
        <v>44481</v>
      </c>
      <c r="B16" s="37"/>
      <c r="C16" s="35">
        <v>31524581</v>
      </c>
      <c r="D16" s="25">
        <f t="shared" si="0"/>
        <v>26968</v>
      </c>
      <c r="E16" s="35">
        <v>567077.64516128588</v>
      </c>
      <c r="F16" s="25">
        <f t="shared" si="1"/>
        <v>111.38709677418228</v>
      </c>
      <c r="G16" s="35">
        <v>109334948</v>
      </c>
      <c r="H16" s="25">
        <f t="shared" si="2"/>
        <v>38961</v>
      </c>
      <c r="I16" s="12">
        <v>1064286.7609941403</v>
      </c>
      <c r="J16" s="33">
        <f t="shared" si="3"/>
        <v>170.56252770475112</v>
      </c>
      <c r="K16" s="34">
        <v>200</v>
      </c>
      <c r="L16" s="34">
        <v>381</v>
      </c>
    </row>
    <row r="17" spans="1:12" ht="45" customHeight="1" x14ac:dyDescent="0.25">
      <c r="A17" s="24">
        <v>44482</v>
      </c>
      <c r="B17" s="37"/>
      <c r="C17" s="35">
        <v>31549733</v>
      </c>
      <c r="D17" s="25">
        <f t="shared" si="0"/>
        <v>25152</v>
      </c>
      <c r="E17" s="35">
        <v>567150.03225806006</v>
      </c>
      <c r="F17" s="25">
        <f t="shared" si="1"/>
        <v>72.387096774182282</v>
      </c>
      <c r="G17" s="35">
        <v>109378143</v>
      </c>
      <c r="H17" s="25">
        <f t="shared" si="2"/>
        <v>43195</v>
      </c>
      <c r="I17" s="12">
        <v>1064448.3465467028</v>
      </c>
      <c r="J17" s="33">
        <f t="shared" si="3"/>
        <v>161.58555256249383</v>
      </c>
      <c r="K17" s="34">
        <v>143</v>
      </c>
      <c r="L17" s="34">
        <v>71</v>
      </c>
    </row>
    <row r="18" spans="1:12" ht="45" customHeight="1" x14ac:dyDescent="0.25">
      <c r="A18" s="24">
        <v>44483</v>
      </c>
      <c r="B18" s="37"/>
      <c r="C18" s="35">
        <v>31577715</v>
      </c>
      <c r="D18" s="25">
        <f t="shared" si="0"/>
        <v>27982</v>
      </c>
      <c r="E18" s="35">
        <v>567245.41935483424</v>
      </c>
      <c r="F18" s="25">
        <f t="shared" si="1"/>
        <v>95.387096774182282</v>
      </c>
      <c r="G18" s="35">
        <v>109437706</v>
      </c>
      <c r="H18" s="25">
        <f t="shared" si="2"/>
        <v>59563</v>
      </c>
      <c r="I18" s="12">
        <v>1064643.9719587646</v>
      </c>
      <c r="J18" s="33">
        <f t="shared" si="3"/>
        <v>195.62541206181049</v>
      </c>
      <c r="K18" s="34">
        <v>119</v>
      </c>
      <c r="L18" s="34">
        <v>209</v>
      </c>
    </row>
    <row r="19" spans="1:12" ht="45" customHeight="1" x14ac:dyDescent="0.25">
      <c r="A19" s="24">
        <v>44484</v>
      </c>
      <c r="B19" s="37"/>
      <c r="C19" s="35">
        <v>31604987</v>
      </c>
      <c r="D19" s="25">
        <f t="shared" si="0"/>
        <v>27272</v>
      </c>
      <c r="E19" s="35">
        <v>567350.80645160843</v>
      </c>
      <c r="F19" s="25">
        <f t="shared" si="1"/>
        <v>105.38709677418228</v>
      </c>
      <c r="G19" s="35">
        <v>109484339</v>
      </c>
      <c r="H19" s="25">
        <f t="shared" si="2"/>
        <v>46633</v>
      </c>
      <c r="I19" s="12">
        <v>1064828.1296742572</v>
      </c>
      <c r="J19" s="33">
        <f t="shared" si="3"/>
        <v>184.157715492649</v>
      </c>
      <c r="K19" s="34">
        <v>114</v>
      </c>
      <c r="L19" s="34">
        <v>117</v>
      </c>
    </row>
    <row r="20" spans="1:12" ht="45" customHeight="1" x14ac:dyDescent="0.25">
      <c r="A20" s="24">
        <v>44485</v>
      </c>
      <c r="B20" s="37"/>
      <c r="C20" s="35">
        <v>31632020</v>
      </c>
      <c r="D20" s="25">
        <f t="shared" ref="D20:D32" si="4">IF((C20-C19&lt;0), "0",C20-C19)</f>
        <v>27033</v>
      </c>
      <c r="E20" s="35">
        <v>567453.19354838261</v>
      </c>
      <c r="F20" s="25">
        <f t="shared" ref="F20:F32" si="5">IF((E20-E19&lt;0), "0",E20-E19)</f>
        <v>102.38709677418228</v>
      </c>
      <c r="G20" s="35">
        <v>109527667</v>
      </c>
      <c r="H20" s="25">
        <f t="shared" si="2"/>
        <v>43328</v>
      </c>
      <c r="I20" s="12">
        <v>1065021.5757050705</v>
      </c>
      <c r="J20" s="33">
        <f t="shared" si="3"/>
        <v>193.44603081326932</v>
      </c>
      <c r="K20" s="34">
        <v>129</v>
      </c>
      <c r="L20" s="34">
        <v>186</v>
      </c>
    </row>
    <row r="21" spans="1:12" ht="45" customHeight="1" x14ac:dyDescent="0.25">
      <c r="A21" s="24">
        <v>44486</v>
      </c>
      <c r="B21" s="37"/>
      <c r="C21" s="35">
        <v>31658820</v>
      </c>
      <c r="D21" s="25">
        <f t="shared" si="4"/>
        <v>26800</v>
      </c>
      <c r="E21" s="35">
        <v>567556.58064515679</v>
      </c>
      <c r="F21" s="25">
        <f t="shared" si="5"/>
        <v>103.38709677418228</v>
      </c>
      <c r="G21" s="35">
        <v>109560753</v>
      </c>
      <c r="H21" s="25">
        <f t="shared" si="2"/>
        <v>33086</v>
      </c>
      <c r="I21" s="12">
        <v>1065240.3440703894</v>
      </c>
      <c r="J21" s="33">
        <f t="shared" si="3"/>
        <v>218.76836531888694</v>
      </c>
      <c r="K21" s="34">
        <v>118</v>
      </c>
      <c r="L21" s="34">
        <v>233</v>
      </c>
    </row>
    <row r="22" spans="1:12" ht="45" customHeight="1" x14ac:dyDescent="0.25">
      <c r="A22" s="24">
        <v>44487</v>
      </c>
      <c r="B22" s="37"/>
      <c r="C22" s="35">
        <v>31686384</v>
      </c>
      <c r="D22" s="25">
        <f t="shared" si="4"/>
        <v>27564</v>
      </c>
      <c r="E22" s="35">
        <v>567652.96774193097</v>
      </c>
      <c r="F22" s="25">
        <f t="shared" si="5"/>
        <v>96.387096774182282</v>
      </c>
      <c r="G22" s="35">
        <v>109594237</v>
      </c>
      <c r="H22" s="25">
        <f t="shared" si="2"/>
        <v>33484</v>
      </c>
      <c r="I22" s="12">
        <v>1065454.3904430035</v>
      </c>
      <c r="J22" s="33">
        <f t="shared" si="3"/>
        <v>214.04637261410244</v>
      </c>
      <c r="K22" s="34">
        <v>121</v>
      </c>
      <c r="L22" s="34">
        <v>82</v>
      </c>
    </row>
    <row r="23" spans="1:12" ht="45" customHeight="1" x14ac:dyDescent="0.25">
      <c r="A23" s="24">
        <v>44488</v>
      </c>
      <c r="B23" s="37"/>
      <c r="C23" s="35">
        <v>31715974</v>
      </c>
      <c r="D23" s="25">
        <f t="shared" si="4"/>
        <v>29590</v>
      </c>
      <c r="E23" s="35">
        <v>567743.35483870516</v>
      </c>
      <c r="F23" s="25">
        <f t="shared" si="5"/>
        <v>90.387096774182282</v>
      </c>
      <c r="G23" s="35">
        <v>109638378</v>
      </c>
      <c r="H23" s="25">
        <f t="shared" si="2"/>
        <v>44141</v>
      </c>
      <c r="I23" s="12">
        <v>1065635.5385367721</v>
      </c>
      <c r="J23" s="33">
        <f t="shared" si="3"/>
        <v>181.14809376862831</v>
      </c>
      <c r="K23" s="34">
        <v>101</v>
      </c>
      <c r="L23" s="34">
        <v>61</v>
      </c>
    </row>
    <row r="24" spans="1:12" ht="45" customHeight="1" x14ac:dyDescent="0.25">
      <c r="A24" s="24">
        <v>44489</v>
      </c>
      <c r="B24" s="37"/>
      <c r="C24" s="35">
        <v>31742300</v>
      </c>
      <c r="D24" s="25">
        <f t="shared" si="4"/>
        <v>26326</v>
      </c>
      <c r="E24" s="35">
        <v>567832.74193547934</v>
      </c>
      <c r="F24" s="25">
        <f t="shared" si="5"/>
        <v>89.387096774182282</v>
      </c>
      <c r="G24" s="35">
        <v>109683565</v>
      </c>
      <c r="H24" s="25">
        <f t="shared" si="2"/>
        <v>45187</v>
      </c>
      <c r="I24" s="12">
        <v>1065799.8223708803</v>
      </c>
      <c r="J24" s="33">
        <f t="shared" si="3"/>
        <v>164.2838341081515</v>
      </c>
      <c r="K24" s="34">
        <v>65</v>
      </c>
      <c r="L24" s="34">
        <v>87</v>
      </c>
    </row>
    <row r="25" spans="1:12" ht="45" customHeight="1" x14ac:dyDescent="0.25">
      <c r="A25" s="24">
        <v>44490</v>
      </c>
      <c r="B25" s="37"/>
      <c r="C25" s="35">
        <v>31772000</v>
      </c>
      <c r="D25" s="25">
        <f t="shared" si="4"/>
        <v>29700</v>
      </c>
      <c r="E25" s="35">
        <v>567930.12903225352</v>
      </c>
      <c r="F25" s="25">
        <f t="shared" si="5"/>
        <v>97.387096774182282</v>
      </c>
      <c r="G25" s="35">
        <v>109726135</v>
      </c>
      <c r="H25" s="25">
        <f t="shared" si="2"/>
        <v>42570</v>
      </c>
      <c r="I25" s="12">
        <v>1065980.192114203</v>
      </c>
      <c r="J25" s="33">
        <f t="shared" si="3"/>
        <v>180.36974332272075</v>
      </c>
      <c r="K25" s="34">
        <v>76</v>
      </c>
      <c r="L25" s="34">
        <v>133</v>
      </c>
    </row>
    <row r="26" spans="1:12" ht="45" customHeight="1" x14ac:dyDescent="0.25">
      <c r="A26" s="24">
        <v>44491</v>
      </c>
      <c r="B26" s="37"/>
      <c r="C26" s="35">
        <v>31801482</v>
      </c>
      <c r="D26" s="25">
        <f t="shared" si="4"/>
        <v>29482</v>
      </c>
      <c r="E26" s="35">
        <v>568044.5161290277</v>
      </c>
      <c r="F26" s="25">
        <f t="shared" si="5"/>
        <v>114.38709677418228</v>
      </c>
      <c r="G26" s="35">
        <v>109751128</v>
      </c>
      <c r="H26" s="25">
        <f t="shared" si="2"/>
        <v>24993</v>
      </c>
      <c r="I26" s="12">
        <v>1066172.7041244814</v>
      </c>
      <c r="J26" s="33">
        <f t="shared" si="3"/>
        <v>192.51201027841307</v>
      </c>
      <c r="K26" s="34">
        <v>116</v>
      </c>
      <c r="L26" s="34">
        <v>195</v>
      </c>
    </row>
    <row r="27" spans="1:12" ht="45" customHeight="1" x14ac:dyDescent="0.25">
      <c r="A27" s="24">
        <v>44492</v>
      </c>
      <c r="B27" s="37"/>
      <c r="C27" s="35">
        <v>31830867</v>
      </c>
      <c r="D27" s="25">
        <f t="shared" si="4"/>
        <v>29385</v>
      </c>
      <c r="E27" s="35">
        <v>568149.90322580189</v>
      </c>
      <c r="F27" s="25">
        <f t="shared" si="5"/>
        <v>105.38709677418228</v>
      </c>
      <c r="G27" s="35">
        <v>109774487</v>
      </c>
      <c r="H27" s="25">
        <f t="shared" si="2"/>
        <v>23359</v>
      </c>
      <c r="I27" s="12">
        <v>1066355.0456889337</v>
      </c>
      <c r="J27" s="33">
        <f t="shared" si="3"/>
        <v>182.34156445227563</v>
      </c>
      <c r="K27" s="34">
        <v>164</v>
      </c>
      <c r="L27" s="34">
        <v>384</v>
      </c>
    </row>
    <row r="28" spans="1:12" ht="45" customHeight="1" x14ac:dyDescent="0.25">
      <c r="A28" s="24">
        <v>44493</v>
      </c>
      <c r="B28" s="37"/>
      <c r="C28" s="35">
        <v>31860539</v>
      </c>
      <c r="D28" s="25">
        <f t="shared" si="4"/>
        <v>29672</v>
      </c>
      <c r="E28" s="35">
        <v>568260.29032257607</v>
      </c>
      <c r="F28" s="25">
        <f t="shared" si="5"/>
        <v>110.38709677418228</v>
      </c>
      <c r="G28" s="35">
        <v>109798667</v>
      </c>
      <c r="H28" s="25">
        <f t="shared" si="2"/>
        <v>24180</v>
      </c>
      <c r="I28" s="12">
        <v>1066565.8748797048</v>
      </c>
      <c r="J28" s="33">
        <f t="shared" si="3"/>
        <v>210.82919077109545</v>
      </c>
      <c r="K28" s="34">
        <v>116</v>
      </c>
      <c r="L28" s="34">
        <v>372</v>
      </c>
    </row>
    <row r="29" spans="1:12" ht="45" customHeight="1" x14ac:dyDescent="0.25">
      <c r="A29" s="24">
        <v>44494</v>
      </c>
      <c r="B29" s="37"/>
      <c r="C29" s="35">
        <v>31893016</v>
      </c>
      <c r="D29" s="25">
        <f t="shared" si="4"/>
        <v>32477</v>
      </c>
      <c r="E29" s="35">
        <v>568363.67741935025</v>
      </c>
      <c r="F29" s="25">
        <f t="shared" si="5"/>
        <v>103.38709677418228</v>
      </c>
      <c r="G29" s="35">
        <v>109827768</v>
      </c>
      <c r="H29" s="25">
        <f t="shared" si="2"/>
        <v>29101</v>
      </c>
      <c r="I29" s="12">
        <v>1066762.5899823909</v>
      </c>
      <c r="J29" s="33">
        <f t="shared" si="3"/>
        <v>196.71510268608108</v>
      </c>
      <c r="K29" s="34">
        <v>120</v>
      </c>
      <c r="L29" s="34">
        <v>164</v>
      </c>
    </row>
    <row r="30" spans="1:12" ht="45" customHeight="1" x14ac:dyDescent="0.25">
      <c r="A30" s="24">
        <v>44495</v>
      </c>
      <c r="B30" s="37"/>
      <c r="C30" s="35">
        <v>31920569</v>
      </c>
      <c r="D30" s="25">
        <f t="shared" si="4"/>
        <v>27553</v>
      </c>
      <c r="E30" s="35">
        <v>568458.06451612443</v>
      </c>
      <c r="F30" s="25">
        <f t="shared" si="5"/>
        <v>94.387096774182282</v>
      </c>
      <c r="G30" s="35">
        <v>109857737</v>
      </c>
      <c r="H30" s="25">
        <f t="shared" si="2"/>
        <v>29969</v>
      </c>
      <c r="I30" s="12">
        <v>1066934.9167711064</v>
      </c>
      <c r="J30" s="33">
        <f t="shared" si="3"/>
        <v>172.32678871555254</v>
      </c>
      <c r="K30" s="34">
        <v>146</v>
      </c>
      <c r="L30" s="34">
        <v>142</v>
      </c>
    </row>
    <row r="31" spans="1:12" ht="45" customHeight="1" x14ac:dyDescent="0.25">
      <c r="A31" s="24">
        <v>44496</v>
      </c>
      <c r="B31" s="37"/>
      <c r="C31" s="35">
        <v>31949591</v>
      </c>
      <c r="D31" s="25">
        <f t="shared" si="4"/>
        <v>29022</v>
      </c>
      <c r="E31" s="35">
        <v>568548.45161289861</v>
      </c>
      <c r="F31" s="25">
        <f t="shared" si="5"/>
        <v>90.387096774182282</v>
      </c>
      <c r="G31" s="35">
        <v>109893112</v>
      </c>
      <c r="H31" s="25">
        <f t="shared" si="2"/>
        <v>35375</v>
      </c>
      <c r="I31" s="12">
        <v>1067128.1033517711</v>
      </c>
      <c r="J31" s="33">
        <f t="shared" si="3"/>
        <v>193.18658066471107</v>
      </c>
      <c r="K31" s="34">
        <v>140</v>
      </c>
      <c r="L31" s="34">
        <v>171</v>
      </c>
    </row>
    <row r="32" spans="1:12" ht="45" customHeight="1" x14ac:dyDescent="0.25">
      <c r="A32" s="24">
        <v>44497</v>
      </c>
      <c r="B32" s="37"/>
      <c r="C32" s="35">
        <v>31979681</v>
      </c>
      <c r="D32" s="25">
        <f t="shared" si="4"/>
        <v>30090</v>
      </c>
      <c r="E32" s="35">
        <v>568643.8387096728</v>
      </c>
      <c r="F32" s="25">
        <f t="shared" si="5"/>
        <v>95.387096774182282</v>
      </c>
      <c r="G32" s="35">
        <v>109928753</v>
      </c>
      <c r="H32" s="25">
        <f t="shared" si="2"/>
        <v>35641</v>
      </c>
      <c r="I32" s="12">
        <v>1067310.6524763424</v>
      </c>
      <c r="J32" s="33">
        <f t="shared" si="3"/>
        <v>182.54912457126193</v>
      </c>
      <c r="K32" s="34">
        <v>145</v>
      </c>
      <c r="L32" s="34">
        <v>188</v>
      </c>
    </row>
    <row r="33" spans="1:12" ht="45" customHeight="1" x14ac:dyDescent="0.25">
      <c r="A33" s="24">
        <v>44498</v>
      </c>
      <c r="B33" s="37"/>
      <c r="C33" s="35">
        <v>32010118</v>
      </c>
      <c r="D33" s="25">
        <f t="shared" ref="D33:D34" si="6">IF((C33-C32&lt;0), "0",C33-C32)</f>
        <v>30437</v>
      </c>
      <c r="E33" s="35">
        <v>568752.22580644698</v>
      </c>
      <c r="F33" s="25">
        <f t="shared" ref="F33:F34" si="7">IF((E33-E32&lt;0), "0",E33-E32)</f>
        <v>108.38709677418228</v>
      </c>
      <c r="G33" s="35">
        <v>109968573</v>
      </c>
      <c r="H33" s="25">
        <f t="shared" ref="H33:H34" si="8">IF((G33-G32&lt;0), "0",G33-G32)</f>
        <v>39820</v>
      </c>
      <c r="I33" s="12">
        <v>1067540.5771980521</v>
      </c>
      <c r="J33" s="33">
        <f t="shared" ref="J33:J34" si="9">IF((I33-I32&lt;0), "0",I33-I32)</f>
        <v>229.9247217096854</v>
      </c>
      <c r="K33" s="34">
        <v>223</v>
      </c>
      <c r="L33" s="34">
        <v>241</v>
      </c>
    </row>
    <row r="34" spans="1:12" ht="45" customHeight="1" x14ac:dyDescent="0.25">
      <c r="A34" s="24">
        <v>44499</v>
      </c>
      <c r="B34" s="37"/>
      <c r="C34" s="35">
        <v>32042650</v>
      </c>
      <c r="D34" s="25">
        <f t="shared" si="6"/>
        <v>32532</v>
      </c>
      <c r="E34" s="35">
        <v>568865.61290322116</v>
      </c>
      <c r="F34" s="25">
        <f t="shared" si="7"/>
        <v>113.38709677418228</v>
      </c>
      <c r="G34" s="35">
        <v>110007042</v>
      </c>
      <c r="H34" s="25">
        <f t="shared" si="8"/>
        <v>38469</v>
      </c>
      <c r="I34" s="12">
        <v>1067805.4757997962</v>
      </c>
      <c r="J34" s="33">
        <f t="shared" si="9"/>
        <v>264.89860174409114</v>
      </c>
      <c r="K34" s="34">
        <v>220</v>
      </c>
      <c r="L34" s="34">
        <v>429</v>
      </c>
    </row>
    <row r="35" spans="1:12" ht="45" customHeight="1" x14ac:dyDescent="0.25">
      <c r="A35" s="24">
        <v>44500</v>
      </c>
      <c r="B35" s="37"/>
      <c r="C35" s="35">
        <v>32074265</v>
      </c>
      <c r="D35" s="25">
        <f t="shared" ref="D35" si="10">IF((C35-C34&lt;0), "0",C35-C34)</f>
        <v>31615</v>
      </c>
      <c r="E35" s="35">
        <v>568973.99999999534</v>
      </c>
      <c r="F35" s="25">
        <f t="shared" ref="F35" si="11">IF((E35-E34&lt;0), "0",E35-E34)</f>
        <v>108.38709677418228</v>
      </c>
      <c r="G35" s="35">
        <v>110045565</v>
      </c>
      <c r="H35" s="25">
        <f t="shared" ref="H35" si="12">IF((G35-G34&lt;0), "0",G35-G34)</f>
        <v>38523</v>
      </c>
      <c r="I35" s="12">
        <v>1068037.6317927842</v>
      </c>
      <c r="J35" s="33">
        <f t="shared" ref="J35" si="13">IF((I35-I34&lt;0), "0",I35-I34)</f>
        <v>232.15599298803136</v>
      </c>
      <c r="K35" s="34">
        <v>185</v>
      </c>
      <c r="L35" s="34">
        <v>477</v>
      </c>
    </row>
    <row r="44" spans="1:12" ht="15.75" customHeight="1" x14ac:dyDescent="0.25">
      <c r="C44" s="32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2023-02-27T03:41:43Z</dcterms:modified>
  <cp:category/>
  <cp:contentStatus/>
</cp:coreProperties>
</file>