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<sst xmlns="http://schemas.openxmlformats.org/spreadsheetml/2006/main" count="315" uniqueCount="148">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</sst>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 t="e">
        <f>Submetering!E4+Submetering!F4+Submetering!G4+Submetering!H4+Submetering!J4-Submetering!AV4</f>
        <v>#VALUE!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 t="e">
        <f>'FS Desroches Daily'!CM6</f>
        <v>#VALUE!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0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0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 t="str">
        <f>'FS Desroches Daily'!X6</f>
        <v/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1370.0000000000045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7299.9999999998618</v>
      </c>
      <c r="F33" s="17">
        <f t="shared" ref="F33:BC33" si="0">SUM(F2:F32)</f>
        <v>7700.0000000007058</v>
      </c>
      <c r="G33" s="17">
        <f t="shared" si="0"/>
        <v>6499.9999999999509</v>
      </c>
      <c r="H33" s="17">
        <f t="shared" si="0"/>
        <v>3900.0000000002365</v>
      </c>
      <c r="I33" s="17">
        <f t="shared" si="0"/>
        <v>5199.9999999998709</v>
      </c>
      <c r="J33" s="17">
        <f t="shared" si="0"/>
        <v>4000.0000000000036</v>
      </c>
      <c r="K33" s="17">
        <f t="shared" si="0"/>
        <v>46</v>
      </c>
      <c r="L33" s="17">
        <f t="shared" si="0"/>
        <v>16</v>
      </c>
      <c r="M33" s="17">
        <f t="shared" si="0"/>
        <v>2.6000000000001364</v>
      </c>
      <c r="N33" s="17">
        <f t="shared" si="0"/>
        <v>1150.1999999999534</v>
      </c>
      <c r="O33" s="17">
        <f t="shared" si="0"/>
        <v>480.00000000001819</v>
      </c>
      <c r="P33" s="17">
        <f t="shared" si="0"/>
        <v>7200.0000000000946</v>
      </c>
      <c r="Q33" s="17">
        <f t="shared" si="0"/>
        <v>680.00000000000682</v>
      </c>
      <c r="R33" s="17">
        <f t="shared" si="0"/>
        <v>1219.9999999999704</v>
      </c>
      <c r="S33" s="17">
        <f t="shared" si="0"/>
        <v>2279.9999999999727</v>
      </c>
      <c r="T33" s="17">
        <f t="shared" si="0"/>
        <v>96</v>
      </c>
      <c r="U33" s="35">
        <f t="shared" si="0"/>
        <v>1659.9999999999682</v>
      </c>
      <c r="V33" s="35">
        <f t="shared" si="0"/>
        <v>1740.0000000000091</v>
      </c>
      <c r="W33" s="35">
        <f t="shared" si="0"/>
        <v>469.99999999999886</v>
      </c>
      <c r="X33" s="35">
        <f t="shared" si="0"/>
        <v>551.98</v>
      </c>
      <c r="Y33" s="35">
        <f t="shared" si="0"/>
        <v>439.99999999999773</v>
      </c>
      <c r="Z33" s="35">
        <f t="shared" si="0"/>
        <v>439.99999999999773</v>
      </c>
      <c r="AA33" s="35">
        <f t="shared" si="0"/>
        <v>439.99999999999773</v>
      </c>
      <c r="AB33" s="35">
        <f t="shared" si="0"/>
        <v>589.99999999997499</v>
      </c>
      <c r="AC33" s="35">
        <f t="shared" si="0"/>
        <v>610.00000000001364</v>
      </c>
      <c r="AD33" s="35">
        <f t="shared" si="0"/>
        <v>649.99999999997726</v>
      </c>
      <c r="AE33" s="35">
        <f t="shared" si="0"/>
        <v>290.00000000002046</v>
      </c>
      <c r="AF33" s="17">
        <f t="shared" si="0"/>
        <v>92</v>
      </c>
      <c r="AG33" s="32">
        <f t="shared" si="0"/>
        <v>109.99999999998522</v>
      </c>
      <c r="AH33" s="32">
        <f t="shared" si="0"/>
        <v>69.999999999993179</v>
      </c>
      <c r="AI33" s="32">
        <f t="shared" si="0"/>
        <v>120.00000000000455</v>
      </c>
      <c r="AJ33" s="32">
        <f t="shared" si="0"/>
        <v>99.999999999994316</v>
      </c>
      <c r="AK33" s="32">
        <f t="shared" si="0"/>
        <v>149.99999999997726</v>
      </c>
      <c r="AL33" s="32">
        <f t="shared" si="0"/>
        <v>110</v>
      </c>
      <c r="AM33" s="32">
        <f t="shared" si="0"/>
        <v>110.00000000001364</v>
      </c>
      <c r="AN33" s="32">
        <f t="shared" si="0"/>
        <v>111</v>
      </c>
      <c r="AO33" s="32">
        <f t="shared" si="0"/>
        <v>150.00000000000568</v>
      </c>
      <c r="AP33" s="32">
        <f t="shared" si="0"/>
        <v>115</v>
      </c>
      <c r="AQ33" s="17">
        <f t="shared" si="0"/>
        <v>51.69999999999709</v>
      </c>
      <c r="AR33" s="17">
        <f t="shared" si="0"/>
        <v>40.799999999999272</v>
      </c>
      <c r="AS33" s="17">
        <f t="shared" si="0"/>
        <v>2.1999999999998181</v>
      </c>
      <c r="AT33" s="17">
        <f t="shared" si="0"/>
        <v>119.09999999999127</v>
      </c>
      <c r="AU33" s="17">
        <f t="shared" si="0"/>
        <v>796</v>
      </c>
      <c r="AV33" s="17">
        <f t="shared" si="0"/>
        <v>1660.0000000000819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9.1574999999999989</v>
      </c>
      <c r="BC33" s="17">
        <f t="shared" si="0"/>
        <v>61</v>
      </c>
    </row>
    <row r="35" spans="5:55" x14ac:dyDescent="0.25">
      <c r="E35" s="38">
        <f>E33/E37</f>
        <v>0.3554386989969614</v>
      </c>
      <c r="G35" s="29">
        <f>G33-M36</f>
        <v>5347.1999999999971</v>
      </c>
      <c r="AE35" s="35">
        <f>SUM(U33:AE33)</f>
        <v>7881.9799999999559</v>
      </c>
      <c r="AG35" s="32">
        <f>SUM(AG33:AP33)</f>
        <v>1145.9999999999739</v>
      </c>
    </row>
    <row r="36" spans="5:55" x14ac:dyDescent="0.25">
      <c r="G36" s="29">
        <f>G35-633*14</f>
        <v>-3514.8000000000029</v>
      </c>
      <c r="M36" s="29">
        <f>M33+N33</f>
        <v>1152.7999999999536</v>
      </c>
    </row>
    <row r="37" spans="5:55" x14ac:dyDescent="0.25">
      <c r="E37" s="17">
        <f>E33+F33+G33+H33+J33-633*14</f>
        <v>20538.000000000757</v>
      </c>
      <c r="G37" s="37">
        <f>M36/E37</f>
        <v>5.6130100301875117E-2</v>
      </c>
      <c r="M37" s="35">
        <f>AE35</f>
        <v>7881.9799999999559</v>
      </c>
    </row>
    <row r="38" spans="5:55" x14ac:dyDescent="0.25">
      <c r="L38" s="27">
        <f>M38/E37</f>
        <v>5.5799006719248791E-2</v>
      </c>
      <c r="M38" s="29">
        <f>AG35</f>
        <v>1145.9999999999739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zoomScale="85" zoomScaleNormal="85" workbookViewId="0">
      <pane ySplit="1" topLeftCell="A2" activePane="bottomLeft" state="frozen"/>
      <selection pane="bottomLeft" activeCell="P5" sqref="P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272.69</v>
      </c>
      <c r="AL5" s="65">
        <f t="shared" si="67"/>
        <v>1370.0000000000045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/>
      <c r="D6" s="64" t="str">
        <f t="shared" si="50"/>
        <v>0</v>
      </c>
      <c r="E6" s="58"/>
      <c r="F6" s="64" t="str">
        <f t="shared" si="51"/>
        <v>0</v>
      </c>
      <c r="G6" s="58"/>
      <c r="H6" s="64" t="str">
        <f t="shared" si="52"/>
        <v>0</v>
      </c>
      <c r="I6" s="58"/>
      <c r="J6" s="64" t="str">
        <f t="shared" si="53"/>
        <v>0</v>
      </c>
      <c r="K6" s="58"/>
      <c r="L6" s="64" t="str">
        <f t="shared" si="54"/>
        <v>0</v>
      </c>
      <c r="M6" s="58"/>
      <c r="N6" s="64" t="str">
        <f t="shared" si="55"/>
        <v/>
      </c>
      <c r="O6" s="58"/>
      <c r="P6" s="67" t="str">
        <f t="shared" si="56"/>
        <v/>
      </c>
      <c r="Q6" s="58"/>
      <c r="R6" s="67" t="str">
        <f t="shared" si="57"/>
        <v/>
      </c>
      <c r="S6" s="58"/>
      <c r="T6" s="67" t="str">
        <f t="shared" si="58"/>
        <v/>
      </c>
      <c r="U6" s="58"/>
      <c r="V6" s="67" t="str">
        <f t="shared" si="59"/>
        <v/>
      </c>
      <c r="W6" s="58"/>
      <c r="X6" s="65" t="str">
        <f t="shared" si="60"/>
        <v/>
      </c>
      <c r="Y6" s="58"/>
      <c r="Z6" s="65" t="str">
        <f t="shared" si="61"/>
        <v/>
      </c>
      <c r="AA6" s="58"/>
      <c r="AB6" s="65" t="str">
        <f t="shared" si="62"/>
        <v/>
      </c>
      <c r="AC6" s="58"/>
      <c r="AD6" s="65" t="str">
        <f t="shared" si="63"/>
        <v/>
      </c>
      <c r="AE6" s="58"/>
      <c r="AF6" s="65" t="str">
        <f t="shared" si="64"/>
        <v/>
      </c>
      <c r="AG6" s="58"/>
      <c r="AH6" s="67" t="str">
        <f t="shared" si="65"/>
        <v/>
      </c>
      <c r="AI6" s="58"/>
      <c r="AJ6" s="65" t="str">
        <f t="shared" si="66"/>
        <v/>
      </c>
      <c r="AK6" s="58"/>
      <c r="AL6" s="65" t="str">
        <f t="shared" si="67"/>
        <v/>
      </c>
      <c r="AM6" s="58"/>
      <c r="AN6" s="65" t="str">
        <f t="shared" si="68"/>
        <v/>
      </c>
      <c r="AO6" s="58"/>
      <c r="AP6" s="65" t="str">
        <f t="shared" si="69"/>
        <v/>
      </c>
      <c r="AQ6" s="58"/>
      <c r="AR6" s="65" t="str">
        <f t="shared" si="70"/>
        <v/>
      </c>
      <c r="AS6" s="58"/>
      <c r="AT6" s="65" t="str">
        <f t="shared" si="71"/>
        <v/>
      </c>
      <c r="AU6" s="58"/>
      <c r="AV6" s="65" t="str">
        <f t="shared" si="72"/>
        <v/>
      </c>
      <c r="AW6" s="58"/>
      <c r="AX6" s="65" t="str">
        <f t="shared" si="73"/>
        <v/>
      </c>
      <c r="AY6" s="58"/>
      <c r="AZ6" s="65" t="str">
        <f t="shared" si="74"/>
        <v/>
      </c>
      <c r="BA6" s="58"/>
      <c r="BB6" s="65" t="str">
        <f t="shared" si="75"/>
        <v/>
      </c>
      <c r="BC6" s="58"/>
      <c r="BD6" s="65" t="str">
        <f t="shared" si="76"/>
        <v/>
      </c>
      <c r="BE6" s="59"/>
      <c r="BF6" s="67" t="str">
        <f t="shared" si="77"/>
        <v/>
      </c>
      <c r="BG6" s="60"/>
      <c r="BH6" s="65" t="str">
        <f t="shared" si="78"/>
        <v/>
      </c>
      <c r="BI6" s="60"/>
      <c r="BJ6" s="65" t="str">
        <f t="shared" si="79"/>
        <v/>
      </c>
      <c r="BK6" s="60"/>
      <c r="BL6" s="65" t="str">
        <f t="shared" si="80"/>
        <v/>
      </c>
      <c r="BM6" s="60"/>
      <c r="BN6" s="65" t="str">
        <f t="shared" si="81"/>
        <v/>
      </c>
      <c r="BO6" s="60"/>
      <c r="BP6" s="65" t="str">
        <f t="shared" si="82"/>
        <v/>
      </c>
      <c r="BQ6" s="60"/>
      <c r="BR6" s="65" t="str">
        <f t="shared" si="83"/>
        <v/>
      </c>
      <c r="BS6" s="60"/>
      <c r="BT6" s="65" t="str">
        <f t="shared" si="84"/>
        <v/>
      </c>
      <c r="BU6" s="60"/>
      <c r="BV6" s="65" t="str">
        <f t="shared" si="85"/>
        <v/>
      </c>
      <c r="BW6" s="60"/>
      <c r="BX6" s="65" t="str">
        <f t="shared" si="86"/>
        <v/>
      </c>
      <c r="BY6" s="60"/>
      <c r="BZ6" s="67" t="str">
        <f t="shared" si="87"/>
        <v/>
      </c>
      <c r="CA6" s="60"/>
      <c r="CB6" s="67" t="str">
        <f t="shared" si="88"/>
        <v/>
      </c>
      <c r="CC6" s="60"/>
      <c r="CD6" s="67" t="str">
        <f t="shared" si="89"/>
        <v/>
      </c>
      <c r="CE6" s="60"/>
      <c r="CF6" s="67" t="str">
        <f t="shared" si="90"/>
        <v/>
      </c>
      <c r="CG6" s="60"/>
      <c r="CH6" s="67" t="str">
        <f t="shared" si="91"/>
        <v/>
      </c>
      <c r="CI6" s="60"/>
      <c r="CJ6" s="67" t="str">
        <f t="shared" si="92"/>
        <v/>
      </c>
      <c r="CK6" s="60"/>
      <c r="CL6" s="64" t="str">
        <f t="shared" si="93"/>
        <v/>
      </c>
      <c r="CM6" s="65" t="e">
        <f t="shared" si="94"/>
        <v>#VALUE!</v>
      </c>
      <c r="CN6" s="62"/>
      <c r="CO6" s="62"/>
      <c r="CP6" s="68"/>
      <c r="CQ6" s="67" t="str">
        <f t="shared" si="95"/>
        <v/>
      </c>
      <c r="CR6" s="68"/>
      <c r="CS6" s="67" t="str">
        <f t="shared" si="96"/>
        <v/>
      </c>
      <c r="CT6" s="75"/>
      <c r="CU6" s="67" t="str">
        <f t="shared" si="97"/>
        <v/>
      </c>
      <c r="CV6" s="68"/>
      <c r="CW6" s="67" t="str">
        <f t="shared" si="98"/>
        <v/>
      </c>
      <c r="CX6" s="58"/>
      <c r="CY6" s="67" t="str">
        <f t="shared" si="99"/>
        <v/>
      </c>
    </row>
    <row r="7" spans="1:103" ht="25.5" customHeight="1" thickBot="1" x14ac:dyDescent="0.45">
      <c r="A7" s="63">
        <v>44655</v>
      </c>
      <c r="B7" s="44"/>
      <c r="C7" s="58"/>
      <c r="D7" s="64">
        <f t="shared" si="50"/>
        <v>0</v>
      </c>
      <c r="E7" s="58"/>
      <c r="F7" s="64">
        <f t="shared" si="51"/>
        <v>0</v>
      </c>
      <c r="G7" s="58"/>
      <c r="H7" s="64">
        <f t="shared" si="52"/>
        <v>0</v>
      </c>
      <c r="I7" s="58"/>
      <c r="J7" s="64">
        <f t="shared" si="53"/>
        <v>0</v>
      </c>
      <c r="K7" s="58"/>
      <c r="L7" s="64">
        <f t="shared" si="54"/>
        <v>0</v>
      </c>
      <c r="M7" s="58"/>
      <c r="N7" s="64">
        <f t="shared" si="55"/>
        <v>0</v>
      </c>
      <c r="O7" s="58"/>
      <c r="P7" s="67">
        <f t="shared" si="56"/>
        <v>0</v>
      </c>
      <c r="Q7" s="58"/>
      <c r="R7" s="67">
        <f t="shared" si="57"/>
        <v>0</v>
      </c>
      <c r="S7" s="58"/>
      <c r="T7" s="67">
        <f t="shared" si="58"/>
        <v>0</v>
      </c>
      <c r="U7" s="58"/>
      <c r="V7" s="67">
        <f t="shared" si="59"/>
        <v>0</v>
      </c>
      <c r="W7" s="58"/>
      <c r="X7" s="65">
        <f t="shared" si="60"/>
        <v>0</v>
      </c>
      <c r="Y7" s="58"/>
      <c r="Z7" s="65">
        <f t="shared" si="61"/>
        <v>0</v>
      </c>
      <c r="AA7" s="58"/>
      <c r="AB7" s="65">
        <f t="shared" si="62"/>
        <v>0</v>
      </c>
      <c r="AC7" s="58"/>
      <c r="AD7" s="65">
        <f t="shared" si="63"/>
        <v>0</v>
      </c>
      <c r="AE7" s="58"/>
      <c r="AF7" s="65">
        <f t="shared" si="64"/>
        <v>0</v>
      </c>
      <c r="AG7" s="58"/>
      <c r="AH7" s="67">
        <f t="shared" si="65"/>
        <v>0</v>
      </c>
      <c r="AI7" s="58"/>
      <c r="AJ7" s="65">
        <f t="shared" si="66"/>
        <v>0</v>
      </c>
      <c r="AK7" s="58"/>
      <c r="AL7" s="65">
        <f t="shared" si="67"/>
        <v>0</v>
      </c>
      <c r="AM7" s="58"/>
      <c r="AN7" s="65">
        <f t="shared" si="68"/>
        <v>0</v>
      </c>
      <c r="AO7" s="58"/>
      <c r="AP7" s="65">
        <f t="shared" si="69"/>
        <v>0</v>
      </c>
      <c r="AQ7" s="58"/>
      <c r="AR7" s="65">
        <f t="shared" si="70"/>
        <v>0</v>
      </c>
      <c r="AS7" s="58"/>
      <c r="AT7" s="65">
        <f t="shared" si="71"/>
        <v>0</v>
      </c>
      <c r="AU7" s="58"/>
      <c r="AV7" s="65">
        <f t="shared" si="72"/>
        <v>0</v>
      </c>
      <c r="AW7" s="58"/>
      <c r="AX7" s="65">
        <f t="shared" si="73"/>
        <v>0</v>
      </c>
      <c r="AY7" s="58"/>
      <c r="AZ7" s="65">
        <f t="shared" si="74"/>
        <v>0</v>
      </c>
      <c r="BA7" s="58"/>
      <c r="BB7" s="65">
        <f t="shared" si="75"/>
        <v>0</v>
      </c>
      <c r="BC7" s="58"/>
      <c r="BD7" s="65">
        <f t="shared" si="76"/>
        <v>0</v>
      </c>
      <c r="BE7" s="59"/>
      <c r="BF7" s="67">
        <f t="shared" si="77"/>
        <v>0</v>
      </c>
      <c r="BG7" s="60"/>
      <c r="BH7" s="65">
        <f t="shared" si="78"/>
        <v>0</v>
      </c>
      <c r="BI7" s="60"/>
      <c r="BJ7" s="65">
        <f t="shared" si="79"/>
        <v>0</v>
      </c>
      <c r="BK7" s="60"/>
      <c r="BL7" s="65">
        <f t="shared" si="80"/>
        <v>0</v>
      </c>
      <c r="BM7" s="60"/>
      <c r="BN7" s="65">
        <f t="shared" si="81"/>
        <v>0</v>
      </c>
      <c r="BO7" s="60"/>
      <c r="BP7" s="65">
        <f t="shared" si="82"/>
        <v>0</v>
      </c>
      <c r="BQ7" s="60"/>
      <c r="BR7" s="65">
        <f t="shared" si="83"/>
        <v>0</v>
      </c>
      <c r="BS7" s="60"/>
      <c r="BT7" s="65">
        <f t="shared" si="84"/>
        <v>0</v>
      </c>
      <c r="BU7" s="60"/>
      <c r="BV7" s="65">
        <f t="shared" si="85"/>
        <v>0</v>
      </c>
      <c r="BW7" s="60"/>
      <c r="BX7" s="65">
        <f t="shared" si="86"/>
        <v>0</v>
      </c>
      <c r="BY7" s="60"/>
      <c r="BZ7" s="67">
        <f t="shared" si="87"/>
        <v>0</v>
      </c>
      <c r="CA7" s="60"/>
      <c r="CB7" s="67">
        <f t="shared" si="88"/>
        <v>0</v>
      </c>
      <c r="CC7" s="60"/>
      <c r="CD7" s="67">
        <f t="shared" si="89"/>
        <v>0</v>
      </c>
      <c r="CE7" s="60"/>
      <c r="CF7" s="67">
        <f t="shared" si="90"/>
        <v>0</v>
      </c>
      <c r="CG7" s="60"/>
      <c r="CH7" s="67">
        <f t="shared" si="91"/>
        <v>0</v>
      </c>
      <c r="CI7" s="60"/>
      <c r="CJ7" s="67">
        <f t="shared" si="92"/>
        <v>0</v>
      </c>
      <c r="CK7" s="60"/>
      <c r="CL7" s="64">
        <f t="shared" si="93"/>
        <v>0</v>
      </c>
      <c r="CM7" s="65">
        <f t="shared" si="94"/>
        <v>0</v>
      </c>
      <c r="CN7" s="62"/>
      <c r="CO7" s="62"/>
      <c r="CP7" s="68"/>
      <c r="CQ7" s="67">
        <f t="shared" si="95"/>
        <v>0</v>
      </c>
      <c r="CR7" s="68"/>
      <c r="CS7" s="67">
        <f t="shared" si="96"/>
        <v>0</v>
      </c>
      <c r="CT7" s="75"/>
      <c r="CU7" s="67">
        <f t="shared" si="97"/>
        <v>0</v>
      </c>
      <c r="CV7" s="68"/>
      <c r="CW7" s="67">
        <f t="shared" si="98"/>
        <v>0</v>
      </c>
      <c r="CX7" s="58"/>
      <c r="CY7" s="67">
        <f t="shared" si="99"/>
        <v>0</v>
      </c>
    </row>
    <row r="8" spans="1:103" ht="25.5" customHeight="1" thickBot="1" x14ac:dyDescent="0.45">
      <c r="A8" s="63">
        <v>44656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74"/>
        <v>0</v>
      </c>
      <c r="BA8" s="58"/>
      <c r="BB8" s="65">
        <f t="shared" si="75"/>
        <v>0</v>
      </c>
      <c r="BC8" s="58"/>
      <c r="BD8" s="65">
        <f t="shared" si="76"/>
        <v>0</v>
      </c>
      <c r="BE8" s="59"/>
      <c r="BF8" s="67">
        <f t="shared" si="77"/>
        <v>0</v>
      </c>
      <c r="BG8" s="60"/>
      <c r="BH8" s="65">
        <f t="shared" si="78"/>
        <v>0</v>
      </c>
      <c r="BI8" s="60"/>
      <c r="BJ8" s="65">
        <f t="shared" si="79"/>
        <v>0</v>
      </c>
      <c r="BK8" s="60"/>
      <c r="BL8" s="65">
        <f t="shared" si="80"/>
        <v>0</v>
      </c>
      <c r="BM8" s="60"/>
      <c r="BN8" s="65">
        <f t="shared" si="81"/>
        <v>0</v>
      </c>
      <c r="BO8" s="60"/>
      <c r="BP8" s="65">
        <f t="shared" si="82"/>
        <v>0</v>
      </c>
      <c r="BQ8" s="60"/>
      <c r="BR8" s="65">
        <f t="shared" si="83"/>
        <v>0</v>
      </c>
      <c r="BS8" s="60"/>
      <c r="BT8" s="65">
        <f t="shared" si="84"/>
        <v>0</v>
      </c>
      <c r="BU8" s="60"/>
      <c r="BV8" s="65">
        <f t="shared" si="85"/>
        <v>0</v>
      </c>
      <c r="BW8" s="60"/>
      <c r="BX8" s="65">
        <f t="shared" si="86"/>
        <v>0</v>
      </c>
      <c r="BY8" s="60"/>
      <c r="BZ8" s="67">
        <f t="shared" si="87"/>
        <v>0</v>
      </c>
      <c r="CA8" s="60"/>
      <c r="CB8" s="67">
        <f t="shared" si="88"/>
        <v>0</v>
      </c>
      <c r="CC8" s="60"/>
      <c r="CD8" s="67">
        <f t="shared" si="89"/>
        <v>0</v>
      </c>
      <c r="CE8" s="60"/>
      <c r="CF8" s="67">
        <f t="shared" si="90"/>
        <v>0</v>
      </c>
      <c r="CG8" s="60"/>
      <c r="CH8" s="67">
        <f t="shared" si="91"/>
        <v>0</v>
      </c>
      <c r="CI8" s="60"/>
      <c r="CJ8" s="67">
        <f t="shared" si="92"/>
        <v>0</v>
      </c>
      <c r="CK8" s="60"/>
      <c r="CL8" s="64">
        <f t="shared" si="93"/>
        <v>0</v>
      </c>
      <c r="CM8" s="65">
        <f t="shared" si="94"/>
        <v>0</v>
      </c>
      <c r="CN8" s="62"/>
      <c r="CO8" s="62"/>
      <c r="CP8" s="68"/>
      <c r="CQ8" s="67">
        <f t="shared" si="95"/>
        <v>0</v>
      </c>
      <c r="CR8" s="68"/>
      <c r="CS8" s="67">
        <f t="shared" si="96"/>
        <v>0</v>
      </c>
      <c r="CT8" s="75"/>
      <c r="CU8" s="67">
        <f t="shared" si="97"/>
        <v>0</v>
      </c>
      <c r="CV8" s="68"/>
      <c r="CW8" s="67">
        <f t="shared" si="98"/>
        <v>0</v>
      </c>
      <c r="CX8" s="58"/>
      <c r="CY8" s="67">
        <f t="shared" si="99"/>
        <v>0</v>
      </c>
    </row>
    <row r="9" spans="1:103" ht="25.5" customHeight="1" thickBot="1" x14ac:dyDescent="0.45">
      <c r="A9" s="63">
        <v>44657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74"/>
        <v>0</v>
      </c>
      <c r="BA9" s="58"/>
      <c r="BB9" s="65">
        <f t="shared" si="75"/>
        <v>0</v>
      </c>
      <c r="BC9" s="58"/>
      <c r="BD9" s="65">
        <f t="shared" si="76"/>
        <v>0</v>
      </c>
      <c r="BE9" s="59"/>
      <c r="BF9" s="67">
        <f t="shared" si="77"/>
        <v>0</v>
      </c>
      <c r="BG9" s="60"/>
      <c r="BH9" s="65">
        <f t="shared" si="78"/>
        <v>0</v>
      </c>
      <c r="BI9" s="60"/>
      <c r="BJ9" s="65">
        <f t="shared" si="79"/>
        <v>0</v>
      </c>
      <c r="BK9" s="60"/>
      <c r="BL9" s="65">
        <f t="shared" si="80"/>
        <v>0</v>
      </c>
      <c r="BM9" s="60"/>
      <c r="BN9" s="65">
        <f t="shared" si="81"/>
        <v>0</v>
      </c>
      <c r="BO9" s="60"/>
      <c r="BP9" s="65">
        <f t="shared" si="82"/>
        <v>0</v>
      </c>
      <c r="BQ9" s="60"/>
      <c r="BR9" s="65">
        <f t="shared" si="83"/>
        <v>0</v>
      </c>
      <c r="BS9" s="60"/>
      <c r="BT9" s="65">
        <f t="shared" si="84"/>
        <v>0</v>
      </c>
      <c r="BU9" s="60"/>
      <c r="BV9" s="65">
        <f t="shared" si="85"/>
        <v>0</v>
      </c>
      <c r="BW9" s="60"/>
      <c r="BX9" s="65">
        <f t="shared" si="86"/>
        <v>0</v>
      </c>
      <c r="BY9" s="60"/>
      <c r="BZ9" s="67">
        <f t="shared" si="87"/>
        <v>0</v>
      </c>
      <c r="CA9" s="60"/>
      <c r="CB9" s="67">
        <f t="shared" si="88"/>
        <v>0</v>
      </c>
      <c r="CC9" s="60"/>
      <c r="CD9" s="67">
        <f t="shared" si="89"/>
        <v>0</v>
      </c>
      <c r="CE9" s="60"/>
      <c r="CF9" s="67">
        <f t="shared" si="90"/>
        <v>0</v>
      </c>
      <c r="CG9" s="60"/>
      <c r="CH9" s="67">
        <f t="shared" si="91"/>
        <v>0</v>
      </c>
      <c r="CI9" s="60"/>
      <c r="CJ9" s="67">
        <f t="shared" si="92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95"/>
        <v>0</v>
      </c>
      <c r="CR9" s="68"/>
      <c r="CS9" s="67">
        <f t="shared" si="96"/>
        <v>0</v>
      </c>
      <c r="CT9" s="75"/>
      <c r="CU9" s="67">
        <f t="shared" si="97"/>
        <v>0</v>
      </c>
      <c r="CV9" s="68"/>
      <c r="CW9" s="67">
        <f t="shared" si="98"/>
        <v>0</v>
      </c>
      <c r="CX9" s="58"/>
      <c r="CY9" s="67">
        <f t="shared" si="99"/>
        <v>0</v>
      </c>
    </row>
    <row r="10" spans="1:103" ht="25.5" customHeight="1" thickBot="1" x14ac:dyDescent="0.45">
      <c r="A10" s="63">
        <v>44658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6"/>
        <v>0</v>
      </c>
      <c r="CT10" s="75"/>
      <c r="CU10" s="67">
        <f t="shared" si="97"/>
        <v>0</v>
      </c>
      <c r="CV10" s="68"/>
      <c r="CW10" s="67">
        <f t="shared" si="98"/>
        <v>0</v>
      </c>
      <c r="CX10" s="58"/>
      <c r="CY10" s="67">
        <f t="shared" si="99"/>
        <v>0</v>
      </c>
    </row>
    <row r="11" spans="1:103" ht="25.5" customHeight="1" thickBot="1" x14ac:dyDescent="0.45">
      <c r="A11" s="63">
        <v>44659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6"/>
        <v>0</v>
      </c>
      <c r="CT11" s="75"/>
      <c r="CU11" s="67">
        <f t="shared" si="97"/>
        <v>0</v>
      </c>
      <c r="CV11" s="68"/>
      <c r="CW11" s="67">
        <f t="shared" si="98"/>
        <v>0</v>
      </c>
      <c r="CX11" s="58"/>
      <c r="CY11" s="67">
        <f t="shared" si="99"/>
        <v>0</v>
      </c>
    </row>
    <row r="12" spans="1:103" ht="25.5" customHeight="1" thickBot="1" x14ac:dyDescent="0.45">
      <c r="A12" s="63">
        <v>44660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44661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44662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44663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44664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44665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44666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0" sqref="B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-227</v>
      </c>
    </row>
    <row r="11" spans="1:20" x14ac:dyDescent="0.25">
      <c r="A11" s="73">
        <v>44655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44656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44657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44658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44659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44660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44661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44662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44663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44664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44665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2022-04-03T17:28:44Z</dcterms:modified>
</cp:coreProperties>
</file>