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7.xml" ContentType="application/vnd.openxmlformats-officedocument.spreadsheetml.externalLink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externalLinks/externalLink5.xml" ContentType="application/vnd.openxmlformats-officedocument.spreadsheetml.externalLink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charts/chart18.xml" ContentType="application/vnd.openxmlformats-officedocument.drawingml.chart+xml"/>
  <Override PartName="/xl/charts/chart27.xml" ContentType="application/vnd.openxmlformats-officedocument.drawingml.chart+xml"/>
  <Override PartName="/xl/comments2.xml" ContentType="application/vnd.openxmlformats-officedocument.spreadsheetml.comment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12.xml" ContentType="application/vnd.openxmlformats-officedocument.spreadsheetml.externalLink+xml"/>
  <Override PartName="/xl/charts/chart16.xml" ContentType="application/vnd.openxmlformats-officedocument.drawingml.chart+xml"/>
  <Override PartName="/xl/charts/chart25.xml" ContentType="application/vnd.openxmlformats-officedocument.drawingml.chart+xml"/>
  <Override PartName="/xl/externalLinks/externalLink10.xml" ContentType="application/vnd.openxmlformats-officedocument.spreadsheetml.externalLink+xml"/>
  <Override PartName="/xl/sharedStrings.xml" ContentType="application/vnd.openxmlformats-officedocument.spreadsheetml.sharedStrings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Override PartName="/xl/worksheets/sheet14.xml" ContentType="application/vnd.openxmlformats-officedocument.spreadsheetml.worksheet+xml"/>
  <Override PartName="/xl/externalLinks/externalLink8.xml" ContentType="application/vnd.openxmlformats-officedocument.spreadsheetml.externalLink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6.xml" ContentType="application/vnd.openxmlformats-officedocument.spreadsheetml.externalLink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externalLinks/externalLink13.xml" ContentType="application/vnd.openxmlformats-officedocument.spreadsheetml.externalLink+xml"/>
  <Override PartName="/xl/drawings/drawing1.xml" ContentType="application/vnd.openxmlformats-officedocument.drawing+xml"/>
  <Override PartName="/xl/charts/chart19.xml" ContentType="application/vnd.openxmlformats-officedocument.drawingml.chart+xml"/>
  <Override PartName="/xl/comments3.xml" ContentType="application/vnd.openxmlformats-officedocument.spreadsheetml.comments+xml"/>
  <Override PartName="/xl/charts/chart28.xml" ContentType="application/vnd.openxmlformats-officedocument.drawingml.chart+xml"/>
  <Override PartName="/xl/externalLinks/externalLink11.xml" ContentType="application/vnd.openxmlformats-officedocument.spreadsheetml.externalLink+xml"/>
  <Override PartName="/xl/charts/chart17.xml" ContentType="application/vnd.openxmlformats-officedocument.drawingml.chart+xml"/>
  <Default Extension="vml" ContentType="application/vnd.openxmlformats-officedocument.vmlDrawing"/>
  <Override PartName="/xl/comments1.xml" ContentType="application/vnd.openxmlformats-officedocument.spreadsheetml.comments+xml"/>
  <Override PartName="/xl/charts/chart26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30" yWindow="-90" windowWidth="14145" windowHeight="12225" tabRatio="580" firstSheet="2" activeTab="6"/>
  </bookViews>
  <sheets>
    <sheet name="Total" sheetId="81" r:id="rId1"/>
    <sheet name="Submetering" sheetId="82" r:id="rId2"/>
    <sheet name="ELEC" sheetId="2" r:id="rId3"/>
    <sheet name="B5" sheetId="1" r:id="rId4"/>
    <sheet name="WATER" sheetId="5" r:id="rId5"/>
    <sheet name="graphic" sheetId="4" r:id="rId6"/>
    <sheet name="General information " sheetId="73" r:id="rId7"/>
    <sheet name="tanks" sheetId="7" r:id="rId8"/>
    <sheet name="Sheet1" sheetId="63" state="hidden" r:id="rId9"/>
    <sheet name="Report" sheetId="65" state="hidden" r:id="rId10"/>
    <sheet name="Sheet5" sheetId="75" state="hidden" r:id="rId11"/>
    <sheet name="GEN" sheetId="3" r:id="rId12"/>
    <sheet name="EDl log" sheetId="76" r:id="rId13"/>
    <sheet name="Swimming Pool quality check " sheetId="79" r:id="rId14"/>
    <sheet name="Degree Days 2020" sheetId="74" r:id="rId15"/>
    <sheet name="Utility Cost " sheetId="77" r:id="rId16"/>
    <sheet name="MDB" sheetId="78" r:id="rId17"/>
    <sheet name="Sheet2" sheetId="83" state="hidden" r:id="rId18"/>
  </sheets>
  <externalReferences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</externalReferences>
  <definedNames>
    <definedName name="_xlnm.Print_Area" localSheetId="14">'Degree Days 2020'!$A$41:$AJ$92</definedName>
    <definedName name="_xlnm.Print_Area" localSheetId="4">WATER!$A$3:$C$34</definedName>
  </definedNames>
  <calcPr calcId="125725"/>
</workbook>
</file>

<file path=xl/calcChain.xml><?xml version="1.0" encoding="utf-8"?>
<calcChain xmlns="http://schemas.openxmlformats.org/spreadsheetml/2006/main">
  <c r="D26" i="3"/>
  <c r="D25"/>
  <c r="T26"/>
  <c r="U26"/>
  <c r="T25"/>
  <c r="U25"/>
  <c r="T24"/>
  <c r="U24"/>
  <c r="D22"/>
  <c r="D23" s="1"/>
  <c r="E23"/>
  <c r="E22"/>
  <c r="I18" i="76"/>
  <c r="T14" i="3"/>
  <c r="T13"/>
  <c r="D18" i="77"/>
  <c r="C19" l="1"/>
  <c r="C18"/>
  <c r="C17"/>
  <c r="C16"/>
  <c r="C15"/>
  <c r="C14"/>
  <c r="BB5" i="7"/>
  <c r="BA5"/>
  <c r="AZ5"/>
  <c r="AY5"/>
  <c r="AX5"/>
  <c r="AW5"/>
  <c r="AV5"/>
  <c r="AU5"/>
  <c r="AT5"/>
  <c r="AS5"/>
  <c r="AR5"/>
  <c r="AQ5"/>
  <c r="AO5"/>
  <c r="AN5"/>
  <c r="AM5"/>
  <c r="AL5"/>
  <c r="AK5"/>
  <c r="AJ5"/>
  <c r="AI5"/>
  <c r="AH5"/>
  <c r="AG5"/>
  <c r="AF5"/>
  <c r="AE5"/>
  <c r="AD5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B3" i="76" l="1"/>
  <c r="C5" i="5" l="1"/>
  <c r="D5"/>
  <c r="E5"/>
  <c r="F5"/>
  <c r="H5"/>
  <c r="I5"/>
  <c r="J5"/>
  <c r="K5"/>
  <c r="L5"/>
  <c r="M5"/>
  <c r="N5"/>
  <c r="O5"/>
  <c r="P5"/>
  <c r="Q5"/>
  <c r="R5"/>
  <c r="S5"/>
  <c r="U5"/>
  <c r="W5"/>
  <c r="Y5"/>
  <c r="BG5"/>
  <c r="BF5"/>
  <c r="BE5"/>
  <c r="BD5"/>
  <c r="BC5"/>
  <c r="BB5"/>
  <c r="BA5"/>
  <c r="AZ5"/>
  <c r="AY5"/>
  <c r="AX5"/>
  <c r="AW5"/>
  <c r="AV5"/>
  <c r="AU5"/>
  <c r="AT5"/>
  <c r="AS5"/>
  <c r="AR5"/>
  <c r="AQ5"/>
  <c r="AP5"/>
  <c r="AO5"/>
  <c r="AN5"/>
  <c r="AM5"/>
  <c r="AL5"/>
  <c r="AK5"/>
  <c r="AJ5"/>
  <c r="AI5"/>
  <c r="AH5"/>
  <c r="AG5"/>
  <c r="AF5"/>
  <c r="AE5"/>
  <c r="AD5"/>
  <c r="AC5"/>
  <c r="AB5"/>
  <c r="AA5"/>
  <c r="Z5"/>
  <c r="X5"/>
  <c r="V5"/>
  <c r="W6" s="1"/>
  <c r="T5"/>
  <c r="G5"/>
  <c r="B5"/>
  <c r="I9" i="77" l="1"/>
  <c r="H7"/>
  <c r="I7" s="1"/>
  <c r="H8" l="1"/>
  <c r="I8" s="1"/>
  <c r="H10" l="1"/>
  <c r="I10" s="1"/>
  <c r="G37" i="74" l="1"/>
  <c r="F37"/>
  <c r="G36"/>
  <c r="H36" s="1"/>
  <c r="F36"/>
  <c r="G35"/>
  <c r="F35"/>
  <c r="G34"/>
  <c r="F34"/>
  <c r="G33"/>
  <c r="H33" s="1"/>
  <c r="F33"/>
  <c r="G32"/>
  <c r="F32"/>
  <c r="G31"/>
  <c r="F31"/>
  <c r="G30"/>
  <c r="F30"/>
  <c r="G29"/>
  <c r="H29" s="1"/>
  <c r="F29"/>
  <c r="G28"/>
  <c r="F28"/>
  <c r="G27"/>
  <c r="F27"/>
  <c r="H27" s="1"/>
  <c r="G26"/>
  <c r="F26"/>
  <c r="G25"/>
  <c r="H25" s="1"/>
  <c r="F25"/>
  <c r="G24"/>
  <c r="F24"/>
  <c r="G23"/>
  <c r="F23"/>
  <c r="G22"/>
  <c r="F22"/>
  <c r="G21"/>
  <c r="H21" s="1"/>
  <c r="F21"/>
  <c r="G20"/>
  <c r="F20"/>
  <c r="G19"/>
  <c r="F19"/>
  <c r="G18"/>
  <c r="F18"/>
  <c r="G17"/>
  <c r="H17" s="1"/>
  <c r="F17"/>
  <c r="G16"/>
  <c r="F16"/>
  <c r="G15"/>
  <c r="F15"/>
  <c r="G14"/>
  <c r="F14"/>
  <c r="G13"/>
  <c r="H13" s="1"/>
  <c r="F13"/>
  <c r="G12"/>
  <c r="F12"/>
  <c r="G11"/>
  <c r="H11" s="1"/>
  <c r="F11"/>
  <c r="G10"/>
  <c r="F10"/>
  <c r="T40"/>
  <c r="L40"/>
  <c r="I40"/>
  <c r="X39"/>
  <c r="T39"/>
  <c r="P39"/>
  <c r="M39"/>
  <c r="L39"/>
  <c r="I39"/>
  <c r="X38"/>
  <c r="T38"/>
  <c r="P38"/>
  <c r="M38"/>
  <c r="L38"/>
  <c r="I38"/>
  <c r="X37"/>
  <c r="T37"/>
  <c r="P37"/>
  <c r="M37"/>
  <c r="L37"/>
  <c r="I37"/>
  <c r="E37"/>
  <c r="X36"/>
  <c r="T36"/>
  <c r="P36"/>
  <c r="M36"/>
  <c r="L36"/>
  <c r="I36"/>
  <c r="E36"/>
  <c r="X35"/>
  <c r="T35"/>
  <c r="P35"/>
  <c r="M35"/>
  <c r="L35"/>
  <c r="I35"/>
  <c r="H35"/>
  <c r="E35"/>
  <c r="X34"/>
  <c r="T34"/>
  <c r="P34"/>
  <c r="M34"/>
  <c r="L34"/>
  <c r="I34"/>
  <c r="H34"/>
  <c r="E34"/>
  <c r="X33"/>
  <c r="T33"/>
  <c r="P33"/>
  <c r="M33"/>
  <c r="L33"/>
  <c r="I33"/>
  <c r="E33"/>
  <c r="X32"/>
  <c r="T32"/>
  <c r="P32"/>
  <c r="M32"/>
  <c r="L32"/>
  <c r="I32"/>
  <c r="H32"/>
  <c r="E32"/>
  <c r="X31"/>
  <c r="T31"/>
  <c r="P31"/>
  <c r="M31"/>
  <c r="L31"/>
  <c r="I31"/>
  <c r="E31"/>
  <c r="X30"/>
  <c r="T30"/>
  <c r="P30"/>
  <c r="M30"/>
  <c r="L30"/>
  <c r="I30"/>
  <c r="H30"/>
  <c r="E30"/>
  <c r="X29"/>
  <c r="T29"/>
  <c r="P29"/>
  <c r="M29"/>
  <c r="L29"/>
  <c r="I29"/>
  <c r="E29"/>
  <c r="X28"/>
  <c r="T28"/>
  <c r="P28"/>
  <c r="M28"/>
  <c r="L28"/>
  <c r="I28"/>
  <c r="E28"/>
  <c r="X27"/>
  <c r="T27"/>
  <c r="P27"/>
  <c r="M27"/>
  <c r="L27"/>
  <c r="I27"/>
  <c r="E27"/>
  <c r="X26"/>
  <c r="T26"/>
  <c r="P26"/>
  <c r="M26"/>
  <c r="L26"/>
  <c r="I26"/>
  <c r="H26"/>
  <c r="E26"/>
  <c r="X25"/>
  <c r="T25"/>
  <c r="P25"/>
  <c r="M25"/>
  <c r="L25"/>
  <c r="I25"/>
  <c r="E25"/>
  <c r="X24"/>
  <c r="T24"/>
  <c r="P24"/>
  <c r="M24"/>
  <c r="L24"/>
  <c r="I24"/>
  <c r="E24"/>
  <c r="X23"/>
  <c r="T23"/>
  <c r="P23"/>
  <c r="M23"/>
  <c r="L23"/>
  <c r="I23"/>
  <c r="E23"/>
  <c r="X22"/>
  <c r="T22"/>
  <c r="P22"/>
  <c r="M22"/>
  <c r="L22"/>
  <c r="I22"/>
  <c r="H22"/>
  <c r="E22"/>
  <c r="X21"/>
  <c r="T21"/>
  <c r="P21"/>
  <c r="M21"/>
  <c r="L21"/>
  <c r="I21"/>
  <c r="E21"/>
  <c r="X20"/>
  <c r="T20"/>
  <c r="P20"/>
  <c r="M20"/>
  <c r="L20"/>
  <c r="I20"/>
  <c r="E20"/>
  <c r="X19"/>
  <c r="T19"/>
  <c r="P19"/>
  <c r="M19"/>
  <c r="L19"/>
  <c r="I19"/>
  <c r="H19"/>
  <c r="E19"/>
  <c r="X18"/>
  <c r="T18"/>
  <c r="P18"/>
  <c r="M18"/>
  <c r="L18"/>
  <c r="I18"/>
  <c r="H18"/>
  <c r="E18"/>
  <c r="X17"/>
  <c r="T17"/>
  <c r="P17"/>
  <c r="M17"/>
  <c r="L17"/>
  <c r="I17"/>
  <c r="E17"/>
  <c r="X16"/>
  <c r="T16"/>
  <c r="P16"/>
  <c r="M16"/>
  <c r="L16"/>
  <c r="I16"/>
  <c r="E16"/>
  <c r="X15"/>
  <c r="T15"/>
  <c r="P15"/>
  <c r="M15"/>
  <c r="L15"/>
  <c r="I15"/>
  <c r="E15"/>
  <c r="X14"/>
  <c r="T14"/>
  <c r="P14"/>
  <c r="M14"/>
  <c r="L14"/>
  <c r="I14"/>
  <c r="H14"/>
  <c r="E14"/>
  <c r="X13"/>
  <c r="T13"/>
  <c r="P13"/>
  <c r="M13"/>
  <c r="L13"/>
  <c r="I13"/>
  <c r="E13"/>
  <c r="X12"/>
  <c r="T12"/>
  <c r="P12"/>
  <c r="M12"/>
  <c r="L12"/>
  <c r="I12"/>
  <c r="E12"/>
  <c r="X11"/>
  <c r="T11"/>
  <c r="P11"/>
  <c r="M11"/>
  <c r="L11"/>
  <c r="I11"/>
  <c r="E11"/>
  <c r="X10"/>
  <c r="T10"/>
  <c r="P10"/>
  <c r="M10"/>
  <c r="L10"/>
  <c r="I10"/>
  <c r="E10"/>
  <c r="C43"/>
  <c r="B43"/>
  <c r="D40"/>
  <c r="D39"/>
  <c r="D38"/>
  <c r="D37"/>
  <c r="D36"/>
  <c r="D35"/>
  <c r="D34"/>
  <c r="D33"/>
  <c r="D32"/>
  <c r="D31"/>
  <c r="D30"/>
  <c r="D29"/>
  <c r="D28"/>
  <c r="D27"/>
  <c r="D26"/>
  <c r="D25"/>
  <c r="D24"/>
  <c r="D23"/>
  <c r="D22"/>
  <c r="D21"/>
  <c r="D20"/>
  <c r="D19"/>
  <c r="D18"/>
  <c r="D17"/>
  <c r="D16"/>
  <c r="D15"/>
  <c r="D14"/>
  <c r="D13"/>
  <c r="D12"/>
  <c r="D11"/>
  <c r="D10"/>
  <c r="C40"/>
  <c r="C39"/>
  <c r="C38"/>
  <c r="C37"/>
  <c r="C36"/>
  <c r="C35"/>
  <c r="C34"/>
  <c r="C33"/>
  <c r="C32"/>
  <c r="C31"/>
  <c r="C30"/>
  <c r="C29"/>
  <c r="C28"/>
  <c r="C27"/>
  <c r="C26"/>
  <c r="C25"/>
  <c r="C24"/>
  <c r="C23"/>
  <c r="C22"/>
  <c r="C21"/>
  <c r="C20"/>
  <c r="C19"/>
  <c r="C18"/>
  <c r="C17"/>
  <c r="C16"/>
  <c r="C15"/>
  <c r="C14"/>
  <c r="C13"/>
  <c r="C12"/>
  <c r="C11"/>
  <c r="C10"/>
  <c r="B40"/>
  <c r="B39"/>
  <c r="B38"/>
  <c r="B37"/>
  <c r="B36"/>
  <c r="B35"/>
  <c r="B34"/>
  <c r="B33"/>
  <c r="B32"/>
  <c r="B31"/>
  <c r="B30"/>
  <c r="B29"/>
  <c r="B28"/>
  <c r="B27"/>
  <c r="B26"/>
  <c r="B25"/>
  <c r="B24"/>
  <c r="B23"/>
  <c r="B22"/>
  <c r="B21"/>
  <c r="B20"/>
  <c r="B19"/>
  <c r="B18"/>
  <c r="B17"/>
  <c r="B16"/>
  <c r="B15"/>
  <c r="B14"/>
  <c r="B13"/>
  <c r="B12"/>
  <c r="B11"/>
  <c r="B10"/>
  <c r="I5" i="79"/>
  <c r="H5"/>
  <c r="H6" s="1"/>
  <c r="H7" s="1"/>
  <c r="I7" s="1"/>
  <c r="G5"/>
  <c r="F5"/>
  <c r="E5"/>
  <c r="D5"/>
  <c r="C5"/>
  <c r="B5"/>
  <c r="W16" i="76"/>
  <c r="W15"/>
  <c r="W14"/>
  <c r="W13"/>
  <c r="AA17"/>
  <c r="AD11"/>
  <c r="AD10"/>
  <c r="AD9"/>
  <c r="Z11"/>
  <c r="Z10"/>
  <c r="Z9"/>
  <c r="Y11"/>
  <c r="Y10"/>
  <c r="Y9"/>
  <c r="X11"/>
  <c r="X10"/>
  <c r="X9"/>
  <c r="W11"/>
  <c r="W10"/>
  <c r="W9"/>
  <c r="S3"/>
  <c r="Q3"/>
  <c r="N3"/>
  <c r="M3"/>
  <c r="L3"/>
  <c r="K3"/>
  <c r="W26"/>
  <c r="I3"/>
  <c r="G3"/>
  <c r="E3"/>
  <c r="D3"/>
  <c r="C3"/>
  <c r="D29" i="3"/>
  <c r="D30" s="1"/>
  <c r="AK2"/>
  <c r="AJ2"/>
  <c r="AI2"/>
  <c r="AG2"/>
  <c r="AF2"/>
  <c r="AE2"/>
  <c r="AD2"/>
  <c r="Z2"/>
  <c r="W2"/>
  <c r="V2"/>
  <c r="U2"/>
  <c r="T2"/>
  <c r="T3" s="1"/>
  <c r="T4" s="1"/>
  <c r="T5" s="1"/>
  <c r="T6" s="1"/>
  <c r="T7" s="1"/>
  <c r="T8" s="1"/>
  <c r="T9" s="1"/>
  <c r="T10" s="1"/>
  <c r="T11" s="1"/>
  <c r="T12" s="1"/>
  <c r="T15" s="1"/>
  <c r="T16" s="1"/>
  <c r="T17" s="1"/>
  <c r="T18" s="1"/>
  <c r="T19" s="1"/>
  <c r="T20" s="1"/>
  <c r="T21" s="1"/>
  <c r="T22" s="1"/>
  <c r="T23" s="1"/>
  <c r="S2"/>
  <c r="R2"/>
  <c r="R3" s="1"/>
  <c r="R4" s="1"/>
  <c r="R5" s="1"/>
  <c r="R6" s="1"/>
  <c r="R8" s="1"/>
  <c r="R9" s="1"/>
  <c r="R10" s="1"/>
  <c r="R11" s="1"/>
  <c r="R12" s="1"/>
  <c r="R15" s="1"/>
  <c r="R16" s="1"/>
  <c r="R17" s="1"/>
  <c r="R18" s="1"/>
  <c r="R19" s="1"/>
  <c r="R20" s="1"/>
  <c r="R21" s="1"/>
  <c r="R22" s="1"/>
  <c r="R23" s="1"/>
  <c r="Q2"/>
  <c r="P2"/>
  <c r="P3" s="1"/>
  <c r="P4" s="1"/>
  <c r="P5" s="1"/>
  <c r="P6" s="1"/>
  <c r="P7" s="1"/>
  <c r="P8" s="1"/>
  <c r="P9" s="1"/>
  <c r="P10" s="1"/>
  <c r="P11" s="1"/>
  <c r="P12" s="1"/>
  <c r="P13" s="1"/>
  <c r="P14" s="1"/>
  <c r="P15" s="1"/>
  <c r="P16" s="1"/>
  <c r="P17" s="1"/>
  <c r="P18" s="1"/>
  <c r="P19" s="1"/>
  <c r="P20" s="1"/>
  <c r="P21" s="1"/>
  <c r="P22" s="1"/>
  <c r="P23" s="1"/>
  <c r="P24" s="1"/>
  <c r="P25" s="1"/>
  <c r="P26" s="1"/>
  <c r="P27" s="1"/>
  <c r="P28" s="1"/>
  <c r="P29" s="1"/>
  <c r="P30" s="1"/>
  <c r="O2"/>
  <c r="K2"/>
  <c r="J2"/>
  <c r="J3" s="1"/>
  <c r="J4" s="1"/>
  <c r="J5" s="1"/>
  <c r="J6" s="1"/>
  <c r="J7" s="1"/>
  <c r="J8" s="1"/>
  <c r="J9" s="1"/>
  <c r="J10" s="1"/>
  <c r="J11" s="1"/>
  <c r="J12" s="1"/>
  <c r="J13" s="1"/>
  <c r="J14" s="1"/>
  <c r="J15" s="1"/>
  <c r="J16" s="1"/>
  <c r="J17" s="1"/>
  <c r="J18" s="1"/>
  <c r="J19" s="1"/>
  <c r="J20" s="1"/>
  <c r="J21" s="1"/>
  <c r="J22" s="1"/>
  <c r="J23" s="1"/>
  <c r="J24" s="1"/>
  <c r="J25" s="1"/>
  <c r="J26" s="1"/>
  <c r="J27" s="1"/>
  <c r="J28" s="1"/>
  <c r="J29" s="1"/>
  <c r="J30" s="1"/>
  <c r="I2"/>
  <c r="H3"/>
  <c r="H4" s="1"/>
  <c r="H5" s="1"/>
  <c r="H6" s="1"/>
  <c r="H7" s="1"/>
  <c r="H8" s="1"/>
  <c r="H10" s="1"/>
  <c r="H11" s="1"/>
  <c r="H12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G2"/>
  <c r="F2"/>
  <c r="E2"/>
  <c r="D2"/>
  <c r="C2"/>
  <c r="B2"/>
  <c r="AV25" i="5"/>
  <c r="AV26" s="1"/>
  <c r="AV29" s="1"/>
  <c r="T7"/>
  <c r="T8" s="1"/>
  <c r="T9" s="1"/>
  <c r="T10" s="1"/>
  <c r="T11" s="1"/>
  <c r="T12" s="1"/>
  <c r="T13" s="1"/>
  <c r="T14" s="1"/>
  <c r="T15" s="1"/>
  <c r="T16" s="1"/>
  <c r="T17" s="1"/>
  <c r="T18" s="1"/>
  <c r="T19" s="1"/>
  <c r="T20" s="1"/>
  <c r="T21" s="1"/>
  <c r="T22" s="1"/>
  <c r="T23" s="1"/>
  <c r="T26" s="1"/>
  <c r="T27" s="1"/>
  <c r="T28" s="1"/>
  <c r="T29" s="1"/>
  <c r="T30" s="1"/>
  <c r="T31" s="1"/>
  <c r="T32" s="1"/>
  <c r="T33" s="1"/>
  <c r="AT9"/>
  <c r="AT11" s="1"/>
  <c r="AT13" s="1"/>
  <c r="AT14" s="1"/>
  <c r="AT15" s="1"/>
  <c r="AT16" s="1"/>
  <c r="AT17" s="1"/>
  <c r="AT20" s="1"/>
  <c r="AT21" s="1"/>
  <c r="AT27" s="1"/>
  <c r="AT28" s="1"/>
  <c r="AC6"/>
  <c r="AC7" s="1"/>
  <c r="AC8" s="1"/>
  <c r="AC9" s="1"/>
  <c r="AC10" s="1"/>
  <c r="AC11" s="1"/>
  <c r="AC12" s="1"/>
  <c r="AC13" s="1"/>
  <c r="AC14" s="1"/>
  <c r="AC15" s="1"/>
  <c r="AC16" s="1"/>
  <c r="AC17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AC33" s="1"/>
  <c r="Z6"/>
  <c r="Z7" s="1"/>
  <c r="Z8" s="1"/>
  <c r="Z9" s="1"/>
  <c r="Z10" s="1"/>
  <c r="Z11" s="1"/>
  <c r="Z12" s="1"/>
  <c r="Z13" s="1"/>
  <c r="Z14" s="1"/>
  <c r="Z15" s="1"/>
  <c r="Z16" s="1"/>
  <c r="Z17" s="1"/>
  <c r="Z19" s="1"/>
  <c r="Z20" s="1"/>
  <c r="Z22" s="1"/>
  <c r="Z23" s="1"/>
  <c r="Z24" s="1"/>
  <c r="X7"/>
  <c r="X8" s="1"/>
  <c r="X9" s="1"/>
  <c r="X10" s="1"/>
  <c r="X11" s="1"/>
  <c r="X12" s="1"/>
  <c r="X13" s="1"/>
  <c r="X14" s="1"/>
  <c r="X15" s="1"/>
  <c r="X16" s="1"/>
  <c r="X17" s="1"/>
  <c r="X19" s="1"/>
  <c r="X20" s="1"/>
  <c r="X22" s="1"/>
  <c r="X23" s="1"/>
  <c r="X24" s="1"/>
  <c r="G7"/>
  <c r="G8" s="1"/>
  <c r="G9" s="1"/>
  <c r="G10" s="1"/>
  <c r="G11" s="1"/>
  <c r="G12" s="1"/>
  <c r="G13" s="1"/>
  <c r="G14" s="1"/>
  <c r="G15" s="1"/>
  <c r="G16" s="1"/>
  <c r="G17" s="1"/>
  <c r="G18" s="1"/>
  <c r="G20" s="1"/>
  <c r="G22" s="1"/>
  <c r="G23" s="1"/>
  <c r="G24" s="1"/>
  <c r="X6" i="1"/>
  <c r="X7" s="1"/>
  <c r="X8" s="1"/>
  <c r="X9" s="1"/>
  <c r="X10" s="1"/>
  <c r="X11" s="1"/>
  <c r="X13" s="1"/>
  <c r="X14" s="1"/>
  <c r="X15" s="1"/>
  <c r="X16" s="1"/>
  <c r="X18" s="1"/>
  <c r="X19" s="1"/>
  <c r="X20" s="1"/>
  <c r="X21" s="1"/>
  <c r="X23" s="1"/>
  <c r="X24" s="1"/>
  <c r="X25" s="1"/>
  <c r="X26" s="1"/>
  <c r="X28" s="1"/>
  <c r="X29" s="1"/>
  <c r="X30" s="1"/>
  <c r="X31" s="1"/>
  <c r="X32" s="1"/>
  <c r="H7"/>
  <c r="H10" s="1"/>
  <c r="H13" s="1"/>
  <c r="H16" s="1"/>
  <c r="H19" s="1"/>
  <c r="H20" s="1"/>
  <c r="H23" s="1"/>
  <c r="AU4"/>
  <c r="AT4"/>
  <c r="AS4"/>
  <c r="AR4"/>
  <c r="AR5" s="1"/>
  <c r="AR6" s="1"/>
  <c r="AR7" s="1"/>
  <c r="AR8" s="1"/>
  <c r="AR9" s="1"/>
  <c r="AR10" s="1"/>
  <c r="AR11" s="1"/>
  <c r="AR12" s="1"/>
  <c r="AR13" s="1"/>
  <c r="AR14" s="1"/>
  <c r="AR15" s="1"/>
  <c r="AR16" s="1"/>
  <c r="AR17" s="1"/>
  <c r="AR18" s="1"/>
  <c r="AR19" s="1"/>
  <c r="AR20" s="1"/>
  <c r="AR21" s="1"/>
  <c r="AR22" s="1"/>
  <c r="AR23" s="1"/>
  <c r="AR24" s="1"/>
  <c r="AR25" s="1"/>
  <c r="AR26" s="1"/>
  <c r="AR27" s="1"/>
  <c r="AR28" s="1"/>
  <c r="AR29" s="1"/>
  <c r="AR30" s="1"/>
  <c r="AR31" s="1"/>
  <c r="AR32" s="1"/>
  <c r="AQ4"/>
  <c r="AP4"/>
  <c r="AP5" s="1"/>
  <c r="AP6" s="1"/>
  <c r="AP7" s="1"/>
  <c r="AP8" s="1"/>
  <c r="AP9" s="1"/>
  <c r="AP10" s="1"/>
  <c r="AP11" s="1"/>
  <c r="AP12" s="1"/>
  <c r="AP13" s="1"/>
  <c r="AP14" s="1"/>
  <c r="AP15" s="1"/>
  <c r="AP16" s="1"/>
  <c r="AP17" s="1"/>
  <c r="AP18" s="1"/>
  <c r="AP19" s="1"/>
  <c r="AP20" s="1"/>
  <c r="AP21" s="1"/>
  <c r="AP22" s="1"/>
  <c r="AP23" s="1"/>
  <c r="AP24" s="1"/>
  <c r="AP25" s="1"/>
  <c r="AP26" s="1"/>
  <c r="AP27" s="1"/>
  <c r="AP28" s="1"/>
  <c r="AP29" s="1"/>
  <c r="AP30" s="1"/>
  <c r="AP31" s="1"/>
  <c r="AP32" s="1"/>
  <c r="AO4"/>
  <c r="AN4"/>
  <c r="AN5" s="1"/>
  <c r="AN6" s="1"/>
  <c r="AN7" s="1"/>
  <c r="AN8" s="1"/>
  <c r="AN9" s="1"/>
  <c r="AN10" s="1"/>
  <c r="AN11" s="1"/>
  <c r="AN12" s="1"/>
  <c r="AN13" s="1"/>
  <c r="AN14" s="1"/>
  <c r="AN15" s="1"/>
  <c r="AN16" s="1"/>
  <c r="AN17" s="1"/>
  <c r="AN18" s="1"/>
  <c r="AN19" s="1"/>
  <c r="AN20" s="1"/>
  <c r="AN21" s="1"/>
  <c r="AN22" s="1"/>
  <c r="AN23" s="1"/>
  <c r="AN24" s="1"/>
  <c r="AN25" s="1"/>
  <c r="AN26" s="1"/>
  <c r="AN27" s="1"/>
  <c r="AN28" s="1"/>
  <c r="AN29" s="1"/>
  <c r="AN30" s="1"/>
  <c r="AN31" s="1"/>
  <c r="AN32" s="1"/>
  <c r="AM4"/>
  <c r="AL4"/>
  <c r="AK4"/>
  <c r="AJ4"/>
  <c r="AI4"/>
  <c r="AH4"/>
  <c r="AG4"/>
  <c r="AF4"/>
  <c r="AE4"/>
  <c r="AE5" s="1"/>
  <c r="AE6" s="1"/>
  <c r="AE8" s="1"/>
  <c r="AE9" s="1"/>
  <c r="AE10" s="1"/>
  <c r="AE11" s="1"/>
  <c r="AE12" s="1"/>
  <c r="AE13" s="1"/>
  <c r="AE14" s="1"/>
  <c r="AE15" s="1"/>
  <c r="AE16" s="1"/>
  <c r="AE17" s="1"/>
  <c r="AE18" s="1"/>
  <c r="AE19" s="1"/>
  <c r="AE20" s="1"/>
  <c r="AE21" s="1"/>
  <c r="AE22" s="1"/>
  <c r="AE23" s="1"/>
  <c r="AE24" s="1"/>
  <c r="AE25" s="1"/>
  <c r="AE26" s="1"/>
  <c r="AE27" s="1"/>
  <c r="AE29" s="1"/>
  <c r="AE30" s="1"/>
  <c r="AE31" s="1"/>
  <c r="AD4"/>
  <c r="AC4"/>
  <c r="AC5" s="1"/>
  <c r="AC6" s="1"/>
  <c r="AC7" s="1"/>
  <c r="AC8" s="1"/>
  <c r="AC10" s="1"/>
  <c r="AC11" s="1"/>
  <c r="AC12" s="1"/>
  <c r="AC13" s="1"/>
  <c r="AC14" s="1"/>
  <c r="AC15" s="1"/>
  <c r="AC16" s="1"/>
  <c r="AC17" s="1"/>
  <c r="AC18" s="1"/>
  <c r="AC19" s="1"/>
  <c r="AC20" s="1"/>
  <c r="AC21" s="1"/>
  <c r="AC22" s="1"/>
  <c r="AC23" s="1"/>
  <c r="AC24" s="1"/>
  <c r="AC25" s="1"/>
  <c r="AC26" s="1"/>
  <c r="AC27" s="1"/>
  <c r="AC29" s="1"/>
  <c r="AC30" s="1"/>
  <c r="AC31" s="1"/>
  <c r="AC32" s="1"/>
  <c r="AB4"/>
  <c r="AA4"/>
  <c r="Z4"/>
  <c r="Z6" s="1"/>
  <c r="Z7" s="1"/>
  <c r="Z8" s="1"/>
  <c r="Z9" s="1"/>
  <c r="Z10" s="1"/>
  <c r="Z11" s="1"/>
  <c r="Z13" s="1"/>
  <c r="Z14" s="1"/>
  <c r="Z15" s="1"/>
  <c r="Z16" s="1"/>
  <c r="Z17" s="1"/>
  <c r="Z18" s="1"/>
  <c r="Z19" s="1"/>
  <c r="Z20" s="1"/>
  <c r="Z21" s="1"/>
  <c r="Z23" s="1"/>
  <c r="Z24" s="1"/>
  <c r="Z25" s="1"/>
  <c r="Z26" s="1"/>
  <c r="Z28" s="1"/>
  <c r="Z29" s="1"/>
  <c r="Z30" s="1"/>
  <c r="Z31" s="1"/>
  <c r="Z32" s="1"/>
  <c r="Y4"/>
  <c r="X4"/>
  <c r="W4"/>
  <c r="V4"/>
  <c r="U4"/>
  <c r="T4"/>
  <c r="S4"/>
  <c r="R4"/>
  <c r="Q4"/>
  <c r="Q6" s="1"/>
  <c r="Q9" s="1"/>
  <c r="Q12" s="1"/>
  <c r="Q15" s="1"/>
  <c r="Q18" s="1"/>
  <c r="Q22" s="1"/>
  <c r="Q25" s="1"/>
  <c r="Q28" s="1"/>
  <c r="Q31" s="1"/>
  <c r="P4"/>
  <c r="P6" s="1"/>
  <c r="P9" s="1"/>
  <c r="P12" s="1"/>
  <c r="P15" s="1"/>
  <c r="P18" s="1"/>
  <c r="P22" s="1"/>
  <c r="P25" s="1"/>
  <c r="P28" s="1"/>
  <c r="P31" s="1"/>
  <c r="O4"/>
  <c r="N4"/>
  <c r="M4"/>
  <c r="M5" s="1"/>
  <c r="M8" s="1"/>
  <c r="M11" s="1"/>
  <c r="M14" s="1"/>
  <c r="M17" s="1"/>
  <c r="M20" s="1"/>
  <c r="M21" s="1"/>
  <c r="L4"/>
  <c r="K4"/>
  <c r="K5" s="1"/>
  <c r="K8" s="1"/>
  <c r="K11" s="1"/>
  <c r="K14" s="1"/>
  <c r="K17" s="1"/>
  <c r="K20" s="1"/>
  <c r="K21" s="1"/>
  <c r="J4"/>
  <c r="I4"/>
  <c r="H4"/>
  <c r="G4"/>
  <c r="F4"/>
  <c r="F7" s="1"/>
  <c r="F10" s="1"/>
  <c r="F13" s="1"/>
  <c r="F19" s="1"/>
  <c r="F20" s="1"/>
  <c r="F23" s="1"/>
  <c r="E4"/>
  <c r="D4"/>
  <c r="C4"/>
  <c r="B4"/>
  <c r="AG2" i="2"/>
  <c r="AF2"/>
  <c r="AE2"/>
  <c r="AD2"/>
  <c r="AC2"/>
  <c r="AC10" s="1"/>
  <c r="AC11" s="1"/>
  <c r="AC12" s="1"/>
  <c r="AC13" s="1"/>
  <c r="AC14" s="1"/>
  <c r="AC15" s="1"/>
  <c r="AC16" s="1"/>
  <c r="AC17" s="1"/>
  <c r="AC22" s="1"/>
  <c r="AC23" s="1"/>
  <c r="AC24" s="1"/>
  <c r="AC25" s="1"/>
  <c r="AC26" s="1"/>
  <c r="AC27" s="1"/>
  <c r="AC28" s="1"/>
  <c r="AC29" s="1"/>
  <c r="AC30" s="1"/>
  <c r="AB2"/>
  <c r="AA2"/>
  <c r="AA9" s="1"/>
  <c r="AA10" s="1"/>
  <c r="AA11" s="1"/>
  <c r="AA13" s="1"/>
  <c r="AA14" s="1"/>
  <c r="AA15" s="1"/>
  <c r="AA16" s="1"/>
  <c r="AA17" s="1"/>
  <c r="AA22" s="1"/>
  <c r="AA23" s="1"/>
  <c r="AA24" s="1"/>
  <c r="AA25" s="1"/>
  <c r="AA26" s="1"/>
  <c r="AA27" s="1"/>
  <c r="AA28" s="1"/>
  <c r="AA29" s="1"/>
  <c r="AA30" s="1"/>
  <c r="Z2"/>
  <c r="Y2"/>
  <c r="Y3" s="1"/>
  <c r="Y4" s="1"/>
  <c r="Y5" s="1"/>
  <c r="Y6" s="1"/>
  <c r="Y7" s="1"/>
  <c r="Y8" s="1"/>
  <c r="Y16" s="1"/>
  <c r="Y17" s="1"/>
  <c r="Y18" s="1"/>
  <c r="X2"/>
  <c r="W2"/>
  <c r="W3" s="1"/>
  <c r="W4" s="1"/>
  <c r="W5" s="1"/>
  <c r="W6" s="1"/>
  <c r="W7" s="1"/>
  <c r="W8" s="1"/>
  <c r="W16" s="1"/>
  <c r="W17" s="1"/>
  <c r="W18" s="1"/>
  <c r="V2"/>
  <c r="U2"/>
  <c r="U3" s="1"/>
  <c r="U4" s="1"/>
  <c r="U5" s="1"/>
  <c r="U6" s="1"/>
  <c r="U7" s="1"/>
  <c r="U8" s="1"/>
  <c r="U9" s="1"/>
  <c r="U10" s="1"/>
  <c r="U11" s="1"/>
  <c r="U12" s="1"/>
  <c r="U13" s="1"/>
  <c r="U14" s="1"/>
  <c r="U15" s="1"/>
  <c r="U18" s="1"/>
  <c r="U19" s="1"/>
  <c r="U20" s="1"/>
  <c r="U21" s="1"/>
  <c r="T2"/>
  <c r="S2"/>
  <c r="S3" s="1"/>
  <c r="S4" s="1"/>
  <c r="S5" s="1"/>
  <c r="S6" s="1"/>
  <c r="S7" s="1"/>
  <c r="S8" s="1"/>
  <c r="S9" s="1"/>
  <c r="S10" s="1"/>
  <c r="S11" s="1"/>
  <c r="S12" s="1"/>
  <c r="S13" s="1"/>
  <c r="S14" s="1"/>
  <c r="S15" s="1"/>
  <c r="S18" s="1"/>
  <c r="S19" s="1"/>
  <c r="S20" s="1"/>
  <c r="S21" s="1"/>
  <c r="R2"/>
  <c r="Q2"/>
  <c r="P2"/>
  <c r="O2"/>
  <c r="N2"/>
  <c r="M2"/>
  <c r="L2"/>
  <c r="K2"/>
  <c r="J2"/>
  <c r="I2"/>
  <c r="H2"/>
  <c r="G2"/>
  <c r="F2"/>
  <c r="E2"/>
  <c r="D2"/>
  <c r="C2"/>
  <c r="D24" i="73"/>
  <c r="AP24" i="5"/>
  <c r="AN24"/>
  <c r="AM24"/>
  <c r="K24"/>
  <c r="AJ23" i="1"/>
  <c r="A23"/>
  <c r="H12" i="74" l="1"/>
  <c r="H20"/>
  <c r="H24"/>
  <c r="H15"/>
  <c r="H31"/>
  <c r="H28"/>
  <c r="H23"/>
  <c r="H37"/>
  <c r="H16"/>
  <c r="H10"/>
  <c r="H8" i="79"/>
  <c r="H9" s="1"/>
  <c r="H15" s="1"/>
  <c r="H16" s="1"/>
  <c r="H17" s="1"/>
  <c r="H18" s="1"/>
  <c r="H19" s="1"/>
  <c r="H21" s="1"/>
  <c r="H22" s="1"/>
  <c r="H23" s="1"/>
  <c r="H24" s="1"/>
  <c r="H25" s="1"/>
  <c r="H26" s="1"/>
  <c r="H27" s="1"/>
  <c r="H28" s="1"/>
  <c r="H29" s="1"/>
  <c r="H30" s="1"/>
  <c r="I22" i="76"/>
  <c r="W27"/>
  <c r="G22"/>
  <c r="W28"/>
  <c r="C22"/>
  <c r="C21" i="3"/>
  <c r="B25"/>
  <c r="B26" s="1"/>
  <c r="B29" s="1"/>
  <c r="B30" s="1"/>
  <c r="BA24" i="5"/>
  <c r="AX28"/>
  <c r="AA24"/>
  <c r="Z25"/>
  <c r="Z27" s="1"/>
  <c r="Z29" s="1"/>
  <c r="Z30" s="1"/>
  <c r="AJ24"/>
  <c r="X25"/>
  <c r="X26" s="1"/>
  <c r="X27" s="1"/>
  <c r="X28" s="1"/>
  <c r="X29" s="1"/>
  <c r="X30" s="1"/>
  <c r="Y24"/>
  <c r="G25"/>
  <c r="G26" s="1"/>
  <c r="G28" s="1"/>
  <c r="G29" s="1"/>
  <c r="G32" s="1"/>
  <c r="G33" s="1"/>
  <c r="H24"/>
  <c r="N23" i="1"/>
  <c r="M24"/>
  <c r="M27" s="1"/>
  <c r="M29" s="1"/>
  <c r="M30" s="1"/>
  <c r="L23"/>
  <c r="K24"/>
  <c r="K27" s="1"/>
  <c r="K29" s="1"/>
  <c r="K30" s="1"/>
  <c r="I23"/>
  <c r="H26"/>
  <c r="H29" s="1"/>
  <c r="H31" s="1"/>
  <c r="G23"/>
  <c r="J23" s="1"/>
  <c r="F26"/>
  <c r="F29" s="1"/>
  <c r="F31" s="1"/>
  <c r="V21" i="2"/>
  <c r="U22"/>
  <c r="U23" s="1"/>
  <c r="U24" s="1"/>
  <c r="U25" s="1"/>
  <c r="U26" s="1"/>
  <c r="U27" s="1"/>
  <c r="U28" s="1"/>
  <c r="U29" s="1"/>
  <c r="U30" s="1"/>
  <c r="T21"/>
  <c r="S22"/>
  <c r="S23" s="1"/>
  <c r="S24" s="1"/>
  <c r="S25" s="1"/>
  <c r="S26" s="1"/>
  <c r="S27" s="1"/>
  <c r="S28" s="1"/>
  <c r="S29" s="1"/>
  <c r="Q21"/>
  <c r="M21"/>
  <c r="K21"/>
  <c r="I21"/>
  <c r="G21"/>
  <c r="E21"/>
  <c r="D23" i="1" l="1"/>
  <c r="E23" s="1"/>
  <c r="N21" i="2"/>
  <c r="R21" s="1"/>
  <c r="I22" i="1"/>
  <c r="E18" i="3"/>
  <c r="E19"/>
  <c r="AO21" i="1"/>
  <c r="AB15" i="76" l="1"/>
  <c r="AC15"/>
  <c r="AB16"/>
  <c r="AC16"/>
  <c r="AC17"/>
  <c r="AC18"/>
  <c r="AC19"/>
  <c r="AB12"/>
  <c r="AC12"/>
  <c r="AD12"/>
  <c r="X14"/>
  <c r="Y14"/>
  <c r="AP5" i="7"/>
  <c r="BC5"/>
  <c r="BD5"/>
  <c r="BE5"/>
  <c r="BF5"/>
  <c r="BG5"/>
  <c r="D5" i="73"/>
  <c r="E5"/>
  <c r="F5"/>
  <c r="G5"/>
  <c r="H5"/>
  <c r="I5"/>
  <c r="J5"/>
  <c r="K5"/>
  <c r="L5"/>
  <c r="M5"/>
  <c r="N5"/>
  <c r="O5"/>
  <c r="AH2" i="2"/>
  <c r="AJ2"/>
  <c r="AK2"/>
  <c r="AL2"/>
  <c r="AM2"/>
  <c r="AN2"/>
  <c r="AO2"/>
  <c r="AP2"/>
  <c r="AQ2"/>
  <c r="AR2"/>
  <c r="AS2"/>
  <c r="AT2"/>
  <c r="AU2"/>
  <c r="AV2"/>
  <c r="AW2"/>
  <c r="AX2"/>
  <c r="AY2"/>
  <c r="AZ2"/>
  <c r="BA2"/>
  <c r="BB2"/>
  <c r="BC2"/>
  <c r="BD2"/>
  <c r="BE2"/>
  <c r="BF2"/>
  <c r="BG2"/>
  <c r="BH2"/>
  <c r="BI2"/>
  <c r="BJ2"/>
  <c r="BK2"/>
  <c r="BL2"/>
  <c r="BM2"/>
  <c r="BN2"/>
  <c r="BO2"/>
  <c r="BP2"/>
  <c r="BQ2"/>
  <c r="BR2"/>
  <c r="BS2"/>
  <c r="BT2"/>
  <c r="BU2"/>
  <c r="BV2"/>
  <c r="BW2"/>
  <c r="BX2"/>
  <c r="BY2"/>
  <c r="BZ2"/>
  <c r="CA2"/>
  <c r="CB2"/>
  <c r="CC2"/>
  <c r="CD2"/>
  <c r="CE2"/>
  <c r="CF2"/>
  <c r="CG2"/>
  <c r="CH2"/>
  <c r="CI2"/>
  <c r="CJ2"/>
  <c r="CK2"/>
  <c r="CL2"/>
  <c r="CM2"/>
  <c r="CN2"/>
  <c r="CO2"/>
  <c r="CP2"/>
  <c r="CQ2"/>
  <c r="CR2"/>
  <c r="CS2"/>
  <c r="CT2"/>
  <c r="CU2"/>
  <c r="CV2"/>
  <c r="CW2"/>
  <c r="CX2"/>
  <c r="CY2"/>
  <c r="CZ2"/>
  <c r="DA2"/>
  <c r="DB2"/>
  <c r="DC2"/>
  <c r="DD2"/>
  <c r="B2"/>
  <c r="A2"/>
  <c r="U24" i="5" l="1"/>
  <c r="R23" i="1"/>
  <c r="V23" s="1"/>
  <c r="S23"/>
  <c r="AF23"/>
  <c r="AD23"/>
  <c r="AG23" s="1"/>
  <c r="AA23"/>
  <c r="Y23"/>
  <c r="X21" i="2"/>
  <c r="Z21"/>
  <c r="I24" i="1"/>
  <c r="E20" i="3"/>
  <c r="K7" i="5"/>
  <c r="U10" i="3"/>
  <c r="AB23" i="1" l="1"/>
  <c r="AM23"/>
  <c r="T23"/>
  <c r="AL23"/>
  <c r="U23"/>
  <c r="AH23"/>
  <c r="AI23" s="1"/>
  <c r="AK23" s="1"/>
  <c r="I25"/>
  <c r="K8" i="5"/>
  <c r="U11" i="3"/>
  <c r="I26" i="1" l="1"/>
  <c r="K9" i="5"/>
  <c r="U12" i="3"/>
  <c r="I27" i="1" l="1"/>
  <c r="K10" i="5"/>
  <c r="U13" i="3"/>
  <c r="I28" i="1" l="1"/>
  <c r="K11" i="5"/>
  <c r="U14" i="3"/>
  <c r="I29" i="1" l="1"/>
  <c r="K12" i="5"/>
  <c r="U15" i="3"/>
  <c r="I30" i="1" l="1"/>
  <c r="U16" i="3"/>
  <c r="K13" i="5"/>
  <c r="I31" i="1" l="1"/>
  <c r="U17" i="3"/>
  <c r="K14" i="5"/>
  <c r="I32" i="1" l="1"/>
  <c r="U18" i="3"/>
  <c r="K15" i="5"/>
  <c r="U19" i="3" l="1"/>
  <c r="K16" i="5"/>
  <c r="U20" i="3" l="1"/>
  <c r="K17" i="5"/>
  <c r="K18" l="1"/>
  <c r="AI2" i="2"/>
  <c r="K19" i="5" l="1"/>
  <c r="K20" l="1"/>
  <c r="A5"/>
  <c r="K21" l="1"/>
  <c r="K19" i="73"/>
  <c r="G19"/>
  <c r="K15" i="76"/>
  <c r="K22" i="5" l="1"/>
  <c r="D14" i="73"/>
  <c r="K23" i="5" l="1"/>
  <c r="L24" s="1"/>
  <c r="AK24" s="1"/>
  <c r="X78" i="74" l="1"/>
  <c r="Z12" i="76"/>
  <c r="P31" i="3"/>
  <c r="AK35" i="5"/>
  <c r="F34"/>
  <c r="AD24" l="1"/>
  <c r="AQ23" i="1"/>
  <c r="AS23"/>
  <c r="AO23"/>
  <c r="AB21" i="2"/>
  <c r="AE21" s="1"/>
  <c r="AD21"/>
  <c r="AF21" s="1"/>
  <c r="K25" i="5"/>
  <c r="BA19"/>
  <c r="N6" i="1"/>
  <c r="L5"/>
  <c r="AT23" l="1"/>
  <c r="K26" i="5"/>
  <c r="BA20"/>
  <c r="BD20" s="1"/>
  <c r="N7" i="1"/>
  <c r="L6"/>
  <c r="A5" i="76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22" i="2"/>
  <c r="C17" i="76"/>
  <c r="Q15" i="2"/>
  <c r="C12" i="76"/>
  <c r="K27" i="5" l="1"/>
  <c r="L7" i="1"/>
  <c r="BA21" i="5"/>
  <c r="N8" i="1"/>
  <c r="AS34" i="7"/>
  <c r="AU34" s="1"/>
  <c r="AT34"/>
  <c r="K28" i="5" l="1"/>
  <c r="L8" i="1"/>
  <c r="N9"/>
  <c r="K6" i="5"/>
  <c r="K29" l="1"/>
  <c r="N10" i="1"/>
  <c r="L9"/>
  <c r="K30" i="5" l="1"/>
  <c r="N11" i="1"/>
  <c r="L10"/>
  <c r="K31" i="5" l="1"/>
  <c r="N12" i="1"/>
  <c r="L11"/>
  <c r="K32" i="5" l="1"/>
  <c r="L12" i="1"/>
  <c r="N13"/>
  <c r="A21"/>
  <c r="A22"/>
  <c r="A24"/>
  <c r="A25"/>
  <c r="A26"/>
  <c r="Q14" i="2"/>
  <c r="Q13"/>
  <c r="K33" i="5" l="1"/>
  <c r="N14" i="1"/>
  <c r="L13"/>
  <c r="S5" i="3"/>
  <c r="S6"/>
  <c r="K11" i="73"/>
  <c r="Y7" i="5"/>
  <c r="Y8"/>
  <c r="N15" i="1" l="1"/>
  <c r="L14"/>
  <c r="N16" l="1"/>
  <c r="L15"/>
  <c r="V26" i="76"/>
  <c r="A5" i="2"/>
  <c r="A6"/>
  <c r="A7"/>
  <c r="A8"/>
  <c r="A9"/>
  <c r="A10"/>
  <c r="A11"/>
  <c r="A12"/>
  <c r="A13"/>
  <c r="A14"/>
  <c r="A15"/>
  <c r="A16"/>
  <c r="A17"/>
  <c r="A18"/>
  <c r="A19"/>
  <c r="A20"/>
  <c r="A21"/>
  <c r="A23"/>
  <c r="A24"/>
  <c r="A25"/>
  <c r="A26"/>
  <c r="A27"/>
  <c r="A28"/>
  <c r="A29"/>
  <c r="A30"/>
  <c r="A3"/>
  <c r="B3" s="1"/>
  <c r="N17" i="1" l="1"/>
  <c r="L16"/>
  <c r="Y6" i="5"/>
  <c r="S7" i="3"/>
  <c r="G24" i="2"/>
  <c r="N18" i="1" l="1"/>
  <c r="L17"/>
  <c r="Q16" i="2"/>
  <c r="S8" i="3"/>
  <c r="D9" i="1"/>
  <c r="E9" s="1"/>
  <c r="L18" l="1"/>
  <c r="N19"/>
  <c r="Q17" i="2"/>
  <c r="S9" i="3"/>
  <c r="L19" i="1" l="1"/>
  <c r="N20"/>
  <c r="Q18" i="2"/>
  <c r="S16" i="3"/>
  <c r="V16" s="1"/>
  <c r="Y13" i="76"/>
  <c r="BH5" i="7"/>
  <c r="L20" i="1" l="1"/>
  <c r="N21"/>
  <c r="Q19" i="2"/>
  <c r="L21" i="1" l="1"/>
  <c r="N22"/>
  <c r="Q20" i="2"/>
  <c r="L22" i="1" l="1"/>
  <c r="N24" l="1"/>
  <c r="Q22" i="2"/>
  <c r="C13" i="76"/>
  <c r="N25" i="1" l="1"/>
  <c r="L24"/>
  <c r="Q23" i="2"/>
  <c r="C14" i="76"/>
  <c r="N26" i="1" l="1"/>
  <c r="L25"/>
  <c r="Q24" i="2"/>
  <c r="C15" i="76"/>
  <c r="N27" i="1" l="1"/>
  <c r="L26"/>
  <c r="Q25" i="2"/>
  <c r="C16" i="76"/>
  <c r="D12" i="73"/>
  <c r="AB7" i="2"/>
  <c r="G5" i="76"/>
  <c r="N28" i="1" l="1"/>
  <c r="L27"/>
  <c r="Q26" i="2"/>
  <c r="V28" i="76"/>
  <c r="V27"/>
  <c r="N29" i="1" l="1"/>
  <c r="L28"/>
  <c r="Q27" i="2"/>
  <c r="C18" i="76"/>
  <c r="L29" i="1" l="1"/>
  <c r="N30"/>
  <c r="Q28" i="2"/>
  <c r="C19" i="76"/>
  <c r="X15"/>
  <c r="N31" i="1" l="1"/>
  <c r="L30"/>
  <c r="Q29" i="2"/>
  <c r="C20" i="76"/>
  <c r="C4"/>
  <c r="AB8" i="2"/>
  <c r="G14" i="76"/>
  <c r="L14" s="1"/>
  <c r="N32" i="1" l="1"/>
  <c r="L31"/>
  <c r="Q30" i="2"/>
  <c r="C21" i="76"/>
  <c r="AB9" i="2"/>
  <c r="K14" i="76"/>
  <c r="N14" s="1"/>
  <c r="I14"/>
  <c r="M14" s="1"/>
  <c r="K16"/>
  <c r="N16" s="1"/>
  <c r="K17"/>
  <c r="N17" s="1"/>
  <c r="N15"/>
  <c r="G15"/>
  <c r="L15" s="1"/>
  <c r="I15"/>
  <c r="M15" s="1"/>
  <c r="L32" i="1" l="1"/>
  <c r="AB10" i="2"/>
  <c r="D14" i="76"/>
  <c r="E14" s="1"/>
  <c r="G16"/>
  <c r="L16" s="1"/>
  <c r="I16"/>
  <c r="M16" s="1"/>
  <c r="C23" l="1"/>
  <c r="G17"/>
  <c r="L17" s="1"/>
  <c r="I17"/>
  <c r="M17" s="1"/>
  <c r="D15"/>
  <c r="E15" s="1"/>
  <c r="C24" l="1"/>
  <c r="G18"/>
  <c r="D17"/>
  <c r="E17" s="1"/>
  <c r="D16"/>
  <c r="E16" s="1"/>
  <c r="S12" i="3"/>
  <c r="V12" s="1"/>
  <c r="C25" i="76" l="1"/>
  <c r="G19"/>
  <c r="I19"/>
  <c r="K18"/>
  <c r="N18" s="1"/>
  <c r="C26" l="1"/>
  <c r="I20"/>
  <c r="M18"/>
  <c r="D18"/>
  <c r="E18" s="1"/>
  <c r="L18"/>
  <c r="K19"/>
  <c r="N19" s="1"/>
  <c r="C27" l="1"/>
  <c r="I21"/>
  <c r="M19"/>
  <c r="D19"/>
  <c r="E19" s="1"/>
  <c r="G20"/>
  <c r="K20"/>
  <c r="N20" s="1"/>
  <c r="L19"/>
  <c r="C28" l="1"/>
  <c r="M20"/>
  <c r="D20"/>
  <c r="E20" s="1"/>
  <c r="L20"/>
  <c r="G21"/>
  <c r="K21"/>
  <c r="N21" s="1"/>
  <c r="O5" i="79"/>
  <c r="N5"/>
  <c r="AA5" i="76"/>
  <c r="Y16"/>
  <c r="V16"/>
  <c r="V15"/>
  <c r="V14"/>
  <c r="V13"/>
  <c r="C29" l="1"/>
  <c r="M21"/>
  <c r="D21"/>
  <c r="E21" s="1"/>
  <c r="AQ11" i="1"/>
  <c r="K22" i="76"/>
  <c r="L21"/>
  <c r="N22" l="1"/>
  <c r="D22"/>
  <c r="E22" s="1"/>
  <c r="C30"/>
  <c r="M22"/>
  <c r="I23"/>
  <c r="K23"/>
  <c r="N23" s="1"/>
  <c r="L22"/>
  <c r="G23"/>
  <c r="G30" i="73"/>
  <c r="D30"/>
  <c r="M23" i="76" l="1"/>
  <c r="D23"/>
  <c r="E23" s="1"/>
  <c r="I24"/>
  <c r="G24"/>
  <c r="L23"/>
  <c r="K24"/>
  <c r="N24" s="1"/>
  <c r="X20" i="2" l="1"/>
  <c r="M24" i="76"/>
  <c r="D24"/>
  <c r="E24" s="1"/>
  <c r="I25"/>
  <c r="G25"/>
  <c r="L24"/>
  <c r="K25"/>
  <c r="N25" s="1"/>
  <c r="AA8" i="1"/>
  <c r="U8" i="5"/>
  <c r="M25" i="76" l="1"/>
  <c r="D25"/>
  <c r="E25" s="1"/>
  <c r="I26"/>
  <c r="K26"/>
  <c r="N26" s="1"/>
  <c r="G26"/>
  <c r="L25"/>
  <c r="U9" i="5"/>
  <c r="M26" i="76" l="1"/>
  <c r="D26"/>
  <c r="E26" s="1"/>
  <c r="I27"/>
  <c r="G27"/>
  <c r="K27"/>
  <c r="N27" s="1"/>
  <c r="L26"/>
  <c r="U10" i="5"/>
  <c r="D27" i="76" l="1"/>
  <c r="E27" s="1"/>
  <c r="M27"/>
  <c r="I28"/>
  <c r="G28"/>
  <c r="K28"/>
  <c r="N28" s="1"/>
  <c r="L27"/>
  <c r="AB8"/>
  <c r="M28" l="1"/>
  <c r="D28"/>
  <c r="E28" s="1"/>
  <c r="I29"/>
  <c r="G29"/>
  <c r="L28"/>
  <c r="K29"/>
  <c r="N29" s="1"/>
  <c r="I6" i="79"/>
  <c r="M29" i="76" l="1"/>
  <c r="D29"/>
  <c r="E29" s="1"/>
  <c r="I30"/>
  <c r="G30"/>
  <c r="K30"/>
  <c r="N30" s="1"/>
  <c r="L29"/>
  <c r="O6" i="79"/>
  <c r="AF14" i="1"/>
  <c r="R29"/>
  <c r="AA7"/>
  <c r="D30"/>
  <c r="E30" s="1"/>
  <c r="D29"/>
  <c r="E29" s="1"/>
  <c r="D28"/>
  <c r="E28" s="1"/>
  <c r="D27"/>
  <c r="E27" s="1"/>
  <c r="D26"/>
  <c r="E26" s="1"/>
  <c r="D25"/>
  <c r="E25" s="1"/>
  <c r="D24"/>
  <c r="E24" s="1"/>
  <c r="D22"/>
  <c r="E22" s="1"/>
  <c r="M30" i="76" l="1"/>
  <c r="D30"/>
  <c r="E30" s="1"/>
  <c r="I31"/>
  <c r="C31"/>
  <c r="G31"/>
  <c r="L30"/>
  <c r="K31"/>
  <c r="N31" s="1"/>
  <c r="N32" s="1"/>
  <c r="O7" i="79"/>
  <c r="AS29" i="1"/>
  <c r="E26" i="2"/>
  <c r="M31" i="76" l="1"/>
  <c r="M32" s="1"/>
  <c r="D31"/>
  <c r="E31" s="1"/>
  <c r="L31"/>
  <c r="L32" s="1"/>
  <c r="M9" i="79"/>
  <c r="O8"/>
  <c r="D21" i="1"/>
  <c r="E21" s="1"/>
  <c r="M10" i="79" l="1"/>
  <c r="O9"/>
  <c r="I8"/>
  <c r="Q3" i="2"/>
  <c r="M11" i="79" l="1"/>
  <c r="O10"/>
  <c r="I9"/>
  <c r="I10" l="1"/>
  <c r="M12"/>
  <c r="O11"/>
  <c r="K13" i="73"/>
  <c r="A32" i="1"/>
  <c r="A31"/>
  <c r="A30"/>
  <c r="A29"/>
  <c r="A28"/>
  <c r="A27"/>
  <c r="A20"/>
  <c r="A19"/>
  <c r="A18"/>
  <c r="A17"/>
  <c r="A16"/>
  <c r="A15"/>
  <c r="A14"/>
  <c r="A13"/>
  <c r="A12"/>
  <c r="A11"/>
  <c r="A10"/>
  <c r="A9"/>
  <c r="A8"/>
  <c r="A7"/>
  <c r="A6"/>
  <c r="A5"/>
  <c r="A4"/>
  <c r="Q10" i="3" l="1"/>
  <c r="M13" i="79"/>
  <c r="O12"/>
  <c r="I11"/>
  <c r="D31" i="1"/>
  <c r="E31" s="1"/>
  <c r="M14" i="79" l="1"/>
  <c r="O13"/>
  <c r="I12"/>
  <c r="E24" i="3"/>
  <c r="M15" i="79" l="1"/>
  <c r="O14"/>
  <c r="I13"/>
  <c r="E25" i="3"/>
  <c r="M16" i="79" l="1"/>
  <c r="O15"/>
  <c r="I14"/>
  <c r="E26" i="3"/>
  <c r="I15" i="79" l="1"/>
  <c r="M17"/>
  <c r="O16"/>
  <c r="BB7" i="7"/>
  <c r="BB8"/>
  <c r="BB9"/>
  <c r="BB10"/>
  <c r="BB11"/>
  <c r="BB12"/>
  <c r="BB13"/>
  <c r="BB14"/>
  <c r="BB15"/>
  <c r="BB16"/>
  <c r="BB17"/>
  <c r="BB18"/>
  <c r="BB19"/>
  <c r="BB20"/>
  <c r="BB21"/>
  <c r="BB22"/>
  <c r="BB23"/>
  <c r="BB24"/>
  <c r="BB25"/>
  <c r="BB26"/>
  <c r="BB27"/>
  <c r="BB28"/>
  <c r="BB29"/>
  <c r="BB30"/>
  <c r="BB31"/>
  <c r="BB32"/>
  <c r="J5" i="79"/>
  <c r="I16" l="1"/>
  <c r="M18"/>
  <c r="O17"/>
  <c r="W43" i="74"/>
  <c r="A10" i="3"/>
  <c r="A11"/>
  <c r="A12"/>
  <c r="A13"/>
  <c r="M19" i="79" l="1"/>
  <c r="O18"/>
  <c r="I17"/>
  <c r="A3" i="76"/>
  <c r="A5" i="7"/>
  <c r="M20" i="79" l="1"/>
  <c r="O19"/>
  <c r="I18"/>
  <c r="M21" l="1"/>
  <c r="O20"/>
  <c r="I19"/>
  <c r="M22" l="1"/>
  <c r="O21"/>
  <c r="I20"/>
  <c r="A2" i="3"/>
  <c r="A5" i="73"/>
  <c r="I21" i="79" l="1"/>
  <c r="M23"/>
  <c r="O22"/>
  <c r="I22" l="1"/>
  <c r="M24"/>
  <c r="O23"/>
  <c r="B6" i="7"/>
  <c r="F35" i="5"/>
  <c r="F36"/>
  <c r="B36"/>
  <c r="I23" i="79" l="1"/>
  <c r="M25"/>
  <c r="O24"/>
  <c r="D6" i="73"/>
  <c r="AM6" i="5" s="1"/>
  <c r="D7" i="73"/>
  <c r="D8"/>
  <c r="D9"/>
  <c r="D10"/>
  <c r="D11"/>
  <c r="D13"/>
  <c r="D15"/>
  <c r="D16"/>
  <c r="D17"/>
  <c r="D18"/>
  <c r="D19"/>
  <c r="D20"/>
  <c r="D21"/>
  <c r="D22"/>
  <c r="D23"/>
  <c r="BA23" i="7" s="1"/>
  <c r="BA24"/>
  <c r="D25" i="73"/>
  <c r="BA25" i="7" s="1"/>
  <c r="D26" i="73"/>
  <c r="BA26" i="7" s="1"/>
  <c r="D27" i="73"/>
  <c r="BA27" i="7" s="1"/>
  <c r="D28" i="73"/>
  <c r="BA28" i="7" s="1"/>
  <c r="D29" i="73"/>
  <c r="BA29" i="7" s="1"/>
  <c r="BA30"/>
  <c r="D31" i="73"/>
  <c r="BA31" i="7" s="1"/>
  <c r="D32" i="73"/>
  <c r="BA32" i="7" s="1"/>
  <c r="D33" i="73"/>
  <c r="A4" i="76"/>
  <c r="A3" i="3"/>
  <c r="A4"/>
  <c r="A5"/>
  <c r="A6"/>
  <c r="A7"/>
  <c r="A8"/>
  <c r="A9"/>
  <c r="A14"/>
  <c r="A15"/>
  <c r="A16"/>
  <c r="A17"/>
  <c r="A18"/>
  <c r="A19"/>
  <c r="A20"/>
  <c r="A21"/>
  <c r="A22"/>
  <c r="A23"/>
  <c r="A24"/>
  <c r="A25"/>
  <c r="A26"/>
  <c r="A27"/>
  <c r="A28"/>
  <c r="A29"/>
  <c r="A30"/>
  <c r="A6" i="7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6" i="73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O32" i="1"/>
  <c r="I24" i="79" l="1"/>
  <c r="M26"/>
  <c r="O25"/>
  <c r="AM20" i="5"/>
  <c r="BA20" i="7"/>
  <c r="AM12" i="5"/>
  <c r="BA12" i="7"/>
  <c r="AM13" i="5"/>
  <c r="BA13" i="7"/>
  <c r="AM21" i="5"/>
  <c r="BA21" i="7"/>
  <c r="AM22" i="5"/>
  <c r="BA22" i="7"/>
  <c r="AM14" i="5"/>
  <c r="BA14" i="7"/>
  <c r="AM15" i="5"/>
  <c r="BA15" i="7"/>
  <c r="AM7" i="5"/>
  <c r="BA7" i="7"/>
  <c r="AM16" i="5"/>
  <c r="BA16" i="7"/>
  <c r="AM8" i="5"/>
  <c r="BA8" i="7"/>
  <c r="AM17" i="5"/>
  <c r="BA17" i="7"/>
  <c r="AM9" i="5"/>
  <c r="BA9" i="7"/>
  <c r="AM18" i="5"/>
  <c r="BA18" i="7"/>
  <c r="AM10" i="5"/>
  <c r="BA10" i="7"/>
  <c r="AM19" i="5"/>
  <c r="BA19" i="7"/>
  <c r="AM11" i="5"/>
  <c r="BA11" i="7"/>
  <c r="K15" i="73"/>
  <c r="G15"/>
  <c r="AP14" i="5"/>
  <c r="Y11"/>
  <c r="AD7" i="1"/>
  <c r="AB21" i="74"/>
  <c r="AA21"/>
  <c r="I4" i="76"/>
  <c r="U3" i="3"/>
  <c r="S3"/>
  <c r="Q3"/>
  <c r="I3"/>
  <c r="E3"/>
  <c r="AD7" i="5"/>
  <c r="AJ6"/>
  <c r="J2" i="82"/>
  <c r="U6" i="5"/>
  <c r="H6"/>
  <c r="D5" i="75"/>
  <c r="E5" s="1"/>
  <c r="Y5" i="1"/>
  <c r="R5"/>
  <c r="G5"/>
  <c r="AD3" i="2"/>
  <c r="AB3"/>
  <c r="Z3"/>
  <c r="V3"/>
  <c r="T3"/>
  <c r="K3"/>
  <c r="G3"/>
  <c r="I2" i="82" s="1"/>
  <c r="I13" i="76"/>
  <c r="M13" s="1"/>
  <c r="K7" i="3"/>
  <c r="E4"/>
  <c r="AJ14" i="5"/>
  <c r="K10" i="82" s="1"/>
  <c r="H8" i="5"/>
  <c r="H10"/>
  <c r="AO9" i="1"/>
  <c r="AF13"/>
  <c r="AA6"/>
  <c r="Y6"/>
  <c r="Y15"/>
  <c r="AB15" s="1"/>
  <c r="R13"/>
  <c r="S10"/>
  <c r="T10" s="1"/>
  <c r="V4" i="2"/>
  <c r="F34" i="73"/>
  <c r="B17" i="77" s="1"/>
  <c r="J9" i="63"/>
  <c r="K9" i="73"/>
  <c r="G9"/>
  <c r="C6" i="76"/>
  <c r="K4"/>
  <c r="K3" i="3"/>
  <c r="AS33" i="1"/>
  <c r="AW35" s="1"/>
  <c r="AS5"/>
  <c r="AQ6"/>
  <c r="AO5"/>
  <c r="S6"/>
  <c r="T6" s="1"/>
  <c r="S5"/>
  <c r="B7" i="7"/>
  <c r="D7" s="1"/>
  <c r="K25" i="73"/>
  <c r="X3" i="2"/>
  <c r="M3"/>
  <c r="E2" i="82" s="1"/>
  <c r="I3" i="2"/>
  <c r="G2" i="82" s="1"/>
  <c r="J30" i="63"/>
  <c r="AP31" i="5"/>
  <c r="B8" i="77"/>
  <c r="J11" i="63"/>
  <c r="D7" i="77"/>
  <c r="F2" i="63"/>
  <c r="AV33" i="1"/>
  <c r="AV36" s="1"/>
  <c r="BA6" i="5"/>
  <c r="BA7"/>
  <c r="BA8"/>
  <c r="BA9"/>
  <c r="BA10"/>
  <c r="BA13"/>
  <c r="A34" i="65"/>
  <c r="G6" i="73"/>
  <c r="K6"/>
  <c r="G7"/>
  <c r="K7"/>
  <c r="G8"/>
  <c r="K8"/>
  <c r="G10"/>
  <c r="K10"/>
  <c r="G11"/>
  <c r="G12"/>
  <c r="K12"/>
  <c r="G13"/>
  <c r="G14"/>
  <c r="G16"/>
  <c r="K16"/>
  <c r="G17"/>
  <c r="K17"/>
  <c r="G18"/>
  <c r="K18"/>
  <c r="G20"/>
  <c r="K20"/>
  <c r="G21"/>
  <c r="K21"/>
  <c r="G22"/>
  <c r="K22"/>
  <c r="G23"/>
  <c r="K23"/>
  <c r="G24"/>
  <c r="K24"/>
  <c r="G25"/>
  <c r="G26"/>
  <c r="K26"/>
  <c r="AM27" i="5"/>
  <c r="G27" i="73"/>
  <c r="K27"/>
  <c r="AM28" i="5"/>
  <c r="G28" i="73"/>
  <c r="K28"/>
  <c r="AM29" i="5"/>
  <c r="G29" i="73"/>
  <c r="K29"/>
  <c r="AM30" i="5"/>
  <c r="K30" i="73"/>
  <c r="AM31" i="5"/>
  <c r="G31" i="73"/>
  <c r="AM32" i="5"/>
  <c r="G32" i="73"/>
  <c r="K32"/>
  <c r="AM33" i="5"/>
  <c r="G33" i="73"/>
  <c r="K33"/>
  <c r="A19" i="65"/>
  <c r="A14" i="5"/>
  <c r="AR14" s="1"/>
  <c r="AP18"/>
  <c r="AP17"/>
  <c r="AP13"/>
  <c r="I4" i="2"/>
  <c r="G3" i="82" s="1"/>
  <c r="AP26" i="5"/>
  <c r="AP22"/>
  <c r="AP21"/>
  <c r="AP12"/>
  <c r="AP8"/>
  <c r="AP16"/>
  <c r="T77" i="74"/>
  <c r="T76"/>
  <c r="T75"/>
  <c r="T74"/>
  <c r="T72"/>
  <c r="T71"/>
  <c r="T70"/>
  <c r="T69"/>
  <c r="T68"/>
  <c r="T67"/>
  <c r="T65"/>
  <c r="T64"/>
  <c r="T63"/>
  <c r="T61"/>
  <c r="T59"/>
  <c r="T58"/>
  <c r="T57"/>
  <c r="T55"/>
  <c r="T52"/>
  <c r="T51"/>
  <c r="T50"/>
  <c r="T49"/>
  <c r="AP7" i="5"/>
  <c r="AP27"/>
  <c r="A6" i="79"/>
  <c r="L6" s="1"/>
  <c r="A7"/>
  <c r="L7" s="1"/>
  <c r="A8"/>
  <c r="L8" s="1"/>
  <c r="A9"/>
  <c r="L9" s="1"/>
  <c r="A10"/>
  <c r="L10" s="1"/>
  <c r="A11"/>
  <c r="L11" s="1"/>
  <c r="A12"/>
  <c r="L12" s="1"/>
  <c r="A13"/>
  <c r="L13" s="1"/>
  <c r="A14"/>
  <c r="L14" s="1"/>
  <c r="A15"/>
  <c r="L15" s="1"/>
  <c r="A16"/>
  <c r="L16" s="1"/>
  <c r="A17"/>
  <c r="L17" s="1"/>
  <c r="A18"/>
  <c r="L18" s="1"/>
  <c r="A19"/>
  <c r="L19" s="1"/>
  <c r="A20"/>
  <c r="L20" s="1"/>
  <c r="A21"/>
  <c r="L21" s="1"/>
  <c r="A22"/>
  <c r="L22" s="1"/>
  <c r="A23"/>
  <c r="L23" s="1"/>
  <c r="A24"/>
  <c r="L24" s="1"/>
  <c r="A25"/>
  <c r="L25" s="1"/>
  <c r="A26"/>
  <c r="L26" s="1"/>
  <c r="A27"/>
  <c r="L27" s="1"/>
  <c r="A28"/>
  <c r="L28" s="1"/>
  <c r="A29"/>
  <c r="L29" s="1"/>
  <c r="A30"/>
  <c r="L30" s="1"/>
  <c r="A31"/>
  <c r="L31" s="1"/>
  <c r="A32"/>
  <c r="L32" s="1"/>
  <c r="A33"/>
  <c r="L33" s="1"/>
  <c r="A31" i="5"/>
  <c r="AR31" s="1"/>
  <c r="AL4" i="7"/>
  <c r="AK4"/>
  <c r="AJ4"/>
  <c r="AI4"/>
  <c r="AH4"/>
  <c r="AG4"/>
  <c r="AF4"/>
  <c r="AE4"/>
  <c r="AD4"/>
  <c r="AC4"/>
  <c r="AB4"/>
  <c r="AA4"/>
  <c r="Z4"/>
  <c r="B4"/>
  <c r="D4" s="1"/>
  <c r="F4" s="1"/>
  <c r="H4" s="1"/>
  <c r="J4" s="1"/>
  <c r="L4" s="1"/>
  <c r="N4" s="1"/>
  <c r="P4" s="1"/>
  <c r="R4" s="1"/>
  <c r="T4" s="1"/>
  <c r="V4" s="1"/>
  <c r="A23" i="5"/>
  <c r="AR23" s="1"/>
  <c r="AH35" i="1"/>
  <c r="AH34"/>
  <c r="AP9" i="5"/>
  <c r="V4" i="76"/>
  <c r="D36" i="75"/>
  <c r="E36" s="1"/>
  <c r="F36"/>
  <c r="G36" s="1"/>
  <c r="D37"/>
  <c r="E37" s="1"/>
  <c r="F37"/>
  <c r="G37" s="1"/>
  <c r="B3" i="65"/>
  <c r="C3"/>
  <c r="H34"/>
  <c r="I34"/>
  <c r="J34"/>
  <c r="F32" i="63"/>
  <c r="G32"/>
  <c r="I32" s="1"/>
  <c r="H32"/>
  <c r="D3" i="7"/>
  <c r="F3" s="1"/>
  <c r="H3" s="1"/>
  <c r="AM3"/>
  <c r="BB6"/>
  <c r="BB33"/>
  <c r="G3" i="3"/>
  <c r="O3"/>
  <c r="W3"/>
  <c r="AJ3"/>
  <c r="AJ4"/>
  <c r="AJ5"/>
  <c r="AJ6"/>
  <c r="AJ7"/>
  <c r="AJ8"/>
  <c r="AJ10"/>
  <c r="AJ11"/>
  <c r="AJ12"/>
  <c r="AJ13"/>
  <c r="AJ14"/>
  <c r="AJ15"/>
  <c r="AJ16"/>
  <c r="AJ17"/>
  <c r="AJ18"/>
  <c r="AJ19"/>
  <c r="AJ20"/>
  <c r="AJ21"/>
  <c r="AJ22"/>
  <c r="AJ23"/>
  <c r="AJ24"/>
  <c r="AJ25"/>
  <c r="AJ26"/>
  <c r="AJ27"/>
  <c r="AJ28"/>
  <c r="AJ29"/>
  <c r="AJ30"/>
  <c r="AY4" i="5"/>
  <c r="AZ4"/>
  <c r="BA4"/>
  <c r="A6"/>
  <c r="AR6" s="1"/>
  <c r="AN6"/>
  <c r="AP6"/>
  <c r="A7"/>
  <c r="AR7" s="1"/>
  <c r="AN7"/>
  <c r="A8"/>
  <c r="AR8" s="1"/>
  <c r="AN8"/>
  <c r="A9"/>
  <c r="AR9" s="1"/>
  <c r="AN9"/>
  <c r="AU9"/>
  <c r="AU10" s="1"/>
  <c r="A10"/>
  <c r="AR10" s="1"/>
  <c r="AN10"/>
  <c r="A11"/>
  <c r="AR11" s="1"/>
  <c r="AN11"/>
  <c r="A12"/>
  <c r="AR12" s="1"/>
  <c r="AN12"/>
  <c r="A13"/>
  <c r="AR13" s="1"/>
  <c r="AN14"/>
  <c r="A15"/>
  <c r="AR15" s="1"/>
  <c r="AN15"/>
  <c r="A16"/>
  <c r="AR16" s="1"/>
  <c r="AN16"/>
  <c r="A17"/>
  <c r="AR17" s="1"/>
  <c r="AN17"/>
  <c r="A18"/>
  <c r="AR18" s="1"/>
  <c r="AN18"/>
  <c r="A19"/>
  <c r="AR19" s="1"/>
  <c r="AN19"/>
  <c r="A20"/>
  <c r="AR20" s="1"/>
  <c r="AN20"/>
  <c r="A21"/>
  <c r="AR21" s="1"/>
  <c r="AN21"/>
  <c r="A22"/>
  <c r="AR22" s="1"/>
  <c r="AN22"/>
  <c r="AN23"/>
  <c r="AP23"/>
  <c r="A24"/>
  <c r="AR24" s="1"/>
  <c r="A25"/>
  <c r="AR25" s="1"/>
  <c r="AN25"/>
  <c r="A26"/>
  <c r="AR26" s="1"/>
  <c r="AN26"/>
  <c r="A27"/>
  <c r="AR27" s="1"/>
  <c r="AN27"/>
  <c r="A28"/>
  <c r="AR28" s="1"/>
  <c r="AN28"/>
  <c r="A29"/>
  <c r="AR29" s="1"/>
  <c r="AN29"/>
  <c r="A30"/>
  <c r="AR30" s="1"/>
  <c r="AN30"/>
  <c r="AN31"/>
  <c r="A32"/>
  <c r="AR32" s="1"/>
  <c r="AN32"/>
  <c r="A33"/>
  <c r="AR33" s="1"/>
  <c r="AN33"/>
  <c r="AP33"/>
  <c r="A6" i="65"/>
  <c r="J6" i="63"/>
  <c r="A9" i="65"/>
  <c r="J8" i="63"/>
  <c r="A12" i="65"/>
  <c r="J12" i="63"/>
  <c r="A16" i="65"/>
  <c r="J15" i="63"/>
  <c r="J16"/>
  <c r="J18"/>
  <c r="A21" i="65"/>
  <c r="A23"/>
  <c r="A25"/>
  <c r="A27"/>
  <c r="J26" i="63"/>
  <c r="A29" i="65"/>
  <c r="J28" i="63"/>
  <c r="A33" i="65"/>
  <c r="AZ6" i="7"/>
  <c r="A4" i="2"/>
  <c r="AZ7" i="7" s="1"/>
  <c r="AZ8"/>
  <c r="AZ10"/>
  <c r="AZ11"/>
  <c r="AZ12"/>
  <c r="AZ13"/>
  <c r="AZ16"/>
  <c r="AZ17"/>
  <c r="AZ18"/>
  <c r="AZ20"/>
  <c r="AZ22"/>
  <c r="AZ23"/>
  <c r="AZ25"/>
  <c r="AZ27"/>
  <c r="AZ28"/>
  <c r="AZ31"/>
  <c r="AZ32"/>
  <c r="AZ33"/>
  <c r="B3" i="82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" i="81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AP20" i="5"/>
  <c r="AP32"/>
  <c r="AP30"/>
  <c r="T66" i="74"/>
  <c r="T62"/>
  <c r="T54"/>
  <c r="T60"/>
  <c r="T48"/>
  <c r="T53"/>
  <c r="T56"/>
  <c r="T73"/>
  <c r="AZ8" i="5"/>
  <c r="AP11"/>
  <c r="AP19"/>
  <c r="AP25"/>
  <c r="AP28"/>
  <c r="AP29"/>
  <c r="AN13"/>
  <c r="AP10"/>
  <c r="E7" i="77"/>
  <c r="B32" i="63"/>
  <c r="A32"/>
  <c r="E32"/>
  <c r="C32"/>
  <c r="Z39" i="76"/>
  <c r="BA33" i="7"/>
  <c r="AJ7" i="5"/>
  <c r="AQ5" i="1"/>
  <c r="AS6"/>
  <c r="M4" i="2"/>
  <c r="E3" i="82" s="1"/>
  <c r="K4" i="2"/>
  <c r="F3" i="82" s="1"/>
  <c r="E5" i="2"/>
  <c r="H4" i="82" s="1"/>
  <c r="E4" i="2"/>
  <c r="I6" i="76"/>
  <c r="M6" s="1"/>
  <c r="I5"/>
  <c r="M5" s="1"/>
  <c r="G6"/>
  <c r="L6" s="1"/>
  <c r="G4"/>
  <c r="C5"/>
  <c r="S4" i="3"/>
  <c r="C4"/>
  <c r="C3"/>
  <c r="J4" i="82"/>
  <c r="J3"/>
  <c r="U7" i="5"/>
  <c r="R7" i="1"/>
  <c r="R6"/>
  <c r="D7"/>
  <c r="E7" s="1"/>
  <c r="Z7" i="7"/>
  <c r="AA7" s="1"/>
  <c r="D6" i="1"/>
  <c r="E6" s="1"/>
  <c r="D5"/>
  <c r="E5" s="1"/>
  <c r="Z6" i="7"/>
  <c r="AB6" s="1"/>
  <c r="AD6" s="1"/>
  <c r="AM26" i="5"/>
  <c r="AD5" i="2"/>
  <c r="AB5"/>
  <c r="Z5"/>
  <c r="Z4"/>
  <c r="T5"/>
  <c r="T4"/>
  <c r="Q5"/>
  <c r="Q4"/>
  <c r="I5" i="65"/>
  <c r="I5" i="2"/>
  <c r="G4" i="82" s="1"/>
  <c r="G5" i="2"/>
  <c r="I4" i="82" s="1"/>
  <c r="G4" i="2"/>
  <c r="E3"/>
  <c r="H2" i="82" s="1"/>
  <c r="A5" i="79"/>
  <c r="L5" s="1"/>
  <c r="J2" i="63"/>
  <c r="K31" i="73"/>
  <c r="AB4" i="2"/>
  <c r="AD6" i="1"/>
  <c r="H7" i="5"/>
  <c r="AD4" i="2"/>
  <c r="AF5" i="1"/>
  <c r="AA6" i="5"/>
  <c r="J4" i="63"/>
  <c r="AD8" i="5"/>
  <c r="U5" i="3"/>
  <c r="U4"/>
  <c r="K6" i="76"/>
  <c r="N6" s="1"/>
  <c r="K5"/>
  <c r="N5" s="1"/>
  <c r="K4" i="3"/>
  <c r="K5"/>
  <c r="N5" s="1"/>
  <c r="AA7" i="5"/>
  <c r="AO6" i="1"/>
  <c r="AS7"/>
  <c r="M5" i="2"/>
  <c r="E4" i="82" s="1"/>
  <c r="X4" i="2"/>
  <c r="K7" i="76"/>
  <c r="N7" s="1"/>
  <c r="I7"/>
  <c r="M7" s="1"/>
  <c r="G7"/>
  <c r="L7" s="1"/>
  <c r="C7"/>
  <c r="U6" i="3"/>
  <c r="K6"/>
  <c r="AD9" i="5"/>
  <c r="AA8"/>
  <c r="AJ8"/>
  <c r="K4" i="82" s="1"/>
  <c r="Y9" i="5"/>
  <c r="H9"/>
  <c r="AQ7" i="1"/>
  <c r="AD8"/>
  <c r="R8"/>
  <c r="S7"/>
  <c r="T7" s="1"/>
  <c r="Z8" i="7"/>
  <c r="B8"/>
  <c r="AD6" i="2"/>
  <c r="AB6"/>
  <c r="Z6"/>
  <c r="Q6"/>
  <c r="K5"/>
  <c r="F4" i="82" s="1"/>
  <c r="I6" i="2"/>
  <c r="G5" i="82" s="1"/>
  <c r="G6" i="2"/>
  <c r="G6" i="1"/>
  <c r="I6"/>
  <c r="G7"/>
  <c r="AF6"/>
  <c r="AO7"/>
  <c r="X5" i="2"/>
  <c r="E6"/>
  <c r="H5" i="82" s="1"/>
  <c r="K8" i="76"/>
  <c r="N8" s="1"/>
  <c r="I8"/>
  <c r="G8"/>
  <c r="L8" s="1"/>
  <c r="AD10" i="5"/>
  <c r="AA9"/>
  <c r="AJ9"/>
  <c r="K5" i="82" s="1"/>
  <c r="Y10" i="5"/>
  <c r="AS8" i="1"/>
  <c r="AQ8"/>
  <c r="R9"/>
  <c r="S8"/>
  <c r="T8" s="1"/>
  <c r="Z9" i="7"/>
  <c r="AB9" s="1"/>
  <c r="D8" i="1"/>
  <c r="E8" s="1"/>
  <c r="B9" i="7"/>
  <c r="C9" s="1"/>
  <c r="AD7" i="2"/>
  <c r="Z7"/>
  <c r="Q7"/>
  <c r="M6"/>
  <c r="E5" i="82" s="1"/>
  <c r="K6" i="2"/>
  <c r="F5" i="82" s="1"/>
  <c r="I7" i="2"/>
  <c r="G6" i="82" s="1"/>
  <c r="G7" i="2"/>
  <c r="I6" i="82" s="1"/>
  <c r="E7" i="2"/>
  <c r="H6" i="82" s="1"/>
  <c r="I7" i="1"/>
  <c r="AF7"/>
  <c r="G8"/>
  <c r="AO8"/>
  <c r="X6" i="2"/>
  <c r="AD11" i="5"/>
  <c r="AJ10"/>
  <c r="K6" i="82" s="1"/>
  <c r="AA10" i="5"/>
  <c r="AS9" i="1"/>
  <c r="AQ9"/>
  <c r="R10"/>
  <c r="Z10" i="7"/>
  <c r="AA10" s="1"/>
  <c r="B10"/>
  <c r="Z8" i="2"/>
  <c r="Q8"/>
  <c r="M7"/>
  <c r="E6" i="82" s="1"/>
  <c r="I8" i="1"/>
  <c r="G9"/>
  <c r="AF8"/>
  <c r="X7" i="2"/>
  <c r="AA11" i="5"/>
  <c r="AJ11"/>
  <c r="AS10" i="1"/>
  <c r="AQ10"/>
  <c r="AD11"/>
  <c r="R11"/>
  <c r="B11" i="7"/>
  <c r="Q9" i="2"/>
  <c r="M8"/>
  <c r="E7" i="82" s="1"/>
  <c r="I9" i="1"/>
  <c r="G10"/>
  <c r="X8" i="2"/>
  <c r="D12" i="1"/>
  <c r="E12" s="1"/>
  <c r="B12" i="7"/>
  <c r="D12" s="1"/>
  <c r="I11" i="1"/>
  <c r="I10"/>
  <c r="X9" i="2"/>
  <c r="D13" i="1"/>
  <c r="E13" s="1"/>
  <c r="M10" i="2"/>
  <c r="E9" i="82" s="1"/>
  <c r="E12" i="3"/>
  <c r="C12"/>
  <c r="Y14" i="1"/>
  <c r="AB14" s="1"/>
  <c r="M11" i="2"/>
  <c r="E10" i="82" s="1"/>
  <c r="E13" i="3"/>
  <c r="U13" i="5"/>
  <c r="AA13"/>
  <c r="AJ13"/>
  <c r="K9" i="82" s="1"/>
  <c r="AJ12" i="5"/>
  <c r="K8" i="82" s="1"/>
  <c r="AA14" i="5"/>
  <c r="AA12"/>
  <c r="Y13"/>
  <c r="Y12"/>
  <c r="K10" i="76"/>
  <c r="N10" s="1"/>
  <c r="G14" i="1"/>
  <c r="G13"/>
  <c r="G12"/>
  <c r="G11"/>
  <c r="D11"/>
  <c r="E11" s="1"/>
  <c r="Z14" i="7"/>
  <c r="AB14" s="1"/>
  <c r="Q10" i="2"/>
  <c r="M9"/>
  <c r="E8" i="82" s="1"/>
  <c r="K12" i="76"/>
  <c r="N12" s="1"/>
  <c r="K11"/>
  <c r="N11" s="1"/>
  <c r="K9"/>
  <c r="N9" s="1"/>
  <c r="I11"/>
  <c r="I10"/>
  <c r="M10" s="1"/>
  <c r="I9"/>
  <c r="M9" s="1"/>
  <c r="I12"/>
  <c r="M12" s="1"/>
  <c r="G11"/>
  <c r="L11" s="1"/>
  <c r="G12"/>
  <c r="L12" s="1"/>
  <c r="G10"/>
  <c r="G9"/>
  <c r="L9" s="1"/>
  <c r="C9"/>
  <c r="C11"/>
  <c r="C10"/>
  <c r="C8"/>
  <c r="U9" i="3"/>
  <c r="V9" s="1"/>
  <c r="U8"/>
  <c r="U7"/>
  <c r="BA11" i="5"/>
  <c r="BA12"/>
  <c r="AD12"/>
  <c r="Y15"/>
  <c r="Y14"/>
  <c r="U15"/>
  <c r="U14"/>
  <c r="U12"/>
  <c r="U11"/>
  <c r="AS11" i="1"/>
  <c r="AF12"/>
  <c r="AF9"/>
  <c r="AF11"/>
  <c r="AF10"/>
  <c r="AD10"/>
  <c r="AD9"/>
  <c r="AG9" s="1"/>
  <c r="AD12"/>
  <c r="S9"/>
  <c r="T9" s="1"/>
  <c r="D10"/>
  <c r="E10" s="1"/>
  <c r="Z13" i="7"/>
  <c r="AA13" s="1"/>
  <c r="Z12"/>
  <c r="AA12" s="1"/>
  <c r="Z11"/>
  <c r="AA11" s="1"/>
  <c r="B14"/>
  <c r="C14" s="1"/>
  <c r="B13"/>
  <c r="AD8" i="2"/>
  <c r="Z9"/>
  <c r="X10"/>
  <c r="K8"/>
  <c r="F7" i="82" s="1"/>
  <c r="K7" i="2"/>
  <c r="F6" i="82" s="1"/>
  <c r="I8" i="2"/>
  <c r="G7" i="82" s="1"/>
  <c r="G8" i="2"/>
  <c r="I7" i="82" s="1"/>
  <c r="J23" i="63"/>
  <c r="J17"/>
  <c r="A13" i="65"/>
  <c r="R14" i="1"/>
  <c r="R12"/>
  <c r="E8" i="2"/>
  <c r="H7" i="82" s="1"/>
  <c r="AM25" i="5"/>
  <c r="A30" i="65"/>
  <c r="I12" i="1"/>
  <c r="A24" i="65"/>
  <c r="J22" i="63"/>
  <c r="BA6" i="7"/>
  <c r="K8" i="3"/>
  <c r="N8" s="1"/>
  <c r="AD13" i="5"/>
  <c r="AD14"/>
  <c r="AD16"/>
  <c r="AD15"/>
  <c r="H11"/>
  <c r="AS12" i="1"/>
  <c r="AQ12"/>
  <c r="AO10"/>
  <c r="S11"/>
  <c r="T11" s="1"/>
  <c r="AD9" i="2"/>
  <c r="AB13"/>
  <c r="AB11"/>
  <c r="Z11"/>
  <c r="Z10"/>
  <c r="X11"/>
  <c r="K9"/>
  <c r="F8" i="82" s="1"/>
  <c r="I9" i="2"/>
  <c r="G8" i="82" s="1"/>
  <c r="G9" i="2"/>
  <c r="E9"/>
  <c r="H8" i="82" s="1"/>
  <c r="I14" i="1"/>
  <c r="I13"/>
  <c r="S10" i="3"/>
  <c r="V10" s="1"/>
  <c r="K9"/>
  <c r="N9" s="1"/>
  <c r="AD17" i="5"/>
  <c r="H12"/>
  <c r="AS13" i="1"/>
  <c r="AQ14"/>
  <c r="AQ13"/>
  <c r="AO11"/>
  <c r="S12"/>
  <c r="T12" s="1"/>
  <c r="AD10" i="2"/>
  <c r="AB12"/>
  <c r="X12"/>
  <c r="X13"/>
  <c r="K10"/>
  <c r="F9" i="82" s="1"/>
  <c r="I10" i="2"/>
  <c r="G9" i="82" s="1"/>
  <c r="G10" i="2"/>
  <c r="E11"/>
  <c r="E10"/>
  <c r="H9" i="82" s="1"/>
  <c r="S11" i="3"/>
  <c r="V11" s="1"/>
  <c r="K11"/>
  <c r="K10"/>
  <c r="AD18" i="5"/>
  <c r="H13"/>
  <c r="AS14" i="1"/>
  <c r="AO12"/>
  <c r="S14"/>
  <c r="T14" s="1"/>
  <c r="S13"/>
  <c r="AD12" i="2"/>
  <c r="AD11"/>
  <c r="K13"/>
  <c r="F12" i="82" s="1"/>
  <c r="K11" i="2"/>
  <c r="F10" i="82" s="1"/>
  <c r="I11" i="2"/>
  <c r="G10" i="82" s="1"/>
  <c r="G11" i="2"/>
  <c r="I10" i="82" s="1"/>
  <c r="G12" i="2"/>
  <c r="I11" i="82" s="1"/>
  <c r="V7" i="2"/>
  <c r="AD19" i="5"/>
  <c r="H14"/>
  <c r="AS15" i="1"/>
  <c r="AO13"/>
  <c r="K12" i="2"/>
  <c r="F11" i="82" s="1"/>
  <c r="I12" i="2"/>
  <c r="G11" i="82" s="1"/>
  <c r="I13" i="2"/>
  <c r="G12" i="82" s="1"/>
  <c r="V8" i="2"/>
  <c r="AD20" i="5"/>
  <c r="H16"/>
  <c r="H15"/>
  <c r="AO14" i="1"/>
  <c r="V9" i="2"/>
  <c r="AD21" i="5"/>
  <c r="T12" i="2"/>
  <c r="T14"/>
  <c r="V10"/>
  <c r="AD22" i="5"/>
  <c r="V12" i="2"/>
  <c r="V11"/>
  <c r="AD23" i="5"/>
  <c r="AD25"/>
  <c r="F4" i="3" l="1"/>
  <c r="Z4"/>
  <c r="F4" i="63" s="1"/>
  <c r="A32" i="76"/>
  <c r="C32" s="1"/>
  <c r="I10" i="65"/>
  <c r="BE7" i="7"/>
  <c r="BG7" s="1"/>
  <c r="BE11"/>
  <c r="BG11" s="1"/>
  <c r="BE12"/>
  <c r="BG12" s="1"/>
  <c r="BE6"/>
  <c r="BG6" s="1"/>
  <c r="BE9"/>
  <c r="BG9" s="1"/>
  <c r="BE8"/>
  <c r="BG8" s="1"/>
  <c r="AT5" i="1"/>
  <c r="N4" i="76"/>
  <c r="M4"/>
  <c r="AT6" i="1"/>
  <c r="J6" i="82"/>
  <c r="J9"/>
  <c r="J11"/>
  <c r="J8"/>
  <c r="J5"/>
  <c r="J7"/>
  <c r="J10"/>
  <c r="L4" i="76"/>
  <c r="D4"/>
  <c r="E4" s="1"/>
  <c r="AZ9" i="5"/>
  <c r="BC9" s="1"/>
  <c r="M27" i="79"/>
  <c r="O26"/>
  <c r="I25"/>
  <c r="H3" i="82"/>
  <c r="N4" i="2"/>
  <c r="S5" i="76" s="1"/>
  <c r="J11" i="1"/>
  <c r="V7" i="3"/>
  <c r="V5"/>
  <c r="J10" i="1"/>
  <c r="B26" i="2"/>
  <c r="L25" i="82" s="1"/>
  <c r="AZ29" i="7"/>
  <c r="B18" i="2"/>
  <c r="L17" i="82" s="1"/>
  <c r="AZ21" i="7"/>
  <c r="B27" i="2"/>
  <c r="O26" i="81" s="1"/>
  <c r="AZ30" i="7"/>
  <c r="B11" i="2"/>
  <c r="L10" i="82" s="1"/>
  <c r="AZ14" i="7"/>
  <c r="B12" i="2"/>
  <c r="L11" i="82" s="1"/>
  <c r="AZ15" i="7"/>
  <c r="B21" i="2"/>
  <c r="AZ24" i="7"/>
  <c r="B6" i="2"/>
  <c r="O5" i="81" s="1"/>
  <c r="AZ9" i="7"/>
  <c r="B23" i="2"/>
  <c r="O22" i="81" s="1"/>
  <c r="AZ26" i="7"/>
  <c r="B16" i="2"/>
  <c r="O15" i="81" s="1"/>
  <c r="AZ19" i="7"/>
  <c r="W30" i="76"/>
  <c r="AG7" i="1"/>
  <c r="V4" i="3"/>
  <c r="AG6" i="1"/>
  <c r="AD5" i="3"/>
  <c r="AI5" s="1"/>
  <c r="E4" i="63"/>
  <c r="I7" i="65"/>
  <c r="P72" i="74"/>
  <c r="J6" i="1"/>
  <c r="P77" i="74"/>
  <c r="P68"/>
  <c r="F12" i="3"/>
  <c r="V8"/>
  <c r="J12" i="1"/>
  <c r="H48" i="74"/>
  <c r="H56"/>
  <c r="H64"/>
  <c r="H72"/>
  <c r="L58"/>
  <c r="L66"/>
  <c r="L53"/>
  <c r="L61"/>
  <c r="L69"/>
  <c r="L77"/>
  <c r="J7" i="1"/>
  <c r="F3" i="3"/>
  <c r="H54" i="74"/>
  <c r="H62"/>
  <c r="H70"/>
  <c r="H78"/>
  <c r="D52"/>
  <c r="D55"/>
  <c r="D63"/>
  <c r="H49"/>
  <c r="H57"/>
  <c r="L51"/>
  <c r="L59"/>
  <c r="L67"/>
  <c r="L75"/>
  <c r="AG8" i="1"/>
  <c r="BE10" i="7"/>
  <c r="BG10" s="1"/>
  <c r="AH6" i="1"/>
  <c r="C6" i="65" s="1"/>
  <c r="X73" i="74"/>
  <c r="P65"/>
  <c r="D61"/>
  <c r="H55"/>
  <c r="D66"/>
  <c r="D74"/>
  <c r="H60"/>
  <c r="H76"/>
  <c r="D48"/>
  <c r="D56"/>
  <c r="D64"/>
  <c r="D72"/>
  <c r="H50"/>
  <c r="L74"/>
  <c r="X57"/>
  <c r="AG11" i="1"/>
  <c r="H65" i="74"/>
  <c r="L64"/>
  <c r="D59"/>
  <c r="D67"/>
  <c r="D75"/>
  <c r="AG10" i="1"/>
  <c r="N7" i="3"/>
  <c r="J9" i="1"/>
  <c r="V6" i="3"/>
  <c r="N6"/>
  <c r="BD11" i="5"/>
  <c r="J8" i="1"/>
  <c r="AF9" i="2"/>
  <c r="B8" i="63" s="1"/>
  <c r="E5"/>
  <c r="D7" i="76"/>
  <c r="E7" s="1"/>
  <c r="AF8" i="2"/>
  <c r="H10" i="65" s="1"/>
  <c r="E7" i="63"/>
  <c r="AD9" i="3"/>
  <c r="AI9" s="1"/>
  <c r="E9" i="63"/>
  <c r="D49" i="74"/>
  <c r="D57"/>
  <c r="D65"/>
  <c r="D73"/>
  <c r="H66"/>
  <c r="H74"/>
  <c r="L52"/>
  <c r="L60"/>
  <c r="L68"/>
  <c r="D78"/>
  <c r="D60"/>
  <c r="D76"/>
  <c r="H69"/>
  <c r="H77"/>
  <c r="L63"/>
  <c r="N4" i="3"/>
  <c r="BD8" i="5"/>
  <c r="BD10"/>
  <c r="BD13"/>
  <c r="AT9" i="1"/>
  <c r="V3" i="3"/>
  <c r="BD12" i="5"/>
  <c r="AT10" i="1"/>
  <c r="AF10" i="2"/>
  <c r="H12" i="65" s="1"/>
  <c r="AF7" i="2"/>
  <c r="H9" i="65" s="1"/>
  <c r="A11" i="63"/>
  <c r="I12" i="65"/>
  <c r="I11"/>
  <c r="I6"/>
  <c r="AD4" i="3"/>
  <c r="E3" i="63"/>
  <c r="I9" i="65"/>
  <c r="X48" i="74"/>
  <c r="D77"/>
  <c r="L55"/>
  <c r="H53"/>
  <c r="L62"/>
  <c r="L70"/>
  <c r="D53"/>
  <c r="H67"/>
  <c r="L72"/>
  <c r="H59"/>
  <c r="D69"/>
  <c r="L50"/>
  <c r="D62"/>
  <c r="H51"/>
  <c r="D71"/>
  <c r="H71"/>
  <c r="L49"/>
  <c r="D8" i="76"/>
  <c r="E8" s="1"/>
  <c r="M8"/>
  <c r="D6"/>
  <c r="E6" s="1"/>
  <c r="D5"/>
  <c r="E5" s="1"/>
  <c r="D10"/>
  <c r="E10" s="1"/>
  <c r="L10"/>
  <c r="D9"/>
  <c r="E9" s="1"/>
  <c r="L5"/>
  <c r="C5" i="3"/>
  <c r="Z5" s="1"/>
  <c r="BD7" i="5"/>
  <c r="AZ10"/>
  <c r="AU11"/>
  <c r="BD9"/>
  <c r="K7" i="82"/>
  <c r="BD6" i="5"/>
  <c r="K3" i="82"/>
  <c r="AT7" i="1"/>
  <c r="AT11"/>
  <c r="AT8"/>
  <c r="AB6"/>
  <c r="AM6"/>
  <c r="F7" i="75" s="1"/>
  <c r="G7" s="1"/>
  <c r="AF4" i="2"/>
  <c r="B3" i="63" s="1"/>
  <c r="A2"/>
  <c r="A4"/>
  <c r="AE4" i="2"/>
  <c r="A3" i="63"/>
  <c r="T7" i="2"/>
  <c r="AE5"/>
  <c r="T6"/>
  <c r="AD6" i="3"/>
  <c r="AD7"/>
  <c r="E8" i="63"/>
  <c r="AD8" i="3"/>
  <c r="I8" i="65"/>
  <c r="N6" i="2"/>
  <c r="C5" i="63" s="1"/>
  <c r="N10" i="2"/>
  <c r="S11" i="76" s="1"/>
  <c r="N9" i="2"/>
  <c r="S10" i="76" s="1"/>
  <c r="B29" i="2"/>
  <c r="L28" i="82" s="1"/>
  <c r="X50" i="74"/>
  <c r="R81"/>
  <c r="S81"/>
  <c r="N8" i="2"/>
  <c r="S9" i="76" s="1"/>
  <c r="N7" i="2"/>
  <c r="I8" i="82"/>
  <c r="I5"/>
  <c r="I3"/>
  <c r="N5" i="2"/>
  <c r="AF3"/>
  <c r="H5" i="65" s="1"/>
  <c r="E2" i="63"/>
  <c r="J21"/>
  <c r="X76" i="74"/>
  <c r="AT35" i="7"/>
  <c r="X58" i="74"/>
  <c r="X51"/>
  <c r="A28" i="65"/>
  <c r="B25" i="2"/>
  <c r="L24" i="82" s="1"/>
  <c r="X72" i="74"/>
  <c r="X67"/>
  <c r="X60"/>
  <c r="X65"/>
  <c r="AB11" i="7"/>
  <c r="A17" i="65"/>
  <c r="P50" i="74"/>
  <c r="P54"/>
  <c r="X53"/>
  <c r="J19" i="63"/>
  <c r="B5" i="2"/>
  <c r="O4" i="81" s="1"/>
  <c r="A10" i="65"/>
  <c r="P52" i="74"/>
  <c r="AA6" i="7"/>
  <c r="J7" i="63"/>
  <c r="A32" i="65"/>
  <c r="P63" i="74"/>
  <c r="P75"/>
  <c r="A18" i="65"/>
  <c r="D32" i="63"/>
  <c r="P48" i="74"/>
  <c r="B13" i="2"/>
  <c r="O12" i="81" s="1"/>
  <c r="X77" i="74"/>
  <c r="X70"/>
  <c r="P66"/>
  <c r="P78"/>
  <c r="J31" i="63"/>
  <c r="X75" i="74"/>
  <c r="X68"/>
  <c r="X59"/>
  <c r="E3" i="65"/>
  <c r="P74" i="74"/>
  <c r="H61"/>
  <c r="L57"/>
  <c r="D54"/>
  <c r="D68"/>
  <c r="H73"/>
  <c r="L56"/>
  <c r="L65"/>
  <c r="H75"/>
  <c r="H58"/>
  <c r="L48"/>
  <c r="L76"/>
  <c r="L73"/>
  <c r="H63"/>
  <c r="H68"/>
  <c r="D70"/>
  <c r="H52"/>
  <c r="L71"/>
  <c r="D51"/>
  <c r="D58"/>
  <c r="L54"/>
  <c r="P71"/>
  <c r="B9" i="77"/>
  <c r="D9" s="1"/>
  <c r="P70" i="74"/>
  <c r="X69"/>
  <c r="B14" i="2"/>
  <c r="A20" i="65"/>
  <c r="AB10" i="7"/>
  <c r="AC10" s="1"/>
  <c r="B30" i="2"/>
  <c r="O29" i="81" s="1"/>
  <c r="J27" i="63"/>
  <c r="A11" i="65"/>
  <c r="P49" i="74"/>
  <c r="P53"/>
  <c r="X55"/>
  <c r="B8" i="2"/>
  <c r="B4"/>
  <c r="AB12" i="7"/>
  <c r="AC12" s="1"/>
  <c r="B15" i="2"/>
  <c r="AA9" i="7"/>
  <c r="B7" i="2"/>
  <c r="X54" i="74"/>
  <c r="A8" i="65"/>
  <c r="AB13" i="7"/>
  <c r="AC13" s="1"/>
  <c r="AB7"/>
  <c r="AC7" s="1"/>
  <c r="J10" i="63"/>
  <c r="X49" i="74"/>
  <c r="X71"/>
  <c r="O2" i="81"/>
  <c r="A14" i="65"/>
  <c r="P69" i="74"/>
  <c r="P73"/>
  <c r="P51"/>
  <c r="P55"/>
  <c r="P59"/>
  <c r="N3" i="3"/>
  <c r="U5" i="1"/>
  <c r="AV35"/>
  <c r="X66" i="74"/>
  <c r="AM23" i="5"/>
  <c r="P64" i="74"/>
  <c r="X63"/>
  <c r="P62"/>
  <c r="X62"/>
  <c r="P61"/>
  <c r="X61"/>
  <c r="N3" i="2"/>
  <c r="F2" i="82"/>
  <c r="N5" i="1"/>
  <c r="AL5"/>
  <c r="D6" i="75" s="1"/>
  <c r="E6" s="1"/>
  <c r="AE3" i="2"/>
  <c r="AB5" i="1"/>
  <c r="Q4" i="3"/>
  <c r="AK6" i="5"/>
  <c r="K2" i="82"/>
  <c r="T5" i="1"/>
  <c r="Z3" i="3"/>
  <c r="D50" i="74"/>
  <c r="AD3" i="3"/>
  <c r="P60" i="74"/>
  <c r="C13" i="7"/>
  <c r="J3"/>
  <c r="L3" s="1"/>
  <c r="N3" s="1"/>
  <c r="P3" s="1"/>
  <c r="R3" s="1"/>
  <c r="T3" s="1"/>
  <c r="V3" s="1"/>
  <c r="AC6"/>
  <c r="C7"/>
  <c r="E12"/>
  <c r="C6"/>
  <c r="C8" i="77"/>
  <c r="D8" s="1"/>
  <c r="AW33" i="1"/>
  <c r="G34" i="73"/>
  <c r="P58" i="74"/>
  <c r="AE12" i="2"/>
  <c r="T13"/>
  <c r="A12" i="63" s="1"/>
  <c r="AP15" i="5"/>
  <c r="P57" i="74"/>
  <c r="S13" i="3"/>
  <c r="V13" s="1"/>
  <c r="S14"/>
  <c r="V14" s="1"/>
  <c r="E14"/>
  <c r="C13"/>
  <c r="AQ15" i="1"/>
  <c r="AO15"/>
  <c r="AA14"/>
  <c r="AA15"/>
  <c r="S15"/>
  <c r="T15" s="1"/>
  <c r="T13"/>
  <c r="J13"/>
  <c r="V13" i="2"/>
  <c r="K14" i="73"/>
  <c r="P56" i="74"/>
  <c r="X56"/>
  <c r="K13" i="76"/>
  <c r="N13" s="1"/>
  <c r="D11"/>
  <c r="E11" s="1"/>
  <c r="M11"/>
  <c r="G13"/>
  <c r="D12"/>
  <c r="E12" s="1"/>
  <c r="N11" i="3"/>
  <c r="N10"/>
  <c r="BA15" i="5"/>
  <c r="BA14"/>
  <c r="BD14" s="1"/>
  <c r="AS16" i="1"/>
  <c r="AT12"/>
  <c r="AT14"/>
  <c r="AT13"/>
  <c r="AD14"/>
  <c r="AG12"/>
  <c r="AD13"/>
  <c r="I16"/>
  <c r="I15"/>
  <c r="AL14"/>
  <c r="D15" i="75" s="1"/>
  <c r="E15" s="1"/>
  <c r="U14" i="1"/>
  <c r="J14"/>
  <c r="AC14" i="7"/>
  <c r="AD14"/>
  <c r="D14" i="1"/>
  <c r="E14" s="1"/>
  <c r="Z15" i="7"/>
  <c r="AA14"/>
  <c r="B15"/>
  <c r="D15" s="1"/>
  <c r="D14"/>
  <c r="F14" s="1"/>
  <c r="H14" s="1"/>
  <c r="D13"/>
  <c r="AF11" i="2"/>
  <c r="H13" i="65" s="1"/>
  <c r="Q12" i="2"/>
  <c r="AD10" i="3"/>
  <c r="Q11" i="2"/>
  <c r="M12"/>
  <c r="E11" i="82" s="1"/>
  <c r="G14" i="2"/>
  <c r="I13" i="82" s="1"/>
  <c r="I9"/>
  <c r="N11" i="2"/>
  <c r="H10" i="82"/>
  <c r="E7" i="7"/>
  <c r="F7"/>
  <c r="AC9"/>
  <c r="AD9"/>
  <c r="J20" i="63"/>
  <c r="A22" i="65"/>
  <c r="J13" i="63"/>
  <c r="A15" i="65"/>
  <c r="D8" i="7"/>
  <c r="C8"/>
  <c r="AE6"/>
  <c r="AF6"/>
  <c r="A5" i="65"/>
  <c r="J3" i="63"/>
  <c r="D10" i="7"/>
  <c r="C10"/>
  <c r="AA8"/>
  <c r="AB8"/>
  <c r="B24" i="2"/>
  <c r="B17"/>
  <c r="X74" i="74"/>
  <c r="J14" i="63"/>
  <c r="D6" i="7"/>
  <c r="F12"/>
  <c r="J25" i="63"/>
  <c r="B20" i="2"/>
  <c r="D11" i="7"/>
  <c r="C11"/>
  <c r="B22" i="2"/>
  <c r="A31" i="65"/>
  <c r="J29" i="63"/>
  <c r="A7" i="65"/>
  <c r="J5" i="63"/>
  <c r="P67" i="74"/>
  <c r="D9" i="7"/>
  <c r="X64" i="74"/>
  <c r="X52"/>
  <c r="B28" i="2"/>
  <c r="A26" i="65"/>
  <c r="J24" i="63"/>
  <c r="B19" i="2"/>
  <c r="C12" i="7"/>
  <c r="B10" i="2"/>
  <c r="B9"/>
  <c r="P76" i="74"/>
  <c r="O6" i="81" l="1"/>
  <c r="O7" i="2"/>
  <c r="L20" i="82"/>
  <c r="O21" i="2"/>
  <c r="AI3" i="3"/>
  <c r="D5" i="65" s="1"/>
  <c r="AE3" i="3"/>
  <c r="AF3" s="1"/>
  <c r="AG3" s="1"/>
  <c r="K32" i="76"/>
  <c r="I32"/>
  <c r="G32"/>
  <c r="AU6" i="1"/>
  <c r="I3" i="81" s="1"/>
  <c r="O20"/>
  <c r="O17"/>
  <c r="L5" i="82"/>
  <c r="R11" i="2"/>
  <c r="BC10" i="5"/>
  <c r="I4" i="3"/>
  <c r="M28" i="79"/>
  <c r="O27"/>
  <c r="I26"/>
  <c r="AH14" i="1"/>
  <c r="U6"/>
  <c r="O25" i="81"/>
  <c r="L15" i="82"/>
  <c r="L26"/>
  <c r="L22"/>
  <c r="O11" i="81"/>
  <c r="O10"/>
  <c r="O11" i="2"/>
  <c r="AB4" i="3"/>
  <c r="F17" i="77"/>
  <c r="E17"/>
  <c r="C6" i="63"/>
  <c r="R7" i="2"/>
  <c r="O28" i="81"/>
  <c r="V81" i="74"/>
  <c r="AU7" i="1"/>
  <c r="I4" i="81" s="1"/>
  <c r="AG3" i="2"/>
  <c r="B7" i="63"/>
  <c r="H6" i="65"/>
  <c r="Q5" i="3"/>
  <c r="AB3"/>
  <c r="AG4" i="2"/>
  <c r="H11" i="65"/>
  <c r="D5" i="63"/>
  <c r="O6" i="2"/>
  <c r="AU9" i="1"/>
  <c r="I6" i="81" s="1"/>
  <c r="R9" i="2"/>
  <c r="AI9" s="1"/>
  <c r="J81" i="74"/>
  <c r="AU10" i="1"/>
  <c r="I7" i="81" s="1"/>
  <c r="AE4" i="3"/>
  <c r="AF4" s="1"/>
  <c r="AG4" s="1"/>
  <c r="AU11" i="1"/>
  <c r="I8" i="81" s="1"/>
  <c r="B6" i="63"/>
  <c r="B9"/>
  <c r="AI4" i="3"/>
  <c r="D6" i="65" s="1"/>
  <c r="R8" i="2"/>
  <c r="J10" i="65" s="1"/>
  <c r="F81" i="74"/>
  <c r="B81"/>
  <c r="E5" i="3"/>
  <c r="C6"/>
  <c r="Z6" s="1"/>
  <c r="AU12" i="5"/>
  <c r="AZ11"/>
  <c r="BC11" s="1"/>
  <c r="AU8" i="1"/>
  <c r="I5" i="81" s="1"/>
  <c r="AU12" i="1"/>
  <c r="I9" i="81" s="1"/>
  <c r="AH7" i="1"/>
  <c r="C7" i="65" s="1"/>
  <c r="Y7" i="1"/>
  <c r="V5" i="2"/>
  <c r="AF5" s="1"/>
  <c r="AG5" s="1"/>
  <c r="V6"/>
  <c r="AF6" s="1"/>
  <c r="T8"/>
  <c r="A6" i="63"/>
  <c r="AE7" i="2"/>
  <c r="AG7" s="1"/>
  <c r="AE6"/>
  <c r="A5" i="63"/>
  <c r="AI8" i="3"/>
  <c r="AI7"/>
  <c r="AI6"/>
  <c r="C7" i="63"/>
  <c r="D7" s="1"/>
  <c r="E7" i="81"/>
  <c r="E5"/>
  <c r="R6" i="2"/>
  <c r="J8" i="65" s="1"/>
  <c r="S7" i="76"/>
  <c r="C9" i="63"/>
  <c r="D9" s="1"/>
  <c r="C8"/>
  <c r="D8" s="1"/>
  <c r="R10" i="2"/>
  <c r="AI10" s="1"/>
  <c r="E9" i="81"/>
  <c r="E8"/>
  <c r="E3"/>
  <c r="C3" i="63"/>
  <c r="D3" s="1"/>
  <c r="R4" i="2"/>
  <c r="J6" i="65" s="1"/>
  <c r="O24" i="81"/>
  <c r="L12" i="82"/>
  <c r="L4"/>
  <c r="O5" i="2"/>
  <c r="AL6" i="1"/>
  <c r="D7" i="75" s="1"/>
  <c r="E7" s="1"/>
  <c r="S8" i="76"/>
  <c r="E6" i="81"/>
  <c r="E4"/>
  <c r="C4" i="63"/>
  <c r="D4" s="1"/>
  <c r="R5" i="2"/>
  <c r="S6" i="76"/>
  <c r="B2" i="63"/>
  <c r="AC11" i="7"/>
  <c r="AD11"/>
  <c r="D7" i="65"/>
  <c r="L2" i="82"/>
  <c r="AD13" i="7"/>
  <c r="AE13" s="1"/>
  <c r="AD7"/>
  <c r="AE7" s="1"/>
  <c r="AD10"/>
  <c r="AF10" s="1"/>
  <c r="C81" i="74"/>
  <c r="G81"/>
  <c r="K81"/>
  <c r="L13" i="82"/>
  <c r="O13" i="81"/>
  <c r="L3" i="82"/>
  <c r="O4" i="2"/>
  <c r="D11" i="65"/>
  <c r="AD12" i="7"/>
  <c r="AE12" s="1"/>
  <c r="L6" i="82"/>
  <c r="L7"/>
  <c r="O7" i="81"/>
  <c r="O8" i="2"/>
  <c r="O14" i="81"/>
  <c r="L14" i="82"/>
  <c r="O3" i="81"/>
  <c r="L29" i="82"/>
  <c r="W81" i="74"/>
  <c r="O81"/>
  <c r="B14" i="77" s="1"/>
  <c r="H5" i="75"/>
  <c r="F3" i="63"/>
  <c r="C2"/>
  <c r="D2" s="1"/>
  <c r="S4" i="76"/>
  <c r="R3" i="2"/>
  <c r="J5" i="65" s="1"/>
  <c r="E2" i="81"/>
  <c r="H3" i="63"/>
  <c r="F6" i="65"/>
  <c r="V6" i="1"/>
  <c r="O3" i="2"/>
  <c r="W3" i="7"/>
  <c r="AO3" s="1"/>
  <c r="H17" i="5"/>
  <c r="AE13" i="2"/>
  <c r="E15" i="3"/>
  <c r="F13"/>
  <c r="C14"/>
  <c r="BD15" i="5"/>
  <c r="Y16"/>
  <c r="AT15" i="1"/>
  <c r="AU15" s="1"/>
  <c r="I12" i="81" s="1"/>
  <c r="AO16" i="1"/>
  <c r="AA16"/>
  <c r="Y16"/>
  <c r="AB16" s="1"/>
  <c r="T15" i="2"/>
  <c r="G13"/>
  <c r="I12" i="82" s="1"/>
  <c r="N81" i="74"/>
  <c r="B15" i="77" s="1"/>
  <c r="L13" i="76"/>
  <c r="D13"/>
  <c r="E13" s="1"/>
  <c r="S15" i="3"/>
  <c r="V15" s="1"/>
  <c r="K12"/>
  <c r="Z12" s="1"/>
  <c r="BA16" i="5"/>
  <c r="BD16" s="1"/>
  <c r="AA15"/>
  <c r="AJ15"/>
  <c r="U16"/>
  <c r="AS17" i="1"/>
  <c r="AU14"/>
  <c r="I11" i="81" s="1"/>
  <c r="AQ16" i="1"/>
  <c r="AU13"/>
  <c r="I10" i="81" s="1"/>
  <c r="AF15" i="1"/>
  <c r="AH15" s="1"/>
  <c r="C15" i="65" s="1"/>
  <c r="AG13" i="1"/>
  <c r="AM14"/>
  <c r="F15" i="75" s="1"/>
  <c r="G15" s="1"/>
  <c r="AG14" i="1"/>
  <c r="AD15"/>
  <c r="R15"/>
  <c r="S16"/>
  <c r="T16" s="1"/>
  <c r="I17"/>
  <c r="G15"/>
  <c r="Z16" i="7"/>
  <c r="D16" i="1"/>
  <c r="E16" s="1"/>
  <c r="AE14" i="7"/>
  <c r="AF14"/>
  <c r="D15" i="1"/>
  <c r="E15" s="1"/>
  <c r="AA15" i="7"/>
  <c r="AB15"/>
  <c r="G14"/>
  <c r="E14"/>
  <c r="B16"/>
  <c r="F13"/>
  <c r="E13"/>
  <c r="C15"/>
  <c r="B10" i="63"/>
  <c r="AD13" i="2"/>
  <c r="AB14"/>
  <c r="Z12"/>
  <c r="AF12" s="1"/>
  <c r="AG12" s="1"/>
  <c r="X14"/>
  <c r="AD12" i="3"/>
  <c r="E11" i="63"/>
  <c r="I14" i="65"/>
  <c r="BE14" i="7"/>
  <c r="BG14" s="1"/>
  <c r="AD11" i="3"/>
  <c r="E10" i="63"/>
  <c r="BE13" i="7"/>
  <c r="BG13" s="1"/>
  <c r="I13" i="65"/>
  <c r="AI10" i="3"/>
  <c r="M13" i="2"/>
  <c r="E12" i="82" s="1"/>
  <c r="K14" i="2"/>
  <c r="F13" i="82" s="1"/>
  <c r="I14" i="2"/>
  <c r="G13" i="82" s="1"/>
  <c r="G15" i="2"/>
  <c r="I14" i="82" s="1"/>
  <c r="E12" i="2"/>
  <c r="N12" s="1"/>
  <c r="S12" i="76"/>
  <c r="E10" i="81"/>
  <c r="C10" i="63"/>
  <c r="AE9" i="7"/>
  <c r="AF9"/>
  <c r="O27" i="81"/>
  <c r="L27" i="82"/>
  <c r="V43" i="74"/>
  <c r="O19" i="81"/>
  <c r="L19" i="82"/>
  <c r="G12" i="7"/>
  <c r="H12"/>
  <c r="F6"/>
  <c r="E6"/>
  <c r="AH6"/>
  <c r="AG6"/>
  <c r="E8"/>
  <c r="F8"/>
  <c r="O10" i="2"/>
  <c r="O9" i="81"/>
  <c r="L9" i="82"/>
  <c r="O21" i="81"/>
  <c r="L21" i="82"/>
  <c r="AC8" i="7"/>
  <c r="AD8"/>
  <c r="F15"/>
  <c r="E15"/>
  <c r="F11"/>
  <c r="E11"/>
  <c r="O23" i="81"/>
  <c r="L23" i="82"/>
  <c r="I14" i="7"/>
  <c r="J14"/>
  <c r="H7"/>
  <c r="G7"/>
  <c r="F10"/>
  <c r="E10"/>
  <c r="E9"/>
  <c r="F9"/>
  <c r="O9" i="2"/>
  <c r="L8" i="82"/>
  <c r="O8" i="81"/>
  <c r="O18"/>
  <c r="L18" i="82"/>
  <c r="L16"/>
  <c r="O16" i="81"/>
  <c r="F14" i="3" l="1"/>
  <c r="AK3"/>
  <c r="J12" i="82"/>
  <c r="E14" i="77"/>
  <c r="C14" i="65"/>
  <c r="I5" i="3"/>
  <c r="I27" i="79"/>
  <c r="M29"/>
  <c r="O28"/>
  <c r="F5" i="3"/>
  <c r="AB5" s="1"/>
  <c r="J11" i="65"/>
  <c r="AF7" i="7"/>
  <c r="AG7" s="1"/>
  <c r="Q6" i="3"/>
  <c r="D10" i="63"/>
  <c r="AK4" i="3"/>
  <c r="AI8" i="2"/>
  <c r="AI6"/>
  <c r="E6" i="3"/>
  <c r="F5" i="63"/>
  <c r="AE5" i="3"/>
  <c r="AF5" s="1"/>
  <c r="AG5" s="1"/>
  <c r="C7"/>
  <c r="Z7" s="1"/>
  <c r="AK5"/>
  <c r="AU13" i="5"/>
  <c r="AZ12"/>
  <c r="BC12" s="1"/>
  <c r="AH8" i="1"/>
  <c r="C8" i="65" s="1"/>
  <c r="AM7" i="1"/>
  <c r="F8" i="75" s="1"/>
  <c r="G8" s="1"/>
  <c r="AB7" i="1"/>
  <c r="Y8"/>
  <c r="AE10" i="7"/>
  <c r="B4" i="63"/>
  <c r="H7" i="65"/>
  <c r="AG6" i="2"/>
  <c r="B5" i="63"/>
  <c r="H8" i="65"/>
  <c r="T9" i="2"/>
  <c r="AE8"/>
  <c r="AG8" s="1"/>
  <c r="A7" i="63"/>
  <c r="D10" i="65"/>
  <c r="D9"/>
  <c r="D8"/>
  <c r="J12"/>
  <c r="AL7" i="1"/>
  <c r="D8" i="75" s="1"/>
  <c r="E8" s="1"/>
  <c r="J7" i="65"/>
  <c r="AI5" i="2"/>
  <c r="AE11" i="7"/>
  <c r="AF11"/>
  <c r="AF13"/>
  <c r="AH13" s="1"/>
  <c r="AF12"/>
  <c r="AH12" s="1"/>
  <c r="D12" i="65"/>
  <c r="AI11" i="3"/>
  <c r="AI12"/>
  <c r="D14" i="65" s="1"/>
  <c r="W6" i="1"/>
  <c r="AI6"/>
  <c r="AW7" i="7" s="1"/>
  <c r="B6" i="65"/>
  <c r="E6" s="1"/>
  <c r="V7" i="1"/>
  <c r="AG10" i="7"/>
  <c r="AH10"/>
  <c r="H18" i="5"/>
  <c r="E16" i="3"/>
  <c r="C15"/>
  <c r="Y17" i="5"/>
  <c r="AO17" i="1"/>
  <c r="AT16"/>
  <c r="AU16" s="1"/>
  <c r="I13" i="81" s="1"/>
  <c r="Y17" i="1"/>
  <c r="AB17" s="1"/>
  <c r="V14" i="2"/>
  <c r="V15"/>
  <c r="T16"/>
  <c r="K13" i="3"/>
  <c r="Z13" s="1"/>
  <c r="N12"/>
  <c r="BA17" i="5"/>
  <c r="BD17" s="1"/>
  <c r="K11" i="82"/>
  <c r="AA16" i="5"/>
  <c r="AJ16"/>
  <c r="K12" i="82" s="1"/>
  <c r="U17" i="5"/>
  <c r="AS18" i="1"/>
  <c r="AQ17"/>
  <c r="AF16"/>
  <c r="AH16" s="1"/>
  <c r="C16" i="65" s="1"/>
  <c r="AD16" i="1"/>
  <c r="AM15"/>
  <c r="F16" i="75" s="1"/>
  <c r="G16" s="1"/>
  <c r="AG15" i="1"/>
  <c r="R16"/>
  <c r="S17"/>
  <c r="T17" s="1"/>
  <c r="I18"/>
  <c r="J15"/>
  <c r="AL15"/>
  <c r="D16" i="75" s="1"/>
  <c r="E16" s="1"/>
  <c r="U15" i="1"/>
  <c r="G16"/>
  <c r="AC15" i="7"/>
  <c r="AD15"/>
  <c r="AB16"/>
  <c r="AA16"/>
  <c r="Z17"/>
  <c r="AH14"/>
  <c r="AG14"/>
  <c r="C16"/>
  <c r="D16"/>
  <c r="B17"/>
  <c r="G13"/>
  <c r="H13"/>
  <c r="AD14" i="2"/>
  <c r="AB15"/>
  <c r="H14" i="65"/>
  <c r="B11" i="63"/>
  <c r="Z13" i="2"/>
  <c r="AF13" s="1"/>
  <c r="AG13" s="1"/>
  <c r="AE14"/>
  <c r="A13" i="63"/>
  <c r="X15" i="2"/>
  <c r="BE15" i="7"/>
  <c r="BG15" s="1"/>
  <c r="AD13" i="3"/>
  <c r="E12" i="63"/>
  <c r="I15" i="65"/>
  <c r="M14" i="2"/>
  <c r="E13" i="82" s="1"/>
  <c r="K15" i="2"/>
  <c r="F14" i="82" s="1"/>
  <c r="I15" i="2"/>
  <c r="G14" i="82" s="1"/>
  <c r="G16" i="2"/>
  <c r="I15" i="82" s="1"/>
  <c r="O12" i="2"/>
  <c r="H11" i="82"/>
  <c r="AI11" i="2"/>
  <c r="J13" i="65"/>
  <c r="E13" i="2"/>
  <c r="H10" i="7"/>
  <c r="G10"/>
  <c r="H11"/>
  <c r="G11"/>
  <c r="I12"/>
  <c r="J12"/>
  <c r="AI6"/>
  <c r="AJ6"/>
  <c r="L14"/>
  <c r="K14"/>
  <c r="AG9"/>
  <c r="AH9"/>
  <c r="I7"/>
  <c r="J7"/>
  <c r="G9"/>
  <c r="H9"/>
  <c r="G6"/>
  <c r="H6"/>
  <c r="G15"/>
  <c r="H15"/>
  <c r="AE8"/>
  <c r="AF8"/>
  <c r="G8"/>
  <c r="H8"/>
  <c r="AE12" i="3" l="1"/>
  <c r="AF12" s="1"/>
  <c r="AG12" s="1"/>
  <c r="AK6"/>
  <c r="J13" i="82"/>
  <c r="E15" i="77"/>
  <c r="I6" i="3"/>
  <c r="M30" i="79"/>
  <c r="O29"/>
  <c r="I28"/>
  <c r="F6" i="3"/>
  <c r="AB6" s="1"/>
  <c r="AH7" i="7"/>
  <c r="AI7" s="1"/>
  <c r="Q7" i="3"/>
  <c r="AB12"/>
  <c r="AG13" i="7"/>
  <c r="E7" i="3"/>
  <c r="C8"/>
  <c r="Z8" s="1"/>
  <c r="F6" i="63"/>
  <c r="AE6" i="3"/>
  <c r="AF6" s="1"/>
  <c r="AG6" s="1"/>
  <c r="AZ13" i="5"/>
  <c r="BC13" s="1"/>
  <c r="AU14"/>
  <c r="AA9" i="1"/>
  <c r="AH9" s="1"/>
  <c r="C9" i="65" s="1"/>
  <c r="AB8" i="1"/>
  <c r="AM8"/>
  <c r="F9" i="75" s="1"/>
  <c r="G9" s="1"/>
  <c r="Y9" i="1"/>
  <c r="A8" i="63"/>
  <c r="AE9" i="2"/>
  <c r="AG9" s="1"/>
  <c r="T11"/>
  <c r="T10"/>
  <c r="U7" i="1"/>
  <c r="W7" s="1"/>
  <c r="AG11" i="7"/>
  <c r="AH11"/>
  <c r="AG12"/>
  <c r="D13" i="65"/>
  <c r="V8" i="1"/>
  <c r="U8"/>
  <c r="AL8"/>
  <c r="D9" i="75" s="1"/>
  <c r="E9" s="1"/>
  <c r="G3" i="81"/>
  <c r="AJ6" i="1"/>
  <c r="AK6" s="1"/>
  <c r="B7" i="65"/>
  <c r="E7" s="1"/>
  <c r="AI7" i="1"/>
  <c r="AW8" i="7" s="1"/>
  <c r="AI13"/>
  <c r="AJ13"/>
  <c r="AJ10"/>
  <c r="AI10"/>
  <c r="H19" i="5"/>
  <c r="E17" i="3"/>
  <c r="C16"/>
  <c r="F15"/>
  <c r="Y18" i="5"/>
  <c r="AO18" i="1"/>
  <c r="AT17"/>
  <c r="AU17" s="1"/>
  <c r="I14" i="81" s="1"/>
  <c r="Y18" i="1"/>
  <c r="AB18" s="1"/>
  <c r="V16" i="2"/>
  <c r="T17"/>
  <c r="S17" i="3"/>
  <c r="V17" s="1"/>
  <c r="K14"/>
  <c r="Z14" s="1"/>
  <c r="N13"/>
  <c r="AK12"/>
  <c r="F12" i="63"/>
  <c r="BA18" i="5"/>
  <c r="BD19" s="1"/>
  <c r="AJ17"/>
  <c r="AA17"/>
  <c r="U18"/>
  <c r="AS19" i="1"/>
  <c r="AQ18"/>
  <c r="AF17"/>
  <c r="AG16"/>
  <c r="AM16"/>
  <c r="F17" i="75" s="1"/>
  <c r="G17" s="1"/>
  <c r="R17" i="1"/>
  <c r="S18"/>
  <c r="T18" s="1"/>
  <c r="I19"/>
  <c r="J16"/>
  <c r="U16"/>
  <c r="AL16"/>
  <c r="D17" i="75" s="1"/>
  <c r="E17" s="1"/>
  <c r="G17" i="1"/>
  <c r="Z18" i="7"/>
  <c r="AJ14"/>
  <c r="AI14"/>
  <c r="AE15"/>
  <c r="AF15"/>
  <c r="AD16"/>
  <c r="AC16"/>
  <c r="D17" i="1"/>
  <c r="E17" s="1"/>
  <c r="AB17" i="7"/>
  <c r="AA17"/>
  <c r="F16"/>
  <c r="E16"/>
  <c r="B18"/>
  <c r="C17"/>
  <c r="D17"/>
  <c r="I13"/>
  <c r="J13"/>
  <c r="AD15" i="2"/>
  <c r="AB16"/>
  <c r="B12" i="63"/>
  <c r="H15" i="65"/>
  <c r="Z14" i="2"/>
  <c r="AF14" s="1"/>
  <c r="AG14" s="1"/>
  <c r="X16"/>
  <c r="A14" i="63"/>
  <c r="AE15" i="2"/>
  <c r="AI13" i="3"/>
  <c r="D15" i="65" s="1"/>
  <c r="I16"/>
  <c r="BE16" i="7"/>
  <c r="BG16" s="1"/>
  <c r="E13" i="63"/>
  <c r="AD14" i="3"/>
  <c r="M15" i="2"/>
  <c r="E14" i="82" s="1"/>
  <c r="K16" i="2"/>
  <c r="F15" i="82" s="1"/>
  <c r="I16" i="2"/>
  <c r="G15" i="82" s="1"/>
  <c r="G17" i="2"/>
  <c r="I16" i="82" s="1"/>
  <c r="E11" i="81"/>
  <c r="S13" i="76"/>
  <c r="R12" i="2"/>
  <c r="C11" i="63"/>
  <c r="D11" s="1"/>
  <c r="H12" i="82"/>
  <c r="N13" i="2"/>
  <c r="R13" s="1"/>
  <c r="E14"/>
  <c r="N14" i="7"/>
  <c r="M14"/>
  <c r="AJ9"/>
  <c r="AI9"/>
  <c r="J8"/>
  <c r="I8"/>
  <c r="J6"/>
  <c r="I6"/>
  <c r="I9"/>
  <c r="J9"/>
  <c r="L7"/>
  <c r="K7"/>
  <c r="L12"/>
  <c r="K12"/>
  <c r="AG8"/>
  <c r="AH8"/>
  <c r="AJ12"/>
  <c r="AI12"/>
  <c r="I10"/>
  <c r="J10"/>
  <c r="AL6"/>
  <c r="AM6" s="1"/>
  <c r="AK6"/>
  <c r="J15"/>
  <c r="I15"/>
  <c r="I11"/>
  <c r="J11"/>
  <c r="F16" i="3" l="1"/>
  <c r="BD18" i="5"/>
  <c r="J14" i="82"/>
  <c r="O13" i="2"/>
  <c r="S14" i="76"/>
  <c r="I7" i="3"/>
  <c r="I29" i="79"/>
  <c r="M31"/>
  <c r="O30"/>
  <c r="AJ7" i="7"/>
  <c r="AK7" s="1"/>
  <c r="F7" i="3"/>
  <c r="AB7" s="1"/>
  <c r="AO6" i="7"/>
  <c r="Q8" i="3"/>
  <c r="E8"/>
  <c r="C9"/>
  <c r="Z9" s="1"/>
  <c r="F7" i="63"/>
  <c r="AE7" i="3"/>
  <c r="AF7" s="1"/>
  <c r="AK7"/>
  <c r="AZ14" i="5"/>
  <c r="BC14" s="1"/>
  <c r="AU15"/>
  <c r="AU16" s="1"/>
  <c r="AA10" i="1"/>
  <c r="AH10" s="1"/>
  <c r="C10" i="65" s="1"/>
  <c r="AB9" i="1"/>
  <c r="AM9"/>
  <c r="F10" i="75" s="1"/>
  <c r="G10" s="1"/>
  <c r="Y10" i="1"/>
  <c r="A10" i="63"/>
  <c r="AE11" i="2"/>
  <c r="AG11" s="1"/>
  <c r="A9" i="63"/>
  <c r="AE10" i="2"/>
  <c r="AG10" s="1"/>
  <c r="AI11" i="7"/>
  <c r="AJ11"/>
  <c r="AI8" i="1"/>
  <c r="AW9" i="7" s="1"/>
  <c r="W8" i="1"/>
  <c r="B8" i="65"/>
  <c r="E8" s="1"/>
  <c r="V9" i="1"/>
  <c r="U9"/>
  <c r="AL9"/>
  <c r="D10" i="75" s="1"/>
  <c r="E10" s="1"/>
  <c r="AJ7" i="1"/>
  <c r="AK7" s="1"/>
  <c r="G4" i="81"/>
  <c r="AK13" i="7"/>
  <c r="AL13"/>
  <c r="AM13" s="1"/>
  <c r="AL10"/>
  <c r="AM10" s="1"/>
  <c r="AK10"/>
  <c r="AB13" i="3"/>
  <c r="H20" i="5"/>
  <c r="C17" i="3"/>
  <c r="Y19" i="5"/>
  <c r="AO19" i="1"/>
  <c r="AT18"/>
  <c r="AU18" s="1"/>
  <c r="I15" i="81" s="1"/>
  <c r="Y19" i="1"/>
  <c r="AB19" s="1"/>
  <c r="V17" i="2"/>
  <c r="T18"/>
  <c r="S18" i="3"/>
  <c r="V18" s="1"/>
  <c r="K15"/>
  <c r="Z15" s="1"/>
  <c r="F13" i="63"/>
  <c r="AK13" i="3"/>
  <c r="N14"/>
  <c r="AE13"/>
  <c r="AF13" s="1"/>
  <c r="AG13" s="1"/>
  <c r="K13" i="82"/>
  <c r="AJ18" i="5"/>
  <c r="K14" i="82" s="1"/>
  <c r="AA18" i="5"/>
  <c r="U19"/>
  <c r="AS20" i="1"/>
  <c r="AQ19"/>
  <c r="AF18"/>
  <c r="R18"/>
  <c r="S19"/>
  <c r="T19" s="1"/>
  <c r="I20"/>
  <c r="J17"/>
  <c r="AL17"/>
  <c r="D18" i="75" s="1"/>
  <c r="E18" s="1"/>
  <c r="U17" i="1"/>
  <c r="G18"/>
  <c r="AL18" s="1"/>
  <c r="AG15" i="7"/>
  <c r="AH15"/>
  <c r="AF16"/>
  <c r="AE16"/>
  <c r="Z19"/>
  <c r="AD17"/>
  <c r="AC17"/>
  <c r="AB18"/>
  <c r="AA18"/>
  <c r="AK14"/>
  <c r="AL14"/>
  <c r="AM14" s="1"/>
  <c r="D18" i="1"/>
  <c r="E18" s="1"/>
  <c r="B19" i="7"/>
  <c r="E17"/>
  <c r="F17"/>
  <c r="L13"/>
  <c r="K13"/>
  <c r="G16"/>
  <c r="H16"/>
  <c r="C18"/>
  <c r="D18"/>
  <c r="AD16" i="2"/>
  <c r="AB17"/>
  <c r="H16" i="65"/>
  <c r="B13" i="63"/>
  <c r="Z15" i="2"/>
  <c r="AF15" s="1"/>
  <c r="AG15" s="1"/>
  <c r="X17"/>
  <c r="A15" i="63"/>
  <c r="AE16" i="2"/>
  <c r="AI14" i="3"/>
  <c r="D16" i="65" s="1"/>
  <c r="I17"/>
  <c r="AD15" i="3"/>
  <c r="E14" i="63"/>
  <c r="BE17" i="7"/>
  <c r="BG17" s="1"/>
  <c r="M16" i="2"/>
  <c r="E15" i="82" s="1"/>
  <c r="K17" i="2"/>
  <c r="F16" i="82" s="1"/>
  <c r="I17" i="2"/>
  <c r="G18"/>
  <c r="I17" i="82" s="1"/>
  <c r="J14" i="65"/>
  <c r="AI12" i="2"/>
  <c r="C12" i="63"/>
  <c r="D12" s="1"/>
  <c r="E12" i="81"/>
  <c r="E15" i="2"/>
  <c r="H13" i="82"/>
  <c r="N14" i="2"/>
  <c r="R14" s="1"/>
  <c r="P14" i="7"/>
  <c r="O14"/>
  <c r="L10"/>
  <c r="K10"/>
  <c r="AL12"/>
  <c r="AM12" s="1"/>
  <c r="AK12"/>
  <c r="N7"/>
  <c r="M7"/>
  <c r="AK9"/>
  <c r="AL9"/>
  <c r="AM9" s="1"/>
  <c r="K9"/>
  <c r="L9"/>
  <c r="L15"/>
  <c r="K15"/>
  <c r="L8"/>
  <c r="K8"/>
  <c r="L11"/>
  <c r="K11"/>
  <c r="AI8"/>
  <c r="AJ8"/>
  <c r="N12"/>
  <c r="M12"/>
  <c r="L6"/>
  <c r="K6"/>
  <c r="AE14" i="3" l="1"/>
  <c r="AF14" s="1"/>
  <c r="AG14" s="1"/>
  <c r="G16" i="82"/>
  <c r="J15"/>
  <c r="AN6" i="7"/>
  <c r="O14" i="2"/>
  <c r="S15" i="76"/>
  <c r="I8" i="3"/>
  <c r="I30" i="79"/>
  <c r="M32"/>
  <c r="O31"/>
  <c r="AL7" i="7"/>
  <c r="AM7" s="1"/>
  <c r="AO7" s="1"/>
  <c r="F8" i="3"/>
  <c r="AB8" s="1"/>
  <c r="Q9"/>
  <c r="AO9" i="7"/>
  <c r="E9" i="3"/>
  <c r="F8" i="63"/>
  <c r="AE8" i="3"/>
  <c r="AF8" s="1"/>
  <c r="AG8" s="1"/>
  <c r="AK8"/>
  <c r="C11"/>
  <c r="Z11" s="1"/>
  <c r="C10"/>
  <c r="Z10" s="1"/>
  <c r="AZ15" i="5"/>
  <c r="BC15" s="1"/>
  <c r="AA11" i="1"/>
  <c r="AH11" s="1"/>
  <c r="C11" i="65" s="1"/>
  <c r="Y11" i="1"/>
  <c r="AB10"/>
  <c r="AM10"/>
  <c r="F11" i="75" s="1"/>
  <c r="G11" s="1"/>
  <c r="AL11" i="7"/>
  <c r="AM11" s="1"/>
  <c r="AK11"/>
  <c r="AO10"/>
  <c r="V10" i="1"/>
  <c r="U10"/>
  <c r="AL10"/>
  <c r="D11" i="75" s="1"/>
  <c r="E11" s="1"/>
  <c r="G5" i="81"/>
  <c r="AJ8" i="1"/>
  <c r="AK8" s="1"/>
  <c r="B9" i="65"/>
  <c r="E9" s="1"/>
  <c r="W9" i="1"/>
  <c r="AI9"/>
  <c r="AW10" i="7" s="1"/>
  <c r="AB14" i="3"/>
  <c r="AO12" i="7"/>
  <c r="AO13"/>
  <c r="H21" i="5"/>
  <c r="C18" i="3"/>
  <c r="F17"/>
  <c r="Y20" i="5"/>
  <c r="AO20" i="1"/>
  <c r="AT19"/>
  <c r="AU19" s="1"/>
  <c r="I16" i="81" s="1"/>
  <c r="Y20" i="1"/>
  <c r="AB20" s="1"/>
  <c r="V18" i="2"/>
  <c r="T19"/>
  <c r="S19" i="3"/>
  <c r="V19" s="1"/>
  <c r="N15"/>
  <c r="K16"/>
  <c r="Z16" s="1"/>
  <c r="AK14"/>
  <c r="F14" i="63"/>
  <c r="AA19" i="5"/>
  <c r="AJ19"/>
  <c r="U20"/>
  <c r="AS21" i="1"/>
  <c r="AQ20"/>
  <c r="AF19"/>
  <c r="R19"/>
  <c r="S20"/>
  <c r="I21"/>
  <c r="G19"/>
  <c r="AL19" s="1"/>
  <c r="J18"/>
  <c r="D19" i="75"/>
  <c r="E19" s="1"/>
  <c r="U18" i="1"/>
  <c r="AA19" i="7"/>
  <c r="AB19"/>
  <c r="AC18"/>
  <c r="AD18"/>
  <c r="AI15"/>
  <c r="AJ15"/>
  <c r="AG16"/>
  <c r="AH16"/>
  <c r="AO14"/>
  <c r="AE17"/>
  <c r="AF17"/>
  <c r="Z20"/>
  <c r="D20" i="1"/>
  <c r="E20" s="1"/>
  <c r="D19"/>
  <c r="E19" s="1"/>
  <c r="F18" i="7"/>
  <c r="E18"/>
  <c r="B20"/>
  <c r="H17"/>
  <c r="G17"/>
  <c r="N13"/>
  <c r="M13"/>
  <c r="J16"/>
  <c r="I16"/>
  <c r="C19"/>
  <c r="D19"/>
  <c r="AD17" i="2"/>
  <c r="AB18"/>
  <c r="B14" i="63"/>
  <c r="H17" i="65"/>
  <c r="Z16" i="2"/>
  <c r="AF16" s="1"/>
  <c r="AG16" s="1"/>
  <c r="AE17"/>
  <c r="A16" i="63"/>
  <c r="X18" i="2"/>
  <c r="AI15" i="3"/>
  <c r="D17" i="65" s="1"/>
  <c r="BE18" i="7"/>
  <c r="BG18" s="1"/>
  <c r="AD16" i="3"/>
  <c r="I18" i="65"/>
  <c r="E15" i="63"/>
  <c r="M17" i="2"/>
  <c r="E16" i="82" s="1"/>
  <c r="K18" i="2"/>
  <c r="F17" i="82" s="1"/>
  <c r="I18" i="2"/>
  <c r="G17" i="82" s="1"/>
  <c r="G19" i="2"/>
  <c r="I18" i="82" s="1"/>
  <c r="H14"/>
  <c r="N15" i="2"/>
  <c r="E13" i="81"/>
  <c r="C13" i="63"/>
  <c r="D13" s="1"/>
  <c r="E16" i="2"/>
  <c r="AI13"/>
  <c r="J15" i="65"/>
  <c r="Q14" i="7"/>
  <c r="R14"/>
  <c r="M6"/>
  <c r="N6"/>
  <c r="AK8"/>
  <c r="AL8"/>
  <c r="AM8" s="1"/>
  <c r="N10"/>
  <c r="M10"/>
  <c r="M15"/>
  <c r="N15"/>
  <c r="M9"/>
  <c r="N9"/>
  <c r="N8"/>
  <c r="M8"/>
  <c r="O12"/>
  <c r="P12"/>
  <c r="O7"/>
  <c r="P7"/>
  <c r="M11"/>
  <c r="N11"/>
  <c r="F18" i="3" l="1"/>
  <c r="T20" i="1"/>
  <c r="J16" i="82"/>
  <c r="S16" i="76"/>
  <c r="R15" i="2"/>
  <c r="AN7" i="7"/>
  <c r="O15" i="2"/>
  <c r="F9" i="3"/>
  <c r="AB9" s="1"/>
  <c r="I9"/>
  <c r="M33" i="79"/>
  <c r="O32"/>
  <c r="I31"/>
  <c r="AN14" i="7"/>
  <c r="AN12"/>
  <c r="AN13"/>
  <c r="AN10"/>
  <c r="AN9"/>
  <c r="AO8"/>
  <c r="E10" i="3"/>
  <c r="E11"/>
  <c r="F9" i="63"/>
  <c r="AE9" i="3"/>
  <c r="AF9" s="1"/>
  <c r="AG9" s="1"/>
  <c r="AK9"/>
  <c r="AU17" i="5"/>
  <c r="AZ16"/>
  <c r="BC16" s="1"/>
  <c r="AA12" i="1"/>
  <c r="AH12" s="1"/>
  <c r="AA13"/>
  <c r="AH13" s="1"/>
  <c r="C13" i="65" s="1"/>
  <c r="Y12" i="1"/>
  <c r="Y13"/>
  <c r="AB11"/>
  <c r="AM11"/>
  <c r="F12" i="75" s="1"/>
  <c r="G12" s="1"/>
  <c r="AO11" i="7"/>
  <c r="V11" i="1"/>
  <c r="AL11"/>
  <c r="D12" i="75" s="1"/>
  <c r="E12" s="1"/>
  <c r="U11" i="1"/>
  <c r="W10"/>
  <c r="B10" i="65"/>
  <c r="E10" s="1"/>
  <c r="AI10" i="1"/>
  <c r="AW11" i="7" s="1"/>
  <c r="G6" i="81"/>
  <c r="AJ9" i="1"/>
  <c r="AK9" s="1"/>
  <c r="AB15" i="3"/>
  <c r="H22" i="5"/>
  <c r="C19" i="3"/>
  <c r="Y21" i="5"/>
  <c r="AT20" i="1"/>
  <c r="AU20" s="1"/>
  <c r="I17" i="81" s="1"/>
  <c r="Y21" i="1"/>
  <c r="AB21" s="1"/>
  <c r="V19" i="2"/>
  <c r="T20"/>
  <c r="S20" i="3"/>
  <c r="V20" s="1"/>
  <c r="AK15"/>
  <c r="F15" i="63"/>
  <c r="N16" i="3"/>
  <c r="K17"/>
  <c r="Z17" s="1"/>
  <c r="AE15"/>
  <c r="AF15" s="1"/>
  <c r="AG15" s="1"/>
  <c r="BD21" i="5"/>
  <c r="AA20"/>
  <c r="AJ20"/>
  <c r="K16" i="82" s="1"/>
  <c r="K15"/>
  <c r="U21" i="5"/>
  <c r="AS22" i="1"/>
  <c r="AQ21"/>
  <c r="AF20"/>
  <c r="R20"/>
  <c r="S21"/>
  <c r="D20" i="75"/>
  <c r="E20" s="1"/>
  <c r="J19" i="1"/>
  <c r="U19"/>
  <c r="G20"/>
  <c r="AL20" s="1"/>
  <c r="AC19" i="7"/>
  <c r="AD19"/>
  <c r="AE18"/>
  <c r="AF18"/>
  <c r="AK15"/>
  <c r="AL15"/>
  <c r="AM15" s="1"/>
  <c r="Z21"/>
  <c r="AG17"/>
  <c r="AH17"/>
  <c r="AA20"/>
  <c r="AB20"/>
  <c r="AI16"/>
  <c r="AJ16"/>
  <c r="C20"/>
  <c r="D20"/>
  <c r="F19"/>
  <c r="E19"/>
  <c r="B21"/>
  <c r="I17"/>
  <c r="J17"/>
  <c r="P13"/>
  <c r="O13"/>
  <c r="L16"/>
  <c r="K16"/>
  <c r="G18"/>
  <c r="H18"/>
  <c r="AD18" i="2"/>
  <c r="AB19"/>
  <c r="Z17"/>
  <c r="AF17" s="1"/>
  <c r="AG17" s="1"/>
  <c r="H18" i="65"/>
  <c r="B15" i="63"/>
  <c r="A17"/>
  <c r="AE18" i="2"/>
  <c r="X19"/>
  <c r="BE19" i="7"/>
  <c r="BG19" s="1"/>
  <c r="I19" i="65"/>
  <c r="E16" i="63"/>
  <c r="AD17" i="3"/>
  <c r="AI16"/>
  <c r="D18" i="65" s="1"/>
  <c r="M18" i="2"/>
  <c r="E17" i="82" s="1"/>
  <c r="K19" i="2"/>
  <c r="F18" i="82" s="1"/>
  <c r="I19" i="2"/>
  <c r="G18" i="82" s="1"/>
  <c r="G20" i="2"/>
  <c r="I19" i="82" s="1"/>
  <c r="C14" i="63"/>
  <c r="D14" s="1"/>
  <c r="E14" i="81"/>
  <c r="E17" i="2"/>
  <c r="N17" s="1"/>
  <c r="J16" i="65"/>
  <c r="AI14" i="2"/>
  <c r="N16"/>
  <c r="H15" i="82"/>
  <c r="P10" i="7"/>
  <c r="O10"/>
  <c r="O11"/>
  <c r="P11"/>
  <c r="R7"/>
  <c r="Q7"/>
  <c r="P8"/>
  <c r="O8"/>
  <c r="T14"/>
  <c r="S14"/>
  <c r="P6"/>
  <c r="O6"/>
  <c r="O9"/>
  <c r="P9"/>
  <c r="Q12"/>
  <c r="R12"/>
  <c r="P15"/>
  <c r="O15"/>
  <c r="AE16" i="3" l="1"/>
  <c r="AF16" s="1"/>
  <c r="AG16" s="1"/>
  <c r="T21" i="1"/>
  <c r="J17" i="82"/>
  <c r="S17" i="76"/>
  <c r="R16" i="2"/>
  <c r="C12" i="65"/>
  <c r="O16" i="2"/>
  <c r="F10" i="3"/>
  <c r="AB10" s="1"/>
  <c r="I10"/>
  <c r="O33" i="79"/>
  <c r="I32"/>
  <c r="AN11" i="7"/>
  <c r="AN8"/>
  <c r="F11" i="3"/>
  <c r="AB11" s="1"/>
  <c r="Q11"/>
  <c r="F10" i="63"/>
  <c r="AE10" i="3"/>
  <c r="AF10" s="1"/>
  <c r="AG10" s="1"/>
  <c r="AK10"/>
  <c r="F11" i="63"/>
  <c r="AE11" i="3"/>
  <c r="AF11" s="1"/>
  <c r="AG11" s="1"/>
  <c r="AK11"/>
  <c r="AU18" i="5"/>
  <c r="AZ17"/>
  <c r="BC17" s="1"/>
  <c r="AB13" i="1"/>
  <c r="AM13"/>
  <c r="F14" i="75" s="1"/>
  <c r="G14" s="1"/>
  <c r="AB12" i="1"/>
  <c r="AM12"/>
  <c r="AO15" i="7"/>
  <c r="AB16" i="3"/>
  <c r="AJ10" i="1"/>
  <c r="AK10" s="1"/>
  <c r="G7" i="81"/>
  <c r="B11" i="65"/>
  <c r="E11" s="1"/>
  <c r="W11" i="1"/>
  <c r="AI11"/>
  <c r="AW12" i="7" s="1"/>
  <c r="AL12" i="1"/>
  <c r="U12"/>
  <c r="V12"/>
  <c r="AL13"/>
  <c r="D14" i="75" s="1"/>
  <c r="E14" s="1"/>
  <c r="U13" i="1"/>
  <c r="H23" i="5"/>
  <c r="E21" i="3"/>
  <c r="F19"/>
  <c r="C20"/>
  <c r="Y22" i="5"/>
  <c r="AO22" i="1"/>
  <c r="AT21"/>
  <c r="AU21" s="1"/>
  <c r="I18" i="81" s="1"/>
  <c r="Y22" i="1"/>
  <c r="AB22" s="1"/>
  <c r="V20" i="2"/>
  <c r="S21" i="3"/>
  <c r="K18"/>
  <c r="Z18" s="1"/>
  <c r="N17"/>
  <c r="F16" i="63"/>
  <c r="AK16" i="3"/>
  <c r="BA22" i="5"/>
  <c r="BD22" s="1"/>
  <c r="AA21"/>
  <c r="AJ21"/>
  <c r="U22"/>
  <c r="AQ22" i="1"/>
  <c r="AF21"/>
  <c r="R21"/>
  <c r="S22"/>
  <c r="G21"/>
  <c r="AL21" s="1"/>
  <c r="U20"/>
  <c r="J20"/>
  <c r="D21" i="75"/>
  <c r="E21" s="1"/>
  <c r="AJ17" i="7"/>
  <c r="AI17"/>
  <c r="AC20"/>
  <c r="AD20"/>
  <c r="AK16"/>
  <c r="AL16"/>
  <c r="AM16" s="1"/>
  <c r="Z22"/>
  <c r="AA21"/>
  <c r="AB21"/>
  <c r="AF19"/>
  <c r="AE19"/>
  <c r="AH18"/>
  <c r="AG18"/>
  <c r="N16"/>
  <c r="M16"/>
  <c r="Q13"/>
  <c r="R13"/>
  <c r="J18"/>
  <c r="I18"/>
  <c r="B22"/>
  <c r="F20"/>
  <c r="E20"/>
  <c r="G19"/>
  <c r="H19"/>
  <c r="D21"/>
  <c r="C21"/>
  <c r="L17"/>
  <c r="K17"/>
  <c r="AD19" i="2"/>
  <c r="AB20"/>
  <c r="H19" i="65"/>
  <c r="B16" i="63"/>
  <c r="Z18" i="2"/>
  <c r="AF18" s="1"/>
  <c r="AG18" s="1"/>
  <c r="A18" i="63"/>
  <c r="AE19" i="2"/>
  <c r="I20" i="65"/>
  <c r="E17" i="63"/>
  <c r="BE20" i="7"/>
  <c r="BG20" s="1"/>
  <c r="AD18" i="3"/>
  <c r="AI17"/>
  <c r="D19" i="65" s="1"/>
  <c r="M19" i="2"/>
  <c r="E18" i="82" s="1"/>
  <c r="K20" i="2"/>
  <c r="F19" i="82" s="1"/>
  <c r="I20" i="2"/>
  <c r="G19" i="82" s="1"/>
  <c r="I20"/>
  <c r="AI15" i="2"/>
  <c r="J17" i="65"/>
  <c r="C15" i="63"/>
  <c r="D15" s="1"/>
  <c r="E15" i="81"/>
  <c r="R17" i="2"/>
  <c r="H16" i="82"/>
  <c r="E18" i="2"/>
  <c r="Q6" i="7"/>
  <c r="R6"/>
  <c r="U14"/>
  <c r="V14"/>
  <c r="W14" s="1"/>
  <c r="R9"/>
  <c r="Q9"/>
  <c r="T7"/>
  <c r="S7"/>
  <c r="T12"/>
  <c r="S12"/>
  <c r="R8"/>
  <c r="Q8"/>
  <c r="R11"/>
  <c r="Q11"/>
  <c r="Q15"/>
  <c r="R15"/>
  <c r="Q10"/>
  <c r="R10"/>
  <c r="F20" i="3" l="1"/>
  <c r="T22" i="1"/>
  <c r="J18" i="82"/>
  <c r="F13" i="75"/>
  <c r="G13" s="1"/>
  <c r="D13"/>
  <c r="E13" s="1"/>
  <c r="O17" i="2"/>
  <c r="S18" i="76"/>
  <c r="I11" i="3"/>
  <c r="I33" i="79"/>
  <c r="AN15" i="7"/>
  <c r="Q12" i="3"/>
  <c r="AU19" i="5"/>
  <c r="AZ19" s="1"/>
  <c r="AZ18"/>
  <c r="AB17" i="3"/>
  <c r="AJ11" i="1"/>
  <c r="AK11" s="1"/>
  <c r="G8" i="81"/>
  <c r="W12" i="1"/>
  <c r="AI12"/>
  <c r="AW13" i="7" s="1"/>
  <c r="B12" i="65"/>
  <c r="E12" s="1"/>
  <c r="V13" i="1"/>
  <c r="Y23" i="5"/>
  <c r="AT22" i="1"/>
  <c r="AU23" s="1"/>
  <c r="Y14" i="7"/>
  <c r="AR14" s="1"/>
  <c r="T22" i="2"/>
  <c r="S22" i="3"/>
  <c r="N18"/>
  <c r="F17" i="63"/>
  <c r="AK17" i="3"/>
  <c r="K19"/>
  <c r="Z19" s="1"/>
  <c r="AE17"/>
  <c r="AF17" s="1"/>
  <c r="AG17" s="1"/>
  <c r="BA23" i="5"/>
  <c r="BD23" s="1"/>
  <c r="AA22"/>
  <c r="AJ22"/>
  <c r="K18" i="82" s="1"/>
  <c r="K17"/>
  <c r="U23" i="5"/>
  <c r="AS24" i="1"/>
  <c r="AF22"/>
  <c r="R22"/>
  <c r="G22"/>
  <c r="AL22" s="1"/>
  <c r="J21"/>
  <c r="U21"/>
  <c r="D22" i="75"/>
  <c r="E22" s="1"/>
  <c r="Z23" i="7"/>
  <c r="AD21"/>
  <c r="AC21"/>
  <c r="AG19"/>
  <c r="AH19"/>
  <c r="AF20"/>
  <c r="AE20"/>
  <c r="AL17"/>
  <c r="AM17" s="1"/>
  <c r="AK17"/>
  <c r="AJ18"/>
  <c r="AI18"/>
  <c r="AO16"/>
  <c r="AB22"/>
  <c r="AA22"/>
  <c r="P16"/>
  <c r="O16"/>
  <c r="B23"/>
  <c r="I19"/>
  <c r="J19"/>
  <c r="E21"/>
  <c r="F21"/>
  <c r="G20"/>
  <c r="H20"/>
  <c r="S13"/>
  <c r="T13"/>
  <c r="K18"/>
  <c r="L18"/>
  <c r="N17"/>
  <c r="M17"/>
  <c r="C22"/>
  <c r="D22"/>
  <c r="AD20" i="2"/>
  <c r="Z19"/>
  <c r="AF19" s="1"/>
  <c r="AG19" s="1"/>
  <c r="H20" i="65"/>
  <c r="B17" i="63"/>
  <c r="AE20" i="2"/>
  <c r="A19" i="63"/>
  <c r="AI18" i="3"/>
  <c r="D20" i="65" s="1"/>
  <c r="BE21" i="7"/>
  <c r="BG21" s="1"/>
  <c r="AD19" i="3"/>
  <c r="I21" i="65"/>
  <c r="E18" i="63"/>
  <c r="M20" i="2"/>
  <c r="E19" i="82" s="1"/>
  <c r="F20"/>
  <c r="G20"/>
  <c r="G22" i="2"/>
  <c r="I21" i="82" s="1"/>
  <c r="N18" i="2"/>
  <c r="R18" s="1"/>
  <c r="H17" i="82"/>
  <c r="E19" i="2"/>
  <c r="J18" i="65"/>
  <c r="AI16" i="2"/>
  <c r="E16" i="81"/>
  <c r="C16" i="63"/>
  <c r="D16" s="1"/>
  <c r="S6" i="7"/>
  <c r="T6"/>
  <c r="T11"/>
  <c r="S11"/>
  <c r="S10"/>
  <c r="T10"/>
  <c r="T8"/>
  <c r="S8"/>
  <c r="U7"/>
  <c r="V7"/>
  <c r="W7" s="1"/>
  <c r="V12"/>
  <c r="W12" s="1"/>
  <c r="U12"/>
  <c r="S15"/>
  <c r="T15"/>
  <c r="S9"/>
  <c r="T9"/>
  <c r="BC19" i="5" l="1"/>
  <c r="AE18" i="3"/>
  <c r="AF18" s="1"/>
  <c r="AG18" s="1"/>
  <c r="BC18" i="5"/>
  <c r="J19" i="82"/>
  <c r="O18" i="2"/>
  <c r="S19" i="76"/>
  <c r="I12" i="3"/>
  <c r="AN16" i="7"/>
  <c r="Q13" i="3"/>
  <c r="AU20" i="5"/>
  <c r="AZ20" s="1"/>
  <c r="BC20" s="1"/>
  <c r="X14" i="7"/>
  <c r="AB18" i="3"/>
  <c r="G9" i="81"/>
  <c r="AJ12" i="1"/>
  <c r="AK12" s="1"/>
  <c r="V14"/>
  <c r="B13" i="65"/>
  <c r="E13" s="1"/>
  <c r="W13" i="1"/>
  <c r="AI13"/>
  <c r="AW14" i="7" s="1"/>
  <c r="Y7"/>
  <c r="AR7" s="1"/>
  <c r="H25" i="5"/>
  <c r="C22" i="3"/>
  <c r="F21"/>
  <c r="AO24" i="1"/>
  <c r="AU22"/>
  <c r="I19" i="81" s="1"/>
  <c r="I20"/>
  <c r="Y24" i="1"/>
  <c r="AB24" s="1"/>
  <c r="V22" i="2"/>
  <c r="T23"/>
  <c r="S23" i="3"/>
  <c r="K20"/>
  <c r="Z20" s="1"/>
  <c r="F18" i="63"/>
  <c r="AK18" i="3"/>
  <c r="N19"/>
  <c r="BD24" i="5"/>
  <c r="AA23"/>
  <c r="AJ23"/>
  <c r="K19" i="82" s="1"/>
  <c r="AS25" i="1"/>
  <c r="AQ24"/>
  <c r="S24"/>
  <c r="D23" i="75"/>
  <c r="E23" s="1"/>
  <c r="J22" i="1"/>
  <c r="U22"/>
  <c r="AI19" i="7"/>
  <c r="AJ19"/>
  <c r="AC22"/>
  <c r="AD22"/>
  <c r="AH20"/>
  <c r="AG20"/>
  <c r="Z24"/>
  <c r="AA23"/>
  <c r="AB23"/>
  <c r="AE21"/>
  <c r="AF21"/>
  <c r="AL18"/>
  <c r="AM18" s="1"/>
  <c r="AK18"/>
  <c r="AO17"/>
  <c r="P17"/>
  <c r="O17"/>
  <c r="H21"/>
  <c r="G21"/>
  <c r="R16"/>
  <c r="Q16"/>
  <c r="J20"/>
  <c r="I20"/>
  <c r="B24"/>
  <c r="E22"/>
  <c r="F22"/>
  <c r="D23"/>
  <c r="C23"/>
  <c r="U13"/>
  <c r="V13"/>
  <c r="W13" s="1"/>
  <c r="M18"/>
  <c r="N18"/>
  <c r="L19"/>
  <c r="K19"/>
  <c r="AB22" i="2"/>
  <c r="B18" i="63"/>
  <c r="H21" i="65"/>
  <c r="Z20" i="2"/>
  <c r="AF20" s="1"/>
  <c r="AG20" s="1"/>
  <c r="X22"/>
  <c r="A20" i="63"/>
  <c r="AD20" i="3"/>
  <c r="E19" i="63"/>
  <c r="I22" i="65"/>
  <c r="BE22" i="7"/>
  <c r="BG22" s="1"/>
  <c r="AI19" i="3"/>
  <c r="D21" i="65" s="1"/>
  <c r="E20" i="82"/>
  <c r="K22" i="2"/>
  <c r="F21" i="82" s="1"/>
  <c r="I22" i="2"/>
  <c r="G21" i="82" s="1"/>
  <c r="G23" i="2"/>
  <c r="I22" i="82" s="1"/>
  <c r="J19" i="65"/>
  <c r="AI17" i="2"/>
  <c r="E17" i="81"/>
  <c r="C17" i="63"/>
  <c r="D17" s="1"/>
  <c r="N19" i="2"/>
  <c r="R19" s="1"/>
  <c r="H18" i="82"/>
  <c r="E20" i="2"/>
  <c r="V15" i="7"/>
  <c r="W15" s="1"/>
  <c r="U15"/>
  <c r="V10"/>
  <c r="W10" s="1"/>
  <c r="U10"/>
  <c r="U11"/>
  <c r="V11"/>
  <c r="W11" s="1"/>
  <c r="AQ14"/>
  <c r="U9"/>
  <c r="V9"/>
  <c r="W9" s="1"/>
  <c r="U8"/>
  <c r="V8"/>
  <c r="W8" s="1"/>
  <c r="V6"/>
  <c r="W6" s="1"/>
  <c r="U6"/>
  <c r="Y12"/>
  <c r="AR12" s="1"/>
  <c r="F22" i="3" l="1"/>
  <c r="AE19"/>
  <c r="AF19" s="1"/>
  <c r="AG19" s="1"/>
  <c r="T24" i="1"/>
  <c r="J20" i="82"/>
  <c r="AI14" i="1"/>
  <c r="AW15" i="7" s="1"/>
  <c r="O19" i="2"/>
  <c r="S20" i="76"/>
  <c r="I13" i="3"/>
  <c r="AN17" i="7"/>
  <c r="Y9"/>
  <c r="AR9" s="1"/>
  <c r="AU21" i="5"/>
  <c r="AZ21" s="1"/>
  <c r="Y11" i="7"/>
  <c r="AR11" s="1"/>
  <c r="AS12" s="1"/>
  <c r="AB19" i="3"/>
  <c r="V15" i="1"/>
  <c r="B14" i="65"/>
  <c r="E14" s="1"/>
  <c r="W14" i="1"/>
  <c r="G10" i="81"/>
  <c r="AJ13" i="1"/>
  <c r="AK13" s="1"/>
  <c r="AT24"/>
  <c r="AU24" s="1"/>
  <c r="I21" i="81" s="1"/>
  <c r="Y8" i="7"/>
  <c r="AR8" s="1"/>
  <c r="AS8" s="1"/>
  <c r="X7"/>
  <c r="Y13"/>
  <c r="AR13" s="1"/>
  <c r="AS14" s="1"/>
  <c r="Y10"/>
  <c r="AR10" s="1"/>
  <c r="H26" i="5"/>
  <c r="C23" i="3"/>
  <c r="Y25" i="5"/>
  <c r="AO25" i="1"/>
  <c r="Y25"/>
  <c r="AB25" s="1"/>
  <c r="AO18" i="7"/>
  <c r="Y15"/>
  <c r="AR15" s="1"/>
  <c r="AS15" s="1"/>
  <c r="V23" i="2"/>
  <c r="T24"/>
  <c r="U21" i="3"/>
  <c r="S24"/>
  <c r="N20"/>
  <c r="AK19"/>
  <c r="F19" i="63"/>
  <c r="K21" i="3"/>
  <c r="Z21" s="1"/>
  <c r="BA25" i="5"/>
  <c r="BD25" s="1"/>
  <c r="K20" i="82"/>
  <c r="U25" i="5"/>
  <c r="AS26" i="1"/>
  <c r="AQ25"/>
  <c r="AF24"/>
  <c r="R24"/>
  <c r="S25"/>
  <c r="G24"/>
  <c r="AL24" s="1"/>
  <c r="AD23" i="7"/>
  <c r="AC23"/>
  <c r="AE22"/>
  <c r="AF22"/>
  <c r="Z25"/>
  <c r="AA24"/>
  <c r="AB24"/>
  <c r="AK19"/>
  <c r="AL19"/>
  <c r="AM19" s="1"/>
  <c r="AG21"/>
  <c r="AH21"/>
  <c r="AI20"/>
  <c r="AJ20"/>
  <c r="Q17"/>
  <c r="R17"/>
  <c r="O18"/>
  <c r="P18"/>
  <c r="G22"/>
  <c r="H22"/>
  <c r="E23"/>
  <c r="F23"/>
  <c r="C24"/>
  <c r="D24"/>
  <c r="B25"/>
  <c r="J21"/>
  <c r="I21"/>
  <c r="M19"/>
  <c r="N19"/>
  <c r="T16"/>
  <c r="S16"/>
  <c r="K20"/>
  <c r="L20"/>
  <c r="AD22" i="2"/>
  <c r="AB23"/>
  <c r="AG21"/>
  <c r="H22" i="65"/>
  <c r="B19" i="63"/>
  <c r="X23" i="2"/>
  <c r="A21" i="63"/>
  <c r="AE22" i="2"/>
  <c r="AD21" i="3"/>
  <c r="I23" i="65"/>
  <c r="BE23" i="7"/>
  <c r="BG23" s="1"/>
  <c r="E20" i="63"/>
  <c r="AI20" i="3"/>
  <c r="D22" i="65" s="1"/>
  <c r="M22" i="2"/>
  <c r="E21" i="82" s="1"/>
  <c r="K23" i="2"/>
  <c r="F22" i="82" s="1"/>
  <c r="I23" i="2"/>
  <c r="G22" i="82" s="1"/>
  <c r="I23"/>
  <c r="H19"/>
  <c r="N20" i="2"/>
  <c r="R20" s="1"/>
  <c r="AI18"/>
  <c r="J20" i="65"/>
  <c r="C18" i="63"/>
  <c r="D18" s="1"/>
  <c r="E18" i="81"/>
  <c r="AQ7" i="7"/>
  <c r="X12"/>
  <c r="Y6"/>
  <c r="AR6" s="1"/>
  <c r="AX15" l="1"/>
  <c r="Q13" i="76" s="1"/>
  <c r="F23" i="3"/>
  <c r="T25" i="1"/>
  <c r="J21" i="82"/>
  <c r="AS10" i="7"/>
  <c r="AS13"/>
  <c r="AX14"/>
  <c r="AS11"/>
  <c r="D24" i="75"/>
  <c r="E24" s="1"/>
  <c r="AS9" i="7"/>
  <c r="AS7"/>
  <c r="AX12"/>
  <c r="O20" i="2"/>
  <c r="S21" i="76"/>
  <c r="Q14" i="3"/>
  <c r="Q18"/>
  <c r="I14"/>
  <c r="X13" i="7"/>
  <c r="X10"/>
  <c r="BC10"/>
  <c r="AN18"/>
  <c r="BC8"/>
  <c r="Q15" i="3"/>
  <c r="X9" i="7"/>
  <c r="X15"/>
  <c r="AB20" i="3"/>
  <c r="AU22" i="5"/>
  <c r="BC21"/>
  <c r="X11" i="7"/>
  <c r="V21" i="3"/>
  <c r="B15" i="65"/>
  <c r="E15" s="1"/>
  <c r="AI15" i="1"/>
  <c r="AW16" i="7" s="1"/>
  <c r="W15" i="1"/>
  <c r="V16"/>
  <c r="AJ14"/>
  <c r="AK14" s="1"/>
  <c r="G11" i="81"/>
  <c r="X8" i="7"/>
  <c r="AO19"/>
  <c r="H27" i="5"/>
  <c r="C24" i="3"/>
  <c r="Y26" i="5"/>
  <c r="AT25" i="1"/>
  <c r="AU25" s="1"/>
  <c r="I22" i="81" s="1"/>
  <c r="AO26" i="1"/>
  <c r="Y26"/>
  <c r="AB26" s="1"/>
  <c r="V24" i="2"/>
  <c r="T25"/>
  <c r="U22" i="3"/>
  <c r="S25"/>
  <c r="K22"/>
  <c r="Z22" s="1"/>
  <c r="AK20"/>
  <c r="F20" i="63"/>
  <c r="AE20" i="3"/>
  <c r="AF20" s="1"/>
  <c r="AG20" s="1"/>
  <c r="N21"/>
  <c r="BA26" i="5"/>
  <c r="BD26" s="1"/>
  <c r="AA25"/>
  <c r="AJ25"/>
  <c r="K21" i="82" s="1"/>
  <c r="U26" i="5"/>
  <c r="AS27" i="1"/>
  <c r="AQ26"/>
  <c r="AF25"/>
  <c r="R25"/>
  <c r="S26"/>
  <c r="J24"/>
  <c r="D25" i="75"/>
  <c r="E25" s="1"/>
  <c r="U24" i="1"/>
  <c r="G25"/>
  <c r="AL25" s="1"/>
  <c r="AC24" i="7"/>
  <c r="AD24"/>
  <c r="AK20"/>
  <c r="AL20"/>
  <c r="AM20" s="1"/>
  <c r="AE23"/>
  <c r="AF23"/>
  <c r="AH22"/>
  <c r="AG22"/>
  <c r="AJ21"/>
  <c r="AI21"/>
  <c r="Z26"/>
  <c r="AA25"/>
  <c r="AB25"/>
  <c r="P19"/>
  <c r="O19"/>
  <c r="H23"/>
  <c r="G23"/>
  <c r="I22"/>
  <c r="J22"/>
  <c r="F24"/>
  <c r="E24"/>
  <c r="C25"/>
  <c r="D25"/>
  <c r="V16"/>
  <c r="W16" s="1"/>
  <c r="U16"/>
  <c r="T17"/>
  <c r="S17"/>
  <c r="M20"/>
  <c r="N20"/>
  <c r="B26"/>
  <c r="R18"/>
  <c r="Q18"/>
  <c r="L21"/>
  <c r="K21"/>
  <c r="AD23" i="2"/>
  <c r="AB24"/>
  <c r="H23" i="65"/>
  <c r="B20" i="63"/>
  <c r="Z22" i="2"/>
  <c r="AF22" s="1"/>
  <c r="AG22" s="1"/>
  <c r="X24"/>
  <c r="AE23"/>
  <c r="A22" i="63"/>
  <c r="AI21" i="3"/>
  <c r="D23" i="65" s="1"/>
  <c r="BE24" i="7"/>
  <c r="BG24" s="1"/>
  <c r="E21" i="63"/>
  <c r="I24" i="65"/>
  <c r="AD22" i="3"/>
  <c r="M23" i="2"/>
  <c r="E22" i="82" s="1"/>
  <c r="K24" i="2"/>
  <c r="F23" i="82" s="1"/>
  <c r="I24" i="2"/>
  <c r="G23" i="82" s="1"/>
  <c r="G25" i="2"/>
  <c r="I24" i="82" s="1"/>
  <c r="H20"/>
  <c r="J21" i="65"/>
  <c r="AI19" i="2"/>
  <c r="E22"/>
  <c r="C19" i="63"/>
  <c r="D19" s="1"/>
  <c r="E19" i="81"/>
  <c r="AQ15" i="7"/>
  <c r="BC15"/>
  <c r="X6"/>
  <c r="AQ6"/>
  <c r="AQ9"/>
  <c r="AQ12"/>
  <c r="AQ11"/>
  <c r="BC12"/>
  <c r="F24" i="3" l="1"/>
  <c r="T26" i="1"/>
  <c r="J22" i="82"/>
  <c r="S22" i="76"/>
  <c r="I15" i="3"/>
  <c r="AQ8" i="7"/>
  <c r="BC9"/>
  <c r="AX8"/>
  <c r="AY8" s="1"/>
  <c r="AX9"/>
  <c r="Q7" i="76" s="1"/>
  <c r="AN19" i="7"/>
  <c r="Q16" i="3"/>
  <c r="V22"/>
  <c r="AU23" i="5"/>
  <c r="AU24" s="1"/>
  <c r="AZ24" s="1"/>
  <c r="AZ22"/>
  <c r="BC22" s="1"/>
  <c r="AX10" i="7"/>
  <c r="Q8" i="76" s="1"/>
  <c r="AX13" i="7"/>
  <c r="Q11" i="76" s="1"/>
  <c r="AQ10" i="7"/>
  <c r="BC11"/>
  <c r="AX11"/>
  <c r="AY11" s="1"/>
  <c r="AQ13"/>
  <c r="BC14"/>
  <c r="BC13"/>
  <c r="AB21" i="3"/>
  <c r="G12" i="81"/>
  <c r="AJ15" i="1"/>
  <c r="AK15" s="1"/>
  <c r="B16" i="65"/>
  <c r="E16" s="1"/>
  <c r="AI16" i="1"/>
  <c r="AW17" i="7" s="1"/>
  <c r="W16" i="1"/>
  <c r="V17"/>
  <c r="H28" i="5"/>
  <c r="AT26" i="1"/>
  <c r="AU26" s="1"/>
  <c r="I23" i="81" s="1"/>
  <c r="AO20" i="7"/>
  <c r="Y16"/>
  <c r="AR16" s="1"/>
  <c r="C25" i="3"/>
  <c r="Y27" i="5"/>
  <c r="AO27" i="1"/>
  <c r="Y27"/>
  <c r="AB27" s="1"/>
  <c r="V25" i="2"/>
  <c r="T26"/>
  <c r="U23" i="3"/>
  <c r="S26"/>
  <c r="AK21"/>
  <c r="F21" i="63"/>
  <c r="K23" i="3"/>
  <c r="Z23" s="1"/>
  <c r="N22"/>
  <c r="AE21"/>
  <c r="AF21" s="1"/>
  <c r="AG21" s="1"/>
  <c r="BA27" i="5"/>
  <c r="BD27" s="1"/>
  <c r="AJ26"/>
  <c r="K22" i="82" s="1"/>
  <c r="AA26" i="5"/>
  <c r="U27"/>
  <c r="AS28" i="1"/>
  <c r="AQ27"/>
  <c r="AF26"/>
  <c r="R26"/>
  <c r="S27"/>
  <c r="G26"/>
  <c r="AL26" s="1"/>
  <c r="J25"/>
  <c r="D26" i="75"/>
  <c r="E26" s="1"/>
  <c r="U25" i="1"/>
  <c r="AC25" i="7"/>
  <c r="AD25"/>
  <c r="AK21"/>
  <c r="AL21"/>
  <c r="AM21" s="1"/>
  <c r="AJ22"/>
  <c r="AI22"/>
  <c r="AA26"/>
  <c r="AB26"/>
  <c r="AF24"/>
  <c r="AE24"/>
  <c r="Z27"/>
  <c r="AH23"/>
  <c r="AG23"/>
  <c r="K22"/>
  <c r="L22"/>
  <c r="N21"/>
  <c r="M21"/>
  <c r="Q12" i="76"/>
  <c r="AY14" i="7"/>
  <c r="H24"/>
  <c r="G24"/>
  <c r="O20"/>
  <c r="P20"/>
  <c r="R19"/>
  <c r="Q19"/>
  <c r="B27"/>
  <c r="J23"/>
  <c r="I23"/>
  <c r="V17"/>
  <c r="W17" s="1"/>
  <c r="U17"/>
  <c r="D26"/>
  <c r="C26"/>
  <c r="E25"/>
  <c r="F25"/>
  <c r="S18"/>
  <c r="T18"/>
  <c r="AD24" i="2"/>
  <c r="AB25"/>
  <c r="H24" i="65"/>
  <c r="B21" i="63"/>
  <c r="Z23" i="2"/>
  <c r="AF23" s="1"/>
  <c r="AG23" s="1"/>
  <c r="X25"/>
  <c r="A23" i="63"/>
  <c r="AE24" i="2"/>
  <c r="I25" i="65"/>
  <c r="E22" i="63"/>
  <c r="BE25" i="7"/>
  <c r="BG25" s="1"/>
  <c r="AD23" i="3"/>
  <c r="AI22"/>
  <c r="D24" i="65" s="1"/>
  <c r="M24" i="2"/>
  <c r="E23" i="82" s="1"/>
  <c r="K25" i="2"/>
  <c r="F24" i="82" s="1"/>
  <c r="I25" i="2"/>
  <c r="G24" i="82" s="1"/>
  <c r="G26" i="2"/>
  <c r="I25" i="82" s="1"/>
  <c r="E20" i="81"/>
  <c r="C20" i="63"/>
  <c r="D20" s="1"/>
  <c r="N22" i="2"/>
  <c r="R22" s="1"/>
  <c r="H21" i="82"/>
  <c r="E23" i="2"/>
  <c r="J22" i="65"/>
  <c r="AI20" i="2"/>
  <c r="AY15" i="7"/>
  <c r="BC6"/>
  <c r="AX7"/>
  <c r="AY12"/>
  <c r="Q10" i="76"/>
  <c r="F25" i="3" l="1"/>
  <c r="AE22"/>
  <c r="AF22" s="1"/>
  <c r="AG22" s="1"/>
  <c r="T27" i="1"/>
  <c r="J23" i="82"/>
  <c r="O22" i="2"/>
  <c r="S23" i="76"/>
  <c r="I16" i="3"/>
  <c r="Q6" i="76"/>
  <c r="AY9" i="7"/>
  <c r="AN20"/>
  <c r="X16"/>
  <c r="Q17" i="3"/>
  <c r="Q9" i="76"/>
  <c r="AB22" i="3"/>
  <c r="AZ23" i="5"/>
  <c r="BC23" s="1"/>
  <c r="AY10" i="7"/>
  <c r="AY13"/>
  <c r="V23" i="3"/>
  <c r="B17" i="65"/>
  <c r="V18" i="1"/>
  <c r="AJ16"/>
  <c r="AK16" s="1"/>
  <c r="G13" i="81"/>
  <c r="AO21" i="7"/>
  <c r="Y17"/>
  <c r="AR17" s="1"/>
  <c r="H29" i="5"/>
  <c r="E27" i="3"/>
  <c r="C26"/>
  <c r="Y28" i="5"/>
  <c r="AO28" i="1"/>
  <c r="AT27"/>
  <c r="AU27" s="1"/>
  <c r="I24" i="81" s="1"/>
  <c r="Y28" i="1"/>
  <c r="AB28" s="1"/>
  <c r="V26" i="2"/>
  <c r="T27"/>
  <c r="S27" i="3"/>
  <c r="K24"/>
  <c r="Z24" s="1"/>
  <c r="N23"/>
  <c r="AK22"/>
  <c r="F22" i="63"/>
  <c r="BA28" i="5"/>
  <c r="BD28" s="1"/>
  <c r="AA27"/>
  <c r="AJ27"/>
  <c r="K23" i="82" s="1"/>
  <c r="U28" i="5"/>
  <c r="AQ28" i="1"/>
  <c r="AF27"/>
  <c r="R27"/>
  <c r="S28"/>
  <c r="U26"/>
  <c r="J26"/>
  <c r="G27"/>
  <c r="AL27" s="1"/>
  <c r="AB27" i="7"/>
  <c r="AA27"/>
  <c r="AK22"/>
  <c r="AL22"/>
  <c r="AM22" s="1"/>
  <c r="AJ23"/>
  <c r="AI23"/>
  <c r="AD26"/>
  <c r="AC26"/>
  <c r="AH24"/>
  <c r="AG24"/>
  <c r="AE25"/>
  <c r="AF25"/>
  <c r="Z28"/>
  <c r="V18"/>
  <c r="W18" s="1"/>
  <c r="U18"/>
  <c r="M22"/>
  <c r="N22"/>
  <c r="I24"/>
  <c r="J24"/>
  <c r="T19"/>
  <c r="S19"/>
  <c r="L23"/>
  <c r="K23"/>
  <c r="Q20"/>
  <c r="R20"/>
  <c r="P21"/>
  <c r="O21"/>
  <c r="F26"/>
  <c r="E26"/>
  <c r="D27"/>
  <c r="C27"/>
  <c r="G25"/>
  <c r="H25"/>
  <c r="B28"/>
  <c r="AD25" i="2"/>
  <c r="AB26"/>
  <c r="H25" i="65"/>
  <c r="B22" i="63"/>
  <c r="Z24" i="2"/>
  <c r="AF24" s="1"/>
  <c r="AG24" s="1"/>
  <c r="A24" i="63"/>
  <c r="AE25" i="2"/>
  <c r="X26"/>
  <c r="AI23" i="3"/>
  <c r="D25" i="65" s="1"/>
  <c r="BE26" i="7"/>
  <c r="BG26" s="1"/>
  <c r="E6" i="63"/>
  <c r="D6" s="1"/>
  <c r="E23"/>
  <c r="I26" i="65"/>
  <c r="AD24" i="3"/>
  <c r="M25" i="2"/>
  <c r="E24" i="82" s="1"/>
  <c r="K26" i="2"/>
  <c r="F25" i="82" s="1"/>
  <c r="I26" i="2"/>
  <c r="G25" i="82" s="1"/>
  <c r="G27" i="2"/>
  <c r="I26" i="82" s="1"/>
  <c r="AI21" i="2"/>
  <c r="J23" i="65"/>
  <c r="C21" i="63"/>
  <c r="D21" s="1"/>
  <c r="E21" i="81"/>
  <c r="N23" i="2"/>
  <c r="R23" s="1"/>
  <c r="H22" i="82"/>
  <c r="E24" i="2"/>
  <c r="AY7" i="7"/>
  <c r="Q5" i="76"/>
  <c r="F26" i="3" l="1"/>
  <c r="AE23"/>
  <c r="AF23" s="1"/>
  <c r="AG23" s="1"/>
  <c r="T28" i="1"/>
  <c r="J24" i="82"/>
  <c r="D27" i="75"/>
  <c r="E27" s="1"/>
  <c r="O23" i="2"/>
  <c r="S24" i="76"/>
  <c r="I17" i="3"/>
  <c r="AN21" i="7"/>
  <c r="Q19" i="3"/>
  <c r="AU25" i="5"/>
  <c r="BC24"/>
  <c r="X17" i="7"/>
  <c r="AB23" i="3"/>
  <c r="B18" i="65"/>
  <c r="V19" i="1"/>
  <c r="H30" i="5"/>
  <c r="AO22" i="7"/>
  <c r="E28" i="3"/>
  <c r="C27"/>
  <c r="Y29" i="5"/>
  <c r="AO29" i="1"/>
  <c r="AT28"/>
  <c r="AU28" s="1"/>
  <c r="I25" i="81" s="1"/>
  <c r="Y29" i="1"/>
  <c r="AB29" s="1"/>
  <c r="Y18" i="7"/>
  <c r="AR18" s="1"/>
  <c r="V27" i="2"/>
  <c r="T28"/>
  <c r="S28" i="3"/>
  <c r="K25"/>
  <c r="Z25" s="1"/>
  <c r="N24"/>
  <c r="F23" i="63"/>
  <c r="AK23" i="3"/>
  <c r="BA29" i="5"/>
  <c r="BD29" s="1"/>
  <c r="AA28"/>
  <c r="AJ28"/>
  <c r="K24" i="82" s="1"/>
  <c r="U29" i="5"/>
  <c r="AS30" i="1"/>
  <c r="AQ29"/>
  <c r="AF28"/>
  <c r="R28"/>
  <c r="S29"/>
  <c r="D28" i="75"/>
  <c r="E28" s="1"/>
  <c r="U27" i="1"/>
  <c r="J27"/>
  <c r="G28"/>
  <c r="AL28" s="1"/>
  <c r="AL23" i="7"/>
  <c r="AM23" s="1"/>
  <c r="AK23"/>
  <c r="AC27"/>
  <c r="AD27"/>
  <c r="AA28"/>
  <c r="AB28"/>
  <c r="AJ24"/>
  <c r="AI24"/>
  <c r="AH25"/>
  <c r="AG25"/>
  <c r="Z29"/>
  <c r="AE26"/>
  <c r="AF26"/>
  <c r="M23"/>
  <c r="N23"/>
  <c r="T20"/>
  <c r="S20"/>
  <c r="P22"/>
  <c r="O22"/>
  <c r="B29"/>
  <c r="R21"/>
  <c r="Q21"/>
  <c r="F27"/>
  <c r="E27"/>
  <c r="I25"/>
  <c r="J25"/>
  <c r="U19"/>
  <c r="V19"/>
  <c r="W19" s="1"/>
  <c r="C28"/>
  <c r="D28"/>
  <c r="H26"/>
  <c r="G26"/>
  <c r="L24"/>
  <c r="K24"/>
  <c r="AD26" i="2"/>
  <c r="AB27"/>
  <c r="H26" i="65"/>
  <c r="B23" i="63"/>
  <c r="Z25" i="2"/>
  <c r="AF25" s="1"/>
  <c r="AG25" s="1"/>
  <c r="X27"/>
  <c r="AE26"/>
  <c r="A25" i="63"/>
  <c r="AI24" i="3"/>
  <c r="D26" i="65" s="1"/>
  <c r="I27"/>
  <c r="AD25" i="3"/>
  <c r="E24" i="63"/>
  <c r="BE27" i="7"/>
  <c r="BG27" s="1"/>
  <c r="J9" i="65"/>
  <c r="AI7" i="2"/>
  <c r="M26"/>
  <c r="E25" i="82" s="1"/>
  <c r="K27" i="2"/>
  <c r="F26" i="82" s="1"/>
  <c r="I27" i="2"/>
  <c r="G26" i="82" s="1"/>
  <c r="G28" i="2"/>
  <c r="I27" i="82" s="1"/>
  <c r="N24" i="2"/>
  <c r="R24" s="1"/>
  <c r="H23" i="82"/>
  <c r="E25" i="2"/>
  <c r="J24" i="65"/>
  <c r="AI22" i="2"/>
  <c r="E22" i="81"/>
  <c r="C22" i="63"/>
  <c r="D22" s="1"/>
  <c r="F27" i="3" l="1"/>
  <c r="AE24"/>
  <c r="AF24" s="1"/>
  <c r="AG24" s="1"/>
  <c r="T29" i="1"/>
  <c r="J25" i="82"/>
  <c r="O24" i="2"/>
  <c r="S25" i="76"/>
  <c r="I18" i="3"/>
  <c r="X18" i="7"/>
  <c r="AN22"/>
  <c r="Q20" i="3"/>
  <c r="AU26" i="5"/>
  <c r="AZ25"/>
  <c r="BC25" s="1"/>
  <c r="AB24" i="3"/>
  <c r="B19" i="65"/>
  <c r="V20" i="1"/>
  <c r="H31" i="5"/>
  <c r="E29" i="3"/>
  <c r="C28"/>
  <c r="Y30" i="5"/>
  <c r="AO30" i="1"/>
  <c r="AT29"/>
  <c r="AU29" s="1"/>
  <c r="I26" i="81" s="1"/>
  <c r="Y30" i="1"/>
  <c r="AB30" s="1"/>
  <c r="V28" i="2"/>
  <c r="T29"/>
  <c r="S29" i="3"/>
  <c r="K26"/>
  <c r="Z26" s="1"/>
  <c r="N25"/>
  <c r="F24" i="63"/>
  <c r="AK24" i="3"/>
  <c r="BA30" i="5"/>
  <c r="BD30" s="1"/>
  <c r="AA29"/>
  <c r="AJ29"/>
  <c r="K25" i="82" s="1"/>
  <c r="U30" i="5"/>
  <c r="AS31" i="1"/>
  <c r="AQ30"/>
  <c r="AF29"/>
  <c r="S30"/>
  <c r="G29"/>
  <c r="AL29" s="1"/>
  <c r="U28"/>
  <c r="J28"/>
  <c r="D29" i="75"/>
  <c r="E29" s="1"/>
  <c r="AG26" i="7"/>
  <c r="AH26"/>
  <c r="AL24"/>
  <c r="AM24" s="1"/>
  <c r="AK24"/>
  <c r="AJ25"/>
  <c r="AI25"/>
  <c r="Z30"/>
  <c r="AF27"/>
  <c r="AE27"/>
  <c r="AO23"/>
  <c r="AB29"/>
  <c r="AA29"/>
  <c r="AC28"/>
  <c r="AD28"/>
  <c r="M24"/>
  <c r="N24"/>
  <c r="G27"/>
  <c r="H27"/>
  <c r="R22"/>
  <c r="Q22"/>
  <c r="E28"/>
  <c r="F28"/>
  <c r="L25"/>
  <c r="K25"/>
  <c r="B30"/>
  <c r="U20"/>
  <c r="V20"/>
  <c r="W20" s="1"/>
  <c r="O23"/>
  <c r="P23"/>
  <c r="D29"/>
  <c r="C29"/>
  <c r="J26"/>
  <c r="I26"/>
  <c r="S21"/>
  <c r="T21"/>
  <c r="Y19"/>
  <c r="AR19" s="1"/>
  <c r="AD27" i="2"/>
  <c r="AB28"/>
  <c r="H27" i="65"/>
  <c r="B24" i="63"/>
  <c r="Z26" i="2"/>
  <c r="AF26" s="1"/>
  <c r="AG26" s="1"/>
  <c r="X28"/>
  <c r="AE27"/>
  <c r="A26" i="63"/>
  <c r="AI25" i="3"/>
  <c r="D27" i="65" s="1"/>
  <c r="AD26" i="3"/>
  <c r="BE28" i="7"/>
  <c r="BG28" s="1"/>
  <c r="I28" i="65"/>
  <c r="E25" i="63"/>
  <c r="M27" i="2"/>
  <c r="E26" i="82" s="1"/>
  <c r="K28" i="2"/>
  <c r="F27" i="82" s="1"/>
  <c r="I28" i="2"/>
  <c r="G27" i="82" s="1"/>
  <c r="G29" i="2"/>
  <c r="I28" i="82" s="1"/>
  <c r="AI23" i="2"/>
  <c r="J25" i="65"/>
  <c r="C23" i="63"/>
  <c r="D23" s="1"/>
  <c r="E23" i="81"/>
  <c r="H24" i="82"/>
  <c r="N25" i="2"/>
  <c r="R25" s="1"/>
  <c r="F28" i="3" l="1"/>
  <c r="T30" i="1"/>
  <c r="J26" i="82"/>
  <c r="S26" i="76"/>
  <c r="O25" i="2"/>
  <c r="I19" i="3"/>
  <c r="AN23" i="7"/>
  <c r="Q21" i="3"/>
  <c r="AU27" i="5"/>
  <c r="AZ26"/>
  <c r="BC26" s="1"/>
  <c r="AB25" i="3"/>
  <c r="V21" i="1"/>
  <c r="B20" i="65"/>
  <c r="AO24" i="7"/>
  <c r="H32" i="5"/>
  <c r="AT30" i="1"/>
  <c r="AU30" s="1"/>
  <c r="I27" i="81" s="1"/>
  <c r="E30" i="3"/>
  <c r="C29"/>
  <c r="Y31" i="5"/>
  <c r="AO31" i="1"/>
  <c r="Y31"/>
  <c r="AB31" s="1"/>
  <c r="V29" i="2"/>
  <c r="T30"/>
  <c r="U27" i="3"/>
  <c r="S30"/>
  <c r="N26"/>
  <c r="K27"/>
  <c r="Z27" s="1"/>
  <c r="F25" i="63"/>
  <c r="AK25" i="3"/>
  <c r="AE25"/>
  <c r="AF25" s="1"/>
  <c r="AG25" s="1"/>
  <c r="BA31" i="5"/>
  <c r="BD31" s="1"/>
  <c r="AJ30"/>
  <c r="K26" i="82" s="1"/>
  <c r="AA30" i="5"/>
  <c r="U31"/>
  <c r="AS32" i="1"/>
  <c r="AQ31"/>
  <c r="AF30"/>
  <c r="R30"/>
  <c r="S31"/>
  <c r="G30"/>
  <c r="AL30" s="1"/>
  <c r="D30" i="75"/>
  <c r="E30" s="1"/>
  <c r="U29" i="1"/>
  <c r="J29"/>
  <c r="Z31" i="7"/>
  <c r="AH27"/>
  <c r="AG27"/>
  <c r="AJ26"/>
  <c r="AI26"/>
  <c r="AL25"/>
  <c r="AM25" s="1"/>
  <c r="AK25"/>
  <c r="AF28"/>
  <c r="AE28"/>
  <c r="AD29"/>
  <c r="AC29"/>
  <c r="AB30"/>
  <c r="AA30"/>
  <c r="Y20"/>
  <c r="AR20" s="1"/>
  <c r="B31"/>
  <c r="I27"/>
  <c r="J27"/>
  <c r="M25"/>
  <c r="N25"/>
  <c r="Q23"/>
  <c r="R23"/>
  <c r="S22"/>
  <c r="T22"/>
  <c r="K26"/>
  <c r="L26"/>
  <c r="O24"/>
  <c r="P24"/>
  <c r="X19"/>
  <c r="E29"/>
  <c r="F29"/>
  <c r="C30"/>
  <c r="D30"/>
  <c r="V21"/>
  <c r="W21" s="1"/>
  <c r="U21"/>
  <c r="H28"/>
  <c r="G28"/>
  <c r="AD28" i="2"/>
  <c r="AB29"/>
  <c r="Z27"/>
  <c r="AF27" s="1"/>
  <c r="AG27" s="1"/>
  <c r="B25" i="63"/>
  <c r="H28" i="65"/>
  <c r="AE28" i="2"/>
  <c r="A27" i="63"/>
  <c r="X29" i="2"/>
  <c r="BE29" i="7"/>
  <c r="BG29" s="1"/>
  <c r="AD27" i="3"/>
  <c r="I29" i="65"/>
  <c r="E26" i="63"/>
  <c r="AI26" i="3"/>
  <c r="D28" i="65" s="1"/>
  <c r="M28" i="2"/>
  <c r="E27" i="82" s="1"/>
  <c r="K29" i="2"/>
  <c r="F28" i="82" s="1"/>
  <c r="I29" i="2"/>
  <c r="G28" i="82" s="1"/>
  <c r="G30" i="2"/>
  <c r="I29" i="82" s="1"/>
  <c r="E27" i="2"/>
  <c r="H25" i="82"/>
  <c r="N26" i="2"/>
  <c r="R26" s="1"/>
  <c r="J26" i="65"/>
  <c r="AI24" i="2"/>
  <c r="E24" i="81"/>
  <c r="C24" i="63"/>
  <c r="D24" s="1"/>
  <c r="F29" i="3" l="1"/>
  <c r="AE26"/>
  <c r="AF26" s="1"/>
  <c r="AG26" s="1"/>
  <c r="T31" i="1"/>
  <c r="O26" i="2"/>
  <c r="S27" i="76"/>
  <c r="I20" i="3"/>
  <c r="J27" i="82"/>
  <c r="AN24" i="7"/>
  <c r="X20"/>
  <c r="Q22" i="3"/>
  <c r="AU28" i="5"/>
  <c r="AZ27"/>
  <c r="BC27" s="1"/>
  <c r="V27" i="3"/>
  <c r="AB26"/>
  <c r="B21" i="65"/>
  <c r="V22" i="1"/>
  <c r="AT31"/>
  <c r="AU31" s="1"/>
  <c r="H33" i="5"/>
  <c r="C30" i="3"/>
  <c r="Y32" i="5"/>
  <c r="Y32" i="1"/>
  <c r="AB32" s="1"/>
  <c r="V30" i="2"/>
  <c r="U28" i="3"/>
  <c r="F26" i="63"/>
  <c r="AK26" i="3"/>
  <c r="N27"/>
  <c r="K28"/>
  <c r="Z28" s="1"/>
  <c r="BA32" i="5"/>
  <c r="BD32" s="1"/>
  <c r="AJ31"/>
  <c r="K27" i="82" s="1"/>
  <c r="AA31" i="5"/>
  <c r="U32"/>
  <c r="AQ32" i="1"/>
  <c r="AF31"/>
  <c r="R31"/>
  <c r="S32"/>
  <c r="G31"/>
  <c r="AL31" s="1"/>
  <c r="U30"/>
  <c r="J30"/>
  <c r="D31" i="75"/>
  <c r="E31" s="1"/>
  <c r="AG28" i="7"/>
  <c r="AH28"/>
  <c r="AA31"/>
  <c r="AB31"/>
  <c r="Z32"/>
  <c r="AK26"/>
  <c r="AL26"/>
  <c r="AM26" s="1"/>
  <c r="AJ27"/>
  <c r="AI27"/>
  <c r="AF29"/>
  <c r="AE29"/>
  <c r="AC30"/>
  <c r="AD30"/>
  <c r="AO25"/>
  <c r="Y21"/>
  <c r="AR21" s="1"/>
  <c r="AS21" s="1"/>
  <c r="T23"/>
  <c r="S23"/>
  <c r="I28"/>
  <c r="J28"/>
  <c r="B32"/>
  <c r="P25"/>
  <c r="O25"/>
  <c r="E30"/>
  <c r="F30"/>
  <c r="R24"/>
  <c r="Q24"/>
  <c r="C31"/>
  <c r="D31"/>
  <c r="V22"/>
  <c r="W22" s="1"/>
  <c r="U22"/>
  <c r="M26"/>
  <c r="N26"/>
  <c r="L27"/>
  <c r="K27"/>
  <c r="H29"/>
  <c r="G29"/>
  <c r="AD29" i="2"/>
  <c r="AB30"/>
  <c r="Z28"/>
  <c r="AF28" s="1"/>
  <c r="AG28" s="1"/>
  <c r="B26" i="63"/>
  <c r="H29" i="65"/>
  <c r="X30" i="2"/>
  <c r="A28" i="63"/>
  <c r="AE29" i="2"/>
  <c r="AI27" i="3"/>
  <c r="D29" i="65" s="1"/>
  <c r="I30"/>
  <c r="E27" i="63"/>
  <c r="AD28" i="3"/>
  <c r="BE30" i="7"/>
  <c r="BG30" s="1"/>
  <c r="M29" i="2"/>
  <c r="E28" i="82" s="1"/>
  <c r="K30" i="2"/>
  <c r="F29" i="82" s="1"/>
  <c r="I30" i="2"/>
  <c r="G29" i="82" s="1"/>
  <c r="E28" i="2"/>
  <c r="N27"/>
  <c r="R27" s="1"/>
  <c r="H26" i="82"/>
  <c r="E25" i="81"/>
  <c r="C25" i="63"/>
  <c r="D25" s="1"/>
  <c r="J27" i="65"/>
  <c r="AI25" i="2"/>
  <c r="F30" i="3" l="1"/>
  <c r="AE27"/>
  <c r="AF27" s="1"/>
  <c r="AG27" s="1"/>
  <c r="T32" i="1"/>
  <c r="O27" i="2"/>
  <c r="S28" i="76"/>
  <c r="I21" i="3"/>
  <c r="J28" i="82"/>
  <c r="AN25" i="7"/>
  <c r="AU29" i="5"/>
  <c r="AZ28"/>
  <c r="BC28" s="1"/>
  <c r="AB27" i="3"/>
  <c r="V28"/>
  <c r="B22" i="65"/>
  <c r="Y22" i="7"/>
  <c r="AR22" s="1"/>
  <c r="AT32" i="1"/>
  <c r="AU32" s="1"/>
  <c r="I29" i="81" s="1"/>
  <c r="Y33" i="5"/>
  <c r="X21" i="7"/>
  <c r="U29" i="3"/>
  <c r="S32"/>
  <c r="F27" i="63"/>
  <c r="AK27" i="3"/>
  <c r="N28"/>
  <c r="K29"/>
  <c r="Z29" s="1"/>
  <c r="BA33" i="5"/>
  <c r="BD33" s="1"/>
  <c r="AA32"/>
  <c r="AJ32"/>
  <c r="K28" i="82" s="1"/>
  <c r="U33" i="5"/>
  <c r="I28" i="81"/>
  <c r="AF32" i="1"/>
  <c r="R32"/>
  <c r="G32"/>
  <c r="U32" s="1"/>
  <c r="J31"/>
  <c r="U31"/>
  <c r="D32" i="75"/>
  <c r="E32" s="1"/>
  <c r="Z33" i="7"/>
  <c r="D32" i="1"/>
  <c r="E32" s="1"/>
  <c r="AJ28" i="7"/>
  <c r="AI28"/>
  <c r="AL27"/>
  <c r="AM27" s="1"/>
  <c r="AK27"/>
  <c r="AC31"/>
  <c r="AD31"/>
  <c r="AG29"/>
  <c r="AH29"/>
  <c r="AB32"/>
  <c r="AA32"/>
  <c r="AF30"/>
  <c r="AE30"/>
  <c r="AO26"/>
  <c r="S24"/>
  <c r="T24"/>
  <c r="G30"/>
  <c r="H30"/>
  <c r="J29"/>
  <c r="I29"/>
  <c r="C32"/>
  <c r="D32"/>
  <c r="B33"/>
  <c r="P26"/>
  <c r="O26"/>
  <c r="F31"/>
  <c r="E31"/>
  <c r="U23"/>
  <c r="V23"/>
  <c r="W23" s="1"/>
  <c r="M27"/>
  <c r="N27"/>
  <c r="R25"/>
  <c r="Q25"/>
  <c r="K28"/>
  <c r="L28"/>
  <c r="AD30" i="2"/>
  <c r="Z29"/>
  <c r="AF29" s="1"/>
  <c r="AG29" s="1"/>
  <c r="B27" i="63"/>
  <c r="H30" i="65"/>
  <c r="AE30" i="2"/>
  <c r="A29" i="63"/>
  <c r="I31" i="65"/>
  <c r="E28" i="63"/>
  <c r="AD29" i="3"/>
  <c r="BE31" i="7"/>
  <c r="BG31" s="1"/>
  <c r="AI28" i="3"/>
  <c r="D30" i="65" s="1"/>
  <c r="M30" i="2"/>
  <c r="E29" i="82" s="1"/>
  <c r="E29" i="2"/>
  <c r="N28"/>
  <c r="R28" s="1"/>
  <c r="H27" i="82"/>
  <c r="C26" i="63"/>
  <c r="D26" s="1"/>
  <c r="E26" i="81"/>
  <c r="J28" i="65"/>
  <c r="AI26" i="2"/>
  <c r="AE28" i="3" l="1"/>
  <c r="AF28" s="1"/>
  <c r="AG28" s="1"/>
  <c r="AL32" i="1"/>
  <c r="D33" i="75" s="1"/>
  <c r="E33" s="1"/>
  <c r="O28" i="2"/>
  <c r="S29" i="76"/>
  <c r="Q24" i="3"/>
  <c r="Q23"/>
  <c r="I22"/>
  <c r="J29" i="82"/>
  <c r="AN26" i="7"/>
  <c r="V29" i="3"/>
  <c r="AB28"/>
  <c r="AU30" i="5"/>
  <c r="AZ29"/>
  <c r="BC29" s="1"/>
  <c r="B23" i="65"/>
  <c r="V24" i="1"/>
  <c r="X22" i="7"/>
  <c r="H34" i="5"/>
  <c r="D1"/>
  <c r="AO27" i="7"/>
  <c r="Y23"/>
  <c r="AR23" s="1"/>
  <c r="U30" i="3"/>
  <c r="K30"/>
  <c r="Z30" s="1"/>
  <c r="F28" i="63"/>
  <c r="AK28" i="3"/>
  <c r="N29"/>
  <c r="AA33" i="5"/>
  <c r="AJ33"/>
  <c r="K29" i="82" s="1"/>
  <c r="J32" i="1"/>
  <c r="AG30" i="7"/>
  <c r="AH30"/>
  <c r="AF31"/>
  <c r="AE31"/>
  <c r="AI29"/>
  <c r="AJ29"/>
  <c r="AB33"/>
  <c r="AA33"/>
  <c r="AC32"/>
  <c r="AD32"/>
  <c r="AL28"/>
  <c r="AM28" s="1"/>
  <c r="AK28"/>
  <c r="D33"/>
  <c r="C33"/>
  <c r="F32"/>
  <c r="E32"/>
  <c r="O27"/>
  <c r="P27"/>
  <c r="Q26"/>
  <c r="R26"/>
  <c r="U24"/>
  <c r="V24"/>
  <c r="W24" s="1"/>
  <c r="S25"/>
  <c r="T25"/>
  <c r="J30"/>
  <c r="I30"/>
  <c r="M28"/>
  <c r="N28"/>
  <c r="H31"/>
  <c r="G31"/>
  <c r="K29"/>
  <c r="L29"/>
  <c r="H31" i="65"/>
  <c r="B28" i="63"/>
  <c r="Z30" i="2"/>
  <c r="AF30" s="1"/>
  <c r="AG30" s="1"/>
  <c r="A30" i="63"/>
  <c r="AI29" i="3"/>
  <c r="D31" i="65" s="1"/>
  <c r="AD30" i="3"/>
  <c r="I32" i="65"/>
  <c r="BE32" i="7"/>
  <c r="BG32" s="1"/>
  <c r="E29" i="63"/>
  <c r="J29" i="65"/>
  <c r="AI27" i="2"/>
  <c r="N29"/>
  <c r="R29" s="1"/>
  <c r="H28" i="82"/>
  <c r="E30" i="2"/>
  <c r="C27" i="63"/>
  <c r="D27" s="1"/>
  <c r="E27" i="81"/>
  <c r="AE29" i="3" l="1"/>
  <c r="AF29" s="1"/>
  <c r="AG29" s="1"/>
  <c r="C32"/>
  <c r="I25"/>
  <c r="D34" i="75"/>
  <c r="E34" s="1"/>
  <c r="O29" i="2"/>
  <c r="S30" i="76"/>
  <c r="I23" i="3"/>
  <c r="I24"/>
  <c r="AN27" i="7"/>
  <c r="Q25" i="3"/>
  <c r="AB29"/>
  <c r="B7" i="77"/>
  <c r="AU31" i="5"/>
  <c r="AZ30"/>
  <c r="BC30" s="1"/>
  <c r="V30" i="3"/>
  <c r="V25" i="1"/>
  <c r="B24" i="65"/>
  <c r="Y24" i="7"/>
  <c r="AR24" s="1"/>
  <c r="Y34" i="5"/>
  <c r="X23" i="7"/>
  <c r="N30" i="3"/>
  <c r="F29" i="63"/>
  <c r="AK29" i="3"/>
  <c r="U34" i="5"/>
  <c r="G31" i="63"/>
  <c r="AD33" i="7"/>
  <c r="AC33"/>
  <c r="AJ30"/>
  <c r="AI30"/>
  <c r="AF32"/>
  <c r="AE32"/>
  <c r="AK29"/>
  <c r="AL29"/>
  <c r="AM29" s="1"/>
  <c r="AH31"/>
  <c r="AG31"/>
  <c r="AO28"/>
  <c r="E33"/>
  <c r="F33"/>
  <c r="H32"/>
  <c r="G32"/>
  <c r="I31"/>
  <c r="J31"/>
  <c r="U25"/>
  <c r="V25"/>
  <c r="W25" s="1"/>
  <c r="L30"/>
  <c r="K30"/>
  <c r="M29"/>
  <c r="N29"/>
  <c r="Q27"/>
  <c r="R27"/>
  <c r="P28"/>
  <c r="O28"/>
  <c r="S26"/>
  <c r="T26"/>
  <c r="B29" i="63"/>
  <c r="H32" i="65"/>
  <c r="A31" i="63"/>
  <c r="AI30" i="3"/>
  <c r="D32" i="65" s="1"/>
  <c r="E30" i="63"/>
  <c r="I33" i="65"/>
  <c r="BE33" i="7"/>
  <c r="BG33" s="1"/>
  <c r="C28" i="63"/>
  <c r="D28" s="1"/>
  <c r="E28" i="81"/>
  <c r="N30" i="2"/>
  <c r="R30" s="1"/>
  <c r="H29" i="82"/>
  <c r="J30" i="65"/>
  <c r="AI28" i="2"/>
  <c r="AE30" i="3" l="1"/>
  <c r="AF30" s="1"/>
  <c r="AG30" s="1"/>
  <c r="I26"/>
  <c r="O30" i="2"/>
  <c r="S31" i="76"/>
  <c r="X24" i="7"/>
  <c r="AN28"/>
  <c r="AU32" i="5"/>
  <c r="AZ31"/>
  <c r="BC31" s="1"/>
  <c r="AB30" i="3"/>
  <c r="B25" i="65"/>
  <c r="V26" i="1"/>
  <c r="AO29" i="7"/>
  <c r="Y25"/>
  <c r="AR25" s="1"/>
  <c r="F30" i="63"/>
  <c r="AK30" i="3"/>
  <c r="J33" i="1"/>
  <c r="J1" s="1"/>
  <c r="AG32" i="7"/>
  <c r="AH32"/>
  <c r="AL30"/>
  <c r="AM30" s="1"/>
  <c r="AK30"/>
  <c r="AF33"/>
  <c r="AE33"/>
  <c r="AI31"/>
  <c r="AJ31"/>
  <c r="I32"/>
  <c r="J32"/>
  <c r="R28"/>
  <c r="Q28"/>
  <c r="H33"/>
  <c r="G33"/>
  <c r="V26"/>
  <c r="W26" s="1"/>
  <c r="U26"/>
  <c r="L31"/>
  <c r="K31"/>
  <c r="M30"/>
  <c r="N30"/>
  <c r="P29"/>
  <c r="O29"/>
  <c r="S27"/>
  <c r="T27"/>
  <c r="B31" i="63"/>
  <c r="H33" i="65"/>
  <c r="B30" i="63"/>
  <c r="D33" i="65"/>
  <c r="E31" i="63"/>
  <c r="AI29" i="2"/>
  <c r="J31" i="65"/>
  <c r="C29" i="63"/>
  <c r="D29" s="1"/>
  <c r="E29" i="81"/>
  <c r="Q26" i="3" l="1"/>
  <c r="Q27"/>
  <c r="K32"/>
  <c r="U31" s="1"/>
  <c r="AJ34" i="5"/>
  <c r="Z35" s="1"/>
  <c r="I27" i="3"/>
  <c r="D35" i="75"/>
  <c r="E35" s="1"/>
  <c r="AL33" i="1"/>
  <c r="AN29" i="7"/>
  <c r="F4" i="77"/>
  <c r="AU33" i="5"/>
  <c r="AZ32"/>
  <c r="BC32" s="1"/>
  <c r="X25" i="7"/>
  <c r="B26" i="65"/>
  <c r="V27" i="1"/>
  <c r="Y26" i="7"/>
  <c r="AR26" s="1"/>
  <c r="AO30"/>
  <c r="F31" i="63"/>
  <c r="AI32" i="7"/>
  <c r="AJ32"/>
  <c r="AK31"/>
  <c r="AL31"/>
  <c r="AM31" s="1"/>
  <c r="AH33"/>
  <c r="AG33"/>
  <c r="L32"/>
  <c r="K32"/>
  <c r="R29"/>
  <c r="Q29"/>
  <c r="P30"/>
  <c r="O30"/>
  <c r="I33"/>
  <c r="J33"/>
  <c r="N31"/>
  <c r="M31"/>
  <c r="V27"/>
  <c r="W27" s="1"/>
  <c r="U27"/>
  <c r="S28"/>
  <c r="T28"/>
  <c r="D34" i="65"/>
  <c r="AI30" i="2"/>
  <c r="J32" i="65"/>
  <c r="C30" i="63"/>
  <c r="D30" s="1"/>
  <c r="I28" i="3" l="1"/>
  <c r="X26" i="7"/>
  <c r="AN30"/>
  <c r="AZ33" i="5"/>
  <c r="BC33" s="1"/>
  <c r="D35" i="73"/>
  <c r="B16" i="77" s="1"/>
  <c r="E8"/>
  <c r="G8" s="1"/>
  <c r="K33" i="76"/>
  <c r="AO31" i="7"/>
  <c r="B27" i="65"/>
  <c r="V28" i="1"/>
  <c r="W31" i="76"/>
  <c r="AJ33" i="7"/>
  <c r="AI33"/>
  <c r="AK32"/>
  <c r="AL32"/>
  <c r="AM32" s="1"/>
  <c r="K33"/>
  <c r="L33"/>
  <c r="P31"/>
  <c r="O31"/>
  <c r="V28"/>
  <c r="W28" s="1"/>
  <c r="U28"/>
  <c r="N32"/>
  <c r="M32"/>
  <c r="Y27"/>
  <c r="AR27" s="1"/>
  <c r="S29"/>
  <c r="T29"/>
  <c r="R30"/>
  <c r="Q30"/>
  <c r="C31" i="63"/>
  <c r="D31" s="1"/>
  <c r="J33" i="65"/>
  <c r="I29" i="3" l="1"/>
  <c r="AN31" i="7"/>
  <c r="Q28" i="3"/>
  <c r="E16" i="77"/>
  <c r="X31" i="76"/>
  <c r="F7" i="77"/>
  <c r="G33" i="76"/>
  <c r="AD26"/>
  <c r="I33"/>
  <c r="AD27" s="1"/>
  <c r="E9" i="77"/>
  <c r="G9" s="1"/>
  <c r="V29" i="1"/>
  <c r="B28" i="65"/>
  <c r="F8" i="77"/>
  <c r="Z31" i="3"/>
  <c r="B18" i="77" s="1"/>
  <c r="AK33" i="7"/>
  <c r="AL33"/>
  <c r="AM33" s="1"/>
  <c r="AO32"/>
  <c r="Y28"/>
  <c r="AR28" s="1"/>
  <c r="X27"/>
  <c r="M33"/>
  <c r="N33"/>
  <c r="R31"/>
  <c r="Q31"/>
  <c r="P32"/>
  <c r="O32"/>
  <c r="V29"/>
  <c r="W29" s="1"/>
  <c r="U29"/>
  <c r="S30"/>
  <c r="T30"/>
  <c r="AD28" i="76" l="1"/>
  <c r="C33"/>
  <c r="I30" i="3"/>
  <c r="AN32" i="7"/>
  <c r="E18" i="77"/>
  <c r="Q29" i="3"/>
  <c r="Y31" i="76"/>
  <c r="F9" i="77"/>
  <c r="B29" i="65"/>
  <c r="V30" i="1"/>
  <c r="AO33" i="7"/>
  <c r="X28"/>
  <c r="U30"/>
  <c r="V30"/>
  <c r="W30" s="1"/>
  <c r="Y29"/>
  <c r="AR29" s="1"/>
  <c r="P33"/>
  <c r="O33"/>
  <c r="Q32"/>
  <c r="R32"/>
  <c r="S31"/>
  <c r="T31"/>
  <c r="AN33" l="1"/>
  <c r="F18" i="77"/>
  <c r="B19"/>
  <c r="Q30" i="3"/>
  <c r="V31" i="1"/>
  <c r="B30" i="65"/>
  <c r="Y30" i="7"/>
  <c r="AR30" s="1"/>
  <c r="Q33"/>
  <c r="R33"/>
  <c r="T32"/>
  <c r="S32"/>
  <c r="U31"/>
  <c r="V31"/>
  <c r="W31" s="1"/>
  <c r="X29"/>
  <c r="X30" l="1"/>
  <c r="V32" i="1"/>
  <c r="B31" i="65"/>
  <c r="Y31" i="7"/>
  <c r="AR31" s="1"/>
  <c r="T33"/>
  <c r="S33"/>
  <c r="V32"/>
  <c r="W32" s="1"/>
  <c r="U32"/>
  <c r="B32" i="65" l="1"/>
  <c r="Y32" i="7"/>
  <c r="AR32" s="1"/>
  <c r="X31"/>
  <c r="U33"/>
  <c r="V33"/>
  <c r="W33" s="1"/>
  <c r="X32" l="1"/>
  <c r="B33" i="65"/>
  <c r="Y33" i="7"/>
  <c r="AR33" s="1"/>
  <c r="B34" i="65" l="1"/>
  <c r="X33" i="7"/>
  <c r="L11" i="5" l="1"/>
  <c r="L16"/>
  <c r="AK16" s="1"/>
  <c r="L13"/>
  <c r="AK13" s="1"/>
  <c r="L15"/>
  <c r="AK15" s="1"/>
  <c r="L12"/>
  <c r="AK12" s="1"/>
  <c r="L19"/>
  <c r="AK19" s="1"/>
  <c r="H8" i="63" l="1"/>
  <c r="AK11" i="5"/>
  <c r="L31"/>
  <c r="AK31" s="1"/>
  <c r="L10"/>
  <c r="L8"/>
  <c r="L21"/>
  <c r="AK21" s="1"/>
  <c r="L25"/>
  <c r="H9" i="63"/>
  <c r="L14" i="5"/>
  <c r="AK14" s="1"/>
  <c r="L17"/>
  <c r="AK17" s="1"/>
  <c r="L23"/>
  <c r="AK23" s="1"/>
  <c r="L29"/>
  <c r="L30"/>
  <c r="AK30" s="1"/>
  <c r="L22"/>
  <c r="L32"/>
  <c r="AK32" s="1"/>
  <c r="L28"/>
  <c r="L27"/>
  <c r="AK27" s="1"/>
  <c r="F19" i="65"/>
  <c r="H16" i="63"/>
  <c r="F15" i="65"/>
  <c r="H12" i="63"/>
  <c r="L26" i="5"/>
  <c r="AK26" s="1"/>
  <c r="L9"/>
  <c r="AK9" s="1"/>
  <c r="L20"/>
  <c r="AK20" s="1"/>
  <c r="F12" i="65"/>
  <c r="L18" i="5"/>
  <c r="AK18" s="1"/>
  <c r="F16" i="65"/>
  <c r="H10" i="63"/>
  <c r="H13"/>
  <c r="F13" i="65"/>
  <c r="F11"/>
  <c r="L33" i="5"/>
  <c r="AK33" s="1"/>
  <c r="H7" i="63" l="1"/>
  <c r="AK10" i="5"/>
  <c r="F22" i="65"/>
  <c r="AK22" i="5"/>
  <c r="H22" i="63"/>
  <c r="AK25" i="5"/>
  <c r="F17" i="65"/>
  <c r="H25" i="63"/>
  <c r="AK28" i="5"/>
  <c r="H31" i="63"/>
  <c r="H5"/>
  <c r="AK8" i="5"/>
  <c r="H18" i="63"/>
  <c r="H26"/>
  <c r="AK29" i="5"/>
  <c r="F14" i="65"/>
  <c r="H28" i="63"/>
  <c r="H11"/>
  <c r="F31" i="65"/>
  <c r="H14" i="63"/>
  <c r="F21" i="65"/>
  <c r="F27"/>
  <c r="F8"/>
  <c r="F10"/>
  <c r="H19" i="63"/>
  <c r="H20"/>
  <c r="F23" i="65"/>
  <c r="F25"/>
  <c r="H27" i="63"/>
  <c r="F30" i="65"/>
  <c r="F29"/>
  <c r="F24"/>
  <c r="H21" i="63"/>
  <c r="H29"/>
  <c r="F34" i="65"/>
  <c r="H24" i="63"/>
  <c r="F28" i="65"/>
  <c r="F32"/>
  <c r="H30" i="63"/>
  <c r="F33" i="65"/>
  <c r="F26"/>
  <c r="H23" i="63"/>
  <c r="H6"/>
  <c r="F9" i="65"/>
  <c r="F20"/>
  <c r="H17" i="63"/>
  <c r="H15"/>
  <c r="F18" i="65"/>
  <c r="L7" i="5"/>
  <c r="AK7" l="1"/>
  <c r="L34"/>
  <c r="AK34" s="1"/>
  <c r="F7" i="65"/>
  <c r="H4" i="63"/>
  <c r="AA28" i="76" l="1"/>
  <c r="AB28" s="1"/>
  <c r="AE28" s="1"/>
  <c r="AF28" s="1"/>
  <c r="AA27"/>
  <c r="AB27" s="1"/>
  <c r="AA26"/>
  <c r="AB26" l="1"/>
  <c r="AB30" s="1"/>
  <c r="AA29"/>
  <c r="W36" l="1"/>
  <c r="W38"/>
  <c r="X16" l="1"/>
  <c r="R43" i="74" l="1"/>
  <c r="S43"/>
  <c r="G43" l="1"/>
  <c r="J43"/>
  <c r="K43"/>
  <c r="AB10"/>
  <c r="N43"/>
  <c r="O43"/>
  <c r="AA10"/>
  <c r="F43"/>
  <c r="O86" l="1"/>
  <c r="N86"/>
  <c r="F5" i="65" l="1"/>
  <c r="H2" i="63"/>
  <c r="AB23" i="74" l="1"/>
  <c r="AA23"/>
  <c r="BC20" i="7" l="1"/>
  <c r="AQ19"/>
  <c r="AQ28"/>
  <c r="BC29"/>
  <c r="AQ27"/>
  <c r="BC28"/>
  <c r="BC26"/>
  <c r="AQ25"/>
  <c r="BC31"/>
  <c r="AQ30"/>
  <c r="BC32"/>
  <c r="AQ31"/>
  <c r="AQ32"/>
  <c r="BC33"/>
  <c r="BC18"/>
  <c r="AQ17"/>
  <c r="AQ33"/>
  <c r="AQ23"/>
  <c r="BC24"/>
  <c r="BC17"/>
  <c r="AQ16"/>
  <c r="BC16"/>
  <c r="BC27"/>
  <c r="AQ26"/>
  <c r="BC30"/>
  <c r="AQ29"/>
  <c r="AQ21"/>
  <c r="BC22"/>
  <c r="BC19"/>
  <c r="AQ18"/>
  <c r="AS24"/>
  <c r="BC25"/>
  <c r="AQ24"/>
  <c r="BC23"/>
  <c r="AQ22"/>
  <c r="AS23"/>
  <c r="AS28"/>
  <c r="AS22"/>
  <c r="AQ20"/>
  <c r="AS20"/>
  <c r="BC21"/>
  <c r="AS27"/>
  <c r="AS25"/>
  <c r="AS32"/>
  <c r="AS30"/>
  <c r="AS26"/>
  <c r="AS33"/>
  <c r="AS18"/>
  <c r="AS29"/>
  <c r="AS19"/>
  <c r="AS17"/>
  <c r="AX17" s="1"/>
  <c r="AS31"/>
  <c r="AS16"/>
  <c r="Q15" i="76" l="1"/>
  <c r="AY17" i="7"/>
  <c r="AX16"/>
  <c r="AY16" l="1"/>
  <c r="Q14" i="76"/>
  <c r="AS6" i="7" l="1"/>
  <c r="AS37" l="1"/>
  <c r="AD26" i="5" l="1"/>
  <c r="AD5" i="1"/>
  <c r="I5"/>
  <c r="V5" s="1"/>
  <c r="AA5"/>
  <c r="AH5" s="1"/>
  <c r="AD27" i="5" l="1"/>
  <c r="AD17" i="1"/>
  <c r="AA17"/>
  <c r="AH17" s="1"/>
  <c r="W5"/>
  <c r="B5" i="65"/>
  <c r="V33" i="1"/>
  <c r="AG5"/>
  <c r="AM5"/>
  <c r="C5" i="65"/>
  <c r="AI5" i="1"/>
  <c r="AD28" i="5" l="1"/>
  <c r="AD18" i="1"/>
  <c r="AM17"/>
  <c r="F18" i="75" s="1"/>
  <c r="G18" s="1"/>
  <c r="AG17" i="1"/>
  <c r="C17" i="65"/>
  <c r="E17" s="1"/>
  <c r="AI17" i="1"/>
  <c r="AW18" i="7" s="1"/>
  <c r="AA18" i="1"/>
  <c r="AH18" s="1"/>
  <c r="E5" i="65"/>
  <c r="AW6" i="7"/>
  <c r="F6" i="75"/>
  <c r="G6" s="1"/>
  <c r="AD29" i="5" l="1"/>
  <c r="AD19" i="1"/>
  <c r="AM18"/>
  <c r="F19" i="75" s="1"/>
  <c r="G19" s="1"/>
  <c r="AG18" i="1"/>
  <c r="AJ17"/>
  <c r="AK17" s="1"/>
  <c r="G14" i="81"/>
  <c r="AX18" i="7"/>
  <c r="AA19" i="1"/>
  <c r="AH19" s="1"/>
  <c r="C18" i="65"/>
  <c r="E18" s="1"/>
  <c r="AI18" i="1"/>
  <c r="AW19" i="7" s="1"/>
  <c r="G2" i="81"/>
  <c r="AJ5" i="1"/>
  <c r="AK5" s="1"/>
  <c r="AX6" i="7"/>
  <c r="AD30" i="5" l="1"/>
  <c r="AM19" i="1"/>
  <c r="F20" i="75" s="1"/>
  <c r="G20" s="1"/>
  <c r="AG19" i="1"/>
  <c r="AD20"/>
  <c r="AJ18"/>
  <c r="AK18" s="1"/>
  <c r="G15" i="81"/>
  <c r="AX19" i="7"/>
  <c r="Q16" i="76"/>
  <c r="AY18" i="7"/>
  <c r="AA20" i="1"/>
  <c r="AH20" s="1"/>
  <c r="C19" i="65"/>
  <c r="E19" s="1"/>
  <c r="AI19" i="1"/>
  <c r="AW20" i="7" s="1"/>
  <c r="Q4" i="76"/>
  <c r="AY6" i="7"/>
  <c r="AD31" i="5" l="1"/>
  <c r="AD21" i="1"/>
  <c r="AM20"/>
  <c r="F21" i="75" s="1"/>
  <c r="G21" s="1"/>
  <c r="AG20" i="1"/>
  <c r="C20" i="65"/>
  <c r="E20" s="1"/>
  <c r="AI20" i="1"/>
  <c r="AW21" i="7" s="1"/>
  <c r="AJ19" i="1"/>
  <c r="AK19" s="1"/>
  <c r="G16" i="81"/>
  <c r="AX20" i="7"/>
  <c r="Q17" i="76"/>
  <c r="AY19" i="7"/>
  <c r="AA21" i="1"/>
  <c r="AH21" s="1"/>
  <c r="AD32" i="5" l="1"/>
  <c r="AD22" i="1"/>
  <c r="AM21"/>
  <c r="F22" i="75" s="1"/>
  <c r="G22" s="1"/>
  <c r="AG21" i="1"/>
  <c r="AJ20"/>
  <c r="AK20" s="1"/>
  <c r="G17" i="81"/>
  <c r="AX21" i="7"/>
  <c r="AA22" i="1"/>
  <c r="AH22" s="1"/>
  <c r="C21" i="65"/>
  <c r="E21" s="1"/>
  <c r="AI21" i="1"/>
  <c r="AW22" i="7" s="1"/>
  <c r="Q18" i="76"/>
  <c r="AY20" i="7"/>
  <c r="AD33" i="5" l="1"/>
  <c r="AM22" i="1"/>
  <c r="F23" i="75" s="1"/>
  <c r="G23" s="1"/>
  <c r="AG22" i="1"/>
  <c r="AY21" i="7"/>
  <c r="Q19" i="76"/>
  <c r="C22" i="65"/>
  <c r="E22" s="1"/>
  <c r="AI22" i="1"/>
  <c r="AJ21"/>
  <c r="AK21" s="1"/>
  <c r="G18" i="81"/>
  <c r="AX22" i="7"/>
  <c r="AD24" i="1" l="1"/>
  <c r="F24" i="75"/>
  <c r="G24" s="1"/>
  <c r="AY22" i="7"/>
  <c r="Q20" i="76"/>
  <c r="AW23" i="7"/>
  <c r="AA24" i="1"/>
  <c r="AH24" s="1"/>
  <c r="C23" i="65"/>
  <c r="E23" s="1"/>
  <c r="AW24" i="7"/>
  <c r="AG24" i="1" l="1"/>
  <c r="AM24"/>
  <c r="F25" i="75" s="1"/>
  <c r="G25" s="1"/>
  <c r="AD25" i="1"/>
  <c r="AJ22"/>
  <c r="AK22" s="1"/>
  <c r="G19" i="81"/>
  <c r="AX23" i="7"/>
  <c r="AA25" i="1"/>
  <c r="AH25" s="1"/>
  <c r="C24" i="65"/>
  <c r="E24" s="1"/>
  <c r="AI24" i="1"/>
  <c r="AW25" i="7" s="1"/>
  <c r="G20" i="81"/>
  <c r="AX24" i="7"/>
  <c r="AD26" i="1" l="1"/>
  <c r="AM25"/>
  <c r="F26" i="75" s="1"/>
  <c r="G26" s="1"/>
  <c r="AG25" i="1"/>
  <c r="AJ24"/>
  <c r="AK24" s="1"/>
  <c r="G21" i="81"/>
  <c r="AX25" i="7"/>
  <c r="Q22" i="76"/>
  <c r="AY24" i="7"/>
  <c r="Q21" i="76"/>
  <c r="AY23" i="7"/>
  <c r="AA26" i="1"/>
  <c r="AH26" s="1"/>
  <c r="C25" i="65"/>
  <c r="E25" s="1"/>
  <c r="AI25" i="1"/>
  <c r="AW26" i="7" s="1"/>
  <c r="AM26" i="1" l="1"/>
  <c r="F27" i="75" s="1"/>
  <c r="G27" s="1"/>
  <c r="AG26" i="1"/>
  <c r="AD27"/>
  <c r="AY25" i="7"/>
  <c r="Q23" i="76"/>
  <c r="AA27" i="1"/>
  <c r="AH27" s="1"/>
  <c r="C26" i="65"/>
  <c r="E26" s="1"/>
  <c r="AI26" i="1"/>
  <c r="AW27" i="7" s="1"/>
  <c r="AJ25" i="1"/>
  <c r="AK25" s="1"/>
  <c r="G22" i="81"/>
  <c r="AX26" i="7"/>
  <c r="AD28" i="1" l="1"/>
  <c r="AG27"/>
  <c r="AM27"/>
  <c r="F28" i="75" s="1"/>
  <c r="G28" s="1"/>
  <c r="C27" i="65"/>
  <c r="E27" s="1"/>
  <c r="AI27" i="1"/>
  <c r="AW28" i="7" s="1"/>
  <c r="Q24" i="76"/>
  <c r="AY26" i="7"/>
  <c r="AA28" i="1"/>
  <c r="AH28" s="1"/>
  <c r="AJ26"/>
  <c r="AK26" s="1"/>
  <c r="G23" i="81"/>
  <c r="AX27" i="7"/>
  <c r="AD29" i="1" l="1"/>
  <c r="AG28"/>
  <c r="AM28"/>
  <c r="F29" i="75" s="1"/>
  <c r="G29" s="1"/>
  <c r="Q25" i="76"/>
  <c r="AY27" i="7"/>
  <c r="AJ27" i="1"/>
  <c r="AK27" s="1"/>
  <c r="G24" i="81"/>
  <c r="AX28" i="7"/>
  <c r="AA29" i="1"/>
  <c r="AH29" s="1"/>
  <c r="C28" i="65"/>
  <c r="E28" s="1"/>
  <c r="AI28" i="1"/>
  <c r="AW29" i="7" s="1"/>
  <c r="AD30" i="1" l="1"/>
  <c r="AM29"/>
  <c r="F30" i="75" s="1"/>
  <c r="G30" s="1"/>
  <c r="AG29" i="1"/>
  <c r="AJ28"/>
  <c r="AK28" s="1"/>
  <c r="G25" i="81"/>
  <c r="AX29" i="7"/>
  <c r="AA30" i="1"/>
  <c r="AH30" s="1"/>
  <c r="Q26" i="76"/>
  <c r="AY28" i="7"/>
  <c r="C29" i="65"/>
  <c r="E29" s="1"/>
  <c r="AI29" i="1"/>
  <c r="AW30" i="7" s="1"/>
  <c r="AG30" i="1" l="1"/>
  <c r="AM30"/>
  <c r="F31" i="75" s="1"/>
  <c r="G31" s="1"/>
  <c r="AD31" i="1"/>
  <c r="AA31"/>
  <c r="AH31" s="1"/>
  <c r="AJ29"/>
  <c r="AK29" s="1"/>
  <c r="G26" i="81"/>
  <c r="AX30" i="7"/>
  <c r="Q27" i="76"/>
  <c r="AY29" i="7"/>
  <c r="C30" i="65"/>
  <c r="E30" s="1"/>
  <c r="AI30" i="1"/>
  <c r="AW31" i="7" s="1"/>
  <c r="AD32" i="1" l="1"/>
  <c r="AM31"/>
  <c r="F32" i="75" s="1"/>
  <c r="G32" s="1"/>
  <c r="AG31" i="1"/>
  <c r="AA32"/>
  <c r="AH32" s="1"/>
  <c r="AJ30"/>
  <c r="AK30" s="1"/>
  <c r="G27" i="81"/>
  <c r="AX31" i="7"/>
  <c r="C31" i="65"/>
  <c r="E31" s="1"/>
  <c r="AI31" i="1"/>
  <c r="AW32" i="7" s="1"/>
  <c r="AY30"/>
  <c r="Q28" i="76"/>
  <c r="AG32" i="1" l="1"/>
  <c r="AM32"/>
  <c r="F33" i="75" s="1"/>
  <c r="G33" s="1"/>
  <c r="C32" i="65"/>
  <c r="E32" s="1"/>
  <c r="AI32" i="1"/>
  <c r="AW33" i="7" s="1"/>
  <c r="Q29" i="76"/>
  <c r="AY31" i="7"/>
  <c r="AJ31" i="1"/>
  <c r="AK31" s="1"/>
  <c r="G28" i="81"/>
  <c r="AX32" i="7"/>
  <c r="F34" i="75" l="1"/>
  <c r="G34" s="1"/>
  <c r="Q30" i="76"/>
  <c r="AY32" i="7"/>
  <c r="C33" i="65"/>
  <c r="E33" s="1"/>
  <c r="AJ32" i="1"/>
  <c r="AK32" s="1"/>
  <c r="G29" i="81"/>
  <c r="AX33" i="7"/>
  <c r="AM33" i="1" l="1"/>
  <c r="F35" i="75"/>
  <c r="G35" s="1"/>
  <c r="Q31" i="76"/>
  <c r="AY33" i="7"/>
  <c r="AH33" i="1"/>
  <c r="C34" i="65"/>
  <c r="E34" s="1"/>
  <c r="AI34" i="1" l="1"/>
  <c r="AY34" i="7" l="1"/>
  <c r="AX34"/>
  <c r="Z37" i="76" s="1"/>
  <c r="F5" i="75" l="1"/>
  <c r="G5" s="1"/>
  <c r="AU5" i="1"/>
  <c r="I2" i="81" l="1"/>
  <c r="AU33" i="1"/>
  <c r="AU35" s="1"/>
  <c r="O5" l="1"/>
  <c r="O6" s="1"/>
  <c r="O7" s="1"/>
  <c r="O8" s="1"/>
  <c r="O9" s="1"/>
  <c r="O10" s="1"/>
  <c r="O11" s="1"/>
  <c r="O12" l="1"/>
  <c r="O13" s="1"/>
  <c r="O14" s="1"/>
  <c r="O15" s="1"/>
  <c r="O16" s="1"/>
  <c r="O19" l="1"/>
  <c r="O20" s="1"/>
  <c r="O21" s="1"/>
  <c r="O22" s="1"/>
  <c r="O17"/>
  <c r="O24" l="1"/>
  <c r="O25" s="1"/>
  <c r="O26" s="1"/>
  <c r="O27" s="1"/>
  <c r="O28" s="1"/>
  <c r="O29" s="1"/>
  <c r="O30" s="1"/>
  <c r="O31" s="1"/>
  <c r="O32" s="1"/>
  <c r="O23"/>
  <c r="AV6" i="7" l="1"/>
  <c r="AV7" l="1"/>
  <c r="H2" i="81"/>
  <c r="AV8" i="7" l="1"/>
  <c r="H3" i="81"/>
  <c r="AV9" i="7" l="1"/>
  <c r="H4" i="81"/>
  <c r="H5" l="1"/>
  <c r="AV10" i="7"/>
  <c r="AV11" l="1"/>
  <c r="H6" i="81"/>
  <c r="H7" l="1"/>
  <c r="AV12" i="7"/>
  <c r="H8" i="81" l="1"/>
  <c r="AV13" i="7"/>
  <c r="AV14" l="1"/>
  <c r="H9" i="81"/>
  <c r="H10" l="1"/>
  <c r="AV15" i="7"/>
  <c r="H11" i="81" l="1"/>
  <c r="AV16" i="7"/>
  <c r="AV17" l="1"/>
  <c r="H12" i="81"/>
  <c r="H13" l="1"/>
  <c r="AV18" i="7"/>
  <c r="AV19" l="1"/>
  <c r="H14" i="81"/>
  <c r="H15" l="1"/>
  <c r="AV20" i="7"/>
  <c r="AV21" l="1"/>
  <c r="H16" i="81"/>
  <c r="H17" l="1"/>
  <c r="AV22" i="7"/>
  <c r="H18" i="81" l="1"/>
  <c r="AV23" i="7"/>
  <c r="H19" i="81" l="1"/>
  <c r="AV24" i="7"/>
  <c r="H20" i="81" l="1"/>
  <c r="AV25" i="7"/>
  <c r="H21" i="81" l="1"/>
  <c r="AV26" i="7"/>
  <c r="H22" i="81" l="1"/>
  <c r="AV27" i="7"/>
  <c r="AV28" l="1"/>
  <c r="H23" i="81"/>
  <c r="AV29" i="7" l="1"/>
  <c r="H24" i="81"/>
  <c r="AV30" i="7" l="1"/>
  <c r="H25" i="81"/>
  <c r="H26" l="1"/>
  <c r="AV31" i="7"/>
  <c r="AV32" l="1"/>
  <c r="H27" i="81"/>
  <c r="AV33" i="7" l="1"/>
  <c r="H28" i="81"/>
  <c r="H29" l="1"/>
  <c r="G34" i="65" l="1"/>
  <c r="I31" i="63" l="1"/>
  <c r="I12" i="77" l="1"/>
  <c r="H12"/>
  <c r="L2" i="3" l="1"/>
  <c r="L3" s="1"/>
  <c r="B6" i="5" l="1"/>
  <c r="AG6"/>
  <c r="M6"/>
  <c r="L4" i="3"/>
  <c r="M3"/>
  <c r="AA3" s="1"/>
  <c r="AC3" s="1"/>
  <c r="AH3" s="1"/>
  <c r="AE6" i="5"/>
  <c r="O6"/>
  <c r="AB6"/>
  <c r="AB7" s="1"/>
  <c r="AB8" s="1"/>
  <c r="AB9" s="1"/>
  <c r="AB10" s="1"/>
  <c r="AB11" s="1"/>
  <c r="AB12" s="1"/>
  <c r="AB13" s="1"/>
  <c r="AB14" s="1"/>
  <c r="AB15" s="1"/>
  <c r="AB16" s="1"/>
  <c r="AB17" s="1"/>
  <c r="AB18" s="1"/>
  <c r="AB19" s="1"/>
  <c r="AB20" s="1"/>
  <c r="AB21" s="1"/>
  <c r="AB22" s="1"/>
  <c r="AB23" s="1"/>
  <c r="AB24" s="1"/>
  <c r="AB25" s="1"/>
  <c r="AB26" s="1"/>
  <c r="AB27" s="1"/>
  <c r="AB28" s="1"/>
  <c r="AB29" s="1"/>
  <c r="AB30" s="1"/>
  <c r="AB31" s="1"/>
  <c r="AB32" s="1"/>
  <c r="AB33" s="1"/>
  <c r="AE7" l="1"/>
  <c r="AF6"/>
  <c r="AI6" s="1"/>
  <c r="AG7"/>
  <c r="AH6"/>
  <c r="O7"/>
  <c r="P6"/>
  <c r="V7"/>
  <c r="AL6"/>
  <c r="L5" i="3"/>
  <c r="M4"/>
  <c r="AA4" s="1"/>
  <c r="AC4" s="1"/>
  <c r="AH4" s="1"/>
  <c r="B7" i="5"/>
  <c r="C6"/>
  <c r="M7"/>
  <c r="N6"/>
  <c r="AE8" l="1"/>
  <c r="AF7"/>
  <c r="AI7" s="1"/>
  <c r="M8"/>
  <c r="N7"/>
  <c r="O8"/>
  <c r="P7"/>
  <c r="W7"/>
  <c r="AL7" s="1"/>
  <c r="L6" i="3"/>
  <c r="M5"/>
  <c r="AA5" s="1"/>
  <c r="AC5" s="1"/>
  <c r="AH5" s="1"/>
  <c r="B8" i="5"/>
  <c r="C7"/>
  <c r="AG8"/>
  <c r="AH7"/>
  <c r="G3" i="63"/>
  <c r="I6" i="5"/>
  <c r="E6"/>
  <c r="D6"/>
  <c r="Q6"/>
  <c r="M2" i="81" s="1"/>
  <c r="J6" i="5" l="1"/>
  <c r="L2" i="81" s="1"/>
  <c r="K2"/>
  <c r="AE9" i="5"/>
  <c r="AF8"/>
  <c r="L7" i="3"/>
  <c r="M6"/>
  <c r="AA6" s="1"/>
  <c r="AC6" s="1"/>
  <c r="AH6" s="1"/>
  <c r="B9" i="5"/>
  <c r="C8"/>
  <c r="E7"/>
  <c r="I7"/>
  <c r="D7"/>
  <c r="G4" i="63"/>
  <c r="AG9" i="5"/>
  <c r="AH8"/>
  <c r="M9"/>
  <c r="N8"/>
  <c r="O9"/>
  <c r="P8"/>
  <c r="V9"/>
  <c r="W8"/>
  <c r="AL8" s="1"/>
  <c r="Q7"/>
  <c r="M3" i="81" s="1"/>
  <c r="M10" i="5" l="1"/>
  <c r="N9"/>
  <c r="B10"/>
  <c r="C9"/>
  <c r="E8"/>
  <c r="D8"/>
  <c r="G5" i="63"/>
  <c r="I8" i="5"/>
  <c r="K3" i="81"/>
  <c r="J7" i="5"/>
  <c r="L3" i="81" s="1"/>
  <c r="O10" i="5"/>
  <c r="P9"/>
  <c r="AE10"/>
  <c r="AF9"/>
  <c r="V10"/>
  <c r="W9"/>
  <c r="AL9" s="1"/>
  <c r="AG10"/>
  <c r="AH9"/>
  <c r="L8" i="3"/>
  <c r="M7"/>
  <c r="AA7" s="1"/>
  <c r="AC7" s="1"/>
  <c r="AH7" s="1"/>
  <c r="Q8" i="5"/>
  <c r="M4" i="81" s="1"/>
  <c r="AI8" i="5"/>
  <c r="V11" l="1"/>
  <c r="W10"/>
  <c r="AL10" s="1"/>
  <c r="M11"/>
  <c r="N10"/>
  <c r="B11"/>
  <c r="C10"/>
  <c r="E9"/>
  <c r="G6" i="63"/>
  <c r="I9" i="5"/>
  <c r="D9"/>
  <c r="L9" i="3"/>
  <c r="M8"/>
  <c r="AA8" s="1"/>
  <c r="AC8" s="1"/>
  <c r="AH8" s="1"/>
  <c r="O11" i="5"/>
  <c r="P10"/>
  <c r="AG11"/>
  <c r="AH10"/>
  <c r="AE11"/>
  <c r="AF10"/>
  <c r="Q9"/>
  <c r="M5" i="81" s="1"/>
  <c r="K4"/>
  <c r="J8" i="5"/>
  <c r="L4" i="81" s="1"/>
  <c r="AI9" i="5"/>
  <c r="AI10" l="1"/>
  <c r="O12"/>
  <c r="P11"/>
  <c r="B12"/>
  <c r="C11"/>
  <c r="E10"/>
  <c r="G7" i="63"/>
  <c r="D10" i="5"/>
  <c r="I10"/>
  <c r="Q10"/>
  <c r="M6" i="81" s="1"/>
  <c r="AE12" i="5"/>
  <c r="AF11"/>
  <c r="AI11" s="1"/>
  <c r="K5" i="81"/>
  <c r="J9" i="5"/>
  <c r="L5" i="81" s="1"/>
  <c r="V12" i="5"/>
  <c r="W11"/>
  <c r="AL11" s="1"/>
  <c r="L10" i="3"/>
  <c r="M9"/>
  <c r="AA9" s="1"/>
  <c r="AC9" s="1"/>
  <c r="AH9" s="1"/>
  <c r="M12" i="5"/>
  <c r="N11"/>
  <c r="AG12"/>
  <c r="AH11"/>
  <c r="Q11" l="1"/>
  <c r="M7" i="81" s="1"/>
  <c r="L11" i="3"/>
  <c r="M10"/>
  <c r="AA10" s="1"/>
  <c r="AC10" s="1"/>
  <c r="AH10" s="1"/>
  <c r="AG13" i="5"/>
  <c r="AH12"/>
  <c r="O13"/>
  <c r="P12"/>
  <c r="AE13"/>
  <c r="AF12"/>
  <c r="B13"/>
  <c r="C12"/>
  <c r="M13"/>
  <c r="N12"/>
  <c r="E11"/>
  <c r="D11"/>
  <c r="I11"/>
  <c r="G8" i="63"/>
  <c r="V13" i="5"/>
  <c r="W12"/>
  <c r="AL12" s="1"/>
  <c r="K6" i="81"/>
  <c r="J10" i="5"/>
  <c r="L6" i="81" s="1"/>
  <c r="Q12" i="5" l="1"/>
  <c r="M8" i="81" s="1"/>
  <c r="AI12" i="5"/>
  <c r="AE14"/>
  <c r="AF13"/>
  <c r="L12" i="3"/>
  <c r="M11"/>
  <c r="AA11" s="1"/>
  <c r="AC11" s="1"/>
  <c r="AH11" s="1"/>
  <c r="K7" i="81"/>
  <c r="J11" i="5"/>
  <c r="L7" i="81" s="1"/>
  <c r="AG14" i="5"/>
  <c r="AH13"/>
  <c r="V14"/>
  <c r="W13"/>
  <c r="AL13" s="1"/>
  <c r="I12"/>
  <c r="E12"/>
  <c r="D12"/>
  <c r="G9" i="63"/>
  <c r="B14" i="5"/>
  <c r="C13"/>
  <c r="M14"/>
  <c r="N13"/>
  <c r="O14"/>
  <c r="P13"/>
  <c r="Q13" l="1"/>
  <c r="M9" i="81" s="1"/>
  <c r="AG15" i="5"/>
  <c r="AH14"/>
  <c r="AE15"/>
  <c r="AF14"/>
  <c r="B15"/>
  <c r="C14"/>
  <c r="V15"/>
  <c r="W14"/>
  <c r="AL14" s="1"/>
  <c r="L13" i="3"/>
  <c r="M12"/>
  <c r="AA12" s="1"/>
  <c r="AC12" s="1"/>
  <c r="AH12" s="1"/>
  <c r="E13" i="5"/>
  <c r="D13"/>
  <c r="I13"/>
  <c r="G10" i="63"/>
  <c r="M15" i="5"/>
  <c r="N14"/>
  <c r="K8" i="81"/>
  <c r="J12" i="5"/>
  <c r="L8" i="81" s="1"/>
  <c r="AI13" i="5"/>
  <c r="O15"/>
  <c r="P14"/>
  <c r="AI14" l="1"/>
  <c r="AE16"/>
  <c r="AF15"/>
  <c r="B16"/>
  <c r="C15"/>
  <c r="L14" i="3"/>
  <c r="M13"/>
  <c r="AA13" s="1"/>
  <c r="AC13" s="1"/>
  <c r="AH13" s="1"/>
  <c r="AG16" i="5"/>
  <c r="AH15"/>
  <c r="O16"/>
  <c r="P15"/>
  <c r="K9" i="81"/>
  <c r="J13" i="5"/>
  <c r="L9" i="81" s="1"/>
  <c r="E14" i="5"/>
  <c r="I14"/>
  <c r="D14"/>
  <c r="G11" i="63"/>
  <c r="M16" i="5"/>
  <c r="N15"/>
  <c r="V16"/>
  <c r="W15"/>
  <c r="AL15" s="1"/>
  <c r="Q14"/>
  <c r="M10" i="81" s="1"/>
  <c r="Q15" i="5" l="1"/>
  <c r="M11" i="81" s="1"/>
  <c r="AE17" i="5"/>
  <c r="AF16"/>
  <c r="AI16" s="1"/>
  <c r="E15"/>
  <c r="G12" i="63"/>
  <c r="D15" i="5"/>
  <c r="I15"/>
  <c r="L15" i="3"/>
  <c r="M14"/>
  <c r="AA14" s="1"/>
  <c r="AC14" s="1"/>
  <c r="AH14" s="1"/>
  <c r="K10" i="81"/>
  <c r="J14" i="5"/>
  <c r="L10" i="81" s="1"/>
  <c r="O17" i="5"/>
  <c r="P16"/>
  <c r="B17"/>
  <c r="C16"/>
  <c r="M17"/>
  <c r="N16"/>
  <c r="V17"/>
  <c r="W16"/>
  <c r="AL16" s="1"/>
  <c r="AG17"/>
  <c r="AH16"/>
  <c r="AI15"/>
  <c r="AE18" l="1"/>
  <c r="AF17"/>
  <c r="AI17" s="1"/>
  <c r="AG18"/>
  <c r="AH17"/>
  <c r="E16"/>
  <c r="I16"/>
  <c r="D16"/>
  <c r="G13" i="63"/>
  <c r="L16" i="3"/>
  <c r="M15"/>
  <c r="AA15" s="1"/>
  <c r="AC15" s="1"/>
  <c r="AH15" s="1"/>
  <c r="V18" i="5"/>
  <c r="W17"/>
  <c r="AL17" s="1"/>
  <c r="O18"/>
  <c r="P17"/>
  <c r="B18"/>
  <c r="C17"/>
  <c r="J15"/>
  <c r="L11" i="81" s="1"/>
  <c r="K11"/>
  <c r="M18" i="5"/>
  <c r="N17"/>
  <c r="Q16"/>
  <c r="M12" i="81" s="1"/>
  <c r="AG19" i="5" l="1"/>
  <c r="AH18"/>
  <c r="L17" i="3"/>
  <c r="M16"/>
  <c r="AA16" s="1"/>
  <c r="AC16" s="1"/>
  <c r="AH16" s="1"/>
  <c r="V19" i="5"/>
  <c r="W18"/>
  <c r="AL18" s="1"/>
  <c r="M19"/>
  <c r="N18"/>
  <c r="O19"/>
  <c r="P18"/>
  <c r="AE19"/>
  <c r="AF18"/>
  <c r="K12" i="81"/>
  <c r="J16" i="5"/>
  <c r="L12" i="81" s="1"/>
  <c r="B19" i="5"/>
  <c r="C18"/>
  <c r="E17"/>
  <c r="D17"/>
  <c r="G14" i="63"/>
  <c r="I17" i="5"/>
  <c r="Q17"/>
  <c r="M13" i="81" s="1"/>
  <c r="Q18" i="5" l="1"/>
  <c r="M14" i="81" s="1"/>
  <c r="O20" i="5"/>
  <c r="P19"/>
  <c r="L18" i="3"/>
  <c r="M17"/>
  <c r="AA17" s="1"/>
  <c r="AC17" s="1"/>
  <c r="AH17" s="1"/>
  <c r="E18" i="5"/>
  <c r="D18"/>
  <c r="I18"/>
  <c r="G15" i="63"/>
  <c r="AG20" i="5"/>
  <c r="AH19"/>
  <c r="AE20"/>
  <c r="AF19"/>
  <c r="J17"/>
  <c r="L13" i="81" s="1"/>
  <c r="K13"/>
  <c r="V20" i="5"/>
  <c r="W19"/>
  <c r="AL19" s="1"/>
  <c r="M20"/>
  <c r="N19"/>
  <c r="B20"/>
  <c r="C19"/>
  <c r="AI18"/>
  <c r="Q19" l="1"/>
  <c r="M15" i="81" s="1"/>
  <c r="AG21" i="5"/>
  <c r="AH20"/>
  <c r="O21"/>
  <c r="P20"/>
  <c r="Q20" s="1"/>
  <c r="M16" i="81" s="1"/>
  <c r="M21" i="5"/>
  <c r="N20"/>
  <c r="AI19"/>
  <c r="AE21"/>
  <c r="AF20"/>
  <c r="AI20" s="1"/>
  <c r="L19" i="3"/>
  <c r="M18"/>
  <c r="AA18" s="1"/>
  <c r="AC18" s="1"/>
  <c r="AH18" s="1"/>
  <c r="B21" i="5"/>
  <c r="C20"/>
  <c r="E19"/>
  <c r="G16" i="63"/>
  <c r="I19" i="5"/>
  <c r="D19"/>
  <c r="K14" i="81"/>
  <c r="J18" i="5"/>
  <c r="L14" i="81" s="1"/>
  <c r="V21" i="5"/>
  <c r="W20"/>
  <c r="AL20" s="1"/>
  <c r="AG22" l="1"/>
  <c r="AH21"/>
  <c r="L20" i="3"/>
  <c r="M19"/>
  <c r="AA19" s="1"/>
  <c r="AC19" s="1"/>
  <c r="AH19" s="1"/>
  <c r="B22" i="5"/>
  <c r="C21"/>
  <c r="V22"/>
  <c r="W21"/>
  <c r="AL21" s="1"/>
  <c r="O22"/>
  <c r="P21"/>
  <c r="E20"/>
  <c r="D20"/>
  <c r="G17" i="63"/>
  <c r="I20" i="5"/>
  <c r="M22"/>
  <c r="N21"/>
  <c r="K15" i="81"/>
  <c r="J19" i="5"/>
  <c r="L15" i="81" s="1"/>
  <c r="AE22" i="5"/>
  <c r="AF21"/>
  <c r="Q21" l="1"/>
  <c r="M17" i="81" s="1"/>
  <c r="O23" i="5"/>
  <c r="P22"/>
  <c r="L21" i="3"/>
  <c r="M20"/>
  <c r="AA20" s="1"/>
  <c r="AC20" s="1"/>
  <c r="AH20" s="1"/>
  <c r="AE23" i="5"/>
  <c r="AF22"/>
  <c r="B23"/>
  <c r="C22"/>
  <c r="AG23"/>
  <c r="AH22"/>
  <c r="K16" i="81"/>
  <c r="J20" i="5"/>
  <c r="L16" i="81" s="1"/>
  <c r="E21" i="5"/>
  <c r="I21"/>
  <c r="G18" i="63"/>
  <c r="D21" i="5"/>
  <c r="M23"/>
  <c r="N22"/>
  <c r="V23"/>
  <c r="W22"/>
  <c r="AL22" s="1"/>
  <c r="AI21"/>
  <c r="Q22" l="1"/>
  <c r="M18" i="81" s="1"/>
  <c r="O24" i="5"/>
  <c r="P23"/>
  <c r="AE24"/>
  <c r="AF23"/>
  <c r="AI22"/>
  <c r="AG24"/>
  <c r="AH23"/>
  <c r="M24"/>
  <c r="N23"/>
  <c r="L22" i="3"/>
  <c r="M21"/>
  <c r="AA21" s="1"/>
  <c r="AC21" s="1"/>
  <c r="AH21" s="1"/>
  <c r="V24" i="5"/>
  <c r="W23"/>
  <c r="AL23" s="1"/>
  <c r="K17" i="81"/>
  <c r="J21" i="5"/>
  <c r="L17" i="81" s="1"/>
  <c r="B24" i="5"/>
  <c r="C23"/>
  <c r="E22"/>
  <c r="D22"/>
  <c r="G19" i="63"/>
  <c r="I22" i="5"/>
  <c r="AI23" l="1"/>
  <c r="V25"/>
  <c r="W24"/>
  <c r="AL24" s="1"/>
  <c r="AE25"/>
  <c r="AF24"/>
  <c r="J22"/>
  <c r="L18" i="81" s="1"/>
  <c r="K18"/>
  <c r="AG25" i="5"/>
  <c r="AH24"/>
  <c r="Q23"/>
  <c r="M19" i="81" s="1"/>
  <c r="C24" i="5"/>
  <c r="B25"/>
  <c r="P24"/>
  <c r="Q24" s="1"/>
  <c r="M20" i="81" s="1"/>
  <c r="O25" i="5"/>
  <c r="E23"/>
  <c r="D23"/>
  <c r="G20" i="63"/>
  <c r="I23" i="5"/>
  <c r="L23" i="3"/>
  <c r="M22"/>
  <c r="AA22" s="1"/>
  <c r="AC22" s="1"/>
  <c r="AH22" s="1"/>
  <c r="M25" i="5"/>
  <c r="N24"/>
  <c r="V26" l="1"/>
  <c r="W25"/>
  <c r="AL25" s="1"/>
  <c r="J23"/>
  <c r="L19" i="81" s="1"/>
  <c r="K19"/>
  <c r="AE26" i="5"/>
  <c r="AF25"/>
  <c r="O26"/>
  <c r="P25"/>
  <c r="E24"/>
  <c r="D24"/>
  <c r="I24"/>
  <c r="G21" i="63"/>
  <c r="B26" i="5"/>
  <c r="C25"/>
  <c r="L24" i="3"/>
  <c r="M23"/>
  <c r="AA23" s="1"/>
  <c r="AC23" s="1"/>
  <c r="AH23" s="1"/>
  <c r="M26" i="5"/>
  <c r="N25"/>
  <c r="AG26"/>
  <c r="AH25"/>
  <c r="AI24"/>
  <c r="Q25" l="1"/>
  <c r="M21" i="81" s="1"/>
  <c r="J24" i="5"/>
  <c r="L20" i="81" s="1"/>
  <c r="K20"/>
  <c r="AG27" i="5"/>
  <c r="AH26"/>
  <c r="B27"/>
  <c r="C26"/>
  <c r="AI25"/>
  <c r="V27"/>
  <c r="W26"/>
  <c r="AL26" s="1"/>
  <c r="M27"/>
  <c r="N26"/>
  <c r="AE27"/>
  <c r="AF26"/>
  <c r="E25"/>
  <c r="I25"/>
  <c r="G22" i="63"/>
  <c r="D25" i="5"/>
  <c r="L25" i="3"/>
  <c r="M24"/>
  <c r="AA24" s="1"/>
  <c r="AC24" s="1"/>
  <c r="AH24" s="1"/>
  <c r="O27" i="5"/>
  <c r="P26"/>
  <c r="V28" l="1"/>
  <c r="W27"/>
  <c r="AL27" s="1"/>
  <c r="AI26"/>
  <c r="O28"/>
  <c r="P27"/>
  <c r="Q27" s="1"/>
  <c r="M23" i="81" s="1"/>
  <c r="AE28" i="5"/>
  <c r="AF27"/>
  <c r="B28"/>
  <c r="C27"/>
  <c r="Q26"/>
  <c r="M22" i="81" s="1"/>
  <c r="L26" i="3"/>
  <c r="M25"/>
  <c r="AA25" s="1"/>
  <c r="AC25" s="1"/>
  <c r="AH25" s="1"/>
  <c r="M28" i="5"/>
  <c r="N27"/>
  <c r="AG28"/>
  <c r="AH27"/>
  <c r="E26"/>
  <c r="D26"/>
  <c r="I26"/>
  <c r="G23" i="63"/>
  <c r="J25" i="5"/>
  <c r="L21" i="81" s="1"/>
  <c r="K21"/>
  <c r="AI27" i="5" l="1"/>
  <c r="E27"/>
  <c r="G24" i="63"/>
  <c r="D27" i="5"/>
  <c r="I27"/>
  <c r="L27" i="3"/>
  <c r="M26"/>
  <c r="AA26" s="1"/>
  <c r="AC26" s="1"/>
  <c r="AH26" s="1"/>
  <c r="V29" i="5"/>
  <c r="W28"/>
  <c r="AL28" s="1"/>
  <c r="J26"/>
  <c r="L22" i="81" s="1"/>
  <c r="K22"/>
  <c r="AG29" i="5"/>
  <c r="AH28"/>
  <c r="O29"/>
  <c r="P28"/>
  <c r="M29"/>
  <c r="N28"/>
  <c r="AE29"/>
  <c r="AF28"/>
  <c r="AI28" s="1"/>
  <c r="B29"/>
  <c r="C28"/>
  <c r="AG30" l="1"/>
  <c r="AH29"/>
  <c r="AE30"/>
  <c r="AF29"/>
  <c r="B30"/>
  <c r="C29"/>
  <c r="K23" i="81"/>
  <c r="J27" i="5"/>
  <c r="L23" i="81" s="1"/>
  <c r="E28" i="5"/>
  <c r="D28"/>
  <c r="G25" i="63"/>
  <c r="I28" i="5"/>
  <c r="L28" i="3"/>
  <c r="M27"/>
  <c r="AA27" s="1"/>
  <c r="AC27" s="1"/>
  <c r="AH27" s="1"/>
  <c r="O30" i="5"/>
  <c r="P29"/>
  <c r="V30"/>
  <c r="W29"/>
  <c r="AL29" s="1"/>
  <c r="M30"/>
  <c r="N29"/>
  <c r="Q28"/>
  <c r="M24" i="81" s="1"/>
  <c r="Q29" i="5" l="1"/>
  <c r="M25" i="81" s="1"/>
  <c r="AG31" i="5"/>
  <c r="AH30"/>
  <c r="B31"/>
  <c r="C30"/>
  <c r="M31"/>
  <c r="N30"/>
  <c r="K24" i="81"/>
  <c r="J28" i="5"/>
  <c r="L24" i="81" s="1"/>
  <c r="L29" i="3"/>
  <c r="M28"/>
  <c r="AA28" s="1"/>
  <c r="AC28" s="1"/>
  <c r="AH28" s="1"/>
  <c r="E29" i="5"/>
  <c r="I29"/>
  <c r="G26" i="63"/>
  <c r="D29" i="5"/>
  <c r="AI29"/>
  <c r="V31"/>
  <c r="W30"/>
  <c r="AL30" s="1"/>
  <c r="AE31"/>
  <c r="AF30"/>
  <c r="O31"/>
  <c r="P30"/>
  <c r="Q30" s="1"/>
  <c r="M26" i="81" s="1"/>
  <c r="B32" i="5" l="1"/>
  <c r="C31"/>
  <c r="E30"/>
  <c r="G27" i="63"/>
  <c r="I30" i="5"/>
  <c r="D30"/>
  <c r="K25" i="81"/>
  <c r="J29" i="5"/>
  <c r="L25" i="81" s="1"/>
  <c r="M32" i="5"/>
  <c r="N31"/>
  <c r="AI30"/>
  <c r="V32"/>
  <c r="W31"/>
  <c r="AL31" s="1"/>
  <c r="AG32"/>
  <c r="AH31"/>
  <c r="AE32"/>
  <c r="AF31"/>
  <c r="AI31" s="1"/>
  <c r="L30" i="3"/>
  <c r="M30" s="1"/>
  <c r="AA30" s="1"/>
  <c r="AC30" s="1"/>
  <c r="AH30" s="1"/>
  <c r="M29"/>
  <c r="AA29" s="1"/>
  <c r="AC29" s="1"/>
  <c r="AH29" s="1"/>
  <c r="O32" i="5"/>
  <c r="P31"/>
  <c r="B33" l="1"/>
  <c r="C33" s="1"/>
  <c r="C32"/>
  <c r="V33"/>
  <c r="W33" s="1"/>
  <c r="AL33" s="1"/>
  <c r="AL34" s="1"/>
  <c r="W32"/>
  <c r="AL32" s="1"/>
  <c r="J30"/>
  <c r="L26" i="81" s="1"/>
  <c r="K26"/>
  <c r="O33" i="5"/>
  <c r="P33" s="1"/>
  <c r="P32"/>
  <c r="AH33"/>
  <c r="AH32"/>
  <c r="Q31"/>
  <c r="M27" i="81" s="1"/>
  <c r="AF33" i="5"/>
  <c r="AF32"/>
  <c r="M33"/>
  <c r="N33" s="1"/>
  <c r="N32"/>
  <c r="E31"/>
  <c r="G28" i="63"/>
  <c r="I31" i="5"/>
  <c r="D31"/>
  <c r="Q32" l="1"/>
  <c r="M28" i="81" s="1"/>
  <c r="E33" i="5"/>
  <c r="E35" s="1"/>
  <c r="I33"/>
  <c r="D33"/>
  <c r="G30" i="63"/>
  <c r="I30" s="1"/>
  <c r="C34" i="5"/>
  <c r="E32"/>
  <c r="I32"/>
  <c r="G29" i="63"/>
  <c r="D32" i="5"/>
  <c r="K27" i="81"/>
  <c r="J31" i="5"/>
  <c r="L27" i="81" s="1"/>
  <c r="AI33" i="5"/>
  <c r="AI32"/>
  <c r="Q33"/>
  <c r="M29" i="81" s="1"/>
  <c r="V9" i="76"/>
  <c r="C35" i="5" l="1"/>
  <c r="B6" i="77"/>
  <c r="D34" i="5"/>
  <c r="D36"/>
  <c r="J32"/>
  <c r="L28" i="81" s="1"/>
  <c r="K28"/>
  <c r="K29"/>
  <c r="J33" i="5"/>
  <c r="L29" i="81" s="1"/>
  <c r="I34" i="5"/>
  <c r="G6" i="77" l="1"/>
  <c r="D6"/>
  <c r="E6" s="1"/>
  <c r="H36" i="5"/>
  <c r="AJ36"/>
  <c r="AM36" s="1"/>
  <c r="I35"/>
  <c r="G36"/>
  <c r="K36" l="1"/>
  <c r="F6" i="77"/>
  <c r="V11" i="76" l="1"/>
  <c r="V10"/>
  <c r="N2" i="3" l="1"/>
  <c r="AB2" l="1"/>
  <c r="G2" i="63" l="1"/>
  <c r="AU6" i="5" l="1"/>
  <c r="AZ6" l="1"/>
  <c r="AU7"/>
  <c r="AZ7" s="1"/>
  <c r="BC6" l="1"/>
  <c r="BC7"/>
  <c r="BC8"/>
  <c r="AA9" i="76" l="1"/>
  <c r="AA11" l="1"/>
  <c r="AB10"/>
  <c r="AA10"/>
  <c r="AA12"/>
  <c r="AB11" l="1"/>
  <c r="AE11" s="1"/>
  <c r="AF11" s="1"/>
  <c r="AB13"/>
  <c r="AB9"/>
  <c r="M2" i="3" l="1"/>
  <c r="AA2" l="1"/>
  <c r="AH2" l="1"/>
  <c r="AC2"/>
  <c r="Y2" l="1"/>
  <c r="X3"/>
  <c r="X4" l="1"/>
  <c r="Y3"/>
  <c r="X5" l="1"/>
  <c r="Y4"/>
  <c r="X6" l="1"/>
  <c r="Y5"/>
  <c r="X7" l="1"/>
  <c r="Y6"/>
  <c r="X8" l="1"/>
  <c r="Y7"/>
  <c r="X9" l="1"/>
  <c r="Y8"/>
  <c r="X10" l="1"/>
  <c r="Y9"/>
  <c r="X11" l="1"/>
  <c r="Y10"/>
  <c r="X12" l="1"/>
  <c r="Y11"/>
  <c r="X13" l="1"/>
  <c r="Y12"/>
  <c r="X14" l="1"/>
  <c r="Y13"/>
  <c r="X15" l="1"/>
  <c r="Y14"/>
  <c r="X16" l="1"/>
  <c r="Y15"/>
  <c r="X17" l="1"/>
  <c r="Y16"/>
  <c r="X18" l="1"/>
  <c r="Y17"/>
  <c r="X19" l="1"/>
  <c r="Y18"/>
  <c r="X20" l="1"/>
  <c r="Y19"/>
  <c r="X21" l="1"/>
  <c r="X22" s="1"/>
  <c r="Y20"/>
  <c r="Y21" s="1"/>
  <c r="X23" l="1"/>
  <c r="Y22"/>
  <c r="X24" l="1"/>
  <c r="Y23"/>
  <c r="X25" l="1"/>
  <c r="Y24"/>
  <c r="X26" l="1"/>
  <c r="Y25"/>
  <c r="X27" l="1"/>
  <c r="Y26"/>
  <c r="X28" l="1"/>
  <c r="Y27"/>
  <c r="X29" l="1"/>
  <c r="Y28"/>
  <c r="X30" l="1"/>
  <c r="Y30" s="1"/>
  <c r="Y29"/>
  <c r="Q34" i="5" l="1"/>
  <c r="O35" s="1"/>
  <c r="AC11" i="76" l="1"/>
  <c r="AC28" s="1"/>
  <c r="AC10"/>
  <c r="AC27" s="1"/>
  <c r="AC9"/>
  <c r="AC26" s="1"/>
  <c r="AC30" l="1"/>
  <c r="W35" l="1"/>
  <c r="W37" s="1"/>
  <c r="W39" s="1"/>
  <c r="AC31"/>
  <c r="AC13"/>
  <c r="O28" l="1"/>
  <c r="P28" s="1"/>
  <c r="R28" s="1"/>
  <c r="T28" s="1"/>
  <c r="F26" i="81" s="1"/>
  <c r="O4" i="76"/>
  <c r="P4" s="1"/>
  <c r="R4" s="1"/>
  <c r="T4" s="1"/>
  <c r="F2" i="81" s="1"/>
  <c r="O12" i="76"/>
  <c r="P12" s="1"/>
  <c r="R12" s="1"/>
  <c r="T12" s="1"/>
  <c r="F10" i="81" s="1"/>
  <c r="O16" i="76"/>
  <c r="P16" s="1"/>
  <c r="R16" s="1"/>
  <c r="T16" s="1"/>
  <c r="F14" i="81" s="1"/>
  <c r="O21" i="76"/>
  <c r="P21" s="1"/>
  <c r="R21" s="1"/>
  <c r="T21" s="1"/>
  <c r="F19" i="81" s="1"/>
  <c r="O8" i="76"/>
  <c r="P8" s="1"/>
  <c r="R8" s="1"/>
  <c r="T8" s="1"/>
  <c r="F6" i="81" s="1"/>
  <c r="O29" i="76"/>
  <c r="P29" s="1"/>
  <c r="R29" s="1"/>
  <c r="T29" s="1"/>
  <c r="F27" i="81" s="1"/>
  <c r="O6" i="76"/>
  <c r="P6" s="1"/>
  <c r="R6" s="1"/>
  <c r="T6" s="1"/>
  <c r="F4" i="81" s="1"/>
  <c r="O19" i="76"/>
  <c r="P19" s="1"/>
  <c r="R19" s="1"/>
  <c r="T19" s="1"/>
  <c r="F17" i="81" s="1"/>
  <c r="O10" i="76"/>
  <c r="P10" s="1"/>
  <c r="R10" s="1"/>
  <c r="T10" s="1"/>
  <c r="F8" i="81" s="1"/>
  <c r="O9" i="76"/>
  <c r="P9" s="1"/>
  <c r="R9" s="1"/>
  <c r="T9" s="1"/>
  <c r="F7" i="81" s="1"/>
  <c r="O25" i="76"/>
  <c r="P25" s="1"/>
  <c r="R25" s="1"/>
  <c r="T25" s="1"/>
  <c r="F23" i="81" s="1"/>
  <c r="O30" i="76"/>
  <c r="P30" s="1"/>
  <c r="R30" s="1"/>
  <c r="T30" s="1"/>
  <c r="F28" i="81" s="1"/>
  <c r="O31" i="76"/>
  <c r="O11"/>
  <c r="P11" s="1"/>
  <c r="R11" s="1"/>
  <c r="T11" s="1"/>
  <c r="F9" i="81" s="1"/>
  <c r="O14" i="76"/>
  <c r="P14" s="1"/>
  <c r="R14" s="1"/>
  <c r="T14" s="1"/>
  <c r="F12" i="81" s="1"/>
  <c r="O22" i="76"/>
  <c r="P22" s="1"/>
  <c r="R22" s="1"/>
  <c r="T22" s="1"/>
  <c r="F20" i="81" s="1"/>
  <c r="O18" i="76"/>
  <c r="P18" s="1"/>
  <c r="R18" s="1"/>
  <c r="T18" s="1"/>
  <c r="F16" i="81" s="1"/>
  <c r="O26" i="76"/>
  <c r="P26" s="1"/>
  <c r="R26" s="1"/>
  <c r="T26" s="1"/>
  <c r="F24" i="81" s="1"/>
  <c r="O5" i="76"/>
  <c r="P5" s="1"/>
  <c r="R5" s="1"/>
  <c r="T5" s="1"/>
  <c r="F3" i="81" s="1"/>
  <c r="O17" i="76"/>
  <c r="P17" s="1"/>
  <c r="R17" s="1"/>
  <c r="T17" s="1"/>
  <c r="F15" i="81" s="1"/>
  <c r="O20" i="76"/>
  <c r="P20" s="1"/>
  <c r="R20" s="1"/>
  <c r="T20" s="1"/>
  <c r="F18" i="81" s="1"/>
  <c r="AB31" i="76"/>
  <c r="O7"/>
  <c r="P7" s="1"/>
  <c r="R7" s="1"/>
  <c r="T7" s="1"/>
  <c r="F5" i="81" s="1"/>
  <c r="O13" i="76"/>
  <c r="P13" s="1"/>
  <c r="R13" s="1"/>
  <c r="T13" s="1"/>
  <c r="F11" i="81" s="1"/>
  <c r="O24" i="76"/>
  <c r="P24" s="1"/>
  <c r="R24" s="1"/>
  <c r="T24" s="1"/>
  <c r="F22" i="81" s="1"/>
  <c r="O27" i="76"/>
  <c r="P27" s="1"/>
  <c r="R27" s="1"/>
  <c r="T27" s="1"/>
  <c r="F25" i="81" s="1"/>
  <c r="O23" i="76"/>
  <c r="P23" s="1"/>
  <c r="R23" s="1"/>
  <c r="T23" s="1"/>
  <c r="F21" i="81" s="1"/>
  <c r="O15" i="76"/>
  <c r="P15" s="1"/>
  <c r="R15" s="1"/>
  <c r="T15" s="1"/>
  <c r="F13" i="81" s="1"/>
  <c r="AC14" i="76"/>
  <c r="P31" l="1"/>
  <c r="R31" s="1"/>
  <c r="T31" s="1"/>
  <c r="F29" i="81" s="1"/>
  <c r="O32" i="76"/>
  <c r="O3"/>
  <c r="AB14"/>
  <c r="AA37"/>
  <c r="AB33"/>
  <c r="AB35" s="1"/>
  <c r="Z36" s="1"/>
  <c r="Z38" s="1"/>
  <c r="Z40" s="1"/>
  <c r="D10" i="77"/>
  <c r="E10" s="1"/>
  <c r="E12" s="1"/>
  <c r="AB19" i="76" l="1"/>
  <c r="P3"/>
  <c r="AB18"/>
  <c r="AB17"/>
  <c r="AA38"/>
  <c r="AB37"/>
  <c r="AB38" s="1"/>
  <c r="F10" i="77"/>
  <c r="F12" s="1"/>
  <c r="G10"/>
  <c r="G12" s="1"/>
  <c r="R3" i="76" l="1"/>
  <c r="I14" i="77"/>
  <c r="H14"/>
  <c r="T3" i="76" l="1"/>
  <c r="AX4" i="1" l="1"/>
  <c r="AX5" s="1"/>
  <c r="AS6" i="5"/>
  <c r="J2" i="81" l="1"/>
  <c r="AX6" i="1"/>
  <c r="AY6" i="5"/>
  <c r="AS7"/>
  <c r="AX7" i="1" l="1"/>
  <c r="J3" i="81"/>
  <c r="AS8" i="5"/>
  <c r="AY7"/>
  <c r="BB7" s="1"/>
  <c r="BE7" s="1"/>
  <c r="BB6"/>
  <c r="BE6" s="1"/>
  <c r="BF6" l="1"/>
  <c r="BG6" s="1"/>
  <c r="G6" i="65" s="1"/>
  <c r="I2" i="63"/>
  <c r="AX8" i="1"/>
  <c r="J4" i="81"/>
  <c r="AY8" i="5"/>
  <c r="BB8" s="1"/>
  <c r="BE8" s="1"/>
  <c r="AS9"/>
  <c r="BF7"/>
  <c r="BG7" s="1"/>
  <c r="G7" i="65" s="1"/>
  <c r="I3" i="63"/>
  <c r="BF8" i="5" l="1"/>
  <c r="BG8" s="1"/>
  <c r="G8" i="65" s="1"/>
  <c r="I4" i="63"/>
  <c r="AS10" i="5"/>
  <c r="AY9"/>
  <c r="BB9" s="1"/>
  <c r="BE9" s="1"/>
  <c r="AX9" i="1"/>
  <c r="J5" i="81"/>
  <c r="AY10" i="5" l="1"/>
  <c r="BB10" s="1"/>
  <c r="BE10" s="1"/>
  <c r="AS11"/>
  <c r="BF9"/>
  <c r="BG9" s="1"/>
  <c r="G9" i="65" s="1"/>
  <c r="I5" i="63"/>
  <c r="J6" i="81"/>
  <c r="AX10" i="1"/>
  <c r="G5" i="65" l="1"/>
  <c r="I6" i="63"/>
  <c r="BF10" i="5"/>
  <c r="BG10" s="1"/>
  <c r="G10" i="65" s="1"/>
  <c r="AY11" i="5"/>
  <c r="BB11" s="1"/>
  <c r="BE11" s="1"/>
  <c r="AS12"/>
  <c r="AX11" i="1"/>
  <c r="J7" i="81"/>
  <c r="I7" i="63" l="1"/>
  <c r="BF11" i="5"/>
  <c r="BG11" s="1"/>
  <c r="G11" i="65" s="1"/>
  <c r="AS13" i="5"/>
  <c r="AY12"/>
  <c r="BB12" s="1"/>
  <c r="BE12" s="1"/>
  <c r="J8" i="81"/>
  <c r="AX12" i="1"/>
  <c r="AY13" i="5" l="1"/>
  <c r="BB13" s="1"/>
  <c r="BE13" s="1"/>
  <c r="AS14"/>
  <c r="I8" i="63"/>
  <c r="BF12" i="5"/>
  <c r="BG12" s="1"/>
  <c r="G12" i="65" s="1"/>
  <c r="J9" i="81"/>
  <c r="AX13" i="1"/>
  <c r="I9" i="63" l="1"/>
  <c r="BF13" i="5"/>
  <c r="BG13" s="1"/>
  <c r="G13" i="65" s="1"/>
  <c r="AY14" i="5"/>
  <c r="BB14" s="1"/>
  <c r="BE14" s="1"/>
  <c r="AS15"/>
  <c r="J10" i="81"/>
  <c r="AX14" i="1"/>
  <c r="I10" i="63" l="1"/>
  <c r="BF14" i="5"/>
  <c r="BG14" s="1"/>
  <c r="G14" i="65" s="1"/>
  <c r="AS16" i="5"/>
  <c r="AY15"/>
  <c r="BB15" s="1"/>
  <c r="BE15" s="1"/>
  <c r="AX15" i="1"/>
  <c r="J11" i="81"/>
  <c r="I11" i="63" l="1"/>
  <c r="BF15" i="5"/>
  <c r="BG15" s="1"/>
  <c r="G15" i="65" s="1"/>
  <c r="AY16" i="5"/>
  <c r="BB16" s="1"/>
  <c r="BE16" s="1"/>
  <c r="AS17"/>
  <c r="AX16" i="1"/>
  <c r="J12" i="81"/>
  <c r="AY17" i="5" l="1"/>
  <c r="BB17" s="1"/>
  <c r="BE17" s="1"/>
  <c r="AS18"/>
  <c r="I12" i="63"/>
  <c r="BF16" i="5"/>
  <c r="BG16" s="1"/>
  <c r="G16" i="65" s="1"/>
  <c r="J13" i="81"/>
  <c r="AX17" i="1"/>
  <c r="I13" i="63" l="1"/>
  <c r="BF17" i="5"/>
  <c r="BG17" s="1"/>
  <c r="G17" i="65" s="1"/>
  <c r="AS19" i="5"/>
  <c r="AY18"/>
  <c r="BB18" s="1"/>
  <c r="BE18" s="1"/>
  <c r="AX18" i="1"/>
  <c r="J14" i="81"/>
  <c r="I14" i="63" l="1"/>
  <c r="BF18" i="5"/>
  <c r="BG18" s="1"/>
  <c r="G18" i="65" s="1"/>
  <c r="AY19" i="5"/>
  <c r="BB19" s="1"/>
  <c r="BE19" s="1"/>
  <c r="AS20"/>
  <c r="AX19" i="1"/>
  <c r="J15" i="81"/>
  <c r="AS21" i="5" l="1"/>
  <c r="AY20"/>
  <c r="BB20" s="1"/>
  <c r="BE20" s="1"/>
  <c r="I15" i="63"/>
  <c r="BF19" i="5"/>
  <c r="BG19" s="1"/>
  <c r="G19" i="65" s="1"/>
  <c r="J16" i="81"/>
  <c r="AX20" i="1"/>
  <c r="AS22" i="5" l="1"/>
  <c r="AY21"/>
  <c r="BB21" s="1"/>
  <c r="BE21" s="1"/>
  <c r="I16" i="63"/>
  <c r="BF20" i="5"/>
  <c r="BG20" s="1"/>
  <c r="G20" i="65" s="1"/>
  <c r="AX21" i="1"/>
  <c r="J17" i="81"/>
  <c r="AS23" i="5" l="1"/>
  <c r="AY22"/>
  <c r="BB22" s="1"/>
  <c r="BE22" s="1"/>
  <c r="I17" i="63"/>
  <c r="BF21" i="5"/>
  <c r="BG21" s="1"/>
  <c r="G21" i="65" s="1"/>
  <c r="J18" i="81"/>
  <c r="AX22" i="1"/>
  <c r="AS24" i="5" l="1"/>
  <c r="AY23"/>
  <c r="BB23" s="1"/>
  <c r="BE23" s="1"/>
  <c r="I18" i="63"/>
  <c r="BF22" i="5"/>
  <c r="BG22" s="1"/>
  <c r="G22" i="65" s="1"/>
  <c r="J19" i="81"/>
  <c r="AX23" i="1"/>
  <c r="AY24" i="5" l="1"/>
  <c r="BB24" s="1"/>
  <c r="BE24" s="1"/>
  <c r="AS25"/>
  <c r="I19" i="63"/>
  <c r="BF23" i="5"/>
  <c r="BG23" s="1"/>
  <c r="G23" i="65" s="1"/>
  <c r="AX24" i="1"/>
  <c r="J20" i="81"/>
  <c r="I20" i="63" l="1"/>
  <c r="BF24" i="5"/>
  <c r="BG24" s="1"/>
  <c r="G24" i="65" s="1"/>
  <c r="AS26" i="5"/>
  <c r="AY25"/>
  <c r="BB25" s="1"/>
  <c r="BE25" s="1"/>
  <c r="AX25" i="1"/>
  <c r="J21" i="81"/>
  <c r="I21" i="63" l="1"/>
  <c r="BF25" i="5"/>
  <c r="BG25" s="1"/>
  <c r="G25" i="65" s="1"/>
  <c r="AS27" i="5"/>
  <c r="AY26"/>
  <c r="BB26" s="1"/>
  <c r="BE26" s="1"/>
  <c r="AX26" i="1"/>
  <c r="J22" i="81"/>
  <c r="I22" i="63" l="1"/>
  <c r="BF26" i="5"/>
  <c r="BG26" s="1"/>
  <c r="G26" i="65" s="1"/>
  <c r="AY27" i="5"/>
  <c r="BB27" s="1"/>
  <c r="BE27" s="1"/>
  <c r="AS28"/>
  <c r="AX27" i="1"/>
  <c r="J23" i="81"/>
  <c r="AS29" i="5" l="1"/>
  <c r="AY28"/>
  <c r="BB28" s="1"/>
  <c r="BE28" s="1"/>
  <c r="I23" i="63"/>
  <c r="BF27" i="5"/>
  <c r="BG27" s="1"/>
  <c r="G27" i="65" s="1"/>
  <c r="J24" i="81"/>
  <c r="AX28" i="1"/>
  <c r="I24" i="63" l="1"/>
  <c r="BF28" i="5"/>
  <c r="BG28" s="1"/>
  <c r="G28" i="65" s="1"/>
  <c r="AY29" i="5"/>
  <c r="BB29" s="1"/>
  <c r="BE29" s="1"/>
  <c r="AS30"/>
  <c r="J25" i="81"/>
  <c r="AX29" i="1"/>
  <c r="AS31" i="5" l="1"/>
  <c r="AY30"/>
  <c r="BB30" s="1"/>
  <c r="BE30" s="1"/>
  <c r="I25" i="63"/>
  <c r="BF29" i="5"/>
  <c r="BG29" s="1"/>
  <c r="G29" i="65" s="1"/>
  <c r="AX30" i="1"/>
  <c r="J26" i="81"/>
  <c r="AY31" i="5" l="1"/>
  <c r="BB31" s="1"/>
  <c r="BE31" s="1"/>
  <c r="AS32"/>
  <c r="I26" i="63"/>
  <c r="BF30" i="5"/>
  <c r="BG30" s="1"/>
  <c r="G30" i="65" s="1"/>
  <c r="J27" i="81"/>
  <c r="AX31" i="1"/>
  <c r="I27" i="63" l="1"/>
  <c r="BF31" i="5"/>
  <c r="BG31" s="1"/>
  <c r="G31" i="65" s="1"/>
  <c r="AS33" i="5"/>
  <c r="AY33" s="1"/>
  <c r="AY32"/>
  <c r="BB32" s="1"/>
  <c r="BE32" s="1"/>
  <c r="J28" i="81"/>
  <c r="AX32" i="1"/>
  <c r="J29" i="81" s="1"/>
  <c r="BB33" i="5" l="1"/>
  <c r="BE33" s="1"/>
  <c r="BF33" s="1"/>
  <c r="BG33" s="1"/>
  <c r="G33" i="65" s="1"/>
  <c r="I28" i="63"/>
  <c r="BF32" i="5"/>
  <c r="BG32" s="1"/>
  <c r="G32" i="65" s="1"/>
  <c r="I29" i="63" l="1"/>
</calcChain>
</file>

<file path=xl/comments1.xml><?xml version="1.0" encoding="utf-8"?>
<comments xmlns="http://schemas.openxmlformats.org/spreadsheetml/2006/main">
  <authors>
    <author>amjad.abouhassan</author>
  </authors>
  <commentList>
    <comment ref="E22" authorId="0">
      <text>
        <r>
          <rPr>
            <b/>
            <sz val="9"/>
            <color indexed="81"/>
            <rFont val="Tahoma"/>
            <family val="2"/>
          </rPr>
          <t>amjad.abouhassan:</t>
        </r>
        <r>
          <rPr>
            <sz val="9"/>
            <color indexed="81"/>
            <rFont val="Tahoma"/>
            <family val="2"/>
          </rPr>
          <t xml:space="preserve">
filled manualy 
</t>
        </r>
      </text>
    </comment>
    <comment ref="S24" authorId="0">
      <text>
        <r>
          <rPr>
            <b/>
            <sz val="9"/>
            <color indexed="81"/>
            <rFont val="Tahoma"/>
            <family val="2"/>
          </rPr>
          <t>amjad.abouhassan:</t>
        </r>
        <r>
          <rPr>
            <sz val="9"/>
            <color indexed="81"/>
            <rFont val="Tahoma"/>
            <family val="2"/>
          </rPr>
          <t xml:space="preserve">
Added manually with Avr 120L/h counter deffected 
</t>
        </r>
      </text>
    </comment>
    <comment ref="U25" authorId="0">
      <text>
        <r>
          <rPr>
            <b/>
            <sz val="9"/>
            <color indexed="81"/>
            <rFont val="Tahoma"/>
            <family val="2"/>
          </rPr>
          <t>amjad.abouhassan:</t>
        </r>
        <r>
          <rPr>
            <sz val="9"/>
            <color indexed="81"/>
            <rFont val="Tahoma"/>
            <family val="2"/>
          </rPr>
          <t xml:space="preserve">
Added manually with Avr 120L/h counter deffected </t>
        </r>
      </text>
    </comment>
    <comment ref="C27" authorId="0">
      <text>
        <r>
          <rPr>
            <b/>
            <sz val="9"/>
            <color indexed="81"/>
            <rFont val="Tahoma"/>
            <family val="2"/>
          </rPr>
          <t>amjad.abouhassan:</t>
        </r>
        <r>
          <rPr>
            <sz val="9"/>
            <color indexed="81"/>
            <rFont val="Tahoma"/>
            <family val="2"/>
          </rPr>
          <t xml:space="preserve">
Added manually counter OOO</t>
        </r>
      </text>
    </comment>
  </commentList>
</comments>
</file>

<file path=xl/comments2.xml><?xml version="1.0" encoding="utf-8"?>
<comments xmlns="http://schemas.openxmlformats.org/spreadsheetml/2006/main">
  <authors>
    <author>ahmad.ghazalah</author>
  </authors>
  <commentList>
    <comment ref="N20" authorId="0">
      <text>
        <r>
          <rPr>
            <b/>
            <sz val="9"/>
            <color indexed="81"/>
            <rFont val="Tahoma"/>
            <family val="2"/>
          </rPr>
          <t>ahmad.ghazalah:</t>
        </r>
        <r>
          <rPr>
            <sz val="9"/>
            <color indexed="81"/>
            <rFont val="Tahoma"/>
            <family val="2"/>
          </rPr>
          <t xml:space="preserve">
Start refilling the pool</t>
        </r>
      </text>
    </comment>
  </commentList>
</comments>
</file>

<file path=xl/comments3.xml><?xml version="1.0" encoding="utf-8"?>
<comments xmlns="http://schemas.openxmlformats.org/spreadsheetml/2006/main">
  <authors>
    <author>Starwood Mgt Cooperation</author>
  </authors>
  <commentList>
    <comment ref="A7" authorId="0">
      <text>
        <r>
          <rPr>
            <b/>
            <sz val="11"/>
            <color indexed="81"/>
            <rFont val="Tahoma"/>
            <family val="2"/>
          </rPr>
          <t>Insert property name</t>
        </r>
      </text>
    </comment>
  </commentList>
</comments>
</file>

<file path=xl/sharedStrings.xml><?xml version="1.0" encoding="utf-8"?>
<sst xmlns="http://schemas.openxmlformats.org/spreadsheetml/2006/main" count="646" uniqueCount="418">
  <si>
    <t>Daily Cons Bo.</t>
  </si>
  <si>
    <t>Boiler litter</t>
  </si>
  <si>
    <t>Boiler A</t>
  </si>
  <si>
    <t>Run Hr a</t>
  </si>
  <si>
    <t>Boiler B</t>
  </si>
  <si>
    <t>Run Hrb</t>
  </si>
  <si>
    <t>Boiler C</t>
  </si>
  <si>
    <t>Run C</t>
  </si>
  <si>
    <t>SteamA</t>
  </si>
  <si>
    <t>Run SA</t>
  </si>
  <si>
    <t>SteamB</t>
  </si>
  <si>
    <t>Run SteamB</t>
  </si>
  <si>
    <t>GAS1 %</t>
  </si>
  <si>
    <t>GAS1/L</t>
  </si>
  <si>
    <t>GAS2%</t>
  </si>
  <si>
    <t>Gas2/L</t>
  </si>
  <si>
    <t>GAS3%</t>
  </si>
  <si>
    <t>GAS3/L</t>
  </si>
  <si>
    <t>Gas Cons</t>
  </si>
  <si>
    <t>OOC</t>
  </si>
  <si>
    <t>MDB3</t>
  </si>
  <si>
    <t>MDB3/day</t>
  </si>
  <si>
    <t>EMDB2</t>
  </si>
  <si>
    <t>EMDB2/day</t>
  </si>
  <si>
    <t>EMDB1</t>
  </si>
  <si>
    <t>EMDB1/day</t>
  </si>
  <si>
    <t>MDB2</t>
  </si>
  <si>
    <t>mdb2/day</t>
  </si>
  <si>
    <t>MDB1</t>
  </si>
  <si>
    <t>MDB1/Day</t>
  </si>
  <si>
    <t>Total KWH</t>
  </si>
  <si>
    <t>Gen/Day KWH</t>
  </si>
  <si>
    <t>EDL KWH</t>
  </si>
  <si>
    <t>RH</t>
  </si>
  <si>
    <t>C1h1 power</t>
  </si>
  <si>
    <t>CH1 Con KWH</t>
  </si>
  <si>
    <t>CH2 RH</t>
  </si>
  <si>
    <t>Ch2 power</t>
  </si>
  <si>
    <t>CH2 Con KWH</t>
  </si>
  <si>
    <t>CH3 RH</t>
  </si>
  <si>
    <t>CH3 Con KWH</t>
  </si>
  <si>
    <t>RH total</t>
  </si>
  <si>
    <t>KWH total</t>
  </si>
  <si>
    <t>Time</t>
  </si>
  <si>
    <t>GEN1</t>
  </si>
  <si>
    <t>RUN HR</t>
  </si>
  <si>
    <t>next service</t>
  </si>
  <si>
    <t>GEN2</t>
  </si>
  <si>
    <t>GEN3</t>
  </si>
  <si>
    <t>ALARM</t>
  </si>
  <si>
    <t xml:space="preserve">RH total </t>
  </si>
  <si>
    <t>Date</t>
  </si>
  <si>
    <t>Truck</t>
  </si>
  <si>
    <t>Truck M3/day</t>
  </si>
  <si>
    <t>N0. Trucks</t>
  </si>
  <si>
    <t>City</t>
  </si>
  <si>
    <t>City/day</t>
  </si>
  <si>
    <t xml:space="preserve">Kitchen and Laundry  </t>
  </si>
  <si>
    <t>Main</t>
  </si>
  <si>
    <t xml:space="preserve">Guest </t>
  </si>
  <si>
    <t>Tank 1</t>
  </si>
  <si>
    <t>Tank 2</t>
  </si>
  <si>
    <t>Tank 3</t>
  </si>
  <si>
    <t>Tank 4</t>
  </si>
  <si>
    <t>Tank 5</t>
  </si>
  <si>
    <t>Tank 6</t>
  </si>
  <si>
    <t>Tank 7</t>
  </si>
  <si>
    <t>Tank 8</t>
  </si>
  <si>
    <t>Tank 9</t>
  </si>
  <si>
    <t>Tank 10</t>
  </si>
  <si>
    <t>Tank 11</t>
  </si>
  <si>
    <t>Delivery</t>
  </si>
  <si>
    <t>Genset Co</t>
  </si>
  <si>
    <t xml:space="preserve">Steam </t>
  </si>
  <si>
    <t>Boil</t>
  </si>
  <si>
    <t>Water Consumption</t>
  </si>
  <si>
    <t xml:space="preserve">Outdoor temperature </t>
  </si>
  <si>
    <t>Ch3 power</t>
  </si>
  <si>
    <t>Boiler A fuel</t>
  </si>
  <si>
    <t xml:space="preserve">Daily consumption </t>
  </si>
  <si>
    <t xml:space="preserve">REQ. # of
trucks </t>
  </si>
  <si>
    <t>Steam B Conter</t>
  </si>
  <si>
    <t>SB Litters</t>
  </si>
  <si>
    <t>TOTAL CH RH</t>
  </si>
  <si>
    <t>TOTAL EDL</t>
  </si>
  <si>
    <t>TOTAL CT</t>
  </si>
  <si>
    <t>TOTAL WATER</t>
  </si>
  <si>
    <t>TOTAL CH cons KW</t>
  </si>
  <si>
    <t>TOTAL ELIC KW</t>
  </si>
  <si>
    <t>GEN HR</t>
  </si>
  <si>
    <t>TOTAL GEN KW</t>
  </si>
  <si>
    <t>WATER IN</t>
  </si>
  <si>
    <t>Entrance</t>
  </si>
  <si>
    <t xml:space="preserve">Main Tank </t>
  </si>
  <si>
    <t>MainI</t>
  </si>
  <si>
    <t xml:space="preserve">Level </t>
  </si>
  <si>
    <t>Quantity CM3</t>
  </si>
  <si>
    <t xml:space="preserve">Hotel Consumption </t>
  </si>
  <si>
    <t xml:space="preserve">Var </t>
  </si>
  <si>
    <t>Total VAR</t>
  </si>
  <si>
    <t xml:space="preserve">Total water delivery </t>
  </si>
  <si>
    <t>index Run H</t>
  </si>
  <si>
    <t>AVG</t>
  </si>
  <si>
    <t xml:space="preserve">Total Fuel </t>
  </si>
  <si>
    <t>Boiler</t>
  </si>
  <si>
    <t>Steam</t>
  </si>
  <si>
    <t>Level Tank Gen</t>
  </si>
  <si>
    <t>Level tank Boiler</t>
  </si>
  <si>
    <t>Total sotck</t>
  </si>
  <si>
    <t xml:space="preserve">Boiler+Steam </t>
  </si>
  <si>
    <t>Generator</t>
  </si>
  <si>
    <t>H /L</t>
  </si>
  <si>
    <t>TOAL KW GEN</t>
  </si>
  <si>
    <t>GEN FUEL</t>
  </si>
  <si>
    <t>FUEL TOTAL</t>
  </si>
  <si>
    <t>Chiller KW</t>
  </si>
  <si>
    <t>GEN KW</t>
  </si>
  <si>
    <t>EDL KW</t>
  </si>
  <si>
    <t>Steam Fuel</t>
  </si>
  <si>
    <t>Boiler Fuel</t>
  </si>
  <si>
    <r>
      <t>CT/m</t>
    </r>
    <r>
      <rPr>
        <b/>
        <sz val="12"/>
        <color indexed="8"/>
        <rFont val="Calibri"/>
        <family val="2"/>
      </rPr>
      <t>ᶾ</t>
    </r>
  </si>
  <si>
    <t>occ</t>
  </si>
  <si>
    <t>covers</t>
  </si>
  <si>
    <r>
      <t>temp. C</t>
    </r>
    <r>
      <rPr>
        <sz val="11"/>
        <color indexed="8"/>
        <rFont val="Calibri"/>
        <family val="2"/>
      </rPr>
      <t>⁰</t>
    </r>
  </si>
  <si>
    <t>RH %</t>
  </si>
  <si>
    <t>Avg Outside Temp</t>
  </si>
  <si>
    <t>Banquet Activity</t>
  </si>
  <si>
    <t>Avg</t>
  </si>
  <si>
    <t>Boiler &amp; steam</t>
  </si>
  <si>
    <t>Ball R</t>
  </si>
  <si>
    <t xml:space="preserve">Meeting </t>
  </si>
  <si>
    <t>Cooling Tower</t>
  </si>
  <si>
    <r>
      <t xml:space="preserve">AVG </t>
    </r>
    <r>
      <rPr>
        <sz val="8"/>
        <color indexed="8"/>
        <rFont val="Calibri"/>
        <family val="2"/>
      </rPr>
      <t>chiller KW/Hr</t>
    </r>
  </si>
  <si>
    <t>Total Boiler Runing H</t>
  </si>
  <si>
    <t>Total Steam Runing H</t>
  </si>
  <si>
    <t>Total Boiler
running   H</t>
  </si>
  <si>
    <t>Total Steam
running   H</t>
  </si>
  <si>
    <t>AVE CONSUM</t>
  </si>
  <si>
    <t>Total GEN
running  H</t>
  </si>
  <si>
    <t xml:space="preserve">Actual Diesel
Consumption </t>
  </si>
  <si>
    <t xml:space="preserve">Actual Gas
Consumption </t>
  </si>
  <si>
    <t>Total ELEC
power</t>
  </si>
  <si>
    <t>Gen ELEC
power</t>
  </si>
  <si>
    <t>EDL ELEC
power</t>
  </si>
  <si>
    <t>Chillers
running   H</t>
  </si>
  <si>
    <t>Total Water
delivery</t>
  </si>
  <si>
    <t xml:space="preserve">Total water
consumption </t>
  </si>
  <si>
    <t xml:space="preserve">Total water
in tanks </t>
  </si>
  <si>
    <t xml:space="preserve">Occupancy </t>
  </si>
  <si>
    <t>AVE
TEPM</t>
  </si>
  <si>
    <t>AVE
Humidity</t>
  </si>
  <si>
    <t>Outdoor conditions</t>
  </si>
  <si>
    <t xml:space="preserve">Date </t>
  </si>
  <si>
    <t>AVE TEPM</t>
  </si>
  <si>
    <t>AVE Humidity</t>
  </si>
  <si>
    <t>Room OCC</t>
  </si>
  <si>
    <t>KWH/Rooc</t>
  </si>
  <si>
    <t>outlet</t>
  </si>
  <si>
    <t xml:space="preserve">MIN TEMP </t>
  </si>
  <si>
    <t xml:space="preserve">AVE Humidity </t>
  </si>
  <si>
    <t xml:space="preserve">AVE TEMP </t>
  </si>
  <si>
    <t>Four Seasons Hotel Beirut</t>
  </si>
  <si>
    <t xml:space="preserve">Annual Utility consumption report </t>
  </si>
  <si>
    <t>LOCATION:</t>
  </si>
  <si>
    <t>Four Seasons Beirut</t>
  </si>
  <si>
    <t>Jan</t>
  </si>
  <si>
    <t>Max (A)</t>
  </si>
  <si>
    <t>Min (B)</t>
  </si>
  <si>
    <t>(A+B)/2     -18.3=(C)</t>
  </si>
  <si>
    <t>Feb</t>
  </si>
  <si>
    <t>Mar</t>
  </si>
  <si>
    <t>Apr</t>
  </si>
  <si>
    <t>May</t>
  </si>
  <si>
    <t>Jun</t>
  </si>
  <si>
    <t>Heating degree days</t>
  </si>
  <si>
    <t>Cooling degree days</t>
  </si>
  <si>
    <t>Jul</t>
  </si>
  <si>
    <t>Aug</t>
  </si>
  <si>
    <t>Sep</t>
  </si>
  <si>
    <t>Oct</t>
  </si>
  <si>
    <t>Nov</t>
  </si>
  <si>
    <t>Dec</t>
  </si>
  <si>
    <t>ANNUAL DEGREE DAYS</t>
  </si>
  <si>
    <t>Accurate when inputting is complete</t>
  </si>
  <si>
    <t xml:space="preserve">AVE OCC </t>
  </si>
  <si>
    <t xml:space="preserve"># of OCC Rooms </t>
  </si>
  <si>
    <t>Ball room</t>
  </si>
  <si>
    <t xml:space="preserve">Meeting rooms </t>
  </si>
  <si>
    <t xml:space="preserve">Outlets </t>
  </si>
  <si>
    <t>Total covers</t>
  </si>
  <si>
    <t># of permenant Emp</t>
  </si>
  <si>
    <t xml:space="preserve"># of casuals </t>
  </si>
  <si>
    <t>Total # of EMP</t>
  </si>
  <si>
    <t xml:space="preserve">GENERAL &amp; HOTEL'S INFORMATION SHEET </t>
  </si>
  <si>
    <t># of EMP/OCC Room</t>
  </si>
  <si>
    <t>http://www.accuweather.com/en/lb/beirut</t>
  </si>
  <si>
    <t>EDL</t>
  </si>
  <si>
    <t>Peak</t>
  </si>
  <si>
    <t>Day</t>
  </si>
  <si>
    <t>Night</t>
  </si>
  <si>
    <t>Conso EDL KW</t>
  </si>
  <si>
    <t xml:space="preserve">EDL </t>
  </si>
  <si>
    <t xml:space="preserve">Subscription </t>
  </si>
  <si>
    <t>KVA</t>
  </si>
  <si>
    <t xml:space="preserve">Electricity consumption </t>
  </si>
  <si>
    <t>Price LL</t>
  </si>
  <si>
    <t xml:space="preserve">Index in </t>
  </si>
  <si>
    <t>Index Out</t>
  </si>
  <si>
    <t>Kwh Cost</t>
  </si>
  <si>
    <t>K</t>
  </si>
  <si>
    <t>Kwh</t>
  </si>
  <si>
    <t>Total cost LL</t>
  </si>
  <si>
    <t>Fees</t>
  </si>
  <si>
    <t>day</t>
  </si>
  <si>
    <t xml:space="preserve">VAT </t>
  </si>
  <si>
    <t>$</t>
  </si>
  <si>
    <t xml:space="preserve">Utility Expense </t>
  </si>
  <si>
    <t>Water Truck</t>
  </si>
  <si>
    <t>City Water</t>
  </si>
  <si>
    <t xml:space="preserve">Diesel </t>
  </si>
  <si>
    <t>Electricity</t>
  </si>
  <si>
    <t>Cost /L</t>
  </si>
  <si>
    <t>Rate</t>
  </si>
  <si>
    <t>Cost/L</t>
  </si>
  <si>
    <t xml:space="preserve">Nb Delivery </t>
  </si>
  <si>
    <t xml:space="preserve">NB delivery </t>
  </si>
  <si>
    <t>MTD</t>
  </si>
  <si>
    <t>Cost</t>
  </si>
  <si>
    <t>Total LLP</t>
  </si>
  <si>
    <t>Total per day</t>
  </si>
  <si>
    <t>Qt</t>
  </si>
  <si>
    <t xml:space="preserve">Utility  </t>
  </si>
  <si>
    <t>Budget</t>
  </si>
  <si>
    <t>Diesel Cons Per day</t>
  </si>
  <si>
    <t>ATS-4</t>
  </si>
  <si>
    <t>descriptions</t>
  </si>
  <si>
    <t>STATUS</t>
  </si>
  <si>
    <t>Sensors</t>
  </si>
  <si>
    <t xml:space="preserve">Trip/switching   </t>
  </si>
  <si>
    <t>location</t>
  </si>
  <si>
    <t>Load</t>
  </si>
  <si>
    <t>MDB-3</t>
  </si>
  <si>
    <t>NW 20 H1</t>
  </si>
  <si>
    <t>Main Distribution Board -3</t>
  </si>
  <si>
    <t>DP-MCP</t>
  </si>
  <si>
    <t>NS400A</t>
  </si>
  <si>
    <t>MCC-5B-2</t>
  </si>
  <si>
    <t>NS1000N</t>
  </si>
  <si>
    <t>CHILLER-3</t>
  </si>
  <si>
    <t xml:space="preserve">MCC-5-B1 </t>
  </si>
  <si>
    <t>ATS-5</t>
  </si>
  <si>
    <t>sensors</t>
  </si>
  <si>
    <t xml:space="preserve">Trip/switching  </t>
  </si>
  <si>
    <t>EMDB-2</t>
  </si>
  <si>
    <t>EDP-1F</t>
  </si>
  <si>
    <t>NS630B</t>
  </si>
  <si>
    <t>EDP-1B</t>
  </si>
  <si>
    <t>EDP-2F</t>
  </si>
  <si>
    <t>EDP-R-LIFTS</t>
  </si>
  <si>
    <t>NS800</t>
  </si>
  <si>
    <t>LVBUSBAR -2</t>
  </si>
  <si>
    <t>Bus bar</t>
  </si>
  <si>
    <t>ATS-3</t>
  </si>
  <si>
    <t>Descriptions</t>
  </si>
  <si>
    <t>Status</t>
  </si>
  <si>
    <t>Sensor</t>
  </si>
  <si>
    <t xml:space="preserve">Trip/switching </t>
  </si>
  <si>
    <t>EMDB-1</t>
  </si>
  <si>
    <t>EDP-GF</t>
  </si>
  <si>
    <t>Electrical Panel GF</t>
  </si>
  <si>
    <t>EDP-5B</t>
  </si>
  <si>
    <t>Electrical Panel B5</t>
  </si>
  <si>
    <t>EDP-LAN</t>
  </si>
  <si>
    <t>Electrical Panel laundry</t>
  </si>
  <si>
    <t>EDP-TF1</t>
  </si>
  <si>
    <t>Electrical Panel lower technical</t>
  </si>
  <si>
    <t>EDP-1B-LIFTS</t>
  </si>
  <si>
    <t>Lift B1</t>
  </si>
  <si>
    <t>EDP-14</t>
  </si>
  <si>
    <t>EP 14th floor</t>
  </si>
  <si>
    <t>LV BUSBAR 1</t>
  </si>
  <si>
    <t>ATS-2</t>
  </si>
  <si>
    <t>MDB-2</t>
  </si>
  <si>
    <t>EMCP-CT</t>
  </si>
  <si>
    <t>M</t>
  </si>
  <si>
    <t>EMCP-TF1</t>
  </si>
  <si>
    <t>MCC-5B-3</t>
  </si>
  <si>
    <t>CHILLER-2</t>
  </si>
  <si>
    <t>CHILLER-1</t>
  </si>
  <si>
    <t>ATS1</t>
  </si>
  <si>
    <t>DP-2F</t>
  </si>
  <si>
    <t>Electrical 2nd floor</t>
  </si>
  <si>
    <t xml:space="preserve">DP-1B </t>
  </si>
  <si>
    <t>Electrical B1</t>
  </si>
  <si>
    <t>DP-1F</t>
  </si>
  <si>
    <t>Electrical F1</t>
  </si>
  <si>
    <t>DP-GF</t>
  </si>
  <si>
    <t>Electrical GF</t>
  </si>
  <si>
    <t>DP-LAN</t>
  </si>
  <si>
    <t>JAN</t>
  </si>
  <si>
    <t xml:space="preserve">fuel Consuption </t>
  </si>
  <si>
    <t>Diesel Delivery</t>
  </si>
  <si>
    <t>Cooling Deg</t>
  </si>
  <si>
    <t>Heating Deg</t>
  </si>
  <si>
    <t>Av temp deg C</t>
  </si>
  <si>
    <t>Mechanical panel B1</t>
  </si>
  <si>
    <t>Mechanical B5</t>
  </si>
  <si>
    <t>indicator</t>
  </si>
  <si>
    <t>Emergency Main Distribution Board -2</t>
  </si>
  <si>
    <t>Power panel 1st floor</t>
  </si>
  <si>
    <t>Power panel 1st Basement</t>
  </si>
  <si>
    <t>Power panel 2nnd floor</t>
  </si>
  <si>
    <t>Emergency Main Distribution Board -1</t>
  </si>
  <si>
    <t>Mechanical panel lower technical</t>
  </si>
  <si>
    <t>Mechanical panel B5</t>
  </si>
  <si>
    <t>http://www.accuweather.com/en/lb/lebanon-weather</t>
  </si>
  <si>
    <t>Occ %</t>
  </si>
  <si>
    <t>Gen RH</t>
  </si>
  <si>
    <t>Swimming Pool</t>
  </si>
  <si>
    <t>Jacuzzi</t>
  </si>
  <si>
    <t>1.0-1.5</t>
  </si>
  <si>
    <t>7.2-7.4</t>
  </si>
  <si>
    <t>PH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</si>
  <si>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</si>
  <si>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Water meter SW Pool</t>
  </si>
  <si>
    <t>Cons  M3</t>
  </si>
  <si>
    <t>Gen MHW</t>
  </si>
  <si>
    <t>Cosum SW/day</t>
  </si>
  <si>
    <t>Chl</t>
  </si>
  <si>
    <t>T C</t>
  </si>
  <si>
    <t>Per G</t>
  </si>
  <si>
    <t xml:space="preserve">Steam Boiler </t>
  </si>
  <si>
    <t xml:space="preserve">Steam Boiler/day </t>
  </si>
  <si>
    <t>Forecast MTD</t>
  </si>
  <si>
    <t xml:space="preserve"> Estimation MTD</t>
  </si>
  <si>
    <t>Softener Guest</t>
  </si>
  <si>
    <t xml:space="preserve">Guest Sotf/day </t>
  </si>
  <si>
    <t>Softener K&amp;L</t>
  </si>
  <si>
    <t xml:space="preserve">K&amp;L Sotf/day </t>
  </si>
  <si>
    <t xml:space="preserve">K&amp;L /day </t>
  </si>
  <si>
    <t>Guest / day</t>
  </si>
  <si>
    <t>Site Name</t>
  </si>
  <si>
    <t>Month</t>
  </si>
  <si>
    <t>Year</t>
  </si>
  <si>
    <t xml:space="preserve">Room Nights </t>
  </si>
  <si>
    <t>Beirut</t>
  </si>
  <si>
    <t>ATS2 Kwh</t>
  </si>
  <si>
    <t>ATS4 Kwh</t>
  </si>
  <si>
    <t>Guest  (m3)</t>
  </si>
  <si>
    <t>Kitchen &amp; Laundry (m3)</t>
  </si>
  <si>
    <t>ATS1 Kwh</t>
  </si>
  <si>
    <t>ATS3 Kwh</t>
  </si>
  <si>
    <t>ATS5 Kwh</t>
  </si>
  <si>
    <t>Total Electricity Kwh</t>
  </si>
  <si>
    <t>Electricity Tariff ($/Kwh)</t>
  </si>
  <si>
    <t xml:space="preserve">Total Fuel Oil  (Liters) </t>
  </si>
  <si>
    <t>Fuel Oil  $/Liter</t>
  </si>
  <si>
    <t xml:space="preserve">LPG (Kg) </t>
  </si>
  <si>
    <t>LPG $/Kg</t>
  </si>
  <si>
    <t>Water Utility Supply (m3) m3</t>
  </si>
  <si>
    <t>Water Utility Supply (m3) $/m3</t>
  </si>
  <si>
    <t>CH1 RH</t>
  </si>
  <si>
    <t>P</t>
  </si>
  <si>
    <t>D</t>
  </si>
  <si>
    <t>N</t>
  </si>
  <si>
    <t>fee</t>
  </si>
  <si>
    <t>T EDL</t>
  </si>
  <si>
    <t xml:space="preserve">Gen </t>
  </si>
  <si>
    <t>Elc C</t>
  </si>
  <si>
    <t>Fuel Counter Index</t>
  </si>
  <si>
    <t>Diesel L/H</t>
  </si>
  <si>
    <t>Cons /day</t>
  </si>
  <si>
    <t>Total Deisel Cons/day</t>
  </si>
  <si>
    <t>Gen Con /day</t>
  </si>
  <si>
    <t>AVG KW/h</t>
  </si>
  <si>
    <t xml:space="preserve">                                                                                                    </t>
  </si>
  <si>
    <t xml:space="preserve">Boiler B Fuel </t>
  </si>
  <si>
    <t>Steam A Conter</t>
  </si>
  <si>
    <t xml:space="preserve">Liters </t>
  </si>
  <si>
    <t>Geothermal</t>
  </si>
  <si>
    <t>RO water counter</t>
  </si>
  <si>
    <t xml:space="preserve">Total RH </t>
  </si>
  <si>
    <t>RO Cons m3</t>
  </si>
  <si>
    <t>.</t>
  </si>
  <si>
    <t>Last Year MTD</t>
  </si>
  <si>
    <t>Diff MTD /last Y MDT</t>
  </si>
  <si>
    <t xml:space="preserve">Generator RH </t>
  </si>
  <si>
    <t>Max Temp</t>
  </si>
  <si>
    <t>Budget MTD</t>
  </si>
  <si>
    <t>Counter 1</t>
  </si>
  <si>
    <t>Counter 2</t>
  </si>
  <si>
    <t>Total</t>
  </si>
  <si>
    <t>SW</t>
  </si>
  <si>
    <t xml:space="preserve">Fire Tank Counter </t>
  </si>
  <si>
    <t xml:space="preserve">Fire Tank  Level </t>
  </si>
  <si>
    <t>K&amp;L Soft/Day</t>
  </si>
  <si>
    <t>TOTAL RO Production</t>
  </si>
  <si>
    <t>RO 2 RH</t>
  </si>
  <si>
    <t>RO 1  RH</t>
  </si>
  <si>
    <t>RO Guest/ Liter</t>
  </si>
  <si>
    <t>RO  K&amp;L/ Liter</t>
  </si>
  <si>
    <t>Irrigation Water (m3) m3</t>
  </si>
  <si>
    <t>Irrigation water  $/m3</t>
  </si>
  <si>
    <t xml:space="preserve"> </t>
  </si>
  <si>
    <t>Laundry Hot Water Counter</t>
  </si>
  <si>
    <t>Hot Water Cons/day</t>
  </si>
  <si>
    <t>Laundry Cold Water Counter</t>
  </si>
  <si>
    <t>Cold Water Cons/day</t>
  </si>
  <si>
    <t>Laundry Water Total Cons</t>
  </si>
  <si>
    <t>( Heating Degree Days / Cooling Degree Days ) 2020</t>
  </si>
  <si>
    <t xml:space="preserve">Diff MTD /Budget </t>
  </si>
  <si>
    <t xml:space="preserve">RH/DAY </t>
  </si>
  <si>
    <t>Before new counter</t>
  </si>
  <si>
    <t xml:space="preserve">  </t>
  </si>
  <si>
    <t xml:space="preserve">Gas </t>
  </si>
  <si>
    <t>2:00:00AM</t>
  </si>
  <si>
    <t xml:space="preserve">Vat </t>
  </si>
  <si>
    <t>empty</t>
  </si>
</sst>
</file>

<file path=xl/styles.xml><?xml version="1.0" encoding="utf-8"?>
<styleSheet xmlns="http://schemas.openxmlformats.org/spreadsheetml/2006/main">
  <numFmts count="21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[$-409]d\-mmm\-yy;@"/>
    <numFmt numFmtId="166" formatCode="0.00_);\(0.00\)"/>
    <numFmt numFmtId="167" formatCode="_(* #,##0_);_(* \(#,##0\);_(* &quot;-&quot;??_);_(@_)"/>
    <numFmt numFmtId="168" formatCode="[$-409]d/mmm;@"/>
    <numFmt numFmtId="169" formatCode="0.0"/>
    <numFmt numFmtId="170" formatCode="0.00_ ;[Red]\-0.00\ "/>
    <numFmt numFmtId="171" formatCode="0_ ;[Red]\-0\ "/>
    <numFmt numFmtId="172" formatCode="[$-409]d\-mmm\-yyyy;@"/>
    <numFmt numFmtId="173" formatCode="0.000"/>
    <numFmt numFmtId="174" formatCode="#,##0.0;[Red]#,##0.0"/>
    <numFmt numFmtId="175" formatCode="_(* #,##0.0000_);_(* \(#,##0.0000\);_(* &quot;-&quot;??_);_(@_)"/>
    <numFmt numFmtId="176" formatCode="0.0000"/>
    <numFmt numFmtId="177" formatCode="0.0000_);\(0.0000\)"/>
    <numFmt numFmtId="178" formatCode="_(* #,##0.000_);_(* \(#,##0.000\);_(* &quot;-&quot;??_);_(@_)"/>
    <numFmt numFmtId="179" formatCode="[$-F800]dddd\,\ mmmm\ dd\,\ yyyy"/>
    <numFmt numFmtId="180" formatCode="[$-F400]h:mm:ss\ AM/PM"/>
    <numFmt numFmtId="181" formatCode="_(&quot;$&quot;* #,##0.0_);_(&quot;$&quot;* \(#,##0.0\);_(&quot;$&quot;* &quot;-&quot;??_);_(@_)"/>
  </numFmts>
  <fonts count="34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2"/>
      <color indexed="8"/>
      <name val="Calibri"/>
      <family val="2"/>
    </font>
    <font>
      <sz val="8"/>
      <color indexed="8"/>
      <name val="Calibri"/>
      <family val="2"/>
    </font>
    <font>
      <b/>
      <sz val="16"/>
      <name val="ＭＳ Ｐゴシック"/>
      <family val="3"/>
      <charset val="128"/>
    </font>
    <font>
      <b/>
      <sz val="11"/>
      <name val="ＭＳ Ｐゴシック"/>
      <charset val="128"/>
    </font>
    <font>
      <sz val="11"/>
      <name val="ＭＳ Ｐゴシック"/>
      <charset val="128"/>
    </font>
    <font>
      <b/>
      <sz val="11"/>
      <name val="ＭＳ Ｐゴシック"/>
    </font>
    <font>
      <b/>
      <sz val="12"/>
      <name val="ＭＳ Ｐゴシック"/>
      <family val="3"/>
      <charset val="128"/>
    </font>
    <font>
      <sz val="9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16"/>
      <name val="ＭＳ Ｐゴシック"/>
      <charset val="128"/>
    </font>
    <font>
      <sz val="14"/>
      <name val="ＭＳ Ｐゴシック"/>
      <family val="3"/>
      <charset val="128"/>
    </font>
    <font>
      <sz val="12"/>
      <name val="ＭＳ Ｐゴシック"/>
      <charset val="128"/>
    </font>
    <font>
      <b/>
      <sz val="11"/>
      <color indexed="81"/>
      <name val="Tahom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u/>
      <sz val="8.8000000000000007"/>
      <color theme="10"/>
      <name val="Calibri"/>
      <family val="2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3" tint="0.59999389629810485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6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</fonts>
  <fills count="3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</fills>
  <borders count="7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5">
    <xf numFmtId="0" fontId="0" fillId="0" borderId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9" fontId="18" fillId="0" borderId="0" applyFont="0" applyFill="0" applyBorder="0" applyAlignment="0" applyProtection="0"/>
  </cellStyleXfs>
  <cellXfs count="711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/>
    <xf numFmtId="0" fontId="0" fillId="0" borderId="1" xfId="0" applyBorder="1"/>
    <xf numFmtId="16" fontId="0" fillId="0" borderId="1" xfId="0" applyNumberFormat="1" applyBorder="1"/>
    <xf numFmtId="0" fontId="0" fillId="3" borderId="1" xfId="0" applyFill="1" applyBorder="1" applyAlignment="1">
      <alignment horizontal="center"/>
    </xf>
    <xf numFmtId="16" fontId="0" fillId="3" borderId="0" xfId="0" applyNumberFormat="1" applyFill="1"/>
    <xf numFmtId="0" fontId="0" fillId="4" borderId="0" xfId="0" applyFill="1"/>
    <xf numFmtId="0" fontId="0" fillId="5" borderId="0" xfId="0" applyFill="1"/>
    <xf numFmtId="14" fontId="0" fillId="0" borderId="0" xfId="0" applyNumberFormat="1"/>
    <xf numFmtId="2" fontId="0" fillId="0" borderId="0" xfId="0" applyNumberFormat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43" fontId="0" fillId="0" borderId="1" xfId="0" applyNumberFormat="1" applyBorder="1"/>
    <xf numFmtId="0" fontId="0" fillId="10" borderId="1" xfId="0" applyFill="1" applyBorder="1"/>
    <xf numFmtId="0" fontId="0" fillId="0" borderId="0" xfId="0" applyBorder="1"/>
    <xf numFmtId="0" fontId="20" fillId="0" borderId="0" xfId="0" applyFont="1" applyBorder="1" applyAlignment="1">
      <alignment vertical="top" wrapText="1"/>
    </xf>
    <xf numFmtId="3" fontId="21" fillId="0" borderId="0" xfId="0" applyNumberFormat="1" applyFont="1" applyBorder="1" applyAlignment="1">
      <alignment horizontal="left" vertical="top" wrapText="1" indent="1"/>
    </xf>
    <xf numFmtId="0" fontId="0" fillId="0" borderId="0" xfId="0" applyAlignment="1">
      <alignment wrapText="1"/>
    </xf>
    <xf numFmtId="43" fontId="0" fillId="11" borderId="2" xfId="0" applyNumberFormat="1" applyFill="1" applyBorder="1"/>
    <xf numFmtId="0" fontId="0" fillId="0" borderId="3" xfId="0" applyBorder="1"/>
    <xf numFmtId="0" fontId="22" fillId="12" borderId="4" xfId="0" applyFont="1" applyFill="1" applyBorder="1"/>
    <xf numFmtId="43" fontId="23" fillId="12" borderId="5" xfId="0" applyNumberFormat="1" applyFont="1" applyFill="1" applyBorder="1"/>
    <xf numFmtId="0" fontId="0" fillId="2" borderId="1" xfId="0" applyFill="1" applyBorder="1" applyAlignment="1">
      <alignment wrapText="1"/>
    </xf>
    <xf numFmtId="0" fontId="24" fillId="0" borderId="1" xfId="0" applyFont="1" applyBorder="1"/>
    <xf numFmtId="0" fontId="0" fillId="11" borderId="6" xfId="0" applyFill="1" applyBorder="1" applyAlignment="1">
      <alignment horizontal="center" vertical="center" wrapText="1"/>
    </xf>
    <xf numFmtId="0" fontId="0" fillId="0" borderId="2" xfId="0" applyBorder="1"/>
    <xf numFmtId="0" fontId="0" fillId="5" borderId="4" xfId="0" applyFill="1" applyBorder="1"/>
    <xf numFmtId="0" fontId="0" fillId="5" borderId="3" xfId="0" applyFill="1" applyBorder="1"/>
    <xf numFmtId="0" fontId="25" fillId="5" borderId="0" xfId="0" applyFont="1" applyFill="1"/>
    <xf numFmtId="9" fontId="25" fillId="5" borderId="0" xfId="4" applyFont="1" applyFill="1"/>
    <xf numFmtId="0" fontId="24" fillId="4" borderId="0" xfId="0" applyFont="1" applyFill="1"/>
    <xf numFmtId="9" fontId="24" fillId="4" borderId="0" xfId="4" applyFont="1" applyFill="1"/>
    <xf numFmtId="9" fontId="24" fillId="0" borderId="0" xfId="4" applyFont="1"/>
    <xf numFmtId="1" fontId="24" fillId="0" borderId="0" xfId="0" applyNumberFormat="1" applyFont="1"/>
    <xf numFmtId="1" fontId="0" fillId="0" borderId="1" xfId="0" applyNumberFormat="1" applyBorder="1"/>
    <xf numFmtId="1" fontId="24" fillId="0" borderId="1" xfId="0" applyNumberFormat="1" applyFont="1" applyBorder="1"/>
    <xf numFmtId="167" fontId="0" fillId="0" borderId="1" xfId="0" applyNumberFormat="1" applyBorder="1"/>
    <xf numFmtId="167" fontId="0" fillId="0" borderId="0" xfId="0" applyNumberFormat="1"/>
    <xf numFmtId="165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5" fontId="0" fillId="0" borderId="1" xfId="0" applyNumberFormat="1" applyBorder="1" applyAlignment="1">
      <alignment horizontal="right"/>
    </xf>
    <xf numFmtId="0" fontId="0" fillId="13" borderId="1" xfId="0" applyFill="1" applyBorder="1" applyAlignment="1">
      <alignment horizontal="right"/>
    </xf>
    <xf numFmtId="0" fontId="0" fillId="0" borderId="1" xfId="0" applyBorder="1" applyAlignment="1">
      <alignment horizontal="right"/>
    </xf>
    <xf numFmtId="0" fontId="0" fillId="5" borderId="7" xfId="0" applyFill="1" applyBorder="1" applyAlignment="1">
      <alignment horizontal="right"/>
    </xf>
    <xf numFmtId="0" fontId="0" fillId="5" borderId="8" xfId="0" applyFill="1" applyBorder="1" applyAlignment="1">
      <alignment horizontal="right"/>
    </xf>
    <xf numFmtId="0" fontId="0" fillId="5" borderId="9" xfId="0" applyFill="1" applyBorder="1" applyAlignment="1">
      <alignment horizontal="right"/>
    </xf>
    <xf numFmtId="0" fontId="0" fillId="5" borderId="10" xfId="0" applyFill="1" applyBorder="1" applyAlignment="1">
      <alignment horizontal="right"/>
    </xf>
    <xf numFmtId="43" fontId="18" fillId="5" borderId="11" xfId="1" applyFont="1" applyFill="1" applyBorder="1" applyAlignment="1">
      <alignment horizontal="right"/>
    </xf>
    <xf numFmtId="0" fontId="0" fillId="5" borderId="2" xfId="0" applyFill="1" applyBorder="1" applyAlignment="1">
      <alignment horizontal="right"/>
    </xf>
    <xf numFmtId="0" fontId="0" fillId="5" borderId="1" xfId="0" applyFill="1" applyBorder="1" applyAlignment="1">
      <alignment horizontal="right"/>
    </xf>
    <xf numFmtId="167" fontId="0" fillId="5" borderId="12" xfId="0" applyNumberFormat="1" applyFill="1" applyBorder="1" applyAlignment="1">
      <alignment horizontal="right"/>
    </xf>
    <xf numFmtId="167" fontId="0" fillId="11" borderId="13" xfId="0" applyNumberFormat="1" applyFill="1" applyBorder="1" applyAlignment="1">
      <alignment horizontal="right"/>
    </xf>
    <xf numFmtId="0" fontId="0" fillId="5" borderId="14" xfId="0" applyFill="1" applyBorder="1" applyAlignment="1">
      <alignment horizontal="right"/>
    </xf>
    <xf numFmtId="0" fontId="0" fillId="0" borderId="7" xfId="0" applyBorder="1" applyAlignment="1">
      <alignment horizontal="right"/>
    </xf>
    <xf numFmtId="1" fontId="0" fillId="0" borderId="7" xfId="0" applyNumberFormat="1" applyBorder="1" applyAlignment="1">
      <alignment horizontal="right"/>
    </xf>
    <xf numFmtId="0" fontId="0" fillId="0" borderId="11" xfId="0" applyBorder="1" applyAlignment="1">
      <alignment horizontal="right"/>
    </xf>
    <xf numFmtId="167" fontId="0" fillId="11" borderId="9" xfId="0" applyNumberFormat="1" applyFill="1" applyBorder="1" applyAlignment="1">
      <alignment horizontal="right"/>
    </xf>
    <xf numFmtId="1" fontId="0" fillId="14" borderId="1" xfId="0" applyNumberFormat="1" applyFill="1" applyBorder="1" applyAlignment="1">
      <alignment horizontal="right"/>
    </xf>
    <xf numFmtId="0" fontId="0" fillId="0" borderId="15" xfId="0" applyBorder="1" applyAlignment="1">
      <alignment horizontal="right"/>
    </xf>
    <xf numFmtId="167" fontId="18" fillId="11" borderId="5" xfId="1" applyNumberFormat="1" applyFont="1" applyFill="1" applyBorder="1" applyAlignment="1">
      <alignment horizontal="right"/>
    </xf>
    <xf numFmtId="165" fontId="0" fillId="14" borderId="1" xfId="0" applyNumberFormat="1" applyFill="1" applyBorder="1" applyAlignment="1">
      <alignment horizontal="right"/>
    </xf>
    <xf numFmtId="0" fontId="23" fillId="14" borderId="1" xfId="0" applyFont="1" applyFill="1" applyBorder="1" applyAlignment="1">
      <alignment horizontal="right"/>
    </xf>
    <xf numFmtId="0" fontId="0" fillId="5" borderId="12" xfId="0" applyFill="1" applyBorder="1" applyAlignment="1">
      <alignment horizontal="right"/>
    </xf>
    <xf numFmtId="1" fontId="0" fillId="5" borderId="5" xfId="0" applyNumberFormat="1" applyFill="1" applyBorder="1" applyAlignment="1">
      <alignment horizontal="right"/>
    </xf>
    <xf numFmtId="167" fontId="18" fillId="5" borderId="12" xfId="1" applyNumberFormat="1" applyFont="1" applyFill="1" applyBorder="1" applyAlignment="1">
      <alignment horizontal="right"/>
    </xf>
    <xf numFmtId="43" fontId="18" fillId="0" borderId="0" xfId="1" applyFont="1" applyAlignment="1">
      <alignment horizontal="right"/>
    </xf>
    <xf numFmtId="0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0" fillId="2" borderId="0" xfId="0" applyFill="1" applyBorder="1" applyAlignment="1">
      <alignment wrapText="1"/>
    </xf>
    <xf numFmtId="167" fontId="18" fillId="0" borderId="0" xfId="1" applyNumberFormat="1" applyFont="1" applyBorder="1"/>
    <xf numFmtId="0" fontId="0" fillId="0" borderId="0" xfId="0" applyAlignment="1">
      <alignment vertical="center"/>
    </xf>
    <xf numFmtId="0" fontId="0" fillId="15" borderId="1" xfId="0" applyFill="1" applyBorder="1"/>
    <xf numFmtId="0" fontId="0" fillId="16" borderId="1" xfId="0" applyFill="1" applyBorder="1"/>
    <xf numFmtId="0" fontId="0" fillId="17" borderId="1" xfId="0" applyFill="1" applyBorder="1"/>
    <xf numFmtId="0" fontId="0" fillId="15" borderId="1" xfId="0" applyFill="1" applyBorder="1" applyAlignment="1">
      <alignment vertical="center"/>
    </xf>
    <xf numFmtId="0" fontId="0" fillId="18" borderId="1" xfId="0" applyFill="1" applyBorder="1"/>
    <xf numFmtId="0" fontId="0" fillId="0" borderId="1" xfId="0" applyBorder="1" applyAlignment="1">
      <alignment horizontal="center" vertical="center"/>
    </xf>
    <xf numFmtId="0" fontId="0" fillId="0" borderId="0" xfId="0" applyFill="1"/>
    <xf numFmtId="43" fontId="0" fillId="0" borderId="0" xfId="0" applyNumberFormat="1"/>
    <xf numFmtId="0" fontId="0" fillId="3" borderId="12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11" borderId="16" xfId="0" applyFill="1" applyBorder="1" applyAlignment="1">
      <alignment horizontal="center" wrapText="1"/>
    </xf>
    <xf numFmtId="3" fontId="0" fillId="0" borderId="0" xfId="0" applyNumberFormat="1" applyBorder="1"/>
    <xf numFmtId="14" fontId="0" fillId="3" borderId="0" xfId="0" applyNumberFormat="1" applyFill="1"/>
    <xf numFmtId="0" fontId="0" fillId="3" borderId="6" xfId="0" applyFill="1" applyBorder="1" applyAlignment="1">
      <alignment horizontal="center"/>
    </xf>
    <xf numFmtId="0" fontId="20" fillId="0" borderId="17" xfId="0" applyFont="1" applyBorder="1" applyAlignment="1">
      <alignment vertical="top" wrapText="1"/>
    </xf>
    <xf numFmtId="0" fontId="20" fillId="0" borderId="18" xfId="0" applyFont="1" applyBorder="1" applyAlignment="1">
      <alignment vertical="top" wrapText="1"/>
    </xf>
    <xf numFmtId="0" fontId="20" fillId="0" borderId="19" xfId="0" applyFont="1" applyBorder="1" applyAlignment="1">
      <alignment vertical="top" wrapText="1"/>
    </xf>
    <xf numFmtId="0" fontId="20" fillId="11" borderId="20" xfId="0" applyFont="1" applyFill="1" applyBorder="1" applyAlignment="1">
      <alignment vertical="top" wrapText="1"/>
    </xf>
    <xf numFmtId="0" fontId="20" fillId="11" borderId="21" xfId="0" applyFont="1" applyFill="1" applyBorder="1" applyAlignment="1">
      <alignment vertical="top" wrapText="1"/>
    </xf>
    <xf numFmtId="0" fontId="20" fillId="11" borderId="16" xfId="0" applyFont="1" applyFill="1" applyBorder="1" applyAlignment="1">
      <alignment vertical="top" wrapText="1"/>
    </xf>
    <xf numFmtId="0" fontId="26" fillId="0" borderId="0" xfId="0" applyFont="1" applyFill="1"/>
    <xf numFmtId="43" fontId="0" fillId="0" borderId="0" xfId="0" applyNumberFormat="1" applyFill="1"/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14" fontId="0" fillId="0" borderId="1" xfId="0" applyNumberFormat="1" applyBorder="1"/>
    <xf numFmtId="10" fontId="0" fillId="0" borderId="1" xfId="0" applyNumberFormat="1" applyBorder="1"/>
    <xf numFmtId="43" fontId="18" fillId="0" borderId="0" xfId="1" applyFont="1"/>
    <xf numFmtId="0" fontId="0" fillId="19" borderId="1" xfId="0" applyFill="1" applyBorder="1"/>
    <xf numFmtId="2" fontId="4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22" xfId="0" applyFont="1" applyBorder="1" applyAlignment="1">
      <alignment horizontal="center"/>
    </xf>
    <xf numFmtId="0" fontId="8" fillId="0" borderId="22" xfId="0" applyFont="1" applyBorder="1"/>
    <xf numFmtId="0" fontId="5" fillId="0" borderId="22" xfId="0" applyFont="1" applyBorder="1"/>
    <xf numFmtId="2" fontId="0" fillId="0" borderId="22" xfId="0" applyNumberFormat="1" applyBorder="1"/>
    <xf numFmtId="0" fontId="5" fillId="0" borderId="22" xfId="0" applyFont="1" applyBorder="1" applyAlignment="1">
      <alignment horizontal="right"/>
    </xf>
    <xf numFmtId="2" fontId="5" fillId="0" borderId="22" xfId="0" applyNumberFormat="1" applyFont="1" applyBorder="1"/>
    <xf numFmtId="0" fontId="6" fillId="0" borderId="22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9" fillId="0" borderId="7" xfId="0" applyFont="1" applyBorder="1" applyAlignment="1">
      <alignment wrapText="1"/>
    </xf>
    <xf numFmtId="2" fontId="9" fillId="0" borderId="7" xfId="0" applyNumberFormat="1" applyFont="1" applyBorder="1" applyAlignment="1">
      <alignment wrapText="1"/>
    </xf>
    <xf numFmtId="2" fontId="10" fillId="0" borderId="7" xfId="0" applyNumberFormat="1" applyFont="1" applyBorder="1" applyAlignment="1">
      <alignment wrapText="1"/>
    </xf>
    <xf numFmtId="0" fontId="9" fillId="0" borderId="0" xfId="0" applyFont="1"/>
    <xf numFmtId="0" fontId="6" fillId="0" borderId="1" xfId="0" applyFont="1" applyBorder="1" applyAlignment="1">
      <alignment horizontal="center"/>
    </xf>
    <xf numFmtId="169" fontId="0" fillId="0" borderId="1" xfId="0" applyNumberFormat="1" applyBorder="1"/>
    <xf numFmtId="170" fontId="0" fillId="0" borderId="1" xfId="0" applyNumberFormat="1" applyBorder="1"/>
    <xf numFmtId="0" fontId="6" fillId="0" borderId="23" xfId="0" applyFont="1" applyBorder="1" applyAlignment="1">
      <alignment horizontal="center"/>
    </xf>
    <xf numFmtId="170" fontId="0" fillId="0" borderId="24" xfId="0" applyNumberFormat="1" applyBorder="1"/>
    <xf numFmtId="170" fontId="0" fillId="0" borderId="23" xfId="0" applyNumberFormat="1" applyBorder="1"/>
    <xf numFmtId="0" fontId="6" fillId="0" borderId="25" xfId="0" applyFont="1" applyBorder="1" applyAlignment="1">
      <alignment horizontal="center"/>
    </xf>
    <xf numFmtId="169" fontId="0" fillId="0" borderId="26" xfId="0" applyNumberFormat="1" applyBorder="1"/>
    <xf numFmtId="0" fontId="10" fillId="0" borderId="27" xfId="0" applyFont="1" applyBorder="1" applyAlignment="1">
      <alignment horizontal="center" wrapText="1"/>
    </xf>
    <xf numFmtId="169" fontId="10" fillId="0" borderId="1" xfId="0" applyNumberFormat="1" applyFont="1" applyBorder="1" applyAlignment="1">
      <alignment wrapText="1"/>
    </xf>
    <xf numFmtId="170" fontId="10" fillId="0" borderId="28" xfId="0" applyNumberFormat="1" applyFont="1" applyBorder="1" applyAlignment="1">
      <alignment wrapText="1"/>
    </xf>
    <xf numFmtId="0" fontId="10" fillId="0" borderId="0" xfId="0" applyFont="1" applyAlignment="1">
      <alignment wrapText="1"/>
    </xf>
    <xf numFmtId="0" fontId="6" fillId="0" borderId="27" xfId="0" applyFont="1" applyBorder="1" applyAlignment="1">
      <alignment horizontal="center"/>
    </xf>
    <xf numFmtId="170" fontId="0" fillId="0" borderId="28" xfId="0" applyNumberFormat="1" applyBorder="1"/>
    <xf numFmtId="0" fontId="6" fillId="0" borderId="8" xfId="0" applyFont="1" applyBorder="1" applyAlignment="1">
      <alignment horizontal="center"/>
    </xf>
    <xf numFmtId="0" fontId="0" fillId="0" borderId="22" xfId="0" applyBorder="1"/>
    <xf numFmtId="170" fontId="0" fillId="0" borderId="14" xfId="0" applyNumberFormat="1" applyBorder="1"/>
    <xf numFmtId="170" fontId="0" fillId="0" borderId="0" xfId="0" applyNumberFormat="1"/>
    <xf numFmtId="170" fontId="0" fillId="0" borderId="22" xfId="0" applyNumberFormat="1" applyBorder="1"/>
    <xf numFmtId="170" fontId="5" fillId="0" borderId="22" xfId="0" applyNumberFormat="1" applyFont="1" applyBorder="1"/>
    <xf numFmtId="0" fontId="11" fillId="0" borderId="7" xfId="0" applyFont="1" applyBorder="1" applyAlignment="1">
      <alignment horizontal="center"/>
    </xf>
    <xf numFmtId="170" fontId="10" fillId="0" borderId="7" xfId="0" applyNumberFormat="1" applyFont="1" applyBorder="1" applyAlignment="1">
      <alignment wrapText="1"/>
    </xf>
    <xf numFmtId="2" fontId="0" fillId="0" borderId="14" xfId="0" applyNumberFormat="1" applyBorder="1"/>
    <xf numFmtId="170" fontId="0" fillId="0" borderId="0" xfId="0" applyNumberFormat="1" applyBorder="1"/>
    <xf numFmtId="0" fontId="6" fillId="0" borderId="0" xfId="0" applyFont="1" applyBorder="1" applyAlignment="1">
      <alignment horizontal="center"/>
    </xf>
    <xf numFmtId="171" fontId="5" fillId="0" borderId="6" xfId="0" applyNumberFormat="1" applyFont="1" applyBorder="1"/>
    <xf numFmtId="0" fontId="11" fillId="0" borderId="0" xfId="0" applyFont="1" applyBorder="1" applyAlignment="1">
      <alignment horizontal="center" wrapText="1"/>
    </xf>
    <xf numFmtId="170" fontId="13" fillId="0" borderId="0" xfId="0" applyNumberFormat="1" applyFont="1" applyBorder="1" applyAlignment="1">
      <alignment horizontal="center"/>
    </xf>
    <xf numFmtId="0" fontId="13" fillId="0" borderId="0" xfId="0" applyFont="1" applyBorder="1" applyAlignment="1">
      <alignment horizontal="center"/>
    </xf>
    <xf numFmtId="2" fontId="13" fillId="0" borderId="0" xfId="0" applyNumberFormat="1" applyFont="1" applyBorder="1" applyAlignment="1">
      <alignment horizontal="center"/>
    </xf>
    <xf numFmtId="0" fontId="0" fillId="0" borderId="29" xfId="0" applyBorder="1"/>
    <xf numFmtId="0" fontId="24" fillId="0" borderId="29" xfId="0" applyFont="1" applyBorder="1"/>
    <xf numFmtId="0" fontId="27" fillId="0" borderId="23" xfId="0" applyFont="1" applyBorder="1"/>
    <xf numFmtId="0" fontId="27" fillId="0" borderId="25" xfId="0" applyFont="1" applyBorder="1"/>
    <xf numFmtId="0" fontId="0" fillId="0" borderId="24" xfId="0" applyBorder="1"/>
    <xf numFmtId="0" fontId="27" fillId="0" borderId="24" xfId="0" applyFont="1" applyBorder="1"/>
    <xf numFmtId="0" fontId="0" fillId="14" borderId="0" xfId="0" applyFill="1"/>
    <xf numFmtId="0" fontId="0" fillId="0" borderId="30" xfId="0" applyFont="1" applyBorder="1"/>
    <xf numFmtId="0" fontId="24" fillId="0" borderId="12" xfId="0" applyFont="1" applyBorder="1"/>
    <xf numFmtId="0" fontId="0" fillId="0" borderId="29" xfId="0" applyFont="1" applyFill="1" applyBorder="1"/>
    <xf numFmtId="0" fontId="0" fillId="0" borderId="0" xfId="0" applyAlignment="1">
      <alignment horizontal="center"/>
    </xf>
    <xf numFmtId="0" fontId="9" fillId="0" borderId="0" xfId="0" applyFont="1" applyAlignment="1">
      <alignment wrapText="1"/>
    </xf>
    <xf numFmtId="170" fontId="19" fillId="0" borderId="0" xfId="3" applyNumberFormat="1" applyAlignment="1" applyProtection="1"/>
    <xf numFmtId="0" fontId="0" fillId="16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4" fillId="14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4" fillId="0" borderId="31" xfId="0" applyFont="1" applyBorder="1" applyAlignment="1">
      <alignment horizontal="center" vertical="center" wrapText="1"/>
    </xf>
    <xf numFmtId="17" fontId="24" fillId="0" borderId="32" xfId="0" applyNumberFormat="1" applyFont="1" applyBorder="1" applyAlignment="1">
      <alignment horizontal="center" vertical="center" wrapText="1"/>
    </xf>
    <xf numFmtId="0" fontId="0" fillId="0" borderId="32" xfId="0" applyBorder="1"/>
    <xf numFmtId="0" fontId="24" fillId="0" borderId="32" xfId="0" applyFont="1" applyBorder="1"/>
    <xf numFmtId="0" fontId="0" fillId="0" borderId="1" xfId="0" applyBorder="1" applyAlignment="1">
      <alignment horizontal="center"/>
    </xf>
    <xf numFmtId="0" fontId="25" fillId="0" borderId="15" xfId="0" applyFont="1" applyBorder="1" applyAlignment="1">
      <alignment horizontal="center" vertical="center" wrapText="1"/>
    </xf>
    <xf numFmtId="43" fontId="18" fillId="0" borderId="1" xfId="1" applyFont="1" applyBorder="1"/>
    <xf numFmtId="43" fontId="0" fillId="3" borderId="0" xfId="0" applyNumberFormat="1" applyFill="1" applyBorder="1" applyAlignment="1">
      <alignment horizontal="center" vertical="center"/>
    </xf>
    <xf numFmtId="44" fontId="18" fillId="0" borderId="0" xfId="2" applyFont="1"/>
    <xf numFmtId="0" fontId="0" fillId="0" borderId="1" xfId="0" applyBorder="1" applyAlignment="1">
      <alignment horizontal="center" vertical="center" wrapText="1"/>
    </xf>
    <xf numFmtId="0" fontId="0" fillId="20" borderId="1" xfId="0" applyFill="1" applyBorder="1" applyAlignment="1">
      <alignment horizontal="right"/>
    </xf>
    <xf numFmtId="0" fontId="24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44" fontId="24" fillId="0" borderId="1" xfId="0" applyNumberFormat="1" applyFont="1" applyBorder="1"/>
    <xf numFmtId="44" fontId="28" fillId="0" borderId="1" xfId="2" applyFont="1" applyBorder="1"/>
    <xf numFmtId="0" fontId="0" fillId="21" borderId="1" xfId="0" applyFill="1" applyBorder="1"/>
    <xf numFmtId="44" fontId="18" fillId="21" borderId="1" xfId="2" applyFont="1" applyFill="1" applyBorder="1"/>
    <xf numFmtId="43" fontId="0" fillId="21" borderId="1" xfId="0" applyNumberFormat="1" applyFill="1" applyBorder="1"/>
    <xf numFmtId="0" fontId="0" fillId="3" borderId="1" xfId="0" applyFill="1" applyBorder="1"/>
    <xf numFmtId="44" fontId="18" fillId="3" borderId="1" xfId="2" applyFont="1" applyFill="1" applyBorder="1"/>
    <xf numFmtId="44" fontId="0" fillId="3" borderId="1" xfId="0" applyNumberFormat="1" applyFill="1" applyBorder="1"/>
    <xf numFmtId="43" fontId="18" fillId="3" borderId="1" xfId="1" applyFont="1" applyFill="1" applyBorder="1"/>
    <xf numFmtId="43" fontId="18" fillId="2" borderId="1" xfId="1" applyFont="1" applyFill="1" applyBorder="1"/>
    <xf numFmtId="44" fontId="18" fillId="2" borderId="1" xfId="2" applyFont="1" applyFill="1" applyBorder="1"/>
    <xf numFmtId="0" fontId="0" fillId="22" borderId="1" xfId="0" applyFill="1" applyBorder="1"/>
    <xf numFmtId="43" fontId="18" fillId="22" borderId="1" xfId="1" applyFont="1" applyFill="1" applyBorder="1"/>
    <xf numFmtId="44" fontId="18" fillId="22" borderId="1" xfId="2" applyFont="1" applyFill="1" applyBorder="1"/>
    <xf numFmtId="17" fontId="0" fillId="0" borderId="1" xfId="0" applyNumberFormat="1" applyBorder="1" applyAlignment="1">
      <alignment horizontal="center" vertical="center" wrapText="1"/>
    </xf>
    <xf numFmtId="0" fontId="24" fillId="0" borderId="1" xfId="0" applyFont="1" applyFill="1" applyBorder="1" applyAlignment="1">
      <alignment horizontal="center" vertical="center" wrapText="1"/>
    </xf>
    <xf numFmtId="0" fontId="0" fillId="0" borderId="1" xfId="0" applyFont="1" applyBorder="1"/>
    <xf numFmtId="167" fontId="18" fillId="0" borderId="1" xfId="1" applyNumberFormat="1" applyFont="1" applyBorder="1"/>
    <xf numFmtId="1" fontId="24" fillId="0" borderId="1" xfId="0" applyNumberFormat="1" applyFont="1" applyBorder="1" applyAlignment="1">
      <alignment horizontal="center"/>
    </xf>
    <xf numFmtId="0" fontId="0" fillId="23" borderId="17" xfId="0" applyFill="1" applyBorder="1" applyAlignment="1">
      <alignment horizontal="center"/>
    </xf>
    <xf numFmtId="0" fontId="0" fillId="23" borderId="18" xfId="0" applyFill="1" applyBorder="1" applyAlignment="1">
      <alignment horizontal="center"/>
    </xf>
    <xf numFmtId="0" fontId="0" fillId="24" borderId="7" xfId="0" applyFill="1" applyBorder="1" applyAlignment="1">
      <alignment horizontal="center"/>
    </xf>
    <xf numFmtId="0" fontId="0" fillId="24" borderId="1" xfId="0" applyFill="1" applyBorder="1" applyAlignment="1">
      <alignment horizontal="center"/>
    </xf>
    <xf numFmtId="0" fontId="0" fillId="24" borderId="23" xfId="0" applyFill="1" applyBorder="1" applyAlignment="1">
      <alignment horizontal="center"/>
    </xf>
    <xf numFmtId="1" fontId="0" fillId="0" borderId="0" xfId="0" applyNumberFormat="1"/>
    <xf numFmtId="9" fontId="18" fillId="0" borderId="1" xfId="4" applyFont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43" fontId="18" fillId="6" borderId="0" xfId="1" applyFont="1" applyFill="1" applyBorder="1" applyAlignment="1">
      <alignment horizontal="center" wrapText="1"/>
    </xf>
    <xf numFmtId="43" fontId="18" fillId="0" borderId="22" xfId="1" applyFont="1" applyBorder="1" applyAlignment="1">
      <alignment horizontal="right"/>
    </xf>
    <xf numFmtId="43" fontId="18" fillId="0" borderId="35" xfId="1" applyFont="1" applyBorder="1" applyAlignment="1">
      <alignment horizontal="right"/>
    </xf>
    <xf numFmtId="1" fontId="0" fillId="0" borderId="0" xfId="0" applyNumberFormat="1" applyFill="1" applyBorder="1" applyAlignment="1">
      <alignment horizontal="center" vertical="center"/>
    </xf>
    <xf numFmtId="9" fontId="18" fillId="0" borderId="0" xfId="4" applyFont="1"/>
    <xf numFmtId="10" fontId="0" fillId="0" borderId="0" xfId="0" applyNumberFormat="1"/>
    <xf numFmtId="0" fontId="0" fillId="0" borderId="36" xfId="0" applyBorder="1" applyAlignment="1"/>
    <xf numFmtId="0" fontId="0" fillId="0" borderId="26" xfId="0" applyBorder="1" applyAlignment="1"/>
    <xf numFmtId="0" fontId="0" fillId="0" borderId="24" xfId="0" applyBorder="1" applyAlignment="1"/>
    <xf numFmtId="0" fontId="0" fillId="0" borderId="37" xfId="0" applyBorder="1" applyAlignment="1"/>
    <xf numFmtId="0" fontId="0" fillId="0" borderId="0" xfId="0" applyBorder="1" applyAlignment="1"/>
    <xf numFmtId="0" fontId="0" fillId="0" borderId="28" xfId="0" applyBorder="1" applyAlignment="1"/>
    <xf numFmtId="0" fontId="0" fillId="0" borderId="38" xfId="0" applyBorder="1" applyAlignment="1"/>
    <xf numFmtId="0" fontId="0" fillId="0" borderId="39" xfId="0" applyBorder="1" applyAlignment="1"/>
    <xf numFmtId="44" fontId="0" fillId="0" borderId="1" xfId="0" applyNumberFormat="1" applyBorder="1"/>
    <xf numFmtId="167" fontId="18" fillId="0" borderId="0" xfId="1" applyNumberFormat="1" applyFont="1" applyBorder="1" applyAlignment="1"/>
    <xf numFmtId="9" fontId="18" fillId="0" borderId="1" xfId="4" applyNumberFormat="1" applyFont="1" applyBorder="1" applyAlignment="1">
      <alignment horizontal="center" vertical="center"/>
    </xf>
    <xf numFmtId="9" fontId="18" fillId="4" borderId="0" xfId="4" applyFont="1" applyFill="1"/>
    <xf numFmtId="10" fontId="18" fillId="16" borderId="0" xfId="4" applyNumberFormat="1" applyFont="1" applyFill="1" applyBorder="1" applyAlignment="1">
      <alignment horizontal="center" vertical="center"/>
    </xf>
    <xf numFmtId="4" fontId="21" fillId="0" borderId="0" xfId="0" applyNumberFormat="1" applyFont="1" applyBorder="1" applyAlignment="1">
      <alignment horizontal="center" vertical="top" wrapText="1"/>
    </xf>
    <xf numFmtId="2" fontId="0" fillId="0" borderId="0" xfId="0" applyNumberFormat="1" applyBorder="1"/>
    <xf numFmtId="0" fontId="0" fillId="0" borderId="40" xfId="0" applyBorder="1"/>
    <xf numFmtId="0" fontId="0" fillId="0" borderId="38" xfId="0" applyBorder="1"/>
    <xf numFmtId="0" fontId="20" fillId="0" borderId="61" xfId="0" applyFont="1" applyBorder="1" applyAlignment="1">
      <alignment vertical="top" wrapText="1"/>
    </xf>
    <xf numFmtId="0" fontId="20" fillId="0" borderId="62" xfId="0" applyFont="1" applyBorder="1" applyAlignment="1">
      <alignment vertical="top" wrapText="1"/>
    </xf>
    <xf numFmtId="0" fontId="20" fillId="0" borderId="63" xfId="0" applyFont="1" applyBorder="1" applyAlignment="1">
      <alignment vertical="top" wrapText="1"/>
    </xf>
    <xf numFmtId="0" fontId="20" fillId="0" borderId="64" xfId="0" applyFont="1" applyBorder="1" applyAlignment="1">
      <alignment vertical="top" wrapText="1"/>
    </xf>
    <xf numFmtId="0" fontId="29" fillId="0" borderId="0" xfId="0" applyFont="1" applyBorder="1"/>
    <xf numFmtId="0" fontId="29" fillId="0" borderId="41" xfId="0" applyFont="1" applyBorder="1" applyAlignment="1">
      <alignment horizontal="center" vertical="center"/>
    </xf>
    <xf numFmtId="0" fontId="29" fillId="0" borderId="20" xfId="0" applyFont="1" applyBorder="1"/>
    <xf numFmtId="0" fontId="29" fillId="0" borderId="42" xfId="0" applyFont="1" applyBorder="1" applyAlignment="1">
      <alignment horizontal="center"/>
    </xf>
    <xf numFmtId="0" fontId="29" fillId="0" borderId="4" xfId="0" applyFont="1" applyBorder="1" applyAlignment="1">
      <alignment horizontal="center"/>
    </xf>
    <xf numFmtId="0" fontId="29" fillId="0" borderId="0" xfId="0" applyFont="1" applyBorder="1" applyAlignment="1">
      <alignment horizontal="center"/>
    </xf>
    <xf numFmtId="172" fontId="0" fillId="0" borderId="13" xfId="0" applyNumberFormat="1" applyBorder="1" applyAlignment="1">
      <alignment horizontal="center" vertical="center"/>
    </xf>
    <xf numFmtId="1" fontId="24" fillId="0" borderId="7" xfId="0" applyNumberFormat="1" applyFont="1" applyBorder="1"/>
    <xf numFmtId="43" fontId="18" fillId="17" borderId="1" xfId="1" applyFont="1" applyFill="1" applyBorder="1"/>
    <xf numFmtId="0" fontId="29" fillId="0" borderId="6" xfId="0" applyFont="1" applyBorder="1" applyAlignment="1">
      <alignment horizontal="center" vertical="center"/>
    </xf>
    <xf numFmtId="0" fontId="29" fillId="0" borderId="2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4" fillId="0" borderId="1" xfId="0" applyFont="1" applyBorder="1" applyAlignment="1">
      <alignment horizontal="center" vertical="center" wrapText="1"/>
    </xf>
    <xf numFmtId="0" fontId="24" fillId="0" borderId="43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167" fontId="18" fillId="0" borderId="15" xfId="1" applyNumberFormat="1" applyFont="1" applyBorder="1"/>
    <xf numFmtId="0" fontId="24" fillId="0" borderId="0" xfId="0" applyFont="1"/>
    <xf numFmtId="0" fontId="24" fillId="0" borderId="31" xfId="0" applyFont="1" applyBorder="1"/>
    <xf numFmtId="0" fontId="24" fillId="0" borderId="15" xfId="0" applyFont="1" applyBorder="1"/>
    <xf numFmtId="0" fontId="0" fillId="0" borderId="37" xfId="0" applyBorder="1"/>
    <xf numFmtId="0" fontId="0" fillId="0" borderId="43" xfId="0" applyBorder="1" applyAlignment="1">
      <alignment horizontal="center"/>
    </xf>
    <xf numFmtId="0" fontId="24" fillId="0" borderId="44" xfId="0" applyFont="1" applyBorder="1"/>
    <xf numFmtId="0" fontId="24" fillId="0" borderId="23" xfId="0" applyFont="1" applyBorder="1"/>
    <xf numFmtId="0" fontId="29" fillId="0" borderId="16" xfId="0" applyFont="1" applyBorder="1" applyAlignment="1">
      <alignment wrapText="1"/>
    </xf>
    <xf numFmtId="0" fontId="29" fillId="0" borderId="6" xfId="0" applyFont="1" applyBorder="1" applyAlignment="1">
      <alignment wrapText="1"/>
    </xf>
    <xf numFmtId="0" fontId="29" fillId="0" borderId="0" xfId="0" applyFont="1" applyBorder="1" applyAlignment="1">
      <alignment wrapText="1"/>
    </xf>
    <xf numFmtId="43" fontId="0" fillId="0" borderId="28" xfId="0" applyNumberFormat="1" applyBorder="1" applyAlignment="1"/>
    <xf numFmtId="0" fontId="24" fillId="0" borderId="45" xfId="0" applyFont="1" applyFill="1" applyBorder="1"/>
    <xf numFmtId="0" fontId="0" fillId="14" borderId="1" xfId="0" applyNumberFormat="1" applyFill="1" applyBorder="1" applyAlignment="1">
      <alignment horizontal="right"/>
    </xf>
    <xf numFmtId="2" fontId="24" fillId="0" borderId="7" xfId="0" applyNumberFormat="1" applyFont="1" applyBorder="1"/>
    <xf numFmtId="0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166" fontId="0" fillId="3" borderId="1" xfId="0" applyNumberFormat="1" applyFill="1" applyBorder="1" applyAlignment="1">
      <alignment horizontal="center" vertical="center"/>
    </xf>
    <xf numFmtId="167" fontId="18" fillId="24" borderId="0" xfId="1" applyNumberFormat="1" applyFont="1" applyFill="1" applyBorder="1"/>
    <xf numFmtId="0" fontId="0" fillId="0" borderId="0" xfId="0" applyAlignment="1">
      <alignment horizontal="center"/>
    </xf>
    <xf numFmtId="0" fontId="0" fillId="24" borderId="1" xfId="0" applyFill="1" applyBorder="1" applyAlignment="1">
      <alignment horizontal="right"/>
    </xf>
    <xf numFmtId="41" fontId="0" fillId="0" borderId="1" xfId="0" applyNumberFormat="1" applyBorder="1"/>
    <xf numFmtId="0" fontId="0" fillId="24" borderId="1" xfId="0" applyFill="1" applyBorder="1"/>
    <xf numFmtId="174" fontId="0" fillId="0" borderId="1" xfId="0" applyNumberFormat="1" applyBorder="1"/>
    <xf numFmtId="0" fontId="0" fillId="0" borderId="0" xfId="0" applyFont="1" applyAlignment="1">
      <alignment wrapText="1"/>
    </xf>
    <xf numFmtId="0" fontId="23" fillId="3" borderId="12" xfId="0" applyFont="1" applyFill="1" applyBorder="1" applyAlignment="1">
      <alignment horizontal="center"/>
    </xf>
    <xf numFmtId="0" fontId="0" fillId="0" borderId="40" xfId="0" applyBorder="1" applyAlignment="1"/>
    <xf numFmtId="44" fontId="0" fillId="0" borderId="0" xfId="0" applyNumberFormat="1"/>
    <xf numFmtId="14" fontId="0" fillId="24" borderId="1" xfId="0" applyNumberFormat="1" applyFill="1" applyBorder="1" applyAlignment="1">
      <alignment horizontal="center"/>
    </xf>
    <xf numFmtId="44" fontId="18" fillId="21" borderId="1" xfId="2" applyFont="1" applyFill="1" applyBorder="1"/>
    <xf numFmtId="0" fontId="24" fillId="0" borderId="7" xfId="0" applyFont="1" applyBorder="1"/>
    <xf numFmtId="9" fontId="18" fillId="0" borderId="1" xfId="4" applyFont="1" applyBorder="1"/>
    <xf numFmtId="1" fontId="30" fillId="5" borderId="8" xfId="0" applyNumberFormat="1" applyFont="1" applyFill="1" applyBorder="1" applyAlignment="1">
      <alignment horizontal="right"/>
    </xf>
    <xf numFmtId="1" fontId="30" fillId="0" borderId="6" xfId="0" applyNumberFormat="1" applyFont="1" applyFill="1" applyBorder="1" applyAlignment="1">
      <alignment horizontal="right" wrapText="1"/>
    </xf>
    <xf numFmtId="1" fontId="24" fillId="0" borderId="0" xfId="0" applyNumberFormat="1" applyFont="1" applyAlignment="1">
      <alignment horizontal="right"/>
    </xf>
    <xf numFmtId="1" fontId="0" fillId="5" borderId="12" xfId="0" applyNumberFormat="1" applyFill="1" applyBorder="1" applyAlignment="1">
      <alignment horizontal="right"/>
    </xf>
    <xf numFmtId="167" fontId="18" fillId="0" borderId="1" xfId="1" applyNumberFormat="1" applyFont="1" applyBorder="1"/>
    <xf numFmtId="0" fontId="0" fillId="2" borderId="12" xfId="0" applyFill="1" applyBorder="1" applyAlignment="1">
      <alignment wrapText="1"/>
    </xf>
    <xf numFmtId="167" fontId="18" fillId="25" borderId="1" xfId="1" applyNumberFormat="1" applyFont="1" applyFill="1" applyBorder="1"/>
    <xf numFmtId="41" fontId="23" fillId="25" borderId="1" xfId="0" applyNumberFormat="1" applyFont="1" applyFill="1" applyBorder="1"/>
    <xf numFmtId="173" fontId="0" fillId="0" borderId="0" xfId="0" applyNumberFormat="1"/>
    <xf numFmtId="1" fontId="0" fillId="25" borderId="1" xfId="0" applyNumberFormat="1" applyFill="1" applyBorder="1"/>
    <xf numFmtId="43" fontId="18" fillId="0" borderId="1" xfId="1" applyFont="1" applyBorder="1" applyAlignment="1">
      <alignment horizontal="center" vertical="center"/>
    </xf>
    <xf numFmtId="43" fontId="18" fillId="0" borderId="0" xfId="1" applyFont="1" applyAlignment="1">
      <alignment horizontal="right"/>
    </xf>
    <xf numFmtId="43" fontId="18" fillId="0" borderId="0" xfId="1" applyFont="1"/>
    <xf numFmtId="44" fontId="18" fillId="0" borderId="0" xfId="2" applyFont="1"/>
    <xf numFmtId="167" fontId="18" fillId="0" borderId="0" xfId="1" applyNumberFormat="1" applyFont="1"/>
    <xf numFmtId="44" fontId="18" fillId="3" borderId="1" xfId="2" applyFont="1" applyFill="1" applyBorder="1" applyAlignment="1">
      <alignment horizontal="center" vertical="center"/>
    </xf>
    <xf numFmtId="44" fontId="0" fillId="3" borderId="1" xfId="0" applyNumberFormat="1" applyFill="1" applyBorder="1" applyAlignment="1">
      <alignment horizontal="center" vertical="center"/>
    </xf>
    <xf numFmtId="43" fontId="24" fillId="14" borderId="1" xfId="1" applyFont="1" applyFill="1" applyBorder="1" applyAlignment="1">
      <alignment horizontal="center" vertical="center"/>
    </xf>
    <xf numFmtId="43" fontId="18" fillId="3" borderId="1" xfId="1" applyFont="1" applyFill="1" applyBorder="1" applyAlignment="1">
      <alignment horizontal="center" vertical="center"/>
    </xf>
    <xf numFmtId="43" fontId="18" fillId="3" borderId="0" xfId="1" applyFont="1" applyFill="1" applyBorder="1" applyAlignment="1">
      <alignment horizontal="center" vertical="center"/>
    </xf>
    <xf numFmtId="43" fontId="18" fillId="16" borderId="0" xfId="1" applyFont="1" applyFill="1" applyBorder="1" applyAlignment="1">
      <alignment horizontal="center" vertical="center"/>
    </xf>
    <xf numFmtId="175" fontId="18" fillId="0" borderId="0" xfId="1" applyNumberFormat="1" applyFont="1"/>
    <xf numFmtId="175" fontId="18" fillId="0" borderId="2" xfId="1" applyNumberFormat="1" applyFont="1" applyBorder="1" applyAlignment="1">
      <alignment horizontal="center" vertical="center"/>
    </xf>
    <xf numFmtId="175" fontId="18" fillId="0" borderId="1" xfId="1" applyNumberFormat="1" applyFont="1" applyBorder="1"/>
    <xf numFmtId="43" fontId="18" fillId="0" borderId="0" xfId="1" applyFont="1" applyAlignment="1">
      <alignment wrapText="1"/>
    </xf>
    <xf numFmtId="1" fontId="0" fillId="0" borderId="15" xfId="0" applyNumberFormat="1" applyBorder="1" applyAlignment="1">
      <alignment horizontal="right"/>
    </xf>
    <xf numFmtId="167" fontId="18" fillId="0" borderId="1" xfId="1" applyNumberFormat="1" applyFont="1" applyBorder="1"/>
    <xf numFmtId="0" fontId="0" fillId="12" borderId="1" xfId="0" applyFill="1" applyBorder="1" applyAlignment="1">
      <alignment horizontal="center" vertical="center"/>
    </xf>
    <xf numFmtId="2" fontId="18" fillId="0" borderId="0" xfId="1" applyNumberFormat="1" applyFont="1"/>
    <xf numFmtId="2" fontId="0" fillId="14" borderId="1" xfId="0" applyNumberFormat="1" applyFill="1" applyBorder="1" applyAlignment="1">
      <alignment horizontal="left" indent="2"/>
    </xf>
    <xf numFmtId="1" fontId="0" fillId="0" borderId="1" xfId="0" applyNumberFormat="1" applyBorder="1" applyAlignment="1">
      <alignment horizontal="left" indent="3"/>
    </xf>
    <xf numFmtId="1" fontId="0" fillId="0" borderId="1" xfId="0" applyNumberFormat="1" applyBorder="1" applyAlignment="1">
      <alignment horizontal="left" indent="2"/>
    </xf>
    <xf numFmtId="2" fontId="0" fillId="0" borderId="0" xfId="0" applyNumberFormat="1" applyAlignment="1">
      <alignment horizontal="right"/>
    </xf>
    <xf numFmtId="1" fontId="0" fillId="0" borderId="0" xfId="0" applyNumberFormat="1" applyFill="1" applyBorder="1" applyAlignment="1">
      <alignment horizontal="right" wrapText="1"/>
    </xf>
    <xf numFmtId="1" fontId="0" fillId="0" borderId="0" xfId="0" applyNumberFormat="1" applyFill="1" applyBorder="1" applyAlignment="1">
      <alignment horizontal="right"/>
    </xf>
    <xf numFmtId="1" fontId="0" fillId="20" borderId="45" xfId="0" applyNumberFormat="1" applyFill="1" applyBorder="1" applyAlignment="1">
      <alignment horizontal="right"/>
    </xf>
    <xf numFmtId="1" fontId="0" fillId="20" borderId="1" xfId="0" applyNumberFormat="1" applyFill="1" applyBorder="1" applyAlignment="1">
      <alignment horizontal="right"/>
    </xf>
    <xf numFmtId="1" fontId="18" fillId="0" borderId="35" xfId="1" applyNumberFormat="1" applyFont="1" applyFill="1" applyBorder="1" applyAlignment="1">
      <alignment horizontal="right"/>
    </xf>
    <xf numFmtId="1" fontId="18" fillId="0" borderId="0" xfId="1" applyNumberFormat="1" applyFont="1" applyFill="1" applyBorder="1" applyAlignment="1">
      <alignment horizontal="right"/>
    </xf>
    <xf numFmtId="1" fontId="0" fillId="0" borderId="1" xfId="0" applyNumberFormat="1" applyBorder="1" applyAlignment="1">
      <alignment horizontal="right"/>
    </xf>
    <xf numFmtId="1" fontId="0" fillId="0" borderId="0" xfId="0" applyNumberFormat="1" applyFill="1" applyAlignment="1">
      <alignment horizontal="right"/>
    </xf>
    <xf numFmtId="1" fontId="0" fillId="0" borderId="0" xfId="0" applyNumberFormat="1" applyAlignment="1">
      <alignment horizontal="center"/>
    </xf>
    <xf numFmtId="1" fontId="0" fillId="3" borderId="43" xfId="0" applyNumberFormat="1" applyFill="1" applyBorder="1" applyAlignment="1">
      <alignment horizontal="center"/>
    </xf>
    <xf numFmtId="1" fontId="0" fillId="3" borderId="15" xfId="0" applyNumberFormat="1" applyFill="1" applyBorder="1" applyAlignment="1">
      <alignment horizontal="center"/>
    </xf>
    <xf numFmtId="1" fontId="0" fillId="3" borderId="2" xfId="0" applyNumberFormat="1" applyFill="1" applyBorder="1" applyAlignment="1">
      <alignment horizontal="center"/>
    </xf>
    <xf numFmtId="1" fontId="0" fillId="3" borderId="12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1" fontId="0" fillId="3" borderId="46" xfId="0" applyNumberFormat="1" applyFill="1" applyBorder="1" applyAlignment="1">
      <alignment horizontal="center"/>
    </xf>
    <xf numFmtId="176" fontId="0" fillId="3" borderId="1" xfId="0" applyNumberFormat="1" applyFill="1" applyBorder="1"/>
    <xf numFmtId="176" fontId="0" fillId="0" borderId="0" xfId="0" applyNumberFormat="1"/>
    <xf numFmtId="176" fontId="18" fillId="0" borderId="0" xfId="1" applyNumberFormat="1" applyFont="1"/>
    <xf numFmtId="176" fontId="0" fillId="0" borderId="0" xfId="0" applyNumberFormat="1" applyAlignment="1">
      <alignment horizontal="center"/>
    </xf>
    <xf numFmtId="176" fontId="0" fillId="3" borderId="1" xfId="0" applyNumberFormat="1" applyFill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/>
    </xf>
    <xf numFmtId="177" fontId="24" fillId="14" borderId="1" xfId="0" applyNumberFormat="1" applyFont="1" applyFill="1" applyBorder="1"/>
    <xf numFmtId="177" fontId="0" fillId="0" borderId="1" xfId="0" applyNumberFormat="1" applyBorder="1"/>
    <xf numFmtId="177" fontId="0" fillId="0" borderId="0" xfId="0" applyNumberFormat="1"/>
    <xf numFmtId="167" fontId="18" fillId="0" borderId="1" xfId="1" applyNumberFormat="1" applyFont="1" applyBorder="1"/>
    <xf numFmtId="0" fontId="0" fillId="24" borderId="0" xfId="0" applyFill="1" applyAlignment="1">
      <alignment horizontal="right"/>
    </xf>
    <xf numFmtId="9" fontId="18" fillId="0" borderId="1" xfId="4" applyFont="1" applyBorder="1"/>
    <xf numFmtId="9" fontId="18" fillId="0" borderId="7" xfId="4" applyFont="1" applyBorder="1"/>
    <xf numFmtId="9" fontId="18" fillId="0" borderId="7" xfId="4" applyFont="1" applyBorder="1"/>
    <xf numFmtId="10" fontId="18" fillId="0" borderId="1" xfId="4" applyNumberFormat="1" applyFont="1" applyBorder="1"/>
    <xf numFmtId="43" fontId="24" fillId="0" borderId="0" xfId="0" applyNumberFormat="1" applyFont="1" applyAlignment="1">
      <alignment horizontal="right"/>
    </xf>
    <xf numFmtId="43" fontId="23" fillId="0" borderId="0" xfId="0" applyNumberFormat="1" applyFont="1" applyFill="1"/>
    <xf numFmtId="9" fontId="18" fillId="0" borderId="0" xfId="4" applyFont="1" applyAlignment="1">
      <alignment horizontal="center"/>
    </xf>
    <xf numFmtId="0" fontId="29" fillId="20" borderId="0" xfId="1" applyNumberFormat="1" applyFont="1" applyFill="1"/>
    <xf numFmtId="0" fontId="24" fillId="0" borderId="0" xfId="1" applyNumberFormat="1" applyFont="1"/>
    <xf numFmtId="2" fontId="0" fillId="2" borderId="1" xfId="0" applyNumberFormat="1" applyFill="1" applyBorder="1"/>
    <xf numFmtId="1" fontId="0" fillId="3" borderId="1" xfId="0" applyNumberFormat="1" applyFill="1" applyBorder="1"/>
    <xf numFmtId="1" fontId="0" fillId="22" borderId="1" xfId="0" applyNumberFormat="1" applyFill="1" applyBorder="1"/>
    <xf numFmtId="1" fontId="0" fillId="2" borderId="1" xfId="0" applyNumberFormat="1" applyFill="1" applyBorder="1"/>
    <xf numFmtId="1" fontId="0" fillId="21" borderId="1" xfId="0" applyNumberFormat="1" applyFill="1" applyBorder="1"/>
    <xf numFmtId="9" fontId="18" fillId="0" borderId="1" xfId="4" applyFont="1" applyBorder="1"/>
    <xf numFmtId="1" fontId="0" fillId="24" borderId="1" xfId="0" applyNumberFormat="1" applyFill="1" applyBorder="1"/>
    <xf numFmtId="1" fontId="0" fillId="14" borderId="1" xfId="0" applyNumberFormat="1" applyFill="1" applyBorder="1"/>
    <xf numFmtId="43" fontId="18" fillId="0" borderId="0" xfId="1" applyFont="1" applyAlignment="1">
      <alignment horizontal="right"/>
    </xf>
    <xf numFmtId="0" fontId="20" fillId="0" borderId="0" xfId="0" applyFont="1" applyAlignment="1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176" fontId="0" fillId="0" borderId="0" xfId="0" applyNumberFormat="1" applyAlignment="1" applyProtection="1">
      <alignment horizontal="center"/>
      <protection locked="0"/>
    </xf>
    <xf numFmtId="1" fontId="0" fillId="0" borderId="0" xfId="0" applyNumberFormat="1" applyAlignment="1" applyProtection="1">
      <alignment horizontal="center"/>
      <protection locked="0"/>
    </xf>
    <xf numFmtId="0" fontId="0" fillId="0" borderId="20" xfId="0" applyBorder="1" applyProtection="1">
      <protection locked="0"/>
    </xf>
    <xf numFmtId="0" fontId="0" fillId="0" borderId="21" xfId="0" applyBorder="1" applyProtection="1">
      <protection locked="0"/>
    </xf>
    <xf numFmtId="0" fontId="0" fillId="0" borderId="16" xfId="0" applyBorder="1" applyProtection="1">
      <protection locked="0"/>
    </xf>
    <xf numFmtId="0" fontId="22" fillId="12" borderId="4" xfId="0" applyFont="1" applyFill="1" applyBorder="1" applyProtection="1">
      <protection locked="0"/>
    </xf>
    <xf numFmtId="0" fontId="0" fillId="0" borderId="0" xfId="0" applyFill="1" applyProtection="1">
      <protection locked="0"/>
    </xf>
    <xf numFmtId="0" fontId="0" fillId="3" borderId="0" xfId="0" applyFill="1" applyProtection="1">
      <protection locked="0"/>
    </xf>
    <xf numFmtId="0" fontId="0" fillId="3" borderId="1" xfId="0" applyFill="1" applyBorder="1" applyAlignment="1" applyProtection="1">
      <alignment horizontal="center" wrapText="1"/>
      <protection locked="0"/>
    </xf>
    <xf numFmtId="176" fontId="0" fillId="3" borderId="1" xfId="0" applyNumberFormat="1" applyFill="1" applyBorder="1" applyAlignment="1" applyProtection="1">
      <alignment horizontal="center" wrapText="1"/>
      <protection locked="0"/>
    </xf>
    <xf numFmtId="49" fontId="0" fillId="3" borderId="1" xfId="0" applyNumberFormat="1" applyFill="1" applyBorder="1" applyAlignment="1" applyProtection="1">
      <alignment horizontal="center" wrapText="1"/>
      <protection locked="0"/>
    </xf>
    <xf numFmtId="0" fontId="0" fillId="3" borderId="12" xfId="0" applyFill="1" applyBorder="1" applyAlignment="1" applyProtection="1">
      <alignment horizontal="center" wrapText="1"/>
      <protection locked="0"/>
    </xf>
    <xf numFmtId="1" fontId="0" fillId="3" borderId="31" xfId="0" applyNumberFormat="1" applyFill="1" applyBorder="1" applyAlignment="1" applyProtection="1">
      <alignment horizontal="center" wrapText="1"/>
      <protection locked="0"/>
    </xf>
    <xf numFmtId="1" fontId="0" fillId="3" borderId="47" xfId="0" applyNumberFormat="1" applyFill="1" applyBorder="1" applyAlignment="1" applyProtection="1">
      <alignment horizontal="center" wrapText="1"/>
      <protection locked="0"/>
    </xf>
    <xf numFmtId="1" fontId="0" fillId="3" borderId="2" xfId="0" applyNumberFormat="1" applyFill="1" applyBorder="1" applyAlignment="1" applyProtection="1">
      <alignment horizontal="center" wrapText="1"/>
      <protection locked="0"/>
    </xf>
    <xf numFmtId="1" fontId="0" fillId="3" borderId="12" xfId="0" applyNumberFormat="1" applyFill="1" applyBorder="1" applyAlignment="1" applyProtection="1">
      <alignment horizontal="center" wrapText="1"/>
      <protection locked="0"/>
    </xf>
    <xf numFmtId="1" fontId="0" fillId="3" borderId="1" xfId="0" applyNumberFormat="1" applyFill="1" applyBorder="1" applyAlignment="1" applyProtection="1">
      <alignment horizontal="center" wrapText="1"/>
      <protection locked="0"/>
    </xf>
    <xf numFmtId="1" fontId="0" fillId="3" borderId="16" xfId="0" applyNumberFormat="1" applyFill="1" applyBorder="1" applyAlignment="1" applyProtection="1">
      <alignment horizontal="center" wrapText="1"/>
      <protection locked="0"/>
    </xf>
    <xf numFmtId="0" fontId="20" fillId="0" borderId="6" xfId="0" applyFont="1" applyBorder="1" applyAlignment="1" applyProtection="1">
      <alignment vertical="top" wrapText="1"/>
      <protection locked="0"/>
    </xf>
    <xf numFmtId="0" fontId="20" fillId="0" borderId="21" xfId="0" applyFont="1" applyBorder="1" applyAlignment="1" applyProtection="1">
      <alignment vertical="top" wrapText="1"/>
      <protection locked="0"/>
    </xf>
    <xf numFmtId="0" fontId="20" fillId="0" borderId="65" xfId="0" applyFont="1" applyBorder="1" applyAlignment="1" applyProtection="1">
      <alignment vertical="top" wrapText="1"/>
      <protection locked="0"/>
    </xf>
    <xf numFmtId="0" fontId="20" fillId="0" borderId="66" xfId="0" applyFont="1" applyBorder="1" applyAlignment="1" applyProtection="1">
      <alignment vertical="top" wrapText="1"/>
      <protection locked="0"/>
    </xf>
    <xf numFmtId="0" fontId="20" fillId="0" borderId="67" xfId="0" applyFont="1" applyBorder="1" applyAlignment="1" applyProtection="1">
      <alignment vertical="top" wrapText="1"/>
      <protection locked="0"/>
    </xf>
    <xf numFmtId="0" fontId="20" fillId="0" borderId="16" xfId="0" applyFont="1" applyBorder="1" applyAlignment="1" applyProtection="1">
      <alignment vertical="top" wrapText="1"/>
      <protection locked="0"/>
    </xf>
    <xf numFmtId="0" fontId="20" fillId="11" borderId="68" xfId="0" applyFont="1" applyFill="1" applyBorder="1" applyAlignment="1" applyProtection="1">
      <alignment vertical="top" wrapText="1"/>
      <protection locked="0"/>
    </xf>
    <xf numFmtId="0" fontId="20" fillId="11" borderId="0" xfId="0" applyFont="1" applyFill="1" applyBorder="1" applyAlignment="1" applyProtection="1">
      <alignment vertical="top" wrapText="1"/>
      <protection locked="0"/>
    </xf>
    <xf numFmtId="0" fontId="31" fillId="12" borderId="6" xfId="0" applyFont="1" applyFill="1" applyBorder="1" applyAlignment="1" applyProtection="1">
      <alignment vertical="top" wrapText="1"/>
      <protection locked="0"/>
    </xf>
    <xf numFmtId="0" fontId="20" fillId="0" borderId="0" xfId="0" applyFont="1" applyFill="1" applyBorder="1" applyAlignment="1" applyProtection="1">
      <alignment vertical="top" wrapText="1"/>
      <protection locked="0"/>
    </xf>
    <xf numFmtId="0" fontId="0" fillId="0" borderId="0" xfId="0" applyBorder="1" applyProtection="1">
      <protection locked="0"/>
    </xf>
    <xf numFmtId="1" fontId="0" fillId="5" borderId="7" xfId="0" applyNumberFormat="1" applyFill="1" applyBorder="1" applyAlignment="1">
      <alignment horizontal="right"/>
    </xf>
    <xf numFmtId="0" fontId="0" fillId="5" borderId="11" xfId="0" applyFill="1" applyBorder="1" applyAlignment="1">
      <alignment horizontal="right"/>
    </xf>
    <xf numFmtId="1" fontId="0" fillId="24" borderId="1" xfId="0" applyNumberFormat="1" applyFill="1" applyBorder="1" applyAlignment="1">
      <alignment horizontal="right"/>
    </xf>
    <xf numFmtId="1" fontId="0" fillId="0" borderId="1" xfId="0" applyNumberFormat="1" applyFill="1" applyBorder="1" applyAlignment="1">
      <alignment horizontal="right"/>
    </xf>
    <xf numFmtId="9" fontId="18" fillId="0" borderId="1" xfId="4" applyFont="1" applyBorder="1"/>
    <xf numFmtId="0" fontId="23" fillId="24" borderId="1" xfId="0" applyFont="1" applyFill="1" applyBorder="1" applyAlignment="1">
      <alignment horizontal="right"/>
    </xf>
    <xf numFmtId="0" fontId="0" fillId="24" borderId="12" xfId="0" applyFill="1" applyBorder="1" applyAlignment="1">
      <alignment horizontal="right"/>
    </xf>
    <xf numFmtId="0" fontId="0" fillId="26" borderId="16" xfId="0" applyFill="1" applyBorder="1" applyAlignment="1">
      <alignment horizontal="center" wrapText="1"/>
    </xf>
    <xf numFmtId="0" fontId="0" fillId="11" borderId="20" xfId="0" applyFill="1" applyBorder="1" applyAlignment="1">
      <alignment horizontal="center" vertical="center" wrapText="1"/>
    </xf>
    <xf numFmtId="167" fontId="0" fillId="11" borderId="22" xfId="0" applyNumberFormat="1" applyFill="1" applyBorder="1" applyAlignment="1">
      <alignment horizontal="right"/>
    </xf>
    <xf numFmtId="167" fontId="18" fillId="11" borderId="35" xfId="1" applyNumberFormat="1" applyFont="1" applyFill="1" applyBorder="1" applyAlignment="1">
      <alignment horizontal="right"/>
    </xf>
    <xf numFmtId="167" fontId="0" fillId="5" borderId="22" xfId="0" applyNumberFormat="1" applyFill="1" applyBorder="1" applyAlignment="1">
      <alignment horizontal="right"/>
    </xf>
    <xf numFmtId="167" fontId="18" fillId="5" borderId="35" xfId="1" applyNumberFormat="1" applyFont="1" applyFill="1" applyBorder="1" applyAlignment="1">
      <alignment horizontal="right"/>
    </xf>
    <xf numFmtId="9" fontId="18" fillId="0" borderId="0" xfId="4" applyFont="1" applyBorder="1"/>
    <xf numFmtId="2" fontId="18" fillId="0" borderId="0" xfId="4" applyNumberFormat="1" applyFont="1" applyBorder="1"/>
    <xf numFmtId="0" fontId="27" fillId="24" borderId="2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31" xfId="0" applyBorder="1"/>
    <xf numFmtId="0" fontId="32" fillId="2" borderId="1" xfId="0" applyFont="1" applyFill="1" applyBorder="1" applyAlignment="1">
      <alignment wrapText="1"/>
    </xf>
    <xf numFmtId="0" fontId="0" fillId="0" borderId="0" xfId="0" applyAlignment="1">
      <alignment horizontal="center"/>
    </xf>
    <xf numFmtId="0" fontId="0" fillId="27" borderId="1" xfId="0" applyFill="1" applyBorder="1" applyAlignment="1">
      <alignment horizontal="center"/>
    </xf>
    <xf numFmtId="0" fontId="19" fillId="0" borderId="0" xfId="3" applyAlignment="1" applyProtection="1"/>
    <xf numFmtId="0" fontId="30" fillId="0" borderId="0" xfId="0" applyFont="1" applyAlignment="1">
      <alignment horizontal="center"/>
    </xf>
    <xf numFmtId="178" fontId="18" fillId="0" borderId="0" xfId="1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43" fontId="18" fillId="0" borderId="0" xfId="1" applyFont="1" applyAlignment="1">
      <alignment horizontal="center"/>
    </xf>
    <xf numFmtId="2" fontId="0" fillId="0" borderId="0" xfId="0" applyNumberFormat="1" applyAlignment="1" applyProtection="1">
      <alignment horizontal="center"/>
      <protection locked="0"/>
    </xf>
    <xf numFmtId="167" fontId="18" fillId="0" borderId="0" xfId="1" applyNumberFormat="1" applyFont="1" applyAlignment="1">
      <alignment horizontal="center"/>
    </xf>
    <xf numFmtId="169" fontId="0" fillId="3" borderId="1" xfId="0" applyNumberFormat="1" applyFill="1" applyBorder="1" applyAlignment="1">
      <alignment horizontal="center"/>
    </xf>
    <xf numFmtId="2" fontId="0" fillId="3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41" fontId="0" fillId="0" borderId="0" xfId="0" applyNumberFormat="1"/>
    <xf numFmtId="44" fontId="18" fillId="0" borderId="0" xfId="2" applyFont="1" applyBorder="1"/>
    <xf numFmtId="44" fontId="30" fillId="0" borderId="0" xfId="0" applyNumberFormat="1" applyFont="1" applyBorder="1"/>
    <xf numFmtId="0" fontId="21" fillId="3" borderId="69" xfId="0" applyNumberFormat="1" applyFont="1" applyFill="1" applyBorder="1" applyAlignment="1">
      <alignment vertical="top" wrapText="1"/>
    </xf>
    <xf numFmtId="4" fontId="21" fillId="3" borderId="69" xfId="0" applyNumberFormat="1" applyFont="1" applyFill="1" applyBorder="1" applyAlignment="1">
      <alignment horizontal="center" vertical="top" wrapText="1"/>
    </xf>
    <xf numFmtId="2" fontId="0" fillId="3" borderId="43" xfId="0" applyNumberFormat="1" applyFill="1" applyBorder="1"/>
    <xf numFmtId="9" fontId="18" fillId="0" borderId="45" xfId="4" applyFont="1" applyFill="1" applyBorder="1"/>
    <xf numFmtId="44" fontId="30" fillId="0" borderId="1" xfId="0" applyNumberFormat="1" applyFont="1" applyBorder="1"/>
    <xf numFmtId="0" fontId="24" fillId="0" borderId="0" xfId="0" applyFont="1" applyFill="1" applyBorder="1" applyAlignment="1">
      <alignment horizontal="center" vertical="center" wrapText="1"/>
    </xf>
    <xf numFmtId="16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69" fontId="0" fillId="0" borderId="1" xfId="0" applyNumberFormat="1" applyBorder="1" applyAlignment="1">
      <alignment horizontal="center"/>
    </xf>
    <xf numFmtId="9" fontId="18" fillId="0" borderId="0" xfId="4" applyFont="1"/>
    <xf numFmtId="0" fontId="18" fillId="3" borderId="1" xfId="2" applyNumberFormat="1" applyFont="1" applyFill="1" applyBorder="1"/>
    <xf numFmtId="2" fontId="0" fillId="24" borderId="1" xfId="0" applyNumberFormat="1" applyFill="1" applyBorder="1"/>
    <xf numFmtId="0" fontId="20" fillId="0" borderId="0" xfId="0" applyFont="1" applyAlignment="1">
      <alignment horizontal="center"/>
    </xf>
    <xf numFmtId="1" fontId="0" fillId="24" borderId="1" xfId="0" applyNumberFormat="1" applyFill="1" applyBorder="1" applyAlignment="1">
      <alignment horizontal="left" indent="2"/>
    </xf>
    <xf numFmtId="1" fontId="0" fillId="3" borderId="35" xfId="0" applyNumberFormat="1" applyFill="1" applyBorder="1" applyAlignment="1" applyProtection="1">
      <alignment horizontal="center" wrapText="1"/>
      <protection locked="0"/>
    </xf>
    <xf numFmtId="1" fontId="0" fillId="3" borderId="35" xfId="0" applyNumberFormat="1" applyFill="1" applyBorder="1" applyAlignment="1">
      <alignment horizontal="center"/>
    </xf>
    <xf numFmtId="1" fontId="0" fillId="3" borderId="13" xfId="0" applyNumberFormat="1" applyFill="1" applyBorder="1" applyAlignment="1" applyProtection="1">
      <alignment horizontal="center" wrapText="1"/>
      <protection locked="0"/>
    </xf>
    <xf numFmtId="1" fontId="0" fillId="3" borderId="5" xfId="0" applyNumberFormat="1" applyFill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79" fontId="0" fillId="14" borderId="1" xfId="0" applyNumberFormat="1" applyFill="1" applyBorder="1" applyAlignment="1">
      <alignment wrapText="1"/>
    </xf>
    <xf numFmtId="1" fontId="0" fillId="2" borderId="7" xfId="0" applyNumberFormat="1" applyFill="1" applyBorder="1" applyAlignment="1">
      <alignment horizontal="left"/>
    </xf>
    <xf numFmtId="1" fontId="0" fillId="0" borderId="7" xfId="0" applyNumberFormat="1" applyBorder="1" applyAlignment="1">
      <alignment horizontal="left" indent="3"/>
    </xf>
    <xf numFmtId="1" fontId="0" fillId="0" borderId="7" xfId="0" applyNumberFormat="1" applyBorder="1" applyAlignment="1">
      <alignment horizontal="left" indent="2"/>
    </xf>
    <xf numFmtId="2" fontId="0" fillId="14" borderId="7" xfId="0" applyNumberFormat="1" applyFill="1" applyBorder="1" applyAlignment="1">
      <alignment horizontal="left" indent="2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 wrapText="1"/>
    </xf>
    <xf numFmtId="2" fontId="18" fillId="0" borderId="0" xfId="1" applyNumberFormat="1" applyFont="1" applyAlignment="1">
      <alignment horizontal="left" wrapText="1"/>
    </xf>
    <xf numFmtId="17" fontId="0" fillId="14" borderId="23" xfId="0" applyNumberFormat="1" applyFill="1" applyBorder="1" applyAlignment="1">
      <alignment horizontal="left" wrapText="1"/>
    </xf>
    <xf numFmtId="1" fontId="0" fillId="2" borderId="23" xfId="0" applyNumberFormat="1" applyFill="1" applyBorder="1" applyAlignment="1">
      <alignment horizontal="left" wrapText="1"/>
    </xf>
    <xf numFmtId="0" fontId="0" fillId="2" borderId="23" xfId="0" applyFill="1" applyBorder="1" applyAlignment="1">
      <alignment horizontal="left" wrapText="1"/>
    </xf>
    <xf numFmtId="3" fontId="18" fillId="2" borderId="23" xfId="1" applyNumberFormat="1" applyFont="1" applyFill="1" applyBorder="1" applyAlignment="1">
      <alignment horizontal="left" wrapText="1"/>
    </xf>
    <xf numFmtId="0" fontId="0" fillId="2" borderId="23" xfId="0" applyFill="1" applyBorder="1" applyAlignment="1">
      <alignment horizontal="left"/>
    </xf>
    <xf numFmtId="10" fontId="0" fillId="0" borderId="0" xfId="0" applyNumberFormat="1" applyAlignment="1">
      <alignment horizontal="left" wrapText="1"/>
    </xf>
    <xf numFmtId="168" fontId="0" fillId="14" borderId="7" xfId="0" applyNumberFormat="1" applyFill="1" applyBorder="1" applyAlignment="1">
      <alignment horizontal="left" wrapText="1"/>
    </xf>
    <xf numFmtId="2" fontId="18" fillId="14" borderId="7" xfId="1" applyNumberFormat="1" applyFont="1" applyFill="1" applyBorder="1" applyAlignment="1">
      <alignment horizontal="left"/>
    </xf>
    <xf numFmtId="0" fontId="0" fillId="0" borderId="7" xfId="0" applyBorder="1" applyAlignment="1">
      <alignment horizontal="left"/>
    </xf>
    <xf numFmtId="0" fontId="23" fillId="24" borderId="7" xfId="0" applyFont="1" applyFill="1" applyBorder="1" applyAlignment="1">
      <alignment horizontal="left"/>
    </xf>
    <xf numFmtId="0" fontId="0" fillId="0" borderId="7" xfId="0" applyBorder="1" applyAlignment="1">
      <alignment horizontal="left" vertical="center"/>
    </xf>
    <xf numFmtId="1" fontId="0" fillId="24" borderId="7" xfId="0" applyNumberFormat="1" applyFill="1" applyBorder="1" applyAlignment="1">
      <alignment horizontal="left"/>
    </xf>
    <xf numFmtId="0" fontId="0" fillId="27" borderId="7" xfId="0" applyFill="1" applyBorder="1" applyAlignment="1">
      <alignment horizontal="left"/>
    </xf>
    <xf numFmtId="2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2" fontId="18" fillId="14" borderId="1" xfId="1" applyNumberFormat="1" applyFont="1" applyFill="1" applyBorder="1" applyAlignment="1">
      <alignment horizontal="left"/>
    </xf>
    <xf numFmtId="0" fontId="0" fillId="0" borderId="1" xfId="0" applyFont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24" borderId="1" xfId="0" applyFill="1" applyBorder="1" applyAlignment="1">
      <alignment horizontal="left"/>
    </xf>
    <xf numFmtId="1" fontId="0" fillId="0" borderId="1" xfId="0" applyNumberFormat="1" applyBorder="1" applyAlignment="1">
      <alignment horizontal="left"/>
    </xf>
    <xf numFmtId="0" fontId="0" fillId="27" borderId="1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2" fontId="18" fillId="0" borderId="0" xfId="1" applyNumberFormat="1" applyFont="1" applyAlignment="1">
      <alignment horizontal="left"/>
    </xf>
    <xf numFmtId="1" fontId="0" fillId="0" borderId="0" xfId="0" applyNumberFormat="1" applyAlignment="1">
      <alignment horizontal="left"/>
    </xf>
    <xf numFmtId="3" fontId="18" fillId="0" borderId="0" xfId="1" applyNumberFormat="1" applyFont="1" applyAlignment="1">
      <alignment horizontal="left"/>
    </xf>
    <xf numFmtId="10" fontId="18" fillId="0" borderId="1" xfId="4" applyNumberFormat="1" applyFont="1" applyBorder="1" applyAlignment="1">
      <alignment horizontal="center"/>
    </xf>
    <xf numFmtId="173" fontId="0" fillId="24" borderId="1" xfId="0" applyNumberFormat="1" applyFill="1" applyBorder="1"/>
    <xf numFmtId="0" fontId="0" fillId="0" borderId="7" xfId="0" applyBorder="1" applyAlignment="1">
      <alignment horizontal="center" vertical="center" wrapText="1"/>
    </xf>
    <xf numFmtId="1" fontId="0" fillId="0" borderId="1" xfId="0" applyNumberFormat="1" applyBorder="1" applyAlignment="1">
      <alignment horizontal="left" wrapText="1"/>
    </xf>
    <xf numFmtId="165" fontId="0" fillId="14" borderId="0" xfId="0" applyNumberFormat="1" applyFill="1"/>
    <xf numFmtId="165" fontId="0" fillId="14" borderId="1" xfId="0" applyNumberFormat="1" applyFill="1" applyBorder="1"/>
    <xf numFmtId="165" fontId="0" fillId="0" borderId="1" xfId="0" applyNumberFormat="1" applyBorder="1"/>
    <xf numFmtId="165" fontId="0" fillId="0" borderId="0" xfId="0" applyNumberFormat="1"/>
    <xf numFmtId="0" fontId="0" fillId="0" borderId="7" xfId="0" applyBorder="1" applyAlignment="1">
      <alignment horizontal="center" vertical="center"/>
    </xf>
    <xf numFmtId="180" fontId="29" fillId="0" borderId="16" xfId="0" applyNumberFormat="1" applyFont="1" applyBorder="1" applyAlignment="1">
      <alignment horizontal="center" vertical="center"/>
    </xf>
    <xf numFmtId="180" fontId="0" fillId="0" borderId="11" xfId="0" applyNumberFormat="1" applyBorder="1"/>
    <xf numFmtId="180" fontId="0" fillId="0" borderId="15" xfId="0" applyNumberFormat="1" applyBorder="1"/>
    <xf numFmtId="180" fontId="0" fillId="0" borderId="15" xfId="0" applyNumberFormat="1" applyFill="1" applyBorder="1"/>
    <xf numFmtId="180" fontId="0" fillId="0" borderId="0" xfId="0" applyNumberFormat="1"/>
    <xf numFmtId="176" fontId="0" fillId="24" borderId="1" xfId="0" applyNumberFormat="1" applyFill="1" applyBorder="1"/>
    <xf numFmtId="0" fontId="0" fillId="0" borderId="0" xfId="0" applyAlignment="1">
      <alignment horizontal="center"/>
    </xf>
    <xf numFmtId="176" fontId="0" fillId="22" borderId="1" xfId="0" applyNumberFormat="1" applyFill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1" fontId="24" fillId="0" borderId="0" xfId="0" applyNumberFormat="1" applyFont="1" applyAlignment="1">
      <alignment wrapText="1"/>
    </xf>
    <xf numFmtId="0" fontId="30" fillId="0" borderId="0" xfId="0" applyFont="1" applyAlignment="1">
      <alignment wrapText="1"/>
    </xf>
    <xf numFmtId="176" fontId="26" fillId="0" borderId="0" xfId="1" applyNumberFormat="1" applyFont="1"/>
    <xf numFmtId="43" fontId="26" fillId="0" borderId="0" xfId="1" applyFont="1"/>
    <xf numFmtId="9" fontId="18" fillId="5" borderId="0" xfId="4" applyFont="1" applyFill="1"/>
    <xf numFmtId="9" fontId="18" fillId="0" borderId="0" xfId="4" applyFont="1"/>
    <xf numFmtId="169" fontId="0" fillId="24" borderId="1" xfId="0" applyNumberFormat="1" applyFill="1" applyBorder="1" applyAlignment="1">
      <alignment horizontal="right"/>
    </xf>
    <xf numFmtId="9" fontId="18" fillId="0" borderId="25" xfId="4" applyFont="1" applyBorder="1"/>
    <xf numFmtId="2" fontId="18" fillId="0" borderId="0" xfId="4" applyNumberFormat="1" applyFont="1" applyBorder="1"/>
    <xf numFmtId="9" fontId="0" fillId="0" borderId="0" xfId="4" applyFont="1"/>
    <xf numFmtId="9" fontId="0" fillId="0" borderId="1" xfId="4" applyFont="1" applyBorder="1" applyAlignment="1">
      <alignment horizontal="center" vertical="center"/>
    </xf>
    <xf numFmtId="172" fontId="0" fillId="0" borderId="70" xfId="0" applyNumberFormat="1" applyBorder="1" applyAlignment="1">
      <alignment horizontal="center" vertical="center"/>
    </xf>
    <xf numFmtId="0" fontId="29" fillId="0" borderId="52" xfId="0" applyFont="1" applyBorder="1" applyAlignment="1">
      <alignment horizontal="center"/>
    </xf>
    <xf numFmtId="0" fontId="0" fillId="0" borderId="1" xfId="0" applyBorder="1" applyAlignment="1"/>
    <xf numFmtId="181" fontId="0" fillId="3" borderId="1" xfId="0" applyNumberFormat="1" applyFill="1" applyBorder="1"/>
    <xf numFmtId="0" fontId="0" fillId="27" borderId="1" xfId="0" applyFill="1" applyBorder="1" applyAlignment="1" applyProtection="1">
      <alignment horizontal="center" wrapText="1"/>
      <protection locked="0"/>
    </xf>
    <xf numFmtId="0" fontId="0" fillId="27" borderId="2" xfId="0" applyFill="1" applyBorder="1" applyAlignment="1" applyProtection="1">
      <alignment horizontal="center" wrapText="1"/>
      <protection locked="0"/>
    </xf>
    <xf numFmtId="1" fontId="0" fillId="27" borderId="2" xfId="0" applyNumberFormat="1" applyFill="1" applyBorder="1" applyAlignment="1" applyProtection="1">
      <alignment horizontal="center" wrapText="1"/>
      <protection locked="0"/>
    </xf>
    <xf numFmtId="0" fontId="0" fillId="27" borderId="12" xfId="0" applyFill="1" applyBorder="1" applyAlignment="1">
      <alignment horizontal="center"/>
    </xf>
    <xf numFmtId="2" fontId="18" fillId="27" borderId="12" xfId="1" applyNumberFormat="1" applyFont="1" applyFill="1" applyBorder="1" applyAlignment="1">
      <alignment horizontal="center"/>
    </xf>
    <xf numFmtId="0" fontId="23" fillId="27" borderId="12" xfId="0" applyFont="1" applyFill="1" applyBorder="1" applyAlignment="1">
      <alignment horizontal="center"/>
    </xf>
    <xf numFmtId="180" fontId="0" fillId="0" borderId="1" xfId="0" applyNumberFormat="1" applyBorder="1" applyAlignment="1"/>
    <xf numFmtId="176" fontId="18" fillId="25" borderId="1" xfId="4" applyNumberFormat="1" applyFont="1" applyFill="1" applyBorder="1"/>
    <xf numFmtId="9" fontId="0" fillId="0" borderId="0" xfId="4" applyNumberFormat="1" applyFont="1"/>
    <xf numFmtId="164" fontId="0" fillId="0" borderId="1" xfId="0" applyNumberFormat="1" applyBorder="1" applyAlignment="1">
      <alignment wrapText="1"/>
    </xf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left" vertical="center" wrapText="1"/>
    </xf>
    <xf numFmtId="9" fontId="0" fillId="0" borderId="1" xfId="4" applyFont="1" applyBorder="1" applyAlignment="1">
      <alignment horizontal="center"/>
    </xf>
    <xf numFmtId="9" fontId="0" fillId="0" borderId="1" xfId="0" applyNumberFormat="1" applyBorder="1" applyAlignment="1">
      <alignment wrapText="1"/>
    </xf>
    <xf numFmtId="0" fontId="0" fillId="0" borderId="1" xfId="4" applyNumberFormat="1" applyFont="1" applyBorder="1" applyAlignment="1">
      <alignment horizontal="center"/>
    </xf>
    <xf numFmtId="41" fontId="0" fillId="0" borderId="1" xfId="0" applyNumberFormat="1" applyBorder="1" applyAlignment="1">
      <alignment wrapText="1"/>
    </xf>
    <xf numFmtId="10" fontId="24" fillId="0" borderId="1" xfId="4" applyNumberFormat="1" applyFont="1" applyBorder="1" applyAlignment="1"/>
    <xf numFmtId="41" fontId="24" fillId="0" borderId="1" xfId="0" applyNumberFormat="1" applyFont="1" applyBorder="1" applyAlignment="1"/>
    <xf numFmtId="1" fontId="0" fillId="0" borderId="1" xfId="0" applyNumberFormat="1" applyBorder="1" applyAlignment="1"/>
    <xf numFmtId="10" fontId="18" fillId="0" borderId="0" xfId="4" applyNumberFormat="1" applyFont="1"/>
    <xf numFmtId="0" fontId="0" fillId="0" borderId="1" xfId="0" applyNumberFormat="1" applyBorder="1"/>
    <xf numFmtId="169" fontId="0" fillId="0" borderId="0" xfId="0" applyNumberFormat="1"/>
    <xf numFmtId="1" fontId="0" fillId="0" borderId="1" xfId="0" applyNumberFormat="1" applyBorder="1" applyAlignment="1">
      <alignment horizontal="center" vertical="center"/>
    </xf>
    <xf numFmtId="172" fontId="0" fillId="0" borderId="1" xfId="0" applyNumberFormat="1" applyBorder="1" applyAlignment="1"/>
    <xf numFmtId="10" fontId="18" fillId="0" borderId="1" xfId="4" applyNumberFormat="1" applyFont="1" applyBorder="1" applyAlignment="1">
      <alignment horizontal="left" wrapText="1"/>
    </xf>
    <xf numFmtId="1" fontId="18" fillId="0" borderId="1" xfId="4" applyNumberFormat="1" applyFont="1" applyBorder="1" applyAlignment="1">
      <alignment horizontal="left" wrapText="1"/>
    </xf>
    <xf numFmtId="0" fontId="0" fillId="0" borderId="43" xfId="0" applyBorder="1" applyAlignment="1">
      <alignment horizontal="center" vertical="center"/>
    </xf>
    <xf numFmtId="0" fontId="18" fillId="2" borderId="7" xfId="1" applyNumberFormat="1" applyFont="1" applyFill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41" fontId="0" fillId="8" borderId="32" xfId="0" applyNumberFormat="1" applyFill="1" applyBorder="1"/>
    <xf numFmtId="41" fontId="0" fillId="0" borderId="32" xfId="0" applyNumberFormat="1" applyBorder="1"/>
    <xf numFmtId="167" fontId="18" fillId="2" borderId="1" xfId="1" applyNumberFormat="1" applyFont="1" applyFill="1" applyBorder="1"/>
    <xf numFmtId="164" fontId="0" fillId="0" borderId="0" xfId="0" applyNumberFormat="1"/>
    <xf numFmtId="43" fontId="0" fillId="0" borderId="1" xfId="1" applyFont="1" applyBorder="1" applyAlignment="1">
      <alignment horizontal="center" vertical="center"/>
    </xf>
    <xf numFmtId="0" fontId="24" fillId="0" borderId="0" xfId="0" applyFont="1" applyBorder="1" applyAlignment="1">
      <alignment horizontal="center" vertical="center" wrapText="1"/>
    </xf>
    <xf numFmtId="17" fontId="24" fillId="0" borderId="0" xfId="0" applyNumberFormat="1" applyFont="1" applyBorder="1" applyAlignment="1">
      <alignment horizontal="center" vertical="center" wrapText="1"/>
    </xf>
    <xf numFmtId="0" fontId="24" fillId="0" borderId="0" xfId="0" applyFont="1" applyBorder="1"/>
    <xf numFmtId="0" fontId="0" fillId="0" borderId="0" xfId="0" applyBorder="1" applyAlignment="1">
      <alignment horizontal="center"/>
    </xf>
    <xf numFmtId="0" fontId="25" fillId="0" borderId="0" xfId="0" applyFont="1" applyBorder="1" applyAlignment="1">
      <alignment horizontal="center" vertical="center" wrapText="1"/>
    </xf>
    <xf numFmtId="43" fontId="18" fillId="0" borderId="0" xfId="1" applyFont="1" applyBorder="1"/>
    <xf numFmtId="10" fontId="0" fillId="0" borderId="0" xfId="0" applyNumberFormat="1" applyBorder="1"/>
    <xf numFmtId="167" fontId="0" fillId="0" borderId="0" xfId="0" applyNumberFormat="1" applyBorder="1"/>
    <xf numFmtId="43" fontId="0" fillId="0" borderId="0" xfId="0" applyNumberFormat="1" applyBorder="1"/>
    <xf numFmtId="9" fontId="0" fillId="0" borderId="0" xfId="0" applyNumberFormat="1" applyBorder="1" applyAlignment="1">
      <alignment horizontal="center"/>
    </xf>
    <xf numFmtId="43" fontId="0" fillId="0" borderId="0" xfId="0" applyNumberFormat="1" applyBorder="1" applyAlignment="1"/>
    <xf numFmtId="9" fontId="18" fillId="0" borderId="0" xfId="4" applyFont="1" applyBorder="1" applyAlignment="1">
      <alignment horizontal="center" vertical="center"/>
    </xf>
    <xf numFmtId="43" fontId="18" fillId="0" borderId="0" xfId="1" applyFont="1" applyBorder="1" applyAlignment="1">
      <alignment horizontal="center" vertical="center"/>
    </xf>
    <xf numFmtId="0" fontId="18" fillId="0" borderId="0" xfId="4" applyNumberFormat="1" applyFont="1" applyBorder="1" applyAlignment="1">
      <alignment horizontal="center" vertical="center"/>
    </xf>
    <xf numFmtId="0" fontId="0" fillId="0" borderId="0" xfId="0" applyBorder="1" applyAlignment="1">
      <alignment horizontal="right"/>
    </xf>
    <xf numFmtId="43" fontId="24" fillId="0" borderId="0" xfId="0" applyNumberFormat="1" applyFont="1" applyBorder="1"/>
    <xf numFmtId="43" fontId="18" fillId="0" borderId="0" xfId="1" applyFont="1" applyBorder="1" applyAlignment="1">
      <alignment horizontal="right"/>
    </xf>
    <xf numFmtId="0" fontId="24" fillId="0" borderId="0" xfId="1" applyNumberFormat="1" applyFont="1" applyBorder="1"/>
    <xf numFmtId="44" fontId="0" fillId="0" borderId="0" xfId="0" applyNumberFormat="1" applyBorder="1"/>
    <xf numFmtId="0" fontId="29" fillId="24" borderId="0" xfId="1" applyNumberFormat="1" applyFont="1" applyFill="1" applyBorder="1"/>
    <xf numFmtId="1" fontId="0" fillId="0" borderId="3" xfId="0" applyNumberFormat="1" applyBorder="1"/>
    <xf numFmtId="1" fontId="0" fillId="0" borderId="1" xfId="0" applyNumberFormat="1" applyFont="1" applyBorder="1" applyAlignment="1">
      <alignment wrapText="1"/>
    </xf>
    <xf numFmtId="9" fontId="0" fillId="14" borderId="1" xfId="4" applyFont="1" applyFill="1" applyBorder="1"/>
    <xf numFmtId="43" fontId="0" fillId="0" borderId="1" xfId="0" applyNumberFormat="1" applyBorder="1" applyAlignment="1">
      <alignment horizontal="center" vertical="center"/>
    </xf>
    <xf numFmtId="2" fontId="0" fillId="0" borderId="1" xfId="4" applyNumberFormat="1" applyFont="1" applyBorder="1" applyAlignment="1">
      <alignment horizontal="center" vertical="center"/>
    </xf>
    <xf numFmtId="0" fontId="0" fillId="0" borderId="7" xfId="0" applyNumberFormat="1" applyBorder="1" applyAlignment="1">
      <alignment horizontal="center" vertical="center"/>
    </xf>
    <xf numFmtId="0" fontId="0" fillId="0" borderId="43" xfId="0" applyNumberFormat="1" applyBorder="1" applyAlignment="1">
      <alignment horizontal="center" vertical="center"/>
    </xf>
    <xf numFmtId="169" fontId="0" fillId="0" borderId="33" xfId="0" applyNumberFormat="1" applyBorder="1" applyAlignment="1">
      <alignment horizontal="center" vertical="center"/>
    </xf>
    <xf numFmtId="0" fontId="0" fillId="0" borderId="71" xfId="0" applyBorder="1"/>
    <xf numFmtId="43" fontId="24" fillId="0" borderId="71" xfId="0" applyNumberFormat="1" applyFont="1" applyBorder="1"/>
    <xf numFmtId="0" fontId="0" fillId="0" borderId="72" xfId="0" applyBorder="1"/>
    <xf numFmtId="0" fontId="18" fillId="0" borderId="15" xfId="4" applyNumberFormat="1" applyFont="1" applyBorder="1" applyAlignment="1">
      <alignment horizontal="center" vertical="center"/>
    </xf>
    <xf numFmtId="43" fontId="18" fillId="0" borderId="33" xfId="1" applyFont="1" applyBorder="1" applyAlignment="1">
      <alignment horizontal="center" vertical="center"/>
    </xf>
    <xf numFmtId="0" fontId="18" fillId="0" borderId="34" xfId="4" applyNumberFormat="1" applyFont="1" applyBorder="1" applyAlignment="1">
      <alignment horizontal="center" vertical="center"/>
    </xf>
    <xf numFmtId="44" fontId="0" fillId="3" borderId="1" xfId="2" applyFont="1" applyFill="1" applyBorder="1"/>
    <xf numFmtId="180" fontId="0" fillId="0" borderId="15" xfId="0" applyNumberFormat="1" applyBorder="1" applyAlignment="1">
      <alignment horizontal="right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43" xfId="0" applyBorder="1" applyAlignment="1">
      <alignment vertical="center"/>
    </xf>
    <xf numFmtId="0" fontId="29" fillId="0" borderId="21" xfId="0" applyFont="1" applyBorder="1" applyAlignment="1">
      <alignment vertical="center" wrapText="1"/>
    </xf>
    <xf numFmtId="0" fontId="23" fillId="14" borderId="1" xfId="0" applyFont="1" applyFill="1" applyBorder="1" applyAlignment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1" xfId="0" applyBorder="1" applyAlignment="1">
      <alignment horizontal="right" vertical="center"/>
    </xf>
    <xf numFmtId="0" fontId="0" fillId="0" borderId="32" xfId="0" applyBorder="1" applyAlignment="1">
      <alignment horizontal="right" vertical="center"/>
    </xf>
    <xf numFmtId="0" fontId="0" fillId="0" borderId="1" xfId="0" applyBorder="1" applyAlignment="1">
      <alignment horizontal="right" vertical="center"/>
    </xf>
    <xf numFmtId="0" fontId="0" fillId="0" borderId="43" xfId="0" applyBorder="1" applyAlignment="1">
      <alignment horizontal="right" vertical="center"/>
    </xf>
    <xf numFmtId="0" fontId="0" fillId="0" borderId="43" xfId="0" applyBorder="1" applyAlignment="1">
      <alignment horizontal="right"/>
    </xf>
    <xf numFmtId="0" fontId="0" fillId="0" borderId="1" xfId="0" applyBorder="1" applyAlignment="1">
      <alignment horizontal="center" vertical="center"/>
    </xf>
    <xf numFmtId="2" fontId="0" fillId="0" borderId="43" xfId="0" applyNumberFormat="1" applyBorder="1" applyAlignment="1">
      <alignment horizontal="center" vertical="center"/>
    </xf>
    <xf numFmtId="9" fontId="0" fillId="0" borderId="43" xfId="4" applyFont="1" applyBorder="1" applyAlignment="1">
      <alignment horizontal="center" vertical="center"/>
    </xf>
    <xf numFmtId="10" fontId="0" fillId="0" borderId="43" xfId="4" applyNumberFormat="1" applyFont="1" applyBorder="1" applyAlignment="1">
      <alignment horizontal="center" vertical="center"/>
    </xf>
    <xf numFmtId="173" fontId="18" fillId="0" borderId="1" xfId="4" applyNumberFormat="1" applyFont="1" applyBorder="1" applyAlignment="1">
      <alignment horizontal="left" wrapText="1"/>
    </xf>
    <xf numFmtId="173" fontId="0" fillId="2" borderId="7" xfId="0" applyNumberFormat="1" applyFill="1" applyBorder="1" applyAlignment="1">
      <alignment horizontal="left"/>
    </xf>
    <xf numFmtId="0" fontId="0" fillId="0" borderId="1" xfId="0" applyBorder="1" applyAlignment="1">
      <alignment horizontal="center" vertical="center"/>
    </xf>
    <xf numFmtId="0" fontId="0" fillId="5" borderId="49" xfId="0" applyFill="1" applyBorder="1" applyAlignment="1">
      <alignment horizontal="center"/>
    </xf>
    <xf numFmtId="0" fontId="0" fillId="5" borderId="50" xfId="0" applyFill="1" applyBorder="1" applyAlignment="1">
      <alignment horizontal="center"/>
    </xf>
    <xf numFmtId="0" fontId="0" fillId="26" borderId="20" xfId="0" applyFill="1" applyBorder="1" applyAlignment="1">
      <alignment horizontal="center" wrapText="1"/>
    </xf>
    <xf numFmtId="0" fontId="0" fillId="26" borderId="21" xfId="0" applyFill="1" applyBorder="1" applyAlignment="1">
      <alignment horizontal="center" wrapText="1"/>
    </xf>
    <xf numFmtId="0" fontId="0" fillId="26" borderId="16" xfId="0" applyFill="1" applyBorder="1" applyAlignment="1">
      <alignment horizontal="center" wrapText="1"/>
    </xf>
    <xf numFmtId="0" fontId="0" fillId="6" borderId="20" xfId="0" applyFill="1" applyBorder="1" applyAlignment="1">
      <alignment horizontal="center" wrapText="1"/>
    </xf>
    <xf numFmtId="0" fontId="0" fillId="6" borderId="21" xfId="0" applyFill="1" applyBorder="1" applyAlignment="1">
      <alignment horizontal="center" wrapText="1"/>
    </xf>
    <xf numFmtId="0" fontId="0" fillId="6" borderId="16" xfId="0" applyFill="1" applyBorder="1" applyAlignment="1">
      <alignment horizontal="center" wrapText="1"/>
    </xf>
    <xf numFmtId="0" fontId="0" fillId="26" borderId="20" xfId="0" applyFill="1" applyBorder="1" applyAlignment="1">
      <alignment horizontal="center" vertical="center" wrapText="1"/>
    </xf>
    <xf numFmtId="0" fontId="0" fillId="26" borderId="21" xfId="0" applyFill="1" applyBorder="1" applyAlignment="1">
      <alignment horizontal="center" vertical="center" wrapText="1"/>
    </xf>
    <xf numFmtId="0" fontId="0" fillId="26" borderId="16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16" xfId="0" applyFill="1" applyBorder="1" applyAlignment="1">
      <alignment horizontal="center" vertical="center" wrapText="1"/>
    </xf>
    <xf numFmtId="0" fontId="0" fillId="3" borderId="20" xfId="0" applyFill="1" applyBorder="1" applyAlignment="1" applyProtection="1">
      <alignment horizontal="center" vertical="center" wrapText="1"/>
      <protection locked="0"/>
    </xf>
    <xf numFmtId="0" fontId="0" fillId="3" borderId="21" xfId="0" applyFill="1" applyBorder="1" applyAlignment="1" applyProtection="1">
      <alignment horizontal="center" vertical="center" wrapText="1"/>
      <protection locked="0"/>
    </xf>
    <xf numFmtId="0" fontId="0" fillId="3" borderId="16" xfId="0" applyFill="1" applyBorder="1" applyAlignment="1" applyProtection="1">
      <alignment horizontal="center" vertical="center" wrapText="1"/>
      <protection locked="0"/>
    </xf>
    <xf numFmtId="0" fontId="0" fillId="0" borderId="20" xfId="0" applyBorder="1" applyAlignment="1" applyProtection="1">
      <alignment horizontal="center" wrapText="1"/>
      <protection locked="0"/>
    </xf>
    <xf numFmtId="0" fontId="0" fillId="0" borderId="21" xfId="0" applyBorder="1" applyAlignment="1" applyProtection="1">
      <alignment horizontal="center" wrapText="1"/>
      <protection locked="0"/>
    </xf>
    <xf numFmtId="0" fontId="0" fillId="0" borderId="16" xfId="0" applyBorder="1" applyAlignment="1" applyProtection="1">
      <alignment horizontal="center" wrapText="1"/>
      <protection locked="0"/>
    </xf>
    <xf numFmtId="0" fontId="33" fillId="0" borderId="51" xfId="0" applyFont="1" applyBorder="1" applyAlignment="1">
      <alignment horizontal="center" vertical="center"/>
    </xf>
    <xf numFmtId="0" fontId="33" fillId="0" borderId="52" xfId="0" applyFont="1" applyBorder="1" applyAlignment="1">
      <alignment horizontal="center" vertical="center"/>
    </xf>
    <xf numFmtId="0" fontId="33" fillId="0" borderId="42" xfId="0" applyFont="1" applyBorder="1" applyAlignment="1">
      <alignment horizontal="center" vertical="center"/>
    </xf>
    <xf numFmtId="0" fontId="33" fillId="0" borderId="40" xfId="0" applyFont="1" applyBorder="1" applyAlignment="1">
      <alignment horizontal="center" vertical="center"/>
    </xf>
    <xf numFmtId="0" fontId="33" fillId="0" borderId="38" xfId="0" applyFont="1" applyBorder="1" applyAlignment="1">
      <alignment horizontal="center" vertical="center"/>
    </xf>
    <xf numFmtId="0" fontId="33" fillId="0" borderId="53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3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0" fillId="2" borderId="1" xfId="0" applyFont="1" applyFill="1" applyBorder="1" applyAlignment="1">
      <alignment horizontal="center" vertical="center"/>
    </xf>
    <xf numFmtId="0" fontId="20" fillId="2" borderId="23" xfId="0" applyFont="1" applyFill="1" applyBorder="1" applyAlignment="1">
      <alignment horizontal="center" vertical="center"/>
    </xf>
    <xf numFmtId="0" fontId="20" fillId="2" borderId="7" xfId="0" applyFont="1" applyFill="1" applyBorder="1" applyAlignment="1">
      <alignment horizontal="center" vertical="center"/>
    </xf>
    <xf numFmtId="0" fontId="20" fillId="28" borderId="23" xfId="0" applyFont="1" applyFill="1" applyBorder="1" applyAlignment="1">
      <alignment horizontal="center" vertical="center"/>
    </xf>
    <xf numFmtId="0" fontId="20" fillId="28" borderId="7" xfId="0" applyFont="1" applyFill="1" applyBorder="1" applyAlignment="1">
      <alignment horizontal="center" vertical="center"/>
    </xf>
    <xf numFmtId="165" fontId="20" fillId="28" borderId="23" xfId="0" applyNumberFormat="1" applyFont="1" applyFill="1" applyBorder="1" applyAlignment="1">
      <alignment horizontal="center" vertical="center"/>
    </xf>
    <xf numFmtId="165" fontId="20" fillId="28" borderId="7" xfId="0" applyNumberFormat="1" applyFont="1" applyFill="1" applyBorder="1" applyAlignment="1">
      <alignment horizontal="center" vertical="center"/>
    </xf>
    <xf numFmtId="0" fontId="20" fillId="28" borderId="1" xfId="0" applyFont="1" applyFill="1" applyBorder="1" applyAlignment="1">
      <alignment horizontal="center" vertical="center"/>
    </xf>
    <xf numFmtId="0" fontId="20" fillId="29" borderId="1" xfId="0" applyFont="1" applyFill="1" applyBorder="1" applyAlignment="1">
      <alignment horizontal="center" vertical="center"/>
    </xf>
    <xf numFmtId="0" fontId="20" fillId="29" borderId="1" xfId="0" applyFont="1" applyFill="1" applyBorder="1" applyAlignment="1">
      <alignment vertical="center"/>
    </xf>
    <xf numFmtId="0" fontId="0" fillId="0" borderId="0" xfId="0" applyAlignment="1">
      <alignment horizontal="center"/>
    </xf>
    <xf numFmtId="0" fontId="24" fillId="0" borderId="48" xfId="0" applyFont="1" applyBorder="1" applyAlignment="1">
      <alignment horizontal="center" wrapText="1"/>
    </xf>
    <xf numFmtId="0" fontId="24" fillId="0" borderId="2" xfId="0" applyFont="1" applyBorder="1" applyAlignment="1">
      <alignment horizontal="center" wrapText="1"/>
    </xf>
    <xf numFmtId="0" fontId="24" fillId="0" borderId="12" xfId="0" applyFont="1" applyBorder="1" applyAlignment="1">
      <alignment horizontal="center" wrapText="1"/>
    </xf>
    <xf numFmtId="0" fontId="24" fillId="0" borderId="35" xfId="0" applyFont="1" applyBorder="1" applyAlignment="1">
      <alignment horizontal="center" wrapText="1"/>
    </xf>
    <xf numFmtId="0" fontId="24" fillId="0" borderId="36" xfId="0" applyFont="1" applyBorder="1" applyAlignment="1">
      <alignment horizontal="center"/>
    </xf>
    <xf numFmtId="0" fontId="24" fillId="0" borderId="26" xfId="0" applyFont="1" applyBorder="1" applyAlignment="1">
      <alignment horizontal="center"/>
    </xf>
    <xf numFmtId="0" fontId="24" fillId="0" borderId="24" xfId="0" applyFont="1" applyBorder="1" applyAlignment="1">
      <alignment horizontal="center"/>
    </xf>
    <xf numFmtId="0" fontId="24" fillId="0" borderId="54" xfId="0" applyFont="1" applyBorder="1" applyAlignment="1">
      <alignment horizontal="center"/>
    </xf>
    <xf numFmtId="0" fontId="24" fillId="0" borderId="22" xfId="0" applyFont="1" applyBorder="1" applyAlignment="1">
      <alignment horizontal="center"/>
    </xf>
    <xf numFmtId="0" fontId="24" fillId="0" borderId="14" xfId="0" applyFont="1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56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24" fillId="0" borderId="48" xfId="0" applyFont="1" applyBorder="1" applyAlignment="1">
      <alignment horizontal="center" vertical="center" wrapText="1"/>
    </xf>
    <xf numFmtId="0" fontId="24" fillId="0" borderId="2" xfId="0" applyFont="1" applyBorder="1" applyAlignment="1">
      <alignment horizontal="center" vertical="center" wrapText="1"/>
    </xf>
    <xf numFmtId="0" fontId="24" fillId="0" borderId="12" xfId="0" applyFont="1" applyBorder="1" applyAlignment="1">
      <alignment horizontal="center" vertical="center"/>
    </xf>
    <xf numFmtId="0" fontId="24" fillId="0" borderId="35" xfId="0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24" fillId="0" borderId="0" xfId="0" applyFont="1" applyBorder="1" applyAlignment="1">
      <alignment horizontal="center" vertical="center" wrapText="1"/>
    </xf>
    <xf numFmtId="0" fontId="24" fillId="0" borderId="0" xfId="0" applyFont="1" applyBorder="1" applyAlignment="1">
      <alignment horizontal="center" vertical="center"/>
    </xf>
    <xf numFmtId="0" fontId="29" fillId="0" borderId="4" xfId="0" applyFont="1" applyBorder="1" applyAlignment="1">
      <alignment horizontal="center" vertical="center"/>
    </xf>
    <xf numFmtId="0" fontId="29" fillId="0" borderId="3" xfId="0" applyFont="1" applyBorder="1" applyAlignment="1">
      <alignment horizontal="center" vertical="center"/>
    </xf>
    <xf numFmtId="0" fontId="29" fillId="0" borderId="41" xfId="0" applyFont="1" applyBorder="1" applyAlignment="1">
      <alignment horizontal="center" vertical="center"/>
    </xf>
    <xf numFmtId="180" fontId="29" fillId="0" borderId="4" xfId="0" applyNumberFormat="1" applyFont="1" applyBorder="1" applyAlignment="1">
      <alignment horizontal="center" vertical="center"/>
    </xf>
    <xf numFmtId="180" fontId="29" fillId="0" borderId="3" xfId="0" applyNumberFormat="1" applyFont="1" applyBorder="1" applyAlignment="1">
      <alignment horizontal="center" vertical="center"/>
    </xf>
    <xf numFmtId="180" fontId="29" fillId="0" borderId="41" xfId="0" applyNumberFormat="1" applyFont="1" applyBorder="1" applyAlignment="1">
      <alignment horizontal="center" vertical="center"/>
    </xf>
    <xf numFmtId="0" fontId="29" fillId="0" borderId="4" xfId="0" applyFont="1" applyBorder="1" applyAlignment="1">
      <alignment horizontal="center" vertical="top" wrapText="1"/>
    </xf>
    <xf numFmtId="0" fontId="29" fillId="0" borderId="3" xfId="0" applyFont="1" applyBorder="1" applyAlignment="1">
      <alignment horizontal="center" vertical="top" wrapText="1"/>
    </xf>
    <xf numFmtId="0" fontId="29" fillId="0" borderId="41" xfId="0" applyFont="1" applyBorder="1" applyAlignment="1">
      <alignment horizontal="center" vertical="top" wrapText="1"/>
    </xf>
    <xf numFmtId="0" fontId="29" fillId="0" borderId="57" xfId="0" applyFont="1" applyBorder="1" applyAlignment="1">
      <alignment vertical="center" wrapText="1"/>
    </xf>
    <xf numFmtId="0" fontId="29" fillId="0" borderId="58" xfId="0" applyFont="1" applyBorder="1" applyAlignment="1">
      <alignment vertical="center" wrapText="1"/>
    </xf>
    <xf numFmtId="0" fontId="29" fillId="0" borderId="59" xfId="0" applyFont="1" applyBorder="1" applyAlignment="1">
      <alignment vertical="center" wrapText="1"/>
    </xf>
    <xf numFmtId="0" fontId="29" fillId="0" borderId="20" xfId="0" applyFont="1" applyBorder="1" applyAlignment="1">
      <alignment horizontal="center"/>
    </xf>
    <xf numFmtId="0" fontId="29" fillId="0" borderId="21" xfId="0" applyFont="1" applyBorder="1" applyAlignment="1">
      <alignment horizontal="center"/>
    </xf>
    <xf numFmtId="0" fontId="29" fillId="0" borderId="60" xfId="0" applyFont="1" applyBorder="1" applyAlignment="1">
      <alignment horizontal="center"/>
    </xf>
    <xf numFmtId="0" fontId="29" fillId="0" borderId="16" xfId="0" applyFont="1" applyBorder="1" applyAlignment="1">
      <alignment horizontal="center"/>
    </xf>
    <xf numFmtId="0" fontId="14" fillId="0" borderId="0" xfId="0" applyFont="1" applyAlignment="1">
      <alignment horizontal="left"/>
    </xf>
    <xf numFmtId="0" fontId="5" fillId="0" borderId="20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169" fontId="10" fillId="0" borderId="4" xfId="0" applyNumberFormat="1" applyFont="1" applyBorder="1" applyAlignment="1">
      <alignment horizontal="center" wrapText="1"/>
    </xf>
    <xf numFmtId="169" fontId="10" fillId="0" borderId="41" xfId="0" applyNumberFormat="1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2" fontId="4" fillId="0" borderId="0" xfId="0" applyNumberFormat="1" applyFont="1" applyAlignment="1">
      <alignment horizontal="center" vertical="center" wrapText="1"/>
    </xf>
    <xf numFmtId="2" fontId="4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/>
    </xf>
    <xf numFmtId="0" fontId="24" fillId="28" borderId="1" xfId="0" applyFont="1" applyFill="1" applyBorder="1" applyAlignment="1">
      <alignment horizontal="center" wrapText="1"/>
    </xf>
  </cellXfs>
  <cellStyles count="5">
    <cellStyle name="Comma" xfId="1" builtinId="3"/>
    <cellStyle name="Currency" xfId="2" builtinId="4"/>
    <cellStyle name="Hyperlink" xfId="3" builtinId="8"/>
    <cellStyle name="Normal" xfId="0" builtinId="0"/>
    <cellStyle name="Percent" xfId="4" builtinId="5"/>
  </cellStyles>
  <dxfs count="8"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8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7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29" Type="http://schemas.openxmlformats.org/officeDocument/2006/relationships/externalLink" Target="externalLinks/externalLink1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6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5.xml"/><Relationship Id="rId28" Type="http://schemas.openxmlformats.org/officeDocument/2006/relationships/externalLink" Target="externalLinks/externalLink10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31" Type="http://schemas.openxmlformats.org/officeDocument/2006/relationships/externalLink" Target="externalLinks/externalLink1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4.xml"/><Relationship Id="rId27" Type="http://schemas.openxmlformats.org/officeDocument/2006/relationships/externalLink" Target="externalLinks/externalLink9.xml"/><Relationship Id="rId30" Type="http://schemas.openxmlformats.org/officeDocument/2006/relationships/externalLink" Target="externalLinks/externalLink12.xml"/><Relationship Id="rId35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ELEC!$N$1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ELEC!$N$2:$N$30</c:f>
              <c:numCache>
                <c:formatCode>0.00</c:formatCode>
                <c:ptCount val="29"/>
                <c:pt idx="0" formatCode="0">
                  <c:v>6347</c:v>
                </c:pt>
                <c:pt idx="1">
                  <c:v>6404.3999999999069</c:v>
                </c:pt>
                <c:pt idx="2">
                  <c:v>6622</c:v>
                </c:pt>
                <c:pt idx="3">
                  <c:v>6753</c:v>
                </c:pt>
                <c:pt idx="4">
                  <c:v>6587</c:v>
                </c:pt>
                <c:pt idx="5">
                  <c:v>5932</c:v>
                </c:pt>
                <c:pt idx="6">
                  <c:v>5977</c:v>
                </c:pt>
                <c:pt idx="7">
                  <c:v>6551.2000000001863</c:v>
                </c:pt>
                <c:pt idx="8">
                  <c:v>6289.7999999998137</c:v>
                </c:pt>
                <c:pt idx="9">
                  <c:v>7008</c:v>
                </c:pt>
                <c:pt idx="10">
                  <c:v>7276</c:v>
                </c:pt>
                <c:pt idx="11">
                  <c:v>7236</c:v>
                </c:pt>
                <c:pt idx="12">
                  <c:v>5643</c:v>
                </c:pt>
                <c:pt idx="13">
                  <c:v>6507</c:v>
                </c:pt>
                <c:pt idx="14">
                  <c:v>7439</c:v>
                </c:pt>
                <c:pt idx="15">
                  <c:v>7469</c:v>
                </c:pt>
                <c:pt idx="16">
                  <c:v>5934</c:v>
                </c:pt>
                <c:pt idx="17">
                  <c:v>7520</c:v>
                </c:pt>
                <c:pt idx="18">
                  <c:v>7192</c:v>
                </c:pt>
                <c:pt idx="19">
                  <c:v>7667</c:v>
                </c:pt>
                <c:pt idx="20">
                  <c:v>6433</c:v>
                </c:pt>
                <c:pt idx="21">
                  <c:v>6161</c:v>
                </c:pt>
                <c:pt idx="22">
                  <c:v>6895</c:v>
                </c:pt>
                <c:pt idx="23">
                  <c:v>7942</c:v>
                </c:pt>
                <c:pt idx="24">
                  <c:v>8471</c:v>
                </c:pt>
                <c:pt idx="25">
                  <c:v>8788</c:v>
                </c:pt>
                <c:pt idx="26">
                  <c:v>9599</c:v>
                </c:pt>
                <c:pt idx="27">
                  <c:v>7813</c:v>
                </c:pt>
                <c:pt idx="28">
                  <c:v>7721</c:v>
                </c:pt>
              </c:numCache>
            </c:numRef>
          </c:val>
        </c:ser>
        <c:marker val="1"/>
        <c:axId val="136726016"/>
        <c:axId val="136727552"/>
      </c:lineChart>
      <c:catAx>
        <c:axId val="1367260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6727552"/>
        <c:crosses val="autoZero"/>
        <c:auto val="1"/>
        <c:lblAlgn val="ctr"/>
        <c:lblOffset val="100"/>
      </c:catAx>
      <c:valAx>
        <c:axId val="136727552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67260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47591903772769"/>
          <c:y val="0.62975887529635965"/>
          <c:w val="0.11899800868449698"/>
          <c:h val="4.4982698961950035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log'!$C$3:$C$31</c:f>
              <c:numCache>
                <c:formatCode>General</c:formatCode>
                <c:ptCount val="29"/>
                <c:pt idx="0">
                  <c:v>2345</c:v>
                </c:pt>
                <c:pt idx="1">
                  <c:v>2500</c:v>
                </c:pt>
                <c:pt idx="2">
                  <c:v>2228</c:v>
                </c:pt>
                <c:pt idx="3">
                  <c:v>2087</c:v>
                </c:pt>
                <c:pt idx="4">
                  <c:v>2155</c:v>
                </c:pt>
                <c:pt idx="5">
                  <c:v>2146</c:v>
                </c:pt>
                <c:pt idx="6">
                  <c:v>2329</c:v>
                </c:pt>
                <c:pt idx="7">
                  <c:v>2409</c:v>
                </c:pt>
                <c:pt idx="8">
                  <c:v>2283</c:v>
                </c:pt>
                <c:pt idx="9">
                  <c:v>1959</c:v>
                </c:pt>
                <c:pt idx="10">
                  <c:v>1574</c:v>
                </c:pt>
                <c:pt idx="11">
                  <c:v>1780</c:v>
                </c:pt>
                <c:pt idx="12">
                  <c:v>1667</c:v>
                </c:pt>
                <c:pt idx="13">
                  <c:v>1808</c:v>
                </c:pt>
                <c:pt idx="14">
                  <c:v>2049</c:v>
                </c:pt>
                <c:pt idx="15">
                  <c:v>1918</c:v>
                </c:pt>
                <c:pt idx="16">
                  <c:v>1967</c:v>
                </c:pt>
                <c:pt idx="17">
                  <c:v>1586</c:v>
                </c:pt>
                <c:pt idx="18">
                  <c:v>1600</c:v>
                </c:pt>
                <c:pt idx="19">
                  <c:v>1609</c:v>
                </c:pt>
                <c:pt idx="20">
                  <c:v>1958</c:v>
                </c:pt>
                <c:pt idx="21">
                  <c:v>1671</c:v>
                </c:pt>
                <c:pt idx="22">
                  <c:v>2030</c:v>
                </c:pt>
                <c:pt idx="23">
                  <c:v>1677</c:v>
                </c:pt>
                <c:pt idx="24">
                  <c:v>1405</c:v>
                </c:pt>
                <c:pt idx="25">
                  <c:v>1697</c:v>
                </c:pt>
                <c:pt idx="26">
                  <c:v>1070</c:v>
                </c:pt>
                <c:pt idx="27">
                  <c:v>1006</c:v>
                </c:pt>
                <c:pt idx="28">
                  <c:v>1184</c:v>
                </c:pt>
              </c:numCache>
            </c:numRef>
          </c:val>
        </c:ser>
        <c:marker val="1"/>
        <c:axId val="136739840"/>
        <c:axId val="136745728"/>
      </c:lineChart>
      <c:catAx>
        <c:axId val="1367398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6745728"/>
        <c:crosses val="autoZero"/>
        <c:auto val="1"/>
        <c:lblAlgn val="ctr"/>
        <c:lblOffset val="100"/>
      </c:catAx>
      <c:valAx>
        <c:axId val="13674572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67398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07531836311914"/>
          <c:y val="0.61111329833770778"/>
          <c:w val="9.6296451832409855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ELEC!$A$1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ELEC!$A$3:$A$30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36769920"/>
        <c:axId val="136771456"/>
      </c:lineChart>
      <c:catAx>
        <c:axId val="1367699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6771456"/>
        <c:crosses val="autoZero"/>
        <c:auto val="1"/>
        <c:lblAlgn val="ctr"/>
        <c:lblOffset val="100"/>
      </c:catAx>
      <c:valAx>
        <c:axId val="136771456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67699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404181800519456"/>
          <c:y val="0.62975887529635965"/>
          <c:w val="7.9124755870162669E-2"/>
          <c:h val="4.4982698961950035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76234708722191202"/>
          <c:y val="0.87969634004082864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ELEC!$B$1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ELEC!$B$3:$B$30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36291840"/>
        <c:axId val="136293376"/>
      </c:lineChart>
      <c:catAx>
        <c:axId val="1362918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6293376"/>
        <c:crosses val="autoZero"/>
        <c:auto val="1"/>
        <c:lblAlgn val="ctr"/>
        <c:lblOffset val="100"/>
      </c:catAx>
      <c:valAx>
        <c:axId val="136293376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62918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593403755066071"/>
          <c:y val="0.60764107611567919"/>
          <c:w val="8.5383502170766998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ELEC!$AG$1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ELEC!$AG$3:$AG$30</c:f>
              <c:numCache>
                <c:formatCode>0.00</c:formatCode>
                <c:ptCount val="28"/>
                <c:pt idx="0">
                  <c:v>198.5</c:v>
                </c:pt>
                <c:pt idx="1">
                  <c:v>128.5</c:v>
                </c:pt>
                <c:pt idx="2">
                  <c:v>229.33333333333334</c:v>
                </c:pt>
                <c:pt idx="3">
                  <c:v>137</c:v>
                </c:pt>
                <c:pt idx="4">
                  <c:v>146.66666666666666</c:v>
                </c:pt>
                <c:pt idx="5">
                  <c:v>187</c:v>
                </c:pt>
                <c:pt idx="6">
                  <c:v>240.5</c:v>
                </c:pt>
                <c:pt idx="7">
                  <c:v>172.66666666666666</c:v>
                </c:pt>
                <c:pt idx="8">
                  <c:v>219</c:v>
                </c:pt>
                <c:pt idx="9">
                  <c:v>157.66666666666666</c:v>
                </c:pt>
                <c:pt idx="10">
                  <c:v>163</c:v>
                </c:pt>
                <c:pt idx="11">
                  <c:v>138.75</c:v>
                </c:pt>
                <c:pt idx="12">
                  <c:v>142.33333333333334</c:v>
                </c:pt>
                <c:pt idx="13">
                  <c:v>175.4</c:v>
                </c:pt>
                <c:pt idx="14">
                  <c:v>167.6</c:v>
                </c:pt>
                <c:pt idx="15">
                  <c:v>233.5</c:v>
                </c:pt>
                <c:pt idx="16">
                  <c:v>96.75</c:v>
                </c:pt>
                <c:pt idx="17">
                  <c:v>129.6</c:v>
                </c:pt>
                <c:pt idx="18">
                  <c:v>164</c:v>
                </c:pt>
                <c:pt idx="19">
                  <c:v>141.66666666666666</c:v>
                </c:pt>
                <c:pt idx="20">
                  <c:v>153.5</c:v>
                </c:pt>
                <c:pt idx="21">
                  <c:v>146.66666666666666</c:v>
                </c:pt>
                <c:pt idx="22">
                  <c:v>147.33333333333334</c:v>
                </c:pt>
                <c:pt idx="23">
                  <c:v>140.5</c:v>
                </c:pt>
                <c:pt idx="24">
                  <c:v>142</c:v>
                </c:pt>
                <c:pt idx="25">
                  <c:v>151.71428571428572</c:v>
                </c:pt>
                <c:pt idx="26">
                  <c:v>171</c:v>
                </c:pt>
                <c:pt idx="27">
                  <c:v>136.5</c:v>
                </c:pt>
              </c:numCache>
            </c:numRef>
          </c:val>
        </c:ser>
        <c:marker val="1"/>
        <c:axId val="136305280"/>
        <c:axId val="136978816"/>
      </c:lineChart>
      <c:catAx>
        <c:axId val="1363052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6978816"/>
        <c:crosses val="autoZero"/>
        <c:auto val="1"/>
        <c:lblAlgn val="ctr"/>
        <c:lblOffset val="100"/>
      </c:catAx>
      <c:valAx>
        <c:axId val="136978816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63052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15769944341377"/>
          <c:y val="0.6297590073969368"/>
          <c:w val="0.1317254174397032"/>
          <c:h val="4.4982838683626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-1</c:v>
                </c:pt>
                <c:pt idx="5">
                  <c:v>0.5</c:v>
                </c:pt>
                <c:pt idx="6">
                  <c:v>0.5</c:v>
                </c:pt>
                <c:pt idx="7">
                  <c:v>1</c:v>
                </c:pt>
                <c:pt idx="8">
                  <c:v>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2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-7</c:v>
                </c:pt>
                <c:pt idx="19">
                  <c:v>7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1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39891456"/>
        <c:axId val="139892992"/>
      </c:lineChart>
      <c:catAx>
        <c:axId val="1398914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9892992"/>
        <c:crosses val="autoZero"/>
        <c:auto val="1"/>
        <c:lblAlgn val="ctr"/>
        <c:lblOffset val="100"/>
      </c:catAx>
      <c:valAx>
        <c:axId val="13989299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98914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578748411165552"/>
          <c:y val="0.60416885389326369"/>
          <c:w val="0.1053460770233909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39937664"/>
        <c:axId val="139939200"/>
      </c:lineChart>
      <c:catAx>
        <c:axId val="1399376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9939200"/>
        <c:crosses val="autoZero"/>
        <c:auto val="1"/>
        <c:lblAlgn val="ctr"/>
        <c:lblOffset val="100"/>
      </c:catAx>
      <c:valAx>
        <c:axId val="13993920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99376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188682166941562"/>
          <c:y val="0.60416885389326369"/>
          <c:w val="5.4339623476268833E-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279</c:v>
                </c:pt>
                <c:pt idx="14">
                  <c:v>0</c:v>
                </c:pt>
                <c:pt idx="15">
                  <c:v>167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125</c:v>
                </c:pt>
                <c:pt idx="22">
                  <c:v>0</c:v>
                </c:pt>
                <c:pt idx="23">
                  <c:v>0</c:v>
                </c:pt>
                <c:pt idx="24">
                  <c:v>4</c:v>
                </c:pt>
                <c:pt idx="25">
                  <c:v>203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39958912"/>
        <c:axId val="139972992"/>
      </c:lineChart>
      <c:catAx>
        <c:axId val="1399589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9972992"/>
        <c:crosses val="autoZero"/>
        <c:auto val="1"/>
        <c:lblAlgn val="ctr"/>
        <c:lblOffset val="100"/>
      </c:catAx>
      <c:valAx>
        <c:axId val="13997299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99589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51145077453563"/>
          <c:y val="0.60416885389326369"/>
          <c:w val="0.10784334311152242"/>
          <c:h val="4.5138888888888506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WATER!$AM$3</c:f>
              <c:strCache>
                <c:ptCount val="1"/>
                <c:pt idx="0">
                  <c:v>Avg Outside Temp</c:v>
                </c:pt>
              </c:strCache>
            </c:strRef>
          </c:tx>
          <c:marker>
            <c:symbol val="none"/>
          </c:marker>
          <c:val>
            <c:numRef>
              <c:f>WATER!$AM$6:$AM$33</c:f>
              <c:numCache>
                <c:formatCode>0</c:formatCode>
                <c:ptCount val="28"/>
                <c:pt idx="0">
                  <c:v>18.5</c:v>
                </c:pt>
                <c:pt idx="1">
                  <c:v>20</c:v>
                </c:pt>
                <c:pt idx="2">
                  <c:v>17.5</c:v>
                </c:pt>
                <c:pt idx="3">
                  <c:v>17.5</c:v>
                </c:pt>
                <c:pt idx="4">
                  <c:v>17.5</c:v>
                </c:pt>
                <c:pt idx="5">
                  <c:v>17</c:v>
                </c:pt>
                <c:pt idx="6">
                  <c:v>19</c:v>
                </c:pt>
                <c:pt idx="7">
                  <c:v>21</c:v>
                </c:pt>
                <c:pt idx="8">
                  <c:v>19.5</c:v>
                </c:pt>
                <c:pt idx="9">
                  <c:v>16.5</c:v>
                </c:pt>
                <c:pt idx="10">
                  <c:v>15.5</c:v>
                </c:pt>
                <c:pt idx="11">
                  <c:v>15.5</c:v>
                </c:pt>
                <c:pt idx="12">
                  <c:v>16.5</c:v>
                </c:pt>
                <c:pt idx="13">
                  <c:v>15.5</c:v>
                </c:pt>
                <c:pt idx="14">
                  <c:v>15</c:v>
                </c:pt>
                <c:pt idx="15">
                  <c:v>9</c:v>
                </c:pt>
                <c:pt idx="16">
                  <c:v>10</c:v>
                </c:pt>
                <c:pt idx="17">
                  <c:v>10</c:v>
                </c:pt>
                <c:pt idx="18">
                  <c:v>13.5</c:v>
                </c:pt>
                <c:pt idx="19">
                  <c:v>16.5</c:v>
                </c:pt>
                <c:pt idx="20">
                  <c:v>15.5</c:v>
                </c:pt>
                <c:pt idx="21">
                  <c:v>16.5</c:v>
                </c:pt>
                <c:pt idx="22">
                  <c:v>16</c:v>
                </c:pt>
                <c:pt idx="23">
                  <c:v>15.5</c:v>
                </c:pt>
                <c:pt idx="24">
                  <c:v>15.5</c:v>
                </c:pt>
                <c:pt idx="25">
                  <c:v>15.5</c:v>
                </c:pt>
                <c:pt idx="26">
                  <c:v>15.5</c:v>
                </c:pt>
                <c:pt idx="27">
                  <c:v>15</c:v>
                </c:pt>
              </c:numCache>
            </c:numRef>
          </c:val>
        </c:ser>
        <c:marker val="1"/>
        <c:axId val="139997184"/>
        <c:axId val="139998720"/>
      </c:lineChart>
      <c:catAx>
        <c:axId val="1399971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9998720"/>
        <c:crosses val="autoZero"/>
        <c:auto val="1"/>
        <c:lblAlgn val="ctr"/>
        <c:lblOffset val="100"/>
      </c:catAx>
      <c:valAx>
        <c:axId val="139998720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99971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04810017028065"/>
          <c:y val="0.60069663167116105"/>
          <c:w val="0.1272403315177389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4.4016185476815413E-2"/>
          <c:y val="7.4647453926180413E-2"/>
          <c:w val="0.72880818022747162"/>
          <c:h val="0.83239784623212965"/>
        </c:manualLayout>
      </c:layout>
      <c:lineChart>
        <c:grouping val="standard"/>
        <c:ser>
          <c:idx val="0"/>
          <c:order val="0"/>
          <c:marker>
            <c:symbol val="none"/>
          </c:marker>
          <c:val>
            <c:numRef>
              <c:f>WATER!$U$6:$U$33</c:f>
              <c:numCache>
                <c:formatCode>General</c:formatCode>
                <c:ptCount val="28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</c:v>
                </c:pt>
                <c:pt idx="19">
                  <c:v>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40031104"/>
        <c:axId val="140032640"/>
      </c:lineChart>
      <c:catAx>
        <c:axId val="1400311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0032640"/>
        <c:crosses val="autoZero"/>
        <c:auto val="1"/>
        <c:lblAlgn val="ctr"/>
        <c:lblOffset val="100"/>
      </c:catAx>
      <c:valAx>
        <c:axId val="14003264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00311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481660946227852"/>
          <c:y val="0.46026490066226688"/>
          <c:w val="0.17211387038158688"/>
          <c:h val="8.2781456953645013E-2"/>
        </c:manualLayout>
      </c:layout>
      <c:txPr>
        <a:bodyPr/>
        <a:lstStyle/>
        <a:p>
          <a:pPr>
            <a:defRPr sz="5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Boiler &amp; Steam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'B5'!$AI$1</c:f>
              <c:strCache>
                <c:ptCount val="1"/>
                <c:pt idx="0">
                  <c:v>Boiler &amp; steam</c:v>
                </c:pt>
              </c:strCache>
            </c:strRef>
          </c:tx>
          <c:marker>
            <c:symbol val="none"/>
          </c:marker>
          <c:val>
            <c:numRef>
              <c:f>'B5'!$AI$4:$AI$32</c:f>
              <c:numCache>
                <c:formatCode>0</c:formatCode>
                <c:ptCount val="29"/>
                <c:pt idx="0" formatCode="General">
                  <c:v>267</c:v>
                </c:pt>
                <c:pt idx="1">
                  <c:v>467.60000000000582</c:v>
                </c:pt>
                <c:pt idx="2">
                  <c:v>234</c:v>
                </c:pt>
                <c:pt idx="3">
                  <c:v>289</c:v>
                </c:pt>
                <c:pt idx="4">
                  <c:v>314</c:v>
                </c:pt>
                <c:pt idx="5">
                  <c:v>391</c:v>
                </c:pt>
                <c:pt idx="6">
                  <c:v>311</c:v>
                </c:pt>
                <c:pt idx="7">
                  <c:v>279</c:v>
                </c:pt>
                <c:pt idx="8">
                  <c:v>333.39999999999418</c:v>
                </c:pt>
                <c:pt idx="9">
                  <c:v>236</c:v>
                </c:pt>
                <c:pt idx="10">
                  <c:v>236</c:v>
                </c:pt>
                <c:pt idx="11">
                  <c:v>253</c:v>
                </c:pt>
                <c:pt idx="12">
                  <c:v>234</c:v>
                </c:pt>
                <c:pt idx="13">
                  <c:v>281</c:v>
                </c:pt>
                <c:pt idx="14">
                  <c:v>267</c:v>
                </c:pt>
                <c:pt idx="15">
                  <c:v>217</c:v>
                </c:pt>
                <c:pt idx="16">
                  <c:v>228</c:v>
                </c:pt>
                <c:pt idx="17">
                  <c:v>288</c:v>
                </c:pt>
                <c:pt idx="18">
                  <c:v>380.89999999999418</c:v>
                </c:pt>
                <c:pt idx="19">
                  <c:v>297</c:v>
                </c:pt>
                <c:pt idx="20">
                  <c:v>284</c:v>
                </c:pt>
                <c:pt idx="21">
                  <c:v>267</c:v>
                </c:pt>
                <c:pt idx="22">
                  <c:v>362</c:v>
                </c:pt>
                <c:pt idx="23">
                  <c:v>318.79999999998836</c:v>
                </c:pt>
                <c:pt idx="24">
                  <c:v>367</c:v>
                </c:pt>
                <c:pt idx="25">
                  <c:v>161</c:v>
                </c:pt>
                <c:pt idx="26">
                  <c:v>299</c:v>
                </c:pt>
                <c:pt idx="27">
                  <c:v>195</c:v>
                </c:pt>
                <c:pt idx="28">
                  <c:v>224</c:v>
                </c:pt>
              </c:numCache>
            </c:numRef>
          </c:val>
        </c:ser>
        <c:marker val="1"/>
        <c:axId val="140077312"/>
        <c:axId val="140079104"/>
      </c:lineChart>
      <c:catAx>
        <c:axId val="1400773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0079104"/>
        <c:crosses val="autoZero"/>
        <c:auto val="1"/>
        <c:lblAlgn val="ctr"/>
        <c:lblOffset val="100"/>
      </c:catAx>
      <c:valAx>
        <c:axId val="14007910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00773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291841644794395"/>
          <c:y val="0.60069663167116105"/>
          <c:w val="0.13541688538935587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Gas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'B5'!$AU$1</c:f>
              <c:strCache>
                <c:ptCount val="1"/>
                <c:pt idx="0">
                  <c:v>Gas Cons</c:v>
                </c:pt>
              </c:strCache>
            </c:strRef>
          </c:tx>
          <c:marker>
            <c:symbol val="none"/>
          </c:marker>
          <c:val>
            <c:numRef>
              <c:f>'B5'!$AU$5:$AU$32</c:f>
              <c:numCache>
                <c:formatCode>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40090752"/>
        <c:axId val="138151040"/>
      </c:lineChart>
      <c:catAx>
        <c:axId val="1400907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8151040"/>
        <c:crosses val="autoZero"/>
        <c:auto val="1"/>
        <c:lblAlgn val="ctr"/>
        <c:lblOffset val="100"/>
      </c:catAx>
      <c:valAx>
        <c:axId val="138151040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00907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75174978127723"/>
          <c:y val="0.60069663167116105"/>
          <c:w val="0.1145835520559925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ELEC!$N$1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ELEC!$N$2:$N$30</c:f>
              <c:numCache>
                <c:formatCode>0.00</c:formatCode>
                <c:ptCount val="29"/>
                <c:pt idx="0" formatCode="0">
                  <c:v>6347</c:v>
                </c:pt>
                <c:pt idx="1">
                  <c:v>6404.3999999999069</c:v>
                </c:pt>
                <c:pt idx="2">
                  <c:v>6622</c:v>
                </c:pt>
                <c:pt idx="3">
                  <c:v>6753</c:v>
                </c:pt>
                <c:pt idx="4">
                  <c:v>6587</c:v>
                </c:pt>
                <c:pt idx="5">
                  <c:v>5932</c:v>
                </c:pt>
                <c:pt idx="6">
                  <c:v>5977</c:v>
                </c:pt>
                <c:pt idx="7">
                  <c:v>6551.2000000001863</c:v>
                </c:pt>
                <c:pt idx="8">
                  <c:v>6289.7999999998137</c:v>
                </c:pt>
                <c:pt idx="9">
                  <c:v>7008</c:v>
                </c:pt>
                <c:pt idx="10">
                  <c:v>7276</c:v>
                </c:pt>
                <c:pt idx="11">
                  <c:v>7236</c:v>
                </c:pt>
                <c:pt idx="12">
                  <c:v>5643</c:v>
                </c:pt>
                <c:pt idx="13">
                  <c:v>6507</c:v>
                </c:pt>
                <c:pt idx="14">
                  <c:v>7439</c:v>
                </c:pt>
                <c:pt idx="15">
                  <c:v>7469</c:v>
                </c:pt>
                <c:pt idx="16">
                  <c:v>5934</c:v>
                </c:pt>
                <c:pt idx="17">
                  <c:v>7520</c:v>
                </c:pt>
                <c:pt idx="18">
                  <c:v>7192</c:v>
                </c:pt>
                <c:pt idx="19">
                  <c:v>7667</c:v>
                </c:pt>
                <c:pt idx="20">
                  <c:v>6433</c:v>
                </c:pt>
                <c:pt idx="21">
                  <c:v>6161</c:v>
                </c:pt>
                <c:pt idx="22">
                  <c:v>6895</c:v>
                </c:pt>
                <c:pt idx="23">
                  <c:v>7942</c:v>
                </c:pt>
                <c:pt idx="24">
                  <c:v>8471</c:v>
                </c:pt>
                <c:pt idx="25">
                  <c:v>8788</c:v>
                </c:pt>
                <c:pt idx="26">
                  <c:v>9599</c:v>
                </c:pt>
                <c:pt idx="27">
                  <c:v>7813</c:v>
                </c:pt>
                <c:pt idx="28">
                  <c:v>7721</c:v>
                </c:pt>
              </c:numCache>
            </c:numRef>
          </c:val>
        </c:ser>
        <c:marker val="1"/>
        <c:axId val="138183808"/>
        <c:axId val="138185344"/>
      </c:lineChart>
      <c:catAx>
        <c:axId val="1381838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8185344"/>
        <c:crosses val="autoZero"/>
        <c:auto val="1"/>
        <c:lblAlgn val="ctr"/>
        <c:lblOffset val="100"/>
      </c:catAx>
      <c:valAx>
        <c:axId val="138185344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81838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58508311461069"/>
          <c:y val="0.62975887529635965"/>
          <c:w val="0.12291688538932598"/>
          <c:h val="4.4982698961950021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log'!$C$3:$C$31</c:f>
              <c:numCache>
                <c:formatCode>General</c:formatCode>
                <c:ptCount val="29"/>
                <c:pt idx="0">
                  <c:v>2345</c:v>
                </c:pt>
                <c:pt idx="1">
                  <c:v>2500</c:v>
                </c:pt>
                <c:pt idx="2">
                  <c:v>2228</c:v>
                </c:pt>
                <c:pt idx="3">
                  <c:v>2087</c:v>
                </c:pt>
                <c:pt idx="4">
                  <c:v>2155</c:v>
                </c:pt>
                <c:pt idx="5">
                  <c:v>2146</c:v>
                </c:pt>
                <c:pt idx="6">
                  <c:v>2329</c:v>
                </c:pt>
                <c:pt idx="7">
                  <c:v>2409</c:v>
                </c:pt>
                <c:pt idx="8">
                  <c:v>2283</c:v>
                </c:pt>
                <c:pt idx="9">
                  <c:v>1959</c:v>
                </c:pt>
                <c:pt idx="10">
                  <c:v>1574</c:v>
                </c:pt>
                <c:pt idx="11">
                  <c:v>1780</c:v>
                </c:pt>
                <c:pt idx="12">
                  <c:v>1667</c:v>
                </c:pt>
                <c:pt idx="13">
                  <c:v>1808</c:v>
                </c:pt>
                <c:pt idx="14">
                  <c:v>2049</c:v>
                </c:pt>
                <c:pt idx="15">
                  <c:v>1918</c:v>
                </c:pt>
                <c:pt idx="16">
                  <c:v>1967</c:v>
                </c:pt>
                <c:pt idx="17">
                  <c:v>1586</c:v>
                </c:pt>
                <c:pt idx="18">
                  <c:v>1600</c:v>
                </c:pt>
                <c:pt idx="19">
                  <c:v>1609</c:v>
                </c:pt>
                <c:pt idx="20">
                  <c:v>1958</c:v>
                </c:pt>
                <c:pt idx="21">
                  <c:v>1671</c:v>
                </c:pt>
                <c:pt idx="22">
                  <c:v>2030</c:v>
                </c:pt>
                <c:pt idx="23">
                  <c:v>1677</c:v>
                </c:pt>
                <c:pt idx="24">
                  <c:v>1405</c:v>
                </c:pt>
                <c:pt idx="25">
                  <c:v>1697</c:v>
                </c:pt>
                <c:pt idx="26">
                  <c:v>1070</c:v>
                </c:pt>
                <c:pt idx="27">
                  <c:v>1006</c:v>
                </c:pt>
                <c:pt idx="28">
                  <c:v>1184</c:v>
                </c:pt>
              </c:numCache>
            </c:numRef>
          </c:val>
        </c:ser>
        <c:marker val="1"/>
        <c:axId val="138209536"/>
        <c:axId val="140115968"/>
      </c:lineChart>
      <c:catAx>
        <c:axId val="1382095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0115968"/>
        <c:crosses val="autoZero"/>
        <c:auto val="1"/>
        <c:lblAlgn val="ctr"/>
        <c:lblOffset val="100"/>
      </c:catAx>
      <c:valAx>
        <c:axId val="14011596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82095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4583508311461064"/>
          <c:y val="0.60069663167116105"/>
          <c:w val="0.13541688538935587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Gen H Running per day</a:t>
            </a:r>
          </a:p>
        </c:rich>
      </c:tx>
    </c:title>
    <c:plotArea>
      <c:layout>
        <c:manualLayout>
          <c:layoutTarget val="inner"/>
          <c:xMode val="edge"/>
          <c:yMode val="edge"/>
          <c:x val="8.3333333333333343E-2"/>
          <c:y val="0.19377162629757017"/>
          <c:w val="0.68541666666666656"/>
          <c:h val="0.68858131487889274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3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5</c:v>
                </c:pt>
                <c:pt idx="9">
                  <c:v>7</c:v>
                </c:pt>
                <c:pt idx="10">
                  <c:v>6</c:v>
                </c:pt>
                <c:pt idx="11">
                  <c:v>5</c:v>
                </c:pt>
                <c:pt idx="12">
                  <c:v>6</c:v>
                </c:pt>
                <c:pt idx="13">
                  <c:v>6</c:v>
                </c:pt>
                <c:pt idx="14">
                  <c:v>6</c:v>
                </c:pt>
                <c:pt idx="15">
                  <c:v>4</c:v>
                </c:pt>
                <c:pt idx="16">
                  <c:v>9</c:v>
                </c:pt>
                <c:pt idx="17">
                  <c:v>8</c:v>
                </c:pt>
                <c:pt idx="18">
                  <c:v>9</c:v>
                </c:pt>
                <c:pt idx="19">
                  <c:v>6</c:v>
                </c:pt>
                <c:pt idx="20">
                  <c:v>7</c:v>
                </c:pt>
                <c:pt idx="21">
                  <c:v>6</c:v>
                </c:pt>
                <c:pt idx="22">
                  <c:v>8</c:v>
                </c:pt>
                <c:pt idx="23">
                  <c:v>12</c:v>
                </c:pt>
                <c:pt idx="24">
                  <c:v>11</c:v>
                </c:pt>
                <c:pt idx="25">
                  <c:v>14</c:v>
                </c:pt>
                <c:pt idx="26">
                  <c:v>14</c:v>
                </c:pt>
                <c:pt idx="27">
                  <c:v>13</c:v>
                </c:pt>
              </c:numCache>
            </c:numRef>
          </c:val>
        </c:ser>
        <c:marker val="1"/>
        <c:axId val="140123520"/>
        <c:axId val="140149888"/>
      </c:lineChart>
      <c:catAx>
        <c:axId val="1401235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0149888"/>
        <c:crosses val="autoZero"/>
        <c:auto val="1"/>
        <c:lblAlgn val="ctr"/>
        <c:lblOffset val="100"/>
      </c:catAx>
      <c:valAx>
        <c:axId val="140149888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01235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66841644808534"/>
          <c:y val="0.54325368498487869"/>
          <c:w val="0.11458355205599259"/>
          <c:h val="4.4982698961949605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tanks!$AS$3</c:f>
              <c:strCache>
                <c:ptCount val="1"/>
                <c:pt idx="0">
                  <c:v>Diesel Cons Per day</c:v>
                </c:pt>
              </c:strCache>
            </c:strRef>
          </c:tx>
          <c:marker>
            <c:symbol val="none"/>
          </c:marker>
          <c:val>
            <c:numRef>
              <c:f>tanks!$AS$6:$AS$33</c:f>
              <c:numCache>
                <c:formatCode>0</c:formatCode>
                <c:ptCount val="28"/>
                <c:pt idx="0">
                  <c:v>-1226.8096774193486</c:v>
                </c:pt>
                <c:pt idx="1">
                  <c:v>-920.03225806450064</c:v>
                </c:pt>
                <c:pt idx="2">
                  <c:v>-1226.7096774193778</c:v>
                </c:pt>
                <c:pt idx="3">
                  <c:v>-1226.7096774193633</c:v>
                </c:pt>
                <c:pt idx="4">
                  <c:v>53.612903225817718</c:v>
                </c:pt>
                <c:pt idx="5">
                  <c:v>-850.03225806448609</c:v>
                </c:pt>
                <c:pt idx="6">
                  <c:v>-1226.7096774193633</c:v>
                </c:pt>
                <c:pt idx="7">
                  <c:v>-920.03225806454429</c:v>
                </c:pt>
                <c:pt idx="8">
                  <c:v>-1226.7096774193342</c:v>
                </c:pt>
                <c:pt idx="9">
                  <c:v>-1840.0645161290304</c:v>
                </c:pt>
                <c:pt idx="10">
                  <c:v>-1533.3870967742114</c:v>
                </c:pt>
                <c:pt idx="11">
                  <c:v>-990.03225806451519</c:v>
                </c:pt>
                <c:pt idx="12">
                  <c:v>-1533.3870967741823</c:v>
                </c:pt>
                <c:pt idx="13">
                  <c:v>-1700.0645161290449</c:v>
                </c:pt>
                <c:pt idx="14">
                  <c:v>-1296.7096774193487</c:v>
                </c:pt>
                <c:pt idx="15">
                  <c:v>470.35483870966709</c:v>
                </c:pt>
                <c:pt idx="16">
                  <c:v>-2076.7419354838494</c:v>
                </c:pt>
                <c:pt idx="17">
                  <c:v>-1603.3870967742114</c:v>
                </c:pt>
                <c:pt idx="18">
                  <c:v>-1840.0645161290304</c:v>
                </c:pt>
                <c:pt idx="19">
                  <c:v>-1840.0645161290013</c:v>
                </c:pt>
                <c:pt idx="20">
                  <c:v>-1226.7096774193633</c:v>
                </c:pt>
                <c:pt idx="21">
                  <c:v>-217.09677419356012</c:v>
                </c:pt>
                <c:pt idx="22">
                  <c:v>-2076.7419354838785</c:v>
                </c:pt>
                <c:pt idx="23">
                  <c:v>-2103.419354838712</c:v>
                </c:pt>
                <c:pt idx="24">
                  <c:v>-2566.7419354838494</c:v>
                </c:pt>
                <c:pt idx="25">
                  <c:v>-1726.4193548387266</c:v>
                </c:pt>
                <c:pt idx="26">
                  <c:v>-2453.419354838712</c:v>
                </c:pt>
                <c:pt idx="27">
                  <c:v>-1840.0645161290304</c:v>
                </c:pt>
              </c:numCache>
            </c:numRef>
          </c:val>
        </c:ser>
        <c:marker val="1"/>
        <c:axId val="140178176"/>
        <c:axId val="140179712"/>
      </c:lineChart>
      <c:catAx>
        <c:axId val="1401781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0179712"/>
        <c:crosses val="autoZero"/>
        <c:auto val="1"/>
        <c:lblAlgn val="ctr"/>
        <c:lblOffset val="100"/>
      </c:catAx>
      <c:valAx>
        <c:axId val="140179712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01781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0850831146106"/>
          <c:y val="0.56250182268894366"/>
          <c:w val="0.15208355205599344"/>
          <c:h val="4.5138888888888951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-1</c:v>
                </c:pt>
                <c:pt idx="5">
                  <c:v>0.5</c:v>
                </c:pt>
                <c:pt idx="6">
                  <c:v>0.5</c:v>
                </c:pt>
                <c:pt idx="7">
                  <c:v>1</c:v>
                </c:pt>
                <c:pt idx="8">
                  <c:v>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2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-7</c:v>
                </c:pt>
                <c:pt idx="19">
                  <c:v>7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1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40200192"/>
        <c:axId val="140226560"/>
      </c:lineChart>
      <c:catAx>
        <c:axId val="1402001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0226560"/>
        <c:crosses val="autoZero"/>
        <c:auto val="1"/>
        <c:lblAlgn val="ctr"/>
        <c:lblOffset val="100"/>
      </c:catAx>
      <c:valAx>
        <c:axId val="14022656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02001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250174978119949"/>
          <c:y val="0.62975887529635965"/>
          <c:w val="0.13541688538935612"/>
          <c:h val="4.4982698961950021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ELEC!$A$1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ELEC!$A$3:$A$30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40246400"/>
        <c:axId val="140317824"/>
      </c:lineChart>
      <c:catAx>
        <c:axId val="1402464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0317824"/>
        <c:crosses val="autoZero"/>
        <c:auto val="1"/>
        <c:lblAlgn val="ctr"/>
        <c:lblOffset val="100"/>
      </c:catAx>
      <c:valAx>
        <c:axId val="140317824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02464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027089005178695"/>
          <c:y val="0.62975887529635965"/>
          <c:w val="9.730870597697025E-2"/>
          <c:h val="4.4982698961950021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2845693151992949"/>
          <c:y val="4.6204760737087777E-2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ELEC!$B$1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ELEC!$B$3:$B$30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40366592"/>
        <c:axId val="140368128"/>
      </c:lineChart>
      <c:catAx>
        <c:axId val="1403665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0368128"/>
        <c:crosses val="autoZero"/>
        <c:auto val="1"/>
        <c:lblAlgn val="ctr"/>
        <c:lblOffset val="100"/>
      </c:catAx>
      <c:valAx>
        <c:axId val="140368128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03665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157111559403265"/>
          <c:y val="0.61591804484647061"/>
          <c:w val="0.12190104336131879"/>
          <c:h val="4.4982698961950021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40261248"/>
        <c:axId val="140262784"/>
      </c:lineChart>
      <c:catAx>
        <c:axId val="1402612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0262784"/>
        <c:crosses val="autoZero"/>
        <c:auto val="1"/>
        <c:lblAlgn val="ctr"/>
        <c:lblOffset val="100"/>
      </c:catAx>
      <c:valAx>
        <c:axId val="14026278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02612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507420268128731"/>
          <c:y val="0.62975887529635965"/>
          <c:w val="0.13250539334757044"/>
          <c:h val="4.4982698961950021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279</c:v>
                </c:pt>
                <c:pt idx="14">
                  <c:v>0</c:v>
                </c:pt>
                <c:pt idx="15">
                  <c:v>167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125</c:v>
                </c:pt>
                <c:pt idx="22">
                  <c:v>0</c:v>
                </c:pt>
                <c:pt idx="23">
                  <c:v>0</c:v>
                </c:pt>
                <c:pt idx="24">
                  <c:v>4</c:v>
                </c:pt>
                <c:pt idx="25">
                  <c:v>203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40299264"/>
        <c:axId val="140309248"/>
      </c:lineChart>
      <c:catAx>
        <c:axId val="1402992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0309248"/>
        <c:crosses val="autoZero"/>
        <c:auto val="1"/>
        <c:lblAlgn val="ctr"/>
        <c:lblOffset val="100"/>
      </c:catAx>
      <c:valAx>
        <c:axId val="14030924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02992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810004121385665"/>
          <c:y val="0.60069663167116105"/>
          <c:w val="0.1136365805513976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'!$D$6:$D$33</c:f>
              <c:numCache>
                <c:formatCode>General</c:formatCode>
                <c:ptCount val="28"/>
                <c:pt idx="0">
                  <c:v>18.5</c:v>
                </c:pt>
                <c:pt idx="1">
                  <c:v>20</c:v>
                </c:pt>
                <c:pt idx="2">
                  <c:v>17.5</c:v>
                </c:pt>
                <c:pt idx="3">
                  <c:v>17.5</c:v>
                </c:pt>
                <c:pt idx="4">
                  <c:v>17.5</c:v>
                </c:pt>
                <c:pt idx="5">
                  <c:v>17</c:v>
                </c:pt>
                <c:pt idx="6">
                  <c:v>19</c:v>
                </c:pt>
                <c:pt idx="7">
                  <c:v>21</c:v>
                </c:pt>
                <c:pt idx="8">
                  <c:v>19.5</c:v>
                </c:pt>
                <c:pt idx="9">
                  <c:v>16.5</c:v>
                </c:pt>
                <c:pt idx="10">
                  <c:v>15.5</c:v>
                </c:pt>
                <c:pt idx="11">
                  <c:v>15.5</c:v>
                </c:pt>
                <c:pt idx="12">
                  <c:v>16.5</c:v>
                </c:pt>
                <c:pt idx="13">
                  <c:v>15.5</c:v>
                </c:pt>
                <c:pt idx="14">
                  <c:v>15</c:v>
                </c:pt>
                <c:pt idx="15">
                  <c:v>9</c:v>
                </c:pt>
                <c:pt idx="16">
                  <c:v>10</c:v>
                </c:pt>
                <c:pt idx="17">
                  <c:v>10</c:v>
                </c:pt>
                <c:pt idx="18">
                  <c:v>10.5</c:v>
                </c:pt>
                <c:pt idx="19">
                  <c:v>16.5</c:v>
                </c:pt>
                <c:pt idx="20">
                  <c:v>15.5</c:v>
                </c:pt>
                <c:pt idx="21">
                  <c:v>16.5</c:v>
                </c:pt>
                <c:pt idx="22">
                  <c:v>16</c:v>
                </c:pt>
                <c:pt idx="23">
                  <c:v>15.5</c:v>
                </c:pt>
                <c:pt idx="24">
                  <c:v>15.5</c:v>
                </c:pt>
                <c:pt idx="25">
                  <c:v>15.5</c:v>
                </c:pt>
                <c:pt idx="26">
                  <c:v>15.5</c:v>
                </c:pt>
                <c:pt idx="27">
                  <c:v>15</c:v>
                </c:pt>
              </c:numCache>
            </c:numRef>
          </c:val>
        </c:ser>
        <c:marker val="1"/>
        <c:axId val="140390784"/>
        <c:axId val="140392320"/>
      </c:lineChart>
      <c:catAx>
        <c:axId val="1403907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0392320"/>
        <c:crosses val="autoZero"/>
        <c:auto val="1"/>
        <c:lblAlgn val="ctr"/>
        <c:lblOffset val="100"/>
      </c:catAx>
      <c:valAx>
        <c:axId val="14039232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03907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01761495294249"/>
          <c:y val="0.60764107611567919"/>
          <c:w val="0.12343118198093105"/>
          <c:h val="4.5138888888888402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598326359835144"/>
          <c:y val="4.8611111111111112E-2"/>
          <c:w val="0.502092050209205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2020'!$AA$9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1" formatCode="0.00_ ;[Red]\-0.00\ ">
                  <c:v>0</c:v>
                </c:pt>
              </c:numCache>
            </c:numRef>
          </c:val>
        </c:ser>
        <c:ser>
          <c:idx val="1"/>
          <c:order val="1"/>
          <c:tx>
            <c:strRef>
              <c:f>'Degree Days 2020'!$AB$9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1" formatCode="0.00_ ;[Red]\-0.00\ ">
                  <c:v>0</c:v>
                </c:pt>
              </c:numCache>
            </c:numRef>
          </c:val>
        </c:ser>
        <c:marker val="1"/>
        <c:axId val="140425472"/>
        <c:axId val="140431360"/>
      </c:lineChart>
      <c:catAx>
        <c:axId val="140425472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0431360"/>
        <c:crosses val="autoZero"/>
        <c:auto val="1"/>
        <c:lblAlgn val="ctr"/>
        <c:lblOffset val="100"/>
      </c:catAx>
      <c:valAx>
        <c:axId val="140431360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04254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845276139640756"/>
          <c:y val="0.45486256926225876"/>
          <c:w val="0.15690398532822"/>
          <c:h val="9.0278142315543708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ELEC!$AG$1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ELEC!$AG$3:$AG$30</c:f>
              <c:numCache>
                <c:formatCode>0.00</c:formatCode>
                <c:ptCount val="28"/>
                <c:pt idx="0">
                  <c:v>198.5</c:v>
                </c:pt>
                <c:pt idx="1">
                  <c:v>128.5</c:v>
                </c:pt>
                <c:pt idx="2">
                  <c:v>229.33333333333334</c:v>
                </c:pt>
                <c:pt idx="3">
                  <c:v>137</c:v>
                </c:pt>
                <c:pt idx="4">
                  <c:v>146.66666666666666</c:v>
                </c:pt>
                <c:pt idx="5">
                  <c:v>187</c:v>
                </c:pt>
                <c:pt idx="6">
                  <c:v>240.5</c:v>
                </c:pt>
                <c:pt idx="7">
                  <c:v>172.66666666666666</c:v>
                </c:pt>
                <c:pt idx="8">
                  <c:v>219</c:v>
                </c:pt>
                <c:pt idx="9">
                  <c:v>157.66666666666666</c:v>
                </c:pt>
                <c:pt idx="10">
                  <c:v>163</c:v>
                </c:pt>
                <c:pt idx="11">
                  <c:v>138.75</c:v>
                </c:pt>
                <c:pt idx="12">
                  <c:v>142.33333333333334</c:v>
                </c:pt>
                <c:pt idx="13">
                  <c:v>175.4</c:v>
                </c:pt>
                <c:pt idx="14">
                  <c:v>167.6</c:v>
                </c:pt>
                <c:pt idx="15">
                  <c:v>233.5</c:v>
                </c:pt>
                <c:pt idx="16">
                  <c:v>96.75</c:v>
                </c:pt>
                <c:pt idx="17">
                  <c:v>129.6</c:v>
                </c:pt>
                <c:pt idx="18">
                  <c:v>164</c:v>
                </c:pt>
                <c:pt idx="19">
                  <c:v>141.66666666666666</c:v>
                </c:pt>
                <c:pt idx="20">
                  <c:v>153.5</c:v>
                </c:pt>
                <c:pt idx="21">
                  <c:v>146.66666666666666</c:v>
                </c:pt>
                <c:pt idx="22">
                  <c:v>147.33333333333334</c:v>
                </c:pt>
                <c:pt idx="23">
                  <c:v>140.5</c:v>
                </c:pt>
                <c:pt idx="24">
                  <c:v>142</c:v>
                </c:pt>
                <c:pt idx="25">
                  <c:v>151.71428571428572</c:v>
                </c:pt>
                <c:pt idx="26">
                  <c:v>171</c:v>
                </c:pt>
                <c:pt idx="27">
                  <c:v>136.5</c:v>
                </c:pt>
              </c:numCache>
            </c:numRef>
          </c:val>
        </c:ser>
        <c:marker val="1"/>
        <c:axId val="140442624"/>
        <c:axId val="140546816"/>
      </c:lineChart>
      <c:catAx>
        <c:axId val="1404426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0546816"/>
        <c:crosses val="autoZero"/>
        <c:auto val="1"/>
        <c:lblAlgn val="ctr"/>
        <c:lblOffset val="100"/>
      </c:catAx>
      <c:valAx>
        <c:axId val="140546816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04426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3263686181486729"/>
          <c:y val="0.62975887529635965"/>
          <c:w val="0.14853578449141075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'!$D$6:$D$33</c:f>
              <c:numCache>
                <c:formatCode>General</c:formatCode>
                <c:ptCount val="28"/>
                <c:pt idx="0">
                  <c:v>18.5</c:v>
                </c:pt>
                <c:pt idx="1">
                  <c:v>20</c:v>
                </c:pt>
                <c:pt idx="2">
                  <c:v>17.5</c:v>
                </c:pt>
                <c:pt idx="3">
                  <c:v>17.5</c:v>
                </c:pt>
                <c:pt idx="4">
                  <c:v>17.5</c:v>
                </c:pt>
                <c:pt idx="5">
                  <c:v>17</c:v>
                </c:pt>
                <c:pt idx="6">
                  <c:v>19</c:v>
                </c:pt>
                <c:pt idx="7">
                  <c:v>21</c:v>
                </c:pt>
                <c:pt idx="8">
                  <c:v>19.5</c:v>
                </c:pt>
                <c:pt idx="9">
                  <c:v>16.5</c:v>
                </c:pt>
                <c:pt idx="10">
                  <c:v>15.5</c:v>
                </c:pt>
                <c:pt idx="11">
                  <c:v>15.5</c:v>
                </c:pt>
                <c:pt idx="12">
                  <c:v>16.5</c:v>
                </c:pt>
                <c:pt idx="13">
                  <c:v>15.5</c:v>
                </c:pt>
                <c:pt idx="14">
                  <c:v>15</c:v>
                </c:pt>
                <c:pt idx="15">
                  <c:v>9</c:v>
                </c:pt>
                <c:pt idx="16">
                  <c:v>10</c:v>
                </c:pt>
                <c:pt idx="17">
                  <c:v>10</c:v>
                </c:pt>
                <c:pt idx="18">
                  <c:v>10.5</c:v>
                </c:pt>
                <c:pt idx="19">
                  <c:v>16.5</c:v>
                </c:pt>
                <c:pt idx="20">
                  <c:v>15.5</c:v>
                </c:pt>
                <c:pt idx="21">
                  <c:v>16.5</c:v>
                </c:pt>
                <c:pt idx="22">
                  <c:v>16</c:v>
                </c:pt>
                <c:pt idx="23">
                  <c:v>15.5</c:v>
                </c:pt>
                <c:pt idx="24">
                  <c:v>15.5</c:v>
                </c:pt>
                <c:pt idx="25">
                  <c:v>15.5</c:v>
                </c:pt>
                <c:pt idx="26">
                  <c:v>15.5</c:v>
                </c:pt>
                <c:pt idx="27">
                  <c:v>15</c:v>
                </c:pt>
              </c:numCache>
            </c:numRef>
          </c:val>
        </c:ser>
        <c:marker val="1"/>
        <c:axId val="140702464"/>
        <c:axId val="140704000"/>
      </c:lineChart>
      <c:catAx>
        <c:axId val="1407024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0704000"/>
        <c:crosses val="autoZero"/>
        <c:auto val="1"/>
        <c:lblAlgn val="ctr"/>
        <c:lblOffset val="100"/>
      </c:catAx>
      <c:valAx>
        <c:axId val="14070400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07024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04123711361214"/>
          <c:y val="0.62975887529635965"/>
          <c:w val="0.1216494845360821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3682008368201263E-2"/>
          <c:y val="0.19444444444451744"/>
          <c:w val="0.68410041841004265"/>
          <c:h val="0.6875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3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5</c:v>
                </c:pt>
                <c:pt idx="9">
                  <c:v>7</c:v>
                </c:pt>
                <c:pt idx="10">
                  <c:v>6</c:v>
                </c:pt>
                <c:pt idx="11">
                  <c:v>5</c:v>
                </c:pt>
                <c:pt idx="12">
                  <c:v>6</c:v>
                </c:pt>
                <c:pt idx="13">
                  <c:v>6</c:v>
                </c:pt>
                <c:pt idx="14">
                  <c:v>6</c:v>
                </c:pt>
                <c:pt idx="15">
                  <c:v>4</c:v>
                </c:pt>
                <c:pt idx="16">
                  <c:v>9</c:v>
                </c:pt>
                <c:pt idx="17">
                  <c:v>8</c:v>
                </c:pt>
                <c:pt idx="18">
                  <c:v>9</c:v>
                </c:pt>
                <c:pt idx="19">
                  <c:v>6</c:v>
                </c:pt>
                <c:pt idx="20">
                  <c:v>7</c:v>
                </c:pt>
                <c:pt idx="21">
                  <c:v>6</c:v>
                </c:pt>
                <c:pt idx="22">
                  <c:v>8</c:v>
                </c:pt>
                <c:pt idx="23">
                  <c:v>12</c:v>
                </c:pt>
                <c:pt idx="24">
                  <c:v>11</c:v>
                </c:pt>
                <c:pt idx="25">
                  <c:v>14</c:v>
                </c:pt>
                <c:pt idx="26">
                  <c:v>14</c:v>
                </c:pt>
                <c:pt idx="27">
                  <c:v>13</c:v>
                </c:pt>
              </c:numCache>
            </c:numRef>
          </c:val>
        </c:ser>
        <c:marker val="1"/>
        <c:axId val="141137792"/>
        <c:axId val="141139328"/>
      </c:lineChart>
      <c:catAx>
        <c:axId val="1411377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1139328"/>
        <c:crosses val="autoZero"/>
        <c:auto val="1"/>
        <c:lblAlgn val="ctr"/>
        <c:lblOffset val="100"/>
      </c:catAx>
      <c:valAx>
        <c:axId val="141139328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11377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1096651621476"/>
          <c:y val="0.53819626713327495"/>
          <c:w val="0.11506298114409297"/>
          <c:h val="4.513888888888862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log'!$C$3:$C$31</c:f>
              <c:numCache>
                <c:formatCode>General</c:formatCode>
                <c:ptCount val="29"/>
                <c:pt idx="0">
                  <c:v>2345</c:v>
                </c:pt>
                <c:pt idx="1">
                  <c:v>2500</c:v>
                </c:pt>
                <c:pt idx="2">
                  <c:v>2228</c:v>
                </c:pt>
                <c:pt idx="3">
                  <c:v>2087</c:v>
                </c:pt>
                <c:pt idx="4">
                  <c:v>2155</c:v>
                </c:pt>
                <c:pt idx="5">
                  <c:v>2146</c:v>
                </c:pt>
                <c:pt idx="6">
                  <c:v>2329</c:v>
                </c:pt>
                <c:pt idx="7">
                  <c:v>2409</c:v>
                </c:pt>
                <c:pt idx="8">
                  <c:v>2283</c:v>
                </c:pt>
                <c:pt idx="9">
                  <c:v>1959</c:v>
                </c:pt>
                <c:pt idx="10">
                  <c:v>1574</c:v>
                </c:pt>
                <c:pt idx="11">
                  <c:v>1780</c:v>
                </c:pt>
                <c:pt idx="12">
                  <c:v>1667</c:v>
                </c:pt>
                <c:pt idx="13">
                  <c:v>1808</c:v>
                </c:pt>
                <c:pt idx="14">
                  <c:v>2049</c:v>
                </c:pt>
                <c:pt idx="15">
                  <c:v>1918</c:v>
                </c:pt>
                <c:pt idx="16">
                  <c:v>1967</c:v>
                </c:pt>
                <c:pt idx="17">
                  <c:v>1586</c:v>
                </c:pt>
                <c:pt idx="18">
                  <c:v>1600</c:v>
                </c:pt>
                <c:pt idx="19">
                  <c:v>1609</c:v>
                </c:pt>
                <c:pt idx="20">
                  <c:v>1958</c:v>
                </c:pt>
                <c:pt idx="21">
                  <c:v>1671</c:v>
                </c:pt>
                <c:pt idx="22">
                  <c:v>2030</c:v>
                </c:pt>
                <c:pt idx="23">
                  <c:v>1677</c:v>
                </c:pt>
                <c:pt idx="24">
                  <c:v>1405</c:v>
                </c:pt>
                <c:pt idx="25">
                  <c:v>1697</c:v>
                </c:pt>
                <c:pt idx="26">
                  <c:v>1070</c:v>
                </c:pt>
                <c:pt idx="27">
                  <c:v>1006</c:v>
                </c:pt>
                <c:pt idx="28">
                  <c:v>1184</c:v>
                </c:pt>
              </c:numCache>
            </c:numRef>
          </c:val>
        </c:ser>
        <c:marker val="1"/>
        <c:axId val="164904320"/>
        <c:axId val="164938880"/>
      </c:lineChart>
      <c:catAx>
        <c:axId val="1649043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938880"/>
        <c:crosses val="autoZero"/>
        <c:auto val="1"/>
        <c:lblAlgn val="ctr"/>
        <c:lblOffset val="100"/>
      </c:catAx>
      <c:valAx>
        <c:axId val="16493888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9043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090592474866197"/>
          <c:y val="0.61774744027318174"/>
          <c:w val="5.1419800460475666E-2"/>
          <c:h val="4.436860068259393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485477178423236"/>
          <c:y val="4.8611111111111112E-2"/>
          <c:w val="0.50207468879668049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2020'!$AA$9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1" formatCode="0.00_ ;[Red]\-0.00\ ">
                  <c:v>0</c:v>
                </c:pt>
              </c:numCache>
            </c:numRef>
          </c:val>
        </c:ser>
        <c:ser>
          <c:idx val="1"/>
          <c:order val="1"/>
          <c:tx>
            <c:strRef>
              <c:f>'Degree Days 2020'!$AB$9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1" formatCode="0.00_ ;[Red]\-0.00\ ">
                  <c:v>0</c:v>
                </c:pt>
              </c:numCache>
            </c:numRef>
          </c:val>
        </c:ser>
        <c:marker val="1"/>
        <c:axId val="165250944"/>
        <c:axId val="165252480"/>
      </c:lineChart>
      <c:catAx>
        <c:axId val="165250944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5252480"/>
        <c:crosses val="autoZero"/>
        <c:auto val="1"/>
        <c:lblAlgn val="ctr"/>
        <c:lblOffset val="100"/>
      </c:catAx>
      <c:valAx>
        <c:axId val="165252480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52509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80082987551862"/>
          <c:y val="0.45486256926225876"/>
          <c:w val="0.15560165975103471"/>
          <c:h val="9.0278142315542265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8.xml"/><Relationship Id="rId13" Type="http://schemas.openxmlformats.org/officeDocument/2006/relationships/chart" Target="../charts/chart23.xml"/><Relationship Id="rId3" Type="http://schemas.openxmlformats.org/officeDocument/2006/relationships/chart" Target="../charts/chart13.xml"/><Relationship Id="rId7" Type="http://schemas.openxmlformats.org/officeDocument/2006/relationships/chart" Target="../charts/chart17.xml"/><Relationship Id="rId12" Type="http://schemas.openxmlformats.org/officeDocument/2006/relationships/chart" Target="../charts/chart22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6" Type="http://schemas.openxmlformats.org/officeDocument/2006/relationships/chart" Target="../charts/chart16.xml"/><Relationship Id="rId11" Type="http://schemas.openxmlformats.org/officeDocument/2006/relationships/chart" Target="../charts/chart21.xml"/><Relationship Id="rId5" Type="http://schemas.openxmlformats.org/officeDocument/2006/relationships/chart" Target="../charts/chart15.xml"/><Relationship Id="rId10" Type="http://schemas.openxmlformats.org/officeDocument/2006/relationships/chart" Target="../charts/chart20.xml"/><Relationship Id="rId4" Type="http://schemas.openxmlformats.org/officeDocument/2006/relationships/chart" Target="../charts/chart14.xml"/><Relationship Id="rId9" Type="http://schemas.openxmlformats.org/officeDocument/2006/relationships/chart" Target="../charts/chart19.xml"/><Relationship Id="rId14" Type="http://schemas.openxmlformats.org/officeDocument/2006/relationships/chart" Target="../charts/chart2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590550</xdr:colOff>
      <xdr:row>30</xdr:row>
      <xdr:rowOff>152400</xdr:rowOff>
    </xdr:from>
    <xdr:to>
      <xdr:col>6</xdr:col>
      <xdr:colOff>609600</xdr:colOff>
      <xdr:row>45</xdr:row>
      <xdr:rowOff>47625</xdr:rowOff>
    </xdr:to>
    <xdr:graphicFrame macro="">
      <xdr:nvGraphicFramePr>
        <xdr:cNvPr id="1843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762000</xdr:colOff>
      <xdr:row>31</xdr:row>
      <xdr:rowOff>38100</xdr:rowOff>
    </xdr:from>
    <xdr:to>
      <xdr:col>14</xdr:col>
      <xdr:colOff>114300</xdr:colOff>
      <xdr:row>45</xdr:row>
      <xdr:rowOff>114300</xdr:rowOff>
    </xdr:to>
    <xdr:graphicFrame macro="">
      <xdr:nvGraphicFramePr>
        <xdr:cNvPr id="18434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495300</xdr:colOff>
      <xdr:row>30</xdr:row>
      <xdr:rowOff>180975</xdr:rowOff>
    </xdr:from>
    <xdr:to>
      <xdr:col>21</xdr:col>
      <xdr:colOff>266700</xdr:colOff>
      <xdr:row>45</xdr:row>
      <xdr:rowOff>76200</xdr:rowOff>
    </xdr:to>
    <xdr:graphicFrame macro="">
      <xdr:nvGraphicFramePr>
        <xdr:cNvPr id="1843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19050</xdr:colOff>
      <xdr:row>31</xdr:row>
      <xdr:rowOff>142875</xdr:rowOff>
    </xdr:from>
    <xdr:to>
      <xdr:col>30</xdr:col>
      <xdr:colOff>219075</xdr:colOff>
      <xdr:row>46</xdr:row>
      <xdr:rowOff>28575</xdr:rowOff>
    </xdr:to>
    <xdr:graphicFrame macro="">
      <xdr:nvGraphicFramePr>
        <xdr:cNvPr id="1843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30</xdr:col>
      <xdr:colOff>752475</xdr:colOff>
      <xdr:row>31</xdr:row>
      <xdr:rowOff>180975</xdr:rowOff>
    </xdr:from>
    <xdr:to>
      <xdr:col>38</xdr:col>
      <xdr:colOff>295275</xdr:colOff>
      <xdr:row>46</xdr:row>
      <xdr:rowOff>47625</xdr:rowOff>
    </xdr:to>
    <xdr:graphicFrame macro="">
      <xdr:nvGraphicFramePr>
        <xdr:cNvPr id="1843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36</xdr:row>
      <xdr:rowOff>0</xdr:rowOff>
    </xdr:from>
    <xdr:to>
      <xdr:col>7</xdr:col>
      <xdr:colOff>523875</xdr:colOff>
      <xdr:row>50</xdr:row>
      <xdr:rowOff>66675</xdr:rowOff>
    </xdr:to>
    <xdr:graphicFrame macro="">
      <xdr:nvGraphicFramePr>
        <xdr:cNvPr id="1306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57150</xdr:colOff>
      <xdr:row>36</xdr:row>
      <xdr:rowOff>57150</xdr:rowOff>
    </xdr:from>
    <xdr:to>
      <xdr:col>39</xdr:col>
      <xdr:colOff>295275</xdr:colOff>
      <xdr:row>50</xdr:row>
      <xdr:rowOff>123825</xdr:rowOff>
    </xdr:to>
    <xdr:graphicFrame macro="">
      <xdr:nvGraphicFramePr>
        <xdr:cNvPr id="13064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40</xdr:col>
      <xdr:colOff>28575</xdr:colOff>
      <xdr:row>37</xdr:row>
      <xdr:rowOff>114300</xdr:rowOff>
    </xdr:from>
    <xdr:to>
      <xdr:col>47</xdr:col>
      <xdr:colOff>152400</xdr:colOff>
      <xdr:row>51</xdr:row>
      <xdr:rowOff>180975</xdr:rowOff>
    </xdr:to>
    <xdr:graphicFrame macro="">
      <xdr:nvGraphicFramePr>
        <xdr:cNvPr id="13065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47</xdr:col>
      <xdr:colOff>352425</xdr:colOff>
      <xdr:row>35</xdr:row>
      <xdr:rowOff>180975</xdr:rowOff>
    </xdr:from>
    <xdr:to>
      <xdr:col>55</xdr:col>
      <xdr:colOff>123825</xdr:colOff>
      <xdr:row>50</xdr:row>
      <xdr:rowOff>57150</xdr:rowOff>
    </xdr:to>
    <xdr:graphicFrame macro="">
      <xdr:nvGraphicFramePr>
        <xdr:cNvPr id="13066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676275</xdr:colOff>
      <xdr:row>51</xdr:row>
      <xdr:rowOff>161925</xdr:rowOff>
    </xdr:from>
    <xdr:to>
      <xdr:col>23</xdr:col>
      <xdr:colOff>276225</xdr:colOff>
      <xdr:row>66</xdr:row>
      <xdr:rowOff>180975</xdr:rowOff>
    </xdr:to>
    <xdr:graphicFrame macro="">
      <xdr:nvGraphicFramePr>
        <xdr:cNvPr id="1306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304800</xdr:colOff>
      <xdr:row>15</xdr:row>
      <xdr:rowOff>76200</xdr:rowOff>
    </xdr:to>
    <xdr:graphicFrame macro="">
      <xdr:nvGraphicFramePr>
        <xdr:cNvPr id="29697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17</xdr:row>
      <xdr:rowOff>0</xdr:rowOff>
    </xdr:from>
    <xdr:to>
      <xdr:col>8</xdr:col>
      <xdr:colOff>304800</xdr:colOff>
      <xdr:row>31</xdr:row>
      <xdr:rowOff>76200</xdr:rowOff>
    </xdr:to>
    <xdr:graphicFrame macro="">
      <xdr:nvGraphicFramePr>
        <xdr:cNvPr id="29698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85725</xdr:rowOff>
    </xdr:to>
    <xdr:graphicFrame macro="">
      <xdr:nvGraphicFramePr>
        <xdr:cNvPr id="29699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17</xdr:row>
      <xdr:rowOff>0</xdr:rowOff>
    </xdr:from>
    <xdr:to>
      <xdr:col>16</xdr:col>
      <xdr:colOff>304800</xdr:colOff>
      <xdr:row>31</xdr:row>
      <xdr:rowOff>76200</xdr:rowOff>
    </xdr:to>
    <xdr:graphicFrame macro="">
      <xdr:nvGraphicFramePr>
        <xdr:cNvPr id="29700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0</xdr:colOff>
      <xdr:row>1</xdr:row>
      <xdr:rowOff>0</xdr:rowOff>
    </xdr:from>
    <xdr:to>
      <xdr:col>24</xdr:col>
      <xdr:colOff>304800</xdr:colOff>
      <xdr:row>15</xdr:row>
      <xdr:rowOff>85725</xdr:rowOff>
    </xdr:to>
    <xdr:graphicFrame macro="">
      <xdr:nvGraphicFramePr>
        <xdr:cNvPr id="29701" name="Chart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0</xdr:colOff>
      <xdr:row>17</xdr:row>
      <xdr:rowOff>0</xdr:rowOff>
    </xdr:from>
    <xdr:to>
      <xdr:col>24</xdr:col>
      <xdr:colOff>304800</xdr:colOff>
      <xdr:row>31</xdr:row>
      <xdr:rowOff>76200</xdr:rowOff>
    </xdr:to>
    <xdr:graphicFrame macro="">
      <xdr:nvGraphicFramePr>
        <xdr:cNvPr id="29702" name="Chart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32</xdr:row>
      <xdr:rowOff>0</xdr:rowOff>
    </xdr:from>
    <xdr:to>
      <xdr:col>8</xdr:col>
      <xdr:colOff>304800</xdr:colOff>
      <xdr:row>46</xdr:row>
      <xdr:rowOff>85725</xdr:rowOff>
    </xdr:to>
    <xdr:graphicFrame macro="">
      <xdr:nvGraphicFramePr>
        <xdr:cNvPr id="29703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24</xdr:col>
      <xdr:colOff>571500</xdr:colOff>
      <xdr:row>0</xdr:row>
      <xdr:rowOff>161925</xdr:rowOff>
    </xdr:from>
    <xdr:to>
      <xdr:col>32</xdr:col>
      <xdr:colOff>295275</xdr:colOff>
      <xdr:row>15</xdr:row>
      <xdr:rowOff>57150</xdr:rowOff>
    </xdr:to>
    <xdr:graphicFrame macro="">
      <xdr:nvGraphicFramePr>
        <xdr:cNvPr id="29704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24</xdr:col>
      <xdr:colOff>571500</xdr:colOff>
      <xdr:row>17</xdr:row>
      <xdr:rowOff>9525</xdr:rowOff>
    </xdr:from>
    <xdr:to>
      <xdr:col>32</xdr:col>
      <xdr:colOff>304800</xdr:colOff>
      <xdr:row>31</xdr:row>
      <xdr:rowOff>95250</xdr:rowOff>
    </xdr:to>
    <xdr:graphicFrame macro="">
      <xdr:nvGraphicFramePr>
        <xdr:cNvPr id="29705" name="Chart 1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581025</xdr:colOff>
      <xdr:row>32</xdr:row>
      <xdr:rowOff>19050</xdr:rowOff>
    </xdr:from>
    <xdr:to>
      <xdr:col>16</xdr:col>
      <xdr:colOff>304800</xdr:colOff>
      <xdr:row>46</xdr:row>
      <xdr:rowOff>104775</xdr:rowOff>
    </xdr:to>
    <xdr:graphicFrame macro="">
      <xdr:nvGraphicFramePr>
        <xdr:cNvPr id="29706" name="Chart 1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16</xdr:col>
      <xdr:colOff>590550</xdr:colOff>
      <xdr:row>32</xdr:row>
      <xdr:rowOff>47625</xdr:rowOff>
    </xdr:from>
    <xdr:to>
      <xdr:col>24</xdr:col>
      <xdr:colOff>323850</xdr:colOff>
      <xdr:row>46</xdr:row>
      <xdr:rowOff>123825</xdr:rowOff>
    </xdr:to>
    <xdr:graphicFrame macro="">
      <xdr:nvGraphicFramePr>
        <xdr:cNvPr id="29707" name="Chart 1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24</xdr:col>
      <xdr:colOff>600075</xdr:colOff>
      <xdr:row>32</xdr:row>
      <xdr:rowOff>57150</xdr:rowOff>
    </xdr:from>
    <xdr:to>
      <xdr:col>32</xdr:col>
      <xdr:colOff>276225</xdr:colOff>
      <xdr:row>46</xdr:row>
      <xdr:rowOff>133350</xdr:rowOff>
    </xdr:to>
    <xdr:graphicFrame macro="">
      <xdr:nvGraphicFramePr>
        <xdr:cNvPr id="29708" name="Chart 1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33</xdr:col>
      <xdr:colOff>0</xdr:colOff>
      <xdr:row>1</xdr:row>
      <xdr:rowOff>0</xdr:rowOff>
    </xdr:from>
    <xdr:to>
      <xdr:col>40</xdr:col>
      <xdr:colOff>285750</xdr:colOff>
      <xdr:row>15</xdr:row>
      <xdr:rowOff>76200</xdr:rowOff>
    </xdr:to>
    <xdr:graphicFrame macro="">
      <xdr:nvGraphicFramePr>
        <xdr:cNvPr id="29709" name="Chart 2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33</xdr:col>
      <xdr:colOff>0</xdr:colOff>
      <xdr:row>17</xdr:row>
      <xdr:rowOff>0</xdr:rowOff>
    </xdr:from>
    <xdr:to>
      <xdr:col>40</xdr:col>
      <xdr:colOff>285750</xdr:colOff>
      <xdr:row>31</xdr:row>
      <xdr:rowOff>85725</xdr:rowOff>
    </xdr:to>
    <xdr:graphicFrame macro="">
      <xdr:nvGraphicFramePr>
        <xdr:cNvPr id="29710" name="Chart 1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41</xdr:row>
      <xdr:rowOff>161925</xdr:rowOff>
    </xdr:from>
    <xdr:to>
      <xdr:col>6</xdr:col>
      <xdr:colOff>638175</xdr:colOff>
      <xdr:row>56</xdr:row>
      <xdr:rowOff>57150</xdr:rowOff>
    </xdr:to>
    <xdr:graphicFrame macro="">
      <xdr:nvGraphicFramePr>
        <xdr:cNvPr id="45057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57150</xdr:colOff>
      <xdr:row>2</xdr:row>
      <xdr:rowOff>28575</xdr:rowOff>
    </xdr:from>
    <xdr:to>
      <xdr:col>46</xdr:col>
      <xdr:colOff>342900</xdr:colOff>
      <xdr:row>16</xdr:row>
      <xdr:rowOff>104775</xdr:rowOff>
    </xdr:to>
    <xdr:graphicFrame macro="">
      <xdr:nvGraphicFramePr>
        <xdr:cNvPr id="47105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19050</xdr:colOff>
      <xdr:row>35</xdr:row>
      <xdr:rowOff>38100</xdr:rowOff>
    </xdr:from>
    <xdr:to>
      <xdr:col>19</xdr:col>
      <xdr:colOff>209550</xdr:colOff>
      <xdr:row>49</xdr:row>
      <xdr:rowOff>114300</xdr:rowOff>
    </xdr:to>
    <xdr:graphicFrame macro="">
      <xdr:nvGraphicFramePr>
        <xdr:cNvPr id="4915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571500</xdr:colOff>
      <xdr:row>24</xdr:row>
      <xdr:rowOff>9525</xdr:rowOff>
    </xdr:from>
    <xdr:to>
      <xdr:col>32</xdr:col>
      <xdr:colOff>285750</xdr:colOff>
      <xdr:row>37</xdr:row>
      <xdr:rowOff>0</xdr:rowOff>
    </xdr:to>
    <xdr:graphicFrame macro="">
      <xdr:nvGraphicFramePr>
        <xdr:cNvPr id="5123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0/DEC%20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1/JAN%20202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HE%20Portal%20utilities%20management/2021/JAN%202021/20.01.2021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mi.bezri/AppData/Local/Packages/microsoft.windowscommunicationsapps_8wekyb3d8bbwe/LocalState/Files/S0/5/Attachments/July%202020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UZAN~1.ABO/AppData/Local/Temp/notesA2CAC6/April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UZAN~1.ABO/AppData/Local/Temp/notesA2CAC6/NOV%202017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mi.bezri/AppData/Local/Packages/microsoft.windowscommunicationsapps_8wekyb3d8bbwe/LocalState/Files/S0/5/Attachments/MAY%20202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HE%20Portal%20utilities%20management/2020/April%202020/30.04.2020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1/NOV%20202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mi.bezri/AppData/Local/Packages/microsoft.windowscommunicationsapps_8wekyb3d8bbwe/LocalState/Files/S0/5/Attachments/JUNE%20202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19/DEC.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Purchasing%20,%20stock%20&amp;%20logistics/Budget/Budget%202021/Utility%20Budget%202021%20Zero%20Occupancy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0/FEB%202020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3">
          <cell r="A33">
            <v>0</v>
          </cell>
          <cell r="B33">
            <v>0</v>
          </cell>
          <cell r="AI33">
            <v>-770946</v>
          </cell>
        </row>
      </sheetData>
      <sheetData sheetId="3">
        <row r="35">
          <cell r="D35">
            <v>3</v>
          </cell>
        </row>
      </sheetData>
      <sheetData sheetId="4">
        <row r="36">
          <cell r="B36">
            <v>109443</v>
          </cell>
        </row>
      </sheetData>
      <sheetData sheetId="5"/>
      <sheetData sheetId="6">
        <row r="36">
          <cell r="D36">
            <v>18</v>
          </cell>
          <cell r="E36">
            <v>0.55000000000000004</v>
          </cell>
          <cell r="F36">
            <v>0</v>
          </cell>
          <cell r="G36">
            <v>0</v>
          </cell>
          <cell r="K36">
            <v>0</v>
          </cell>
        </row>
      </sheetData>
      <sheetData sheetId="7">
        <row r="36">
          <cell r="B36">
            <v>244</v>
          </cell>
          <cell r="BC36">
            <v>0</v>
          </cell>
          <cell r="BD36">
            <v>19222</v>
          </cell>
          <cell r="BE36" t="e">
            <v>#REF!</v>
          </cell>
          <cell r="BG36" t="e">
            <v>#REF!</v>
          </cell>
        </row>
      </sheetData>
      <sheetData sheetId="8"/>
      <sheetData sheetId="9"/>
      <sheetData sheetId="10"/>
      <sheetData sheetId="11">
        <row r="33">
          <cell r="C33">
            <v>3</v>
          </cell>
        </row>
      </sheetData>
      <sheetData sheetId="12">
        <row r="26">
          <cell r="V26">
            <v>244359</v>
          </cell>
        </row>
        <row r="31">
          <cell r="X31">
            <v>3.7419354838709675</v>
          </cell>
          <cell r="Y31">
            <v>1.8709677419354838</v>
          </cell>
        </row>
      </sheetData>
      <sheetData sheetId="13">
        <row r="36">
          <cell r="H36">
            <v>6709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33">
          <cell r="C33">
            <v>44227</v>
          </cell>
          <cell r="D33">
            <v>32583138</v>
          </cell>
          <cell r="E33">
            <v>2268</v>
          </cell>
          <cell r="F33">
            <v>3954026.6</v>
          </cell>
          <cell r="G33">
            <v>559</v>
          </cell>
          <cell r="H33">
            <v>17779688</v>
          </cell>
          <cell r="I33">
            <v>842</v>
          </cell>
          <cell r="J33">
            <v>28877552</v>
          </cell>
          <cell r="K33">
            <v>1066</v>
          </cell>
          <cell r="L33">
            <v>23997558</v>
          </cell>
          <cell r="M33">
            <v>1612</v>
          </cell>
          <cell r="N33">
            <v>6347</v>
          </cell>
          <cell r="O33">
            <v>0</v>
          </cell>
          <cell r="P33">
            <v>16575.627</v>
          </cell>
          <cell r="Q33">
            <v>2007.0000000014261</v>
          </cell>
          <cell r="R33">
            <v>4339.9999999985739</v>
          </cell>
          <cell r="S33">
            <v>10118</v>
          </cell>
          <cell r="T33">
            <v>0</v>
          </cell>
          <cell r="U33">
            <v>420722</v>
          </cell>
          <cell r="V33">
            <v>0</v>
          </cell>
          <cell r="W33">
            <v>32167</v>
          </cell>
          <cell r="X33">
            <v>0</v>
          </cell>
          <cell r="Y33">
            <v>696352</v>
          </cell>
          <cell r="Z33">
            <v>0</v>
          </cell>
          <cell r="AA33">
            <v>35671</v>
          </cell>
          <cell r="AB33">
            <v>4</v>
          </cell>
          <cell r="AC33">
            <v>912352</v>
          </cell>
          <cell r="AD33">
            <v>637</v>
          </cell>
          <cell r="AE33">
            <v>4</v>
          </cell>
          <cell r="AF33">
            <v>637</v>
          </cell>
          <cell r="AG33">
            <v>159.25</v>
          </cell>
        </row>
      </sheetData>
      <sheetData sheetId="3">
        <row r="35">
          <cell r="B35">
            <v>236</v>
          </cell>
          <cell r="C35">
            <v>242</v>
          </cell>
          <cell r="D35">
            <v>3</v>
          </cell>
          <cell r="E35">
            <v>25.14</v>
          </cell>
          <cell r="F35">
            <v>1715</v>
          </cell>
          <cell r="G35">
            <v>0</v>
          </cell>
          <cell r="H35">
            <v>3991</v>
          </cell>
          <cell r="I35">
            <v>0</v>
          </cell>
          <cell r="J35">
            <v>0</v>
          </cell>
          <cell r="K35">
            <v>2216</v>
          </cell>
          <cell r="L35">
            <v>2</v>
          </cell>
          <cell r="M35">
            <v>162924</v>
          </cell>
          <cell r="N35">
            <v>175</v>
          </cell>
          <cell r="O35">
            <v>1869</v>
          </cell>
          <cell r="P35">
            <v>1964</v>
          </cell>
          <cell r="Q35">
            <v>166179</v>
          </cell>
          <cell r="R35">
            <v>92</v>
          </cell>
          <cell r="S35">
            <v>1</v>
          </cell>
          <cell r="T35">
            <v>0</v>
          </cell>
          <cell r="U35">
            <v>3</v>
          </cell>
          <cell r="V35">
            <v>267</v>
          </cell>
          <cell r="X35">
            <v>2452</v>
          </cell>
          <cell r="Y35">
            <v>0</v>
          </cell>
          <cell r="Z35">
            <v>137831.1</v>
          </cell>
          <cell r="AA35">
            <v>0</v>
          </cell>
          <cell r="AB35">
            <v>0</v>
          </cell>
          <cell r="AC35">
            <v>1934</v>
          </cell>
          <cell r="AD35">
            <v>0</v>
          </cell>
          <cell r="AE35">
            <v>365317</v>
          </cell>
          <cell r="AF35">
            <v>0</v>
          </cell>
          <cell r="AG35">
            <v>0</v>
          </cell>
          <cell r="AH35">
            <v>0</v>
          </cell>
          <cell r="AI35">
            <v>267</v>
          </cell>
          <cell r="AJ35">
            <v>267</v>
          </cell>
          <cell r="AK35">
            <v>0</v>
          </cell>
          <cell r="AL35">
            <v>3</v>
          </cell>
          <cell r="AM35">
            <v>0</v>
          </cell>
          <cell r="AN35">
            <v>67</v>
          </cell>
          <cell r="AO35">
            <v>2010.0000000000002</v>
          </cell>
          <cell r="AP35">
            <v>55</v>
          </cell>
          <cell r="AQ35">
            <v>1650.0000000000002</v>
          </cell>
          <cell r="AR35">
            <v>61</v>
          </cell>
          <cell r="AS35">
            <v>1830</v>
          </cell>
          <cell r="AT35">
            <v>5490</v>
          </cell>
          <cell r="AU35">
            <v>0</v>
          </cell>
          <cell r="AX35">
            <v>0.8</v>
          </cell>
        </row>
      </sheetData>
      <sheetData sheetId="4">
        <row r="36">
          <cell r="B36">
            <v>109443</v>
          </cell>
          <cell r="C36">
            <v>0</v>
          </cell>
          <cell r="D36">
            <v>0</v>
          </cell>
          <cell r="E36">
            <v>241.93548387096774</v>
          </cell>
          <cell r="G36">
            <v>615374</v>
          </cell>
          <cell r="H36">
            <v>0</v>
          </cell>
          <cell r="I36">
            <v>0</v>
          </cell>
          <cell r="J36">
            <v>0</v>
          </cell>
          <cell r="K36">
            <v>6716</v>
          </cell>
          <cell r="L36">
            <v>0</v>
          </cell>
          <cell r="M36">
            <v>457.44</v>
          </cell>
          <cell r="N36">
            <v>0</v>
          </cell>
          <cell r="O36">
            <v>529.52</v>
          </cell>
          <cell r="P36">
            <v>0</v>
          </cell>
          <cell r="Q36">
            <v>0</v>
          </cell>
          <cell r="T36">
            <v>5164</v>
          </cell>
          <cell r="U36">
            <v>0</v>
          </cell>
          <cell r="V36">
            <v>460</v>
          </cell>
          <cell r="W36">
            <v>0</v>
          </cell>
          <cell r="X36">
            <v>150077</v>
          </cell>
          <cell r="Y36">
            <v>0</v>
          </cell>
          <cell r="Z36">
            <v>98262</v>
          </cell>
          <cell r="AA36">
            <v>1</v>
          </cell>
          <cell r="AB36">
            <v>256</v>
          </cell>
          <cell r="AC36">
            <v>731</v>
          </cell>
          <cell r="AD36">
            <v>0</v>
          </cell>
          <cell r="AE36">
            <v>227.8</v>
          </cell>
          <cell r="AF36">
            <v>0</v>
          </cell>
          <cell r="AG36">
            <v>2181.5700000000002</v>
          </cell>
          <cell r="AH36">
            <v>0</v>
          </cell>
          <cell r="AI36">
            <v>0</v>
          </cell>
          <cell r="AJ36">
            <v>1</v>
          </cell>
          <cell r="AK36">
            <v>0</v>
          </cell>
          <cell r="AL36">
            <v>1</v>
          </cell>
          <cell r="AM36">
            <v>0</v>
          </cell>
          <cell r="AN36">
            <v>0</v>
          </cell>
          <cell r="AP36">
            <v>0</v>
          </cell>
          <cell r="AR36">
            <v>44227</v>
          </cell>
          <cell r="AS36">
            <v>0.9</v>
          </cell>
          <cell r="AT36">
            <v>182</v>
          </cell>
          <cell r="AU36">
            <v>1.1000000000000001</v>
          </cell>
          <cell r="AV36">
            <v>150</v>
          </cell>
          <cell r="AW36">
            <v>2.9</v>
          </cell>
          <cell r="AX36">
            <v>166</v>
          </cell>
          <cell r="AY36">
            <v>163.80000000000001</v>
          </cell>
          <cell r="AZ36">
            <v>165</v>
          </cell>
          <cell r="BA36">
            <v>481.4</v>
          </cell>
          <cell r="BB36">
            <v>0</v>
          </cell>
          <cell r="BC36">
            <v>-2.2000000000000171</v>
          </cell>
          <cell r="BD36">
            <v>-2.9000000000000341</v>
          </cell>
          <cell r="BE36">
            <v>-5.1000000000000512</v>
          </cell>
          <cell r="BF36">
            <v>5.1000000000000512</v>
          </cell>
          <cell r="BG36">
            <v>-5.1000000000000512</v>
          </cell>
        </row>
      </sheetData>
      <sheetData sheetId="5" refreshError="1"/>
      <sheetData sheetId="6" refreshError="1"/>
      <sheetData sheetId="7">
        <row r="36">
          <cell r="B36">
            <v>236</v>
          </cell>
          <cell r="C36">
            <v>5077.8064516129034</v>
          </cell>
          <cell r="D36">
            <v>236</v>
          </cell>
          <cell r="E36">
            <v>5077.8064516129034</v>
          </cell>
          <cell r="F36">
            <v>236</v>
          </cell>
          <cell r="G36">
            <v>5077.8064516129034</v>
          </cell>
          <cell r="H36">
            <v>236</v>
          </cell>
          <cell r="I36">
            <v>5077.8064516129034</v>
          </cell>
          <cell r="J36">
            <v>236</v>
          </cell>
          <cell r="K36">
            <v>5077.8064516129034</v>
          </cell>
          <cell r="L36">
            <v>236</v>
          </cell>
          <cell r="M36">
            <v>5077.8064516129034</v>
          </cell>
          <cell r="N36">
            <v>236</v>
          </cell>
          <cell r="O36">
            <v>5077.8064516129034</v>
          </cell>
          <cell r="P36">
            <v>236</v>
          </cell>
          <cell r="Q36">
            <v>5077.8064516129034</v>
          </cell>
          <cell r="R36">
            <v>236</v>
          </cell>
          <cell r="S36">
            <v>5077.8064516129034</v>
          </cell>
          <cell r="T36">
            <v>236</v>
          </cell>
          <cell r="U36">
            <v>5077.8064516129034</v>
          </cell>
          <cell r="V36">
            <v>236</v>
          </cell>
          <cell r="W36">
            <v>5077.8064516129034</v>
          </cell>
          <cell r="X36">
            <v>0.761290322580645</v>
          </cell>
          <cell r="Y36">
            <v>55855.870967741925</v>
          </cell>
          <cell r="Z36">
            <v>242</v>
          </cell>
          <cell r="AA36">
            <v>2420</v>
          </cell>
          <cell r="AB36">
            <v>242</v>
          </cell>
          <cell r="AC36">
            <v>2420</v>
          </cell>
          <cell r="AD36">
            <v>242</v>
          </cell>
          <cell r="AE36">
            <v>2420</v>
          </cell>
          <cell r="AF36">
            <v>242</v>
          </cell>
          <cell r="AG36">
            <v>2420</v>
          </cell>
          <cell r="AH36">
            <v>242</v>
          </cell>
          <cell r="AI36">
            <v>2420</v>
          </cell>
          <cell r="AJ36">
            <v>242</v>
          </cell>
          <cell r="AK36">
            <v>2420</v>
          </cell>
          <cell r="AL36">
            <v>242</v>
          </cell>
          <cell r="AM36">
            <v>2420</v>
          </cell>
          <cell r="AN36">
            <v>0.86428571428571432</v>
          </cell>
          <cell r="AO36">
            <v>16940</v>
          </cell>
          <cell r="AQ36">
            <v>0.78300388262602905</v>
          </cell>
          <cell r="AR36">
            <v>72795.870967741925</v>
          </cell>
          <cell r="AS36">
            <v>-920.03225806451519</v>
          </cell>
          <cell r="AV36">
            <v>0.67</v>
          </cell>
          <cell r="AW36">
            <v>-267</v>
          </cell>
          <cell r="AX36">
            <v>-653.03225806451519</v>
          </cell>
          <cell r="AY36">
            <v>-920.03225806451519</v>
          </cell>
          <cell r="AZ36">
            <v>0</v>
          </cell>
          <cell r="BA36">
            <v>18.5</v>
          </cell>
          <cell r="BB36">
            <v>0.56000000000000005</v>
          </cell>
        </row>
      </sheetData>
      <sheetData sheetId="8" refreshError="1"/>
      <sheetData sheetId="9" refreshError="1"/>
      <sheetData sheetId="10" refreshError="1"/>
      <sheetData sheetId="11">
        <row r="33">
          <cell r="B33">
            <v>9538</v>
          </cell>
          <cell r="C33">
            <v>3</v>
          </cell>
          <cell r="D33">
            <v>311030.8</v>
          </cell>
          <cell r="E33">
            <v>521.79999999998836</v>
          </cell>
          <cell r="F33">
            <v>173.93333333332944</v>
          </cell>
          <cell r="I33" t="str">
            <v>ok</v>
          </cell>
          <cell r="J33">
            <v>10698</v>
          </cell>
          <cell r="K33">
            <v>0</v>
          </cell>
          <cell r="L33">
            <v>357691</v>
          </cell>
          <cell r="M33">
            <v>0</v>
          </cell>
          <cell r="N33">
            <v>0</v>
          </cell>
          <cell r="P33">
            <v>10873</v>
          </cell>
          <cell r="Q33" t="str">
            <v>ok</v>
          </cell>
          <cell r="R33">
            <v>11798</v>
          </cell>
          <cell r="S33">
            <v>0</v>
          </cell>
          <cell r="T33">
            <v>379229</v>
          </cell>
          <cell r="U33">
            <v>0</v>
          </cell>
          <cell r="V33">
            <v>0</v>
          </cell>
          <cell r="Y33" t="str">
            <v>ok</v>
          </cell>
          <cell r="Z33">
            <v>3</v>
          </cell>
          <cell r="AA33">
            <v>521.79999999998836</v>
          </cell>
          <cell r="AB33">
            <v>173.93333333332944</v>
          </cell>
          <cell r="AC33">
            <v>173.93333333332944</v>
          </cell>
          <cell r="AD33">
            <v>2007.0000000014261</v>
          </cell>
          <cell r="AE33">
            <v>669.00000000047532</v>
          </cell>
          <cell r="AF33">
            <v>0.41812500000029706</v>
          </cell>
          <cell r="AG33">
            <v>133.80000000009505</v>
          </cell>
          <cell r="AH33">
            <v>40.13333333323439</v>
          </cell>
          <cell r="AI33">
            <v>516.56962025353164</v>
          </cell>
          <cell r="AJ33">
            <v>0.25738396624472576</v>
          </cell>
          <cell r="AK33">
            <v>172.18987341784387</v>
          </cell>
        </row>
      </sheetData>
      <sheetData sheetId="12">
        <row r="26">
          <cell r="V26">
            <v>271580</v>
          </cell>
          <cell r="W26">
            <v>297890</v>
          </cell>
          <cell r="X26" t="str">
            <v>Night</v>
          </cell>
          <cell r="Y26">
            <v>80</v>
          </cell>
          <cell r="Z26">
            <v>1</v>
          </cell>
          <cell r="AA26">
            <v>26310</v>
          </cell>
          <cell r="AB26">
            <v>2104800</v>
          </cell>
          <cell r="AC26">
            <v>1033333</v>
          </cell>
          <cell r="AD26">
            <v>0.37186935920577618</v>
          </cell>
        </row>
        <row r="27">
          <cell r="V27">
            <v>393641</v>
          </cell>
          <cell r="W27">
            <v>425107</v>
          </cell>
          <cell r="X27" t="str">
            <v>day</v>
          </cell>
          <cell r="Y27">
            <v>112</v>
          </cell>
          <cell r="Z27">
            <v>1</v>
          </cell>
          <cell r="AA27">
            <v>31466</v>
          </cell>
          <cell r="AB27">
            <v>3524192</v>
          </cell>
          <cell r="AC27">
            <v>6200000</v>
          </cell>
          <cell r="AD27">
            <v>0.4429010604693141</v>
          </cell>
        </row>
        <row r="28">
          <cell r="V28">
            <v>115015</v>
          </cell>
          <cell r="W28">
            <v>128283</v>
          </cell>
          <cell r="X28" t="str">
            <v>Peak</v>
          </cell>
          <cell r="Y28">
            <v>320</v>
          </cell>
          <cell r="Z28">
            <v>1</v>
          </cell>
          <cell r="AA28">
            <v>13268</v>
          </cell>
          <cell r="AB28">
            <v>4245760</v>
          </cell>
          <cell r="AC28">
            <v>1000</v>
          </cell>
          <cell r="AD28">
            <v>0.18524368231046931</v>
          </cell>
        </row>
        <row r="29">
          <cell r="AA29">
            <v>71044</v>
          </cell>
        </row>
        <row r="30">
          <cell r="W30">
            <v>0</v>
          </cell>
          <cell r="AB30">
            <v>9874752</v>
          </cell>
          <cell r="AC30">
            <v>7234333</v>
          </cell>
        </row>
        <row r="31">
          <cell r="W31">
            <v>112</v>
          </cell>
          <cell r="AB31">
            <v>17109085</v>
          </cell>
          <cell r="AC31">
            <v>7234333</v>
          </cell>
        </row>
        <row r="32">
          <cell r="W32">
            <v>0</v>
          </cell>
        </row>
        <row r="33">
          <cell r="W33">
            <v>0</v>
          </cell>
        </row>
        <row r="34">
          <cell r="B34">
            <v>853626</v>
          </cell>
          <cell r="C34">
            <v>2345</v>
          </cell>
          <cell r="D34">
            <v>2346</v>
          </cell>
          <cell r="E34">
            <v>853627</v>
          </cell>
          <cell r="G34">
            <v>446</v>
          </cell>
          <cell r="I34">
            <v>935</v>
          </cell>
          <cell r="K34">
            <v>965</v>
          </cell>
          <cell r="L34">
            <v>94.673300165837475</v>
          </cell>
          <cell r="M34">
            <v>69.466003316749592</v>
          </cell>
          <cell r="N34">
            <v>51.210613598673298</v>
          </cell>
          <cell r="O34">
            <v>154.80303857058792</v>
          </cell>
          <cell r="P34">
            <v>370.15295565184829</v>
          </cell>
          <cell r="Q34">
            <v>431.00129032258002</v>
          </cell>
          <cell r="R34">
            <v>801.15424597442825</v>
          </cell>
          <cell r="S34">
            <v>6347</v>
          </cell>
          <cell r="T34">
            <v>0.12622565715683445</v>
          </cell>
          <cell r="AA34">
            <v>0.11</v>
          </cell>
          <cell r="AB34">
            <v>1881999.35</v>
          </cell>
        </row>
        <row r="35">
          <cell r="AB35">
            <v>18991084.350000001</v>
          </cell>
        </row>
        <row r="36">
          <cell r="AB36">
            <v>11349.310116086235</v>
          </cell>
        </row>
      </sheetData>
      <sheetData sheetId="13">
        <row r="36">
          <cell r="B36">
            <v>1.2</v>
          </cell>
          <cell r="C36">
            <v>7.8</v>
          </cell>
          <cell r="E36">
            <v>1.3</v>
          </cell>
          <cell r="F36">
            <v>8</v>
          </cell>
          <cell r="H36">
            <v>6716</v>
          </cell>
          <cell r="I36">
            <v>0</v>
          </cell>
        </row>
      </sheetData>
      <sheetData sheetId="14">
        <row r="10">
          <cell r="B10">
            <v>20</v>
          </cell>
          <cell r="C10">
            <v>15</v>
          </cell>
          <cell r="D10">
            <v>-0.80000000000000071</v>
          </cell>
        </row>
        <row r="11">
          <cell r="B11">
            <v>21</v>
          </cell>
          <cell r="C11">
            <v>15</v>
          </cell>
          <cell r="D11">
            <v>-0.30000000000000071</v>
          </cell>
        </row>
        <row r="12">
          <cell r="B12">
            <v>21</v>
          </cell>
          <cell r="C12">
            <v>16</v>
          </cell>
          <cell r="D12">
            <v>0.19999999999999929</v>
          </cell>
        </row>
        <row r="13">
          <cell r="B13">
            <v>22</v>
          </cell>
          <cell r="C13">
            <v>15</v>
          </cell>
          <cell r="D13">
            <v>0.19999999999999929</v>
          </cell>
        </row>
        <row r="14">
          <cell r="B14">
            <v>22</v>
          </cell>
          <cell r="C14">
            <v>16</v>
          </cell>
          <cell r="D14">
            <v>0.69999999999999929</v>
          </cell>
        </row>
        <row r="15">
          <cell r="B15">
            <v>22</v>
          </cell>
          <cell r="C15">
            <v>15</v>
          </cell>
          <cell r="D15">
            <v>0.19999999999999929</v>
          </cell>
        </row>
        <row r="16">
          <cell r="B16">
            <v>20</v>
          </cell>
          <cell r="C16">
            <v>14</v>
          </cell>
          <cell r="D16">
            <v>-1.3000000000000007</v>
          </cell>
        </row>
        <row r="17">
          <cell r="B17">
            <v>21</v>
          </cell>
          <cell r="C17">
            <v>14</v>
          </cell>
          <cell r="D17">
            <v>-0.80000000000000071</v>
          </cell>
        </row>
        <row r="18">
          <cell r="B18">
            <v>22</v>
          </cell>
          <cell r="C18">
            <v>15</v>
          </cell>
          <cell r="D18">
            <v>0.19999999999999929</v>
          </cell>
        </row>
        <row r="19">
          <cell r="B19">
            <v>22</v>
          </cell>
          <cell r="C19">
            <v>15</v>
          </cell>
          <cell r="D19">
            <v>0.19999999999999929</v>
          </cell>
        </row>
        <row r="20">
          <cell r="B20">
            <v>22</v>
          </cell>
          <cell r="C20">
            <v>16</v>
          </cell>
          <cell r="D20">
            <v>0.69999999999999929</v>
          </cell>
        </row>
        <row r="21">
          <cell r="B21">
            <v>24</v>
          </cell>
          <cell r="C21">
            <v>13</v>
          </cell>
          <cell r="D21">
            <v>0.19999999999999929</v>
          </cell>
        </row>
        <row r="22">
          <cell r="B22">
            <v>18</v>
          </cell>
          <cell r="C22">
            <v>12</v>
          </cell>
          <cell r="D22">
            <v>-3.3000000000000007</v>
          </cell>
        </row>
        <row r="23">
          <cell r="B23">
            <v>17</v>
          </cell>
          <cell r="C23">
            <v>12</v>
          </cell>
          <cell r="D23">
            <v>-3.8000000000000007</v>
          </cell>
        </row>
        <row r="24">
          <cell r="B24">
            <v>19</v>
          </cell>
          <cell r="C24">
            <v>13</v>
          </cell>
          <cell r="D24">
            <v>-2.3000000000000007</v>
          </cell>
        </row>
        <row r="25">
          <cell r="B25">
            <v>15</v>
          </cell>
          <cell r="C25">
            <v>9</v>
          </cell>
          <cell r="D25">
            <v>-6.3000000000000007</v>
          </cell>
        </row>
        <row r="26">
          <cell r="B26">
            <v>15</v>
          </cell>
          <cell r="C26">
            <v>12</v>
          </cell>
          <cell r="D26">
            <v>-4.8000000000000007</v>
          </cell>
        </row>
        <row r="27">
          <cell r="B27">
            <v>14</v>
          </cell>
          <cell r="C27">
            <v>8</v>
          </cell>
          <cell r="D27">
            <v>-7.3000000000000007</v>
          </cell>
        </row>
        <row r="28">
          <cell r="B28">
            <v>17</v>
          </cell>
          <cell r="C28">
            <v>10</v>
          </cell>
          <cell r="D28">
            <v>-4.8000000000000007</v>
          </cell>
        </row>
        <row r="29">
          <cell r="B29">
            <v>17</v>
          </cell>
          <cell r="C29">
            <v>10</v>
          </cell>
          <cell r="D29">
            <v>-4.8000000000000007</v>
          </cell>
        </row>
        <row r="30">
          <cell r="B30">
            <v>16</v>
          </cell>
          <cell r="C30">
            <v>9</v>
          </cell>
          <cell r="D30">
            <v>-5.8000000000000007</v>
          </cell>
        </row>
        <row r="31">
          <cell r="B31">
            <v>17</v>
          </cell>
          <cell r="C31">
            <v>10</v>
          </cell>
          <cell r="D31">
            <v>-4.8000000000000007</v>
          </cell>
        </row>
        <row r="32">
          <cell r="B32">
            <v>18</v>
          </cell>
          <cell r="C32">
            <v>12</v>
          </cell>
          <cell r="D32">
            <v>-3.3000000000000007</v>
          </cell>
        </row>
        <row r="33">
          <cell r="B33">
            <v>17</v>
          </cell>
          <cell r="C33">
            <v>11</v>
          </cell>
          <cell r="D33">
            <v>-4.3000000000000007</v>
          </cell>
        </row>
        <row r="34">
          <cell r="B34">
            <v>21</v>
          </cell>
          <cell r="C34">
            <v>12</v>
          </cell>
          <cell r="D34">
            <v>-1.8000000000000007</v>
          </cell>
        </row>
        <row r="35">
          <cell r="B35">
            <v>18</v>
          </cell>
          <cell r="C35">
            <v>11</v>
          </cell>
          <cell r="D35">
            <v>-3.8000000000000007</v>
          </cell>
        </row>
        <row r="36">
          <cell r="B36">
            <v>14</v>
          </cell>
          <cell r="C36">
            <v>10</v>
          </cell>
          <cell r="D36">
            <v>-6.3000000000000007</v>
          </cell>
        </row>
        <row r="37">
          <cell r="B37">
            <v>14</v>
          </cell>
          <cell r="C37">
            <v>10</v>
          </cell>
          <cell r="D37">
            <v>-6.3000000000000007</v>
          </cell>
        </row>
        <row r="38">
          <cell r="B38">
            <v>16</v>
          </cell>
          <cell r="C38">
            <v>12</v>
          </cell>
          <cell r="D38">
            <v>-4.3000000000000007</v>
          </cell>
        </row>
        <row r="39">
          <cell r="B39">
            <v>10</v>
          </cell>
          <cell r="C39">
            <v>4</v>
          </cell>
          <cell r="D39">
            <v>-11.3</v>
          </cell>
        </row>
        <row r="40">
          <cell r="B40">
            <v>21</v>
          </cell>
          <cell r="C40">
            <v>16</v>
          </cell>
          <cell r="D40">
            <v>0.19999999999999929</v>
          </cell>
        </row>
        <row r="43">
          <cell r="B43">
            <v>-92.59999999999998</v>
          </cell>
          <cell r="C43">
            <v>2.7999999999999936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21">
          <cell r="C21">
            <v>44215</v>
          </cell>
        </row>
      </sheetData>
      <sheetData sheetId="3" refreshError="1"/>
      <sheetData sheetId="4" refreshError="1"/>
      <sheetData sheetId="5" refreshError="1"/>
      <sheetData sheetId="6">
        <row r="24">
          <cell r="D24">
            <v>13.5</v>
          </cell>
          <cell r="H24">
            <v>0</v>
          </cell>
          <cell r="J24">
            <v>0</v>
          </cell>
        </row>
      </sheetData>
      <sheetData sheetId="7">
        <row r="24">
          <cell r="AW24">
            <v>-231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>
        <row r="37">
          <cell r="A37">
            <v>31</v>
          </cell>
        </row>
      </sheetData>
      <sheetData sheetId="13">
        <row r="24">
          <cell r="H24">
            <v>6713</v>
          </cell>
        </row>
      </sheetData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7">
          <cell r="X27" t="str">
            <v>day</v>
          </cell>
        </row>
        <row r="30">
          <cell r="Y30" t="str">
            <v>Per G</v>
          </cell>
        </row>
      </sheetData>
      <sheetData sheetId="13">
        <row r="36">
          <cell r="B36">
            <v>2.5</v>
          </cell>
        </row>
      </sheetData>
      <sheetData sheetId="14">
        <row r="10">
          <cell r="AA10">
            <v>-148.80000000000001</v>
          </cell>
        </row>
      </sheetData>
      <sheetData sheetId="15"/>
      <sheetData sheetId="16"/>
      <sheetData sheetId="17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9">
          <cell r="AA29">
            <v>314436</v>
          </cell>
        </row>
      </sheetData>
      <sheetData sheetId="13">
        <row r="10">
          <cell r="N10">
            <v>22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1">
          <cell r="V21" t="str">
            <v xml:space="preserve">EDL 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2">
          <cell r="AA22">
            <v>5000</v>
          </cell>
        </row>
        <row r="30">
          <cell r="V30" t="str">
            <v>Occ %</v>
          </cell>
        </row>
        <row r="31">
          <cell r="V31" t="str">
            <v>Gen RH</v>
          </cell>
        </row>
        <row r="32">
          <cell r="V32" t="str">
            <v>H Deg</v>
          </cell>
        </row>
        <row r="33">
          <cell r="V33" t="str">
            <v>C Deg</v>
          </cell>
        </row>
      </sheetData>
      <sheetData sheetId="13" refreshError="1">
        <row r="36">
          <cell r="N36">
            <v>642</v>
          </cell>
          <cell r="O36">
            <v>6836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5">
          <cell r="AB25" t="str">
            <v>Total cost LL</v>
          </cell>
        </row>
      </sheetData>
      <sheetData sheetId="13" refreshError="1"/>
      <sheetData sheetId="14" refreshError="1">
        <row r="10">
          <cell r="B10">
            <v>16</v>
          </cell>
          <cell r="I10">
            <v>1</v>
          </cell>
        </row>
        <row r="11">
          <cell r="I11">
            <v>2</v>
          </cell>
        </row>
        <row r="12">
          <cell r="I12">
            <v>3</v>
          </cell>
        </row>
        <row r="13">
          <cell r="I13">
            <v>4</v>
          </cell>
        </row>
        <row r="14">
          <cell r="I14">
            <v>5</v>
          </cell>
        </row>
        <row r="15">
          <cell r="I15">
            <v>6</v>
          </cell>
        </row>
        <row r="16">
          <cell r="I16">
            <v>7</v>
          </cell>
        </row>
        <row r="17">
          <cell r="I17">
            <v>8</v>
          </cell>
        </row>
        <row r="18">
          <cell r="I18">
            <v>9</v>
          </cell>
        </row>
        <row r="19">
          <cell r="I19">
            <v>10</v>
          </cell>
        </row>
        <row r="20">
          <cell r="I20">
            <v>11</v>
          </cell>
        </row>
        <row r="21">
          <cell r="I21">
            <v>12</v>
          </cell>
        </row>
        <row r="22">
          <cell r="I22">
            <v>13</v>
          </cell>
        </row>
        <row r="23">
          <cell r="I23">
            <v>14</v>
          </cell>
        </row>
        <row r="24">
          <cell r="I24">
            <v>15</v>
          </cell>
        </row>
        <row r="25">
          <cell r="I25">
            <v>16</v>
          </cell>
        </row>
        <row r="26">
          <cell r="I26">
            <v>17</v>
          </cell>
        </row>
        <row r="27">
          <cell r="I27">
            <v>18</v>
          </cell>
        </row>
        <row r="28">
          <cell r="I28">
            <v>19</v>
          </cell>
        </row>
        <row r="29">
          <cell r="I29">
            <v>20</v>
          </cell>
        </row>
        <row r="30">
          <cell r="I30">
            <v>21</v>
          </cell>
        </row>
        <row r="31">
          <cell r="I31">
            <v>22</v>
          </cell>
        </row>
        <row r="32">
          <cell r="I32">
            <v>23</v>
          </cell>
        </row>
        <row r="33">
          <cell r="I33">
            <v>24</v>
          </cell>
        </row>
        <row r="34">
          <cell r="I34">
            <v>25</v>
          </cell>
        </row>
        <row r="35">
          <cell r="I35">
            <v>26</v>
          </cell>
        </row>
        <row r="36">
          <cell r="I36">
            <v>27</v>
          </cell>
        </row>
        <row r="37">
          <cell r="I37">
            <v>28</v>
          </cell>
        </row>
        <row r="38">
          <cell r="I38">
            <v>29</v>
          </cell>
        </row>
        <row r="39">
          <cell r="I39">
            <v>30</v>
          </cell>
        </row>
        <row r="40">
          <cell r="I40">
            <v>31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2">
          <cell r="A32">
            <v>0</v>
          </cell>
        </row>
      </sheetData>
      <sheetData sheetId="3">
        <row r="34">
          <cell r="B34">
            <v>236.3</v>
          </cell>
        </row>
      </sheetData>
      <sheetData sheetId="4">
        <row r="35">
          <cell r="B35">
            <v>109443</v>
          </cell>
        </row>
      </sheetData>
      <sheetData sheetId="5"/>
      <sheetData sheetId="6"/>
      <sheetData sheetId="7">
        <row r="35">
          <cell r="B35">
            <v>236.3</v>
          </cell>
        </row>
      </sheetData>
      <sheetData sheetId="8"/>
      <sheetData sheetId="9"/>
      <sheetData sheetId="10"/>
      <sheetData sheetId="11">
        <row r="32">
          <cell r="B32">
            <v>9357</v>
          </cell>
        </row>
      </sheetData>
      <sheetData sheetId="12">
        <row r="26">
          <cell r="V26">
            <v>210387</v>
          </cell>
        </row>
      </sheetData>
      <sheetData sheetId="13">
        <row r="35">
          <cell r="B35">
            <v>1.5</v>
          </cell>
        </row>
      </sheetData>
      <sheetData sheetId="14">
        <row r="48">
          <cell r="R48">
            <v>25</v>
          </cell>
        </row>
      </sheetData>
      <sheetData sheetId="15"/>
      <sheetData sheetId="16"/>
      <sheetData sheetId="17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7"/>
      <sheetName val="Sheet6"/>
      <sheetName val="Sheet2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16">
          <cell r="X16">
            <v>0</v>
          </cell>
        </row>
      </sheetData>
      <sheetData sheetId="13" refreshError="1"/>
      <sheetData sheetId="14" refreshError="1">
        <row r="10">
          <cell r="B10">
            <v>16</v>
          </cell>
          <cell r="E10">
            <v>1</v>
          </cell>
          <cell r="M10">
            <v>1</v>
          </cell>
        </row>
        <row r="11">
          <cell r="E11">
            <v>2</v>
          </cell>
          <cell r="M11">
            <v>2</v>
          </cell>
        </row>
        <row r="12">
          <cell r="E12">
            <v>3</v>
          </cell>
          <cell r="M12">
            <v>3</v>
          </cell>
        </row>
        <row r="13">
          <cell r="E13">
            <v>4</v>
          </cell>
          <cell r="M13">
            <v>4</v>
          </cell>
        </row>
        <row r="14">
          <cell r="E14">
            <v>5</v>
          </cell>
          <cell r="M14">
            <v>5</v>
          </cell>
        </row>
        <row r="15">
          <cell r="E15">
            <v>6</v>
          </cell>
          <cell r="M15">
            <v>6</v>
          </cell>
        </row>
        <row r="16">
          <cell r="E16">
            <v>7</v>
          </cell>
          <cell r="M16">
            <v>7</v>
          </cell>
        </row>
        <row r="17">
          <cell r="E17">
            <v>8</v>
          </cell>
          <cell r="M17">
            <v>8</v>
          </cell>
        </row>
        <row r="18">
          <cell r="E18">
            <v>9</v>
          </cell>
          <cell r="M18">
            <v>9</v>
          </cell>
        </row>
        <row r="19">
          <cell r="E19">
            <v>10</v>
          </cell>
          <cell r="M19">
            <v>10</v>
          </cell>
        </row>
        <row r="20">
          <cell r="E20">
            <v>11</v>
          </cell>
          <cell r="M20">
            <v>11</v>
          </cell>
        </row>
        <row r="21">
          <cell r="E21">
            <v>12</v>
          </cell>
          <cell r="M21">
            <v>12</v>
          </cell>
        </row>
        <row r="22">
          <cell r="E22">
            <v>13</v>
          </cell>
          <cell r="M22">
            <v>13</v>
          </cell>
        </row>
        <row r="23">
          <cell r="E23">
            <v>14</v>
          </cell>
          <cell r="M23">
            <v>14</v>
          </cell>
        </row>
        <row r="24">
          <cell r="E24">
            <v>15</v>
          </cell>
          <cell r="M24">
            <v>15</v>
          </cell>
        </row>
        <row r="25">
          <cell r="E25">
            <v>16</v>
          </cell>
          <cell r="M25">
            <v>16</v>
          </cell>
        </row>
        <row r="26">
          <cell r="E26">
            <v>17</v>
          </cell>
          <cell r="M26">
            <v>17</v>
          </cell>
        </row>
        <row r="27">
          <cell r="E27">
            <v>18</v>
          </cell>
          <cell r="M27">
            <v>18</v>
          </cell>
        </row>
        <row r="28">
          <cell r="E28">
            <v>19</v>
          </cell>
          <cell r="M28">
            <v>19</v>
          </cell>
        </row>
        <row r="29">
          <cell r="E29">
            <v>20</v>
          </cell>
          <cell r="M29">
            <v>20</v>
          </cell>
        </row>
        <row r="30">
          <cell r="E30">
            <v>21</v>
          </cell>
          <cell r="M30">
            <v>21</v>
          </cell>
        </row>
        <row r="31">
          <cell r="E31">
            <v>22</v>
          </cell>
          <cell r="M31">
            <v>22</v>
          </cell>
        </row>
        <row r="32">
          <cell r="E32">
            <v>23</v>
          </cell>
          <cell r="M32">
            <v>23</v>
          </cell>
        </row>
        <row r="33">
          <cell r="E33">
            <v>24</v>
          </cell>
          <cell r="M33">
            <v>24</v>
          </cell>
        </row>
        <row r="34">
          <cell r="E34">
            <v>25</v>
          </cell>
          <cell r="M34">
            <v>25</v>
          </cell>
        </row>
        <row r="35">
          <cell r="E35">
            <v>26</v>
          </cell>
          <cell r="M35">
            <v>26</v>
          </cell>
        </row>
        <row r="36">
          <cell r="E36">
            <v>27</v>
          </cell>
          <cell r="M36">
            <v>27</v>
          </cell>
        </row>
        <row r="37">
          <cell r="E37">
            <v>28</v>
          </cell>
          <cell r="M37">
            <v>28</v>
          </cell>
        </row>
        <row r="38">
          <cell r="M38">
            <v>29</v>
          </cell>
        </row>
        <row r="39">
          <cell r="M39">
            <v>30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GEN"/>
      <sheetName val="WATER"/>
      <sheetName val="graphic"/>
      <sheetName val="General information "/>
      <sheetName val="tanks"/>
      <sheetName val="EDl log"/>
      <sheetName val="Degree Days 2018"/>
      <sheetName val="Sheet1"/>
      <sheetName val="Report"/>
      <sheetName val="Sheet5"/>
      <sheetName val="Utility Cost "/>
      <sheetName val="MDB"/>
      <sheetName val="Swimming Pool quality check "/>
      <sheetName val="Sheet2"/>
      <sheetName val="Sheet6"/>
      <sheetName val="Sheet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>
        <row r="6">
          <cell r="C6">
            <v>672</v>
          </cell>
        </row>
      </sheetData>
      <sheetData sheetId="15" refreshError="1"/>
      <sheetData sheetId="16">
        <row r="36">
          <cell r="B36">
            <v>1</v>
          </cell>
          <cell r="J36">
            <v>0.33333333333333398</v>
          </cell>
        </row>
      </sheetData>
      <sheetData sheetId="17" refreshError="1"/>
      <sheetData sheetId="18" refreshError="1"/>
      <sheetData sheetId="19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1"/>
      <sheetName val="Water prod Calculation2021"/>
      <sheetName val="Electrical Calculation2021"/>
      <sheetName val="Gas calculation 2021"/>
      <sheetName val="Other Fuel Calculation 2021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12">
          <cell r="C12">
            <v>19000</v>
          </cell>
        </row>
        <row r="14">
          <cell r="C14">
            <v>28095.438387096758</v>
          </cell>
        </row>
        <row r="15">
          <cell r="C15">
            <v>8200</v>
          </cell>
        </row>
      </sheetData>
      <sheetData sheetId="6" refreshError="1"/>
      <sheetData sheetId="7" refreshError="1"/>
      <sheetData sheetId="8" refreshError="1"/>
      <sheetData sheetId="9">
        <row r="117">
          <cell r="C117">
            <v>172.73885330486587</v>
          </cell>
        </row>
      </sheetData>
      <sheetData sheetId="10" refreshError="1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Degree Days 2020"/>
      <sheetName val="Utility Cost "/>
      <sheetName val="MDB"/>
      <sheetName val="Swimming Pool quality check "/>
      <sheetName val="Sheet2"/>
      <sheetName val="Sheet6"/>
      <sheetName val="Sheet7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4">
          <cell r="B14">
            <v>0.69999999999999929</v>
          </cell>
        </row>
        <row r="15">
          <cell r="B15">
            <v>-153.49999999999997</v>
          </cell>
        </row>
        <row r="16">
          <cell r="B16">
            <v>14.293103448275861</v>
          </cell>
        </row>
        <row r="17">
          <cell r="B17">
            <v>0.20819655172413792</v>
          </cell>
        </row>
        <row r="18">
          <cell r="B18">
            <v>115.42000000000007</v>
          </cell>
        </row>
        <row r="19">
          <cell r="B19">
            <v>3.9800000000000026</v>
          </cell>
        </row>
      </sheetData>
      <sheetData sheetId="15"/>
      <sheetData sheetId="16"/>
      <sheetData sheetId="17"/>
      <sheetData sheetId="18"/>
      <sheetData sheetId="1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accuweather.com/en/lb/lebanon-weather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2.bin"/><Relationship Id="rId4" Type="http://schemas.openxmlformats.org/officeDocument/2006/relationships/comments" Target="../comments1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15.bin"/><Relationship Id="rId1" Type="http://schemas.openxmlformats.org/officeDocument/2006/relationships/hyperlink" Target="http://www.accuweather.com/en/lb/beirut" TargetMode="External"/><Relationship Id="rId5" Type="http://schemas.openxmlformats.org/officeDocument/2006/relationships/comments" Target="../comments3.xml"/><Relationship Id="rId4" Type="http://schemas.openxmlformats.org/officeDocument/2006/relationships/vmlDrawing" Target="../drawings/vmlDrawing3.v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29"/>
  <sheetViews>
    <sheetView topLeftCell="A10" workbookViewId="0">
      <selection activeCell="A30" sqref="A30:XFD30"/>
    </sheetView>
  </sheetViews>
  <sheetFormatPr defaultColWidth="11.5703125" defaultRowHeight="15"/>
  <cols>
    <col min="2" max="2" width="4.28515625" bestFit="1" customWidth="1"/>
    <col min="3" max="3" width="6.85546875" bestFit="1" customWidth="1"/>
    <col min="4" max="4" width="6" bestFit="1" customWidth="1"/>
    <col min="5" max="5" width="10.5703125" bestFit="1" customWidth="1"/>
    <col min="6" max="6" width="9.85546875" bestFit="1" customWidth="1"/>
    <col min="7" max="10" width="11.7109375" bestFit="1" customWidth="1"/>
    <col min="11" max="11" width="14.140625" bestFit="1" customWidth="1"/>
    <col min="12" max="12" width="12.140625" style="293" bestFit="1" customWidth="1"/>
    <col min="13" max="13" width="12.140625" style="293" customWidth="1"/>
    <col min="14" max="14" width="12.140625" style="499" customWidth="1"/>
    <col min="15" max="15" width="11.7109375" bestFit="1" customWidth="1"/>
  </cols>
  <sheetData>
    <row r="1" spans="1:15" ht="60">
      <c r="A1" t="s">
        <v>341</v>
      </c>
      <c r="B1" t="s">
        <v>198</v>
      </c>
      <c r="C1" t="s">
        <v>342</v>
      </c>
      <c r="D1" t="s">
        <v>343</v>
      </c>
      <c r="E1" s="273" t="s">
        <v>353</v>
      </c>
      <c r="F1" s="273" t="s">
        <v>354</v>
      </c>
      <c r="G1" s="273" t="s">
        <v>355</v>
      </c>
      <c r="H1" s="273" t="s">
        <v>356</v>
      </c>
      <c r="I1" s="273" t="s">
        <v>357</v>
      </c>
      <c r="J1" s="273" t="s">
        <v>358</v>
      </c>
      <c r="K1" s="273" t="s">
        <v>359</v>
      </c>
      <c r="L1" s="305" t="s">
        <v>360</v>
      </c>
      <c r="M1" s="496" t="s">
        <v>401</v>
      </c>
      <c r="N1" s="497" t="s">
        <v>402</v>
      </c>
      <c r="O1" s="273" t="s">
        <v>344</v>
      </c>
    </row>
    <row r="2" spans="1:15">
      <c r="A2" t="s">
        <v>345</v>
      </c>
      <c r="B2">
        <v>1</v>
      </c>
      <c r="C2">
        <v>1</v>
      </c>
      <c r="D2">
        <v>2021</v>
      </c>
      <c r="E2" s="203">
        <f>ELEC!N3</f>
        <v>6404.3999999999069</v>
      </c>
      <c r="F2" s="330">
        <f>SUM('EDl log'!T4)</f>
        <v>0.13242882867702499</v>
      </c>
      <c r="G2" s="203">
        <f>-tanks!AW6</f>
        <v>467.60000000000582</v>
      </c>
      <c r="H2" s="330">
        <f>SUM(tanks!AV6)</f>
        <v>0.1</v>
      </c>
      <c r="I2" s="10">
        <f>('B5'!AU5)*0.51</f>
        <v>0</v>
      </c>
      <c r="J2" s="309">
        <f>'B5'!AX5/0.51</f>
        <v>1.5686274509803921</v>
      </c>
      <c r="K2" s="203">
        <f>WATER!I6</f>
        <v>0</v>
      </c>
      <c r="L2" s="331">
        <f>SUM(WATER!J6)</f>
        <v>0</v>
      </c>
      <c r="M2" s="331">
        <f>WATER!Q6</f>
        <v>0</v>
      </c>
      <c r="N2" s="498">
        <v>0.6</v>
      </c>
      <c r="O2" s="10">
        <f>ELEC!B3</f>
        <v>0</v>
      </c>
    </row>
    <row r="3" spans="1:15">
      <c r="A3" t="s">
        <v>345</v>
      </c>
      <c r="B3">
        <f>B2+1</f>
        <v>2</v>
      </c>
      <c r="C3">
        <v>1</v>
      </c>
      <c r="D3">
        <v>2021</v>
      </c>
      <c r="E3" s="203">
        <f>ELEC!N4</f>
        <v>6622</v>
      </c>
      <c r="F3" s="330">
        <f>SUM('EDl log'!T5)</f>
        <v>0.11938718207898047</v>
      </c>
      <c r="G3" s="203">
        <f>-tanks!AW7</f>
        <v>234</v>
      </c>
      <c r="H3" s="330">
        <f>SUM(tanks!AV7)</f>
        <v>0.1</v>
      </c>
      <c r="I3" s="10">
        <f>('B5'!AU6)*0.51</f>
        <v>0</v>
      </c>
      <c r="J3" s="309">
        <f>'B5'!AX6/0.51</f>
        <v>1.5686274509803921</v>
      </c>
      <c r="K3" s="203">
        <f>WATER!I7</f>
        <v>0</v>
      </c>
      <c r="L3" s="331">
        <f>SUM(WATER!J7)</f>
        <v>0</v>
      </c>
      <c r="M3" s="331">
        <f>WATER!Q7</f>
        <v>0</v>
      </c>
      <c r="N3" s="498">
        <v>0.6</v>
      </c>
      <c r="O3" s="10">
        <f>ELEC!B4</f>
        <v>0</v>
      </c>
    </row>
    <row r="4" spans="1:15">
      <c r="A4" t="s">
        <v>345</v>
      </c>
      <c r="B4">
        <f t="shared" ref="B4:B29" si="0">B3+1</f>
        <v>3</v>
      </c>
      <c r="C4">
        <v>1</v>
      </c>
      <c r="D4">
        <v>2021</v>
      </c>
      <c r="E4" s="203">
        <f>ELEC!N5</f>
        <v>6753</v>
      </c>
      <c r="F4" s="330">
        <f>SUM('EDl log'!T6)</f>
        <v>0.13092726262036616</v>
      </c>
      <c r="G4" s="203">
        <f>-tanks!AW8</f>
        <v>289</v>
      </c>
      <c r="H4" s="330">
        <f>SUM(tanks!AV8)</f>
        <v>0.1</v>
      </c>
      <c r="I4" s="10">
        <f>('B5'!AU7)*0.51</f>
        <v>0</v>
      </c>
      <c r="J4" s="309">
        <f>'B5'!AX7/0.51</f>
        <v>1.5686274509803921</v>
      </c>
      <c r="K4" s="203">
        <f>WATER!I8</f>
        <v>0</v>
      </c>
      <c r="L4" s="331">
        <f>SUM(WATER!J8)</f>
        <v>0</v>
      </c>
      <c r="M4" s="331">
        <f>WATER!Q8</f>
        <v>0</v>
      </c>
      <c r="N4" s="498">
        <v>0.6</v>
      </c>
      <c r="O4" s="10">
        <f>ELEC!B5</f>
        <v>0</v>
      </c>
    </row>
    <row r="5" spans="1:15">
      <c r="A5" t="s">
        <v>345</v>
      </c>
      <c r="B5">
        <f t="shared" si="0"/>
        <v>4</v>
      </c>
      <c r="C5">
        <v>1</v>
      </c>
      <c r="D5">
        <v>2021</v>
      </c>
      <c r="E5" s="203">
        <f>ELEC!N6</f>
        <v>6587</v>
      </c>
      <c r="F5" s="330">
        <f>SUM('EDl log'!T7)</f>
        <v>0.13842856037574905</v>
      </c>
      <c r="G5" s="203">
        <f>-tanks!AW9</f>
        <v>314</v>
      </c>
      <c r="H5" s="330">
        <f>SUM(tanks!AV9)</f>
        <v>0.1</v>
      </c>
      <c r="I5" s="10">
        <f>('B5'!AU8)*0.51</f>
        <v>0</v>
      </c>
      <c r="J5" s="309">
        <f>'B5'!AX8/0.51</f>
        <v>1.5686274509803921</v>
      </c>
      <c r="K5" s="203">
        <f>WATER!I9</f>
        <v>0</v>
      </c>
      <c r="L5" s="331">
        <f>SUM(WATER!J9)</f>
        <v>0</v>
      </c>
      <c r="M5" s="331">
        <f>WATER!Q9</f>
        <v>0</v>
      </c>
      <c r="N5" s="498">
        <v>0.6</v>
      </c>
      <c r="O5" s="10">
        <f>ELEC!B6</f>
        <v>0</v>
      </c>
    </row>
    <row r="6" spans="1:15">
      <c r="A6" t="s">
        <v>345</v>
      </c>
      <c r="B6">
        <f t="shared" si="0"/>
        <v>5</v>
      </c>
      <c r="C6">
        <v>1</v>
      </c>
      <c r="D6">
        <v>2021</v>
      </c>
      <c r="E6" s="203">
        <f>ELEC!N7</f>
        <v>5932</v>
      </c>
      <c r="F6" s="330">
        <f>SUM('EDl log'!T8)</f>
        <v>1.9030838558902322E-2</v>
      </c>
      <c r="G6" s="203">
        <f>-tanks!AW10</f>
        <v>391</v>
      </c>
      <c r="H6" s="330">
        <f>SUM(tanks!AV10)</f>
        <v>0.67400000000000004</v>
      </c>
      <c r="I6" s="10">
        <f>('B5'!AU9)*0.51</f>
        <v>0</v>
      </c>
      <c r="J6" s="309">
        <f>'B5'!AX9/0.51</f>
        <v>1.5686274509803921</v>
      </c>
      <c r="K6" s="203">
        <f>WATER!I10</f>
        <v>0</v>
      </c>
      <c r="L6" s="331">
        <f>SUM(WATER!J10)</f>
        <v>0</v>
      </c>
      <c r="M6" s="331">
        <f>WATER!Q10</f>
        <v>0</v>
      </c>
      <c r="N6" s="498">
        <v>0.6</v>
      </c>
      <c r="O6" s="10">
        <f>ELEC!B7</f>
        <v>0</v>
      </c>
    </row>
    <row r="7" spans="1:15">
      <c r="A7" t="s">
        <v>345</v>
      </c>
      <c r="B7">
        <f t="shared" si="0"/>
        <v>6</v>
      </c>
      <c r="C7">
        <v>1</v>
      </c>
      <c r="D7">
        <v>2021</v>
      </c>
      <c r="E7" s="203">
        <f>ELEC!N8</f>
        <v>5977</v>
      </c>
      <c r="F7" s="330">
        <f>SUM('EDl log'!T9)</f>
        <v>0.11761000113352738</v>
      </c>
      <c r="G7" s="203">
        <f>-tanks!AW11</f>
        <v>311</v>
      </c>
      <c r="H7" s="330">
        <f>SUM(tanks!AV11)</f>
        <v>0.67400000000000004</v>
      </c>
      <c r="I7" s="10">
        <f>('B5'!AU10)*0.51</f>
        <v>0</v>
      </c>
      <c r="J7" s="309">
        <f>'B5'!AX10/0.51</f>
        <v>1.5686274509803921</v>
      </c>
      <c r="K7" s="203">
        <f>WATER!I11</f>
        <v>0</v>
      </c>
      <c r="L7" s="331">
        <f>SUM(WATER!J11)</f>
        <v>0</v>
      </c>
      <c r="M7" s="331">
        <f>WATER!Q11</f>
        <v>0</v>
      </c>
      <c r="N7" s="498">
        <v>0.6</v>
      </c>
      <c r="O7" s="10">
        <f>ELEC!B8</f>
        <v>0</v>
      </c>
    </row>
    <row r="8" spans="1:15">
      <c r="A8" t="s">
        <v>345</v>
      </c>
      <c r="B8">
        <f t="shared" si="0"/>
        <v>7</v>
      </c>
      <c r="C8">
        <v>1</v>
      </c>
      <c r="D8">
        <v>2021</v>
      </c>
      <c r="E8" s="203">
        <f>ELEC!N9</f>
        <v>6551.2000000001863</v>
      </c>
      <c r="F8" s="330">
        <f>SUM('EDl log'!T10)</f>
        <v>0.14249037511252213</v>
      </c>
      <c r="G8" s="203">
        <f>-tanks!AW12</f>
        <v>279</v>
      </c>
      <c r="H8" s="330">
        <f>SUM(tanks!AV12)</f>
        <v>0.67400000000000004</v>
      </c>
      <c r="I8" s="10">
        <f>('B5'!AU11)*0.51</f>
        <v>0</v>
      </c>
      <c r="J8" s="309">
        <f>'B5'!AX11/0.51</f>
        <v>1.5686274509803921</v>
      </c>
      <c r="K8" s="203">
        <f>WATER!I12</f>
        <v>0</v>
      </c>
      <c r="L8" s="331">
        <f>SUM(WATER!J12)</f>
        <v>0</v>
      </c>
      <c r="M8" s="331">
        <f>WATER!Q12</f>
        <v>0</v>
      </c>
      <c r="N8" s="498">
        <v>0.6</v>
      </c>
      <c r="O8" s="10">
        <f>ELEC!B9</f>
        <v>0</v>
      </c>
    </row>
    <row r="9" spans="1:15">
      <c r="A9" t="s">
        <v>345</v>
      </c>
      <c r="B9">
        <f t="shared" si="0"/>
        <v>8</v>
      </c>
      <c r="C9">
        <v>1</v>
      </c>
      <c r="D9">
        <v>2021</v>
      </c>
      <c r="E9" s="203">
        <f>ELEC!N10</f>
        <v>6289.7999999998137</v>
      </c>
      <c r="F9" s="330">
        <f>SUM('EDl log'!T11)</f>
        <v>0.11543776192421691</v>
      </c>
      <c r="G9" s="203">
        <f>-tanks!AW13</f>
        <v>333.39999999999418</v>
      </c>
      <c r="H9" s="330">
        <f>SUM(tanks!AV13)</f>
        <v>0.67400000000000004</v>
      </c>
      <c r="I9" s="10">
        <f>('B5'!AU12)*0.51</f>
        <v>0</v>
      </c>
      <c r="J9" s="309">
        <f>'B5'!AX12/0.51</f>
        <v>1.5686274509803921</v>
      </c>
      <c r="K9" s="203">
        <f>WATER!I13</f>
        <v>0</v>
      </c>
      <c r="L9" s="331">
        <f>SUM(WATER!J13)</f>
        <v>0</v>
      </c>
      <c r="M9" s="331">
        <f>WATER!Q13</f>
        <v>0</v>
      </c>
      <c r="N9" s="498">
        <v>0.6</v>
      </c>
      <c r="O9" s="10">
        <f>ELEC!B10</f>
        <v>0</v>
      </c>
    </row>
    <row r="10" spans="1:15">
      <c r="A10" t="s">
        <v>345</v>
      </c>
      <c r="B10">
        <f t="shared" si="0"/>
        <v>9</v>
      </c>
      <c r="C10">
        <v>1</v>
      </c>
      <c r="D10">
        <v>2021</v>
      </c>
      <c r="E10" s="203">
        <f>ELEC!N11</f>
        <v>7008</v>
      </c>
      <c r="F10" s="330">
        <f>SUM('EDl log'!T12)</f>
        <v>0.12922441907154919</v>
      </c>
      <c r="G10" s="203">
        <f>-tanks!AW14</f>
        <v>236</v>
      </c>
      <c r="H10" s="330">
        <f>SUM(tanks!AV14)</f>
        <v>0.67400000000000004</v>
      </c>
      <c r="I10" s="10">
        <f>('B5'!AU13)*0.51</f>
        <v>0</v>
      </c>
      <c r="J10" s="309">
        <f>'B5'!AX13/0.51</f>
        <v>1.5686274509803921</v>
      </c>
      <c r="K10" s="203">
        <f>WATER!I14</f>
        <v>0</v>
      </c>
      <c r="L10" s="331">
        <f>SUM(WATER!J14)</f>
        <v>0</v>
      </c>
      <c r="M10" s="331">
        <f>WATER!Q14</f>
        <v>0</v>
      </c>
      <c r="N10" s="498">
        <v>0.6</v>
      </c>
      <c r="O10" s="10">
        <f>ELEC!B11</f>
        <v>0</v>
      </c>
    </row>
    <row r="11" spans="1:15">
      <c r="A11" t="s">
        <v>345</v>
      </c>
      <c r="B11">
        <f t="shared" si="0"/>
        <v>10</v>
      </c>
      <c r="C11">
        <v>1</v>
      </c>
      <c r="D11">
        <v>2021</v>
      </c>
      <c r="E11" s="203">
        <f>ELEC!N12</f>
        <v>7276</v>
      </c>
      <c r="F11" s="330">
        <f>SUM('EDl log'!T13)</f>
        <v>0.17252221358505906</v>
      </c>
      <c r="G11" s="203">
        <f>-tanks!AW15</f>
        <v>236</v>
      </c>
      <c r="H11" s="330">
        <f>SUM(tanks!AV15)</f>
        <v>0.67400000000000004</v>
      </c>
      <c r="I11" s="10">
        <f>('B5'!AU14)*0.51</f>
        <v>0</v>
      </c>
      <c r="J11" s="309">
        <f>'B5'!AX14/0.51</f>
        <v>1.5686274509803921</v>
      </c>
      <c r="K11" s="203">
        <f>WATER!I15</f>
        <v>0</v>
      </c>
      <c r="L11" s="331">
        <f>SUM(WATER!J15)</f>
        <v>0</v>
      </c>
      <c r="M11" s="331">
        <f>WATER!Q15</f>
        <v>0</v>
      </c>
      <c r="N11" s="498">
        <v>0.6</v>
      </c>
      <c r="O11" s="10">
        <f>ELEC!B12</f>
        <v>0</v>
      </c>
    </row>
    <row r="12" spans="1:15">
      <c r="A12" t="s">
        <v>345</v>
      </c>
      <c r="B12">
        <f t="shared" si="0"/>
        <v>11</v>
      </c>
      <c r="C12">
        <v>1</v>
      </c>
      <c r="D12">
        <v>2021</v>
      </c>
      <c r="E12" s="203">
        <f>ELEC!N13</f>
        <v>7236</v>
      </c>
      <c r="F12" s="330">
        <f>SUM('EDl log'!T14)</f>
        <v>0.14685206462662037</v>
      </c>
      <c r="G12" s="203">
        <f>-tanks!AW16</f>
        <v>253</v>
      </c>
      <c r="H12" s="330">
        <f>SUM(tanks!AV16)</f>
        <v>0.67400000000000004</v>
      </c>
      <c r="I12" s="10">
        <f>('B5'!AU15)*0.51</f>
        <v>0</v>
      </c>
      <c r="J12" s="309">
        <f>'B5'!AX15/0.51</f>
        <v>1.5686274509803921</v>
      </c>
      <c r="K12" s="203">
        <f>WATER!I16</f>
        <v>0</v>
      </c>
      <c r="L12" s="331">
        <f>SUM(WATER!J16)</f>
        <v>0</v>
      </c>
      <c r="M12" s="331">
        <f>WATER!Q16</f>
        <v>0</v>
      </c>
      <c r="N12" s="498">
        <v>0.6</v>
      </c>
      <c r="O12" s="10">
        <f>ELEC!B13</f>
        <v>0</v>
      </c>
    </row>
    <row r="13" spans="1:15">
      <c r="A13" t="s">
        <v>345</v>
      </c>
      <c r="B13">
        <f t="shared" si="0"/>
        <v>12</v>
      </c>
      <c r="C13">
        <v>1</v>
      </c>
      <c r="D13">
        <v>2021</v>
      </c>
      <c r="E13" s="203">
        <f>ELEC!N14</f>
        <v>5643</v>
      </c>
      <c r="F13" s="330">
        <f>SUM('EDl log'!T15)</f>
        <v>0.13646471511407207</v>
      </c>
      <c r="G13" s="203">
        <f>-tanks!AW17</f>
        <v>234</v>
      </c>
      <c r="H13" s="330">
        <f>SUM(tanks!AV17)</f>
        <v>0.67400000000000004</v>
      </c>
      <c r="I13" s="10">
        <f>('B5'!AU16)*0.51</f>
        <v>0</v>
      </c>
      <c r="J13" s="309">
        <f>'B5'!AX16/0.51</f>
        <v>1.5686274509803921</v>
      </c>
      <c r="K13" s="203">
        <f>WATER!I17</f>
        <v>0</v>
      </c>
      <c r="L13" s="331">
        <f>SUM(WATER!J17)</f>
        <v>0</v>
      </c>
      <c r="M13" s="331">
        <f>WATER!Q17</f>
        <v>0</v>
      </c>
      <c r="N13" s="498">
        <v>0.6</v>
      </c>
      <c r="O13" s="10">
        <f>ELEC!B14</f>
        <v>0</v>
      </c>
    </row>
    <row r="14" spans="1:15">
      <c r="A14" t="s">
        <v>345</v>
      </c>
      <c r="B14">
        <f t="shared" si="0"/>
        <v>13</v>
      </c>
      <c r="C14">
        <v>1</v>
      </c>
      <c r="D14">
        <v>2021</v>
      </c>
      <c r="E14" s="203">
        <f>ELEC!N15</f>
        <v>6507</v>
      </c>
      <c r="F14" s="330">
        <f>SUM('EDl log'!T16)</f>
        <v>0.16220505229649082</v>
      </c>
      <c r="G14" s="203">
        <f>-tanks!AW18</f>
        <v>281</v>
      </c>
      <c r="H14" s="330">
        <f>SUM(tanks!AV18)</f>
        <v>0.67400000000000004</v>
      </c>
      <c r="I14" s="10">
        <f>('B5'!AU17)*0.51</f>
        <v>0</v>
      </c>
      <c r="J14" s="309">
        <f>'B5'!AX17/0.51</f>
        <v>1.5686274509803921</v>
      </c>
      <c r="K14" s="203">
        <f>WATER!I18</f>
        <v>0</v>
      </c>
      <c r="L14" s="331">
        <f>SUM(WATER!J18)</f>
        <v>0</v>
      </c>
      <c r="M14" s="331">
        <f>WATER!Q18</f>
        <v>0</v>
      </c>
      <c r="N14" s="498">
        <v>0.6</v>
      </c>
      <c r="O14" s="10">
        <f>ELEC!B15</f>
        <v>0</v>
      </c>
    </row>
    <row r="15" spans="1:15">
      <c r="A15" t="s">
        <v>345</v>
      </c>
      <c r="B15">
        <f t="shared" si="0"/>
        <v>14</v>
      </c>
      <c r="C15">
        <v>1</v>
      </c>
      <c r="D15">
        <v>2021</v>
      </c>
      <c r="E15" s="203">
        <f>ELEC!N16</f>
        <v>7439</v>
      </c>
      <c r="F15" s="330">
        <f>SUM('EDl log'!T17)</f>
        <v>0.1584016015065314</v>
      </c>
      <c r="G15" s="203">
        <f>-tanks!AW19</f>
        <v>267</v>
      </c>
      <c r="H15" s="330">
        <f>SUM(tanks!AV19)</f>
        <v>0.67400000000000004</v>
      </c>
      <c r="I15" s="10">
        <f>('B5'!AU18)*0.51</f>
        <v>0</v>
      </c>
      <c r="J15" s="309">
        <f>'B5'!AX18/0.51</f>
        <v>1.5686274509803921</v>
      </c>
      <c r="K15" s="203">
        <f>WATER!I19</f>
        <v>279</v>
      </c>
      <c r="L15" s="331">
        <f>SUM(WATER!J19)</f>
        <v>0.96006144393241155</v>
      </c>
      <c r="M15" s="331">
        <f>WATER!Q19</f>
        <v>0</v>
      </c>
      <c r="N15" s="498">
        <v>0.6</v>
      </c>
      <c r="O15" s="10">
        <f>ELEC!B16</f>
        <v>0</v>
      </c>
    </row>
    <row r="16" spans="1:15">
      <c r="A16" t="s">
        <v>345</v>
      </c>
      <c r="B16">
        <f t="shared" si="0"/>
        <v>15</v>
      </c>
      <c r="C16">
        <v>1</v>
      </c>
      <c r="D16">
        <v>2021</v>
      </c>
      <c r="E16" s="203">
        <f>ELEC!N17</f>
        <v>7469</v>
      </c>
      <c r="F16" s="330">
        <f>SUM('EDl log'!T18)</f>
        <v>0.12767626270366722</v>
      </c>
      <c r="G16" s="203">
        <f>-tanks!AW20</f>
        <v>217</v>
      </c>
      <c r="H16" s="330">
        <f>SUM(tanks!AV20)</f>
        <v>0.67400000000000004</v>
      </c>
      <c r="I16" s="10">
        <f>('B5'!AU19)*0.51</f>
        <v>0</v>
      </c>
      <c r="J16" s="309">
        <f>'B5'!AX19/0.51</f>
        <v>1.5686274509803921</v>
      </c>
      <c r="K16" s="203">
        <f>WATER!I20</f>
        <v>0</v>
      </c>
      <c r="L16" s="331">
        <f>SUM(WATER!J20)</f>
        <v>0</v>
      </c>
      <c r="M16" s="331">
        <f>WATER!Q20</f>
        <v>0</v>
      </c>
      <c r="N16" s="498">
        <v>0.6</v>
      </c>
      <c r="O16" s="10">
        <f>ELEC!B17</f>
        <v>0</v>
      </c>
    </row>
    <row r="17" spans="1:15">
      <c r="A17" t="s">
        <v>345</v>
      </c>
      <c r="B17">
        <f t="shared" si="0"/>
        <v>16</v>
      </c>
      <c r="C17">
        <v>1</v>
      </c>
      <c r="D17">
        <v>2021</v>
      </c>
      <c r="E17" s="203">
        <f>ELEC!N18</f>
        <v>5934</v>
      </c>
      <c r="F17" s="330">
        <f>SUM('EDl log'!T19)</f>
        <v>-6.208114500169005E-3</v>
      </c>
      <c r="G17" s="203">
        <f>-tanks!AW21</f>
        <v>228</v>
      </c>
      <c r="H17" s="330">
        <f>SUM(tanks!AV21)</f>
        <v>0.68899999999999995</v>
      </c>
      <c r="I17" s="10">
        <f>('B5'!AU20)*0.51</f>
        <v>0</v>
      </c>
      <c r="J17" s="309">
        <f>'B5'!AX20/0.51</f>
        <v>1.5686274509803921</v>
      </c>
      <c r="K17" s="203">
        <f>WATER!I21</f>
        <v>167</v>
      </c>
      <c r="L17" s="331">
        <f>SUM(WATER!J21)</f>
        <v>1.60393498716852</v>
      </c>
      <c r="M17" s="331">
        <f>WATER!Q21</f>
        <v>0</v>
      </c>
      <c r="N17" s="498">
        <v>0.6</v>
      </c>
      <c r="O17" s="10">
        <f>ELEC!B18</f>
        <v>0</v>
      </c>
    </row>
    <row r="18" spans="1:15">
      <c r="A18" t="s">
        <v>345</v>
      </c>
      <c r="B18">
        <f t="shared" si="0"/>
        <v>17</v>
      </c>
      <c r="C18">
        <v>1</v>
      </c>
      <c r="D18">
        <v>2021</v>
      </c>
      <c r="E18" s="203">
        <f>ELEC!N19</f>
        <v>7520</v>
      </c>
      <c r="F18" s="330">
        <f>SUM('EDl log'!T20)</f>
        <v>0.1746352035055854</v>
      </c>
      <c r="G18" s="203">
        <f>-tanks!AW22</f>
        <v>288</v>
      </c>
      <c r="H18" s="330">
        <f>SUM(tanks!AV22)</f>
        <v>0.68899999999999995</v>
      </c>
      <c r="I18" s="10">
        <f>('B5'!AU21)*0.51</f>
        <v>0</v>
      </c>
      <c r="J18" s="309">
        <f>'B5'!AX21/0.51</f>
        <v>1.5686274509803921</v>
      </c>
      <c r="K18" s="203">
        <f>WATER!I22</f>
        <v>0</v>
      </c>
      <c r="L18" s="331">
        <f>SUM(WATER!J22)</f>
        <v>0</v>
      </c>
      <c r="M18" s="331">
        <f>WATER!Q22</f>
        <v>0</v>
      </c>
      <c r="N18" s="498">
        <v>0.6</v>
      </c>
      <c r="O18" s="10">
        <f>ELEC!B19</f>
        <v>0</v>
      </c>
    </row>
    <row r="19" spans="1:15">
      <c r="A19" t="s">
        <v>345</v>
      </c>
      <c r="B19">
        <f t="shared" si="0"/>
        <v>18</v>
      </c>
      <c r="C19">
        <v>1</v>
      </c>
      <c r="D19">
        <v>2021</v>
      </c>
      <c r="E19" s="203">
        <f>ELEC!N20</f>
        <v>7192</v>
      </c>
      <c r="F19" s="330">
        <f>SUM('EDl log'!T21)</f>
        <v>0.14028579451229478</v>
      </c>
      <c r="G19" s="203">
        <f>-tanks!AW23</f>
        <v>380.89999999999418</v>
      </c>
      <c r="H19" s="330">
        <f>SUM(tanks!AV23)</f>
        <v>0.68899999999999995</v>
      </c>
      <c r="I19" s="10">
        <f>('B5'!AU22)*0.51</f>
        <v>0</v>
      </c>
      <c r="J19" s="309">
        <f>'B5'!AX22/0.51</f>
        <v>1.5686274509803921</v>
      </c>
      <c r="K19" s="203">
        <f>WATER!I23</f>
        <v>0</v>
      </c>
      <c r="L19" s="331">
        <f>SUM(WATER!J23)</f>
        <v>0</v>
      </c>
      <c r="M19" s="331">
        <f>WATER!Q23</f>
        <v>0</v>
      </c>
      <c r="N19" s="498">
        <v>0.6</v>
      </c>
      <c r="O19" s="10">
        <f>ELEC!B20</f>
        <v>0</v>
      </c>
    </row>
    <row r="20" spans="1:15">
      <c r="A20" t="s">
        <v>345</v>
      </c>
      <c r="B20">
        <f t="shared" si="0"/>
        <v>19</v>
      </c>
      <c r="C20">
        <v>1</v>
      </c>
      <c r="D20">
        <v>2021</v>
      </c>
      <c r="E20" s="203">
        <f>ELEC!N21</f>
        <v>7667</v>
      </c>
      <c r="F20" s="330">
        <f>SUM('EDl log'!T22)</f>
        <v>0.15732368432717256</v>
      </c>
      <c r="G20" s="203">
        <f>-tanks!AW24</f>
        <v>297</v>
      </c>
      <c r="H20" s="330">
        <f>SUM(tanks!AV24)</f>
        <v>0.68899999999999995</v>
      </c>
      <c r="I20" s="10">
        <f>('B5'!AU23)*0.51</f>
        <v>0</v>
      </c>
      <c r="J20" s="309">
        <f>'B5'!AX23/0.51</f>
        <v>1.5686274509803921</v>
      </c>
      <c r="K20" s="203">
        <f>WATER!I24</f>
        <v>0</v>
      </c>
      <c r="L20" s="331">
        <f>SUM(WATER!J24)</f>
        <v>0</v>
      </c>
      <c r="M20" s="331">
        <f>WATER!Q24</f>
        <v>0</v>
      </c>
      <c r="N20" s="498">
        <v>0.6</v>
      </c>
      <c r="O20" s="10">
        <f>ELEC!B21</f>
        <v>0</v>
      </c>
    </row>
    <row r="21" spans="1:15">
      <c r="A21" t="s">
        <v>345</v>
      </c>
      <c r="B21">
        <f t="shared" si="0"/>
        <v>20</v>
      </c>
      <c r="C21">
        <v>1</v>
      </c>
      <c r="D21">
        <v>2021</v>
      </c>
      <c r="E21" s="203">
        <f>ELEC!N22</f>
        <v>6433</v>
      </c>
      <c r="F21" s="330">
        <f>SUM('EDl log'!T23)</f>
        <v>0.19272981073828183</v>
      </c>
      <c r="G21" s="203">
        <f>-tanks!AW25</f>
        <v>284</v>
      </c>
      <c r="H21" s="330">
        <f>SUM(tanks!AV25)</f>
        <v>0.68899999999999995</v>
      </c>
      <c r="I21" s="10">
        <f>('B5'!AU24)*0.51</f>
        <v>0</v>
      </c>
      <c r="J21" s="309">
        <f>'B5'!AX24/0.51</f>
        <v>1.5686274509803921</v>
      </c>
      <c r="K21" s="203">
        <f>WATER!I25</f>
        <v>0</v>
      </c>
      <c r="L21" s="331">
        <f>SUM(WATER!J25)</f>
        <v>0</v>
      </c>
      <c r="M21" s="331">
        <f>WATER!Q25</f>
        <v>0</v>
      </c>
      <c r="N21" s="498">
        <v>0.6</v>
      </c>
      <c r="O21" s="10">
        <f>ELEC!B22</f>
        <v>0</v>
      </c>
    </row>
    <row r="22" spans="1:15">
      <c r="A22" t="s">
        <v>345</v>
      </c>
      <c r="B22">
        <f t="shared" si="0"/>
        <v>21</v>
      </c>
      <c r="C22">
        <v>1</v>
      </c>
      <c r="D22">
        <v>2021</v>
      </c>
      <c r="E22" s="203">
        <f>ELEC!N23</f>
        <v>6161</v>
      </c>
      <c r="F22" s="330">
        <f>SUM('EDl log'!T24)</f>
        <v>0.14286806235516689</v>
      </c>
      <c r="G22" s="203">
        <f>-tanks!AW26</f>
        <v>267</v>
      </c>
      <c r="H22" s="330">
        <f>SUM(tanks!AV26)</f>
        <v>0.68899999999999995</v>
      </c>
      <c r="I22" s="10">
        <f>('B5'!AU25)*0.51</f>
        <v>0</v>
      </c>
      <c r="J22" s="309">
        <f>'B5'!AX25/0.51</f>
        <v>1.5686274509803921</v>
      </c>
      <c r="K22" s="203">
        <f>WATER!I26</f>
        <v>0</v>
      </c>
      <c r="L22" s="331">
        <f>SUM(WATER!J26)</f>
        <v>0</v>
      </c>
      <c r="M22" s="331">
        <f>WATER!Q26</f>
        <v>0</v>
      </c>
      <c r="N22" s="498">
        <v>0.6</v>
      </c>
      <c r="O22" s="10">
        <f>ELEC!B23</f>
        <v>0</v>
      </c>
    </row>
    <row r="23" spans="1:15">
      <c r="A23" t="s">
        <v>345</v>
      </c>
      <c r="B23">
        <f t="shared" si="0"/>
        <v>22</v>
      </c>
      <c r="C23">
        <v>1</v>
      </c>
      <c r="D23">
        <v>2021</v>
      </c>
      <c r="E23" s="203">
        <f>ELEC!N24</f>
        <v>6895</v>
      </c>
      <c r="F23" s="330">
        <f>SUM('EDl log'!T25)</f>
        <v>4.2015780612227889E-2</v>
      </c>
      <c r="G23" s="203">
        <f>-tanks!AW27</f>
        <v>362</v>
      </c>
      <c r="H23" s="330">
        <f>SUM(tanks!AV27)</f>
        <v>0.71</v>
      </c>
      <c r="I23" s="10">
        <f>('B5'!AU26)*0.51</f>
        <v>0</v>
      </c>
      <c r="J23" s="309">
        <f>'B5'!AX26/0.51</f>
        <v>1.5686274509803921</v>
      </c>
      <c r="K23" s="203">
        <f>WATER!I27</f>
        <v>125</v>
      </c>
      <c r="L23" s="331">
        <f>SUM(WATER!J27)</f>
        <v>2.1428571428571428</v>
      </c>
      <c r="M23" s="331">
        <f>WATER!Q27</f>
        <v>0</v>
      </c>
      <c r="N23" s="498">
        <v>0.6</v>
      </c>
      <c r="O23" s="10">
        <f>ELEC!B24</f>
        <v>0</v>
      </c>
    </row>
    <row r="24" spans="1:15">
      <c r="A24" t="s">
        <v>345</v>
      </c>
      <c r="B24">
        <f t="shared" si="0"/>
        <v>23</v>
      </c>
      <c r="C24">
        <v>1</v>
      </c>
      <c r="D24">
        <v>2021</v>
      </c>
      <c r="E24" s="203">
        <f>ELEC!N25</f>
        <v>7942</v>
      </c>
      <c r="F24" s="330">
        <f>SUM('EDl log'!T26)</f>
        <v>0.16947912334748272</v>
      </c>
      <c r="G24" s="203">
        <f>-tanks!AW28</f>
        <v>318.79999999998836</v>
      </c>
      <c r="H24" s="330">
        <f>SUM(tanks!AV28)</f>
        <v>0.71</v>
      </c>
      <c r="I24" s="10">
        <f>('B5'!AU27)*0.51</f>
        <v>0</v>
      </c>
      <c r="J24" s="309">
        <f>'B5'!AX27/0.51</f>
        <v>1.5686274509803921</v>
      </c>
      <c r="K24" s="203">
        <f>WATER!I28</f>
        <v>0</v>
      </c>
      <c r="L24" s="331">
        <f>SUM(WATER!J28)</f>
        <v>0</v>
      </c>
      <c r="M24" s="331">
        <f>WATER!Q28</f>
        <v>0</v>
      </c>
      <c r="N24" s="498">
        <v>0.6</v>
      </c>
      <c r="O24" s="10">
        <f>ELEC!B25</f>
        <v>0</v>
      </c>
    </row>
    <row r="25" spans="1:15">
      <c r="A25" t="s">
        <v>345</v>
      </c>
      <c r="B25">
        <f t="shared" si="0"/>
        <v>24</v>
      </c>
      <c r="C25">
        <v>1</v>
      </c>
      <c r="D25">
        <v>2021</v>
      </c>
      <c r="E25" s="203">
        <f>ELEC!N26</f>
        <v>8471</v>
      </c>
      <c r="F25" s="330">
        <f>SUM('EDl log'!T27)</f>
        <v>0.15287957914584824</v>
      </c>
      <c r="G25" s="203">
        <f>-tanks!AW29</f>
        <v>367</v>
      </c>
      <c r="H25" s="330">
        <f>SUM(tanks!AV29)</f>
        <v>0.71</v>
      </c>
      <c r="I25" s="10">
        <f>('B5'!AU28)*0.51</f>
        <v>0</v>
      </c>
      <c r="J25" s="309">
        <f>'B5'!AX28/0.51</f>
        <v>1.5686274509803921</v>
      </c>
      <c r="K25" s="203">
        <f>WATER!I29</f>
        <v>0</v>
      </c>
      <c r="L25" s="331">
        <f>SUM(WATER!J29)</f>
        <v>0</v>
      </c>
      <c r="M25" s="331">
        <f>WATER!Q29</f>
        <v>0</v>
      </c>
      <c r="N25" s="498">
        <v>0.6</v>
      </c>
      <c r="O25" s="10">
        <f>ELEC!B26</f>
        <v>0</v>
      </c>
    </row>
    <row r="26" spans="1:15">
      <c r="A26" t="s">
        <v>345</v>
      </c>
      <c r="B26">
        <f>B25+1</f>
        <v>25</v>
      </c>
      <c r="C26">
        <v>1</v>
      </c>
      <c r="D26">
        <v>2021</v>
      </c>
      <c r="E26" s="203">
        <f>ELEC!N27</f>
        <v>8788</v>
      </c>
      <c r="F26" s="330">
        <f>SUM('EDl log'!T28)</f>
        <v>0.19650215034074947</v>
      </c>
      <c r="G26" s="203">
        <f>-tanks!AW30</f>
        <v>161</v>
      </c>
      <c r="H26" s="330">
        <f>SUM(tanks!AV30)</f>
        <v>0.71</v>
      </c>
      <c r="I26" s="10">
        <f>('B5'!AU29)*0.51</f>
        <v>0</v>
      </c>
      <c r="J26" s="309">
        <f>'B5'!AX29/0.51</f>
        <v>1.5686274509803921</v>
      </c>
      <c r="K26" s="203">
        <f>WATER!I30</f>
        <v>4</v>
      </c>
      <c r="L26" s="331">
        <f>SUM(WATER!J30)</f>
        <v>66.964285714285708</v>
      </c>
      <c r="M26" s="331">
        <f>WATER!Q30</f>
        <v>0</v>
      </c>
      <c r="N26" s="498">
        <v>0.6</v>
      </c>
      <c r="O26" s="10">
        <f>ELEC!B27</f>
        <v>0</v>
      </c>
    </row>
    <row r="27" spans="1:15">
      <c r="A27" t="s">
        <v>345</v>
      </c>
      <c r="B27">
        <f t="shared" si="0"/>
        <v>26</v>
      </c>
      <c r="C27">
        <v>1</v>
      </c>
      <c r="D27">
        <v>2021</v>
      </c>
      <c r="E27" s="203">
        <f>ELEC!N28</f>
        <v>9599</v>
      </c>
      <c r="F27" s="330">
        <f>SUM('EDl log'!T29)</f>
        <v>0.11427364471380755</v>
      </c>
      <c r="G27" s="203">
        <f>-tanks!AW31</f>
        <v>299</v>
      </c>
      <c r="H27" s="330">
        <f>SUM(tanks!AV31)</f>
        <v>0.74</v>
      </c>
      <c r="I27" s="10">
        <f>('B5'!AU30)*0.51</f>
        <v>0</v>
      </c>
      <c r="J27" s="309">
        <f>'B5'!AX30/0.51</f>
        <v>1.5686274509803921</v>
      </c>
      <c r="K27" s="203">
        <f>WATER!I31</f>
        <v>203</v>
      </c>
      <c r="L27" s="331">
        <f>SUM(WATER!J31)</f>
        <v>1.3194933145672061</v>
      </c>
      <c r="M27" s="331">
        <f>WATER!Q31</f>
        <v>0</v>
      </c>
      <c r="N27" s="498">
        <v>0.6</v>
      </c>
      <c r="O27" s="10">
        <f>ELEC!B28</f>
        <v>0</v>
      </c>
    </row>
    <row r="28" spans="1:15">
      <c r="A28" t="s">
        <v>345</v>
      </c>
      <c r="B28">
        <f t="shared" si="0"/>
        <v>27</v>
      </c>
      <c r="C28">
        <v>1</v>
      </c>
      <c r="D28">
        <v>2021</v>
      </c>
      <c r="E28" s="203">
        <f>ELEC!N29</f>
        <v>7813</v>
      </c>
      <c r="F28" s="330">
        <f>SUM('EDl log'!T30)</f>
        <v>0.20111345429758959</v>
      </c>
      <c r="G28" s="203">
        <f>-tanks!AW32</f>
        <v>195</v>
      </c>
      <c r="H28" s="330">
        <f>SUM(tanks!AV32)</f>
        <v>0.74</v>
      </c>
      <c r="I28" s="10">
        <f>('B5'!AU31)*0.51</f>
        <v>0</v>
      </c>
      <c r="J28" s="309">
        <f>'B5'!AX31/0.51</f>
        <v>1.5686274509803921</v>
      </c>
      <c r="K28" s="203">
        <f>WATER!I32</f>
        <v>0</v>
      </c>
      <c r="L28" s="331">
        <f>SUM(WATER!J32)</f>
        <v>0</v>
      </c>
      <c r="M28" s="331">
        <f>WATER!Q32</f>
        <v>0</v>
      </c>
      <c r="N28" s="498">
        <v>0.6</v>
      </c>
      <c r="O28" s="10">
        <f>ELEC!B29</f>
        <v>0</v>
      </c>
    </row>
    <row r="29" spans="1:15">
      <c r="A29" t="s">
        <v>345</v>
      </c>
      <c r="B29">
        <f t="shared" si="0"/>
        <v>28</v>
      </c>
      <c r="C29">
        <v>1</v>
      </c>
      <c r="D29">
        <v>2021</v>
      </c>
      <c r="E29" s="203">
        <f>ELEC!N30</f>
        <v>7721</v>
      </c>
      <c r="F29" s="330">
        <f>SUM('EDl log'!T31)</f>
        <v>0.15351272908545138</v>
      </c>
      <c r="G29" s="203">
        <f>-tanks!AW33</f>
        <v>224</v>
      </c>
      <c r="H29" s="330">
        <f>SUM(tanks!AV33)</f>
        <v>0.74</v>
      </c>
      <c r="I29" s="10">
        <f>('B5'!AU32)*0.51</f>
        <v>0</v>
      </c>
      <c r="J29" s="309">
        <f>'B5'!AX32/0.51</f>
        <v>1.5686274509803921</v>
      </c>
      <c r="K29" s="203">
        <f>WATER!I33</f>
        <v>0</v>
      </c>
      <c r="L29" s="331">
        <f>SUM(WATER!J33)</f>
        <v>0</v>
      </c>
      <c r="M29" s="331">
        <f>WATER!Q33</f>
        <v>0</v>
      </c>
      <c r="N29" s="498">
        <v>0.6</v>
      </c>
      <c r="O29" s="10">
        <f>ELEC!B30</f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9"/>
  <sheetViews>
    <sheetView topLeftCell="A19" workbookViewId="0">
      <selection activeCell="A30" sqref="A30:XFD32"/>
    </sheetView>
  </sheetViews>
  <sheetFormatPr defaultRowHeight="15"/>
  <cols>
    <col min="1" max="1" width="9.7109375" customWidth="1"/>
    <col min="2" max="2" width="4.5703125" customWidth="1"/>
    <col min="3" max="3" width="7" customWidth="1"/>
    <col min="4" max="4" width="7.42578125" customWidth="1"/>
    <col min="5" max="6" width="10.5703125" bestFit="1" customWidth="1"/>
    <col min="7" max="7" width="9.85546875" bestFit="1" customWidth="1"/>
    <col min="8" max="9" width="9.5703125" bestFit="1" customWidth="1"/>
    <col min="10" max="10" width="11.42578125" bestFit="1" customWidth="1"/>
    <col min="11" max="12" width="9.28515625" bestFit="1" customWidth="1"/>
  </cols>
  <sheetData>
    <row r="1" spans="1:13" ht="60">
      <c r="A1" t="s">
        <v>341</v>
      </c>
      <c r="B1" t="s">
        <v>198</v>
      </c>
      <c r="C1" t="s">
        <v>342</v>
      </c>
      <c r="D1" t="s">
        <v>343</v>
      </c>
      <c r="E1" s="20" t="s">
        <v>350</v>
      </c>
      <c r="F1" s="20" t="s">
        <v>346</v>
      </c>
      <c r="G1" s="20" t="s">
        <v>351</v>
      </c>
      <c r="H1" s="20" t="s">
        <v>347</v>
      </c>
      <c r="I1" s="20" t="s">
        <v>352</v>
      </c>
      <c r="J1" s="20" t="s">
        <v>348</v>
      </c>
      <c r="K1" s="20" t="s">
        <v>349</v>
      </c>
      <c r="L1" s="273" t="s">
        <v>344</v>
      </c>
    </row>
    <row r="2" spans="1:13">
      <c r="A2" t="s">
        <v>345</v>
      </c>
      <c r="B2">
        <v>1</v>
      </c>
      <c r="C2">
        <v>1</v>
      </c>
      <c r="D2">
        <v>2021</v>
      </c>
      <c r="E2" s="203">
        <f>ELEC!M3</f>
        <v>1898</v>
      </c>
      <c r="F2" s="203">
        <f>ELEC!K3</f>
        <v>970</v>
      </c>
      <c r="G2" s="203">
        <f>ELEC!I3</f>
        <v>874</v>
      </c>
      <c r="H2" s="203">
        <f>ELEC!E3</f>
        <v>2060</v>
      </c>
      <c r="I2" s="203">
        <f>ELEC!G3</f>
        <v>602.39999999990687</v>
      </c>
      <c r="J2" s="203">
        <f>WATER!Y6</f>
        <v>0</v>
      </c>
      <c r="K2" s="203">
        <f>WATER!AJ6</f>
        <v>0</v>
      </c>
      <c r="L2" s="10">
        <f>ELEC!B3</f>
        <v>0</v>
      </c>
      <c r="M2" s="10"/>
    </row>
    <row r="3" spans="1:13">
      <c r="A3" t="s">
        <v>345</v>
      </c>
      <c r="B3">
        <f>B2+1</f>
        <v>2</v>
      </c>
      <c r="C3">
        <v>1</v>
      </c>
      <c r="D3">
        <v>2021</v>
      </c>
      <c r="E3" s="203">
        <f>ELEC!M4</f>
        <v>2070</v>
      </c>
      <c r="F3" s="203">
        <f>ELEC!K4</f>
        <v>912</v>
      </c>
      <c r="G3" s="203">
        <f>ELEC!I4</f>
        <v>812</v>
      </c>
      <c r="H3" s="203">
        <f>ELEC!E4</f>
        <v>2192</v>
      </c>
      <c r="I3" s="203">
        <f>ELEC!G4</f>
        <v>636</v>
      </c>
      <c r="J3" s="203">
        <f>WATER!Y7</f>
        <v>0</v>
      </c>
      <c r="K3" s="203">
        <f>WATER!AJ7</f>
        <v>0</v>
      </c>
      <c r="L3" s="10">
        <f>ELEC!B4</f>
        <v>0</v>
      </c>
      <c r="M3" s="10"/>
    </row>
    <row r="4" spans="1:13">
      <c r="A4" t="s">
        <v>345</v>
      </c>
      <c r="B4">
        <f t="shared" ref="B4:B29" si="0">B3+1</f>
        <v>3</v>
      </c>
      <c r="C4">
        <v>1</v>
      </c>
      <c r="D4">
        <v>2021</v>
      </c>
      <c r="E4" s="203">
        <f>ELEC!M5</f>
        <v>1956</v>
      </c>
      <c r="F4" s="203">
        <f>ELEC!K5</f>
        <v>928</v>
      </c>
      <c r="G4" s="203">
        <f>ELEC!I5</f>
        <v>820</v>
      </c>
      <c r="H4" s="203">
        <f>ELEC!E5</f>
        <v>2410</v>
      </c>
      <c r="I4" s="203">
        <f>ELEC!G5</f>
        <v>639</v>
      </c>
      <c r="J4" s="203">
        <f>WATER!Y8</f>
        <v>0</v>
      </c>
      <c r="K4" s="203">
        <f>WATER!AJ8</f>
        <v>0</v>
      </c>
      <c r="L4" s="10">
        <f>ELEC!B5</f>
        <v>0</v>
      </c>
      <c r="M4" s="10"/>
    </row>
    <row r="5" spans="1:13">
      <c r="A5" t="s">
        <v>345</v>
      </c>
      <c r="B5">
        <f t="shared" si="0"/>
        <v>4</v>
      </c>
      <c r="C5">
        <v>1</v>
      </c>
      <c r="D5">
        <v>2021</v>
      </c>
      <c r="E5" s="203">
        <f>ELEC!M6</f>
        <v>1846</v>
      </c>
      <c r="F5" s="203">
        <f>ELEC!K6</f>
        <v>956</v>
      </c>
      <c r="G5" s="203">
        <f>ELEC!I6</f>
        <v>840</v>
      </c>
      <c r="H5" s="203">
        <f>ELEC!E6</f>
        <v>2294</v>
      </c>
      <c r="I5" s="203">
        <f>ELEC!G6</f>
        <v>651</v>
      </c>
      <c r="J5" s="203">
        <f>WATER!Y9</f>
        <v>0</v>
      </c>
      <c r="K5" s="203">
        <f>WATER!AJ9</f>
        <v>0</v>
      </c>
      <c r="L5" s="10">
        <f>ELEC!B6</f>
        <v>0</v>
      </c>
      <c r="M5" s="10"/>
    </row>
    <row r="6" spans="1:13">
      <c r="A6" t="s">
        <v>345</v>
      </c>
      <c r="B6">
        <f t="shared" si="0"/>
        <v>5</v>
      </c>
      <c r="C6">
        <v>1</v>
      </c>
      <c r="D6">
        <v>2021</v>
      </c>
      <c r="E6" s="203">
        <f>ELEC!M7</f>
        <v>1612</v>
      </c>
      <c r="F6" s="203">
        <f>ELEC!K7</f>
        <v>916</v>
      </c>
      <c r="G6" s="203">
        <f>ELEC!I7</f>
        <v>740</v>
      </c>
      <c r="H6" s="203">
        <f>ELEC!E7</f>
        <v>2056</v>
      </c>
      <c r="I6" s="203">
        <f>ELEC!G7</f>
        <v>608</v>
      </c>
      <c r="J6" s="203">
        <f>WATER!Y10</f>
        <v>0</v>
      </c>
      <c r="K6" s="203">
        <f>WATER!AJ10</f>
        <v>0</v>
      </c>
      <c r="L6" s="10">
        <f>ELEC!B7</f>
        <v>0</v>
      </c>
      <c r="M6" s="10"/>
    </row>
    <row r="7" spans="1:13">
      <c r="A7" t="s">
        <v>345</v>
      </c>
      <c r="B7">
        <f t="shared" si="0"/>
        <v>6</v>
      </c>
      <c r="C7">
        <v>1</v>
      </c>
      <c r="D7">
        <v>2021</v>
      </c>
      <c r="E7" s="203">
        <f>ELEC!M8</f>
        <v>1658</v>
      </c>
      <c r="F7" s="203">
        <f>ELEC!K8</f>
        <v>902</v>
      </c>
      <c r="G7" s="203">
        <f>ELEC!I8</f>
        <v>800</v>
      </c>
      <c r="H7" s="203">
        <f>ELEC!E8</f>
        <v>1952</v>
      </c>
      <c r="I7" s="203">
        <f>ELEC!G8</f>
        <v>665</v>
      </c>
      <c r="J7" s="203">
        <f>WATER!Y11</f>
        <v>0</v>
      </c>
      <c r="K7" s="203">
        <f>WATER!AJ11</f>
        <v>0</v>
      </c>
      <c r="L7" s="10">
        <f>ELEC!B8</f>
        <v>0</v>
      </c>
      <c r="M7" s="10"/>
    </row>
    <row r="8" spans="1:13">
      <c r="A8" t="s">
        <v>345</v>
      </c>
      <c r="B8">
        <f t="shared" si="0"/>
        <v>7</v>
      </c>
      <c r="C8">
        <v>1</v>
      </c>
      <c r="D8">
        <v>2021</v>
      </c>
      <c r="E8" s="203">
        <f>ELEC!M9</f>
        <v>1976</v>
      </c>
      <c r="F8" s="203">
        <f>ELEC!K9</f>
        <v>1446</v>
      </c>
      <c r="G8" s="203">
        <f>ELEC!I9</f>
        <v>816</v>
      </c>
      <c r="H8" s="203">
        <f>ELEC!E9</f>
        <v>1710</v>
      </c>
      <c r="I8" s="203">
        <f>ELEC!G9</f>
        <v>603.20000000018626</v>
      </c>
      <c r="J8" s="203">
        <f>WATER!Y12</f>
        <v>0</v>
      </c>
      <c r="K8" s="203">
        <f>WATER!AJ12</f>
        <v>0</v>
      </c>
      <c r="L8" s="10">
        <f>ELEC!B9</f>
        <v>0</v>
      </c>
      <c r="M8" s="10"/>
    </row>
    <row r="9" spans="1:13">
      <c r="A9" t="s">
        <v>345</v>
      </c>
      <c r="B9">
        <f t="shared" si="0"/>
        <v>8</v>
      </c>
      <c r="C9">
        <v>1</v>
      </c>
      <c r="D9">
        <v>2021</v>
      </c>
      <c r="E9" s="203">
        <f>ELEC!M10</f>
        <v>1758</v>
      </c>
      <c r="F9" s="203">
        <f>ELEC!K10</f>
        <v>1470</v>
      </c>
      <c r="G9" s="203">
        <f>ELEC!I10</f>
        <v>796</v>
      </c>
      <c r="H9" s="203">
        <f>ELEC!E10</f>
        <v>1662</v>
      </c>
      <c r="I9" s="203">
        <f>ELEC!G10</f>
        <v>603.79999999981374</v>
      </c>
      <c r="J9" s="203">
        <f>WATER!Y13</f>
        <v>0</v>
      </c>
      <c r="K9" s="203">
        <f>WATER!AJ13</f>
        <v>0</v>
      </c>
      <c r="L9" s="10">
        <f>ELEC!B10</f>
        <v>0</v>
      </c>
      <c r="M9" s="10"/>
    </row>
    <row r="10" spans="1:13">
      <c r="A10" t="s">
        <v>345</v>
      </c>
      <c r="B10">
        <f t="shared" si="0"/>
        <v>9</v>
      </c>
      <c r="C10">
        <v>1</v>
      </c>
      <c r="D10">
        <v>2021</v>
      </c>
      <c r="E10" s="203">
        <f>ELEC!M11</f>
        <v>1638</v>
      </c>
      <c r="F10" s="203">
        <f>ELEC!K11</f>
        <v>1918</v>
      </c>
      <c r="G10" s="203">
        <f>ELEC!I11</f>
        <v>876</v>
      </c>
      <c r="H10" s="203">
        <f>ELEC!E11</f>
        <v>1908</v>
      </c>
      <c r="I10" s="203">
        <f>ELEC!G11</f>
        <v>668</v>
      </c>
      <c r="J10" s="203">
        <f>WATER!Y14</f>
        <v>0</v>
      </c>
      <c r="K10" s="203">
        <f>WATER!AJ14</f>
        <v>0</v>
      </c>
      <c r="L10" s="10">
        <f>ELEC!B11</f>
        <v>0</v>
      </c>
      <c r="M10" s="10"/>
    </row>
    <row r="11" spans="1:13">
      <c r="A11" t="s">
        <v>345</v>
      </c>
      <c r="B11">
        <f t="shared" si="0"/>
        <v>10</v>
      </c>
      <c r="C11">
        <v>1</v>
      </c>
      <c r="D11">
        <v>2021</v>
      </c>
      <c r="E11" s="203">
        <f>ELEC!M12</f>
        <v>1680</v>
      </c>
      <c r="F11" s="203">
        <f>ELEC!K12</f>
        <v>2182</v>
      </c>
      <c r="G11" s="203">
        <f>ELEC!I12</f>
        <v>832</v>
      </c>
      <c r="H11" s="203">
        <f>ELEC!E12</f>
        <v>1948</v>
      </c>
      <c r="I11" s="203">
        <f>ELEC!G12</f>
        <v>634</v>
      </c>
      <c r="J11" s="203">
        <f>WATER!Y15</f>
        <v>0</v>
      </c>
      <c r="K11" s="203">
        <f>WATER!AJ15</f>
        <v>0</v>
      </c>
      <c r="L11" s="10">
        <f>ELEC!B12</f>
        <v>0</v>
      </c>
      <c r="M11" s="10"/>
    </row>
    <row r="12" spans="1:13">
      <c r="A12" t="s">
        <v>345</v>
      </c>
      <c r="B12">
        <f t="shared" si="0"/>
        <v>11</v>
      </c>
      <c r="C12">
        <v>1</v>
      </c>
      <c r="D12">
        <v>2021</v>
      </c>
      <c r="E12" s="203">
        <f>ELEC!M13</f>
        <v>1740</v>
      </c>
      <c r="F12" s="203">
        <f>ELEC!K13</f>
        <v>2034</v>
      </c>
      <c r="G12" s="203">
        <f>ELEC!I13</f>
        <v>888</v>
      </c>
      <c r="H12" s="203">
        <f>ELEC!E13</f>
        <v>1926</v>
      </c>
      <c r="I12" s="203">
        <f>ELEC!G13</f>
        <v>648</v>
      </c>
      <c r="J12" s="203">
        <f>WATER!Y16</f>
        <v>0</v>
      </c>
      <c r="K12" s="203">
        <f>WATER!AJ16</f>
        <v>0</v>
      </c>
      <c r="L12" s="10">
        <f>ELEC!B13</f>
        <v>0</v>
      </c>
      <c r="M12" s="10"/>
    </row>
    <row r="13" spans="1:13">
      <c r="A13" t="s">
        <v>345</v>
      </c>
      <c r="B13">
        <f t="shared" si="0"/>
        <v>12</v>
      </c>
      <c r="C13">
        <v>1</v>
      </c>
      <c r="D13">
        <v>2021</v>
      </c>
      <c r="E13" s="203">
        <f>ELEC!M14</f>
        <v>1352</v>
      </c>
      <c r="F13" s="203">
        <f>ELEC!K14</f>
        <v>1496</v>
      </c>
      <c r="G13" s="203">
        <f>ELEC!I14</f>
        <v>764</v>
      </c>
      <c r="H13" s="203">
        <f>ELEC!E14</f>
        <v>1422</v>
      </c>
      <c r="I13" s="203">
        <f>ELEC!G14</f>
        <v>609</v>
      </c>
      <c r="J13" s="203">
        <f>WATER!Y17</f>
        <v>0</v>
      </c>
      <c r="K13" s="203">
        <f>WATER!AJ17</f>
        <v>0</v>
      </c>
      <c r="L13" s="10">
        <f>ELEC!B14</f>
        <v>0</v>
      </c>
      <c r="M13" s="10"/>
    </row>
    <row r="14" spans="1:13">
      <c r="A14" t="s">
        <v>345</v>
      </c>
      <c r="B14">
        <f t="shared" si="0"/>
        <v>13</v>
      </c>
      <c r="C14">
        <v>1</v>
      </c>
      <c r="D14">
        <v>2021</v>
      </c>
      <c r="E14" s="203">
        <f>ELEC!M15</f>
        <v>1720</v>
      </c>
      <c r="F14" s="203">
        <f>ELEC!K15</f>
        <v>1536</v>
      </c>
      <c r="G14" s="203">
        <f>ELEC!I15</f>
        <v>888</v>
      </c>
      <c r="H14" s="203">
        <f>ELEC!E15</f>
        <v>1764</v>
      </c>
      <c r="I14" s="203">
        <f>ELEC!G15</f>
        <v>599</v>
      </c>
      <c r="J14" s="203">
        <f>WATER!Y18</f>
        <v>64</v>
      </c>
      <c r="K14" s="203">
        <f>WATER!AJ18</f>
        <v>61</v>
      </c>
      <c r="L14" s="10">
        <f>ELEC!B15</f>
        <v>0</v>
      </c>
      <c r="M14" s="10"/>
    </row>
    <row r="15" spans="1:13">
      <c r="A15" t="s">
        <v>345</v>
      </c>
      <c r="B15">
        <f t="shared" si="0"/>
        <v>14</v>
      </c>
      <c r="C15">
        <v>1</v>
      </c>
      <c r="D15">
        <v>2021</v>
      </c>
      <c r="E15" s="203">
        <f>ELEC!M16</f>
        <v>2612</v>
      </c>
      <c r="F15" s="203">
        <f>ELEC!K16</f>
        <v>1084</v>
      </c>
      <c r="G15" s="203">
        <f>ELEC!I16</f>
        <v>838</v>
      </c>
      <c r="H15" s="203">
        <f>ELEC!E16</f>
        <v>2326</v>
      </c>
      <c r="I15" s="203">
        <f>ELEC!G16</f>
        <v>579</v>
      </c>
      <c r="J15" s="203">
        <f>WATER!Y19</f>
        <v>0</v>
      </c>
      <c r="K15" s="203">
        <f>WATER!AJ19</f>
        <v>0</v>
      </c>
      <c r="L15" s="10">
        <f>ELEC!B16</f>
        <v>0</v>
      </c>
      <c r="M15" s="10"/>
    </row>
    <row r="16" spans="1:13">
      <c r="A16" t="s">
        <v>345</v>
      </c>
      <c r="B16">
        <f t="shared" si="0"/>
        <v>15</v>
      </c>
      <c r="C16">
        <v>1</v>
      </c>
      <c r="D16">
        <v>2021</v>
      </c>
      <c r="E16" s="203">
        <f>ELEC!M17</f>
        <v>2664</v>
      </c>
      <c r="F16" s="203">
        <f>ELEC!K17</f>
        <v>1092</v>
      </c>
      <c r="G16" s="203">
        <f>ELEC!I17</f>
        <v>910</v>
      </c>
      <c r="H16" s="203">
        <f>ELEC!E17</f>
        <v>2194</v>
      </c>
      <c r="I16" s="203">
        <f>ELEC!G17</f>
        <v>609</v>
      </c>
      <c r="J16" s="203">
        <f>WATER!Y20</f>
        <v>0</v>
      </c>
      <c r="K16" s="203">
        <f>WATER!AJ20</f>
        <v>0</v>
      </c>
      <c r="L16" s="10">
        <f>ELEC!B17</f>
        <v>0</v>
      </c>
      <c r="M16" s="10"/>
    </row>
    <row r="17" spans="1:13">
      <c r="A17" t="s">
        <v>345</v>
      </c>
      <c r="B17">
        <f t="shared" si="0"/>
        <v>16</v>
      </c>
      <c r="C17">
        <v>1</v>
      </c>
      <c r="D17">
        <v>2021</v>
      </c>
      <c r="E17" s="203">
        <f>ELEC!M18</f>
        <v>1572</v>
      </c>
      <c r="F17" s="203">
        <f>ELEC!K18</f>
        <v>822</v>
      </c>
      <c r="G17" s="203">
        <f>ELEC!I18</f>
        <v>794</v>
      </c>
      <c r="H17" s="203">
        <f>ELEC!E18</f>
        <v>2176</v>
      </c>
      <c r="I17" s="203">
        <f>ELEC!G18</f>
        <v>570</v>
      </c>
      <c r="J17" s="203">
        <f>WATER!Y21</f>
        <v>140</v>
      </c>
      <c r="K17" s="203">
        <f>WATER!AJ21</f>
        <v>35</v>
      </c>
      <c r="L17" s="10">
        <f>ELEC!B18</f>
        <v>0</v>
      </c>
      <c r="M17" s="10"/>
    </row>
    <row r="18" spans="1:13">
      <c r="A18" t="s">
        <v>345</v>
      </c>
      <c r="B18">
        <f t="shared" si="0"/>
        <v>17</v>
      </c>
      <c r="C18">
        <v>1</v>
      </c>
      <c r="D18">
        <v>2021</v>
      </c>
      <c r="E18" s="203">
        <f>ELEC!M19</f>
        <v>2014</v>
      </c>
      <c r="F18" s="203">
        <f>ELEC!K19</f>
        <v>1160</v>
      </c>
      <c r="G18" s="203">
        <f>ELEC!I19</f>
        <v>950</v>
      </c>
      <c r="H18" s="203">
        <f>ELEC!E19</f>
        <v>2788</v>
      </c>
      <c r="I18" s="203">
        <f>ELEC!G19</f>
        <v>608</v>
      </c>
      <c r="J18" s="203">
        <f>WATER!Y22</f>
        <v>0</v>
      </c>
      <c r="K18" s="203">
        <f>WATER!AJ22</f>
        <v>0</v>
      </c>
      <c r="L18" s="10">
        <f>ELEC!B19</f>
        <v>0</v>
      </c>
      <c r="M18" s="10"/>
    </row>
    <row r="19" spans="1:13">
      <c r="A19" t="s">
        <v>345</v>
      </c>
      <c r="B19">
        <f t="shared" si="0"/>
        <v>18</v>
      </c>
      <c r="C19">
        <v>1</v>
      </c>
      <c r="D19">
        <v>2021</v>
      </c>
      <c r="E19" s="203">
        <f>ELEC!M20</f>
        <v>2000</v>
      </c>
      <c r="F19" s="203">
        <f>ELEC!K20</f>
        <v>1798</v>
      </c>
      <c r="G19" s="203">
        <f>ELEC!I20</f>
        <v>820</v>
      </c>
      <c r="H19" s="203">
        <f>ELEC!E20</f>
        <v>1974</v>
      </c>
      <c r="I19" s="203">
        <f>ELEC!G20</f>
        <v>600</v>
      </c>
      <c r="J19" s="203">
        <f>WATER!Y23</f>
        <v>0</v>
      </c>
      <c r="K19" s="203">
        <f>WATER!AJ23</f>
        <v>0</v>
      </c>
      <c r="L19" s="10">
        <f>ELEC!B20</f>
        <v>0</v>
      </c>
      <c r="M19" s="10"/>
    </row>
    <row r="20" spans="1:13">
      <c r="A20" t="s">
        <v>345</v>
      </c>
      <c r="B20">
        <f t="shared" si="0"/>
        <v>19</v>
      </c>
      <c r="C20">
        <v>1</v>
      </c>
      <c r="D20">
        <v>2021</v>
      </c>
      <c r="E20" s="203">
        <f>ELEC!M21</f>
        <v>2222</v>
      </c>
      <c r="F20" s="203">
        <f>ELEC!K21</f>
        <v>1244</v>
      </c>
      <c r="G20" s="203">
        <f>ELEC!I21</f>
        <v>928</v>
      </c>
      <c r="H20" s="203">
        <f>ELEC!E21</f>
        <v>2654</v>
      </c>
      <c r="I20" s="203">
        <f>ELEC!G21</f>
        <v>619</v>
      </c>
      <c r="J20" s="203">
        <f>WATER!Y24</f>
        <v>0</v>
      </c>
      <c r="K20" s="203">
        <f>WATER!AJ24</f>
        <v>0</v>
      </c>
      <c r="L20" s="10">
        <f>ELEC!B21</f>
        <v>0</v>
      </c>
      <c r="M20" s="10"/>
    </row>
    <row r="21" spans="1:13">
      <c r="A21" t="s">
        <v>345</v>
      </c>
      <c r="B21">
        <f t="shared" si="0"/>
        <v>20</v>
      </c>
      <c r="C21">
        <v>1</v>
      </c>
      <c r="D21">
        <v>2021</v>
      </c>
      <c r="E21" s="203">
        <f>ELEC!M22</f>
        <v>2132</v>
      </c>
      <c r="F21" s="203">
        <f>ELEC!K22</f>
        <v>1147</v>
      </c>
      <c r="G21" s="203">
        <f>ELEC!I22</f>
        <v>920</v>
      </c>
      <c r="H21" s="203">
        <f>ELEC!E22</f>
        <v>1678</v>
      </c>
      <c r="I21" s="203">
        <f>ELEC!G22</f>
        <v>556</v>
      </c>
      <c r="J21" s="203">
        <f>WATER!Y25</f>
        <v>0</v>
      </c>
      <c r="K21" s="203">
        <f>WATER!AJ25</f>
        <v>0</v>
      </c>
      <c r="L21" s="10">
        <f>ELEC!B22</f>
        <v>0</v>
      </c>
      <c r="M21" s="10"/>
    </row>
    <row r="22" spans="1:13">
      <c r="A22" t="s">
        <v>345</v>
      </c>
      <c r="B22">
        <f t="shared" si="0"/>
        <v>21</v>
      </c>
      <c r="C22">
        <v>1</v>
      </c>
      <c r="D22">
        <v>2021</v>
      </c>
      <c r="E22" s="203">
        <f>ELEC!M23</f>
        <v>1840</v>
      </c>
      <c r="F22" s="203">
        <f>ELEC!K23</f>
        <v>1525</v>
      </c>
      <c r="G22" s="203">
        <f>ELEC!I23</f>
        <v>830</v>
      </c>
      <c r="H22" s="203">
        <f>ELEC!E23</f>
        <v>1402</v>
      </c>
      <c r="I22" s="203">
        <f>ELEC!G23</f>
        <v>564</v>
      </c>
      <c r="J22" s="203">
        <f>WATER!Y26</f>
        <v>0</v>
      </c>
      <c r="K22" s="203">
        <f>WATER!AJ26</f>
        <v>9</v>
      </c>
      <c r="L22" s="10">
        <f>ELEC!B23</f>
        <v>0</v>
      </c>
      <c r="M22" s="10"/>
    </row>
    <row r="23" spans="1:13">
      <c r="A23" t="s">
        <v>345</v>
      </c>
      <c r="B23">
        <f t="shared" si="0"/>
        <v>22</v>
      </c>
      <c r="C23">
        <v>1</v>
      </c>
      <c r="D23">
        <v>2021</v>
      </c>
      <c r="E23" s="203">
        <f>ELEC!M24</f>
        <v>2080</v>
      </c>
      <c r="F23" s="203">
        <f>ELEC!K24</f>
        <v>1540</v>
      </c>
      <c r="G23" s="203">
        <f>ELEC!I24</f>
        <v>952</v>
      </c>
      <c r="H23" s="203">
        <f>ELEC!E24</f>
        <v>1692</v>
      </c>
      <c r="I23" s="203">
        <f>ELEC!G24</f>
        <v>631</v>
      </c>
      <c r="J23" s="203">
        <f>WATER!Y27</f>
        <v>0</v>
      </c>
      <c r="K23" s="203">
        <f>WATER!AJ27</f>
        <v>0</v>
      </c>
      <c r="L23" s="10">
        <f>ELEC!B24</f>
        <v>0</v>
      </c>
      <c r="M23" s="10"/>
    </row>
    <row r="24" spans="1:13">
      <c r="A24" t="s">
        <v>345</v>
      </c>
      <c r="B24">
        <f t="shared" si="0"/>
        <v>23</v>
      </c>
      <c r="C24">
        <v>1</v>
      </c>
      <c r="D24">
        <v>2021</v>
      </c>
      <c r="E24" s="203">
        <f>ELEC!M25</f>
        <v>2104</v>
      </c>
      <c r="F24" s="203">
        <f>ELEC!K25</f>
        <v>2186</v>
      </c>
      <c r="G24" s="203">
        <f>ELEC!I25</f>
        <v>938</v>
      </c>
      <c r="H24" s="203">
        <f>ELEC!E25</f>
        <v>2090</v>
      </c>
      <c r="I24" s="203">
        <f>ELEC!G25</f>
        <v>624</v>
      </c>
      <c r="J24" s="203">
        <f>WATER!Y28</f>
        <v>0</v>
      </c>
      <c r="K24" s="203">
        <f>WATER!AJ28</f>
        <v>0</v>
      </c>
      <c r="L24" s="10">
        <f>ELEC!B25</f>
        <v>0</v>
      </c>
      <c r="M24" s="10"/>
    </row>
    <row r="25" spans="1:13">
      <c r="A25" t="s">
        <v>345</v>
      </c>
      <c r="B25">
        <f t="shared" si="0"/>
        <v>24</v>
      </c>
      <c r="C25">
        <v>1</v>
      </c>
      <c r="D25">
        <v>2021</v>
      </c>
      <c r="E25" s="203">
        <f>ELEC!M26</f>
        <v>2366</v>
      </c>
      <c r="F25" s="203">
        <f>ELEC!K26</f>
        <v>2258</v>
      </c>
      <c r="G25" s="203">
        <f>ELEC!I26</f>
        <v>900</v>
      </c>
      <c r="H25" s="203">
        <f>ELEC!E26</f>
        <v>2278</v>
      </c>
      <c r="I25" s="203">
        <f>ELEC!G26</f>
        <v>669</v>
      </c>
      <c r="J25" s="203">
        <f>WATER!Y29</f>
        <v>0</v>
      </c>
      <c r="K25" s="203">
        <f>WATER!AJ29</f>
        <v>0</v>
      </c>
      <c r="L25" s="10">
        <f>ELEC!B26</f>
        <v>0</v>
      </c>
      <c r="M25" s="10"/>
    </row>
    <row r="26" spans="1:13">
      <c r="A26" t="s">
        <v>345</v>
      </c>
      <c r="B26">
        <f>B25+1</f>
        <v>25</v>
      </c>
      <c r="C26">
        <v>1</v>
      </c>
      <c r="D26">
        <v>2021</v>
      </c>
      <c r="E26" s="203">
        <f>ELEC!M27</f>
        <v>2334</v>
      </c>
      <c r="F26" s="203">
        <f>ELEC!K27</f>
        <v>2480</v>
      </c>
      <c r="G26" s="203">
        <f>ELEC!I27</f>
        <v>844</v>
      </c>
      <c r="H26" s="203">
        <f>ELEC!E27</f>
        <v>2430</v>
      </c>
      <c r="I26" s="203">
        <f>ELEC!G27</f>
        <v>700</v>
      </c>
      <c r="J26" s="203">
        <f>WATER!Y30</f>
        <v>0</v>
      </c>
      <c r="K26" s="203">
        <f>WATER!AJ30</f>
        <v>0</v>
      </c>
      <c r="L26" s="10">
        <f>ELEC!B27</f>
        <v>0</v>
      </c>
      <c r="M26" s="10"/>
    </row>
    <row r="27" spans="1:13">
      <c r="A27" t="s">
        <v>345</v>
      </c>
      <c r="B27">
        <f t="shared" si="0"/>
        <v>26</v>
      </c>
      <c r="C27">
        <v>1</v>
      </c>
      <c r="D27">
        <v>2021</v>
      </c>
      <c r="E27" s="203">
        <f>ELEC!M28</f>
        <v>2460</v>
      </c>
      <c r="F27" s="203">
        <f>ELEC!K28</f>
        <v>2596</v>
      </c>
      <c r="G27" s="203">
        <f>ELEC!I28</f>
        <v>924</v>
      </c>
      <c r="H27" s="203">
        <f>ELEC!E28</f>
        <v>2922</v>
      </c>
      <c r="I27" s="203">
        <f>ELEC!G28</f>
        <v>697</v>
      </c>
      <c r="J27" s="203">
        <f>WATER!Y31</f>
        <v>14</v>
      </c>
      <c r="K27" s="203">
        <f>WATER!AJ31</f>
        <v>284</v>
      </c>
      <c r="L27" s="10">
        <f>ELEC!B28</f>
        <v>0</v>
      </c>
      <c r="M27" s="10"/>
    </row>
    <row r="28" spans="1:13">
      <c r="A28" t="s">
        <v>345</v>
      </c>
      <c r="B28">
        <f t="shared" si="0"/>
        <v>27</v>
      </c>
      <c r="C28">
        <v>1</v>
      </c>
      <c r="D28">
        <v>2021</v>
      </c>
      <c r="E28" s="203">
        <f>ELEC!M29</f>
        <v>1948</v>
      </c>
      <c r="F28" s="203">
        <f>ELEC!K29</f>
        <v>2100</v>
      </c>
      <c r="G28" s="203">
        <f>ELEC!I29</f>
        <v>848</v>
      </c>
      <c r="H28" s="203">
        <f>ELEC!E29</f>
        <v>2276</v>
      </c>
      <c r="I28" s="203">
        <f>ELEC!G29</f>
        <v>641</v>
      </c>
      <c r="J28" s="203">
        <f>WATER!Y32</f>
        <v>65</v>
      </c>
      <c r="K28" s="203">
        <f>WATER!AJ32</f>
        <v>27</v>
      </c>
      <c r="L28" s="10">
        <f>ELEC!B29</f>
        <v>0</v>
      </c>
      <c r="M28" s="10"/>
    </row>
    <row r="29" spans="1:13">
      <c r="A29" t="s">
        <v>345</v>
      </c>
      <c r="B29">
        <f t="shared" si="0"/>
        <v>28</v>
      </c>
      <c r="C29">
        <v>1</v>
      </c>
      <c r="D29">
        <v>2021</v>
      </c>
      <c r="E29" s="203">
        <f>ELEC!M30</f>
        <v>2332</v>
      </c>
      <c r="F29" s="203">
        <f>ELEC!K30</f>
        <v>1956</v>
      </c>
      <c r="G29" s="203">
        <f>ELEC!I30</f>
        <v>908</v>
      </c>
      <c r="H29" s="203">
        <f>ELEC!E30</f>
        <v>1904</v>
      </c>
      <c r="I29" s="203">
        <f>ELEC!G30</f>
        <v>621</v>
      </c>
      <c r="J29" s="203">
        <f>WATER!Y33</f>
        <v>5</v>
      </c>
      <c r="K29" s="203">
        <f>WATER!AJ33</f>
        <v>3</v>
      </c>
      <c r="L29" s="10">
        <f>ELEC!B30</f>
        <v>0</v>
      </c>
      <c r="M29" s="10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K30"/>
  <sheetViews>
    <sheetView topLeftCell="J1" zoomScale="85" zoomScaleNormal="85" zoomScaleSheetLayoutView="100" workbookViewId="0">
      <pane ySplit="1" topLeftCell="A21" activePane="bottomLeft" state="frozen"/>
      <selection activeCell="C1" sqref="C1"/>
      <selection pane="bottomLeft" activeCell="Z30" sqref="Z30"/>
    </sheetView>
  </sheetViews>
  <sheetFormatPr defaultColWidth="9.140625" defaultRowHeight="15"/>
  <cols>
    <col min="1" max="1" width="7.7109375" style="466" bestFit="1" customWidth="1"/>
    <col min="2" max="2" width="10.28515625" style="474" bestFit="1" customWidth="1"/>
    <col min="3" max="3" width="11.5703125" style="466" customWidth="1"/>
    <col min="4" max="4" width="18" style="475" bestFit="1" customWidth="1"/>
    <col min="5" max="5" width="14.42578125" style="475" bestFit="1" customWidth="1"/>
    <col min="6" max="6" width="15.28515625" style="475" bestFit="1" customWidth="1"/>
    <col min="7" max="7" width="12" style="475" bestFit="1" customWidth="1"/>
    <col min="8" max="8" width="18" style="475" bestFit="1" customWidth="1"/>
    <col min="9" max="9" width="13" style="475" bestFit="1" customWidth="1"/>
    <col min="10" max="10" width="18" style="475" bestFit="1" customWidth="1"/>
    <col min="11" max="11" width="11.7109375" style="475" customWidth="1"/>
    <col min="12" max="12" width="18" style="475" bestFit="1" customWidth="1"/>
    <col min="13" max="13" width="12.5703125" style="475" bestFit="1" customWidth="1"/>
    <col min="14" max="14" width="15.42578125" style="466" bestFit="1" customWidth="1"/>
    <col min="15" max="15" width="13.140625" style="476" bestFit="1" customWidth="1"/>
    <col min="16" max="16" width="14.28515625" style="466" bestFit="1" customWidth="1"/>
    <col min="17" max="17" width="13.7109375" style="466" bestFit="1" customWidth="1"/>
    <col min="18" max="18" width="12.42578125" style="466" bestFit="1" customWidth="1"/>
    <col min="19" max="21" width="11.5703125" style="466" bestFit="1" customWidth="1"/>
    <col min="22" max="22" width="13.140625" style="466" bestFit="1" customWidth="1"/>
    <col min="23" max="25" width="11.5703125" style="466" bestFit="1" customWidth="1"/>
    <col min="26" max="26" width="13.140625" style="466" bestFit="1" customWidth="1"/>
    <col min="27" max="29" width="11.5703125" style="466" bestFit="1" customWidth="1"/>
    <col min="30" max="30" width="13.140625" style="466" bestFit="1" customWidth="1"/>
    <col min="31" max="32" width="11.5703125" style="466" bestFit="1" customWidth="1"/>
    <col min="33" max="33" width="14.42578125" style="466" bestFit="1" customWidth="1"/>
    <col min="34" max="34" width="9.140625" style="466"/>
    <col min="35" max="35" width="9.7109375" style="466" bestFit="1" customWidth="1"/>
    <col min="36" max="16384" width="9.140625" style="466"/>
  </cols>
  <sheetData>
    <row r="1" spans="1:115" s="450" customFormat="1" ht="18.75" customHeight="1">
      <c r="A1" s="450" t="s">
        <v>19</v>
      </c>
      <c r="B1" s="451" t="s">
        <v>155</v>
      </c>
      <c r="C1" s="452"/>
      <c r="D1" s="453" t="s">
        <v>20</v>
      </c>
      <c r="E1" s="453" t="s">
        <v>21</v>
      </c>
      <c r="F1" s="453" t="s">
        <v>22</v>
      </c>
      <c r="G1" s="453" t="s">
        <v>23</v>
      </c>
      <c r="H1" s="453" t="s">
        <v>24</v>
      </c>
      <c r="I1" s="453" t="s">
        <v>25</v>
      </c>
      <c r="J1" s="453" t="s">
        <v>26</v>
      </c>
      <c r="K1" s="453" t="s">
        <v>27</v>
      </c>
      <c r="L1" s="453" t="s">
        <v>28</v>
      </c>
      <c r="M1" s="453" t="s">
        <v>29</v>
      </c>
      <c r="N1" s="454" t="s">
        <v>30</v>
      </c>
      <c r="O1" s="455" t="s">
        <v>156</v>
      </c>
      <c r="P1" s="456" t="s">
        <v>326</v>
      </c>
      <c r="Q1" s="454" t="s">
        <v>31</v>
      </c>
      <c r="R1" s="454" t="s">
        <v>32</v>
      </c>
      <c r="S1" s="454" t="s">
        <v>361</v>
      </c>
      <c r="T1" s="454" t="s">
        <v>33</v>
      </c>
      <c r="U1" s="454" t="s">
        <v>34</v>
      </c>
      <c r="V1" s="454" t="s">
        <v>35</v>
      </c>
      <c r="W1" s="454" t="s">
        <v>36</v>
      </c>
      <c r="X1" s="454" t="s">
        <v>33</v>
      </c>
      <c r="Y1" s="454" t="s">
        <v>37</v>
      </c>
      <c r="Z1" s="454" t="s">
        <v>38</v>
      </c>
      <c r="AA1" s="454" t="s">
        <v>39</v>
      </c>
      <c r="AB1" s="454" t="s">
        <v>33</v>
      </c>
      <c r="AC1" s="454" t="s">
        <v>77</v>
      </c>
      <c r="AD1" s="454" t="s">
        <v>40</v>
      </c>
      <c r="AE1" s="454" t="s">
        <v>41</v>
      </c>
      <c r="AF1" s="454" t="s">
        <v>42</v>
      </c>
      <c r="AG1" s="450" t="s">
        <v>132</v>
      </c>
    </row>
    <row r="2" spans="1:115" s="449" customFormat="1">
      <c r="A2" s="535">
        <f>[1]ELEC!A33</f>
        <v>0</v>
      </c>
      <c r="B2" s="535">
        <f>[1]ELEC!B33</f>
        <v>0</v>
      </c>
      <c r="C2" s="458">
        <f>[2]ELEC!$C$33</f>
        <v>44227</v>
      </c>
      <c r="D2" s="536">
        <f>[2]ELEC!D33</f>
        <v>32583138</v>
      </c>
      <c r="E2" s="536">
        <f>[2]ELEC!E33</f>
        <v>2268</v>
      </c>
      <c r="F2" s="536">
        <f>[2]ELEC!F33</f>
        <v>3954026.6</v>
      </c>
      <c r="G2" s="536">
        <f>[2]ELEC!G33</f>
        <v>559</v>
      </c>
      <c r="H2" s="536">
        <f>[2]ELEC!H33</f>
        <v>17779688</v>
      </c>
      <c r="I2" s="536">
        <f>[2]ELEC!I33</f>
        <v>842</v>
      </c>
      <c r="J2" s="536">
        <f>[2]ELEC!J33</f>
        <v>28877552</v>
      </c>
      <c r="K2" s="536">
        <f>[2]ELEC!K33</f>
        <v>1066</v>
      </c>
      <c r="L2" s="536">
        <f>[2]ELEC!L33</f>
        <v>23997558</v>
      </c>
      <c r="M2" s="536">
        <f>[2]ELEC!M33</f>
        <v>1612</v>
      </c>
      <c r="N2" s="536">
        <f>[2]ELEC!N33</f>
        <v>6347</v>
      </c>
      <c r="O2" s="536">
        <f>[2]ELEC!O33</f>
        <v>0</v>
      </c>
      <c r="P2" s="603">
        <f>[2]ELEC!P33</f>
        <v>16575.627</v>
      </c>
      <c r="Q2" s="536">
        <f>[2]ELEC!Q33</f>
        <v>2007.0000000014261</v>
      </c>
      <c r="R2" s="536">
        <f>[2]ELEC!R33</f>
        <v>4339.9999999985739</v>
      </c>
      <c r="S2" s="536">
        <f>[2]ELEC!S33</f>
        <v>10118</v>
      </c>
      <c r="T2" s="536">
        <f>[2]ELEC!T33</f>
        <v>0</v>
      </c>
      <c r="U2" s="536">
        <f>[2]ELEC!U33</f>
        <v>420722</v>
      </c>
      <c r="V2" s="536">
        <f>[2]ELEC!V33</f>
        <v>0</v>
      </c>
      <c r="W2" s="536">
        <f>[2]ELEC!W33</f>
        <v>32167</v>
      </c>
      <c r="X2" s="536">
        <f>[2]ELEC!X33</f>
        <v>0</v>
      </c>
      <c r="Y2" s="536">
        <f>[2]ELEC!Y33</f>
        <v>696352</v>
      </c>
      <c r="Z2" s="536">
        <f>[2]ELEC!Z33</f>
        <v>0</v>
      </c>
      <c r="AA2" s="536">
        <f>[2]ELEC!AA33</f>
        <v>35671</v>
      </c>
      <c r="AB2" s="536">
        <f>[2]ELEC!AB33</f>
        <v>4</v>
      </c>
      <c r="AC2" s="536">
        <f>[2]ELEC!AC33</f>
        <v>912352</v>
      </c>
      <c r="AD2" s="536">
        <f>[2]ELEC!AD33</f>
        <v>637</v>
      </c>
      <c r="AE2" s="536">
        <f>[2]ELEC!AE33</f>
        <v>4</v>
      </c>
      <c r="AF2" s="536">
        <f>[2]ELEC!AF33</f>
        <v>637</v>
      </c>
      <c r="AG2" s="536">
        <f>[2]ELEC!AG33</f>
        <v>159.25</v>
      </c>
      <c r="AH2" s="536">
        <f>[1]ELEC!AH33</f>
        <v>0</v>
      </c>
      <c r="AI2" s="536">
        <f>[1]ELEC!AI33</f>
        <v>-770946</v>
      </c>
      <c r="AJ2" s="536">
        <f>[1]ELEC!AJ33</f>
        <v>0</v>
      </c>
      <c r="AK2" s="536">
        <f>[1]ELEC!AK33</f>
        <v>0</v>
      </c>
      <c r="AL2" s="536">
        <f>[1]ELEC!AL33</f>
        <v>0</v>
      </c>
      <c r="AM2" s="536">
        <f>[1]ELEC!AM33</f>
        <v>0</v>
      </c>
      <c r="AN2" s="536">
        <f>[1]ELEC!AN33</f>
        <v>0</v>
      </c>
      <c r="AO2" s="536">
        <f>[1]ELEC!AO33</f>
        <v>0</v>
      </c>
      <c r="AP2" s="536">
        <f>[1]ELEC!AP33</f>
        <v>0</v>
      </c>
      <c r="AQ2" s="536">
        <f>[1]ELEC!AQ33</f>
        <v>0</v>
      </c>
      <c r="AR2" s="536">
        <f>[1]ELEC!AR33</f>
        <v>0</v>
      </c>
      <c r="AS2" s="536">
        <f>[1]ELEC!AS33</f>
        <v>0</v>
      </c>
      <c r="AT2" s="536">
        <f>[1]ELEC!AT33</f>
        <v>0</v>
      </c>
      <c r="AU2" s="536">
        <f>[1]ELEC!AU33</f>
        <v>0</v>
      </c>
      <c r="AV2" s="536">
        <f>[1]ELEC!AV33</f>
        <v>0</v>
      </c>
      <c r="AW2" s="536">
        <f>[1]ELEC!AW33</f>
        <v>0</v>
      </c>
      <c r="AX2" s="536">
        <f>[1]ELEC!AX33</f>
        <v>0</v>
      </c>
      <c r="AY2" s="536">
        <f>[1]ELEC!AY33</f>
        <v>0</v>
      </c>
      <c r="AZ2" s="536">
        <f>[1]ELEC!AZ33</f>
        <v>0</v>
      </c>
      <c r="BA2" s="536">
        <f>[1]ELEC!BA33</f>
        <v>0</v>
      </c>
      <c r="BB2" s="536">
        <f>[1]ELEC!BB33</f>
        <v>0</v>
      </c>
      <c r="BC2" s="536">
        <f>[1]ELEC!BC33</f>
        <v>0</v>
      </c>
      <c r="BD2" s="536">
        <f>[1]ELEC!BD33</f>
        <v>0</v>
      </c>
      <c r="BE2" s="536">
        <f>[1]ELEC!BE33</f>
        <v>0</v>
      </c>
      <c r="BF2" s="536">
        <f>[1]ELEC!BF33</f>
        <v>0</v>
      </c>
      <c r="BG2" s="536">
        <f>[1]ELEC!BG33</f>
        <v>0</v>
      </c>
      <c r="BH2" s="536">
        <f>[1]ELEC!BH33</f>
        <v>0</v>
      </c>
      <c r="BI2" s="536">
        <f>[1]ELEC!BI33</f>
        <v>0</v>
      </c>
      <c r="BJ2" s="536">
        <f>[1]ELEC!BJ33</f>
        <v>0</v>
      </c>
      <c r="BK2" s="536">
        <f>[1]ELEC!BK33</f>
        <v>0</v>
      </c>
      <c r="BL2" s="536">
        <f>[1]ELEC!BL33</f>
        <v>0</v>
      </c>
      <c r="BM2" s="536">
        <f>[1]ELEC!BM33</f>
        <v>0</v>
      </c>
      <c r="BN2" s="536">
        <f>[1]ELEC!BN33</f>
        <v>0</v>
      </c>
      <c r="BO2" s="536">
        <f>[1]ELEC!BO33</f>
        <v>0</v>
      </c>
      <c r="BP2" s="536">
        <f>[1]ELEC!BP33</f>
        <v>0</v>
      </c>
      <c r="BQ2" s="536">
        <f>[1]ELEC!BQ33</f>
        <v>0</v>
      </c>
      <c r="BR2" s="536">
        <f>[1]ELEC!BR33</f>
        <v>0</v>
      </c>
      <c r="BS2" s="536">
        <f>[1]ELEC!BS33</f>
        <v>0</v>
      </c>
      <c r="BT2" s="536">
        <f>[1]ELEC!BT33</f>
        <v>0</v>
      </c>
      <c r="BU2" s="536">
        <f>[1]ELEC!BU33</f>
        <v>0</v>
      </c>
      <c r="BV2" s="536">
        <f>[1]ELEC!BV33</f>
        <v>0</v>
      </c>
      <c r="BW2" s="536">
        <f>[1]ELEC!BW33</f>
        <v>0</v>
      </c>
      <c r="BX2" s="536">
        <f>[1]ELEC!BX33</f>
        <v>0</v>
      </c>
      <c r="BY2" s="536">
        <f>[1]ELEC!BY33</f>
        <v>0</v>
      </c>
      <c r="BZ2" s="536">
        <f>[1]ELEC!BZ33</f>
        <v>0</v>
      </c>
      <c r="CA2" s="536">
        <f>[1]ELEC!CA33</f>
        <v>0</v>
      </c>
      <c r="CB2" s="536">
        <f>[1]ELEC!CB33</f>
        <v>0</v>
      </c>
      <c r="CC2" s="536">
        <f>[1]ELEC!CC33</f>
        <v>0</v>
      </c>
      <c r="CD2" s="536">
        <f>[1]ELEC!CD33</f>
        <v>0</v>
      </c>
      <c r="CE2" s="536">
        <f>[1]ELEC!CE33</f>
        <v>0</v>
      </c>
      <c r="CF2" s="536">
        <f>[1]ELEC!CF33</f>
        <v>0</v>
      </c>
      <c r="CG2" s="536">
        <f>[1]ELEC!CG33</f>
        <v>0</v>
      </c>
      <c r="CH2" s="536">
        <f>[1]ELEC!CH33</f>
        <v>0</v>
      </c>
      <c r="CI2" s="536">
        <f>[1]ELEC!CI33</f>
        <v>0</v>
      </c>
      <c r="CJ2" s="536">
        <f>[1]ELEC!CJ33</f>
        <v>0</v>
      </c>
      <c r="CK2" s="536">
        <f>[1]ELEC!CK33</f>
        <v>0</v>
      </c>
      <c r="CL2" s="536">
        <f>[1]ELEC!CL33</f>
        <v>0</v>
      </c>
      <c r="CM2" s="536">
        <f>[1]ELEC!CM33</f>
        <v>0</v>
      </c>
      <c r="CN2" s="536">
        <f>[1]ELEC!CN33</f>
        <v>0</v>
      </c>
      <c r="CO2" s="536">
        <f>[1]ELEC!CO33</f>
        <v>0</v>
      </c>
      <c r="CP2" s="536">
        <f>[1]ELEC!CP33</f>
        <v>0</v>
      </c>
      <c r="CQ2" s="536">
        <f>[1]ELEC!CQ33</f>
        <v>0</v>
      </c>
      <c r="CR2" s="536">
        <f>[1]ELEC!CR33</f>
        <v>0</v>
      </c>
      <c r="CS2" s="536">
        <f>[1]ELEC!CS33</f>
        <v>0</v>
      </c>
      <c r="CT2" s="536">
        <f>[1]ELEC!CT33</f>
        <v>0</v>
      </c>
      <c r="CU2" s="536">
        <f>[1]ELEC!CU33</f>
        <v>0</v>
      </c>
      <c r="CV2" s="536">
        <f>[1]ELEC!CV33</f>
        <v>0</v>
      </c>
      <c r="CW2" s="536">
        <f>[1]ELEC!CW33</f>
        <v>0</v>
      </c>
      <c r="CX2" s="536">
        <f>[1]ELEC!CX33</f>
        <v>0</v>
      </c>
      <c r="CY2" s="536">
        <f>[1]ELEC!CY33</f>
        <v>0</v>
      </c>
      <c r="CZ2" s="536">
        <f>[1]ELEC!CZ33</f>
        <v>0</v>
      </c>
      <c r="DA2" s="536">
        <f>[1]ELEC!DA33</f>
        <v>0</v>
      </c>
      <c r="DB2" s="536">
        <f>[1]ELEC!DB33</f>
        <v>0</v>
      </c>
      <c r="DC2" s="536">
        <f>[1]ELEC!DC33</f>
        <v>0</v>
      </c>
      <c r="DD2" s="536">
        <f>[1]ELEC!DD33</f>
        <v>0</v>
      </c>
      <c r="DE2" s="480"/>
      <c r="DF2" s="480"/>
      <c r="DG2" s="480"/>
      <c r="DH2" s="480"/>
      <c r="DI2" s="480"/>
      <c r="DJ2" s="480"/>
      <c r="DK2" s="480"/>
    </row>
    <row r="3" spans="1:115">
      <c r="A3" s="457">
        <f>'General information '!F6</f>
        <v>0</v>
      </c>
      <c r="B3" s="451">
        <f>SUM(230*A3)</f>
        <v>0</v>
      </c>
      <c r="C3" s="458">
        <v>44228</v>
      </c>
      <c r="D3" s="445">
        <v>32585198</v>
      </c>
      <c r="E3" s="446">
        <f>D3-D2</f>
        <v>2060</v>
      </c>
      <c r="F3" s="445">
        <v>3954629</v>
      </c>
      <c r="G3" s="447">
        <f t="shared" ref="G3:G30" si="0">F3-F2</f>
        <v>602.39999999990687</v>
      </c>
      <c r="H3" s="445">
        <v>17780562</v>
      </c>
      <c r="I3" s="447">
        <f>H3-H2</f>
        <v>874</v>
      </c>
      <c r="J3" s="445">
        <v>28878522</v>
      </c>
      <c r="K3" s="447">
        <f>J3-J2</f>
        <v>970</v>
      </c>
      <c r="L3" s="445">
        <v>23999456</v>
      </c>
      <c r="M3" s="447">
        <f>L3-L2</f>
        <v>1898</v>
      </c>
      <c r="N3" s="448">
        <f>M3+K3+I3+G3+E3</f>
        <v>6404.3999999999069</v>
      </c>
      <c r="O3" s="459">
        <f t="shared" ref="O3:O9" si="1">IF(B3&gt;0,N3/B3,0)</f>
        <v>0</v>
      </c>
      <c r="P3" s="604">
        <v>16577.595000000001</v>
      </c>
      <c r="Q3" s="468">
        <f t="shared" ref="Q3:Q12" si="2">(P3-P2)*1000</f>
        <v>1968.0000000007567</v>
      </c>
      <c r="R3" s="461">
        <f>+N3-Q3</f>
        <v>4436.3999999991502</v>
      </c>
      <c r="S3" s="445">
        <f>S2</f>
        <v>10118</v>
      </c>
      <c r="T3" s="462">
        <f t="shared" ref="T3:T30" si="3">S3-S2</f>
        <v>0</v>
      </c>
      <c r="U3" s="445">
        <f>U2</f>
        <v>420722</v>
      </c>
      <c r="V3" s="460">
        <f>U3-U2</f>
        <v>0</v>
      </c>
      <c r="W3" s="445">
        <f>W2</f>
        <v>32167</v>
      </c>
      <c r="X3" s="460">
        <f t="shared" ref="X3:X8" si="4">W3-W2</f>
        <v>0</v>
      </c>
      <c r="Y3" s="445">
        <f>Y2</f>
        <v>696352</v>
      </c>
      <c r="Z3" s="460">
        <f>Y3-Y2</f>
        <v>0</v>
      </c>
      <c r="AA3" s="445">
        <v>35673</v>
      </c>
      <c r="AB3" s="460">
        <f>AA3-AA2</f>
        <v>2</v>
      </c>
      <c r="AC3" s="445">
        <v>912749</v>
      </c>
      <c r="AD3" s="463">
        <f>AC3-AC2</f>
        <v>397</v>
      </c>
      <c r="AE3" s="464">
        <f>AB3+X3+T3</f>
        <v>2</v>
      </c>
      <c r="AF3" s="445">
        <f>V3+Z3+AD3</f>
        <v>397</v>
      </c>
      <c r="AG3" s="465">
        <f t="shared" ref="AG3:AG9" si="5">IF(AE3&gt;0,AF3/AE3,0)</f>
        <v>198.5</v>
      </c>
    </row>
    <row r="4" spans="1:115">
      <c r="A4" s="457">
        <f>'General information '!F7</f>
        <v>0</v>
      </c>
      <c r="B4" s="451">
        <f t="shared" ref="B4:B30" si="6">SUM(230*A4)</f>
        <v>0</v>
      </c>
      <c r="C4" s="458">
        <v>44229</v>
      </c>
      <c r="D4" s="445">
        <v>32587390</v>
      </c>
      <c r="E4" s="311">
        <f>D4-D3</f>
        <v>2192</v>
      </c>
      <c r="F4" s="445">
        <v>3955265</v>
      </c>
      <c r="G4" s="312">
        <f t="shared" si="0"/>
        <v>636</v>
      </c>
      <c r="H4" s="445">
        <v>17781374</v>
      </c>
      <c r="I4" s="312">
        <f>H4-H3</f>
        <v>812</v>
      </c>
      <c r="J4" s="445">
        <v>28879434</v>
      </c>
      <c r="K4" s="312">
        <f>J4-J3</f>
        <v>912</v>
      </c>
      <c r="L4" s="445">
        <v>24001526</v>
      </c>
      <c r="M4" s="312">
        <f>L4-L3</f>
        <v>2070</v>
      </c>
      <c r="N4" s="310">
        <f>M4+K4+I4+G4+E4</f>
        <v>6622</v>
      </c>
      <c r="O4" s="467">
        <f t="shared" si="1"/>
        <v>0</v>
      </c>
      <c r="P4" s="604">
        <v>16579.849999999999</v>
      </c>
      <c r="Q4" s="468">
        <f t="shared" si="2"/>
        <v>2254.9999999973807</v>
      </c>
      <c r="R4" s="449">
        <f>N4-Q4</f>
        <v>4367.0000000026193</v>
      </c>
      <c r="S4" s="445">
        <f t="shared" ref="S4:AC30" si="7">S3</f>
        <v>10118</v>
      </c>
      <c r="T4" s="469">
        <f t="shared" si="3"/>
        <v>0</v>
      </c>
      <c r="U4" s="445">
        <f t="shared" si="7"/>
        <v>420722</v>
      </c>
      <c r="V4" s="449">
        <f>U4-U3</f>
        <v>0</v>
      </c>
      <c r="W4" s="445">
        <f t="shared" si="7"/>
        <v>32167</v>
      </c>
      <c r="X4" s="449">
        <f t="shared" si="4"/>
        <v>0</v>
      </c>
      <c r="Y4" s="445">
        <f t="shared" si="7"/>
        <v>696352</v>
      </c>
      <c r="Z4" s="449">
        <f>Y4-Y3</f>
        <v>0</v>
      </c>
      <c r="AA4" s="445">
        <v>35677</v>
      </c>
      <c r="AB4" s="470">
        <f>AA4-AA3</f>
        <v>4</v>
      </c>
      <c r="AC4" s="445">
        <v>913263</v>
      </c>
      <c r="AD4" s="471">
        <f>AC4-AC3</f>
        <v>514</v>
      </c>
      <c r="AE4" s="472">
        <f t="shared" ref="AE4:AE30" si="8">AB4+X4+T4</f>
        <v>4</v>
      </c>
      <c r="AF4" s="473">
        <f t="shared" ref="AF4:AF30" si="9">V4+Z4+AD4</f>
        <v>514</v>
      </c>
      <c r="AG4" s="465">
        <f t="shared" si="5"/>
        <v>128.5</v>
      </c>
    </row>
    <row r="5" spans="1:115">
      <c r="A5" s="457">
        <f>'General information '!F8</f>
        <v>0</v>
      </c>
      <c r="B5" s="451">
        <f>SUM(230*A5)</f>
        <v>0</v>
      </c>
      <c r="C5" s="458">
        <v>44230</v>
      </c>
      <c r="D5" s="445">
        <v>32589800</v>
      </c>
      <c r="E5" s="311">
        <f t="shared" ref="E5:E30" si="10">D5-D4</f>
        <v>2410</v>
      </c>
      <c r="F5" s="445">
        <v>3955904</v>
      </c>
      <c r="G5" s="312">
        <f t="shared" si="0"/>
        <v>639</v>
      </c>
      <c r="H5" s="445">
        <v>17782194</v>
      </c>
      <c r="I5" s="312">
        <f t="shared" ref="I5:I30" si="11">H5-H4</f>
        <v>820</v>
      </c>
      <c r="J5" s="445">
        <v>28880362</v>
      </c>
      <c r="K5" s="312">
        <f t="shared" ref="K5:K30" si="12">J5-J4</f>
        <v>928</v>
      </c>
      <c r="L5" s="445">
        <v>24003482</v>
      </c>
      <c r="M5" s="312">
        <f t="shared" ref="M5:M30" si="13">L5-L4</f>
        <v>1956</v>
      </c>
      <c r="N5" s="310">
        <f t="shared" ref="N5:N30" si="14">M5+K5+I5+G5+E5</f>
        <v>6753</v>
      </c>
      <c r="O5" s="467">
        <f t="shared" si="1"/>
        <v>0</v>
      </c>
      <c r="P5" s="604">
        <v>16582.771000000001</v>
      </c>
      <c r="Q5" s="468">
        <f>(P5-P4)*1000</f>
        <v>2921.0000000020955</v>
      </c>
      <c r="R5" s="449">
        <f>N5-Q5</f>
        <v>3831.9999999979045</v>
      </c>
      <c r="S5" s="445">
        <f t="shared" si="7"/>
        <v>10118</v>
      </c>
      <c r="T5" s="469">
        <f t="shared" si="3"/>
        <v>0</v>
      </c>
      <c r="U5" s="445">
        <f t="shared" si="7"/>
        <v>420722</v>
      </c>
      <c r="V5" s="449">
        <f t="shared" ref="V5:V30" si="15">U5-U4</f>
        <v>0</v>
      </c>
      <c r="W5" s="445">
        <f t="shared" si="7"/>
        <v>32167</v>
      </c>
      <c r="X5" s="449">
        <f t="shared" si="4"/>
        <v>0</v>
      </c>
      <c r="Y5" s="445">
        <f t="shared" si="7"/>
        <v>696352</v>
      </c>
      <c r="Z5" s="449">
        <f>Y5-Y4</f>
        <v>0</v>
      </c>
      <c r="AA5" s="445">
        <v>35680</v>
      </c>
      <c r="AB5" s="449">
        <f t="shared" ref="AB5:AB30" si="16">AA5-AA4</f>
        <v>3</v>
      </c>
      <c r="AC5" s="445">
        <v>913951</v>
      </c>
      <c r="AD5" s="449">
        <f t="shared" ref="AD5:AD16" si="17">AC5-AC4</f>
        <v>688</v>
      </c>
      <c r="AE5" s="472">
        <f t="shared" si="8"/>
        <v>3</v>
      </c>
      <c r="AF5" s="473">
        <f t="shared" si="9"/>
        <v>688</v>
      </c>
      <c r="AG5" s="465">
        <f t="shared" si="5"/>
        <v>229.33333333333334</v>
      </c>
      <c r="AI5" s="466">
        <f>R5-'EDl log'!B3</f>
        <v>-849794.0000000021</v>
      </c>
    </row>
    <row r="6" spans="1:115">
      <c r="A6" s="457">
        <f>'General information '!F9</f>
        <v>0</v>
      </c>
      <c r="B6" s="451">
        <f t="shared" si="6"/>
        <v>0</v>
      </c>
      <c r="C6" s="458">
        <v>44231</v>
      </c>
      <c r="D6" s="445">
        <v>32592094</v>
      </c>
      <c r="E6" s="311">
        <f t="shared" si="10"/>
        <v>2294</v>
      </c>
      <c r="F6" s="445">
        <v>3956555</v>
      </c>
      <c r="G6" s="312">
        <f t="shared" si="0"/>
        <v>651</v>
      </c>
      <c r="H6" s="445">
        <v>17783034</v>
      </c>
      <c r="I6" s="312">
        <f t="shared" si="11"/>
        <v>840</v>
      </c>
      <c r="J6" s="445">
        <v>28881318</v>
      </c>
      <c r="K6" s="312">
        <f t="shared" si="12"/>
        <v>956</v>
      </c>
      <c r="L6" s="445">
        <v>24005328</v>
      </c>
      <c r="M6" s="312">
        <f t="shared" si="13"/>
        <v>1846</v>
      </c>
      <c r="N6" s="310">
        <f t="shared" si="14"/>
        <v>6587</v>
      </c>
      <c r="O6" s="467">
        <f t="shared" si="1"/>
        <v>0</v>
      </c>
      <c r="P6" s="604">
        <v>16585.395</v>
      </c>
      <c r="Q6" s="449">
        <f t="shared" si="2"/>
        <v>2623.9999999997963</v>
      </c>
      <c r="R6" s="449">
        <f t="shared" ref="R6:R12" si="18">N6-Q6</f>
        <v>3963.0000000002037</v>
      </c>
      <c r="S6" s="445">
        <f t="shared" si="7"/>
        <v>10118</v>
      </c>
      <c r="T6" s="469">
        <f t="shared" si="3"/>
        <v>0</v>
      </c>
      <c r="U6" s="445">
        <f t="shared" si="7"/>
        <v>420722</v>
      </c>
      <c r="V6" s="449">
        <f t="shared" si="15"/>
        <v>0</v>
      </c>
      <c r="W6" s="445">
        <f t="shared" si="7"/>
        <v>32167</v>
      </c>
      <c r="X6" s="449">
        <f t="shared" si="4"/>
        <v>0</v>
      </c>
      <c r="Y6" s="445">
        <f t="shared" si="7"/>
        <v>696352</v>
      </c>
      <c r="Z6" s="449">
        <f t="shared" ref="Z6:Z30" si="19">Y6-Y5</f>
        <v>0</v>
      </c>
      <c r="AA6" s="445">
        <v>35684</v>
      </c>
      <c r="AB6" s="449">
        <f t="shared" si="16"/>
        <v>4</v>
      </c>
      <c r="AC6" s="445">
        <v>914499</v>
      </c>
      <c r="AD6" s="449">
        <f t="shared" si="17"/>
        <v>548</v>
      </c>
      <c r="AE6" s="472">
        <f t="shared" si="8"/>
        <v>4</v>
      </c>
      <c r="AF6" s="473">
        <f t="shared" si="9"/>
        <v>548</v>
      </c>
      <c r="AG6" s="465">
        <f t="shared" si="5"/>
        <v>137</v>
      </c>
      <c r="AI6" s="466">
        <f>R6-'EDl log'!B4</f>
        <v>-852162.99999999977</v>
      </c>
    </row>
    <row r="7" spans="1:115">
      <c r="A7" s="457">
        <f>'General information '!F10</f>
        <v>0</v>
      </c>
      <c r="B7" s="451">
        <f t="shared" si="6"/>
        <v>0</v>
      </c>
      <c r="C7" s="458">
        <v>44232</v>
      </c>
      <c r="D7" s="445">
        <v>32594150</v>
      </c>
      <c r="E7" s="311">
        <f t="shared" si="10"/>
        <v>2056</v>
      </c>
      <c r="F7" s="445">
        <v>3957163</v>
      </c>
      <c r="G7" s="312">
        <f t="shared" si="0"/>
        <v>608</v>
      </c>
      <c r="H7" s="445">
        <v>17783774</v>
      </c>
      <c r="I7" s="312">
        <f t="shared" si="11"/>
        <v>740</v>
      </c>
      <c r="J7" s="445">
        <v>28882234</v>
      </c>
      <c r="K7" s="312">
        <f t="shared" si="12"/>
        <v>916</v>
      </c>
      <c r="L7" s="445">
        <v>24006940</v>
      </c>
      <c r="M7" s="312">
        <f t="shared" si="13"/>
        <v>1612</v>
      </c>
      <c r="N7" s="310">
        <f t="shared" si="14"/>
        <v>5932</v>
      </c>
      <c r="O7" s="467">
        <f t="shared" si="1"/>
        <v>0</v>
      </c>
      <c r="P7" s="604">
        <v>16587.36</v>
      </c>
      <c r="Q7" s="449">
        <f t="shared" si="2"/>
        <v>1965.0000000001455</v>
      </c>
      <c r="R7" s="449">
        <f t="shared" si="18"/>
        <v>3966.9999999998545</v>
      </c>
      <c r="S7" s="445">
        <f t="shared" si="7"/>
        <v>10118</v>
      </c>
      <c r="T7" s="469">
        <f t="shared" si="3"/>
        <v>0</v>
      </c>
      <c r="U7" s="445">
        <f t="shared" si="7"/>
        <v>420722</v>
      </c>
      <c r="V7" s="449">
        <f t="shared" si="15"/>
        <v>0</v>
      </c>
      <c r="W7" s="445">
        <f t="shared" si="7"/>
        <v>32167</v>
      </c>
      <c r="X7" s="449">
        <f t="shared" si="4"/>
        <v>0</v>
      </c>
      <c r="Y7" s="445">
        <f t="shared" si="7"/>
        <v>696352</v>
      </c>
      <c r="Z7" s="449">
        <f t="shared" si="19"/>
        <v>0</v>
      </c>
      <c r="AA7" s="445">
        <v>35687</v>
      </c>
      <c r="AB7" s="449">
        <f t="shared" si="16"/>
        <v>3</v>
      </c>
      <c r="AC7" s="445">
        <v>914939</v>
      </c>
      <c r="AD7" s="449">
        <f t="shared" si="17"/>
        <v>440</v>
      </c>
      <c r="AE7" s="472">
        <f t="shared" si="8"/>
        <v>3</v>
      </c>
      <c r="AF7" s="473">
        <f t="shared" si="9"/>
        <v>440</v>
      </c>
      <c r="AG7" s="465">
        <f t="shared" si="5"/>
        <v>146.66666666666666</v>
      </c>
      <c r="AI7" s="466">
        <f>R7-'EDl log'!B5</f>
        <v>-854387.00000000012</v>
      </c>
    </row>
    <row r="8" spans="1:115">
      <c r="A8" s="457">
        <f>'General information '!F11</f>
        <v>0</v>
      </c>
      <c r="B8" s="451">
        <f t="shared" si="6"/>
        <v>0</v>
      </c>
      <c r="C8" s="458">
        <v>44233</v>
      </c>
      <c r="D8" s="445">
        <v>32596102</v>
      </c>
      <c r="E8" s="311">
        <f t="shared" si="10"/>
        <v>1952</v>
      </c>
      <c r="F8" s="445">
        <v>3957828</v>
      </c>
      <c r="G8" s="312">
        <f t="shared" si="0"/>
        <v>665</v>
      </c>
      <c r="H8" s="445">
        <v>17784574</v>
      </c>
      <c r="I8" s="312">
        <f t="shared" si="11"/>
        <v>800</v>
      </c>
      <c r="J8" s="445">
        <v>28883136</v>
      </c>
      <c r="K8" s="312">
        <f t="shared" si="12"/>
        <v>902</v>
      </c>
      <c r="L8" s="445">
        <v>24008598</v>
      </c>
      <c r="M8" s="312">
        <f t="shared" si="13"/>
        <v>1658</v>
      </c>
      <c r="N8" s="310">
        <f t="shared" si="14"/>
        <v>5977</v>
      </c>
      <c r="O8" s="467">
        <f t="shared" si="1"/>
        <v>0</v>
      </c>
      <c r="P8" s="604">
        <v>16589.054</v>
      </c>
      <c r="Q8" s="449">
        <f t="shared" si="2"/>
        <v>1693.9999999995052</v>
      </c>
      <c r="R8" s="449">
        <f t="shared" si="18"/>
        <v>4283.0000000004948</v>
      </c>
      <c r="S8" s="445">
        <f t="shared" si="7"/>
        <v>10118</v>
      </c>
      <c r="T8" s="469">
        <f t="shared" si="3"/>
        <v>0</v>
      </c>
      <c r="U8" s="445">
        <f t="shared" si="7"/>
        <v>420722</v>
      </c>
      <c r="V8" s="449">
        <f t="shared" si="15"/>
        <v>0</v>
      </c>
      <c r="W8" s="445">
        <f t="shared" si="7"/>
        <v>32167</v>
      </c>
      <c r="X8" s="449">
        <f t="shared" si="4"/>
        <v>0</v>
      </c>
      <c r="Y8" s="445">
        <f t="shared" si="7"/>
        <v>696352</v>
      </c>
      <c r="Z8" s="449">
        <f t="shared" si="19"/>
        <v>0</v>
      </c>
      <c r="AA8" s="445">
        <v>35689</v>
      </c>
      <c r="AB8" s="449">
        <f t="shared" si="16"/>
        <v>2</v>
      </c>
      <c r="AC8" s="445">
        <v>915313</v>
      </c>
      <c r="AD8" s="449">
        <f t="shared" si="17"/>
        <v>374</v>
      </c>
      <c r="AE8" s="472">
        <f t="shared" si="8"/>
        <v>2</v>
      </c>
      <c r="AF8" s="473">
        <f t="shared" si="9"/>
        <v>374</v>
      </c>
      <c r="AG8" s="465">
        <f t="shared" si="5"/>
        <v>187</v>
      </c>
      <c r="AI8" s="466">
        <f>R8-'EDl log'!B6</f>
        <v>-856157.99999999953</v>
      </c>
    </row>
    <row r="9" spans="1:115">
      <c r="A9" s="457">
        <f>'General information '!F12</f>
        <v>0</v>
      </c>
      <c r="B9" s="451">
        <f t="shared" si="6"/>
        <v>0</v>
      </c>
      <c r="C9" s="458">
        <v>44234</v>
      </c>
      <c r="D9" s="445">
        <v>32597812</v>
      </c>
      <c r="E9" s="311">
        <f t="shared" si="10"/>
        <v>1710</v>
      </c>
      <c r="F9" s="445">
        <v>3958431.2</v>
      </c>
      <c r="G9" s="312">
        <f t="shared" si="0"/>
        <v>603.20000000018626</v>
      </c>
      <c r="H9" s="445">
        <v>17785390</v>
      </c>
      <c r="I9" s="312">
        <f t="shared" si="11"/>
        <v>816</v>
      </c>
      <c r="J9" s="445">
        <v>28884582</v>
      </c>
      <c r="K9" s="312">
        <f t="shared" si="12"/>
        <v>1446</v>
      </c>
      <c r="L9" s="445">
        <v>24010574</v>
      </c>
      <c r="M9" s="312">
        <f t="shared" si="13"/>
        <v>1976</v>
      </c>
      <c r="N9" s="310">
        <f t="shared" si="14"/>
        <v>6551.2000000001863</v>
      </c>
      <c r="O9" s="467">
        <f t="shared" si="1"/>
        <v>0</v>
      </c>
      <c r="P9" s="604">
        <v>16591.098000000002</v>
      </c>
      <c r="Q9" s="449">
        <f t="shared" si="2"/>
        <v>2044.000000001688</v>
      </c>
      <c r="R9" s="449">
        <f t="shared" si="18"/>
        <v>4507.1999999984982</v>
      </c>
      <c r="S9" s="445">
        <f t="shared" si="7"/>
        <v>10118</v>
      </c>
      <c r="T9" s="469">
        <f t="shared" si="3"/>
        <v>0</v>
      </c>
      <c r="U9" s="445">
        <f t="shared" si="7"/>
        <v>420722</v>
      </c>
      <c r="V9" s="449">
        <f t="shared" si="15"/>
        <v>0</v>
      </c>
      <c r="W9" s="445">
        <v>32169</v>
      </c>
      <c r="X9" s="449">
        <f t="shared" ref="X9:X30" si="20">W9-W8</f>
        <v>2</v>
      </c>
      <c r="Y9" s="445">
        <v>696833</v>
      </c>
      <c r="Z9" s="449">
        <f t="shared" si="19"/>
        <v>481</v>
      </c>
      <c r="AA9" s="445">
        <f t="shared" si="7"/>
        <v>35689</v>
      </c>
      <c r="AB9" s="449">
        <f t="shared" si="16"/>
        <v>0</v>
      </c>
      <c r="AC9" s="445">
        <v>915313</v>
      </c>
      <c r="AD9" s="449">
        <f t="shared" si="17"/>
        <v>0</v>
      </c>
      <c r="AE9" s="472">
        <f t="shared" si="8"/>
        <v>2</v>
      </c>
      <c r="AF9" s="473">
        <f t="shared" si="9"/>
        <v>481</v>
      </c>
      <c r="AG9" s="465">
        <f t="shared" si="5"/>
        <v>240.5</v>
      </c>
      <c r="AI9" s="466">
        <f>R9-'EDl log'!B7</f>
        <v>-858088.80000000144</v>
      </c>
    </row>
    <row r="10" spans="1:115">
      <c r="A10" s="457">
        <f>'General information '!F13</f>
        <v>0</v>
      </c>
      <c r="B10" s="451">
        <f t="shared" si="6"/>
        <v>0</v>
      </c>
      <c r="C10" s="458">
        <v>44235</v>
      </c>
      <c r="D10" s="445">
        <v>32599474</v>
      </c>
      <c r="E10" s="311">
        <f t="shared" si="10"/>
        <v>1662</v>
      </c>
      <c r="F10" s="445">
        <v>3959035</v>
      </c>
      <c r="G10" s="312">
        <f t="shared" si="0"/>
        <v>603.79999999981374</v>
      </c>
      <c r="H10" s="445">
        <v>17786186</v>
      </c>
      <c r="I10" s="312">
        <f t="shared" si="11"/>
        <v>796</v>
      </c>
      <c r="J10" s="445">
        <v>28886052</v>
      </c>
      <c r="K10" s="312">
        <f t="shared" si="12"/>
        <v>1470</v>
      </c>
      <c r="L10" s="445">
        <v>24012332</v>
      </c>
      <c r="M10" s="312">
        <f t="shared" si="13"/>
        <v>1758</v>
      </c>
      <c r="N10" s="310">
        <f t="shared" si="14"/>
        <v>6289.7999999998137</v>
      </c>
      <c r="O10" s="467">
        <f t="shared" ref="O10:O30" si="21">IF(B10&gt;0,N10/B10,0)</f>
        <v>0</v>
      </c>
      <c r="P10" s="604">
        <v>16593.143</v>
      </c>
      <c r="Q10" s="449">
        <f t="shared" si="2"/>
        <v>2044.9999999982538</v>
      </c>
      <c r="R10" s="449">
        <f t="shared" si="18"/>
        <v>4244.80000000156</v>
      </c>
      <c r="S10" s="445">
        <f t="shared" si="7"/>
        <v>10118</v>
      </c>
      <c r="T10" s="469">
        <f t="shared" si="3"/>
        <v>0</v>
      </c>
      <c r="U10" s="445">
        <f t="shared" si="7"/>
        <v>420722</v>
      </c>
      <c r="V10" s="449">
        <f t="shared" si="15"/>
        <v>0</v>
      </c>
      <c r="W10" s="445">
        <v>32172</v>
      </c>
      <c r="X10" s="449">
        <f t="shared" si="20"/>
        <v>3</v>
      </c>
      <c r="Y10" s="445">
        <v>697351</v>
      </c>
      <c r="Z10" s="449">
        <f t="shared" si="19"/>
        <v>518</v>
      </c>
      <c r="AA10" s="445">
        <f t="shared" si="7"/>
        <v>35689</v>
      </c>
      <c r="AB10" s="449">
        <f t="shared" si="16"/>
        <v>0</v>
      </c>
      <c r="AC10" s="445">
        <f t="shared" si="7"/>
        <v>915313</v>
      </c>
      <c r="AD10" s="449">
        <f t="shared" si="17"/>
        <v>0</v>
      </c>
      <c r="AE10" s="472">
        <f t="shared" si="8"/>
        <v>3</v>
      </c>
      <c r="AF10" s="473">
        <f t="shared" si="9"/>
        <v>518</v>
      </c>
      <c r="AG10" s="465">
        <f t="shared" ref="AG10:AG30" si="22">IF(AE10&gt;0,AF10/AE10,0)</f>
        <v>172.66666666666666</v>
      </c>
      <c r="AI10" s="466">
        <f>R10-'EDl log'!B8</f>
        <v>-860497.19999999844</v>
      </c>
    </row>
    <row r="11" spans="1:115">
      <c r="A11" s="457">
        <f>'General information '!F14</f>
        <v>0</v>
      </c>
      <c r="B11" s="451">
        <f>SUM(230*A11)</f>
        <v>0</v>
      </c>
      <c r="C11" s="458">
        <v>44236</v>
      </c>
      <c r="D11" s="445">
        <v>32601382</v>
      </c>
      <c r="E11" s="311">
        <f t="shared" si="10"/>
        <v>1908</v>
      </c>
      <c r="F11" s="445">
        <v>3959703</v>
      </c>
      <c r="G11" s="312">
        <f t="shared" si="0"/>
        <v>668</v>
      </c>
      <c r="H11" s="445">
        <v>17787062</v>
      </c>
      <c r="I11" s="312">
        <f t="shared" si="11"/>
        <v>876</v>
      </c>
      <c r="J11" s="445">
        <v>28887970</v>
      </c>
      <c r="K11" s="312">
        <f t="shared" si="12"/>
        <v>1918</v>
      </c>
      <c r="L11" s="445">
        <v>24013970</v>
      </c>
      <c r="M11" s="312">
        <f t="shared" si="13"/>
        <v>1638</v>
      </c>
      <c r="N11" s="310">
        <f>M11+K11+I11+G11+E11</f>
        <v>7008</v>
      </c>
      <c r="O11" s="467">
        <f t="shared" si="21"/>
        <v>0</v>
      </c>
      <c r="P11" s="604">
        <v>16596.579000000002</v>
      </c>
      <c r="Q11" s="449">
        <f t="shared" si="2"/>
        <v>3436.0000000015134</v>
      </c>
      <c r="R11" s="449">
        <f t="shared" si="18"/>
        <v>3571.9999999984866</v>
      </c>
      <c r="S11" s="445">
        <f t="shared" si="7"/>
        <v>10118</v>
      </c>
      <c r="T11" s="469">
        <f t="shared" si="3"/>
        <v>0</v>
      </c>
      <c r="U11" s="445">
        <f t="shared" si="7"/>
        <v>420722</v>
      </c>
      <c r="V11" s="449">
        <f t="shared" si="15"/>
        <v>0</v>
      </c>
      <c r="W11" s="445">
        <v>32176</v>
      </c>
      <c r="X11" s="449">
        <f t="shared" si="20"/>
        <v>4</v>
      </c>
      <c r="Y11" s="445">
        <v>698227</v>
      </c>
      <c r="Z11" s="449">
        <f t="shared" si="19"/>
        <v>876</v>
      </c>
      <c r="AA11" s="445">
        <f t="shared" si="7"/>
        <v>35689</v>
      </c>
      <c r="AB11" s="449">
        <f t="shared" si="16"/>
        <v>0</v>
      </c>
      <c r="AC11" s="445">
        <f t="shared" si="7"/>
        <v>915313</v>
      </c>
      <c r="AD11" s="449">
        <f t="shared" si="17"/>
        <v>0</v>
      </c>
      <c r="AE11" s="472">
        <f t="shared" si="8"/>
        <v>4</v>
      </c>
      <c r="AF11" s="473">
        <f t="shared" si="9"/>
        <v>876</v>
      </c>
      <c r="AG11" s="465">
        <f t="shared" si="22"/>
        <v>219</v>
      </c>
      <c r="AI11" s="466">
        <f>R11-'EDl log'!B9</f>
        <v>-863499.00000000151</v>
      </c>
    </row>
    <row r="12" spans="1:115">
      <c r="A12" s="457">
        <f>'General information '!F15</f>
        <v>0</v>
      </c>
      <c r="B12" s="451">
        <f t="shared" si="6"/>
        <v>0</v>
      </c>
      <c r="C12" s="458">
        <v>44237</v>
      </c>
      <c r="D12" s="445">
        <v>32603330</v>
      </c>
      <c r="E12" s="311">
        <f t="shared" si="10"/>
        <v>1948</v>
      </c>
      <c r="F12" s="445">
        <v>3960337</v>
      </c>
      <c r="G12" s="312">
        <f t="shared" si="0"/>
        <v>634</v>
      </c>
      <c r="H12" s="445">
        <v>17787894</v>
      </c>
      <c r="I12" s="312">
        <f t="shared" si="11"/>
        <v>832</v>
      </c>
      <c r="J12" s="445">
        <v>28890152</v>
      </c>
      <c r="K12" s="312">
        <f t="shared" si="12"/>
        <v>2182</v>
      </c>
      <c r="L12" s="445">
        <v>24015650</v>
      </c>
      <c r="M12" s="312">
        <f t="shared" si="13"/>
        <v>1680</v>
      </c>
      <c r="N12" s="310">
        <f>M12+K12+I12+G12+E12</f>
        <v>7276</v>
      </c>
      <c r="O12" s="467">
        <f t="shared" si="21"/>
        <v>0</v>
      </c>
      <c r="P12" s="604">
        <v>16601.021000000001</v>
      </c>
      <c r="Q12" s="449">
        <f t="shared" si="2"/>
        <v>4441.9999999990978</v>
      </c>
      <c r="R12" s="449">
        <f t="shared" si="18"/>
        <v>2834.0000000009022</v>
      </c>
      <c r="S12" s="445">
        <f t="shared" si="7"/>
        <v>10118</v>
      </c>
      <c r="T12" s="469">
        <f t="shared" si="3"/>
        <v>0</v>
      </c>
      <c r="U12" s="445">
        <f t="shared" si="7"/>
        <v>420722</v>
      </c>
      <c r="V12" s="449">
        <f t="shared" si="15"/>
        <v>0</v>
      </c>
      <c r="W12" s="445">
        <v>32182</v>
      </c>
      <c r="X12" s="449">
        <f t="shared" si="20"/>
        <v>6</v>
      </c>
      <c r="Y12" s="445">
        <v>699173</v>
      </c>
      <c r="Z12" s="449">
        <f t="shared" si="19"/>
        <v>946</v>
      </c>
      <c r="AA12" s="445">
        <v>35689</v>
      </c>
      <c r="AB12" s="449">
        <f t="shared" si="16"/>
        <v>0</v>
      </c>
      <c r="AC12" s="445">
        <f t="shared" si="7"/>
        <v>915313</v>
      </c>
      <c r="AD12" s="449">
        <f t="shared" si="17"/>
        <v>0</v>
      </c>
      <c r="AE12" s="472">
        <f t="shared" si="8"/>
        <v>6</v>
      </c>
      <c r="AF12" s="473">
        <f t="shared" si="9"/>
        <v>946</v>
      </c>
      <c r="AG12" s="465">
        <f t="shared" si="22"/>
        <v>157.66666666666666</v>
      </c>
      <c r="AI12" s="466">
        <f>R12-'EDl log'!B10</f>
        <v>-866645.99999999907</v>
      </c>
    </row>
    <row r="13" spans="1:115">
      <c r="A13" s="457">
        <f>'General information '!F16</f>
        <v>0</v>
      </c>
      <c r="B13" s="451">
        <f t="shared" si="6"/>
        <v>0</v>
      </c>
      <c r="C13" s="458">
        <v>44238</v>
      </c>
      <c r="D13" s="445">
        <v>32605256</v>
      </c>
      <c r="E13" s="311">
        <f t="shared" si="10"/>
        <v>1926</v>
      </c>
      <c r="F13" s="445">
        <v>3960985</v>
      </c>
      <c r="G13" s="312">
        <f t="shared" si="0"/>
        <v>648</v>
      </c>
      <c r="H13" s="445">
        <v>17788782</v>
      </c>
      <c r="I13" s="312">
        <f t="shared" si="11"/>
        <v>888</v>
      </c>
      <c r="J13" s="445">
        <v>28892186</v>
      </c>
      <c r="K13" s="312">
        <f t="shared" si="12"/>
        <v>2034</v>
      </c>
      <c r="L13" s="445">
        <v>24017390</v>
      </c>
      <c r="M13" s="312">
        <f t="shared" si="13"/>
        <v>1740</v>
      </c>
      <c r="N13" s="310">
        <f t="shared" si="14"/>
        <v>7236</v>
      </c>
      <c r="O13" s="467">
        <f t="shared" si="21"/>
        <v>0</v>
      </c>
      <c r="P13" s="604">
        <v>16605.02</v>
      </c>
      <c r="Q13" s="449">
        <f>(P13-P12)*1000</f>
        <v>3998.9999999997963</v>
      </c>
      <c r="R13" s="449">
        <f t="shared" ref="R13" si="23">N13-Q13</f>
        <v>3237.0000000002037</v>
      </c>
      <c r="S13" s="445">
        <f t="shared" si="7"/>
        <v>10118</v>
      </c>
      <c r="T13" s="469">
        <f t="shared" si="3"/>
        <v>0</v>
      </c>
      <c r="U13" s="445">
        <f t="shared" si="7"/>
        <v>420722</v>
      </c>
      <c r="V13" s="449">
        <f t="shared" si="15"/>
        <v>0</v>
      </c>
      <c r="W13" s="445">
        <v>32187</v>
      </c>
      <c r="X13" s="449">
        <f t="shared" si="20"/>
        <v>5</v>
      </c>
      <c r="Y13" s="445">
        <v>699988</v>
      </c>
      <c r="Z13" s="449">
        <f t="shared" si="19"/>
        <v>815</v>
      </c>
      <c r="AA13" s="445">
        <f t="shared" si="7"/>
        <v>35689</v>
      </c>
      <c r="AB13" s="449">
        <f t="shared" si="16"/>
        <v>0</v>
      </c>
      <c r="AC13" s="445">
        <f t="shared" si="7"/>
        <v>915313</v>
      </c>
      <c r="AD13" s="449">
        <f t="shared" si="17"/>
        <v>0</v>
      </c>
      <c r="AE13" s="472">
        <f t="shared" si="8"/>
        <v>5</v>
      </c>
      <c r="AF13" s="473">
        <f t="shared" si="9"/>
        <v>815</v>
      </c>
      <c r="AG13" s="465">
        <f t="shared" si="22"/>
        <v>163</v>
      </c>
      <c r="AI13" s="466">
        <f>R13-'EDl log'!B11</f>
        <v>-868525.99999999977</v>
      </c>
    </row>
    <row r="14" spans="1:115">
      <c r="A14" s="457">
        <f>'General information '!F17</f>
        <v>0</v>
      </c>
      <c r="B14" s="451">
        <f t="shared" si="6"/>
        <v>0</v>
      </c>
      <c r="C14" s="458">
        <v>44239</v>
      </c>
      <c r="D14" s="445">
        <v>32606678</v>
      </c>
      <c r="E14" s="311">
        <f t="shared" si="10"/>
        <v>1422</v>
      </c>
      <c r="F14" s="445">
        <v>3961594</v>
      </c>
      <c r="G14" s="312">
        <f t="shared" si="0"/>
        <v>609</v>
      </c>
      <c r="H14" s="445">
        <v>17789546</v>
      </c>
      <c r="I14" s="312">
        <f t="shared" si="11"/>
        <v>764</v>
      </c>
      <c r="J14" s="445">
        <v>28893682</v>
      </c>
      <c r="K14" s="312">
        <f t="shared" si="12"/>
        <v>1496</v>
      </c>
      <c r="L14" s="445">
        <v>24018742</v>
      </c>
      <c r="M14" s="312">
        <f t="shared" si="13"/>
        <v>1352</v>
      </c>
      <c r="N14" s="310">
        <f t="shared" si="14"/>
        <v>5643</v>
      </c>
      <c r="O14" s="467">
        <f t="shared" si="21"/>
        <v>0</v>
      </c>
      <c r="P14" s="604">
        <v>16607.648000000001</v>
      </c>
      <c r="Q14" s="449">
        <f t="shared" ref="Q14:Q30" si="24">(P14-P13)*1000</f>
        <v>2628.0000000006112</v>
      </c>
      <c r="R14" s="449">
        <f t="shared" ref="R14:R30" si="25">N14-Q14</f>
        <v>3014.9999999993888</v>
      </c>
      <c r="S14" s="445">
        <f t="shared" si="7"/>
        <v>10118</v>
      </c>
      <c r="T14" s="469">
        <f t="shared" si="3"/>
        <v>0</v>
      </c>
      <c r="U14" s="445">
        <f t="shared" si="7"/>
        <v>420722</v>
      </c>
      <c r="V14" s="449">
        <f t="shared" si="15"/>
        <v>0</v>
      </c>
      <c r="W14" s="445">
        <v>32191</v>
      </c>
      <c r="X14" s="449">
        <f t="shared" si="20"/>
        <v>4</v>
      </c>
      <c r="Y14" s="445">
        <v>700543</v>
      </c>
      <c r="Z14" s="449">
        <f t="shared" si="19"/>
        <v>555</v>
      </c>
      <c r="AA14" s="445">
        <f t="shared" si="7"/>
        <v>35689</v>
      </c>
      <c r="AB14" s="449">
        <f t="shared" si="16"/>
        <v>0</v>
      </c>
      <c r="AC14" s="445">
        <f t="shared" si="7"/>
        <v>915313</v>
      </c>
      <c r="AD14" s="449">
        <f t="shared" si="17"/>
        <v>0</v>
      </c>
      <c r="AE14" s="472">
        <f t="shared" si="8"/>
        <v>4</v>
      </c>
      <c r="AF14" s="473">
        <f t="shared" si="9"/>
        <v>555</v>
      </c>
      <c r="AG14" s="465">
        <f t="shared" si="22"/>
        <v>138.75</v>
      </c>
      <c r="AI14" s="466">
        <f>R14-'EDl log'!B12</f>
        <v>-870707.00000000058</v>
      </c>
    </row>
    <row r="15" spans="1:115">
      <c r="A15" s="457">
        <f>'General information '!F18</f>
        <v>0</v>
      </c>
      <c r="B15" s="451">
        <f t="shared" si="6"/>
        <v>0</v>
      </c>
      <c r="C15" s="458">
        <v>44240</v>
      </c>
      <c r="D15" s="445">
        <v>32608442</v>
      </c>
      <c r="E15" s="311">
        <f t="shared" si="10"/>
        <v>1764</v>
      </c>
      <c r="F15" s="445">
        <v>3962193</v>
      </c>
      <c r="G15" s="312">
        <f t="shared" si="0"/>
        <v>599</v>
      </c>
      <c r="H15" s="445">
        <v>17790434</v>
      </c>
      <c r="I15" s="312">
        <f t="shared" si="11"/>
        <v>888</v>
      </c>
      <c r="J15" s="445">
        <v>28895218</v>
      </c>
      <c r="K15" s="312">
        <f t="shared" si="12"/>
        <v>1536</v>
      </c>
      <c r="L15" s="445">
        <v>24020462</v>
      </c>
      <c r="M15" s="312">
        <f t="shared" si="13"/>
        <v>1720</v>
      </c>
      <c r="N15" s="310">
        <f t="shared" si="14"/>
        <v>6507</v>
      </c>
      <c r="O15" s="467">
        <f t="shared" si="21"/>
        <v>0</v>
      </c>
      <c r="P15" s="604">
        <v>16610.886999999999</v>
      </c>
      <c r="Q15" s="449">
        <f t="shared" si="24"/>
        <v>3238.999999997759</v>
      </c>
      <c r="R15" s="449">
        <f t="shared" si="25"/>
        <v>3268.000000002241</v>
      </c>
      <c r="S15" s="445">
        <f t="shared" si="7"/>
        <v>10118</v>
      </c>
      <c r="T15" s="469">
        <f t="shared" si="3"/>
        <v>0</v>
      </c>
      <c r="U15" s="445">
        <f t="shared" si="7"/>
        <v>420722</v>
      </c>
      <c r="V15" s="449">
        <f t="shared" si="15"/>
        <v>0</v>
      </c>
      <c r="W15" s="445">
        <v>32194</v>
      </c>
      <c r="X15" s="449">
        <f t="shared" si="20"/>
        <v>3</v>
      </c>
      <c r="Y15" s="445">
        <v>700970</v>
      </c>
      <c r="Z15" s="449">
        <f t="shared" si="19"/>
        <v>427</v>
      </c>
      <c r="AA15" s="445">
        <f t="shared" si="7"/>
        <v>35689</v>
      </c>
      <c r="AB15" s="449">
        <f t="shared" si="16"/>
        <v>0</v>
      </c>
      <c r="AC15" s="445">
        <f t="shared" si="7"/>
        <v>915313</v>
      </c>
      <c r="AD15" s="449">
        <f t="shared" si="17"/>
        <v>0</v>
      </c>
      <c r="AE15" s="472">
        <f t="shared" si="8"/>
        <v>3</v>
      </c>
      <c r="AF15" s="473">
        <f t="shared" si="9"/>
        <v>427</v>
      </c>
      <c r="AG15" s="465">
        <f t="shared" si="22"/>
        <v>142.33333333333334</v>
      </c>
      <c r="AI15" s="466">
        <f>R15-'EDl log'!B13</f>
        <v>-872027.99999999779</v>
      </c>
    </row>
    <row r="16" spans="1:115">
      <c r="A16" s="457">
        <f>'General information '!F19</f>
        <v>0</v>
      </c>
      <c r="B16" s="451">
        <f t="shared" si="6"/>
        <v>0</v>
      </c>
      <c r="C16" s="458">
        <v>44241</v>
      </c>
      <c r="D16" s="445">
        <v>32610768</v>
      </c>
      <c r="E16" s="311">
        <f t="shared" si="10"/>
        <v>2326</v>
      </c>
      <c r="F16" s="445">
        <v>3962772</v>
      </c>
      <c r="G16" s="312">
        <f t="shared" si="0"/>
        <v>579</v>
      </c>
      <c r="H16" s="445">
        <v>17791272</v>
      </c>
      <c r="I16" s="312">
        <f t="shared" si="11"/>
        <v>838</v>
      </c>
      <c r="J16" s="445">
        <v>28896302</v>
      </c>
      <c r="K16" s="312">
        <f t="shared" si="12"/>
        <v>1084</v>
      </c>
      <c r="L16" s="445">
        <v>24023074</v>
      </c>
      <c r="M16" s="312">
        <f t="shared" si="13"/>
        <v>2612</v>
      </c>
      <c r="N16" s="310">
        <f t="shared" si="14"/>
        <v>7439</v>
      </c>
      <c r="O16" s="467">
        <f t="shared" si="21"/>
        <v>0</v>
      </c>
      <c r="P16" s="604">
        <v>16614.541000000001</v>
      </c>
      <c r="Q16" s="449">
        <f t="shared" si="24"/>
        <v>3654.0000000022701</v>
      </c>
      <c r="R16" s="449">
        <f t="shared" si="25"/>
        <v>3784.9999999977299</v>
      </c>
      <c r="S16" s="445">
        <v>10123</v>
      </c>
      <c r="T16" s="469">
        <f t="shared" si="3"/>
        <v>5</v>
      </c>
      <c r="U16" s="445">
        <v>421599</v>
      </c>
      <c r="V16" s="449">
        <f t="shared" si="15"/>
        <v>877</v>
      </c>
      <c r="W16" s="445">
        <f t="shared" si="7"/>
        <v>32194</v>
      </c>
      <c r="X16" s="449">
        <f>W16-W15</f>
        <v>0</v>
      </c>
      <c r="Y16" s="445">
        <f t="shared" si="7"/>
        <v>700970</v>
      </c>
      <c r="Z16" s="449">
        <f>Y16-Y15</f>
        <v>0</v>
      </c>
      <c r="AA16" s="445">
        <f t="shared" si="7"/>
        <v>35689</v>
      </c>
      <c r="AB16" s="449">
        <f>AA16-AA15</f>
        <v>0</v>
      </c>
      <c r="AC16" s="445">
        <f t="shared" si="7"/>
        <v>915313</v>
      </c>
      <c r="AD16" s="449">
        <f t="shared" si="17"/>
        <v>0</v>
      </c>
      <c r="AE16" s="472">
        <f t="shared" si="8"/>
        <v>5</v>
      </c>
      <c r="AF16" s="473">
        <f t="shared" si="9"/>
        <v>877</v>
      </c>
      <c r="AG16" s="465">
        <f t="shared" si="22"/>
        <v>175.4</v>
      </c>
      <c r="AI16" s="466">
        <f>R16-'EDl log'!B14</f>
        <v>-873291.00000000233</v>
      </c>
    </row>
    <row r="17" spans="1:35">
      <c r="A17" s="457">
        <f>'General information '!F20</f>
        <v>0</v>
      </c>
      <c r="B17" s="451">
        <f t="shared" si="6"/>
        <v>0</v>
      </c>
      <c r="C17" s="458">
        <v>44242</v>
      </c>
      <c r="D17" s="445">
        <v>32612962</v>
      </c>
      <c r="E17" s="311">
        <f t="shared" si="10"/>
        <v>2194</v>
      </c>
      <c r="F17" s="445">
        <v>3963381</v>
      </c>
      <c r="G17" s="312">
        <f t="shared" si="0"/>
        <v>609</v>
      </c>
      <c r="H17" s="445">
        <v>17792182</v>
      </c>
      <c r="I17" s="312">
        <f t="shared" si="11"/>
        <v>910</v>
      </c>
      <c r="J17" s="445">
        <v>28897394</v>
      </c>
      <c r="K17" s="312">
        <f t="shared" si="12"/>
        <v>1092</v>
      </c>
      <c r="L17" s="445">
        <v>24025738</v>
      </c>
      <c r="M17" s="312">
        <f t="shared" si="13"/>
        <v>2664</v>
      </c>
      <c r="N17" s="310">
        <f t="shared" si="14"/>
        <v>7469</v>
      </c>
      <c r="O17" s="467">
        <f t="shared" si="21"/>
        <v>0</v>
      </c>
      <c r="P17" s="604">
        <v>16618.522000000001</v>
      </c>
      <c r="Q17" s="449">
        <f t="shared" si="24"/>
        <v>3980.9999999997672</v>
      </c>
      <c r="R17" s="449">
        <f t="shared" si="25"/>
        <v>3488.0000000002328</v>
      </c>
      <c r="S17" s="445">
        <v>10128</v>
      </c>
      <c r="T17" s="469">
        <f t="shared" si="3"/>
        <v>5</v>
      </c>
      <c r="U17" s="445">
        <v>422437</v>
      </c>
      <c r="V17" s="449">
        <f t="shared" si="15"/>
        <v>838</v>
      </c>
      <c r="W17" s="445">
        <f t="shared" si="7"/>
        <v>32194</v>
      </c>
      <c r="X17" s="449">
        <f t="shared" si="20"/>
        <v>0</v>
      </c>
      <c r="Y17" s="445">
        <f t="shared" si="7"/>
        <v>700970</v>
      </c>
      <c r="Z17" s="449">
        <f t="shared" si="19"/>
        <v>0</v>
      </c>
      <c r="AA17" s="445">
        <f t="shared" si="7"/>
        <v>35689</v>
      </c>
      <c r="AB17" s="449">
        <f t="shared" si="16"/>
        <v>0</v>
      </c>
      <c r="AC17" s="445">
        <f t="shared" si="7"/>
        <v>915313</v>
      </c>
      <c r="AD17" s="449">
        <f t="shared" ref="AD17:AD30" si="26">AC17-AC16</f>
        <v>0</v>
      </c>
      <c r="AE17" s="472">
        <f t="shared" si="8"/>
        <v>5</v>
      </c>
      <c r="AF17" s="473">
        <f t="shared" si="9"/>
        <v>838</v>
      </c>
      <c r="AG17" s="465">
        <f t="shared" si="22"/>
        <v>167.6</v>
      </c>
      <c r="AI17" s="466">
        <f>R17-'EDl log'!B15</f>
        <v>-875254.99999999977</v>
      </c>
    </row>
    <row r="18" spans="1:35">
      <c r="A18" s="457">
        <f>'General information '!F21</f>
        <v>0</v>
      </c>
      <c r="B18" s="451">
        <f t="shared" si="6"/>
        <v>0</v>
      </c>
      <c r="C18" s="458">
        <v>44243</v>
      </c>
      <c r="D18" s="445">
        <v>32615138</v>
      </c>
      <c r="E18" s="311">
        <f t="shared" si="10"/>
        <v>2176</v>
      </c>
      <c r="F18" s="445">
        <v>3963951</v>
      </c>
      <c r="G18" s="312">
        <f t="shared" si="0"/>
        <v>570</v>
      </c>
      <c r="H18" s="445">
        <v>17792976</v>
      </c>
      <c r="I18" s="312">
        <f t="shared" si="11"/>
        <v>794</v>
      </c>
      <c r="J18" s="445">
        <v>28898216</v>
      </c>
      <c r="K18" s="312">
        <f t="shared" si="12"/>
        <v>822</v>
      </c>
      <c r="L18" s="445">
        <v>24027310</v>
      </c>
      <c r="M18" s="312">
        <f t="shared" si="13"/>
        <v>1572</v>
      </c>
      <c r="N18" s="310">
        <f t="shared" si="14"/>
        <v>5934</v>
      </c>
      <c r="O18" s="467">
        <f t="shared" si="21"/>
        <v>0</v>
      </c>
      <c r="P18" s="604">
        <v>16620.830000000002</v>
      </c>
      <c r="Q18" s="449">
        <f t="shared" si="24"/>
        <v>2308.0000000009022</v>
      </c>
      <c r="R18" s="449">
        <f t="shared" si="25"/>
        <v>3625.9999999990978</v>
      </c>
      <c r="S18" s="445">
        <f t="shared" si="7"/>
        <v>10128</v>
      </c>
      <c r="T18" s="469">
        <f t="shared" si="3"/>
        <v>0</v>
      </c>
      <c r="U18" s="445">
        <f t="shared" si="7"/>
        <v>422437</v>
      </c>
      <c r="V18" s="449">
        <f t="shared" si="15"/>
        <v>0</v>
      </c>
      <c r="W18" s="445">
        <f t="shared" si="7"/>
        <v>32194</v>
      </c>
      <c r="X18" s="449">
        <f t="shared" si="20"/>
        <v>0</v>
      </c>
      <c r="Y18" s="445">
        <f t="shared" si="7"/>
        <v>700970</v>
      </c>
      <c r="Z18" s="449">
        <f t="shared" si="19"/>
        <v>0</v>
      </c>
      <c r="AA18" s="445">
        <v>35691</v>
      </c>
      <c r="AB18" s="449">
        <f t="shared" si="16"/>
        <v>2</v>
      </c>
      <c r="AC18" s="445">
        <v>915780</v>
      </c>
      <c r="AD18" s="449">
        <f t="shared" si="26"/>
        <v>467</v>
      </c>
      <c r="AE18" s="472">
        <f t="shared" si="8"/>
        <v>2</v>
      </c>
      <c r="AF18" s="473">
        <f t="shared" si="9"/>
        <v>467</v>
      </c>
      <c r="AG18" s="465">
        <f t="shared" si="22"/>
        <v>233.5</v>
      </c>
      <c r="AI18" s="466">
        <f>R18-'EDl log'!B16</f>
        <v>-876925.00000000093</v>
      </c>
    </row>
    <row r="19" spans="1:35">
      <c r="A19" s="457">
        <f>'General information '!F22</f>
        <v>0</v>
      </c>
      <c r="B19" s="451">
        <f t="shared" si="6"/>
        <v>0</v>
      </c>
      <c r="C19" s="458">
        <v>44244</v>
      </c>
      <c r="D19" s="445">
        <v>32617926</v>
      </c>
      <c r="E19" s="311">
        <f t="shared" si="10"/>
        <v>2788</v>
      </c>
      <c r="F19" s="445">
        <v>3964559</v>
      </c>
      <c r="G19" s="312">
        <f t="shared" si="0"/>
        <v>608</v>
      </c>
      <c r="H19" s="445">
        <v>17793926</v>
      </c>
      <c r="I19" s="312">
        <f t="shared" si="11"/>
        <v>950</v>
      </c>
      <c r="J19" s="445">
        <v>28899376</v>
      </c>
      <c r="K19" s="312">
        <f t="shared" si="12"/>
        <v>1160</v>
      </c>
      <c r="L19" s="445">
        <v>24029324</v>
      </c>
      <c r="M19" s="312">
        <f t="shared" si="13"/>
        <v>2014</v>
      </c>
      <c r="N19" s="310">
        <f t="shared" si="14"/>
        <v>7520</v>
      </c>
      <c r="O19" s="467">
        <f t="shared" si="21"/>
        <v>0</v>
      </c>
      <c r="P19" s="604">
        <v>16625.476999999999</v>
      </c>
      <c r="Q19" s="449">
        <f t="shared" si="24"/>
        <v>4646.999999997206</v>
      </c>
      <c r="R19" s="449">
        <f t="shared" si="25"/>
        <v>2873.000000002794</v>
      </c>
      <c r="S19" s="445">
        <f t="shared" si="7"/>
        <v>10128</v>
      </c>
      <c r="T19" s="469">
        <f t="shared" si="3"/>
        <v>0</v>
      </c>
      <c r="U19" s="445">
        <f t="shared" si="7"/>
        <v>422437</v>
      </c>
      <c r="V19" s="449">
        <f t="shared" si="15"/>
        <v>0</v>
      </c>
      <c r="W19" s="445">
        <v>32195</v>
      </c>
      <c r="X19" s="449">
        <f t="shared" si="20"/>
        <v>1</v>
      </c>
      <c r="Y19" s="445">
        <v>701041</v>
      </c>
      <c r="Z19" s="449">
        <f t="shared" si="19"/>
        <v>71</v>
      </c>
      <c r="AA19" s="445">
        <v>35694</v>
      </c>
      <c r="AB19" s="449">
        <f t="shared" si="16"/>
        <v>3</v>
      </c>
      <c r="AC19" s="445">
        <v>916096</v>
      </c>
      <c r="AD19" s="449">
        <f t="shared" si="26"/>
        <v>316</v>
      </c>
      <c r="AE19" s="472">
        <f t="shared" si="8"/>
        <v>4</v>
      </c>
      <c r="AF19" s="473">
        <f t="shared" si="9"/>
        <v>387</v>
      </c>
      <c r="AG19" s="465">
        <f t="shared" si="22"/>
        <v>96.75</v>
      </c>
      <c r="AI19" s="466">
        <f>R19-'EDl log'!B17</f>
        <v>-879726.99999999721</v>
      </c>
    </row>
    <row r="20" spans="1:35">
      <c r="A20" s="457">
        <f>'General information '!F23</f>
        <v>0</v>
      </c>
      <c r="B20" s="451">
        <f t="shared" si="6"/>
        <v>0</v>
      </c>
      <c r="C20" s="458">
        <v>44245</v>
      </c>
      <c r="D20" s="445">
        <v>32619900</v>
      </c>
      <c r="E20" s="311">
        <f t="shared" si="10"/>
        <v>1974</v>
      </c>
      <c r="F20" s="445">
        <v>3965159</v>
      </c>
      <c r="G20" s="312">
        <f t="shared" si="0"/>
        <v>600</v>
      </c>
      <c r="H20" s="445">
        <v>17794746</v>
      </c>
      <c r="I20" s="312">
        <f t="shared" si="11"/>
        <v>820</v>
      </c>
      <c r="J20" s="445">
        <v>28901174</v>
      </c>
      <c r="K20" s="312">
        <f t="shared" si="12"/>
        <v>1798</v>
      </c>
      <c r="L20" s="445">
        <v>24031324</v>
      </c>
      <c r="M20" s="312">
        <f t="shared" si="13"/>
        <v>2000</v>
      </c>
      <c r="N20" s="310">
        <f t="shared" si="14"/>
        <v>7192</v>
      </c>
      <c r="O20" s="467">
        <f t="shared" si="21"/>
        <v>0</v>
      </c>
      <c r="P20" s="604">
        <v>16629.766</v>
      </c>
      <c r="Q20" s="449">
        <f t="shared" si="24"/>
        <v>4289.0000000006694</v>
      </c>
      <c r="R20" s="449">
        <f t="shared" si="25"/>
        <v>2902.9999999993306</v>
      </c>
      <c r="S20" s="445">
        <f t="shared" si="7"/>
        <v>10128</v>
      </c>
      <c r="T20" s="469">
        <f t="shared" si="3"/>
        <v>0</v>
      </c>
      <c r="U20" s="445">
        <f t="shared" si="7"/>
        <v>422437</v>
      </c>
      <c r="V20" s="449">
        <f t="shared" si="15"/>
        <v>0</v>
      </c>
      <c r="W20" s="445">
        <v>32200</v>
      </c>
      <c r="X20" s="449">
        <f t="shared" si="20"/>
        <v>5</v>
      </c>
      <c r="Y20" s="445">
        <v>701688</v>
      </c>
      <c r="Z20" s="449">
        <f t="shared" si="19"/>
        <v>647</v>
      </c>
      <c r="AA20" s="445">
        <v>35694</v>
      </c>
      <c r="AB20" s="449">
        <f t="shared" si="16"/>
        <v>0</v>
      </c>
      <c r="AC20" s="445">
        <v>916097</v>
      </c>
      <c r="AD20" s="449">
        <f t="shared" si="26"/>
        <v>1</v>
      </c>
      <c r="AE20" s="472">
        <f t="shared" si="8"/>
        <v>5</v>
      </c>
      <c r="AF20" s="473">
        <f t="shared" si="9"/>
        <v>648</v>
      </c>
      <c r="AG20" s="465">
        <f t="shared" si="22"/>
        <v>129.6</v>
      </c>
      <c r="AI20" s="466">
        <f>R20-'EDl log'!B18</f>
        <v>-881615.0000000007</v>
      </c>
    </row>
    <row r="21" spans="1:35">
      <c r="A21" s="457">
        <f>'General information '!F24</f>
        <v>0</v>
      </c>
      <c r="B21" s="451">
        <f t="shared" si="6"/>
        <v>0</v>
      </c>
      <c r="C21" s="458">
        <v>44246</v>
      </c>
      <c r="D21" s="445">
        <v>32622554</v>
      </c>
      <c r="E21" s="311">
        <f t="shared" si="10"/>
        <v>2654</v>
      </c>
      <c r="F21" s="445">
        <v>3965778</v>
      </c>
      <c r="G21" s="312">
        <f t="shared" si="0"/>
        <v>619</v>
      </c>
      <c r="H21" s="445">
        <v>17795674</v>
      </c>
      <c r="I21" s="312">
        <f t="shared" si="11"/>
        <v>928</v>
      </c>
      <c r="J21" s="445">
        <v>28902418</v>
      </c>
      <c r="K21" s="312">
        <f t="shared" si="12"/>
        <v>1244</v>
      </c>
      <c r="L21" s="445">
        <v>24033546</v>
      </c>
      <c r="M21" s="312">
        <f t="shared" si="13"/>
        <v>2222</v>
      </c>
      <c r="N21" s="310">
        <f t="shared" si="14"/>
        <v>7667</v>
      </c>
      <c r="O21" s="467">
        <f t="shared" si="21"/>
        <v>0</v>
      </c>
      <c r="P21" s="604">
        <v>16634.52</v>
      </c>
      <c r="Q21" s="449">
        <f t="shared" si="24"/>
        <v>4754.0000000008149</v>
      </c>
      <c r="R21" s="449">
        <f t="shared" si="25"/>
        <v>2912.9999999991851</v>
      </c>
      <c r="S21" s="445">
        <f t="shared" si="7"/>
        <v>10128</v>
      </c>
      <c r="T21" s="469">
        <f t="shared" si="3"/>
        <v>0</v>
      </c>
      <c r="U21" s="445">
        <f t="shared" si="7"/>
        <v>422437</v>
      </c>
      <c r="V21" s="449">
        <f t="shared" si="15"/>
        <v>0</v>
      </c>
      <c r="W21" s="445">
        <v>32201</v>
      </c>
      <c r="X21" s="449">
        <f t="shared" si="20"/>
        <v>1</v>
      </c>
      <c r="Y21" s="445">
        <v>701785</v>
      </c>
      <c r="Z21" s="449">
        <f t="shared" si="19"/>
        <v>97</v>
      </c>
      <c r="AA21" s="445">
        <v>35697</v>
      </c>
      <c r="AB21" s="449">
        <f t="shared" si="16"/>
        <v>3</v>
      </c>
      <c r="AC21" s="445">
        <v>916656</v>
      </c>
      <c r="AD21" s="449">
        <f t="shared" si="26"/>
        <v>559</v>
      </c>
      <c r="AE21" s="472">
        <f t="shared" si="8"/>
        <v>4</v>
      </c>
      <c r="AF21" s="473">
        <f t="shared" si="9"/>
        <v>656</v>
      </c>
      <c r="AG21" s="465">
        <f t="shared" si="22"/>
        <v>164</v>
      </c>
      <c r="AI21" s="466">
        <f>R21-'EDl log'!B19</f>
        <v>-883572.00000000081</v>
      </c>
    </row>
    <row r="22" spans="1:35">
      <c r="A22" s="457">
        <f>'General information '!F25</f>
        <v>0</v>
      </c>
      <c r="B22" s="451">
        <f t="shared" si="6"/>
        <v>0</v>
      </c>
      <c r="C22" s="458">
        <v>44247</v>
      </c>
      <c r="D22" s="445">
        <v>32624232</v>
      </c>
      <c r="E22" s="311">
        <f t="shared" si="10"/>
        <v>1678</v>
      </c>
      <c r="F22" s="445">
        <v>3966334</v>
      </c>
      <c r="G22" s="312">
        <f t="shared" si="0"/>
        <v>556</v>
      </c>
      <c r="H22" s="445">
        <v>17796594</v>
      </c>
      <c r="I22" s="312">
        <f t="shared" si="11"/>
        <v>920</v>
      </c>
      <c r="J22" s="445">
        <v>28903565</v>
      </c>
      <c r="K22" s="312">
        <f t="shared" si="12"/>
        <v>1147</v>
      </c>
      <c r="L22" s="445">
        <v>24035678</v>
      </c>
      <c r="M22" s="312">
        <f t="shared" si="13"/>
        <v>2132</v>
      </c>
      <c r="N22" s="310">
        <f t="shared" si="14"/>
        <v>6433</v>
      </c>
      <c r="O22" s="467">
        <f t="shared" si="21"/>
        <v>0</v>
      </c>
      <c r="P22" s="604">
        <v>16637.68</v>
      </c>
      <c r="Q22" s="449">
        <f t="shared" si="24"/>
        <v>3159.9999999998545</v>
      </c>
      <c r="R22" s="449">
        <f t="shared" si="25"/>
        <v>3273.0000000001455</v>
      </c>
      <c r="S22" s="445">
        <f t="shared" si="7"/>
        <v>10128</v>
      </c>
      <c r="T22" s="469">
        <f t="shared" si="3"/>
        <v>0</v>
      </c>
      <c r="U22" s="445">
        <f t="shared" si="7"/>
        <v>422437</v>
      </c>
      <c r="V22" s="449">
        <f t="shared" si="15"/>
        <v>0</v>
      </c>
      <c r="W22" s="445">
        <v>32204</v>
      </c>
      <c r="X22" s="449">
        <f t="shared" si="20"/>
        <v>3</v>
      </c>
      <c r="Y22" s="445">
        <v>702210</v>
      </c>
      <c r="Z22" s="449">
        <f t="shared" si="19"/>
        <v>425</v>
      </c>
      <c r="AA22" s="445">
        <f t="shared" si="7"/>
        <v>35697</v>
      </c>
      <c r="AB22" s="449">
        <f t="shared" si="16"/>
        <v>0</v>
      </c>
      <c r="AC22" s="445">
        <f t="shared" si="7"/>
        <v>916656</v>
      </c>
      <c r="AD22" s="449">
        <f t="shared" si="26"/>
        <v>0</v>
      </c>
      <c r="AE22" s="472">
        <f t="shared" si="8"/>
        <v>3</v>
      </c>
      <c r="AF22" s="473">
        <f t="shared" si="9"/>
        <v>425</v>
      </c>
      <c r="AG22" s="465">
        <f t="shared" si="22"/>
        <v>141.66666666666666</v>
      </c>
      <c r="AI22" s="466">
        <f>R22-'EDl log'!B20</f>
        <v>-884797.99999999988</v>
      </c>
    </row>
    <row r="23" spans="1:35">
      <c r="A23" s="457">
        <f>'General information '!F26</f>
        <v>0</v>
      </c>
      <c r="B23" s="451">
        <f t="shared" si="6"/>
        <v>0</v>
      </c>
      <c r="C23" s="458">
        <v>44248</v>
      </c>
      <c r="D23" s="445">
        <v>32625634</v>
      </c>
      <c r="E23" s="311">
        <f t="shared" si="10"/>
        <v>1402</v>
      </c>
      <c r="F23" s="445">
        <v>3966898</v>
      </c>
      <c r="G23" s="312">
        <f t="shared" si="0"/>
        <v>564</v>
      </c>
      <c r="H23" s="445">
        <v>17797424</v>
      </c>
      <c r="I23" s="438">
        <f t="shared" si="11"/>
        <v>830</v>
      </c>
      <c r="J23" s="445">
        <v>28905090</v>
      </c>
      <c r="K23" s="312">
        <f t="shared" si="12"/>
        <v>1525</v>
      </c>
      <c r="L23" s="445">
        <v>24037518</v>
      </c>
      <c r="M23" s="312">
        <f t="shared" si="13"/>
        <v>1840</v>
      </c>
      <c r="N23" s="310">
        <f t="shared" si="14"/>
        <v>6161</v>
      </c>
      <c r="O23" s="467">
        <f t="shared" si="21"/>
        <v>0</v>
      </c>
      <c r="P23" s="604">
        <v>16640.482</v>
      </c>
      <c r="Q23" s="449">
        <f t="shared" si="24"/>
        <v>2801.9999999996799</v>
      </c>
      <c r="R23" s="449">
        <f t="shared" si="25"/>
        <v>3359.0000000003201</v>
      </c>
      <c r="S23" s="445">
        <f t="shared" si="7"/>
        <v>10128</v>
      </c>
      <c r="T23" s="469">
        <f t="shared" si="3"/>
        <v>0</v>
      </c>
      <c r="U23" s="445">
        <f t="shared" si="7"/>
        <v>422437</v>
      </c>
      <c r="V23" s="449">
        <f t="shared" si="15"/>
        <v>0</v>
      </c>
      <c r="W23" s="445">
        <v>32206</v>
      </c>
      <c r="X23" s="449">
        <f t="shared" si="20"/>
        <v>2</v>
      </c>
      <c r="Y23" s="445">
        <v>702517</v>
      </c>
      <c r="Z23" s="449">
        <f t="shared" si="19"/>
        <v>307</v>
      </c>
      <c r="AA23" s="445">
        <f t="shared" si="7"/>
        <v>35697</v>
      </c>
      <c r="AB23" s="449">
        <f t="shared" si="16"/>
        <v>0</v>
      </c>
      <c r="AC23" s="445">
        <f t="shared" si="7"/>
        <v>916656</v>
      </c>
      <c r="AD23" s="449">
        <f t="shared" si="26"/>
        <v>0</v>
      </c>
      <c r="AE23" s="472">
        <f t="shared" si="8"/>
        <v>2</v>
      </c>
      <c r="AF23" s="473">
        <f t="shared" si="9"/>
        <v>307</v>
      </c>
      <c r="AG23" s="465">
        <f t="shared" si="22"/>
        <v>153.5</v>
      </c>
      <c r="AI23" s="466">
        <f>R23-'EDl log'!B21</f>
        <v>-886311.99999999965</v>
      </c>
    </row>
    <row r="24" spans="1:35">
      <c r="A24" s="457">
        <f>'General information '!F27</f>
        <v>0</v>
      </c>
      <c r="B24" s="451">
        <f t="shared" si="6"/>
        <v>0</v>
      </c>
      <c r="C24" s="458">
        <v>44249</v>
      </c>
      <c r="D24" s="445">
        <v>32627326</v>
      </c>
      <c r="E24" s="311">
        <f t="shared" si="10"/>
        <v>1692</v>
      </c>
      <c r="F24" s="445">
        <v>3967529</v>
      </c>
      <c r="G24" s="312">
        <f t="shared" si="0"/>
        <v>631</v>
      </c>
      <c r="H24" s="445">
        <v>17798376</v>
      </c>
      <c r="I24" s="312">
        <f t="shared" si="11"/>
        <v>952</v>
      </c>
      <c r="J24" s="445">
        <v>28906630</v>
      </c>
      <c r="K24" s="312">
        <f t="shared" si="12"/>
        <v>1540</v>
      </c>
      <c r="L24" s="445">
        <v>24039598</v>
      </c>
      <c r="M24" s="312">
        <f t="shared" si="13"/>
        <v>2080</v>
      </c>
      <c r="N24" s="310">
        <f t="shared" si="14"/>
        <v>6895</v>
      </c>
      <c r="O24" s="467">
        <f t="shared" si="21"/>
        <v>0</v>
      </c>
      <c r="P24" s="604">
        <v>16643.612000000001</v>
      </c>
      <c r="Q24" s="449">
        <f t="shared" si="24"/>
        <v>3130.0000000010186</v>
      </c>
      <c r="R24" s="449">
        <f t="shared" si="25"/>
        <v>3764.9999999989814</v>
      </c>
      <c r="S24" s="445">
        <f t="shared" si="7"/>
        <v>10128</v>
      </c>
      <c r="T24" s="469">
        <f t="shared" si="3"/>
        <v>0</v>
      </c>
      <c r="U24" s="445">
        <f t="shared" si="7"/>
        <v>422437</v>
      </c>
      <c r="V24" s="449">
        <f t="shared" si="15"/>
        <v>0</v>
      </c>
      <c r="W24" s="445">
        <v>32209</v>
      </c>
      <c r="X24" s="449">
        <f t="shared" si="20"/>
        <v>3</v>
      </c>
      <c r="Y24" s="445">
        <v>702957</v>
      </c>
      <c r="Z24" s="449">
        <f t="shared" si="19"/>
        <v>440</v>
      </c>
      <c r="AA24" s="445">
        <f t="shared" si="7"/>
        <v>35697</v>
      </c>
      <c r="AB24" s="449">
        <f t="shared" si="16"/>
        <v>0</v>
      </c>
      <c r="AC24" s="445">
        <f t="shared" si="7"/>
        <v>916656</v>
      </c>
      <c r="AD24" s="449">
        <f t="shared" si="26"/>
        <v>0</v>
      </c>
      <c r="AE24" s="472">
        <f t="shared" si="8"/>
        <v>3</v>
      </c>
      <c r="AF24" s="473">
        <f t="shared" si="9"/>
        <v>440</v>
      </c>
      <c r="AG24" s="465">
        <f t="shared" si="22"/>
        <v>146.66666666666666</v>
      </c>
      <c r="AI24" s="466">
        <f>R24-'EDl log'!B22</f>
        <v>-887515.00000000105</v>
      </c>
    </row>
    <row r="25" spans="1:35">
      <c r="A25" s="457">
        <f>'General information '!F28</f>
        <v>0</v>
      </c>
      <c r="B25" s="451">
        <f t="shared" si="6"/>
        <v>0</v>
      </c>
      <c r="C25" s="458">
        <v>44250</v>
      </c>
      <c r="D25" s="445">
        <v>32629416</v>
      </c>
      <c r="E25" s="311">
        <f t="shared" si="10"/>
        <v>2090</v>
      </c>
      <c r="F25" s="445">
        <v>3968153</v>
      </c>
      <c r="G25" s="312">
        <f t="shared" si="0"/>
        <v>624</v>
      </c>
      <c r="H25" s="445">
        <v>17799314</v>
      </c>
      <c r="I25" s="312">
        <f t="shared" si="11"/>
        <v>938</v>
      </c>
      <c r="J25" s="445">
        <v>28908816</v>
      </c>
      <c r="K25" s="312">
        <f t="shared" si="12"/>
        <v>2186</v>
      </c>
      <c r="L25" s="445">
        <v>24041702</v>
      </c>
      <c r="M25" s="312">
        <f t="shared" si="13"/>
        <v>2104</v>
      </c>
      <c r="N25" s="310">
        <f t="shared" si="14"/>
        <v>7942</v>
      </c>
      <c r="O25" s="467">
        <f t="shared" si="21"/>
        <v>0</v>
      </c>
      <c r="P25" s="604">
        <v>16648.475999999999</v>
      </c>
      <c r="Q25" s="449">
        <f t="shared" si="24"/>
        <v>4863.999999997759</v>
      </c>
      <c r="R25" s="449">
        <f t="shared" si="25"/>
        <v>3078.000000002241</v>
      </c>
      <c r="S25" s="445">
        <f t="shared" si="7"/>
        <v>10128</v>
      </c>
      <c r="T25" s="469">
        <f t="shared" si="3"/>
        <v>0</v>
      </c>
      <c r="U25" s="445">
        <f t="shared" si="7"/>
        <v>422437</v>
      </c>
      <c r="V25" s="449">
        <f t="shared" si="15"/>
        <v>0</v>
      </c>
      <c r="W25" s="445">
        <v>32215</v>
      </c>
      <c r="X25" s="449">
        <f t="shared" si="20"/>
        <v>6</v>
      </c>
      <c r="Y25" s="445">
        <v>703841</v>
      </c>
      <c r="Z25" s="449">
        <f t="shared" si="19"/>
        <v>884</v>
      </c>
      <c r="AA25" s="445">
        <f t="shared" si="7"/>
        <v>35697</v>
      </c>
      <c r="AB25" s="449">
        <f t="shared" si="16"/>
        <v>0</v>
      </c>
      <c r="AC25" s="445">
        <f t="shared" si="7"/>
        <v>916656</v>
      </c>
      <c r="AD25" s="449">
        <f t="shared" si="26"/>
        <v>0</v>
      </c>
      <c r="AE25" s="472">
        <f t="shared" si="8"/>
        <v>6</v>
      </c>
      <c r="AF25" s="473">
        <f t="shared" si="9"/>
        <v>884</v>
      </c>
      <c r="AG25" s="465">
        <f t="shared" si="22"/>
        <v>147.33333333333334</v>
      </c>
      <c r="AI25" s="466">
        <f>R25-'EDl log'!B23</f>
        <v>-890159.99999999779</v>
      </c>
    </row>
    <row r="26" spans="1:35">
      <c r="A26" s="457">
        <f>'General information '!F29</f>
        <v>0</v>
      </c>
      <c r="B26" s="451">
        <f t="shared" si="6"/>
        <v>0</v>
      </c>
      <c r="C26" s="458">
        <v>44251</v>
      </c>
      <c r="D26" s="445">
        <v>32631694</v>
      </c>
      <c r="E26" s="311">
        <f t="shared" si="10"/>
        <v>2278</v>
      </c>
      <c r="F26" s="445">
        <v>3968822</v>
      </c>
      <c r="G26" s="312">
        <f t="shared" si="0"/>
        <v>669</v>
      </c>
      <c r="H26" s="445">
        <v>17800214</v>
      </c>
      <c r="I26" s="312">
        <f t="shared" si="11"/>
        <v>900</v>
      </c>
      <c r="J26" s="445">
        <v>28911074</v>
      </c>
      <c r="K26" s="312">
        <f t="shared" si="12"/>
        <v>2258</v>
      </c>
      <c r="L26" s="445">
        <v>24044068</v>
      </c>
      <c r="M26" s="312">
        <f t="shared" si="13"/>
        <v>2366</v>
      </c>
      <c r="N26" s="310">
        <f t="shared" si="14"/>
        <v>8471</v>
      </c>
      <c r="O26" s="467">
        <f t="shared" si="21"/>
        <v>0</v>
      </c>
      <c r="P26" s="604">
        <v>16654.37</v>
      </c>
      <c r="Q26" s="449">
        <f t="shared" si="24"/>
        <v>5894.0000000002328</v>
      </c>
      <c r="R26" s="449">
        <f t="shared" si="25"/>
        <v>2576.9999999997672</v>
      </c>
      <c r="S26" s="445">
        <f t="shared" si="7"/>
        <v>10128</v>
      </c>
      <c r="T26" s="469">
        <f t="shared" si="3"/>
        <v>0</v>
      </c>
      <c r="U26" s="445">
        <f t="shared" si="7"/>
        <v>422437</v>
      </c>
      <c r="V26" s="449">
        <f t="shared" si="15"/>
        <v>0</v>
      </c>
      <c r="W26" s="445">
        <v>32221</v>
      </c>
      <c r="X26" s="449">
        <f t="shared" si="20"/>
        <v>6</v>
      </c>
      <c r="Y26" s="445">
        <v>704684</v>
      </c>
      <c r="Z26" s="449">
        <f t="shared" si="19"/>
        <v>843</v>
      </c>
      <c r="AA26" s="445">
        <f t="shared" si="7"/>
        <v>35697</v>
      </c>
      <c r="AB26" s="449">
        <f t="shared" si="16"/>
        <v>0</v>
      </c>
      <c r="AC26" s="445">
        <f t="shared" si="7"/>
        <v>916656</v>
      </c>
      <c r="AD26" s="449">
        <f t="shared" si="26"/>
        <v>0</v>
      </c>
      <c r="AE26" s="472">
        <f t="shared" si="8"/>
        <v>6</v>
      </c>
      <c r="AF26" s="473">
        <f t="shared" si="9"/>
        <v>843</v>
      </c>
      <c r="AG26" s="465">
        <f t="shared" si="22"/>
        <v>140.5</v>
      </c>
      <c r="AI26" s="466">
        <f>R26-'EDl log'!B24</f>
        <v>-892332.00000000023</v>
      </c>
    </row>
    <row r="27" spans="1:35">
      <c r="A27" s="457">
        <f>'General information '!F30</f>
        <v>0</v>
      </c>
      <c r="B27" s="451">
        <f t="shared" si="6"/>
        <v>0</v>
      </c>
      <c r="C27" s="458">
        <v>44252</v>
      </c>
      <c r="D27" s="445">
        <v>32634124</v>
      </c>
      <c r="E27" s="311">
        <f t="shared" si="10"/>
        <v>2430</v>
      </c>
      <c r="F27" s="445">
        <v>3969522</v>
      </c>
      <c r="G27" s="312">
        <f>F27-F26</f>
        <v>700</v>
      </c>
      <c r="H27" s="445">
        <v>17801058</v>
      </c>
      <c r="I27" s="312">
        <f t="shared" si="11"/>
        <v>844</v>
      </c>
      <c r="J27" s="445">
        <v>28913554</v>
      </c>
      <c r="K27" s="312">
        <f t="shared" si="12"/>
        <v>2480</v>
      </c>
      <c r="L27" s="445">
        <v>24046402</v>
      </c>
      <c r="M27" s="312">
        <f t="shared" si="13"/>
        <v>2334</v>
      </c>
      <c r="N27" s="310">
        <f t="shared" si="14"/>
        <v>8788</v>
      </c>
      <c r="O27" s="467">
        <f t="shared" si="21"/>
        <v>0</v>
      </c>
      <c r="P27" s="604">
        <v>16660.044000000002</v>
      </c>
      <c r="Q27" s="449">
        <f t="shared" si="24"/>
        <v>5674.0000000027067</v>
      </c>
      <c r="R27" s="449">
        <f t="shared" si="25"/>
        <v>3113.9999999972933</v>
      </c>
      <c r="S27" s="445">
        <f t="shared" si="7"/>
        <v>10128</v>
      </c>
      <c r="T27" s="469">
        <f t="shared" si="3"/>
        <v>0</v>
      </c>
      <c r="U27" s="445">
        <f t="shared" si="7"/>
        <v>422437</v>
      </c>
      <c r="V27" s="449">
        <f t="shared" si="15"/>
        <v>0</v>
      </c>
      <c r="W27" s="445">
        <v>32228</v>
      </c>
      <c r="X27" s="449">
        <f t="shared" si="20"/>
        <v>7</v>
      </c>
      <c r="Y27" s="445">
        <v>705678</v>
      </c>
      <c r="Z27" s="449">
        <f t="shared" si="19"/>
        <v>994</v>
      </c>
      <c r="AA27" s="445">
        <f t="shared" si="7"/>
        <v>35697</v>
      </c>
      <c r="AB27" s="449">
        <f t="shared" si="16"/>
        <v>0</v>
      </c>
      <c r="AC27" s="445">
        <f t="shared" si="7"/>
        <v>916656</v>
      </c>
      <c r="AD27" s="449">
        <f t="shared" si="26"/>
        <v>0</v>
      </c>
      <c r="AE27" s="472">
        <f t="shared" si="8"/>
        <v>7</v>
      </c>
      <c r="AF27" s="473">
        <f t="shared" si="9"/>
        <v>994</v>
      </c>
      <c r="AG27" s="465">
        <f t="shared" si="22"/>
        <v>142</v>
      </c>
      <c r="AI27" s="466">
        <f>R27-'EDl log'!B25</f>
        <v>-893825.00000000268</v>
      </c>
    </row>
    <row r="28" spans="1:35">
      <c r="A28" s="457">
        <f>'General information '!F31</f>
        <v>0</v>
      </c>
      <c r="B28" s="451">
        <f t="shared" si="6"/>
        <v>0</v>
      </c>
      <c r="C28" s="458">
        <v>44253</v>
      </c>
      <c r="D28" s="445">
        <v>32637046</v>
      </c>
      <c r="E28" s="311">
        <f t="shared" si="10"/>
        <v>2922</v>
      </c>
      <c r="F28" s="445">
        <v>3970219</v>
      </c>
      <c r="G28" s="312">
        <f t="shared" si="0"/>
        <v>697</v>
      </c>
      <c r="H28" s="445">
        <v>17801982</v>
      </c>
      <c r="I28" s="312">
        <f t="shared" si="11"/>
        <v>924</v>
      </c>
      <c r="J28" s="445">
        <v>28916150</v>
      </c>
      <c r="K28" s="312">
        <f t="shared" si="12"/>
        <v>2596</v>
      </c>
      <c r="L28" s="445">
        <v>24048862</v>
      </c>
      <c r="M28" s="312">
        <f t="shared" si="13"/>
        <v>2460</v>
      </c>
      <c r="N28" s="310">
        <f t="shared" si="14"/>
        <v>9599</v>
      </c>
      <c r="O28" s="467">
        <f t="shared" si="21"/>
        <v>0</v>
      </c>
      <c r="P28" s="604">
        <v>16667.73</v>
      </c>
      <c r="Q28" s="449">
        <f t="shared" si="24"/>
        <v>7685.9999999978754</v>
      </c>
      <c r="R28" s="449">
        <f t="shared" si="25"/>
        <v>1913.0000000021246</v>
      </c>
      <c r="S28" s="445">
        <f t="shared" si="7"/>
        <v>10128</v>
      </c>
      <c r="T28" s="469">
        <f t="shared" si="3"/>
        <v>0</v>
      </c>
      <c r="U28" s="445">
        <f t="shared" si="7"/>
        <v>422437</v>
      </c>
      <c r="V28" s="449">
        <f t="shared" si="15"/>
        <v>0</v>
      </c>
      <c r="W28" s="445">
        <v>32235</v>
      </c>
      <c r="X28" s="449">
        <f t="shared" si="20"/>
        <v>7</v>
      </c>
      <c r="Y28" s="445">
        <v>706740</v>
      </c>
      <c r="Z28" s="449">
        <f t="shared" si="19"/>
        <v>1062</v>
      </c>
      <c r="AA28" s="445">
        <f t="shared" si="7"/>
        <v>35697</v>
      </c>
      <c r="AB28" s="449">
        <f t="shared" si="16"/>
        <v>0</v>
      </c>
      <c r="AC28" s="445">
        <f t="shared" si="7"/>
        <v>916656</v>
      </c>
      <c r="AD28" s="449">
        <f t="shared" si="26"/>
        <v>0</v>
      </c>
      <c r="AE28" s="472">
        <f t="shared" si="8"/>
        <v>7</v>
      </c>
      <c r="AF28" s="473">
        <f t="shared" si="9"/>
        <v>1062</v>
      </c>
      <c r="AG28" s="465">
        <f t="shared" si="22"/>
        <v>151.71428571428572</v>
      </c>
      <c r="AI28" s="466">
        <f>R28-'EDl log'!B26</f>
        <v>-896702.9999999979</v>
      </c>
    </row>
    <row r="29" spans="1:35">
      <c r="A29" s="457">
        <f>'General information '!F32</f>
        <v>0</v>
      </c>
      <c r="B29" s="451">
        <f>SUM(230*A29)</f>
        <v>0</v>
      </c>
      <c r="C29" s="458">
        <v>44254</v>
      </c>
      <c r="D29" s="445">
        <v>32639322</v>
      </c>
      <c r="E29" s="311">
        <f t="shared" si="10"/>
        <v>2276</v>
      </c>
      <c r="F29" s="445">
        <v>3970860</v>
      </c>
      <c r="G29" s="312">
        <f t="shared" si="0"/>
        <v>641</v>
      </c>
      <c r="H29" s="445">
        <v>17802830</v>
      </c>
      <c r="I29" s="312">
        <f t="shared" si="11"/>
        <v>848</v>
      </c>
      <c r="J29" s="445">
        <v>28918250</v>
      </c>
      <c r="K29" s="312">
        <f t="shared" si="12"/>
        <v>2100</v>
      </c>
      <c r="L29" s="445">
        <v>24050810</v>
      </c>
      <c r="M29" s="312">
        <f t="shared" si="13"/>
        <v>1948</v>
      </c>
      <c r="N29" s="310">
        <f t="shared" si="14"/>
        <v>7813</v>
      </c>
      <c r="O29" s="467">
        <f t="shared" si="21"/>
        <v>0</v>
      </c>
      <c r="P29" s="604">
        <v>16673.776999999998</v>
      </c>
      <c r="Q29" s="449">
        <f t="shared" si="24"/>
        <v>6046.9999999986612</v>
      </c>
      <c r="R29" s="449">
        <f t="shared" si="25"/>
        <v>1766.0000000013388</v>
      </c>
      <c r="S29" s="445">
        <f t="shared" si="7"/>
        <v>10128</v>
      </c>
      <c r="T29" s="469">
        <f t="shared" si="3"/>
        <v>0</v>
      </c>
      <c r="U29" s="445">
        <f t="shared" si="7"/>
        <v>422437</v>
      </c>
      <c r="V29" s="449">
        <f t="shared" si="15"/>
        <v>0</v>
      </c>
      <c r="W29" s="445">
        <v>32240</v>
      </c>
      <c r="X29" s="449">
        <f t="shared" si="20"/>
        <v>5</v>
      </c>
      <c r="Y29" s="445">
        <v>707595</v>
      </c>
      <c r="Z29" s="449">
        <f t="shared" si="19"/>
        <v>855</v>
      </c>
      <c r="AA29" s="445">
        <f t="shared" si="7"/>
        <v>35697</v>
      </c>
      <c r="AB29" s="449">
        <f t="shared" si="16"/>
        <v>0</v>
      </c>
      <c r="AC29" s="445">
        <f t="shared" si="7"/>
        <v>916656</v>
      </c>
      <c r="AD29" s="449">
        <f t="shared" si="26"/>
        <v>0</v>
      </c>
      <c r="AE29" s="472">
        <f t="shared" si="8"/>
        <v>5</v>
      </c>
      <c r="AF29" s="473">
        <f t="shared" si="9"/>
        <v>855</v>
      </c>
      <c r="AG29" s="465">
        <f t="shared" si="22"/>
        <v>171</v>
      </c>
      <c r="AI29" s="466">
        <f>R29-'EDl log'!B27</f>
        <v>-898254.9999999986</v>
      </c>
    </row>
    <row r="30" spans="1:35">
      <c r="A30" s="457">
        <f>'General information '!F33</f>
        <v>0</v>
      </c>
      <c r="B30" s="451">
        <f t="shared" si="6"/>
        <v>0</v>
      </c>
      <c r="C30" s="458">
        <v>44255</v>
      </c>
      <c r="D30" s="445">
        <v>32641226</v>
      </c>
      <c r="E30" s="311">
        <f t="shared" si="10"/>
        <v>1904</v>
      </c>
      <c r="F30" s="445">
        <v>3971481</v>
      </c>
      <c r="G30" s="312">
        <f t="shared" si="0"/>
        <v>621</v>
      </c>
      <c r="H30" s="445">
        <v>17803738</v>
      </c>
      <c r="I30" s="312">
        <f t="shared" si="11"/>
        <v>908</v>
      </c>
      <c r="J30" s="445">
        <v>28920206</v>
      </c>
      <c r="K30" s="312">
        <f t="shared" si="12"/>
        <v>1956</v>
      </c>
      <c r="L30" s="445">
        <v>24053142</v>
      </c>
      <c r="M30" s="312">
        <f t="shared" si="13"/>
        <v>2332</v>
      </c>
      <c r="N30" s="310">
        <f t="shared" si="14"/>
        <v>7721</v>
      </c>
      <c r="O30" s="467">
        <f t="shared" si="21"/>
        <v>0</v>
      </c>
      <c r="P30" s="604">
        <v>16679.337</v>
      </c>
      <c r="Q30" s="449">
        <f t="shared" si="24"/>
        <v>5560.0000000013097</v>
      </c>
      <c r="R30" s="449">
        <f t="shared" si="25"/>
        <v>2160.9999999986903</v>
      </c>
      <c r="S30" s="445">
        <v>10128</v>
      </c>
      <c r="T30" s="469">
        <f t="shared" si="3"/>
        <v>0</v>
      </c>
      <c r="U30" s="445">
        <f t="shared" si="7"/>
        <v>422437</v>
      </c>
      <c r="V30" s="449">
        <f t="shared" si="15"/>
        <v>0</v>
      </c>
      <c r="W30" s="445">
        <v>32244</v>
      </c>
      <c r="X30" s="470">
        <f t="shared" si="20"/>
        <v>4</v>
      </c>
      <c r="Y30" s="445">
        <v>708141</v>
      </c>
      <c r="Z30" s="449">
        <f t="shared" si="19"/>
        <v>546</v>
      </c>
      <c r="AA30" s="445">
        <f t="shared" si="7"/>
        <v>35697</v>
      </c>
      <c r="AB30" s="449">
        <f t="shared" si="16"/>
        <v>0</v>
      </c>
      <c r="AC30" s="445">
        <f t="shared" si="7"/>
        <v>916656</v>
      </c>
      <c r="AD30" s="449">
        <f t="shared" si="26"/>
        <v>0</v>
      </c>
      <c r="AE30" s="472">
        <f t="shared" si="8"/>
        <v>4</v>
      </c>
      <c r="AF30" s="473">
        <f t="shared" si="9"/>
        <v>546</v>
      </c>
      <c r="AG30" s="465">
        <f t="shared" si="22"/>
        <v>136.5</v>
      </c>
      <c r="AI30" s="466">
        <f>R30-'EDl log'!B28</f>
        <v>-899557.00000000128</v>
      </c>
    </row>
  </sheetData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:AZ40"/>
  <sheetViews>
    <sheetView topLeftCell="H1" zoomScale="90" zoomScaleNormal="90" workbookViewId="0">
      <pane ySplit="1" topLeftCell="A14" activePane="bottomLeft" state="frozen"/>
      <selection activeCell="K1" sqref="K1"/>
      <selection pane="bottomLeft" activeCell="AH32" sqref="AH32"/>
    </sheetView>
  </sheetViews>
  <sheetFormatPr defaultColWidth="9.140625" defaultRowHeight="15"/>
  <cols>
    <col min="1" max="1" width="11.7109375" style="41" bestFit="1" customWidth="1"/>
    <col min="2" max="2" width="14.140625" style="42" bestFit="1" customWidth="1"/>
    <col min="3" max="3" width="15.85546875" style="42" customWidth="1"/>
    <col min="4" max="4" width="15.140625" style="42" bestFit="1" customWidth="1"/>
    <col min="5" max="5" width="12.42578125" style="42" bestFit="1" customWidth="1"/>
    <col min="6" max="6" width="8.42578125" style="42" bestFit="1" customWidth="1"/>
    <col min="7" max="7" width="8.85546875" style="42" bestFit="1" customWidth="1"/>
    <col min="8" max="8" width="12.5703125" style="42" bestFit="1" customWidth="1"/>
    <col min="9" max="9" width="18.140625" style="42" customWidth="1"/>
    <col min="10" max="10" width="8.42578125" style="42" hidden="1" customWidth="1"/>
    <col min="11" max="11" width="11.5703125" style="42" bestFit="1" customWidth="1"/>
    <col min="12" max="12" width="8" style="42" bestFit="1" customWidth="1"/>
    <col min="13" max="14" width="8" style="42" customWidth="1"/>
    <col min="15" max="15" width="0.28515625" style="68" customWidth="1"/>
    <col min="16" max="16" width="8.140625" style="42" bestFit="1" customWidth="1"/>
    <col min="17" max="17" width="7.85546875" style="42" customWidth="1"/>
    <col min="18" max="18" width="6.140625" style="42" bestFit="1" customWidth="1"/>
    <col min="19" max="19" width="6.42578125" style="42" customWidth="1"/>
    <col min="20" max="20" width="13" style="70" hidden="1" customWidth="1"/>
    <col min="21" max="21" width="13" style="70" customWidth="1"/>
    <col min="22" max="22" width="12.7109375" style="70" customWidth="1"/>
    <col min="23" max="23" width="13" style="70" hidden="1" customWidth="1"/>
    <col min="24" max="24" width="8" style="42" bestFit="1" customWidth="1"/>
    <col min="25" max="25" width="10.140625" style="42" customWidth="1"/>
    <col min="26" max="26" width="15.140625" style="42" bestFit="1" customWidth="1"/>
    <col min="27" max="27" width="9.28515625" style="42" customWidth="1"/>
    <col min="28" max="28" width="8.5703125" style="42" hidden="1" customWidth="1"/>
    <col min="29" max="29" width="8.28515625" style="42" customWidth="1"/>
    <col min="30" max="30" width="11.42578125" style="42" customWidth="1"/>
    <col min="31" max="31" width="14.7109375" style="71" bestFit="1" customWidth="1"/>
    <col min="32" max="32" width="10" style="42" customWidth="1"/>
    <col min="33" max="33" width="11.7109375" style="68" hidden="1" customWidth="1"/>
    <col min="34" max="34" width="12.5703125" style="70" customWidth="1"/>
    <col min="35" max="37" width="12.7109375" style="321" customWidth="1"/>
    <col min="38" max="38" width="11.140625" style="321" bestFit="1" customWidth="1"/>
    <col min="39" max="39" width="11.42578125" style="321" bestFit="1" customWidth="1"/>
    <col min="40" max="40" width="8.42578125" style="71" customWidth="1"/>
    <col min="41" max="41" width="8.140625" style="71" customWidth="1"/>
    <col min="42" max="45" width="9.140625" style="71"/>
    <col min="46" max="46" width="10.140625" style="71" customWidth="1"/>
    <col min="47" max="47" width="10.140625" style="71" bestFit="1" customWidth="1"/>
    <col min="48" max="49" width="9.140625" style="42"/>
    <col min="50" max="50" width="9.140625" style="313"/>
    <col min="51" max="16384" width="9.140625" style="42"/>
  </cols>
  <sheetData>
    <row r="1" spans="1:52" ht="30.75" thickBot="1">
      <c r="F1" s="614" t="s">
        <v>2</v>
      </c>
      <c r="G1" s="615"/>
      <c r="H1" s="615"/>
      <c r="I1" s="616"/>
      <c r="J1" s="282">
        <f>J33</f>
        <v>71.32352941176471</v>
      </c>
      <c r="K1" s="617" t="s">
        <v>4</v>
      </c>
      <c r="L1" s="618"/>
      <c r="M1" s="618"/>
      <c r="N1" s="618"/>
      <c r="O1" s="619"/>
      <c r="P1" s="608" t="s">
        <v>6</v>
      </c>
      <c r="Q1" s="609"/>
      <c r="R1" s="609"/>
      <c r="S1" s="609"/>
      <c r="T1" s="610"/>
      <c r="U1" s="397"/>
      <c r="V1" s="27" t="s">
        <v>104</v>
      </c>
      <c r="W1" s="398"/>
      <c r="X1" s="608" t="s">
        <v>8</v>
      </c>
      <c r="Y1" s="609"/>
      <c r="Z1" s="609"/>
      <c r="AA1" s="609"/>
      <c r="AB1" s="609"/>
      <c r="AC1" s="611" t="s">
        <v>10</v>
      </c>
      <c r="AD1" s="612"/>
      <c r="AE1" s="612"/>
      <c r="AF1" s="613"/>
      <c r="AG1" s="207"/>
      <c r="AH1" s="85" t="s">
        <v>105</v>
      </c>
      <c r="AI1" s="314" t="s">
        <v>128</v>
      </c>
      <c r="AJ1" s="314"/>
      <c r="AK1" s="314"/>
      <c r="AL1" s="314" t="s">
        <v>133</v>
      </c>
      <c r="AM1" s="314" t="s">
        <v>134</v>
      </c>
      <c r="AN1" s="316" t="s">
        <v>12</v>
      </c>
      <c r="AO1" s="316" t="s">
        <v>13</v>
      </c>
      <c r="AP1" s="316" t="s">
        <v>14</v>
      </c>
      <c r="AQ1" s="316" t="s">
        <v>15</v>
      </c>
      <c r="AR1" s="316" t="s">
        <v>16</v>
      </c>
      <c r="AS1" s="316" t="s">
        <v>17</v>
      </c>
      <c r="AT1" s="316"/>
      <c r="AU1" s="317" t="s">
        <v>18</v>
      </c>
      <c r="AV1" s="176" t="s">
        <v>71</v>
      </c>
      <c r="AW1" s="176" t="s">
        <v>223</v>
      </c>
    </row>
    <row r="2" spans="1:52">
      <c r="A2" s="43"/>
      <c r="B2" s="44" t="s">
        <v>106</v>
      </c>
      <c r="C2" s="44" t="s">
        <v>107</v>
      </c>
      <c r="D2" s="45" t="s">
        <v>0</v>
      </c>
      <c r="E2" s="45" t="s">
        <v>1</v>
      </c>
      <c r="F2" s="46" t="s">
        <v>2</v>
      </c>
      <c r="G2" s="46" t="s">
        <v>3</v>
      </c>
      <c r="H2" s="46" t="s">
        <v>78</v>
      </c>
      <c r="I2" s="47" t="s">
        <v>79</v>
      </c>
      <c r="J2" s="48" t="s">
        <v>102</v>
      </c>
      <c r="K2" s="49" t="s">
        <v>101</v>
      </c>
      <c r="L2" s="46" t="s">
        <v>5</v>
      </c>
      <c r="M2" s="47" t="s">
        <v>376</v>
      </c>
      <c r="N2" s="47"/>
      <c r="O2" s="50" t="s">
        <v>79</v>
      </c>
      <c r="P2" s="51" t="s">
        <v>6</v>
      </c>
      <c r="Q2" s="606"/>
      <c r="R2" s="607"/>
      <c r="S2" s="52" t="s">
        <v>7</v>
      </c>
      <c r="T2" s="53"/>
      <c r="U2" s="401" t="s">
        <v>381</v>
      </c>
      <c r="V2" s="54" t="s">
        <v>103</v>
      </c>
      <c r="W2" s="399"/>
      <c r="X2" s="55" t="s">
        <v>8</v>
      </c>
      <c r="Y2" s="46" t="s">
        <v>9</v>
      </c>
      <c r="Z2" s="390" t="s">
        <v>377</v>
      </c>
      <c r="AA2" s="391" t="s">
        <v>378</v>
      </c>
      <c r="AB2" s="281"/>
      <c r="AC2" s="49" t="s">
        <v>10</v>
      </c>
      <c r="AD2" s="56" t="s">
        <v>11</v>
      </c>
      <c r="AE2" s="57" t="s">
        <v>81</v>
      </c>
      <c r="AF2" s="58" t="s">
        <v>82</v>
      </c>
      <c r="AG2" s="208" t="s">
        <v>127</v>
      </c>
      <c r="AH2" s="54" t="s">
        <v>103</v>
      </c>
      <c r="AI2" s="315" t="s">
        <v>103</v>
      </c>
      <c r="AJ2" s="393"/>
      <c r="AK2" s="393"/>
      <c r="AL2" s="393"/>
      <c r="AM2" s="393"/>
      <c r="AN2" s="392"/>
      <c r="AO2" s="392"/>
      <c r="AP2" s="392"/>
      <c r="AQ2" s="392"/>
      <c r="AR2" s="392"/>
      <c r="AS2" s="392"/>
      <c r="AT2" s="392"/>
      <c r="AU2" s="392"/>
      <c r="AV2" s="269"/>
      <c r="AW2" s="269"/>
    </row>
    <row r="3" spans="1:52">
      <c r="A3" s="43"/>
      <c r="B3" s="44"/>
      <c r="C3" s="44"/>
      <c r="D3" s="45"/>
      <c r="E3" s="45"/>
      <c r="F3" s="46"/>
      <c r="G3" s="46"/>
      <c r="H3" s="46"/>
      <c r="I3" s="65"/>
      <c r="J3" s="48"/>
      <c r="K3" s="49"/>
      <c r="L3" s="46"/>
      <c r="M3" s="47"/>
      <c r="N3" s="47"/>
      <c r="O3" s="50"/>
      <c r="P3" s="51"/>
      <c r="Q3" s="51"/>
      <c r="R3" s="51"/>
      <c r="S3" s="52">
        <v>0</v>
      </c>
      <c r="T3" s="53"/>
      <c r="U3" s="401"/>
      <c r="V3" s="59"/>
      <c r="W3" s="399"/>
      <c r="X3" s="55"/>
      <c r="Y3" s="52"/>
      <c r="Z3" s="47"/>
      <c r="AA3" s="47"/>
      <c r="AB3" s="47"/>
      <c r="AC3" s="49"/>
      <c r="AD3" s="45"/>
      <c r="AE3" s="60"/>
      <c r="AF3" s="61"/>
      <c r="AG3" s="209"/>
      <c r="AH3" s="62"/>
      <c r="AI3" s="318"/>
      <c r="AJ3" s="319"/>
      <c r="AK3" s="319"/>
      <c r="AL3" s="319"/>
      <c r="AM3" s="319"/>
    </row>
    <row r="4" spans="1:52" s="339" customFormat="1">
      <c r="A4" s="63">
        <f>ELEC!C2</f>
        <v>44227</v>
      </c>
      <c r="B4" s="395">
        <f>[2]B5!B35</f>
        <v>236</v>
      </c>
      <c r="C4" s="395">
        <f>[2]B5!C35</f>
        <v>242</v>
      </c>
      <c r="D4" s="395">
        <f>[2]B5!D35</f>
        <v>3</v>
      </c>
      <c r="E4" s="395">
        <f>[2]B5!E35</f>
        <v>25.14</v>
      </c>
      <c r="F4" s="395">
        <f>[2]B5!F35</f>
        <v>1715</v>
      </c>
      <c r="G4" s="395">
        <f>[2]B5!G35</f>
        <v>0</v>
      </c>
      <c r="H4" s="395">
        <f>[2]B5!H35</f>
        <v>3991</v>
      </c>
      <c r="I4" s="395">
        <f>[2]B5!I35</f>
        <v>0</v>
      </c>
      <c r="J4" s="395">
        <f>[2]B5!J35</f>
        <v>0</v>
      </c>
      <c r="K4" s="395">
        <f>[2]B5!K35</f>
        <v>2216</v>
      </c>
      <c r="L4" s="395">
        <f>[2]B5!L35</f>
        <v>2</v>
      </c>
      <c r="M4" s="395">
        <f>[2]B5!M35</f>
        <v>162924</v>
      </c>
      <c r="N4" s="395">
        <f>[2]B5!N35</f>
        <v>175</v>
      </c>
      <c r="O4" s="395">
        <f>[2]B5!O35</f>
        <v>1869</v>
      </c>
      <c r="P4" s="395">
        <f>[2]B5!P35</f>
        <v>1964</v>
      </c>
      <c r="Q4" s="395">
        <f>[2]B5!Q35</f>
        <v>166179</v>
      </c>
      <c r="R4" s="395">
        <f>[2]B5!R35</f>
        <v>92</v>
      </c>
      <c r="S4" s="395">
        <f>[2]B5!S35</f>
        <v>1</v>
      </c>
      <c r="T4" s="395">
        <f>[2]B5!T35</f>
        <v>0</v>
      </c>
      <c r="U4" s="395">
        <f>[2]B5!U35</f>
        <v>3</v>
      </c>
      <c r="V4" s="395">
        <f>[2]B5!V35</f>
        <v>267</v>
      </c>
      <c r="W4" s="395">
        <f>[2]B5!W35</f>
        <v>0</v>
      </c>
      <c r="X4" s="395">
        <f>[2]B5!X35</f>
        <v>2452</v>
      </c>
      <c r="Y4" s="395">
        <f>[2]B5!Y35</f>
        <v>0</v>
      </c>
      <c r="Z4" s="395">
        <f>[2]B5!Z35</f>
        <v>137831.1</v>
      </c>
      <c r="AA4" s="395">
        <f>[2]B5!AA35</f>
        <v>0</v>
      </c>
      <c r="AB4" s="395">
        <f>[2]B5!AB35</f>
        <v>0</v>
      </c>
      <c r="AC4" s="395">
        <f>[2]B5!AC35</f>
        <v>1934</v>
      </c>
      <c r="AD4" s="395">
        <f>[2]B5!AD35</f>
        <v>0</v>
      </c>
      <c r="AE4" s="395">
        <f>[2]B5!AE35</f>
        <v>365317</v>
      </c>
      <c r="AF4" s="395">
        <f>[2]B5!AF35</f>
        <v>0</v>
      </c>
      <c r="AG4" s="395">
        <f>[2]B5!AG35</f>
        <v>0</v>
      </c>
      <c r="AH4" s="395">
        <f>[2]B5!AH35</f>
        <v>0</v>
      </c>
      <c r="AI4" s="395">
        <f>[2]B5!AI35</f>
        <v>267</v>
      </c>
      <c r="AJ4" s="395">
        <f>[2]B5!AJ35</f>
        <v>267</v>
      </c>
      <c r="AK4" s="395">
        <f>[2]B5!AK35</f>
        <v>0</v>
      </c>
      <c r="AL4" s="395">
        <f>[2]B5!AL35</f>
        <v>3</v>
      </c>
      <c r="AM4" s="395">
        <f>[2]B5!AM35</f>
        <v>0</v>
      </c>
      <c r="AN4" s="395">
        <f>[2]B5!AN35</f>
        <v>67</v>
      </c>
      <c r="AO4" s="395">
        <f>[2]B5!AO35</f>
        <v>2010.0000000000002</v>
      </c>
      <c r="AP4" s="395">
        <f>[2]B5!AP35</f>
        <v>55</v>
      </c>
      <c r="AQ4" s="395">
        <f>[2]B5!AQ35</f>
        <v>1650.0000000000002</v>
      </c>
      <c r="AR4" s="395">
        <f>[2]B5!AR35</f>
        <v>61</v>
      </c>
      <c r="AS4" s="395">
        <f>[2]B5!AS35</f>
        <v>1830</v>
      </c>
      <c r="AT4" s="395">
        <f>[2]B5!AT35</f>
        <v>5490</v>
      </c>
      <c r="AU4" s="395">
        <f>[2]B5!AU35</f>
        <v>0</v>
      </c>
      <c r="AV4" s="395">
        <v>0.1</v>
      </c>
      <c r="AW4" s="395">
        <v>0.1</v>
      </c>
      <c r="AX4" s="395">
        <f>[2]B5!AX35</f>
        <v>0.8</v>
      </c>
    </row>
    <row r="5" spans="1:52">
      <c r="A5" s="63">
        <f>ELEC!C3</f>
        <v>44228</v>
      </c>
      <c r="B5" s="588">
        <v>232</v>
      </c>
      <c r="C5" s="588">
        <v>238</v>
      </c>
      <c r="D5" s="45">
        <f>C4-C5</f>
        <v>4</v>
      </c>
      <c r="E5" s="45">
        <f>D5*8.38</f>
        <v>33.520000000000003</v>
      </c>
      <c r="F5" s="588">
        <v>1717</v>
      </c>
      <c r="G5" s="52">
        <f t="shared" ref="G5:G32" si="0">F5-F4</f>
        <v>2</v>
      </c>
      <c r="H5" s="588">
        <v>4147</v>
      </c>
      <c r="I5" s="396">
        <f t="shared" ref="I5:I32" si="1">SUM(H5-H4)</f>
        <v>156</v>
      </c>
      <c r="J5" s="66">
        <v>1</v>
      </c>
      <c r="K5" s="588">
        <f>K4</f>
        <v>2216</v>
      </c>
      <c r="L5" s="52">
        <f>K5-K4</f>
        <v>0</v>
      </c>
      <c r="M5" s="588">
        <f>M4</f>
        <v>162924</v>
      </c>
      <c r="N5" s="396">
        <f t="shared" ref="N5:N32" si="2">M5-M4</f>
        <v>0</v>
      </c>
      <c r="O5" s="64">
        <f>O4</f>
        <v>1869</v>
      </c>
      <c r="P5" s="588">
        <v>1966</v>
      </c>
      <c r="Q5" s="588">
        <v>166371</v>
      </c>
      <c r="R5" s="395">
        <f t="shared" ref="R5:R10" si="3">Q5-Q4</f>
        <v>192</v>
      </c>
      <c r="S5" s="52">
        <f t="shared" ref="S5:S32" si="4">SUM(P5-P4)</f>
        <v>2</v>
      </c>
      <c r="T5" s="67">
        <f>SUM(S5*$T$2)</f>
        <v>0</v>
      </c>
      <c r="U5" s="402">
        <f>SUM(G5+L5+S5)</f>
        <v>4</v>
      </c>
      <c r="V5" s="62">
        <f>R5+N5+I5:I5</f>
        <v>348</v>
      </c>
      <c r="W5" s="400">
        <f>SUM(V5/U5)</f>
        <v>87</v>
      </c>
      <c r="X5" s="588">
        <v>2453</v>
      </c>
      <c r="Y5" s="52">
        <f>X5-X4</f>
        <v>1</v>
      </c>
      <c r="Z5" s="588">
        <v>137950.70000000001</v>
      </c>
      <c r="AA5" s="65">
        <f t="shared" ref="AA5:AA32" si="5">Z5-Z4</f>
        <v>119.60000000000582</v>
      </c>
      <c r="AB5" s="284">
        <f>SUM(Y5*$AB$2)</f>
        <v>0</v>
      </c>
      <c r="AC5" s="588">
        <f>AC4</f>
        <v>1934</v>
      </c>
      <c r="AD5" s="45">
        <f t="shared" ref="AD5:AD32" si="6">AC5-AC4</f>
        <v>0</v>
      </c>
      <c r="AE5" s="588">
        <f>AE4</f>
        <v>365317</v>
      </c>
      <c r="AF5" s="306">
        <f>AE5-AE4</f>
        <v>0</v>
      </c>
      <c r="AG5" s="209">
        <f>IF(AD5&gt;0,AF5/AD5,0)</f>
        <v>0</v>
      </c>
      <c r="AH5" s="62">
        <f>AF5+AA5</f>
        <v>119.60000000000582</v>
      </c>
      <c r="AI5" s="318">
        <f>SUM(AH5+V5)</f>
        <v>467.60000000000582</v>
      </c>
      <c r="AJ5" s="318">
        <f>-tanks!AW6</f>
        <v>467.60000000000582</v>
      </c>
      <c r="AK5" s="318">
        <f>SUM(AJ5-AI5)</f>
        <v>0</v>
      </c>
      <c r="AL5" s="318">
        <f t="shared" ref="AL5:AL32" si="7">S5+L5+G5</f>
        <v>4</v>
      </c>
      <c r="AM5" s="318">
        <f>Y5+AD5</f>
        <v>1</v>
      </c>
      <c r="AN5" s="588">
        <f>AN4</f>
        <v>67</v>
      </c>
      <c r="AO5" s="320">
        <f>(AN5/100)*3000</f>
        <v>2010.0000000000002</v>
      </c>
      <c r="AP5" s="588">
        <f>AP4</f>
        <v>55</v>
      </c>
      <c r="AQ5" s="320">
        <f>(AP5/100)*3000</f>
        <v>1650.0000000000002</v>
      </c>
      <c r="AR5" s="588">
        <f>AR4</f>
        <v>61</v>
      </c>
      <c r="AS5" s="320">
        <f>(AR5/100)*3000</f>
        <v>1830</v>
      </c>
      <c r="AT5" s="320">
        <f>SUM(AO5+AQ5+AS5)</f>
        <v>5490</v>
      </c>
      <c r="AU5" s="320">
        <f>AT4-AT5+AV5</f>
        <v>0</v>
      </c>
      <c r="AV5" s="269"/>
      <c r="AW5" s="269"/>
      <c r="AX5" s="313">
        <f>IF(AV5&gt;0,AW5,AX4)</f>
        <v>0.8</v>
      </c>
    </row>
    <row r="6" spans="1:52">
      <c r="A6" s="63">
        <f>ELEC!C4</f>
        <v>44229</v>
      </c>
      <c r="B6" s="588">
        <v>229</v>
      </c>
      <c r="C6" s="588">
        <v>235</v>
      </c>
      <c r="D6" s="45">
        <f>C5-C6</f>
        <v>3</v>
      </c>
      <c r="E6" s="45">
        <f t="shared" ref="E6:E31" si="8">D6*8.38</f>
        <v>25.14</v>
      </c>
      <c r="F6" s="588">
        <v>1719</v>
      </c>
      <c r="G6" s="52">
        <f t="shared" si="0"/>
        <v>2</v>
      </c>
      <c r="H6" s="588">
        <v>4287</v>
      </c>
      <c r="I6" s="396">
        <f t="shared" si="1"/>
        <v>140</v>
      </c>
      <c r="J6" s="66">
        <f t="shared" ref="J6:J32" si="9">IF(G6&gt;0,I6/G6,0)</f>
        <v>70</v>
      </c>
      <c r="K6" s="588">
        <v>2218</v>
      </c>
      <c r="L6" s="52">
        <f t="shared" ref="L6:L32" si="10">K6-K5</f>
        <v>2</v>
      </c>
      <c r="M6" s="588">
        <v>163018</v>
      </c>
      <c r="N6" s="396">
        <f t="shared" si="2"/>
        <v>94</v>
      </c>
      <c r="O6" s="64">
        <f t="shared" ref="O6:P32" si="11">O5</f>
        <v>1869</v>
      </c>
      <c r="P6" s="588">
        <f t="shared" si="11"/>
        <v>1966</v>
      </c>
      <c r="Q6" s="588">
        <f t="shared" ref="Q6" si="12">Q5</f>
        <v>166371</v>
      </c>
      <c r="R6" s="395">
        <f t="shared" si="3"/>
        <v>0</v>
      </c>
      <c r="S6" s="52">
        <f t="shared" si="4"/>
        <v>0</v>
      </c>
      <c r="T6" s="67">
        <f>SUM(S6*$T$2)</f>
        <v>0</v>
      </c>
      <c r="U6" s="402">
        <f t="shared" ref="U6:U32" si="13">SUM(G6+L6+S6)</f>
        <v>4</v>
      </c>
      <c r="V6" s="62">
        <f t="shared" ref="V6:V32" si="14">R6+N6+I6:I6</f>
        <v>234</v>
      </c>
      <c r="W6" s="400">
        <f t="shared" ref="W6:W16" si="15">SUM(V6/U6)</f>
        <v>58.5</v>
      </c>
      <c r="X6" s="588">
        <f t="shared" ref="X6:Z32" si="16">X5</f>
        <v>2453</v>
      </c>
      <c r="Y6" s="52">
        <f t="shared" ref="Y6:Y32" si="17">X6-X5</f>
        <v>0</v>
      </c>
      <c r="Z6" s="588">
        <f t="shared" si="16"/>
        <v>137950.70000000001</v>
      </c>
      <c r="AA6" s="65">
        <f t="shared" si="5"/>
        <v>0</v>
      </c>
      <c r="AB6" s="284">
        <f>SUM(Y6*$AB$2)</f>
        <v>0</v>
      </c>
      <c r="AC6" s="588">
        <f t="shared" ref="AC6:AE6" si="18">AC5</f>
        <v>1934</v>
      </c>
      <c r="AD6" s="45">
        <f t="shared" si="6"/>
        <v>0</v>
      </c>
      <c r="AE6" s="588">
        <f t="shared" si="18"/>
        <v>365317</v>
      </c>
      <c r="AF6" s="306">
        <f t="shared" ref="AF6:AF32" si="19">AE6-AE5</f>
        <v>0</v>
      </c>
      <c r="AG6" s="209">
        <f>IF(AD6&gt;0,AF6/AD6,0)</f>
        <v>0</v>
      </c>
      <c r="AH6" s="62">
        <f>AF6+AA6</f>
        <v>0</v>
      </c>
      <c r="AI6" s="318">
        <f t="shared" ref="AI6:AI32" si="20">SUM(AH6+V6)</f>
        <v>234</v>
      </c>
      <c r="AJ6" s="318">
        <f>-tanks!AW7</f>
        <v>234</v>
      </c>
      <c r="AK6" s="318">
        <f t="shared" ref="AK6:AK32" si="21">SUM(AJ6-AI6)</f>
        <v>0</v>
      </c>
      <c r="AL6" s="318">
        <f t="shared" si="7"/>
        <v>4</v>
      </c>
      <c r="AM6" s="318">
        <f t="shared" ref="AM6:AM32" si="22">Y6+AD6</f>
        <v>0</v>
      </c>
      <c r="AN6" s="588">
        <f t="shared" ref="AN6:AP6" si="23">AN5</f>
        <v>67</v>
      </c>
      <c r="AO6" s="320">
        <f t="shared" ref="AO6:AO26" si="24">(AN6/100)*3000</f>
        <v>2010.0000000000002</v>
      </c>
      <c r="AP6" s="588">
        <f t="shared" si="23"/>
        <v>55</v>
      </c>
      <c r="AQ6" s="320">
        <f t="shared" ref="AQ6:AQ24" si="25">(AP6/100)*3000</f>
        <v>1650.0000000000002</v>
      </c>
      <c r="AR6" s="588">
        <f t="shared" ref="AR6" si="26">AR5</f>
        <v>61</v>
      </c>
      <c r="AS6" s="320">
        <f>(AR6/100)*3000</f>
        <v>1830</v>
      </c>
      <c r="AT6" s="320">
        <f>SUM(AO6+AQ6+AS6)</f>
        <v>5490</v>
      </c>
      <c r="AU6" s="320">
        <f>AT5-AT6+AV6</f>
        <v>0</v>
      </c>
      <c r="AV6" s="269"/>
      <c r="AW6" s="269"/>
      <c r="AX6" s="313">
        <f t="shared" ref="AX6:AX32" si="27">IF(AV6&gt;0,AW6,AX5)</f>
        <v>0.8</v>
      </c>
    </row>
    <row r="7" spans="1:52">
      <c r="A7" s="63">
        <f>ELEC!C5</f>
        <v>44230</v>
      </c>
      <c r="B7" s="588">
        <v>225</v>
      </c>
      <c r="C7" s="588">
        <v>231</v>
      </c>
      <c r="D7" s="45">
        <f t="shared" ref="D7:D32" si="28">C6-C7</f>
        <v>4</v>
      </c>
      <c r="E7" s="45">
        <f t="shared" si="8"/>
        <v>33.520000000000003</v>
      </c>
      <c r="F7" s="588">
        <f t="shared" ref="F7:H31" si="29">F6</f>
        <v>1719</v>
      </c>
      <c r="G7" s="52">
        <f t="shared" si="0"/>
        <v>0</v>
      </c>
      <c r="H7" s="588">
        <f t="shared" si="29"/>
        <v>4287</v>
      </c>
      <c r="I7" s="396">
        <f t="shared" si="1"/>
        <v>0</v>
      </c>
      <c r="J7" s="66">
        <f t="shared" si="9"/>
        <v>0</v>
      </c>
      <c r="K7" s="588">
        <v>2220</v>
      </c>
      <c r="L7" s="52">
        <f t="shared" si="10"/>
        <v>2</v>
      </c>
      <c r="M7" s="588">
        <v>163181</v>
      </c>
      <c r="N7" s="396">
        <f t="shared" si="2"/>
        <v>163</v>
      </c>
      <c r="O7" s="64">
        <f t="shared" si="11"/>
        <v>1869</v>
      </c>
      <c r="P7" s="588">
        <v>1968</v>
      </c>
      <c r="Q7" s="588">
        <v>166462</v>
      </c>
      <c r="R7" s="395">
        <f t="shared" si="3"/>
        <v>91</v>
      </c>
      <c r="S7" s="52">
        <f t="shared" si="4"/>
        <v>2</v>
      </c>
      <c r="T7" s="67">
        <f t="shared" ref="T7:T32" si="30">SUM(S7*$T$2)</f>
        <v>0</v>
      </c>
      <c r="U7" s="402">
        <f t="shared" si="13"/>
        <v>4</v>
      </c>
      <c r="V7" s="62">
        <f t="shared" si="14"/>
        <v>254</v>
      </c>
      <c r="W7" s="400">
        <f t="shared" si="15"/>
        <v>63.5</v>
      </c>
      <c r="X7" s="588">
        <f t="shared" si="16"/>
        <v>2453</v>
      </c>
      <c r="Y7" s="52">
        <f t="shared" si="17"/>
        <v>0</v>
      </c>
      <c r="Z7" s="588">
        <f t="shared" si="16"/>
        <v>137950.70000000001</v>
      </c>
      <c r="AA7" s="65">
        <f t="shared" si="5"/>
        <v>0</v>
      </c>
      <c r="AB7" s="284">
        <f t="shared" ref="AB7:AB17" si="31">SUM(Y7*$AB$2)</f>
        <v>0</v>
      </c>
      <c r="AC7" s="588">
        <f t="shared" ref="AC7" si="32">AC6</f>
        <v>1934</v>
      </c>
      <c r="AD7" s="45">
        <f t="shared" si="6"/>
        <v>0</v>
      </c>
      <c r="AE7" s="588">
        <v>365352</v>
      </c>
      <c r="AF7" s="306">
        <f t="shared" si="19"/>
        <v>35</v>
      </c>
      <c r="AG7" s="209">
        <f t="shared" ref="AG7:AG32" si="33">IF(AD7&gt;0,AF7/AD7,0)</f>
        <v>0</v>
      </c>
      <c r="AH7" s="62">
        <f t="shared" ref="AH7:AH32" si="34">AF7+AA7</f>
        <v>35</v>
      </c>
      <c r="AI7" s="318">
        <f t="shared" si="20"/>
        <v>289</v>
      </c>
      <c r="AJ7" s="318">
        <f>-tanks!AW8</f>
        <v>289</v>
      </c>
      <c r="AK7" s="318">
        <f t="shared" si="21"/>
        <v>0</v>
      </c>
      <c r="AL7" s="318">
        <f t="shared" si="7"/>
        <v>4</v>
      </c>
      <c r="AM7" s="318">
        <f t="shared" si="22"/>
        <v>0</v>
      </c>
      <c r="AN7" s="588">
        <f t="shared" ref="AN7:AP7" si="35">AN6</f>
        <v>67</v>
      </c>
      <c r="AO7" s="320">
        <f t="shared" si="24"/>
        <v>2010.0000000000002</v>
      </c>
      <c r="AP7" s="588">
        <f t="shared" si="35"/>
        <v>55</v>
      </c>
      <c r="AQ7" s="320">
        <f t="shared" si="25"/>
        <v>1650.0000000000002</v>
      </c>
      <c r="AR7" s="588">
        <f t="shared" ref="AR7" si="36">AR6</f>
        <v>61</v>
      </c>
      <c r="AS7" s="320">
        <f t="shared" ref="AS7:AS32" si="37">(AR7/100)*3000</f>
        <v>1830</v>
      </c>
      <c r="AT7" s="320">
        <f t="shared" ref="AT7:AT23" si="38">SUM(AO7+AQ7+AS7)</f>
        <v>5490</v>
      </c>
      <c r="AU7" s="320">
        <f t="shared" ref="AU7:AU32" si="39">AT6-AT7+AV7</f>
        <v>0</v>
      </c>
      <c r="AV7" s="269"/>
      <c r="AW7" s="269"/>
      <c r="AX7" s="313">
        <f t="shared" si="27"/>
        <v>0.8</v>
      </c>
      <c r="AZ7" s="42" t="s">
        <v>413</v>
      </c>
    </row>
    <row r="8" spans="1:52">
      <c r="A8" s="63">
        <f>ELEC!C6</f>
        <v>44231</v>
      </c>
      <c r="B8" s="588">
        <v>221</v>
      </c>
      <c r="C8" s="588">
        <v>227</v>
      </c>
      <c r="D8" s="45">
        <f t="shared" si="28"/>
        <v>4</v>
      </c>
      <c r="E8" s="45">
        <f t="shared" si="8"/>
        <v>33.520000000000003</v>
      </c>
      <c r="F8" s="588">
        <v>1721</v>
      </c>
      <c r="G8" s="52">
        <f t="shared" si="0"/>
        <v>2</v>
      </c>
      <c r="H8" s="588">
        <v>4416</v>
      </c>
      <c r="I8" s="396">
        <f t="shared" si="1"/>
        <v>129</v>
      </c>
      <c r="J8" s="66">
        <f t="shared" si="9"/>
        <v>64.5</v>
      </c>
      <c r="K8" s="588">
        <f t="shared" ref="K8:M30" si="40">K7</f>
        <v>2220</v>
      </c>
      <c r="L8" s="52">
        <f t="shared" si="10"/>
        <v>0</v>
      </c>
      <c r="M8" s="588">
        <f t="shared" si="40"/>
        <v>163181</v>
      </c>
      <c r="N8" s="396">
        <f t="shared" si="2"/>
        <v>0</v>
      </c>
      <c r="O8" s="64">
        <f t="shared" si="11"/>
        <v>1869</v>
      </c>
      <c r="P8" s="588">
        <v>1970</v>
      </c>
      <c r="Q8" s="588">
        <v>166647</v>
      </c>
      <c r="R8" s="395">
        <f t="shared" si="3"/>
        <v>185</v>
      </c>
      <c r="S8" s="52">
        <f t="shared" si="4"/>
        <v>2</v>
      </c>
      <c r="T8" s="67">
        <f t="shared" si="30"/>
        <v>0</v>
      </c>
      <c r="U8" s="402">
        <f t="shared" si="13"/>
        <v>4</v>
      </c>
      <c r="V8" s="62">
        <f t="shared" si="14"/>
        <v>314</v>
      </c>
      <c r="W8" s="400">
        <f t="shared" si="15"/>
        <v>78.5</v>
      </c>
      <c r="X8" s="588">
        <f t="shared" si="16"/>
        <v>2453</v>
      </c>
      <c r="Y8" s="52">
        <f t="shared" si="17"/>
        <v>0</v>
      </c>
      <c r="Z8" s="588">
        <f t="shared" si="16"/>
        <v>137950.70000000001</v>
      </c>
      <c r="AA8" s="65">
        <f t="shared" si="5"/>
        <v>0</v>
      </c>
      <c r="AB8" s="284">
        <f t="shared" si="31"/>
        <v>0</v>
      </c>
      <c r="AC8" s="588">
        <f t="shared" ref="AC8:AE8" si="41">AC7</f>
        <v>1934</v>
      </c>
      <c r="AD8" s="45">
        <f t="shared" si="6"/>
        <v>0</v>
      </c>
      <c r="AE8" s="588">
        <f t="shared" si="41"/>
        <v>365352</v>
      </c>
      <c r="AF8" s="306">
        <f t="shared" si="19"/>
        <v>0</v>
      </c>
      <c r="AG8" s="209">
        <f t="shared" si="33"/>
        <v>0</v>
      </c>
      <c r="AH8" s="62">
        <f t="shared" si="34"/>
        <v>0</v>
      </c>
      <c r="AI8" s="318">
        <f t="shared" si="20"/>
        <v>314</v>
      </c>
      <c r="AJ8" s="318">
        <f>-tanks!AW9</f>
        <v>314</v>
      </c>
      <c r="AK8" s="318">
        <f t="shared" si="21"/>
        <v>0</v>
      </c>
      <c r="AL8" s="318">
        <f t="shared" si="7"/>
        <v>4</v>
      </c>
      <c r="AM8" s="318">
        <f t="shared" si="22"/>
        <v>0</v>
      </c>
      <c r="AN8" s="588">
        <f t="shared" ref="AN8:AP8" si="42">AN7</f>
        <v>67</v>
      </c>
      <c r="AO8" s="320">
        <f t="shared" si="24"/>
        <v>2010.0000000000002</v>
      </c>
      <c r="AP8" s="588">
        <f t="shared" si="42"/>
        <v>55</v>
      </c>
      <c r="AQ8" s="320">
        <f t="shared" si="25"/>
        <v>1650.0000000000002</v>
      </c>
      <c r="AR8" s="588">
        <f t="shared" ref="AR8" si="43">AR7</f>
        <v>61</v>
      </c>
      <c r="AS8" s="320">
        <f t="shared" si="37"/>
        <v>1830</v>
      </c>
      <c r="AT8" s="320">
        <f t="shared" si="38"/>
        <v>5490</v>
      </c>
      <c r="AU8" s="320">
        <f t="shared" si="39"/>
        <v>0</v>
      </c>
      <c r="AV8" s="269"/>
      <c r="AW8" s="269"/>
      <c r="AX8" s="313">
        <f t="shared" si="27"/>
        <v>0.8</v>
      </c>
    </row>
    <row r="9" spans="1:52" ht="15.75" customHeight="1">
      <c r="A9" s="63">
        <f>ELEC!C7</f>
        <v>44232</v>
      </c>
      <c r="B9" s="588">
        <v>247</v>
      </c>
      <c r="C9" s="588">
        <v>252</v>
      </c>
      <c r="D9" s="45">
        <f t="shared" si="28"/>
        <v>-25</v>
      </c>
      <c r="E9" s="45">
        <f t="shared" si="8"/>
        <v>-209.50000000000003</v>
      </c>
      <c r="F9" s="588">
        <v>1724</v>
      </c>
      <c r="G9" s="52">
        <f t="shared" si="0"/>
        <v>3</v>
      </c>
      <c r="H9" s="588">
        <v>4626</v>
      </c>
      <c r="I9" s="396">
        <f t="shared" si="1"/>
        <v>210</v>
      </c>
      <c r="J9" s="66">
        <f t="shared" si="9"/>
        <v>70</v>
      </c>
      <c r="K9" s="588">
        <v>2222</v>
      </c>
      <c r="L9" s="52">
        <f t="shared" si="10"/>
        <v>2</v>
      </c>
      <c r="M9" s="588">
        <v>163362</v>
      </c>
      <c r="N9" s="396">
        <f t="shared" si="2"/>
        <v>181</v>
      </c>
      <c r="O9" s="64">
        <f t="shared" si="11"/>
        <v>1869</v>
      </c>
      <c r="P9" s="588">
        <f t="shared" si="11"/>
        <v>1970</v>
      </c>
      <c r="Q9" s="588">
        <f t="shared" ref="Q9" si="44">Q8</f>
        <v>166647</v>
      </c>
      <c r="R9" s="395">
        <f t="shared" si="3"/>
        <v>0</v>
      </c>
      <c r="S9" s="52">
        <f t="shared" si="4"/>
        <v>0</v>
      </c>
      <c r="T9" s="67">
        <f t="shared" si="30"/>
        <v>0</v>
      </c>
      <c r="U9" s="402">
        <f t="shared" si="13"/>
        <v>5</v>
      </c>
      <c r="V9" s="62">
        <f t="shared" si="14"/>
        <v>391</v>
      </c>
      <c r="W9" s="400">
        <f t="shared" si="15"/>
        <v>78.2</v>
      </c>
      <c r="X9" s="588">
        <f t="shared" si="16"/>
        <v>2453</v>
      </c>
      <c r="Y9" s="52">
        <f t="shared" si="17"/>
        <v>0</v>
      </c>
      <c r="Z9" s="588">
        <f t="shared" si="16"/>
        <v>137950.70000000001</v>
      </c>
      <c r="AA9" s="65">
        <f t="shared" si="5"/>
        <v>0</v>
      </c>
      <c r="AB9" s="284">
        <f t="shared" si="31"/>
        <v>0</v>
      </c>
      <c r="AC9" s="588">
        <v>1934</v>
      </c>
      <c r="AD9" s="45">
        <f t="shared" si="6"/>
        <v>0</v>
      </c>
      <c r="AE9" s="588">
        <f t="shared" ref="AE9" si="45">AE8</f>
        <v>365352</v>
      </c>
      <c r="AF9" s="306">
        <f t="shared" si="19"/>
        <v>0</v>
      </c>
      <c r="AG9" s="209">
        <f t="shared" si="33"/>
        <v>0</v>
      </c>
      <c r="AH9" s="62">
        <f t="shared" si="34"/>
        <v>0</v>
      </c>
      <c r="AI9" s="318">
        <f t="shared" si="20"/>
        <v>391</v>
      </c>
      <c r="AJ9" s="318">
        <f>-tanks!AW10</f>
        <v>391</v>
      </c>
      <c r="AK9" s="318">
        <f t="shared" si="21"/>
        <v>0</v>
      </c>
      <c r="AL9" s="318">
        <f t="shared" si="7"/>
        <v>5</v>
      </c>
      <c r="AM9" s="318">
        <f t="shared" si="22"/>
        <v>0</v>
      </c>
      <c r="AN9" s="588">
        <f t="shared" ref="AN9:AP9" si="46">AN8</f>
        <v>67</v>
      </c>
      <c r="AO9" s="320">
        <f t="shared" si="24"/>
        <v>2010.0000000000002</v>
      </c>
      <c r="AP9" s="588">
        <f t="shared" si="46"/>
        <v>55</v>
      </c>
      <c r="AQ9" s="320">
        <f t="shared" si="25"/>
        <v>1650.0000000000002</v>
      </c>
      <c r="AR9" s="588">
        <f t="shared" ref="AR9" si="47">AR8</f>
        <v>61</v>
      </c>
      <c r="AS9" s="320">
        <f>(AR9/100)*3000</f>
        <v>1830</v>
      </c>
      <c r="AT9" s="320">
        <f t="shared" si="38"/>
        <v>5490</v>
      </c>
      <c r="AU9" s="320">
        <f t="shared" si="39"/>
        <v>0</v>
      </c>
      <c r="AV9" s="269"/>
      <c r="AW9" s="269"/>
      <c r="AX9" s="313">
        <f t="shared" si="27"/>
        <v>0.8</v>
      </c>
    </row>
    <row r="10" spans="1:52">
      <c r="A10" s="63">
        <f>ELEC!C8</f>
        <v>44233</v>
      </c>
      <c r="B10" s="588">
        <v>244</v>
      </c>
      <c r="C10" s="588">
        <v>250</v>
      </c>
      <c r="D10" s="45">
        <f t="shared" si="28"/>
        <v>2</v>
      </c>
      <c r="E10" s="45">
        <f t="shared" si="8"/>
        <v>16.760000000000002</v>
      </c>
      <c r="F10" s="588">
        <f t="shared" si="29"/>
        <v>1724</v>
      </c>
      <c r="G10" s="52">
        <f t="shared" si="0"/>
        <v>0</v>
      </c>
      <c r="H10" s="588">
        <f t="shared" si="29"/>
        <v>4626</v>
      </c>
      <c r="I10" s="396">
        <f t="shared" si="1"/>
        <v>0</v>
      </c>
      <c r="J10" s="66">
        <f t="shared" si="9"/>
        <v>0</v>
      </c>
      <c r="K10" s="588">
        <v>2224</v>
      </c>
      <c r="L10" s="52">
        <f t="shared" si="10"/>
        <v>2</v>
      </c>
      <c r="M10" s="588">
        <v>163480</v>
      </c>
      <c r="N10" s="396">
        <f t="shared" si="2"/>
        <v>118</v>
      </c>
      <c r="O10" s="64">
        <f t="shared" si="11"/>
        <v>1869</v>
      </c>
      <c r="P10" s="588">
        <v>1973</v>
      </c>
      <c r="Q10" s="588">
        <v>166840</v>
      </c>
      <c r="R10" s="395">
        <f t="shared" si="3"/>
        <v>193</v>
      </c>
      <c r="S10" s="52">
        <f t="shared" si="4"/>
        <v>3</v>
      </c>
      <c r="T10" s="67">
        <f t="shared" si="30"/>
        <v>0</v>
      </c>
      <c r="U10" s="402">
        <f t="shared" si="13"/>
        <v>5</v>
      </c>
      <c r="V10" s="62">
        <f t="shared" si="14"/>
        <v>311</v>
      </c>
      <c r="W10" s="400">
        <f t="shared" si="15"/>
        <v>62.2</v>
      </c>
      <c r="X10" s="588">
        <f t="shared" si="16"/>
        <v>2453</v>
      </c>
      <c r="Y10" s="52">
        <f t="shared" si="17"/>
        <v>0</v>
      </c>
      <c r="Z10" s="588">
        <f t="shared" si="16"/>
        <v>137950.70000000001</v>
      </c>
      <c r="AA10" s="65">
        <f t="shared" si="5"/>
        <v>0</v>
      </c>
      <c r="AB10" s="284">
        <f t="shared" si="31"/>
        <v>0</v>
      </c>
      <c r="AC10" s="588">
        <f t="shared" ref="AC10:AE10" si="48">AC9</f>
        <v>1934</v>
      </c>
      <c r="AD10" s="45">
        <f t="shared" si="6"/>
        <v>0</v>
      </c>
      <c r="AE10" s="588">
        <f t="shared" si="48"/>
        <v>365352</v>
      </c>
      <c r="AF10" s="306">
        <f t="shared" si="19"/>
        <v>0</v>
      </c>
      <c r="AG10" s="209">
        <f t="shared" si="33"/>
        <v>0</v>
      </c>
      <c r="AH10" s="62">
        <f t="shared" si="34"/>
        <v>0</v>
      </c>
      <c r="AI10" s="318">
        <f>SUM(AH10+V10)</f>
        <v>311</v>
      </c>
      <c r="AJ10" s="318">
        <f>-tanks!AW11</f>
        <v>311</v>
      </c>
      <c r="AK10" s="318">
        <f t="shared" si="21"/>
        <v>0</v>
      </c>
      <c r="AL10" s="318">
        <f t="shared" si="7"/>
        <v>5</v>
      </c>
      <c r="AM10" s="318">
        <f t="shared" si="22"/>
        <v>0</v>
      </c>
      <c r="AN10" s="588">
        <f t="shared" ref="AN10:AP10" si="49">AN9</f>
        <v>67</v>
      </c>
      <c r="AO10" s="320">
        <f t="shared" si="24"/>
        <v>2010.0000000000002</v>
      </c>
      <c r="AP10" s="588">
        <f t="shared" si="49"/>
        <v>55</v>
      </c>
      <c r="AQ10" s="320">
        <f t="shared" si="25"/>
        <v>1650.0000000000002</v>
      </c>
      <c r="AR10" s="588">
        <f t="shared" ref="AR10" si="50">AR9</f>
        <v>61</v>
      </c>
      <c r="AS10" s="320">
        <f t="shared" si="37"/>
        <v>1830</v>
      </c>
      <c r="AT10" s="320">
        <f t="shared" si="38"/>
        <v>5490</v>
      </c>
      <c r="AU10" s="320">
        <f t="shared" si="39"/>
        <v>0</v>
      </c>
      <c r="AV10" s="269"/>
      <c r="AW10" s="269"/>
      <c r="AX10" s="313">
        <f t="shared" si="27"/>
        <v>0.8</v>
      </c>
    </row>
    <row r="11" spans="1:52">
      <c r="A11" s="63">
        <f>ELEC!C9</f>
        <v>44234</v>
      </c>
      <c r="B11" s="588">
        <v>240</v>
      </c>
      <c r="C11" s="588">
        <v>246</v>
      </c>
      <c r="D11" s="45">
        <f t="shared" si="28"/>
        <v>4</v>
      </c>
      <c r="E11" s="45">
        <f t="shared" si="8"/>
        <v>33.520000000000003</v>
      </c>
      <c r="F11" s="588">
        <v>1725</v>
      </c>
      <c r="G11" s="52">
        <f t="shared" si="0"/>
        <v>1</v>
      </c>
      <c r="H11" s="588">
        <v>4721</v>
      </c>
      <c r="I11" s="396">
        <f t="shared" si="1"/>
        <v>95</v>
      </c>
      <c r="J11" s="66">
        <f t="shared" si="9"/>
        <v>95</v>
      </c>
      <c r="K11" s="588">
        <f t="shared" si="40"/>
        <v>2224</v>
      </c>
      <c r="L11" s="52">
        <f t="shared" si="10"/>
        <v>0</v>
      </c>
      <c r="M11" s="588">
        <f t="shared" si="40"/>
        <v>163480</v>
      </c>
      <c r="N11" s="396">
        <f t="shared" si="2"/>
        <v>0</v>
      </c>
      <c r="O11" s="64">
        <f t="shared" si="11"/>
        <v>1869</v>
      </c>
      <c r="P11" s="588">
        <v>1975</v>
      </c>
      <c r="Q11" s="588">
        <v>167024</v>
      </c>
      <c r="R11" s="395">
        <f t="shared" ref="R11:R32" si="51">Q11-Q10</f>
        <v>184</v>
      </c>
      <c r="S11" s="52">
        <f t="shared" si="4"/>
        <v>2</v>
      </c>
      <c r="T11" s="67">
        <f t="shared" si="30"/>
        <v>0</v>
      </c>
      <c r="U11" s="402">
        <f t="shared" si="13"/>
        <v>3</v>
      </c>
      <c r="V11" s="62">
        <f t="shared" si="14"/>
        <v>279</v>
      </c>
      <c r="W11" s="400">
        <f t="shared" si="15"/>
        <v>93</v>
      </c>
      <c r="X11" s="588">
        <f t="shared" si="16"/>
        <v>2453</v>
      </c>
      <c r="Y11" s="52">
        <f t="shared" si="17"/>
        <v>0</v>
      </c>
      <c r="Z11" s="588">
        <f t="shared" si="16"/>
        <v>137950.70000000001</v>
      </c>
      <c r="AA11" s="65">
        <f t="shared" si="5"/>
        <v>0</v>
      </c>
      <c r="AB11" s="284">
        <f t="shared" si="31"/>
        <v>0</v>
      </c>
      <c r="AC11" s="588">
        <f t="shared" ref="AC11:AE11" si="52">AC10</f>
        <v>1934</v>
      </c>
      <c r="AD11" s="45">
        <f t="shared" si="6"/>
        <v>0</v>
      </c>
      <c r="AE11" s="588">
        <f t="shared" si="52"/>
        <v>365352</v>
      </c>
      <c r="AF11" s="306">
        <f t="shared" si="19"/>
        <v>0</v>
      </c>
      <c r="AG11" s="209">
        <f t="shared" si="33"/>
        <v>0</v>
      </c>
      <c r="AH11" s="62">
        <f>AF11+AA11</f>
        <v>0</v>
      </c>
      <c r="AI11" s="318">
        <f>SUM(AH11+V11)</f>
        <v>279</v>
      </c>
      <c r="AJ11" s="318">
        <f>-tanks!AW12</f>
        <v>279</v>
      </c>
      <c r="AK11" s="318">
        <f t="shared" si="21"/>
        <v>0</v>
      </c>
      <c r="AL11" s="318">
        <f t="shared" si="7"/>
        <v>3</v>
      </c>
      <c r="AM11" s="318">
        <f t="shared" si="22"/>
        <v>0</v>
      </c>
      <c r="AN11" s="588">
        <f t="shared" ref="AN11:AP11" si="53">AN10</f>
        <v>67</v>
      </c>
      <c r="AO11" s="320">
        <f t="shared" si="24"/>
        <v>2010.0000000000002</v>
      </c>
      <c r="AP11" s="588">
        <f t="shared" si="53"/>
        <v>55</v>
      </c>
      <c r="AQ11" s="320">
        <f t="shared" si="25"/>
        <v>1650.0000000000002</v>
      </c>
      <c r="AR11" s="588">
        <f t="shared" ref="AR11" si="54">AR10</f>
        <v>61</v>
      </c>
      <c r="AS11" s="320">
        <f t="shared" si="37"/>
        <v>1830</v>
      </c>
      <c r="AT11" s="320">
        <f t="shared" si="38"/>
        <v>5490</v>
      </c>
      <c r="AU11" s="320">
        <f t="shared" si="39"/>
        <v>0</v>
      </c>
      <c r="AV11" s="269"/>
      <c r="AW11" s="269"/>
      <c r="AX11" s="313">
        <f t="shared" si="27"/>
        <v>0.8</v>
      </c>
    </row>
    <row r="12" spans="1:52">
      <c r="A12" s="63">
        <f>ELEC!C10</f>
        <v>44235</v>
      </c>
      <c r="B12" s="588">
        <v>237</v>
      </c>
      <c r="C12" s="588">
        <v>243</v>
      </c>
      <c r="D12" s="45">
        <f t="shared" si="28"/>
        <v>3</v>
      </c>
      <c r="E12" s="45">
        <f t="shared" si="8"/>
        <v>25.14</v>
      </c>
      <c r="F12" s="588">
        <v>1727</v>
      </c>
      <c r="G12" s="52">
        <f t="shared" si="0"/>
        <v>2</v>
      </c>
      <c r="H12" s="588">
        <v>4872</v>
      </c>
      <c r="I12" s="396">
        <f t="shared" si="1"/>
        <v>151</v>
      </c>
      <c r="J12" s="66">
        <f t="shared" si="9"/>
        <v>75.5</v>
      </c>
      <c r="K12" s="588">
        <v>2225</v>
      </c>
      <c r="L12" s="52">
        <f t="shared" si="10"/>
        <v>1</v>
      </c>
      <c r="M12" s="588">
        <v>163585</v>
      </c>
      <c r="N12" s="396">
        <f t="shared" si="2"/>
        <v>105</v>
      </c>
      <c r="O12" s="64">
        <f t="shared" si="11"/>
        <v>1869</v>
      </c>
      <c r="P12" s="588">
        <f t="shared" si="11"/>
        <v>1975</v>
      </c>
      <c r="Q12" s="588">
        <f t="shared" ref="Q12" si="55">Q11</f>
        <v>167024</v>
      </c>
      <c r="R12" s="395">
        <f t="shared" si="51"/>
        <v>0</v>
      </c>
      <c r="S12" s="52">
        <f t="shared" si="4"/>
        <v>0</v>
      </c>
      <c r="T12" s="67">
        <f t="shared" si="30"/>
        <v>0</v>
      </c>
      <c r="U12" s="402">
        <f t="shared" si="13"/>
        <v>3</v>
      </c>
      <c r="V12" s="62">
        <f t="shared" si="14"/>
        <v>256</v>
      </c>
      <c r="W12" s="400">
        <f t="shared" si="15"/>
        <v>85.333333333333329</v>
      </c>
      <c r="X12" s="588">
        <v>2454</v>
      </c>
      <c r="Y12" s="52">
        <f t="shared" si="17"/>
        <v>1</v>
      </c>
      <c r="Z12" s="588">
        <v>138028.1</v>
      </c>
      <c r="AA12" s="65">
        <f t="shared" si="5"/>
        <v>77.399999999994179</v>
      </c>
      <c r="AB12" s="284">
        <f t="shared" si="31"/>
        <v>0</v>
      </c>
      <c r="AC12" s="588">
        <f t="shared" ref="AC12:AE12" si="56">AC11</f>
        <v>1934</v>
      </c>
      <c r="AD12" s="45">
        <f t="shared" si="6"/>
        <v>0</v>
      </c>
      <c r="AE12" s="588">
        <f t="shared" si="56"/>
        <v>365352</v>
      </c>
      <c r="AF12" s="306">
        <f t="shared" si="19"/>
        <v>0</v>
      </c>
      <c r="AG12" s="209">
        <f t="shared" si="33"/>
        <v>0</v>
      </c>
      <c r="AH12" s="62">
        <f t="shared" si="34"/>
        <v>77.399999999994179</v>
      </c>
      <c r="AI12" s="318">
        <f t="shared" si="20"/>
        <v>333.39999999999418</v>
      </c>
      <c r="AJ12" s="318">
        <f>-tanks!AW13</f>
        <v>333.39999999999418</v>
      </c>
      <c r="AK12" s="318">
        <f t="shared" si="21"/>
        <v>0</v>
      </c>
      <c r="AL12" s="318">
        <f t="shared" si="7"/>
        <v>3</v>
      </c>
      <c r="AM12" s="318">
        <f t="shared" si="22"/>
        <v>1</v>
      </c>
      <c r="AN12" s="588">
        <f t="shared" ref="AN12:AP12" si="57">AN11</f>
        <v>67</v>
      </c>
      <c r="AO12" s="320">
        <f t="shared" si="24"/>
        <v>2010.0000000000002</v>
      </c>
      <c r="AP12" s="588">
        <f t="shared" si="57"/>
        <v>55</v>
      </c>
      <c r="AQ12" s="320">
        <f t="shared" si="25"/>
        <v>1650.0000000000002</v>
      </c>
      <c r="AR12" s="588">
        <f t="shared" ref="AR12" si="58">AR11</f>
        <v>61</v>
      </c>
      <c r="AS12" s="320">
        <f t="shared" si="37"/>
        <v>1830</v>
      </c>
      <c r="AT12" s="320">
        <f t="shared" si="38"/>
        <v>5490</v>
      </c>
      <c r="AU12" s="320">
        <f t="shared" si="39"/>
        <v>0</v>
      </c>
      <c r="AV12" s="269"/>
      <c r="AW12" s="269"/>
      <c r="AX12" s="313">
        <f t="shared" si="27"/>
        <v>0.8</v>
      </c>
    </row>
    <row r="13" spans="1:52">
      <c r="A13" s="63">
        <f>ELEC!C11</f>
        <v>44236</v>
      </c>
      <c r="B13" s="588">
        <v>233</v>
      </c>
      <c r="C13" s="588">
        <v>239</v>
      </c>
      <c r="D13" s="45">
        <f t="shared" si="28"/>
        <v>4</v>
      </c>
      <c r="E13" s="45">
        <f t="shared" si="8"/>
        <v>33.520000000000003</v>
      </c>
      <c r="F13" s="588">
        <f t="shared" si="29"/>
        <v>1727</v>
      </c>
      <c r="G13" s="52">
        <f t="shared" si="0"/>
        <v>0</v>
      </c>
      <c r="H13" s="588">
        <f t="shared" si="29"/>
        <v>4872</v>
      </c>
      <c r="I13" s="396">
        <f t="shared" si="1"/>
        <v>0</v>
      </c>
      <c r="J13" s="66">
        <f t="shared" si="9"/>
        <v>0</v>
      </c>
      <c r="K13" s="588">
        <v>2227</v>
      </c>
      <c r="L13" s="52">
        <f t="shared" si="10"/>
        <v>2</v>
      </c>
      <c r="M13" s="588">
        <v>163735</v>
      </c>
      <c r="N13" s="396">
        <f t="shared" si="2"/>
        <v>150</v>
      </c>
      <c r="O13" s="64">
        <f t="shared" si="11"/>
        <v>1869</v>
      </c>
      <c r="P13" s="588">
        <v>1976</v>
      </c>
      <c r="Q13" s="588">
        <v>167110</v>
      </c>
      <c r="R13" s="395">
        <f t="shared" si="51"/>
        <v>86</v>
      </c>
      <c r="S13" s="52">
        <f t="shared" si="4"/>
        <v>1</v>
      </c>
      <c r="T13" s="67">
        <f t="shared" si="30"/>
        <v>0</v>
      </c>
      <c r="U13" s="402">
        <f t="shared" si="13"/>
        <v>3</v>
      </c>
      <c r="V13" s="62">
        <f>R13+N13+I13:I13</f>
        <v>236</v>
      </c>
      <c r="W13" s="400">
        <f t="shared" si="15"/>
        <v>78.666666666666671</v>
      </c>
      <c r="X13" s="588">
        <f t="shared" si="16"/>
        <v>2454</v>
      </c>
      <c r="Y13" s="52">
        <f t="shared" si="17"/>
        <v>0</v>
      </c>
      <c r="Z13" s="588">
        <f t="shared" si="16"/>
        <v>138028.1</v>
      </c>
      <c r="AA13" s="284">
        <f t="shared" si="5"/>
        <v>0</v>
      </c>
      <c r="AB13" s="284">
        <f t="shared" si="31"/>
        <v>0</v>
      </c>
      <c r="AC13" s="588">
        <f t="shared" ref="AC13:AE13" si="59">AC12</f>
        <v>1934</v>
      </c>
      <c r="AD13" s="45">
        <f t="shared" si="6"/>
        <v>0</v>
      </c>
      <c r="AE13" s="588">
        <f t="shared" si="59"/>
        <v>365352</v>
      </c>
      <c r="AF13" s="306">
        <f t="shared" si="19"/>
        <v>0</v>
      </c>
      <c r="AG13" s="209">
        <f t="shared" si="33"/>
        <v>0</v>
      </c>
      <c r="AH13" s="62">
        <f t="shared" si="34"/>
        <v>0</v>
      </c>
      <c r="AI13" s="318">
        <f t="shared" si="20"/>
        <v>236</v>
      </c>
      <c r="AJ13" s="318">
        <f>-tanks!AW14</f>
        <v>236</v>
      </c>
      <c r="AK13" s="318">
        <f t="shared" si="21"/>
        <v>0</v>
      </c>
      <c r="AL13" s="318">
        <f t="shared" si="7"/>
        <v>3</v>
      </c>
      <c r="AM13" s="318">
        <f t="shared" si="22"/>
        <v>0</v>
      </c>
      <c r="AN13" s="588">
        <f t="shared" ref="AN13:AP13" si="60">AN12</f>
        <v>67</v>
      </c>
      <c r="AO13" s="320">
        <f t="shared" si="24"/>
        <v>2010.0000000000002</v>
      </c>
      <c r="AP13" s="588">
        <f t="shared" si="60"/>
        <v>55</v>
      </c>
      <c r="AQ13" s="320">
        <f t="shared" si="25"/>
        <v>1650.0000000000002</v>
      </c>
      <c r="AR13" s="588">
        <f t="shared" ref="AR13" si="61">AR12</f>
        <v>61</v>
      </c>
      <c r="AS13" s="320">
        <f t="shared" si="37"/>
        <v>1830</v>
      </c>
      <c r="AT13" s="320">
        <f t="shared" si="38"/>
        <v>5490</v>
      </c>
      <c r="AU13" s="320">
        <f t="shared" si="39"/>
        <v>0</v>
      </c>
      <c r="AV13" s="269"/>
      <c r="AW13" s="269"/>
      <c r="AX13" s="313">
        <f t="shared" si="27"/>
        <v>0.8</v>
      </c>
    </row>
    <row r="14" spans="1:52">
      <c r="A14" s="63">
        <f>ELEC!C12</f>
        <v>44237</v>
      </c>
      <c r="B14" s="588">
        <v>227</v>
      </c>
      <c r="C14" s="588">
        <v>233</v>
      </c>
      <c r="D14" s="45">
        <f t="shared" si="28"/>
        <v>6</v>
      </c>
      <c r="E14" s="45">
        <f t="shared" si="8"/>
        <v>50.28</v>
      </c>
      <c r="F14" s="588">
        <v>1728</v>
      </c>
      <c r="G14" s="52">
        <f t="shared" si="0"/>
        <v>1</v>
      </c>
      <c r="H14" s="588">
        <v>4957</v>
      </c>
      <c r="I14" s="396">
        <f t="shared" si="1"/>
        <v>85</v>
      </c>
      <c r="J14" s="66">
        <f t="shared" si="9"/>
        <v>85</v>
      </c>
      <c r="K14" s="588">
        <f t="shared" si="40"/>
        <v>2227</v>
      </c>
      <c r="L14" s="52">
        <f t="shared" si="10"/>
        <v>0</v>
      </c>
      <c r="M14" s="588">
        <f t="shared" si="40"/>
        <v>163735</v>
      </c>
      <c r="N14" s="396">
        <f t="shared" si="2"/>
        <v>0</v>
      </c>
      <c r="O14" s="64">
        <f t="shared" si="11"/>
        <v>1869</v>
      </c>
      <c r="P14" s="588">
        <v>1978</v>
      </c>
      <c r="Q14" s="588">
        <v>167261</v>
      </c>
      <c r="R14" s="395">
        <f t="shared" si="51"/>
        <v>151</v>
      </c>
      <c r="S14" s="52">
        <f t="shared" si="4"/>
        <v>2</v>
      </c>
      <c r="T14" s="67">
        <f t="shared" si="30"/>
        <v>0</v>
      </c>
      <c r="U14" s="402">
        <f t="shared" si="13"/>
        <v>3</v>
      </c>
      <c r="V14" s="62">
        <f t="shared" si="14"/>
        <v>236</v>
      </c>
      <c r="W14" s="400">
        <f t="shared" si="15"/>
        <v>78.666666666666671</v>
      </c>
      <c r="X14" s="588">
        <f t="shared" si="16"/>
        <v>2454</v>
      </c>
      <c r="Y14" s="52">
        <f t="shared" si="17"/>
        <v>0</v>
      </c>
      <c r="Z14" s="588">
        <f t="shared" si="16"/>
        <v>138028.1</v>
      </c>
      <c r="AA14" s="65">
        <f t="shared" si="5"/>
        <v>0</v>
      </c>
      <c r="AB14" s="284">
        <f t="shared" si="31"/>
        <v>0</v>
      </c>
      <c r="AC14" s="588">
        <f t="shared" ref="AC14:AE14" si="62">AC13</f>
        <v>1934</v>
      </c>
      <c r="AD14" s="45">
        <f t="shared" si="6"/>
        <v>0</v>
      </c>
      <c r="AE14" s="588">
        <f t="shared" si="62"/>
        <v>365352</v>
      </c>
      <c r="AF14" s="306">
        <f>AE14-AE13</f>
        <v>0</v>
      </c>
      <c r="AG14" s="209">
        <f t="shared" si="33"/>
        <v>0</v>
      </c>
      <c r="AH14" s="62">
        <f>AF14+AA14</f>
        <v>0</v>
      </c>
      <c r="AI14" s="318">
        <f>SUM(AH14+V14)</f>
        <v>236</v>
      </c>
      <c r="AJ14" s="318">
        <f>-tanks!AW15</f>
        <v>236</v>
      </c>
      <c r="AK14" s="318">
        <f t="shared" si="21"/>
        <v>0</v>
      </c>
      <c r="AL14" s="318">
        <f t="shared" si="7"/>
        <v>3</v>
      </c>
      <c r="AM14" s="318">
        <f t="shared" si="22"/>
        <v>0</v>
      </c>
      <c r="AN14" s="588">
        <f t="shared" ref="AN14:AP14" si="63">AN13</f>
        <v>67</v>
      </c>
      <c r="AO14" s="320">
        <f t="shared" si="24"/>
        <v>2010.0000000000002</v>
      </c>
      <c r="AP14" s="588">
        <f t="shared" si="63"/>
        <v>55</v>
      </c>
      <c r="AQ14" s="320">
        <f t="shared" si="25"/>
        <v>1650.0000000000002</v>
      </c>
      <c r="AR14" s="588">
        <f t="shared" ref="AR14" si="64">AR13</f>
        <v>61</v>
      </c>
      <c r="AS14" s="320">
        <f t="shared" si="37"/>
        <v>1830</v>
      </c>
      <c r="AT14" s="320">
        <f t="shared" si="38"/>
        <v>5490</v>
      </c>
      <c r="AU14" s="320">
        <f t="shared" si="39"/>
        <v>0</v>
      </c>
      <c r="AV14" s="269"/>
      <c r="AW14" s="269"/>
      <c r="AX14" s="313">
        <f t="shared" si="27"/>
        <v>0.8</v>
      </c>
    </row>
    <row r="15" spans="1:52" ht="15" customHeight="1">
      <c r="A15" s="63">
        <f>ELEC!C13</f>
        <v>44238</v>
      </c>
      <c r="B15" s="588">
        <v>222</v>
      </c>
      <c r="C15" s="588">
        <v>228</v>
      </c>
      <c r="D15" s="45">
        <f t="shared" si="28"/>
        <v>5</v>
      </c>
      <c r="E15" s="45">
        <f t="shared" si="8"/>
        <v>41.900000000000006</v>
      </c>
      <c r="F15" s="588">
        <v>1731</v>
      </c>
      <c r="G15" s="52">
        <f t="shared" si="0"/>
        <v>3</v>
      </c>
      <c r="H15" s="588">
        <v>5125</v>
      </c>
      <c r="I15" s="396">
        <f t="shared" si="1"/>
        <v>168</v>
      </c>
      <c r="J15" s="66">
        <f t="shared" si="9"/>
        <v>56</v>
      </c>
      <c r="K15" s="588">
        <v>2228</v>
      </c>
      <c r="L15" s="52">
        <f t="shared" si="10"/>
        <v>1</v>
      </c>
      <c r="M15" s="588">
        <v>163820</v>
      </c>
      <c r="N15" s="396">
        <f t="shared" si="2"/>
        <v>85</v>
      </c>
      <c r="O15" s="64">
        <f t="shared" si="11"/>
        <v>1869</v>
      </c>
      <c r="P15" s="588">
        <f t="shared" si="11"/>
        <v>1978</v>
      </c>
      <c r="Q15" s="588">
        <f t="shared" ref="Q15" si="65">Q14</f>
        <v>167261</v>
      </c>
      <c r="R15" s="395">
        <f t="shared" si="51"/>
        <v>0</v>
      </c>
      <c r="S15" s="52">
        <f t="shared" si="4"/>
        <v>0</v>
      </c>
      <c r="T15" s="67">
        <f t="shared" si="30"/>
        <v>0</v>
      </c>
      <c r="U15" s="402">
        <f t="shared" si="13"/>
        <v>4</v>
      </c>
      <c r="V15" s="62">
        <f t="shared" si="14"/>
        <v>253</v>
      </c>
      <c r="W15" s="400">
        <f t="shared" si="15"/>
        <v>63.25</v>
      </c>
      <c r="X15" s="588">
        <f t="shared" si="16"/>
        <v>2454</v>
      </c>
      <c r="Y15" s="52">
        <f t="shared" si="17"/>
        <v>0</v>
      </c>
      <c r="Z15" s="588">
        <f t="shared" si="16"/>
        <v>138028.1</v>
      </c>
      <c r="AA15" s="65">
        <f t="shared" si="5"/>
        <v>0</v>
      </c>
      <c r="AB15" s="284">
        <f t="shared" si="31"/>
        <v>0</v>
      </c>
      <c r="AC15" s="588">
        <f t="shared" ref="AC15:AE15" si="66">AC14</f>
        <v>1934</v>
      </c>
      <c r="AD15" s="45">
        <f t="shared" si="6"/>
        <v>0</v>
      </c>
      <c r="AE15" s="588">
        <f t="shared" si="66"/>
        <v>365352</v>
      </c>
      <c r="AF15" s="306">
        <f t="shared" si="19"/>
        <v>0</v>
      </c>
      <c r="AG15" s="209">
        <f t="shared" si="33"/>
        <v>0</v>
      </c>
      <c r="AH15" s="62">
        <f t="shared" si="34"/>
        <v>0</v>
      </c>
      <c r="AI15" s="318">
        <f t="shared" si="20"/>
        <v>253</v>
      </c>
      <c r="AJ15" s="318">
        <f>-tanks!AW16</f>
        <v>253</v>
      </c>
      <c r="AK15" s="318">
        <f t="shared" si="21"/>
        <v>0</v>
      </c>
      <c r="AL15" s="318">
        <f t="shared" si="7"/>
        <v>4</v>
      </c>
      <c r="AM15" s="318">
        <f t="shared" si="22"/>
        <v>0</v>
      </c>
      <c r="AN15" s="588">
        <f t="shared" ref="AN15:AP15" si="67">AN14</f>
        <v>67</v>
      </c>
      <c r="AO15" s="320">
        <f t="shared" si="24"/>
        <v>2010.0000000000002</v>
      </c>
      <c r="AP15" s="588">
        <f t="shared" si="67"/>
        <v>55</v>
      </c>
      <c r="AQ15" s="320">
        <f t="shared" si="25"/>
        <v>1650.0000000000002</v>
      </c>
      <c r="AR15" s="588">
        <f t="shared" ref="AR15" si="68">AR14</f>
        <v>61</v>
      </c>
      <c r="AS15" s="320">
        <f t="shared" si="37"/>
        <v>1830</v>
      </c>
      <c r="AT15" s="320">
        <f t="shared" si="38"/>
        <v>5490</v>
      </c>
      <c r="AU15" s="320">
        <f t="shared" si="39"/>
        <v>0</v>
      </c>
      <c r="AV15" s="269"/>
      <c r="AW15" s="269"/>
      <c r="AX15" s="313">
        <f t="shared" si="27"/>
        <v>0.8</v>
      </c>
    </row>
    <row r="16" spans="1:52">
      <c r="A16" s="63">
        <f>ELEC!C14</f>
        <v>44239</v>
      </c>
      <c r="B16" s="588">
        <v>219</v>
      </c>
      <c r="C16" s="588">
        <v>224</v>
      </c>
      <c r="D16" s="45">
        <f t="shared" si="28"/>
        <v>4</v>
      </c>
      <c r="E16" s="45">
        <f t="shared" si="8"/>
        <v>33.520000000000003</v>
      </c>
      <c r="F16" s="588">
        <v>1731</v>
      </c>
      <c r="G16" s="52">
        <f t="shared" si="0"/>
        <v>0</v>
      </c>
      <c r="H16" s="588">
        <f t="shared" si="29"/>
        <v>5125</v>
      </c>
      <c r="I16" s="396">
        <f t="shared" si="1"/>
        <v>0</v>
      </c>
      <c r="J16" s="66">
        <f t="shared" si="9"/>
        <v>0</v>
      </c>
      <c r="K16" s="588">
        <v>2230</v>
      </c>
      <c r="L16" s="52">
        <f t="shared" si="10"/>
        <v>2</v>
      </c>
      <c r="M16" s="588">
        <v>163965</v>
      </c>
      <c r="N16" s="396">
        <f t="shared" si="2"/>
        <v>145</v>
      </c>
      <c r="O16" s="64">
        <f t="shared" si="11"/>
        <v>1869</v>
      </c>
      <c r="P16" s="588">
        <v>1979</v>
      </c>
      <c r="Q16" s="588">
        <v>167350</v>
      </c>
      <c r="R16" s="395">
        <f t="shared" si="51"/>
        <v>89</v>
      </c>
      <c r="S16" s="52">
        <f t="shared" si="4"/>
        <v>1</v>
      </c>
      <c r="T16" s="67">
        <f t="shared" si="30"/>
        <v>0</v>
      </c>
      <c r="U16" s="402">
        <f t="shared" si="13"/>
        <v>3</v>
      </c>
      <c r="V16" s="62">
        <f t="shared" si="14"/>
        <v>234</v>
      </c>
      <c r="W16" s="400">
        <f t="shared" si="15"/>
        <v>78</v>
      </c>
      <c r="X16" s="588">
        <f t="shared" si="16"/>
        <v>2454</v>
      </c>
      <c r="Y16" s="52">
        <f t="shared" si="17"/>
        <v>0</v>
      </c>
      <c r="Z16" s="588">
        <f t="shared" si="16"/>
        <v>138028.1</v>
      </c>
      <c r="AA16" s="65">
        <f t="shared" si="5"/>
        <v>0</v>
      </c>
      <c r="AB16" s="284">
        <f t="shared" si="31"/>
        <v>0</v>
      </c>
      <c r="AC16" s="588">
        <f t="shared" ref="AC16:AE16" si="69">AC15</f>
        <v>1934</v>
      </c>
      <c r="AD16" s="45">
        <f t="shared" si="6"/>
        <v>0</v>
      </c>
      <c r="AE16" s="588">
        <f t="shared" si="69"/>
        <v>365352</v>
      </c>
      <c r="AF16" s="306">
        <f t="shared" si="19"/>
        <v>0</v>
      </c>
      <c r="AG16" s="209">
        <f t="shared" si="33"/>
        <v>0</v>
      </c>
      <c r="AH16" s="62">
        <f t="shared" si="34"/>
        <v>0</v>
      </c>
      <c r="AI16" s="318">
        <f t="shared" si="20"/>
        <v>234</v>
      </c>
      <c r="AJ16" s="318">
        <f>-tanks!AW17</f>
        <v>234</v>
      </c>
      <c r="AK16" s="318">
        <f t="shared" si="21"/>
        <v>0</v>
      </c>
      <c r="AL16" s="318">
        <f t="shared" si="7"/>
        <v>3</v>
      </c>
      <c r="AM16" s="318">
        <f t="shared" si="22"/>
        <v>0</v>
      </c>
      <c r="AN16" s="588">
        <f t="shared" ref="AN16:AP16" si="70">AN15</f>
        <v>67</v>
      </c>
      <c r="AO16" s="320">
        <f t="shared" si="24"/>
        <v>2010.0000000000002</v>
      </c>
      <c r="AP16" s="588">
        <f t="shared" si="70"/>
        <v>55</v>
      </c>
      <c r="AQ16" s="320">
        <f t="shared" si="25"/>
        <v>1650.0000000000002</v>
      </c>
      <c r="AR16" s="588">
        <f t="shared" ref="AR16" si="71">AR15</f>
        <v>61</v>
      </c>
      <c r="AS16" s="320">
        <f t="shared" si="37"/>
        <v>1830</v>
      </c>
      <c r="AT16" s="320">
        <f t="shared" si="38"/>
        <v>5490</v>
      </c>
      <c r="AU16" s="320">
        <f t="shared" si="39"/>
        <v>0</v>
      </c>
      <c r="AV16" s="269"/>
      <c r="AW16" s="269"/>
      <c r="AX16" s="313">
        <f t="shared" si="27"/>
        <v>0.8</v>
      </c>
    </row>
    <row r="17" spans="1:50">
      <c r="A17" s="63">
        <f>ELEC!C15</f>
        <v>44240</v>
      </c>
      <c r="B17" s="588">
        <v>214</v>
      </c>
      <c r="C17" s="588">
        <v>219</v>
      </c>
      <c r="D17" s="45">
        <f t="shared" si="28"/>
        <v>5</v>
      </c>
      <c r="E17" s="45">
        <f t="shared" si="8"/>
        <v>41.900000000000006</v>
      </c>
      <c r="F17" s="588">
        <v>1732</v>
      </c>
      <c r="G17" s="52">
        <f t="shared" si="0"/>
        <v>1</v>
      </c>
      <c r="H17" s="588">
        <v>5194</v>
      </c>
      <c r="I17" s="396">
        <f t="shared" si="1"/>
        <v>69</v>
      </c>
      <c r="J17" s="66">
        <f t="shared" si="9"/>
        <v>69</v>
      </c>
      <c r="K17" s="588">
        <f t="shared" si="40"/>
        <v>2230</v>
      </c>
      <c r="L17" s="52">
        <f t="shared" si="10"/>
        <v>0</v>
      </c>
      <c r="M17" s="588">
        <f t="shared" si="40"/>
        <v>163965</v>
      </c>
      <c r="N17" s="396">
        <f t="shared" si="2"/>
        <v>0</v>
      </c>
      <c r="O17" s="64">
        <f t="shared" si="11"/>
        <v>1869</v>
      </c>
      <c r="P17" s="588">
        <v>1982</v>
      </c>
      <c r="Q17" s="588">
        <v>167562</v>
      </c>
      <c r="R17" s="395">
        <f t="shared" si="51"/>
        <v>212</v>
      </c>
      <c r="S17" s="52">
        <f t="shared" si="4"/>
        <v>3</v>
      </c>
      <c r="T17" s="67">
        <f t="shared" si="30"/>
        <v>0</v>
      </c>
      <c r="U17" s="402">
        <f t="shared" si="13"/>
        <v>4</v>
      </c>
      <c r="V17" s="62">
        <f t="shared" si="14"/>
        <v>281</v>
      </c>
      <c r="W17" s="400"/>
      <c r="X17" s="588">
        <v>2454</v>
      </c>
      <c r="Y17" s="52">
        <f t="shared" si="17"/>
        <v>0</v>
      </c>
      <c r="Z17" s="588">
        <f t="shared" si="16"/>
        <v>138028.1</v>
      </c>
      <c r="AA17" s="65">
        <f t="shared" si="5"/>
        <v>0</v>
      </c>
      <c r="AB17" s="284">
        <f t="shared" si="31"/>
        <v>0</v>
      </c>
      <c r="AC17" s="588">
        <f t="shared" ref="AC17:AE17" si="72">AC16</f>
        <v>1934</v>
      </c>
      <c r="AD17" s="45">
        <f t="shared" si="6"/>
        <v>0</v>
      </c>
      <c r="AE17" s="588">
        <f t="shared" si="72"/>
        <v>365352</v>
      </c>
      <c r="AF17" s="306">
        <f t="shared" si="19"/>
        <v>0</v>
      </c>
      <c r="AG17" s="209">
        <f t="shared" si="33"/>
        <v>0</v>
      </c>
      <c r="AH17" s="62">
        <f t="shared" si="34"/>
        <v>0</v>
      </c>
      <c r="AI17" s="318">
        <f t="shared" si="20"/>
        <v>281</v>
      </c>
      <c r="AJ17" s="318">
        <f>-tanks!AW18</f>
        <v>281</v>
      </c>
      <c r="AK17" s="318">
        <f t="shared" si="21"/>
        <v>0</v>
      </c>
      <c r="AL17" s="318">
        <f t="shared" si="7"/>
        <v>4</v>
      </c>
      <c r="AM17" s="318">
        <f t="shared" si="22"/>
        <v>0</v>
      </c>
      <c r="AN17" s="588">
        <f t="shared" ref="AN17:AP17" si="73">AN16</f>
        <v>67</v>
      </c>
      <c r="AO17" s="320">
        <f t="shared" si="24"/>
        <v>2010.0000000000002</v>
      </c>
      <c r="AP17" s="588">
        <f t="shared" si="73"/>
        <v>55</v>
      </c>
      <c r="AQ17" s="320">
        <f t="shared" si="25"/>
        <v>1650.0000000000002</v>
      </c>
      <c r="AR17" s="588">
        <f t="shared" ref="AR17" si="74">AR16</f>
        <v>61</v>
      </c>
      <c r="AS17" s="320">
        <f t="shared" si="37"/>
        <v>1830</v>
      </c>
      <c r="AT17" s="320">
        <f t="shared" si="38"/>
        <v>5490</v>
      </c>
      <c r="AU17" s="320">
        <f t="shared" si="39"/>
        <v>0</v>
      </c>
      <c r="AV17" s="269"/>
      <c r="AW17" s="269"/>
      <c r="AX17" s="313">
        <f t="shared" si="27"/>
        <v>0.8</v>
      </c>
    </row>
    <row r="18" spans="1:50">
      <c r="A18" s="63">
        <f>ELEC!C16</f>
        <v>44241</v>
      </c>
      <c r="B18" s="588">
        <v>208</v>
      </c>
      <c r="C18" s="588">
        <v>215</v>
      </c>
      <c r="D18" s="45">
        <f t="shared" si="28"/>
        <v>4</v>
      </c>
      <c r="E18" s="45">
        <f t="shared" si="8"/>
        <v>33.520000000000003</v>
      </c>
      <c r="F18" s="588">
        <v>1734</v>
      </c>
      <c r="G18" s="52">
        <f t="shared" si="0"/>
        <v>2</v>
      </c>
      <c r="H18" s="588">
        <v>5345</v>
      </c>
      <c r="I18" s="396">
        <f t="shared" si="1"/>
        <v>151</v>
      </c>
      <c r="J18" s="66">
        <f t="shared" si="9"/>
        <v>75.5</v>
      </c>
      <c r="K18" s="588">
        <v>2231</v>
      </c>
      <c r="L18" s="52">
        <f t="shared" si="10"/>
        <v>1</v>
      </c>
      <c r="M18" s="588">
        <v>164081</v>
      </c>
      <c r="N18" s="396">
        <f t="shared" si="2"/>
        <v>116</v>
      </c>
      <c r="O18" s="64">
        <v>1869</v>
      </c>
      <c r="P18" s="588">
        <f t="shared" si="11"/>
        <v>1982</v>
      </c>
      <c r="Q18" s="588">
        <f t="shared" ref="Q18" si="75">Q17</f>
        <v>167562</v>
      </c>
      <c r="R18" s="395">
        <f t="shared" si="51"/>
        <v>0</v>
      </c>
      <c r="S18" s="52">
        <f t="shared" si="4"/>
        <v>0</v>
      </c>
      <c r="T18" s="67">
        <f t="shared" si="30"/>
        <v>0</v>
      </c>
      <c r="U18" s="402">
        <f t="shared" si="13"/>
        <v>3</v>
      </c>
      <c r="V18" s="62">
        <f t="shared" si="14"/>
        <v>267</v>
      </c>
      <c r="W18" s="400"/>
      <c r="X18" s="588">
        <f t="shared" si="16"/>
        <v>2454</v>
      </c>
      <c r="Y18" s="52">
        <f t="shared" si="17"/>
        <v>0</v>
      </c>
      <c r="Z18" s="588">
        <f t="shared" si="16"/>
        <v>138028.1</v>
      </c>
      <c r="AA18" s="65">
        <f t="shared" si="5"/>
        <v>0</v>
      </c>
      <c r="AB18" s="284">
        <f t="shared" ref="AB18:AB23" si="76">SUM(Y18*$AB$2)</f>
        <v>0</v>
      </c>
      <c r="AC18" s="588">
        <f t="shared" ref="AC18:AE18" si="77">AC17</f>
        <v>1934</v>
      </c>
      <c r="AD18" s="45">
        <f t="shared" si="6"/>
        <v>0</v>
      </c>
      <c r="AE18" s="588">
        <f t="shared" si="77"/>
        <v>365352</v>
      </c>
      <c r="AF18" s="306">
        <f t="shared" si="19"/>
        <v>0</v>
      </c>
      <c r="AG18" s="209">
        <f t="shared" si="33"/>
        <v>0</v>
      </c>
      <c r="AH18" s="62">
        <f t="shared" si="34"/>
        <v>0</v>
      </c>
      <c r="AI18" s="318">
        <f t="shared" si="20"/>
        <v>267</v>
      </c>
      <c r="AJ18" s="318">
        <f>-tanks!AW19</f>
        <v>267</v>
      </c>
      <c r="AK18" s="318">
        <f t="shared" si="21"/>
        <v>0</v>
      </c>
      <c r="AL18" s="318">
        <f t="shared" si="7"/>
        <v>3</v>
      </c>
      <c r="AM18" s="318">
        <f t="shared" si="22"/>
        <v>0</v>
      </c>
      <c r="AN18" s="588">
        <f t="shared" ref="AN18:AP18" si="78">AN17</f>
        <v>67</v>
      </c>
      <c r="AO18" s="320">
        <f t="shared" si="24"/>
        <v>2010.0000000000002</v>
      </c>
      <c r="AP18" s="588">
        <f t="shared" si="78"/>
        <v>55</v>
      </c>
      <c r="AQ18" s="320">
        <f t="shared" si="25"/>
        <v>1650.0000000000002</v>
      </c>
      <c r="AR18" s="588">
        <f t="shared" ref="AR18" si="79">AR17</f>
        <v>61</v>
      </c>
      <c r="AS18" s="320">
        <f t="shared" si="37"/>
        <v>1830</v>
      </c>
      <c r="AT18" s="320">
        <f t="shared" si="38"/>
        <v>5490</v>
      </c>
      <c r="AU18" s="320">
        <f t="shared" si="39"/>
        <v>0</v>
      </c>
      <c r="AV18" s="269"/>
      <c r="AW18" s="269"/>
      <c r="AX18" s="313">
        <f t="shared" si="27"/>
        <v>0.8</v>
      </c>
    </row>
    <row r="19" spans="1:50">
      <c r="A19" s="63">
        <f>ELEC!C17</f>
        <v>44242</v>
      </c>
      <c r="B19" s="588">
        <v>204</v>
      </c>
      <c r="C19" s="588">
        <v>210</v>
      </c>
      <c r="D19" s="45">
        <f t="shared" si="28"/>
        <v>5</v>
      </c>
      <c r="E19" s="45">
        <f t="shared" si="8"/>
        <v>41.900000000000006</v>
      </c>
      <c r="F19" s="588">
        <f t="shared" si="29"/>
        <v>1734</v>
      </c>
      <c r="G19" s="52">
        <f t="shared" si="0"/>
        <v>0</v>
      </c>
      <c r="H19" s="588">
        <f t="shared" si="29"/>
        <v>5345</v>
      </c>
      <c r="I19" s="396">
        <f t="shared" si="1"/>
        <v>0</v>
      </c>
      <c r="J19" s="66">
        <f t="shared" si="9"/>
        <v>0</v>
      </c>
      <c r="K19" s="588">
        <v>2233</v>
      </c>
      <c r="L19" s="52">
        <f t="shared" si="10"/>
        <v>2</v>
      </c>
      <c r="M19" s="588">
        <v>164223</v>
      </c>
      <c r="N19" s="396">
        <f t="shared" si="2"/>
        <v>142</v>
      </c>
      <c r="O19" s="64">
        <f t="shared" si="11"/>
        <v>1869</v>
      </c>
      <c r="P19" s="588">
        <v>1983</v>
      </c>
      <c r="Q19" s="588">
        <v>167637</v>
      </c>
      <c r="R19" s="395">
        <f t="shared" si="51"/>
        <v>75</v>
      </c>
      <c r="S19" s="52">
        <f t="shared" si="4"/>
        <v>1</v>
      </c>
      <c r="T19" s="67">
        <f t="shared" si="30"/>
        <v>0</v>
      </c>
      <c r="U19" s="402">
        <f t="shared" si="13"/>
        <v>3</v>
      </c>
      <c r="V19" s="62">
        <f t="shared" si="14"/>
        <v>217</v>
      </c>
      <c r="W19" s="400"/>
      <c r="X19" s="588">
        <f t="shared" si="16"/>
        <v>2454</v>
      </c>
      <c r="Y19" s="52">
        <f t="shared" si="17"/>
        <v>0</v>
      </c>
      <c r="Z19" s="588">
        <f t="shared" si="16"/>
        <v>138028.1</v>
      </c>
      <c r="AA19" s="65">
        <f t="shared" si="5"/>
        <v>0</v>
      </c>
      <c r="AB19" s="284">
        <f t="shared" si="76"/>
        <v>0</v>
      </c>
      <c r="AC19" s="588">
        <f t="shared" ref="AC19:AE19" si="80">AC18</f>
        <v>1934</v>
      </c>
      <c r="AD19" s="45">
        <f t="shared" si="6"/>
        <v>0</v>
      </c>
      <c r="AE19" s="588">
        <f t="shared" si="80"/>
        <v>365352</v>
      </c>
      <c r="AF19" s="306">
        <f t="shared" si="19"/>
        <v>0</v>
      </c>
      <c r="AG19" s="209">
        <f t="shared" si="33"/>
        <v>0</v>
      </c>
      <c r="AH19" s="62">
        <f t="shared" si="34"/>
        <v>0</v>
      </c>
      <c r="AI19" s="318">
        <f t="shared" si="20"/>
        <v>217</v>
      </c>
      <c r="AJ19" s="318">
        <f>-tanks!AW20</f>
        <v>217</v>
      </c>
      <c r="AK19" s="318">
        <f t="shared" si="21"/>
        <v>0</v>
      </c>
      <c r="AL19" s="318">
        <f t="shared" si="7"/>
        <v>3</v>
      </c>
      <c r="AM19" s="318">
        <f t="shared" si="22"/>
        <v>0</v>
      </c>
      <c r="AN19" s="588">
        <f t="shared" ref="AN19:AP19" si="81">AN18</f>
        <v>67</v>
      </c>
      <c r="AO19" s="320">
        <f t="shared" si="24"/>
        <v>2010.0000000000002</v>
      </c>
      <c r="AP19" s="588">
        <f t="shared" si="81"/>
        <v>55</v>
      </c>
      <c r="AQ19" s="320">
        <f t="shared" si="25"/>
        <v>1650.0000000000002</v>
      </c>
      <c r="AR19" s="588">
        <f t="shared" ref="AR19" si="82">AR18</f>
        <v>61</v>
      </c>
      <c r="AS19" s="320">
        <f t="shared" si="37"/>
        <v>1830</v>
      </c>
      <c r="AT19" s="320">
        <f t="shared" si="38"/>
        <v>5490</v>
      </c>
      <c r="AU19" s="320">
        <f t="shared" si="39"/>
        <v>0</v>
      </c>
      <c r="AV19" s="269"/>
      <c r="AW19" s="269"/>
      <c r="AX19" s="313">
        <f t="shared" si="27"/>
        <v>0.8</v>
      </c>
    </row>
    <row r="20" spans="1:50">
      <c r="A20" s="63">
        <f>ELEC!C18</f>
        <v>44243</v>
      </c>
      <c r="B20" s="588">
        <v>237</v>
      </c>
      <c r="C20" s="588">
        <v>243</v>
      </c>
      <c r="D20" s="45">
        <f>C19-C20</f>
        <v>-33</v>
      </c>
      <c r="E20" s="45">
        <f t="shared" si="8"/>
        <v>-276.54000000000002</v>
      </c>
      <c r="F20" s="588">
        <f t="shared" si="29"/>
        <v>1734</v>
      </c>
      <c r="G20" s="52">
        <f t="shared" si="0"/>
        <v>0</v>
      </c>
      <c r="H20" s="588">
        <f t="shared" si="29"/>
        <v>5345</v>
      </c>
      <c r="I20" s="396">
        <f t="shared" si="1"/>
        <v>0</v>
      </c>
      <c r="J20" s="66">
        <f t="shared" si="9"/>
        <v>0</v>
      </c>
      <c r="K20" s="588">
        <f t="shared" si="40"/>
        <v>2233</v>
      </c>
      <c r="L20" s="52">
        <f t="shared" si="10"/>
        <v>0</v>
      </c>
      <c r="M20" s="588">
        <f t="shared" si="40"/>
        <v>164223</v>
      </c>
      <c r="N20" s="396">
        <f t="shared" si="2"/>
        <v>0</v>
      </c>
      <c r="O20" s="64">
        <f t="shared" si="11"/>
        <v>1869</v>
      </c>
      <c r="P20" s="588">
        <v>1986</v>
      </c>
      <c r="Q20" s="588">
        <v>167865</v>
      </c>
      <c r="R20" s="395">
        <f t="shared" si="51"/>
        <v>228</v>
      </c>
      <c r="S20" s="52">
        <f t="shared" si="4"/>
        <v>3</v>
      </c>
      <c r="T20" s="67">
        <f t="shared" si="30"/>
        <v>0</v>
      </c>
      <c r="U20" s="402">
        <f t="shared" si="13"/>
        <v>3</v>
      </c>
      <c r="V20" s="62">
        <f t="shared" si="14"/>
        <v>228</v>
      </c>
      <c r="W20" s="400"/>
      <c r="X20" s="588">
        <f t="shared" si="16"/>
        <v>2454</v>
      </c>
      <c r="Y20" s="52">
        <f t="shared" si="17"/>
        <v>0</v>
      </c>
      <c r="Z20" s="588">
        <f t="shared" si="16"/>
        <v>138028.1</v>
      </c>
      <c r="AA20" s="65">
        <f t="shared" si="5"/>
        <v>0</v>
      </c>
      <c r="AB20" s="284">
        <f t="shared" si="76"/>
        <v>0</v>
      </c>
      <c r="AC20" s="588">
        <f t="shared" ref="AC20:AE20" si="83">AC19</f>
        <v>1934</v>
      </c>
      <c r="AD20" s="45">
        <f t="shared" si="6"/>
        <v>0</v>
      </c>
      <c r="AE20" s="588">
        <f t="shared" si="83"/>
        <v>365352</v>
      </c>
      <c r="AF20" s="306">
        <f t="shared" si="19"/>
        <v>0</v>
      </c>
      <c r="AG20" s="209">
        <f t="shared" si="33"/>
        <v>0</v>
      </c>
      <c r="AH20" s="62">
        <f t="shared" si="34"/>
        <v>0</v>
      </c>
      <c r="AI20" s="318">
        <f t="shared" si="20"/>
        <v>228</v>
      </c>
      <c r="AJ20" s="318">
        <f>-tanks!AW21</f>
        <v>228</v>
      </c>
      <c r="AK20" s="318">
        <f t="shared" si="21"/>
        <v>0</v>
      </c>
      <c r="AL20" s="318">
        <f t="shared" si="7"/>
        <v>3</v>
      </c>
      <c r="AM20" s="318">
        <f t="shared" si="22"/>
        <v>0</v>
      </c>
      <c r="AN20" s="588">
        <f t="shared" ref="AN20:AP20" si="84">AN19</f>
        <v>67</v>
      </c>
      <c r="AO20" s="320">
        <f t="shared" si="24"/>
        <v>2010.0000000000002</v>
      </c>
      <c r="AP20" s="588">
        <f t="shared" si="84"/>
        <v>55</v>
      </c>
      <c r="AQ20" s="320">
        <f t="shared" si="25"/>
        <v>1650.0000000000002</v>
      </c>
      <c r="AR20" s="588">
        <f t="shared" ref="AR20" si="85">AR19</f>
        <v>61</v>
      </c>
      <c r="AS20" s="320">
        <f t="shared" si="37"/>
        <v>1830</v>
      </c>
      <c r="AT20" s="320">
        <f t="shared" si="38"/>
        <v>5490</v>
      </c>
      <c r="AU20" s="320">
        <f t="shared" si="39"/>
        <v>0</v>
      </c>
      <c r="AV20" s="269"/>
      <c r="AW20" s="269"/>
      <c r="AX20" s="313">
        <f t="shared" si="27"/>
        <v>0.8</v>
      </c>
    </row>
    <row r="21" spans="1:50">
      <c r="A21" s="63">
        <f>ELEC!C19</f>
        <v>44244</v>
      </c>
      <c r="B21" s="588">
        <v>230</v>
      </c>
      <c r="C21" s="588">
        <v>237</v>
      </c>
      <c r="D21" s="45">
        <f t="shared" ref="D21:D31" si="86">C20-C21</f>
        <v>6</v>
      </c>
      <c r="E21" s="45">
        <f t="shared" si="8"/>
        <v>50.28</v>
      </c>
      <c r="F21" s="588">
        <v>1736</v>
      </c>
      <c r="G21" s="52">
        <f t="shared" si="0"/>
        <v>2</v>
      </c>
      <c r="H21" s="588">
        <v>5528</v>
      </c>
      <c r="I21" s="396">
        <f t="shared" si="1"/>
        <v>183</v>
      </c>
      <c r="J21" s="66">
        <f t="shared" si="9"/>
        <v>91.5</v>
      </c>
      <c r="K21" s="588">
        <f t="shared" si="40"/>
        <v>2233</v>
      </c>
      <c r="L21" s="52">
        <f t="shared" si="10"/>
        <v>0</v>
      </c>
      <c r="M21" s="588">
        <f t="shared" si="40"/>
        <v>164223</v>
      </c>
      <c r="N21" s="396">
        <f t="shared" si="2"/>
        <v>0</v>
      </c>
      <c r="O21" s="64">
        <f t="shared" si="11"/>
        <v>1869</v>
      </c>
      <c r="P21" s="588">
        <v>1988</v>
      </c>
      <c r="Q21" s="588">
        <v>167970</v>
      </c>
      <c r="R21" s="395">
        <f t="shared" si="51"/>
        <v>105</v>
      </c>
      <c r="S21" s="52">
        <f t="shared" si="4"/>
        <v>2</v>
      </c>
      <c r="T21" s="67">
        <f t="shared" si="30"/>
        <v>0</v>
      </c>
      <c r="U21" s="402">
        <f t="shared" si="13"/>
        <v>4</v>
      </c>
      <c r="V21" s="62">
        <f t="shared" si="14"/>
        <v>288</v>
      </c>
      <c r="W21" s="400"/>
      <c r="X21" s="588">
        <f t="shared" si="16"/>
        <v>2454</v>
      </c>
      <c r="Y21" s="52">
        <f t="shared" si="17"/>
        <v>0</v>
      </c>
      <c r="Z21" s="588">
        <f t="shared" si="16"/>
        <v>138028.1</v>
      </c>
      <c r="AA21" s="65">
        <f t="shared" si="5"/>
        <v>0</v>
      </c>
      <c r="AB21" s="284">
        <f t="shared" si="76"/>
        <v>0</v>
      </c>
      <c r="AC21" s="588">
        <f t="shared" ref="AC21:AE21" si="87">AC20</f>
        <v>1934</v>
      </c>
      <c r="AD21" s="45">
        <f t="shared" si="6"/>
        <v>0</v>
      </c>
      <c r="AE21" s="588">
        <f t="shared" si="87"/>
        <v>365352</v>
      </c>
      <c r="AF21" s="306">
        <f t="shared" si="19"/>
        <v>0</v>
      </c>
      <c r="AG21" s="209">
        <f t="shared" si="33"/>
        <v>0</v>
      </c>
      <c r="AH21" s="62">
        <f t="shared" si="34"/>
        <v>0</v>
      </c>
      <c r="AI21" s="318">
        <f t="shared" si="20"/>
        <v>288</v>
      </c>
      <c r="AJ21" s="318">
        <f>-tanks!AW22</f>
        <v>288</v>
      </c>
      <c r="AK21" s="318">
        <f t="shared" si="21"/>
        <v>0</v>
      </c>
      <c r="AL21" s="318">
        <f t="shared" si="7"/>
        <v>4</v>
      </c>
      <c r="AM21" s="318">
        <f t="shared" si="22"/>
        <v>0</v>
      </c>
      <c r="AN21" s="588">
        <f t="shared" ref="AN21:AP21" si="88">AN20</f>
        <v>67</v>
      </c>
      <c r="AO21" s="320">
        <f t="shared" si="24"/>
        <v>2010.0000000000002</v>
      </c>
      <c r="AP21" s="588">
        <f t="shared" si="88"/>
        <v>55</v>
      </c>
      <c r="AQ21" s="320">
        <f t="shared" si="25"/>
        <v>1650.0000000000002</v>
      </c>
      <c r="AR21" s="588">
        <f t="shared" ref="AR21" si="89">AR20</f>
        <v>61</v>
      </c>
      <c r="AS21" s="320">
        <f t="shared" si="37"/>
        <v>1830</v>
      </c>
      <c r="AT21" s="320">
        <f t="shared" si="38"/>
        <v>5490</v>
      </c>
      <c r="AU21" s="320">
        <f t="shared" si="39"/>
        <v>0</v>
      </c>
      <c r="AV21" s="269"/>
      <c r="AW21" s="269"/>
      <c r="AX21" s="313">
        <f t="shared" si="27"/>
        <v>0.8</v>
      </c>
    </row>
    <row r="22" spans="1:50" ht="16.5" customHeight="1">
      <c r="A22" s="63">
        <f>ELEC!C20</f>
        <v>44245</v>
      </c>
      <c r="B22" s="588">
        <v>225</v>
      </c>
      <c r="C22" s="588">
        <v>231</v>
      </c>
      <c r="D22" s="45">
        <f t="shared" si="86"/>
        <v>6</v>
      </c>
      <c r="E22" s="45">
        <f t="shared" si="8"/>
        <v>50.28</v>
      </c>
      <c r="F22" s="588">
        <v>1738</v>
      </c>
      <c r="G22" s="52">
        <f t="shared" si="0"/>
        <v>2</v>
      </c>
      <c r="H22" s="588">
        <v>5669</v>
      </c>
      <c r="I22" s="396">
        <f t="shared" si="1"/>
        <v>141</v>
      </c>
      <c r="J22" s="66">
        <f t="shared" si="9"/>
        <v>70.5</v>
      </c>
      <c r="K22" s="588">
        <v>2236</v>
      </c>
      <c r="L22" s="52">
        <f t="shared" si="10"/>
        <v>3</v>
      </c>
      <c r="M22" s="588">
        <v>164402</v>
      </c>
      <c r="N22" s="396">
        <f t="shared" si="2"/>
        <v>179</v>
      </c>
      <c r="O22" s="64">
        <f t="shared" si="11"/>
        <v>1869</v>
      </c>
      <c r="P22" s="588">
        <f t="shared" si="11"/>
        <v>1988</v>
      </c>
      <c r="Q22" s="588">
        <f t="shared" ref="Q22" si="90">Q21</f>
        <v>167970</v>
      </c>
      <c r="R22" s="395">
        <f t="shared" si="51"/>
        <v>0</v>
      </c>
      <c r="S22" s="52">
        <f t="shared" si="4"/>
        <v>0</v>
      </c>
      <c r="T22" s="67">
        <f t="shared" si="30"/>
        <v>0</v>
      </c>
      <c r="U22" s="402">
        <f t="shared" si="13"/>
        <v>5</v>
      </c>
      <c r="V22" s="62">
        <f t="shared" si="14"/>
        <v>320</v>
      </c>
      <c r="W22" s="400"/>
      <c r="X22" s="588">
        <v>2455</v>
      </c>
      <c r="Y22" s="52">
        <f t="shared" si="17"/>
        <v>1</v>
      </c>
      <c r="Z22" s="588">
        <v>138089</v>
      </c>
      <c r="AA22" s="65">
        <f t="shared" si="5"/>
        <v>60.899999999994179</v>
      </c>
      <c r="AB22" s="284">
        <f t="shared" si="76"/>
        <v>0</v>
      </c>
      <c r="AC22" s="588">
        <f t="shared" ref="AC22:AE22" si="91">AC21</f>
        <v>1934</v>
      </c>
      <c r="AD22" s="45">
        <f t="shared" si="6"/>
        <v>0</v>
      </c>
      <c r="AE22" s="588">
        <f t="shared" si="91"/>
        <v>365352</v>
      </c>
      <c r="AF22" s="306">
        <f t="shared" si="19"/>
        <v>0</v>
      </c>
      <c r="AG22" s="209">
        <f t="shared" si="33"/>
        <v>0</v>
      </c>
      <c r="AH22" s="62">
        <f t="shared" si="34"/>
        <v>60.899999999994179</v>
      </c>
      <c r="AI22" s="318">
        <f t="shared" si="20"/>
        <v>380.89999999999418</v>
      </c>
      <c r="AJ22" s="318">
        <f>-tanks!AW23</f>
        <v>380.89999999999418</v>
      </c>
      <c r="AK22" s="318">
        <f t="shared" si="21"/>
        <v>0</v>
      </c>
      <c r="AL22" s="318">
        <f t="shared" si="7"/>
        <v>5</v>
      </c>
      <c r="AM22" s="318">
        <f t="shared" si="22"/>
        <v>1</v>
      </c>
      <c r="AN22" s="588">
        <f t="shared" ref="AN22:AP22" si="92">AN21</f>
        <v>67</v>
      </c>
      <c r="AO22" s="320">
        <f t="shared" si="24"/>
        <v>2010.0000000000002</v>
      </c>
      <c r="AP22" s="588">
        <f t="shared" si="92"/>
        <v>55</v>
      </c>
      <c r="AQ22" s="320">
        <f t="shared" si="25"/>
        <v>1650.0000000000002</v>
      </c>
      <c r="AR22" s="588">
        <f t="shared" ref="AR22" si="93">AR21</f>
        <v>61</v>
      </c>
      <c r="AS22" s="320">
        <f t="shared" si="37"/>
        <v>1830</v>
      </c>
      <c r="AT22" s="320">
        <f t="shared" si="38"/>
        <v>5490</v>
      </c>
      <c r="AU22" s="320">
        <f t="shared" si="39"/>
        <v>0</v>
      </c>
      <c r="AV22" s="269"/>
      <c r="AW22" s="269"/>
      <c r="AX22" s="313">
        <f t="shared" si="27"/>
        <v>0.8</v>
      </c>
    </row>
    <row r="23" spans="1:50">
      <c r="A23" s="63">
        <f>[3]ELEC!C21</f>
        <v>44215</v>
      </c>
      <c r="B23" s="588">
        <v>219</v>
      </c>
      <c r="C23" s="588">
        <v>225</v>
      </c>
      <c r="D23" s="45">
        <f t="shared" si="86"/>
        <v>6</v>
      </c>
      <c r="E23" s="45">
        <f t="shared" si="8"/>
        <v>50.28</v>
      </c>
      <c r="F23" s="588">
        <f t="shared" si="29"/>
        <v>1738</v>
      </c>
      <c r="G23" s="52">
        <f t="shared" si="0"/>
        <v>0</v>
      </c>
      <c r="H23" s="588">
        <f t="shared" si="29"/>
        <v>5669</v>
      </c>
      <c r="I23" s="396">
        <f t="shared" si="1"/>
        <v>0</v>
      </c>
      <c r="J23" s="66">
        <f t="shared" si="9"/>
        <v>0</v>
      </c>
      <c r="K23" s="588">
        <v>2237</v>
      </c>
      <c r="L23" s="52">
        <f t="shared" si="10"/>
        <v>1</v>
      </c>
      <c r="M23" s="588">
        <v>164489</v>
      </c>
      <c r="N23" s="396">
        <f t="shared" si="2"/>
        <v>87</v>
      </c>
      <c r="O23" s="64">
        <f t="shared" si="11"/>
        <v>1869</v>
      </c>
      <c r="P23" s="588">
        <v>1990</v>
      </c>
      <c r="Q23" s="588">
        <v>168180</v>
      </c>
      <c r="R23" s="395">
        <f t="shared" si="51"/>
        <v>210</v>
      </c>
      <c r="S23" s="52">
        <f t="shared" si="4"/>
        <v>2</v>
      </c>
      <c r="T23" s="67">
        <f t="shared" si="30"/>
        <v>0</v>
      </c>
      <c r="U23" s="402">
        <f t="shared" si="13"/>
        <v>3</v>
      </c>
      <c r="V23" s="62">
        <f t="shared" si="14"/>
        <v>297</v>
      </c>
      <c r="W23" s="400"/>
      <c r="X23" s="588">
        <f t="shared" si="16"/>
        <v>2455</v>
      </c>
      <c r="Y23" s="52">
        <f t="shared" si="17"/>
        <v>0</v>
      </c>
      <c r="Z23" s="588">
        <f t="shared" si="16"/>
        <v>138089</v>
      </c>
      <c r="AA23" s="65">
        <f t="shared" si="5"/>
        <v>0</v>
      </c>
      <c r="AB23" s="284">
        <f t="shared" si="76"/>
        <v>0</v>
      </c>
      <c r="AC23" s="588">
        <f t="shared" ref="AC23:AE23" si="94">AC22</f>
        <v>1934</v>
      </c>
      <c r="AD23" s="45">
        <f t="shared" si="6"/>
        <v>0</v>
      </c>
      <c r="AE23" s="588">
        <f t="shared" si="94"/>
        <v>365352</v>
      </c>
      <c r="AF23" s="306">
        <f t="shared" si="19"/>
        <v>0</v>
      </c>
      <c r="AG23" s="209">
        <f t="shared" si="33"/>
        <v>0</v>
      </c>
      <c r="AH23" s="62">
        <f t="shared" si="34"/>
        <v>0</v>
      </c>
      <c r="AI23" s="318">
        <f t="shared" si="20"/>
        <v>297</v>
      </c>
      <c r="AJ23" s="318">
        <f>-[3]tanks!AW24</f>
        <v>231</v>
      </c>
      <c r="AK23" s="318">
        <f t="shared" si="21"/>
        <v>-66</v>
      </c>
      <c r="AL23" s="318">
        <f t="shared" si="7"/>
        <v>3</v>
      </c>
      <c r="AM23" s="318">
        <f t="shared" si="22"/>
        <v>0</v>
      </c>
      <c r="AN23" s="588">
        <f t="shared" ref="AN23:AP23" si="95">AN22</f>
        <v>67</v>
      </c>
      <c r="AO23" s="320">
        <f t="shared" si="24"/>
        <v>2010.0000000000002</v>
      </c>
      <c r="AP23" s="588">
        <f t="shared" si="95"/>
        <v>55</v>
      </c>
      <c r="AQ23" s="320">
        <f t="shared" si="25"/>
        <v>1650.0000000000002</v>
      </c>
      <c r="AR23" s="588">
        <f t="shared" ref="AR23" si="96">AR22</f>
        <v>61</v>
      </c>
      <c r="AS23" s="320">
        <f t="shared" si="37"/>
        <v>1830</v>
      </c>
      <c r="AT23" s="320">
        <f t="shared" si="38"/>
        <v>5490</v>
      </c>
      <c r="AU23" s="320">
        <f t="shared" si="39"/>
        <v>0</v>
      </c>
      <c r="AV23" s="269"/>
      <c r="AW23" s="269"/>
      <c r="AX23" s="313">
        <f t="shared" si="27"/>
        <v>0.8</v>
      </c>
    </row>
    <row r="24" spans="1:50">
      <c r="A24" s="63">
        <f>ELEC!C22</f>
        <v>44247</v>
      </c>
      <c r="B24" s="588">
        <v>213</v>
      </c>
      <c r="C24" s="588">
        <v>219</v>
      </c>
      <c r="D24" s="45">
        <f t="shared" si="86"/>
        <v>6</v>
      </c>
      <c r="E24" s="45">
        <f t="shared" si="8"/>
        <v>50.28</v>
      </c>
      <c r="F24" s="588">
        <v>1741</v>
      </c>
      <c r="G24" s="52">
        <f t="shared" si="0"/>
        <v>3</v>
      </c>
      <c r="H24" s="588">
        <v>5843</v>
      </c>
      <c r="I24" s="396">
        <f t="shared" si="1"/>
        <v>174</v>
      </c>
      <c r="J24" s="66">
        <f t="shared" si="9"/>
        <v>58</v>
      </c>
      <c r="K24" s="588">
        <f t="shared" si="40"/>
        <v>2237</v>
      </c>
      <c r="L24" s="52">
        <f t="shared" si="10"/>
        <v>0</v>
      </c>
      <c r="M24" s="588">
        <f t="shared" si="40"/>
        <v>164489</v>
      </c>
      <c r="N24" s="396">
        <f t="shared" si="2"/>
        <v>0</v>
      </c>
      <c r="O24" s="64">
        <f t="shared" si="11"/>
        <v>1869</v>
      </c>
      <c r="P24" s="588">
        <v>1992</v>
      </c>
      <c r="Q24" s="588">
        <v>168290</v>
      </c>
      <c r="R24" s="395">
        <f t="shared" si="51"/>
        <v>110</v>
      </c>
      <c r="S24" s="52">
        <f t="shared" si="4"/>
        <v>2</v>
      </c>
      <c r="T24" s="67">
        <f t="shared" si="30"/>
        <v>0</v>
      </c>
      <c r="U24" s="402">
        <f t="shared" si="13"/>
        <v>5</v>
      </c>
      <c r="V24" s="62">
        <f t="shared" si="14"/>
        <v>284</v>
      </c>
      <c r="W24" s="400"/>
      <c r="X24" s="588">
        <f t="shared" si="16"/>
        <v>2455</v>
      </c>
      <c r="Y24" s="52">
        <f t="shared" si="17"/>
        <v>0</v>
      </c>
      <c r="Z24" s="588">
        <f t="shared" si="16"/>
        <v>138089</v>
      </c>
      <c r="AA24" s="65">
        <f t="shared" si="5"/>
        <v>0</v>
      </c>
      <c r="AB24" s="284">
        <f t="shared" ref="AB24:AB32" si="97">SUM(Y24*$AB$2)</f>
        <v>0</v>
      </c>
      <c r="AC24" s="588">
        <f t="shared" ref="AC24:AE24" si="98">AC23</f>
        <v>1934</v>
      </c>
      <c r="AD24" s="45">
        <f t="shared" si="6"/>
        <v>0</v>
      </c>
      <c r="AE24" s="588">
        <f t="shared" si="98"/>
        <v>365352</v>
      </c>
      <c r="AF24" s="306">
        <f t="shared" si="19"/>
        <v>0</v>
      </c>
      <c r="AG24" s="209">
        <f t="shared" si="33"/>
        <v>0</v>
      </c>
      <c r="AH24" s="62">
        <f t="shared" si="34"/>
        <v>0</v>
      </c>
      <c r="AI24" s="318">
        <f t="shared" si="20"/>
        <v>284</v>
      </c>
      <c r="AJ24" s="318">
        <f>-tanks!AW25</f>
        <v>284</v>
      </c>
      <c r="AK24" s="318">
        <f t="shared" si="21"/>
        <v>0</v>
      </c>
      <c r="AL24" s="318">
        <f t="shared" si="7"/>
        <v>5</v>
      </c>
      <c r="AM24" s="318">
        <f t="shared" si="22"/>
        <v>0</v>
      </c>
      <c r="AN24" s="588">
        <f t="shared" ref="AN24:AP24" si="99">AN23</f>
        <v>67</v>
      </c>
      <c r="AO24" s="320">
        <f t="shared" si="24"/>
        <v>2010.0000000000002</v>
      </c>
      <c r="AP24" s="588">
        <f t="shared" si="99"/>
        <v>55</v>
      </c>
      <c r="AQ24" s="320">
        <f t="shared" si="25"/>
        <v>1650.0000000000002</v>
      </c>
      <c r="AR24" s="588">
        <f t="shared" ref="AR24" si="100">AR23</f>
        <v>61</v>
      </c>
      <c r="AS24" s="320">
        <f t="shared" si="37"/>
        <v>1830</v>
      </c>
      <c r="AT24" s="320">
        <f t="shared" ref="AT24:AT32" si="101">SUM(AO24+AQ24+AS24)</f>
        <v>5490</v>
      </c>
      <c r="AU24" s="320">
        <f t="shared" si="39"/>
        <v>0</v>
      </c>
      <c r="AV24" s="269"/>
      <c r="AW24" s="269"/>
      <c r="AX24" s="313">
        <f t="shared" si="27"/>
        <v>0.8</v>
      </c>
    </row>
    <row r="25" spans="1:50" ht="13.5" customHeight="1">
      <c r="A25" s="63">
        <f>ELEC!C23</f>
        <v>44248</v>
      </c>
      <c r="B25" s="588">
        <v>209</v>
      </c>
      <c r="C25" s="588">
        <v>215</v>
      </c>
      <c r="D25" s="45">
        <f t="shared" si="86"/>
        <v>4</v>
      </c>
      <c r="E25" s="45">
        <f t="shared" si="8"/>
        <v>33.520000000000003</v>
      </c>
      <c r="F25" s="588">
        <v>1742</v>
      </c>
      <c r="G25" s="52">
        <f t="shared" si="0"/>
        <v>1</v>
      </c>
      <c r="H25" s="588">
        <v>5953</v>
      </c>
      <c r="I25" s="396">
        <f t="shared" si="1"/>
        <v>110</v>
      </c>
      <c r="J25" s="66">
        <f t="shared" si="9"/>
        <v>110</v>
      </c>
      <c r="K25" s="588">
        <v>2239</v>
      </c>
      <c r="L25" s="52">
        <f t="shared" si="10"/>
        <v>2</v>
      </c>
      <c r="M25" s="588">
        <v>164646</v>
      </c>
      <c r="N25" s="396">
        <f t="shared" si="2"/>
        <v>157</v>
      </c>
      <c r="O25" s="64">
        <f t="shared" si="11"/>
        <v>1869</v>
      </c>
      <c r="P25" s="588">
        <f t="shared" si="11"/>
        <v>1992</v>
      </c>
      <c r="Q25" s="588">
        <f t="shared" ref="Q25" si="102">Q24</f>
        <v>168290</v>
      </c>
      <c r="R25" s="395">
        <f t="shared" si="51"/>
        <v>0</v>
      </c>
      <c r="S25" s="52">
        <f t="shared" si="4"/>
        <v>0</v>
      </c>
      <c r="T25" s="67">
        <f t="shared" si="30"/>
        <v>0</v>
      </c>
      <c r="U25" s="402">
        <f t="shared" si="13"/>
        <v>3</v>
      </c>
      <c r="V25" s="62">
        <f t="shared" si="14"/>
        <v>267</v>
      </c>
      <c r="W25" s="400"/>
      <c r="X25" s="588">
        <f t="shared" si="16"/>
        <v>2455</v>
      </c>
      <c r="Y25" s="52">
        <f t="shared" si="17"/>
        <v>0</v>
      </c>
      <c r="Z25" s="588">
        <f t="shared" si="16"/>
        <v>138089</v>
      </c>
      <c r="AA25" s="65">
        <f t="shared" si="5"/>
        <v>0</v>
      </c>
      <c r="AB25" s="284">
        <f t="shared" si="97"/>
        <v>0</v>
      </c>
      <c r="AC25" s="588">
        <f t="shared" ref="AC25:AE25" si="103">AC24</f>
        <v>1934</v>
      </c>
      <c r="AD25" s="45">
        <f t="shared" si="6"/>
        <v>0</v>
      </c>
      <c r="AE25" s="588">
        <f t="shared" si="103"/>
        <v>365352</v>
      </c>
      <c r="AF25" s="306">
        <f t="shared" si="19"/>
        <v>0</v>
      </c>
      <c r="AG25" s="209">
        <f t="shared" si="33"/>
        <v>0</v>
      </c>
      <c r="AH25" s="62">
        <f t="shared" si="34"/>
        <v>0</v>
      </c>
      <c r="AI25" s="318">
        <f t="shared" si="20"/>
        <v>267</v>
      </c>
      <c r="AJ25" s="318">
        <f>-tanks!AW26</f>
        <v>267</v>
      </c>
      <c r="AK25" s="318">
        <f t="shared" si="21"/>
        <v>0</v>
      </c>
      <c r="AL25" s="318">
        <f t="shared" si="7"/>
        <v>3</v>
      </c>
      <c r="AM25" s="318">
        <f t="shared" si="22"/>
        <v>0</v>
      </c>
      <c r="AN25" s="588">
        <f t="shared" ref="AN25:AP25" si="104">AN24</f>
        <v>67</v>
      </c>
      <c r="AO25" s="320">
        <f t="shared" si="24"/>
        <v>2010.0000000000002</v>
      </c>
      <c r="AP25" s="588">
        <f t="shared" si="104"/>
        <v>55</v>
      </c>
      <c r="AQ25" s="320">
        <f t="shared" ref="AQ25:AQ32" si="105">(AP25/100)*3000</f>
        <v>1650.0000000000002</v>
      </c>
      <c r="AR25" s="588">
        <f t="shared" ref="AR25" si="106">AR24</f>
        <v>61</v>
      </c>
      <c r="AS25" s="320">
        <f t="shared" si="37"/>
        <v>1830</v>
      </c>
      <c r="AT25" s="320">
        <f t="shared" si="101"/>
        <v>5490</v>
      </c>
      <c r="AU25" s="320">
        <f t="shared" si="39"/>
        <v>0</v>
      </c>
      <c r="AV25" s="269"/>
      <c r="AW25" s="269"/>
      <c r="AX25" s="313">
        <f t="shared" si="27"/>
        <v>0.8</v>
      </c>
    </row>
    <row r="26" spans="1:50" ht="14.25" customHeight="1">
      <c r="A26" s="63">
        <f>ELEC!C24</f>
        <v>44249</v>
      </c>
      <c r="B26" s="588">
        <v>231</v>
      </c>
      <c r="C26" s="588">
        <v>237</v>
      </c>
      <c r="D26" s="45">
        <f t="shared" si="86"/>
        <v>-22</v>
      </c>
      <c r="E26" s="45">
        <f t="shared" si="8"/>
        <v>-184.36</v>
      </c>
      <c r="F26" s="588">
        <f t="shared" si="29"/>
        <v>1742</v>
      </c>
      <c r="G26" s="52">
        <f t="shared" si="0"/>
        <v>0</v>
      </c>
      <c r="H26" s="588">
        <f t="shared" si="29"/>
        <v>5953</v>
      </c>
      <c r="I26" s="396">
        <f t="shared" si="1"/>
        <v>0</v>
      </c>
      <c r="J26" s="66">
        <f t="shared" si="9"/>
        <v>0</v>
      </c>
      <c r="K26" s="588">
        <v>2240</v>
      </c>
      <c r="L26" s="52">
        <f t="shared" si="10"/>
        <v>1</v>
      </c>
      <c r="M26" s="588">
        <v>164745</v>
      </c>
      <c r="N26" s="396">
        <f t="shared" si="2"/>
        <v>99</v>
      </c>
      <c r="O26" s="64">
        <f t="shared" si="11"/>
        <v>1869</v>
      </c>
      <c r="P26" s="588">
        <v>1995</v>
      </c>
      <c r="Q26" s="588">
        <v>168553</v>
      </c>
      <c r="R26" s="395">
        <f t="shared" si="51"/>
        <v>263</v>
      </c>
      <c r="S26" s="52">
        <f t="shared" si="4"/>
        <v>3</v>
      </c>
      <c r="T26" s="67">
        <f t="shared" si="30"/>
        <v>0</v>
      </c>
      <c r="U26" s="402">
        <f t="shared" si="13"/>
        <v>4</v>
      </c>
      <c r="V26" s="62">
        <f t="shared" si="14"/>
        <v>362</v>
      </c>
      <c r="W26" s="400"/>
      <c r="X26" s="588">
        <f t="shared" si="16"/>
        <v>2455</v>
      </c>
      <c r="Y26" s="52">
        <f t="shared" si="17"/>
        <v>0</v>
      </c>
      <c r="Z26" s="588">
        <f t="shared" si="16"/>
        <v>138089</v>
      </c>
      <c r="AA26" s="65">
        <f t="shared" si="5"/>
        <v>0</v>
      </c>
      <c r="AB26" s="284">
        <f t="shared" si="97"/>
        <v>0</v>
      </c>
      <c r="AC26" s="588">
        <f t="shared" ref="AC26:AE26" si="107">AC25</f>
        <v>1934</v>
      </c>
      <c r="AD26" s="45">
        <f t="shared" si="6"/>
        <v>0</v>
      </c>
      <c r="AE26" s="588">
        <f t="shared" si="107"/>
        <v>365352</v>
      </c>
      <c r="AF26" s="306">
        <f t="shared" si="19"/>
        <v>0</v>
      </c>
      <c r="AG26" s="209">
        <f t="shared" si="33"/>
        <v>0</v>
      </c>
      <c r="AH26" s="62">
        <f t="shared" si="34"/>
        <v>0</v>
      </c>
      <c r="AI26" s="318">
        <f t="shared" si="20"/>
        <v>362</v>
      </c>
      <c r="AJ26" s="318">
        <f>-tanks!AW27</f>
        <v>362</v>
      </c>
      <c r="AK26" s="318">
        <f t="shared" si="21"/>
        <v>0</v>
      </c>
      <c r="AL26" s="318">
        <f t="shared" si="7"/>
        <v>4</v>
      </c>
      <c r="AM26" s="318">
        <f t="shared" si="22"/>
        <v>0</v>
      </c>
      <c r="AN26" s="588">
        <f t="shared" ref="AN26:AP26" si="108">AN25</f>
        <v>67</v>
      </c>
      <c r="AO26" s="320">
        <f t="shared" si="24"/>
        <v>2010.0000000000002</v>
      </c>
      <c r="AP26" s="588">
        <f t="shared" si="108"/>
        <v>55</v>
      </c>
      <c r="AQ26" s="320">
        <f t="shared" si="105"/>
        <v>1650.0000000000002</v>
      </c>
      <c r="AR26" s="588">
        <f t="shared" ref="AR26" si="109">AR25</f>
        <v>61</v>
      </c>
      <c r="AS26" s="320">
        <f t="shared" si="37"/>
        <v>1830</v>
      </c>
      <c r="AT26" s="320">
        <f t="shared" si="101"/>
        <v>5490</v>
      </c>
      <c r="AU26" s="320">
        <f t="shared" si="39"/>
        <v>0</v>
      </c>
      <c r="AV26" s="269"/>
      <c r="AW26" s="269"/>
      <c r="AX26" s="313">
        <f t="shared" si="27"/>
        <v>0.8</v>
      </c>
    </row>
    <row r="27" spans="1:50">
      <c r="A27" s="63">
        <f>ELEC!C25</f>
        <v>44250</v>
      </c>
      <c r="B27" s="588">
        <v>224</v>
      </c>
      <c r="C27" s="588">
        <v>231</v>
      </c>
      <c r="D27" s="45">
        <f t="shared" si="86"/>
        <v>6</v>
      </c>
      <c r="E27" s="45">
        <f t="shared" si="8"/>
        <v>50.28</v>
      </c>
      <c r="F27" s="588">
        <v>1745</v>
      </c>
      <c r="G27" s="52">
        <f t="shared" si="0"/>
        <v>3</v>
      </c>
      <c r="H27" s="588">
        <v>6160</v>
      </c>
      <c r="I27" s="396">
        <f t="shared" si="1"/>
        <v>207</v>
      </c>
      <c r="J27" s="66">
        <f t="shared" si="9"/>
        <v>69</v>
      </c>
      <c r="K27" s="588">
        <f t="shared" si="40"/>
        <v>2240</v>
      </c>
      <c r="L27" s="52">
        <f t="shared" si="10"/>
        <v>0</v>
      </c>
      <c r="M27" s="588">
        <f t="shared" si="40"/>
        <v>164745</v>
      </c>
      <c r="N27" s="396">
        <f t="shared" si="2"/>
        <v>0</v>
      </c>
      <c r="O27" s="64">
        <f t="shared" si="11"/>
        <v>1869</v>
      </c>
      <c r="P27" s="588">
        <v>1996</v>
      </c>
      <c r="Q27" s="588">
        <v>168615</v>
      </c>
      <c r="R27" s="395">
        <f t="shared" si="51"/>
        <v>62</v>
      </c>
      <c r="S27" s="52">
        <f t="shared" si="4"/>
        <v>1</v>
      </c>
      <c r="T27" s="67">
        <f t="shared" si="30"/>
        <v>0</v>
      </c>
      <c r="U27" s="402">
        <f t="shared" si="13"/>
        <v>4</v>
      </c>
      <c r="V27" s="62">
        <f t="shared" si="14"/>
        <v>269</v>
      </c>
      <c r="W27" s="400"/>
      <c r="X27" s="588">
        <v>2456</v>
      </c>
      <c r="Y27" s="52">
        <f t="shared" si="17"/>
        <v>1</v>
      </c>
      <c r="Z27" s="588">
        <v>138138.79999999999</v>
      </c>
      <c r="AA27" s="65">
        <f t="shared" si="5"/>
        <v>49.799999999988358</v>
      </c>
      <c r="AB27" s="284">
        <f t="shared" si="97"/>
        <v>0</v>
      </c>
      <c r="AC27" s="588">
        <f t="shared" ref="AC27:AE27" si="110">AC26</f>
        <v>1934</v>
      </c>
      <c r="AD27" s="45">
        <f t="shared" si="6"/>
        <v>0</v>
      </c>
      <c r="AE27" s="588">
        <f t="shared" si="110"/>
        <v>365352</v>
      </c>
      <c r="AF27" s="306">
        <f t="shared" si="19"/>
        <v>0</v>
      </c>
      <c r="AG27" s="209">
        <f t="shared" si="33"/>
        <v>0</v>
      </c>
      <c r="AH27" s="62">
        <f t="shared" si="34"/>
        <v>49.799999999988358</v>
      </c>
      <c r="AI27" s="318">
        <f t="shared" si="20"/>
        <v>318.79999999998836</v>
      </c>
      <c r="AJ27" s="318">
        <f>-tanks!AW28</f>
        <v>318.79999999998836</v>
      </c>
      <c r="AK27" s="318">
        <f t="shared" si="21"/>
        <v>0</v>
      </c>
      <c r="AL27" s="318">
        <f t="shared" si="7"/>
        <v>4</v>
      </c>
      <c r="AM27" s="318">
        <f t="shared" si="22"/>
        <v>1</v>
      </c>
      <c r="AN27" s="588">
        <f t="shared" ref="AN27:AP27" si="111">AN26</f>
        <v>67</v>
      </c>
      <c r="AO27" s="320">
        <f>(AN27/100)*3000</f>
        <v>2010.0000000000002</v>
      </c>
      <c r="AP27" s="588">
        <f t="shared" si="111"/>
        <v>55</v>
      </c>
      <c r="AQ27" s="320">
        <f t="shared" si="105"/>
        <v>1650.0000000000002</v>
      </c>
      <c r="AR27" s="588">
        <f t="shared" ref="AR27" si="112">AR26</f>
        <v>61</v>
      </c>
      <c r="AS27" s="320">
        <f t="shared" si="37"/>
        <v>1830</v>
      </c>
      <c r="AT27" s="320">
        <f t="shared" si="101"/>
        <v>5490</v>
      </c>
      <c r="AU27" s="320">
        <f t="shared" si="39"/>
        <v>0</v>
      </c>
      <c r="AV27" s="269"/>
      <c r="AW27" s="502"/>
      <c r="AX27" s="313">
        <f t="shared" si="27"/>
        <v>0.8</v>
      </c>
    </row>
    <row r="28" spans="1:50">
      <c r="A28" s="63">
        <f>ELEC!C26</f>
        <v>44251</v>
      </c>
      <c r="B28" s="588">
        <v>216</v>
      </c>
      <c r="C28" s="588">
        <v>228</v>
      </c>
      <c r="D28" s="45">
        <f t="shared" si="86"/>
        <v>3</v>
      </c>
      <c r="E28" s="45">
        <f t="shared" si="8"/>
        <v>25.14</v>
      </c>
      <c r="F28" s="588">
        <v>1746</v>
      </c>
      <c r="G28" s="52">
        <f t="shared" si="0"/>
        <v>1</v>
      </c>
      <c r="H28" s="588">
        <v>6237</v>
      </c>
      <c r="I28" s="396">
        <f t="shared" si="1"/>
        <v>77</v>
      </c>
      <c r="J28" s="66">
        <f t="shared" si="9"/>
        <v>77</v>
      </c>
      <c r="K28" s="588">
        <v>2243</v>
      </c>
      <c r="L28" s="52">
        <f t="shared" si="10"/>
        <v>3</v>
      </c>
      <c r="M28" s="588">
        <v>164958</v>
      </c>
      <c r="N28" s="396">
        <f t="shared" si="2"/>
        <v>213</v>
      </c>
      <c r="O28" s="64">
        <f t="shared" si="11"/>
        <v>1869</v>
      </c>
      <c r="P28" s="588">
        <f t="shared" si="11"/>
        <v>1996</v>
      </c>
      <c r="Q28" s="588">
        <f t="shared" ref="Q28" si="113">Q27</f>
        <v>168615</v>
      </c>
      <c r="R28" s="395">
        <f t="shared" si="51"/>
        <v>0</v>
      </c>
      <c r="S28" s="52">
        <f t="shared" si="4"/>
        <v>0</v>
      </c>
      <c r="T28" s="67">
        <f t="shared" si="30"/>
        <v>0</v>
      </c>
      <c r="U28" s="402">
        <f t="shared" si="13"/>
        <v>4</v>
      </c>
      <c r="V28" s="62">
        <f t="shared" si="14"/>
        <v>290</v>
      </c>
      <c r="W28" s="400"/>
      <c r="X28" s="588">
        <f t="shared" si="16"/>
        <v>2456</v>
      </c>
      <c r="Y28" s="52">
        <f t="shared" si="17"/>
        <v>0</v>
      </c>
      <c r="Z28" s="588">
        <f t="shared" si="16"/>
        <v>138138.79999999999</v>
      </c>
      <c r="AA28" s="65">
        <f t="shared" si="5"/>
        <v>0</v>
      </c>
      <c r="AB28" s="284">
        <f t="shared" si="97"/>
        <v>0</v>
      </c>
      <c r="AC28" s="588">
        <v>1935</v>
      </c>
      <c r="AD28" s="45">
        <f t="shared" si="6"/>
        <v>1</v>
      </c>
      <c r="AE28" s="588">
        <v>365429</v>
      </c>
      <c r="AF28" s="306">
        <f t="shared" si="19"/>
        <v>77</v>
      </c>
      <c r="AG28" s="209">
        <f t="shared" si="33"/>
        <v>77</v>
      </c>
      <c r="AH28" s="62">
        <f t="shared" si="34"/>
        <v>77</v>
      </c>
      <c r="AI28" s="318">
        <f t="shared" si="20"/>
        <v>367</v>
      </c>
      <c r="AJ28" s="318">
        <f>-tanks!AW29</f>
        <v>367</v>
      </c>
      <c r="AK28" s="318">
        <f t="shared" si="21"/>
        <v>0</v>
      </c>
      <c r="AL28" s="318">
        <f t="shared" si="7"/>
        <v>4</v>
      </c>
      <c r="AM28" s="318">
        <f t="shared" si="22"/>
        <v>1</v>
      </c>
      <c r="AN28" s="588">
        <f t="shared" ref="AN28:AP28" si="114">AN27</f>
        <v>67</v>
      </c>
      <c r="AO28" s="320">
        <f t="shared" ref="AO28:AO32" si="115">(AN28/100)*3000</f>
        <v>2010.0000000000002</v>
      </c>
      <c r="AP28" s="588">
        <f t="shared" si="114"/>
        <v>55</v>
      </c>
      <c r="AQ28" s="320">
        <f t="shared" si="105"/>
        <v>1650.0000000000002</v>
      </c>
      <c r="AR28" s="588">
        <f t="shared" ref="AR28" si="116">AR27</f>
        <v>61</v>
      </c>
      <c r="AS28" s="320">
        <f t="shared" si="37"/>
        <v>1830</v>
      </c>
      <c r="AT28" s="320">
        <f t="shared" si="101"/>
        <v>5490</v>
      </c>
      <c r="AU28" s="320">
        <f t="shared" si="39"/>
        <v>0</v>
      </c>
      <c r="AV28" s="269"/>
      <c r="AW28" s="269"/>
      <c r="AX28" s="313">
        <f t="shared" si="27"/>
        <v>0.8</v>
      </c>
    </row>
    <row r="29" spans="1:50">
      <c r="A29" s="63">
        <f>ELEC!C27</f>
        <v>44252</v>
      </c>
      <c r="B29" s="588">
        <v>209</v>
      </c>
      <c r="C29" s="588">
        <v>215</v>
      </c>
      <c r="D29" s="45">
        <f t="shared" si="86"/>
        <v>13</v>
      </c>
      <c r="E29" s="45">
        <f t="shared" si="8"/>
        <v>108.94000000000001</v>
      </c>
      <c r="F29" s="588">
        <f t="shared" si="29"/>
        <v>1746</v>
      </c>
      <c r="G29" s="52">
        <f t="shared" si="0"/>
        <v>0</v>
      </c>
      <c r="H29" s="588">
        <f t="shared" si="29"/>
        <v>6237</v>
      </c>
      <c r="I29" s="396">
        <f t="shared" si="1"/>
        <v>0</v>
      </c>
      <c r="J29" s="66">
        <f t="shared" si="9"/>
        <v>0</v>
      </c>
      <c r="K29" s="588">
        <f t="shared" si="40"/>
        <v>2243</v>
      </c>
      <c r="L29" s="52">
        <f t="shared" si="10"/>
        <v>0</v>
      </c>
      <c r="M29" s="588">
        <f t="shared" si="40"/>
        <v>164958</v>
      </c>
      <c r="N29" s="396">
        <f t="shared" si="2"/>
        <v>0</v>
      </c>
      <c r="O29" s="64">
        <f t="shared" si="11"/>
        <v>1869</v>
      </c>
      <c r="P29" s="588">
        <v>1998</v>
      </c>
      <c r="Q29" s="588">
        <v>168776</v>
      </c>
      <c r="R29" s="395">
        <f t="shared" si="51"/>
        <v>161</v>
      </c>
      <c r="S29" s="52">
        <f t="shared" si="4"/>
        <v>2</v>
      </c>
      <c r="T29" s="67">
        <f t="shared" si="30"/>
        <v>0</v>
      </c>
      <c r="U29" s="402">
        <f t="shared" si="13"/>
        <v>2</v>
      </c>
      <c r="V29" s="62">
        <f t="shared" si="14"/>
        <v>161</v>
      </c>
      <c r="W29" s="400"/>
      <c r="X29" s="588">
        <f t="shared" si="16"/>
        <v>2456</v>
      </c>
      <c r="Y29" s="52">
        <f t="shared" si="17"/>
        <v>0</v>
      </c>
      <c r="Z29" s="588">
        <f t="shared" si="16"/>
        <v>138138.79999999999</v>
      </c>
      <c r="AA29" s="65">
        <f t="shared" si="5"/>
        <v>0</v>
      </c>
      <c r="AB29" s="284">
        <f t="shared" si="97"/>
        <v>0</v>
      </c>
      <c r="AC29" s="588">
        <f t="shared" ref="AC29:AE29" si="117">AC28</f>
        <v>1935</v>
      </c>
      <c r="AD29" s="45">
        <f t="shared" si="6"/>
        <v>0</v>
      </c>
      <c r="AE29" s="588">
        <f t="shared" si="117"/>
        <v>365429</v>
      </c>
      <c r="AF29" s="306">
        <f t="shared" si="19"/>
        <v>0</v>
      </c>
      <c r="AG29" s="209">
        <f t="shared" si="33"/>
        <v>0</v>
      </c>
      <c r="AH29" s="62">
        <f t="shared" si="34"/>
        <v>0</v>
      </c>
      <c r="AI29" s="318">
        <f t="shared" si="20"/>
        <v>161</v>
      </c>
      <c r="AJ29" s="318">
        <f>-tanks!AW30</f>
        <v>161</v>
      </c>
      <c r="AK29" s="318">
        <f t="shared" si="21"/>
        <v>0</v>
      </c>
      <c r="AL29" s="318">
        <f t="shared" si="7"/>
        <v>2</v>
      </c>
      <c r="AM29" s="318">
        <f t="shared" si="22"/>
        <v>0</v>
      </c>
      <c r="AN29" s="588">
        <f t="shared" ref="AN29:AP29" si="118">AN28</f>
        <v>67</v>
      </c>
      <c r="AO29" s="320">
        <f t="shared" si="115"/>
        <v>2010.0000000000002</v>
      </c>
      <c r="AP29" s="588">
        <f t="shared" si="118"/>
        <v>55</v>
      </c>
      <c r="AQ29" s="320">
        <f t="shared" si="105"/>
        <v>1650.0000000000002</v>
      </c>
      <c r="AR29" s="588">
        <f t="shared" ref="AR29" si="119">AR28</f>
        <v>61</v>
      </c>
      <c r="AS29" s="320">
        <f t="shared" si="37"/>
        <v>1830</v>
      </c>
      <c r="AT29" s="320">
        <f>SUM(AO29+AQ29+AS29)</f>
        <v>5490</v>
      </c>
      <c r="AU29" s="320">
        <f>AT28-AT29+AV29</f>
        <v>0</v>
      </c>
      <c r="AV29" s="269"/>
      <c r="AW29" s="269"/>
      <c r="AX29" s="313">
        <f t="shared" si="27"/>
        <v>0.8</v>
      </c>
    </row>
    <row r="30" spans="1:50">
      <c r="A30" s="63">
        <f>ELEC!C28</f>
        <v>44253</v>
      </c>
      <c r="B30" s="588">
        <v>232</v>
      </c>
      <c r="C30" s="588">
        <v>239</v>
      </c>
      <c r="D30" s="45">
        <f t="shared" si="86"/>
        <v>-24</v>
      </c>
      <c r="E30" s="45">
        <f t="shared" si="8"/>
        <v>-201.12</v>
      </c>
      <c r="F30" s="588">
        <v>1749</v>
      </c>
      <c r="G30" s="52">
        <f t="shared" si="0"/>
        <v>3</v>
      </c>
      <c r="H30" s="588">
        <v>6462</v>
      </c>
      <c r="I30" s="396">
        <f t="shared" si="1"/>
        <v>225</v>
      </c>
      <c r="J30" s="66">
        <f t="shared" si="9"/>
        <v>75</v>
      </c>
      <c r="K30" s="588">
        <f t="shared" si="40"/>
        <v>2243</v>
      </c>
      <c r="L30" s="52">
        <f t="shared" si="10"/>
        <v>0</v>
      </c>
      <c r="M30" s="588">
        <f t="shared" si="40"/>
        <v>164958</v>
      </c>
      <c r="N30" s="396">
        <f t="shared" si="2"/>
        <v>0</v>
      </c>
      <c r="O30" s="64">
        <f t="shared" si="11"/>
        <v>1869</v>
      </c>
      <c r="P30" s="588">
        <v>1999</v>
      </c>
      <c r="Q30" s="588">
        <v>168850</v>
      </c>
      <c r="R30" s="395">
        <f t="shared" si="51"/>
        <v>74</v>
      </c>
      <c r="S30" s="52">
        <f t="shared" si="4"/>
        <v>1</v>
      </c>
      <c r="T30" s="67">
        <f t="shared" si="30"/>
        <v>0</v>
      </c>
      <c r="U30" s="402">
        <f t="shared" si="13"/>
        <v>4</v>
      </c>
      <c r="V30" s="62">
        <f t="shared" si="14"/>
        <v>299</v>
      </c>
      <c r="W30" s="400"/>
      <c r="X30" s="588">
        <f t="shared" si="16"/>
        <v>2456</v>
      </c>
      <c r="Y30" s="52">
        <f t="shared" si="17"/>
        <v>0</v>
      </c>
      <c r="Z30" s="588">
        <f t="shared" si="16"/>
        <v>138138.79999999999</v>
      </c>
      <c r="AA30" s="65">
        <f t="shared" si="5"/>
        <v>0</v>
      </c>
      <c r="AB30" s="284">
        <f t="shared" si="97"/>
        <v>0</v>
      </c>
      <c r="AC30" s="588">
        <f t="shared" ref="AC30:AE30" si="120">AC29</f>
        <v>1935</v>
      </c>
      <c r="AD30" s="45">
        <f t="shared" si="6"/>
        <v>0</v>
      </c>
      <c r="AE30" s="588">
        <f t="shared" si="120"/>
        <v>365429</v>
      </c>
      <c r="AF30" s="306">
        <f t="shared" si="19"/>
        <v>0</v>
      </c>
      <c r="AG30" s="209">
        <f t="shared" si="33"/>
        <v>0</v>
      </c>
      <c r="AH30" s="62">
        <f t="shared" si="34"/>
        <v>0</v>
      </c>
      <c r="AI30" s="318">
        <f t="shared" si="20"/>
        <v>299</v>
      </c>
      <c r="AJ30" s="318">
        <f>-tanks!AW31</f>
        <v>299</v>
      </c>
      <c r="AK30" s="318">
        <f t="shared" si="21"/>
        <v>0</v>
      </c>
      <c r="AL30" s="318">
        <f t="shared" si="7"/>
        <v>4</v>
      </c>
      <c r="AM30" s="318">
        <f t="shared" si="22"/>
        <v>0</v>
      </c>
      <c r="AN30" s="588">
        <f t="shared" ref="AN30:AP30" si="121">AN29</f>
        <v>67</v>
      </c>
      <c r="AO30" s="320">
        <f t="shared" si="115"/>
        <v>2010.0000000000002</v>
      </c>
      <c r="AP30" s="588">
        <f t="shared" si="121"/>
        <v>55</v>
      </c>
      <c r="AQ30" s="320">
        <f t="shared" si="105"/>
        <v>1650.0000000000002</v>
      </c>
      <c r="AR30" s="588">
        <f t="shared" ref="AR30" si="122">AR29</f>
        <v>61</v>
      </c>
      <c r="AS30" s="320">
        <f t="shared" si="37"/>
        <v>1830</v>
      </c>
      <c r="AT30" s="320">
        <f t="shared" si="101"/>
        <v>5490</v>
      </c>
      <c r="AU30" s="320">
        <f t="shared" si="39"/>
        <v>0</v>
      </c>
      <c r="AV30" s="269"/>
      <c r="AW30" s="269"/>
      <c r="AX30" s="313">
        <f t="shared" si="27"/>
        <v>0.8</v>
      </c>
    </row>
    <row r="31" spans="1:50">
      <c r="A31" s="63">
        <f>ELEC!C29</f>
        <v>44254</v>
      </c>
      <c r="B31" s="588">
        <v>224</v>
      </c>
      <c r="C31" s="588">
        <v>231</v>
      </c>
      <c r="D31" s="45">
        <f t="shared" si="86"/>
        <v>8</v>
      </c>
      <c r="E31" s="45">
        <f t="shared" si="8"/>
        <v>67.040000000000006</v>
      </c>
      <c r="F31" s="588">
        <f t="shared" si="29"/>
        <v>1749</v>
      </c>
      <c r="G31" s="52">
        <f t="shared" si="0"/>
        <v>0</v>
      </c>
      <c r="H31" s="588">
        <f t="shared" si="29"/>
        <v>6462</v>
      </c>
      <c r="I31" s="396">
        <f t="shared" si="1"/>
        <v>0</v>
      </c>
      <c r="J31" s="66">
        <f t="shared" si="9"/>
        <v>0</v>
      </c>
      <c r="K31" s="588">
        <v>2245</v>
      </c>
      <c r="L31" s="52">
        <f t="shared" si="10"/>
        <v>2</v>
      </c>
      <c r="M31" s="588">
        <v>165153</v>
      </c>
      <c r="N31" s="396">
        <f t="shared" si="2"/>
        <v>195</v>
      </c>
      <c r="O31" s="64">
        <f t="shared" si="11"/>
        <v>1869</v>
      </c>
      <c r="P31" s="588">
        <f t="shared" si="11"/>
        <v>1999</v>
      </c>
      <c r="Q31" s="588">
        <f t="shared" ref="Q31" si="123">Q30</f>
        <v>168850</v>
      </c>
      <c r="R31" s="395">
        <f t="shared" si="51"/>
        <v>0</v>
      </c>
      <c r="S31" s="52">
        <f t="shared" si="4"/>
        <v>0</v>
      </c>
      <c r="T31" s="67">
        <f t="shared" si="30"/>
        <v>0</v>
      </c>
      <c r="U31" s="402">
        <f t="shared" si="13"/>
        <v>2</v>
      </c>
      <c r="V31" s="62">
        <f t="shared" si="14"/>
        <v>195</v>
      </c>
      <c r="W31" s="400"/>
      <c r="X31" s="588">
        <f t="shared" si="16"/>
        <v>2456</v>
      </c>
      <c r="Y31" s="52">
        <f t="shared" si="17"/>
        <v>0</v>
      </c>
      <c r="Z31" s="588">
        <f t="shared" si="16"/>
        <v>138138.79999999999</v>
      </c>
      <c r="AA31" s="65">
        <f t="shared" si="5"/>
        <v>0</v>
      </c>
      <c r="AB31" s="284">
        <f t="shared" si="97"/>
        <v>0</v>
      </c>
      <c r="AC31" s="588">
        <f t="shared" ref="AC31:AE31" si="124">AC30</f>
        <v>1935</v>
      </c>
      <c r="AD31" s="269">
        <f t="shared" si="6"/>
        <v>0</v>
      </c>
      <c r="AE31" s="588">
        <f t="shared" si="124"/>
        <v>365429</v>
      </c>
      <c r="AF31" s="306">
        <f t="shared" si="19"/>
        <v>0</v>
      </c>
      <c r="AG31" s="209">
        <f t="shared" si="33"/>
        <v>0</v>
      </c>
      <c r="AH31" s="62">
        <f t="shared" si="34"/>
        <v>0</v>
      </c>
      <c r="AI31" s="318">
        <f t="shared" si="20"/>
        <v>195</v>
      </c>
      <c r="AJ31" s="318">
        <f>-tanks!AW32</f>
        <v>195</v>
      </c>
      <c r="AK31" s="318">
        <f t="shared" si="21"/>
        <v>0</v>
      </c>
      <c r="AL31" s="318">
        <f t="shared" si="7"/>
        <v>2</v>
      </c>
      <c r="AM31" s="318">
        <f t="shared" si="22"/>
        <v>0</v>
      </c>
      <c r="AN31" s="588">
        <f t="shared" ref="AN31:AP31" si="125">AN30</f>
        <v>67</v>
      </c>
      <c r="AO31" s="320">
        <f t="shared" si="115"/>
        <v>2010.0000000000002</v>
      </c>
      <c r="AP31" s="588">
        <f t="shared" si="125"/>
        <v>55</v>
      </c>
      <c r="AQ31" s="320">
        <f t="shared" si="105"/>
        <v>1650.0000000000002</v>
      </c>
      <c r="AR31" s="588">
        <f t="shared" ref="AR31" si="126">AR30</f>
        <v>61</v>
      </c>
      <c r="AS31" s="320">
        <f t="shared" si="37"/>
        <v>1830</v>
      </c>
      <c r="AT31" s="320">
        <f t="shared" si="101"/>
        <v>5490</v>
      </c>
      <c r="AU31" s="320">
        <f t="shared" si="39"/>
        <v>0</v>
      </c>
      <c r="AV31" s="269"/>
      <c r="AW31" s="269"/>
      <c r="AX31" s="313">
        <f t="shared" si="27"/>
        <v>0.8</v>
      </c>
    </row>
    <row r="32" spans="1:50">
      <c r="A32" s="63">
        <f>ELEC!C30</f>
        <v>44255</v>
      </c>
      <c r="B32" s="588">
        <v>218</v>
      </c>
      <c r="C32" s="588">
        <v>225</v>
      </c>
      <c r="D32" s="45">
        <f t="shared" si="28"/>
        <v>6</v>
      </c>
      <c r="E32" s="45">
        <f t="shared" ref="E32" si="127">D32*8.38</f>
        <v>50.28</v>
      </c>
      <c r="F32" s="588">
        <v>1749</v>
      </c>
      <c r="G32" s="52">
        <f t="shared" si="0"/>
        <v>0</v>
      </c>
      <c r="H32" s="588">
        <v>6488</v>
      </c>
      <c r="I32" s="396">
        <f t="shared" si="1"/>
        <v>26</v>
      </c>
      <c r="J32" s="66">
        <f t="shared" si="9"/>
        <v>0</v>
      </c>
      <c r="K32" s="588">
        <v>2246</v>
      </c>
      <c r="L32" s="52">
        <f t="shared" si="10"/>
        <v>1</v>
      </c>
      <c r="M32" s="588">
        <v>165218</v>
      </c>
      <c r="N32" s="396">
        <f t="shared" si="2"/>
        <v>65</v>
      </c>
      <c r="O32" s="64">
        <f t="shared" si="11"/>
        <v>1869</v>
      </c>
      <c r="P32" s="588">
        <v>2001</v>
      </c>
      <c r="Q32" s="588">
        <v>168983</v>
      </c>
      <c r="R32" s="395">
        <f t="shared" si="51"/>
        <v>133</v>
      </c>
      <c r="S32" s="52">
        <f t="shared" si="4"/>
        <v>2</v>
      </c>
      <c r="T32" s="67">
        <f t="shared" si="30"/>
        <v>0</v>
      </c>
      <c r="U32" s="402">
        <f t="shared" si="13"/>
        <v>3</v>
      </c>
      <c r="V32" s="62">
        <f t="shared" si="14"/>
        <v>224</v>
      </c>
      <c r="W32" s="400"/>
      <c r="X32" s="588">
        <f t="shared" si="16"/>
        <v>2456</v>
      </c>
      <c r="Y32" s="52">
        <f t="shared" si="17"/>
        <v>0</v>
      </c>
      <c r="Z32" s="588">
        <f t="shared" si="16"/>
        <v>138138.79999999999</v>
      </c>
      <c r="AA32" s="65">
        <f t="shared" si="5"/>
        <v>0</v>
      </c>
      <c r="AB32" s="284">
        <f t="shared" si="97"/>
        <v>0</v>
      </c>
      <c r="AC32" s="588">
        <f t="shared" ref="AC32" si="128">AC31</f>
        <v>1935</v>
      </c>
      <c r="AD32" s="269">
        <f t="shared" si="6"/>
        <v>0</v>
      </c>
      <c r="AE32" s="588">
        <v>365429</v>
      </c>
      <c r="AF32" s="306">
        <f t="shared" si="19"/>
        <v>0</v>
      </c>
      <c r="AG32" s="209">
        <f t="shared" si="33"/>
        <v>0</v>
      </c>
      <c r="AH32" s="62">
        <f t="shared" si="34"/>
        <v>0</v>
      </c>
      <c r="AI32" s="318">
        <f t="shared" si="20"/>
        <v>224</v>
      </c>
      <c r="AJ32" s="318">
        <f>-tanks!AW33</f>
        <v>224</v>
      </c>
      <c r="AK32" s="318">
        <f t="shared" si="21"/>
        <v>0</v>
      </c>
      <c r="AL32" s="318">
        <f t="shared" si="7"/>
        <v>3</v>
      </c>
      <c r="AM32" s="318">
        <f t="shared" si="22"/>
        <v>0</v>
      </c>
      <c r="AN32" s="588">
        <f t="shared" ref="AN32:AP32" si="129">AN31</f>
        <v>67</v>
      </c>
      <c r="AO32" s="320">
        <f t="shared" si="115"/>
        <v>2010.0000000000002</v>
      </c>
      <c r="AP32" s="588">
        <f t="shared" si="129"/>
        <v>55</v>
      </c>
      <c r="AQ32" s="320">
        <f t="shared" si="105"/>
        <v>1650.0000000000002</v>
      </c>
      <c r="AR32" s="588">
        <f t="shared" ref="AR32" si="130">AR31</f>
        <v>61</v>
      </c>
      <c r="AS32" s="320">
        <f t="shared" si="37"/>
        <v>1830</v>
      </c>
      <c r="AT32" s="320">
        <f t="shared" si="101"/>
        <v>5490</v>
      </c>
      <c r="AU32" s="320">
        <f t="shared" si="39"/>
        <v>0</v>
      </c>
      <c r="AV32" s="269"/>
      <c r="AW32" s="269"/>
      <c r="AX32" s="313">
        <f t="shared" si="27"/>
        <v>0.8</v>
      </c>
    </row>
    <row r="33" spans="10:49">
      <c r="J33" s="283">
        <f>SUM(J5:J32)/(COUNT(J5:J32)-COUNTIF(J5:J32,0))</f>
        <v>71.32352941176471</v>
      </c>
      <c r="V33" s="62">
        <f>SUM(V5:V32)</f>
        <v>7595</v>
      </c>
      <c r="AE33" s="71" t="s">
        <v>383</v>
      </c>
      <c r="AG33" s="344"/>
      <c r="AH33" s="62">
        <f>SUM(AH5:AH32)</f>
        <v>419.69999999998254</v>
      </c>
      <c r="AL33" s="62">
        <f>SUM(AL5:AL32)</f>
        <v>101</v>
      </c>
      <c r="AM33" s="62">
        <f>SUM(AM5:AM32)</f>
        <v>5</v>
      </c>
      <c r="AP33" s="313"/>
      <c r="AQ33" s="313"/>
      <c r="AR33" s="313" t="s">
        <v>224</v>
      </c>
      <c r="AS33" s="313">
        <f>COUNT(AW5:AW32)</f>
        <v>0</v>
      </c>
      <c r="AT33" s="313"/>
      <c r="AU33" s="313">
        <f>SUM(AU5:AU32)</f>
        <v>0</v>
      </c>
      <c r="AV33" s="71">
        <f>SUM(AV5:AV32)</f>
        <v>0</v>
      </c>
      <c r="AW33" s="313" t="e">
        <f>SUM(AW5:AW32)/AS33</f>
        <v>#DIV/0!</v>
      </c>
    </row>
    <row r="34" spans="10:49">
      <c r="AH34" s="62">
        <f>AF34+AA34</f>
        <v>0</v>
      </c>
      <c r="AI34" s="321">
        <f>SUM(AI5:AI32)</f>
        <v>8014.6999999999825</v>
      </c>
      <c r="AP34" s="313"/>
      <c r="AQ34" s="313"/>
      <c r="AR34" s="313"/>
      <c r="AS34" s="313"/>
      <c r="AT34" s="313"/>
      <c r="AU34" s="313"/>
      <c r="AV34" s="313"/>
      <c r="AW34" s="313"/>
    </row>
    <row r="35" spans="10:49">
      <c r="AH35" s="62">
        <f>AF35+AA35</f>
        <v>0</v>
      </c>
      <c r="AP35" s="313"/>
      <c r="AQ35" s="313"/>
      <c r="AR35" s="313"/>
      <c r="AS35" s="313"/>
      <c r="AT35" s="313"/>
      <c r="AU35" s="313">
        <f>AU33*0.51</f>
        <v>0</v>
      </c>
      <c r="AV35" s="313">
        <f>AV33/0.51</f>
        <v>0</v>
      </c>
      <c r="AW35" s="313" t="e">
        <f>SUM(AW5:AW32)/AS33</f>
        <v>#DIV/0!</v>
      </c>
    </row>
    <row r="36" spans="10:49">
      <c r="AP36" s="313"/>
      <c r="AQ36" s="313"/>
      <c r="AR36" s="313"/>
      <c r="AS36" s="313"/>
      <c r="AT36" s="313"/>
      <c r="AU36" s="313"/>
      <c r="AV36" s="313">
        <f>AV33*0.51</f>
        <v>0</v>
      </c>
      <c r="AW36" s="313"/>
    </row>
    <row r="37" spans="10:49">
      <c r="AP37" s="313"/>
      <c r="AQ37" s="313"/>
      <c r="AR37" s="313"/>
      <c r="AS37" s="313"/>
      <c r="AT37" s="313"/>
      <c r="AU37" s="313"/>
      <c r="AV37" s="313"/>
      <c r="AW37" s="313"/>
    </row>
    <row r="38" spans="10:49">
      <c r="P38" s="69"/>
      <c r="Q38" s="69"/>
      <c r="R38" s="69"/>
      <c r="AP38" s="313"/>
      <c r="AQ38" s="313"/>
      <c r="AR38" s="313"/>
      <c r="AS38" s="313"/>
      <c r="AT38" s="313"/>
      <c r="AU38" s="313"/>
      <c r="AV38" s="313"/>
      <c r="AW38" s="313"/>
    </row>
    <row r="40" spans="10:49">
      <c r="AG40" s="357" t="s">
        <v>375</v>
      </c>
    </row>
  </sheetData>
  <mergeCells count="6">
    <mergeCell ref="Q2:R2"/>
    <mergeCell ref="P1:T1"/>
    <mergeCell ref="X1:AB1"/>
    <mergeCell ref="AC1:AF1"/>
    <mergeCell ref="F1:I1"/>
    <mergeCell ref="K1:O1"/>
  </mergeCells>
  <conditionalFormatting sqref="AV5:AW32">
    <cfRule type="cellIs" dxfId="7" priority="2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BM72"/>
  <sheetViews>
    <sheetView topLeftCell="Y1" zoomScaleNormal="100" workbookViewId="0">
      <pane ySplit="3" topLeftCell="A20" activePane="bottomLeft" state="frozen"/>
      <selection pane="bottomLeft" activeCell="AA33" sqref="AA33"/>
    </sheetView>
  </sheetViews>
  <sheetFormatPr defaultRowHeight="15"/>
  <cols>
    <col min="1" max="1" width="10.7109375" bestFit="1" customWidth="1"/>
    <col min="2" max="2" width="9.7109375" style="1" customWidth="1"/>
    <col min="3" max="3" width="11" style="1" customWidth="1"/>
    <col min="4" max="4" width="18" style="1" customWidth="1"/>
    <col min="5" max="6" width="12.28515625" style="332" customWidth="1"/>
    <col min="7" max="7" width="10.140625" style="1" customWidth="1"/>
    <col min="8" max="8" width="10.7109375" style="1" bestFit="1" customWidth="1"/>
    <col min="9" max="9" width="9.140625" style="1" customWidth="1"/>
    <col min="10" max="10" width="14.42578125" style="332" customWidth="1"/>
    <col min="11" max="11" width="13.5703125" style="1" customWidth="1"/>
    <col min="12" max="12" width="13.28515625" style="1" customWidth="1"/>
    <col min="13" max="13" width="10.7109375" style="492" customWidth="1"/>
    <col min="14" max="14" width="10.7109375" style="494" customWidth="1"/>
    <col min="15" max="15" width="11.140625" style="492" customWidth="1"/>
    <col min="16" max="16" width="11.140625" style="494" customWidth="1"/>
    <col min="17" max="17" width="17.28515625" style="492" customWidth="1"/>
    <col min="18" max="18" width="10.85546875" style="492" customWidth="1"/>
    <col min="19" max="19" width="10.7109375" style="492" customWidth="1"/>
    <col min="20" max="20" width="13.28515625" style="406" customWidth="1"/>
    <col min="21" max="21" width="8.7109375" style="409" customWidth="1"/>
    <col min="22" max="22" width="13.28515625" style="322" customWidth="1"/>
    <col min="23" max="23" width="9.7109375" style="322" bestFit="1" customWidth="1"/>
    <col min="24" max="27" width="9.7109375" style="322" customWidth="1"/>
    <col min="28" max="28" width="14.42578125" style="322" customWidth="1"/>
    <col min="29" max="32" width="9.7109375" style="322" customWidth="1"/>
    <col min="33" max="33" width="11.28515625" style="322" customWidth="1"/>
    <col min="34" max="36" width="9.7109375" style="322" customWidth="1"/>
    <col min="37" max="37" width="7.42578125" style="322" customWidth="1"/>
    <col min="38" max="39" width="8.7109375" style="322" customWidth="1"/>
    <col min="40" max="40" width="6.7109375" style="1" customWidth="1"/>
    <col min="41" max="41" width="7.42578125" customWidth="1"/>
    <col min="42" max="42" width="11.5703125" bestFit="1" customWidth="1"/>
    <col min="43" max="43" width="8.7109375" bestFit="1" customWidth="1"/>
    <col min="44" max="44" width="11.7109375" bestFit="1" customWidth="1"/>
    <col min="45" max="46" width="10.28515625" bestFit="1" customWidth="1"/>
    <col min="47" max="47" width="11" customWidth="1"/>
    <col min="48" max="48" width="9.140625" bestFit="1" customWidth="1"/>
    <col min="49" max="49" width="7.85546875" bestFit="1" customWidth="1"/>
    <col min="50" max="50" width="9.140625" bestFit="1" customWidth="1"/>
    <col min="51" max="51" width="11" bestFit="1" customWidth="1"/>
    <col min="52" max="52" width="9.7109375" bestFit="1" customWidth="1"/>
    <col min="53" max="53" width="11.28515625" bestFit="1" customWidth="1"/>
    <col min="54" max="54" width="12.42578125" customWidth="1"/>
    <col min="55" max="55" width="12.5703125" bestFit="1" customWidth="1"/>
    <col min="56" max="56" width="14.140625" bestFit="1" customWidth="1"/>
    <col min="57" max="57" width="12.42578125" bestFit="1" customWidth="1"/>
    <col min="58" max="58" width="12.85546875" bestFit="1" customWidth="1"/>
    <col min="59" max="59" width="9.28515625" bestFit="1" customWidth="1"/>
  </cols>
  <sheetData>
    <row r="1" spans="1:65" s="359" customFormat="1" ht="15.75" thickBot="1">
      <c r="B1" s="360"/>
      <c r="C1" s="360"/>
      <c r="D1" s="416">
        <f>SUM(G21:G33)</f>
        <v>8007160</v>
      </c>
      <c r="E1" s="361"/>
      <c r="F1" s="361"/>
      <c r="G1" s="360"/>
      <c r="H1" s="360"/>
      <c r="I1" s="360"/>
      <c r="J1" s="361"/>
      <c r="K1" s="360"/>
      <c r="L1" s="360"/>
      <c r="M1" s="360"/>
      <c r="N1" s="360"/>
      <c r="O1" s="360"/>
      <c r="P1" s="360"/>
      <c r="Q1" s="360"/>
      <c r="R1" s="360"/>
      <c r="S1" s="360"/>
      <c r="T1" s="360"/>
      <c r="U1" s="360"/>
      <c r="V1" s="362"/>
      <c r="W1" s="362"/>
      <c r="X1" s="362"/>
      <c r="Y1" s="362"/>
      <c r="Z1" s="362"/>
      <c r="AA1" s="362"/>
      <c r="AB1" s="362"/>
      <c r="AC1" s="362"/>
      <c r="AD1" s="362"/>
      <c r="AE1" s="362"/>
      <c r="AF1" s="362"/>
      <c r="AG1" s="362"/>
      <c r="AH1" s="362"/>
      <c r="AI1" s="362"/>
      <c r="AJ1" s="362"/>
      <c r="AK1" s="362"/>
      <c r="AL1" s="362"/>
      <c r="AM1" s="362"/>
      <c r="AN1" s="360"/>
      <c r="AR1" s="363" t="s">
        <v>92</v>
      </c>
      <c r="AS1" s="364"/>
      <c r="AT1" s="364" t="s">
        <v>60</v>
      </c>
      <c r="AU1" s="364"/>
      <c r="AV1" s="365" t="s">
        <v>61</v>
      </c>
    </row>
    <row r="2" spans="1:65" s="359" customFormat="1" ht="15.75" customHeight="1" thickBot="1">
      <c r="B2" s="360"/>
      <c r="C2" s="360"/>
      <c r="D2" s="360"/>
      <c r="E2" s="361"/>
      <c r="F2" s="361"/>
      <c r="G2" s="360"/>
      <c r="H2" s="360"/>
      <c r="I2" s="360"/>
      <c r="J2" s="361"/>
      <c r="K2" s="360"/>
      <c r="L2" s="360"/>
      <c r="M2" s="360"/>
      <c r="N2" s="360"/>
      <c r="O2" s="360"/>
      <c r="P2" s="360"/>
      <c r="Q2" s="360"/>
      <c r="R2" s="360"/>
      <c r="S2" s="360"/>
      <c r="T2" s="360"/>
      <c r="U2" s="360"/>
      <c r="V2" s="362"/>
      <c r="W2" s="362"/>
      <c r="X2" s="362"/>
      <c r="Y2" s="362"/>
      <c r="Z2" s="362"/>
      <c r="AA2" s="362"/>
      <c r="AB2" s="362"/>
      <c r="AC2" s="362"/>
      <c r="AD2" s="362"/>
      <c r="AE2" s="362"/>
      <c r="AF2" s="362"/>
      <c r="AG2" s="362"/>
      <c r="AH2" s="362"/>
      <c r="AI2" s="362"/>
      <c r="AJ2" s="362"/>
      <c r="AK2" s="362"/>
      <c r="AL2" s="362"/>
      <c r="AM2" s="362"/>
      <c r="AN2" s="360"/>
      <c r="AR2" s="623" t="s">
        <v>95</v>
      </c>
      <c r="AS2" s="624"/>
      <c r="AT2" s="624"/>
      <c r="AU2" s="624"/>
      <c r="AV2" s="625"/>
      <c r="AW2" s="623" t="s">
        <v>96</v>
      </c>
      <c r="AX2" s="624"/>
      <c r="AY2" s="625"/>
      <c r="AZ2" s="623" t="s">
        <v>98</v>
      </c>
      <c r="BA2" s="624"/>
      <c r="BB2" s="625"/>
      <c r="BC2" s="366"/>
      <c r="BE2" s="367"/>
    </row>
    <row r="3" spans="1:65" s="359" customFormat="1" ht="48" customHeight="1" thickBot="1">
      <c r="A3" s="368" t="s">
        <v>51</v>
      </c>
      <c r="B3" s="369" t="s">
        <v>52</v>
      </c>
      <c r="C3" s="369" t="s">
        <v>53</v>
      </c>
      <c r="D3" s="369" t="s">
        <v>54</v>
      </c>
      <c r="E3" s="370"/>
      <c r="F3" s="371" t="s">
        <v>80</v>
      </c>
      <c r="G3" s="369" t="s">
        <v>55</v>
      </c>
      <c r="H3" s="369" t="s">
        <v>56</v>
      </c>
      <c r="I3" s="369" t="s">
        <v>100</v>
      </c>
      <c r="J3" s="370"/>
      <c r="K3" s="369" t="s">
        <v>392</v>
      </c>
      <c r="L3" s="372" t="s">
        <v>327</v>
      </c>
      <c r="M3" s="511" t="s">
        <v>399</v>
      </c>
      <c r="N3" s="512"/>
      <c r="O3" s="513" t="s">
        <v>400</v>
      </c>
      <c r="P3" s="513"/>
      <c r="Q3" s="513" t="s">
        <v>396</v>
      </c>
      <c r="R3" s="513" t="s">
        <v>398</v>
      </c>
      <c r="S3" s="513" t="s">
        <v>397</v>
      </c>
      <c r="T3" s="369" t="s">
        <v>380</v>
      </c>
      <c r="U3" s="369" t="s">
        <v>382</v>
      </c>
      <c r="V3" s="373" t="s">
        <v>331</v>
      </c>
      <c r="W3" s="374" t="s">
        <v>332</v>
      </c>
      <c r="X3" s="373" t="s">
        <v>335</v>
      </c>
      <c r="Y3" s="374" t="s">
        <v>336</v>
      </c>
      <c r="Z3" s="375" t="s">
        <v>337</v>
      </c>
      <c r="AA3" s="376" t="s">
        <v>395</v>
      </c>
      <c r="AB3" s="441" t="s">
        <v>394</v>
      </c>
      <c r="AC3" s="439" t="s">
        <v>393</v>
      </c>
      <c r="AD3" s="439"/>
      <c r="AE3" s="377" t="s">
        <v>404</v>
      </c>
      <c r="AF3" s="377" t="s">
        <v>405</v>
      </c>
      <c r="AG3" s="377" t="s">
        <v>406</v>
      </c>
      <c r="AH3" s="377" t="s">
        <v>407</v>
      </c>
      <c r="AI3" s="376" t="s">
        <v>408</v>
      </c>
      <c r="AJ3" s="376" t="s">
        <v>338</v>
      </c>
      <c r="AK3" s="377" t="s">
        <v>340</v>
      </c>
      <c r="AL3" s="377" t="s">
        <v>339</v>
      </c>
      <c r="AM3" s="378" t="s">
        <v>125</v>
      </c>
      <c r="AN3" s="620" t="s">
        <v>126</v>
      </c>
      <c r="AO3" s="621"/>
      <c r="AP3" s="622"/>
      <c r="AR3" s="379" t="s">
        <v>51</v>
      </c>
      <c r="AS3" s="380"/>
      <c r="AT3" s="379" t="s">
        <v>94</v>
      </c>
      <c r="AU3" s="380"/>
      <c r="AV3" s="381" t="s">
        <v>57</v>
      </c>
      <c r="AW3" s="382"/>
      <c r="AX3" s="380" t="s">
        <v>59</v>
      </c>
      <c r="AY3" s="383" t="s">
        <v>93</v>
      </c>
      <c r="AZ3" s="381" t="s">
        <v>57</v>
      </c>
      <c r="BA3" s="384" t="s">
        <v>59</v>
      </c>
      <c r="BB3" s="385" t="s">
        <v>57</v>
      </c>
      <c r="BC3" s="385" t="s">
        <v>58</v>
      </c>
      <c r="BD3" s="386" t="s">
        <v>59</v>
      </c>
      <c r="BE3" s="387" t="s">
        <v>99</v>
      </c>
      <c r="BF3" s="386" t="s">
        <v>97</v>
      </c>
      <c r="BG3" s="388"/>
      <c r="BI3" s="389"/>
      <c r="BJ3" s="389"/>
      <c r="BK3" s="389"/>
      <c r="BL3" s="389"/>
      <c r="BM3" s="389"/>
    </row>
    <row r="4" spans="1:65" ht="16.5" thickBot="1">
      <c r="A4" s="87"/>
      <c r="B4" s="5"/>
      <c r="C4" s="5"/>
      <c r="D4" s="266"/>
      <c r="E4" s="333">
        <v>1.66</v>
      </c>
      <c r="F4" s="333"/>
      <c r="G4" s="5"/>
      <c r="H4" s="5"/>
      <c r="I4" s="5"/>
      <c r="J4" s="334"/>
      <c r="K4" s="5"/>
      <c r="L4" s="83"/>
      <c r="M4" s="514"/>
      <c r="N4" s="514"/>
      <c r="O4" s="514"/>
      <c r="P4" s="514"/>
      <c r="Q4" s="514"/>
      <c r="R4" s="514"/>
      <c r="S4" s="514"/>
      <c r="T4" s="83"/>
      <c r="U4" s="83"/>
      <c r="V4" s="323"/>
      <c r="W4" s="324"/>
      <c r="X4" s="323"/>
      <c r="Y4" s="324"/>
      <c r="Z4" s="325"/>
      <c r="AA4" s="440"/>
      <c r="AB4" s="442"/>
      <c r="AC4" s="440"/>
      <c r="AD4" s="440"/>
      <c r="AE4" s="440"/>
      <c r="AF4" s="440"/>
      <c r="AG4" s="440"/>
      <c r="AH4" s="440"/>
      <c r="AI4" s="440"/>
      <c r="AJ4" s="326"/>
      <c r="AK4" s="327"/>
      <c r="AL4" s="327"/>
      <c r="AM4" s="328"/>
      <c r="AN4" s="88" t="s">
        <v>129</v>
      </c>
      <c r="AO4" s="88" t="s">
        <v>130</v>
      </c>
      <c r="AP4" s="88" t="s">
        <v>157</v>
      </c>
      <c r="AR4" s="230"/>
      <c r="AS4" s="231"/>
      <c r="AT4" s="230">
        <v>180</v>
      </c>
      <c r="AU4" s="231"/>
      <c r="AV4" s="232">
        <v>220</v>
      </c>
      <c r="AW4" s="233"/>
      <c r="AX4" s="231">
        <v>580</v>
      </c>
      <c r="AY4" s="89">
        <f>SUM(AT4)</f>
        <v>180</v>
      </c>
      <c r="AZ4" s="90">
        <f>SUM(AV4)</f>
        <v>220</v>
      </c>
      <c r="BA4" s="91">
        <f>SUM(AX4)</f>
        <v>580</v>
      </c>
      <c r="BB4" s="92"/>
      <c r="BC4" s="93"/>
      <c r="BD4" s="94"/>
      <c r="BE4" s="23"/>
      <c r="BG4" s="96"/>
      <c r="BI4" s="17"/>
      <c r="BJ4" s="17"/>
      <c r="BK4" s="17"/>
      <c r="BL4" s="17"/>
      <c r="BM4" s="17"/>
    </row>
    <row r="5" spans="1:65">
      <c r="A5" s="6">
        <f>ELEC!C2</f>
        <v>44227</v>
      </c>
      <c r="B5" s="410">
        <f>[2]WATER!B36</f>
        <v>109443</v>
      </c>
      <c r="C5" s="410">
        <f>[2]WATER!C36</f>
        <v>0</v>
      </c>
      <c r="D5" s="410">
        <f>[2]WATER!D36</f>
        <v>0</v>
      </c>
      <c r="E5" s="410">
        <f>[2]WATER!E36</f>
        <v>241.93548387096774</v>
      </c>
      <c r="F5" s="410">
        <f>[2]WATER!F36</f>
        <v>0</v>
      </c>
      <c r="G5" s="410">
        <f>[2]WATER!G36</f>
        <v>615374</v>
      </c>
      <c r="H5" s="410">
        <f>[2]WATER!H36</f>
        <v>0</v>
      </c>
      <c r="I5" s="410">
        <f>[2]WATER!I36</f>
        <v>0</v>
      </c>
      <c r="J5" s="410">
        <f>[2]WATER!J36</f>
        <v>0</v>
      </c>
      <c r="K5" s="410">
        <f>[2]WATER!K36</f>
        <v>6716</v>
      </c>
      <c r="L5" s="410">
        <f>[2]WATER!L36</f>
        <v>0</v>
      </c>
      <c r="M5" s="410">
        <f>[2]WATER!M36</f>
        <v>457.44</v>
      </c>
      <c r="N5" s="410">
        <f>[2]WATER!N36</f>
        <v>0</v>
      </c>
      <c r="O5" s="410">
        <f>[2]WATER!O36</f>
        <v>529.52</v>
      </c>
      <c r="P5" s="410">
        <f>[2]WATER!P36</f>
        <v>0</v>
      </c>
      <c r="Q5" s="410">
        <f>[2]WATER!Q36</f>
        <v>0</v>
      </c>
      <c r="R5" s="410">
        <f>[2]WATER!R36</f>
        <v>0</v>
      </c>
      <c r="S5" s="410">
        <f>[2]WATER!S36</f>
        <v>0</v>
      </c>
      <c r="T5" s="410">
        <f>[2]WATER!T36</f>
        <v>5164</v>
      </c>
      <c r="U5" s="410">
        <f>[2]WATER!U36</f>
        <v>0</v>
      </c>
      <c r="V5" s="410">
        <f>[2]WATER!V36</f>
        <v>460</v>
      </c>
      <c r="W5" s="410">
        <f>[2]WATER!W36</f>
        <v>0</v>
      </c>
      <c r="X5" s="410">
        <f>[2]WATER!X36</f>
        <v>150077</v>
      </c>
      <c r="Y5" s="410">
        <f>[2]WATER!Y36</f>
        <v>0</v>
      </c>
      <c r="Z5" s="410">
        <f>[2]WATER!Z36</f>
        <v>98262</v>
      </c>
      <c r="AA5" s="410">
        <f>[2]WATER!AA36</f>
        <v>1</v>
      </c>
      <c r="AB5" s="410">
        <f>[2]WATER!AB36</f>
        <v>256</v>
      </c>
      <c r="AC5" s="410">
        <f>[2]WATER!AC36</f>
        <v>731</v>
      </c>
      <c r="AD5" s="410">
        <f>[2]WATER!AD36</f>
        <v>0</v>
      </c>
      <c r="AE5" s="410">
        <f>[2]WATER!AE36</f>
        <v>227.8</v>
      </c>
      <c r="AF5" s="410">
        <f>[2]WATER!AF36</f>
        <v>0</v>
      </c>
      <c r="AG5" s="410">
        <f>[2]WATER!AG36</f>
        <v>2181.5700000000002</v>
      </c>
      <c r="AH5" s="410">
        <f>[2]WATER!AH36</f>
        <v>0</v>
      </c>
      <c r="AI5" s="410">
        <f>[2]WATER!AI36</f>
        <v>0</v>
      </c>
      <c r="AJ5" s="410">
        <f>[2]WATER!AJ36</f>
        <v>1</v>
      </c>
      <c r="AK5" s="410">
        <f>[2]WATER!AK36</f>
        <v>0</v>
      </c>
      <c r="AL5" s="410">
        <f>[2]WATER!AL36</f>
        <v>1</v>
      </c>
      <c r="AM5" s="410">
        <f>[2]WATER!AM36</f>
        <v>0</v>
      </c>
      <c r="AN5" s="410">
        <f>[2]WATER!AN36</f>
        <v>0</v>
      </c>
      <c r="AO5" s="410">
        <f>[2]WATER!AO36</f>
        <v>0</v>
      </c>
      <c r="AP5" s="410">
        <f>[2]WATER!AP36</f>
        <v>0</v>
      </c>
      <c r="AQ5" s="410">
        <f>[2]WATER!AQ36</f>
        <v>0</v>
      </c>
      <c r="AR5" s="410">
        <f>[2]WATER!AR36</f>
        <v>44227</v>
      </c>
      <c r="AS5" s="410">
        <f>[2]WATER!AS36</f>
        <v>0.9</v>
      </c>
      <c r="AT5" s="410">
        <f>[2]WATER!AT36</f>
        <v>182</v>
      </c>
      <c r="AU5" s="410">
        <f>[2]WATER!AU36</f>
        <v>1.1000000000000001</v>
      </c>
      <c r="AV5" s="410">
        <f>[2]WATER!AV36</f>
        <v>150</v>
      </c>
      <c r="AW5" s="410">
        <f>[2]WATER!AW36</f>
        <v>2.9</v>
      </c>
      <c r="AX5" s="410">
        <f>[2]WATER!AX36</f>
        <v>166</v>
      </c>
      <c r="AY5" s="410">
        <f>[2]WATER!AY36</f>
        <v>163.80000000000001</v>
      </c>
      <c r="AZ5" s="410">
        <f>[2]WATER!AZ36</f>
        <v>165</v>
      </c>
      <c r="BA5" s="410">
        <f>[2]WATER!BA36</f>
        <v>481.4</v>
      </c>
      <c r="BB5" s="410">
        <f>[2]WATER!BB36</f>
        <v>0</v>
      </c>
      <c r="BC5" s="410">
        <f>[2]WATER!BC36</f>
        <v>-2.2000000000000171</v>
      </c>
      <c r="BD5" s="410">
        <f>[2]WATER!BD36</f>
        <v>-2.9000000000000341</v>
      </c>
      <c r="BE5" s="410">
        <f>[2]WATER!BE36</f>
        <v>-5.1000000000000512</v>
      </c>
      <c r="BF5" s="410">
        <f>[2]WATER!BF36</f>
        <v>5.1000000000000512</v>
      </c>
      <c r="BG5" s="410">
        <f>[2]WATER!BG36</f>
        <v>-5.1000000000000512</v>
      </c>
    </row>
    <row r="6" spans="1:65" ht="15.75" thickBot="1">
      <c r="A6" s="6">
        <f>ELEC!C3</f>
        <v>44228</v>
      </c>
      <c r="B6" s="5">
        <f>B5</f>
        <v>109443</v>
      </c>
      <c r="C6" s="5">
        <f>B6-B5</f>
        <v>0</v>
      </c>
      <c r="D6" s="419">
        <f>C6/27</f>
        <v>0</v>
      </c>
      <c r="E6" s="333">
        <f>SUM((C6*$E$4)+(7500/'EDl log'!$A$34))</f>
        <v>267.85714285714283</v>
      </c>
      <c r="F6" s="418"/>
      <c r="G6" s="5">
        <v>615374</v>
      </c>
      <c r="H6" s="5">
        <f>G6-G5</f>
        <v>0</v>
      </c>
      <c r="I6" s="5">
        <f t="shared" ref="I6:I33" si="0">C6+H6</f>
        <v>0</v>
      </c>
      <c r="J6" s="334">
        <f t="shared" ref="J6:J33" si="1">IF(I6&gt;0,E6/I6,0)</f>
        <v>0</v>
      </c>
      <c r="K6" s="5">
        <f>'Swimming Pool quality check '!H6</f>
        <v>6716</v>
      </c>
      <c r="L6" s="83">
        <v>0</v>
      </c>
      <c r="M6" s="410">
        <f>M5</f>
        <v>457.44</v>
      </c>
      <c r="N6" s="514">
        <f t="shared" ref="N6:N13" si="2">SUM(M6-M5)</f>
        <v>0</v>
      </c>
      <c r="O6" s="410">
        <f>O5</f>
        <v>529.52</v>
      </c>
      <c r="P6" s="514">
        <f t="shared" ref="P6:P13" si="3">SUM(O6-O5)</f>
        <v>0</v>
      </c>
      <c r="Q6" s="515">
        <f>P6+N6</f>
        <v>0</v>
      </c>
      <c r="R6" s="514"/>
      <c r="S6" s="514"/>
      <c r="T6" s="5">
        <v>5165</v>
      </c>
      <c r="U6" s="5">
        <f t="shared" ref="U6:U33" si="4">SUM(T6-T5)</f>
        <v>1</v>
      </c>
      <c r="V6" s="5">
        <v>460</v>
      </c>
      <c r="W6" s="324">
        <f>+V6-V5</f>
        <v>0</v>
      </c>
      <c r="X6" s="5">
        <v>150077</v>
      </c>
      <c r="Y6" s="324">
        <f>SUM(X6-X5)</f>
        <v>0</v>
      </c>
      <c r="Z6" s="5">
        <f>Z5</f>
        <v>98262</v>
      </c>
      <c r="AA6" s="83">
        <f>Z6-Z5</f>
        <v>0</v>
      </c>
      <c r="AB6" s="5">
        <f>AB5</f>
        <v>256</v>
      </c>
      <c r="AC6" s="5">
        <f>AC5</f>
        <v>731</v>
      </c>
      <c r="AD6" s="83">
        <v>0</v>
      </c>
      <c r="AE6" s="5">
        <f>AE5</f>
        <v>227.8</v>
      </c>
      <c r="AF6" s="83">
        <f>AE6-AE5</f>
        <v>0</v>
      </c>
      <c r="AG6" s="5">
        <f>AG5</f>
        <v>2181.5700000000002</v>
      </c>
      <c r="AH6" s="83">
        <f>AG6-AG5</f>
        <v>0</v>
      </c>
      <c r="AI6" s="83">
        <f>AF6+AH6</f>
        <v>0</v>
      </c>
      <c r="AJ6" s="326">
        <f>+Z6-Z5</f>
        <v>0</v>
      </c>
      <c r="AK6" s="327">
        <f t="shared" ref="AK6" si="5">SUM(Y6-L6)</f>
        <v>0</v>
      </c>
      <c r="AL6" s="327">
        <f>SUM(AJ6-W6)</f>
        <v>0</v>
      </c>
      <c r="AM6" s="327">
        <f>'General information '!D6</f>
        <v>18.5</v>
      </c>
      <c r="AN6" s="84">
        <f>'General information '!H6</f>
        <v>0</v>
      </c>
      <c r="AO6" s="84"/>
      <c r="AP6" s="84">
        <f>'General information '!J6</f>
        <v>0</v>
      </c>
      <c r="AQ6" s="81"/>
      <c r="AR6" s="277">
        <f>A6</f>
        <v>44228</v>
      </c>
      <c r="AS6" s="424">
        <f t="shared" ref="AS6:AT21" si="6">AS5</f>
        <v>0.9</v>
      </c>
      <c r="AT6" s="201">
        <v>150</v>
      </c>
      <c r="AU6" s="425">
        <f>AU5</f>
        <v>1.1000000000000001</v>
      </c>
      <c r="AV6" s="201">
        <v>148</v>
      </c>
      <c r="AW6" s="5">
        <v>2.9</v>
      </c>
      <c r="AX6" s="201">
        <v>165</v>
      </c>
      <c r="AY6" s="426">
        <f t="shared" ref="AY6:AY33" si="7">AS6*AT6</f>
        <v>135</v>
      </c>
      <c r="AZ6" s="426">
        <f>AU6*AV6</f>
        <v>162.80000000000001</v>
      </c>
      <c r="BA6" s="426">
        <f>AW6*AX6</f>
        <v>478.5</v>
      </c>
      <c r="BB6" s="21">
        <f>AY6-AY5</f>
        <v>-28.800000000000011</v>
      </c>
      <c r="BC6" s="21">
        <f>AZ6-AZ5</f>
        <v>-2.1999999999999886</v>
      </c>
      <c r="BD6" s="21">
        <f>BA6-BA5</f>
        <v>-2.8999999999999773</v>
      </c>
      <c r="BE6" s="24">
        <f>SUM(BB6:BD6)</f>
        <v>-33.899999999999977</v>
      </c>
      <c r="BF6" s="96">
        <f t="shared" ref="BF6:BF33" si="8">SUM(I6-BE6)</f>
        <v>33.899999999999977</v>
      </c>
      <c r="BG6" s="82">
        <f t="shared" ref="BG6:BG33" si="9">SUM(I6-BF6)</f>
        <v>-33.899999999999977</v>
      </c>
      <c r="BI6" s="17"/>
      <c r="BJ6" s="17"/>
      <c r="BK6" s="17"/>
      <c r="BL6" s="17"/>
      <c r="BM6" s="17"/>
    </row>
    <row r="7" spans="1:65" ht="15.75" thickBot="1">
      <c r="A7" s="6">
        <f>ELEC!C4</f>
        <v>44229</v>
      </c>
      <c r="B7" s="5">
        <f t="shared" ref="B7:B33" si="10">B6</f>
        <v>109443</v>
      </c>
      <c r="C7" s="5">
        <f t="shared" ref="C7:C33" si="11">B7-B6</f>
        <v>0</v>
      </c>
      <c r="D7" s="419">
        <f t="shared" ref="D7:D33" si="12">C7/27</f>
        <v>0</v>
      </c>
      <c r="E7" s="333">
        <f>SUM((C7*$E$4)+(7500/'EDl log'!$A$34))</f>
        <v>267.85714285714283</v>
      </c>
      <c r="F7" s="418"/>
      <c r="G7" s="5">
        <f t="shared" ref="G7:G33" si="13">G6</f>
        <v>615374</v>
      </c>
      <c r="H7" s="5">
        <f t="shared" ref="H7:H33" si="14">G7-G6</f>
        <v>0</v>
      </c>
      <c r="I7" s="5">
        <f t="shared" si="0"/>
        <v>0</v>
      </c>
      <c r="J7" s="334">
        <f t="shared" si="1"/>
        <v>0</v>
      </c>
      <c r="K7" s="5">
        <f>'Swimming Pool quality check '!H7</f>
        <v>6716</v>
      </c>
      <c r="L7" s="83">
        <f>K7-K6</f>
        <v>0</v>
      </c>
      <c r="M7" s="410">
        <f t="shared" ref="M7:M33" si="15">M6</f>
        <v>457.44</v>
      </c>
      <c r="N7" s="514">
        <f t="shared" si="2"/>
        <v>0</v>
      </c>
      <c r="O7" s="410">
        <f t="shared" ref="O7:O33" si="16">O6</f>
        <v>529.52</v>
      </c>
      <c r="P7" s="514">
        <f t="shared" si="3"/>
        <v>0</v>
      </c>
      <c r="Q7" s="515">
        <f>P7+N7</f>
        <v>0</v>
      </c>
      <c r="R7" s="514"/>
      <c r="S7" s="514"/>
      <c r="T7" s="5">
        <f t="shared" ref="T7:AG33" si="17">T6</f>
        <v>5165</v>
      </c>
      <c r="U7" s="5">
        <f t="shared" si="4"/>
        <v>0</v>
      </c>
      <c r="V7" s="5">
        <f t="shared" si="17"/>
        <v>460</v>
      </c>
      <c r="W7" s="324">
        <f t="shared" ref="W7:W33" si="18">+V7-V6</f>
        <v>0</v>
      </c>
      <c r="X7" s="5">
        <f t="shared" si="17"/>
        <v>150077</v>
      </c>
      <c r="Y7" s="324">
        <f>SUM(X7-X6)</f>
        <v>0</v>
      </c>
      <c r="Z7" s="5">
        <f t="shared" si="17"/>
        <v>98262</v>
      </c>
      <c r="AA7" s="83">
        <f t="shared" ref="AA7:AA33" si="19">Z7-Z6</f>
        <v>0</v>
      </c>
      <c r="AB7" s="5">
        <f t="shared" si="17"/>
        <v>256</v>
      </c>
      <c r="AC7" s="5">
        <f t="shared" si="17"/>
        <v>731</v>
      </c>
      <c r="AD7" s="83">
        <f>AC7-AC6</f>
        <v>0</v>
      </c>
      <c r="AE7" s="5">
        <f t="shared" si="17"/>
        <v>227.8</v>
      </c>
      <c r="AF7" s="83">
        <f t="shared" ref="AF7:AF32" si="20">AE7-AE6</f>
        <v>0</v>
      </c>
      <c r="AG7" s="5">
        <f t="shared" si="17"/>
        <v>2181.5700000000002</v>
      </c>
      <c r="AH7" s="83">
        <f t="shared" ref="AH7:AH33" si="21">AG7-AG6</f>
        <v>0</v>
      </c>
      <c r="AI7" s="83">
        <f t="shared" ref="AI7:AI33" si="22">AF7+AH7</f>
        <v>0</v>
      </c>
      <c r="AJ7" s="326">
        <f t="shared" ref="AJ7:AJ33" si="23">+Z7-Z6</f>
        <v>0</v>
      </c>
      <c r="AK7" s="327">
        <f>SUM(Y7-L7)</f>
        <v>0</v>
      </c>
      <c r="AL7" s="327">
        <f t="shared" ref="AL7:AL33" si="24">SUM(AJ7-W7)</f>
        <v>0</v>
      </c>
      <c r="AM7" s="327">
        <f>'General information '!D7</f>
        <v>20</v>
      </c>
      <c r="AN7" s="84">
        <f>'General information '!H7</f>
        <v>0</v>
      </c>
      <c r="AO7" s="84"/>
      <c r="AP7" s="84">
        <f>'General information '!J7</f>
        <v>0</v>
      </c>
      <c r="AQ7" s="81"/>
      <c r="AR7" s="277">
        <f t="shared" ref="AR7:AR33" si="25">A7</f>
        <v>44229</v>
      </c>
      <c r="AS7" s="424">
        <f t="shared" si="6"/>
        <v>0.9</v>
      </c>
      <c r="AT7" s="201">
        <v>150</v>
      </c>
      <c r="AU7" s="425">
        <f>AU6</f>
        <v>1.1000000000000001</v>
      </c>
      <c r="AV7" s="201">
        <v>143</v>
      </c>
      <c r="AW7" s="5">
        <v>2.9</v>
      </c>
      <c r="AX7" s="201">
        <v>163</v>
      </c>
      <c r="AY7" s="426">
        <f t="shared" si="7"/>
        <v>135</v>
      </c>
      <c r="AZ7" s="426">
        <f t="shared" ref="AZ7:AZ33" si="26">AU7*AV7</f>
        <v>157.30000000000001</v>
      </c>
      <c r="BA7" s="426">
        <f t="shared" ref="BA7:BA33" si="27">AW7*AX7</f>
        <v>472.7</v>
      </c>
      <c r="BB7" s="21">
        <f t="shared" ref="BB7:BD33" si="28">AY7-AY6</f>
        <v>0</v>
      </c>
      <c r="BC7" s="21">
        <f t="shared" ref="BC7:BD21" si="29">AZ7-AZ6</f>
        <v>-5.5</v>
      </c>
      <c r="BD7" s="21">
        <f t="shared" si="29"/>
        <v>-5.8000000000000114</v>
      </c>
      <c r="BE7" s="24">
        <f t="shared" ref="BE7:BE33" si="30">SUM(BB7:BD7)</f>
        <v>-11.300000000000011</v>
      </c>
      <c r="BF7" s="96">
        <f t="shared" si="8"/>
        <v>11.300000000000011</v>
      </c>
      <c r="BG7" s="82">
        <f t="shared" si="9"/>
        <v>-11.300000000000011</v>
      </c>
      <c r="BI7" s="86"/>
      <c r="BJ7" s="17"/>
      <c r="BK7" s="17"/>
      <c r="BL7" s="17"/>
      <c r="BM7" s="17"/>
    </row>
    <row r="8" spans="1:65" ht="15.75" thickBot="1">
      <c r="A8" s="6">
        <f>ELEC!C5</f>
        <v>44230</v>
      </c>
      <c r="B8" s="5">
        <f t="shared" si="10"/>
        <v>109443</v>
      </c>
      <c r="C8" s="5">
        <f>B8-B7</f>
        <v>0</v>
      </c>
      <c r="D8" s="419">
        <f t="shared" si="12"/>
        <v>0</v>
      </c>
      <c r="E8" s="333">
        <f>SUM((C8*$E$4)+(7500/'EDl log'!$A$34))</f>
        <v>267.85714285714283</v>
      </c>
      <c r="F8" s="418"/>
      <c r="G8" s="5">
        <f t="shared" si="13"/>
        <v>615374</v>
      </c>
      <c r="H8" s="5">
        <f t="shared" si="14"/>
        <v>0</v>
      </c>
      <c r="I8" s="5">
        <f t="shared" si="0"/>
        <v>0</v>
      </c>
      <c r="J8" s="334">
        <f t="shared" si="1"/>
        <v>0</v>
      </c>
      <c r="K8" s="5">
        <f>'Swimming Pool quality check '!H8</f>
        <v>6716</v>
      </c>
      <c r="L8" s="83">
        <f>K8-K7</f>
        <v>0</v>
      </c>
      <c r="M8" s="410">
        <f t="shared" si="15"/>
        <v>457.44</v>
      </c>
      <c r="N8" s="514">
        <f t="shared" si="2"/>
        <v>0</v>
      </c>
      <c r="O8" s="410">
        <f t="shared" si="16"/>
        <v>529.52</v>
      </c>
      <c r="P8" s="514">
        <f t="shared" si="3"/>
        <v>0</v>
      </c>
      <c r="Q8" s="515">
        <f>P8+N8</f>
        <v>0</v>
      </c>
      <c r="R8" s="514"/>
      <c r="S8" s="514"/>
      <c r="T8" s="5">
        <f t="shared" si="17"/>
        <v>5165</v>
      </c>
      <c r="U8" s="5">
        <f t="shared" si="4"/>
        <v>0</v>
      </c>
      <c r="V8" s="5">
        <v>461</v>
      </c>
      <c r="W8" s="324">
        <f t="shared" si="18"/>
        <v>1</v>
      </c>
      <c r="X8" s="5">
        <f t="shared" si="17"/>
        <v>150077</v>
      </c>
      <c r="Y8" s="324">
        <f>SUM(X8-X7)</f>
        <v>0</v>
      </c>
      <c r="Z8" s="5">
        <f t="shared" si="17"/>
        <v>98262</v>
      </c>
      <c r="AA8" s="83">
        <f t="shared" si="19"/>
        <v>0</v>
      </c>
      <c r="AB8" s="5">
        <f t="shared" si="17"/>
        <v>256</v>
      </c>
      <c r="AC8" s="5">
        <f t="shared" si="17"/>
        <v>731</v>
      </c>
      <c r="AD8" s="83">
        <f t="shared" ref="AD8:AD33" si="31">AC8-AC7</f>
        <v>0</v>
      </c>
      <c r="AE8" s="5">
        <f t="shared" si="17"/>
        <v>227.8</v>
      </c>
      <c r="AF8" s="83">
        <f t="shared" si="20"/>
        <v>0</v>
      </c>
      <c r="AG8" s="5">
        <f t="shared" si="17"/>
        <v>2181.5700000000002</v>
      </c>
      <c r="AH8" s="83">
        <f t="shared" si="21"/>
        <v>0</v>
      </c>
      <c r="AI8" s="83">
        <f t="shared" si="22"/>
        <v>0</v>
      </c>
      <c r="AJ8" s="326">
        <f t="shared" si="23"/>
        <v>0</v>
      </c>
      <c r="AK8" s="327">
        <f t="shared" ref="AK8:AK33" si="32">SUM(Y8-L8)</f>
        <v>0</v>
      </c>
      <c r="AL8" s="327">
        <f t="shared" si="24"/>
        <v>-1</v>
      </c>
      <c r="AM8" s="327">
        <f>'General information '!D8</f>
        <v>17.5</v>
      </c>
      <c r="AN8" s="84">
        <f>'General information '!H8</f>
        <v>0</v>
      </c>
      <c r="AO8" s="84"/>
      <c r="AP8" s="84">
        <f>'General information '!J8</f>
        <v>0</v>
      </c>
      <c r="AQ8" s="81"/>
      <c r="AR8" s="277">
        <f t="shared" si="25"/>
        <v>44230</v>
      </c>
      <c r="AS8" s="424">
        <f t="shared" si="6"/>
        <v>0.9</v>
      </c>
      <c r="AT8" s="201">
        <v>146</v>
      </c>
      <c r="AU8" s="425">
        <v>1.1000000000000001</v>
      </c>
      <c r="AV8" s="201">
        <v>140</v>
      </c>
      <c r="AW8" s="5">
        <v>2.9</v>
      </c>
      <c r="AX8" s="201">
        <v>162</v>
      </c>
      <c r="AY8" s="426">
        <f t="shared" si="7"/>
        <v>131.4</v>
      </c>
      <c r="AZ8" s="426">
        <f t="shared" si="26"/>
        <v>154</v>
      </c>
      <c r="BA8" s="426">
        <f t="shared" si="27"/>
        <v>469.8</v>
      </c>
      <c r="BB8" s="21">
        <f t="shared" si="28"/>
        <v>-3.5999999999999943</v>
      </c>
      <c r="BC8" s="21">
        <f t="shared" si="29"/>
        <v>-3.3000000000000114</v>
      </c>
      <c r="BD8" s="21">
        <f t="shared" si="29"/>
        <v>-2.8999999999999773</v>
      </c>
      <c r="BE8" s="24">
        <f t="shared" si="30"/>
        <v>-9.7999999999999829</v>
      </c>
      <c r="BF8" s="96">
        <f t="shared" si="8"/>
        <v>9.7999999999999829</v>
      </c>
      <c r="BG8" s="82">
        <f t="shared" si="9"/>
        <v>-9.7999999999999829</v>
      </c>
      <c r="BI8" s="86"/>
      <c r="BJ8" s="17"/>
      <c r="BK8" s="17"/>
    </row>
    <row r="9" spans="1:65" ht="15.75" thickBot="1">
      <c r="A9" s="6">
        <f>ELEC!C6</f>
        <v>44231</v>
      </c>
      <c r="B9" s="5">
        <f t="shared" si="10"/>
        <v>109443</v>
      </c>
      <c r="C9" s="5">
        <f t="shared" si="11"/>
        <v>0</v>
      </c>
      <c r="D9" s="419">
        <f t="shared" si="12"/>
        <v>0</v>
      </c>
      <c r="E9" s="333">
        <f>SUM((C9*$E$4)+(7500/'EDl log'!$A$34))</f>
        <v>267.85714285714283</v>
      </c>
      <c r="F9" s="418"/>
      <c r="G9" s="5">
        <f t="shared" si="13"/>
        <v>615374</v>
      </c>
      <c r="H9" s="5">
        <f t="shared" si="14"/>
        <v>0</v>
      </c>
      <c r="I9" s="5">
        <f t="shared" si="0"/>
        <v>0</v>
      </c>
      <c r="J9" s="334">
        <f t="shared" si="1"/>
        <v>0</v>
      </c>
      <c r="K9" s="5">
        <f>'Swimming Pool quality check '!H9</f>
        <v>6716</v>
      </c>
      <c r="L9" s="83">
        <f t="shared" ref="L9:L33" si="33">K9-K8</f>
        <v>0</v>
      </c>
      <c r="M9" s="410">
        <f t="shared" si="15"/>
        <v>457.44</v>
      </c>
      <c r="N9" s="514">
        <f t="shared" si="2"/>
        <v>0</v>
      </c>
      <c r="O9" s="410">
        <f t="shared" si="16"/>
        <v>529.52</v>
      </c>
      <c r="P9" s="514">
        <f t="shared" si="3"/>
        <v>0</v>
      </c>
      <c r="Q9" s="515">
        <f>P9+N9</f>
        <v>0</v>
      </c>
      <c r="R9" s="514"/>
      <c r="S9" s="514"/>
      <c r="T9" s="5">
        <f t="shared" si="17"/>
        <v>5165</v>
      </c>
      <c r="U9" s="5">
        <f t="shared" si="4"/>
        <v>0</v>
      </c>
      <c r="V9" s="5">
        <f t="shared" si="17"/>
        <v>461</v>
      </c>
      <c r="W9" s="324">
        <f t="shared" si="18"/>
        <v>0</v>
      </c>
      <c r="X9" s="5">
        <f t="shared" si="17"/>
        <v>150077</v>
      </c>
      <c r="Y9" s="324">
        <f t="shared" ref="Y9:Y33" si="34">SUM(X9-X8)</f>
        <v>0</v>
      </c>
      <c r="Z9" s="5">
        <f t="shared" si="17"/>
        <v>98262</v>
      </c>
      <c r="AA9" s="83">
        <f t="shared" si="19"/>
        <v>0</v>
      </c>
      <c r="AB9" s="5">
        <f t="shared" si="17"/>
        <v>256</v>
      </c>
      <c r="AC9" s="5">
        <f t="shared" si="17"/>
        <v>731</v>
      </c>
      <c r="AD9" s="83">
        <f t="shared" si="31"/>
        <v>0</v>
      </c>
      <c r="AE9" s="5">
        <f t="shared" si="17"/>
        <v>227.8</v>
      </c>
      <c r="AF9" s="83">
        <f t="shared" si="20"/>
        <v>0</v>
      </c>
      <c r="AG9" s="5">
        <f t="shared" si="17"/>
        <v>2181.5700000000002</v>
      </c>
      <c r="AH9" s="83">
        <f t="shared" si="21"/>
        <v>0</v>
      </c>
      <c r="AI9" s="83">
        <f t="shared" si="22"/>
        <v>0</v>
      </c>
      <c r="AJ9" s="326">
        <f t="shared" si="23"/>
        <v>0</v>
      </c>
      <c r="AK9" s="327">
        <f t="shared" si="32"/>
        <v>0</v>
      </c>
      <c r="AL9" s="327">
        <f t="shared" si="24"/>
        <v>0</v>
      </c>
      <c r="AM9" s="327">
        <f>'General information '!D9</f>
        <v>17.5</v>
      </c>
      <c r="AN9" s="84">
        <f>'General information '!H9</f>
        <v>0</v>
      </c>
      <c r="AO9" s="84"/>
      <c r="AP9" s="84">
        <f>'General information '!J9</f>
        <v>0</v>
      </c>
      <c r="AQ9" s="81"/>
      <c r="AR9" s="277">
        <f t="shared" si="25"/>
        <v>44231</v>
      </c>
      <c r="AS9" s="424">
        <f t="shared" si="6"/>
        <v>0.9</v>
      </c>
      <c r="AT9" s="201">
        <f t="shared" si="6"/>
        <v>146</v>
      </c>
      <c r="AU9" s="425">
        <f t="shared" ref="AU9:AV33" si="35">AU8</f>
        <v>1.1000000000000001</v>
      </c>
      <c r="AV9" s="201">
        <v>136</v>
      </c>
      <c r="AW9" s="5">
        <v>2.9</v>
      </c>
      <c r="AX9" s="201">
        <v>157</v>
      </c>
      <c r="AY9" s="426">
        <f t="shared" si="7"/>
        <v>131.4</v>
      </c>
      <c r="AZ9" s="426">
        <f t="shared" si="26"/>
        <v>149.60000000000002</v>
      </c>
      <c r="BA9" s="426">
        <f t="shared" si="27"/>
        <v>455.3</v>
      </c>
      <c r="BB9" s="21">
        <f t="shared" si="28"/>
        <v>0</v>
      </c>
      <c r="BC9" s="21">
        <f t="shared" si="29"/>
        <v>-4.3999999999999773</v>
      </c>
      <c r="BD9" s="21">
        <f t="shared" si="29"/>
        <v>-14.5</v>
      </c>
      <c r="BE9" s="24">
        <f t="shared" si="30"/>
        <v>-18.899999999999977</v>
      </c>
      <c r="BF9" s="345">
        <f t="shared" si="8"/>
        <v>18.899999999999977</v>
      </c>
      <c r="BG9" s="82">
        <f t="shared" si="9"/>
        <v>-18.899999999999977</v>
      </c>
    </row>
    <row r="10" spans="1:65" ht="15.75" thickBot="1">
      <c r="A10" s="6">
        <f>ELEC!C7</f>
        <v>44232</v>
      </c>
      <c r="B10" s="5">
        <f t="shared" si="10"/>
        <v>109443</v>
      </c>
      <c r="C10" s="5">
        <f t="shared" si="11"/>
        <v>0</v>
      </c>
      <c r="D10" s="419">
        <f t="shared" si="12"/>
        <v>0</v>
      </c>
      <c r="E10" s="333">
        <f>SUM((C10*$E$4)+(7500/'EDl log'!$A$34))</f>
        <v>267.85714285714283</v>
      </c>
      <c r="F10" s="418"/>
      <c r="G10" s="5">
        <f t="shared" si="13"/>
        <v>615374</v>
      </c>
      <c r="H10" s="5">
        <f t="shared" si="14"/>
        <v>0</v>
      </c>
      <c r="I10" s="5">
        <f t="shared" si="0"/>
        <v>0</v>
      </c>
      <c r="J10" s="334">
        <f t="shared" si="1"/>
        <v>0</v>
      </c>
      <c r="K10" s="5">
        <f>'Swimming Pool quality check '!H10</f>
        <v>6715</v>
      </c>
      <c r="L10" s="83">
        <f>K10-K9</f>
        <v>-1</v>
      </c>
      <c r="M10" s="410">
        <f t="shared" si="15"/>
        <v>457.44</v>
      </c>
      <c r="N10" s="514">
        <f t="shared" si="2"/>
        <v>0</v>
      </c>
      <c r="O10" s="410">
        <f t="shared" si="16"/>
        <v>529.52</v>
      </c>
      <c r="P10" s="514">
        <f t="shared" si="3"/>
        <v>0</v>
      </c>
      <c r="Q10" s="515">
        <f>P10+N10</f>
        <v>0</v>
      </c>
      <c r="R10" s="514"/>
      <c r="S10" s="514"/>
      <c r="T10" s="5">
        <f t="shared" si="17"/>
        <v>5165</v>
      </c>
      <c r="U10" s="5">
        <f t="shared" si="4"/>
        <v>0</v>
      </c>
      <c r="V10" s="5">
        <f t="shared" si="17"/>
        <v>461</v>
      </c>
      <c r="W10" s="324">
        <f t="shared" si="18"/>
        <v>0</v>
      </c>
      <c r="X10" s="5">
        <f t="shared" si="17"/>
        <v>150077</v>
      </c>
      <c r="Y10" s="324">
        <f t="shared" si="34"/>
        <v>0</v>
      </c>
      <c r="Z10" s="5">
        <f t="shared" si="17"/>
        <v>98262</v>
      </c>
      <c r="AA10" s="83">
        <f t="shared" si="19"/>
        <v>0</v>
      </c>
      <c r="AB10" s="5">
        <f t="shared" si="17"/>
        <v>256</v>
      </c>
      <c r="AC10" s="5">
        <f t="shared" si="17"/>
        <v>731</v>
      </c>
      <c r="AD10" s="83">
        <f t="shared" si="31"/>
        <v>0</v>
      </c>
      <c r="AE10" s="5">
        <f t="shared" si="17"/>
        <v>227.8</v>
      </c>
      <c r="AF10" s="83">
        <f t="shared" si="20"/>
        <v>0</v>
      </c>
      <c r="AG10" s="5">
        <f t="shared" si="17"/>
        <v>2181.5700000000002</v>
      </c>
      <c r="AH10" s="83">
        <f t="shared" si="21"/>
        <v>0</v>
      </c>
      <c r="AI10" s="83">
        <f t="shared" si="22"/>
        <v>0</v>
      </c>
      <c r="AJ10" s="326">
        <f t="shared" si="23"/>
        <v>0</v>
      </c>
      <c r="AK10" s="327">
        <f t="shared" si="32"/>
        <v>1</v>
      </c>
      <c r="AL10" s="327">
        <f t="shared" si="24"/>
        <v>0</v>
      </c>
      <c r="AM10" s="327">
        <f>'General information '!D10</f>
        <v>17.5</v>
      </c>
      <c r="AN10" s="84">
        <f>'General information '!H10</f>
        <v>0</v>
      </c>
      <c r="AO10" s="84"/>
      <c r="AP10" s="84">
        <f>'General information '!J10</f>
        <v>0</v>
      </c>
      <c r="AQ10" s="81"/>
      <c r="AR10" s="277">
        <f t="shared" si="25"/>
        <v>44232</v>
      </c>
      <c r="AS10" s="424">
        <f t="shared" si="6"/>
        <v>0.9</v>
      </c>
      <c r="AT10" s="201">
        <v>146</v>
      </c>
      <c r="AU10" s="425">
        <f t="shared" si="35"/>
        <v>1.1000000000000001</v>
      </c>
      <c r="AV10" s="201">
        <v>133</v>
      </c>
      <c r="AW10" s="5">
        <v>2.9</v>
      </c>
      <c r="AX10" s="201">
        <v>151</v>
      </c>
      <c r="AY10" s="426">
        <f t="shared" si="7"/>
        <v>131.4</v>
      </c>
      <c r="AZ10" s="426">
        <f t="shared" si="26"/>
        <v>146.30000000000001</v>
      </c>
      <c r="BA10" s="426">
        <f t="shared" si="27"/>
        <v>437.9</v>
      </c>
      <c r="BB10" s="21">
        <f t="shared" si="28"/>
        <v>0</v>
      </c>
      <c r="BC10" s="21">
        <f t="shared" si="29"/>
        <v>-3.3000000000000114</v>
      </c>
      <c r="BD10" s="21">
        <f t="shared" si="29"/>
        <v>-17.400000000000034</v>
      </c>
      <c r="BE10" s="24">
        <f t="shared" si="30"/>
        <v>-20.700000000000045</v>
      </c>
      <c r="BF10" s="96">
        <f t="shared" si="8"/>
        <v>20.700000000000045</v>
      </c>
      <c r="BG10" s="82">
        <f t="shared" si="9"/>
        <v>-20.700000000000045</v>
      </c>
    </row>
    <row r="11" spans="1:65" ht="15.75" thickBot="1">
      <c r="A11" s="6">
        <f>ELEC!C8</f>
        <v>44233</v>
      </c>
      <c r="B11" s="5">
        <f t="shared" si="10"/>
        <v>109443</v>
      </c>
      <c r="C11" s="5">
        <f t="shared" si="11"/>
        <v>0</v>
      </c>
      <c r="D11" s="419">
        <f t="shared" si="12"/>
        <v>0</v>
      </c>
      <c r="E11" s="333">
        <f>SUM((C11*$E$4)+(7500/'EDl log'!$A$34))</f>
        <v>267.85714285714283</v>
      </c>
      <c r="F11" s="418"/>
      <c r="G11" s="5">
        <f t="shared" si="13"/>
        <v>615374</v>
      </c>
      <c r="H11" s="5">
        <f t="shared" si="14"/>
        <v>0</v>
      </c>
      <c r="I11" s="5">
        <f t="shared" si="0"/>
        <v>0</v>
      </c>
      <c r="J11" s="334">
        <f t="shared" si="1"/>
        <v>0</v>
      </c>
      <c r="K11" s="5">
        <f>'Swimming Pool quality check '!H11</f>
        <v>6715.5</v>
      </c>
      <c r="L11" s="83">
        <f t="shared" si="33"/>
        <v>0.5</v>
      </c>
      <c r="M11" s="410">
        <f t="shared" si="15"/>
        <v>457.44</v>
      </c>
      <c r="N11" s="514">
        <f t="shared" si="2"/>
        <v>0</v>
      </c>
      <c r="O11" s="410">
        <f t="shared" si="16"/>
        <v>529.52</v>
      </c>
      <c r="P11" s="514">
        <f t="shared" si="3"/>
        <v>0</v>
      </c>
      <c r="Q11" s="514">
        <f>SUM(P11+N11)</f>
        <v>0</v>
      </c>
      <c r="R11" s="514"/>
      <c r="S11" s="514"/>
      <c r="T11" s="5">
        <f t="shared" si="17"/>
        <v>5165</v>
      </c>
      <c r="U11" s="5">
        <f t="shared" si="4"/>
        <v>0</v>
      </c>
      <c r="V11" s="5">
        <f t="shared" si="17"/>
        <v>461</v>
      </c>
      <c r="W11" s="324">
        <f t="shared" si="18"/>
        <v>0</v>
      </c>
      <c r="X11" s="5">
        <f t="shared" si="17"/>
        <v>150077</v>
      </c>
      <c r="Y11" s="324">
        <f t="shared" si="34"/>
        <v>0</v>
      </c>
      <c r="Z11" s="5">
        <f t="shared" si="17"/>
        <v>98262</v>
      </c>
      <c r="AA11" s="83">
        <f t="shared" si="19"/>
        <v>0</v>
      </c>
      <c r="AB11" s="5">
        <f t="shared" si="17"/>
        <v>256</v>
      </c>
      <c r="AC11" s="5">
        <f t="shared" si="17"/>
        <v>731</v>
      </c>
      <c r="AD11" s="83">
        <f t="shared" si="31"/>
        <v>0</v>
      </c>
      <c r="AE11" s="5">
        <f t="shared" si="17"/>
        <v>227.8</v>
      </c>
      <c r="AF11" s="83">
        <f t="shared" si="20"/>
        <v>0</v>
      </c>
      <c r="AG11" s="5">
        <f t="shared" si="17"/>
        <v>2181.5700000000002</v>
      </c>
      <c r="AH11" s="83">
        <f t="shared" si="21"/>
        <v>0</v>
      </c>
      <c r="AI11" s="83">
        <f t="shared" si="22"/>
        <v>0</v>
      </c>
      <c r="AJ11" s="326">
        <f t="shared" si="23"/>
        <v>0</v>
      </c>
      <c r="AK11" s="327">
        <f t="shared" si="32"/>
        <v>-0.5</v>
      </c>
      <c r="AL11" s="327">
        <f t="shared" si="24"/>
        <v>0</v>
      </c>
      <c r="AM11" s="327">
        <f>'General information '!D11</f>
        <v>17</v>
      </c>
      <c r="AN11" s="84">
        <f>'General information '!H11</f>
        <v>0</v>
      </c>
      <c r="AO11" s="84"/>
      <c r="AP11" s="84">
        <f>'General information '!J11</f>
        <v>0</v>
      </c>
      <c r="AQ11" s="81"/>
      <c r="AR11" s="277">
        <f t="shared" si="25"/>
        <v>44233</v>
      </c>
      <c r="AS11" s="424">
        <f t="shared" si="6"/>
        <v>0.9</v>
      </c>
      <c r="AT11" s="201">
        <f t="shared" si="6"/>
        <v>146</v>
      </c>
      <c r="AU11" s="425">
        <f t="shared" si="35"/>
        <v>1.1000000000000001</v>
      </c>
      <c r="AV11" s="201">
        <v>130</v>
      </c>
      <c r="AW11" s="5">
        <v>2.9</v>
      </c>
      <c r="AX11" s="201">
        <v>147</v>
      </c>
      <c r="AY11" s="426">
        <f t="shared" si="7"/>
        <v>131.4</v>
      </c>
      <c r="AZ11" s="426">
        <f t="shared" si="26"/>
        <v>143</v>
      </c>
      <c r="BA11" s="426">
        <f t="shared" si="27"/>
        <v>426.3</v>
      </c>
      <c r="BB11" s="21">
        <f t="shared" si="28"/>
        <v>0</v>
      </c>
      <c r="BC11" s="21">
        <f t="shared" si="29"/>
        <v>-3.3000000000000114</v>
      </c>
      <c r="BD11" s="21">
        <f t="shared" si="29"/>
        <v>-11.599999999999966</v>
      </c>
      <c r="BE11" s="24">
        <f t="shared" si="30"/>
        <v>-14.899999999999977</v>
      </c>
      <c r="BF11" s="96">
        <f t="shared" si="8"/>
        <v>14.899999999999977</v>
      </c>
      <c r="BG11" s="82">
        <f t="shared" si="9"/>
        <v>-14.899999999999977</v>
      </c>
    </row>
    <row r="12" spans="1:65" ht="15.75" thickBot="1">
      <c r="A12" s="6">
        <f>ELEC!C9</f>
        <v>44234</v>
      </c>
      <c r="B12" s="5">
        <f t="shared" si="10"/>
        <v>109443</v>
      </c>
      <c r="C12" s="5">
        <f>B12-B11</f>
        <v>0</v>
      </c>
      <c r="D12" s="419">
        <f t="shared" si="12"/>
        <v>0</v>
      </c>
      <c r="E12" s="333">
        <f>SUM((C12*$E$4)+(7500/'EDl log'!$A$34))</f>
        <v>267.85714285714283</v>
      </c>
      <c r="F12" s="418"/>
      <c r="G12" s="5">
        <f t="shared" si="13"/>
        <v>615374</v>
      </c>
      <c r="H12" s="5">
        <f t="shared" si="14"/>
        <v>0</v>
      </c>
      <c r="I12" s="5">
        <f t="shared" si="0"/>
        <v>0</v>
      </c>
      <c r="J12" s="334">
        <f t="shared" si="1"/>
        <v>0</v>
      </c>
      <c r="K12" s="5">
        <f>'Swimming Pool quality check '!H12</f>
        <v>6716</v>
      </c>
      <c r="L12" s="83">
        <f t="shared" si="33"/>
        <v>0.5</v>
      </c>
      <c r="M12" s="410">
        <f t="shared" si="15"/>
        <v>457.44</v>
      </c>
      <c r="N12" s="514">
        <f t="shared" si="2"/>
        <v>0</v>
      </c>
      <c r="O12" s="410">
        <f t="shared" si="16"/>
        <v>529.52</v>
      </c>
      <c r="P12" s="514">
        <f t="shared" si="3"/>
        <v>0</v>
      </c>
      <c r="Q12" s="514">
        <f>SUM(P12+N12)</f>
        <v>0</v>
      </c>
      <c r="R12" s="514"/>
      <c r="S12" s="514"/>
      <c r="T12" s="5">
        <f t="shared" si="17"/>
        <v>5165</v>
      </c>
      <c r="U12" s="5">
        <f t="shared" si="4"/>
        <v>0</v>
      </c>
      <c r="V12" s="5">
        <f t="shared" si="17"/>
        <v>461</v>
      </c>
      <c r="W12" s="324">
        <f t="shared" si="18"/>
        <v>0</v>
      </c>
      <c r="X12" s="5">
        <f t="shared" si="17"/>
        <v>150077</v>
      </c>
      <c r="Y12" s="324">
        <f t="shared" si="34"/>
        <v>0</v>
      </c>
      <c r="Z12" s="5">
        <f t="shared" si="17"/>
        <v>98262</v>
      </c>
      <c r="AA12" s="83">
        <f t="shared" si="19"/>
        <v>0</v>
      </c>
      <c r="AB12" s="5">
        <f t="shared" si="17"/>
        <v>256</v>
      </c>
      <c r="AC12" s="5">
        <f t="shared" si="17"/>
        <v>731</v>
      </c>
      <c r="AD12" s="83">
        <f t="shared" si="31"/>
        <v>0</v>
      </c>
      <c r="AE12" s="5">
        <f t="shared" si="17"/>
        <v>227.8</v>
      </c>
      <c r="AF12" s="83">
        <f t="shared" si="20"/>
        <v>0</v>
      </c>
      <c r="AG12" s="5">
        <f t="shared" si="17"/>
        <v>2181.5700000000002</v>
      </c>
      <c r="AH12" s="83">
        <f t="shared" si="21"/>
        <v>0</v>
      </c>
      <c r="AI12" s="83">
        <f t="shared" si="22"/>
        <v>0</v>
      </c>
      <c r="AJ12" s="326">
        <f t="shared" si="23"/>
        <v>0</v>
      </c>
      <c r="AK12" s="327">
        <f t="shared" si="32"/>
        <v>-0.5</v>
      </c>
      <c r="AL12" s="327">
        <f t="shared" si="24"/>
        <v>0</v>
      </c>
      <c r="AM12" s="327">
        <f>'General information '!D12</f>
        <v>19</v>
      </c>
      <c r="AN12" s="84">
        <f>'General information '!H12</f>
        <v>0</v>
      </c>
      <c r="AO12" s="84"/>
      <c r="AP12" s="84">
        <f>'General information '!J12</f>
        <v>0</v>
      </c>
      <c r="AQ12" s="81"/>
      <c r="AR12" s="277">
        <f t="shared" si="25"/>
        <v>44234</v>
      </c>
      <c r="AS12" s="424">
        <f t="shared" si="6"/>
        <v>0.9</v>
      </c>
      <c r="AT12" s="201">
        <v>146</v>
      </c>
      <c r="AU12" s="425">
        <f t="shared" si="35"/>
        <v>1.1000000000000001</v>
      </c>
      <c r="AV12" s="201">
        <v>128</v>
      </c>
      <c r="AW12" s="5">
        <v>2.9</v>
      </c>
      <c r="AX12" s="201">
        <v>143</v>
      </c>
      <c r="AY12" s="426">
        <f t="shared" si="7"/>
        <v>131.4</v>
      </c>
      <c r="AZ12" s="426">
        <f t="shared" si="26"/>
        <v>140.80000000000001</v>
      </c>
      <c r="BA12" s="426">
        <f t="shared" si="27"/>
        <v>414.7</v>
      </c>
      <c r="BB12" s="21">
        <f t="shared" si="28"/>
        <v>0</v>
      </c>
      <c r="BC12" s="21">
        <f t="shared" si="29"/>
        <v>-2.1999999999999886</v>
      </c>
      <c r="BD12" s="21">
        <f t="shared" si="29"/>
        <v>-11.600000000000023</v>
      </c>
      <c r="BE12" s="24">
        <f t="shared" si="30"/>
        <v>-13.800000000000011</v>
      </c>
      <c r="BF12" s="96">
        <f t="shared" si="8"/>
        <v>13.800000000000011</v>
      </c>
      <c r="BG12" s="82">
        <f t="shared" si="9"/>
        <v>-13.800000000000011</v>
      </c>
    </row>
    <row r="13" spans="1:65" ht="15.75" thickBot="1">
      <c r="A13" s="6">
        <f>ELEC!C10</f>
        <v>44235</v>
      </c>
      <c r="B13" s="5">
        <f t="shared" si="10"/>
        <v>109443</v>
      </c>
      <c r="C13" s="5">
        <f t="shared" si="11"/>
        <v>0</v>
      </c>
      <c r="D13" s="419">
        <f t="shared" si="12"/>
        <v>0</v>
      </c>
      <c r="E13" s="333">
        <f>SUM((C13*$E$4)+(7500/'EDl log'!$A$34))</f>
        <v>267.85714285714283</v>
      </c>
      <c r="F13" s="418"/>
      <c r="G13" s="5">
        <f t="shared" si="13"/>
        <v>615374</v>
      </c>
      <c r="H13" s="5">
        <f t="shared" si="14"/>
        <v>0</v>
      </c>
      <c r="I13" s="5">
        <f t="shared" si="0"/>
        <v>0</v>
      </c>
      <c r="J13" s="334">
        <f t="shared" si="1"/>
        <v>0</v>
      </c>
      <c r="K13" s="5">
        <f>'Swimming Pool quality check '!H13</f>
        <v>6717</v>
      </c>
      <c r="L13" s="83">
        <f t="shared" si="33"/>
        <v>1</v>
      </c>
      <c r="M13" s="410">
        <f t="shared" si="15"/>
        <v>457.44</v>
      </c>
      <c r="N13" s="514">
        <f t="shared" si="2"/>
        <v>0</v>
      </c>
      <c r="O13" s="410">
        <f t="shared" si="16"/>
        <v>529.52</v>
      </c>
      <c r="P13" s="514">
        <f t="shared" si="3"/>
        <v>0</v>
      </c>
      <c r="Q13" s="514">
        <f>SUM(P13+N13)</f>
        <v>0</v>
      </c>
      <c r="R13" s="514"/>
      <c r="S13" s="514"/>
      <c r="T13" s="5">
        <f t="shared" si="17"/>
        <v>5165</v>
      </c>
      <c r="U13" s="5">
        <f t="shared" si="4"/>
        <v>0</v>
      </c>
      <c r="V13" s="5">
        <f t="shared" si="17"/>
        <v>461</v>
      </c>
      <c r="W13" s="324">
        <f t="shared" si="18"/>
        <v>0</v>
      </c>
      <c r="X13" s="5">
        <f t="shared" si="17"/>
        <v>150077</v>
      </c>
      <c r="Y13" s="324">
        <f t="shared" si="34"/>
        <v>0</v>
      </c>
      <c r="Z13" s="5">
        <f t="shared" si="17"/>
        <v>98262</v>
      </c>
      <c r="AA13" s="83">
        <f t="shared" si="19"/>
        <v>0</v>
      </c>
      <c r="AB13" s="5">
        <f t="shared" si="17"/>
        <v>256</v>
      </c>
      <c r="AC13" s="5">
        <f t="shared" si="17"/>
        <v>731</v>
      </c>
      <c r="AD13" s="83">
        <f t="shared" si="31"/>
        <v>0</v>
      </c>
      <c r="AE13" s="5">
        <f t="shared" si="17"/>
        <v>227.8</v>
      </c>
      <c r="AF13" s="83">
        <f t="shared" si="20"/>
        <v>0</v>
      </c>
      <c r="AG13" s="5">
        <f t="shared" si="17"/>
        <v>2181.5700000000002</v>
      </c>
      <c r="AH13" s="83">
        <f t="shared" si="21"/>
        <v>0</v>
      </c>
      <c r="AI13" s="83">
        <f t="shared" si="22"/>
        <v>0</v>
      </c>
      <c r="AJ13" s="326">
        <f t="shared" si="23"/>
        <v>0</v>
      </c>
      <c r="AK13" s="327">
        <f t="shared" si="32"/>
        <v>-1</v>
      </c>
      <c r="AL13" s="327">
        <f t="shared" si="24"/>
        <v>0</v>
      </c>
      <c r="AM13" s="327">
        <f>'General information '!D13</f>
        <v>21</v>
      </c>
      <c r="AN13" s="84">
        <f>'General information '!J13</f>
        <v>0</v>
      </c>
      <c r="AO13" s="84"/>
      <c r="AP13" s="84">
        <f>'General information '!J13</f>
        <v>0</v>
      </c>
      <c r="AQ13" s="95"/>
      <c r="AR13" s="277">
        <f t="shared" si="25"/>
        <v>44235</v>
      </c>
      <c r="AS13" s="424">
        <f t="shared" si="6"/>
        <v>0.9</v>
      </c>
      <c r="AT13" s="201">
        <f t="shared" si="6"/>
        <v>146</v>
      </c>
      <c r="AU13" s="425">
        <f t="shared" si="35"/>
        <v>1.1000000000000001</v>
      </c>
      <c r="AV13" s="201">
        <v>126</v>
      </c>
      <c r="AW13" s="5">
        <v>2.9</v>
      </c>
      <c r="AX13" s="201">
        <v>140</v>
      </c>
      <c r="AY13" s="426">
        <f t="shared" si="7"/>
        <v>131.4</v>
      </c>
      <c r="AZ13" s="426">
        <f t="shared" si="26"/>
        <v>138.60000000000002</v>
      </c>
      <c r="BA13" s="426">
        <f t="shared" si="27"/>
        <v>406</v>
      </c>
      <c r="BB13" s="21">
        <f t="shared" si="28"/>
        <v>0</v>
      </c>
      <c r="BC13" s="21">
        <f t="shared" si="29"/>
        <v>-2.1999999999999886</v>
      </c>
      <c r="BD13" s="21">
        <f t="shared" si="29"/>
        <v>-8.6999999999999886</v>
      </c>
      <c r="BE13" s="24">
        <f t="shared" si="30"/>
        <v>-10.899999999999977</v>
      </c>
      <c r="BF13" s="96">
        <f t="shared" si="8"/>
        <v>10.899999999999977</v>
      </c>
      <c r="BG13" s="82">
        <f t="shared" si="9"/>
        <v>-10.899999999999977</v>
      </c>
    </row>
    <row r="14" spans="1:65" ht="15.75" thickBot="1">
      <c r="A14" s="6">
        <f>ELEC!C11</f>
        <v>44236</v>
      </c>
      <c r="B14" s="5">
        <f t="shared" si="10"/>
        <v>109443</v>
      </c>
      <c r="C14" s="5">
        <f t="shared" si="11"/>
        <v>0</v>
      </c>
      <c r="D14" s="419">
        <f t="shared" si="12"/>
        <v>0</v>
      </c>
      <c r="E14" s="333">
        <f>SUM((C14*$E$4)+(7500/'EDl log'!$A$34))</f>
        <v>267.85714285714283</v>
      </c>
      <c r="F14" s="418"/>
      <c r="G14" s="5">
        <f t="shared" si="13"/>
        <v>615374</v>
      </c>
      <c r="H14" s="5">
        <f t="shared" si="14"/>
        <v>0</v>
      </c>
      <c r="I14" s="5">
        <f t="shared" si="0"/>
        <v>0</v>
      </c>
      <c r="J14" s="334">
        <f t="shared" si="1"/>
        <v>0</v>
      </c>
      <c r="K14" s="5">
        <f>'Swimming Pool quality check '!H14</f>
        <v>6718</v>
      </c>
      <c r="L14" s="83">
        <f t="shared" si="33"/>
        <v>1</v>
      </c>
      <c r="M14" s="410">
        <f t="shared" si="15"/>
        <v>457.44</v>
      </c>
      <c r="N14" s="514">
        <f t="shared" ref="N14:N33" si="36">SUM(M14-M13)</f>
        <v>0</v>
      </c>
      <c r="O14" s="410">
        <f t="shared" si="16"/>
        <v>529.52</v>
      </c>
      <c r="P14" s="514">
        <f t="shared" ref="P14:P33" si="37">SUM(O14-O13)</f>
        <v>0</v>
      </c>
      <c r="Q14" s="514">
        <f t="shared" ref="Q14:Q33" si="38">SUM(P14+N14)</f>
        <v>0</v>
      </c>
      <c r="R14" s="514"/>
      <c r="S14" s="514"/>
      <c r="T14" s="5">
        <f t="shared" si="17"/>
        <v>5165</v>
      </c>
      <c r="U14" s="5">
        <f t="shared" si="4"/>
        <v>0</v>
      </c>
      <c r="V14" s="5">
        <f t="shared" si="17"/>
        <v>461</v>
      </c>
      <c r="W14" s="324">
        <f t="shared" si="18"/>
        <v>0</v>
      </c>
      <c r="X14" s="5">
        <f t="shared" si="17"/>
        <v>150077</v>
      </c>
      <c r="Y14" s="324">
        <f t="shared" si="34"/>
        <v>0</v>
      </c>
      <c r="Z14" s="5">
        <f t="shared" si="17"/>
        <v>98262</v>
      </c>
      <c r="AA14" s="83">
        <f t="shared" si="19"/>
        <v>0</v>
      </c>
      <c r="AB14" s="5">
        <f t="shared" si="17"/>
        <v>256</v>
      </c>
      <c r="AC14" s="5">
        <f t="shared" si="17"/>
        <v>731</v>
      </c>
      <c r="AD14" s="83">
        <f t="shared" si="31"/>
        <v>0</v>
      </c>
      <c r="AE14" s="5">
        <f t="shared" si="17"/>
        <v>227.8</v>
      </c>
      <c r="AF14" s="83">
        <f t="shared" si="20"/>
        <v>0</v>
      </c>
      <c r="AG14" s="5">
        <f t="shared" si="17"/>
        <v>2181.5700000000002</v>
      </c>
      <c r="AH14" s="83">
        <f t="shared" si="21"/>
        <v>0</v>
      </c>
      <c r="AI14" s="83">
        <f t="shared" si="22"/>
        <v>0</v>
      </c>
      <c r="AJ14" s="326">
        <f t="shared" si="23"/>
        <v>0</v>
      </c>
      <c r="AK14" s="327">
        <f t="shared" si="32"/>
        <v>-1</v>
      </c>
      <c r="AL14" s="327">
        <f t="shared" si="24"/>
        <v>0</v>
      </c>
      <c r="AM14" s="327">
        <f>'General information '!D14</f>
        <v>19.5</v>
      </c>
      <c r="AN14" s="84">
        <f>'General information '!H14</f>
        <v>0</v>
      </c>
      <c r="AO14" s="84"/>
      <c r="AP14" s="84">
        <f>'General information '!J14</f>
        <v>0</v>
      </c>
      <c r="AQ14" s="81"/>
      <c r="AR14" s="277">
        <f t="shared" si="25"/>
        <v>44236</v>
      </c>
      <c r="AS14" s="424">
        <f t="shared" si="6"/>
        <v>0.9</v>
      </c>
      <c r="AT14" s="201">
        <f t="shared" si="6"/>
        <v>146</v>
      </c>
      <c r="AU14" s="425">
        <f t="shared" si="35"/>
        <v>1.1000000000000001</v>
      </c>
      <c r="AV14" s="201">
        <v>122</v>
      </c>
      <c r="AW14" s="5">
        <v>2.9</v>
      </c>
      <c r="AX14" s="201">
        <v>137</v>
      </c>
      <c r="AY14" s="426">
        <f t="shared" si="7"/>
        <v>131.4</v>
      </c>
      <c r="AZ14" s="426">
        <f t="shared" si="26"/>
        <v>134.20000000000002</v>
      </c>
      <c r="BA14" s="426">
        <f t="shared" si="27"/>
        <v>397.3</v>
      </c>
      <c r="BB14" s="21">
        <f t="shared" si="28"/>
        <v>0</v>
      </c>
      <c r="BC14" s="21">
        <f t="shared" si="29"/>
        <v>-4.4000000000000057</v>
      </c>
      <c r="BD14" s="21">
        <f t="shared" si="29"/>
        <v>-8.6999999999999886</v>
      </c>
      <c r="BE14" s="24">
        <f t="shared" si="30"/>
        <v>-13.099999999999994</v>
      </c>
      <c r="BF14" s="96">
        <f t="shared" si="8"/>
        <v>13.099999999999994</v>
      </c>
      <c r="BG14" s="82">
        <f t="shared" si="9"/>
        <v>-13.099999999999994</v>
      </c>
    </row>
    <row r="15" spans="1:65" ht="16.5" customHeight="1" thickBot="1">
      <c r="A15" s="6">
        <f>ELEC!C12</f>
        <v>44237</v>
      </c>
      <c r="B15" s="5">
        <f t="shared" si="10"/>
        <v>109443</v>
      </c>
      <c r="C15" s="5">
        <f t="shared" si="11"/>
        <v>0</v>
      </c>
      <c r="D15" s="419">
        <f t="shared" si="12"/>
        <v>0</v>
      </c>
      <c r="E15" s="333">
        <f>SUM((C15*$E$4)+(7500/'EDl log'!$A$34))</f>
        <v>267.85714285714283</v>
      </c>
      <c r="F15" s="418"/>
      <c r="G15" s="5">
        <f t="shared" si="13"/>
        <v>615374</v>
      </c>
      <c r="H15" s="5">
        <f t="shared" si="14"/>
        <v>0</v>
      </c>
      <c r="I15" s="5">
        <f t="shared" si="0"/>
        <v>0</v>
      </c>
      <c r="J15" s="334">
        <f t="shared" si="1"/>
        <v>0</v>
      </c>
      <c r="K15" s="5">
        <f>'Swimming Pool quality check '!H15</f>
        <v>6718</v>
      </c>
      <c r="L15" s="83">
        <f t="shared" si="33"/>
        <v>0</v>
      </c>
      <c r="M15" s="410">
        <f t="shared" si="15"/>
        <v>457.44</v>
      </c>
      <c r="N15" s="514">
        <f t="shared" si="36"/>
        <v>0</v>
      </c>
      <c r="O15" s="410">
        <f t="shared" si="16"/>
        <v>529.52</v>
      </c>
      <c r="P15" s="514">
        <f t="shared" si="37"/>
        <v>0</v>
      </c>
      <c r="Q15" s="514">
        <f t="shared" si="38"/>
        <v>0</v>
      </c>
      <c r="R15" s="514"/>
      <c r="S15" s="514"/>
      <c r="T15" s="5">
        <f t="shared" si="17"/>
        <v>5165</v>
      </c>
      <c r="U15" s="5">
        <f t="shared" si="4"/>
        <v>0</v>
      </c>
      <c r="V15" s="5">
        <f t="shared" si="17"/>
        <v>461</v>
      </c>
      <c r="W15" s="324">
        <f t="shared" si="18"/>
        <v>0</v>
      </c>
      <c r="X15" s="5">
        <f t="shared" si="17"/>
        <v>150077</v>
      </c>
      <c r="Y15" s="324">
        <f t="shared" si="34"/>
        <v>0</v>
      </c>
      <c r="Z15" s="5">
        <f t="shared" si="17"/>
        <v>98262</v>
      </c>
      <c r="AA15" s="83">
        <f t="shared" si="19"/>
        <v>0</v>
      </c>
      <c r="AB15" s="5">
        <f t="shared" si="17"/>
        <v>256</v>
      </c>
      <c r="AC15" s="5">
        <f t="shared" si="17"/>
        <v>731</v>
      </c>
      <c r="AD15" s="83">
        <f t="shared" si="31"/>
        <v>0</v>
      </c>
      <c r="AE15" s="5">
        <f t="shared" si="17"/>
        <v>227.8</v>
      </c>
      <c r="AF15" s="83">
        <f t="shared" si="20"/>
        <v>0</v>
      </c>
      <c r="AG15" s="5">
        <f t="shared" si="17"/>
        <v>2181.5700000000002</v>
      </c>
      <c r="AH15" s="83">
        <f t="shared" si="21"/>
        <v>0</v>
      </c>
      <c r="AI15" s="83">
        <f t="shared" si="22"/>
        <v>0</v>
      </c>
      <c r="AJ15" s="326">
        <f t="shared" si="23"/>
        <v>0</v>
      </c>
      <c r="AK15" s="327">
        <f t="shared" si="32"/>
        <v>0</v>
      </c>
      <c r="AL15" s="327">
        <f t="shared" si="24"/>
        <v>0</v>
      </c>
      <c r="AM15" s="327">
        <f>'General information '!D15</f>
        <v>16.5</v>
      </c>
      <c r="AN15" s="84">
        <f>'General information '!H15</f>
        <v>0</v>
      </c>
      <c r="AO15" s="84"/>
      <c r="AP15" s="84">
        <f>'General information '!J15</f>
        <v>0</v>
      </c>
      <c r="AQ15" s="81"/>
      <c r="AR15" s="277">
        <f t="shared" si="25"/>
        <v>44237</v>
      </c>
      <c r="AS15" s="424">
        <f t="shared" si="6"/>
        <v>0.9</v>
      </c>
      <c r="AT15" s="201">
        <f t="shared" si="6"/>
        <v>146</v>
      </c>
      <c r="AU15" s="425">
        <f t="shared" si="35"/>
        <v>1.1000000000000001</v>
      </c>
      <c r="AV15" s="201">
        <v>119</v>
      </c>
      <c r="AW15" s="5">
        <v>2.9</v>
      </c>
      <c r="AX15" s="201">
        <v>135</v>
      </c>
      <c r="AY15" s="426">
        <f t="shared" si="7"/>
        <v>131.4</v>
      </c>
      <c r="AZ15" s="426">
        <f t="shared" si="26"/>
        <v>130.9</v>
      </c>
      <c r="BA15" s="426">
        <f t="shared" si="27"/>
        <v>391.5</v>
      </c>
      <c r="BB15" s="21">
        <f t="shared" si="28"/>
        <v>0</v>
      </c>
      <c r="BC15" s="21">
        <f t="shared" si="29"/>
        <v>-3.3000000000000114</v>
      </c>
      <c r="BD15" s="21">
        <f t="shared" si="29"/>
        <v>-5.8000000000000114</v>
      </c>
      <c r="BE15" s="24">
        <f t="shared" si="30"/>
        <v>-9.1000000000000227</v>
      </c>
      <c r="BF15" s="96">
        <f t="shared" si="8"/>
        <v>9.1000000000000227</v>
      </c>
      <c r="BG15" s="82">
        <f t="shared" si="9"/>
        <v>-9.1000000000000227</v>
      </c>
    </row>
    <row r="16" spans="1:65" ht="15.75" thickBot="1">
      <c r="A16" s="6">
        <f>ELEC!C13</f>
        <v>44238</v>
      </c>
      <c r="B16" s="5">
        <f t="shared" si="10"/>
        <v>109443</v>
      </c>
      <c r="C16" s="5">
        <f t="shared" si="11"/>
        <v>0</v>
      </c>
      <c r="D16" s="419">
        <f t="shared" si="12"/>
        <v>0</v>
      </c>
      <c r="E16" s="333">
        <f>SUM((C16*$E$4)+(7500/'EDl log'!$A$34))</f>
        <v>267.85714285714283</v>
      </c>
      <c r="F16" s="418"/>
      <c r="G16" s="5">
        <f t="shared" si="13"/>
        <v>615374</v>
      </c>
      <c r="H16" s="5">
        <f t="shared" si="14"/>
        <v>0</v>
      </c>
      <c r="I16" s="5">
        <f t="shared" si="0"/>
        <v>0</v>
      </c>
      <c r="J16" s="334">
        <f t="shared" si="1"/>
        <v>0</v>
      </c>
      <c r="K16" s="5">
        <f>'Swimming Pool quality check '!H16</f>
        <v>6718</v>
      </c>
      <c r="L16" s="274">
        <f t="shared" si="33"/>
        <v>0</v>
      </c>
      <c r="M16" s="410">
        <f t="shared" si="15"/>
        <v>457.44</v>
      </c>
      <c r="N16" s="514">
        <f t="shared" si="36"/>
        <v>0</v>
      </c>
      <c r="O16" s="410">
        <f t="shared" si="16"/>
        <v>529.52</v>
      </c>
      <c r="P16" s="514">
        <f t="shared" si="37"/>
        <v>0</v>
      </c>
      <c r="Q16" s="514">
        <f t="shared" si="38"/>
        <v>0</v>
      </c>
      <c r="R16" s="516"/>
      <c r="S16" s="516"/>
      <c r="T16" s="5">
        <f t="shared" si="17"/>
        <v>5165</v>
      </c>
      <c r="U16" s="5">
        <f t="shared" si="4"/>
        <v>0</v>
      </c>
      <c r="V16" s="5">
        <f t="shared" si="17"/>
        <v>461</v>
      </c>
      <c r="W16" s="324">
        <f t="shared" si="18"/>
        <v>0</v>
      </c>
      <c r="X16" s="5">
        <f t="shared" si="17"/>
        <v>150077</v>
      </c>
      <c r="Y16" s="324">
        <f t="shared" si="34"/>
        <v>0</v>
      </c>
      <c r="Z16" s="5">
        <f t="shared" si="17"/>
        <v>98262</v>
      </c>
      <c r="AA16" s="83">
        <f t="shared" si="19"/>
        <v>0</v>
      </c>
      <c r="AB16" s="5">
        <f t="shared" si="17"/>
        <v>256</v>
      </c>
      <c r="AC16" s="5">
        <f t="shared" si="17"/>
        <v>731</v>
      </c>
      <c r="AD16" s="83">
        <f t="shared" si="31"/>
        <v>0</v>
      </c>
      <c r="AE16" s="5">
        <f t="shared" si="17"/>
        <v>227.8</v>
      </c>
      <c r="AF16" s="83">
        <f t="shared" si="20"/>
        <v>0</v>
      </c>
      <c r="AG16" s="5">
        <f t="shared" si="17"/>
        <v>2181.5700000000002</v>
      </c>
      <c r="AH16" s="83">
        <f t="shared" si="21"/>
        <v>0</v>
      </c>
      <c r="AI16" s="83">
        <f t="shared" si="22"/>
        <v>0</v>
      </c>
      <c r="AJ16" s="326">
        <f t="shared" si="23"/>
        <v>0</v>
      </c>
      <c r="AK16" s="327">
        <f t="shared" si="32"/>
        <v>0</v>
      </c>
      <c r="AL16" s="327">
        <f t="shared" si="24"/>
        <v>0</v>
      </c>
      <c r="AM16" s="327">
        <f>'General information '!D16</f>
        <v>15.5</v>
      </c>
      <c r="AN16" s="84">
        <f>'General information '!H16</f>
        <v>0</v>
      </c>
      <c r="AO16" s="84"/>
      <c r="AP16" s="84">
        <f>'General information '!J16</f>
        <v>0</v>
      </c>
      <c r="AQ16" s="81"/>
      <c r="AR16" s="277">
        <f t="shared" si="25"/>
        <v>44238</v>
      </c>
      <c r="AS16" s="424">
        <f t="shared" si="6"/>
        <v>0.9</v>
      </c>
      <c r="AT16" s="201">
        <f t="shared" si="6"/>
        <v>146</v>
      </c>
      <c r="AU16" s="425">
        <f t="shared" si="35"/>
        <v>1.1000000000000001</v>
      </c>
      <c r="AV16" s="201">
        <v>114</v>
      </c>
      <c r="AW16" s="5">
        <v>2.9</v>
      </c>
      <c r="AX16" s="201">
        <v>133</v>
      </c>
      <c r="AY16" s="426">
        <f t="shared" si="7"/>
        <v>131.4</v>
      </c>
      <c r="AZ16" s="426">
        <f t="shared" si="26"/>
        <v>125.4</v>
      </c>
      <c r="BA16" s="426">
        <f t="shared" si="27"/>
        <v>385.7</v>
      </c>
      <c r="BB16" s="21">
        <f t="shared" si="28"/>
        <v>0</v>
      </c>
      <c r="BC16" s="21">
        <f t="shared" si="29"/>
        <v>-5.5</v>
      </c>
      <c r="BD16" s="21">
        <f t="shared" si="29"/>
        <v>-5.8000000000000114</v>
      </c>
      <c r="BE16" s="24">
        <f t="shared" si="30"/>
        <v>-11.300000000000011</v>
      </c>
      <c r="BF16" s="96">
        <f t="shared" si="8"/>
        <v>11.300000000000011</v>
      </c>
      <c r="BG16" s="82">
        <f t="shared" si="9"/>
        <v>-11.300000000000011</v>
      </c>
    </row>
    <row r="17" spans="1:61" ht="15.75" thickBot="1">
      <c r="A17" s="6">
        <f>ELEC!C14</f>
        <v>44239</v>
      </c>
      <c r="B17" s="5">
        <f t="shared" si="10"/>
        <v>109443</v>
      </c>
      <c r="C17" s="5">
        <f t="shared" si="11"/>
        <v>0</v>
      </c>
      <c r="D17" s="419">
        <f t="shared" si="12"/>
        <v>0</v>
      </c>
      <c r="E17" s="333">
        <f>SUM((C17*$E$4)+(7500/'EDl log'!$A$34))</f>
        <v>267.85714285714283</v>
      </c>
      <c r="F17" s="418"/>
      <c r="G17" s="5">
        <f t="shared" si="13"/>
        <v>615374</v>
      </c>
      <c r="H17" s="5">
        <f t="shared" si="14"/>
        <v>0</v>
      </c>
      <c r="I17" s="5">
        <f t="shared" si="0"/>
        <v>0</v>
      </c>
      <c r="J17" s="334">
        <f t="shared" si="1"/>
        <v>0</v>
      </c>
      <c r="K17" s="5">
        <f>'Swimming Pool quality check '!H17</f>
        <v>6718</v>
      </c>
      <c r="L17" s="83">
        <f t="shared" si="33"/>
        <v>0</v>
      </c>
      <c r="M17" s="410">
        <f t="shared" si="15"/>
        <v>457.44</v>
      </c>
      <c r="N17" s="514">
        <f t="shared" si="36"/>
        <v>0</v>
      </c>
      <c r="O17" s="410">
        <f t="shared" si="16"/>
        <v>529.52</v>
      </c>
      <c r="P17" s="514">
        <f t="shared" si="37"/>
        <v>0</v>
      </c>
      <c r="Q17" s="514">
        <f t="shared" si="38"/>
        <v>0</v>
      </c>
      <c r="R17" s="514"/>
      <c r="S17" s="514"/>
      <c r="T17" s="5">
        <f t="shared" si="17"/>
        <v>5165</v>
      </c>
      <c r="U17" s="5">
        <f t="shared" si="4"/>
        <v>0</v>
      </c>
      <c r="V17" s="5">
        <f t="shared" si="17"/>
        <v>461</v>
      </c>
      <c r="W17" s="324">
        <f t="shared" si="18"/>
        <v>0</v>
      </c>
      <c r="X17" s="5">
        <f t="shared" si="17"/>
        <v>150077</v>
      </c>
      <c r="Y17" s="324">
        <f t="shared" si="34"/>
        <v>0</v>
      </c>
      <c r="Z17" s="5">
        <f t="shared" si="17"/>
        <v>98262</v>
      </c>
      <c r="AA17" s="83">
        <f t="shared" si="19"/>
        <v>0</v>
      </c>
      <c r="AB17" s="5">
        <f t="shared" si="17"/>
        <v>256</v>
      </c>
      <c r="AC17" s="5">
        <f t="shared" si="17"/>
        <v>731</v>
      </c>
      <c r="AD17" s="83">
        <f t="shared" si="31"/>
        <v>0</v>
      </c>
      <c r="AE17" s="5">
        <f t="shared" si="17"/>
        <v>227.8</v>
      </c>
      <c r="AF17" s="83">
        <f t="shared" si="20"/>
        <v>0</v>
      </c>
      <c r="AG17" s="5">
        <f t="shared" si="17"/>
        <v>2181.5700000000002</v>
      </c>
      <c r="AH17" s="83">
        <f t="shared" si="21"/>
        <v>0</v>
      </c>
      <c r="AI17" s="83">
        <f t="shared" si="22"/>
        <v>0</v>
      </c>
      <c r="AJ17" s="326">
        <f t="shared" si="23"/>
        <v>0</v>
      </c>
      <c r="AK17" s="327">
        <f>SUM(Y17-L17)</f>
        <v>0</v>
      </c>
      <c r="AL17" s="327">
        <f t="shared" si="24"/>
        <v>0</v>
      </c>
      <c r="AM17" s="327">
        <f>'General information '!D17</f>
        <v>15.5</v>
      </c>
      <c r="AN17" s="84">
        <f>'General information '!H17</f>
        <v>0</v>
      </c>
      <c r="AO17" s="84"/>
      <c r="AP17" s="84">
        <f>'General information '!J17</f>
        <v>0</v>
      </c>
      <c r="AQ17" s="95"/>
      <c r="AR17" s="277">
        <f t="shared" si="25"/>
        <v>44239</v>
      </c>
      <c r="AS17" s="424">
        <f t="shared" si="6"/>
        <v>0.9</v>
      </c>
      <c r="AT17" s="201">
        <f t="shared" si="6"/>
        <v>146</v>
      </c>
      <c r="AU17" s="425">
        <f t="shared" si="35"/>
        <v>1.1000000000000001</v>
      </c>
      <c r="AV17" s="201">
        <v>110</v>
      </c>
      <c r="AW17" s="5">
        <v>2.9</v>
      </c>
      <c r="AX17" s="201">
        <v>130</v>
      </c>
      <c r="AY17" s="426">
        <f t="shared" si="7"/>
        <v>131.4</v>
      </c>
      <c r="AZ17" s="426">
        <f t="shared" si="26"/>
        <v>121.00000000000001</v>
      </c>
      <c r="BA17" s="426">
        <f t="shared" si="27"/>
        <v>377</v>
      </c>
      <c r="BB17" s="21">
        <f t="shared" si="28"/>
        <v>0</v>
      </c>
      <c r="BC17" s="21">
        <f t="shared" si="29"/>
        <v>-4.3999999999999915</v>
      </c>
      <c r="BD17" s="21">
        <f t="shared" si="29"/>
        <v>-8.6999999999999886</v>
      </c>
      <c r="BE17" s="24">
        <f t="shared" si="30"/>
        <v>-13.09999999999998</v>
      </c>
      <c r="BF17" s="96">
        <f t="shared" si="8"/>
        <v>13.09999999999998</v>
      </c>
      <c r="BG17" s="82">
        <f t="shared" si="9"/>
        <v>-13.09999999999998</v>
      </c>
    </row>
    <row r="18" spans="1:61" ht="15.75" thickBot="1">
      <c r="A18" s="6">
        <f>ELEC!C15</f>
        <v>44240</v>
      </c>
      <c r="B18" s="5">
        <f t="shared" si="10"/>
        <v>109443</v>
      </c>
      <c r="C18" s="5">
        <f t="shared" si="11"/>
        <v>0</v>
      </c>
      <c r="D18" s="419">
        <f t="shared" si="12"/>
        <v>0</v>
      </c>
      <c r="E18" s="333">
        <f>SUM((C18*$E$4)+(7500/'EDl log'!$A$34))</f>
        <v>267.85714285714283</v>
      </c>
      <c r="F18" s="418"/>
      <c r="G18" s="5">
        <f t="shared" si="13"/>
        <v>615374</v>
      </c>
      <c r="H18" s="5">
        <f t="shared" si="14"/>
        <v>0</v>
      </c>
      <c r="I18" s="5">
        <f t="shared" si="0"/>
        <v>0</v>
      </c>
      <c r="J18" s="334">
        <f t="shared" si="1"/>
        <v>0</v>
      </c>
      <c r="K18" s="5">
        <f>'Swimming Pool quality check '!H18</f>
        <v>6718</v>
      </c>
      <c r="L18" s="83">
        <f t="shared" si="33"/>
        <v>0</v>
      </c>
      <c r="M18" s="410">
        <f t="shared" si="15"/>
        <v>457.44</v>
      </c>
      <c r="N18" s="514">
        <f t="shared" si="36"/>
        <v>0</v>
      </c>
      <c r="O18" s="410">
        <f t="shared" si="16"/>
        <v>529.52</v>
      </c>
      <c r="P18" s="514">
        <f t="shared" si="37"/>
        <v>0</v>
      </c>
      <c r="Q18" s="514">
        <f t="shared" si="38"/>
        <v>0</v>
      </c>
      <c r="R18" s="514"/>
      <c r="S18" s="514"/>
      <c r="T18" s="5">
        <f t="shared" si="17"/>
        <v>5165</v>
      </c>
      <c r="U18" s="5">
        <f t="shared" si="4"/>
        <v>0</v>
      </c>
      <c r="V18" s="5">
        <f t="shared" si="17"/>
        <v>461</v>
      </c>
      <c r="W18" s="324">
        <f t="shared" si="18"/>
        <v>0</v>
      </c>
      <c r="X18" s="5">
        <v>150141</v>
      </c>
      <c r="Y18" s="324">
        <f t="shared" si="34"/>
        <v>64</v>
      </c>
      <c r="Z18" s="5">
        <v>98323</v>
      </c>
      <c r="AA18" s="83">
        <f t="shared" si="19"/>
        <v>61</v>
      </c>
      <c r="AB18" s="5">
        <f t="shared" si="17"/>
        <v>256</v>
      </c>
      <c r="AC18" s="5">
        <f t="shared" si="17"/>
        <v>731</v>
      </c>
      <c r="AD18" s="83">
        <f t="shared" si="31"/>
        <v>0</v>
      </c>
      <c r="AE18" s="5">
        <f t="shared" si="17"/>
        <v>227.8</v>
      </c>
      <c r="AF18" s="83">
        <f t="shared" si="20"/>
        <v>0</v>
      </c>
      <c r="AG18" s="5">
        <f t="shared" si="17"/>
        <v>2181.5700000000002</v>
      </c>
      <c r="AH18" s="83">
        <f t="shared" si="21"/>
        <v>0</v>
      </c>
      <c r="AI18" s="83">
        <f t="shared" si="22"/>
        <v>0</v>
      </c>
      <c r="AJ18" s="326">
        <f t="shared" si="23"/>
        <v>61</v>
      </c>
      <c r="AK18" s="327">
        <f>SUM(Y18-L18)</f>
        <v>64</v>
      </c>
      <c r="AL18" s="327">
        <f t="shared" si="24"/>
        <v>61</v>
      </c>
      <c r="AM18" s="327">
        <f>'General information '!D18</f>
        <v>16.5</v>
      </c>
      <c r="AN18" s="84">
        <f>'General information '!H18</f>
        <v>0</v>
      </c>
      <c r="AO18" s="84"/>
      <c r="AP18" s="84">
        <f>'General information '!J18</f>
        <v>0</v>
      </c>
      <c r="AQ18" s="95"/>
      <c r="AR18" s="277">
        <f t="shared" si="25"/>
        <v>44240</v>
      </c>
      <c r="AS18" s="424">
        <f t="shared" si="6"/>
        <v>0.9</v>
      </c>
      <c r="AT18" s="201">
        <v>0</v>
      </c>
      <c r="AU18" s="425">
        <f t="shared" si="35"/>
        <v>1.1000000000000001</v>
      </c>
      <c r="AV18" s="201">
        <v>152</v>
      </c>
      <c r="AW18" s="5">
        <v>2.9</v>
      </c>
      <c r="AX18" s="201">
        <v>144</v>
      </c>
      <c r="AY18" s="426">
        <f t="shared" si="7"/>
        <v>0</v>
      </c>
      <c r="AZ18" s="426">
        <f t="shared" si="26"/>
        <v>167.20000000000002</v>
      </c>
      <c r="BA18" s="426">
        <f t="shared" si="27"/>
        <v>417.59999999999997</v>
      </c>
      <c r="BB18" s="21">
        <f t="shared" si="28"/>
        <v>-131.4</v>
      </c>
      <c r="BC18" s="21">
        <f t="shared" si="29"/>
        <v>46.2</v>
      </c>
      <c r="BD18" s="21">
        <f t="shared" si="29"/>
        <v>40.599999999999966</v>
      </c>
      <c r="BE18" s="24">
        <f t="shared" si="30"/>
        <v>-44.600000000000037</v>
      </c>
      <c r="BF18" s="96">
        <f t="shared" si="8"/>
        <v>44.600000000000037</v>
      </c>
      <c r="BG18" s="82">
        <f t="shared" si="9"/>
        <v>-44.600000000000037</v>
      </c>
    </row>
    <row r="19" spans="1:61" ht="15.75" thickBot="1">
      <c r="A19" s="6">
        <f>ELEC!C16</f>
        <v>44241</v>
      </c>
      <c r="B19" s="5">
        <f t="shared" si="10"/>
        <v>109443</v>
      </c>
      <c r="C19" s="5">
        <f t="shared" si="11"/>
        <v>0</v>
      </c>
      <c r="D19" s="419">
        <f t="shared" si="12"/>
        <v>0</v>
      </c>
      <c r="E19" s="333">
        <f>SUM((C19*$E$4)+(7500/'EDl log'!$A$34))</f>
        <v>267.85714285714283</v>
      </c>
      <c r="F19" s="418"/>
      <c r="G19" s="5">
        <v>615653</v>
      </c>
      <c r="H19" s="5">
        <f t="shared" si="14"/>
        <v>279</v>
      </c>
      <c r="I19" s="5">
        <f t="shared" si="0"/>
        <v>279</v>
      </c>
      <c r="J19" s="334">
        <f t="shared" si="1"/>
        <v>0.96006144393241155</v>
      </c>
      <c r="K19" s="5">
        <f>'Swimming Pool quality check '!H19</f>
        <v>6718</v>
      </c>
      <c r="L19" s="83">
        <f t="shared" si="33"/>
        <v>0</v>
      </c>
      <c r="M19" s="410">
        <f t="shared" si="15"/>
        <v>457.44</v>
      </c>
      <c r="N19" s="514">
        <f t="shared" si="36"/>
        <v>0</v>
      </c>
      <c r="O19" s="410">
        <f t="shared" si="16"/>
        <v>529.52</v>
      </c>
      <c r="P19" s="514">
        <f t="shared" si="37"/>
        <v>0</v>
      </c>
      <c r="Q19" s="514">
        <f t="shared" si="38"/>
        <v>0</v>
      </c>
      <c r="R19" s="514"/>
      <c r="S19" s="514"/>
      <c r="T19" s="5">
        <f t="shared" si="17"/>
        <v>5165</v>
      </c>
      <c r="U19" s="5">
        <f t="shared" si="4"/>
        <v>0</v>
      </c>
      <c r="V19" s="5">
        <f t="shared" si="17"/>
        <v>461</v>
      </c>
      <c r="W19" s="324">
        <f t="shared" si="18"/>
        <v>0</v>
      </c>
      <c r="X19" s="5">
        <f t="shared" si="17"/>
        <v>150141</v>
      </c>
      <c r="Y19" s="324">
        <f t="shared" si="34"/>
        <v>0</v>
      </c>
      <c r="Z19" s="5">
        <f t="shared" si="17"/>
        <v>98323</v>
      </c>
      <c r="AA19" s="83">
        <f t="shared" si="19"/>
        <v>0</v>
      </c>
      <c r="AB19" s="5">
        <f t="shared" si="17"/>
        <v>256</v>
      </c>
      <c r="AC19" s="5">
        <f t="shared" si="17"/>
        <v>731</v>
      </c>
      <c r="AD19" s="83">
        <f t="shared" si="31"/>
        <v>0</v>
      </c>
      <c r="AE19" s="5">
        <f t="shared" si="17"/>
        <v>227.8</v>
      </c>
      <c r="AF19" s="83">
        <f t="shared" si="20"/>
        <v>0</v>
      </c>
      <c r="AG19" s="5">
        <f t="shared" si="17"/>
        <v>2181.5700000000002</v>
      </c>
      <c r="AH19" s="83">
        <f t="shared" si="21"/>
        <v>0</v>
      </c>
      <c r="AI19" s="83">
        <f t="shared" si="22"/>
        <v>0</v>
      </c>
      <c r="AJ19" s="326">
        <f t="shared" si="23"/>
        <v>0</v>
      </c>
      <c r="AK19" s="327">
        <f t="shared" si="32"/>
        <v>0</v>
      </c>
      <c r="AL19" s="327">
        <f t="shared" si="24"/>
        <v>0</v>
      </c>
      <c r="AM19" s="327">
        <f>'General information '!D19</f>
        <v>15.5</v>
      </c>
      <c r="AN19" s="84">
        <f>'General information '!H19</f>
        <v>0</v>
      </c>
      <c r="AO19" s="84"/>
      <c r="AP19" s="84">
        <f>'General information '!J19</f>
        <v>0</v>
      </c>
      <c r="AQ19" s="81"/>
      <c r="AR19" s="277">
        <f t="shared" si="25"/>
        <v>44241</v>
      </c>
      <c r="AS19" s="424">
        <f t="shared" si="6"/>
        <v>0.9</v>
      </c>
      <c r="AT19" s="201">
        <v>158</v>
      </c>
      <c r="AU19" s="425">
        <f t="shared" si="35"/>
        <v>1.1000000000000001</v>
      </c>
      <c r="AV19" s="201">
        <v>148</v>
      </c>
      <c r="AW19" s="5">
        <v>2.9</v>
      </c>
      <c r="AX19" s="201">
        <v>142</v>
      </c>
      <c r="AY19" s="426">
        <f t="shared" ref="AY19:AY21" si="39">AS19*AT19</f>
        <v>142.20000000000002</v>
      </c>
      <c r="AZ19" s="426">
        <f t="shared" ref="AZ19:AZ21" si="40">AU19*AV19</f>
        <v>162.80000000000001</v>
      </c>
      <c r="BA19" s="426">
        <f t="shared" ref="BA19:BA21" si="41">AW19*AX19</f>
        <v>411.8</v>
      </c>
      <c r="BB19" s="21">
        <f t="shared" ref="BB19:BB20" si="42">AY19-AY18</f>
        <v>142.20000000000002</v>
      </c>
      <c r="BC19" s="21">
        <f t="shared" ref="BC19:BC20" si="43">AZ19-AZ18</f>
        <v>-4.4000000000000057</v>
      </c>
      <c r="BD19" s="21">
        <f t="shared" ref="BD19:BD20" si="44">BA19-BA18</f>
        <v>-5.7999999999999545</v>
      </c>
      <c r="BE19" s="24">
        <f t="shared" ref="BE19:BE20" si="45">SUM(BB19:BD19)</f>
        <v>132.00000000000006</v>
      </c>
      <c r="BF19" s="96">
        <f t="shared" si="8"/>
        <v>146.99999999999994</v>
      </c>
      <c r="BG19" s="82">
        <f t="shared" si="9"/>
        <v>132.00000000000006</v>
      </c>
    </row>
    <row r="20" spans="1:61" ht="15.75" thickBot="1">
      <c r="A20" s="6">
        <f>ELEC!C17</f>
        <v>44242</v>
      </c>
      <c r="B20" s="5">
        <f t="shared" si="10"/>
        <v>109443</v>
      </c>
      <c r="C20" s="5">
        <f t="shared" si="11"/>
        <v>0</v>
      </c>
      <c r="D20" s="419">
        <f t="shared" si="12"/>
        <v>0</v>
      </c>
      <c r="E20" s="333">
        <f>SUM((C20*$E$4)+(7500/'EDl log'!$A$34))</f>
        <v>267.85714285714283</v>
      </c>
      <c r="F20" s="418"/>
      <c r="G20" s="5">
        <f t="shared" si="13"/>
        <v>615653</v>
      </c>
      <c r="H20" s="5">
        <f t="shared" si="14"/>
        <v>0</v>
      </c>
      <c r="I20" s="5">
        <f t="shared" si="0"/>
        <v>0</v>
      </c>
      <c r="J20" s="334">
        <f t="shared" si="1"/>
        <v>0</v>
      </c>
      <c r="K20" s="5">
        <f>'Swimming Pool quality check '!H20</f>
        <v>6720</v>
      </c>
      <c r="L20" s="83">
        <f t="shared" si="33"/>
        <v>2</v>
      </c>
      <c r="M20" s="410">
        <f t="shared" si="15"/>
        <v>457.44</v>
      </c>
      <c r="N20" s="514">
        <f t="shared" si="36"/>
        <v>0</v>
      </c>
      <c r="O20" s="410">
        <f t="shared" si="16"/>
        <v>529.52</v>
      </c>
      <c r="P20" s="514">
        <f t="shared" si="37"/>
        <v>0</v>
      </c>
      <c r="Q20" s="514">
        <f t="shared" si="38"/>
        <v>0</v>
      </c>
      <c r="R20" s="514"/>
      <c r="S20" s="514"/>
      <c r="T20" s="5">
        <f t="shared" si="17"/>
        <v>5165</v>
      </c>
      <c r="U20" s="5">
        <f t="shared" si="4"/>
        <v>0</v>
      </c>
      <c r="V20" s="5">
        <f t="shared" si="17"/>
        <v>461</v>
      </c>
      <c r="W20" s="324">
        <f t="shared" si="18"/>
        <v>0</v>
      </c>
      <c r="X20" s="5">
        <f t="shared" si="17"/>
        <v>150141</v>
      </c>
      <c r="Y20" s="324">
        <f t="shared" si="34"/>
        <v>0</v>
      </c>
      <c r="Z20" s="5">
        <f t="shared" si="17"/>
        <v>98323</v>
      </c>
      <c r="AA20" s="83">
        <f t="shared" si="19"/>
        <v>0</v>
      </c>
      <c r="AB20" s="5">
        <f t="shared" si="17"/>
        <v>256</v>
      </c>
      <c r="AC20" s="5">
        <f t="shared" si="17"/>
        <v>731</v>
      </c>
      <c r="AD20" s="83">
        <f t="shared" si="31"/>
        <v>0</v>
      </c>
      <c r="AE20" s="5">
        <f t="shared" si="17"/>
        <v>227.8</v>
      </c>
      <c r="AF20" s="83">
        <f t="shared" si="20"/>
        <v>0</v>
      </c>
      <c r="AG20" s="5">
        <f t="shared" si="17"/>
        <v>2181.5700000000002</v>
      </c>
      <c r="AH20" s="83">
        <f t="shared" si="21"/>
        <v>0</v>
      </c>
      <c r="AI20" s="83">
        <f t="shared" si="22"/>
        <v>0</v>
      </c>
      <c r="AJ20" s="326">
        <f t="shared" si="23"/>
        <v>0</v>
      </c>
      <c r="AK20" s="327">
        <f t="shared" si="32"/>
        <v>-2</v>
      </c>
      <c r="AL20" s="327">
        <f t="shared" si="24"/>
        <v>0</v>
      </c>
      <c r="AM20" s="327">
        <f>'General information '!D20</f>
        <v>15</v>
      </c>
      <c r="AN20" s="84">
        <f>'General information '!H20</f>
        <v>0</v>
      </c>
      <c r="AO20" s="84"/>
      <c r="AP20" s="84">
        <f>'General information '!J20</f>
        <v>0</v>
      </c>
      <c r="AQ20" s="81"/>
      <c r="AR20" s="277">
        <f t="shared" si="25"/>
        <v>44242</v>
      </c>
      <c r="AS20" s="424">
        <f t="shared" si="6"/>
        <v>0.9</v>
      </c>
      <c r="AT20" s="201">
        <f t="shared" si="6"/>
        <v>158</v>
      </c>
      <c r="AU20" s="425">
        <f t="shared" si="35"/>
        <v>1.1000000000000001</v>
      </c>
      <c r="AV20" s="201">
        <v>146</v>
      </c>
      <c r="AW20" s="5">
        <v>2.9</v>
      </c>
      <c r="AX20" s="201">
        <v>138</v>
      </c>
      <c r="AY20" s="426">
        <f t="shared" si="39"/>
        <v>142.20000000000002</v>
      </c>
      <c r="AZ20" s="426">
        <f t="shared" si="40"/>
        <v>160.60000000000002</v>
      </c>
      <c r="BA20" s="426">
        <f t="shared" si="41"/>
        <v>400.2</v>
      </c>
      <c r="BB20" s="21">
        <f t="shared" si="42"/>
        <v>0</v>
      </c>
      <c r="BC20" s="21">
        <f t="shared" si="43"/>
        <v>-2.1999999999999886</v>
      </c>
      <c r="BD20" s="21">
        <f t="shared" si="44"/>
        <v>-11.600000000000023</v>
      </c>
      <c r="BE20" s="24">
        <f t="shared" si="45"/>
        <v>-13.800000000000011</v>
      </c>
      <c r="BF20" s="96">
        <f t="shared" si="8"/>
        <v>13.800000000000011</v>
      </c>
      <c r="BG20" s="82">
        <f t="shared" si="9"/>
        <v>-13.800000000000011</v>
      </c>
    </row>
    <row r="21" spans="1:61" ht="15.75" thickBot="1">
      <c r="A21" s="6">
        <f>ELEC!C18</f>
        <v>44243</v>
      </c>
      <c r="B21" s="5">
        <f t="shared" si="10"/>
        <v>109443</v>
      </c>
      <c r="C21" s="5">
        <f t="shared" si="11"/>
        <v>0</v>
      </c>
      <c r="D21" s="419">
        <f t="shared" si="12"/>
        <v>0</v>
      </c>
      <c r="E21" s="333">
        <f>SUM((C21*$E$4)+(7500/'EDl log'!$A$34))</f>
        <v>267.85714285714283</v>
      </c>
      <c r="F21" s="327"/>
      <c r="G21" s="5">
        <v>615820</v>
      </c>
      <c r="H21" s="5">
        <f t="shared" si="14"/>
        <v>167</v>
      </c>
      <c r="I21" s="5">
        <f t="shared" si="0"/>
        <v>167</v>
      </c>
      <c r="J21" s="334">
        <f t="shared" si="1"/>
        <v>1.60393498716852</v>
      </c>
      <c r="K21" s="5">
        <f>'Swimming Pool quality check '!H21</f>
        <v>6720</v>
      </c>
      <c r="L21" s="83">
        <f t="shared" si="33"/>
        <v>0</v>
      </c>
      <c r="M21" s="410">
        <f t="shared" si="15"/>
        <v>457.44</v>
      </c>
      <c r="N21" s="514">
        <f t="shared" si="36"/>
        <v>0</v>
      </c>
      <c r="O21" s="410">
        <f t="shared" si="16"/>
        <v>529.52</v>
      </c>
      <c r="P21" s="514">
        <f t="shared" si="37"/>
        <v>0</v>
      </c>
      <c r="Q21" s="514">
        <f t="shared" si="38"/>
        <v>0</v>
      </c>
      <c r="R21" s="514"/>
      <c r="S21" s="514"/>
      <c r="T21" s="5">
        <f t="shared" si="17"/>
        <v>5165</v>
      </c>
      <c r="U21" s="5">
        <f t="shared" si="4"/>
        <v>0</v>
      </c>
      <c r="V21" s="5">
        <f t="shared" si="17"/>
        <v>461</v>
      </c>
      <c r="W21" s="324">
        <f t="shared" si="18"/>
        <v>0</v>
      </c>
      <c r="X21" s="5">
        <v>150281</v>
      </c>
      <c r="Y21" s="324">
        <f>SUM(X21-X20)</f>
        <v>140</v>
      </c>
      <c r="Z21" s="5">
        <v>98358</v>
      </c>
      <c r="AA21" s="83">
        <f t="shared" si="19"/>
        <v>35</v>
      </c>
      <c r="AB21" s="5">
        <f t="shared" si="17"/>
        <v>256</v>
      </c>
      <c r="AC21" s="5">
        <f t="shared" si="17"/>
        <v>731</v>
      </c>
      <c r="AD21" s="83">
        <f t="shared" si="31"/>
        <v>0</v>
      </c>
      <c r="AE21" s="5">
        <f t="shared" si="17"/>
        <v>227.8</v>
      </c>
      <c r="AF21" s="83">
        <f t="shared" si="20"/>
        <v>0</v>
      </c>
      <c r="AG21" s="5">
        <f t="shared" si="17"/>
        <v>2181.5700000000002</v>
      </c>
      <c r="AH21" s="83">
        <f t="shared" si="21"/>
        <v>0</v>
      </c>
      <c r="AI21" s="83">
        <f t="shared" si="22"/>
        <v>0</v>
      </c>
      <c r="AJ21" s="326">
        <f t="shared" si="23"/>
        <v>35</v>
      </c>
      <c r="AK21" s="327">
        <f>SUM(Y21-L21)</f>
        <v>140</v>
      </c>
      <c r="AL21" s="327">
        <f t="shared" si="24"/>
        <v>35</v>
      </c>
      <c r="AM21" s="327">
        <f>'General information '!D21</f>
        <v>9</v>
      </c>
      <c r="AN21" s="84">
        <f>'General information '!H21</f>
        <v>0</v>
      </c>
      <c r="AO21" s="84"/>
      <c r="AP21" s="84">
        <f>'General information '!J21</f>
        <v>0</v>
      </c>
      <c r="AQ21" s="81"/>
      <c r="AR21" s="277">
        <f t="shared" si="25"/>
        <v>44243</v>
      </c>
      <c r="AS21" s="424">
        <f t="shared" si="6"/>
        <v>0.9</v>
      </c>
      <c r="AT21" s="201">
        <f t="shared" si="6"/>
        <v>158</v>
      </c>
      <c r="AU21" s="425">
        <f t="shared" si="35"/>
        <v>1.1000000000000001</v>
      </c>
      <c r="AV21" s="201">
        <v>169</v>
      </c>
      <c r="AW21" s="5">
        <v>2.9</v>
      </c>
      <c r="AX21" s="201">
        <v>171</v>
      </c>
      <c r="AY21" s="426">
        <f t="shared" si="39"/>
        <v>142.20000000000002</v>
      </c>
      <c r="AZ21" s="426">
        <f t="shared" si="40"/>
        <v>185.9</v>
      </c>
      <c r="BA21" s="426">
        <f t="shared" si="41"/>
        <v>495.9</v>
      </c>
      <c r="BB21" s="21">
        <f t="shared" si="28"/>
        <v>0</v>
      </c>
      <c r="BC21" s="21">
        <f t="shared" si="29"/>
        <v>25.299999999999983</v>
      </c>
      <c r="BD21" s="21">
        <f t="shared" si="29"/>
        <v>95.699999999999989</v>
      </c>
      <c r="BE21" s="24">
        <f t="shared" si="30"/>
        <v>120.99999999999997</v>
      </c>
      <c r="BF21" s="96">
        <f t="shared" si="8"/>
        <v>46.000000000000028</v>
      </c>
      <c r="BG21" s="82">
        <f t="shared" si="9"/>
        <v>120.99999999999997</v>
      </c>
    </row>
    <row r="22" spans="1:61" ht="15.75" thickBot="1">
      <c r="A22" s="6">
        <f>ELEC!C19</f>
        <v>44244</v>
      </c>
      <c r="B22" s="5">
        <f t="shared" si="10"/>
        <v>109443</v>
      </c>
      <c r="C22" s="5">
        <f t="shared" si="11"/>
        <v>0</v>
      </c>
      <c r="D22" s="419">
        <f t="shared" si="12"/>
        <v>0</v>
      </c>
      <c r="E22" s="333">
        <f>SUM((C22*$E$4)+(7500/'EDl log'!$A$34))</f>
        <v>267.85714285714283</v>
      </c>
      <c r="F22" s="327"/>
      <c r="G22" s="5">
        <f t="shared" si="13"/>
        <v>615820</v>
      </c>
      <c r="H22" s="5">
        <f t="shared" si="14"/>
        <v>0</v>
      </c>
      <c r="I22" s="5">
        <f t="shared" si="0"/>
        <v>0</v>
      </c>
      <c r="J22" s="334">
        <f t="shared" si="1"/>
        <v>0</v>
      </c>
      <c r="K22" s="5">
        <f>'Swimming Pool quality check '!H22</f>
        <v>6720</v>
      </c>
      <c r="L22" s="83">
        <f t="shared" si="33"/>
        <v>0</v>
      </c>
      <c r="M22" s="410">
        <f t="shared" si="15"/>
        <v>457.44</v>
      </c>
      <c r="N22" s="514">
        <f t="shared" si="36"/>
        <v>0</v>
      </c>
      <c r="O22" s="410">
        <f t="shared" si="16"/>
        <v>529.52</v>
      </c>
      <c r="P22" s="514">
        <f t="shared" si="37"/>
        <v>0</v>
      </c>
      <c r="Q22" s="514">
        <f t="shared" si="38"/>
        <v>0</v>
      </c>
      <c r="R22" s="514"/>
      <c r="S22" s="514"/>
      <c r="T22" s="5">
        <f t="shared" si="17"/>
        <v>5165</v>
      </c>
      <c r="U22" s="5">
        <f t="shared" si="4"/>
        <v>0</v>
      </c>
      <c r="V22" s="5">
        <f t="shared" si="17"/>
        <v>461</v>
      </c>
      <c r="W22" s="324">
        <f t="shared" si="18"/>
        <v>0</v>
      </c>
      <c r="X22" s="5">
        <f t="shared" si="17"/>
        <v>150281</v>
      </c>
      <c r="Y22" s="324">
        <f t="shared" si="34"/>
        <v>0</v>
      </c>
      <c r="Z22" s="5">
        <f t="shared" si="17"/>
        <v>98358</v>
      </c>
      <c r="AA22" s="83">
        <f t="shared" si="19"/>
        <v>0</v>
      </c>
      <c r="AB22" s="5">
        <f t="shared" si="17"/>
        <v>256</v>
      </c>
      <c r="AC22" s="5">
        <f t="shared" si="17"/>
        <v>731</v>
      </c>
      <c r="AD22" s="83">
        <f t="shared" si="31"/>
        <v>0</v>
      </c>
      <c r="AE22" s="5">
        <f t="shared" si="17"/>
        <v>227.8</v>
      </c>
      <c r="AF22" s="83">
        <f t="shared" si="20"/>
        <v>0</v>
      </c>
      <c r="AG22" s="5">
        <f t="shared" si="17"/>
        <v>2181.5700000000002</v>
      </c>
      <c r="AH22" s="83">
        <f t="shared" si="21"/>
        <v>0</v>
      </c>
      <c r="AI22" s="83">
        <f t="shared" si="22"/>
        <v>0</v>
      </c>
      <c r="AJ22" s="326">
        <f t="shared" si="23"/>
        <v>0</v>
      </c>
      <c r="AK22" s="327">
        <f t="shared" si="32"/>
        <v>0</v>
      </c>
      <c r="AL22" s="327">
        <f t="shared" si="24"/>
        <v>0</v>
      </c>
      <c r="AM22" s="327">
        <f>'General information '!D22</f>
        <v>10</v>
      </c>
      <c r="AN22" s="84">
        <f>'General information '!H22</f>
        <v>0</v>
      </c>
      <c r="AO22" s="84"/>
      <c r="AP22" s="84">
        <f>'General information '!J22</f>
        <v>0</v>
      </c>
      <c r="AR22" s="277">
        <f t="shared" si="25"/>
        <v>44244</v>
      </c>
      <c r="AS22" s="424">
        <f t="shared" ref="AS22:AT33" si="46">AS21</f>
        <v>0.9</v>
      </c>
      <c r="AT22" s="201">
        <v>158</v>
      </c>
      <c r="AU22" s="425">
        <f t="shared" si="35"/>
        <v>1.1000000000000001</v>
      </c>
      <c r="AV22" s="201">
        <v>165</v>
      </c>
      <c r="AW22" s="5">
        <v>2.9</v>
      </c>
      <c r="AX22" s="201">
        <v>169</v>
      </c>
      <c r="AY22" s="426">
        <f t="shared" si="7"/>
        <v>142.20000000000002</v>
      </c>
      <c r="AZ22" s="426">
        <f t="shared" si="26"/>
        <v>181.50000000000003</v>
      </c>
      <c r="BA22" s="426">
        <f t="shared" si="27"/>
        <v>490.09999999999997</v>
      </c>
      <c r="BB22" s="21">
        <f>AY22-AY21</f>
        <v>0</v>
      </c>
      <c r="BC22" s="21">
        <f t="shared" si="28"/>
        <v>-4.3999999999999773</v>
      </c>
      <c r="BD22" s="21">
        <f t="shared" si="28"/>
        <v>-5.8000000000000114</v>
      </c>
      <c r="BE22" s="24">
        <f t="shared" si="30"/>
        <v>-10.199999999999989</v>
      </c>
      <c r="BF22" s="96">
        <f t="shared" si="8"/>
        <v>10.199999999999989</v>
      </c>
      <c r="BG22" s="82">
        <f t="shared" si="9"/>
        <v>-10.199999999999989</v>
      </c>
    </row>
    <row r="23" spans="1:61" ht="15.75" thickBot="1">
      <c r="A23" s="6">
        <f>ELEC!C20</f>
        <v>44245</v>
      </c>
      <c r="B23" s="5">
        <f t="shared" si="10"/>
        <v>109443</v>
      </c>
      <c r="C23" s="5">
        <f t="shared" si="11"/>
        <v>0</v>
      </c>
      <c r="D23" s="419">
        <f t="shared" si="12"/>
        <v>0</v>
      </c>
      <c r="E23" s="333">
        <f>SUM((C23*$E$4)+(7500/'EDl log'!$A$34))</f>
        <v>267.85714285714283</v>
      </c>
      <c r="F23" s="327"/>
      <c r="G23" s="5">
        <f t="shared" si="13"/>
        <v>615820</v>
      </c>
      <c r="H23" s="5">
        <f t="shared" si="14"/>
        <v>0</v>
      </c>
      <c r="I23" s="5">
        <f t="shared" si="0"/>
        <v>0</v>
      </c>
      <c r="J23" s="334">
        <f t="shared" si="1"/>
        <v>0</v>
      </c>
      <c r="K23" s="5">
        <f>'Swimming Pool quality check '!H23</f>
        <v>6720</v>
      </c>
      <c r="L23" s="274">
        <f t="shared" si="33"/>
        <v>0</v>
      </c>
      <c r="M23" s="410">
        <f t="shared" si="15"/>
        <v>457.44</v>
      </c>
      <c r="N23" s="514">
        <f t="shared" si="36"/>
        <v>0</v>
      </c>
      <c r="O23" s="410">
        <f t="shared" si="16"/>
        <v>529.52</v>
      </c>
      <c r="P23" s="514">
        <f t="shared" si="37"/>
        <v>0</v>
      </c>
      <c r="Q23" s="514">
        <f t="shared" si="38"/>
        <v>0</v>
      </c>
      <c r="R23" s="516"/>
      <c r="S23" s="516"/>
      <c r="T23" s="5">
        <f t="shared" si="17"/>
        <v>5165</v>
      </c>
      <c r="U23" s="5">
        <f t="shared" si="4"/>
        <v>0</v>
      </c>
      <c r="V23" s="5">
        <f t="shared" si="17"/>
        <v>461</v>
      </c>
      <c r="W23" s="324">
        <f t="shared" si="18"/>
        <v>0</v>
      </c>
      <c r="X23" s="5">
        <f t="shared" si="17"/>
        <v>150281</v>
      </c>
      <c r="Y23" s="324">
        <f t="shared" si="34"/>
        <v>0</v>
      </c>
      <c r="Z23" s="5">
        <f t="shared" si="17"/>
        <v>98358</v>
      </c>
      <c r="AA23" s="83">
        <f t="shared" si="19"/>
        <v>0</v>
      </c>
      <c r="AB23" s="5">
        <f t="shared" si="17"/>
        <v>256</v>
      </c>
      <c r="AC23" s="5">
        <f t="shared" si="17"/>
        <v>731</v>
      </c>
      <c r="AD23" s="83">
        <f t="shared" si="31"/>
        <v>0</v>
      </c>
      <c r="AE23" s="5">
        <f t="shared" si="17"/>
        <v>227.8</v>
      </c>
      <c r="AF23" s="83">
        <f t="shared" si="20"/>
        <v>0</v>
      </c>
      <c r="AG23" s="5">
        <f t="shared" si="17"/>
        <v>2181.5700000000002</v>
      </c>
      <c r="AH23" s="83">
        <f t="shared" si="21"/>
        <v>0</v>
      </c>
      <c r="AI23" s="83">
        <f t="shared" si="22"/>
        <v>0</v>
      </c>
      <c r="AJ23" s="326">
        <f t="shared" si="23"/>
        <v>0</v>
      </c>
      <c r="AK23" s="327">
        <f t="shared" si="32"/>
        <v>0</v>
      </c>
      <c r="AL23" s="327">
        <f t="shared" si="24"/>
        <v>0</v>
      </c>
      <c r="AM23" s="327">
        <f>'General information '!D23</f>
        <v>10</v>
      </c>
      <c r="AN23" s="84">
        <f>'General information '!H23</f>
        <v>0</v>
      </c>
      <c r="AO23" s="84"/>
      <c r="AP23" s="84">
        <f>'General information '!J23</f>
        <v>0</v>
      </c>
      <c r="AR23" s="277">
        <f t="shared" si="25"/>
        <v>44245</v>
      </c>
      <c r="AS23" s="424">
        <f t="shared" si="46"/>
        <v>0.9</v>
      </c>
      <c r="AT23" s="201">
        <v>158</v>
      </c>
      <c r="AU23" s="425">
        <f t="shared" si="35"/>
        <v>1.1000000000000001</v>
      </c>
      <c r="AV23" s="201">
        <v>148</v>
      </c>
      <c r="AW23" s="5">
        <v>2.9</v>
      </c>
      <c r="AX23" s="201">
        <v>167</v>
      </c>
      <c r="AY23" s="426">
        <f t="shared" si="7"/>
        <v>142.20000000000002</v>
      </c>
      <c r="AZ23" s="426">
        <f t="shared" si="26"/>
        <v>162.80000000000001</v>
      </c>
      <c r="BA23" s="426">
        <f t="shared" si="27"/>
        <v>484.3</v>
      </c>
      <c r="BB23" s="21">
        <f t="shared" si="28"/>
        <v>0</v>
      </c>
      <c r="BC23" s="21">
        <f t="shared" si="28"/>
        <v>-18.700000000000017</v>
      </c>
      <c r="BD23" s="21">
        <f t="shared" si="28"/>
        <v>-5.7999999999999545</v>
      </c>
      <c r="BE23" s="24">
        <f t="shared" si="30"/>
        <v>-24.499999999999972</v>
      </c>
      <c r="BF23" s="96">
        <f t="shared" si="8"/>
        <v>24.499999999999972</v>
      </c>
      <c r="BG23" s="82">
        <f t="shared" si="9"/>
        <v>-24.499999999999972</v>
      </c>
    </row>
    <row r="24" spans="1:61" ht="15.75" thickBot="1">
      <c r="A24" s="6">
        <f>ELEC!C21</f>
        <v>44246</v>
      </c>
      <c r="B24" s="5">
        <f t="shared" si="10"/>
        <v>109443</v>
      </c>
      <c r="C24" s="5">
        <f t="shared" si="11"/>
        <v>0</v>
      </c>
      <c r="D24" s="419">
        <f t="shared" si="12"/>
        <v>0</v>
      </c>
      <c r="E24" s="333">
        <f>SUM((C24*$E$4)+(7500/'[3]EDl log'!$A$37))</f>
        <v>241.93548387096774</v>
      </c>
      <c r="F24" s="327"/>
      <c r="G24" s="5">
        <f t="shared" si="13"/>
        <v>615820</v>
      </c>
      <c r="H24" s="5">
        <f t="shared" si="14"/>
        <v>0</v>
      </c>
      <c r="I24" s="5">
        <f t="shared" si="0"/>
        <v>0</v>
      </c>
      <c r="J24" s="334">
        <f t="shared" si="1"/>
        <v>0</v>
      </c>
      <c r="K24" s="5">
        <f>'[3]Swimming Pool quality check '!H24</f>
        <v>6713</v>
      </c>
      <c r="L24" s="274">
        <f t="shared" si="33"/>
        <v>-7</v>
      </c>
      <c r="M24" s="410">
        <f t="shared" si="15"/>
        <v>457.44</v>
      </c>
      <c r="N24" s="514">
        <f t="shared" si="36"/>
        <v>0</v>
      </c>
      <c r="O24" s="410">
        <f t="shared" si="16"/>
        <v>529.52</v>
      </c>
      <c r="P24" s="514">
        <f t="shared" si="37"/>
        <v>0</v>
      </c>
      <c r="Q24" s="514">
        <f t="shared" si="38"/>
        <v>0</v>
      </c>
      <c r="R24" s="516"/>
      <c r="S24" s="516"/>
      <c r="T24" s="5">
        <v>5166</v>
      </c>
      <c r="U24" s="5">
        <f t="shared" si="4"/>
        <v>1</v>
      </c>
      <c r="V24" s="5">
        <f t="shared" si="17"/>
        <v>461</v>
      </c>
      <c r="W24" s="324">
        <f t="shared" si="18"/>
        <v>0</v>
      </c>
      <c r="X24" s="5">
        <f t="shared" si="17"/>
        <v>150281</v>
      </c>
      <c r="Y24" s="324">
        <f t="shared" si="34"/>
        <v>0</v>
      </c>
      <c r="Z24" s="5">
        <f t="shared" si="17"/>
        <v>98358</v>
      </c>
      <c r="AA24" s="83">
        <f t="shared" si="19"/>
        <v>0</v>
      </c>
      <c r="AB24" s="5">
        <f t="shared" si="17"/>
        <v>256</v>
      </c>
      <c r="AC24" s="5">
        <f t="shared" si="17"/>
        <v>731</v>
      </c>
      <c r="AD24" s="83">
        <f t="shared" si="31"/>
        <v>0</v>
      </c>
      <c r="AE24" s="5">
        <f t="shared" si="17"/>
        <v>227.8</v>
      </c>
      <c r="AF24" s="83">
        <f t="shared" si="20"/>
        <v>0</v>
      </c>
      <c r="AG24" s="5">
        <f t="shared" si="17"/>
        <v>2181.5700000000002</v>
      </c>
      <c r="AH24" s="83">
        <f t="shared" si="21"/>
        <v>0</v>
      </c>
      <c r="AI24" s="83">
        <f t="shared" si="22"/>
        <v>0</v>
      </c>
      <c r="AJ24" s="326">
        <f t="shared" si="23"/>
        <v>0</v>
      </c>
      <c r="AK24" s="327">
        <f t="shared" si="32"/>
        <v>7</v>
      </c>
      <c r="AL24" s="327">
        <f t="shared" si="24"/>
        <v>0</v>
      </c>
      <c r="AM24" s="327">
        <f>'[3]General information '!D24</f>
        <v>13.5</v>
      </c>
      <c r="AN24" s="84">
        <f>'[3]General information '!H24</f>
        <v>0</v>
      </c>
      <c r="AO24" s="84"/>
      <c r="AP24" s="84">
        <f>'[3]General information '!J24</f>
        <v>0</v>
      </c>
      <c r="AR24" s="277">
        <f t="shared" si="25"/>
        <v>44246</v>
      </c>
      <c r="AS24" s="424">
        <f t="shared" si="46"/>
        <v>0.9</v>
      </c>
      <c r="AT24" s="201">
        <v>158</v>
      </c>
      <c r="AU24" s="425">
        <f t="shared" si="35"/>
        <v>1.1000000000000001</v>
      </c>
      <c r="AV24" s="201">
        <v>146</v>
      </c>
      <c r="AW24" s="5">
        <v>2.9</v>
      </c>
      <c r="AX24" s="201">
        <v>164</v>
      </c>
      <c r="AY24" s="426">
        <f t="shared" si="7"/>
        <v>142.20000000000002</v>
      </c>
      <c r="AZ24" s="426">
        <f t="shared" si="26"/>
        <v>160.60000000000002</v>
      </c>
      <c r="BA24" s="426">
        <f t="shared" si="27"/>
        <v>475.59999999999997</v>
      </c>
      <c r="BB24" s="21">
        <f t="shared" si="28"/>
        <v>0</v>
      </c>
      <c r="BC24" s="21">
        <f t="shared" si="28"/>
        <v>-2.1999999999999886</v>
      </c>
      <c r="BD24" s="21">
        <f t="shared" si="28"/>
        <v>-8.7000000000000455</v>
      </c>
      <c r="BE24" s="24">
        <f t="shared" si="30"/>
        <v>-10.900000000000034</v>
      </c>
      <c r="BF24" s="96">
        <f t="shared" si="8"/>
        <v>10.900000000000034</v>
      </c>
      <c r="BG24" s="82">
        <f t="shared" si="9"/>
        <v>-10.900000000000034</v>
      </c>
      <c r="BI24" s="82"/>
    </row>
    <row r="25" spans="1:61" ht="15.75" thickBot="1">
      <c r="A25" s="6">
        <f>ELEC!C22</f>
        <v>44247</v>
      </c>
      <c r="B25" s="5">
        <f t="shared" si="10"/>
        <v>109443</v>
      </c>
      <c r="C25" s="5">
        <f t="shared" si="11"/>
        <v>0</v>
      </c>
      <c r="D25" s="419">
        <f t="shared" si="12"/>
        <v>0</v>
      </c>
      <c r="E25" s="333">
        <f>SUM((C25*$E$4)+(7500/'EDl log'!$A$34))</f>
        <v>267.85714285714283</v>
      </c>
      <c r="F25" s="327"/>
      <c r="G25" s="5">
        <f t="shared" si="13"/>
        <v>615820</v>
      </c>
      <c r="H25" s="5">
        <f t="shared" si="14"/>
        <v>0</v>
      </c>
      <c r="I25" s="5">
        <f t="shared" si="0"/>
        <v>0</v>
      </c>
      <c r="J25" s="334">
        <f t="shared" si="1"/>
        <v>0</v>
      </c>
      <c r="K25" s="5">
        <f>'Swimming Pool quality check '!H25</f>
        <v>6720</v>
      </c>
      <c r="L25" s="274">
        <f t="shared" si="33"/>
        <v>7</v>
      </c>
      <c r="M25" s="410">
        <f t="shared" si="15"/>
        <v>457.44</v>
      </c>
      <c r="N25" s="514">
        <f t="shared" si="36"/>
        <v>0</v>
      </c>
      <c r="O25" s="410">
        <f t="shared" si="16"/>
        <v>529.52</v>
      </c>
      <c r="P25" s="514">
        <f t="shared" si="37"/>
        <v>0</v>
      </c>
      <c r="Q25" s="514">
        <f t="shared" si="38"/>
        <v>0</v>
      </c>
      <c r="R25" s="516"/>
      <c r="S25" s="516"/>
      <c r="T25" s="5">
        <v>5167</v>
      </c>
      <c r="U25" s="5">
        <f t="shared" si="4"/>
        <v>1</v>
      </c>
      <c r="V25" s="5">
        <f t="shared" si="17"/>
        <v>461</v>
      </c>
      <c r="W25" s="324">
        <f t="shared" si="18"/>
        <v>0</v>
      </c>
      <c r="X25" s="5">
        <f t="shared" si="17"/>
        <v>150281</v>
      </c>
      <c r="Y25" s="324">
        <f t="shared" si="34"/>
        <v>0</v>
      </c>
      <c r="Z25" s="5">
        <f t="shared" si="17"/>
        <v>98358</v>
      </c>
      <c r="AA25" s="83">
        <f t="shared" si="19"/>
        <v>0</v>
      </c>
      <c r="AB25" s="5">
        <f t="shared" si="17"/>
        <v>256</v>
      </c>
      <c r="AC25" s="5">
        <f t="shared" si="17"/>
        <v>731</v>
      </c>
      <c r="AD25" s="83">
        <f t="shared" si="31"/>
        <v>0</v>
      </c>
      <c r="AE25" s="5">
        <f t="shared" si="17"/>
        <v>227.8</v>
      </c>
      <c r="AF25" s="83">
        <f t="shared" si="20"/>
        <v>0</v>
      </c>
      <c r="AG25" s="5">
        <f t="shared" si="17"/>
        <v>2181.5700000000002</v>
      </c>
      <c r="AH25" s="83">
        <f t="shared" si="21"/>
        <v>0</v>
      </c>
      <c r="AI25" s="83">
        <f t="shared" si="22"/>
        <v>0</v>
      </c>
      <c r="AJ25" s="326">
        <f t="shared" si="23"/>
        <v>0</v>
      </c>
      <c r="AK25" s="327">
        <f t="shared" si="32"/>
        <v>-7</v>
      </c>
      <c r="AL25" s="327">
        <f t="shared" si="24"/>
        <v>0</v>
      </c>
      <c r="AM25" s="327">
        <f>'General information '!D25</f>
        <v>16.5</v>
      </c>
      <c r="AN25" s="84">
        <f>'General information '!H25</f>
        <v>0</v>
      </c>
      <c r="AO25" s="84"/>
      <c r="AP25" s="84">
        <f>'General information '!J25</f>
        <v>0</v>
      </c>
      <c r="AR25" s="277">
        <f t="shared" si="25"/>
        <v>44247</v>
      </c>
      <c r="AS25" s="424">
        <f t="shared" si="46"/>
        <v>0.9</v>
      </c>
      <c r="AT25" s="201">
        <v>160</v>
      </c>
      <c r="AU25" s="425">
        <f t="shared" si="35"/>
        <v>1.1000000000000001</v>
      </c>
      <c r="AV25" s="201">
        <f t="shared" si="35"/>
        <v>146</v>
      </c>
      <c r="AW25" s="5">
        <v>2.9</v>
      </c>
      <c r="AX25" s="201">
        <v>162</v>
      </c>
      <c r="AY25" s="426">
        <f t="shared" si="7"/>
        <v>144</v>
      </c>
      <c r="AZ25" s="426">
        <f t="shared" si="26"/>
        <v>160.60000000000002</v>
      </c>
      <c r="BA25" s="426">
        <f t="shared" si="27"/>
        <v>469.8</v>
      </c>
      <c r="BB25" s="21">
        <f t="shared" si="28"/>
        <v>1.7999999999999829</v>
      </c>
      <c r="BC25" s="21">
        <f t="shared" si="28"/>
        <v>0</v>
      </c>
      <c r="BD25" s="21">
        <f t="shared" si="28"/>
        <v>-5.7999999999999545</v>
      </c>
      <c r="BE25" s="24">
        <f t="shared" si="30"/>
        <v>-3.9999999999999716</v>
      </c>
      <c r="BF25" s="96">
        <f t="shared" si="8"/>
        <v>3.9999999999999716</v>
      </c>
      <c r="BG25" s="82">
        <f t="shared" si="9"/>
        <v>-3.9999999999999716</v>
      </c>
    </row>
    <row r="26" spans="1:61" ht="15.75" thickBot="1">
      <c r="A26" s="6">
        <f>ELEC!C23</f>
        <v>44248</v>
      </c>
      <c r="B26" s="5">
        <f t="shared" si="10"/>
        <v>109443</v>
      </c>
      <c r="C26" s="5">
        <f t="shared" si="11"/>
        <v>0</v>
      </c>
      <c r="D26" s="419">
        <f t="shared" si="12"/>
        <v>0</v>
      </c>
      <c r="E26" s="333">
        <f>SUM((C26*$E$4)+(7500/'EDl log'!$A$34))</f>
        <v>267.85714285714283</v>
      </c>
      <c r="F26" s="327"/>
      <c r="G26" s="5">
        <f t="shared" si="13"/>
        <v>615820</v>
      </c>
      <c r="H26" s="5">
        <f>G26-G25</f>
        <v>0</v>
      </c>
      <c r="I26" s="5">
        <f t="shared" si="0"/>
        <v>0</v>
      </c>
      <c r="J26" s="334">
        <f t="shared" si="1"/>
        <v>0</v>
      </c>
      <c r="K26" s="5">
        <f>'Swimming Pool quality check '!H26</f>
        <v>6720</v>
      </c>
      <c r="L26" s="274">
        <f t="shared" si="33"/>
        <v>0</v>
      </c>
      <c r="M26" s="410">
        <f t="shared" si="15"/>
        <v>457.44</v>
      </c>
      <c r="N26" s="514">
        <f t="shared" si="36"/>
        <v>0</v>
      </c>
      <c r="O26" s="410">
        <f t="shared" si="16"/>
        <v>529.52</v>
      </c>
      <c r="P26" s="514">
        <f t="shared" si="37"/>
        <v>0</v>
      </c>
      <c r="Q26" s="514">
        <f t="shared" si="38"/>
        <v>0</v>
      </c>
      <c r="R26" s="516"/>
      <c r="S26" s="516"/>
      <c r="T26" s="5">
        <f t="shared" si="17"/>
        <v>5167</v>
      </c>
      <c r="U26" s="5">
        <f t="shared" si="4"/>
        <v>0</v>
      </c>
      <c r="V26" s="5">
        <f t="shared" si="17"/>
        <v>461</v>
      </c>
      <c r="W26" s="324">
        <f t="shared" si="18"/>
        <v>0</v>
      </c>
      <c r="X26" s="5">
        <f t="shared" si="17"/>
        <v>150281</v>
      </c>
      <c r="Y26" s="324">
        <f t="shared" si="34"/>
        <v>0</v>
      </c>
      <c r="Z26" s="5">
        <v>98367</v>
      </c>
      <c r="AA26" s="83">
        <f t="shared" si="19"/>
        <v>9</v>
      </c>
      <c r="AB26" s="5">
        <f t="shared" si="17"/>
        <v>256</v>
      </c>
      <c r="AC26" s="5">
        <f t="shared" si="17"/>
        <v>731</v>
      </c>
      <c r="AD26" s="83">
        <f t="shared" si="31"/>
        <v>0</v>
      </c>
      <c r="AE26" s="5">
        <f t="shared" si="17"/>
        <v>227.8</v>
      </c>
      <c r="AF26" s="83">
        <f t="shared" si="20"/>
        <v>0</v>
      </c>
      <c r="AG26" s="5">
        <f t="shared" si="17"/>
        <v>2181.5700000000002</v>
      </c>
      <c r="AH26" s="83">
        <f t="shared" si="21"/>
        <v>0</v>
      </c>
      <c r="AI26" s="83">
        <f t="shared" si="22"/>
        <v>0</v>
      </c>
      <c r="AJ26" s="326">
        <f t="shared" si="23"/>
        <v>9</v>
      </c>
      <c r="AK26" s="327">
        <f>SUM(Y26-L26)</f>
        <v>0</v>
      </c>
      <c r="AL26" s="327">
        <f>SUM(AJ26-W26)</f>
        <v>9</v>
      </c>
      <c r="AM26" s="327">
        <f>'General information '!D26</f>
        <v>15.5</v>
      </c>
      <c r="AN26" s="84">
        <f>'General information '!H26</f>
        <v>0</v>
      </c>
      <c r="AO26" s="84"/>
      <c r="AP26" s="84">
        <f>'General information '!J26</f>
        <v>0</v>
      </c>
      <c r="AR26" s="277">
        <f t="shared" si="25"/>
        <v>44248</v>
      </c>
      <c r="AS26" s="424">
        <f t="shared" si="46"/>
        <v>0.9</v>
      </c>
      <c r="AT26" s="201">
        <v>157</v>
      </c>
      <c r="AU26" s="425">
        <f t="shared" si="35"/>
        <v>1.1000000000000001</v>
      </c>
      <c r="AV26" s="201">
        <f t="shared" si="35"/>
        <v>146</v>
      </c>
      <c r="AW26" s="5">
        <v>2.9</v>
      </c>
      <c r="AX26" s="201">
        <v>161</v>
      </c>
      <c r="AY26" s="426">
        <f t="shared" si="7"/>
        <v>141.30000000000001</v>
      </c>
      <c r="AZ26" s="426">
        <f t="shared" si="26"/>
        <v>160.60000000000002</v>
      </c>
      <c r="BA26" s="426">
        <f t="shared" si="27"/>
        <v>466.9</v>
      </c>
      <c r="BB26" s="21">
        <f t="shared" si="28"/>
        <v>-2.6999999999999886</v>
      </c>
      <c r="BC26" s="21">
        <f t="shared" si="28"/>
        <v>0</v>
      </c>
      <c r="BD26" s="21">
        <f t="shared" si="28"/>
        <v>-2.9000000000000341</v>
      </c>
      <c r="BE26" s="24">
        <f t="shared" si="30"/>
        <v>-5.6000000000000227</v>
      </c>
      <c r="BF26" s="96">
        <f t="shared" si="8"/>
        <v>5.6000000000000227</v>
      </c>
      <c r="BG26" s="82">
        <f t="shared" si="9"/>
        <v>-5.6000000000000227</v>
      </c>
    </row>
    <row r="27" spans="1:61" ht="15.75" thickBot="1">
      <c r="A27" s="6">
        <f>ELEC!C24</f>
        <v>44249</v>
      </c>
      <c r="B27" s="5">
        <f t="shared" si="10"/>
        <v>109443</v>
      </c>
      <c r="C27" s="5">
        <f t="shared" si="11"/>
        <v>0</v>
      </c>
      <c r="D27" s="419">
        <f t="shared" si="12"/>
        <v>0</v>
      </c>
      <c r="E27" s="333">
        <f>SUM((C27*$E$4)+(7500/'EDl log'!$A$34))</f>
        <v>267.85714285714283</v>
      </c>
      <c r="F27" s="327"/>
      <c r="G27" s="5">
        <v>615945</v>
      </c>
      <c r="H27" s="5">
        <f t="shared" si="14"/>
        <v>125</v>
      </c>
      <c r="I27" s="5">
        <f t="shared" si="0"/>
        <v>125</v>
      </c>
      <c r="J27" s="334">
        <f t="shared" si="1"/>
        <v>2.1428571428571428</v>
      </c>
      <c r="K27" s="5">
        <f>'Swimming Pool quality check '!H27</f>
        <v>6720</v>
      </c>
      <c r="L27" s="274">
        <f t="shared" si="33"/>
        <v>0</v>
      </c>
      <c r="M27" s="410">
        <f t="shared" si="15"/>
        <v>457.44</v>
      </c>
      <c r="N27" s="514">
        <f t="shared" si="36"/>
        <v>0</v>
      </c>
      <c r="O27" s="410">
        <f t="shared" si="16"/>
        <v>529.52</v>
      </c>
      <c r="P27" s="514">
        <f t="shared" si="37"/>
        <v>0</v>
      </c>
      <c r="Q27" s="514">
        <f t="shared" si="38"/>
        <v>0</v>
      </c>
      <c r="R27" s="516"/>
      <c r="S27" s="516"/>
      <c r="T27" s="5">
        <f t="shared" si="17"/>
        <v>5167</v>
      </c>
      <c r="U27" s="5">
        <f t="shared" si="4"/>
        <v>0</v>
      </c>
      <c r="V27" s="5">
        <f t="shared" si="17"/>
        <v>461</v>
      </c>
      <c r="W27" s="324">
        <f t="shared" si="18"/>
        <v>0</v>
      </c>
      <c r="X27" s="5">
        <f t="shared" si="17"/>
        <v>150281</v>
      </c>
      <c r="Y27" s="324">
        <f>SUM(X27-X26)</f>
        <v>0</v>
      </c>
      <c r="Z27" s="5">
        <f t="shared" si="17"/>
        <v>98367</v>
      </c>
      <c r="AA27" s="83">
        <f t="shared" si="19"/>
        <v>0</v>
      </c>
      <c r="AB27" s="5">
        <f t="shared" si="17"/>
        <v>256</v>
      </c>
      <c r="AC27" s="5">
        <f t="shared" si="17"/>
        <v>731</v>
      </c>
      <c r="AD27" s="83">
        <f t="shared" si="31"/>
        <v>0</v>
      </c>
      <c r="AE27" s="5">
        <f t="shared" si="17"/>
        <v>227.8</v>
      </c>
      <c r="AF27" s="83">
        <f t="shared" si="20"/>
        <v>0</v>
      </c>
      <c r="AG27" s="5">
        <f t="shared" si="17"/>
        <v>2181.5700000000002</v>
      </c>
      <c r="AH27" s="83">
        <f t="shared" si="21"/>
        <v>0</v>
      </c>
      <c r="AI27" s="83">
        <f t="shared" si="22"/>
        <v>0</v>
      </c>
      <c r="AJ27" s="326">
        <f t="shared" si="23"/>
        <v>0</v>
      </c>
      <c r="AK27" s="327">
        <f t="shared" si="32"/>
        <v>0</v>
      </c>
      <c r="AL27" s="327">
        <f t="shared" si="24"/>
        <v>0</v>
      </c>
      <c r="AM27" s="327">
        <f>'General information '!D27</f>
        <v>16.5</v>
      </c>
      <c r="AN27" s="84">
        <f>'General information '!H27</f>
        <v>0</v>
      </c>
      <c r="AO27" s="84"/>
      <c r="AP27" s="84">
        <f>'General information '!J27</f>
        <v>0</v>
      </c>
      <c r="AR27" s="277">
        <f t="shared" si="25"/>
        <v>44249</v>
      </c>
      <c r="AS27" s="424">
        <f t="shared" si="46"/>
        <v>0.9</v>
      </c>
      <c r="AT27" s="201">
        <f t="shared" si="46"/>
        <v>157</v>
      </c>
      <c r="AU27" s="425">
        <f t="shared" si="35"/>
        <v>1.1000000000000001</v>
      </c>
      <c r="AV27" s="201">
        <v>133</v>
      </c>
      <c r="AW27" s="5">
        <v>2.9</v>
      </c>
      <c r="AX27" s="201">
        <v>160</v>
      </c>
      <c r="AY27" s="426">
        <f t="shared" si="7"/>
        <v>141.30000000000001</v>
      </c>
      <c r="AZ27" s="426">
        <f t="shared" si="26"/>
        <v>146.30000000000001</v>
      </c>
      <c r="BA27" s="426">
        <f t="shared" si="27"/>
        <v>464</v>
      </c>
      <c r="BB27" s="21">
        <f t="shared" si="28"/>
        <v>0</v>
      </c>
      <c r="BC27" s="21">
        <f t="shared" si="28"/>
        <v>-14.300000000000011</v>
      </c>
      <c r="BD27" s="21">
        <f t="shared" si="28"/>
        <v>-2.8999999999999773</v>
      </c>
      <c r="BE27" s="24">
        <f t="shared" si="30"/>
        <v>-17.199999999999989</v>
      </c>
      <c r="BF27" s="96">
        <f t="shared" si="8"/>
        <v>142.19999999999999</v>
      </c>
      <c r="BG27" s="82">
        <f t="shared" si="9"/>
        <v>-17.199999999999989</v>
      </c>
    </row>
    <row r="28" spans="1:61" ht="15.75" thickBot="1">
      <c r="A28" s="6">
        <f>ELEC!C25</f>
        <v>44250</v>
      </c>
      <c r="B28" s="5">
        <f t="shared" si="10"/>
        <v>109443</v>
      </c>
      <c r="C28" s="5">
        <f t="shared" si="11"/>
        <v>0</v>
      </c>
      <c r="D28" s="419">
        <f t="shared" si="12"/>
        <v>0</v>
      </c>
      <c r="E28" s="333">
        <f>SUM((C28*$E$4)+(7500/'EDl log'!$A$34))</f>
        <v>267.85714285714283</v>
      </c>
      <c r="F28" s="327"/>
      <c r="G28" s="5">
        <f t="shared" si="13"/>
        <v>615945</v>
      </c>
      <c r="H28" s="5">
        <f t="shared" si="14"/>
        <v>0</v>
      </c>
      <c r="I28" s="5">
        <f t="shared" si="0"/>
        <v>0</v>
      </c>
      <c r="J28" s="334">
        <f t="shared" si="1"/>
        <v>0</v>
      </c>
      <c r="K28" s="5">
        <f>'Swimming Pool quality check '!H28</f>
        <v>6720</v>
      </c>
      <c r="L28" s="274">
        <f t="shared" si="33"/>
        <v>0</v>
      </c>
      <c r="M28" s="410">
        <f t="shared" si="15"/>
        <v>457.44</v>
      </c>
      <c r="N28" s="514">
        <f t="shared" si="36"/>
        <v>0</v>
      </c>
      <c r="O28" s="410">
        <f t="shared" si="16"/>
        <v>529.52</v>
      </c>
      <c r="P28" s="514">
        <f t="shared" si="37"/>
        <v>0</v>
      </c>
      <c r="Q28" s="514">
        <f t="shared" si="38"/>
        <v>0</v>
      </c>
      <c r="R28" s="516"/>
      <c r="S28" s="516"/>
      <c r="T28" s="5">
        <f t="shared" si="17"/>
        <v>5167</v>
      </c>
      <c r="U28" s="5">
        <f t="shared" si="4"/>
        <v>0</v>
      </c>
      <c r="V28" s="5">
        <f t="shared" si="17"/>
        <v>461</v>
      </c>
      <c r="W28" s="324">
        <f t="shared" si="18"/>
        <v>0</v>
      </c>
      <c r="X28" s="5">
        <f t="shared" si="17"/>
        <v>150281</v>
      </c>
      <c r="Y28" s="324">
        <f t="shared" si="34"/>
        <v>0</v>
      </c>
      <c r="Z28" s="5">
        <v>98367</v>
      </c>
      <c r="AA28" s="83">
        <f t="shared" si="19"/>
        <v>0</v>
      </c>
      <c r="AB28" s="5">
        <f t="shared" si="17"/>
        <v>256</v>
      </c>
      <c r="AC28" s="5">
        <f t="shared" si="17"/>
        <v>731</v>
      </c>
      <c r="AD28" s="83">
        <f t="shared" si="31"/>
        <v>0</v>
      </c>
      <c r="AE28" s="5">
        <f t="shared" si="17"/>
        <v>227.8</v>
      </c>
      <c r="AF28" s="83">
        <f t="shared" si="20"/>
        <v>0</v>
      </c>
      <c r="AG28" s="5">
        <f t="shared" si="17"/>
        <v>2181.5700000000002</v>
      </c>
      <c r="AH28" s="83">
        <f t="shared" si="21"/>
        <v>0</v>
      </c>
      <c r="AI28" s="83">
        <f t="shared" si="22"/>
        <v>0</v>
      </c>
      <c r="AJ28" s="326">
        <f t="shared" si="23"/>
        <v>0</v>
      </c>
      <c r="AK28" s="327">
        <f t="shared" si="32"/>
        <v>0</v>
      </c>
      <c r="AL28" s="327">
        <f t="shared" si="24"/>
        <v>0</v>
      </c>
      <c r="AM28" s="327">
        <f>'General information '!D28</f>
        <v>16</v>
      </c>
      <c r="AN28" s="84">
        <f>'General information '!H28</f>
        <v>0</v>
      </c>
      <c r="AO28" s="84"/>
      <c r="AP28" s="84">
        <f>'General information '!J28</f>
        <v>0</v>
      </c>
      <c r="AR28" s="277">
        <f t="shared" si="25"/>
        <v>44250</v>
      </c>
      <c r="AS28" s="424">
        <f t="shared" si="46"/>
        <v>0.9</v>
      </c>
      <c r="AT28" s="201">
        <f t="shared" si="46"/>
        <v>157</v>
      </c>
      <c r="AU28" s="425">
        <f t="shared" si="35"/>
        <v>1.1000000000000001</v>
      </c>
      <c r="AV28" s="201">
        <v>112</v>
      </c>
      <c r="AW28" s="5">
        <v>2.9</v>
      </c>
      <c r="AX28" s="201">
        <f t="shared" ref="AX28" si="47">AX27</f>
        <v>160</v>
      </c>
      <c r="AY28" s="426">
        <f t="shared" si="7"/>
        <v>141.30000000000001</v>
      </c>
      <c r="AZ28" s="426">
        <f t="shared" si="26"/>
        <v>123.20000000000002</v>
      </c>
      <c r="BA28" s="426">
        <f t="shared" si="27"/>
        <v>464</v>
      </c>
      <c r="BB28" s="21">
        <f t="shared" si="28"/>
        <v>0</v>
      </c>
      <c r="BC28" s="21">
        <f t="shared" si="28"/>
        <v>-23.099999999999994</v>
      </c>
      <c r="BD28" s="21">
        <f t="shared" si="28"/>
        <v>0</v>
      </c>
      <c r="BE28" s="24">
        <f t="shared" si="30"/>
        <v>-23.099999999999994</v>
      </c>
      <c r="BF28" s="96">
        <f t="shared" si="8"/>
        <v>23.099999999999994</v>
      </c>
      <c r="BG28" s="82">
        <f t="shared" si="9"/>
        <v>-23.099999999999994</v>
      </c>
    </row>
    <row r="29" spans="1:61" ht="15.75" thickBot="1">
      <c r="A29" s="6">
        <f>ELEC!C26</f>
        <v>44251</v>
      </c>
      <c r="B29" s="5">
        <f t="shared" si="10"/>
        <v>109443</v>
      </c>
      <c r="C29" s="5">
        <f t="shared" si="11"/>
        <v>0</v>
      </c>
      <c r="D29" s="419">
        <f t="shared" si="12"/>
        <v>0</v>
      </c>
      <c r="E29" s="333">
        <f>SUM((C29*$E$4)+(7500/'EDl log'!$A$34))</f>
        <v>267.85714285714283</v>
      </c>
      <c r="F29" s="327"/>
      <c r="G29" s="5">
        <f t="shared" si="13"/>
        <v>615945</v>
      </c>
      <c r="H29" s="5">
        <f t="shared" si="14"/>
        <v>0</v>
      </c>
      <c r="I29" s="5">
        <f t="shared" si="0"/>
        <v>0</v>
      </c>
      <c r="J29" s="334">
        <f t="shared" si="1"/>
        <v>0</v>
      </c>
      <c r="K29" s="5">
        <f>'Swimming Pool quality check '!H29</f>
        <v>6720</v>
      </c>
      <c r="L29" s="274">
        <f t="shared" si="33"/>
        <v>0</v>
      </c>
      <c r="M29" s="410">
        <f t="shared" si="15"/>
        <v>457.44</v>
      </c>
      <c r="N29" s="514">
        <f t="shared" si="36"/>
        <v>0</v>
      </c>
      <c r="O29" s="410">
        <f t="shared" si="16"/>
        <v>529.52</v>
      </c>
      <c r="P29" s="514">
        <f t="shared" si="37"/>
        <v>0</v>
      </c>
      <c r="Q29" s="514">
        <f t="shared" si="38"/>
        <v>0</v>
      </c>
      <c r="R29" s="516"/>
      <c r="S29" s="516"/>
      <c r="T29" s="5">
        <f t="shared" si="17"/>
        <v>5167</v>
      </c>
      <c r="U29" s="5">
        <f t="shared" si="4"/>
        <v>0</v>
      </c>
      <c r="V29" s="5">
        <f t="shared" si="17"/>
        <v>461</v>
      </c>
      <c r="W29" s="324">
        <f t="shared" si="18"/>
        <v>0</v>
      </c>
      <c r="X29" s="5">
        <f t="shared" si="17"/>
        <v>150281</v>
      </c>
      <c r="Y29" s="324">
        <f t="shared" si="34"/>
        <v>0</v>
      </c>
      <c r="Z29" s="5">
        <f t="shared" si="17"/>
        <v>98367</v>
      </c>
      <c r="AA29" s="83">
        <f t="shared" si="19"/>
        <v>0</v>
      </c>
      <c r="AB29" s="5">
        <f t="shared" si="17"/>
        <v>256</v>
      </c>
      <c r="AC29" s="5">
        <f t="shared" si="17"/>
        <v>731</v>
      </c>
      <c r="AD29" s="83">
        <f t="shared" si="31"/>
        <v>0</v>
      </c>
      <c r="AE29" s="5">
        <f t="shared" si="17"/>
        <v>227.8</v>
      </c>
      <c r="AF29" s="83">
        <f t="shared" si="20"/>
        <v>0</v>
      </c>
      <c r="AG29" s="5">
        <f t="shared" si="17"/>
        <v>2181.5700000000002</v>
      </c>
      <c r="AH29" s="83">
        <f t="shared" si="21"/>
        <v>0</v>
      </c>
      <c r="AI29" s="83">
        <f t="shared" si="22"/>
        <v>0</v>
      </c>
      <c r="AJ29" s="326">
        <f t="shared" si="23"/>
        <v>0</v>
      </c>
      <c r="AK29" s="327">
        <f t="shared" si="32"/>
        <v>0</v>
      </c>
      <c r="AL29" s="327">
        <f t="shared" si="24"/>
        <v>0</v>
      </c>
      <c r="AM29" s="327">
        <f>'General information '!D29</f>
        <v>15.5</v>
      </c>
      <c r="AN29" s="84">
        <f>'General information '!H29</f>
        <v>0</v>
      </c>
      <c r="AO29" s="84"/>
      <c r="AP29" s="84">
        <f>'General information '!J29</f>
        <v>0</v>
      </c>
      <c r="AR29" s="277">
        <f t="shared" si="25"/>
        <v>44251</v>
      </c>
      <c r="AS29" s="424">
        <f t="shared" si="46"/>
        <v>0.9</v>
      </c>
      <c r="AT29" s="201">
        <v>157</v>
      </c>
      <c r="AU29" s="425">
        <f t="shared" si="35"/>
        <v>1.1000000000000001</v>
      </c>
      <c r="AV29" s="201">
        <f t="shared" si="35"/>
        <v>112</v>
      </c>
      <c r="AW29" s="5">
        <v>2.9</v>
      </c>
      <c r="AX29" s="201">
        <v>154</v>
      </c>
      <c r="AY29" s="426">
        <f t="shared" si="7"/>
        <v>141.30000000000001</v>
      </c>
      <c r="AZ29" s="426">
        <f t="shared" si="26"/>
        <v>123.20000000000002</v>
      </c>
      <c r="BA29" s="426">
        <f t="shared" si="27"/>
        <v>446.59999999999997</v>
      </c>
      <c r="BB29" s="21">
        <f t="shared" si="28"/>
        <v>0</v>
      </c>
      <c r="BC29" s="21">
        <f t="shared" si="28"/>
        <v>0</v>
      </c>
      <c r="BD29" s="21">
        <f t="shared" si="28"/>
        <v>-17.400000000000034</v>
      </c>
      <c r="BE29" s="24">
        <f t="shared" si="30"/>
        <v>-17.400000000000034</v>
      </c>
      <c r="BF29" s="96">
        <f t="shared" si="8"/>
        <v>17.400000000000034</v>
      </c>
      <c r="BG29" s="82">
        <f t="shared" si="9"/>
        <v>-17.400000000000034</v>
      </c>
    </row>
    <row r="30" spans="1:61" ht="15.75" thickBot="1">
      <c r="A30" s="6">
        <f>ELEC!C27</f>
        <v>44252</v>
      </c>
      <c r="B30" s="5">
        <f t="shared" si="10"/>
        <v>109443</v>
      </c>
      <c r="C30" s="5">
        <f t="shared" si="11"/>
        <v>0</v>
      </c>
      <c r="D30" s="419">
        <f t="shared" si="12"/>
        <v>0</v>
      </c>
      <c r="E30" s="333">
        <f>SUM((C30*$E$4)+(7500/'EDl log'!$A$34))</f>
        <v>267.85714285714283</v>
      </c>
      <c r="F30" s="327"/>
      <c r="G30" s="5">
        <v>615949</v>
      </c>
      <c r="H30" s="5">
        <f t="shared" si="14"/>
        <v>4</v>
      </c>
      <c r="I30" s="5">
        <f t="shared" si="0"/>
        <v>4</v>
      </c>
      <c r="J30" s="334">
        <f t="shared" si="1"/>
        <v>66.964285714285708</v>
      </c>
      <c r="K30" s="5">
        <f>'Swimming Pool quality check '!H30</f>
        <v>6720</v>
      </c>
      <c r="L30" s="274">
        <f t="shared" si="33"/>
        <v>0</v>
      </c>
      <c r="M30" s="410">
        <f t="shared" si="15"/>
        <v>457.44</v>
      </c>
      <c r="N30" s="514">
        <f t="shared" si="36"/>
        <v>0</v>
      </c>
      <c r="O30" s="410">
        <f t="shared" si="16"/>
        <v>529.52</v>
      </c>
      <c r="P30" s="514">
        <f t="shared" si="37"/>
        <v>0</v>
      </c>
      <c r="Q30" s="514">
        <f t="shared" si="38"/>
        <v>0</v>
      </c>
      <c r="R30" s="516"/>
      <c r="S30" s="516"/>
      <c r="T30" s="5">
        <f t="shared" si="17"/>
        <v>5167</v>
      </c>
      <c r="U30" s="5">
        <f t="shared" si="4"/>
        <v>0</v>
      </c>
      <c r="V30" s="5">
        <f t="shared" si="17"/>
        <v>461</v>
      </c>
      <c r="W30" s="324">
        <f t="shared" si="18"/>
        <v>0</v>
      </c>
      <c r="X30" s="5">
        <f t="shared" si="17"/>
        <v>150281</v>
      </c>
      <c r="Y30" s="324">
        <f t="shared" si="34"/>
        <v>0</v>
      </c>
      <c r="Z30" s="5">
        <f t="shared" si="17"/>
        <v>98367</v>
      </c>
      <c r="AA30" s="83">
        <f t="shared" si="19"/>
        <v>0</v>
      </c>
      <c r="AB30" s="5">
        <f t="shared" si="17"/>
        <v>256</v>
      </c>
      <c r="AC30" s="5">
        <f t="shared" si="17"/>
        <v>731</v>
      </c>
      <c r="AD30" s="83">
        <f t="shared" si="31"/>
        <v>0</v>
      </c>
      <c r="AE30" s="5">
        <f t="shared" si="17"/>
        <v>227.8</v>
      </c>
      <c r="AF30" s="83">
        <f t="shared" si="20"/>
        <v>0</v>
      </c>
      <c r="AG30" s="5">
        <f t="shared" si="17"/>
        <v>2181.5700000000002</v>
      </c>
      <c r="AH30" s="83">
        <f t="shared" si="21"/>
        <v>0</v>
      </c>
      <c r="AI30" s="83">
        <f t="shared" si="22"/>
        <v>0</v>
      </c>
      <c r="AJ30" s="326">
        <f t="shared" si="23"/>
        <v>0</v>
      </c>
      <c r="AK30" s="327">
        <f t="shared" si="32"/>
        <v>0</v>
      </c>
      <c r="AL30" s="327">
        <f t="shared" si="24"/>
        <v>0</v>
      </c>
      <c r="AM30" s="327">
        <f>'General information '!D30</f>
        <v>15.5</v>
      </c>
      <c r="AN30" s="84">
        <f>'General information '!H30</f>
        <v>0</v>
      </c>
      <c r="AO30" s="84"/>
      <c r="AP30" s="84">
        <f>'General information '!J30</f>
        <v>0</v>
      </c>
      <c r="AR30" s="277">
        <f t="shared" si="25"/>
        <v>44252</v>
      </c>
      <c r="AS30" s="424">
        <f t="shared" si="46"/>
        <v>0.9</v>
      </c>
      <c r="AT30" s="201">
        <v>160</v>
      </c>
      <c r="AU30" s="425">
        <f t="shared" si="35"/>
        <v>1.1000000000000001</v>
      </c>
      <c r="AV30" s="201">
        <v>105</v>
      </c>
      <c r="AW30" s="5">
        <v>2.9</v>
      </c>
      <c r="AX30" s="201">
        <v>152</v>
      </c>
      <c r="AY30" s="426">
        <f t="shared" si="7"/>
        <v>144</v>
      </c>
      <c r="AZ30" s="426">
        <f t="shared" si="26"/>
        <v>115.50000000000001</v>
      </c>
      <c r="BA30" s="426">
        <f t="shared" si="27"/>
        <v>440.8</v>
      </c>
      <c r="BB30" s="21">
        <f t="shared" si="28"/>
        <v>2.6999999999999886</v>
      </c>
      <c r="BC30" s="21">
        <f t="shared" si="28"/>
        <v>-7.7000000000000028</v>
      </c>
      <c r="BD30" s="21">
        <f t="shared" si="28"/>
        <v>-5.7999999999999545</v>
      </c>
      <c r="BE30" s="24">
        <f t="shared" si="30"/>
        <v>-10.799999999999969</v>
      </c>
      <c r="BF30" s="96">
        <f t="shared" si="8"/>
        <v>14.799999999999969</v>
      </c>
      <c r="BG30" s="82">
        <f t="shared" si="9"/>
        <v>-10.799999999999969</v>
      </c>
    </row>
    <row r="31" spans="1:61" ht="15.75" thickBot="1">
      <c r="A31" s="6">
        <f>ELEC!C28</f>
        <v>44253</v>
      </c>
      <c r="B31" s="5">
        <f t="shared" si="10"/>
        <v>109443</v>
      </c>
      <c r="C31" s="5">
        <f t="shared" si="11"/>
        <v>0</v>
      </c>
      <c r="D31" s="419">
        <f t="shared" si="12"/>
        <v>0</v>
      </c>
      <c r="E31" s="333">
        <f>SUM((C31*$E$4)+(7500/'EDl log'!$A$34))</f>
        <v>267.85714285714283</v>
      </c>
      <c r="F31" s="327"/>
      <c r="G31" s="5">
        <v>616152</v>
      </c>
      <c r="H31" s="5">
        <f t="shared" si="14"/>
        <v>203</v>
      </c>
      <c r="I31" s="5">
        <f t="shared" si="0"/>
        <v>203</v>
      </c>
      <c r="J31" s="334">
        <f t="shared" si="1"/>
        <v>1.3194933145672061</v>
      </c>
      <c r="K31" s="5">
        <f>'Swimming Pool quality check '!H31</f>
        <v>6721</v>
      </c>
      <c r="L31" s="274">
        <f t="shared" si="33"/>
        <v>1</v>
      </c>
      <c r="M31" s="410">
        <f t="shared" si="15"/>
        <v>457.44</v>
      </c>
      <c r="N31" s="514">
        <f t="shared" si="36"/>
        <v>0</v>
      </c>
      <c r="O31" s="410">
        <f t="shared" si="16"/>
        <v>529.52</v>
      </c>
      <c r="P31" s="514">
        <f t="shared" si="37"/>
        <v>0</v>
      </c>
      <c r="Q31" s="514">
        <f t="shared" si="38"/>
        <v>0</v>
      </c>
      <c r="R31" s="516"/>
      <c r="S31" s="516"/>
      <c r="T31" s="5">
        <f t="shared" si="17"/>
        <v>5167</v>
      </c>
      <c r="U31" s="5">
        <f t="shared" si="4"/>
        <v>0</v>
      </c>
      <c r="V31" s="5">
        <f t="shared" si="17"/>
        <v>461</v>
      </c>
      <c r="W31" s="324">
        <f t="shared" si="18"/>
        <v>0</v>
      </c>
      <c r="X31" s="5">
        <v>150295</v>
      </c>
      <c r="Y31" s="324">
        <f t="shared" si="34"/>
        <v>14</v>
      </c>
      <c r="Z31" s="5">
        <v>98651</v>
      </c>
      <c r="AA31" s="83">
        <f t="shared" si="19"/>
        <v>284</v>
      </c>
      <c r="AB31" s="5">
        <f t="shared" si="17"/>
        <v>256</v>
      </c>
      <c r="AC31" s="5">
        <f t="shared" si="17"/>
        <v>731</v>
      </c>
      <c r="AD31" s="83">
        <f t="shared" si="31"/>
        <v>0</v>
      </c>
      <c r="AE31" s="5">
        <f t="shared" si="17"/>
        <v>227.8</v>
      </c>
      <c r="AF31" s="83">
        <f t="shared" si="20"/>
        <v>0</v>
      </c>
      <c r="AG31" s="5">
        <f t="shared" si="17"/>
        <v>2181.5700000000002</v>
      </c>
      <c r="AH31" s="83">
        <f>AG31-AG30</f>
        <v>0</v>
      </c>
      <c r="AI31" s="83">
        <f>AF31+AH31</f>
        <v>0</v>
      </c>
      <c r="AJ31" s="326">
        <f t="shared" si="23"/>
        <v>284</v>
      </c>
      <c r="AK31" s="327">
        <f t="shared" si="32"/>
        <v>13</v>
      </c>
      <c r="AL31" s="327">
        <f t="shared" si="24"/>
        <v>284</v>
      </c>
      <c r="AM31" s="327">
        <f>'General information '!D31</f>
        <v>15.5</v>
      </c>
      <c r="AN31" s="84">
        <f>'General information '!H31</f>
        <v>0</v>
      </c>
      <c r="AO31" s="84"/>
      <c r="AP31" s="84">
        <f>'General information '!J31</f>
        <v>0</v>
      </c>
      <c r="AR31" s="277">
        <f t="shared" si="25"/>
        <v>44253</v>
      </c>
      <c r="AS31" s="424">
        <f t="shared" si="46"/>
        <v>0.9</v>
      </c>
      <c r="AT31" s="201">
        <v>180</v>
      </c>
      <c r="AU31" s="425">
        <f t="shared" si="35"/>
        <v>1.1000000000000001</v>
      </c>
      <c r="AV31" s="201">
        <v>156</v>
      </c>
      <c r="AW31" s="5">
        <v>2.9</v>
      </c>
      <c r="AX31" s="201">
        <v>154</v>
      </c>
      <c r="AY31" s="426">
        <f t="shared" si="7"/>
        <v>162</v>
      </c>
      <c r="AZ31" s="426">
        <f t="shared" si="26"/>
        <v>171.60000000000002</v>
      </c>
      <c r="BA31" s="426">
        <f t="shared" si="27"/>
        <v>446.59999999999997</v>
      </c>
      <c r="BB31" s="21">
        <f t="shared" si="28"/>
        <v>18</v>
      </c>
      <c r="BC31" s="21">
        <f t="shared" si="28"/>
        <v>56.100000000000009</v>
      </c>
      <c r="BD31" s="21">
        <f t="shared" si="28"/>
        <v>5.7999999999999545</v>
      </c>
      <c r="BE31" s="24">
        <f t="shared" si="30"/>
        <v>79.899999999999963</v>
      </c>
      <c r="BF31" s="96">
        <f t="shared" si="8"/>
        <v>123.10000000000004</v>
      </c>
      <c r="BG31" s="82">
        <f t="shared" si="9"/>
        <v>79.899999999999963</v>
      </c>
    </row>
    <row r="32" spans="1:61" ht="15.75" thickBot="1">
      <c r="A32" s="6">
        <f>ELEC!C29</f>
        <v>44254</v>
      </c>
      <c r="B32" s="5">
        <f t="shared" si="10"/>
        <v>109443</v>
      </c>
      <c r="C32" s="5">
        <f t="shared" si="11"/>
        <v>0</v>
      </c>
      <c r="D32" s="419">
        <f t="shared" si="12"/>
        <v>0</v>
      </c>
      <c r="E32" s="333">
        <f>SUM((C32*$E$4)+(7500/'EDl log'!$A$34))</f>
        <v>267.85714285714283</v>
      </c>
      <c r="F32" s="327"/>
      <c r="G32" s="5">
        <f t="shared" si="13"/>
        <v>616152</v>
      </c>
      <c r="H32" s="5">
        <f t="shared" si="14"/>
        <v>0</v>
      </c>
      <c r="I32" s="5">
        <f t="shared" si="0"/>
        <v>0</v>
      </c>
      <c r="J32" s="334">
        <f t="shared" si="1"/>
        <v>0</v>
      </c>
      <c r="K32" s="5">
        <f>'Swimming Pool quality check '!H32</f>
        <v>6721</v>
      </c>
      <c r="L32" s="274">
        <f t="shared" si="33"/>
        <v>0</v>
      </c>
      <c r="M32" s="410">
        <f t="shared" si="15"/>
        <v>457.44</v>
      </c>
      <c r="N32" s="514">
        <f t="shared" si="36"/>
        <v>0</v>
      </c>
      <c r="O32" s="410">
        <f t="shared" si="16"/>
        <v>529.52</v>
      </c>
      <c r="P32" s="514">
        <f t="shared" si="37"/>
        <v>0</v>
      </c>
      <c r="Q32" s="514">
        <f t="shared" si="38"/>
        <v>0</v>
      </c>
      <c r="R32" s="516"/>
      <c r="S32" s="516"/>
      <c r="T32" s="5">
        <f t="shared" si="17"/>
        <v>5167</v>
      </c>
      <c r="U32" s="5">
        <f t="shared" si="4"/>
        <v>0</v>
      </c>
      <c r="V32" s="5">
        <f t="shared" si="17"/>
        <v>461</v>
      </c>
      <c r="W32" s="324">
        <f t="shared" si="18"/>
        <v>0</v>
      </c>
      <c r="X32" s="5">
        <v>150360</v>
      </c>
      <c r="Y32" s="324">
        <f t="shared" si="34"/>
        <v>65</v>
      </c>
      <c r="Z32" s="5">
        <v>98678</v>
      </c>
      <c r="AA32" s="83">
        <f t="shared" si="19"/>
        <v>27</v>
      </c>
      <c r="AB32" s="5">
        <f t="shared" si="17"/>
        <v>256</v>
      </c>
      <c r="AC32" s="5">
        <f t="shared" si="17"/>
        <v>731</v>
      </c>
      <c r="AD32" s="83">
        <f t="shared" si="31"/>
        <v>0</v>
      </c>
      <c r="AE32" s="5">
        <f t="shared" si="17"/>
        <v>227.8</v>
      </c>
      <c r="AF32" s="83">
        <f t="shared" si="20"/>
        <v>0</v>
      </c>
      <c r="AG32" s="5">
        <f t="shared" si="17"/>
        <v>2181.5700000000002</v>
      </c>
      <c r="AH32" s="83">
        <f t="shared" si="21"/>
        <v>0</v>
      </c>
      <c r="AI32" s="83">
        <f t="shared" si="22"/>
        <v>0</v>
      </c>
      <c r="AJ32" s="326">
        <f t="shared" si="23"/>
        <v>27</v>
      </c>
      <c r="AK32" s="327">
        <f t="shared" si="32"/>
        <v>65</v>
      </c>
      <c r="AL32" s="327">
        <f t="shared" si="24"/>
        <v>27</v>
      </c>
      <c r="AM32" s="327">
        <f>'General information '!D32</f>
        <v>15.5</v>
      </c>
      <c r="AN32" s="84">
        <f>'General information '!H32</f>
        <v>0</v>
      </c>
      <c r="AO32" s="84"/>
      <c r="AP32" s="84">
        <f>'General information '!J32</f>
        <v>0</v>
      </c>
      <c r="AR32" s="277">
        <f t="shared" si="25"/>
        <v>44254</v>
      </c>
      <c r="AS32" s="424">
        <f t="shared" si="46"/>
        <v>0.9</v>
      </c>
      <c r="AT32" s="201">
        <v>87</v>
      </c>
      <c r="AU32" s="425">
        <f t="shared" si="35"/>
        <v>1.1000000000000001</v>
      </c>
      <c r="AV32" s="201">
        <v>173</v>
      </c>
      <c r="AW32" s="5">
        <v>2.9</v>
      </c>
      <c r="AX32" s="201">
        <v>167</v>
      </c>
      <c r="AY32" s="426">
        <f t="shared" si="7"/>
        <v>78.3</v>
      </c>
      <c r="AZ32" s="426">
        <f t="shared" si="26"/>
        <v>190.3</v>
      </c>
      <c r="BA32" s="426">
        <f t="shared" si="27"/>
        <v>484.3</v>
      </c>
      <c r="BB32" s="21">
        <f t="shared" si="28"/>
        <v>-83.7</v>
      </c>
      <c r="BC32" s="21">
        <f t="shared" si="28"/>
        <v>18.699999999999989</v>
      </c>
      <c r="BD32" s="21">
        <f t="shared" si="28"/>
        <v>37.700000000000045</v>
      </c>
      <c r="BE32" s="24">
        <f t="shared" si="30"/>
        <v>-27.299999999999969</v>
      </c>
      <c r="BF32" s="96">
        <f t="shared" si="8"/>
        <v>27.299999999999969</v>
      </c>
      <c r="BG32" s="82">
        <f t="shared" si="9"/>
        <v>-27.299999999999969</v>
      </c>
    </row>
    <row r="33" spans="1:59" ht="15.75" thickBot="1">
      <c r="A33" s="6">
        <f>ELEC!C30</f>
        <v>44255</v>
      </c>
      <c r="B33" s="5">
        <f t="shared" si="10"/>
        <v>109443</v>
      </c>
      <c r="C33" s="5">
        <f t="shared" si="11"/>
        <v>0</v>
      </c>
      <c r="D33" s="419">
        <f t="shared" si="12"/>
        <v>0</v>
      </c>
      <c r="E33" s="333">
        <f>SUM((C33*$E$4)+(7500/'EDl log'!$A$34))</f>
        <v>267.85714285714283</v>
      </c>
      <c r="F33" s="327"/>
      <c r="G33" s="5">
        <f t="shared" si="13"/>
        <v>616152</v>
      </c>
      <c r="H33" s="5">
        <f t="shared" si="14"/>
        <v>0</v>
      </c>
      <c r="I33" s="5">
        <f t="shared" si="0"/>
        <v>0</v>
      </c>
      <c r="J33" s="334">
        <f t="shared" si="1"/>
        <v>0</v>
      </c>
      <c r="K33" s="5">
        <f>'Swimming Pool quality check '!H33</f>
        <v>6721</v>
      </c>
      <c r="L33" s="274">
        <f t="shared" si="33"/>
        <v>0</v>
      </c>
      <c r="M33" s="410">
        <f t="shared" si="15"/>
        <v>457.44</v>
      </c>
      <c r="N33" s="514">
        <f t="shared" si="36"/>
        <v>0</v>
      </c>
      <c r="O33" s="410">
        <f t="shared" si="16"/>
        <v>529.52</v>
      </c>
      <c r="P33" s="514">
        <f t="shared" si="37"/>
        <v>0</v>
      </c>
      <c r="Q33" s="514">
        <f t="shared" si="38"/>
        <v>0</v>
      </c>
      <c r="R33" s="516"/>
      <c r="S33" s="516"/>
      <c r="T33" s="5">
        <f t="shared" si="17"/>
        <v>5167</v>
      </c>
      <c r="U33" s="5">
        <f t="shared" si="4"/>
        <v>0</v>
      </c>
      <c r="V33" s="5">
        <f t="shared" si="17"/>
        <v>461</v>
      </c>
      <c r="W33" s="324">
        <f t="shared" si="18"/>
        <v>0</v>
      </c>
      <c r="X33" s="5">
        <v>150365</v>
      </c>
      <c r="Y33" s="324">
        <f t="shared" si="34"/>
        <v>5</v>
      </c>
      <c r="Z33" s="5">
        <v>98681</v>
      </c>
      <c r="AA33" s="83">
        <f t="shared" si="19"/>
        <v>3</v>
      </c>
      <c r="AB33" s="5">
        <f t="shared" si="17"/>
        <v>256</v>
      </c>
      <c r="AC33" s="5">
        <f t="shared" si="17"/>
        <v>731</v>
      </c>
      <c r="AD33" s="83">
        <f t="shared" si="31"/>
        <v>0</v>
      </c>
      <c r="AE33" s="5">
        <v>228.16</v>
      </c>
      <c r="AF33" s="83">
        <f>AE33-AE32</f>
        <v>0.35999999999998522</v>
      </c>
      <c r="AG33" s="5">
        <v>2182.1999999999998</v>
      </c>
      <c r="AH33" s="83">
        <f t="shared" si="21"/>
        <v>0.62999999999965439</v>
      </c>
      <c r="AI33" s="83">
        <f t="shared" si="22"/>
        <v>0.98999999999963961</v>
      </c>
      <c r="AJ33" s="326">
        <f t="shared" si="23"/>
        <v>3</v>
      </c>
      <c r="AK33" s="327">
        <f t="shared" si="32"/>
        <v>5</v>
      </c>
      <c r="AL33" s="327">
        <f t="shared" si="24"/>
        <v>3</v>
      </c>
      <c r="AM33" s="327">
        <f>'General information '!D33</f>
        <v>15</v>
      </c>
      <c r="AN33" s="84">
        <f>'General information '!H33</f>
        <v>0</v>
      </c>
      <c r="AO33" s="84"/>
      <c r="AP33" s="84">
        <f>'General information '!J33</f>
        <v>0</v>
      </c>
      <c r="AR33" s="277">
        <f t="shared" si="25"/>
        <v>44255</v>
      </c>
      <c r="AS33" s="424">
        <f t="shared" si="46"/>
        <v>0.9</v>
      </c>
      <c r="AT33" s="201">
        <v>83</v>
      </c>
      <c r="AU33" s="425">
        <f t="shared" si="35"/>
        <v>1.1000000000000001</v>
      </c>
      <c r="AV33" s="201">
        <v>171</v>
      </c>
      <c r="AW33" s="5">
        <v>2.9</v>
      </c>
      <c r="AX33" s="201">
        <v>165</v>
      </c>
      <c r="AY33" s="426">
        <f t="shared" si="7"/>
        <v>74.7</v>
      </c>
      <c r="AZ33" s="426">
        <f t="shared" si="26"/>
        <v>188.10000000000002</v>
      </c>
      <c r="BA33" s="426">
        <f t="shared" si="27"/>
        <v>478.5</v>
      </c>
      <c r="BB33" s="21">
        <f t="shared" si="28"/>
        <v>-3.5999999999999943</v>
      </c>
      <c r="BC33" s="21">
        <f t="shared" si="28"/>
        <v>-2.1999999999999886</v>
      </c>
      <c r="BD33" s="21">
        <f t="shared" si="28"/>
        <v>-5.8000000000000114</v>
      </c>
      <c r="BE33" s="24">
        <f t="shared" si="30"/>
        <v>-11.599999999999994</v>
      </c>
      <c r="BF33" s="96">
        <f t="shared" si="8"/>
        <v>11.599999999999994</v>
      </c>
      <c r="BG33" s="82">
        <f t="shared" si="9"/>
        <v>-11.599999999999994</v>
      </c>
    </row>
    <row r="34" spans="1:59">
      <c r="C34" s="412">
        <f>SUM(C6:C33)</f>
        <v>0</v>
      </c>
      <c r="D34" s="322">
        <f>SUM(D6:D33)</f>
        <v>0</v>
      </c>
      <c r="F34" s="414">
        <f>SUM(F6:F33)</f>
        <v>0</v>
      </c>
      <c r="H34" s="412">
        <f>SUM(H6:H33)</f>
        <v>778</v>
      </c>
      <c r="I34" s="412">
        <f>SUM(I6:I33)</f>
        <v>778</v>
      </c>
      <c r="L34" s="268">
        <f>SUM(L7:L33)</f>
        <v>5</v>
      </c>
      <c r="Q34" s="495">
        <f>SUM(Q5:Q33)</f>
        <v>0</v>
      </c>
      <c r="U34" s="409">
        <f>SUM(U6:U33)</f>
        <v>3</v>
      </c>
      <c r="X34" s="323"/>
      <c r="Y34" s="322" t="e">
        <f>SUM(#REF!,Y33,Y31,Y29,Y27,Y25,Y23,Y21,Y19,Y17,Y15,Y13,Y11,Y9,Y7,#REF!)</f>
        <v>#REF!</v>
      </c>
      <c r="AJ34" s="322">
        <f>SUM(AJ6:AJ33)</f>
        <v>419</v>
      </c>
      <c r="AK34" s="327" t="e">
        <f>SUM(Y34-L34)</f>
        <v>#REF!</v>
      </c>
      <c r="AL34" s="322">
        <f>SUM(AL6:AL33)</f>
        <v>418</v>
      </c>
      <c r="AP34" s="17"/>
      <c r="AQ34" s="17"/>
      <c r="AR34" s="17"/>
      <c r="AS34" s="226"/>
      <c r="AT34" s="5"/>
      <c r="AU34" s="226"/>
      <c r="AV34" s="17"/>
      <c r="AW34" s="227"/>
      <c r="AX34" s="227"/>
      <c r="AY34" s="227"/>
      <c r="AZ34" s="17"/>
      <c r="BA34" s="17"/>
      <c r="BB34" s="17"/>
      <c r="BC34" s="17"/>
      <c r="BD34" s="17"/>
    </row>
    <row r="35" spans="1:59">
      <c r="C35" s="1">
        <f>+C34*1.66</f>
        <v>0</v>
      </c>
      <c r="E35" s="332">
        <f>SUM(E6:E33)</f>
        <v>7474.0783410138265</v>
      </c>
      <c r="F35" s="417">
        <f>SUM(F6:F33)</f>
        <v>0</v>
      </c>
      <c r="H35" s="157">
        <v>7500</v>
      </c>
      <c r="I35" s="413">
        <f>SUM('General information '!G34/WATER!I34)</f>
        <v>0</v>
      </c>
      <c r="L35" s="157"/>
      <c r="O35" s="492">
        <f>SUM(Q34+I34)</f>
        <v>778</v>
      </c>
      <c r="Z35" s="322" t="e">
        <f>SUM(Y34:AJ34)</f>
        <v>#REF!</v>
      </c>
      <c r="AK35" s="327">
        <f>SUM(Y35-L35)</f>
        <v>0</v>
      </c>
      <c r="AP35" s="17"/>
      <c r="AQ35" s="17"/>
      <c r="AR35" s="17"/>
      <c r="AS35" s="17"/>
      <c r="AT35" s="17"/>
      <c r="AU35" s="17"/>
      <c r="AV35" s="17"/>
      <c r="AW35" s="17"/>
      <c r="AX35" s="17"/>
      <c r="AY35" s="17"/>
      <c r="AZ35" s="17"/>
      <c r="BA35" s="17"/>
      <c r="BB35" s="17"/>
      <c r="BC35" s="17"/>
      <c r="BD35" s="17"/>
    </row>
    <row r="36" spans="1:59">
      <c r="B36" s="265">
        <f>9*27</f>
        <v>243</v>
      </c>
      <c r="D36" s="414">
        <f>SUM(D6:D33)</f>
        <v>0</v>
      </c>
      <c r="F36" s="415">
        <f>SUM(F6:F33)</f>
        <v>0</v>
      </c>
      <c r="G36" s="1">
        <f>SUM(I34)</f>
        <v>778</v>
      </c>
      <c r="H36" s="1">
        <f>SUM(H35+C35)</f>
        <v>7500</v>
      </c>
      <c r="K36" s="1">
        <f>SUM(H36/G36)</f>
        <v>9.6401028277634957</v>
      </c>
      <c r="AJ36" s="322">
        <f>SUM(C35-AK35)</f>
        <v>0</v>
      </c>
      <c r="AM36" s="346" t="e">
        <f>SUM(AJ36/AO35)</f>
        <v>#DIV/0!</v>
      </c>
    </row>
    <row r="38" spans="1:59">
      <c r="AP38" s="17"/>
      <c r="AQ38" s="17"/>
      <c r="AR38" s="17"/>
      <c r="AS38" s="17"/>
      <c r="AT38" s="17"/>
      <c r="AU38" s="17"/>
    </row>
    <row r="39" spans="1:59">
      <c r="AP39" s="17"/>
      <c r="AQ39" s="17"/>
      <c r="AR39" s="17"/>
      <c r="AS39" s="17"/>
      <c r="AT39" s="17"/>
      <c r="AU39" s="17"/>
    </row>
    <row r="40" spans="1:59" ht="15.75">
      <c r="AP40" s="17"/>
      <c r="AQ40" s="17"/>
      <c r="AR40" s="18"/>
      <c r="AS40" s="18"/>
      <c r="AT40" s="17"/>
      <c r="AU40" s="17"/>
    </row>
    <row r="41" spans="1:59">
      <c r="AP41" s="17"/>
      <c r="AQ41" s="17"/>
      <c r="AR41" s="19"/>
      <c r="AS41" s="19"/>
      <c r="AT41" s="17"/>
      <c r="AU41" s="17"/>
    </row>
    <row r="42" spans="1:59">
      <c r="AP42" s="17"/>
      <c r="AQ42" s="17"/>
      <c r="AR42" s="19"/>
      <c r="AS42" s="19"/>
      <c r="AT42" s="17"/>
      <c r="AU42" s="17"/>
    </row>
    <row r="43" spans="1:59">
      <c r="AP43" s="17"/>
      <c r="AQ43" s="17"/>
      <c r="AR43" s="19"/>
      <c r="AS43" s="19"/>
      <c r="AT43" s="17"/>
      <c r="AU43" s="17"/>
    </row>
    <row r="44" spans="1:59">
      <c r="AP44" s="17"/>
      <c r="AQ44" s="17"/>
      <c r="AR44" s="19"/>
      <c r="AS44" s="19"/>
      <c r="AT44" s="17"/>
      <c r="AU44" s="17"/>
    </row>
    <row r="45" spans="1:59">
      <c r="AP45" s="17"/>
      <c r="AQ45" s="17"/>
      <c r="AR45" s="19"/>
      <c r="AS45" s="19"/>
      <c r="AT45" s="17"/>
      <c r="AU45" s="17"/>
    </row>
    <row r="46" spans="1:59">
      <c r="AP46" s="17"/>
      <c r="AQ46" s="17"/>
      <c r="AR46" s="19"/>
      <c r="AS46" s="19"/>
      <c r="AT46" s="17"/>
      <c r="AU46" s="17"/>
    </row>
    <row r="47" spans="1:59">
      <c r="AP47" s="17"/>
      <c r="AQ47" s="17"/>
      <c r="AR47" s="19"/>
      <c r="AS47" s="19"/>
      <c r="AT47" s="17"/>
      <c r="AU47" s="17"/>
    </row>
    <row r="48" spans="1:59">
      <c r="AP48" s="17"/>
      <c r="AQ48" s="17"/>
      <c r="AR48" s="19"/>
      <c r="AS48" s="19"/>
      <c r="AT48" s="17"/>
      <c r="AU48" s="17"/>
    </row>
    <row r="49" spans="42:47">
      <c r="AP49" s="17"/>
      <c r="AQ49" s="17"/>
      <c r="AR49" s="19"/>
      <c r="AS49" s="19"/>
      <c r="AT49" s="17"/>
      <c r="AU49" s="17"/>
    </row>
    <row r="50" spans="42:47">
      <c r="AP50" s="17"/>
      <c r="AQ50" s="17"/>
      <c r="AR50" s="19"/>
      <c r="AS50" s="19"/>
      <c r="AT50" s="17"/>
      <c r="AU50" s="17"/>
    </row>
    <row r="51" spans="42:47">
      <c r="AP51" s="17"/>
      <c r="AQ51" s="17"/>
      <c r="AR51" s="19"/>
      <c r="AS51" s="19"/>
      <c r="AT51" s="17"/>
      <c r="AU51" s="17"/>
    </row>
    <row r="52" spans="42:47">
      <c r="AP52" s="17"/>
      <c r="AQ52" s="17"/>
      <c r="AR52" s="19"/>
      <c r="AS52" s="19"/>
      <c r="AT52" s="17"/>
      <c r="AU52" s="17"/>
    </row>
    <row r="53" spans="42:47">
      <c r="AP53" s="17"/>
      <c r="AQ53" s="17"/>
      <c r="AR53" s="19"/>
      <c r="AS53" s="19"/>
      <c r="AT53" s="17"/>
      <c r="AU53" s="17"/>
    </row>
    <row r="54" spans="42:47">
      <c r="AP54" s="17"/>
      <c r="AQ54" s="17"/>
      <c r="AR54" s="19"/>
      <c r="AS54" s="19"/>
      <c r="AT54" s="17"/>
      <c r="AU54" s="17"/>
    </row>
    <row r="55" spans="42:47">
      <c r="AP55" s="17"/>
      <c r="AQ55" s="17"/>
      <c r="AR55" s="19"/>
      <c r="AS55" s="19"/>
      <c r="AT55" s="17"/>
      <c r="AU55" s="17"/>
    </row>
    <row r="56" spans="42:47">
      <c r="AP56" s="17"/>
      <c r="AQ56" s="17"/>
      <c r="AR56" s="19"/>
      <c r="AS56" s="19"/>
      <c r="AT56" s="17"/>
      <c r="AU56" s="17"/>
    </row>
    <row r="57" spans="42:47">
      <c r="AP57" s="17"/>
      <c r="AQ57" s="17"/>
      <c r="AR57" s="19"/>
      <c r="AS57" s="19"/>
      <c r="AT57" s="17"/>
      <c r="AU57" s="17"/>
    </row>
    <row r="58" spans="42:47">
      <c r="AP58" s="17"/>
      <c r="AQ58" s="17"/>
      <c r="AR58" s="19"/>
      <c r="AS58" s="19"/>
      <c r="AT58" s="17"/>
      <c r="AU58" s="17"/>
    </row>
    <row r="59" spans="42:47">
      <c r="AP59" s="17"/>
      <c r="AQ59" s="17"/>
      <c r="AR59" s="19"/>
      <c r="AS59" s="19"/>
      <c r="AT59" s="17"/>
      <c r="AU59" s="17"/>
    </row>
    <row r="60" spans="42:47">
      <c r="AP60" s="17"/>
      <c r="AQ60" s="17"/>
      <c r="AR60" s="19"/>
      <c r="AS60" s="19"/>
      <c r="AT60" s="17"/>
      <c r="AU60" s="17"/>
    </row>
    <row r="61" spans="42:47">
      <c r="AP61" s="17"/>
      <c r="AQ61" s="17"/>
      <c r="AR61" s="19"/>
      <c r="AS61" s="19"/>
      <c r="AT61" s="17"/>
      <c r="AU61" s="17"/>
    </row>
    <row r="62" spans="42:47">
      <c r="AP62" s="17"/>
      <c r="AQ62" s="17"/>
      <c r="AR62" s="19"/>
      <c r="AS62" s="19"/>
      <c r="AT62" s="17"/>
      <c r="AU62" s="17"/>
    </row>
    <row r="63" spans="42:47">
      <c r="AP63" s="17"/>
      <c r="AQ63" s="17"/>
      <c r="AR63" s="19"/>
      <c r="AS63" s="19"/>
      <c r="AT63" s="17"/>
      <c r="AU63" s="17"/>
    </row>
    <row r="64" spans="42:47">
      <c r="AP64" s="17"/>
      <c r="AQ64" s="17"/>
      <c r="AR64" s="19"/>
      <c r="AS64" s="19"/>
      <c r="AT64" s="17"/>
      <c r="AU64" s="17"/>
    </row>
    <row r="65" spans="42:47">
      <c r="AP65" s="17"/>
      <c r="AQ65" s="17"/>
      <c r="AR65" s="19"/>
      <c r="AS65" s="19"/>
      <c r="AT65" s="17"/>
      <c r="AU65" s="17"/>
    </row>
    <row r="66" spans="42:47">
      <c r="AP66" s="17"/>
      <c r="AQ66" s="17"/>
      <c r="AR66" s="19"/>
      <c r="AS66" s="19"/>
      <c r="AT66" s="17"/>
      <c r="AU66" s="17"/>
    </row>
    <row r="67" spans="42:47">
      <c r="AP67" s="17"/>
      <c r="AQ67" s="17"/>
      <c r="AR67" s="19"/>
      <c r="AS67" s="19"/>
      <c r="AT67" s="17"/>
      <c r="AU67" s="17"/>
    </row>
    <row r="68" spans="42:47">
      <c r="AP68" s="17"/>
      <c r="AQ68" s="17"/>
      <c r="AR68" s="19"/>
      <c r="AS68" s="19"/>
      <c r="AT68" s="17"/>
      <c r="AU68" s="17"/>
    </row>
    <row r="69" spans="42:47">
      <c r="AP69" s="17"/>
      <c r="AQ69" s="17"/>
      <c r="AR69" s="19"/>
      <c r="AS69" s="19"/>
      <c r="AT69" s="17"/>
      <c r="AU69" s="17"/>
    </row>
    <row r="70" spans="42:47">
      <c r="AP70" s="17"/>
      <c r="AQ70" s="17"/>
      <c r="AR70" s="19"/>
      <c r="AS70" s="19"/>
      <c r="AT70" s="17"/>
      <c r="AU70" s="17"/>
    </row>
    <row r="71" spans="42:47">
      <c r="AP71" s="17"/>
      <c r="AQ71" s="17"/>
      <c r="AR71" s="19"/>
      <c r="AS71" s="19"/>
      <c r="AT71" s="17"/>
      <c r="AU71" s="17"/>
    </row>
    <row r="72" spans="42:47">
      <c r="AP72" s="17"/>
      <c r="AQ72" s="17"/>
      <c r="AR72" s="17"/>
      <c r="AS72" s="17"/>
      <c r="AT72" s="17"/>
      <c r="AU72" s="17"/>
    </row>
  </sheetData>
  <mergeCells count="4">
    <mergeCell ref="AN3:AP3"/>
    <mergeCell ref="AR2:AV2"/>
    <mergeCell ref="AW2:AY2"/>
    <mergeCell ref="AZ2:BB2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zoomScale="70" zoomScaleNormal="70" workbookViewId="0">
      <selection activeCell="K64" sqref="K64"/>
    </sheetView>
  </sheetViews>
  <sheetFormatPr defaultRowHeight="15"/>
  <sheetData/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38"/>
  <sheetViews>
    <sheetView tabSelected="1" zoomScaleNormal="100" workbookViewId="0">
      <pane ySplit="4" topLeftCell="A17" activePane="bottomLeft" state="frozen"/>
      <selection pane="bottomLeft" activeCell="G33" sqref="G33"/>
    </sheetView>
  </sheetViews>
  <sheetFormatPr defaultRowHeight="15"/>
  <cols>
    <col min="1" max="1" width="11.85546875" style="484" customWidth="1"/>
    <col min="2" max="3" width="7.85546875" bestFit="1" customWidth="1"/>
    <col min="4" max="4" width="10.28515625" bestFit="1" customWidth="1"/>
    <col min="5" max="5" width="13.7109375" bestFit="1" customWidth="1"/>
    <col min="6" max="6" width="11.140625" bestFit="1" customWidth="1"/>
    <col min="7" max="7" width="15.42578125" customWidth="1"/>
    <col min="8" max="8" width="7.42578125" bestFit="1" customWidth="1"/>
    <col min="9" max="9" width="11.42578125" bestFit="1" customWidth="1"/>
    <col min="10" max="10" width="10.7109375" bestFit="1" customWidth="1"/>
    <col min="11" max="11" width="11.5703125" bestFit="1" customWidth="1"/>
    <col min="12" max="12" width="14.42578125" bestFit="1" customWidth="1"/>
    <col min="13" max="13" width="9" bestFit="1" customWidth="1"/>
    <col min="14" max="14" width="13.5703125" bestFit="1" customWidth="1"/>
    <col min="15" max="15" width="19" bestFit="1" customWidth="1"/>
  </cols>
  <sheetData>
    <row r="1" spans="1:15" ht="15" customHeight="1">
      <c r="A1" s="626" t="s">
        <v>193</v>
      </c>
      <c r="B1" s="627"/>
      <c r="C1" s="627"/>
      <c r="D1" s="627"/>
      <c r="E1" s="627"/>
      <c r="F1" s="627"/>
      <c r="G1" s="627"/>
      <c r="H1" s="627"/>
      <c r="I1" s="627"/>
      <c r="J1" s="627"/>
      <c r="K1" s="627"/>
      <c r="L1" s="627"/>
      <c r="M1" s="627"/>
      <c r="N1" s="627"/>
      <c r="O1" s="628"/>
    </row>
    <row r="2" spans="1:15" ht="15.75" customHeight="1" thickBot="1">
      <c r="A2" s="629"/>
      <c r="B2" s="630"/>
      <c r="C2" s="630"/>
      <c r="D2" s="630"/>
      <c r="E2" s="630"/>
      <c r="F2" s="630"/>
      <c r="G2" s="630"/>
      <c r="H2" s="630"/>
      <c r="I2" s="630"/>
      <c r="J2" s="630"/>
      <c r="K2" s="630"/>
      <c r="L2" s="630"/>
      <c r="M2" s="630"/>
      <c r="N2" s="630"/>
      <c r="O2" s="631"/>
    </row>
    <row r="3" spans="1:15" ht="9" customHeight="1" thickBot="1">
      <c r="A3" s="481"/>
      <c r="B3" s="153"/>
      <c r="C3" s="153"/>
      <c r="D3" s="153"/>
      <c r="E3" s="153"/>
      <c r="F3" s="153"/>
      <c r="G3" s="153"/>
      <c r="H3" s="153"/>
      <c r="I3" s="153"/>
      <c r="J3" s="153"/>
      <c r="K3" s="153"/>
      <c r="L3" s="153"/>
      <c r="M3" s="153"/>
      <c r="N3" s="153"/>
      <c r="O3" s="153"/>
    </row>
    <row r="4" spans="1:15" ht="16.5" thickTop="1" thickBot="1">
      <c r="A4" s="482"/>
      <c r="B4" s="149" t="s">
        <v>387</v>
      </c>
      <c r="C4" s="150" t="s">
        <v>158</v>
      </c>
      <c r="D4" s="147" t="s">
        <v>160</v>
      </c>
      <c r="E4" s="151" t="s">
        <v>159</v>
      </c>
      <c r="F4" s="503" t="s">
        <v>184</v>
      </c>
      <c r="G4" s="148" t="s">
        <v>185</v>
      </c>
      <c r="H4" s="152" t="s">
        <v>186</v>
      </c>
      <c r="I4" s="149" t="s">
        <v>187</v>
      </c>
      <c r="J4" s="150" t="s">
        <v>188</v>
      </c>
      <c r="K4" s="148" t="s">
        <v>189</v>
      </c>
      <c r="L4" s="152" t="s">
        <v>190</v>
      </c>
      <c r="M4" s="150" t="s">
        <v>191</v>
      </c>
      <c r="N4" s="154" t="s">
        <v>192</v>
      </c>
      <c r="O4" s="156" t="s">
        <v>194</v>
      </c>
    </row>
    <row r="5" spans="1:15" ht="15.75" thickTop="1">
      <c r="A5" s="483">
        <f>ELEC!C2</f>
        <v>44227</v>
      </c>
      <c r="B5" s="356">
        <v>19</v>
      </c>
      <c r="C5" s="356">
        <v>14</v>
      </c>
      <c r="D5" s="356">
        <f>'[1]General information '!D36</f>
        <v>18</v>
      </c>
      <c r="E5" s="356">
        <f>'[1]General information '!E36</f>
        <v>0.55000000000000004</v>
      </c>
      <c r="F5" s="567">
        <f>'[1]General information '!F36</f>
        <v>0</v>
      </c>
      <c r="G5" s="356">
        <f>'[1]General information '!G36</f>
        <v>0</v>
      </c>
      <c r="H5" s="356">
        <f>'[1]General information '!H36</f>
        <v>0</v>
      </c>
      <c r="I5" s="356">
        <f>'[1]General information '!I36</f>
        <v>0</v>
      </c>
      <c r="J5" s="356">
        <f>'[1]General information '!J36</f>
        <v>0</v>
      </c>
      <c r="K5" s="356">
        <f>'[1]General information '!K36</f>
        <v>0</v>
      </c>
      <c r="L5" s="356">
        <f>'[1]General information '!L36</f>
        <v>0</v>
      </c>
      <c r="M5" s="356">
        <f>'[1]General information '!M36</f>
        <v>0</v>
      </c>
      <c r="N5" s="356">
        <f>'[1]General information '!N36</f>
        <v>0</v>
      </c>
      <c r="O5" s="356">
        <f>'[1]General information '!O36</f>
        <v>0</v>
      </c>
    </row>
    <row r="6" spans="1:15">
      <c r="A6" s="483">
        <f>ELEC!C3</f>
        <v>44228</v>
      </c>
      <c r="B6" s="37">
        <v>21</v>
      </c>
      <c r="C6" s="37">
        <v>16</v>
      </c>
      <c r="D6" s="26">
        <f t="shared" ref="D6:D12" si="0">(C6+B6)/2</f>
        <v>18.5</v>
      </c>
      <c r="E6" s="340">
        <v>0.65</v>
      </c>
      <c r="F6" s="343">
        <v>0</v>
      </c>
      <c r="G6" s="241">
        <f t="shared" ref="G6:G12" si="1">F6*230</f>
        <v>0</v>
      </c>
      <c r="H6" s="3">
        <v>0</v>
      </c>
      <c r="I6" s="3">
        <v>0</v>
      </c>
      <c r="J6" s="37">
        <v>0</v>
      </c>
      <c r="K6" s="263">
        <f t="shared" ref="K6:K26" si="2">+J6+H6</f>
        <v>0</v>
      </c>
      <c r="L6" s="3"/>
      <c r="M6" s="3"/>
      <c r="N6" s="155"/>
      <c r="O6" s="3"/>
    </row>
    <row r="7" spans="1:15">
      <c r="A7" s="483">
        <f>ELEC!C4</f>
        <v>44229</v>
      </c>
      <c r="B7" s="37">
        <v>23</v>
      </c>
      <c r="C7" s="37">
        <v>17</v>
      </c>
      <c r="D7" s="26">
        <f t="shared" si="0"/>
        <v>20</v>
      </c>
      <c r="E7" s="340">
        <v>0.56000000000000005</v>
      </c>
      <c r="F7" s="394">
        <v>0</v>
      </c>
      <c r="G7" s="241">
        <f t="shared" si="1"/>
        <v>0</v>
      </c>
      <c r="H7" s="3">
        <v>0</v>
      </c>
      <c r="I7" s="3">
        <v>0</v>
      </c>
      <c r="J7" s="37">
        <v>0</v>
      </c>
      <c r="K7" s="263">
        <f t="shared" si="2"/>
        <v>0</v>
      </c>
      <c r="L7" s="3"/>
      <c r="M7" s="3"/>
      <c r="N7" s="155"/>
      <c r="O7" s="3"/>
    </row>
    <row r="8" spans="1:15">
      <c r="A8" s="483">
        <f>ELEC!C5</f>
        <v>44230</v>
      </c>
      <c r="B8" s="37">
        <v>20</v>
      </c>
      <c r="C8" s="37">
        <v>15</v>
      </c>
      <c r="D8" s="26">
        <f t="shared" si="0"/>
        <v>17.5</v>
      </c>
      <c r="E8" s="340">
        <v>0.69</v>
      </c>
      <c r="F8" s="340">
        <v>0</v>
      </c>
      <c r="G8" s="241">
        <f t="shared" si="1"/>
        <v>0</v>
      </c>
      <c r="H8" s="3">
        <v>0</v>
      </c>
      <c r="I8" s="3">
        <v>0</v>
      </c>
      <c r="J8" s="37">
        <v>0</v>
      </c>
      <c r="K8" s="263">
        <f t="shared" si="2"/>
        <v>0</v>
      </c>
      <c r="L8" s="3"/>
      <c r="M8" s="170"/>
      <c r="N8" s="155"/>
      <c r="O8" s="3"/>
    </row>
    <row r="9" spans="1:15">
      <c r="A9" s="483">
        <f>ELEC!C6</f>
        <v>44231</v>
      </c>
      <c r="B9" s="37">
        <v>20</v>
      </c>
      <c r="C9" s="37">
        <v>15</v>
      </c>
      <c r="D9" s="26">
        <f>(C9+B9)/2</f>
        <v>17.5</v>
      </c>
      <c r="E9" s="394">
        <v>0.73</v>
      </c>
      <c r="F9" s="394">
        <v>0</v>
      </c>
      <c r="G9" s="241">
        <f>F9*230</f>
        <v>0</v>
      </c>
      <c r="H9" s="3">
        <v>0</v>
      </c>
      <c r="I9" s="3">
        <v>0</v>
      </c>
      <c r="J9" s="37">
        <v>0</v>
      </c>
      <c r="K9" s="263">
        <f>+J9+H9</f>
        <v>0</v>
      </c>
      <c r="L9" s="3"/>
      <c r="M9" s="3"/>
      <c r="N9" s="155"/>
      <c r="O9" s="3"/>
    </row>
    <row r="10" spans="1:15">
      <c r="A10" s="483">
        <f>ELEC!C7</f>
        <v>44232</v>
      </c>
      <c r="B10" s="37">
        <v>20</v>
      </c>
      <c r="C10" s="37">
        <v>15</v>
      </c>
      <c r="D10" s="26">
        <f t="shared" si="0"/>
        <v>17.5</v>
      </c>
      <c r="E10" s="354">
        <v>0.6</v>
      </c>
      <c r="F10" s="340">
        <v>0</v>
      </c>
      <c r="G10" s="241">
        <f t="shared" si="1"/>
        <v>0</v>
      </c>
      <c r="H10" s="3">
        <v>0</v>
      </c>
      <c r="I10" s="3">
        <v>0</v>
      </c>
      <c r="J10" s="37">
        <v>0</v>
      </c>
      <c r="K10" s="263">
        <f t="shared" si="2"/>
        <v>0</v>
      </c>
      <c r="L10" s="3"/>
      <c r="M10" s="3"/>
      <c r="N10" s="155"/>
      <c r="O10" s="3"/>
    </row>
    <row r="11" spans="1:15">
      <c r="A11" s="483">
        <f>ELEC!C8</f>
        <v>44233</v>
      </c>
      <c r="B11" s="37">
        <v>19</v>
      </c>
      <c r="C11" s="37">
        <v>15</v>
      </c>
      <c r="D11" s="26">
        <f t="shared" si="0"/>
        <v>17</v>
      </c>
      <c r="E11" s="394">
        <v>0.7</v>
      </c>
      <c r="F11" s="394">
        <v>0</v>
      </c>
      <c r="G11" s="241">
        <f t="shared" si="1"/>
        <v>0</v>
      </c>
      <c r="H11" s="3">
        <v>0</v>
      </c>
      <c r="I11" s="3">
        <v>0</v>
      </c>
      <c r="J11" s="37">
        <v>0</v>
      </c>
      <c r="K11" s="263">
        <f>+J11+H11</f>
        <v>0</v>
      </c>
      <c r="L11" s="3"/>
      <c r="M11" s="3"/>
      <c r="N11" s="155"/>
      <c r="O11" s="3"/>
    </row>
    <row r="12" spans="1:15">
      <c r="A12" s="483">
        <f>ELEC!C9</f>
        <v>44234</v>
      </c>
      <c r="B12" s="37">
        <v>21</v>
      </c>
      <c r="C12" s="37">
        <v>17</v>
      </c>
      <c r="D12" s="26">
        <f t="shared" si="0"/>
        <v>19</v>
      </c>
      <c r="E12" s="394">
        <v>0.63</v>
      </c>
      <c r="F12" s="394">
        <v>0</v>
      </c>
      <c r="G12" s="241">
        <f t="shared" si="1"/>
        <v>0</v>
      </c>
      <c r="H12" s="3">
        <v>0</v>
      </c>
      <c r="I12" s="3">
        <v>0</v>
      </c>
      <c r="J12" s="37">
        <v>0</v>
      </c>
      <c r="K12" s="263">
        <f t="shared" si="2"/>
        <v>0</v>
      </c>
      <c r="L12" s="3"/>
      <c r="M12" s="3"/>
      <c r="N12" s="155"/>
      <c r="O12" s="3"/>
    </row>
    <row r="13" spans="1:15">
      <c r="A13" s="483">
        <f>ELEC!C10</f>
        <v>44235</v>
      </c>
      <c r="B13" s="37">
        <v>23</v>
      </c>
      <c r="C13" s="37">
        <v>19</v>
      </c>
      <c r="D13" s="26">
        <f>(C13+B13)/2</f>
        <v>21</v>
      </c>
      <c r="E13" s="354">
        <v>0.55000000000000004</v>
      </c>
      <c r="F13" s="394">
        <v>0</v>
      </c>
      <c r="G13" s="241">
        <f>F13*230</f>
        <v>0</v>
      </c>
      <c r="H13" s="3">
        <v>0</v>
      </c>
      <c r="I13" s="3">
        <v>0</v>
      </c>
      <c r="J13" s="37">
        <v>0</v>
      </c>
      <c r="K13" s="263">
        <f t="shared" si="2"/>
        <v>0</v>
      </c>
      <c r="L13" s="3"/>
      <c r="M13" s="3"/>
      <c r="N13" s="155"/>
      <c r="O13" s="3"/>
    </row>
    <row r="14" spans="1:15">
      <c r="A14" s="483">
        <f>ELEC!C11</f>
        <v>44236</v>
      </c>
      <c r="B14" s="37">
        <v>21</v>
      </c>
      <c r="C14" s="37">
        <v>18</v>
      </c>
      <c r="D14" s="26">
        <f t="shared" ref="D14:D33" si="3">(C14+B14)/2</f>
        <v>19.5</v>
      </c>
      <c r="E14" s="340">
        <v>0.63</v>
      </c>
      <c r="F14" s="394">
        <v>0</v>
      </c>
      <c r="G14" s="241">
        <f t="shared" ref="G14:G33" si="4">F14*230</f>
        <v>0</v>
      </c>
      <c r="H14" s="3">
        <v>0</v>
      </c>
      <c r="I14" s="3">
        <v>0</v>
      </c>
      <c r="J14" s="37">
        <v>0</v>
      </c>
      <c r="K14" s="263">
        <f t="shared" si="2"/>
        <v>0</v>
      </c>
      <c r="L14" s="3"/>
      <c r="M14" s="3"/>
      <c r="N14" s="155"/>
      <c r="O14" s="3"/>
    </row>
    <row r="15" spans="1:15">
      <c r="A15" s="483">
        <f>ELEC!C12</f>
        <v>44237</v>
      </c>
      <c r="B15" s="37">
        <v>19</v>
      </c>
      <c r="C15" s="37">
        <v>14</v>
      </c>
      <c r="D15" s="26">
        <f t="shared" si="3"/>
        <v>16.5</v>
      </c>
      <c r="E15" s="340">
        <v>0.61</v>
      </c>
      <c r="F15" s="340">
        <v>0</v>
      </c>
      <c r="G15" s="241">
        <f>F15*230</f>
        <v>0</v>
      </c>
      <c r="H15" s="3">
        <v>0</v>
      </c>
      <c r="I15" s="3">
        <v>0</v>
      </c>
      <c r="J15" s="37">
        <v>0</v>
      </c>
      <c r="K15" s="263">
        <f>+J15+H15</f>
        <v>0</v>
      </c>
      <c r="L15" s="3"/>
      <c r="M15" s="3"/>
      <c r="N15" s="155"/>
      <c r="O15" s="3"/>
    </row>
    <row r="16" spans="1:15">
      <c r="A16" s="483">
        <f>ELEC!C13</f>
        <v>44238</v>
      </c>
      <c r="B16" s="37">
        <v>18</v>
      </c>
      <c r="C16" s="37">
        <v>13</v>
      </c>
      <c r="D16" s="26">
        <f t="shared" si="3"/>
        <v>15.5</v>
      </c>
      <c r="E16" s="340">
        <v>0.72</v>
      </c>
      <c r="F16" s="340">
        <v>0</v>
      </c>
      <c r="G16" s="241">
        <f t="shared" si="4"/>
        <v>0</v>
      </c>
      <c r="H16" s="3">
        <v>0</v>
      </c>
      <c r="I16" s="3">
        <v>0</v>
      </c>
      <c r="J16" s="37">
        <v>0</v>
      </c>
      <c r="K16" s="263">
        <f>+J16+H16</f>
        <v>0</v>
      </c>
      <c r="L16" s="3"/>
      <c r="M16" s="3"/>
      <c r="N16" s="155"/>
      <c r="O16" s="3"/>
    </row>
    <row r="17" spans="1:15">
      <c r="A17" s="483">
        <f>ELEC!C14</f>
        <v>44239</v>
      </c>
      <c r="B17" s="37">
        <v>18</v>
      </c>
      <c r="C17" s="37">
        <v>13</v>
      </c>
      <c r="D17" s="26">
        <f t="shared" si="3"/>
        <v>15.5</v>
      </c>
      <c r="E17" s="340">
        <v>0.51</v>
      </c>
      <c r="F17" s="340">
        <v>0</v>
      </c>
      <c r="G17" s="241">
        <f t="shared" si="4"/>
        <v>0</v>
      </c>
      <c r="H17" s="3">
        <v>0</v>
      </c>
      <c r="I17" s="3">
        <v>0</v>
      </c>
      <c r="J17" s="37">
        <v>0</v>
      </c>
      <c r="K17" s="263">
        <f t="shared" si="2"/>
        <v>0</v>
      </c>
      <c r="L17" s="3"/>
      <c r="M17" s="3"/>
      <c r="N17" s="155"/>
      <c r="O17" s="3"/>
    </row>
    <row r="18" spans="1:15">
      <c r="A18" s="483">
        <f>ELEC!C15</f>
        <v>44240</v>
      </c>
      <c r="B18" s="37">
        <v>19</v>
      </c>
      <c r="C18" s="37">
        <v>14</v>
      </c>
      <c r="D18" s="26">
        <f t="shared" si="3"/>
        <v>16.5</v>
      </c>
      <c r="E18" s="427">
        <v>0.61</v>
      </c>
      <c r="F18" s="340">
        <v>0</v>
      </c>
      <c r="G18" s="241">
        <f t="shared" si="4"/>
        <v>0</v>
      </c>
      <c r="H18" s="3">
        <v>0</v>
      </c>
      <c r="I18" s="3">
        <v>0</v>
      </c>
      <c r="J18" s="37">
        <v>0</v>
      </c>
      <c r="K18" s="263">
        <f t="shared" si="2"/>
        <v>0</v>
      </c>
      <c r="L18" s="3"/>
      <c r="M18" s="3"/>
      <c r="N18" s="155"/>
      <c r="O18" s="3"/>
    </row>
    <row r="19" spans="1:15">
      <c r="A19" s="483">
        <f>ELEC!C16</f>
        <v>44241</v>
      </c>
      <c r="B19" s="37">
        <v>18</v>
      </c>
      <c r="C19" s="37">
        <v>13</v>
      </c>
      <c r="D19" s="26">
        <f t="shared" si="3"/>
        <v>15.5</v>
      </c>
      <c r="E19" s="340">
        <v>0.63</v>
      </c>
      <c r="F19" s="340">
        <v>0</v>
      </c>
      <c r="G19" s="241">
        <f t="shared" si="4"/>
        <v>0</v>
      </c>
      <c r="H19" s="3">
        <v>0</v>
      </c>
      <c r="I19" s="3">
        <v>0</v>
      </c>
      <c r="J19" s="37">
        <v>0</v>
      </c>
      <c r="K19" s="263">
        <f t="shared" si="2"/>
        <v>0</v>
      </c>
      <c r="L19" s="3"/>
      <c r="M19" s="3"/>
      <c r="N19" s="155"/>
      <c r="O19" s="3"/>
    </row>
    <row r="20" spans="1:15">
      <c r="A20" s="483">
        <f>ELEC!C17</f>
        <v>44242</v>
      </c>
      <c r="B20" s="37">
        <v>18</v>
      </c>
      <c r="C20" s="37">
        <v>12</v>
      </c>
      <c r="D20" s="26">
        <f t="shared" si="3"/>
        <v>15</v>
      </c>
      <c r="E20" s="340">
        <v>0.73</v>
      </c>
      <c r="F20" s="340">
        <v>0</v>
      </c>
      <c r="G20" s="241">
        <f t="shared" si="4"/>
        <v>0</v>
      </c>
      <c r="H20" s="3">
        <v>0</v>
      </c>
      <c r="I20" s="3">
        <v>0</v>
      </c>
      <c r="J20" s="37">
        <v>0</v>
      </c>
      <c r="K20" s="263">
        <f t="shared" si="2"/>
        <v>0</v>
      </c>
      <c r="L20" s="3"/>
      <c r="M20" s="3"/>
      <c r="N20" s="155"/>
      <c r="O20" s="3"/>
    </row>
    <row r="21" spans="1:15">
      <c r="A21" s="483">
        <f>ELEC!C18</f>
        <v>44243</v>
      </c>
      <c r="B21" s="37">
        <v>11</v>
      </c>
      <c r="C21" s="37">
        <v>7</v>
      </c>
      <c r="D21" s="26">
        <f>(C21+B21)/2</f>
        <v>9</v>
      </c>
      <c r="E21" s="340">
        <v>0.82</v>
      </c>
      <c r="F21" s="394">
        <v>0</v>
      </c>
      <c r="G21" s="241">
        <f t="shared" si="4"/>
        <v>0</v>
      </c>
      <c r="H21" s="3">
        <v>0</v>
      </c>
      <c r="I21" s="3">
        <v>0</v>
      </c>
      <c r="J21" s="37">
        <v>0</v>
      </c>
      <c r="K21" s="263">
        <f t="shared" si="2"/>
        <v>0</v>
      </c>
      <c r="L21" s="3"/>
      <c r="M21" s="3"/>
      <c r="N21" s="155"/>
      <c r="O21" s="3"/>
    </row>
    <row r="22" spans="1:15">
      <c r="A22" s="483">
        <f>ELEC!C19</f>
        <v>44244</v>
      </c>
      <c r="B22" s="37">
        <v>13</v>
      </c>
      <c r="C22" s="37">
        <v>7</v>
      </c>
      <c r="D22" s="26">
        <f t="shared" si="3"/>
        <v>10</v>
      </c>
      <c r="E22" s="340">
        <v>0.56000000000000005</v>
      </c>
      <c r="F22" s="394">
        <v>0</v>
      </c>
      <c r="G22" s="241">
        <f t="shared" si="4"/>
        <v>0</v>
      </c>
      <c r="H22" s="3">
        <v>0</v>
      </c>
      <c r="I22" s="3">
        <v>0</v>
      </c>
      <c r="J22" s="37">
        <v>0</v>
      </c>
      <c r="K22" s="263">
        <f t="shared" si="2"/>
        <v>0</v>
      </c>
      <c r="L22" s="3"/>
      <c r="M22" s="3"/>
      <c r="N22" s="155"/>
      <c r="O22" s="3"/>
    </row>
    <row r="23" spans="1:15">
      <c r="A23" s="483">
        <f>ELEC!C20</f>
        <v>44245</v>
      </c>
      <c r="B23" s="37">
        <v>13</v>
      </c>
      <c r="C23" s="37">
        <v>7</v>
      </c>
      <c r="D23" s="26">
        <f>(C23+B23)/2</f>
        <v>10</v>
      </c>
      <c r="E23" s="340">
        <v>0.72</v>
      </c>
      <c r="F23" s="394">
        <v>0</v>
      </c>
      <c r="G23" s="241">
        <f t="shared" si="4"/>
        <v>0</v>
      </c>
      <c r="H23" s="3">
        <v>0</v>
      </c>
      <c r="I23" s="3">
        <v>0</v>
      </c>
      <c r="J23" s="37">
        <v>0</v>
      </c>
      <c r="K23" s="263">
        <f t="shared" si="2"/>
        <v>0</v>
      </c>
      <c r="L23" s="3"/>
      <c r="M23" s="3"/>
      <c r="N23" s="155"/>
      <c r="O23" s="3"/>
    </row>
    <row r="24" spans="1:15">
      <c r="A24" s="483">
        <f>ELEC!C21</f>
        <v>44246</v>
      </c>
      <c r="B24" s="37">
        <v>14</v>
      </c>
      <c r="C24" s="37">
        <v>7</v>
      </c>
      <c r="D24" s="26">
        <f t="shared" ref="D24" si="5">(C24+B24)/2</f>
        <v>10.5</v>
      </c>
      <c r="E24" s="394">
        <v>0.53</v>
      </c>
      <c r="F24" s="340">
        <v>0</v>
      </c>
      <c r="G24" s="241">
        <f t="shared" si="4"/>
        <v>0</v>
      </c>
      <c r="H24" s="3">
        <v>0</v>
      </c>
      <c r="I24" s="3">
        <v>0</v>
      </c>
      <c r="J24" s="37">
        <v>0</v>
      </c>
      <c r="K24" s="263">
        <f t="shared" si="2"/>
        <v>0</v>
      </c>
      <c r="L24" s="3"/>
      <c r="M24" s="3"/>
      <c r="N24" s="155"/>
      <c r="O24" s="3"/>
    </row>
    <row r="25" spans="1:15">
      <c r="A25" s="483">
        <f>ELEC!C22</f>
        <v>44247</v>
      </c>
      <c r="B25" s="37">
        <v>19</v>
      </c>
      <c r="C25" s="37">
        <v>14</v>
      </c>
      <c r="D25" s="26">
        <f t="shared" si="3"/>
        <v>16.5</v>
      </c>
      <c r="E25" s="340">
        <v>0.68</v>
      </c>
      <c r="F25" s="340">
        <v>0</v>
      </c>
      <c r="G25" s="241">
        <f t="shared" si="4"/>
        <v>0</v>
      </c>
      <c r="H25" s="3">
        <v>0</v>
      </c>
      <c r="I25" s="3">
        <v>0</v>
      </c>
      <c r="J25" s="37">
        <v>0</v>
      </c>
      <c r="K25" s="263">
        <f t="shared" si="2"/>
        <v>0</v>
      </c>
      <c r="L25" s="3"/>
      <c r="M25" s="3"/>
      <c r="N25" s="155"/>
      <c r="O25" s="3"/>
    </row>
    <row r="26" spans="1:15">
      <c r="A26" s="483">
        <f>ELEC!C23</f>
        <v>44248</v>
      </c>
      <c r="B26" s="37">
        <v>18</v>
      </c>
      <c r="C26" s="37">
        <v>13</v>
      </c>
      <c r="D26" s="26">
        <f>(C26+B26)/2</f>
        <v>15.5</v>
      </c>
      <c r="E26" s="340">
        <v>0.41</v>
      </c>
      <c r="F26" s="340">
        <v>0</v>
      </c>
      <c r="G26" s="241">
        <f t="shared" si="4"/>
        <v>0</v>
      </c>
      <c r="H26" s="3">
        <v>0</v>
      </c>
      <c r="I26" s="3">
        <v>0</v>
      </c>
      <c r="J26" s="37">
        <v>0</v>
      </c>
      <c r="K26" s="263">
        <f t="shared" si="2"/>
        <v>0</v>
      </c>
      <c r="L26" s="3"/>
      <c r="M26" s="3"/>
      <c r="N26" s="155"/>
      <c r="O26" s="3"/>
    </row>
    <row r="27" spans="1:15">
      <c r="A27" s="483">
        <f>ELEC!C24</f>
        <v>44249</v>
      </c>
      <c r="B27" s="37">
        <v>21</v>
      </c>
      <c r="C27" s="37">
        <v>12</v>
      </c>
      <c r="D27" s="26">
        <f t="shared" si="3"/>
        <v>16.5</v>
      </c>
      <c r="E27" s="340">
        <v>0.32</v>
      </c>
      <c r="F27" s="340">
        <v>0</v>
      </c>
      <c r="G27" s="241">
        <f t="shared" si="4"/>
        <v>0</v>
      </c>
      <c r="H27" s="3">
        <v>0</v>
      </c>
      <c r="I27" s="3">
        <v>0</v>
      </c>
      <c r="J27" s="37">
        <v>0</v>
      </c>
      <c r="K27" s="263">
        <f>+J27+H27+I27</f>
        <v>0</v>
      </c>
      <c r="L27" s="3"/>
      <c r="M27" s="3"/>
      <c r="N27" s="155"/>
      <c r="O27" s="3"/>
    </row>
    <row r="28" spans="1:15">
      <c r="A28" s="483">
        <f>ELEC!C25</f>
        <v>44250</v>
      </c>
      <c r="B28" s="37">
        <v>19</v>
      </c>
      <c r="C28" s="37">
        <v>13</v>
      </c>
      <c r="D28" s="26">
        <f t="shared" si="3"/>
        <v>16</v>
      </c>
      <c r="E28" s="394">
        <v>0.47</v>
      </c>
      <c r="F28" s="340">
        <v>0</v>
      </c>
      <c r="G28" s="241">
        <f t="shared" si="4"/>
        <v>0</v>
      </c>
      <c r="H28" s="3">
        <v>0</v>
      </c>
      <c r="I28" s="3">
        <v>0</v>
      </c>
      <c r="J28" s="37">
        <v>0</v>
      </c>
      <c r="K28" s="263">
        <f t="shared" ref="K28:K33" si="6">+J28+H28+I28</f>
        <v>0</v>
      </c>
      <c r="L28" s="3"/>
      <c r="M28" s="3"/>
      <c r="N28" s="155"/>
      <c r="O28" s="3"/>
    </row>
    <row r="29" spans="1:15">
      <c r="A29" s="483">
        <f>ELEC!C26</f>
        <v>44251</v>
      </c>
      <c r="B29" s="37">
        <v>19</v>
      </c>
      <c r="C29" s="37">
        <v>12</v>
      </c>
      <c r="D29" s="26">
        <f t="shared" si="3"/>
        <v>15.5</v>
      </c>
      <c r="E29" s="340">
        <v>0.47</v>
      </c>
      <c r="F29" s="340">
        <v>0</v>
      </c>
      <c r="G29" s="241">
        <f t="shared" si="4"/>
        <v>0</v>
      </c>
      <c r="H29" s="3">
        <v>0</v>
      </c>
      <c r="I29" s="3">
        <v>0</v>
      </c>
      <c r="J29" s="37">
        <v>0</v>
      </c>
      <c r="K29" s="263">
        <f t="shared" si="6"/>
        <v>0</v>
      </c>
      <c r="L29" s="3"/>
      <c r="M29" s="3"/>
      <c r="N29" s="155"/>
      <c r="O29" s="3"/>
    </row>
    <row r="30" spans="1:15">
      <c r="A30" s="483">
        <f>ELEC!C27</f>
        <v>44252</v>
      </c>
      <c r="B30" s="37">
        <v>18</v>
      </c>
      <c r="C30" s="37">
        <v>13</v>
      </c>
      <c r="D30" s="26">
        <f t="shared" si="3"/>
        <v>15.5</v>
      </c>
      <c r="E30" s="340">
        <v>0.54</v>
      </c>
      <c r="F30" s="394">
        <v>0</v>
      </c>
      <c r="G30" s="241">
        <f t="shared" si="4"/>
        <v>0</v>
      </c>
      <c r="H30" s="3">
        <v>0</v>
      </c>
      <c r="I30" s="3">
        <v>0</v>
      </c>
      <c r="J30" s="37">
        <v>0</v>
      </c>
      <c r="K30" s="263">
        <f t="shared" si="6"/>
        <v>0</v>
      </c>
      <c r="L30" s="3"/>
      <c r="M30" s="3"/>
      <c r="N30" s="155"/>
      <c r="O30" s="3"/>
    </row>
    <row r="31" spans="1:15">
      <c r="A31" s="483">
        <f>ELEC!C28</f>
        <v>44253</v>
      </c>
      <c r="B31" s="37">
        <v>18</v>
      </c>
      <c r="C31" s="37">
        <v>13</v>
      </c>
      <c r="D31" s="3">
        <f t="shared" si="3"/>
        <v>15.5</v>
      </c>
      <c r="E31" s="341">
        <v>0.51</v>
      </c>
      <c r="F31" s="280">
        <v>0</v>
      </c>
      <c r="G31" s="241">
        <f t="shared" si="4"/>
        <v>0</v>
      </c>
      <c r="H31" s="3">
        <v>0</v>
      </c>
      <c r="I31" s="3">
        <v>0</v>
      </c>
      <c r="J31" s="37">
        <v>0</v>
      </c>
      <c r="K31" s="263">
        <f t="shared" si="6"/>
        <v>0</v>
      </c>
      <c r="L31" s="3"/>
      <c r="M31" s="3"/>
      <c r="N31" s="155"/>
      <c r="O31" s="3"/>
    </row>
    <row r="32" spans="1:15">
      <c r="A32" s="483">
        <f>ELEC!C29</f>
        <v>44254</v>
      </c>
      <c r="B32" s="37">
        <v>18</v>
      </c>
      <c r="C32" s="37">
        <v>13</v>
      </c>
      <c r="D32" s="279">
        <f>(C32+B32)/2</f>
        <v>15.5</v>
      </c>
      <c r="E32" s="341">
        <v>0.55000000000000004</v>
      </c>
      <c r="F32" s="342">
        <v>0</v>
      </c>
      <c r="G32" s="241">
        <f t="shared" si="4"/>
        <v>0</v>
      </c>
      <c r="H32" s="3">
        <v>0</v>
      </c>
      <c r="I32" s="3">
        <v>0</v>
      </c>
      <c r="J32" s="37">
        <v>0</v>
      </c>
      <c r="K32" s="263">
        <f t="shared" si="6"/>
        <v>0</v>
      </c>
      <c r="L32" s="3"/>
      <c r="M32" s="3"/>
      <c r="N32" s="155"/>
      <c r="O32" s="3"/>
    </row>
    <row r="33" spans="1:15">
      <c r="A33" s="483">
        <f>ELEC!C30</f>
        <v>44255</v>
      </c>
      <c r="B33" s="37">
        <v>17</v>
      </c>
      <c r="C33" s="37">
        <v>13</v>
      </c>
      <c r="D33" s="26">
        <f t="shared" si="3"/>
        <v>15</v>
      </c>
      <c r="E33" s="340">
        <v>0.68</v>
      </c>
      <c r="F33" s="342">
        <v>0</v>
      </c>
      <c r="G33" s="241">
        <f t="shared" si="4"/>
        <v>0</v>
      </c>
      <c r="H33" s="3">
        <v>0</v>
      </c>
      <c r="I33" s="3">
        <v>0</v>
      </c>
      <c r="J33" s="37">
        <v>0</v>
      </c>
      <c r="K33" s="263">
        <f t="shared" si="6"/>
        <v>0</v>
      </c>
      <c r="L33" s="3"/>
      <c r="M33" s="3"/>
      <c r="N33" s="155"/>
      <c r="O33" s="3"/>
    </row>
    <row r="34" spans="1:15">
      <c r="D34" s="261"/>
      <c r="F34" s="530">
        <f>AVERAGE(F6:F33)</f>
        <v>0</v>
      </c>
      <c r="G34" s="203">
        <f>SUM(G6:G33)</f>
        <v>0</v>
      </c>
    </row>
    <row r="35" spans="1:15">
      <c r="D35" s="261">
        <f>SUM(D6:D33)/'EDl log'!A32</f>
        <v>15.821428571428571</v>
      </c>
      <c r="F35" s="211"/>
    </row>
    <row r="38" spans="1:15">
      <c r="I38" s="411" t="s">
        <v>315</v>
      </c>
    </row>
  </sheetData>
  <mergeCells count="1">
    <mergeCell ref="A1:O2"/>
  </mergeCells>
  <hyperlinks>
    <hyperlink ref="I38" r:id="rId1"/>
  </hyperlinks>
  <pageMargins left="0.7" right="0.7" top="0.75" bottom="0.75" header="0.3" footer="0.3"/>
  <pageSetup paperSize="9" scale="75" fitToHeight="0" orientation="landscape" r:id="rId2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I39"/>
  <sheetViews>
    <sheetView topLeftCell="A13" zoomScale="90" zoomScaleNormal="90" workbookViewId="0">
      <pane xSplit="1" topLeftCell="AF1" activePane="topRight" state="frozen"/>
      <selection pane="topRight" activeCell="AU32" sqref="AU32"/>
    </sheetView>
  </sheetViews>
  <sheetFormatPr defaultRowHeight="15"/>
  <cols>
    <col min="1" max="1" width="30" bestFit="1" customWidth="1"/>
    <col min="8" max="8" width="7" bestFit="1" customWidth="1"/>
    <col min="9" max="9" width="8.85546875" bestFit="1" customWidth="1"/>
    <col min="10" max="10" width="6.85546875" bestFit="1" customWidth="1"/>
    <col min="11" max="11" width="8.85546875" bestFit="1" customWidth="1"/>
    <col min="12" max="12" width="6.85546875" bestFit="1" customWidth="1"/>
    <col min="13" max="13" width="8.85546875" bestFit="1" customWidth="1"/>
    <col min="14" max="14" width="6.85546875" bestFit="1" customWidth="1"/>
    <col min="15" max="15" width="8.85546875" bestFit="1" customWidth="1"/>
    <col min="16" max="16" width="6.85546875" bestFit="1" customWidth="1"/>
    <col min="17" max="17" width="8.85546875" bestFit="1" customWidth="1"/>
    <col min="18" max="18" width="6.85546875" bestFit="1" customWidth="1"/>
    <col min="19" max="19" width="8.85546875" bestFit="1" customWidth="1"/>
    <col min="20" max="20" width="7.85546875" bestFit="1" customWidth="1"/>
    <col min="21" max="21" width="8.85546875" bestFit="1" customWidth="1"/>
    <col min="22" max="22" width="7.85546875" bestFit="1" customWidth="1"/>
    <col min="23" max="23" width="8.85546875" bestFit="1" customWidth="1"/>
    <col min="24" max="24" width="4.7109375" style="434" bestFit="1" customWidth="1"/>
    <col min="25" max="25" width="10" bestFit="1" customWidth="1"/>
    <col min="26" max="26" width="6.85546875" bestFit="1" customWidth="1"/>
    <col min="27" max="27" width="8.85546875" bestFit="1" customWidth="1"/>
    <col min="28" max="28" width="6.85546875" bestFit="1" customWidth="1"/>
    <col min="29" max="29" width="8.85546875" bestFit="1" customWidth="1"/>
    <col min="30" max="30" width="6.85546875" bestFit="1" customWidth="1"/>
    <col min="31" max="31" width="8.85546875" bestFit="1" customWidth="1"/>
    <col min="32" max="32" width="6.85546875" bestFit="1" customWidth="1"/>
    <col min="33" max="33" width="8.85546875" bestFit="1" customWidth="1"/>
    <col min="34" max="34" width="7" bestFit="1" customWidth="1"/>
    <col min="35" max="35" width="7.140625" bestFit="1" customWidth="1"/>
    <col min="36" max="36" width="7" bestFit="1" customWidth="1"/>
    <col min="37" max="37" width="7.140625" bestFit="1" customWidth="1"/>
    <col min="38" max="38" width="7" bestFit="1" customWidth="1"/>
    <col min="39" max="39" width="8.85546875" customWidth="1"/>
    <col min="40" max="40" width="4.7109375" style="501" bestFit="1" customWidth="1"/>
    <col min="41" max="41" width="8.28515625" customWidth="1"/>
    <col min="42" max="42" width="7" style="22" customWidth="1"/>
    <col min="43" max="43" width="10.7109375" bestFit="1" customWidth="1"/>
    <col min="44" max="44" width="11.5703125" bestFit="1" customWidth="1"/>
    <col min="45" max="45" width="12.42578125" style="165" customWidth="1"/>
    <col min="47" max="47" width="9" bestFit="1" customWidth="1"/>
    <col min="48" max="48" width="9.28515625" style="302" customWidth="1"/>
    <col min="49" max="49" width="14.140625" bestFit="1" customWidth="1"/>
    <col min="50" max="50" width="10.42578125" bestFit="1" customWidth="1"/>
    <col min="51" max="51" width="10.42578125" customWidth="1"/>
    <col min="52" max="52" width="10.5703125" bestFit="1" customWidth="1"/>
    <col min="53" max="53" width="9.85546875" bestFit="1" customWidth="1"/>
    <col min="54" max="54" width="13.28515625" customWidth="1"/>
    <col min="55" max="56" width="9.140625" hidden="1" customWidth="1"/>
    <col min="57" max="57" width="11.42578125" hidden="1" customWidth="1"/>
    <col min="58" max="58" width="8.7109375" hidden="1" customWidth="1"/>
    <col min="59" max="59" width="10.42578125" hidden="1" customWidth="1"/>
    <col min="60" max="60" width="0.28515625" customWidth="1"/>
  </cols>
  <sheetData>
    <row r="1" spans="1:61"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224"/>
      <c r="Y1" s="7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500"/>
      <c r="AO1" s="8"/>
      <c r="AP1" s="29"/>
    </row>
    <row r="2" spans="1:61">
      <c r="B2" s="7" t="s">
        <v>60</v>
      </c>
      <c r="C2" s="7"/>
      <c r="D2" s="7" t="s">
        <v>61</v>
      </c>
      <c r="E2" s="7"/>
      <c r="F2" s="7" t="s">
        <v>62</v>
      </c>
      <c r="G2" s="7"/>
      <c r="H2" s="7" t="s">
        <v>63</v>
      </c>
      <c r="I2" s="7"/>
      <c r="J2" s="7" t="s">
        <v>64</v>
      </c>
      <c r="K2" s="7"/>
      <c r="L2" s="7" t="s">
        <v>65</v>
      </c>
      <c r="M2" s="7"/>
      <c r="N2" s="7" t="s">
        <v>66</v>
      </c>
      <c r="O2" s="7"/>
      <c r="P2" s="7" t="s">
        <v>67</v>
      </c>
      <c r="Q2" s="7"/>
      <c r="R2" s="7" t="s">
        <v>68</v>
      </c>
      <c r="T2" s="7" t="s">
        <v>69</v>
      </c>
      <c r="V2" s="7" t="s">
        <v>70</v>
      </c>
      <c r="W2" s="7"/>
      <c r="X2" s="224"/>
      <c r="Y2" s="7"/>
      <c r="Z2" s="8" t="s">
        <v>60</v>
      </c>
      <c r="AA2" s="8"/>
      <c r="AB2" s="8" t="s">
        <v>61</v>
      </c>
      <c r="AC2" s="8"/>
      <c r="AD2" s="8" t="s">
        <v>62</v>
      </c>
      <c r="AE2" s="8"/>
      <c r="AF2" s="8" t="s">
        <v>63</v>
      </c>
      <c r="AG2" s="8"/>
      <c r="AH2" s="8" t="s">
        <v>64</v>
      </c>
      <c r="AI2" s="8"/>
      <c r="AJ2" s="8" t="s">
        <v>65</v>
      </c>
      <c r="AK2" s="8"/>
      <c r="AL2" s="8" t="s">
        <v>66</v>
      </c>
      <c r="AM2" s="8"/>
      <c r="AN2" s="500"/>
      <c r="AO2" s="8"/>
      <c r="AP2" s="30"/>
    </row>
    <row r="3" spans="1:61">
      <c r="B3" s="7">
        <v>6670</v>
      </c>
      <c r="C3" s="7"/>
      <c r="D3" s="7">
        <f>SUM(B3)</f>
        <v>6670</v>
      </c>
      <c r="E3" s="7"/>
      <c r="F3" s="7">
        <f>SUM(D3)</f>
        <v>6670</v>
      </c>
      <c r="G3" s="7"/>
      <c r="H3" s="7">
        <f>SUM(F3)</f>
        <v>6670</v>
      </c>
      <c r="I3" s="7"/>
      <c r="J3" s="7">
        <f>SUM(H3)</f>
        <v>6670</v>
      </c>
      <c r="K3" s="7"/>
      <c r="L3" s="7">
        <f>SUM(J3)</f>
        <v>6670</v>
      </c>
      <c r="M3" s="7"/>
      <c r="N3" s="7">
        <f>SUM(L3)</f>
        <v>6670</v>
      </c>
      <c r="O3" s="7"/>
      <c r="P3" s="7">
        <f>SUM(N3)</f>
        <v>6670</v>
      </c>
      <c r="Q3" s="7"/>
      <c r="R3" s="7">
        <f>SUM(P3)</f>
        <v>6670</v>
      </c>
      <c r="S3" s="7"/>
      <c r="T3" s="7">
        <f>SUM(R3)</f>
        <v>6670</v>
      </c>
      <c r="U3" s="7"/>
      <c r="V3" s="7">
        <f>SUM(T3)</f>
        <v>6670</v>
      </c>
      <c r="W3" s="33">
        <f>SUM(B3:V3)</f>
        <v>73370</v>
      </c>
      <c r="X3" s="34"/>
      <c r="Y3" s="7"/>
      <c r="Z3" s="8">
        <v>2800</v>
      </c>
      <c r="AA3" s="8"/>
      <c r="AB3" s="8">
        <v>2800</v>
      </c>
      <c r="AC3" s="8"/>
      <c r="AD3" s="8">
        <v>2800</v>
      </c>
      <c r="AE3" s="8"/>
      <c r="AF3" s="8">
        <v>2800</v>
      </c>
      <c r="AG3" s="8"/>
      <c r="AH3" s="8">
        <v>2800</v>
      </c>
      <c r="AI3" s="8"/>
      <c r="AJ3" s="8">
        <v>2800</v>
      </c>
      <c r="AK3" s="8"/>
      <c r="AL3" s="8">
        <v>2800</v>
      </c>
      <c r="AM3" s="31">
        <f>SUM(Z3:AL3)</f>
        <v>19600</v>
      </c>
      <c r="AN3" s="32"/>
      <c r="AO3" s="8">
        <f>SUM(AM3+W3)</f>
        <v>92970</v>
      </c>
      <c r="AP3" s="30"/>
      <c r="AQ3" s="28"/>
      <c r="AR3" s="634" t="s">
        <v>108</v>
      </c>
      <c r="AS3" s="634" t="s">
        <v>233</v>
      </c>
      <c r="AT3" s="632" t="s">
        <v>301</v>
      </c>
      <c r="AU3" s="633"/>
      <c r="AV3" s="303"/>
      <c r="AW3" s="3"/>
      <c r="AX3" s="3"/>
      <c r="AY3" s="3"/>
      <c r="AZ3" s="3"/>
      <c r="BA3" s="3"/>
      <c r="BB3" s="3"/>
      <c r="BC3" s="3"/>
      <c r="BD3" s="3"/>
      <c r="BE3" s="13" t="s">
        <v>72</v>
      </c>
      <c r="BF3" s="13" t="s">
        <v>73</v>
      </c>
      <c r="BG3" s="13" t="s">
        <v>74</v>
      </c>
      <c r="BH3" s="12" t="s">
        <v>76</v>
      </c>
    </row>
    <row r="4" spans="1:61">
      <c r="B4" s="7">
        <f>B3/310</f>
        <v>21.516129032258064</v>
      </c>
      <c r="C4" s="7"/>
      <c r="D4" s="7">
        <f>SUM(B4)</f>
        <v>21.516129032258064</v>
      </c>
      <c r="E4" s="7"/>
      <c r="F4" s="7">
        <f>SUM(D4)</f>
        <v>21.516129032258064</v>
      </c>
      <c r="G4" s="7"/>
      <c r="H4" s="7">
        <f>SUM(F4)</f>
        <v>21.516129032258064</v>
      </c>
      <c r="I4" s="7"/>
      <c r="J4" s="7">
        <f>SUM(H4)</f>
        <v>21.516129032258064</v>
      </c>
      <c r="K4" s="7"/>
      <c r="L4" s="7">
        <f>SUM(J4)</f>
        <v>21.516129032258064</v>
      </c>
      <c r="M4" s="7"/>
      <c r="N4" s="7">
        <f>SUM(L4)</f>
        <v>21.516129032258064</v>
      </c>
      <c r="O4" s="7"/>
      <c r="P4" s="7">
        <f>SUM(N4)</f>
        <v>21.516129032258064</v>
      </c>
      <c r="Q4" s="7"/>
      <c r="R4" s="7">
        <f>SUM(P4)</f>
        <v>21.516129032258064</v>
      </c>
      <c r="S4" s="7"/>
      <c r="T4" s="7">
        <f>SUM(R4)</f>
        <v>21.516129032258064</v>
      </c>
      <c r="U4" s="7"/>
      <c r="V4" s="7">
        <f>SUM(T4)</f>
        <v>21.516129032258064</v>
      </c>
      <c r="W4" s="34"/>
      <c r="X4" s="34"/>
      <c r="Y4" s="7"/>
      <c r="Z4" s="8">
        <f>Z3/280</f>
        <v>10</v>
      </c>
      <c r="AA4" s="8">
        <f t="shared" ref="AA4:AL4" si="0">AA3/280</f>
        <v>0</v>
      </c>
      <c r="AB4" s="8">
        <f t="shared" si="0"/>
        <v>10</v>
      </c>
      <c r="AC4" s="8">
        <f t="shared" si="0"/>
        <v>0</v>
      </c>
      <c r="AD4" s="8">
        <f t="shared" si="0"/>
        <v>10</v>
      </c>
      <c r="AE4" s="8">
        <f t="shared" si="0"/>
        <v>0</v>
      </c>
      <c r="AF4" s="8">
        <f t="shared" si="0"/>
        <v>10</v>
      </c>
      <c r="AG4" s="8">
        <f t="shared" si="0"/>
        <v>0</v>
      </c>
      <c r="AH4" s="8">
        <f t="shared" si="0"/>
        <v>10</v>
      </c>
      <c r="AI4" s="8">
        <f t="shared" si="0"/>
        <v>0</v>
      </c>
      <c r="AJ4" s="8">
        <f t="shared" si="0"/>
        <v>10</v>
      </c>
      <c r="AK4" s="8">
        <f t="shared" si="0"/>
        <v>0</v>
      </c>
      <c r="AL4" s="8">
        <f t="shared" si="0"/>
        <v>10</v>
      </c>
      <c r="AM4" s="32"/>
      <c r="AN4" s="32"/>
      <c r="AO4" s="8"/>
      <c r="AP4" s="30"/>
      <c r="AQ4" s="28"/>
      <c r="AR4" s="635"/>
      <c r="AS4" s="635"/>
      <c r="AT4" s="3" t="s">
        <v>71</v>
      </c>
      <c r="AU4" s="3" t="s">
        <v>221</v>
      </c>
      <c r="AV4" s="304"/>
      <c r="AW4" s="3" t="s">
        <v>109</v>
      </c>
      <c r="AX4" s="3" t="s">
        <v>110</v>
      </c>
      <c r="AY4" s="3"/>
      <c r="AZ4" s="97" t="s">
        <v>148</v>
      </c>
      <c r="BA4" s="97" t="s">
        <v>153</v>
      </c>
      <c r="BB4" s="97" t="s">
        <v>154</v>
      </c>
      <c r="BC4" s="3"/>
      <c r="BD4" s="3"/>
      <c r="BE4" s="13"/>
      <c r="BF4" s="13"/>
      <c r="BG4" s="13"/>
      <c r="BH4" s="11"/>
    </row>
    <row r="5" spans="1:61">
      <c r="A5" s="444">
        <f>ELEC!C2</f>
        <v>44227</v>
      </c>
      <c r="B5" s="532">
        <f>[2]tanks!B36</f>
        <v>236</v>
      </c>
      <c r="C5" s="532">
        <f>[2]tanks!C36</f>
        <v>5077.8064516129034</v>
      </c>
      <c r="D5" s="532">
        <f>[2]tanks!D36</f>
        <v>236</v>
      </c>
      <c r="E5" s="532">
        <f>[2]tanks!E36</f>
        <v>5077.8064516129034</v>
      </c>
      <c r="F5" s="532">
        <f>[2]tanks!F36</f>
        <v>236</v>
      </c>
      <c r="G5" s="532">
        <f>[2]tanks!G36</f>
        <v>5077.8064516129034</v>
      </c>
      <c r="H5" s="532">
        <f>[2]tanks!H36</f>
        <v>236</v>
      </c>
      <c r="I5" s="532">
        <f>[2]tanks!I36</f>
        <v>5077.8064516129034</v>
      </c>
      <c r="J5" s="532">
        <f>[2]tanks!J36</f>
        <v>236</v>
      </c>
      <c r="K5" s="532">
        <f>[2]tanks!K36</f>
        <v>5077.8064516129034</v>
      </c>
      <c r="L5" s="532">
        <f>[2]tanks!L36</f>
        <v>236</v>
      </c>
      <c r="M5" s="532">
        <f>[2]tanks!M36</f>
        <v>5077.8064516129034</v>
      </c>
      <c r="N5" s="532">
        <f>[2]tanks!N36</f>
        <v>236</v>
      </c>
      <c r="O5" s="532">
        <f>[2]tanks!O36</f>
        <v>5077.8064516129034</v>
      </c>
      <c r="P5" s="532">
        <f>[2]tanks!P36</f>
        <v>236</v>
      </c>
      <c r="Q5" s="532">
        <f>[2]tanks!Q36</f>
        <v>5077.8064516129034</v>
      </c>
      <c r="R5" s="532">
        <f>[2]tanks!R36</f>
        <v>236</v>
      </c>
      <c r="S5" s="532">
        <f>[2]tanks!S36</f>
        <v>5077.8064516129034</v>
      </c>
      <c r="T5" s="532">
        <f>[2]tanks!T36</f>
        <v>236</v>
      </c>
      <c r="U5" s="532">
        <f>[2]tanks!U36</f>
        <v>5077.8064516129034</v>
      </c>
      <c r="V5" s="532">
        <f>[2]tanks!V36</f>
        <v>236</v>
      </c>
      <c r="W5" s="532">
        <f>[2]tanks!W36</f>
        <v>5077.8064516129034</v>
      </c>
      <c r="X5" s="505">
        <f>[2]tanks!X36</f>
        <v>0.761290322580645</v>
      </c>
      <c r="Y5" s="532">
        <f>[2]tanks!Y36</f>
        <v>55855.870967741925</v>
      </c>
      <c r="Z5" s="532">
        <f>[2]tanks!Z36</f>
        <v>242</v>
      </c>
      <c r="AA5" s="532">
        <f>[2]tanks!AA36</f>
        <v>2420</v>
      </c>
      <c r="AB5" s="532">
        <f>[2]tanks!AB36</f>
        <v>242</v>
      </c>
      <c r="AC5" s="532">
        <f>[2]tanks!AC36</f>
        <v>2420</v>
      </c>
      <c r="AD5" s="532">
        <f>[2]tanks!AD36</f>
        <v>242</v>
      </c>
      <c r="AE5" s="532">
        <f>[2]tanks!AE36</f>
        <v>2420</v>
      </c>
      <c r="AF5" s="532">
        <f>[2]tanks!AF36</f>
        <v>242</v>
      </c>
      <c r="AG5" s="532">
        <f>[2]tanks!AG36</f>
        <v>2420</v>
      </c>
      <c r="AH5" s="532">
        <f>[2]tanks!AH36</f>
        <v>242</v>
      </c>
      <c r="AI5" s="532">
        <f>[2]tanks!AI36</f>
        <v>2420</v>
      </c>
      <c r="AJ5" s="532">
        <f>[2]tanks!AJ36</f>
        <v>242</v>
      </c>
      <c r="AK5" s="532">
        <f>[2]tanks!AK36</f>
        <v>2420</v>
      </c>
      <c r="AL5" s="532">
        <f>[2]tanks!AL36</f>
        <v>242</v>
      </c>
      <c r="AM5" s="532">
        <f>[2]tanks!AM36</f>
        <v>2420</v>
      </c>
      <c r="AN5" s="532">
        <f>[2]tanks!AN36</f>
        <v>0.86428571428571432</v>
      </c>
      <c r="AO5" s="532">
        <f>[2]tanks!AO36</f>
        <v>16940</v>
      </c>
      <c r="AP5" s="532">
        <f>[1]tanks!AP36</f>
        <v>0</v>
      </c>
      <c r="AQ5" s="532">
        <f>[2]tanks!AQ36</f>
        <v>0.78300388262602905</v>
      </c>
      <c r="AR5" s="532">
        <f>[2]tanks!AR36</f>
        <v>72795.870967741925</v>
      </c>
      <c r="AS5" s="532">
        <f>[2]tanks!AS36</f>
        <v>-920.03225806451519</v>
      </c>
      <c r="AT5" s="532">
        <f>[2]tanks!AT36</f>
        <v>0</v>
      </c>
      <c r="AU5" s="532">
        <f>[2]tanks!AU36</f>
        <v>0</v>
      </c>
      <c r="AV5" s="532">
        <f>[2]tanks!AV36</f>
        <v>0.67</v>
      </c>
      <c r="AW5" s="532">
        <f>[2]tanks!AW36</f>
        <v>-267</v>
      </c>
      <c r="AX5" s="532">
        <f>[2]tanks!AX36</f>
        <v>-653.03225806451519</v>
      </c>
      <c r="AY5" s="532">
        <f>[2]tanks!AY36</f>
        <v>-920.03225806451519</v>
      </c>
      <c r="AZ5" s="532">
        <f>[2]tanks!AZ36</f>
        <v>0</v>
      </c>
      <c r="BA5" s="532">
        <f>[2]tanks!BA36</f>
        <v>18.5</v>
      </c>
      <c r="BB5" s="505">
        <f>[2]tanks!BB36</f>
        <v>0.56000000000000005</v>
      </c>
      <c r="BC5" s="532">
        <f>[1]tanks!BC36</f>
        <v>0</v>
      </c>
      <c r="BD5" s="532">
        <f>[1]tanks!BD36</f>
        <v>19222</v>
      </c>
      <c r="BE5" s="532" t="e">
        <f>[1]tanks!BE36</f>
        <v>#REF!</v>
      </c>
      <c r="BF5" s="532">
        <f>[1]tanks!BF36</f>
        <v>0</v>
      </c>
      <c r="BG5" s="532" t="e">
        <f>[1]tanks!BG36</f>
        <v>#REF!</v>
      </c>
      <c r="BH5" s="532">
        <f>[4]tanks!BH36</f>
        <v>0</v>
      </c>
      <c r="BI5" s="203"/>
    </row>
    <row r="6" spans="1:61">
      <c r="A6" s="444">
        <f>ELEC!C3</f>
        <v>44228</v>
      </c>
      <c r="B6">
        <f>'B5'!B5</f>
        <v>232</v>
      </c>
      <c r="C6" s="203">
        <f>B6*$B$4</f>
        <v>4991.7419354838712</v>
      </c>
      <c r="D6">
        <f>SUM(B6)</f>
        <v>232</v>
      </c>
      <c r="E6" s="203">
        <f>D6*$B$4</f>
        <v>4991.7419354838712</v>
      </c>
      <c r="F6">
        <f>SUM(D6)</f>
        <v>232</v>
      </c>
      <c r="G6" s="203">
        <f t="shared" ref="G6:G33" si="1">F6*$B$4</f>
        <v>4991.7419354838712</v>
      </c>
      <c r="H6" s="203">
        <f>SUM(F6)</f>
        <v>232</v>
      </c>
      <c r="I6" s="203">
        <f t="shared" ref="I6:I33" si="2">H6*$B$4</f>
        <v>4991.7419354838712</v>
      </c>
      <c r="J6" s="203">
        <f>SUM(H6)</f>
        <v>232</v>
      </c>
      <c r="K6" s="203">
        <f t="shared" ref="K6:K33" si="3">J6*$B$4</f>
        <v>4991.7419354838712</v>
      </c>
      <c r="L6" s="203">
        <f>SUM(J6)</f>
        <v>232</v>
      </c>
      <c r="M6" s="203">
        <f t="shared" ref="M6:M33" si="4">L6*$B$4</f>
        <v>4991.7419354838712</v>
      </c>
      <c r="N6" s="203">
        <f>SUM(L6)</f>
        <v>232</v>
      </c>
      <c r="O6" s="203">
        <f t="shared" ref="O6:O33" si="5">N6*$B$4</f>
        <v>4991.7419354838712</v>
      </c>
      <c r="P6" s="203">
        <f>SUM(N6)</f>
        <v>232</v>
      </c>
      <c r="Q6" s="203">
        <f t="shared" ref="Q6:Q33" si="6">P6*$B$4</f>
        <v>4991.7419354838712</v>
      </c>
      <c r="R6" s="203">
        <f>SUM(P6)</f>
        <v>232</v>
      </c>
      <c r="S6" s="203">
        <f t="shared" ref="S6:S33" si="7">R6*$B$4</f>
        <v>4991.7419354838712</v>
      </c>
      <c r="T6" s="203">
        <f>SUM(R6)</f>
        <v>232</v>
      </c>
      <c r="U6" s="203">
        <f t="shared" ref="U6:U33" si="8">T6*$B$4</f>
        <v>4991.7419354838712</v>
      </c>
      <c r="V6" s="203">
        <f>SUM(T6)</f>
        <v>232</v>
      </c>
      <c r="W6" s="203">
        <f t="shared" ref="W6:W33" si="9">V6*$B$4</f>
        <v>4991.7419354838712</v>
      </c>
      <c r="X6" s="35">
        <f t="shared" ref="X6:X29" si="10">SUM(Y6/73370)</f>
        <v>0.74838709677419357</v>
      </c>
      <c r="Y6" s="36">
        <f>SUM(C6+E6+G6+I6+K6+M6+O6+Q6+S6+U6+W6)</f>
        <v>54909.161290322583</v>
      </c>
      <c r="Z6" s="203">
        <f>'B5'!C5</f>
        <v>238</v>
      </c>
      <c r="AA6" s="203">
        <f>SUM(Z6*$Z$4)</f>
        <v>2380</v>
      </c>
      <c r="AB6" s="203">
        <f>SUM(Z6)</f>
        <v>238</v>
      </c>
      <c r="AC6" s="203">
        <f>SUM(AB6*$Z$4)</f>
        <v>2380</v>
      </c>
      <c r="AD6" s="203">
        <f>SUM(AB6)</f>
        <v>238</v>
      </c>
      <c r="AE6" s="203">
        <f t="shared" ref="AE6:AE33" si="11">SUM(AD6*$Z$4)</f>
        <v>2380</v>
      </c>
      <c r="AF6" s="203">
        <f>SUM(AD6)</f>
        <v>238</v>
      </c>
      <c r="AG6" s="203">
        <f t="shared" ref="AG6:AG33" si="12">SUM(AF6*$Z$4)</f>
        <v>2380</v>
      </c>
      <c r="AH6" s="203">
        <f>SUM(AF6)</f>
        <v>238</v>
      </c>
      <c r="AI6" s="203">
        <f t="shared" ref="AI6:AI33" si="13">SUM(AH6*$Z$4)</f>
        <v>2380</v>
      </c>
      <c r="AJ6" s="203">
        <f>SUM(AH6)</f>
        <v>238</v>
      </c>
      <c r="AK6" s="203">
        <f t="shared" ref="AK6:AK33" si="14">SUM(AJ6*$Z$4)</f>
        <v>2380</v>
      </c>
      <c r="AL6" s="203">
        <f>SUM(AJ6)</f>
        <v>238</v>
      </c>
      <c r="AM6" s="203">
        <f t="shared" ref="AM6:AM33" si="15">SUM(AL6*$Z$4)</f>
        <v>2380</v>
      </c>
      <c r="AN6" s="35">
        <f t="shared" ref="AN6:AN29" si="16">SUM(AO6/19600)</f>
        <v>0.85</v>
      </c>
      <c r="AO6" s="36">
        <f t="shared" ref="AO6:AO29" si="17">SUM(AA6+AC6+AE6+AG6+AI6+AK6+AM6)</f>
        <v>16660</v>
      </c>
      <c r="AQ6" s="223">
        <f>SUM(AR6/92970)</f>
        <v>0.76980919963776029</v>
      </c>
      <c r="AR6" s="38">
        <f>SUM(AO6+Y6)</f>
        <v>71569.161290322576</v>
      </c>
      <c r="AS6" s="197">
        <f>SUM(AR6-AR5-AT6)</f>
        <v>-1226.8096774193486</v>
      </c>
      <c r="AT6" s="355">
        <v>0.1</v>
      </c>
      <c r="AU6" s="436">
        <v>0.1</v>
      </c>
      <c r="AV6" s="518">
        <f>IF(AT6&gt;0,AU6,AV5)</f>
        <v>0.1</v>
      </c>
      <c r="AW6" s="290">
        <f>-SUM('B5'!AI5)</f>
        <v>-467.60000000000582</v>
      </c>
      <c r="AX6" s="290">
        <f>-SUM(AW6-AS6)</f>
        <v>-759.20967741934282</v>
      </c>
      <c r="AY6" s="37">
        <f>SUM(AX6+AW6)</f>
        <v>-1226.8096774193486</v>
      </c>
      <c r="AZ6" s="100">
        <f>ELEC!A3</f>
        <v>0</v>
      </c>
      <c r="BA6" s="118">
        <f>'General information '!D6</f>
        <v>18.5</v>
      </c>
      <c r="BB6" s="280">
        <f>SUM('General information '!E6)</f>
        <v>0.65</v>
      </c>
      <c r="BC6" s="3">
        <f>IF(AR3&gt;=AR6,0,1)</f>
        <v>0</v>
      </c>
      <c r="BD6" s="102">
        <v>19222</v>
      </c>
      <c r="BE6" s="14">
        <f>(305/1185)*ELEC!Q4</f>
        <v>580.40084388118237</v>
      </c>
      <c r="BF6" s="14"/>
      <c r="BG6" s="14" t="e">
        <f>#REF!-BE6</f>
        <v>#REF!</v>
      </c>
      <c r="BH6" s="11">
        <v>21</v>
      </c>
    </row>
    <row r="7" spans="1:61">
      <c r="A7" s="444">
        <f>ELEC!C4</f>
        <v>44229</v>
      </c>
      <c r="B7">
        <f>'B5'!B6</f>
        <v>229</v>
      </c>
      <c r="C7" s="203">
        <f t="shared" ref="C7:E33" si="18">B7*$B$4</f>
        <v>4927.1935483870966</v>
      </c>
      <c r="D7">
        <f t="shared" ref="D7:D29" si="19">SUM(B7)</f>
        <v>229</v>
      </c>
      <c r="E7" s="203">
        <f t="shared" si="18"/>
        <v>4927.1935483870966</v>
      </c>
      <c r="F7">
        <f t="shared" ref="F7:F29" si="20">SUM(D7)</f>
        <v>229</v>
      </c>
      <c r="G7" s="203">
        <f t="shared" si="1"/>
        <v>4927.1935483870966</v>
      </c>
      <c r="H7" s="203">
        <f t="shared" ref="H7:H29" si="21">SUM(F7)</f>
        <v>229</v>
      </c>
      <c r="I7" s="203">
        <f t="shared" si="2"/>
        <v>4927.1935483870966</v>
      </c>
      <c r="J7" s="203">
        <f t="shared" ref="J7:J29" si="22">SUM(H7)</f>
        <v>229</v>
      </c>
      <c r="K7" s="203">
        <f t="shared" si="3"/>
        <v>4927.1935483870966</v>
      </c>
      <c r="L7" s="203">
        <f t="shared" ref="L7:L29" si="23">SUM(J7)</f>
        <v>229</v>
      </c>
      <c r="M7" s="203">
        <f t="shared" si="4"/>
        <v>4927.1935483870966</v>
      </c>
      <c r="N7" s="203">
        <f t="shared" ref="N7:N29" si="24">SUM(L7)</f>
        <v>229</v>
      </c>
      <c r="O7" s="203">
        <f t="shared" si="5"/>
        <v>4927.1935483870966</v>
      </c>
      <c r="P7" s="203">
        <f t="shared" ref="P7:P29" si="25">SUM(N7)</f>
        <v>229</v>
      </c>
      <c r="Q7" s="203">
        <f t="shared" si="6"/>
        <v>4927.1935483870966</v>
      </c>
      <c r="R7" s="203">
        <f t="shared" ref="R7:R29" si="26">SUM(P7)</f>
        <v>229</v>
      </c>
      <c r="S7" s="203">
        <f t="shared" si="7"/>
        <v>4927.1935483870966</v>
      </c>
      <c r="T7" s="203">
        <f t="shared" ref="T7:T29" si="27">SUM(R7)</f>
        <v>229</v>
      </c>
      <c r="U7" s="203">
        <f t="shared" si="8"/>
        <v>4927.1935483870966</v>
      </c>
      <c r="V7" s="203">
        <f t="shared" ref="V7:V29" si="28">SUM(T7)</f>
        <v>229</v>
      </c>
      <c r="W7" s="203">
        <f t="shared" si="9"/>
        <v>4927.1935483870966</v>
      </c>
      <c r="X7" s="35">
        <f t="shared" si="10"/>
        <v>0.738709677419355</v>
      </c>
      <c r="Y7" s="36">
        <f t="shared" ref="Y7:Y29" si="29">SUM(C7+E7+G7+I7+K7+M7+O7+Q7+S7+U7+W7)</f>
        <v>54199.129032258075</v>
      </c>
      <c r="Z7" s="203">
        <f>'B5'!C6</f>
        <v>235</v>
      </c>
      <c r="AA7" s="203">
        <f t="shared" ref="AA7:AC33" si="30">SUM(Z7*$Z$4)</f>
        <v>2350</v>
      </c>
      <c r="AB7" s="203">
        <f t="shared" ref="AB7:AB29" si="31">SUM(Z7)</f>
        <v>235</v>
      </c>
      <c r="AC7" s="203">
        <f t="shared" si="30"/>
        <v>2350</v>
      </c>
      <c r="AD7" s="203">
        <f t="shared" ref="AD7:AD29" si="32">SUM(AB7)</f>
        <v>235</v>
      </c>
      <c r="AE7" s="203">
        <f t="shared" si="11"/>
        <v>2350</v>
      </c>
      <c r="AF7" s="203">
        <f t="shared" ref="AF7:AF29" si="33">SUM(AD7)</f>
        <v>235</v>
      </c>
      <c r="AG7" s="203">
        <f t="shared" si="12"/>
        <v>2350</v>
      </c>
      <c r="AH7" s="203">
        <f t="shared" ref="AH7:AH29" si="34">SUM(AF7)</f>
        <v>235</v>
      </c>
      <c r="AI7" s="203">
        <f t="shared" si="13"/>
        <v>2350</v>
      </c>
      <c r="AJ7" s="203">
        <f t="shared" ref="AJ7:AJ29" si="35">SUM(AH7)</f>
        <v>235</v>
      </c>
      <c r="AK7" s="203">
        <f t="shared" si="14"/>
        <v>2350</v>
      </c>
      <c r="AL7" s="203">
        <f t="shared" ref="AL7:AL29" si="36">SUM(AJ7)</f>
        <v>235</v>
      </c>
      <c r="AM7" s="203">
        <f t="shared" si="15"/>
        <v>2350</v>
      </c>
      <c r="AN7" s="35">
        <f t="shared" si="16"/>
        <v>0.8392857142857143</v>
      </c>
      <c r="AO7" s="36">
        <f t="shared" si="17"/>
        <v>16450</v>
      </c>
      <c r="AQ7" s="223">
        <f t="shared" ref="AQ7:AQ33" si="37">SUM(AR7/92970)</f>
        <v>0.75991318739655889</v>
      </c>
      <c r="AR7" s="38">
        <f>SUM(AO7+Y7)</f>
        <v>70649.129032258075</v>
      </c>
      <c r="AS7" s="197">
        <f t="shared" ref="AS7:AS33" si="38">SUM(AR7-AR6-AT7)</f>
        <v>-920.03225806450064</v>
      </c>
      <c r="AT7" s="271"/>
      <c r="AU7" s="491"/>
      <c r="AV7" s="518">
        <f>IF(AT7&gt;0,AU7,AV6)</f>
        <v>0.1</v>
      </c>
      <c r="AW7" s="290">
        <f>-SUM('B5'!AI6)</f>
        <v>-234</v>
      </c>
      <c r="AX7" s="290">
        <f t="shared" ref="AX7:AX33" si="39">-SUM(AW7-AS7)</f>
        <v>-686.03225806450064</v>
      </c>
      <c r="AY7" s="37">
        <f t="shared" ref="AY7:AY33" si="40">SUM(AX7+AW7)</f>
        <v>-920.03225806450064</v>
      </c>
      <c r="AZ7" s="100">
        <f>ELEC!A4</f>
        <v>0</v>
      </c>
      <c r="BA7" s="118">
        <f>'General information '!D7</f>
        <v>20</v>
      </c>
      <c r="BB7" s="394">
        <f>SUM('General information '!E7)</f>
        <v>0.56000000000000005</v>
      </c>
      <c r="BC7" s="3">
        <v>0</v>
      </c>
      <c r="BD7" s="102">
        <v>19222</v>
      </c>
      <c r="BE7" s="14">
        <f>(305/1185)*ELEC!Q5</f>
        <v>751.81856540138324</v>
      </c>
      <c r="BF7" s="14"/>
      <c r="BG7" s="14" t="e">
        <f>#REF!-BE7</f>
        <v>#REF!</v>
      </c>
      <c r="BH7" s="11">
        <v>19</v>
      </c>
    </row>
    <row r="8" spans="1:61">
      <c r="A8" s="444">
        <f>ELEC!C5</f>
        <v>44230</v>
      </c>
      <c r="B8">
        <f>'B5'!B7</f>
        <v>225</v>
      </c>
      <c r="C8" s="203">
        <f t="shared" si="18"/>
        <v>4841.1290322580644</v>
      </c>
      <c r="D8">
        <f t="shared" si="19"/>
        <v>225</v>
      </c>
      <c r="E8" s="203">
        <f t="shared" si="18"/>
        <v>4841.1290322580644</v>
      </c>
      <c r="F8">
        <f t="shared" si="20"/>
        <v>225</v>
      </c>
      <c r="G8" s="203">
        <f t="shared" si="1"/>
        <v>4841.1290322580644</v>
      </c>
      <c r="H8" s="203">
        <f t="shared" si="21"/>
        <v>225</v>
      </c>
      <c r="I8" s="203">
        <f t="shared" si="2"/>
        <v>4841.1290322580644</v>
      </c>
      <c r="J8" s="203">
        <f t="shared" si="22"/>
        <v>225</v>
      </c>
      <c r="K8" s="203">
        <f t="shared" si="3"/>
        <v>4841.1290322580644</v>
      </c>
      <c r="L8" s="203">
        <f t="shared" si="23"/>
        <v>225</v>
      </c>
      <c r="M8" s="203">
        <f t="shared" si="4"/>
        <v>4841.1290322580644</v>
      </c>
      <c r="N8" s="203">
        <f t="shared" si="24"/>
        <v>225</v>
      </c>
      <c r="O8" s="203">
        <f t="shared" si="5"/>
        <v>4841.1290322580644</v>
      </c>
      <c r="P8" s="203">
        <f t="shared" si="25"/>
        <v>225</v>
      </c>
      <c r="Q8" s="203">
        <f t="shared" si="6"/>
        <v>4841.1290322580644</v>
      </c>
      <c r="R8" s="203">
        <f t="shared" si="26"/>
        <v>225</v>
      </c>
      <c r="S8" s="203">
        <f t="shared" si="7"/>
        <v>4841.1290322580644</v>
      </c>
      <c r="T8" s="203">
        <f t="shared" si="27"/>
        <v>225</v>
      </c>
      <c r="U8" s="203">
        <f t="shared" si="8"/>
        <v>4841.1290322580644</v>
      </c>
      <c r="V8" s="203">
        <f t="shared" si="28"/>
        <v>225</v>
      </c>
      <c r="W8" s="203">
        <f t="shared" si="9"/>
        <v>4841.1290322580644</v>
      </c>
      <c r="X8" s="35">
        <f t="shared" si="10"/>
        <v>0.72580645161290303</v>
      </c>
      <c r="Y8" s="36">
        <f t="shared" si="29"/>
        <v>53252.419354838697</v>
      </c>
      <c r="Z8" s="203">
        <f>'B5'!C7</f>
        <v>231</v>
      </c>
      <c r="AA8" s="203">
        <f t="shared" si="30"/>
        <v>2310</v>
      </c>
      <c r="AB8" s="203">
        <f t="shared" si="31"/>
        <v>231</v>
      </c>
      <c r="AC8" s="203">
        <f t="shared" si="30"/>
        <v>2310</v>
      </c>
      <c r="AD8" s="203">
        <f t="shared" si="32"/>
        <v>231</v>
      </c>
      <c r="AE8" s="203">
        <f t="shared" si="11"/>
        <v>2310</v>
      </c>
      <c r="AF8" s="203">
        <f t="shared" si="33"/>
        <v>231</v>
      </c>
      <c r="AG8" s="203">
        <f t="shared" si="12"/>
        <v>2310</v>
      </c>
      <c r="AH8" s="203">
        <f t="shared" si="34"/>
        <v>231</v>
      </c>
      <c r="AI8" s="203">
        <f t="shared" si="13"/>
        <v>2310</v>
      </c>
      <c r="AJ8" s="203">
        <f t="shared" si="35"/>
        <v>231</v>
      </c>
      <c r="AK8" s="203">
        <f t="shared" si="14"/>
        <v>2310</v>
      </c>
      <c r="AL8" s="203">
        <f t="shared" si="36"/>
        <v>231</v>
      </c>
      <c r="AM8" s="203">
        <f t="shared" si="15"/>
        <v>2310</v>
      </c>
      <c r="AN8" s="35">
        <f t="shared" si="16"/>
        <v>0.82499999999999996</v>
      </c>
      <c r="AO8" s="36">
        <f t="shared" si="17"/>
        <v>16170</v>
      </c>
      <c r="AQ8" s="223">
        <f t="shared" si="37"/>
        <v>0.7467185044082898</v>
      </c>
      <c r="AR8" s="38">
        <f t="shared" ref="AR8:AR33" si="41">SUM(AO8+Y8)</f>
        <v>69422.419354838697</v>
      </c>
      <c r="AS8" s="197">
        <f t="shared" si="38"/>
        <v>-1226.7096774193778</v>
      </c>
      <c r="AT8" s="355"/>
      <c r="AU8" s="436"/>
      <c r="AV8" s="518">
        <f t="shared" ref="AV8:AV31" si="42">IF(AT8&gt;0,AU8,AV7)</f>
        <v>0.1</v>
      </c>
      <c r="AW8" s="290">
        <f>-SUM('B5'!AI7)</f>
        <v>-289</v>
      </c>
      <c r="AX8" s="290">
        <f t="shared" si="39"/>
        <v>-937.70967741937784</v>
      </c>
      <c r="AY8" s="37">
        <f t="shared" si="40"/>
        <v>-1226.7096774193778</v>
      </c>
      <c r="AZ8" s="100">
        <f>ELEC!A5</f>
        <v>0</v>
      </c>
      <c r="BA8" s="118">
        <f>'General information '!D8</f>
        <v>17.5</v>
      </c>
      <c r="BB8" s="394">
        <f>SUM('General information '!E8)</f>
        <v>0.69</v>
      </c>
      <c r="BC8" s="3">
        <f t="shared" ref="BC8:BC33" si="43">IF(AR7&gt;=AR8,0,1)</f>
        <v>0</v>
      </c>
      <c r="BD8" s="102">
        <v>19222</v>
      </c>
      <c r="BE8" s="14">
        <f>(305/1185)*ELEC!Q6</f>
        <v>675.37552742610796</v>
      </c>
      <c r="BF8" s="14"/>
      <c r="BG8" s="14" t="e">
        <f>#REF!-BE8</f>
        <v>#REF!</v>
      </c>
      <c r="BH8" s="11">
        <v>16</v>
      </c>
    </row>
    <row r="9" spans="1:61">
      <c r="A9" s="444">
        <f>ELEC!C6</f>
        <v>44231</v>
      </c>
      <c r="B9">
        <f>'B5'!B8</f>
        <v>221</v>
      </c>
      <c r="C9" s="203">
        <f t="shared" si="18"/>
        <v>4755.0645161290322</v>
      </c>
      <c r="D9">
        <f t="shared" si="19"/>
        <v>221</v>
      </c>
      <c r="E9" s="203">
        <f t="shared" si="18"/>
        <v>4755.0645161290322</v>
      </c>
      <c r="F9">
        <f t="shared" si="20"/>
        <v>221</v>
      </c>
      <c r="G9" s="203">
        <f t="shared" si="1"/>
        <v>4755.0645161290322</v>
      </c>
      <c r="H9" s="203">
        <f t="shared" si="21"/>
        <v>221</v>
      </c>
      <c r="I9" s="203">
        <f t="shared" si="2"/>
        <v>4755.0645161290322</v>
      </c>
      <c r="J9" s="203">
        <f t="shared" si="22"/>
        <v>221</v>
      </c>
      <c r="K9" s="203">
        <f t="shared" si="3"/>
        <v>4755.0645161290322</v>
      </c>
      <c r="L9" s="203">
        <f t="shared" si="23"/>
        <v>221</v>
      </c>
      <c r="M9" s="203">
        <f t="shared" si="4"/>
        <v>4755.0645161290322</v>
      </c>
      <c r="N9" s="203">
        <f t="shared" si="24"/>
        <v>221</v>
      </c>
      <c r="O9" s="203">
        <f t="shared" si="5"/>
        <v>4755.0645161290322</v>
      </c>
      <c r="P9" s="203">
        <f t="shared" si="25"/>
        <v>221</v>
      </c>
      <c r="Q9" s="203">
        <f t="shared" si="6"/>
        <v>4755.0645161290322</v>
      </c>
      <c r="R9" s="203">
        <f t="shared" si="26"/>
        <v>221</v>
      </c>
      <c r="S9" s="203">
        <f t="shared" si="7"/>
        <v>4755.0645161290322</v>
      </c>
      <c r="T9" s="203">
        <f t="shared" si="27"/>
        <v>221</v>
      </c>
      <c r="U9" s="203">
        <f t="shared" si="8"/>
        <v>4755.0645161290322</v>
      </c>
      <c r="V9" s="203">
        <f t="shared" si="28"/>
        <v>221</v>
      </c>
      <c r="W9" s="203">
        <f t="shared" si="9"/>
        <v>4755.0645161290322</v>
      </c>
      <c r="X9" s="35">
        <f t="shared" si="10"/>
        <v>0.71290322580645138</v>
      </c>
      <c r="Y9" s="36">
        <f t="shared" si="29"/>
        <v>52305.709677419341</v>
      </c>
      <c r="Z9" s="203">
        <f>'B5'!C8</f>
        <v>227</v>
      </c>
      <c r="AA9" s="203">
        <f t="shared" si="30"/>
        <v>2270</v>
      </c>
      <c r="AB9" s="203">
        <f t="shared" si="31"/>
        <v>227</v>
      </c>
      <c r="AC9" s="203">
        <f t="shared" si="30"/>
        <v>2270</v>
      </c>
      <c r="AD9" s="203">
        <f t="shared" si="32"/>
        <v>227</v>
      </c>
      <c r="AE9" s="203">
        <f t="shared" si="11"/>
        <v>2270</v>
      </c>
      <c r="AF9" s="203">
        <f t="shared" si="33"/>
        <v>227</v>
      </c>
      <c r="AG9" s="203">
        <f t="shared" si="12"/>
        <v>2270</v>
      </c>
      <c r="AH9" s="203">
        <f t="shared" si="34"/>
        <v>227</v>
      </c>
      <c r="AI9" s="203">
        <f t="shared" si="13"/>
        <v>2270</v>
      </c>
      <c r="AJ9" s="203">
        <f t="shared" si="35"/>
        <v>227</v>
      </c>
      <c r="AK9" s="203">
        <f t="shared" si="14"/>
        <v>2270</v>
      </c>
      <c r="AL9" s="203">
        <f t="shared" si="36"/>
        <v>227</v>
      </c>
      <c r="AM9" s="203">
        <f t="shared" si="15"/>
        <v>2270</v>
      </c>
      <c r="AN9" s="35">
        <f t="shared" si="16"/>
        <v>0.81071428571428572</v>
      </c>
      <c r="AO9" s="36">
        <f>SUM(AA9+AC9+AE9+AG9+AI9+AK9+AM9)</f>
        <v>15890</v>
      </c>
      <c r="AQ9" s="223">
        <f t="shared" si="37"/>
        <v>0.73352382142002082</v>
      </c>
      <c r="AR9" s="38">
        <f t="shared" si="41"/>
        <v>68195.709677419334</v>
      </c>
      <c r="AS9" s="197">
        <f t="shared" si="38"/>
        <v>-1226.7096774193633</v>
      </c>
      <c r="AT9" s="355"/>
      <c r="AU9" s="436"/>
      <c r="AV9" s="518">
        <f t="shared" si="42"/>
        <v>0.1</v>
      </c>
      <c r="AW9" s="290">
        <f>-SUM('B5'!AI8)</f>
        <v>-314</v>
      </c>
      <c r="AX9" s="290">
        <f>-SUM(AW9-AS9)</f>
        <v>-912.70967741936329</v>
      </c>
      <c r="AY9" s="37">
        <f t="shared" si="40"/>
        <v>-1226.7096774193633</v>
      </c>
      <c r="AZ9" s="100">
        <f>ELEC!A6</f>
        <v>0</v>
      </c>
      <c r="BA9" s="118">
        <f>'General information '!D9</f>
        <v>17.5</v>
      </c>
      <c r="BB9" s="394">
        <f>SUM('General information '!E9)</f>
        <v>0.73</v>
      </c>
      <c r="BC9" s="3">
        <f t="shared" si="43"/>
        <v>0</v>
      </c>
      <c r="BD9" s="102">
        <v>19222</v>
      </c>
      <c r="BE9" s="14">
        <f>(305/1185)*ELEC!Q7</f>
        <v>505.75949367092358</v>
      </c>
      <c r="BF9" s="14"/>
      <c r="BG9" s="14" t="e">
        <f>#REF!-BE9</f>
        <v>#REF!</v>
      </c>
      <c r="BH9" s="11">
        <v>18</v>
      </c>
    </row>
    <row r="10" spans="1:61">
      <c r="A10" s="444">
        <f>ELEC!C7</f>
        <v>44232</v>
      </c>
      <c r="B10">
        <f>'B5'!B9</f>
        <v>247</v>
      </c>
      <c r="C10" s="203">
        <f t="shared" si="18"/>
        <v>5314.4838709677415</v>
      </c>
      <c r="D10">
        <f t="shared" si="19"/>
        <v>247</v>
      </c>
      <c r="E10" s="203">
        <f t="shared" si="18"/>
        <v>5314.4838709677415</v>
      </c>
      <c r="F10">
        <f t="shared" si="20"/>
        <v>247</v>
      </c>
      <c r="G10" s="203">
        <f t="shared" si="1"/>
        <v>5314.4838709677415</v>
      </c>
      <c r="H10" s="203">
        <f t="shared" si="21"/>
        <v>247</v>
      </c>
      <c r="I10" s="203">
        <f t="shared" si="2"/>
        <v>5314.4838709677415</v>
      </c>
      <c r="J10" s="203">
        <f t="shared" si="22"/>
        <v>247</v>
      </c>
      <c r="K10" s="203">
        <f t="shared" si="3"/>
        <v>5314.4838709677415</v>
      </c>
      <c r="L10" s="203">
        <f t="shared" si="23"/>
        <v>247</v>
      </c>
      <c r="M10" s="203">
        <f t="shared" si="4"/>
        <v>5314.4838709677415</v>
      </c>
      <c r="N10" s="203">
        <f t="shared" si="24"/>
        <v>247</v>
      </c>
      <c r="O10" s="203">
        <f t="shared" si="5"/>
        <v>5314.4838709677415</v>
      </c>
      <c r="P10" s="203">
        <f t="shared" si="25"/>
        <v>247</v>
      </c>
      <c r="Q10" s="203">
        <f t="shared" si="6"/>
        <v>5314.4838709677415</v>
      </c>
      <c r="R10" s="203">
        <f t="shared" si="26"/>
        <v>247</v>
      </c>
      <c r="S10" s="203">
        <f t="shared" si="7"/>
        <v>5314.4838709677415</v>
      </c>
      <c r="T10" s="203">
        <f t="shared" si="27"/>
        <v>247</v>
      </c>
      <c r="U10" s="203">
        <f t="shared" si="8"/>
        <v>5314.4838709677415</v>
      </c>
      <c r="V10" s="203">
        <f t="shared" si="28"/>
        <v>247</v>
      </c>
      <c r="W10" s="203">
        <f t="shared" si="9"/>
        <v>5314.4838709677415</v>
      </c>
      <c r="X10" s="35">
        <f t="shared" si="10"/>
        <v>0.79677419354838708</v>
      </c>
      <c r="Y10" s="36">
        <f t="shared" si="29"/>
        <v>58459.322580645159</v>
      </c>
      <c r="Z10" s="203">
        <f>'B5'!C9</f>
        <v>252</v>
      </c>
      <c r="AA10" s="203">
        <f t="shared" si="30"/>
        <v>2520</v>
      </c>
      <c r="AB10" s="203">
        <f t="shared" si="31"/>
        <v>252</v>
      </c>
      <c r="AC10" s="203">
        <f t="shared" si="30"/>
        <v>2520</v>
      </c>
      <c r="AD10" s="203">
        <f t="shared" si="32"/>
        <v>252</v>
      </c>
      <c r="AE10" s="203">
        <f t="shared" si="11"/>
        <v>2520</v>
      </c>
      <c r="AF10" s="203">
        <f t="shared" si="33"/>
        <v>252</v>
      </c>
      <c r="AG10" s="203">
        <f t="shared" si="12"/>
        <v>2520</v>
      </c>
      <c r="AH10" s="203">
        <f t="shared" si="34"/>
        <v>252</v>
      </c>
      <c r="AI10" s="203">
        <f t="shared" si="13"/>
        <v>2520</v>
      </c>
      <c r="AJ10" s="203">
        <f t="shared" si="35"/>
        <v>252</v>
      </c>
      <c r="AK10" s="203">
        <f t="shared" si="14"/>
        <v>2520</v>
      </c>
      <c r="AL10" s="203">
        <f t="shared" si="36"/>
        <v>252</v>
      </c>
      <c r="AM10" s="203">
        <f t="shared" si="15"/>
        <v>2520</v>
      </c>
      <c r="AN10" s="35">
        <f t="shared" si="16"/>
        <v>0.9</v>
      </c>
      <c r="AO10" s="36">
        <f t="shared" si="17"/>
        <v>17640</v>
      </c>
      <c r="AQ10" s="223">
        <f t="shared" si="37"/>
        <v>0.81853632979074054</v>
      </c>
      <c r="AR10" s="38">
        <f t="shared" si="41"/>
        <v>76099.322580645152</v>
      </c>
      <c r="AS10" s="197">
        <f t="shared" si="38"/>
        <v>53.612903225817718</v>
      </c>
      <c r="AT10" s="355">
        <v>7850</v>
      </c>
      <c r="AU10" s="436">
        <v>0.67400000000000004</v>
      </c>
      <c r="AV10" s="518">
        <f>IF(AT10&gt;0,AU10,AV9)</f>
        <v>0.67400000000000004</v>
      </c>
      <c r="AW10" s="290">
        <f>-SUM('B5'!AI9)</f>
        <v>-391</v>
      </c>
      <c r="AX10" s="290">
        <f>-SUM(AW10-AS10)</f>
        <v>444.61290322581772</v>
      </c>
      <c r="AY10" s="37">
        <f t="shared" si="40"/>
        <v>53.612903225817718</v>
      </c>
      <c r="AZ10" s="100">
        <f>ELEC!A7</f>
        <v>0</v>
      </c>
      <c r="BA10" s="118">
        <f>'General information '!D10</f>
        <v>17.5</v>
      </c>
      <c r="BB10" s="394">
        <f>SUM('General information '!E10)</f>
        <v>0.6</v>
      </c>
      <c r="BC10" s="3">
        <f t="shared" si="43"/>
        <v>1</v>
      </c>
      <c r="BD10" s="102">
        <v>19222</v>
      </c>
      <c r="BE10" s="14">
        <f>(305/1185)*ELEC!Q8</f>
        <v>436.00843881843809</v>
      </c>
      <c r="BF10" s="14"/>
      <c r="BG10" s="14" t="e">
        <f>#REF!-BE10</f>
        <v>#REF!</v>
      </c>
      <c r="BH10" s="11">
        <v>16</v>
      </c>
    </row>
    <row r="11" spans="1:61">
      <c r="A11" s="444">
        <f>ELEC!C8</f>
        <v>44233</v>
      </c>
      <c r="B11">
        <f>'B5'!B10</f>
        <v>244</v>
      </c>
      <c r="C11" s="203">
        <f t="shared" si="18"/>
        <v>5249.9354838709678</v>
      </c>
      <c r="D11">
        <f>SUM(B11)</f>
        <v>244</v>
      </c>
      <c r="E11" s="203">
        <f t="shared" si="18"/>
        <v>5249.9354838709678</v>
      </c>
      <c r="F11">
        <f>SUM(D11)</f>
        <v>244</v>
      </c>
      <c r="G11" s="203">
        <f t="shared" si="1"/>
        <v>5249.9354838709678</v>
      </c>
      <c r="H11" s="203">
        <f>SUM(F11)</f>
        <v>244</v>
      </c>
      <c r="I11" s="203">
        <f t="shared" si="2"/>
        <v>5249.9354838709678</v>
      </c>
      <c r="J11" s="203">
        <f>SUM(H11)</f>
        <v>244</v>
      </c>
      <c r="K11" s="203">
        <f t="shared" si="3"/>
        <v>5249.9354838709678</v>
      </c>
      <c r="L11" s="203">
        <f>SUM(J11)</f>
        <v>244</v>
      </c>
      <c r="M11" s="203">
        <f t="shared" si="4"/>
        <v>5249.9354838709678</v>
      </c>
      <c r="N11" s="203">
        <f>SUM(L11)</f>
        <v>244</v>
      </c>
      <c r="O11" s="203">
        <f t="shared" si="5"/>
        <v>5249.9354838709678</v>
      </c>
      <c r="P11" s="203">
        <f>SUM(N11)</f>
        <v>244</v>
      </c>
      <c r="Q11" s="203">
        <f t="shared" si="6"/>
        <v>5249.9354838709678</v>
      </c>
      <c r="R11" s="203">
        <f>SUM(P11)</f>
        <v>244</v>
      </c>
      <c r="S11" s="203">
        <f t="shared" si="7"/>
        <v>5249.9354838709678</v>
      </c>
      <c r="T11" s="203">
        <f>SUM(R11)</f>
        <v>244</v>
      </c>
      <c r="U11" s="203">
        <f t="shared" si="8"/>
        <v>5249.9354838709678</v>
      </c>
      <c r="V11" s="203">
        <f>SUM(T11)</f>
        <v>244</v>
      </c>
      <c r="W11" s="203">
        <f t="shared" si="9"/>
        <v>5249.9354838709678</v>
      </c>
      <c r="X11" s="35">
        <f>SUM(Y11/73370)</f>
        <v>0.78709677419354862</v>
      </c>
      <c r="Y11" s="36">
        <f>SUM(C11+E11+G11+I11+K11+M11+O11+Q11+S11+U11+W11)</f>
        <v>57749.290322580659</v>
      </c>
      <c r="Z11" s="203">
        <f>'B5'!C10</f>
        <v>250</v>
      </c>
      <c r="AA11" s="203">
        <f t="shared" si="30"/>
        <v>2500</v>
      </c>
      <c r="AB11" s="203">
        <f>SUM(Z11)</f>
        <v>250</v>
      </c>
      <c r="AC11" s="203">
        <f t="shared" si="30"/>
        <v>2500</v>
      </c>
      <c r="AD11" s="203">
        <f>SUM(AB11)</f>
        <v>250</v>
      </c>
      <c r="AE11" s="203">
        <f t="shared" si="11"/>
        <v>2500</v>
      </c>
      <c r="AF11" s="203">
        <f>SUM(AD11)</f>
        <v>250</v>
      </c>
      <c r="AG11" s="203">
        <f t="shared" si="12"/>
        <v>2500</v>
      </c>
      <c r="AH11" s="203">
        <f>SUM(AF11)</f>
        <v>250</v>
      </c>
      <c r="AI11" s="203">
        <f t="shared" si="13"/>
        <v>2500</v>
      </c>
      <c r="AJ11" s="203">
        <f>SUM(AH11)</f>
        <v>250</v>
      </c>
      <c r="AK11" s="203">
        <f t="shared" si="14"/>
        <v>2500</v>
      </c>
      <c r="AL11" s="203">
        <f>SUM(AJ11)</f>
        <v>250</v>
      </c>
      <c r="AM11" s="203">
        <f t="shared" si="15"/>
        <v>2500</v>
      </c>
      <c r="AN11" s="35">
        <f>SUM(AO11/19600)</f>
        <v>0.8928571428571429</v>
      </c>
      <c r="AO11" s="36">
        <f t="shared" si="17"/>
        <v>17500</v>
      </c>
      <c r="AP11" s="565"/>
      <c r="AQ11" s="223">
        <f t="shared" si="37"/>
        <v>0.80939324860256712</v>
      </c>
      <c r="AR11" s="38">
        <f t="shared" si="41"/>
        <v>75249.290322580666</v>
      </c>
      <c r="AS11" s="197">
        <f>SUM(AR11-AR10-AT11)</f>
        <v>-850.03225806448609</v>
      </c>
      <c r="AT11" s="355"/>
      <c r="AU11" s="436"/>
      <c r="AV11" s="518">
        <f>IF(AT11&gt;0,AU11,AV10)</f>
        <v>0.67400000000000004</v>
      </c>
      <c r="AW11" s="290">
        <f>-SUM('B5'!AI10)</f>
        <v>-311</v>
      </c>
      <c r="AX11" s="290">
        <f>-SUM(AW11-AS11)</f>
        <v>-539.03225806448609</v>
      </c>
      <c r="AY11" s="37">
        <f t="shared" si="40"/>
        <v>-850.03225806448609</v>
      </c>
      <c r="AZ11" s="100">
        <f>ELEC!A8</f>
        <v>0</v>
      </c>
      <c r="BA11" s="118">
        <f>'General information '!D11</f>
        <v>17</v>
      </c>
      <c r="BB11" s="394">
        <f>SUM('General information '!E11)</f>
        <v>0.7</v>
      </c>
      <c r="BC11" s="3">
        <f t="shared" si="43"/>
        <v>0</v>
      </c>
      <c r="BD11" s="102">
        <v>19222</v>
      </c>
      <c r="BE11" s="14">
        <f>(305/1185)*ELEC!Q9</f>
        <v>526.09282700465394</v>
      </c>
      <c r="BF11" s="14"/>
      <c r="BG11" s="14" t="e">
        <f>#REF!-BE11</f>
        <v>#REF!</v>
      </c>
      <c r="BH11" s="11">
        <v>16.5</v>
      </c>
    </row>
    <row r="12" spans="1:61">
      <c r="A12" s="444">
        <f>ELEC!C9</f>
        <v>44234</v>
      </c>
      <c r="B12">
        <f>'B5'!B11</f>
        <v>240</v>
      </c>
      <c r="C12" s="203">
        <f t="shared" si="18"/>
        <v>5163.8709677419356</v>
      </c>
      <c r="D12">
        <f t="shared" si="19"/>
        <v>240</v>
      </c>
      <c r="E12" s="203">
        <f t="shared" si="18"/>
        <v>5163.8709677419356</v>
      </c>
      <c r="F12">
        <f t="shared" si="20"/>
        <v>240</v>
      </c>
      <c r="G12" s="203">
        <f t="shared" si="1"/>
        <v>5163.8709677419356</v>
      </c>
      <c r="H12" s="203">
        <f t="shared" si="21"/>
        <v>240</v>
      </c>
      <c r="I12" s="203">
        <f t="shared" si="2"/>
        <v>5163.8709677419356</v>
      </c>
      <c r="J12" s="203">
        <f t="shared" si="22"/>
        <v>240</v>
      </c>
      <c r="K12" s="203">
        <f t="shared" si="3"/>
        <v>5163.8709677419356</v>
      </c>
      <c r="L12" s="203">
        <f t="shared" si="23"/>
        <v>240</v>
      </c>
      <c r="M12" s="203">
        <f t="shared" si="4"/>
        <v>5163.8709677419356</v>
      </c>
      <c r="N12" s="203">
        <f t="shared" si="24"/>
        <v>240</v>
      </c>
      <c r="O12" s="203">
        <f t="shared" si="5"/>
        <v>5163.8709677419356</v>
      </c>
      <c r="P12" s="203">
        <f t="shared" si="25"/>
        <v>240</v>
      </c>
      <c r="Q12" s="203">
        <f t="shared" si="6"/>
        <v>5163.8709677419356</v>
      </c>
      <c r="R12" s="203">
        <f t="shared" si="26"/>
        <v>240</v>
      </c>
      <c r="S12" s="203">
        <f t="shared" si="7"/>
        <v>5163.8709677419356</v>
      </c>
      <c r="T12" s="203">
        <f t="shared" si="27"/>
        <v>240</v>
      </c>
      <c r="U12" s="203">
        <f t="shared" si="8"/>
        <v>5163.8709677419356</v>
      </c>
      <c r="V12" s="203">
        <f t="shared" si="28"/>
        <v>240</v>
      </c>
      <c r="W12" s="203">
        <f t="shared" si="9"/>
        <v>5163.8709677419356</v>
      </c>
      <c r="X12" s="35">
        <f t="shared" si="10"/>
        <v>0.77419354838709697</v>
      </c>
      <c r="Y12" s="36">
        <f t="shared" si="29"/>
        <v>56802.580645161303</v>
      </c>
      <c r="Z12" s="203">
        <f>'B5'!C11</f>
        <v>246</v>
      </c>
      <c r="AA12" s="203">
        <f t="shared" si="30"/>
        <v>2460</v>
      </c>
      <c r="AB12" s="203">
        <f t="shared" si="31"/>
        <v>246</v>
      </c>
      <c r="AC12" s="203">
        <f t="shared" si="30"/>
        <v>2460</v>
      </c>
      <c r="AD12" s="203">
        <f t="shared" si="32"/>
        <v>246</v>
      </c>
      <c r="AE12" s="203">
        <f t="shared" si="11"/>
        <v>2460</v>
      </c>
      <c r="AF12" s="203">
        <f t="shared" si="33"/>
        <v>246</v>
      </c>
      <c r="AG12" s="203">
        <f t="shared" si="12"/>
        <v>2460</v>
      </c>
      <c r="AH12" s="203">
        <f t="shared" si="34"/>
        <v>246</v>
      </c>
      <c r="AI12" s="203">
        <f t="shared" si="13"/>
        <v>2460</v>
      </c>
      <c r="AJ12" s="203">
        <f t="shared" si="35"/>
        <v>246</v>
      </c>
      <c r="AK12" s="203">
        <f t="shared" si="14"/>
        <v>2460</v>
      </c>
      <c r="AL12" s="203">
        <f t="shared" si="36"/>
        <v>246</v>
      </c>
      <c r="AM12" s="203">
        <f t="shared" si="15"/>
        <v>2460</v>
      </c>
      <c r="AN12" s="35">
        <f t="shared" si="16"/>
        <v>0.87857142857142856</v>
      </c>
      <c r="AO12" s="36">
        <f t="shared" si="17"/>
        <v>17220</v>
      </c>
      <c r="AP12" s="565"/>
      <c r="AQ12" s="223">
        <f t="shared" si="37"/>
        <v>0.79619856561429814</v>
      </c>
      <c r="AR12" s="38">
        <f t="shared" si="41"/>
        <v>74022.580645161303</v>
      </c>
      <c r="AS12" s="197">
        <f>SUM(AR12-AR11-AT12)</f>
        <v>-1226.7096774193633</v>
      </c>
      <c r="AT12" s="271"/>
      <c r="AU12" s="478"/>
      <c r="AV12" s="518">
        <f t="shared" si="42"/>
        <v>0.67400000000000004</v>
      </c>
      <c r="AW12" s="290">
        <f>-SUM('B5'!AI11)</f>
        <v>-279</v>
      </c>
      <c r="AX12" s="290">
        <f t="shared" si="39"/>
        <v>-947.70967741936329</v>
      </c>
      <c r="AY12" s="37">
        <f t="shared" si="40"/>
        <v>-1226.7096774193633</v>
      </c>
      <c r="AZ12" s="100">
        <f>ELEC!A9</f>
        <v>0</v>
      </c>
      <c r="BA12" s="118">
        <f>'General information '!D12</f>
        <v>19</v>
      </c>
      <c r="BB12" s="394">
        <f>SUM('General information '!E12)</f>
        <v>0.63</v>
      </c>
      <c r="BC12" s="3">
        <f t="shared" si="43"/>
        <v>0</v>
      </c>
      <c r="BD12" s="102">
        <v>19222</v>
      </c>
      <c r="BE12" s="14">
        <f>(305/1185)*ELEC!Q10</f>
        <v>526.3502109700147</v>
      </c>
      <c r="BF12" s="14"/>
      <c r="BG12" s="14" t="e">
        <f>#REF!-BE12</f>
        <v>#REF!</v>
      </c>
      <c r="BH12" s="11">
        <v>15.5</v>
      </c>
    </row>
    <row r="13" spans="1:61">
      <c r="A13" s="444">
        <f>ELEC!C10</f>
        <v>44235</v>
      </c>
      <c r="B13">
        <f>'B5'!B12</f>
        <v>237</v>
      </c>
      <c r="C13" s="203">
        <f t="shared" si="18"/>
        <v>5099.322580645161</v>
      </c>
      <c r="D13">
        <f t="shared" si="19"/>
        <v>237</v>
      </c>
      <c r="E13" s="203">
        <f t="shared" si="18"/>
        <v>5099.322580645161</v>
      </c>
      <c r="F13">
        <f t="shared" si="20"/>
        <v>237</v>
      </c>
      <c r="G13" s="203">
        <f t="shared" si="1"/>
        <v>5099.322580645161</v>
      </c>
      <c r="H13" s="203">
        <f t="shared" si="21"/>
        <v>237</v>
      </c>
      <c r="I13" s="203">
        <f t="shared" si="2"/>
        <v>5099.322580645161</v>
      </c>
      <c r="J13" s="203">
        <f t="shared" si="22"/>
        <v>237</v>
      </c>
      <c r="K13" s="203">
        <f t="shared" si="3"/>
        <v>5099.322580645161</v>
      </c>
      <c r="L13" s="203">
        <f t="shared" si="23"/>
        <v>237</v>
      </c>
      <c r="M13" s="203">
        <f t="shared" si="4"/>
        <v>5099.322580645161</v>
      </c>
      <c r="N13" s="203">
        <f t="shared" si="24"/>
        <v>237</v>
      </c>
      <c r="O13" s="203">
        <f t="shared" si="5"/>
        <v>5099.322580645161</v>
      </c>
      <c r="P13" s="203">
        <f t="shared" si="25"/>
        <v>237</v>
      </c>
      <c r="Q13" s="203">
        <f t="shared" si="6"/>
        <v>5099.322580645161</v>
      </c>
      <c r="R13" s="203">
        <f t="shared" si="26"/>
        <v>237</v>
      </c>
      <c r="S13" s="203">
        <f t="shared" si="7"/>
        <v>5099.322580645161</v>
      </c>
      <c r="T13" s="203">
        <f t="shared" si="27"/>
        <v>237</v>
      </c>
      <c r="U13" s="203">
        <f t="shared" si="8"/>
        <v>5099.322580645161</v>
      </c>
      <c r="V13" s="203">
        <f t="shared" si="28"/>
        <v>237</v>
      </c>
      <c r="W13" s="203">
        <f t="shared" si="9"/>
        <v>5099.322580645161</v>
      </c>
      <c r="X13" s="35">
        <f t="shared" si="10"/>
        <v>0.76451612903225785</v>
      </c>
      <c r="Y13" s="36">
        <f t="shared" si="29"/>
        <v>56092.548387096758</v>
      </c>
      <c r="Z13" s="203">
        <f>'B5'!C12</f>
        <v>243</v>
      </c>
      <c r="AA13" s="203">
        <f t="shared" si="30"/>
        <v>2430</v>
      </c>
      <c r="AB13" s="203">
        <f t="shared" si="31"/>
        <v>243</v>
      </c>
      <c r="AC13" s="203">
        <f t="shared" si="30"/>
        <v>2430</v>
      </c>
      <c r="AD13" s="203">
        <f t="shared" si="32"/>
        <v>243</v>
      </c>
      <c r="AE13" s="203">
        <f t="shared" si="11"/>
        <v>2430</v>
      </c>
      <c r="AF13" s="203">
        <f t="shared" si="33"/>
        <v>243</v>
      </c>
      <c r="AG13" s="203">
        <f t="shared" si="12"/>
        <v>2430</v>
      </c>
      <c r="AH13" s="203">
        <f t="shared" si="34"/>
        <v>243</v>
      </c>
      <c r="AI13" s="203">
        <f t="shared" si="13"/>
        <v>2430</v>
      </c>
      <c r="AJ13" s="203">
        <f t="shared" si="35"/>
        <v>243</v>
      </c>
      <c r="AK13" s="203">
        <f t="shared" si="14"/>
        <v>2430</v>
      </c>
      <c r="AL13" s="203">
        <f t="shared" si="36"/>
        <v>243</v>
      </c>
      <c r="AM13" s="203">
        <f t="shared" si="15"/>
        <v>2430</v>
      </c>
      <c r="AN13" s="35">
        <f t="shared" si="16"/>
        <v>0.86785714285714288</v>
      </c>
      <c r="AO13" s="36">
        <f t="shared" si="17"/>
        <v>17010</v>
      </c>
      <c r="AP13" s="565"/>
      <c r="AQ13" s="223">
        <f t="shared" si="37"/>
        <v>0.78630255337309629</v>
      </c>
      <c r="AR13" s="38">
        <f t="shared" si="41"/>
        <v>73102.548387096758</v>
      </c>
      <c r="AS13" s="197">
        <f t="shared" si="38"/>
        <v>-920.03225806454429</v>
      </c>
      <c r="AT13" s="271"/>
      <c r="AU13" s="436"/>
      <c r="AV13" s="518">
        <f t="shared" si="42"/>
        <v>0.67400000000000004</v>
      </c>
      <c r="AW13" s="290">
        <f>-SUM('B5'!AI12)</f>
        <v>-333.39999999999418</v>
      </c>
      <c r="AX13" s="290">
        <f t="shared" si="39"/>
        <v>-586.63225806455011</v>
      </c>
      <c r="AY13" s="37">
        <f t="shared" si="40"/>
        <v>-920.03225806454429</v>
      </c>
      <c r="AZ13" s="100">
        <f>ELEC!A10</f>
        <v>0</v>
      </c>
      <c r="BA13" s="118">
        <f>'General information '!D13</f>
        <v>21</v>
      </c>
      <c r="BB13" s="394">
        <f>SUM('General information '!E13)</f>
        <v>0.55000000000000004</v>
      </c>
      <c r="BC13" s="3">
        <f t="shared" si="43"/>
        <v>0</v>
      </c>
      <c r="BD13" s="102">
        <v>19222</v>
      </c>
      <c r="BE13" s="14">
        <f>(305/1185)*ELEC!Q11</f>
        <v>884.37130801726721</v>
      </c>
      <c r="BF13" s="14"/>
      <c r="BG13" s="14" t="e">
        <f>#REF!-BE13</f>
        <v>#REF!</v>
      </c>
      <c r="BH13" s="11"/>
    </row>
    <row r="14" spans="1:61">
      <c r="A14" s="444">
        <f>ELEC!C11</f>
        <v>44236</v>
      </c>
      <c r="B14">
        <f>'B5'!B13</f>
        <v>233</v>
      </c>
      <c r="C14" s="203">
        <f t="shared" si="18"/>
        <v>5013.2580645161288</v>
      </c>
      <c r="D14">
        <f t="shared" si="19"/>
        <v>233</v>
      </c>
      <c r="E14" s="203">
        <f t="shared" si="18"/>
        <v>5013.2580645161288</v>
      </c>
      <c r="F14">
        <f t="shared" si="20"/>
        <v>233</v>
      </c>
      <c r="G14" s="203">
        <f t="shared" si="1"/>
        <v>5013.2580645161288</v>
      </c>
      <c r="H14" s="203">
        <f t="shared" si="21"/>
        <v>233</v>
      </c>
      <c r="I14" s="203">
        <f t="shared" si="2"/>
        <v>5013.2580645161288</v>
      </c>
      <c r="J14" s="203">
        <f t="shared" si="22"/>
        <v>233</v>
      </c>
      <c r="K14" s="203">
        <f t="shared" si="3"/>
        <v>5013.2580645161288</v>
      </c>
      <c r="L14" s="203">
        <f t="shared" si="23"/>
        <v>233</v>
      </c>
      <c r="M14" s="203">
        <f t="shared" si="4"/>
        <v>5013.2580645161288</v>
      </c>
      <c r="N14" s="203">
        <f t="shared" si="24"/>
        <v>233</v>
      </c>
      <c r="O14" s="203">
        <f t="shared" si="5"/>
        <v>5013.2580645161288</v>
      </c>
      <c r="P14" s="203">
        <f t="shared" si="25"/>
        <v>233</v>
      </c>
      <c r="Q14" s="203">
        <f t="shared" si="6"/>
        <v>5013.2580645161288</v>
      </c>
      <c r="R14" s="203">
        <f t="shared" si="26"/>
        <v>233</v>
      </c>
      <c r="S14" s="203">
        <f t="shared" si="7"/>
        <v>5013.2580645161288</v>
      </c>
      <c r="T14" s="203">
        <f t="shared" si="27"/>
        <v>233</v>
      </c>
      <c r="U14" s="203">
        <f t="shared" si="8"/>
        <v>5013.2580645161288</v>
      </c>
      <c r="V14" s="203">
        <f t="shared" si="28"/>
        <v>233</v>
      </c>
      <c r="W14" s="203">
        <f t="shared" si="9"/>
        <v>5013.2580645161288</v>
      </c>
      <c r="X14" s="35">
        <f t="shared" si="10"/>
        <v>0.75161290322580643</v>
      </c>
      <c r="Y14" s="36">
        <f t="shared" si="29"/>
        <v>55145.838709677417</v>
      </c>
      <c r="Z14" s="203">
        <f>'B5'!C13</f>
        <v>239</v>
      </c>
      <c r="AA14" s="203">
        <f t="shared" si="30"/>
        <v>2390</v>
      </c>
      <c r="AB14" s="203">
        <f t="shared" si="31"/>
        <v>239</v>
      </c>
      <c r="AC14" s="203">
        <f t="shared" si="30"/>
        <v>2390</v>
      </c>
      <c r="AD14" s="203">
        <f t="shared" si="32"/>
        <v>239</v>
      </c>
      <c r="AE14" s="203">
        <f t="shared" si="11"/>
        <v>2390</v>
      </c>
      <c r="AF14" s="203">
        <f t="shared" si="33"/>
        <v>239</v>
      </c>
      <c r="AG14" s="203">
        <f t="shared" si="12"/>
        <v>2390</v>
      </c>
      <c r="AH14" s="203">
        <f t="shared" si="34"/>
        <v>239</v>
      </c>
      <c r="AI14" s="203">
        <f t="shared" si="13"/>
        <v>2390</v>
      </c>
      <c r="AJ14" s="203">
        <f t="shared" si="35"/>
        <v>239</v>
      </c>
      <c r="AK14" s="203">
        <f t="shared" si="14"/>
        <v>2390</v>
      </c>
      <c r="AL14" s="203">
        <f t="shared" si="36"/>
        <v>239</v>
      </c>
      <c r="AM14" s="203">
        <f t="shared" si="15"/>
        <v>2390</v>
      </c>
      <c r="AN14" s="35">
        <f t="shared" si="16"/>
        <v>0.85357142857142854</v>
      </c>
      <c r="AO14" s="36">
        <f t="shared" si="17"/>
        <v>16730</v>
      </c>
      <c r="AQ14" s="223">
        <f t="shared" si="37"/>
        <v>0.77310787038482764</v>
      </c>
      <c r="AR14" s="38">
        <f t="shared" si="41"/>
        <v>71875.838709677424</v>
      </c>
      <c r="AS14" s="197">
        <f>SUM(AR14-AR13-AT14)</f>
        <v>-1226.7096774193342</v>
      </c>
      <c r="AT14" s="271"/>
      <c r="AU14" s="478"/>
      <c r="AV14" s="518">
        <f t="shared" si="42"/>
        <v>0.67400000000000004</v>
      </c>
      <c r="AW14" s="290">
        <f>-SUM('B5'!AI13)</f>
        <v>-236</v>
      </c>
      <c r="AX14" s="290">
        <f t="shared" si="39"/>
        <v>-990.70967741933418</v>
      </c>
      <c r="AY14" s="37">
        <f t="shared" si="40"/>
        <v>-1226.7096774193342</v>
      </c>
      <c r="AZ14" s="100">
        <f>ELEC!A11</f>
        <v>0</v>
      </c>
      <c r="BA14" s="118">
        <f>'General information '!D14</f>
        <v>19.5</v>
      </c>
      <c r="BB14" s="394">
        <f>SUM('General information '!E14)</f>
        <v>0.63</v>
      </c>
      <c r="BC14" s="3">
        <f t="shared" si="43"/>
        <v>0</v>
      </c>
      <c r="BD14" s="102">
        <v>19222</v>
      </c>
      <c r="BE14" s="14">
        <f>(305/1185)*ELEC!Q12</f>
        <v>1143.2995780588396</v>
      </c>
      <c r="BF14" s="14"/>
      <c r="BG14" s="14" t="e">
        <f>#REF!-BE14</f>
        <v>#REF!</v>
      </c>
      <c r="BH14" s="11"/>
    </row>
    <row r="15" spans="1:61" ht="13.5" customHeight="1">
      <c r="A15" s="444">
        <f>ELEC!C12</f>
        <v>44237</v>
      </c>
      <c r="B15">
        <f>'B5'!B14</f>
        <v>227</v>
      </c>
      <c r="C15" s="203">
        <f t="shared" si="18"/>
        <v>4884.1612903225805</v>
      </c>
      <c r="D15">
        <f t="shared" si="19"/>
        <v>227</v>
      </c>
      <c r="E15" s="203">
        <f t="shared" si="18"/>
        <v>4884.1612903225805</v>
      </c>
      <c r="F15">
        <f t="shared" si="20"/>
        <v>227</v>
      </c>
      <c r="G15" s="203">
        <f t="shared" si="1"/>
        <v>4884.1612903225805</v>
      </c>
      <c r="H15" s="203">
        <f t="shared" si="21"/>
        <v>227</v>
      </c>
      <c r="I15" s="203">
        <f t="shared" si="2"/>
        <v>4884.1612903225805</v>
      </c>
      <c r="J15" s="203">
        <f t="shared" si="22"/>
        <v>227</v>
      </c>
      <c r="K15" s="203">
        <f t="shared" si="3"/>
        <v>4884.1612903225805</v>
      </c>
      <c r="L15" s="203">
        <f t="shared" si="23"/>
        <v>227</v>
      </c>
      <c r="M15" s="203">
        <f t="shared" si="4"/>
        <v>4884.1612903225805</v>
      </c>
      <c r="N15" s="203">
        <f t="shared" si="24"/>
        <v>227</v>
      </c>
      <c r="O15" s="203">
        <f t="shared" si="5"/>
        <v>4884.1612903225805</v>
      </c>
      <c r="P15" s="203">
        <f t="shared" si="25"/>
        <v>227</v>
      </c>
      <c r="Q15" s="203">
        <f t="shared" si="6"/>
        <v>4884.1612903225805</v>
      </c>
      <c r="R15" s="203">
        <f t="shared" si="26"/>
        <v>227</v>
      </c>
      <c r="S15" s="203">
        <f t="shared" si="7"/>
        <v>4884.1612903225805</v>
      </c>
      <c r="T15" s="203">
        <f t="shared" si="27"/>
        <v>227</v>
      </c>
      <c r="U15" s="203">
        <f t="shared" si="8"/>
        <v>4884.1612903225805</v>
      </c>
      <c r="V15" s="203">
        <f t="shared" si="28"/>
        <v>227</v>
      </c>
      <c r="W15" s="203">
        <f t="shared" si="9"/>
        <v>4884.1612903225805</v>
      </c>
      <c r="X15" s="35">
        <f t="shared" si="10"/>
        <v>0.73225806451612907</v>
      </c>
      <c r="Y15" s="36">
        <f t="shared" si="29"/>
        <v>53725.774193548394</v>
      </c>
      <c r="Z15" s="203">
        <f>'B5'!C14</f>
        <v>233</v>
      </c>
      <c r="AA15" s="203">
        <f t="shared" si="30"/>
        <v>2330</v>
      </c>
      <c r="AB15" s="203">
        <f t="shared" si="31"/>
        <v>233</v>
      </c>
      <c r="AC15" s="203">
        <f t="shared" si="30"/>
        <v>2330</v>
      </c>
      <c r="AD15" s="203">
        <f t="shared" si="32"/>
        <v>233</v>
      </c>
      <c r="AE15" s="203">
        <f t="shared" si="11"/>
        <v>2330</v>
      </c>
      <c r="AF15" s="203">
        <f t="shared" si="33"/>
        <v>233</v>
      </c>
      <c r="AG15" s="203">
        <f t="shared" si="12"/>
        <v>2330</v>
      </c>
      <c r="AH15" s="203">
        <f t="shared" si="34"/>
        <v>233</v>
      </c>
      <c r="AI15" s="203">
        <f t="shared" si="13"/>
        <v>2330</v>
      </c>
      <c r="AJ15" s="203">
        <f t="shared" si="35"/>
        <v>233</v>
      </c>
      <c r="AK15" s="203">
        <f t="shared" si="14"/>
        <v>2330</v>
      </c>
      <c r="AL15" s="203">
        <f t="shared" si="36"/>
        <v>233</v>
      </c>
      <c r="AM15" s="203">
        <f t="shared" si="15"/>
        <v>2330</v>
      </c>
      <c r="AN15" s="35">
        <f t="shared" si="16"/>
        <v>0.83214285714285718</v>
      </c>
      <c r="AO15" s="36">
        <f t="shared" si="17"/>
        <v>16310</v>
      </c>
      <c r="AQ15" s="223">
        <f t="shared" si="37"/>
        <v>0.7533158459024244</v>
      </c>
      <c r="AR15" s="38">
        <f t="shared" si="41"/>
        <v>70035.774193548394</v>
      </c>
      <c r="AS15" s="197">
        <f>SUM(AR15-AR14-AT15)</f>
        <v>-1840.0645161290304</v>
      </c>
      <c r="AT15" s="271"/>
      <c r="AU15" s="436"/>
      <c r="AV15" s="518">
        <f>IF(AT15&gt;0,AU15,AV14)</f>
        <v>0.67400000000000004</v>
      </c>
      <c r="AW15" s="290">
        <f>-SUM('B5'!AI14)</f>
        <v>-236</v>
      </c>
      <c r="AX15" s="290">
        <f>-SUM(AW15-AS15)</f>
        <v>-1604.0645161290304</v>
      </c>
      <c r="AY15" s="37">
        <f t="shared" si="40"/>
        <v>-1840.0645161290304</v>
      </c>
      <c r="AZ15" s="100">
        <f>ELEC!A12</f>
        <v>0</v>
      </c>
      <c r="BA15" s="118">
        <f>'General information '!D15</f>
        <v>16.5</v>
      </c>
      <c r="BB15" s="394">
        <f>SUM('General information '!E15)</f>
        <v>0.61</v>
      </c>
      <c r="BC15" s="3">
        <f t="shared" si="43"/>
        <v>0</v>
      </c>
      <c r="BD15" s="102">
        <v>19222</v>
      </c>
      <c r="BE15" s="14">
        <f>(305/1185)*ELEC!Q13</f>
        <v>1029.2784810126059</v>
      </c>
      <c r="BF15" s="14"/>
      <c r="BG15" s="14" t="e">
        <f>#REF!-BE15</f>
        <v>#REF!</v>
      </c>
      <c r="BH15" s="11"/>
    </row>
    <row r="16" spans="1:61">
      <c r="A16" s="444">
        <f>ELEC!C13</f>
        <v>44238</v>
      </c>
      <c r="B16">
        <f>'B5'!B15</f>
        <v>222</v>
      </c>
      <c r="C16" s="203">
        <f t="shared" si="18"/>
        <v>4776.5806451612898</v>
      </c>
      <c r="D16">
        <f t="shared" si="19"/>
        <v>222</v>
      </c>
      <c r="E16" s="203">
        <f t="shared" si="18"/>
        <v>4776.5806451612898</v>
      </c>
      <c r="F16">
        <f t="shared" si="20"/>
        <v>222</v>
      </c>
      <c r="G16" s="203">
        <f t="shared" si="1"/>
        <v>4776.5806451612898</v>
      </c>
      <c r="H16" s="203">
        <f t="shared" si="21"/>
        <v>222</v>
      </c>
      <c r="I16" s="203">
        <f t="shared" si="2"/>
        <v>4776.5806451612898</v>
      </c>
      <c r="J16" s="203">
        <f t="shared" si="22"/>
        <v>222</v>
      </c>
      <c r="K16" s="203">
        <f t="shared" si="3"/>
        <v>4776.5806451612898</v>
      </c>
      <c r="L16" s="203">
        <f t="shared" si="23"/>
        <v>222</v>
      </c>
      <c r="M16" s="203">
        <f t="shared" si="4"/>
        <v>4776.5806451612898</v>
      </c>
      <c r="N16" s="203">
        <f t="shared" si="24"/>
        <v>222</v>
      </c>
      <c r="O16" s="203">
        <f t="shared" si="5"/>
        <v>4776.5806451612898</v>
      </c>
      <c r="P16" s="203">
        <f t="shared" si="25"/>
        <v>222</v>
      </c>
      <c r="Q16" s="203">
        <f t="shared" si="6"/>
        <v>4776.5806451612898</v>
      </c>
      <c r="R16" s="203">
        <f t="shared" si="26"/>
        <v>222</v>
      </c>
      <c r="S16" s="203">
        <f t="shared" si="7"/>
        <v>4776.5806451612898</v>
      </c>
      <c r="T16" s="203">
        <f t="shared" si="27"/>
        <v>222</v>
      </c>
      <c r="U16" s="203">
        <f t="shared" si="8"/>
        <v>4776.5806451612898</v>
      </c>
      <c r="V16" s="203">
        <f t="shared" si="28"/>
        <v>222</v>
      </c>
      <c r="W16" s="203">
        <f t="shared" si="9"/>
        <v>4776.5806451612898</v>
      </c>
      <c r="X16" s="35">
        <f t="shared" si="10"/>
        <v>0.71612903225806424</v>
      </c>
      <c r="Y16" s="36">
        <f t="shared" si="29"/>
        <v>52542.387096774175</v>
      </c>
      <c r="Z16" s="203">
        <f>'B5'!C15</f>
        <v>228</v>
      </c>
      <c r="AA16" s="203">
        <f t="shared" si="30"/>
        <v>2280</v>
      </c>
      <c r="AB16" s="203">
        <f t="shared" si="31"/>
        <v>228</v>
      </c>
      <c r="AC16" s="203">
        <f t="shared" si="30"/>
        <v>2280</v>
      </c>
      <c r="AD16" s="203">
        <f t="shared" si="32"/>
        <v>228</v>
      </c>
      <c r="AE16" s="203">
        <f t="shared" si="11"/>
        <v>2280</v>
      </c>
      <c r="AF16" s="203">
        <f t="shared" si="33"/>
        <v>228</v>
      </c>
      <c r="AG16" s="203">
        <f t="shared" si="12"/>
        <v>2280</v>
      </c>
      <c r="AH16" s="203">
        <f t="shared" si="34"/>
        <v>228</v>
      </c>
      <c r="AI16" s="203">
        <f t="shared" si="13"/>
        <v>2280</v>
      </c>
      <c r="AJ16" s="203">
        <f t="shared" si="35"/>
        <v>228</v>
      </c>
      <c r="AK16" s="203">
        <f t="shared" si="14"/>
        <v>2280</v>
      </c>
      <c r="AL16" s="203">
        <f t="shared" si="36"/>
        <v>228</v>
      </c>
      <c r="AM16" s="203">
        <f t="shared" si="15"/>
        <v>2280</v>
      </c>
      <c r="AN16" s="35">
        <f t="shared" si="16"/>
        <v>0.81428571428571428</v>
      </c>
      <c r="AO16" s="36">
        <f t="shared" si="17"/>
        <v>15960</v>
      </c>
      <c r="AQ16" s="223">
        <f t="shared" si="37"/>
        <v>0.73682249216708817</v>
      </c>
      <c r="AR16" s="38">
        <f t="shared" si="41"/>
        <v>68502.387096774182</v>
      </c>
      <c r="AS16" s="197">
        <f>SUM(AR16-AR15-AT16)</f>
        <v>-1533.3870967742114</v>
      </c>
      <c r="AT16" s="355"/>
      <c r="AU16" s="436"/>
      <c r="AV16" s="518">
        <f>IF(AT16&gt;0,AU16,AV15)</f>
        <v>0.67400000000000004</v>
      </c>
      <c r="AW16" s="290">
        <f>-SUM('B5'!AI15)</f>
        <v>-253</v>
      </c>
      <c r="AX16" s="290">
        <f>-SUM(AW16-AS16)</f>
        <v>-1280.3870967742114</v>
      </c>
      <c r="AY16" s="37">
        <f t="shared" si="40"/>
        <v>-1533.3870967742114</v>
      </c>
      <c r="AZ16" s="100">
        <f>ELEC!A13</f>
        <v>0</v>
      </c>
      <c r="BA16" s="118">
        <f>'General information '!D16</f>
        <v>15.5</v>
      </c>
      <c r="BB16" s="394">
        <f>SUM('General information '!E16)</f>
        <v>0.72</v>
      </c>
      <c r="BC16" s="3">
        <f t="shared" si="43"/>
        <v>0</v>
      </c>
      <c r="BD16" s="102">
        <v>19222</v>
      </c>
      <c r="BE16" s="14">
        <f>(305/1185)*ELEC!Q14</f>
        <v>676.40506329129664</v>
      </c>
      <c r="BF16" s="14"/>
      <c r="BG16" s="14" t="e">
        <f>#REF!-BE16</f>
        <v>#REF!</v>
      </c>
      <c r="BH16" s="11"/>
    </row>
    <row r="17" spans="1:61">
      <c r="A17" s="444">
        <f>ELEC!C14</f>
        <v>44239</v>
      </c>
      <c r="B17">
        <f>'B5'!B16</f>
        <v>219</v>
      </c>
      <c r="C17" s="203">
        <f t="shared" si="18"/>
        <v>4712.0322580645161</v>
      </c>
      <c r="D17">
        <f t="shared" si="19"/>
        <v>219</v>
      </c>
      <c r="E17" s="203">
        <f t="shared" si="18"/>
        <v>4712.0322580645161</v>
      </c>
      <c r="F17">
        <f t="shared" si="20"/>
        <v>219</v>
      </c>
      <c r="G17" s="203">
        <f t="shared" si="1"/>
        <v>4712.0322580645161</v>
      </c>
      <c r="H17" s="203">
        <f t="shared" si="21"/>
        <v>219</v>
      </c>
      <c r="I17" s="203">
        <f t="shared" si="2"/>
        <v>4712.0322580645161</v>
      </c>
      <c r="J17" s="203">
        <f t="shared" si="22"/>
        <v>219</v>
      </c>
      <c r="K17" s="203">
        <f t="shared" si="3"/>
        <v>4712.0322580645161</v>
      </c>
      <c r="L17" s="203">
        <f t="shared" si="23"/>
        <v>219</v>
      </c>
      <c r="M17" s="203">
        <f t="shared" si="4"/>
        <v>4712.0322580645161</v>
      </c>
      <c r="N17" s="203">
        <f t="shared" si="24"/>
        <v>219</v>
      </c>
      <c r="O17" s="203">
        <f t="shared" si="5"/>
        <v>4712.0322580645161</v>
      </c>
      <c r="P17" s="203">
        <f t="shared" si="25"/>
        <v>219</v>
      </c>
      <c r="Q17" s="203">
        <f t="shared" si="6"/>
        <v>4712.0322580645161</v>
      </c>
      <c r="R17" s="203">
        <f t="shared" si="26"/>
        <v>219</v>
      </c>
      <c r="S17" s="203">
        <f t="shared" si="7"/>
        <v>4712.0322580645161</v>
      </c>
      <c r="T17" s="203">
        <f t="shared" si="27"/>
        <v>219</v>
      </c>
      <c r="U17" s="203">
        <f t="shared" si="8"/>
        <v>4712.0322580645161</v>
      </c>
      <c r="V17" s="203">
        <f t="shared" si="28"/>
        <v>219</v>
      </c>
      <c r="W17" s="203">
        <f t="shared" si="9"/>
        <v>4712.0322580645161</v>
      </c>
      <c r="X17" s="35">
        <f t="shared" si="10"/>
        <v>0.70645161290322578</v>
      </c>
      <c r="Y17" s="36">
        <f t="shared" si="29"/>
        <v>51832.354838709674</v>
      </c>
      <c r="Z17" s="203">
        <f>'B5'!C16</f>
        <v>224</v>
      </c>
      <c r="AA17" s="203">
        <f t="shared" si="30"/>
        <v>2240</v>
      </c>
      <c r="AB17" s="203">
        <f t="shared" si="31"/>
        <v>224</v>
      </c>
      <c r="AC17" s="203">
        <f t="shared" si="30"/>
        <v>2240</v>
      </c>
      <c r="AD17" s="203">
        <f t="shared" si="32"/>
        <v>224</v>
      </c>
      <c r="AE17" s="203">
        <f t="shared" si="11"/>
        <v>2240</v>
      </c>
      <c r="AF17" s="203">
        <f t="shared" si="33"/>
        <v>224</v>
      </c>
      <c r="AG17" s="203">
        <f t="shared" si="12"/>
        <v>2240</v>
      </c>
      <c r="AH17" s="203">
        <f t="shared" si="34"/>
        <v>224</v>
      </c>
      <c r="AI17" s="203">
        <f t="shared" si="13"/>
        <v>2240</v>
      </c>
      <c r="AJ17" s="203">
        <f t="shared" si="35"/>
        <v>224</v>
      </c>
      <c r="AK17" s="203">
        <f t="shared" si="14"/>
        <v>2240</v>
      </c>
      <c r="AL17" s="203">
        <f t="shared" si="36"/>
        <v>224</v>
      </c>
      <c r="AM17" s="203">
        <f t="shared" si="15"/>
        <v>2240</v>
      </c>
      <c r="AN17" s="35">
        <f t="shared" si="16"/>
        <v>0.8</v>
      </c>
      <c r="AO17" s="36">
        <f>SUM(AA17+AC17+AE17+AG17+AI17+AK17+AM17)</f>
        <v>15680</v>
      </c>
      <c r="AQ17" s="223">
        <f t="shared" si="37"/>
        <v>0.72617354887285868</v>
      </c>
      <c r="AR17" s="38">
        <f t="shared" si="41"/>
        <v>67512.354838709667</v>
      </c>
      <c r="AS17" s="197">
        <f t="shared" si="38"/>
        <v>-990.03225806451519</v>
      </c>
      <c r="AT17" s="355"/>
      <c r="AU17" s="478"/>
      <c r="AV17" s="518">
        <f t="shared" si="42"/>
        <v>0.67400000000000004</v>
      </c>
      <c r="AW17" s="290">
        <f>-SUM('B5'!AI16)</f>
        <v>-234</v>
      </c>
      <c r="AX17" s="290">
        <f t="shared" si="39"/>
        <v>-756.03225806451519</v>
      </c>
      <c r="AY17" s="37">
        <f t="shared" si="40"/>
        <v>-990.03225806451519</v>
      </c>
      <c r="AZ17" s="100">
        <f>ELEC!A14</f>
        <v>0</v>
      </c>
      <c r="BA17" s="118">
        <f>'General information '!D17</f>
        <v>15.5</v>
      </c>
      <c r="BB17" s="394">
        <f>SUM('General information '!E17)</f>
        <v>0.51</v>
      </c>
      <c r="BC17" s="3">
        <f t="shared" si="43"/>
        <v>0</v>
      </c>
      <c r="BD17" s="102">
        <v>19222</v>
      </c>
      <c r="BE17" s="14">
        <f>(305/1185)*ELEC!Q15</f>
        <v>833.6666666660899</v>
      </c>
      <c r="BF17" s="14"/>
      <c r="BG17" s="14" t="e">
        <f>#REF!-BE17</f>
        <v>#REF!</v>
      </c>
      <c r="BH17" s="11"/>
    </row>
    <row r="18" spans="1:61">
      <c r="A18" s="444">
        <f>ELEC!C15</f>
        <v>44240</v>
      </c>
      <c r="B18">
        <f>'B5'!B17</f>
        <v>214</v>
      </c>
      <c r="C18" s="203">
        <f t="shared" si="18"/>
        <v>4604.4516129032254</v>
      </c>
      <c r="D18">
        <f t="shared" si="19"/>
        <v>214</v>
      </c>
      <c r="E18" s="203">
        <f t="shared" si="18"/>
        <v>4604.4516129032254</v>
      </c>
      <c r="F18">
        <f t="shared" si="20"/>
        <v>214</v>
      </c>
      <c r="G18" s="203">
        <f t="shared" si="1"/>
        <v>4604.4516129032254</v>
      </c>
      <c r="H18" s="203">
        <f t="shared" si="21"/>
        <v>214</v>
      </c>
      <c r="I18" s="203">
        <f t="shared" si="2"/>
        <v>4604.4516129032254</v>
      </c>
      <c r="J18" s="203">
        <f t="shared" si="22"/>
        <v>214</v>
      </c>
      <c r="K18" s="203">
        <f t="shared" si="3"/>
        <v>4604.4516129032254</v>
      </c>
      <c r="L18" s="203">
        <f t="shared" si="23"/>
        <v>214</v>
      </c>
      <c r="M18" s="203">
        <f t="shared" si="4"/>
        <v>4604.4516129032254</v>
      </c>
      <c r="N18" s="203">
        <f t="shared" si="24"/>
        <v>214</v>
      </c>
      <c r="O18" s="203">
        <f t="shared" si="5"/>
        <v>4604.4516129032254</v>
      </c>
      <c r="P18" s="203">
        <f t="shared" si="25"/>
        <v>214</v>
      </c>
      <c r="Q18" s="203">
        <f t="shared" si="6"/>
        <v>4604.4516129032254</v>
      </c>
      <c r="R18" s="203">
        <f t="shared" si="26"/>
        <v>214</v>
      </c>
      <c r="S18" s="203">
        <f t="shared" si="7"/>
        <v>4604.4516129032254</v>
      </c>
      <c r="T18" s="203">
        <f t="shared" si="27"/>
        <v>214</v>
      </c>
      <c r="U18" s="203">
        <f t="shared" si="8"/>
        <v>4604.4516129032254</v>
      </c>
      <c r="V18" s="203">
        <f t="shared" si="28"/>
        <v>214</v>
      </c>
      <c r="W18" s="203">
        <f t="shared" si="9"/>
        <v>4604.4516129032254</v>
      </c>
      <c r="X18" s="35">
        <f t="shared" si="10"/>
        <v>0.69032258064516139</v>
      </c>
      <c r="Y18" s="36">
        <f t="shared" si="29"/>
        <v>50648.967741935492</v>
      </c>
      <c r="Z18" s="203">
        <f>'B5'!C17</f>
        <v>219</v>
      </c>
      <c r="AA18" s="203">
        <f t="shared" si="30"/>
        <v>2190</v>
      </c>
      <c r="AB18" s="203">
        <f t="shared" si="31"/>
        <v>219</v>
      </c>
      <c r="AC18" s="203">
        <f t="shared" si="30"/>
        <v>2190</v>
      </c>
      <c r="AD18" s="203">
        <f t="shared" si="32"/>
        <v>219</v>
      </c>
      <c r="AE18" s="203">
        <f t="shared" si="11"/>
        <v>2190</v>
      </c>
      <c r="AF18" s="203">
        <f t="shared" si="33"/>
        <v>219</v>
      </c>
      <c r="AG18" s="203">
        <f t="shared" si="12"/>
        <v>2190</v>
      </c>
      <c r="AH18" s="203">
        <f t="shared" si="34"/>
        <v>219</v>
      </c>
      <c r="AI18" s="203">
        <f t="shared" si="13"/>
        <v>2190</v>
      </c>
      <c r="AJ18" s="203">
        <f t="shared" si="35"/>
        <v>219</v>
      </c>
      <c r="AK18" s="203">
        <f t="shared" si="14"/>
        <v>2190</v>
      </c>
      <c r="AL18" s="203">
        <f t="shared" si="36"/>
        <v>219</v>
      </c>
      <c r="AM18" s="203">
        <f t="shared" si="15"/>
        <v>2190</v>
      </c>
      <c r="AN18" s="35">
        <f t="shared" si="16"/>
        <v>0.78214285714285714</v>
      </c>
      <c r="AO18" s="36">
        <f t="shared" si="17"/>
        <v>15330</v>
      </c>
      <c r="AQ18" s="223">
        <f t="shared" si="37"/>
        <v>0.70968019513752267</v>
      </c>
      <c r="AR18" s="38">
        <f t="shared" si="41"/>
        <v>65978.967741935485</v>
      </c>
      <c r="AS18" s="197">
        <f t="shared" si="38"/>
        <v>-1533.3870967741823</v>
      </c>
      <c r="AT18" s="271"/>
      <c r="AU18" s="436"/>
      <c r="AV18" s="518">
        <f>IF(AT18&gt;0,AU18,AV17)</f>
        <v>0.67400000000000004</v>
      </c>
      <c r="AW18" s="290">
        <f>-SUM('B5'!AI17)</f>
        <v>-281</v>
      </c>
      <c r="AX18" s="290">
        <f t="shared" si="39"/>
        <v>-1252.3870967741823</v>
      </c>
      <c r="AY18" s="37">
        <f t="shared" si="40"/>
        <v>-1533.3870967741823</v>
      </c>
      <c r="AZ18" s="100">
        <f>ELEC!A15</f>
        <v>0</v>
      </c>
      <c r="BA18" s="118">
        <f>'General information '!D18</f>
        <v>16.5</v>
      </c>
      <c r="BB18" s="394">
        <f>SUM('General information '!E18)</f>
        <v>0.61</v>
      </c>
      <c r="BC18" s="3">
        <f t="shared" si="43"/>
        <v>0</v>
      </c>
      <c r="BD18" s="102">
        <v>19222</v>
      </c>
      <c r="BE18" s="14">
        <f>(305/1185)*ELEC!Q16</f>
        <v>940.48101265881223</v>
      </c>
      <c r="BF18" s="14"/>
      <c r="BG18" s="14" t="e">
        <f>#REF!-BE18</f>
        <v>#REF!</v>
      </c>
      <c r="BH18" s="11"/>
    </row>
    <row r="19" spans="1:61">
      <c r="A19" s="444">
        <f>ELEC!C16</f>
        <v>44241</v>
      </c>
      <c r="B19">
        <f>'B5'!B18</f>
        <v>208</v>
      </c>
      <c r="C19" s="203">
        <f t="shared" si="18"/>
        <v>4475.3548387096771</v>
      </c>
      <c r="D19">
        <f t="shared" si="19"/>
        <v>208</v>
      </c>
      <c r="E19" s="203">
        <f t="shared" si="18"/>
        <v>4475.3548387096771</v>
      </c>
      <c r="F19">
        <f t="shared" si="20"/>
        <v>208</v>
      </c>
      <c r="G19" s="203">
        <f t="shared" si="1"/>
        <v>4475.3548387096771</v>
      </c>
      <c r="H19" s="203">
        <f t="shared" si="21"/>
        <v>208</v>
      </c>
      <c r="I19" s="203">
        <f t="shared" si="2"/>
        <v>4475.3548387096771</v>
      </c>
      <c r="J19" s="203">
        <f t="shared" si="22"/>
        <v>208</v>
      </c>
      <c r="K19" s="203">
        <f t="shared" si="3"/>
        <v>4475.3548387096771</v>
      </c>
      <c r="L19" s="203">
        <f t="shared" si="23"/>
        <v>208</v>
      </c>
      <c r="M19" s="203">
        <f t="shared" si="4"/>
        <v>4475.3548387096771</v>
      </c>
      <c r="N19" s="203">
        <f t="shared" si="24"/>
        <v>208</v>
      </c>
      <c r="O19" s="203">
        <f t="shared" si="5"/>
        <v>4475.3548387096771</v>
      </c>
      <c r="P19" s="203">
        <f t="shared" si="25"/>
        <v>208</v>
      </c>
      <c r="Q19" s="203">
        <f t="shared" si="6"/>
        <v>4475.3548387096771</v>
      </c>
      <c r="R19" s="203">
        <f t="shared" si="26"/>
        <v>208</v>
      </c>
      <c r="S19" s="203">
        <f t="shared" si="7"/>
        <v>4475.3548387096771</v>
      </c>
      <c r="T19" s="203">
        <f t="shared" si="27"/>
        <v>208</v>
      </c>
      <c r="U19" s="203">
        <f t="shared" si="8"/>
        <v>4475.3548387096771</v>
      </c>
      <c r="V19" s="203">
        <f t="shared" si="28"/>
        <v>208</v>
      </c>
      <c r="W19" s="203">
        <f t="shared" si="9"/>
        <v>4475.3548387096771</v>
      </c>
      <c r="X19" s="35">
        <f t="shared" si="10"/>
        <v>0.6709677419354837</v>
      </c>
      <c r="Y19" s="36">
        <f t="shared" si="29"/>
        <v>49228.90322580644</v>
      </c>
      <c r="Z19" s="203">
        <f>'B5'!C18</f>
        <v>215</v>
      </c>
      <c r="AA19" s="203">
        <f t="shared" si="30"/>
        <v>2150</v>
      </c>
      <c r="AB19" s="203">
        <f t="shared" si="31"/>
        <v>215</v>
      </c>
      <c r="AC19" s="203">
        <f t="shared" si="30"/>
        <v>2150</v>
      </c>
      <c r="AD19" s="203">
        <f t="shared" si="32"/>
        <v>215</v>
      </c>
      <c r="AE19" s="203">
        <f t="shared" si="11"/>
        <v>2150</v>
      </c>
      <c r="AF19" s="203">
        <f t="shared" si="33"/>
        <v>215</v>
      </c>
      <c r="AG19" s="203">
        <f t="shared" si="12"/>
        <v>2150</v>
      </c>
      <c r="AH19" s="203">
        <f t="shared" si="34"/>
        <v>215</v>
      </c>
      <c r="AI19" s="203">
        <f t="shared" si="13"/>
        <v>2150</v>
      </c>
      <c r="AJ19" s="203">
        <f t="shared" si="35"/>
        <v>215</v>
      </c>
      <c r="AK19" s="203">
        <f t="shared" si="14"/>
        <v>2150</v>
      </c>
      <c r="AL19" s="203">
        <f t="shared" si="36"/>
        <v>215</v>
      </c>
      <c r="AM19" s="203">
        <f t="shared" si="15"/>
        <v>2150</v>
      </c>
      <c r="AN19" s="35">
        <f t="shared" si="16"/>
        <v>0.7678571428571429</v>
      </c>
      <c r="AO19" s="36">
        <f t="shared" si="17"/>
        <v>15050</v>
      </c>
      <c r="AQ19" s="223">
        <f t="shared" si="37"/>
        <v>0.69139403276117495</v>
      </c>
      <c r="AR19" s="38">
        <f t="shared" si="41"/>
        <v>64278.90322580644</v>
      </c>
      <c r="AS19" s="197">
        <f t="shared" si="38"/>
        <v>-1700.0645161290449</v>
      </c>
      <c r="AT19" s="271"/>
      <c r="AU19" s="436"/>
      <c r="AV19" s="518">
        <f t="shared" si="42"/>
        <v>0.67400000000000004</v>
      </c>
      <c r="AW19" s="290">
        <f>-SUM('B5'!AI18)</f>
        <v>-267</v>
      </c>
      <c r="AX19" s="290">
        <f t="shared" si="39"/>
        <v>-1433.0645161290449</v>
      </c>
      <c r="AY19" s="37">
        <f t="shared" si="40"/>
        <v>-1700.0645161290449</v>
      </c>
      <c r="AZ19" s="100">
        <f>ELEC!A16</f>
        <v>0</v>
      </c>
      <c r="BA19" s="118">
        <f>'General information '!D19</f>
        <v>15.5</v>
      </c>
      <c r="BB19" s="394">
        <f>SUM('General information '!E19)</f>
        <v>0.63</v>
      </c>
      <c r="BC19" s="3">
        <f t="shared" si="43"/>
        <v>0</v>
      </c>
      <c r="BD19" s="102">
        <v>19222</v>
      </c>
      <c r="BE19" s="14">
        <f>(305/1185)*ELEC!Q17</f>
        <v>1024.6455696201933</v>
      </c>
      <c r="BF19" s="14"/>
      <c r="BG19" s="14" t="e">
        <f>#REF!-BE19</f>
        <v>#REF!</v>
      </c>
      <c r="BH19" s="11"/>
    </row>
    <row r="20" spans="1:61">
      <c r="A20" s="444">
        <f>ELEC!C17</f>
        <v>44242</v>
      </c>
      <c r="B20">
        <f>'B5'!B19</f>
        <v>204</v>
      </c>
      <c r="C20" s="203">
        <f t="shared" si="18"/>
        <v>4389.2903225806449</v>
      </c>
      <c r="D20">
        <f t="shared" si="19"/>
        <v>204</v>
      </c>
      <c r="E20" s="203">
        <f t="shared" si="18"/>
        <v>4389.2903225806449</v>
      </c>
      <c r="F20">
        <f t="shared" si="20"/>
        <v>204</v>
      </c>
      <c r="G20" s="203">
        <f t="shared" si="1"/>
        <v>4389.2903225806449</v>
      </c>
      <c r="H20" s="203">
        <f t="shared" si="21"/>
        <v>204</v>
      </c>
      <c r="I20" s="203">
        <f t="shared" si="2"/>
        <v>4389.2903225806449</v>
      </c>
      <c r="J20" s="203">
        <f t="shared" si="22"/>
        <v>204</v>
      </c>
      <c r="K20" s="203">
        <f t="shared" si="3"/>
        <v>4389.2903225806449</v>
      </c>
      <c r="L20" s="203">
        <f t="shared" si="23"/>
        <v>204</v>
      </c>
      <c r="M20" s="203">
        <f t="shared" si="4"/>
        <v>4389.2903225806449</v>
      </c>
      <c r="N20" s="203">
        <f t="shared" si="24"/>
        <v>204</v>
      </c>
      <c r="O20" s="203">
        <f t="shared" si="5"/>
        <v>4389.2903225806449</v>
      </c>
      <c r="P20" s="203">
        <f t="shared" si="25"/>
        <v>204</v>
      </c>
      <c r="Q20" s="203">
        <f t="shared" si="6"/>
        <v>4389.2903225806449</v>
      </c>
      <c r="R20" s="203">
        <f t="shared" si="26"/>
        <v>204</v>
      </c>
      <c r="S20" s="203">
        <f t="shared" si="7"/>
        <v>4389.2903225806449</v>
      </c>
      <c r="T20" s="203">
        <f t="shared" si="27"/>
        <v>204</v>
      </c>
      <c r="U20" s="203">
        <f t="shared" si="8"/>
        <v>4389.2903225806449</v>
      </c>
      <c r="V20" s="203">
        <f t="shared" si="28"/>
        <v>204</v>
      </c>
      <c r="W20" s="203">
        <f t="shared" si="9"/>
        <v>4389.2903225806449</v>
      </c>
      <c r="X20" s="35">
        <f t="shared" si="10"/>
        <v>0.65806451612903216</v>
      </c>
      <c r="Y20" s="36">
        <f t="shared" si="29"/>
        <v>48282.193548387091</v>
      </c>
      <c r="Z20" s="203">
        <f>'B5'!C19</f>
        <v>210</v>
      </c>
      <c r="AA20" s="203">
        <f t="shared" si="30"/>
        <v>2100</v>
      </c>
      <c r="AB20" s="203">
        <f t="shared" si="31"/>
        <v>210</v>
      </c>
      <c r="AC20" s="203">
        <f t="shared" si="30"/>
        <v>2100</v>
      </c>
      <c r="AD20" s="203">
        <f t="shared" si="32"/>
        <v>210</v>
      </c>
      <c r="AE20" s="203">
        <f t="shared" si="11"/>
        <v>2100</v>
      </c>
      <c r="AF20" s="203">
        <f t="shared" si="33"/>
        <v>210</v>
      </c>
      <c r="AG20" s="203">
        <f t="shared" si="12"/>
        <v>2100</v>
      </c>
      <c r="AH20" s="203">
        <f t="shared" si="34"/>
        <v>210</v>
      </c>
      <c r="AI20" s="203">
        <f t="shared" si="13"/>
        <v>2100</v>
      </c>
      <c r="AJ20" s="203">
        <f t="shared" si="35"/>
        <v>210</v>
      </c>
      <c r="AK20" s="203">
        <f t="shared" si="14"/>
        <v>2100</v>
      </c>
      <c r="AL20" s="203">
        <f t="shared" si="36"/>
        <v>210</v>
      </c>
      <c r="AM20" s="203">
        <f t="shared" si="15"/>
        <v>2100</v>
      </c>
      <c r="AN20" s="35">
        <f t="shared" si="16"/>
        <v>0.75</v>
      </c>
      <c r="AO20" s="36">
        <f t="shared" si="17"/>
        <v>14700</v>
      </c>
      <c r="AQ20" s="223">
        <f t="shared" si="37"/>
        <v>0.67744641871987832</v>
      </c>
      <c r="AR20" s="38">
        <f t="shared" si="41"/>
        <v>62982.193548387091</v>
      </c>
      <c r="AS20" s="197">
        <f t="shared" si="38"/>
        <v>-1296.7096774193487</v>
      </c>
      <c r="AT20" s="271"/>
      <c r="AU20" s="436"/>
      <c r="AV20" s="518">
        <f t="shared" si="42"/>
        <v>0.67400000000000004</v>
      </c>
      <c r="AW20" s="290">
        <f>-SUM('B5'!AI19)</f>
        <v>-217</v>
      </c>
      <c r="AX20" s="290">
        <f t="shared" si="39"/>
        <v>-1079.7096774193487</v>
      </c>
      <c r="AY20" s="37">
        <f t="shared" si="40"/>
        <v>-1296.7096774193487</v>
      </c>
      <c r="AZ20" s="100">
        <f>ELEC!A17</f>
        <v>0</v>
      </c>
      <c r="BA20" s="118">
        <f>'General information '!D20</f>
        <v>15</v>
      </c>
      <c r="BB20" s="394">
        <f>SUM('General information '!E20)</f>
        <v>0.73</v>
      </c>
      <c r="BC20" s="3">
        <f t="shared" si="43"/>
        <v>0</v>
      </c>
      <c r="BD20" s="102">
        <v>19222</v>
      </c>
      <c r="BE20" s="14">
        <f>(305/1185)*ELEC!Q18</f>
        <v>594.04219409305927</v>
      </c>
      <c r="BF20" s="14"/>
      <c r="BG20" s="14" t="e">
        <f>#REF!-BE20</f>
        <v>#REF!</v>
      </c>
      <c r="BH20" s="11"/>
    </row>
    <row r="21" spans="1:61">
      <c r="A21" s="444">
        <f>ELEC!C18</f>
        <v>44243</v>
      </c>
      <c r="B21">
        <f>'B5'!B20</f>
        <v>237</v>
      </c>
      <c r="C21" s="203">
        <f t="shared" si="18"/>
        <v>5099.322580645161</v>
      </c>
      <c r="D21">
        <f t="shared" si="19"/>
        <v>237</v>
      </c>
      <c r="E21" s="203">
        <f t="shared" si="18"/>
        <v>5099.322580645161</v>
      </c>
      <c r="F21">
        <f t="shared" si="20"/>
        <v>237</v>
      </c>
      <c r="G21" s="203">
        <f t="shared" si="1"/>
        <v>5099.322580645161</v>
      </c>
      <c r="H21" s="203">
        <f t="shared" si="21"/>
        <v>237</v>
      </c>
      <c r="I21" s="203">
        <f t="shared" si="2"/>
        <v>5099.322580645161</v>
      </c>
      <c r="J21" s="203">
        <f t="shared" si="22"/>
        <v>237</v>
      </c>
      <c r="K21" s="203">
        <f t="shared" si="3"/>
        <v>5099.322580645161</v>
      </c>
      <c r="L21" s="203">
        <f t="shared" si="23"/>
        <v>237</v>
      </c>
      <c r="M21" s="203">
        <f t="shared" si="4"/>
        <v>5099.322580645161</v>
      </c>
      <c r="N21" s="203">
        <f t="shared" si="24"/>
        <v>237</v>
      </c>
      <c r="O21" s="203">
        <f t="shared" si="5"/>
        <v>5099.322580645161</v>
      </c>
      <c r="P21" s="203">
        <f t="shared" si="25"/>
        <v>237</v>
      </c>
      <c r="Q21" s="203">
        <f t="shared" si="6"/>
        <v>5099.322580645161</v>
      </c>
      <c r="R21" s="203">
        <f t="shared" si="26"/>
        <v>237</v>
      </c>
      <c r="S21" s="203">
        <f t="shared" si="7"/>
        <v>5099.322580645161</v>
      </c>
      <c r="T21" s="203">
        <f t="shared" si="27"/>
        <v>237</v>
      </c>
      <c r="U21" s="203">
        <f t="shared" si="8"/>
        <v>5099.322580645161</v>
      </c>
      <c r="V21" s="203">
        <f t="shared" si="28"/>
        <v>237</v>
      </c>
      <c r="W21" s="203">
        <f t="shared" si="9"/>
        <v>5099.322580645161</v>
      </c>
      <c r="X21" s="35">
        <f t="shared" si="10"/>
        <v>0.76451612903225785</v>
      </c>
      <c r="Y21" s="36">
        <f t="shared" si="29"/>
        <v>56092.548387096758</v>
      </c>
      <c r="Z21" s="203">
        <f>'B5'!C20</f>
        <v>243</v>
      </c>
      <c r="AA21" s="203">
        <f t="shared" si="30"/>
        <v>2430</v>
      </c>
      <c r="AB21" s="203">
        <f t="shared" si="31"/>
        <v>243</v>
      </c>
      <c r="AC21" s="203">
        <f t="shared" si="30"/>
        <v>2430</v>
      </c>
      <c r="AD21" s="203">
        <f t="shared" si="32"/>
        <v>243</v>
      </c>
      <c r="AE21" s="203">
        <f t="shared" si="11"/>
        <v>2430</v>
      </c>
      <c r="AF21" s="203">
        <f t="shared" si="33"/>
        <v>243</v>
      </c>
      <c r="AG21" s="203">
        <f t="shared" si="12"/>
        <v>2430</v>
      </c>
      <c r="AH21" s="203">
        <f t="shared" si="34"/>
        <v>243</v>
      </c>
      <c r="AI21" s="203">
        <f t="shared" si="13"/>
        <v>2430</v>
      </c>
      <c r="AJ21" s="203">
        <f t="shared" si="35"/>
        <v>243</v>
      </c>
      <c r="AK21" s="203">
        <f t="shared" si="14"/>
        <v>2430</v>
      </c>
      <c r="AL21" s="203">
        <f t="shared" si="36"/>
        <v>243</v>
      </c>
      <c r="AM21" s="203">
        <f t="shared" si="15"/>
        <v>2430</v>
      </c>
      <c r="AN21" s="35">
        <f t="shared" si="16"/>
        <v>0.86785714285714288</v>
      </c>
      <c r="AO21" s="36">
        <f t="shared" si="17"/>
        <v>17010</v>
      </c>
      <c r="AQ21" s="223">
        <f t="shared" si="37"/>
        <v>0.78630255337309629</v>
      </c>
      <c r="AR21" s="38">
        <f t="shared" si="41"/>
        <v>73102.548387096758</v>
      </c>
      <c r="AS21" s="197">
        <f t="shared" si="38"/>
        <v>470.35483870966709</v>
      </c>
      <c r="AT21" s="271">
        <v>9650</v>
      </c>
      <c r="AU21" s="436">
        <v>0.68899999999999995</v>
      </c>
      <c r="AV21" s="518">
        <f t="shared" si="42"/>
        <v>0.68899999999999995</v>
      </c>
      <c r="AW21" s="290">
        <f>-SUM('B5'!AI20)</f>
        <v>-228</v>
      </c>
      <c r="AX21" s="290">
        <f t="shared" si="39"/>
        <v>698.35483870966709</v>
      </c>
      <c r="AY21" s="37">
        <f t="shared" si="40"/>
        <v>470.35483870966709</v>
      </c>
      <c r="AZ21" s="100">
        <f>ELEC!A18</f>
        <v>0</v>
      </c>
      <c r="BA21" s="118">
        <f>'General information '!D21</f>
        <v>9</v>
      </c>
      <c r="BB21" s="394">
        <f>SUM('General information '!E21)</f>
        <v>0.82</v>
      </c>
      <c r="BC21" s="3">
        <f t="shared" si="43"/>
        <v>1</v>
      </c>
      <c r="BD21" s="102">
        <v>19222</v>
      </c>
      <c r="BE21" s="14">
        <f>(305/1185)*ELEC!Q19</f>
        <v>1196.0632911385214</v>
      </c>
      <c r="BF21" s="14"/>
      <c r="BG21" s="14" t="e">
        <f>#REF!-BE21</f>
        <v>#REF!</v>
      </c>
      <c r="BH21" s="11"/>
    </row>
    <row r="22" spans="1:61">
      <c r="A22" s="444">
        <f>ELEC!C19</f>
        <v>44244</v>
      </c>
      <c r="B22">
        <f>'B5'!B21</f>
        <v>230</v>
      </c>
      <c r="C22" s="203">
        <f t="shared" si="18"/>
        <v>4948.7096774193551</v>
      </c>
      <c r="D22">
        <f t="shared" si="19"/>
        <v>230</v>
      </c>
      <c r="E22" s="203">
        <f t="shared" si="18"/>
        <v>4948.7096774193551</v>
      </c>
      <c r="F22">
        <f t="shared" si="20"/>
        <v>230</v>
      </c>
      <c r="G22" s="203">
        <f t="shared" si="1"/>
        <v>4948.7096774193551</v>
      </c>
      <c r="H22" s="203">
        <f t="shared" si="21"/>
        <v>230</v>
      </c>
      <c r="I22" s="203">
        <f t="shared" si="2"/>
        <v>4948.7096774193551</v>
      </c>
      <c r="J22" s="203">
        <f t="shared" si="22"/>
        <v>230</v>
      </c>
      <c r="K22" s="203">
        <f t="shared" si="3"/>
        <v>4948.7096774193551</v>
      </c>
      <c r="L22" s="203">
        <f t="shared" si="23"/>
        <v>230</v>
      </c>
      <c r="M22" s="203">
        <f t="shared" si="4"/>
        <v>4948.7096774193551</v>
      </c>
      <c r="N22" s="203">
        <f t="shared" si="24"/>
        <v>230</v>
      </c>
      <c r="O22" s="203">
        <f t="shared" si="5"/>
        <v>4948.7096774193551</v>
      </c>
      <c r="P22" s="203">
        <f t="shared" si="25"/>
        <v>230</v>
      </c>
      <c r="Q22" s="203">
        <f t="shared" si="6"/>
        <v>4948.7096774193551</v>
      </c>
      <c r="R22" s="203">
        <f t="shared" si="26"/>
        <v>230</v>
      </c>
      <c r="S22" s="203">
        <f t="shared" si="7"/>
        <v>4948.7096774193551</v>
      </c>
      <c r="T22" s="203">
        <f t="shared" si="27"/>
        <v>230</v>
      </c>
      <c r="U22" s="203">
        <f t="shared" si="8"/>
        <v>4948.7096774193551</v>
      </c>
      <c r="V22" s="203">
        <f t="shared" si="28"/>
        <v>230</v>
      </c>
      <c r="W22" s="203">
        <f t="shared" si="9"/>
        <v>4948.7096774193551</v>
      </c>
      <c r="X22" s="35">
        <f t="shared" si="10"/>
        <v>0.74193548387096786</v>
      </c>
      <c r="Y22" s="36">
        <f t="shared" si="29"/>
        <v>54435.806451612909</v>
      </c>
      <c r="Z22" s="203">
        <f>'B5'!C21</f>
        <v>237</v>
      </c>
      <c r="AA22" s="203">
        <f t="shared" si="30"/>
        <v>2370</v>
      </c>
      <c r="AB22" s="203">
        <f t="shared" si="31"/>
        <v>237</v>
      </c>
      <c r="AC22" s="203">
        <f t="shared" si="30"/>
        <v>2370</v>
      </c>
      <c r="AD22" s="203">
        <f t="shared" si="32"/>
        <v>237</v>
      </c>
      <c r="AE22" s="203">
        <f t="shared" si="11"/>
        <v>2370</v>
      </c>
      <c r="AF22" s="203">
        <f t="shared" si="33"/>
        <v>237</v>
      </c>
      <c r="AG22" s="203">
        <f t="shared" si="12"/>
        <v>2370</v>
      </c>
      <c r="AH22" s="203">
        <f t="shared" si="34"/>
        <v>237</v>
      </c>
      <c r="AI22" s="203">
        <f t="shared" si="13"/>
        <v>2370</v>
      </c>
      <c r="AJ22" s="203">
        <f t="shared" si="35"/>
        <v>237</v>
      </c>
      <c r="AK22" s="203">
        <f t="shared" si="14"/>
        <v>2370</v>
      </c>
      <c r="AL22" s="203">
        <f t="shared" si="36"/>
        <v>237</v>
      </c>
      <c r="AM22" s="203">
        <f t="shared" si="15"/>
        <v>2370</v>
      </c>
      <c r="AN22" s="35">
        <f t="shared" si="16"/>
        <v>0.84642857142857142</v>
      </c>
      <c r="AO22" s="36">
        <f t="shared" si="17"/>
        <v>16590</v>
      </c>
      <c r="AQ22" s="223">
        <f t="shared" si="37"/>
        <v>0.76396478919665389</v>
      </c>
      <c r="AR22" s="38">
        <f t="shared" si="41"/>
        <v>71025.806451612909</v>
      </c>
      <c r="AS22" s="197">
        <f t="shared" si="38"/>
        <v>-2076.7419354838494</v>
      </c>
      <c r="AT22" s="271"/>
      <c r="AU22" s="436"/>
      <c r="AV22" s="518">
        <f t="shared" si="42"/>
        <v>0.68899999999999995</v>
      </c>
      <c r="AW22" s="290">
        <f>-SUM('B5'!AI21)</f>
        <v>-288</v>
      </c>
      <c r="AX22" s="290">
        <f t="shared" si="39"/>
        <v>-1788.7419354838494</v>
      </c>
      <c r="AY22" s="37">
        <f t="shared" si="40"/>
        <v>-2076.7419354838494</v>
      </c>
      <c r="AZ22" s="100">
        <f>ELEC!A19</f>
        <v>0</v>
      </c>
      <c r="BA22" s="118">
        <f>'General information '!D22</f>
        <v>10</v>
      </c>
      <c r="BB22" s="394">
        <f>SUM('General information '!E22)</f>
        <v>0.56000000000000005</v>
      </c>
      <c r="BC22" s="3">
        <f t="shared" si="43"/>
        <v>0</v>
      </c>
      <c r="BD22" s="102">
        <v>19222</v>
      </c>
      <c r="BE22" s="14">
        <f>(305/1185)*ELEC!Q20</f>
        <v>1103.9198312238011</v>
      </c>
      <c r="BF22" s="14"/>
      <c r="BG22" s="14" t="e">
        <f>#REF!-BE22</f>
        <v>#REF!</v>
      </c>
      <c r="BH22" s="11"/>
    </row>
    <row r="23" spans="1:61">
      <c r="A23" s="444">
        <f>ELEC!C20</f>
        <v>44245</v>
      </c>
      <c r="B23">
        <f>'B5'!B22</f>
        <v>225</v>
      </c>
      <c r="C23" s="203">
        <f t="shared" si="18"/>
        <v>4841.1290322580644</v>
      </c>
      <c r="D23">
        <f t="shared" si="19"/>
        <v>225</v>
      </c>
      <c r="E23" s="203">
        <f t="shared" si="18"/>
        <v>4841.1290322580644</v>
      </c>
      <c r="F23">
        <f t="shared" si="20"/>
        <v>225</v>
      </c>
      <c r="G23" s="203">
        <f t="shared" si="1"/>
        <v>4841.1290322580644</v>
      </c>
      <c r="H23" s="203">
        <f t="shared" si="21"/>
        <v>225</v>
      </c>
      <c r="I23" s="203">
        <f t="shared" si="2"/>
        <v>4841.1290322580644</v>
      </c>
      <c r="J23" s="203">
        <f t="shared" si="22"/>
        <v>225</v>
      </c>
      <c r="K23" s="203">
        <f t="shared" si="3"/>
        <v>4841.1290322580644</v>
      </c>
      <c r="L23" s="203">
        <f t="shared" si="23"/>
        <v>225</v>
      </c>
      <c r="M23" s="203">
        <f t="shared" si="4"/>
        <v>4841.1290322580644</v>
      </c>
      <c r="N23" s="203">
        <f t="shared" si="24"/>
        <v>225</v>
      </c>
      <c r="O23" s="203">
        <f t="shared" si="5"/>
        <v>4841.1290322580644</v>
      </c>
      <c r="P23" s="203">
        <f t="shared" si="25"/>
        <v>225</v>
      </c>
      <c r="Q23" s="203">
        <f t="shared" si="6"/>
        <v>4841.1290322580644</v>
      </c>
      <c r="R23" s="203">
        <f t="shared" si="26"/>
        <v>225</v>
      </c>
      <c r="S23" s="203">
        <f t="shared" si="7"/>
        <v>4841.1290322580644</v>
      </c>
      <c r="T23" s="203">
        <f t="shared" si="27"/>
        <v>225</v>
      </c>
      <c r="U23" s="203">
        <f t="shared" si="8"/>
        <v>4841.1290322580644</v>
      </c>
      <c r="V23" s="203">
        <f t="shared" si="28"/>
        <v>225</v>
      </c>
      <c r="W23" s="203">
        <f t="shared" si="9"/>
        <v>4841.1290322580644</v>
      </c>
      <c r="X23" s="35">
        <f t="shared" si="10"/>
        <v>0.72580645161290303</v>
      </c>
      <c r="Y23" s="36">
        <f t="shared" si="29"/>
        <v>53252.419354838697</v>
      </c>
      <c r="Z23" s="203">
        <f>'B5'!C22</f>
        <v>231</v>
      </c>
      <c r="AA23" s="203">
        <f t="shared" si="30"/>
        <v>2310</v>
      </c>
      <c r="AB23" s="203">
        <f t="shared" si="31"/>
        <v>231</v>
      </c>
      <c r="AC23" s="203">
        <f t="shared" si="30"/>
        <v>2310</v>
      </c>
      <c r="AD23" s="203">
        <f t="shared" si="32"/>
        <v>231</v>
      </c>
      <c r="AE23" s="203">
        <f t="shared" si="11"/>
        <v>2310</v>
      </c>
      <c r="AF23" s="203">
        <f t="shared" si="33"/>
        <v>231</v>
      </c>
      <c r="AG23" s="203">
        <f t="shared" si="12"/>
        <v>2310</v>
      </c>
      <c r="AH23" s="203">
        <f t="shared" si="34"/>
        <v>231</v>
      </c>
      <c r="AI23" s="203">
        <f t="shared" si="13"/>
        <v>2310</v>
      </c>
      <c r="AJ23" s="203">
        <f t="shared" si="35"/>
        <v>231</v>
      </c>
      <c r="AK23" s="203">
        <f t="shared" si="14"/>
        <v>2310</v>
      </c>
      <c r="AL23" s="203">
        <f t="shared" si="36"/>
        <v>231</v>
      </c>
      <c r="AM23" s="203">
        <f t="shared" si="15"/>
        <v>2310</v>
      </c>
      <c r="AN23" s="35">
        <f t="shared" si="16"/>
        <v>0.82499999999999996</v>
      </c>
      <c r="AO23" s="36">
        <f t="shared" si="17"/>
        <v>16170</v>
      </c>
      <c r="AQ23" s="223">
        <f t="shared" si="37"/>
        <v>0.7467185044082898</v>
      </c>
      <c r="AR23" s="38">
        <f t="shared" si="41"/>
        <v>69422.419354838697</v>
      </c>
      <c r="AS23" s="197">
        <f t="shared" si="38"/>
        <v>-1603.3870967742114</v>
      </c>
      <c r="AT23" s="271"/>
      <c r="AU23" s="436"/>
      <c r="AV23" s="518">
        <f t="shared" si="42"/>
        <v>0.68899999999999995</v>
      </c>
      <c r="AW23" s="290">
        <f>-SUM('B5'!AI22)</f>
        <v>-380.89999999999418</v>
      </c>
      <c r="AX23" s="290">
        <f t="shared" si="39"/>
        <v>-1222.4870967742172</v>
      </c>
      <c r="AY23" s="37">
        <f t="shared" si="40"/>
        <v>-1603.3870967742114</v>
      </c>
      <c r="AZ23" s="100">
        <f>ELEC!A20</f>
        <v>0</v>
      </c>
      <c r="BA23" s="118">
        <f>'General information '!D23</f>
        <v>10</v>
      </c>
      <c r="BB23" s="394">
        <f>SUM('General information '!E23)</f>
        <v>0.72</v>
      </c>
      <c r="BC23" s="3">
        <f t="shared" si="43"/>
        <v>0</v>
      </c>
      <c r="BD23" s="102">
        <v>19222</v>
      </c>
      <c r="BE23" s="14">
        <f>(305/1185)*ELEC!Q21</f>
        <v>1223.603375527636</v>
      </c>
      <c r="BF23" s="14"/>
      <c r="BG23" s="14" t="e">
        <f>#REF!-BE23</f>
        <v>#REF!</v>
      </c>
      <c r="BH23" s="11"/>
    </row>
    <row r="24" spans="1:61">
      <c r="A24" s="444">
        <f>ELEC!C21</f>
        <v>44246</v>
      </c>
      <c r="B24">
        <f>'B5'!B23</f>
        <v>219</v>
      </c>
      <c r="C24" s="203">
        <f t="shared" si="18"/>
        <v>4712.0322580645161</v>
      </c>
      <c r="D24">
        <f t="shared" si="19"/>
        <v>219</v>
      </c>
      <c r="E24" s="203">
        <f t="shared" si="18"/>
        <v>4712.0322580645161</v>
      </c>
      <c r="F24">
        <f t="shared" si="20"/>
        <v>219</v>
      </c>
      <c r="G24" s="203">
        <f t="shared" si="1"/>
        <v>4712.0322580645161</v>
      </c>
      <c r="H24" s="203">
        <f t="shared" si="21"/>
        <v>219</v>
      </c>
      <c r="I24" s="203">
        <f t="shared" si="2"/>
        <v>4712.0322580645161</v>
      </c>
      <c r="J24" s="203">
        <f t="shared" si="22"/>
        <v>219</v>
      </c>
      <c r="K24" s="203">
        <f t="shared" si="3"/>
        <v>4712.0322580645161</v>
      </c>
      <c r="L24" s="203">
        <f t="shared" si="23"/>
        <v>219</v>
      </c>
      <c r="M24" s="203">
        <f t="shared" si="4"/>
        <v>4712.0322580645161</v>
      </c>
      <c r="N24" s="203">
        <f t="shared" si="24"/>
        <v>219</v>
      </c>
      <c r="O24" s="203">
        <f t="shared" si="5"/>
        <v>4712.0322580645161</v>
      </c>
      <c r="P24" s="203">
        <f t="shared" si="25"/>
        <v>219</v>
      </c>
      <c r="Q24" s="203">
        <f t="shared" si="6"/>
        <v>4712.0322580645161</v>
      </c>
      <c r="R24" s="203">
        <f t="shared" si="26"/>
        <v>219</v>
      </c>
      <c r="S24" s="203">
        <f t="shared" si="7"/>
        <v>4712.0322580645161</v>
      </c>
      <c r="T24" s="203">
        <f t="shared" si="27"/>
        <v>219</v>
      </c>
      <c r="U24" s="203">
        <f t="shared" si="8"/>
        <v>4712.0322580645161</v>
      </c>
      <c r="V24" s="203">
        <f t="shared" si="28"/>
        <v>219</v>
      </c>
      <c r="W24" s="203">
        <f t="shared" si="9"/>
        <v>4712.0322580645161</v>
      </c>
      <c r="X24" s="35">
        <f t="shared" si="10"/>
        <v>0.70645161290322578</v>
      </c>
      <c r="Y24" s="36">
        <f t="shared" si="29"/>
        <v>51832.354838709674</v>
      </c>
      <c r="Z24" s="203">
        <f>'B5'!C23</f>
        <v>225</v>
      </c>
      <c r="AA24" s="203">
        <f t="shared" si="30"/>
        <v>2250</v>
      </c>
      <c r="AB24" s="203">
        <f t="shared" si="31"/>
        <v>225</v>
      </c>
      <c r="AC24" s="203">
        <f t="shared" si="30"/>
        <v>2250</v>
      </c>
      <c r="AD24" s="203">
        <f t="shared" si="32"/>
        <v>225</v>
      </c>
      <c r="AE24" s="203">
        <f t="shared" si="11"/>
        <v>2250</v>
      </c>
      <c r="AF24" s="203">
        <f t="shared" si="33"/>
        <v>225</v>
      </c>
      <c r="AG24" s="203">
        <f t="shared" si="12"/>
        <v>2250</v>
      </c>
      <c r="AH24" s="203">
        <f t="shared" si="34"/>
        <v>225</v>
      </c>
      <c r="AI24" s="203">
        <f t="shared" si="13"/>
        <v>2250</v>
      </c>
      <c r="AJ24" s="203">
        <f t="shared" si="35"/>
        <v>225</v>
      </c>
      <c r="AK24" s="203">
        <f t="shared" si="14"/>
        <v>2250</v>
      </c>
      <c r="AL24" s="203">
        <f t="shared" si="36"/>
        <v>225</v>
      </c>
      <c r="AM24" s="203">
        <f t="shared" si="15"/>
        <v>2250</v>
      </c>
      <c r="AN24" s="35">
        <f t="shared" si="16"/>
        <v>0.8035714285714286</v>
      </c>
      <c r="AO24" s="36">
        <f t="shared" si="17"/>
        <v>15750</v>
      </c>
      <c r="AQ24" s="223">
        <f t="shared" si="37"/>
        <v>0.72692647992588644</v>
      </c>
      <c r="AR24" s="38">
        <f t="shared" si="41"/>
        <v>67582.354838709667</v>
      </c>
      <c r="AS24" s="197">
        <f t="shared" si="38"/>
        <v>-1840.0645161290304</v>
      </c>
      <c r="AT24" s="271"/>
      <c r="AU24" s="436"/>
      <c r="AV24" s="518">
        <f t="shared" si="42"/>
        <v>0.68899999999999995</v>
      </c>
      <c r="AW24" s="290">
        <f>-SUM('B5'!AI23)</f>
        <v>-297</v>
      </c>
      <c r="AX24" s="290">
        <f t="shared" si="39"/>
        <v>-1543.0645161290304</v>
      </c>
      <c r="AY24" s="37">
        <f t="shared" si="40"/>
        <v>-1840.0645161290304</v>
      </c>
      <c r="AZ24" s="100">
        <f>ELEC!A21</f>
        <v>0</v>
      </c>
      <c r="BA24" s="118">
        <f>'General information '!D24</f>
        <v>10.5</v>
      </c>
      <c r="BB24" s="394">
        <f>SUM('General information '!E24)</f>
        <v>0.53</v>
      </c>
      <c r="BC24" s="3">
        <f t="shared" si="43"/>
        <v>0</v>
      </c>
      <c r="BD24" s="102">
        <v>19222</v>
      </c>
      <c r="BE24" s="14">
        <f>(305/1185)*ELEC!Q22</f>
        <v>813.33333333329597</v>
      </c>
      <c r="BF24" s="14"/>
      <c r="BG24" s="14" t="e">
        <f>#REF!-BE24</f>
        <v>#REF!</v>
      </c>
      <c r="BH24" s="11"/>
      <c r="BI24" t="s">
        <v>323</v>
      </c>
    </row>
    <row r="25" spans="1:61">
      <c r="A25" s="444">
        <f>ELEC!C22</f>
        <v>44247</v>
      </c>
      <c r="B25">
        <f>'B5'!B24</f>
        <v>213</v>
      </c>
      <c r="C25" s="203">
        <f t="shared" si="18"/>
        <v>4582.9354838709678</v>
      </c>
      <c r="D25">
        <f t="shared" si="19"/>
        <v>213</v>
      </c>
      <c r="E25" s="203">
        <f t="shared" si="18"/>
        <v>4582.9354838709678</v>
      </c>
      <c r="F25">
        <f t="shared" si="20"/>
        <v>213</v>
      </c>
      <c r="G25" s="203">
        <f t="shared" si="1"/>
        <v>4582.9354838709678</v>
      </c>
      <c r="H25" s="203">
        <f t="shared" si="21"/>
        <v>213</v>
      </c>
      <c r="I25" s="203">
        <f t="shared" si="2"/>
        <v>4582.9354838709678</v>
      </c>
      <c r="J25" s="203">
        <f t="shared" si="22"/>
        <v>213</v>
      </c>
      <c r="K25" s="203">
        <f t="shared" si="3"/>
        <v>4582.9354838709678</v>
      </c>
      <c r="L25" s="203">
        <f t="shared" si="23"/>
        <v>213</v>
      </c>
      <c r="M25" s="203">
        <f t="shared" si="4"/>
        <v>4582.9354838709678</v>
      </c>
      <c r="N25" s="203">
        <f t="shared" si="24"/>
        <v>213</v>
      </c>
      <c r="O25" s="203">
        <f t="shared" si="5"/>
        <v>4582.9354838709678</v>
      </c>
      <c r="P25" s="203">
        <f t="shared" si="25"/>
        <v>213</v>
      </c>
      <c r="Q25" s="203">
        <f t="shared" si="6"/>
        <v>4582.9354838709678</v>
      </c>
      <c r="R25" s="203">
        <f t="shared" si="26"/>
        <v>213</v>
      </c>
      <c r="S25" s="203">
        <f t="shared" si="7"/>
        <v>4582.9354838709678</v>
      </c>
      <c r="T25" s="203">
        <f t="shared" si="27"/>
        <v>213</v>
      </c>
      <c r="U25" s="203">
        <f t="shared" si="8"/>
        <v>4582.9354838709678</v>
      </c>
      <c r="V25" s="203">
        <f t="shared" si="28"/>
        <v>213</v>
      </c>
      <c r="W25" s="203">
        <f t="shared" si="9"/>
        <v>4582.9354838709678</v>
      </c>
      <c r="X25" s="35">
        <f t="shared" si="10"/>
        <v>0.68709677419354853</v>
      </c>
      <c r="Y25" s="36">
        <f t="shared" si="29"/>
        <v>50412.290322580659</v>
      </c>
      <c r="Z25" s="203">
        <f>'B5'!C24</f>
        <v>219</v>
      </c>
      <c r="AA25" s="203">
        <f t="shared" si="30"/>
        <v>2190</v>
      </c>
      <c r="AB25" s="203">
        <f t="shared" si="31"/>
        <v>219</v>
      </c>
      <c r="AC25" s="203">
        <f t="shared" si="30"/>
        <v>2190</v>
      </c>
      <c r="AD25" s="203">
        <f t="shared" si="32"/>
        <v>219</v>
      </c>
      <c r="AE25" s="203">
        <f t="shared" si="11"/>
        <v>2190</v>
      </c>
      <c r="AF25" s="203">
        <f t="shared" si="33"/>
        <v>219</v>
      </c>
      <c r="AG25" s="203">
        <f t="shared" si="12"/>
        <v>2190</v>
      </c>
      <c r="AH25" s="203">
        <f t="shared" si="34"/>
        <v>219</v>
      </c>
      <c r="AI25" s="203">
        <f t="shared" si="13"/>
        <v>2190</v>
      </c>
      <c r="AJ25" s="203">
        <f t="shared" si="35"/>
        <v>219</v>
      </c>
      <c r="AK25" s="203">
        <f t="shared" si="14"/>
        <v>2190</v>
      </c>
      <c r="AL25" s="203">
        <f t="shared" si="36"/>
        <v>219</v>
      </c>
      <c r="AM25" s="203">
        <f t="shared" si="15"/>
        <v>2190</v>
      </c>
      <c r="AN25" s="35">
        <f t="shared" si="16"/>
        <v>0.78214285714285714</v>
      </c>
      <c r="AO25" s="36">
        <f t="shared" si="17"/>
        <v>15330</v>
      </c>
      <c r="AQ25" s="223">
        <f t="shared" si="37"/>
        <v>0.70713445544348352</v>
      </c>
      <c r="AR25" s="38">
        <f t="shared" si="41"/>
        <v>65742.290322580666</v>
      </c>
      <c r="AS25" s="197">
        <f t="shared" si="38"/>
        <v>-1840.0645161290013</v>
      </c>
      <c r="AT25" s="271"/>
      <c r="AU25" s="436"/>
      <c r="AV25" s="518">
        <f t="shared" si="42"/>
        <v>0.68899999999999995</v>
      </c>
      <c r="AW25" s="290">
        <f>-SUM('B5'!AI24)</f>
        <v>-284</v>
      </c>
      <c r="AX25" s="290">
        <f t="shared" si="39"/>
        <v>-1556.0645161290013</v>
      </c>
      <c r="AY25" s="37">
        <f t="shared" si="40"/>
        <v>-1840.0645161290013</v>
      </c>
      <c r="AZ25" s="100">
        <f>ELEC!A22</f>
        <v>0</v>
      </c>
      <c r="BA25" s="118">
        <f>'General information '!D25</f>
        <v>16.5</v>
      </c>
      <c r="BB25" s="394">
        <f>SUM('General information '!E25)</f>
        <v>0.68</v>
      </c>
      <c r="BC25" s="3">
        <f t="shared" si="43"/>
        <v>0</v>
      </c>
      <c r="BD25" s="102">
        <v>19222</v>
      </c>
      <c r="BE25" s="14">
        <f>(305/1185)*ELEC!Q23</f>
        <v>721.18987341763921</v>
      </c>
      <c r="BF25" s="14"/>
      <c r="BG25" s="14" t="e">
        <f>#REF!-BE25</f>
        <v>#REF!</v>
      </c>
      <c r="BH25" s="11"/>
    </row>
    <row r="26" spans="1:61">
      <c r="A26" s="444">
        <f>ELEC!C23</f>
        <v>44248</v>
      </c>
      <c r="B26">
        <f>'B5'!B25</f>
        <v>209</v>
      </c>
      <c r="C26" s="203">
        <f t="shared" si="18"/>
        <v>4496.8709677419356</v>
      </c>
      <c r="D26">
        <f t="shared" si="19"/>
        <v>209</v>
      </c>
      <c r="E26" s="203">
        <f t="shared" si="18"/>
        <v>4496.8709677419356</v>
      </c>
      <c r="F26">
        <f t="shared" si="20"/>
        <v>209</v>
      </c>
      <c r="G26" s="203">
        <f t="shared" si="1"/>
        <v>4496.8709677419356</v>
      </c>
      <c r="H26" s="203">
        <f t="shared" si="21"/>
        <v>209</v>
      </c>
      <c r="I26" s="203">
        <f t="shared" si="2"/>
        <v>4496.8709677419356</v>
      </c>
      <c r="J26" s="203">
        <f t="shared" si="22"/>
        <v>209</v>
      </c>
      <c r="K26" s="203">
        <f t="shared" si="3"/>
        <v>4496.8709677419356</v>
      </c>
      <c r="L26" s="203">
        <f t="shared" si="23"/>
        <v>209</v>
      </c>
      <c r="M26" s="203">
        <f t="shared" si="4"/>
        <v>4496.8709677419356</v>
      </c>
      <c r="N26" s="203">
        <f t="shared" si="24"/>
        <v>209</v>
      </c>
      <c r="O26" s="203">
        <f t="shared" si="5"/>
        <v>4496.8709677419356</v>
      </c>
      <c r="P26" s="203">
        <f t="shared" si="25"/>
        <v>209</v>
      </c>
      <c r="Q26" s="203">
        <f t="shared" si="6"/>
        <v>4496.8709677419356</v>
      </c>
      <c r="R26" s="203">
        <f t="shared" si="26"/>
        <v>209</v>
      </c>
      <c r="S26" s="203">
        <f t="shared" si="7"/>
        <v>4496.8709677419356</v>
      </c>
      <c r="T26" s="203">
        <f t="shared" si="27"/>
        <v>209</v>
      </c>
      <c r="U26" s="203">
        <f t="shared" si="8"/>
        <v>4496.8709677419356</v>
      </c>
      <c r="V26" s="203">
        <f t="shared" si="28"/>
        <v>209</v>
      </c>
      <c r="W26" s="203">
        <f t="shared" si="9"/>
        <v>4496.8709677419356</v>
      </c>
      <c r="X26" s="35">
        <f t="shared" si="10"/>
        <v>0.67419354838709689</v>
      </c>
      <c r="Y26" s="36">
        <f t="shared" si="29"/>
        <v>49465.580645161303</v>
      </c>
      <c r="Z26" s="203">
        <f>'B5'!C25</f>
        <v>215</v>
      </c>
      <c r="AA26" s="203">
        <f t="shared" si="30"/>
        <v>2150</v>
      </c>
      <c r="AB26" s="203">
        <f t="shared" si="31"/>
        <v>215</v>
      </c>
      <c r="AC26" s="203">
        <f t="shared" si="30"/>
        <v>2150</v>
      </c>
      <c r="AD26" s="203">
        <f t="shared" si="32"/>
        <v>215</v>
      </c>
      <c r="AE26" s="203">
        <f t="shared" si="11"/>
        <v>2150</v>
      </c>
      <c r="AF26" s="203">
        <f t="shared" si="33"/>
        <v>215</v>
      </c>
      <c r="AG26" s="203">
        <f t="shared" si="12"/>
        <v>2150</v>
      </c>
      <c r="AH26" s="203">
        <f t="shared" si="34"/>
        <v>215</v>
      </c>
      <c r="AI26" s="203">
        <f t="shared" si="13"/>
        <v>2150</v>
      </c>
      <c r="AJ26" s="203">
        <f t="shared" si="35"/>
        <v>215</v>
      </c>
      <c r="AK26" s="203">
        <f t="shared" si="14"/>
        <v>2150</v>
      </c>
      <c r="AL26" s="203">
        <f t="shared" si="36"/>
        <v>215</v>
      </c>
      <c r="AM26" s="203">
        <f t="shared" si="15"/>
        <v>2150</v>
      </c>
      <c r="AN26" s="35">
        <f t="shared" si="16"/>
        <v>0.7678571428571429</v>
      </c>
      <c r="AO26" s="36">
        <f t="shared" si="17"/>
        <v>15050</v>
      </c>
      <c r="AQ26" s="223">
        <f t="shared" si="37"/>
        <v>0.69393977245521465</v>
      </c>
      <c r="AR26" s="38">
        <f t="shared" si="41"/>
        <v>64515.580645161303</v>
      </c>
      <c r="AS26" s="197">
        <f t="shared" si="38"/>
        <v>-1226.7096774193633</v>
      </c>
      <c r="AT26" s="271"/>
      <c r="AU26" s="491"/>
      <c r="AV26" s="518">
        <f t="shared" si="42"/>
        <v>0.68899999999999995</v>
      </c>
      <c r="AW26" s="290">
        <f>-SUM('B5'!AI25)</f>
        <v>-267</v>
      </c>
      <c r="AX26" s="290">
        <f t="shared" si="39"/>
        <v>-959.70967741936329</v>
      </c>
      <c r="AY26" s="37">
        <f t="shared" si="40"/>
        <v>-1226.7096774193633</v>
      </c>
      <c r="AZ26" s="100">
        <f>ELEC!A23</f>
        <v>0</v>
      </c>
      <c r="BA26" s="118">
        <f>'General information '!D26</f>
        <v>15.5</v>
      </c>
      <c r="BB26" s="394">
        <f>SUM('General information '!E26)</f>
        <v>0.41</v>
      </c>
      <c r="BC26" s="3">
        <f t="shared" si="43"/>
        <v>0</v>
      </c>
      <c r="BD26" s="102">
        <v>19222</v>
      </c>
      <c r="BE26" s="14">
        <f>(305/1185)*ELEC!Q24</f>
        <v>805.61181434625382</v>
      </c>
      <c r="BF26" s="14"/>
      <c r="BG26" s="14" t="e">
        <f>#REF!-BE26</f>
        <v>#REF!</v>
      </c>
      <c r="BH26" s="11"/>
    </row>
    <row r="27" spans="1:61">
      <c r="A27" s="444">
        <f>ELEC!C24</f>
        <v>44249</v>
      </c>
      <c r="B27">
        <f>'B5'!B26</f>
        <v>231</v>
      </c>
      <c r="C27" s="203">
        <f t="shared" si="18"/>
        <v>4970.2258064516127</v>
      </c>
      <c r="D27">
        <f t="shared" si="19"/>
        <v>231</v>
      </c>
      <c r="E27" s="203">
        <f t="shared" si="18"/>
        <v>4970.2258064516127</v>
      </c>
      <c r="F27">
        <f t="shared" si="20"/>
        <v>231</v>
      </c>
      <c r="G27" s="203">
        <f t="shared" si="1"/>
        <v>4970.2258064516127</v>
      </c>
      <c r="H27" s="203">
        <f t="shared" si="21"/>
        <v>231</v>
      </c>
      <c r="I27" s="203">
        <f t="shared" si="2"/>
        <v>4970.2258064516127</v>
      </c>
      <c r="J27" s="203">
        <f t="shared" si="22"/>
        <v>231</v>
      </c>
      <c r="K27" s="203">
        <f t="shared" si="3"/>
        <v>4970.2258064516127</v>
      </c>
      <c r="L27" s="203">
        <f t="shared" si="23"/>
        <v>231</v>
      </c>
      <c r="M27" s="203">
        <f t="shared" si="4"/>
        <v>4970.2258064516127</v>
      </c>
      <c r="N27" s="203">
        <f t="shared" si="24"/>
        <v>231</v>
      </c>
      <c r="O27" s="203">
        <f t="shared" si="5"/>
        <v>4970.2258064516127</v>
      </c>
      <c r="P27" s="203">
        <f t="shared" si="25"/>
        <v>231</v>
      </c>
      <c r="Q27" s="203">
        <f t="shared" si="6"/>
        <v>4970.2258064516127</v>
      </c>
      <c r="R27" s="203">
        <f t="shared" si="26"/>
        <v>231</v>
      </c>
      <c r="S27" s="203">
        <f t="shared" si="7"/>
        <v>4970.2258064516127</v>
      </c>
      <c r="T27" s="203">
        <f t="shared" si="27"/>
        <v>231</v>
      </c>
      <c r="U27" s="203">
        <f t="shared" si="8"/>
        <v>4970.2258064516127</v>
      </c>
      <c r="V27" s="203">
        <f t="shared" si="28"/>
        <v>231</v>
      </c>
      <c r="W27" s="203">
        <f t="shared" si="9"/>
        <v>4970.2258064516127</v>
      </c>
      <c r="X27" s="35">
        <f t="shared" si="10"/>
        <v>0.74516129032258061</v>
      </c>
      <c r="Y27" s="36">
        <f t="shared" si="29"/>
        <v>54672.483870967742</v>
      </c>
      <c r="Z27" s="203">
        <f>'B5'!C26</f>
        <v>237</v>
      </c>
      <c r="AA27" s="203">
        <f t="shared" si="30"/>
        <v>2370</v>
      </c>
      <c r="AB27" s="203">
        <f t="shared" si="31"/>
        <v>237</v>
      </c>
      <c r="AC27" s="203">
        <f t="shared" si="30"/>
        <v>2370</v>
      </c>
      <c r="AD27" s="203">
        <f t="shared" si="32"/>
        <v>237</v>
      </c>
      <c r="AE27" s="203">
        <f t="shared" si="11"/>
        <v>2370</v>
      </c>
      <c r="AF27" s="203">
        <f t="shared" si="33"/>
        <v>237</v>
      </c>
      <c r="AG27" s="203">
        <f t="shared" si="12"/>
        <v>2370</v>
      </c>
      <c r="AH27" s="203">
        <f t="shared" si="34"/>
        <v>237</v>
      </c>
      <c r="AI27" s="203">
        <f t="shared" si="13"/>
        <v>2370</v>
      </c>
      <c r="AJ27" s="203">
        <f t="shared" si="35"/>
        <v>237</v>
      </c>
      <c r="AK27" s="203">
        <f t="shared" si="14"/>
        <v>2370</v>
      </c>
      <c r="AL27" s="203">
        <f t="shared" si="36"/>
        <v>237</v>
      </c>
      <c r="AM27" s="203">
        <f t="shared" si="15"/>
        <v>2370</v>
      </c>
      <c r="AN27" s="35">
        <f t="shared" si="16"/>
        <v>0.84642857142857142</v>
      </c>
      <c r="AO27" s="36">
        <f t="shared" si="17"/>
        <v>16590</v>
      </c>
      <c r="AQ27" s="223">
        <f t="shared" si="37"/>
        <v>0.76651052889069315</v>
      </c>
      <c r="AR27" s="38">
        <f t="shared" si="41"/>
        <v>71262.483870967742</v>
      </c>
      <c r="AS27" s="197">
        <f t="shared" si="38"/>
        <v>-217.09677419356012</v>
      </c>
      <c r="AT27" s="271">
        <v>6964</v>
      </c>
      <c r="AU27" s="436">
        <v>0.71</v>
      </c>
      <c r="AV27" s="518">
        <f t="shared" si="42"/>
        <v>0.71</v>
      </c>
      <c r="AW27" s="290">
        <f>-SUM('B5'!AI26)</f>
        <v>-362</v>
      </c>
      <c r="AX27" s="290">
        <f t="shared" si="39"/>
        <v>144.90322580643988</v>
      </c>
      <c r="AY27" s="37">
        <f t="shared" si="40"/>
        <v>-217.09677419356012</v>
      </c>
      <c r="AZ27" s="100">
        <f>ELEC!A24</f>
        <v>0</v>
      </c>
      <c r="BA27" s="118">
        <f>'General information '!D27</f>
        <v>16.5</v>
      </c>
      <c r="BB27" s="394">
        <f>SUM('General information '!E27)</f>
        <v>0.32</v>
      </c>
      <c r="BC27" s="3">
        <f t="shared" si="43"/>
        <v>1</v>
      </c>
      <c r="BD27" s="102">
        <v>19222</v>
      </c>
      <c r="BE27" s="14">
        <f>(305/1185)*ELEC!Q25</f>
        <v>1251.9156118137694</v>
      </c>
      <c r="BF27" s="14"/>
      <c r="BG27" s="14" t="e">
        <f>#REF!-BE27</f>
        <v>#REF!</v>
      </c>
      <c r="BH27" s="11"/>
    </row>
    <row r="28" spans="1:61">
      <c r="A28" s="444">
        <f>ELEC!C25</f>
        <v>44250</v>
      </c>
      <c r="B28">
        <f>'B5'!B27</f>
        <v>224</v>
      </c>
      <c r="C28" s="203">
        <f t="shared" si="18"/>
        <v>4819.6129032258068</v>
      </c>
      <c r="D28">
        <f t="shared" si="19"/>
        <v>224</v>
      </c>
      <c r="E28" s="203">
        <f t="shared" si="18"/>
        <v>4819.6129032258068</v>
      </c>
      <c r="F28">
        <f t="shared" si="20"/>
        <v>224</v>
      </c>
      <c r="G28" s="203">
        <f t="shared" si="1"/>
        <v>4819.6129032258068</v>
      </c>
      <c r="H28" s="203">
        <f t="shared" si="21"/>
        <v>224</v>
      </c>
      <c r="I28" s="203">
        <f t="shared" si="2"/>
        <v>4819.6129032258068</v>
      </c>
      <c r="J28" s="203">
        <f t="shared" si="22"/>
        <v>224</v>
      </c>
      <c r="K28" s="203">
        <f t="shared" si="3"/>
        <v>4819.6129032258068</v>
      </c>
      <c r="L28" s="203">
        <f t="shared" si="23"/>
        <v>224</v>
      </c>
      <c r="M28" s="203">
        <f t="shared" si="4"/>
        <v>4819.6129032258068</v>
      </c>
      <c r="N28" s="203">
        <f t="shared" si="24"/>
        <v>224</v>
      </c>
      <c r="O28" s="203">
        <f t="shared" si="5"/>
        <v>4819.6129032258068</v>
      </c>
      <c r="P28" s="203">
        <f t="shared" si="25"/>
        <v>224</v>
      </c>
      <c r="Q28" s="203">
        <f t="shared" si="6"/>
        <v>4819.6129032258068</v>
      </c>
      <c r="R28" s="203">
        <f t="shared" si="26"/>
        <v>224</v>
      </c>
      <c r="S28" s="203">
        <f t="shared" si="7"/>
        <v>4819.6129032258068</v>
      </c>
      <c r="T28" s="203">
        <f t="shared" si="27"/>
        <v>224</v>
      </c>
      <c r="U28" s="203">
        <f t="shared" si="8"/>
        <v>4819.6129032258068</v>
      </c>
      <c r="V28" s="203">
        <f t="shared" si="28"/>
        <v>224</v>
      </c>
      <c r="W28" s="203">
        <f t="shared" si="9"/>
        <v>4819.6129032258068</v>
      </c>
      <c r="X28" s="35">
        <f t="shared" si="10"/>
        <v>0.72258064516129028</v>
      </c>
      <c r="Y28" s="36">
        <f t="shared" si="29"/>
        <v>53015.741935483864</v>
      </c>
      <c r="Z28" s="203">
        <f>'B5'!C27</f>
        <v>231</v>
      </c>
      <c r="AA28" s="203">
        <f t="shared" si="30"/>
        <v>2310</v>
      </c>
      <c r="AB28" s="203">
        <f t="shared" si="31"/>
        <v>231</v>
      </c>
      <c r="AC28" s="203">
        <f t="shared" si="30"/>
        <v>2310</v>
      </c>
      <c r="AD28" s="203">
        <f t="shared" si="32"/>
        <v>231</v>
      </c>
      <c r="AE28" s="203">
        <f t="shared" si="11"/>
        <v>2310</v>
      </c>
      <c r="AF28" s="203">
        <f t="shared" si="33"/>
        <v>231</v>
      </c>
      <c r="AG28" s="203">
        <f t="shared" si="12"/>
        <v>2310</v>
      </c>
      <c r="AH28" s="203">
        <f t="shared" si="34"/>
        <v>231</v>
      </c>
      <c r="AI28" s="203">
        <f t="shared" si="13"/>
        <v>2310</v>
      </c>
      <c r="AJ28" s="203">
        <f t="shared" si="35"/>
        <v>231</v>
      </c>
      <c r="AK28" s="203">
        <f t="shared" si="14"/>
        <v>2310</v>
      </c>
      <c r="AL28" s="203">
        <f t="shared" si="36"/>
        <v>231</v>
      </c>
      <c r="AM28" s="203">
        <f t="shared" si="15"/>
        <v>2310</v>
      </c>
      <c r="AN28" s="35">
        <f t="shared" si="16"/>
        <v>0.82499999999999996</v>
      </c>
      <c r="AO28" s="36">
        <f t="shared" si="17"/>
        <v>16170</v>
      </c>
      <c r="AQ28" s="223">
        <f t="shared" si="37"/>
        <v>0.74417276471425042</v>
      </c>
      <c r="AR28" s="38">
        <f t="shared" si="41"/>
        <v>69185.741935483864</v>
      </c>
      <c r="AS28" s="197">
        <f t="shared" si="38"/>
        <v>-2076.7419354838785</v>
      </c>
      <c r="AT28" s="355"/>
      <c r="AU28" s="436"/>
      <c r="AV28" s="518">
        <f t="shared" si="42"/>
        <v>0.71</v>
      </c>
      <c r="AW28" s="290">
        <f>-SUM('B5'!AI27)</f>
        <v>-318.79999999998836</v>
      </c>
      <c r="AX28" s="290">
        <f t="shared" si="39"/>
        <v>-1757.9419354838901</v>
      </c>
      <c r="AY28" s="37">
        <f t="shared" si="40"/>
        <v>-2076.7419354838785</v>
      </c>
      <c r="AZ28" s="100">
        <f>ELEC!A25</f>
        <v>0</v>
      </c>
      <c r="BA28" s="118">
        <f>'General information '!D28</f>
        <v>16</v>
      </c>
      <c r="BB28" s="394">
        <f>SUM('General information '!E28)</f>
        <v>0.47</v>
      </c>
      <c r="BC28" s="3">
        <f t="shared" si="43"/>
        <v>0</v>
      </c>
      <c r="BD28" s="102">
        <v>19222</v>
      </c>
      <c r="BE28" s="14">
        <f>(305/1185)*ELEC!Q26</f>
        <v>1517.0210970464736</v>
      </c>
      <c r="BF28" s="14"/>
      <c r="BG28" s="14" t="e">
        <f>#REF!-BE28</f>
        <v>#REF!</v>
      </c>
      <c r="BH28" s="11"/>
    </row>
    <row r="29" spans="1:61">
      <c r="A29" s="444">
        <f>ELEC!C26</f>
        <v>44251</v>
      </c>
      <c r="B29">
        <f>'B5'!B28</f>
        <v>216</v>
      </c>
      <c r="C29" s="203">
        <f t="shared" si="18"/>
        <v>4647.4838709677415</v>
      </c>
      <c r="D29">
        <f t="shared" si="19"/>
        <v>216</v>
      </c>
      <c r="E29" s="203">
        <f t="shared" si="18"/>
        <v>4647.4838709677415</v>
      </c>
      <c r="F29">
        <f t="shared" si="20"/>
        <v>216</v>
      </c>
      <c r="G29" s="203">
        <f t="shared" si="1"/>
        <v>4647.4838709677415</v>
      </c>
      <c r="H29" s="203">
        <f t="shared" si="21"/>
        <v>216</v>
      </c>
      <c r="I29" s="203">
        <f t="shared" si="2"/>
        <v>4647.4838709677415</v>
      </c>
      <c r="J29" s="203">
        <f t="shared" si="22"/>
        <v>216</v>
      </c>
      <c r="K29" s="203">
        <f t="shared" si="3"/>
        <v>4647.4838709677415</v>
      </c>
      <c r="L29" s="203">
        <f t="shared" si="23"/>
        <v>216</v>
      </c>
      <c r="M29" s="203">
        <f t="shared" si="4"/>
        <v>4647.4838709677415</v>
      </c>
      <c r="N29" s="203">
        <f t="shared" si="24"/>
        <v>216</v>
      </c>
      <c r="O29" s="203">
        <f t="shared" si="5"/>
        <v>4647.4838709677415</v>
      </c>
      <c r="P29" s="203">
        <f t="shared" si="25"/>
        <v>216</v>
      </c>
      <c r="Q29" s="203">
        <f t="shared" si="6"/>
        <v>4647.4838709677415</v>
      </c>
      <c r="R29" s="203">
        <f t="shared" si="26"/>
        <v>216</v>
      </c>
      <c r="S29" s="203">
        <f t="shared" si="7"/>
        <v>4647.4838709677415</v>
      </c>
      <c r="T29" s="203">
        <f t="shared" si="27"/>
        <v>216</v>
      </c>
      <c r="U29" s="203">
        <f t="shared" si="8"/>
        <v>4647.4838709677415</v>
      </c>
      <c r="V29" s="203">
        <f t="shared" si="28"/>
        <v>216</v>
      </c>
      <c r="W29" s="203">
        <f t="shared" si="9"/>
        <v>4647.4838709677415</v>
      </c>
      <c r="X29" s="35">
        <f t="shared" si="10"/>
        <v>0.6967741935483871</v>
      </c>
      <c r="Y29" s="36">
        <f t="shared" si="29"/>
        <v>51122.322580645159</v>
      </c>
      <c r="Z29" s="203">
        <f>'B5'!C28</f>
        <v>228</v>
      </c>
      <c r="AA29" s="203">
        <f t="shared" si="30"/>
        <v>2280</v>
      </c>
      <c r="AB29" s="203">
        <f t="shared" si="31"/>
        <v>228</v>
      </c>
      <c r="AC29" s="203">
        <f t="shared" si="30"/>
        <v>2280</v>
      </c>
      <c r="AD29" s="203">
        <f t="shared" si="32"/>
        <v>228</v>
      </c>
      <c r="AE29" s="203">
        <f t="shared" si="11"/>
        <v>2280</v>
      </c>
      <c r="AF29" s="203">
        <f t="shared" si="33"/>
        <v>228</v>
      </c>
      <c r="AG29" s="203">
        <f t="shared" si="12"/>
        <v>2280</v>
      </c>
      <c r="AH29" s="203">
        <f t="shared" si="34"/>
        <v>228</v>
      </c>
      <c r="AI29" s="203">
        <f t="shared" si="13"/>
        <v>2280</v>
      </c>
      <c r="AJ29" s="203">
        <f t="shared" si="35"/>
        <v>228</v>
      </c>
      <c r="AK29" s="203">
        <f t="shared" si="14"/>
        <v>2280</v>
      </c>
      <c r="AL29" s="203">
        <f t="shared" si="36"/>
        <v>228</v>
      </c>
      <c r="AM29" s="203">
        <f t="shared" si="15"/>
        <v>2280</v>
      </c>
      <c r="AN29" s="35">
        <f t="shared" si="16"/>
        <v>0.81428571428571428</v>
      </c>
      <c r="AO29" s="36">
        <f t="shared" si="17"/>
        <v>15960</v>
      </c>
      <c r="AQ29" s="223">
        <f t="shared" si="37"/>
        <v>0.72154805400285205</v>
      </c>
      <c r="AR29" s="38">
        <f t="shared" si="41"/>
        <v>67082.322580645152</v>
      </c>
      <c r="AS29" s="197">
        <f t="shared" si="38"/>
        <v>-2103.419354838712</v>
      </c>
      <c r="AT29" s="355"/>
      <c r="AU29" s="436"/>
      <c r="AV29" s="518">
        <f t="shared" si="42"/>
        <v>0.71</v>
      </c>
      <c r="AW29" s="290">
        <f>-SUM('B5'!AI28)</f>
        <v>-367</v>
      </c>
      <c r="AX29" s="290">
        <f>-SUM(AW29-AS29)</f>
        <v>-1736.419354838712</v>
      </c>
      <c r="AY29" s="37">
        <f t="shared" si="40"/>
        <v>-2103.419354838712</v>
      </c>
      <c r="AZ29" s="100">
        <f>ELEC!A26</f>
        <v>0</v>
      </c>
      <c r="BA29" s="118">
        <f>'General information '!D29</f>
        <v>15.5</v>
      </c>
      <c r="BB29" s="394">
        <f>SUM('General information '!E29)</f>
        <v>0.47</v>
      </c>
      <c r="BC29" s="3">
        <f t="shared" si="43"/>
        <v>0</v>
      </c>
      <c r="BD29" s="102">
        <v>19222</v>
      </c>
      <c r="BE29" s="14">
        <f>(305/1185)*ELEC!Q27</f>
        <v>1460.3966244732705</v>
      </c>
      <c r="BF29" s="14"/>
      <c r="BG29" s="14" t="e">
        <f>#REF!-BE29</f>
        <v>#REF!</v>
      </c>
      <c r="BH29" s="11"/>
    </row>
    <row r="30" spans="1:61">
      <c r="A30" s="444">
        <f>ELEC!C27</f>
        <v>44252</v>
      </c>
      <c r="B30">
        <f>'B5'!B29</f>
        <v>209</v>
      </c>
      <c r="C30" s="203">
        <f t="shared" si="18"/>
        <v>4496.8709677419356</v>
      </c>
      <c r="D30">
        <f t="shared" ref="D30:D33" si="44">SUM(B30)</f>
        <v>209</v>
      </c>
      <c r="E30" s="203">
        <f t="shared" si="18"/>
        <v>4496.8709677419356</v>
      </c>
      <c r="F30">
        <f t="shared" ref="F30:F33" si="45">SUM(D30)</f>
        <v>209</v>
      </c>
      <c r="G30" s="203">
        <f t="shared" si="1"/>
        <v>4496.8709677419356</v>
      </c>
      <c r="H30" s="203">
        <f t="shared" ref="H30:H33" si="46">SUM(F30)</f>
        <v>209</v>
      </c>
      <c r="I30" s="203">
        <f t="shared" si="2"/>
        <v>4496.8709677419356</v>
      </c>
      <c r="J30" s="203">
        <f t="shared" ref="J30:J33" si="47">SUM(H30)</f>
        <v>209</v>
      </c>
      <c r="K30" s="203">
        <f t="shared" si="3"/>
        <v>4496.8709677419356</v>
      </c>
      <c r="L30" s="203">
        <f t="shared" ref="L30:L33" si="48">SUM(J30)</f>
        <v>209</v>
      </c>
      <c r="M30" s="203">
        <f t="shared" si="4"/>
        <v>4496.8709677419356</v>
      </c>
      <c r="N30" s="203">
        <f t="shared" ref="N30:N33" si="49">SUM(L30)</f>
        <v>209</v>
      </c>
      <c r="O30" s="203">
        <f t="shared" si="5"/>
        <v>4496.8709677419356</v>
      </c>
      <c r="P30" s="203">
        <f t="shared" ref="P30:P33" si="50">SUM(N30)</f>
        <v>209</v>
      </c>
      <c r="Q30" s="203">
        <f t="shared" si="6"/>
        <v>4496.8709677419356</v>
      </c>
      <c r="R30" s="203">
        <f t="shared" ref="R30:R33" si="51">SUM(P30)</f>
        <v>209</v>
      </c>
      <c r="S30" s="203">
        <f t="shared" si="7"/>
        <v>4496.8709677419356</v>
      </c>
      <c r="T30" s="203">
        <f t="shared" ref="T30:T33" si="52">SUM(R30)</f>
        <v>209</v>
      </c>
      <c r="U30" s="203">
        <f t="shared" si="8"/>
        <v>4496.8709677419356</v>
      </c>
      <c r="V30" s="203">
        <f t="shared" ref="V30:V33" si="53">SUM(T30)</f>
        <v>209</v>
      </c>
      <c r="W30" s="203">
        <f t="shared" si="9"/>
        <v>4496.8709677419356</v>
      </c>
      <c r="X30" s="35">
        <f t="shared" ref="X30:X33" si="54">SUM(Y30/73370)</f>
        <v>0.67419354838709689</v>
      </c>
      <c r="Y30" s="36">
        <f t="shared" ref="Y30:Y33" si="55">SUM(C30+E30+G30+I30+K30+M30+O30+Q30+S30+U30+W30)</f>
        <v>49465.580645161303</v>
      </c>
      <c r="Z30" s="203">
        <f>'B5'!C29</f>
        <v>215</v>
      </c>
      <c r="AA30" s="203">
        <f t="shared" si="30"/>
        <v>2150</v>
      </c>
      <c r="AB30" s="203">
        <f t="shared" ref="AB30:AB33" si="56">SUM(Z30)</f>
        <v>215</v>
      </c>
      <c r="AC30" s="203">
        <f t="shared" si="30"/>
        <v>2150</v>
      </c>
      <c r="AD30" s="203">
        <f t="shared" ref="AD30:AD33" si="57">SUM(AB30)</f>
        <v>215</v>
      </c>
      <c r="AE30" s="203">
        <f t="shared" si="11"/>
        <v>2150</v>
      </c>
      <c r="AF30" s="203">
        <f t="shared" ref="AF30:AF33" si="58">SUM(AD30)</f>
        <v>215</v>
      </c>
      <c r="AG30" s="203">
        <f t="shared" si="12"/>
        <v>2150</v>
      </c>
      <c r="AH30" s="203">
        <f t="shared" ref="AH30:AH33" si="59">SUM(AF30)</f>
        <v>215</v>
      </c>
      <c r="AI30" s="203">
        <f t="shared" si="13"/>
        <v>2150</v>
      </c>
      <c r="AJ30" s="203">
        <f t="shared" ref="AJ30:AJ33" si="60">SUM(AH30)</f>
        <v>215</v>
      </c>
      <c r="AK30" s="203">
        <f t="shared" si="14"/>
        <v>2150</v>
      </c>
      <c r="AL30" s="203">
        <f t="shared" ref="AL30:AL33" si="61">SUM(AJ30)</f>
        <v>215</v>
      </c>
      <c r="AM30" s="203">
        <f t="shared" si="15"/>
        <v>2150</v>
      </c>
      <c r="AN30" s="35">
        <f t="shared" ref="AN30:AN33" si="62">SUM(AO30/19600)</f>
        <v>0.7678571428571429</v>
      </c>
      <c r="AO30" s="36">
        <f t="shared" ref="AO30:AO33" si="63">SUM(AA30+AC30+AE30+AG30+AI30+AK30+AM30)</f>
        <v>15050</v>
      </c>
      <c r="AQ30" s="223">
        <f t="shared" si="37"/>
        <v>0.69393977245521465</v>
      </c>
      <c r="AR30" s="38">
        <f t="shared" si="41"/>
        <v>64515.580645161303</v>
      </c>
      <c r="AS30" s="197">
        <f t="shared" si="38"/>
        <v>-2566.7419354838494</v>
      </c>
      <c r="AT30" s="355"/>
      <c r="AU30" s="436"/>
      <c r="AV30" s="518">
        <f t="shared" si="42"/>
        <v>0.71</v>
      </c>
      <c r="AW30" s="290">
        <f>-SUM('B5'!AI29)</f>
        <v>-161</v>
      </c>
      <c r="AX30" s="290">
        <f>-SUM(AW30-AS30)</f>
        <v>-2405.7419354838494</v>
      </c>
      <c r="AY30" s="37">
        <f t="shared" si="40"/>
        <v>-2566.7419354838494</v>
      </c>
      <c r="AZ30" s="100">
        <f>ELEC!A27</f>
        <v>0</v>
      </c>
      <c r="BA30" s="118">
        <f>'General information '!D30</f>
        <v>15.5</v>
      </c>
      <c r="BB30" s="394">
        <f>SUM('General information '!E30)</f>
        <v>0.54</v>
      </c>
      <c r="BC30" s="3">
        <f t="shared" si="43"/>
        <v>0</v>
      </c>
      <c r="BD30" s="102">
        <v>19222</v>
      </c>
      <c r="BE30" s="14">
        <f>(305/1185)*ELEC!Q28</f>
        <v>1978.2531645564154</v>
      </c>
      <c r="BF30" s="14"/>
      <c r="BG30" s="14" t="e">
        <f>#REF!-BE30</f>
        <v>#REF!</v>
      </c>
      <c r="BH30" s="11"/>
    </row>
    <row r="31" spans="1:61">
      <c r="A31" s="444">
        <f>ELEC!C28</f>
        <v>44253</v>
      </c>
      <c r="B31">
        <f>'B5'!B30</f>
        <v>232</v>
      </c>
      <c r="C31" s="203">
        <f t="shared" si="18"/>
        <v>4991.7419354838712</v>
      </c>
      <c r="D31">
        <f t="shared" si="44"/>
        <v>232</v>
      </c>
      <c r="E31" s="203">
        <f t="shared" si="18"/>
        <v>4991.7419354838712</v>
      </c>
      <c r="F31">
        <f t="shared" si="45"/>
        <v>232</v>
      </c>
      <c r="G31" s="203">
        <f t="shared" si="1"/>
        <v>4991.7419354838712</v>
      </c>
      <c r="H31" s="203">
        <f t="shared" si="46"/>
        <v>232</v>
      </c>
      <c r="I31" s="203">
        <f t="shared" si="2"/>
        <v>4991.7419354838712</v>
      </c>
      <c r="J31" s="203">
        <f t="shared" si="47"/>
        <v>232</v>
      </c>
      <c r="K31" s="203">
        <f t="shared" si="3"/>
        <v>4991.7419354838712</v>
      </c>
      <c r="L31" s="203">
        <f t="shared" si="48"/>
        <v>232</v>
      </c>
      <c r="M31" s="203">
        <f t="shared" si="4"/>
        <v>4991.7419354838712</v>
      </c>
      <c r="N31" s="203">
        <f t="shared" si="49"/>
        <v>232</v>
      </c>
      <c r="O31" s="203">
        <f t="shared" si="5"/>
        <v>4991.7419354838712</v>
      </c>
      <c r="P31" s="203">
        <f t="shared" si="50"/>
        <v>232</v>
      </c>
      <c r="Q31" s="203">
        <f t="shared" si="6"/>
        <v>4991.7419354838712</v>
      </c>
      <c r="R31" s="203">
        <f t="shared" si="51"/>
        <v>232</v>
      </c>
      <c r="S31" s="203">
        <f t="shared" si="7"/>
        <v>4991.7419354838712</v>
      </c>
      <c r="T31" s="203">
        <f t="shared" si="52"/>
        <v>232</v>
      </c>
      <c r="U31" s="203">
        <f t="shared" si="8"/>
        <v>4991.7419354838712</v>
      </c>
      <c r="V31" s="203">
        <f t="shared" si="53"/>
        <v>232</v>
      </c>
      <c r="W31" s="203">
        <f t="shared" si="9"/>
        <v>4991.7419354838712</v>
      </c>
      <c r="X31" s="35">
        <f t="shared" si="54"/>
        <v>0.74838709677419357</v>
      </c>
      <c r="Y31" s="36">
        <f t="shared" si="55"/>
        <v>54909.161290322583</v>
      </c>
      <c r="Z31" s="203">
        <f>'B5'!C30</f>
        <v>239</v>
      </c>
      <c r="AA31" s="203">
        <f t="shared" si="30"/>
        <v>2390</v>
      </c>
      <c r="AB31" s="203">
        <f t="shared" si="56"/>
        <v>239</v>
      </c>
      <c r="AC31" s="203">
        <f t="shared" si="30"/>
        <v>2390</v>
      </c>
      <c r="AD31" s="203">
        <f t="shared" si="57"/>
        <v>239</v>
      </c>
      <c r="AE31" s="203">
        <f t="shared" si="11"/>
        <v>2390</v>
      </c>
      <c r="AF31" s="203">
        <f t="shared" si="58"/>
        <v>239</v>
      </c>
      <c r="AG31" s="203">
        <f t="shared" si="12"/>
        <v>2390</v>
      </c>
      <c r="AH31" s="203">
        <f t="shared" si="59"/>
        <v>239</v>
      </c>
      <c r="AI31" s="203">
        <f t="shared" si="13"/>
        <v>2390</v>
      </c>
      <c r="AJ31" s="203">
        <f t="shared" si="60"/>
        <v>239</v>
      </c>
      <c r="AK31" s="203">
        <f t="shared" si="14"/>
        <v>2390</v>
      </c>
      <c r="AL31" s="203">
        <f t="shared" si="61"/>
        <v>239</v>
      </c>
      <c r="AM31" s="203">
        <f t="shared" si="15"/>
        <v>2390</v>
      </c>
      <c r="AN31" s="35">
        <f t="shared" si="62"/>
        <v>0.85357142857142854</v>
      </c>
      <c r="AO31" s="36">
        <f t="shared" si="63"/>
        <v>16730</v>
      </c>
      <c r="AQ31" s="223">
        <f t="shared" si="37"/>
        <v>0.77056213069078816</v>
      </c>
      <c r="AR31" s="38">
        <f t="shared" si="41"/>
        <v>71639.161290322576</v>
      </c>
      <c r="AS31" s="197">
        <f>SUM(AR31-AR30-AT31)</f>
        <v>-1726.4193548387266</v>
      </c>
      <c r="AT31" s="355">
        <v>8850</v>
      </c>
      <c r="AU31" s="436">
        <v>0.74</v>
      </c>
      <c r="AV31" s="518">
        <f t="shared" si="42"/>
        <v>0.74</v>
      </c>
      <c r="AW31" s="290">
        <f>-SUM('B5'!AI30)</f>
        <v>-299</v>
      </c>
      <c r="AX31" s="290">
        <f t="shared" si="39"/>
        <v>-1427.4193548387266</v>
      </c>
      <c r="AY31" s="37">
        <f t="shared" si="40"/>
        <v>-1726.4193548387266</v>
      </c>
      <c r="AZ31" s="100">
        <f>ELEC!A28</f>
        <v>0</v>
      </c>
      <c r="BA31" s="118">
        <f>'General information '!D31</f>
        <v>15.5</v>
      </c>
      <c r="BB31" s="394">
        <f>SUM('General information '!E31)</f>
        <v>0.51</v>
      </c>
      <c r="BC31" s="3">
        <f t="shared" si="43"/>
        <v>1</v>
      </c>
      <c r="BD31" s="102">
        <v>19222</v>
      </c>
      <c r="BE31" s="14">
        <f>(305/1185)*ELEC!Q29</f>
        <v>1556.4008438815122</v>
      </c>
      <c r="BF31" s="14"/>
      <c r="BG31" s="14" t="e">
        <f>#REF!-BE31</f>
        <v>#REF!</v>
      </c>
      <c r="BH31" s="11"/>
    </row>
    <row r="32" spans="1:61">
      <c r="A32" s="444">
        <f>ELEC!C29</f>
        <v>44254</v>
      </c>
      <c r="B32">
        <f>'B5'!B31</f>
        <v>224</v>
      </c>
      <c r="C32" s="203">
        <f t="shared" si="18"/>
        <v>4819.6129032258068</v>
      </c>
      <c r="D32">
        <f t="shared" si="44"/>
        <v>224</v>
      </c>
      <c r="E32" s="203">
        <f t="shared" si="18"/>
        <v>4819.6129032258068</v>
      </c>
      <c r="F32">
        <f t="shared" si="45"/>
        <v>224</v>
      </c>
      <c r="G32" s="203">
        <f t="shared" si="1"/>
        <v>4819.6129032258068</v>
      </c>
      <c r="H32" s="203">
        <f t="shared" si="46"/>
        <v>224</v>
      </c>
      <c r="I32" s="203">
        <f t="shared" si="2"/>
        <v>4819.6129032258068</v>
      </c>
      <c r="J32" s="203">
        <f t="shared" si="47"/>
        <v>224</v>
      </c>
      <c r="K32" s="203">
        <f t="shared" si="3"/>
        <v>4819.6129032258068</v>
      </c>
      <c r="L32" s="203">
        <f t="shared" si="48"/>
        <v>224</v>
      </c>
      <c r="M32" s="203">
        <f t="shared" si="4"/>
        <v>4819.6129032258068</v>
      </c>
      <c r="N32" s="203">
        <f t="shared" si="49"/>
        <v>224</v>
      </c>
      <c r="O32" s="203">
        <f t="shared" si="5"/>
        <v>4819.6129032258068</v>
      </c>
      <c r="P32" s="203">
        <f t="shared" si="50"/>
        <v>224</v>
      </c>
      <c r="Q32" s="203">
        <f t="shared" si="6"/>
        <v>4819.6129032258068</v>
      </c>
      <c r="R32" s="203">
        <f t="shared" si="51"/>
        <v>224</v>
      </c>
      <c r="S32" s="203">
        <f t="shared" si="7"/>
        <v>4819.6129032258068</v>
      </c>
      <c r="T32" s="203">
        <f t="shared" si="52"/>
        <v>224</v>
      </c>
      <c r="U32" s="203">
        <f t="shared" si="8"/>
        <v>4819.6129032258068</v>
      </c>
      <c r="V32" s="203">
        <f t="shared" si="53"/>
        <v>224</v>
      </c>
      <c r="W32" s="203">
        <f t="shared" si="9"/>
        <v>4819.6129032258068</v>
      </c>
      <c r="X32" s="35">
        <f t="shared" si="54"/>
        <v>0.72258064516129028</v>
      </c>
      <c r="Y32" s="36">
        <f t="shared" si="55"/>
        <v>53015.741935483864</v>
      </c>
      <c r="Z32" s="203">
        <f>'B5'!C31</f>
        <v>231</v>
      </c>
      <c r="AA32" s="203">
        <f t="shared" si="30"/>
        <v>2310</v>
      </c>
      <c r="AB32" s="203">
        <f t="shared" si="56"/>
        <v>231</v>
      </c>
      <c r="AC32" s="203">
        <f t="shared" si="30"/>
        <v>2310</v>
      </c>
      <c r="AD32" s="203">
        <f t="shared" si="57"/>
        <v>231</v>
      </c>
      <c r="AE32" s="203">
        <f t="shared" si="11"/>
        <v>2310</v>
      </c>
      <c r="AF32" s="203">
        <f t="shared" si="58"/>
        <v>231</v>
      </c>
      <c r="AG32" s="203">
        <f t="shared" si="12"/>
        <v>2310</v>
      </c>
      <c r="AH32" s="203">
        <f t="shared" si="59"/>
        <v>231</v>
      </c>
      <c r="AI32" s="203">
        <f t="shared" si="13"/>
        <v>2310</v>
      </c>
      <c r="AJ32" s="203">
        <f t="shared" si="60"/>
        <v>231</v>
      </c>
      <c r="AK32" s="203">
        <f t="shared" si="14"/>
        <v>2310</v>
      </c>
      <c r="AL32" s="203">
        <f t="shared" si="61"/>
        <v>231</v>
      </c>
      <c r="AM32" s="203">
        <f t="shared" si="15"/>
        <v>2310</v>
      </c>
      <c r="AN32" s="35">
        <f t="shared" si="62"/>
        <v>0.82499999999999996</v>
      </c>
      <c r="AO32" s="36">
        <f t="shared" si="63"/>
        <v>16170</v>
      </c>
      <c r="AQ32" s="223">
        <f t="shared" si="37"/>
        <v>0.74417276471425042</v>
      </c>
      <c r="AR32" s="38">
        <f t="shared" si="41"/>
        <v>69185.741935483864</v>
      </c>
      <c r="AS32" s="197">
        <f t="shared" si="38"/>
        <v>-2453.419354838712</v>
      </c>
      <c r="AT32" s="355"/>
      <c r="AU32" s="436"/>
      <c r="AV32" s="518">
        <f>IF(AT32&gt;0,AU32,AV31)</f>
        <v>0.74</v>
      </c>
      <c r="AW32" s="290">
        <f>-SUM('B5'!AI31)</f>
        <v>-195</v>
      </c>
      <c r="AX32" s="290">
        <f t="shared" si="39"/>
        <v>-2258.419354838712</v>
      </c>
      <c r="AY32" s="37">
        <f t="shared" si="40"/>
        <v>-2453.419354838712</v>
      </c>
      <c r="AZ32" s="100">
        <f>ELEC!A29</f>
        <v>0</v>
      </c>
      <c r="BA32" s="118">
        <f>'General information '!D32</f>
        <v>15.5</v>
      </c>
      <c r="BB32" s="394">
        <f>SUM('General information '!E32)</f>
        <v>0.55000000000000004</v>
      </c>
      <c r="BC32" s="3">
        <f t="shared" si="43"/>
        <v>0</v>
      </c>
      <c r="BD32" s="102">
        <v>19222</v>
      </c>
      <c r="BE32" s="14">
        <f>(305/1185)*ELEC!Q30</f>
        <v>1431.0548523210123</v>
      </c>
      <c r="BF32" s="14"/>
      <c r="BG32" s="14" t="e">
        <f>#REF!-BE32</f>
        <v>#REF!</v>
      </c>
      <c r="BH32" s="11"/>
    </row>
    <row r="33" spans="1:60">
      <c r="A33" s="444">
        <f>ELEC!C30</f>
        <v>44255</v>
      </c>
      <c r="B33">
        <f>'B5'!B32</f>
        <v>218</v>
      </c>
      <c r="C33" s="203">
        <f t="shared" si="18"/>
        <v>4690.5161290322576</v>
      </c>
      <c r="D33">
        <f t="shared" si="44"/>
        <v>218</v>
      </c>
      <c r="E33" s="203">
        <f t="shared" si="18"/>
        <v>4690.5161290322576</v>
      </c>
      <c r="F33">
        <f t="shared" si="45"/>
        <v>218</v>
      </c>
      <c r="G33" s="203">
        <f t="shared" si="1"/>
        <v>4690.5161290322576</v>
      </c>
      <c r="H33" s="203">
        <f t="shared" si="46"/>
        <v>218</v>
      </c>
      <c r="I33" s="203">
        <f t="shared" si="2"/>
        <v>4690.5161290322576</v>
      </c>
      <c r="J33" s="203">
        <f t="shared" si="47"/>
        <v>218</v>
      </c>
      <c r="K33" s="203">
        <f t="shared" si="3"/>
        <v>4690.5161290322576</v>
      </c>
      <c r="L33" s="203">
        <f t="shared" si="48"/>
        <v>218</v>
      </c>
      <c r="M33" s="203">
        <f t="shared" si="4"/>
        <v>4690.5161290322576</v>
      </c>
      <c r="N33" s="203">
        <f t="shared" si="49"/>
        <v>218</v>
      </c>
      <c r="O33" s="203">
        <f t="shared" si="5"/>
        <v>4690.5161290322576</v>
      </c>
      <c r="P33" s="203">
        <f t="shared" si="50"/>
        <v>218</v>
      </c>
      <c r="Q33" s="203">
        <f t="shared" si="6"/>
        <v>4690.5161290322576</v>
      </c>
      <c r="R33" s="203">
        <f t="shared" si="51"/>
        <v>218</v>
      </c>
      <c r="S33" s="203">
        <f t="shared" si="7"/>
        <v>4690.5161290322576</v>
      </c>
      <c r="T33" s="203">
        <f t="shared" si="52"/>
        <v>218</v>
      </c>
      <c r="U33" s="203">
        <f t="shared" si="8"/>
        <v>4690.5161290322576</v>
      </c>
      <c r="V33" s="203">
        <f t="shared" si="53"/>
        <v>218</v>
      </c>
      <c r="W33" s="203">
        <f t="shared" si="9"/>
        <v>4690.5161290322576</v>
      </c>
      <c r="X33" s="35">
        <f t="shared" si="54"/>
        <v>0.70322580645161281</v>
      </c>
      <c r="Y33" s="36">
        <f t="shared" si="55"/>
        <v>51595.677419354834</v>
      </c>
      <c r="Z33" s="203">
        <f>'B5'!C32</f>
        <v>225</v>
      </c>
      <c r="AA33" s="203">
        <f t="shared" si="30"/>
        <v>2250</v>
      </c>
      <c r="AB33" s="203">
        <f t="shared" si="56"/>
        <v>225</v>
      </c>
      <c r="AC33" s="203">
        <f t="shared" si="30"/>
        <v>2250</v>
      </c>
      <c r="AD33" s="203">
        <f t="shared" si="57"/>
        <v>225</v>
      </c>
      <c r="AE33" s="203">
        <f t="shared" si="11"/>
        <v>2250</v>
      </c>
      <c r="AF33" s="203">
        <f t="shared" si="58"/>
        <v>225</v>
      </c>
      <c r="AG33" s="203">
        <f t="shared" si="12"/>
        <v>2250</v>
      </c>
      <c r="AH33" s="203">
        <f t="shared" si="59"/>
        <v>225</v>
      </c>
      <c r="AI33" s="203">
        <f t="shared" si="13"/>
        <v>2250</v>
      </c>
      <c r="AJ33" s="203">
        <f t="shared" si="60"/>
        <v>225</v>
      </c>
      <c r="AK33" s="203">
        <f t="shared" si="14"/>
        <v>2250</v>
      </c>
      <c r="AL33" s="203">
        <f t="shared" si="61"/>
        <v>225</v>
      </c>
      <c r="AM33" s="203">
        <f t="shared" si="15"/>
        <v>2250</v>
      </c>
      <c r="AN33" s="35">
        <f t="shared" si="62"/>
        <v>0.8035714285714286</v>
      </c>
      <c r="AO33" s="36">
        <f t="shared" si="63"/>
        <v>15750</v>
      </c>
      <c r="AQ33" s="223">
        <f t="shared" si="37"/>
        <v>0.72438074023184718</v>
      </c>
      <c r="AR33" s="38">
        <f t="shared" si="41"/>
        <v>67345.677419354834</v>
      </c>
      <c r="AS33" s="197">
        <f t="shared" si="38"/>
        <v>-1840.0645161290304</v>
      </c>
      <c r="AT33" s="355"/>
      <c r="AU33" s="436"/>
      <c r="AV33" s="518">
        <f>IF(AT33&gt;0,AU33,AV32)</f>
        <v>0.74</v>
      </c>
      <c r="AW33" s="290">
        <f>-SUM('B5'!AI32)</f>
        <v>-224</v>
      </c>
      <c r="AX33" s="290">
        <f t="shared" si="39"/>
        <v>-1616.0645161290304</v>
      </c>
      <c r="AY33" s="37">
        <f t="shared" si="40"/>
        <v>-1840.0645161290304</v>
      </c>
      <c r="AZ33" s="100">
        <f>ELEC!A30</f>
        <v>0</v>
      </c>
      <c r="BA33" s="118">
        <f>'General information '!D33</f>
        <v>15</v>
      </c>
      <c r="BB33" s="204">
        <f>SUM('General information '!E33)</f>
        <v>0.68</v>
      </c>
      <c r="BC33" s="3">
        <f t="shared" si="43"/>
        <v>0</v>
      </c>
      <c r="BD33" s="102">
        <v>19222</v>
      </c>
      <c r="BE33" s="14" t="e">
        <f>(305/1185)*ELEC!#REF!</f>
        <v>#REF!</v>
      </c>
      <c r="BF33" s="14"/>
      <c r="BG33" s="14" t="e">
        <f>#REF!-BE33</f>
        <v>#REF!</v>
      </c>
      <c r="BH33" s="11"/>
    </row>
    <row r="34" spans="1:60">
      <c r="AQ34" s="20"/>
      <c r="AR34" s="479" t="s">
        <v>225</v>
      </c>
      <c r="AS34" s="485">
        <f>COUNT(AT6:AT33)</f>
        <v>5</v>
      </c>
      <c r="AT34" s="203">
        <f>SUM(AT6:AT33)</f>
        <v>33314.1</v>
      </c>
      <c r="AU34">
        <f>SUM(AU6:AU33)/AS34</f>
        <v>0.58260000000000001</v>
      </c>
      <c r="AX34" s="203">
        <f>SUM(AX6:AX33)</f>
        <v>-30749.593548387107</v>
      </c>
      <c r="AY34" s="203">
        <f>SUM(AY6:AY33)</f>
        <v>-38764.29354838709</v>
      </c>
    </row>
    <row r="35" spans="1:60">
      <c r="AS35" s="206"/>
      <c r="AT35">
        <f>+AT34*AU34</f>
        <v>19408.79466</v>
      </c>
    </row>
    <row r="37" spans="1:60">
      <c r="AS37" s="165">
        <f>SUM(AS6:AS33)/'EDl log'!A32</f>
        <v>-1384.4390552995389</v>
      </c>
      <c r="AT37" s="203"/>
    </row>
    <row r="39" spans="1:60">
      <c r="AR39" s="203"/>
    </row>
  </sheetData>
  <mergeCells count="3">
    <mergeCell ref="AT3:AU3"/>
    <mergeCell ref="AS3:AS4"/>
    <mergeCell ref="AR3:AR4"/>
  </mergeCells>
  <conditionalFormatting sqref="AW6:AX33">
    <cfRule type="cellIs" dxfId="6" priority="5" stopIfTrue="1" operator="greaterThan">
      <formula>0</formula>
    </cfRule>
  </conditionalFormatting>
  <conditionalFormatting sqref="AT6:AU33">
    <cfRule type="cellIs" dxfId="5" priority="3" stopIfTrue="1" operator="greaterThan">
      <formula>0</formula>
    </cfRule>
  </conditionalFormatting>
  <conditionalFormatting sqref="AT10:AU10">
    <cfRule type="cellIs" dxfId="4" priority="1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J32"/>
  <sheetViews>
    <sheetView topLeftCell="A5" zoomScale="70" zoomScaleNormal="70" workbookViewId="0">
      <selection activeCell="G52" sqref="G51:G52"/>
    </sheetView>
  </sheetViews>
  <sheetFormatPr defaultRowHeight="15"/>
  <cols>
    <col min="1" max="1" width="16.140625" customWidth="1"/>
    <col min="2" max="2" width="19.42578125" customWidth="1"/>
    <col min="3" max="3" width="18.42578125" customWidth="1"/>
    <col min="4" max="4" width="18.28515625" customWidth="1"/>
    <col min="5" max="7" width="16.85546875" customWidth="1"/>
    <col min="8" max="8" width="13" customWidth="1"/>
    <col min="9" max="9" width="18.42578125" customWidth="1"/>
    <col min="10" max="10" width="21.140625" customWidth="1"/>
  </cols>
  <sheetData>
    <row r="1" spans="1:10">
      <c r="A1" s="2" t="s">
        <v>83</v>
      </c>
      <c r="B1" s="2" t="s">
        <v>87</v>
      </c>
      <c r="C1" s="2" t="s">
        <v>88</v>
      </c>
      <c r="D1" s="2" t="s">
        <v>84</v>
      </c>
      <c r="E1" s="2" t="s">
        <v>90</v>
      </c>
      <c r="F1" s="2" t="s">
        <v>89</v>
      </c>
      <c r="G1" s="16" t="s">
        <v>91</v>
      </c>
      <c r="H1" s="16" t="s">
        <v>85</v>
      </c>
      <c r="I1" s="16" t="s">
        <v>86</v>
      </c>
      <c r="J1" t="s">
        <v>51</v>
      </c>
    </row>
    <row r="2" spans="1:10">
      <c r="A2" s="3" t="e">
        <f>ELEC!T3+ELEC!X1+ELEC!AB3</f>
        <v>#VALUE!</v>
      </c>
      <c r="B2" s="3">
        <f>ELEC!AF3</f>
        <v>397</v>
      </c>
      <c r="C2" s="3">
        <f>ELEC!N3</f>
        <v>6404.3999999999069</v>
      </c>
      <c r="D2" s="3">
        <f>C2-E2</f>
        <v>4436.3999999991502</v>
      </c>
      <c r="E2" s="3">
        <f>ELEC!Q3</f>
        <v>1968.0000000007567</v>
      </c>
      <c r="F2" s="3">
        <f>GEN!Z2</f>
        <v>3</v>
      </c>
      <c r="G2" s="3">
        <f>WATER!C5+WATER!H5</f>
        <v>0</v>
      </c>
      <c r="H2" s="3">
        <f>WATER!L5</f>
        <v>0</v>
      </c>
      <c r="I2" s="15">
        <f>WATER!BC5+WATER!BD5+WATER!BE6-Sheet1!G2</f>
        <v>-39.000000000000028</v>
      </c>
      <c r="J2" s="9">
        <f>'B5'!A4</f>
        <v>44227</v>
      </c>
    </row>
    <row r="3" spans="1:10">
      <c r="A3" s="3">
        <f>ELEC!T4+ELEC!X2+ELEC!AB4</f>
        <v>4</v>
      </c>
      <c r="B3" s="3">
        <f>ELEC!AF4</f>
        <v>514</v>
      </c>
      <c r="C3" s="3">
        <f>ELEC!N4</f>
        <v>6622</v>
      </c>
      <c r="D3" s="3">
        <f t="shared" ref="D3:D30" si="0">C3-E3</f>
        <v>4367.0000000026193</v>
      </c>
      <c r="E3" s="3">
        <f>ELEC!Q4</f>
        <v>2254.9999999973807</v>
      </c>
      <c r="F3" s="3">
        <f>GEN!Z3</f>
        <v>3</v>
      </c>
      <c r="G3" s="3">
        <f>WATER!C6+WATER!H6</f>
        <v>0</v>
      </c>
      <c r="H3" s="3">
        <f>WATER!L6</f>
        <v>0</v>
      </c>
      <c r="I3" s="15">
        <f>WATER!BC6+WATER!BD6+WATER!BE7-Sheet1!G3</f>
        <v>-16.399999999999977</v>
      </c>
      <c r="J3" s="9">
        <f>'B5'!A5</f>
        <v>44228</v>
      </c>
    </row>
    <row r="4" spans="1:10">
      <c r="A4" s="3">
        <f>ELEC!T5+ELEC!X5+ELEC!AB5</f>
        <v>3</v>
      </c>
      <c r="B4" s="3">
        <f>ELEC!AF5</f>
        <v>688</v>
      </c>
      <c r="C4" s="3">
        <f>ELEC!N5</f>
        <v>6753</v>
      </c>
      <c r="D4" s="3">
        <f t="shared" si="0"/>
        <v>3831.9999999979045</v>
      </c>
      <c r="E4" s="3">
        <f>ELEC!Q5</f>
        <v>2921.0000000020955</v>
      </c>
      <c r="F4" s="3">
        <f>GEN!Z4</f>
        <v>4</v>
      </c>
      <c r="G4" s="3">
        <f>WATER!C7+WATER!H7</f>
        <v>0</v>
      </c>
      <c r="H4" s="3">
        <f>WATER!L7</f>
        <v>0</v>
      </c>
      <c r="I4" s="15">
        <f>WATER!BC7+WATER!BD7+WATER!BE8-Sheet1!G4</f>
        <v>-21.099999999999994</v>
      </c>
      <c r="J4" s="9">
        <f>'B5'!A6</f>
        <v>44229</v>
      </c>
    </row>
    <row r="5" spans="1:10">
      <c r="A5" s="3">
        <f>ELEC!T6+ELEC!X6+ELEC!AB6</f>
        <v>4</v>
      </c>
      <c r="B5" s="3">
        <f>ELEC!AF6</f>
        <v>548</v>
      </c>
      <c r="C5" s="3">
        <f>ELEC!N6</f>
        <v>6587</v>
      </c>
      <c r="D5" s="3">
        <f t="shared" si="0"/>
        <v>3963.0000000002037</v>
      </c>
      <c r="E5" s="3">
        <f>ELEC!Q6</f>
        <v>2623.9999999997963</v>
      </c>
      <c r="F5" s="3">
        <f>GEN!Z5</f>
        <v>4</v>
      </c>
      <c r="G5" s="3">
        <f>WATER!C8+WATER!H8</f>
        <v>0</v>
      </c>
      <c r="H5" s="3">
        <f>WATER!L8</f>
        <v>0</v>
      </c>
      <c r="I5" s="15">
        <f>WATER!BC8+WATER!BD8+WATER!BE9-Sheet1!G5</f>
        <v>-25.099999999999966</v>
      </c>
      <c r="J5" s="9">
        <f>'B5'!A7</f>
        <v>44230</v>
      </c>
    </row>
    <row r="6" spans="1:10">
      <c r="A6" s="3">
        <f>ELEC!T7+ELEC!X7+ELEC!AB7</f>
        <v>3</v>
      </c>
      <c r="B6" s="3">
        <f>ELEC!AF7</f>
        <v>440</v>
      </c>
      <c r="C6" s="3">
        <f>ELEC!N7</f>
        <v>5932</v>
      </c>
      <c r="D6" s="3">
        <f t="shared" si="0"/>
        <v>2801.9999999989814</v>
      </c>
      <c r="E6" s="3">
        <f>ELEC!Q24</f>
        <v>3130.0000000010186</v>
      </c>
      <c r="F6" s="3">
        <f>GEN!Z6</f>
        <v>4</v>
      </c>
      <c r="G6" s="3">
        <f>WATER!C9+WATER!H9</f>
        <v>0</v>
      </c>
      <c r="H6" s="3">
        <f>WATER!L9</f>
        <v>0</v>
      </c>
      <c r="I6" s="15">
        <f>WATER!BC9+WATER!BD9+WATER!BE10-Sheet1!G6</f>
        <v>-39.600000000000023</v>
      </c>
      <c r="J6" s="9">
        <f>'B5'!A8</f>
        <v>44231</v>
      </c>
    </row>
    <row r="7" spans="1:10">
      <c r="A7" s="3">
        <f>ELEC!T8+ELEC!X8+ELEC!AB8</f>
        <v>2</v>
      </c>
      <c r="B7" s="3">
        <f>ELEC!AF8</f>
        <v>374</v>
      </c>
      <c r="C7" s="3">
        <f>ELEC!N8</f>
        <v>5977</v>
      </c>
      <c r="D7" s="3">
        <f t="shared" si="0"/>
        <v>4283.0000000004948</v>
      </c>
      <c r="E7" s="3">
        <f>ELEC!Q8</f>
        <v>1693.9999999995052</v>
      </c>
      <c r="F7" s="3">
        <f>GEN!Z7</f>
        <v>3</v>
      </c>
      <c r="G7" s="3">
        <f>WATER!C10+WATER!H10</f>
        <v>0</v>
      </c>
      <c r="H7" s="3">
        <f>WATER!L10</f>
        <v>-1</v>
      </c>
      <c r="I7" s="15">
        <f>WATER!BC10+WATER!BD10+WATER!BE11-Sheet1!G7</f>
        <v>-35.600000000000023</v>
      </c>
      <c r="J7" s="9">
        <f>'B5'!A9</f>
        <v>44232</v>
      </c>
    </row>
    <row r="8" spans="1:10">
      <c r="A8" s="3">
        <f>ELEC!T9+ELEC!X9+ELEC!AB9</f>
        <v>2</v>
      </c>
      <c r="B8" s="3">
        <f>ELEC!AF9</f>
        <v>481</v>
      </c>
      <c r="C8" s="3">
        <f>ELEC!N9</f>
        <v>6551.2000000001863</v>
      </c>
      <c r="D8" s="3">
        <f t="shared" si="0"/>
        <v>4507.1999999984982</v>
      </c>
      <c r="E8" s="3">
        <f>ELEC!Q9</f>
        <v>2044.000000001688</v>
      </c>
      <c r="F8" s="3">
        <f>GEN!Z8</f>
        <v>3</v>
      </c>
      <c r="G8" s="3">
        <f>WATER!C11+WATER!H11</f>
        <v>0</v>
      </c>
      <c r="H8" s="3">
        <f>WATER!L11</f>
        <v>0.5</v>
      </c>
      <c r="I8" s="15">
        <f>WATER!BC11+WATER!BD11+WATER!BE12-Sheet1!G8</f>
        <v>-28.699999999999989</v>
      </c>
      <c r="J8" s="9">
        <f>'B5'!A10</f>
        <v>44233</v>
      </c>
    </row>
    <row r="9" spans="1:10">
      <c r="A9" s="3">
        <f>ELEC!T10+ELEC!X10+ELEC!AB10</f>
        <v>3</v>
      </c>
      <c r="B9" s="3">
        <f>ELEC!AF10</f>
        <v>518</v>
      </c>
      <c r="C9" s="3">
        <f>ELEC!N10</f>
        <v>6289.7999999998137</v>
      </c>
      <c r="D9" s="3">
        <f t="shared" si="0"/>
        <v>4244.80000000156</v>
      </c>
      <c r="E9" s="3">
        <f>ELEC!Q10</f>
        <v>2044.9999999982538</v>
      </c>
      <c r="F9" s="3">
        <f>GEN!Z9</f>
        <v>3</v>
      </c>
      <c r="G9" s="3">
        <f>WATER!C12+WATER!H12</f>
        <v>0</v>
      </c>
      <c r="H9" s="3">
        <f>WATER!L12</f>
        <v>0.5</v>
      </c>
      <c r="I9" s="15">
        <f>WATER!BC12+WATER!BD12+WATER!BE13-Sheet1!G9</f>
        <v>-24.699999999999989</v>
      </c>
      <c r="J9" s="9">
        <f>'B5'!A11</f>
        <v>44234</v>
      </c>
    </row>
    <row r="10" spans="1:10">
      <c r="A10" s="3">
        <f>ELEC!T11+ELEC!X11+ELEC!AB11</f>
        <v>4</v>
      </c>
      <c r="B10" s="3">
        <f>ELEC!AF11</f>
        <v>876</v>
      </c>
      <c r="C10" s="3">
        <f>ELEC!N11</f>
        <v>7008</v>
      </c>
      <c r="D10" s="3">
        <f t="shared" si="0"/>
        <v>3571.9999999984866</v>
      </c>
      <c r="E10" s="3">
        <f>ELEC!Q11</f>
        <v>3436.0000000015134</v>
      </c>
      <c r="F10" s="3">
        <f>GEN!Z10</f>
        <v>3</v>
      </c>
      <c r="G10" s="3">
        <f>WATER!C13+WATER!H13</f>
        <v>0</v>
      </c>
      <c r="H10" s="3">
        <f>WATER!L13</f>
        <v>1</v>
      </c>
      <c r="I10" s="15">
        <f>WATER!BC13+WATER!BD13+WATER!BE14-Sheet1!G10</f>
        <v>-23.999999999999972</v>
      </c>
      <c r="J10" s="9">
        <f>'B5'!A12</f>
        <v>44235</v>
      </c>
    </row>
    <row r="11" spans="1:10">
      <c r="A11" s="3">
        <f>ELEC!T12+ELEC!X12+ELEC!AB12</f>
        <v>6</v>
      </c>
      <c r="B11" s="3">
        <f>ELEC!AF12</f>
        <v>946</v>
      </c>
      <c r="C11" s="3">
        <f>ELEC!N12</f>
        <v>7276</v>
      </c>
      <c r="D11" s="3">
        <f t="shared" si="0"/>
        <v>2834.0000000009022</v>
      </c>
      <c r="E11" s="3">
        <f>ELEC!Q12</f>
        <v>4441.9999999990978</v>
      </c>
      <c r="F11" s="3">
        <f>GEN!Z11</f>
        <v>5</v>
      </c>
      <c r="G11" s="3">
        <f>WATER!C14+WATER!H14</f>
        <v>0</v>
      </c>
      <c r="H11" s="3">
        <f>WATER!L14</f>
        <v>1</v>
      </c>
      <c r="I11" s="15">
        <f>WATER!BC14+WATER!BD14+WATER!BE15-Sheet1!G11</f>
        <v>-22.200000000000017</v>
      </c>
      <c r="J11" s="9">
        <f>'B5'!A13</f>
        <v>44236</v>
      </c>
    </row>
    <row r="12" spans="1:10">
      <c r="A12" s="3">
        <f>ELEC!T13+ELEC!X13+ELEC!AB13</f>
        <v>5</v>
      </c>
      <c r="B12" s="3">
        <f>ELEC!AF13</f>
        <v>815</v>
      </c>
      <c r="C12" s="3">
        <f>ELEC!N13</f>
        <v>7236</v>
      </c>
      <c r="D12" s="3">
        <f t="shared" si="0"/>
        <v>3237.0000000002037</v>
      </c>
      <c r="E12" s="3">
        <f>ELEC!Q13</f>
        <v>3998.9999999997963</v>
      </c>
      <c r="F12" s="3">
        <f>GEN!Z12</f>
        <v>7</v>
      </c>
      <c r="G12" s="3">
        <f>WATER!C15+WATER!H15</f>
        <v>0</v>
      </c>
      <c r="H12" s="3">
        <f>WATER!L15</f>
        <v>0</v>
      </c>
      <c r="I12" s="15">
        <f>WATER!BC15+WATER!BD15+WATER!BE16-Sheet1!G12</f>
        <v>-20.400000000000034</v>
      </c>
      <c r="J12" s="9">
        <f>'B5'!A14</f>
        <v>44237</v>
      </c>
    </row>
    <row r="13" spans="1:10">
      <c r="A13" s="3">
        <f>ELEC!T14+ELEC!X14+ELEC!AB14</f>
        <v>4</v>
      </c>
      <c r="B13" s="3">
        <f>ELEC!AF14</f>
        <v>555</v>
      </c>
      <c r="C13" s="3">
        <f>ELEC!N14</f>
        <v>5643</v>
      </c>
      <c r="D13" s="3">
        <f t="shared" si="0"/>
        <v>3014.9999999993888</v>
      </c>
      <c r="E13" s="3">
        <f>ELEC!Q14</f>
        <v>2628.0000000006112</v>
      </c>
      <c r="F13" s="3">
        <f>GEN!Z13</f>
        <v>6</v>
      </c>
      <c r="G13" s="3">
        <f>WATER!C16+WATER!H16</f>
        <v>0</v>
      </c>
      <c r="H13" s="3">
        <f>WATER!L16</f>
        <v>0</v>
      </c>
      <c r="I13" s="15">
        <f>WATER!BC16+WATER!BD16+WATER!BE17-Sheet1!G13</f>
        <v>-24.399999999999991</v>
      </c>
      <c r="J13" s="9">
        <f>'B5'!A15</f>
        <v>44238</v>
      </c>
    </row>
    <row r="14" spans="1:10">
      <c r="A14" s="3">
        <f>ELEC!T15+ELEC!X15+ELEC!AB15</f>
        <v>3</v>
      </c>
      <c r="B14" s="3">
        <f>ELEC!AF15</f>
        <v>427</v>
      </c>
      <c r="C14" s="3">
        <f>ELEC!N15</f>
        <v>6507</v>
      </c>
      <c r="D14" s="3">
        <f t="shared" si="0"/>
        <v>3268.000000002241</v>
      </c>
      <c r="E14" s="3">
        <f>ELEC!Q15</f>
        <v>3238.999999997759</v>
      </c>
      <c r="F14" s="3">
        <f>GEN!Z14</f>
        <v>5</v>
      </c>
      <c r="G14" s="3">
        <f>WATER!C17+WATER!H17</f>
        <v>0</v>
      </c>
      <c r="H14" s="3">
        <f>WATER!L17</f>
        <v>0</v>
      </c>
      <c r="I14" s="15">
        <f>WATER!BC17+WATER!BD17+WATER!BE18-Sheet1!G14</f>
        <v>-57.700000000000017</v>
      </c>
      <c r="J14" s="9">
        <f>'B5'!A16</f>
        <v>44239</v>
      </c>
    </row>
    <row r="15" spans="1:10">
      <c r="A15" s="3">
        <f>ELEC!T16+ELEC!X16+ELEC!AB16</f>
        <v>5</v>
      </c>
      <c r="B15" s="3">
        <f>ELEC!AF16</f>
        <v>877</v>
      </c>
      <c r="C15" s="3">
        <f>ELEC!N16</f>
        <v>7439</v>
      </c>
      <c r="D15" s="3">
        <f t="shared" si="0"/>
        <v>3784.9999999977299</v>
      </c>
      <c r="E15" s="3">
        <f>ELEC!Q16</f>
        <v>3654.0000000022701</v>
      </c>
      <c r="F15" s="3">
        <f>GEN!Z15</f>
        <v>6</v>
      </c>
      <c r="G15" s="3">
        <f>WATER!C18+WATER!H18</f>
        <v>0</v>
      </c>
      <c r="H15" s="3">
        <f>WATER!L18</f>
        <v>0</v>
      </c>
      <c r="I15" s="15">
        <f>WATER!BC18+WATER!BD18+WATER!BE19-Sheet1!G15</f>
        <v>218.8</v>
      </c>
      <c r="J15" s="9">
        <f>'B5'!A17</f>
        <v>44240</v>
      </c>
    </row>
    <row r="16" spans="1:10">
      <c r="A16" s="3">
        <f>ELEC!T17+ELEC!X17+ELEC!AB17</f>
        <v>5</v>
      </c>
      <c r="B16" s="3">
        <f>ELEC!AF17</f>
        <v>838</v>
      </c>
      <c r="C16" s="3">
        <f>ELEC!N17</f>
        <v>7469</v>
      </c>
      <c r="D16" s="3">
        <f t="shared" si="0"/>
        <v>3488.0000000002328</v>
      </c>
      <c r="E16" s="3">
        <f>ELEC!Q17</f>
        <v>3980.9999999997672</v>
      </c>
      <c r="F16" s="3">
        <f>GEN!Z16</f>
        <v>6</v>
      </c>
      <c r="G16" s="3">
        <f>WATER!C19+WATER!H19</f>
        <v>279</v>
      </c>
      <c r="H16" s="3">
        <f>WATER!L19</f>
        <v>0</v>
      </c>
      <c r="I16" s="15">
        <f>WATER!BC19+WATER!BD19+WATER!BE20-Sheet1!G16</f>
        <v>-303</v>
      </c>
      <c r="J16" s="9">
        <f>'B5'!A18</f>
        <v>44241</v>
      </c>
    </row>
    <row r="17" spans="1:10">
      <c r="A17" s="3">
        <f>ELEC!T18+ELEC!X18+ELEC!AB18</f>
        <v>2</v>
      </c>
      <c r="B17" s="3">
        <f>ELEC!AF18</f>
        <v>467</v>
      </c>
      <c r="C17" s="3">
        <f>ELEC!N18</f>
        <v>5934</v>
      </c>
      <c r="D17" s="3">
        <f t="shared" si="0"/>
        <v>3625.9999999990978</v>
      </c>
      <c r="E17" s="3">
        <f>ELEC!Q18</f>
        <v>2308.0000000009022</v>
      </c>
      <c r="F17" s="3">
        <f>GEN!Z17</f>
        <v>6</v>
      </c>
      <c r="G17" s="3">
        <f>WATER!C20+WATER!H20</f>
        <v>0</v>
      </c>
      <c r="H17" s="3">
        <f>WATER!L20</f>
        <v>2</v>
      </c>
      <c r="I17" s="15">
        <f>WATER!BC20+WATER!BD20+WATER!BE21-Sheet1!G17</f>
        <v>107.19999999999996</v>
      </c>
      <c r="J17" s="9">
        <f>'B5'!A19</f>
        <v>44242</v>
      </c>
    </row>
    <row r="18" spans="1:10">
      <c r="A18" s="3">
        <f>ELEC!T19+ELEC!X19+ELEC!AB19</f>
        <v>4</v>
      </c>
      <c r="B18" s="3">
        <f>ELEC!AF19</f>
        <v>387</v>
      </c>
      <c r="C18" s="3">
        <f>ELEC!N19</f>
        <v>7520</v>
      </c>
      <c r="D18" s="3">
        <f t="shared" si="0"/>
        <v>2873.000000002794</v>
      </c>
      <c r="E18" s="3">
        <f>ELEC!Q19</f>
        <v>4646.999999997206</v>
      </c>
      <c r="F18" s="3">
        <f>GEN!Z18</f>
        <v>4</v>
      </c>
      <c r="G18" s="3">
        <f>WATER!C21+WATER!H21</f>
        <v>167</v>
      </c>
      <c r="H18" s="3">
        <f>WATER!L21</f>
        <v>0</v>
      </c>
      <c r="I18" s="15">
        <f>WATER!BC21+WATER!BD21+WATER!BE22-Sheet1!G18</f>
        <v>-56.200000000000017</v>
      </c>
      <c r="J18" s="9">
        <f>'B5'!A20</f>
        <v>44243</v>
      </c>
    </row>
    <row r="19" spans="1:10">
      <c r="A19" s="3">
        <f>ELEC!T20+ELEC!X20+ELEC!AB20</f>
        <v>5</v>
      </c>
      <c r="B19" s="3">
        <f>ELEC!AF20</f>
        <v>648</v>
      </c>
      <c r="C19" s="3">
        <f>ELEC!N20</f>
        <v>7192</v>
      </c>
      <c r="D19" s="3">
        <f t="shared" si="0"/>
        <v>2902.9999999993306</v>
      </c>
      <c r="E19" s="3">
        <f>ELEC!Q20</f>
        <v>4289.0000000006694</v>
      </c>
      <c r="F19" s="3">
        <f>GEN!Z19</f>
        <v>9</v>
      </c>
      <c r="G19" s="3">
        <f>WATER!C22+WATER!H22</f>
        <v>0</v>
      </c>
      <c r="H19" s="3">
        <f>WATER!L22</f>
        <v>0</v>
      </c>
      <c r="I19" s="15">
        <f>WATER!BC22+WATER!BD22+WATER!BE23-Sheet1!G19</f>
        <v>-34.69999999999996</v>
      </c>
      <c r="J19" s="9">
        <f>'B5'!A21</f>
        <v>44244</v>
      </c>
    </row>
    <row r="20" spans="1:10">
      <c r="A20" s="3">
        <f>ELEC!T21+ELEC!X21+ELEC!AB21</f>
        <v>4</v>
      </c>
      <c r="B20" s="3">
        <f>ELEC!AF21</f>
        <v>656</v>
      </c>
      <c r="C20" s="3">
        <f>ELEC!N21</f>
        <v>7667</v>
      </c>
      <c r="D20" s="3">
        <f t="shared" si="0"/>
        <v>2912.9999999991851</v>
      </c>
      <c r="E20" s="3">
        <f>ELEC!Q21</f>
        <v>4754.0000000008149</v>
      </c>
      <c r="F20" s="3">
        <f>GEN!Z20</f>
        <v>8</v>
      </c>
      <c r="G20" s="3">
        <f>WATER!C23+WATER!H23</f>
        <v>0</v>
      </c>
      <c r="H20" s="3">
        <f>WATER!L23</f>
        <v>0</v>
      </c>
      <c r="I20" s="15">
        <f>WATER!BC23+WATER!BD23+WATER!BE24-Sheet1!G20</f>
        <v>-35.400000000000006</v>
      </c>
      <c r="J20" s="9">
        <f>'B5'!A22</f>
        <v>44245</v>
      </c>
    </row>
    <row r="21" spans="1:10">
      <c r="A21" s="3">
        <f>ELEC!T22+ELEC!X22+ELEC!AB22</f>
        <v>3</v>
      </c>
      <c r="B21" s="3">
        <f>ELEC!AF22</f>
        <v>425</v>
      </c>
      <c r="C21" s="3">
        <f>ELEC!N22</f>
        <v>6433</v>
      </c>
      <c r="D21" s="3">
        <f t="shared" si="0"/>
        <v>3273.0000000001455</v>
      </c>
      <c r="E21" s="3">
        <f>ELEC!Q22</f>
        <v>3159.9999999998545</v>
      </c>
      <c r="F21" s="3">
        <f>GEN!Z21</f>
        <v>9</v>
      </c>
      <c r="G21" s="3">
        <f>WATER!C24+WATER!H24</f>
        <v>0</v>
      </c>
      <c r="H21" s="3">
        <f>WATER!L24</f>
        <v>-7</v>
      </c>
      <c r="I21" s="15">
        <f>WATER!BC24+WATER!BD24+WATER!BE25-Sheet1!G21</f>
        <v>-14.900000000000006</v>
      </c>
      <c r="J21" s="9">
        <f>'B5'!A23</f>
        <v>44215</v>
      </c>
    </row>
    <row r="22" spans="1:10">
      <c r="A22" s="3">
        <f>ELEC!T23+ELEC!X23+ELEC!AB23</f>
        <v>2</v>
      </c>
      <c r="B22" s="3">
        <f>ELEC!AF23</f>
        <v>307</v>
      </c>
      <c r="C22" s="3">
        <f>ELEC!N23</f>
        <v>6161</v>
      </c>
      <c r="D22" s="3">
        <f t="shared" si="0"/>
        <v>3359.0000000003201</v>
      </c>
      <c r="E22" s="3">
        <f>ELEC!Q23</f>
        <v>2801.9999999996799</v>
      </c>
      <c r="F22" s="3">
        <f>GEN!Z22</f>
        <v>6</v>
      </c>
      <c r="G22" s="3">
        <f>WATER!C25+WATER!H25</f>
        <v>0</v>
      </c>
      <c r="H22" s="3">
        <f>WATER!L25</f>
        <v>7</v>
      </c>
      <c r="I22" s="15">
        <f>WATER!BC25+WATER!BD25+WATER!BE26-Sheet1!G22</f>
        <v>-11.399999999999977</v>
      </c>
      <c r="J22" s="9">
        <f>'B5'!A24</f>
        <v>44247</v>
      </c>
    </row>
    <row r="23" spans="1:10">
      <c r="A23" s="3">
        <f>ELEC!T24+ELEC!X24+ELEC!AB24</f>
        <v>3</v>
      </c>
      <c r="B23" s="3">
        <f>ELEC!AF24</f>
        <v>440</v>
      </c>
      <c r="C23" s="3">
        <f>ELEC!N24</f>
        <v>6895</v>
      </c>
      <c r="D23" s="3">
        <f t="shared" si="0"/>
        <v>3764.9999999989814</v>
      </c>
      <c r="E23" s="3">
        <f>ELEC!Q24</f>
        <v>3130.0000000010186</v>
      </c>
      <c r="F23" s="3">
        <f>GEN!Z23</f>
        <v>7</v>
      </c>
      <c r="G23" s="3">
        <f>WATER!C26+WATER!H26</f>
        <v>0</v>
      </c>
      <c r="H23" s="3">
        <f>WATER!L26</f>
        <v>0</v>
      </c>
      <c r="I23" s="15">
        <f>WATER!BC26+WATER!BD26+WATER!BE27-Sheet1!G23</f>
        <v>-20.100000000000023</v>
      </c>
      <c r="J23" s="9">
        <f>'B5'!A25</f>
        <v>44248</v>
      </c>
    </row>
    <row r="24" spans="1:10">
      <c r="A24" s="3">
        <f>ELEC!T25+ELEC!X25+ELEC!AB25</f>
        <v>6</v>
      </c>
      <c r="B24" s="3">
        <f>ELEC!AF25</f>
        <v>884</v>
      </c>
      <c r="C24" s="3">
        <f>ELEC!N25</f>
        <v>7942</v>
      </c>
      <c r="D24" s="3">
        <f t="shared" si="0"/>
        <v>3078.000000002241</v>
      </c>
      <c r="E24" s="3">
        <f>ELEC!Q25</f>
        <v>4863.999999997759</v>
      </c>
      <c r="F24" s="3">
        <f>GEN!Z24</f>
        <v>6</v>
      </c>
      <c r="G24" s="3">
        <f>WATER!C27+WATER!H27</f>
        <v>125</v>
      </c>
      <c r="H24" s="3">
        <f>WATER!L27</f>
        <v>0</v>
      </c>
      <c r="I24" s="15">
        <f>WATER!BC27+WATER!BD27+WATER!BE28-Sheet1!G24</f>
        <v>-165.29999999999998</v>
      </c>
      <c r="J24" s="9">
        <f>'B5'!A26</f>
        <v>44249</v>
      </c>
    </row>
    <row r="25" spans="1:10">
      <c r="A25" s="3">
        <f>ELEC!T26+ELEC!X26+ELEC!AB26</f>
        <v>6</v>
      </c>
      <c r="B25" s="3">
        <f>ELEC!AF26</f>
        <v>843</v>
      </c>
      <c r="C25" s="3">
        <f>ELEC!N26</f>
        <v>8471</v>
      </c>
      <c r="D25" s="3">
        <f t="shared" si="0"/>
        <v>2576.9999999997672</v>
      </c>
      <c r="E25" s="3">
        <f>ELEC!Q26</f>
        <v>5894.0000000002328</v>
      </c>
      <c r="F25" s="3">
        <f>GEN!Z25</f>
        <v>8</v>
      </c>
      <c r="G25" s="3">
        <f>WATER!C28+WATER!H28</f>
        <v>0</v>
      </c>
      <c r="H25" s="3">
        <f>WATER!L28</f>
        <v>0</v>
      </c>
      <c r="I25" s="15">
        <f>WATER!BC28+WATER!BD28+WATER!BE29-Sheet1!G25</f>
        <v>-40.500000000000028</v>
      </c>
      <c r="J25" s="9">
        <f>'B5'!A27</f>
        <v>44250</v>
      </c>
    </row>
    <row r="26" spans="1:10">
      <c r="A26" s="3">
        <f>ELEC!T27+ELEC!X27+ELEC!AB27</f>
        <v>7</v>
      </c>
      <c r="B26" s="3">
        <f>ELEC!AF27</f>
        <v>994</v>
      </c>
      <c r="C26" s="3">
        <f>ELEC!N27</f>
        <v>8788</v>
      </c>
      <c r="D26" s="3">
        <f t="shared" si="0"/>
        <v>3113.9999999972933</v>
      </c>
      <c r="E26" s="3">
        <f>ELEC!Q27</f>
        <v>5674.0000000027067</v>
      </c>
      <c r="F26" s="3">
        <f>GEN!Z26</f>
        <v>12</v>
      </c>
      <c r="G26" s="3">
        <f>WATER!C29+WATER!H29</f>
        <v>0</v>
      </c>
      <c r="H26" s="3">
        <f>WATER!L29</f>
        <v>0</v>
      </c>
      <c r="I26" s="15">
        <f>WATER!BC29+WATER!BD29+WATER!BE30-Sheet1!G26</f>
        <v>-28.200000000000003</v>
      </c>
      <c r="J26" s="9">
        <f>'B5'!A28</f>
        <v>44251</v>
      </c>
    </row>
    <row r="27" spans="1:10">
      <c r="A27" s="3">
        <f>ELEC!T28+ELEC!X28+ELEC!AB28</f>
        <v>7</v>
      </c>
      <c r="B27" s="3">
        <f>ELEC!AF28</f>
        <v>1062</v>
      </c>
      <c r="C27" s="3">
        <f>ELEC!N28</f>
        <v>9599</v>
      </c>
      <c r="D27" s="3">
        <f t="shared" si="0"/>
        <v>1913.0000000021246</v>
      </c>
      <c r="E27" s="3">
        <f>ELEC!Q28</f>
        <v>7685.9999999978754</v>
      </c>
      <c r="F27" s="3">
        <f>GEN!Z27</f>
        <v>11</v>
      </c>
      <c r="G27" s="3">
        <f>WATER!C30+WATER!H30</f>
        <v>4</v>
      </c>
      <c r="H27" s="3">
        <f>WATER!L30</f>
        <v>0</v>
      </c>
      <c r="I27" s="15">
        <f>WATER!BC30+WATER!BD30+WATER!BE31-Sheet1!G27</f>
        <v>62.400000000000006</v>
      </c>
      <c r="J27" s="9">
        <f>'B5'!A29</f>
        <v>44252</v>
      </c>
    </row>
    <row r="28" spans="1:10">
      <c r="A28" s="3">
        <f>ELEC!T29+ELEC!X29+ELEC!AB29</f>
        <v>5</v>
      </c>
      <c r="B28" s="3">
        <f>ELEC!AF29</f>
        <v>855</v>
      </c>
      <c r="C28" s="3">
        <f>ELEC!N29</f>
        <v>7813</v>
      </c>
      <c r="D28" s="3">
        <f t="shared" si="0"/>
        <v>1766.0000000013388</v>
      </c>
      <c r="E28" s="3">
        <f>ELEC!Q29</f>
        <v>6046.9999999986612</v>
      </c>
      <c r="F28" s="3">
        <f>GEN!Z28</f>
        <v>14</v>
      </c>
      <c r="G28" s="3">
        <f>WATER!C31+WATER!H31</f>
        <v>203</v>
      </c>
      <c r="H28" s="3">
        <f>WATER!L31</f>
        <v>1</v>
      </c>
      <c r="I28" s="15">
        <f>WATER!BC31+WATER!BD31+WATER!BE32-Sheet1!G28</f>
        <v>-168.4</v>
      </c>
      <c r="J28" s="9">
        <f>'B5'!A30</f>
        <v>44253</v>
      </c>
    </row>
    <row r="29" spans="1:10">
      <c r="A29" s="3">
        <f>ELEC!T30+ELEC!X30+ELEC!AB30</f>
        <v>4</v>
      </c>
      <c r="B29" s="3">
        <f>ELEC!AF30</f>
        <v>546</v>
      </c>
      <c r="C29" s="3">
        <f>ELEC!N30</f>
        <v>7721</v>
      </c>
      <c r="D29" s="3">
        <f t="shared" si="0"/>
        <v>2160.9999999986903</v>
      </c>
      <c r="E29" s="3">
        <f>ELEC!Q30</f>
        <v>5560.0000000013097</v>
      </c>
      <c r="F29" s="3">
        <f>GEN!Z29</f>
        <v>14</v>
      </c>
      <c r="G29" s="3">
        <f>WATER!C32+WATER!H32</f>
        <v>0</v>
      </c>
      <c r="H29" s="3">
        <f>WATER!L32</f>
        <v>0</v>
      </c>
      <c r="I29" s="15">
        <f>WATER!BC32+WATER!BD32+WATER!BE33-Sheet1!G29</f>
        <v>44.80000000000004</v>
      </c>
      <c r="J29" s="9">
        <f>'B5'!A31</f>
        <v>44254</v>
      </c>
    </row>
    <row r="30" spans="1:10">
      <c r="A30" s="3" t="e">
        <f>ELEC!#REF!+ELEC!#REF!+ELEC!#REF!</f>
        <v>#REF!</v>
      </c>
      <c r="B30" s="3" t="e">
        <f>ELEC!#REF!</f>
        <v>#REF!</v>
      </c>
      <c r="C30" s="3" t="e">
        <f>ELEC!#REF!</f>
        <v>#REF!</v>
      </c>
      <c r="D30" s="3" t="e">
        <f t="shared" si="0"/>
        <v>#REF!</v>
      </c>
      <c r="E30" s="3" t="e">
        <f>ELEC!#REF!</f>
        <v>#REF!</v>
      </c>
      <c r="F30" s="3">
        <f>GEN!Z30</f>
        <v>13</v>
      </c>
      <c r="G30" s="3">
        <f>WATER!C33+WATER!H33</f>
        <v>0</v>
      </c>
      <c r="H30" s="3">
        <f>WATER!L33</f>
        <v>0</v>
      </c>
      <c r="I30" s="15" t="e">
        <f>WATER!BC33+WATER!BD33+WATER!#REF!-Sheet1!G30</f>
        <v>#REF!</v>
      </c>
      <c r="J30" s="9">
        <f>'B5'!A32</f>
        <v>44255</v>
      </c>
    </row>
    <row r="31" spans="1:10">
      <c r="A31" s="3" t="e">
        <f>ELEC!#REF!+ELEC!#REF!+ELEC!#REF!</f>
        <v>#REF!</v>
      </c>
      <c r="B31" s="3" t="e">
        <f>ELEC!#REF!</f>
        <v>#REF!</v>
      </c>
      <c r="C31" s="3" t="e">
        <f>ELEC!#REF!</f>
        <v>#REF!</v>
      </c>
      <c r="D31" s="3" t="e">
        <f>C31-E31</f>
        <v>#REF!</v>
      </c>
      <c r="E31" s="3" t="e">
        <f>ELEC!#REF!</f>
        <v>#REF!</v>
      </c>
      <c r="F31" s="3" t="e">
        <f>GEN!#REF!</f>
        <v>#REF!</v>
      </c>
      <c r="G31" s="3" t="e">
        <f>WATER!#REF!+WATER!#REF!</f>
        <v>#REF!</v>
      </c>
      <c r="H31" s="3" t="e">
        <f>WATER!#REF!</f>
        <v>#REF!</v>
      </c>
      <c r="I31" s="15" t="e">
        <f>WATER!#REF!+WATER!#REF!+WATER!#REF!-Sheet1!G31</f>
        <v>#REF!</v>
      </c>
      <c r="J31" s="9" t="e">
        <f>'B5'!#REF!</f>
        <v>#REF!</v>
      </c>
    </row>
    <row r="32" spans="1:10">
      <c r="A32" s="3" t="e">
        <f>ELEC!#REF!+ELEC!#REF!+ELEC!#REF!</f>
        <v>#REF!</v>
      </c>
      <c r="B32" s="3" t="e">
        <f>ELEC!#REF!</f>
        <v>#REF!</v>
      </c>
      <c r="C32" s="3" t="e">
        <f>ELEC!#REF!</f>
        <v>#REF!</v>
      </c>
      <c r="D32" s="3" t="e">
        <f>C32-E32</f>
        <v>#REF!</v>
      </c>
      <c r="E32" s="3" t="e">
        <f>ELEC!#REF!</f>
        <v>#REF!</v>
      </c>
      <c r="F32" s="3" t="e">
        <f>GEN!#REF!</f>
        <v>#REF!</v>
      </c>
      <c r="G32" s="3" t="e">
        <f>WATER!#REF!+WATER!#REF!</f>
        <v>#REF!</v>
      </c>
      <c r="H32" s="3" t="e">
        <f>WATER!#REF!</f>
        <v>#REF!</v>
      </c>
      <c r="I32" s="15" t="e">
        <f>WATER!#REF!+WATER!#REF!+WATER!BE34-Sheet1!G32</f>
        <v>#REF!</v>
      </c>
      <c r="J32" s="9"/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N34"/>
  <sheetViews>
    <sheetView zoomScale="115" zoomScaleNormal="115" workbookViewId="0">
      <selection activeCell="B4" sqref="B4"/>
    </sheetView>
  </sheetViews>
  <sheetFormatPr defaultRowHeight="15"/>
  <cols>
    <col min="1" max="1" width="10.7109375" style="41" bestFit="1" customWidth="1"/>
    <col min="2" max="2" width="11.28515625" bestFit="1" customWidth="1"/>
    <col min="3" max="3" width="12.28515625" customWidth="1"/>
    <col min="4" max="4" width="11.5703125" customWidth="1"/>
    <col min="5" max="5" width="12.42578125" bestFit="1" customWidth="1"/>
    <col min="6" max="6" width="8.85546875" customWidth="1"/>
    <col min="7" max="7" width="15.140625" style="74" customWidth="1"/>
    <col min="8" max="8" width="11.140625" bestFit="1" customWidth="1"/>
    <col min="9" max="9" width="12.140625" customWidth="1"/>
    <col min="10" max="10" width="8.5703125" bestFit="1" customWidth="1"/>
    <col min="13" max="13" width="9.28515625" customWidth="1"/>
  </cols>
  <sheetData>
    <row r="1" spans="1:14">
      <c r="A1" s="642"/>
      <c r="B1" s="640" t="s">
        <v>119</v>
      </c>
      <c r="C1" s="640" t="s">
        <v>118</v>
      </c>
      <c r="D1" s="644" t="s">
        <v>113</v>
      </c>
      <c r="E1" s="644" t="s">
        <v>114</v>
      </c>
      <c r="F1" s="645" t="s">
        <v>120</v>
      </c>
      <c r="G1" s="646" t="s">
        <v>75</v>
      </c>
      <c r="H1" s="637" t="s">
        <v>115</v>
      </c>
      <c r="I1" s="638" t="s">
        <v>116</v>
      </c>
      <c r="J1" s="637" t="s">
        <v>117</v>
      </c>
      <c r="K1" s="636" t="s">
        <v>121</v>
      </c>
      <c r="L1" s="636" t="s">
        <v>122</v>
      </c>
      <c r="M1" s="636" t="s">
        <v>123</v>
      </c>
      <c r="N1" s="636" t="s">
        <v>124</v>
      </c>
    </row>
    <row r="2" spans="1:14">
      <c r="A2" s="643"/>
      <c r="B2" s="641"/>
      <c r="C2" s="641"/>
      <c r="D2" s="644"/>
      <c r="E2" s="644"/>
      <c r="F2" s="645"/>
      <c r="G2" s="646"/>
      <c r="H2" s="637"/>
      <c r="I2" s="639"/>
      <c r="J2" s="637"/>
      <c r="K2" s="636"/>
      <c r="L2" s="636"/>
      <c r="M2" s="636"/>
      <c r="N2" s="636"/>
    </row>
    <row r="3" spans="1:14">
      <c r="A3" s="43"/>
      <c r="B3" s="76">
        <f>'B5'!V3</f>
        <v>0</v>
      </c>
      <c r="C3" s="76">
        <f>'B5'!AH3</f>
        <v>0</v>
      </c>
      <c r="D3" s="76"/>
      <c r="E3" s="77">
        <f>B3+C3+D3</f>
        <v>0</v>
      </c>
      <c r="F3" s="75"/>
      <c r="G3" s="78"/>
      <c r="H3" s="79"/>
      <c r="I3" s="79"/>
      <c r="J3" s="79"/>
      <c r="K3" s="3"/>
      <c r="L3" s="3"/>
      <c r="M3" s="3"/>
      <c r="N3" s="3"/>
    </row>
    <row r="4" spans="1:14">
      <c r="A4" s="63">
        <v>42704</v>
      </c>
      <c r="B4" s="262">
        <v>810</v>
      </c>
      <c r="C4" s="262">
        <v>-606.10000000000582</v>
      </c>
      <c r="D4" s="262">
        <v>1420.5021097047013</v>
      </c>
      <c r="E4" s="262">
        <v>1624.4021097046955</v>
      </c>
      <c r="F4" s="262">
        <v>106</v>
      </c>
      <c r="G4" s="262">
        <v>-58.399999999999977</v>
      </c>
      <c r="H4" s="262">
        <v>6284</v>
      </c>
      <c r="I4" s="262">
        <v>2398.9999999994325</v>
      </c>
      <c r="J4" s="262">
        <v>23932.000000000568</v>
      </c>
      <c r="K4" s="262">
        <v>0</v>
      </c>
      <c r="L4" s="262">
        <v>0</v>
      </c>
      <c r="M4" s="262">
        <v>0</v>
      </c>
      <c r="N4" s="262">
        <v>0</v>
      </c>
    </row>
    <row r="5" spans="1:14">
      <c r="A5" s="63">
        <f>'B5'!A5</f>
        <v>44228</v>
      </c>
      <c r="B5" s="76">
        <f>'B5'!V5</f>
        <v>348</v>
      </c>
      <c r="C5" s="76">
        <f>'B5'!AH5</f>
        <v>119.60000000000582</v>
      </c>
      <c r="D5" s="76">
        <f>GEN!AI3</f>
        <v>506.53164556981505</v>
      </c>
      <c r="E5" s="242">
        <f t="shared" ref="E5:E33" si="0">B5+C5+D5</f>
        <v>974.13164556982088</v>
      </c>
      <c r="F5" s="75">
        <f>WATER!L5</f>
        <v>0</v>
      </c>
      <c r="G5" s="78">
        <f>WATER!BG5</f>
        <v>-5.1000000000000512</v>
      </c>
      <c r="H5" s="79">
        <f>ELEC!AF3</f>
        <v>397</v>
      </c>
      <c r="I5" s="79">
        <f>ELEC!Q3</f>
        <v>1968.0000000007567</v>
      </c>
      <c r="J5" s="79">
        <f>ELEC!R3</f>
        <v>4436.3999999991502</v>
      </c>
      <c r="K5" s="80"/>
      <c r="L5" s="3"/>
      <c r="M5" s="3"/>
      <c r="N5" s="3"/>
    </row>
    <row r="6" spans="1:14">
      <c r="A6" s="63">
        <f>'B5'!A6</f>
        <v>44229</v>
      </c>
      <c r="B6" s="76">
        <f>'B5'!V6</f>
        <v>234</v>
      </c>
      <c r="C6" s="76">
        <f>'B5'!AH6</f>
        <v>0</v>
      </c>
      <c r="D6" s="76">
        <f>GEN!AI4</f>
        <v>580.40084388118237</v>
      </c>
      <c r="E6" s="242">
        <f t="shared" si="0"/>
        <v>814.40084388118237</v>
      </c>
      <c r="F6" s="75">
        <f>WATER!L6</f>
        <v>0</v>
      </c>
      <c r="G6" s="78">
        <f>WATER!BG6</f>
        <v>-33.899999999999977</v>
      </c>
      <c r="H6" s="79">
        <f>ELEC!AF4</f>
        <v>514</v>
      </c>
      <c r="I6" s="79">
        <f>ELEC!Q4</f>
        <v>2254.9999999973807</v>
      </c>
      <c r="J6" s="79">
        <f>ELEC!R4</f>
        <v>4367.0000000026193</v>
      </c>
      <c r="K6" s="3"/>
      <c r="L6" s="3"/>
      <c r="M6" s="3"/>
      <c r="N6" s="3"/>
    </row>
    <row r="7" spans="1:14">
      <c r="A7" s="63">
        <f>'B5'!A7</f>
        <v>44230</v>
      </c>
      <c r="B7" s="76">
        <f>'B5'!V7</f>
        <v>254</v>
      </c>
      <c r="C7" s="76">
        <f>'B5'!AH7</f>
        <v>35</v>
      </c>
      <c r="D7" s="76">
        <f>GEN!AI5</f>
        <v>751.81856540138324</v>
      </c>
      <c r="E7" s="242">
        <f t="shared" si="0"/>
        <v>1040.8185654013832</v>
      </c>
      <c r="F7" s="75">
        <f>WATER!L7</f>
        <v>0</v>
      </c>
      <c r="G7" s="78">
        <f>WATER!BG7</f>
        <v>-11.300000000000011</v>
      </c>
      <c r="H7" s="79">
        <f>ELEC!AF5</f>
        <v>688</v>
      </c>
      <c r="I7" s="79">
        <f>ELEC!Q5</f>
        <v>2921.0000000020955</v>
      </c>
      <c r="J7" s="79">
        <f>ELEC!R5</f>
        <v>3831.9999999979045</v>
      </c>
      <c r="K7" s="3"/>
      <c r="L7" s="3"/>
      <c r="M7" s="3"/>
      <c r="N7" s="3"/>
    </row>
    <row r="8" spans="1:14">
      <c r="A8" s="63">
        <f>'B5'!A8</f>
        <v>44231</v>
      </c>
      <c r="B8" s="76">
        <f>'B5'!V8</f>
        <v>314</v>
      </c>
      <c r="C8" s="76">
        <f>'B5'!AH8</f>
        <v>0</v>
      </c>
      <c r="D8" s="76">
        <f>GEN!AI6</f>
        <v>675.37552742610796</v>
      </c>
      <c r="E8" s="242">
        <f t="shared" si="0"/>
        <v>989.37552742610796</v>
      </c>
      <c r="F8" s="75">
        <f>WATER!L8</f>
        <v>0</v>
      </c>
      <c r="G8" s="78">
        <f>WATER!BG8</f>
        <v>-9.7999999999999829</v>
      </c>
      <c r="H8" s="79">
        <f>ELEC!AF6</f>
        <v>548</v>
      </c>
      <c r="I8" s="79">
        <f>ELEC!Q6</f>
        <v>2623.9999999997963</v>
      </c>
      <c r="J8" s="79">
        <f>ELEC!R6</f>
        <v>3963.0000000002037</v>
      </c>
      <c r="K8" s="3"/>
      <c r="L8" s="3"/>
      <c r="M8" s="3"/>
      <c r="N8" s="3"/>
    </row>
    <row r="9" spans="1:14">
      <c r="A9" s="63">
        <f>'B5'!A9</f>
        <v>44232</v>
      </c>
      <c r="B9" s="76">
        <f>'B5'!V9</f>
        <v>391</v>
      </c>
      <c r="C9" s="76">
        <f>'B5'!AH9</f>
        <v>0</v>
      </c>
      <c r="D9" s="76">
        <f>GEN!AI7</f>
        <v>505.75949367092358</v>
      </c>
      <c r="E9" s="242">
        <f t="shared" si="0"/>
        <v>896.75949367092358</v>
      </c>
      <c r="F9" s="75">
        <f>WATER!L9</f>
        <v>0</v>
      </c>
      <c r="G9" s="78">
        <f>WATER!BG9</f>
        <v>-18.899999999999977</v>
      </c>
      <c r="H9" s="79">
        <f>ELEC!AF7</f>
        <v>440</v>
      </c>
      <c r="I9" s="79">
        <f>ELEC!Q7</f>
        <v>1965.0000000001455</v>
      </c>
      <c r="J9" s="79">
        <f>ELEC!R7</f>
        <v>3966.9999999998545</v>
      </c>
      <c r="K9" s="3"/>
      <c r="L9" s="3"/>
      <c r="M9" s="3"/>
      <c r="N9" s="3"/>
    </row>
    <row r="10" spans="1:14">
      <c r="A10" s="63">
        <f>'B5'!A10</f>
        <v>44233</v>
      </c>
      <c r="B10" s="76">
        <f>'B5'!V10</f>
        <v>311</v>
      </c>
      <c r="C10" s="76">
        <f>'B5'!AH10</f>
        <v>0</v>
      </c>
      <c r="D10" s="76">
        <f>GEN!AI8</f>
        <v>436.00843881843809</v>
      </c>
      <c r="E10" s="242">
        <f t="shared" si="0"/>
        <v>747.00843881843809</v>
      </c>
      <c r="F10" s="75">
        <f>WATER!L10</f>
        <v>-1</v>
      </c>
      <c r="G10" s="78">
        <f>WATER!BG10</f>
        <v>-20.700000000000045</v>
      </c>
      <c r="H10" s="79">
        <f>ELEC!AF8</f>
        <v>374</v>
      </c>
      <c r="I10" s="79">
        <f>ELEC!Q8</f>
        <v>1693.9999999995052</v>
      </c>
      <c r="J10" s="79">
        <f>ELEC!R8</f>
        <v>4283.0000000004948</v>
      </c>
      <c r="K10" s="3"/>
      <c r="L10" s="3"/>
      <c r="M10" s="3"/>
      <c r="N10" s="3"/>
    </row>
    <row r="11" spans="1:14">
      <c r="A11" s="63">
        <f>'B5'!A11</f>
        <v>44234</v>
      </c>
      <c r="B11" s="76">
        <f>'B5'!V11</f>
        <v>279</v>
      </c>
      <c r="C11" s="76">
        <f>'B5'!AH11</f>
        <v>0</v>
      </c>
      <c r="D11" s="76">
        <f>GEN!AI9</f>
        <v>526.09282700465394</v>
      </c>
      <c r="E11" s="242">
        <f t="shared" si="0"/>
        <v>805.09282700465394</v>
      </c>
      <c r="F11" s="75">
        <f>WATER!L11</f>
        <v>0.5</v>
      </c>
      <c r="G11" s="78">
        <f>WATER!BG11</f>
        <v>-14.899999999999977</v>
      </c>
      <c r="H11" s="79">
        <f>ELEC!AF9</f>
        <v>481</v>
      </c>
      <c r="I11" s="79">
        <f>ELEC!Q9</f>
        <v>2044.000000001688</v>
      </c>
      <c r="J11" s="79">
        <f>ELEC!R9</f>
        <v>4507.1999999984982</v>
      </c>
      <c r="K11" s="3"/>
      <c r="L11" s="3"/>
      <c r="M11" s="3"/>
      <c r="N11" s="3"/>
    </row>
    <row r="12" spans="1:14">
      <c r="A12" s="63">
        <f>'B5'!A12</f>
        <v>44235</v>
      </c>
      <c r="B12" s="76">
        <f>'B5'!V12</f>
        <v>256</v>
      </c>
      <c r="C12" s="76">
        <f>'B5'!AH12</f>
        <v>77.399999999994179</v>
      </c>
      <c r="D12" s="76">
        <f>GEN!AI10</f>
        <v>526.3502109700147</v>
      </c>
      <c r="E12" s="242">
        <f t="shared" si="0"/>
        <v>859.75021097000888</v>
      </c>
      <c r="F12" s="75">
        <f>WATER!L12</f>
        <v>0.5</v>
      </c>
      <c r="G12" s="78">
        <f>WATER!BG12</f>
        <v>-13.800000000000011</v>
      </c>
      <c r="H12" s="79">
        <f>ELEC!AF10</f>
        <v>518</v>
      </c>
      <c r="I12" s="79">
        <f>ELEC!Q10</f>
        <v>2044.9999999982538</v>
      </c>
      <c r="J12" s="79">
        <f>ELEC!R10</f>
        <v>4244.80000000156</v>
      </c>
      <c r="K12" s="3"/>
      <c r="L12" s="3"/>
      <c r="M12" s="3"/>
      <c r="N12" s="3"/>
    </row>
    <row r="13" spans="1:14">
      <c r="A13" s="63">
        <f>'B5'!A13</f>
        <v>44236</v>
      </c>
      <c r="B13" s="76">
        <f>'B5'!V13</f>
        <v>236</v>
      </c>
      <c r="C13" s="76">
        <f>'B5'!AH13</f>
        <v>0</v>
      </c>
      <c r="D13" s="76">
        <f>GEN!AI11</f>
        <v>884.37130801726721</v>
      </c>
      <c r="E13" s="242">
        <f t="shared" si="0"/>
        <v>1120.3713080172672</v>
      </c>
      <c r="F13" s="75">
        <f>WATER!L13</f>
        <v>1</v>
      </c>
      <c r="G13" s="78">
        <f>WATER!BG13</f>
        <v>-10.899999999999977</v>
      </c>
      <c r="H13" s="79">
        <f>ELEC!AF11</f>
        <v>876</v>
      </c>
      <c r="I13" s="79">
        <f>ELEC!Q11</f>
        <v>3436.0000000015134</v>
      </c>
      <c r="J13" s="79">
        <f>ELEC!R11</f>
        <v>3571.9999999984866</v>
      </c>
      <c r="K13" s="3"/>
      <c r="L13" s="3"/>
      <c r="M13" s="3"/>
      <c r="N13" s="3"/>
    </row>
    <row r="14" spans="1:14">
      <c r="A14" s="63">
        <f>'B5'!A14</f>
        <v>44237</v>
      </c>
      <c r="B14" s="76">
        <f>'B5'!V14</f>
        <v>236</v>
      </c>
      <c r="C14" s="76">
        <f>'B5'!AH14</f>
        <v>0</v>
      </c>
      <c r="D14" s="76">
        <f>GEN!AI12</f>
        <v>1143.2995780588396</v>
      </c>
      <c r="E14" s="242">
        <f t="shared" si="0"/>
        <v>1379.2995780588396</v>
      </c>
      <c r="F14" s="75">
        <f>WATER!L14</f>
        <v>1</v>
      </c>
      <c r="G14" s="78">
        <f>WATER!BG14</f>
        <v>-13.099999999999994</v>
      </c>
      <c r="H14" s="79">
        <f>ELEC!AF12</f>
        <v>946</v>
      </c>
      <c r="I14" s="79">
        <f>ELEC!Q12</f>
        <v>4441.9999999990978</v>
      </c>
      <c r="J14" s="79">
        <f>ELEC!R12</f>
        <v>2834.0000000009022</v>
      </c>
      <c r="K14" s="3"/>
      <c r="L14" s="3"/>
      <c r="M14" s="3"/>
      <c r="N14" s="3"/>
    </row>
    <row r="15" spans="1:14">
      <c r="A15" s="63">
        <f>'B5'!A15</f>
        <v>44238</v>
      </c>
      <c r="B15" s="76">
        <f>'B5'!V15</f>
        <v>253</v>
      </c>
      <c r="C15" s="76">
        <f>'B5'!AH15</f>
        <v>0</v>
      </c>
      <c r="D15" s="76">
        <f>GEN!AI13</f>
        <v>1029.2784810126059</v>
      </c>
      <c r="E15" s="242">
        <f t="shared" si="0"/>
        <v>1282.2784810126059</v>
      </c>
      <c r="F15" s="75">
        <f>WATER!L15</f>
        <v>0</v>
      </c>
      <c r="G15" s="78">
        <f>WATER!BG15</f>
        <v>-9.1000000000000227</v>
      </c>
      <c r="H15" s="79">
        <f>ELEC!AF13</f>
        <v>815</v>
      </c>
      <c r="I15" s="79">
        <f>ELEC!Q13</f>
        <v>3998.9999999997963</v>
      </c>
      <c r="J15" s="79">
        <f>ELEC!R13</f>
        <v>3237.0000000002037</v>
      </c>
      <c r="K15" s="3"/>
      <c r="L15" s="3"/>
      <c r="M15" s="3"/>
      <c r="N15" s="3"/>
    </row>
    <row r="16" spans="1:14">
      <c r="A16" s="63">
        <f>'B5'!A16</f>
        <v>44239</v>
      </c>
      <c r="B16" s="76">
        <f>'B5'!V16</f>
        <v>234</v>
      </c>
      <c r="C16" s="76">
        <f>'B5'!AH16</f>
        <v>0</v>
      </c>
      <c r="D16" s="76">
        <f>GEN!AI14</f>
        <v>676.40506329129664</v>
      </c>
      <c r="E16" s="242">
        <f t="shared" si="0"/>
        <v>910.40506329129664</v>
      </c>
      <c r="F16" s="75">
        <f>WATER!L16</f>
        <v>0</v>
      </c>
      <c r="G16" s="78">
        <f>WATER!BG16</f>
        <v>-11.300000000000011</v>
      </c>
      <c r="H16" s="79">
        <f>ELEC!AF14</f>
        <v>555</v>
      </c>
      <c r="I16" s="79">
        <f>ELEC!Q14</f>
        <v>2628.0000000006112</v>
      </c>
      <c r="J16" s="79">
        <f>ELEC!R14</f>
        <v>3014.9999999993888</v>
      </c>
      <c r="K16" s="3"/>
      <c r="L16" s="3"/>
      <c r="M16" s="3"/>
      <c r="N16" s="3"/>
    </row>
    <row r="17" spans="1:14">
      <c r="A17" s="63">
        <f>'B5'!A17</f>
        <v>44240</v>
      </c>
      <c r="B17" s="76">
        <f>'B5'!V17</f>
        <v>281</v>
      </c>
      <c r="C17" s="76">
        <f>'B5'!AH17</f>
        <v>0</v>
      </c>
      <c r="D17" s="76">
        <f>GEN!AI15</f>
        <v>833.6666666660899</v>
      </c>
      <c r="E17" s="242">
        <f t="shared" si="0"/>
        <v>1114.6666666660899</v>
      </c>
      <c r="F17" s="75">
        <f>WATER!L17</f>
        <v>0</v>
      </c>
      <c r="G17" s="78">
        <f>WATER!BG17</f>
        <v>-13.09999999999998</v>
      </c>
      <c r="H17" s="79">
        <f>ELEC!AF15</f>
        <v>427</v>
      </c>
      <c r="I17" s="79">
        <f>ELEC!Q15</f>
        <v>3238.999999997759</v>
      </c>
      <c r="J17" s="79">
        <f>ELEC!R15</f>
        <v>3268.000000002241</v>
      </c>
      <c r="K17" s="3"/>
      <c r="L17" s="3"/>
      <c r="M17" s="3"/>
      <c r="N17" s="3"/>
    </row>
    <row r="18" spans="1:14">
      <c r="A18" s="63">
        <f>'B5'!A18</f>
        <v>44241</v>
      </c>
      <c r="B18" s="76">
        <f>'B5'!V18</f>
        <v>267</v>
      </c>
      <c r="C18" s="76">
        <f>'B5'!AH18</f>
        <v>0</v>
      </c>
      <c r="D18" s="76">
        <f>GEN!AI16</f>
        <v>940.48101265881223</v>
      </c>
      <c r="E18" s="242">
        <f t="shared" si="0"/>
        <v>1207.4810126588122</v>
      </c>
      <c r="F18" s="75">
        <f>WATER!L18</f>
        <v>0</v>
      </c>
      <c r="G18" s="78">
        <f>WATER!BG18</f>
        <v>-44.600000000000037</v>
      </c>
      <c r="H18" s="79">
        <f>ELEC!AF16</f>
        <v>877</v>
      </c>
      <c r="I18" s="79">
        <f>ELEC!Q16</f>
        <v>3654.0000000022701</v>
      </c>
      <c r="J18" s="79">
        <f>ELEC!R16</f>
        <v>3784.9999999977299</v>
      </c>
      <c r="K18" s="3"/>
      <c r="L18" s="3"/>
      <c r="M18" s="3"/>
      <c r="N18" s="3"/>
    </row>
    <row r="19" spans="1:14">
      <c r="A19" s="63">
        <f>'B5'!A19</f>
        <v>44242</v>
      </c>
      <c r="B19" s="76">
        <f>'B5'!V19</f>
        <v>217</v>
      </c>
      <c r="C19" s="76">
        <f>'B5'!AH19</f>
        <v>0</v>
      </c>
      <c r="D19" s="76">
        <f>GEN!AI17</f>
        <v>1024.6455696201933</v>
      </c>
      <c r="E19" s="242">
        <f t="shared" si="0"/>
        <v>1241.6455696201933</v>
      </c>
      <c r="F19" s="75">
        <f>WATER!L19</f>
        <v>0</v>
      </c>
      <c r="G19" s="78">
        <f>WATER!BG19</f>
        <v>132.00000000000006</v>
      </c>
      <c r="H19" s="79">
        <f>ELEC!AF17</f>
        <v>838</v>
      </c>
      <c r="I19" s="79">
        <f>ELEC!Q17</f>
        <v>3980.9999999997672</v>
      </c>
      <c r="J19" s="79">
        <f>ELEC!R17</f>
        <v>3488.0000000002328</v>
      </c>
      <c r="K19" s="3"/>
      <c r="L19" s="3"/>
      <c r="M19" s="3"/>
      <c r="N19" s="3"/>
    </row>
    <row r="20" spans="1:14">
      <c r="A20" s="63">
        <f>'B5'!A20</f>
        <v>44243</v>
      </c>
      <c r="B20" s="76">
        <f>'B5'!V20</f>
        <v>228</v>
      </c>
      <c r="C20" s="76">
        <f>'B5'!AH20</f>
        <v>0</v>
      </c>
      <c r="D20" s="76">
        <f>GEN!AI18</f>
        <v>594.04219409305927</v>
      </c>
      <c r="E20" s="242">
        <f t="shared" si="0"/>
        <v>822.04219409305927</v>
      </c>
      <c r="F20" s="75">
        <f>WATER!L20</f>
        <v>2</v>
      </c>
      <c r="G20" s="78">
        <f>WATER!BG20</f>
        <v>-13.800000000000011</v>
      </c>
      <c r="H20" s="79">
        <f>ELEC!AF18</f>
        <v>467</v>
      </c>
      <c r="I20" s="79">
        <f>ELEC!Q18</f>
        <v>2308.0000000009022</v>
      </c>
      <c r="J20" s="79">
        <f>ELEC!R18</f>
        <v>3625.9999999990978</v>
      </c>
      <c r="K20" s="3"/>
      <c r="L20" s="3"/>
      <c r="M20" s="3"/>
      <c r="N20" s="3"/>
    </row>
    <row r="21" spans="1:14">
      <c r="A21" s="63">
        <f>'B5'!A21</f>
        <v>44244</v>
      </c>
      <c r="B21" s="76">
        <f>'B5'!V21</f>
        <v>288</v>
      </c>
      <c r="C21" s="76">
        <f>'B5'!AH21</f>
        <v>0</v>
      </c>
      <c r="D21" s="76">
        <f>GEN!AI19</f>
        <v>1196.0632911385214</v>
      </c>
      <c r="E21" s="242">
        <f t="shared" si="0"/>
        <v>1484.0632911385214</v>
      </c>
      <c r="F21" s="75">
        <f>WATER!L21</f>
        <v>0</v>
      </c>
      <c r="G21" s="78">
        <f>WATER!BG21</f>
        <v>120.99999999999997</v>
      </c>
      <c r="H21" s="79">
        <f>ELEC!AF19</f>
        <v>387</v>
      </c>
      <c r="I21" s="79">
        <f>ELEC!Q19</f>
        <v>4646.999999997206</v>
      </c>
      <c r="J21" s="79">
        <f>ELEC!R19</f>
        <v>2873.000000002794</v>
      </c>
      <c r="K21" s="3"/>
      <c r="L21" s="3"/>
      <c r="M21" s="3"/>
      <c r="N21" s="3"/>
    </row>
    <row r="22" spans="1:14">
      <c r="A22" s="63">
        <f>'B5'!A22</f>
        <v>44245</v>
      </c>
      <c r="B22" s="76">
        <f>'B5'!V22</f>
        <v>320</v>
      </c>
      <c r="C22" s="76">
        <f>'B5'!AH22</f>
        <v>60.899999999994179</v>
      </c>
      <c r="D22" s="76">
        <f>GEN!AI20</f>
        <v>1103.9198312238011</v>
      </c>
      <c r="E22" s="242">
        <f t="shared" si="0"/>
        <v>1484.8198312237953</v>
      </c>
      <c r="F22" s="75">
        <f>WATER!L22</f>
        <v>0</v>
      </c>
      <c r="G22" s="78">
        <f>WATER!BG22</f>
        <v>-10.199999999999989</v>
      </c>
      <c r="H22" s="79">
        <f>ELEC!AF20</f>
        <v>648</v>
      </c>
      <c r="I22" s="79">
        <f>ELEC!Q20</f>
        <v>4289.0000000006694</v>
      </c>
      <c r="J22" s="79">
        <f>ELEC!R20</f>
        <v>2902.9999999993306</v>
      </c>
      <c r="K22" s="3"/>
      <c r="L22" s="3"/>
      <c r="M22" s="3"/>
      <c r="N22" s="3"/>
    </row>
    <row r="23" spans="1:14">
      <c r="A23" s="63">
        <f>'B5'!A23</f>
        <v>44215</v>
      </c>
      <c r="B23" s="76">
        <f>'B5'!V23</f>
        <v>297</v>
      </c>
      <c r="C23" s="76">
        <f>'B5'!AH23</f>
        <v>0</v>
      </c>
      <c r="D23" s="76">
        <f>GEN!AI21</f>
        <v>1223.603375527636</v>
      </c>
      <c r="E23" s="242">
        <f t="shared" si="0"/>
        <v>1520.603375527636</v>
      </c>
      <c r="F23" s="75">
        <f>WATER!L23</f>
        <v>0</v>
      </c>
      <c r="G23" s="78">
        <f>WATER!BG23</f>
        <v>-24.499999999999972</v>
      </c>
      <c r="H23" s="79">
        <f>ELEC!AF21</f>
        <v>656</v>
      </c>
      <c r="I23" s="79">
        <f>ELEC!Q21</f>
        <v>4754.0000000008149</v>
      </c>
      <c r="J23" s="79">
        <f>ELEC!R21</f>
        <v>2912.9999999991851</v>
      </c>
      <c r="K23" s="3"/>
      <c r="L23" s="3"/>
      <c r="M23" s="3"/>
      <c r="N23" s="3"/>
    </row>
    <row r="24" spans="1:14">
      <c r="A24" s="63">
        <f>'B5'!A24</f>
        <v>44247</v>
      </c>
      <c r="B24" s="76">
        <f>'B5'!V24</f>
        <v>284</v>
      </c>
      <c r="C24" s="76">
        <f>'B5'!AH24</f>
        <v>0</v>
      </c>
      <c r="D24" s="76">
        <f>GEN!AI22</f>
        <v>813.33333333329597</v>
      </c>
      <c r="E24" s="242">
        <f t="shared" si="0"/>
        <v>1097.333333333296</v>
      </c>
      <c r="F24" s="75">
        <f>WATER!L24</f>
        <v>-7</v>
      </c>
      <c r="G24" s="78">
        <f>WATER!BG24</f>
        <v>-10.900000000000034</v>
      </c>
      <c r="H24" s="79">
        <f>ELEC!AF22</f>
        <v>425</v>
      </c>
      <c r="I24" s="79">
        <f>ELEC!Q22</f>
        <v>3159.9999999998545</v>
      </c>
      <c r="J24" s="79">
        <f>ELEC!R22</f>
        <v>3273.0000000001455</v>
      </c>
      <c r="K24" s="3"/>
      <c r="L24" s="3"/>
      <c r="M24" s="3"/>
      <c r="N24" s="3"/>
    </row>
    <row r="25" spans="1:14">
      <c r="A25" s="63">
        <f>'B5'!A25</f>
        <v>44248</v>
      </c>
      <c r="B25" s="76">
        <f>'B5'!V25</f>
        <v>267</v>
      </c>
      <c r="C25" s="76">
        <f>'B5'!AH25</f>
        <v>0</v>
      </c>
      <c r="D25" s="76">
        <f>GEN!AI23</f>
        <v>721.18987341763921</v>
      </c>
      <c r="E25" s="242">
        <f t="shared" si="0"/>
        <v>988.18987341763921</v>
      </c>
      <c r="F25" s="75">
        <f>WATER!L25</f>
        <v>7</v>
      </c>
      <c r="G25" s="78">
        <f>WATER!BG25</f>
        <v>-3.9999999999999716</v>
      </c>
      <c r="H25" s="79">
        <f>ELEC!AF23</f>
        <v>307</v>
      </c>
      <c r="I25" s="79">
        <f>ELEC!Q23</f>
        <v>2801.9999999996799</v>
      </c>
      <c r="J25" s="79">
        <f>ELEC!R23</f>
        <v>3359.0000000003201</v>
      </c>
      <c r="K25" s="3"/>
      <c r="L25" s="3"/>
      <c r="M25" s="3"/>
      <c r="N25" s="3"/>
    </row>
    <row r="26" spans="1:14">
      <c r="A26" s="63">
        <f>'B5'!A26</f>
        <v>44249</v>
      </c>
      <c r="B26" s="76">
        <f>'B5'!V26</f>
        <v>362</v>
      </c>
      <c r="C26" s="76">
        <f>'B5'!AH26</f>
        <v>0</v>
      </c>
      <c r="D26" s="76">
        <f>GEN!AI24</f>
        <v>805.61181434625382</v>
      </c>
      <c r="E26" s="242">
        <f t="shared" si="0"/>
        <v>1167.6118143462538</v>
      </c>
      <c r="F26" s="75">
        <f>WATER!L26</f>
        <v>0</v>
      </c>
      <c r="G26" s="78">
        <f>WATER!BG26</f>
        <v>-5.6000000000000227</v>
      </c>
      <c r="H26" s="79">
        <f>ELEC!AF24</f>
        <v>440</v>
      </c>
      <c r="I26" s="79">
        <f>ELEC!Q24</f>
        <v>3130.0000000010186</v>
      </c>
      <c r="J26" s="79">
        <f>ELEC!R24</f>
        <v>3764.9999999989814</v>
      </c>
      <c r="K26" s="3"/>
      <c r="L26" s="3"/>
      <c r="M26" s="3"/>
      <c r="N26" s="3"/>
    </row>
    <row r="27" spans="1:14">
      <c r="A27" s="63">
        <f>'B5'!A27</f>
        <v>44250</v>
      </c>
      <c r="B27" s="76">
        <f>'B5'!V27</f>
        <v>269</v>
      </c>
      <c r="C27" s="76">
        <f>'B5'!AH27</f>
        <v>49.799999999988358</v>
      </c>
      <c r="D27" s="76">
        <f>GEN!AI25</f>
        <v>1251.9156118137694</v>
      </c>
      <c r="E27" s="242">
        <f t="shared" si="0"/>
        <v>1570.7156118137577</v>
      </c>
      <c r="F27" s="75">
        <f>WATER!L27</f>
        <v>0</v>
      </c>
      <c r="G27" s="78">
        <f>WATER!BG27</f>
        <v>-17.199999999999989</v>
      </c>
      <c r="H27" s="79">
        <f>ELEC!AF25</f>
        <v>884</v>
      </c>
      <c r="I27" s="79">
        <f>ELEC!Q25</f>
        <v>4863.999999997759</v>
      </c>
      <c r="J27" s="79">
        <f>ELEC!R25</f>
        <v>3078.000000002241</v>
      </c>
      <c r="K27" s="3"/>
      <c r="L27" s="3"/>
      <c r="M27" s="3"/>
      <c r="N27" s="3"/>
    </row>
    <row r="28" spans="1:14">
      <c r="A28" s="63">
        <f>'B5'!A28</f>
        <v>44251</v>
      </c>
      <c r="B28" s="76">
        <f>'B5'!V28</f>
        <v>290</v>
      </c>
      <c r="C28" s="76">
        <f>'B5'!AH28</f>
        <v>77</v>
      </c>
      <c r="D28" s="76">
        <f>GEN!AI26</f>
        <v>1517.0210970464736</v>
      </c>
      <c r="E28" s="242">
        <f t="shared" si="0"/>
        <v>1884.0210970464736</v>
      </c>
      <c r="F28" s="75">
        <f>WATER!L28</f>
        <v>0</v>
      </c>
      <c r="G28" s="78">
        <f>WATER!BG28</f>
        <v>-23.099999999999994</v>
      </c>
      <c r="H28" s="79">
        <f>ELEC!AF26</f>
        <v>843</v>
      </c>
      <c r="I28" s="79">
        <f>ELEC!Q26</f>
        <v>5894.0000000002328</v>
      </c>
      <c r="J28" s="79">
        <f>ELEC!R26</f>
        <v>2576.9999999997672</v>
      </c>
      <c r="K28" s="3"/>
      <c r="L28" s="3"/>
      <c r="M28" s="3"/>
      <c r="N28" s="3"/>
    </row>
    <row r="29" spans="1:14">
      <c r="A29" s="63">
        <f>'B5'!A29</f>
        <v>44252</v>
      </c>
      <c r="B29" s="76">
        <f>'B5'!V29</f>
        <v>161</v>
      </c>
      <c r="C29" s="76">
        <f>'B5'!AH29</f>
        <v>0</v>
      </c>
      <c r="D29" s="76">
        <f>GEN!AI27</f>
        <v>1460.3966244732705</v>
      </c>
      <c r="E29" s="77">
        <f t="shared" si="0"/>
        <v>1621.3966244732705</v>
      </c>
      <c r="F29" s="75">
        <f>WATER!L29</f>
        <v>0</v>
      </c>
      <c r="G29" s="78">
        <f>WATER!BG29</f>
        <v>-17.400000000000034</v>
      </c>
      <c r="H29" s="79">
        <f>ELEC!AF27</f>
        <v>994</v>
      </c>
      <c r="I29" s="79">
        <f>ELEC!Q27</f>
        <v>5674.0000000027067</v>
      </c>
      <c r="J29" s="79">
        <f>ELEC!R27</f>
        <v>3113.9999999972933</v>
      </c>
      <c r="K29" s="3"/>
      <c r="L29" s="3"/>
      <c r="M29" s="3"/>
      <c r="N29" s="3"/>
    </row>
    <row r="30" spans="1:14">
      <c r="A30" s="63">
        <f>'B5'!A30</f>
        <v>44253</v>
      </c>
      <c r="B30" s="76">
        <f>'B5'!V30</f>
        <v>299</v>
      </c>
      <c r="C30" s="76">
        <f>'B5'!AH30</f>
        <v>0</v>
      </c>
      <c r="D30" s="76">
        <f>GEN!AI28</f>
        <v>1978.2531645564154</v>
      </c>
      <c r="E30" s="77">
        <f t="shared" si="0"/>
        <v>2277.2531645564154</v>
      </c>
      <c r="F30" s="75">
        <f>WATER!L30</f>
        <v>0</v>
      </c>
      <c r="G30" s="78">
        <f>WATER!BG30</f>
        <v>-10.799999999999969</v>
      </c>
      <c r="H30" s="79">
        <f>ELEC!AF28</f>
        <v>1062</v>
      </c>
      <c r="I30" s="79">
        <f>ELEC!Q28</f>
        <v>7685.9999999978754</v>
      </c>
      <c r="J30" s="79">
        <f>ELEC!R28</f>
        <v>1913.0000000021246</v>
      </c>
      <c r="K30" s="3"/>
      <c r="L30" s="3"/>
      <c r="M30" s="3"/>
      <c r="N30" s="3"/>
    </row>
    <row r="31" spans="1:14">
      <c r="A31" s="63">
        <f>'B5'!A31</f>
        <v>44254</v>
      </c>
      <c r="B31" s="76">
        <f>'B5'!V31</f>
        <v>195</v>
      </c>
      <c r="C31" s="76">
        <f>'B5'!AH31</f>
        <v>0</v>
      </c>
      <c r="D31" s="76">
        <f>GEN!AI29</f>
        <v>1556.4008438815122</v>
      </c>
      <c r="E31" s="77">
        <f t="shared" si="0"/>
        <v>1751.4008438815122</v>
      </c>
      <c r="F31" s="75">
        <f>WATER!L31</f>
        <v>1</v>
      </c>
      <c r="G31" s="78">
        <f>WATER!BG31</f>
        <v>79.899999999999963</v>
      </c>
      <c r="H31" s="79">
        <f>ELEC!AF29</f>
        <v>855</v>
      </c>
      <c r="I31" s="79">
        <f>ELEC!Q29</f>
        <v>6046.9999999986612</v>
      </c>
      <c r="J31" s="79">
        <f>ELEC!R29</f>
        <v>1766.0000000013388</v>
      </c>
      <c r="K31" s="3"/>
      <c r="L31" s="3"/>
      <c r="M31" s="3"/>
      <c r="N31" s="3"/>
    </row>
    <row r="32" spans="1:14">
      <c r="A32" s="63">
        <f>'B5'!A32</f>
        <v>44255</v>
      </c>
      <c r="B32" s="76">
        <f>'B5'!V32</f>
        <v>224</v>
      </c>
      <c r="C32" s="76">
        <f>'B5'!AH32</f>
        <v>0</v>
      </c>
      <c r="D32" s="76">
        <f>GEN!AI30</f>
        <v>1431.0548523210123</v>
      </c>
      <c r="E32" s="77">
        <f t="shared" si="0"/>
        <v>1655.0548523210123</v>
      </c>
      <c r="F32" s="75">
        <f>WATER!L32</f>
        <v>0</v>
      </c>
      <c r="G32" s="78">
        <f>WATER!BG32</f>
        <v>-27.299999999999969</v>
      </c>
      <c r="H32" s="79">
        <f>ELEC!AF30</f>
        <v>546</v>
      </c>
      <c r="I32" s="79">
        <f>ELEC!Q30</f>
        <v>5560.0000000013097</v>
      </c>
      <c r="J32" s="79">
        <f>ELEC!R30</f>
        <v>2160.9999999986903</v>
      </c>
      <c r="K32" s="3"/>
      <c r="L32" s="3"/>
      <c r="M32" s="3"/>
      <c r="N32" s="3"/>
    </row>
    <row r="33" spans="1:14">
      <c r="A33" s="63" t="e">
        <f>'B5'!#REF!</f>
        <v>#REF!</v>
      </c>
      <c r="B33" s="76" t="e">
        <f>'B5'!#REF!</f>
        <v>#REF!</v>
      </c>
      <c r="C33" s="76" t="e">
        <f>'B5'!#REF!</f>
        <v>#REF!</v>
      </c>
      <c r="D33" s="76" t="e">
        <f>GEN!#REF!</f>
        <v>#REF!</v>
      </c>
      <c r="E33" s="77" t="e">
        <f t="shared" si="0"/>
        <v>#REF!</v>
      </c>
      <c r="F33" s="75">
        <f>WATER!L33</f>
        <v>0</v>
      </c>
      <c r="G33" s="78">
        <f>WATER!BG33</f>
        <v>-11.599999999999994</v>
      </c>
      <c r="H33" s="79" t="e">
        <f>ELEC!#REF!</f>
        <v>#REF!</v>
      </c>
      <c r="I33" s="79" t="e">
        <f>ELEC!#REF!</f>
        <v>#REF!</v>
      </c>
      <c r="J33" s="79" t="e">
        <f>ELEC!#REF!</f>
        <v>#REF!</v>
      </c>
      <c r="K33" s="3"/>
      <c r="L33" s="3"/>
      <c r="M33" s="3"/>
      <c r="N33" s="3"/>
    </row>
    <row r="34" spans="1:14">
      <c r="A34" s="63" t="e">
        <f>'B5'!#REF!</f>
        <v>#REF!</v>
      </c>
      <c r="B34" s="76" t="e">
        <f>'B5'!#REF!</f>
        <v>#REF!</v>
      </c>
      <c r="C34" s="76" t="e">
        <f>'B5'!#REF!</f>
        <v>#REF!</v>
      </c>
      <c r="D34" s="76" t="e">
        <f>GEN!#REF!</f>
        <v>#REF!</v>
      </c>
      <c r="E34" s="77" t="e">
        <f>B34+C34+D34</f>
        <v>#REF!</v>
      </c>
      <c r="F34" s="75" t="e">
        <f>WATER!#REF!</f>
        <v>#REF!</v>
      </c>
      <c r="G34" s="78" t="e">
        <f>WATER!#REF!</f>
        <v>#REF!</v>
      </c>
      <c r="H34" s="79" t="e">
        <f>ELEC!#REF!</f>
        <v>#REF!</v>
      </c>
      <c r="I34" s="79" t="e">
        <f>ELEC!#REF!</f>
        <v>#REF!</v>
      </c>
      <c r="J34" s="79" t="e">
        <f>ELEC!#REF!</f>
        <v>#REF!</v>
      </c>
      <c r="K34" s="3"/>
      <c r="L34" s="3"/>
      <c r="M34" s="3"/>
      <c r="N34" s="3"/>
    </row>
  </sheetData>
  <mergeCells count="14">
    <mergeCell ref="B1:B2"/>
    <mergeCell ref="C1:C2"/>
    <mergeCell ref="K1:K2"/>
    <mergeCell ref="A1:A2"/>
    <mergeCell ref="D1:D2"/>
    <mergeCell ref="E1:E2"/>
    <mergeCell ref="F1:F2"/>
    <mergeCell ref="G1:G2"/>
    <mergeCell ref="L1:L2"/>
    <mergeCell ref="M1:M2"/>
    <mergeCell ref="N1:N2"/>
    <mergeCell ref="H1:H2"/>
    <mergeCell ref="J1:J2"/>
    <mergeCell ref="I1:I2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C3:U38"/>
  <sheetViews>
    <sheetView topLeftCell="A3" workbookViewId="0">
      <selection activeCell="K31" sqref="K31"/>
    </sheetView>
  </sheetViews>
  <sheetFormatPr defaultRowHeight="15"/>
  <cols>
    <col min="3" max="3" width="11.5703125" bestFit="1" customWidth="1"/>
    <col min="4" max="4" width="12.5703125" customWidth="1"/>
    <col min="5" max="5" width="9" bestFit="1" customWidth="1"/>
    <col min="6" max="6" width="12.85546875" bestFit="1" customWidth="1"/>
    <col min="8" max="8" width="10" bestFit="1" customWidth="1"/>
    <col min="10" max="10" width="13.42578125" customWidth="1"/>
    <col min="11" max="11" width="12.85546875" bestFit="1" customWidth="1"/>
    <col min="12" max="12" width="9.85546875" bestFit="1" customWidth="1"/>
    <col min="13" max="13" width="9" bestFit="1" customWidth="1"/>
    <col min="14" max="14" width="8.5703125" bestFit="1" customWidth="1"/>
    <col min="15" max="15" width="10.42578125" bestFit="1" customWidth="1"/>
    <col min="16" max="16" width="11.28515625" bestFit="1" customWidth="1"/>
    <col min="17" max="17" width="12.5703125" bestFit="1" customWidth="1"/>
    <col min="18" max="18" width="11" bestFit="1" customWidth="1"/>
    <col min="19" max="19" width="11" customWidth="1"/>
  </cols>
  <sheetData>
    <row r="3" spans="3:21">
      <c r="T3" s="647" t="s">
        <v>151</v>
      </c>
      <c r="U3" s="647"/>
    </row>
    <row r="4" spans="3:21" ht="30">
      <c r="C4" s="3" t="s">
        <v>152</v>
      </c>
      <c r="D4" s="98" t="s">
        <v>135</v>
      </c>
      <c r="E4" s="97" t="s">
        <v>137</v>
      </c>
      <c r="F4" s="97" t="s">
        <v>136</v>
      </c>
      <c r="G4" s="97" t="s">
        <v>137</v>
      </c>
      <c r="H4" s="97" t="s">
        <v>138</v>
      </c>
      <c r="I4" s="97" t="s">
        <v>137</v>
      </c>
      <c r="J4" s="97" t="s">
        <v>139</v>
      </c>
      <c r="K4" s="97" t="s">
        <v>140</v>
      </c>
      <c r="L4" s="97" t="s">
        <v>141</v>
      </c>
      <c r="M4" s="97" t="s">
        <v>142</v>
      </c>
      <c r="N4" s="97" t="s">
        <v>143</v>
      </c>
      <c r="O4" s="97" t="s">
        <v>144</v>
      </c>
      <c r="P4" s="97" t="s">
        <v>145</v>
      </c>
      <c r="Q4" s="97" t="s">
        <v>146</v>
      </c>
      <c r="R4" s="97" t="s">
        <v>147</v>
      </c>
      <c r="S4" s="97" t="s">
        <v>148</v>
      </c>
      <c r="T4" s="97" t="s">
        <v>149</v>
      </c>
      <c r="U4" s="97" t="s">
        <v>150</v>
      </c>
    </row>
    <row r="5" spans="3:21">
      <c r="C5" s="99">
        <v>42429</v>
      </c>
      <c r="D5">
        <f>'B5'!AL4</f>
        <v>3</v>
      </c>
      <c r="E5">
        <f t="shared" ref="E5:E37" si="0">D5*90</f>
        <v>270</v>
      </c>
      <c r="F5">
        <f>'B5'!AM4</f>
        <v>0</v>
      </c>
      <c r="G5">
        <f t="shared" ref="G5:G37" si="1">F5*107</f>
        <v>0</v>
      </c>
      <c r="H5">
        <f>GEN!Z3</f>
        <v>3</v>
      </c>
    </row>
    <row r="6" spans="3:21">
      <c r="C6" s="99">
        <v>42430</v>
      </c>
      <c r="D6">
        <f>'B5'!AL5</f>
        <v>4</v>
      </c>
      <c r="E6">
        <f t="shared" si="0"/>
        <v>360</v>
      </c>
      <c r="F6">
        <f>'B5'!AM5</f>
        <v>1</v>
      </c>
      <c r="G6">
        <f t="shared" si="1"/>
        <v>107</v>
      </c>
    </row>
    <row r="7" spans="3:21">
      <c r="C7" s="99">
        <v>42431</v>
      </c>
      <c r="D7">
        <f>'B5'!AL6</f>
        <v>4</v>
      </c>
      <c r="E7">
        <f t="shared" si="0"/>
        <v>360</v>
      </c>
      <c r="F7">
        <f>'B5'!AM6</f>
        <v>0</v>
      </c>
      <c r="G7">
        <f t="shared" si="1"/>
        <v>0</v>
      </c>
    </row>
    <row r="8" spans="3:21">
      <c r="C8" s="99">
        <v>42432</v>
      </c>
      <c r="D8">
        <f>'B5'!AL7</f>
        <v>4</v>
      </c>
      <c r="E8">
        <f t="shared" si="0"/>
        <v>360</v>
      </c>
      <c r="F8">
        <f>'B5'!AM7</f>
        <v>0</v>
      </c>
      <c r="G8">
        <f t="shared" si="1"/>
        <v>0</v>
      </c>
    </row>
    <row r="9" spans="3:21">
      <c r="C9" s="99">
        <v>42433</v>
      </c>
      <c r="D9">
        <f>'B5'!AL8</f>
        <v>4</v>
      </c>
      <c r="E9">
        <f t="shared" si="0"/>
        <v>360</v>
      </c>
      <c r="F9">
        <f>'B5'!AM8</f>
        <v>0</v>
      </c>
      <c r="G9">
        <f t="shared" si="1"/>
        <v>0</v>
      </c>
    </row>
    <row r="10" spans="3:21">
      <c r="C10" s="99">
        <v>42434</v>
      </c>
      <c r="D10">
        <f>'B5'!AL9</f>
        <v>5</v>
      </c>
      <c r="E10">
        <f t="shared" si="0"/>
        <v>450</v>
      </c>
      <c r="F10">
        <f>'B5'!AM9</f>
        <v>0</v>
      </c>
      <c r="G10">
        <f t="shared" si="1"/>
        <v>0</v>
      </c>
    </row>
    <row r="11" spans="3:21">
      <c r="C11" s="99">
        <v>42435</v>
      </c>
      <c r="D11">
        <f>'B5'!AL10</f>
        <v>5</v>
      </c>
      <c r="E11">
        <f t="shared" si="0"/>
        <v>450</v>
      </c>
      <c r="F11">
        <f>'B5'!AM10</f>
        <v>0</v>
      </c>
      <c r="G11">
        <f t="shared" si="1"/>
        <v>0</v>
      </c>
    </row>
    <row r="12" spans="3:21">
      <c r="C12" s="99">
        <v>42436</v>
      </c>
      <c r="D12">
        <f>'B5'!AL11</f>
        <v>3</v>
      </c>
      <c r="E12">
        <f t="shared" si="0"/>
        <v>270</v>
      </c>
      <c r="F12">
        <f>'B5'!AM11</f>
        <v>0</v>
      </c>
      <c r="G12">
        <f t="shared" si="1"/>
        <v>0</v>
      </c>
    </row>
    <row r="13" spans="3:21">
      <c r="C13" s="99">
        <v>42437</v>
      </c>
      <c r="D13">
        <f>'B5'!AL12</f>
        <v>3</v>
      </c>
      <c r="E13">
        <f t="shared" si="0"/>
        <v>270</v>
      </c>
      <c r="F13">
        <f>'B5'!AM12</f>
        <v>1</v>
      </c>
      <c r="G13">
        <f t="shared" si="1"/>
        <v>107</v>
      </c>
    </row>
    <row r="14" spans="3:21">
      <c r="C14" s="99">
        <v>42438</v>
      </c>
      <c r="D14">
        <f>'B5'!AL13</f>
        <v>3</v>
      </c>
      <c r="E14">
        <f t="shared" si="0"/>
        <v>270</v>
      </c>
      <c r="F14">
        <f>'B5'!AM13</f>
        <v>0</v>
      </c>
      <c r="G14">
        <f t="shared" si="1"/>
        <v>0</v>
      </c>
    </row>
    <row r="15" spans="3:21">
      <c r="C15" s="99">
        <v>42439</v>
      </c>
      <c r="D15">
        <f>'B5'!AL14</f>
        <v>3</v>
      </c>
      <c r="E15">
        <f t="shared" si="0"/>
        <v>270</v>
      </c>
      <c r="F15">
        <f>'B5'!AM14</f>
        <v>0</v>
      </c>
      <c r="G15">
        <f t="shared" si="1"/>
        <v>0</v>
      </c>
    </row>
    <row r="16" spans="3:21">
      <c r="C16" s="99">
        <v>42440</v>
      </c>
      <c r="D16">
        <f>'B5'!AL15</f>
        <v>4</v>
      </c>
      <c r="E16">
        <f t="shared" si="0"/>
        <v>360</v>
      </c>
      <c r="F16">
        <f>'B5'!AM15</f>
        <v>0</v>
      </c>
      <c r="G16">
        <f t="shared" si="1"/>
        <v>0</v>
      </c>
    </row>
    <row r="17" spans="3:7">
      <c r="C17" s="99">
        <v>42441</v>
      </c>
      <c r="D17">
        <f>'B5'!AL16</f>
        <v>3</v>
      </c>
      <c r="E17">
        <f t="shared" si="0"/>
        <v>270</v>
      </c>
      <c r="F17">
        <f>'B5'!AM16</f>
        <v>0</v>
      </c>
      <c r="G17">
        <f t="shared" si="1"/>
        <v>0</v>
      </c>
    </row>
    <row r="18" spans="3:7">
      <c r="C18" s="99">
        <v>42442</v>
      </c>
      <c r="D18">
        <f>'B5'!AL17</f>
        <v>4</v>
      </c>
      <c r="E18">
        <f t="shared" si="0"/>
        <v>360</v>
      </c>
      <c r="F18">
        <f>'B5'!AM17</f>
        <v>0</v>
      </c>
      <c r="G18">
        <f t="shared" si="1"/>
        <v>0</v>
      </c>
    </row>
    <row r="19" spans="3:7">
      <c r="C19" s="99">
        <v>42443</v>
      </c>
      <c r="D19">
        <f>'B5'!AL18</f>
        <v>3</v>
      </c>
      <c r="E19">
        <f t="shared" si="0"/>
        <v>270</v>
      </c>
      <c r="F19">
        <f>'B5'!AM18</f>
        <v>0</v>
      </c>
      <c r="G19">
        <f t="shared" si="1"/>
        <v>0</v>
      </c>
    </row>
    <row r="20" spans="3:7">
      <c r="C20" s="99">
        <v>42444</v>
      </c>
      <c r="D20">
        <f>'B5'!AL19</f>
        <v>3</v>
      </c>
      <c r="E20">
        <f t="shared" si="0"/>
        <v>270</v>
      </c>
      <c r="F20">
        <f>'B5'!AM19</f>
        <v>0</v>
      </c>
      <c r="G20">
        <f t="shared" si="1"/>
        <v>0</v>
      </c>
    </row>
    <row r="21" spans="3:7">
      <c r="C21" s="99">
        <v>42445</v>
      </c>
      <c r="D21">
        <f>'B5'!AL20</f>
        <v>3</v>
      </c>
      <c r="E21">
        <f t="shared" si="0"/>
        <v>270</v>
      </c>
      <c r="F21">
        <f>'B5'!AM20</f>
        <v>0</v>
      </c>
      <c r="G21">
        <f t="shared" si="1"/>
        <v>0</v>
      </c>
    </row>
    <row r="22" spans="3:7">
      <c r="C22" s="99">
        <v>42446</v>
      </c>
      <c r="D22">
        <f>'B5'!AL21</f>
        <v>4</v>
      </c>
      <c r="E22">
        <f t="shared" si="0"/>
        <v>360</v>
      </c>
      <c r="F22">
        <f>'B5'!AM21</f>
        <v>0</v>
      </c>
      <c r="G22">
        <f t="shared" si="1"/>
        <v>0</v>
      </c>
    </row>
    <row r="23" spans="3:7">
      <c r="C23" s="99">
        <v>42447</v>
      </c>
      <c r="D23">
        <f>'B5'!AL22</f>
        <v>5</v>
      </c>
      <c r="E23">
        <f t="shared" si="0"/>
        <v>450</v>
      </c>
      <c r="F23">
        <f>'B5'!AM22</f>
        <v>1</v>
      </c>
      <c r="G23">
        <f t="shared" si="1"/>
        <v>107</v>
      </c>
    </row>
    <row r="24" spans="3:7">
      <c r="C24" s="99">
        <v>42448</v>
      </c>
      <c r="D24">
        <f>'B5'!AL23</f>
        <v>3</v>
      </c>
      <c r="E24">
        <f t="shared" si="0"/>
        <v>270</v>
      </c>
      <c r="F24">
        <f>'B5'!AM23</f>
        <v>0</v>
      </c>
      <c r="G24">
        <f t="shared" si="1"/>
        <v>0</v>
      </c>
    </row>
    <row r="25" spans="3:7">
      <c r="C25" s="99">
        <v>42449</v>
      </c>
      <c r="D25">
        <f>'B5'!AL24</f>
        <v>5</v>
      </c>
      <c r="E25">
        <f t="shared" si="0"/>
        <v>450</v>
      </c>
      <c r="F25">
        <f>'B5'!AM24</f>
        <v>0</v>
      </c>
      <c r="G25">
        <f t="shared" si="1"/>
        <v>0</v>
      </c>
    </row>
    <row r="26" spans="3:7">
      <c r="C26" s="99">
        <v>42450</v>
      </c>
      <c r="D26">
        <f>'B5'!AL25</f>
        <v>3</v>
      </c>
      <c r="E26">
        <f t="shared" si="0"/>
        <v>270</v>
      </c>
      <c r="F26">
        <f>'B5'!AM25</f>
        <v>0</v>
      </c>
      <c r="G26">
        <f t="shared" si="1"/>
        <v>0</v>
      </c>
    </row>
    <row r="27" spans="3:7">
      <c r="C27" s="99">
        <v>42451</v>
      </c>
      <c r="D27">
        <f>'B5'!AL26</f>
        <v>4</v>
      </c>
      <c r="E27">
        <f t="shared" si="0"/>
        <v>360</v>
      </c>
      <c r="F27">
        <f>'B5'!AM26</f>
        <v>0</v>
      </c>
      <c r="G27">
        <f t="shared" si="1"/>
        <v>0</v>
      </c>
    </row>
    <row r="28" spans="3:7">
      <c r="C28" s="99">
        <v>42452</v>
      </c>
      <c r="D28">
        <f>'B5'!AL27</f>
        <v>4</v>
      </c>
      <c r="E28">
        <f t="shared" si="0"/>
        <v>360</v>
      </c>
      <c r="F28">
        <f>'B5'!AM27</f>
        <v>1</v>
      </c>
      <c r="G28">
        <f t="shared" si="1"/>
        <v>107</v>
      </c>
    </row>
    <row r="29" spans="3:7">
      <c r="C29" s="99">
        <v>42453</v>
      </c>
      <c r="D29">
        <f>'B5'!AL28</f>
        <v>4</v>
      </c>
      <c r="E29">
        <f t="shared" si="0"/>
        <v>360</v>
      </c>
      <c r="F29">
        <f>'B5'!AM28</f>
        <v>1</v>
      </c>
      <c r="G29">
        <f t="shared" si="1"/>
        <v>107</v>
      </c>
    </row>
    <row r="30" spans="3:7">
      <c r="C30" s="99">
        <v>42454</v>
      </c>
      <c r="D30">
        <f>'B5'!AL29</f>
        <v>2</v>
      </c>
      <c r="E30">
        <f t="shared" si="0"/>
        <v>180</v>
      </c>
      <c r="F30">
        <f>'B5'!AM29</f>
        <v>0</v>
      </c>
      <c r="G30">
        <f t="shared" si="1"/>
        <v>0</v>
      </c>
    </row>
    <row r="31" spans="3:7">
      <c r="C31" s="99">
        <v>42455</v>
      </c>
      <c r="D31">
        <f>'B5'!AL30</f>
        <v>4</v>
      </c>
      <c r="E31">
        <f t="shared" si="0"/>
        <v>360</v>
      </c>
      <c r="F31">
        <f>'B5'!AM30</f>
        <v>0</v>
      </c>
      <c r="G31">
        <f t="shared" si="1"/>
        <v>0</v>
      </c>
    </row>
    <row r="32" spans="3:7">
      <c r="C32" s="99">
        <v>42456</v>
      </c>
      <c r="D32">
        <f>'B5'!AL31</f>
        <v>2</v>
      </c>
      <c r="E32">
        <f t="shared" si="0"/>
        <v>180</v>
      </c>
      <c r="F32">
        <f>'B5'!AM31</f>
        <v>0</v>
      </c>
      <c r="G32">
        <f t="shared" si="1"/>
        <v>0</v>
      </c>
    </row>
    <row r="33" spans="3:7">
      <c r="C33" s="99">
        <v>42457</v>
      </c>
      <c r="D33">
        <f>'B5'!AL32</f>
        <v>3</v>
      </c>
      <c r="E33">
        <f t="shared" si="0"/>
        <v>270</v>
      </c>
      <c r="F33">
        <f>'B5'!AM32</f>
        <v>0</v>
      </c>
      <c r="G33">
        <f t="shared" si="1"/>
        <v>0</v>
      </c>
    </row>
    <row r="34" spans="3:7">
      <c r="C34" s="99">
        <v>42458</v>
      </c>
      <c r="D34" t="e">
        <f>'B5'!#REF!</f>
        <v>#REF!</v>
      </c>
      <c r="E34" t="e">
        <f t="shared" si="0"/>
        <v>#REF!</v>
      </c>
      <c r="F34" t="e">
        <f>'B5'!#REF!</f>
        <v>#REF!</v>
      </c>
      <c r="G34" t="e">
        <f t="shared" si="1"/>
        <v>#REF!</v>
      </c>
    </row>
    <row r="35" spans="3:7">
      <c r="C35" s="99">
        <v>42459</v>
      </c>
      <c r="D35" t="e">
        <f>'B5'!#REF!</f>
        <v>#REF!</v>
      </c>
      <c r="E35" t="e">
        <f t="shared" si="0"/>
        <v>#REF!</v>
      </c>
      <c r="F35" t="e">
        <f>'B5'!#REF!</f>
        <v>#REF!</v>
      </c>
      <c r="G35" t="e">
        <f t="shared" si="1"/>
        <v>#REF!</v>
      </c>
    </row>
    <row r="36" spans="3:7">
      <c r="C36" s="99">
        <v>42460</v>
      </c>
      <c r="D36" t="e">
        <f>'B5'!#REF!</f>
        <v>#REF!</v>
      </c>
      <c r="E36" t="e">
        <f t="shared" si="0"/>
        <v>#REF!</v>
      </c>
      <c r="F36" t="e">
        <f>'B5'!#REF!</f>
        <v>#REF!</v>
      </c>
      <c r="G36" t="e">
        <f t="shared" si="1"/>
        <v>#REF!</v>
      </c>
    </row>
    <row r="37" spans="3:7">
      <c r="C37" s="99">
        <v>42461</v>
      </c>
      <c r="D37" t="e">
        <f>'B5'!#REF!</f>
        <v>#REF!</v>
      </c>
      <c r="E37" t="e">
        <f t="shared" si="0"/>
        <v>#REF!</v>
      </c>
      <c r="F37" t="e">
        <f>'B5'!#REF!</f>
        <v>#REF!</v>
      </c>
      <c r="G37" t="e">
        <f t="shared" si="1"/>
        <v>#REF!</v>
      </c>
    </row>
    <row r="38" spans="3:7">
      <c r="C38" s="3"/>
    </row>
  </sheetData>
  <mergeCells count="1">
    <mergeCell ref="T3:U3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K32"/>
  <sheetViews>
    <sheetView zoomScale="112" zoomScaleNormal="112" workbookViewId="0">
      <pane ySplit="1" topLeftCell="A17" activePane="bottomLeft" state="frozen"/>
      <selection pane="bottomLeft" activeCell="I31" sqref="I31"/>
    </sheetView>
  </sheetViews>
  <sheetFormatPr defaultRowHeight="15"/>
  <cols>
    <col min="1" max="1" width="7.140625" bestFit="1" customWidth="1"/>
    <col min="2" max="2" width="10.5703125" bestFit="1" customWidth="1"/>
    <col min="3" max="3" width="7.7109375" bestFit="1" customWidth="1"/>
    <col min="4" max="4" width="10.5703125" bestFit="1" customWidth="1"/>
    <col min="5" max="6" width="8.7109375" bestFit="1" customWidth="1"/>
    <col min="7" max="7" width="3.42578125" bestFit="1" customWidth="1"/>
    <col min="8" max="8" width="8.140625" customWidth="1"/>
    <col min="9" max="9" width="11.42578125" bestFit="1" customWidth="1"/>
    <col min="10" max="10" width="9" bestFit="1" customWidth="1"/>
    <col min="11" max="11" width="7.7109375" bestFit="1" customWidth="1"/>
    <col min="12" max="12" width="10.5703125" bestFit="1" customWidth="1"/>
    <col min="13" max="13" width="10.28515625" customWidth="1"/>
    <col min="14" max="14" width="8.7109375" bestFit="1" customWidth="1"/>
    <col min="15" max="15" width="6.140625" bestFit="1" customWidth="1"/>
    <col min="16" max="16" width="8" bestFit="1" customWidth="1"/>
    <col min="17" max="17" width="7.7109375" bestFit="1" customWidth="1"/>
    <col min="18" max="18" width="9" bestFit="1" customWidth="1"/>
    <col min="19" max="19" width="8.7109375" bestFit="1" customWidth="1"/>
    <col min="20" max="20" width="9" bestFit="1" customWidth="1"/>
    <col min="21" max="22" width="8.7109375" bestFit="1" customWidth="1"/>
    <col min="23" max="23" width="3.140625" bestFit="1" customWidth="1"/>
    <col min="24" max="24" width="12" customWidth="1"/>
    <col min="25" max="25" width="7.28515625" bestFit="1" customWidth="1"/>
    <col min="26" max="26" width="8" bestFit="1" customWidth="1"/>
    <col min="27" max="27" width="11.85546875" customWidth="1"/>
    <col min="28" max="28" width="9.28515625" hidden="1" customWidth="1"/>
    <col min="29" max="29" width="7.7109375" bestFit="1" customWidth="1"/>
    <col min="30" max="30" width="12.28515625" bestFit="1" customWidth="1"/>
    <col min="31" max="34" width="9.7109375" customWidth="1"/>
  </cols>
  <sheetData>
    <row r="1" spans="1:37" s="20" customFormat="1" ht="46.5">
      <c r="A1" s="25"/>
      <c r="B1" s="408" t="s">
        <v>44</v>
      </c>
      <c r="C1" s="25" t="s">
        <v>45</v>
      </c>
      <c r="D1" s="25" t="s">
        <v>369</v>
      </c>
      <c r="E1" s="25" t="s">
        <v>371</v>
      </c>
      <c r="F1" s="25" t="s">
        <v>370</v>
      </c>
      <c r="G1" s="25"/>
      <c r="H1" s="25" t="s">
        <v>46</v>
      </c>
      <c r="I1" s="25" t="s">
        <v>49</v>
      </c>
      <c r="J1" s="408" t="s">
        <v>47</v>
      </c>
      <c r="K1" s="25" t="s">
        <v>45</v>
      </c>
      <c r="L1" s="25" t="s">
        <v>369</v>
      </c>
      <c r="M1" s="25" t="s">
        <v>371</v>
      </c>
      <c r="N1" s="25" t="s">
        <v>370</v>
      </c>
      <c r="O1" s="286"/>
      <c r="P1" s="25" t="s">
        <v>46</v>
      </c>
      <c r="Q1" s="25" t="s">
        <v>49</v>
      </c>
      <c r="R1" s="408" t="s">
        <v>48</v>
      </c>
      <c r="S1" s="25" t="s">
        <v>45</v>
      </c>
      <c r="T1" s="25" t="s">
        <v>369</v>
      </c>
      <c r="U1" s="25" t="s">
        <v>371</v>
      </c>
      <c r="V1" s="25" t="s">
        <v>370</v>
      </c>
      <c r="W1" s="25"/>
      <c r="X1" s="25" t="s">
        <v>46</v>
      </c>
      <c r="Y1" s="25" t="s">
        <v>49</v>
      </c>
      <c r="Z1" s="25" t="s">
        <v>50</v>
      </c>
      <c r="AA1" s="25" t="s">
        <v>373</v>
      </c>
      <c r="AB1" s="286" t="s">
        <v>372</v>
      </c>
      <c r="AC1" s="286" t="s">
        <v>111</v>
      </c>
      <c r="AD1" s="72" t="s">
        <v>112</v>
      </c>
      <c r="AE1" s="72"/>
      <c r="AF1" s="72"/>
      <c r="AG1" s="72"/>
      <c r="AH1" s="72"/>
      <c r="AI1" s="72" t="s">
        <v>300</v>
      </c>
      <c r="AK1" s="20" t="s">
        <v>374</v>
      </c>
    </row>
    <row r="2" spans="1:37" ht="15.75" thickBot="1">
      <c r="A2" s="4">
        <f>ELEC!C2</f>
        <v>44227</v>
      </c>
      <c r="B2" s="270">
        <f>[2]GEN!B33</f>
        <v>9538</v>
      </c>
      <c r="C2" s="270">
        <f>[2]GEN!C33</f>
        <v>3</v>
      </c>
      <c r="D2" s="270">
        <f>[2]GEN!D33</f>
        <v>311030.8</v>
      </c>
      <c r="E2" s="270">
        <f>[2]GEN!E33</f>
        <v>521.79999999998836</v>
      </c>
      <c r="F2" s="270">
        <f>[2]GEN!F33</f>
        <v>173.93333333332944</v>
      </c>
      <c r="G2" s="270">
        <f>[2]GEN!G33</f>
        <v>0</v>
      </c>
      <c r="H2" s="270">
        <v>9729</v>
      </c>
      <c r="I2" s="270" t="str">
        <f>[2]GEN!I33</f>
        <v>ok</v>
      </c>
      <c r="J2" s="270">
        <f>[2]GEN!J33</f>
        <v>10698</v>
      </c>
      <c r="K2" s="270">
        <f>[2]GEN!K33</f>
        <v>0</v>
      </c>
      <c r="L2" s="270">
        <f>[2]GEN!L33</f>
        <v>357691</v>
      </c>
      <c r="M2" s="270">
        <f>[2]GEN!M33</f>
        <v>0</v>
      </c>
      <c r="N2" s="270">
        <f>[2]GEN!N33</f>
        <v>0</v>
      </c>
      <c r="O2" s="270">
        <f>[2]GEN!O33</f>
        <v>0</v>
      </c>
      <c r="P2" s="270">
        <f>[2]GEN!P33</f>
        <v>10873</v>
      </c>
      <c r="Q2" s="270" t="str">
        <f>[2]GEN!Q33</f>
        <v>ok</v>
      </c>
      <c r="R2" s="270">
        <f>[2]GEN!R33</f>
        <v>11798</v>
      </c>
      <c r="S2" s="270">
        <f>[2]GEN!S33</f>
        <v>0</v>
      </c>
      <c r="T2" s="270">
        <f>[2]GEN!T33</f>
        <v>379229</v>
      </c>
      <c r="U2" s="270">
        <f>[2]GEN!U33</f>
        <v>0</v>
      </c>
      <c r="V2" s="270">
        <f>[2]GEN!V33</f>
        <v>0</v>
      </c>
      <c r="W2" s="270">
        <f>[2]GEN!W33</f>
        <v>0</v>
      </c>
      <c r="X2" s="270">
        <v>11898</v>
      </c>
      <c r="Y2" s="270" t="str">
        <f>[2]GEN!Y33</f>
        <v>ok</v>
      </c>
      <c r="Z2" s="270">
        <f>[2]GEN!Z33</f>
        <v>3</v>
      </c>
      <c r="AA2" s="270">
        <f>[2]GEN!AA33</f>
        <v>521.79999999998836</v>
      </c>
      <c r="AB2" s="270">
        <f>[2]GEN!AB33</f>
        <v>173.93333333332944</v>
      </c>
      <c r="AC2" s="270">
        <f>[2]GEN!AC33</f>
        <v>173.93333333332944</v>
      </c>
      <c r="AD2" s="270">
        <f>[2]GEN!AD33</f>
        <v>2007.0000000014261</v>
      </c>
      <c r="AE2" s="270">
        <f>[2]GEN!AE33</f>
        <v>669.00000000047532</v>
      </c>
      <c r="AF2" s="270">
        <f>[2]GEN!AF33</f>
        <v>0.41812500000029706</v>
      </c>
      <c r="AG2" s="270">
        <f>[2]GEN!AG33</f>
        <v>133.80000000009505</v>
      </c>
      <c r="AH2" s="270">
        <f>[2]GEN!AH33</f>
        <v>40.13333333323439</v>
      </c>
      <c r="AI2" s="270">
        <f>[2]GEN!AI33</f>
        <v>516.56962025353164</v>
      </c>
      <c r="AJ2" s="270">
        <f>[2]GEN!AJ33</f>
        <v>0.25738396624472576</v>
      </c>
      <c r="AK2" s="270">
        <f>[2]GEN!AK33</f>
        <v>172.18987341784387</v>
      </c>
    </row>
    <row r="3" spans="1:37" ht="15.75" thickBot="1">
      <c r="A3" s="4">
        <f>ELEC!C3</f>
        <v>44228</v>
      </c>
      <c r="B3" s="540">
        <v>9541</v>
      </c>
      <c r="C3" s="287">
        <f>B3-B2</f>
        <v>3</v>
      </c>
      <c r="D3" s="541">
        <v>311569</v>
      </c>
      <c r="E3" s="287">
        <f>SUM(D3-D2)</f>
        <v>538.20000000001164</v>
      </c>
      <c r="F3" s="287">
        <f t="shared" ref="F3:F30" si="0">IF(C3&gt;0,E3/C3,0)</f>
        <v>179.40000000000387</v>
      </c>
      <c r="G3" s="270">
        <f>[5]GEN!G32</f>
        <v>0</v>
      </c>
      <c r="H3" s="270">
        <f>H2</f>
        <v>9729</v>
      </c>
      <c r="I3" s="287" t="str">
        <f t="shared" ref="I3:I30" si="1">IF(B3-H3&lt;=0,"ok","oil change")</f>
        <v>ok</v>
      </c>
      <c r="J3" s="541">
        <f>J2</f>
        <v>10698</v>
      </c>
      <c r="K3" s="287">
        <f t="shared" ref="K3:K30" si="2">J3-J2</f>
        <v>0</v>
      </c>
      <c r="L3" s="541">
        <f>L2</f>
        <v>357691</v>
      </c>
      <c r="M3" s="287">
        <f t="shared" ref="M3:M30" si="3">SUM(L3-L2)</f>
        <v>0</v>
      </c>
      <c r="N3" s="287">
        <f>IF(K3&gt;0,M3/K3,0)</f>
        <v>0</v>
      </c>
      <c r="O3" s="270">
        <f>[5]GEN!O32</f>
        <v>0</v>
      </c>
      <c r="P3" s="288">
        <f>P2</f>
        <v>10873</v>
      </c>
      <c r="Q3" s="287" t="str">
        <f t="shared" ref="Q3:Q17" si="4">IF(J3-P3&lt;=0,"ok","oil change")</f>
        <v>ok</v>
      </c>
      <c r="R3" s="541">
        <f>R2</f>
        <v>11798</v>
      </c>
      <c r="S3" s="287">
        <f t="shared" ref="S3:S30" si="5">R3-R2</f>
        <v>0</v>
      </c>
      <c r="T3" s="541">
        <f>T2</f>
        <v>379229</v>
      </c>
      <c r="U3" s="287">
        <f t="shared" ref="U3:U9" si="6">SUM(T3-T2)</f>
        <v>0</v>
      </c>
      <c r="V3" s="287">
        <f>IF(S3&gt;0,U3/S3,0)</f>
        <v>0</v>
      </c>
      <c r="W3" s="270">
        <f>[5]GEN!W32</f>
        <v>0</v>
      </c>
      <c r="X3" s="288">
        <f>X2</f>
        <v>11898</v>
      </c>
      <c r="Y3" s="287" t="str">
        <f t="shared" ref="Y3:Y9" si="7">IF(R3-X3&lt;=0,"ok","oil change")</f>
        <v>ok</v>
      </c>
      <c r="Z3" s="287">
        <f t="shared" ref="Z3:Z30" si="8">C3+K3+S3</f>
        <v>3</v>
      </c>
      <c r="AA3" s="287">
        <f>U3+M3+E3</f>
        <v>538.20000000001164</v>
      </c>
      <c r="AB3" s="287">
        <f>V3+N3+F3</f>
        <v>179.40000000000387</v>
      </c>
      <c r="AC3" s="287">
        <f>IF(Z3&gt;0,AA3/Z3,0)</f>
        <v>179.40000000000387</v>
      </c>
      <c r="AD3" s="73">
        <f>ELEC!Q3</f>
        <v>1968.0000000007567</v>
      </c>
      <c r="AE3" s="73">
        <f>SUM(AD3/Z3)</f>
        <v>656.00000000025227</v>
      </c>
      <c r="AF3" s="403">
        <f>SUM(AE3/1600)</f>
        <v>0.41000000000015768</v>
      </c>
      <c r="AG3" s="404">
        <f>SUM(360*AF3)</f>
        <v>147.60000000005675</v>
      </c>
      <c r="AH3" s="404">
        <f>SUM(AC3-AG3)</f>
        <v>31.799999999947119</v>
      </c>
      <c r="AI3" s="73">
        <f>AD3*AJ3</f>
        <v>506.53164556981505</v>
      </c>
      <c r="AJ3" s="289">
        <f t="shared" ref="AJ3:AJ30" si="9">305/1185</f>
        <v>0.25738396624472576</v>
      </c>
      <c r="AK3" s="289">
        <f t="shared" ref="AK3:AK8" si="10">AI3/Z3</f>
        <v>168.84388185660501</v>
      </c>
    </row>
    <row r="4" spans="1:37" ht="15.75" thickBot="1">
      <c r="A4" s="4">
        <f>ELEC!C4</f>
        <v>44229</v>
      </c>
      <c r="B4" s="540">
        <v>9545</v>
      </c>
      <c r="C4" s="287">
        <f t="shared" ref="C4:C30" si="11">B4-B3</f>
        <v>4</v>
      </c>
      <c r="D4" s="541">
        <v>312307</v>
      </c>
      <c r="E4" s="287">
        <f t="shared" ref="E4:E30" si="12">SUM(D4-D3)</f>
        <v>738</v>
      </c>
      <c r="F4" s="287">
        <f t="shared" si="0"/>
        <v>184.5</v>
      </c>
      <c r="G4" s="196"/>
      <c r="H4" s="270">
        <f t="shared" ref="H4:H30" si="13">H3</f>
        <v>9729</v>
      </c>
      <c r="I4" s="287" t="str">
        <f t="shared" si="1"/>
        <v>ok</v>
      </c>
      <c r="J4" s="541">
        <f t="shared" ref="J4:L30" si="14">J3</f>
        <v>10698</v>
      </c>
      <c r="K4" s="287">
        <f t="shared" si="2"/>
        <v>0</v>
      </c>
      <c r="L4" s="541">
        <f t="shared" si="14"/>
        <v>357691</v>
      </c>
      <c r="M4" s="287">
        <f t="shared" si="3"/>
        <v>0</v>
      </c>
      <c r="N4" s="287">
        <f t="shared" ref="N4:N30" si="15">IF(K4&gt;0,M4/K4,0)</f>
        <v>0</v>
      </c>
      <c r="O4" s="196"/>
      <c r="P4" s="288">
        <f t="shared" ref="P4:P30" si="16">P3</f>
        <v>10873</v>
      </c>
      <c r="Q4" s="287" t="str">
        <f t="shared" si="4"/>
        <v>ok</v>
      </c>
      <c r="R4" s="541">
        <f t="shared" ref="R4:R23" si="17">R3</f>
        <v>11798</v>
      </c>
      <c r="S4" s="287">
        <f t="shared" si="5"/>
        <v>0</v>
      </c>
      <c r="T4" s="541">
        <f t="shared" ref="T4:T23" si="18">T3</f>
        <v>379229</v>
      </c>
      <c r="U4" s="287">
        <f t="shared" si="6"/>
        <v>0</v>
      </c>
      <c r="V4" s="287">
        <f t="shared" ref="V4:V30" si="19">IF(S4&gt;0,U4/S4,0)</f>
        <v>0</v>
      </c>
      <c r="W4" s="196"/>
      <c r="X4" s="288">
        <f t="shared" ref="X4:X30" si="20">X3</f>
        <v>11898</v>
      </c>
      <c r="Y4" s="287" t="str">
        <f t="shared" si="7"/>
        <v>ok</v>
      </c>
      <c r="Z4" s="287">
        <f t="shared" si="8"/>
        <v>4</v>
      </c>
      <c r="AA4" s="287">
        <f t="shared" ref="AA4:AA30" si="21">U4+M4+E4</f>
        <v>738</v>
      </c>
      <c r="AB4" s="287">
        <f t="shared" ref="AB4:AB30" si="22">V4+N4+F4</f>
        <v>184.5</v>
      </c>
      <c r="AC4" s="287">
        <f t="shared" ref="AC4:AC30" si="23">IF(Z4&gt;0,AA4/Z4,0)</f>
        <v>184.5</v>
      </c>
      <c r="AD4" s="73">
        <f>ELEC!Q4</f>
        <v>2254.9999999973807</v>
      </c>
      <c r="AE4" s="73">
        <f>SUM(AD4/Z4)</f>
        <v>563.74999999934516</v>
      </c>
      <c r="AF4" s="403">
        <f>SUM(AE4/1600)</f>
        <v>0.35234374999959073</v>
      </c>
      <c r="AG4" s="404">
        <f>SUM(360*AF4)</f>
        <v>126.84374999985266</v>
      </c>
      <c r="AH4" s="404">
        <f t="shared" ref="AH4:AH30" si="24">SUM(AC4-AG4)</f>
        <v>57.656250000147338</v>
      </c>
      <c r="AI4" s="73">
        <f>AD4*AJ4</f>
        <v>580.40084388118237</v>
      </c>
      <c r="AJ4" s="289">
        <f t="shared" si="9"/>
        <v>0.25738396624472576</v>
      </c>
      <c r="AK4" s="289">
        <f t="shared" si="10"/>
        <v>145.10021097029559</v>
      </c>
    </row>
    <row r="5" spans="1:37" ht="15.75" thickBot="1">
      <c r="A5" s="4">
        <f>ELEC!C5</f>
        <v>44230</v>
      </c>
      <c r="B5" s="540">
        <v>9549</v>
      </c>
      <c r="C5" s="287">
        <f t="shared" si="11"/>
        <v>4</v>
      </c>
      <c r="D5" s="541">
        <v>312999</v>
      </c>
      <c r="E5" s="287">
        <f t="shared" si="12"/>
        <v>692</v>
      </c>
      <c r="F5" s="287">
        <f t="shared" si="0"/>
        <v>173</v>
      </c>
      <c r="G5" s="285"/>
      <c r="H5" s="270">
        <f t="shared" si="13"/>
        <v>9729</v>
      </c>
      <c r="I5" s="287" t="str">
        <f t="shared" si="1"/>
        <v>ok</v>
      </c>
      <c r="J5" s="541">
        <f t="shared" si="14"/>
        <v>10698</v>
      </c>
      <c r="K5" s="287">
        <f t="shared" si="2"/>
        <v>0</v>
      </c>
      <c r="L5" s="541">
        <f t="shared" si="14"/>
        <v>357691</v>
      </c>
      <c r="M5" s="287">
        <f t="shared" si="3"/>
        <v>0</v>
      </c>
      <c r="N5" s="287">
        <f t="shared" si="15"/>
        <v>0</v>
      </c>
      <c r="O5" s="196"/>
      <c r="P5" s="288">
        <f t="shared" si="16"/>
        <v>10873</v>
      </c>
      <c r="Q5" s="287" t="str">
        <f t="shared" si="4"/>
        <v>ok</v>
      </c>
      <c r="R5" s="541">
        <f t="shared" si="17"/>
        <v>11798</v>
      </c>
      <c r="S5" s="287">
        <f t="shared" si="5"/>
        <v>0</v>
      </c>
      <c r="T5" s="541">
        <f t="shared" si="18"/>
        <v>379229</v>
      </c>
      <c r="U5" s="287">
        <f t="shared" si="6"/>
        <v>0</v>
      </c>
      <c r="V5" s="287">
        <f>IF(S5&gt;0,U5/S5,0)</f>
        <v>0</v>
      </c>
      <c r="W5" s="196"/>
      <c r="X5" s="288">
        <f t="shared" si="20"/>
        <v>11898</v>
      </c>
      <c r="Y5" s="287" t="str">
        <f t="shared" si="7"/>
        <v>ok</v>
      </c>
      <c r="Z5" s="287">
        <f t="shared" si="8"/>
        <v>4</v>
      </c>
      <c r="AA5" s="287">
        <f t="shared" si="21"/>
        <v>692</v>
      </c>
      <c r="AB5" s="287">
        <f t="shared" si="22"/>
        <v>173</v>
      </c>
      <c r="AC5" s="287">
        <f t="shared" si="23"/>
        <v>173</v>
      </c>
      <c r="AD5" s="73">
        <f>ELEC!Q5</f>
        <v>2921.0000000020955</v>
      </c>
      <c r="AE5" s="73">
        <f t="shared" ref="AE5:AE30" si="25">SUM(AD5/Z5)</f>
        <v>730.25000000052387</v>
      </c>
      <c r="AF5" s="403">
        <f t="shared" ref="AF5:AF30" si="26">SUM(AE5/1600)</f>
        <v>0.45640625000032742</v>
      </c>
      <c r="AG5" s="404">
        <f t="shared" ref="AG5:AG30" si="27">SUM(320*AF5)</f>
        <v>146.05000000010477</v>
      </c>
      <c r="AH5" s="404">
        <f t="shared" si="24"/>
        <v>26.949999999895226</v>
      </c>
      <c r="AI5" s="73">
        <f t="shared" ref="AI5:AI30" si="28">AD5*AJ5</f>
        <v>751.81856540138324</v>
      </c>
      <c r="AJ5" s="289">
        <f t="shared" si="9"/>
        <v>0.25738396624472576</v>
      </c>
      <c r="AK5" s="289">
        <f t="shared" si="10"/>
        <v>187.95464135034581</v>
      </c>
    </row>
    <row r="6" spans="1:37" ht="15.75" thickBot="1">
      <c r="A6" s="4">
        <f>ELEC!C6</f>
        <v>44231</v>
      </c>
      <c r="B6" s="540">
        <v>9553</v>
      </c>
      <c r="C6" s="287">
        <f t="shared" si="11"/>
        <v>4</v>
      </c>
      <c r="D6" s="541">
        <v>313688</v>
      </c>
      <c r="E6" s="287">
        <f t="shared" si="12"/>
        <v>689</v>
      </c>
      <c r="F6" s="287">
        <f t="shared" si="0"/>
        <v>172.25</v>
      </c>
      <c r="G6" s="196"/>
      <c r="H6" s="270">
        <f t="shared" si="13"/>
        <v>9729</v>
      </c>
      <c r="I6" s="287" t="str">
        <f t="shared" si="1"/>
        <v>ok</v>
      </c>
      <c r="J6" s="541">
        <f t="shared" si="14"/>
        <v>10698</v>
      </c>
      <c r="K6" s="287">
        <f t="shared" si="2"/>
        <v>0</v>
      </c>
      <c r="L6" s="541">
        <f t="shared" si="14"/>
        <v>357691</v>
      </c>
      <c r="M6" s="287">
        <f t="shared" si="3"/>
        <v>0</v>
      </c>
      <c r="N6" s="287">
        <f t="shared" si="15"/>
        <v>0</v>
      </c>
      <c r="O6" s="307"/>
      <c r="P6" s="288">
        <f t="shared" si="16"/>
        <v>10873</v>
      </c>
      <c r="Q6" s="287" t="str">
        <f t="shared" si="4"/>
        <v>ok</v>
      </c>
      <c r="R6" s="541">
        <f t="shared" si="17"/>
        <v>11798</v>
      </c>
      <c r="S6" s="287">
        <f t="shared" si="5"/>
        <v>0</v>
      </c>
      <c r="T6" s="541">
        <f t="shared" si="18"/>
        <v>379229</v>
      </c>
      <c r="U6" s="287">
        <f t="shared" si="6"/>
        <v>0</v>
      </c>
      <c r="V6" s="287">
        <f t="shared" si="19"/>
        <v>0</v>
      </c>
      <c r="W6" s="307"/>
      <c r="X6" s="288">
        <f t="shared" si="20"/>
        <v>11898</v>
      </c>
      <c r="Y6" s="287" t="str">
        <f t="shared" si="7"/>
        <v>ok</v>
      </c>
      <c r="Z6" s="287">
        <f t="shared" si="8"/>
        <v>4</v>
      </c>
      <c r="AA6" s="287">
        <f t="shared" si="21"/>
        <v>689</v>
      </c>
      <c r="AB6" s="287">
        <f t="shared" si="22"/>
        <v>172.25</v>
      </c>
      <c r="AC6" s="287">
        <f t="shared" si="23"/>
        <v>172.25</v>
      </c>
      <c r="AD6" s="73">
        <f>ELEC!Q6</f>
        <v>2623.9999999997963</v>
      </c>
      <c r="AE6" s="73">
        <f>SUM(AD6/Z6)</f>
        <v>655.99999999994907</v>
      </c>
      <c r="AF6" s="403">
        <f t="shared" si="26"/>
        <v>0.40999999999996817</v>
      </c>
      <c r="AG6" s="404">
        <f>SUM(320*AF6)</f>
        <v>131.19999999998981</v>
      </c>
      <c r="AH6" s="404">
        <f t="shared" si="24"/>
        <v>41.050000000010186</v>
      </c>
      <c r="AI6" s="73">
        <f t="shared" si="28"/>
        <v>675.37552742610796</v>
      </c>
      <c r="AJ6" s="289">
        <f t="shared" si="9"/>
        <v>0.25738396624472576</v>
      </c>
      <c r="AK6" s="289">
        <f t="shared" si="10"/>
        <v>168.84388185652699</v>
      </c>
    </row>
    <row r="7" spans="1:37" ht="15.75" thickBot="1">
      <c r="A7" s="4">
        <f>ELEC!C7</f>
        <v>44232</v>
      </c>
      <c r="B7" s="540">
        <v>9556</v>
      </c>
      <c r="C7" s="287">
        <f t="shared" si="11"/>
        <v>3</v>
      </c>
      <c r="D7" s="541">
        <v>314232</v>
      </c>
      <c r="E7" s="287">
        <f t="shared" si="12"/>
        <v>544</v>
      </c>
      <c r="F7" s="287">
        <f t="shared" si="0"/>
        <v>181.33333333333334</v>
      </c>
      <c r="G7" s="196"/>
      <c r="H7" s="270">
        <f t="shared" si="13"/>
        <v>9729</v>
      </c>
      <c r="I7" s="287" t="str">
        <f t="shared" si="1"/>
        <v>ok</v>
      </c>
      <c r="J7" s="541">
        <f t="shared" si="14"/>
        <v>10698</v>
      </c>
      <c r="K7" s="287">
        <f t="shared" si="2"/>
        <v>0</v>
      </c>
      <c r="L7" s="541">
        <f t="shared" si="14"/>
        <v>357691</v>
      </c>
      <c r="M7" s="287">
        <f t="shared" si="3"/>
        <v>0</v>
      </c>
      <c r="N7" s="287">
        <f t="shared" si="15"/>
        <v>0</v>
      </c>
      <c r="O7" s="307"/>
      <c r="P7" s="288">
        <f t="shared" si="16"/>
        <v>10873</v>
      </c>
      <c r="Q7" s="287" t="str">
        <f t="shared" si="4"/>
        <v>ok</v>
      </c>
      <c r="R7" s="541">
        <v>11798</v>
      </c>
      <c r="S7" s="287">
        <f t="shared" si="5"/>
        <v>0</v>
      </c>
      <c r="T7" s="541">
        <f t="shared" si="18"/>
        <v>379229</v>
      </c>
      <c r="U7" s="287">
        <f t="shared" si="6"/>
        <v>0</v>
      </c>
      <c r="V7" s="287">
        <f t="shared" si="19"/>
        <v>0</v>
      </c>
      <c r="W7" s="196"/>
      <c r="X7" s="288">
        <f t="shared" si="20"/>
        <v>11898</v>
      </c>
      <c r="Y7" s="287" t="str">
        <f t="shared" si="7"/>
        <v>ok</v>
      </c>
      <c r="Z7" s="287">
        <f t="shared" si="8"/>
        <v>3</v>
      </c>
      <c r="AA7" s="287">
        <f>U7+M7+E7</f>
        <v>544</v>
      </c>
      <c r="AB7" s="287">
        <f t="shared" si="22"/>
        <v>181.33333333333334</v>
      </c>
      <c r="AC7" s="287">
        <f t="shared" si="23"/>
        <v>181.33333333333334</v>
      </c>
      <c r="AD7" s="73">
        <f>ELEC!Q7</f>
        <v>1965.0000000001455</v>
      </c>
      <c r="AE7" s="73">
        <f t="shared" si="25"/>
        <v>655.00000000004854</v>
      </c>
      <c r="AF7" s="403">
        <f t="shared" si="26"/>
        <v>0.40937500000003035</v>
      </c>
      <c r="AG7" s="504" t="s">
        <v>403</v>
      </c>
      <c r="AH7" s="404" t="e">
        <f t="shared" si="24"/>
        <v>#VALUE!</v>
      </c>
      <c r="AI7" s="73">
        <f t="shared" si="28"/>
        <v>505.75949367092358</v>
      </c>
      <c r="AJ7" s="289">
        <f t="shared" si="9"/>
        <v>0.25738396624472576</v>
      </c>
      <c r="AK7" s="289">
        <f t="shared" si="10"/>
        <v>168.58649789030787</v>
      </c>
    </row>
    <row r="8" spans="1:37" ht="15.75" thickBot="1">
      <c r="A8" s="4">
        <f>ELEC!C8</f>
        <v>44233</v>
      </c>
      <c r="B8" s="540">
        <v>9559</v>
      </c>
      <c r="C8" s="287">
        <f t="shared" si="11"/>
        <v>3</v>
      </c>
      <c r="D8" s="541">
        <v>314706</v>
      </c>
      <c r="E8" s="287">
        <f t="shared" si="12"/>
        <v>474</v>
      </c>
      <c r="F8" s="287">
        <f t="shared" si="0"/>
        <v>158</v>
      </c>
      <c r="G8" s="196"/>
      <c r="H8" s="270">
        <f t="shared" si="13"/>
        <v>9729</v>
      </c>
      <c r="I8" s="287" t="str">
        <f t="shared" si="1"/>
        <v>ok</v>
      </c>
      <c r="J8" s="541">
        <f t="shared" si="14"/>
        <v>10698</v>
      </c>
      <c r="K8" s="287">
        <f t="shared" si="2"/>
        <v>0</v>
      </c>
      <c r="L8" s="541">
        <f t="shared" si="14"/>
        <v>357691</v>
      </c>
      <c r="M8" s="287">
        <f t="shared" si="3"/>
        <v>0</v>
      </c>
      <c r="N8" s="287">
        <f t="shared" si="15"/>
        <v>0</v>
      </c>
      <c r="O8" s="196"/>
      <c r="P8" s="288">
        <f t="shared" si="16"/>
        <v>10873</v>
      </c>
      <c r="Q8" s="287" t="str">
        <f t="shared" si="4"/>
        <v>ok</v>
      </c>
      <c r="R8" s="541">
        <f t="shared" si="17"/>
        <v>11798</v>
      </c>
      <c r="S8" s="287">
        <f t="shared" si="5"/>
        <v>0</v>
      </c>
      <c r="T8" s="541">
        <f t="shared" si="18"/>
        <v>379229</v>
      </c>
      <c r="U8" s="287">
        <f t="shared" si="6"/>
        <v>0</v>
      </c>
      <c r="V8" s="287">
        <f t="shared" si="19"/>
        <v>0</v>
      </c>
      <c r="W8" s="196"/>
      <c r="X8" s="288">
        <f t="shared" si="20"/>
        <v>11898</v>
      </c>
      <c r="Y8" s="287" t="str">
        <f t="shared" si="7"/>
        <v>ok</v>
      </c>
      <c r="Z8" s="287">
        <f t="shared" si="8"/>
        <v>3</v>
      </c>
      <c r="AA8" s="287">
        <f t="shared" si="21"/>
        <v>474</v>
      </c>
      <c r="AB8" s="287">
        <f t="shared" si="22"/>
        <v>158</v>
      </c>
      <c r="AC8" s="287">
        <f t="shared" si="23"/>
        <v>158</v>
      </c>
      <c r="AD8" s="73">
        <f>ELEC!Q8</f>
        <v>1693.9999999995052</v>
      </c>
      <c r="AE8" s="73">
        <f t="shared" si="25"/>
        <v>564.66666666650178</v>
      </c>
      <c r="AF8" s="403">
        <f t="shared" si="26"/>
        <v>0.35291666666656363</v>
      </c>
      <c r="AG8" s="404">
        <f t="shared" si="27"/>
        <v>112.93333333330037</v>
      </c>
      <c r="AH8" s="404">
        <f t="shared" si="24"/>
        <v>45.066666666699632</v>
      </c>
      <c r="AI8" s="73">
        <f t="shared" si="28"/>
        <v>436.00843881843809</v>
      </c>
      <c r="AJ8" s="289">
        <f t="shared" si="9"/>
        <v>0.25738396624472576</v>
      </c>
      <c r="AK8" s="289">
        <f t="shared" si="10"/>
        <v>145.3361462728127</v>
      </c>
    </row>
    <row r="9" spans="1:37" ht="15.75" thickBot="1">
      <c r="A9" s="4">
        <f>ELEC!C9</f>
        <v>44234</v>
      </c>
      <c r="B9" s="540">
        <v>9562</v>
      </c>
      <c r="C9" s="287">
        <f t="shared" si="11"/>
        <v>3</v>
      </c>
      <c r="D9" s="541">
        <v>315186</v>
      </c>
      <c r="E9" s="287">
        <f t="shared" si="12"/>
        <v>480</v>
      </c>
      <c r="F9" s="287">
        <f t="shared" si="0"/>
        <v>160</v>
      </c>
      <c r="G9" s="196"/>
      <c r="H9" s="270">
        <v>9729</v>
      </c>
      <c r="I9" s="287" t="str">
        <f t="shared" si="1"/>
        <v>ok</v>
      </c>
      <c r="J9" s="541">
        <f t="shared" si="14"/>
        <v>10698</v>
      </c>
      <c r="K9" s="287">
        <f t="shared" si="2"/>
        <v>0</v>
      </c>
      <c r="L9" s="541">
        <f t="shared" si="14"/>
        <v>357691</v>
      </c>
      <c r="M9" s="287">
        <f t="shared" si="3"/>
        <v>0</v>
      </c>
      <c r="N9" s="287">
        <f t="shared" si="15"/>
        <v>0</v>
      </c>
      <c r="O9" s="196"/>
      <c r="P9" s="288">
        <f t="shared" si="16"/>
        <v>10873</v>
      </c>
      <c r="Q9" s="287" t="str">
        <f t="shared" si="4"/>
        <v>ok</v>
      </c>
      <c r="R9" s="541">
        <f t="shared" si="17"/>
        <v>11798</v>
      </c>
      <c r="S9" s="287">
        <f t="shared" si="5"/>
        <v>0</v>
      </c>
      <c r="T9" s="541">
        <f t="shared" si="18"/>
        <v>379229</v>
      </c>
      <c r="U9" s="287">
        <f t="shared" si="6"/>
        <v>0</v>
      </c>
      <c r="V9" s="287">
        <f t="shared" si="19"/>
        <v>0</v>
      </c>
      <c r="W9" s="196"/>
      <c r="X9" s="288">
        <f t="shared" si="20"/>
        <v>11898</v>
      </c>
      <c r="Y9" s="287" t="str">
        <f t="shared" si="7"/>
        <v>ok</v>
      </c>
      <c r="Z9" s="287">
        <f t="shared" si="8"/>
        <v>3</v>
      </c>
      <c r="AA9" s="287">
        <f t="shared" si="21"/>
        <v>480</v>
      </c>
      <c r="AB9" s="287">
        <f t="shared" si="22"/>
        <v>160</v>
      </c>
      <c r="AC9" s="287">
        <f t="shared" si="23"/>
        <v>160</v>
      </c>
      <c r="AD9" s="73">
        <f>ELEC!Q9</f>
        <v>2044.000000001688</v>
      </c>
      <c r="AE9" s="73">
        <f t="shared" si="25"/>
        <v>681.33333333389601</v>
      </c>
      <c r="AF9" s="403">
        <f t="shared" si="26"/>
        <v>0.425833333333685</v>
      </c>
      <c r="AG9" s="404">
        <f t="shared" si="27"/>
        <v>136.2666666667792</v>
      </c>
      <c r="AH9" s="404">
        <f t="shared" si="24"/>
        <v>23.733333333220799</v>
      </c>
      <c r="AI9" s="73">
        <f t="shared" si="28"/>
        <v>526.09282700465394</v>
      </c>
      <c r="AJ9" s="289">
        <v>0.25738396624472576</v>
      </c>
      <c r="AK9" s="289">
        <f t="shared" ref="AK9:AK16" si="29">IF(Z9&gt;0,AI9/Z9,0)</f>
        <v>175.36427566821797</v>
      </c>
    </row>
    <row r="10" spans="1:37" ht="15.75" thickBot="1">
      <c r="A10" s="4">
        <f>ELEC!C10</f>
        <v>44235</v>
      </c>
      <c r="B10" s="540">
        <v>9565</v>
      </c>
      <c r="C10" s="287">
        <f t="shared" si="11"/>
        <v>3</v>
      </c>
      <c r="D10" s="541">
        <v>315670</v>
      </c>
      <c r="E10" s="287">
        <f t="shared" si="12"/>
        <v>484</v>
      </c>
      <c r="F10" s="287">
        <f t="shared" si="0"/>
        <v>161.33333333333334</v>
      </c>
      <c r="G10" s="196"/>
      <c r="H10" s="270">
        <f t="shared" si="13"/>
        <v>9729</v>
      </c>
      <c r="I10" s="287" t="str">
        <f t="shared" si="1"/>
        <v>ok</v>
      </c>
      <c r="J10" s="541">
        <f t="shared" si="14"/>
        <v>10698</v>
      </c>
      <c r="K10" s="287">
        <f t="shared" si="2"/>
        <v>0</v>
      </c>
      <c r="L10" s="541">
        <f t="shared" si="14"/>
        <v>357691</v>
      </c>
      <c r="M10" s="287">
        <f t="shared" si="3"/>
        <v>0</v>
      </c>
      <c r="N10" s="287">
        <f t="shared" si="15"/>
        <v>0</v>
      </c>
      <c r="O10" s="196"/>
      <c r="P10" s="288">
        <f t="shared" si="16"/>
        <v>10873</v>
      </c>
      <c r="Q10" s="287" t="str">
        <f t="shared" si="4"/>
        <v>ok</v>
      </c>
      <c r="R10" s="541">
        <f t="shared" si="17"/>
        <v>11798</v>
      </c>
      <c r="S10" s="287">
        <f t="shared" si="5"/>
        <v>0</v>
      </c>
      <c r="T10" s="541">
        <f t="shared" si="18"/>
        <v>379229</v>
      </c>
      <c r="U10" s="287">
        <f t="shared" ref="U10:U20" si="30">SUM(T10-T9)</f>
        <v>0</v>
      </c>
      <c r="V10" s="287">
        <f t="shared" ref="V10:V20" si="31">IF(S10&gt;0,U10/S10,0)</f>
        <v>0</v>
      </c>
      <c r="W10" s="338"/>
      <c r="X10" s="288">
        <f t="shared" si="20"/>
        <v>11898</v>
      </c>
      <c r="Y10" s="287" t="str">
        <f t="shared" ref="Y10:Y20" si="32">IF(R10-X10&lt;=0,"ok","oil change")</f>
        <v>ok</v>
      </c>
      <c r="Z10" s="287">
        <f t="shared" si="8"/>
        <v>3</v>
      </c>
      <c r="AA10" s="287">
        <f t="shared" si="21"/>
        <v>484</v>
      </c>
      <c r="AB10" s="287">
        <f t="shared" si="22"/>
        <v>161.33333333333334</v>
      </c>
      <c r="AC10" s="287">
        <f t="shared" si="23"/>
        <v>161.33333333333334</v>
      </c>
      <c r="AD10" s="73">
        <f>ELEC!Q10</f>
        <v>2044.9999999982538</v>
      </c>
      <c r="AE10" s="73">
        <f t="shared" si="25"/>
        <v>681.66666666608455</v>
      </c>
      <c r="AF10" s="403">
        <f t="shared" si="26"/>
        <v>0.42604166666630283</v>
      </c>
      <c r="AG10" s="404">
        <f t="shared" si="27"/>
        <v>136.3333333332169</v>
      </c>
      <c r="AH10" s="404">
        <f t="shared" si="24"/>
        <v>25.000000000116444</v>
      </c>
      <c r="AI10" s="73">
        <f t="shared" si="28"/>
        <v>526.3502109700147</v>
      </c>
      <c r="AJ10" s="289">
        <f t="shared" si="9"/>
        <v>0.25738396624472576</v>
      </c>
      <c r="AK10" s="289">
        <f t="shared" si="29"/>
        <v>175.45007032333822</v>
      </c>
    </row>
    <row r="11" spans="1:37" ht="15.75" thickBot="1">
      <c r="A11" s="4">
        <f>ELEC!C11</f>
        <v>44236</v>
      </c>
      <c r="B11" s="540">
        <v>9570</v>
      </c>
      <c r="C11" s="287">
        <f t="shared" si="11"/>
        <v>5</v>
      </c>
      <c r="D11" s="541">
        <v>316363</v>
      </c>
      <c r="E11" s="287">
        <f t="shared" si="12"/>
        <v>693</v>
      </c>
      <c r="F11" s="287">
        <f t="shared" si="0"/>
        <v>138.6</v>
      </c>
      <c r="G11" s="196"/>
      <c r="H11" s="270">
        <f t="shared" si="13"/>
        <v>9729</v>
      </c>
      <c r="I11" s="287" t="str">
        <f t="shared" si="1"/>
        <v>ok</v>
      </c>
      <c r="J11" s="541">
        <f t="shared" si="14"/>
        <v>10698</v>
      </c>
      <c r="K11" s="287">
        <f t="shared" si="2"/>
        <v>0</v>
      </c>
      <c r="L11" s="541">
        <f t="shared" si="14"/>
        <v>357691</v>
      </c>
      <c r="M11" s="287">
        <f t="shared" si="3"/>
        <v>0</v>
      </c>
      <c r="N11" s="287">
        <f t="shared" si="15"/>
        <v>0</v>
      </c>
      <c r="O11" s="196"/>
      <c r="P11" s="288">
        <f t="shared" si="16"/>
        <v>10873</v>
      </c>
      <c r="Q11" s="287" t="str">
        <f t="shared" si="4"/>
        <v>ok</v>
      </c>
      <c r="R11" s="541">
        <f t="shared" si="17"/>
        <v>11798</v>
      </c>
      <c r="S11" s="287">
        <f t="shared" si="5"/>
        <v>0</v>
      </c>
      <c r="T11" s="541">
        <f t="shared" si="18"/>
        <v>379229</v>
      </c>
      <c r="U11" s="287">
        <f t="shared" si="30"/>
        <v>0</v>
      </c>
      <c r="V11" s="287">
        <f t="shared" si="31"/>
        <v>0</v>
      </c>
      <c r="W11" s="338"/>
      <c r="X11" s="288">
        <f t="shared" si="20"/>
        <v>11898</v>
      </c>
      <c r="Y11" s="287" t="str">
        <f t="shared" si="32"/>
        <v>ok</v>
      </c>
      <c r="Z11" s="287">
        <f t="shared" si="8"/>
        <v>5</v>
      </c>
      <c r="AA11" s="287">
        <f t="shared" si="21"/>
        <v>693</v>
      </c>
      <c r="AB11" s="287">
        <f t="shared" si="22"/>
        <v>138.6</v>
      </c>
      <c r="AC11" s="287">
        <f t="shared" si="23"/>
        <v>138.6</v>
      </c>
      <c r="AD11" s="73">
        <f>ELEC!Q11</f>
        <v>3436.0000000015134</v>
      </c>
      <c r="AE11" s="73">
        <f t="shared" si="25"/>
        <v>687.20000000030268</v>
      </c>
      <c r="AF11" s="403">
        <f t="shared" si="26"/>
        <v>0.42950000000018917</v>
      </c>
      <c r="AG11" s="404">
        <f t="shared" si="27"/>
        <v>137.44000000006054</v>
      </c>
      <c r="AH11" s="404">
        <f t="shared" si="24"/>
        <v>1.1599999999394583</v>
      </c>
      <c r="AI11" s="73">
        <f t="shared" si="28"/>
        <v>884.37130801726721</v>
      </c>
      <c r="AJ11" s="289">
        <f t="shared" si="9"/>
        <v>0.25738396624472576</v>
      </c>
      <c r="AK11" s="289">
        <f t="shared" si="29"/>
        <v>176.87426160345345</v>
      </c>
    </row>
    <row r="12" spans="1:37" ht="15.75" thickBot="1">
      <c r="A12" s="4">
        <f>ELEC!C12</f>
        <v>44237</v>
      </c>
      <c r="B12" s="540">
        <v>9577</v>
      </c>
      <c r="C12" s="287">
        <f t="shared" si="11"/>
        <v>7</v>
      </c>
      <c r="D12" s="541">
        <v>317389</v>
      </c>
      <c r="E12" s="287">
        <f t="shared" si="12"/>
        <v>1026</v>
      </c>
      <c r="F12" s="287">
        <f t="shared" si="0"/>
        <v>146.57142857142858</v>
      </c>
      <c r="G12" s="196"/>
      <c r="H12" s="270">
        <f t="shared" si="13"/>
        <v>9729</v>
      </c>
      <c r="I12" s="287" t="str">
        <f t="shared" si="1"/>
        <v>ok</v>
      </c>
      <c r="J12" s="541">
        <f t="shared" si="14"/>
        <v>10698</v>
      </c>
      <c r="K12" s="287">
        <f t="shared" si="2"/>
        <v>0</v>
      </c>
      <c r="L12" s="541">
        <f t="shared" si="14"/>
        <v>357691</v>
      </c>
      <c r="M12" s="287">
        <f t="shared" si="3"/>
        <v>0</v>
      </c>
      <c r="N12" s="287">
        <f t="shared" si="15"/>
        <v>0</v>
      </c>
      <c r="O12" s="196"/>
      <c r="P12" s="288">
        <f t="shared" si="16"/>
        <v>10873</v>
      </c>
      <c r="Q12" s="287" t="str">
        <f t="shared" si="4"/>
        <v>ok</v>
      </c>
      <c r="R12" s="541">
        <f t="shared" si="17"/>
        <v>11798</v>
      </c>
      <c r="S12" s="287">
        <f t="shared" si="5"/>
        <v>0</v>
      </c>
      <c r="T12" s="541">
        <f t="shared" si="18"/>
        <v>379229</v>
      </c>
      <c r="U12" s="287">
        <f t="shared" si="30"/>
        <v>0</v>
      </c>
      <c r="V12" s="287">
        <f t="shared" si="31"/>
        <v>0</v>
      </c>
      <c r="W12" s="338"/>
      <c r="X12" s="288">
        <f t="shared" si="20"/>
        <v>11898</v>
      </c>
      <c r="Y12" s="287" t="str">
        <f t="shared" si="32"/>
        <v>ok</v>
      </c>
      <c r="Z12" s="287">
        <f t="shared" si="8"/>
        <v>7</v>
      </c>
      <c r="AA12" s="287">
        <f t="shared" si="21"/>
        <v>1026</v>
      </c>
      <c r="AB12" s="287">
        <f t="shared" si="22"/>
        <v>146.57142857142858</v>
      </c>
      <c r="AC12" s="287">
        <f t="shared" si="23"/>
        <v>146.57142857142858</v>
      </c>
      <c r="AD12" s="73">
        <f>ELEC!Q12</f>
        <v>4441.9999999990978</v>
      </c>
      <c r="AE12" s="73">
        <f t="shared" si="25"/>
        <v>634.57142857129963</v>
      </c>
      <c r="AF12" s="403">
        <f t="shared" si="26"/>
        <v>0.39660714285706228</v>
      </c>
      <c r="AG12" s="404">
        <f t="shared" si="27"/>
        <v>126.91428571425993</v>
      </c>
      <c r="AH12" s="404">
        <f t="shared" si="24"/>
        <v>19.657142857168651</v>
      </c>
      <c r="AI12" s="73">
        <f t="shared" si="28"/>
        <v>1143.2995780588396</v>
      </c>
      <c r="AJ12" s="289">
        <f t="shared" si="9"/>
        <v>0.25738396624472576</v>
      </c>
      <c r="AK12" s="289">
        <f t="shared" si="29"/>
        <v>163.3285111512628</v>
      </c>
    </row>
    <row r="13" spans="1:37" ht="15.75" thickBot="1">
      <c r="A13" s="4">
        <f>ELEC!C13</f>
        <v>44238</v>
      </c>
      <c r="B13" s="540">
        <v>9580</v>
      </c>
      <c r="C13" s="287">
        <f t="shared" si="11"/>
        <v>3</v>
      </c>
      <c r="D13" s="541">
        <v>317818</v>
      </c>
      <c r="E13" s="287">
        <f t="shared" si="12"/>
        <v>429</v>
      </c>
      <c r="F13" s="287">
        <f t="shared" si="0"/>
        <v>143</v>
      </c>
      <c r="G13" s="196"/>
      <c r="H13" s="270">
        <f t="shared" si="13"/>
        <v>9729</v>
      </c>
      <c r="I13" s="287" t="str">
        <f t="shared" si="1"/>
        <v>ok</v>
      </c>
      <c r="J13" s="541">
        <f t="shared" si="14"/>
        <v>10698</v>
      </c>
      <c r="K13" s="287">
        <f t="shared" si="2"/>
        <v>0</v>
      </c>
      <c r="L13" s="541">
        <f t="shared" si="14"/>
        <v>357691</v>
      </c>
      <c r="M13" s="287">
        <f t="shared" si="3"/>
        <v>0</v>
      </c>
      <c r="N13" s="287">
        <f t="shared" si="15"/>
        <v>0</v>
      </c>
      <c r="O13" s="196"/>
      <c r="P13" s="288">
        <f t="shared" si="16"/>
        <v>10873</v>
      </c>
      <c r="Q13" s="287" t="str">
        <f t="shared" si="4"/>
        <v>ok</v>
      </c>
      <c r="R13" s="541">
        <v>11801</v>
      </c>
      <c r="S13" s="287">
        <f t="shared" si="5"/>
        <v>3</v>
      </c>
      <c r="T13" s="541">
        <f>T12+429</f>
        <v>379658</v>
      </c>
      <c r="U13" s="287">
        <f t="shared" si="30"/>
        <v>429</v>
      </c>
      <c r="V13" s="287">
        <f t="shared" si="31"/>
        <v>143</v>
      </c>
      <c r="W13" s="338"/>
      <c r="X13" s="288">
        <f t="shared" si="20"/>
        <v>11898</v>
      </c>
      <c r="Y13" s="287" t="str">
        <f t="shared" si="32"/>
        <v>ok</v>
      </c>
      <c r="Z13" s="287">
        <f t="shared" si="8"/>
        <v>6</v>
      </c>
      <c r="AA13" s="287">
        <f t="shared" si="21"/>
        <v>858</v>
      </c>
      <c r="AB13" s="287">
        <f t="shared" si="22"/>
        <v>286</v>
      </c>
      <c r="AC13" s="287">
        <f t="shared" si="23"/>
        <v>143</v>
      </c>
      <c r="AD13" s="73">
        <f>ELEC!Q13</f>
        <v>3998.9999999997963</v>
      </c>
      <c r="AE13" s="73">
        <f t="shared" si="25"/>
        <v>666.49999999996601</v>
      </c>
      <c r="AF13" s="403">
        <f t="shared" si="26"/>
        <v>0.41656249999997874</v>
      </c>
      <c r="AG13" s="404">
        <f t="shared" si="27"/>
        <v>133.29999999999319</v>
      </c>
      <c r="AH13" s="404">
        <f t="shared" si="24"/>
        <v>9.7000000000068098</v>
      </c>
      <c r="AI13" s="73">
        <f t="shared" si="28"/>
        <v>1029.2784810126059</v>
      </c>
      <c r="AJ13" s="289">
        <f t="shared" si="9"/>
        <v>0.25738396624472576</v>
      </c>
      <c r="AK13" s="289">
        <f t="shared" si="29"/>
        <v>171.54641350210099</v>
      </c>
    </row>
    <row r="14" spans="1:37" ht="15.75" thickBot="1">
      <c r="A14" s="4">
        <f>ELEC!C14</f>
        <v>44239</v>
      </c>
      <c r="B14" s="540">
        <v>9584</v>
      </c>
      <c r="C14" s="287">
        <f t="shared" si="11"/>
        <v>4</v>
      </c>
      <c r="D14" s="541">
        <v>318396</v>
      </c>
      <c r="E14" s="287">
        <f t="shared" si="12"/>
        <v>578</v>
      </c>
      <c r="F14" s="287">
        <f t="shared" si="0"/>
        <v>144.5</v>
      </c>
      <c r="G14" s="196"/>
      <c r="H14" s="270">
        <f t="shared" si="13"/>
        <v>9729</v>
      </c>
      <c r="I14" s="287" t="str">
        <f t="shared" si="1"/>
        <v>ok</v>
      </c>
      <c r="J14" s="541">
        <f t="shared" si="14"/>
        <v>10698</v>
      </c>
      <c r="K14" s="287">
        <f t="shared" si="2"/>
        <v>0</v>
      </c>
      <c r="L14" s="541">
        <f t="shared" si="14"/>
        <v>357691</v>
      </c>
      <c r="M14" s="287">
        <f t="shared" si="3"/>
        <v>0</v>
      </c>
      <c r="N14" s="287">
        <f t="shared" si="15"/>
        <v>0</v>
      </c>
      <c r="O14" s="196"/>
      <c r="P14" s="288">
        <f t="shared" si="16"/>
        <v>10873</v>
      </c>
      <c r="Q14" s="287" t="str">
        <f t="shared" si="4"/>
        <v>ok</v>
      </c>
      <c r="R14" s="541">
        <v>11802</v>
      </c>
      <c r="S14" s="287">
        <f t="shared" si="5"/>
        <v>1</v>
      </c>
      <c r="T14" s="541">
        <f>T13+120</f>
        <v>379778</v>
      </c>
      <c r="U14" s="287">
        <f t="shared" si="30"/>
        <v>120</v>
      </c>
      <c r="V14" s="287">
        <f t="shared" si="31"/>
        <v>120</v>
      </c>
      <c r="W14" s="338"/>
      <c r="X14" s="288">
        <f t="shared" si="20"/>
        <v>11898</v>
      </c>
      <c r="Y14" s="287" t="str">
        <f t="shared" si="32"/>
        <v>ok</v>
      </c>
      <c r="Z14" s="287">
        <f t="shared" si="8"/>
        <v>5</v>
      </c>
      <c r="AA14" s="287">
        <f t="shared" si="21"/>
        <v>698</v>
      </c>
      <c r="AB14" s="287">
        <f t="shared" si="22"/>
        <v>264.5</v>
      </c>
      <c r="AC14" s="287">
        <f t="shared" si="23"/>
        <v>139.6</v>
      </c>
      <c r="AD14" s="73">
        <f>ELEC!Q14</f>
        <v>2628.0000000006112</v>
      </c>
      <c r="AE14" s="73">
        <f t="shared" si="25"/>
        <v>525.60000000012224</v>
      </c>
      <c r="AF14" s="403">
        <f t="shared" si="26"/>
        <v>0.3285000000000764</v>
      </c>
      <c r="AG14" s="404">
        <f t="shared" si="27"/>
        <v>105.12000000002445</v>
      </c>
      <c r="AH14" s="404">
        <f t="shared" si="24"/>
        <v>34.479999999975547</v>
      </c>
      <c r="AI14" s="73">
        <f t="shared" si="28"/>
        <v>676.40506329129664</v>
      </c>
      <c r="AJ14" s="289">
        <f t="shared" si="9"/>
        <v>0.25738396624472576</v>
      </c>
      <c r="AK14" s="289">
        <f t="shared" si="29"/>
        <v>135.28101265825933</v>
      </c>
    </row>
    <row r="15" spans="1:37" ht="15.75" thickBot="1">
      <c r="A15" s="4">
        <f>ELEC!C15</f>
        <v>44240</v>
      </c>
      <c r="B15" s="540">
        <v>9590</v>
      </c>
      <c r="C15" s="287">
        <f t="shared" si="11"/>
        <v>6</v>
      </c>
      <c r="D15" s="541">
        <v>319881</v>
      </c>
      <c r="E15" s="287">
        <f t="shared" si="12"/>
        <v>1485</v>
      </c>
      <c r="F15" s="287">
        <f t="shared" si="0"/>
        <v>247.5</v>
      </c>
      <c r="G15" s="196"/>
      <c r="H15" s="270">
        <f t="shared" si="13"/>
        <v>9729</v>
      </c>
      <c r="I15" s="287" t="str">
        <f t="shared" si="1"/>
        <v>ok</v>
      </c>
      <c r="J15" s="541">
        <f t="shared" si="14"/>
        <v>10698</v>
      </c>
      <c r="K15" s="287">
        <f t="shared" si="2"/>
        <v>0</v>
      </c>
      <c r="L15" s="541">
        <f t="shared" si="14"/>
        <v>357691</v>
      </c>
      <c r="M15" s="287">
        <f t="shared" si="3"/>
        <v>0</v>
      </c>
      <c r="N15" s="287">
        <f t="shared" si="15"/>
        <v>0</v>
      </c>
      <c r="O15" s="196"/>
      <c r="P15" s="288">
        <f t="shared" si="16"/>
        <v>10873</v>
      </c>
      <c r="Q15" s="287" t="str">
        <f t="shared" si="4"/>
        <v>ok</v>
      </c>
      <c r="R15" s="541">
        <f t="shared" si="17"/>
        <v>11802</v>
      </c>
      <c r="S15" s="287">
        <f t="shared" si="5"/>
        <v>0</v>
      </c>
      <c r="T15" s="541">
        <f t="shared" si="18"/>
        <v>379778</v>
      </c>
      <c r="U15" s="287">
        <f t="shared" si="30"/>
        <v>0</v>
      </c>
      <c r="V15" s="287">
        <f t="shared" si="31"/>
        <v>0</v>
      </c>
      <c r="W15" s="338"/>
      <c r="X15" s="288">
        <f t="shared" si="20"/>
        <v>11898</v>
      </c>
      <c r="Y15" s="287" t="str">
        <f t="shared" si="32"/>
        <v>ok</v>
      </c>
      <c r="Z15" s="287">
        <f t="shared" si="8"/>
        <v>6</v>
      </c>
      <c r="AA15" s="287">
        <f t="shared" si="21"/>
        <v>1485</v>
      </c>
      <c r="AB15" s="287">
        <f t="shared" si="22"/>
        <v>247.5</v>
      </c>
      <c r="AC15" s="287">
        <f t="shared" si="23"/>
        <v>247.5</v>
      </c>
      <c r="AD15" s="73">
        <f>ELEC!Q15</f>
        <v>3238.999999997759</v>
      </c>
      <c r="AE15" s="73">
        <f t="shared" si="25"/>
        <v>539.8333333329598</v>
      </c>
      <c r="AF15" s="403">
        <f t="shared" si="26"/>
        <v>0.33739583333309986</v>
      </c>
      <c r="AG15" s="404">
        <f t="shared" si="27"/>
        <v>107.96666666659195</v>
      </c>
      <c r="AH15" s="404">
        <f t="shared" si="24"/>
        <v>139.53333333340805</v>
      </c>
      <c r="AI15" s="73">
        <f t="shared" si="28"/>
        <v>833.6666666660899</v>
      </c>
      <c r="AJ15" s="289">
        <f t="shared" si="9"/>
        <v>0.25738396624472576</v>
      </c>
      <c r="AK15" s="289">
        <f t="shared" si="29"/>
        <v>138.94444444434831</v>
      </c>
    </row>
    <row r="16" spans="1:37" ht="15.75" thickBot="1">
      <c r="A16" s="4">
        <f>ELEC!C16</f>
        <v>44241</v>
      </c>
      <c r="B16" s="540">
        <v>9596</v>
      </c>
      <c r="C16" s="287">
        <f t="shared" si="11"/>
        <v>6</v>
      </c>
      <c r="D16" s="541">
        <v>320871</v>
      </c>
      <c r="E16" s="287">
        <f t="shared" si="12"/>
        <v>990</v>
      </c>
      <c r="F16" s="287">
        <f t="shared" si="0"/>
        <v>165</v>
      </c>
      <c r="G16" s="196"/>
      <c r="H16" s="270">
        <f t="shared" si="13"/>
        <v>9729</v>
      </c>
      <c r="I16" s="287" t="str">
        <f t="shared" si="1"/>
        <v>ok</v>
      </c>
      <c r="J16" s="541">
        <f t="shared" si="14"/>
        <v>10698</v>
      </c>
      <c r="K16" s="287">
        <f t="shared" si="2"/>
        <v>0</v>
      </c>
      <c r="L16" s="541">
        <f t="shared" si="14"/>
        <v>357691</v>
      </c>
      <c r="M16" s="287">
        <f t="shared" si="3"/>
        <v>0</v>
      </c>
      <c r="N16" s="287">
        <f t="shared" si="15"/>
        <v>0</v>
      </c>
      <c r="O16" s="196"/>
      <c r="P16" s="288">
        <f t="shared" si="16"/>
        <v>10873</v>
      </c>
      <c r="Q16" s="287" t="str">
        <f t="shared" si="4"/>
        <v>ok</v>
      </c>
      <c r="R16" s="541">
        <f t="shared" si="17"/>
        <v>11802</v>
      </c>
      <c r="S16" s="287">
        <f t="shared" si="5"/>
        <v>0</v>
      </c>
      <c r="T16" s="541">
        <f t="shared" si="18"/>
        <v>379778</v>
      </c>
      <c r="U16" s="287">
        <f t="shared" si="30"/>
        <v>0</v>
      </c>
      <c r="V16" s="287">
        <f t="shared" si="31"/>
        <v>0</v>
      </c>
      <c r="W16" s="338"/>
      <c r="X16" s="288">
        <f t="shared" si="20"/>
        <v>11898</v>
      </c>
      <c r="Y16" s="287" t="str">
        <f t="shared" si="32"/>
        <v>ok</v>
      </c>
      <c r="Z16" s="287">
        <f t="shared" si="8"/>
        <v>6</v>
      </c>
      <c r="AA16" s="287">
        <f t="shared" si="21"/>
        <v>990</v>
      </c>
      <c r="AB16" s="287">
        <f t="shared" si="22"/>
        <v>165</v>
      </c>
      <c r="AC16" s="287">
        <f t="shared" si="23"/>
        <v>165</v>
      </c>
      <c r="AD16" s="73">
        <f>ELEC!Q16</f>
        <v>3654.0000000022701</v>
      </c>
      <c r="AE16" s="73">
        <f t="shared" si="25"/>
        <v>609.00000000037835</v>
      </c>
      <c r="AF16" s="403">
        <f t="shared" si="26"/>
        <v>0.38062500000023647</v>
      </c>
      <c r="AG16" s="404">
        <f t="shared" si="27"/>
        <v>121.80000000007567</v>
      </c>
      <c r="AH16" s="404">
        <f t="shared" si="24"/>
        <v>43.19999999992433</v>
      </c>
      <c r="AI16" s="73">
        <f t="shared" si="28"/>
        <v>940.48101265881223</v>
      </c>
      <c r="AJ16" s="289">
        <f t="shared" si="9"/>
        <v>0.25738396624472576</v>
      </c>
      <c r="AK16" s="289">
        <f t="shared" si="29"/>
        <v>156.74683544313538</v>
      </c>
    </row>
    <row r="17" spans="1:37" ht="15.75" thickBot="1">
      <c r="A17" s="4">
        <f>ELEC!C17</f>
        <v>44242</v>
      </c>
      <c r="B17" s="540">
        <v>9602</v>
      </c>
      <c r="C17" s="287">
        <f t="shared" si="11"/>
        <v>6</v>
      </c>
      <c r="D17" s="541">
        <v>321924</v>
      </c>
      <c r="E17" s="287">
        <f t="shared" si="12"/>
        <v>1053</v>
      </c>
      <c r="F17" s="287">
        <f t="shared" si="0"/>
        <v>175.5</v>
      </c>
      <c r="G17" s="196"/>
      <c r="H17" s="270">
        <f t="shared" si="13"/>
        <v>9729</v>
      </c>
      <c r="I17" s="287" t="str">
        <f t="shared" si="1"/>
        <v>ok</v>
      </c>
      <c r="J17" s="541">
        <f t="shared" si="14"/>
        <v>10698</v>
      </c>
      <c r="K17" s="287">
        <f t="shared" si="2"/>
        <v>0</v>
      </c>
      <c r="L17" s="541">
        <f t="shared" si="14"/>
        <v>357691</v>
      </c>
      <c r="M17" s="287">
        <f t="shared" si="3"/>
        <v>0</v>
      </c>
      <c r="N17" s="287">
        <f t="shared" si="15"/>
        <v>0</v>
      </c>
      <c r="O17" s="196"/>
      <c r="P17" s="288">
        <f t="shared" si="16"/>
        <v>10873</v>
      </c>
      <c r="Q17" s="287" t="str">
        <f t="shared" si="4"/>
        <v>ok</v>
      </c>
      <c r="R17" s="541">
        <f t="shared" si="17"/>
        <v>11802</v>
      </c>
      <c r="S17" s="287">
        <f t="shared" si="5"/>
        <v>0</v>
      </c>
      <c r="T17" s="541">
        <f t="shared" si="18"/>
        <v>379778</v>
      </c>
      <c r="U17" s="287">
        <f t="shared" si="30"/>
        <v>0</v>
      </c>
      <c r="V17" s="287">
        <f t="shared" si="31"/>
        <v>0</v>
      </c>
      <c r="W17" s="338"/>
      <c r="X17" s="288">
        <f t="shared" si="20"/>
        <v>11898</v>
      </c>
      <c r="Y17" s="287" t="str">
        <f t="shared" si="32"/>
        <v>ok</v>
      </c>
      <c r="Z17" s="287">
        <f t="shared" si="8"/>
        <v>6</v>
      </c>
      <c r="AA17" s="287">
        <f t="shared" si="21"/>
        <v>1053</v>
      </c>
      <c r="AB17" s="287">
        <f t="shared" si="22"/>
        <v>175.5</v>
      </c>
      <c r="AC17" s="287">
        <f t="shared" si="23"/>
        <v>175.5</v>
      </c>
      <c r="AD17" s="73">
        <f>ELEC!Q17</f>
        <v>3980.9999999997672</v>
      </c>
      <c r="AE17" s="73">
        <f t="shared" si="25"/>
        <v>663.49999999996123</v>
      </c>
      <c r="AF17" s="403">
        <f t="shared" si="26"/>
        <v>0.41468749999997578</v>
      </c>
      <c r="AG17" s="404">
        <f t="shared" si="27"/>
        <v>132.69999999999226</v>
      </c>
      <c r="AH17" s="404">
        <f t="shared" si="24"/>
        <v>42.800000000007742</v>
      </c>
      <c r="AI17" s="73">
        <f t="shared" si="28"/>
        <v>1024.6455696201933</v>
      </c>
      <c r="AJ17" s="289">
        <f t="shared" si="9"/>
        <v>0.25738396624472576</v>
      </c>
      <c r="AK17" s="289">
        <f t="shared" ref="AK17:AK30" si="33">IF(Z17&gt;0,AI17/Z17,0)</f>
        <v>170.77426160336555</v>
      </c>
    </row>
    <row r="18" spans="1:37" ht="15.75" thickBot="1">
      <c r="A18" s="4">
        <f>ELEC!C18</f>
        <v>44243</v>
      </c>
      <c r="B18" s="540">
        <v>9606</v>
      </c>
      <c r="C18" s="287">
        <f t="shared" si="11"/>
        <v>4</v>
      </c>
      <c r="D18" s="541">
        <v>322554</v>
      </c>
      <c r="E18" s="287">
        <f t="shared" si="12"/>
        <v>630</v>
      </c>
      <c r="F18" s="287">
        <f t="shared" si="0"/>
        <v>157.5</v>
      </c>
      <c r="G18" s="196"/>
      <c r="H18" s="270">
        <f t="shared" si="13"/>
        <v>9729</v>
      </c>
      <c r="I18" s="287" t="str">
        <f t="shared" si="1"/>
        <v>ok</v>
      </c>
      <c r="J18" s="541">
        <f t="shared" si="14"/>
        <v>10698</v>
      </c>
      <c r="K18" s="287">
        <f t="shared" si="2"/>
        <v>0</v>
      </c>
      <c r="L18" s="541">
        <f t="shared" si="14"/>
        <v>357691</v>
      </c>
      <c r="M18" s="287">
        <f t="shared" si="3"/>
        <v>0</v>
      </c>
      <c r="N18" s="287">
        <f t="shared" si="15"/>
        <v>0</v>
      </c>
      <c r="O18" s="196"/>
      <c r="P18" s="288">
        <f t="shared" si="16"/>
        <v>10873</v>
      </c>
      <c r="Q18" s="287" t="str">
        <f>IF(J18-P14&lt;=0,"ok","oil change")</f>
        <v>ok</v>
      </c>
      <c r="R18" s="541">
        <f t="shared" si="17"/>
        <v>11802</v>
      </c>
      <c r="S18" s="287">
        <f t="shared" si="5"/>
        <v>0</v>
      </c>
      <c r="T18" s="541">
        <f t="shared" si="18"/>
        <v>379778</v>
      </c>
      <c r="U18" s="287">
        <f t="shared" si="30"/>
        <v>0</v>
      </c>
      <c r="V18" s="287">
        <f t="shared" si="31"/>
        <v>0</v>
      </c>
      <c r="W18" s="338"/>
      <c r="X18" s="288">
        <f t="shared" si="20"/>
        <v>11898</v>
      </c>
      <c r="Y18" s="287" t="str">
        <f t="shared" si="32"/>
        <v>ok</v>
      </c>
      <c r="Z18" s="287">
        <f t="shared" si="8"/>
        <v>4</v>
      </c>
      <c r="AA18" s="287">
        <f t="shared" si="21"/>
        <v>630</v>
      </c>
      <c r="AB18" s="287">
        <f t="shared" si="22"/>
        <v>157.5</v>
      </c>
      <c r="AC18" s="287">
        <f t="shared" si="23"/>
        <v>157.5</v>
      </c>
      <c r="AD18" s="73">
        <f>ELEC!Q18</f>
        <v>2308.0000000009022</v>
      </c>
      <c r="AE18" s="73">
        <f t="shared" si="25"/>
        <v>577.00000000022555</v>
      </c>
      <c r="AF18" s="403">
        <f t="shared" si="26"/>
        <v>0.36062500000014097</v>
      </c>
      <c r="AG18" s="404">
        <f t="shared" si="27"/>
        <v>115.40000000004511</v>
      </c>
      <c r="AH18" s="404">
        <f t="shared" si="24"/>
        <v>42.099999999954889</v>
      </c>
      <c r="AI18" s="73">
        <f t="shared" si="28"/>
        <v>594.04219409305927</v>
      </c>
      <c r="AJ18" s="289">
        <f t="shared" si="9"/>
        <v>0.25738396624472576</v>
      </c>
      <c r="AK18" s="289">
        <f t="shared" si="33"/>
        <v>148.51054852326482</v>
      </c>
    </row>
    <row r="19" spans="1:37" ht="15.75" thickBot="1">
      <c r="A19" s="4">
        <f>ELEC!C19</f>
        <v>44244</v>
      </c>
      <c r="B19" s="540">
        <v>9615</v>
      </c>
      <c r="C19" s="287">
        <f t="shared" si="11"/>
        <v>9</v>
      </c>
      <c r="D19" s="541">
        <v>325233</v>
      </c>
      <c r="E19" s="287">
        <f t="shared" si="12"/>
        <v>2679</v>
      </c>
      <c r="F19" s="287">
        <f t="shared" si="0"/>
        <v>297.66666666666669</v>
      </c>
      <c r="G19" s="196"/>
      <c r="H19" s="270">
        <f t="shared" si="13"/>
        <v>9729</v>
      </c>
      <c r="I19" s="287" t="str">
        <f t="shared" si="1"/>
        <v>ok</v>
      </c>
      <c r="J19" s="541">
        <f t="shared" si="14"/>
        <v>10698</v>
      </c>
      <c r="K19" s="287">
        <f t="shared" si="2"/>
        <v>0</v>
      </c>
      <c r="L19" s="541">
        <f t="shared" si="14"/>
        <v>357691</v>
      </c>
      <c r="M19" s="287">
        <f t="shared" si="3"/>
        <v>0</v>
      </c>
      <c r="N19" s="287">
        <f t="shared" si="15"/>
        <v>0</v>
      </c>
      <c r="O19" s="196"/>
      <c r="P19" s="288">
        <f t="shared" si="16"/>
        <v>10873</v>
      </c>
      <c r="Q19" s="287" t="str">
        <f t="shared" ref="Q19:Q30" si="34">IF(J19-P19&lt;=0,"ok","oil change")</f>
        <v>ok</v>
      </c>
      <c r="R19" s="541">
        <f t="shared" si="17"/>
        <v>11802</v>
      </c>
      <c r="S19" s="287">
        <f t="shared" si="5"/>
        <v>0</v>
      </c>
      <c r="T19" s="541">
        <f t="shared" si="18"/>
        <v>379778</v>
      </c>
      <c r="U19" s="287">
        <f t="shared" si="30"/>
        <v>0</v>
      </c>
      <c r="V19" s="287">
        <f t="shared" si="31"/>
        <v>0</v>
      </c>
      <c r="W19" s="338"/>
      <c r="X19" s="288">
        <f t="shared" si="20"/>
        <v>11898</v>
      </c>
      <c r="Y19" s="287" t="str">
        <f t="shared" si="32"/>
        <v>ok</v>
      </c>
      <c r="Z19" s="287">
        <f t="shared" si="8"/>
        <v>9</v>
      </c>
      <c r="AA19" s="287">
        <f t="shared" si="21"/>
        <v>2679</v>
      </c>
      <c r="AB19" s="287">
        <f t="shared" si="22"/>
        <v>297.66666666666669</v>
      </c>
      <c r="AC19" s="287">
        <f t="shared" si="23"/>
        <v>297.66666666666669</v>
      </c>
      <c r="AD19" s="73">
        <f>ELEC!Q19</f>
        <v>4646.999999997206</v>
      </c>
      <c r="AE19" s="73">
        <f t="shared" si="25"/>
        <v>516.33333333302289</v>
      </c>
      <c r="AF19" s="403">
        <f t="shared" si="26"/>
        <v>0.32270833333313931</v>
      </c>
      <c r="AG19" s="404">
        <f t="shared" si="27"/>
        <v>103.26666666660458</v>
      </c>
      <c r="AH19" s="404">
        <f t="shared" si="24"/>
        <v>194.40000000006211</v>
      </c>
      <c r="AI19" s="73">
        <f t="shared" si="28"/>
        <v>1196.0632911385214</v>
      </c>
      <c r="AJ19" s="289">
        <f t="shared" si="9"/>
        <v>0.25738396624472576</v>
      </c>
      <c r="AK19" s="289">
        <f t="shared" si="33"/>
        <v>132.89592123761349</v>
      </c>
    </row>
    <row r="20" spans="1:37" ht="15.75" thickBot="1">
      <c r="A20" s="4">
        <f>ELEC!C20</f>
        <v>44245</v>
      </c>
      <c r="B20" s="540">
        <v>9623</v>
      </c>
      <c r="C20" s="287">
        <f>B20-B19</f>
        <v>8</v>
      </c>
      <c r="D20" s="541">
        <v>326819</v>
      </c>
      <c r="E20" s="287">
        <f t="shared" si="12"/>
        <v>1586</v>
      </c>
      <c r="F20" s="287">
        <f t="shared" si="0"/>
        <v>198.25</v>
      </c>
      <c r="G20" s="196"/>
      <c r="H20" s="270">
        <f t="shared" si="13"/>
        <v>9729</v>
      </c>
      <c r="I20" s="287" t="str">
        <f t="shared" si="1"/>
        <v>ok</v>
      </c>
      <c r="J20" s="541">
        <f t="shared" si="14"/>
        <v>10698</v>
      </c>
      <c r="K20" s="287">
        <f t="shared" si="2"/>
        <v>0</v>
      </c>
      <c r="L20" s="541">
        <f t="shared" si="14"/>
        <v>357691</v>
      </c>
      <c r="M20" s="287">
        <f t="shared" si="3"/>
        <v>0</v>
      </c>
      <c r="N20" s="287">
        <f t="shared" si="15"/>
        <v>0</v>
      </c>
      <c r="O20" s="196"/>
      <c r="P20" s="288">
        <f t="shared" si="16"/>
        <v>10873</v>
      </c>
      <c r="Q20" s="287" t="str">
        <f t="shared" si="34"/>
        <v>ok</v>
      </c>
      <c r="R20" s="541">
        <f t="shared" si="17"/>
        <v>11802</v>
      </c>
      <c r="S20" s="287">
        <f t="shared" si="5"/>
        <v>0</v>
      </c>
      <c r="T20" s="541">
        <f t="shared" si="18"/>
        <v>379778</v>
      </c>
      <c r="U20" s="287">
        <f t="shared" si="30"/>
        <v>0</v>
      </c>
      <c r="V20" s="287">
        <f t="shared" si="31"/>
        <v>0</v>
      </c>
      <c r="W20" s="338"/>
      <c r="X20" s="288">
        <f t="shared" si="20"/>
        <v>11898</v>
      </c>
      <c r="Y20" s="287" t="str">
        <f t="shared" si="32"/>
        <v>ok</v>
      </c>
      <c r="Z20" s="287">
        <f t="shared" si="8"/>
        <v>8</v>
      </c>
      <c r="AA20" s="287">
        <f t="shared" si="21"/>
        <v>1586</v>
      </c>
      <c r="AB20" s="287">
        <f t="shared" si="22"/>
        <v>198.25</v>
      </c>
      <c r="AC20" s="287">
        <f t="shared" si="23"/>
        <v>198.25</v>
      </c>
      <c r="AD20" s="73">
        <f>ELEC!Q20</f>
        <v>4289.0000000006694</v>
      </c>
      <c r="AE20" s="73">
        <f t="shared" si="25"/>
        <v>536.12500000008367</v>
      </c>
      <c r="AF20" s="403">
        <f t="shared" si="26"/>
        <v>0.3350781250000523</v>
      </c>
      <c r="AG20" s="404">
        <f t="shared" si="27"/>
        <v>107.22500000001673</v>
      </c>
      <c r="AH20" s="404">
        <f t="shared" si="24"/>
        <v>91.024999999983265</v>
      </c>
      <c r="AI20" s="73">
        <f>AD20*AJ20</f>
        <v>1103.9198312238011</v>
      </c>
      <c r="AJ20" s="289">
        <f t="shared" si="9"/>
        <v>0.25738396624472576</v>
      </c>
      <c r="AK20" s="289">
        <f t="shared" si="33"/>
        <v>137.98997890297514</v>
      </c>
    </row>
    <row r="21" spans="1:37" ht="15.75" thickBot="1">
      <c r="A21" s="4">
        <f>ELEC!C21</f>
        <v>44246</v>
      </c>
      <c r="B21" s="540">
        <v>9632</v>
      </c>
      <c r="C21" s="287">
        <f t="shared" ref="C21" si="35">B21-B20</f>
        <v>9</v>
      </c>
      <c r="D21" s="541">
        <v>329098</v>
      </c>
      <c r="E21" s="287">
        <f t="shared" si="12"/>
        <v>2279</v>
      </c>
      <c r="F21" s="287">
        <f t="shared" si="0"/>
        <v>253.22222222222223</v>
      </c>
      <c r="G21" s="196"/>
      <c r="H21" s="270">
        <f t="shared" si="13"/>
        <v>9729</v>
      </c>
      <c r="I21" s="287" t="str">
        <f t="shared" si="1"/>
        <v>ok</v>
      </c>
      <c r="J21" s="541">
        <f t="shared" si="14"/>
        <v>10698</v>
      </c>
      <c r="K21" s="287">
        <f t="shared" si="2"/>
        <v>0</v>
      </c>
      <c r="L21" s="541">
        <f t="shared" si="14"/>
        <v>357691</v>
      </c>
      <c r="M21" s="287">
        <f t="shared" si="3"/>
        <v>0</v>
      </c>
      <c r="N21" s="287">
        <f t="shared" si="15"/>
        <v>0</v>
      </c>
      <c r="O21" s="196"/>
      <c r="P21" s="288">
        <f t="shared" si="16"/>
        <v>10873</v>
      </c>
      <c r="Q21" s="287" t="str">
        <f t="shared" si="34"/>
        <v>ok</v>
      </c>
      <c r="R21" s="541">
        <f t="shared" si="17"/>
        <v>11802</v>
      </c>
      <c r="S21" s="287">
        <f t="shared" si="5"/>
        <v>0</v>
      </c>
      <c r="T21" s="541">
        <f t="shared" si="18"/>
        <v>379778</v>
      </c>
      <c r="U21" s="287">
        <f t="shared" ref="U21:U30" si="36">SUM(T21-T20)</f>
        <v>0</v>
      </c>
      <c r="V21" s="287">
        <f t="shared" si="19"/>
        <v>0</v>
      </c>
      <c r="W21" s="196"/>
      <c r="X21" s="288">
        <f t="shared" si="20"/>
        <v>11898</v>
      </c>
      <c r="Y21" s="287" t="str">
        <f>Y20</f>
        <v>ok</v>
      </c>
      <c r="Z21" s="287">
        <f t="shared" si="8"/>
        <v>9</v>
      </c>
      <c r="AA21" s="287">
        <f t="shared" si="21"/>
        <v>2279</v>
      </c>
      <c r="AB21" s="287">
        <f t="shared" si="22"/>
        <v>253.22222222222223</v>
      </c>
      <c r="AC21" s="287">
        <f t="shared" si="23"/>
        <v>253.22222222222223</v>
      </c>
      <c r="AD21" s="73">
        <f>ELEC!Q21</f>
        <v>4754.0000000008149</v>
      </c>
      <c r="AE21" s="73">
        <f t="shared" si="25"/>
        <v>528.22222222231278</v>
      </c>
      <c r="AF21" s="403">
        <f t="shared" si="26"/>
        <v>0.33013888888894549</v>
      </c>
      <c r="AG21" s="404">
        <f t="shared" si="27"/>
        <v>105.64444444446255</v>
      </c>
      <c r="AH21" s="404">
        <f t="shared" si="24"/>
        <v>147.57777777775968</v>
      </c>
      <c r="AI21" s="73">
        <f t="shared" si="28"/>
        <v>1223.603375527636</v>
      </c>
      <c r="AJ21" s="289">
        <f t="shared" si="9"/>
        <v>0.25738396624472576</v>
      </c>
      <c r="AK21" s="289">
        <f t="shared" si="33"/>
        <v>135.95593061418177</v>
      </c>
    </row>
    <row r="22" spans="1:37" ht="15.75" thickBot="1">
      <c r="A22" s="4">
        <f>ELEC!C22</f>
        <v>44247</v>
      </c>
      <c r="B22" s="540">
        <v>9638</v>
      </c>
      <c r="C22" s="287">
        <f t="shared" si="11"/>
        <v>6</v>
      </c>
      <c r="D22" s="541">
        <f>D21+900</f>
        <v>329998</v>
      </c>
      <c r="E22" s="287">
        <f>150*C22</f>
        <v>900</v>
      </c>
      <c r="F22" s="287">
        <f t="shared" si="0"/>
        <v>150</v>
      </c>
      <c r="G22" s="196"/>
      <c r="H22" s="270">
        <f t="shared" si="13"/>
        <v>9729</v>
      </c>
      <c r="I22" s="287" t="str">
        <f t="shared" si="1"/>
        <v>ok</v>
      </c>
      <c r="J22" s="541">
        <f t="shared" si="14"/>
        <v>10698</v>
      </c>
      <c r="K22" s="287">
        <f t="shared" si="2"/>
        <v>0</v>
      </c>
      <c r="L22" s="541">
        <f t="shared" si="14"/>
        <v>357691</v>
      </c>
      <c r="M22" s="287">
        <f t="shared" si="3"/>
        <v>0</v>
      </c>
      <c r="N22" s="287">
        <f t="shared" si="15"/>
        <v>0</v>
      </c>
      <c r="O22" s="196"/>
      <c r="P22" s="288">
        <f t="shared" si="16"/>
        <v>10873</v>
      </c>
      <c r="Q22" s="287" t="str">
        <f t="shared" si="34"/>
        <v>ok</v>
      </c>
      <c r="R22" s="541">
        <f t="shared" si="17"/>
        <v>11802</v>
      </c>
      <c r="S22" s="287">
        <f t="shared" si="5"/>
        <v>0</v>
      </c>
      <c r="T22" s="541">
        <f t="shared" si="18"/>
        <v>379778</v>
      </c>
      <c r="U22" s="287">
        <f t="shared" si="36"/>
        <v>0</v>
      </c>
      <c r="V22" s="287">
        <f t="shared" si="19"/>
        <v>0</v>
      </c>
      <c r="W22" s="196"/>
      <c r="X22" s="288">
        <f t="shared" si="20"/>
        <v>11898</v>
      </c>
      <c r="Y22" s="287" t="str">
        <f t="shared" ref="Y22:Y30" si="37">IF(R22-X22&lt;=0,"ok","oil change")</f>
        <v>ok</v>
      </c>
      <c r="Z22" s="287">
        <f t="shared" si="8"/>
        <v>6</v>
      </c>
      <c r="AA22" s="287">
        <f t="shared" si="21"/>
        <v>900</v>
      </c>
      <c r="AB22" s="287">
        <f t="shared" si="22"/>
        <v>150</v>
      </c>
      <c r="AC22" s="287">
        <f t="shared" si="23"/>
        <v>150</v>
      </c>
      <c r="AD22" s="73">
        <f>ELEC!Q22</f>
        <v>3159.9999999998545</v>
      </c>
      <c r="AE22" s="73">
        <f t="shared" si="25"/>
        <v>526.66666666664241</v>
      </c>
      <c r="AF22" s="403">
        <f t="shared" si="26"/>
        <v>0.32916666666665151</v>
      </c>
      <c r="AG22" s="404">
        <f t="shared" si="27"/>
        <v>105.33333333332848</v>
      </c>
      <c r="AH22" s="404">
        <f t="shared" si="24"/>
        <v>44.666666666671517</v>
      </c>
      <c r="AI22" s="73">
        <f t="shared" si="28"/>
        <v>813.33333333329597</v>
      </c>
      <c r="AJ22" s="289">
        <f t="shared" si="9"/>
        <v>0.25738396624472576</v>
      </c>
      <c r="AK22" s="289">
        <f t="shared" si="33"/>
        <v>135.55555555554932</v>
      </c>
    </row>
    <row r="23" spans="1:37" ht="15.75" thickBot="1">
      <c r="A23" s="4">
        <f>ELEC!C23</f>
        <v>44248</v>
      </c>
      <c r="B23" s="540">
        <v>9645</v>
      </c>
      <c r="C23" s="287">
        <f t="shared" si="11"/>
        <v>7</v>
      </c>
      <c r="D23" s="541">
        <f>D22+1050</f>
        <v>331048</v>
      </c>
      <c r="E23" s="287">
        <f>150*C23</f>
        <v>1050</v>
      </c>
      <c r="F23" s="287">
        <f t="shared" si="0"/>
        <v>150</v>
      </c>
      <c r="G23" s="196"/>
      <c r="H23" s="270">
        <f t="shared" si="13"/>
        <v>9729</v>
      </c>
      <c r="I23" s="287" t="str">
        <f t="shared" si="1"/>
        <v>ok</v>
      </c>
      <c r="J23" s="541">
        <f t="shared" si="14"/>
        <v>10698</v>
      </c>
      <c r="K23" s="287">
        <f t="shared" si="2"/>
        <v>0</v>
      </c>
      <c r="L23" s="541">
        <f t="shared" si="14"/>
        <v>357691</v>
      </c>
      <c r="M23" s="287">
        <f t="shared" si="3"/>
        <v>0</v>
      </c>
      <c r="N23" s="287">
        <f t="shared" si="15"/>
        <v>0</v>
      </c>
      <c r="O23" s="196"/>
      <c r="P23" s="288">
        <f t="shared" si="16"/>
        <v>10873</v>
      </c>
      <c r="Q23" s="287" t="str">
        <f t="shared" si="34"/>
        <v>ok</v>
      </c>
      <c r="R23" s="541">
        <f t="shared" si="17"/>
        <v>11802</v>
      </c>
      <c r="S23" s="287">
        <f t="shared" si="5"/>
        <v>0</v>
      </c>
      <c r="T23" s="541">
        <f t="shared" si="18"/>
        <v>379778</v>
      </c>
      <c r="U23" s="287">
        <f t="shared" si="36"/>
        <v>0</v>
      </c>
      <c r="V23" s="287">
        <f t="shared" si="19"/>
        <v>0</v>
      </c>
      <c r="W23" s="196"/>
      <c r="X23" s="288">
        <f t="shared" si="20"/>
        <v>11898</v>
      </c>
      <c r="Y23" s="287" t="str">
        <f t="shared" si="37"/>
        <v>ok</v>
      </c>
      <c r="Z23" s="287">
        <f t="shared" si="8"/>
        <v>7</v>
      </c>
      <c r="AA23" s="287">
        <f t="shared" si="21"/>
        <v>1050</v>
      </c>
      <c r="AB23" s="287">
        <f t="shared" si="22"/>
        <v>150</v>
      </c>
      <c r="AC23" s="287">
        <f t="shared" si="23"/>
        <v>150</v>
      </c>
      <c r="AD23" s="73">
        <f>ELEC!Q23</f>
        <v>2801.9999999996799</v>
      </c>
      <c r="AE23" s="73">
        <f t="shared" si="25"/>
        <v>400.28571428566858</v>
      </c>
      <c r="AF23" s="403">
        <f t="shared" si="26"/>
        <v>0.25017857142854288</v>
      </c>
      <c r="AG23" s="404">
        <f t="shared" si="27"/>
        <v>80.057142857133726</v>
      </c>
      <c r="AH23" s="404">
        <f t="shared" si="24"/>
        <v>69.942857142866274</v>
      </c>
      <c r="AI23" s="73">
        <f t="shared" si="28"/>
        <v>721.18987341763921</v>
      </c>
      <c r="AJ23" s="289">
        <f t="shared" si="9"/>
        <v>0.25738396624472576</v>
      </c>
      <c r="AK23" s="289">
        <f t="shared" si="33"/>
        <v>103.02712477394846</v>
      </c>
    </row>
    <row r="24" spans="1:37" ht="15.75" thickBot="1">
      <c r="A24" s="4">
        <f>ELEC!C24</f>
        <v>44249</v>
      </c>
      <c r="B24" s="540">
        <v>9648</v>
      </c>
      <c r="C24" s="287">
        <f t="shared" si="11"/>
        <v>3</v>
      </c>
      <c r="D24" s="541">
        <v>333292</v>
      </c>
      <c r="E24" s="287">
        <f t="shared" si="12"/>
        <v>2244</v>
      </c>
      <c r="F24" s="287">
        <f t="shared" si="0"/>
        <v>748</v>
      </c>
      <c r="G24" s="196"/>
      <c r="H24" s="270">
        <f t="shared" si="13"/>
        <v>9729</v>
      </c>
      <c r="I24" s="287" t="str">
        <f t="shared" si="1"/>
        <v>ok</v>
      </c>
      <c r="J24" s="541">
        <f t="shared" si="14"/>
        <v>10698</v>
      </c>
      <c r="K24" s="287">
        <f t="shared" si="2"/>
        <v>0</v>
      </c>
      <c r="L24" s="541">
        <f t="shared" si="14"/>
        <v>357691</v>
      </c>
      <c r="M24" s="287">
        <f t="shared" si="3"/>
        <v>0</v>
      </c>
      <c r="N24" s="287">
        <f t="shared" si="15"/>
        <v>0</v>
      </c>
      <c r="O24" s="196"/>
      <c r="P24" s="288">
        <f t="shared" si="16"/>
        <v>10873</v>
      </c>
      <c r="Q24" s="287" t="str">
        <f t="shared" si="34"/>
        <v>ok</v>
      </c>
      <c r="R24" s="541">
        <v>11805</v>
      </c>
      <c r="S24" s="287">
        <f t="shared" si="5"/>
        <v>3</v>
      </c>
      <c r="T24" s="541">
        <f>T23+U24</f>
        <v>380138</v>
      </c>
      <c r="U24" s="287">
        <f>120*3</f>
        <v>360</v>
      </c>
      <c r="V24" s="287">
        <v>120</v>
      </c>
      <c r="W24" s="196"/>
      <c r="X24" s="288">
        <f t="shared" si="20"/>
        <v>11898</v>
      </c>
      <c r="Y24" s="287" t="str">
        <f t="shared" si="37"/>
        <v>ok</v>
      </c>
      <c r="Z24" s="287">
        <f t="shared" si="8"/>
        <v>6</v>
      </c>
      <c r="AA24" s="287">
        <f t="shared" si="21"/>
        <v>2604</v>
      </c>
      <c r="AB24" s="287">
        <f t="shared" si="22"/>
        <v>868</v>
      </c>
      <c r="AC24" s="287">
        <f t="shared" si="23"/>
        <v>434</v>
      </c>
      <c r="AD24" s="73">
        <f>ELEC!Q24</f>
        <v>3130.0000000010186</v>
      </c>
      <c r="AE24" s="73">
        <f t="shared" si="25"/>
        <v>521.66666666683648</v>
      </c>
      <c r="AF24" s="403">
        <f t="shared" si="26"/>
        <v>0.32604166666677281</v>
      </c>
      <c r="AG24" s="404">
        <f t="shared" si="27"/>
        <v>104.33333333336731</v>
      </c>
      <c r="AH24" s="404">
        <f t="shared" si="24"/>
        <v>329.66666666663269</v>
      </c>
      <c r="AI24" s="73">
        <f t="shared" si="28"/>
        <v>805.61181434625382</v>
      </c>
      <c r="AJ24" s="289">
        <f t="shared" si="9"/>
        <v>0.25738396624472576</v>
      </c>
      <c r="AK24" s="289">
        <f t="shared" si="33"/>
        <v>134.26863572437563</v>
      </c>
    </row>
    <row r="25" spans="1:37" ht="15.75" thickBot="1">
      <c r="A25" s="4">
        <f>ELEC!C25</f>
        <v>44250</v>
      </c>
      <c r="B25" s="540">
        <f t="shared" ref="B25:B30" si="38">B24</f>
        <v>9648</v>
      </c>
      <c r="C25" s="287">
        <f t="shared" si="11"/>
        <v>0</v>
      </c>
      <c r="D25" s="541">
        <f t="shared" ref="D25:D30" si="39">D24</f>
        <v>333292</v>
      </c>
      <c r="E25" s="287">
        <f t="shared" si="12"/>
        <v>0</v>
      </c>
      <c r="F25" s="287">
        <f t="shared" si="0"/>
        <v>0</v>
      </c>
      <c r="G25" s="196"/>
      <c r="H25" s="270">
        <f t="shared" si="13"/>
        <v>9729</v>
      </c>
      <c r="I25" s="287" t="str">
        <f t="shared" si="1"/>
        <v>ok</v>
      </c>
      <c r="J25" s="541">
        <f t="shared" si="14"/>
        <v>10698</v>
      </c>
      <c r="K25" s="287">
        <f t="shared" si="2"/>
        <v>0</v>
      </c>
      <c r="L25" s="541">
        <f t="shared" si="14"/>
        <v>357691</v>
      </c>
      <c r="M25" s="287">
        <f t="shared" si="3"/>
        <v>0</v>
      </c>
      <c r="N25" s="287">
        <f t="shared" si="15"/>
        <v>0</v>
      </c>
      <c r="O25" s="196"/>
      <c r="P25" s="288">
        <f t="shared" si="16"/>
        <v>10873</v>
      </c>
      <c r="Q25" s="287" t="str">
        <f t="shared" si="34"/>
        <v>ok</v>
      </c>
      <c r="R25" s="541">
        <v>11813</v>
      </c>
      <c r="S25" s="287">
        <f t="shared" si="5"/>
        <v>8</v>
      </c>
      <c r="T25" s="541">
        <f>T24+U25</f>
        <v>381098</v>
      </c>
      <c r="U25" s="287">
        <f>120*8</f>
        <v>960</v>
      </c>
      <c r="V25" s="287">
        <v>120</v>
      </c>
      <c r="W25" s="196"/>
      <c r="X25" s="288">
        <f t="shared" si="20"/>
        <v>11898</v>
      </c>
      <c r="Y25" s="287" t="str">
        <f t="shared" si="37"/>
        <v>ok</v>
      </c>
      <c r="Z25" s="287">
        <f t="shared" si="8"/>
        <v>8</v>
      </c>
      <c r="AA25" s="287">
        <f t="shared" si="21"/>
        <v>960</v>
      </c>
      <c r="AB25" s="287">
        <f t="shared" si="22"/>
        <v>120</v>
      </c>
      <c r="AC25" s="287">
        <f t="shared" si="23"/>
        <v>120</v>
      </c>
      <c r="AD25" s="73">
        <f>ELEC!Q25</f>
        <v>4863.999999997759</v>
      </c>
      <c r="AE25" s="73">
        <f t="shared" si="25"/>
        <v>607.99999999971988</v>
      </c>
      <c r="AF25" s="403">
        <f t="shared" si="26"/>
        <v>0.37999999999982492</v>
      </c>
      <c r="AG25" s="404">
        <f t="shared" si="27"/>
        <v>121.59999999994398</v>
      </c>
      <c r="AH25" s="404">
        <f t="shared" si="24"/>
        <v>-1.5999999999439751</v>
      </c>
      <c r="AI25" s="73">
        <f t="shared" si="28"/>
        <v>1251.9156118137694</v>
      </c>
      <c r="AJ25" s="289">
        <f t="shared" si="9"/>
        <v>0.25738396624472576</v>
      </c>
      <c r="AK25" s="289">
        <f t="shared" si="33"/>
        <v>156.48945147672117</v>
      </c>
    </row>
    <row r="26" spans="1:37" ht="15.75" thickBot="1">
      <c r="A26" s="4">
        <f>ELEC!C26</f>
        <v>44251</v>
      </c>
      <c r="B26" s="540">
        <f t="shared" si="38"/>
        <v>9648</v>
      </c>
      <c r="C26" s="287">
        <f t="shared" si="11"/>
        <v>0</v>
      </c>
      <c r="D26" s="541">
        <f>D25</f>
        <v>333292</v>
      </c>
      <c r="E26" s="287">
        <f t="shared" si="12"/>
        <v>0</v>
      </c>
      <c r="F26" s="287">
        <f t="shared" si="0"/>
        <v>0</v>
      </c>
      <c r="G26" s="196"/>
      <c r="H26" s="270">
        <f t="shared" si="13"/>
        <v>9729</v>
      </c>
      <c r="I26" s="287" t="str">
        <f t="shared" si="1"/>
        <v>ok</v>
      </c>
      <c r="J26" s="541">
        <f t="shared" si="14"/>
        <v>10698</v>
      </c>
      <c r="K26" s="287">
        <f t="shared" si="2"/>
        <v>0</v>
      </c>
      <c r="L26" s="541">
        <f t="shared" si="14"/>
        <v>357691</v>
      </c>
      <c r="M26" s="287">
        <f t="shared" si="3"/>
        <v>0</v>
      </c>
      <c r="N26" s="287">
        <f t="shared" si="15"/>
        <v>0</v>
      </c>
      <c r="O26" s="196"/>
      <c r="P26" s="288">
        <f t="shared" si="16"/>
        <v>10873</v>
      </c>
      <c r="Q26" s="287" t="str">
        <f t="shared" si="34"/>
        <v>ok</v>
      </c>
      <c r="R26" s="541">
        <v>11825</v>
      </c>
      <c r="S26" s="287">
        <f t="shared" si="5"/>
        <v>12</v>
      </c>
      <c r="T26" s="541">
        <f>T25+U26</f>
        <v>382538</v>
      </c>
      <c r="U26" s="287">
        <f>S26*120</f>
        <v>1440</v>
      </c>
      <c r="V26" s="287">
        <v>120</v>
      </c>
      <c r="W26" s="196"/>
      <c r="X26" s="288">
        <f t="shared" si="20"/>
        <v>11898</v>
      </c>
      <c r="Y26" s="287" t="str">
        <f t="shared" si="37"/>
        <v>ok</v>
      </c>
      <c r="Z26" s="287">
        <f t="shared" si="8"/>
        <v>12</v>
      </c>
      <c r="AA26" s="287">
        <f t="shared" si="21"/>
        <v>1440</v>
      </c>
      <c r="AB26" s="287">
        <f t="shared" si="22"/>
        <v>120</v>
      </c>
      <c r="AC26" s="287">
        <f t="shared" si="23"/>
        <v>120</v>
      </c>
      <c r="AD26" s="73">
        <f>ELEC!Q26</f>
        <v>5894.0000000002328</v>
      </c>
      <c r="AE26" s="73">
        <f t="shared" si="25"/>
        <v>491.16666666668607</v>
      </c>
      <c r="AF26" s="403">
        <f t="shared" si="26"/>
        <v>0.30697916666667879</v>
      </c>
      <c r="AG26" s="404">
        <f t="shared" si="27"/>
        <v>98.233333333337214</v>
      </c>
      <c r="AH26" s="404">
        <f t="shared" si="24"/>
        <v>21.766666666662786</v>
      </c>
      <c r="AI26" s="73">
        <f t="shared" si="28"/>
        <v>1517.0210970464736</v>
      </c>
      <c r="AJ26" s="289">
        <f t="shared" si="9"/>
        <v>0.25738396624472576</v>
      </c>
      <c r="AK26" s="289">
        <f t="shared" si="33"/>
        <v>126.4184247538728</v>
      </c>
    </row>
    <row r="27" spans="1:37" ht="15.75" thickBot="1">
      <c r="A27" s="4">
        <f>ELEC!C27</f>
        <v>44252</v>
      </c>
      <c r="B27" s="540">
        <v>9649</v>
      </c>
      <c r="C27" s="287">
        <f t="shared" si="11"/>
        <v>1</v>
      </c>
      <c r="D27" s="541">
        <v>333321</v>
      </c>
      <c r="E27" s="287">
        <f t="shared" si="12"/>
        <v>29</v>
      </c>
      <c r="F27" s="287">
        <f t="shared" si="0"/>
        <v>29</v>
      </c>
      <c r="G27" s="196"/>
      <c r="H27" s="270">
        <f t="shared" si="13"/>
        <v>9729</v>
      </c>
      <c r="I27" s="287" t="str">
        <f>IF(B27-H27&lt;=0,"ok","oil change")</f>
        <v>ok</v>
      </c>
      <c r="J27" s="541">
        <f t="shared" si="14"/>
        <v>10698</v>
      </c>
      <c r="K27" s="287">
        <f t="shared" si="2"/>
        <v>0</v>
      </c>
      <c r="L27" s="541">
        <f t="shared" si="14"/>
        <v>357691</v>
      </c>
      <c r="M27" s="287">
        <f t="shared" si="3"/>
        <v>0</v>
      </c>
      <c r="N27" s="287">
        <f t="shared" si="15"/>
        <v>0</v>
      </c>
      <c r="O27" s="196"/>
      <c r="P27" s="288">
        <f t="shared" si="16"/>
        <v>10873</v>
      </c>
      <c r="Q27" s="287" t="str">
        <f t="shared" si="34"/>
        <v>ok</v>
      </c>
      <c r="R27" s="541">
        <v>11835</v>
      </c>
      <c r="S27" s="287">
        <f t="shared" si="5"/>
        <v>10</v>
      </c>
      <c r="T27" s="541">
        <v>385038</v>
      </c>
      <c r="U27" s="287">
        <f t="shared" si="36"/>
        <v>2500</v>
      </c>
      <c r="V27" s="287">
        <f t="shared" si="19"/>
        <v>250</v>
      </c>
      <c r="W27" s="196"/>
      <c r="X27" s="288">
        <f t="shared" si="20"/>
        <v>11898</v>
      </c>
      <c r="Y27" s="287" t="str">
        <f t="shared" si="37"/>
        <v>ok</v>
      </c>
      <c r="Z27" s="287">
        <f t="shared" si="8"/>
        <v>11</v>
      </c>
      <c r="AA27" s="287">
        <f t="shared" si="21"/>
        <v>2529</v>
      </c>
      <c r="AB27" s="287">
        <f t="shared" si="22"/>
        <v>279</v>
      </c>
      <c r="AC27" s="287">
        <f t="shared" si="23"/>
        <v>229.90909090909091</v>
      </c>
      <c r="AD27" s="73">
        <f>ELEC!Q27</f>
        <v>5674.0000000027067</v>
      </c>
      <c r="AE27" s="73">
        <f t="shared" si="25"/>
        <v>515.81818181842789</v>
      </c>
      <c r="AF27" s="403">
        <f t="shared" si="26"/>
        <v>0.3223863636365174</v>
      </c>
      <c r="AG27" s="404">
        <f t="shared" si="27"/>
        <v>103.16363636368557</v>
      </c>
      <c r="AH27" s="404">
        <f t="shared" si="24"/>
        <v>126.74545454540534</v>
      </c>
      <c r="AI27" s="73">
        <f t="shared" si="28"/>
        <v>1460.3966244732705</v>
      </c>
      <c r="AJ27" s="289">
        <f t="shared" si="9"/>
        <v>0.25738396624472576</v>
      </c>
      <c r="AK27" s="289">
        <f t="shared" si="33"/>
        <v>132.76332949757006</v>
      </c>
    </row>
    <row r="28" spans="1:37" ht="15.75" thickBot="1">
      <c r="A28" s="4">
        <f>ELEC!C28</f>
        <v>44253</v>
      </c>
      <c r="B28" s="540">
        <v>9649</v>
      </c>
      <c r="C28" s="287">
        <f t="shared" si="11"/>
        <v>0</v>
      </c>
      <c r="D28" s="541">
        <v>333321</v>
      </c>
      <c r="E28" s="287">
        <f t="shared" si="12"/>
        <v>0</v>
      </c>
      <c r="F28" s="287">
        <f t="shared" si="0"/>
        <v>0</v>
      </c>
      <c r="G28" s="285"/>
      <c r="H28" s="270">
        <f t="shared" si="13"/>
        <v>9729</v>
      </c>
      <c r="I28" s="287" t="str">
        <f t="shared" si="1"/>
        <v>ok</v>
      </c>
      <c r="J28" s="541">
        <f t="shared" si="14"/>
        <v>10698</v>
      </c>
      <c r="K28" s="287">
        <f t="shared" si="2"/>
        <v>0</v>
      </c>
      <c r="L28" s="541">
        <f t="shared" si="14"/>
        <v>357691</v>
      </c>
      <c r="M28" s="287">
        <f t="shared" si="3"/>
        <v>0</v>
      </c>
      <c r="N28" s="287">
        <f t="shared" si="15"/>
        <v>0</v>
      </c>
      <c r="O28" s="196"/>
      <c r="P28" s="288">
        <f t="shared" si="16"/>
        <v>10873</v>
      </c>
      <c r="Q28" s="287" t="str">
        <f t="shared" si="34"/>
        <v>ok</v>
      </c>
      <c r="R28" s="541">
        <v>11849</v>
      </c>
      <c r="S28" s="287">
        <f t="shared" si="5"/>
        <v>14</v>
      </c>
      <c r="T28" s="541">
        <v>388538</v>
      </c>
      <c r="U28" s="287">
        <f t="shared" si="36"/>
        <v>3500</v>
      </c>
      <c r="V28" s="287">
        <f t="shared" si="19"/>
        <v>250</v>
      </c>
      <c r="W28" s="196"/>
      <c r="X28" s="288">
        <f t="shared" si="20"/>
        <v>11898</v>
      </c>
      <c r="Y28" s="287" t="str">
        <f t="shared" si="37"/>
        <v>ok</v>
      </c>
      <c r="Z28" s="287">
        <f t="shared" si="8"/>
        <v>14</v>
      </c>
      <c r="AA28" s="287">
        <f t="shared" si="21"/>
        <v>3500</v>
      </c>
      <c r="AB28" s="287">
        <f t="shared" si="22"/>
        <v>250</v>
      </c>
      <c r="AC28" s="287">
        <f t="shared" si="23"/>
        <v>250</v>
      </c>
      <c r="AD28" s="73">
        <f>ELEC!Q28</f>
        <v>7685.9999999978754</v>
      </c>
      <c r="AE28" s="73">
        <f t="shared" si="25"/>
        <v>548.99999999984823</v>
      </c>
      <c r="AF28" s="403">
        <f t="shared" si="26"/>
        <v>0.34312499999990514</v>
      </c>
      <c r="AG28" s="404">
        <f t="shared" si="27"/>
        <v>109.79999999996964</v>
      </c>
      <c r="AH28" s="404">
        <f t="shared" si="24"/>
        <v>140.20000000003034</v>
      </c>
      <c r="AI28" s="73">
        <f t="shared" si="28"/>
        <v>1978.2531645564154</v>
      </c>
      <c r="AJ28" s="289">
        <f t="shared" si="9"/>
        <v>0.25738396624472576</v>
      </c>
      <c r="AK28" s="289">
        <f t="shared" si="33"/>
        <v>141.30379746831539</v>
      </c>
    </row>
    <row r="29" spans="1:37" ht="15.75" thickBot="1">
      <c r="A29" s="4">
        <f>ELEC!C29</f>
        <v>44254</v>
      </c>
      <c r="B29" s="540">
        <f t="shared" si="38"/>
        <v>9649</v>
      </c>
      <c r="C29" s="287">
        <f t="shared" si="11"/>
        <v>0</v>
      </c>
      <c r="D29" s="541">
        <f t="shared" si="39"/>
        <v>333321</v>
      </c>
      <c r="E29" s="287">
        <f>SUM(D29-D28)</f>
        <v>0</v>
      </c>
      <c r="F29" s="287">
        <f t="shared" si="0"/>
        <v>0</v>
      </c>
      <c r="G29" s="196"/>
      <c r="H29" s="270">
        <f t="shared" si="13"/>
        <v>9729</v>
      </c>
      <c r="I29" s="287" t="str">
        <f t="shared" si="1"/>
        <v>ok</v>
      </c>
      <c r="J29" s="541">
        <f t="shared" si="14"/>
        <v>10698</v>
      </c>
      <c r="K29" s="287">
        <f t="shared" si="2"/>
        <v>0</v>
      </c>
      <c r="L29" s="541">
        <f t="shared" si="14"/>
        <v>357691</v>
      </c>
      <c r="M29" s="287">
        <f t="shared" si="3"/>
        <v>0</v>
      </c>
      <c r="N29" s="287">
        <f t="shared" si="15"/>
        <v>0</v>
      </c>
      <c r="O29" s="196"/>
      <c r="P29" s="288">
        <f t="shared" si="16"/>
        <v>10873</v>
      </c>
      <c r="Q29" s="287" t="str">
        <f t="shared" si="34"/>
        <v>ok</v>
      </c>
      <c r="R29" s="541">
        <v>11863</v>
      </c>
      <c r="S29" s="287">
        <f t="shared" si="5"/>
        <v>14</v>
      </c>
      <c r="T29" s="541">
        <v>392038</v>
      </c>
      <c r="U29" s="287">
        <f t="shared" si="36"/>
        <v>3500</v>
      </c>
      <c r="V29" s="287">
        <f t="shared" si="19"/>
        <v>250</v>
      </c>
      <c r="W29" s="196"/>
      <c r="X29" s="288">
        <f t="shared" si="20"/>
        <v>11898</v>
      </c>
      <c r="Y29" s="287" t="str">
        <f t="shared" si="37"/>
        <v>ok</v>
      </c>
      <c r="Z29" s="287">
        <f t="shared" si="8"/>
        <v>14</v>
      </c>
      <c r="AA29" s="287">
        <f t="shared" si="21"/>
        <v>3500</v>
      </c>
      <c r="AB29" s="287">
        <f t="shared" si="22"/>
        <v>250</v>
      </c>
      <c r="AC29" s="287">
        <f t="shared" si="23"/>
        <v>250</v>
      </c>
      <c r="AD29" s="73">
        <f>ELEC!Q29</f>
        <v>6046.9999999986612</v>
      </c>
      <c r="AE29" s="73">
        <f t="shared" si="25"/>
        <v>431.92857142847578</v>
      </c>
      <c r="AF29" s="403">
        <f t="shared" si="26"/>
        <v>0.26995535714279734</v>
      </c>
      <c r="AG29" s="404">
        <f t="shared" si="27"/>
        <v>86.385714285695144</v>
      </c>
      <c r="AH29" s="404">
        <f t="shared" si="24"/>
        <v>163.61428571430486</v>
      </c>
      <c r="AI29" s="73">
        <f t="shared" si="28"/>
        <v>1556.4008438815122</v>
      </c>
      <c r="AJ29" s="289">
        <f t="shared" si="9"/>
        <v>0.25738396624472576</v>
      </c>
      <c r="AK29" s="289">
        <f t="shared" si="33"/>
        <v>111.17148884867945</v>
      </c>
    </row>
    <row r="30" spans="1:37">
      <c r="A30" s="4">
        <f>ELEC!C30</f>
        <v>44255</v>
      </c>
      <c r="B30" s="540">
        <f t="shared" si="38"/>
        <v>9649</v>
      </c>
      <c r="C30" s="287">
        <f t="shared" si="11"/>
        <v>0</v>
      </c>
      <c r="D30" s="541">
        <f t="shared" si="39"/>
        <v>333321</v>
      </c>
      <c r="E30" s="287">
        <f t="shared" si="12"/>
        <v>0</v>
      </c>
      <c r="F30" s="287">
        <f t="shared" si="0"/>
        <v>0</v>
      </c>
      <c r="G30" s="196"/>
      <c r="H30" s="270">
        <f t="shared" si="13"/>
        <v>9729</v>
      </c>
      <c r="I30" s="287" t="str">
        <f t="shared" si="1"/>
        <v>ok</v>
      </c>
      <c r="J30" s="541">
        <f t="shared" si="14"/>
        <v>10698</v>
      </c>
      <c r="K30" s="287">
        <f t="shared" si="2"/>
        <v>0</v>
      </c>
      <c r="L30" s="541">
        <f t="shared" si="14"/>
        <v>357691</v>
      </c>
      <c r="M30" s="287">
        <f t="shared" si="3"/>
        <v>0</v>
      </c>
      <c r="N30" s="287">
        <f t="shared" si="15"/>
        <v>0</v>
      </c>
      <c r="O30" s="196"/>
      <c r="P30" s="288">
        <f t="shared" si="16"/>
        <v>10873</v>
      </c>
      <c r="Q30" s="287" t="str">
        <f t="shared" si="34"/>
        <v>ok</v>
      </c>
      <c r="R30" s="541">
        <v>11876</v>
      </c>
      <c r="S30" s="287">
        <f t="shared" si="5"/>
        <v>13</v>
      </c>
      <c r="T30" s="541">
        <v>395288</v>
      </c>
      <c r="U30" s="287">
        <f t="shared" si="36"/>
        <v>3250</v>
      </c>
      <c r="V30" s="287">
        <f t="shared" si="19"/>
        <v>250</v>
      </c>
      <c r="W30" s="285"/>
      <c r="X30" s="288">
        <f t="shared" si="20"/>
        <v>11898</v>
      </c>
      <c r="Y30" s="287" t="str">
        <f t="shared" si="37"/>
        <v>ok</v>
      </c>
      <c r="Z30" s="287">
        <f t="shared" si="8"/>
        <v>13</v>
      </c>
      <c r="AA30" s="287">
        <f t="shared" si="21"/>
        <v>3250</v>
      </c>
      <c r="AB30" s="287">
        <f t="shared" si="22"/>
        <v>250</v>
      </c>
      <c r="AC30" s="287">
        <f t="shared" si="23"/>
        <v>250</v>
      </c>
      <c r="AD30" s="73">
        <f>ELEC!Q30</f>
        <v>5560.0000000013097</v>
      </c>
      <c r="AE30" s="73">
        <f t="shared" si="25"/>
        <v>427.69230769240846</v>
      </c>
      <c r="AF30" s="403">
        <f t="shared" si="26"/>
        <v>0.26730769230775531</v>
      </c>
      <c r="AG30" s="404">
        <f t="shared" si="27"/>
        <v>85.538461538481698</v>
      </c>
      <c r="AH30" s="404">
        <f t="shared" si="24"/>
        <v>164.4615384615183</v>
      </c>
      <c r="AI30" s="73">
        <f t="shared" si="28"/>
        <v>1431.0548523210123</v>
      </c>
      <c r="AJ30" s="289">
        <f t="shared" si="9"/>
        <v>0.25738396624472576</v>
      </c>
      <c r="AK30" s="289">
        <f t="shared" si="33"/>
        <v>110.08114248623171</v>
      </c>
    </row>
    <row r="31" spans="1:37">
      <c r="H31" s="39"/>
      <c r="I31" s="267"/>
      <c r="M31" s="39"/>
      <c r="N31" s="39"/>
      <c r="O31" s="39"/>
      <c r="P31" s="82">
        <f>+O31/3</f>
        <v>0</v>
      </c>
      <c r="S31" s="39"/>
      <c r="T31" s="39"/>
      <c r="U31" s="40">
        <f>SUM(C32:S32)</f>
        <v>189</v>
      </c>
      <c r="V31" s="40"/>
      <c r="X31">
        <v>341</v>
      </c>
      <c r="Z31" s="421">
        <f>SUM(Z3:Z30)</f>
        <v>189</v>
      </c>
    </row>
    <row r="32" spans="1:37">
      <c r="C32" s="40">
        <f>SUM(C3:C30)</f>
        <v>111</v>
      </c>
      <c r="K32" s="40">
        <f>SUM(K3:K30)</f>
        <v>0</v>
      </c>
      <c r="S32" s="40">
        <f>SUM(S3:S30)</f>
        <v>78</v>
      </c>
      <c r="U32" s="40"/>
      <c r="V32" s="40"/>
      <c r="X32" s="40"/>
    </row>
  </sheetData>
  <conditionalFormatting sqref="K3:K30 S3:S30 Z3:Z30 C3:C30">
    <cfRule type="cellIs" dxfId="3" priority="11" stopIfTrue="1" operator="equal">
      <formula>0</formula>
    </cfRule>
  </conditionalFormatting>
  <conditionalFormatting sqref="AA3:AB30">
    <cfRule type="cellIs" dxfId="2" priority="4" stopIfTrue="1" operator="lessThan">
      <formula>0</formula>
    </cfRule>
  </conditionalFormatting>
  <pageMargins left="0.7" right="0.7" top="0.75" bottom="0.75" header="0.3" footer="0.3"/>
  <pageSetup orientation="portrait" r:id="rId1"/>
  <drawing r:id="rId2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F77"/>
  <sheetViews>
    <sheetView topLeftCell="A10" zoomScale="80" zoomScaleNormal="80" workbookViewId="0">
      <selection activeCell="K31" sqref="K31"/>
    </sheetView>
  </sheetViews>
  <sheetFormatPr defaultRowHeight="15"/>
  <cols>
    <col min="1" max="1" width="15.5703125" customWidth="1"/>
    <col min="2" max="5" width="17.5703125" customWidth="1"/>
    <col min="6" max="7" width="17.42578125" customWidth="1"/>
    <col min="8" max="9" width="16.140625" customWidth="1"/>
    <col min="10" max="10" width="22" customWidth="1"/>
    <col min="11" max="11" width="11.42578125" customWidth="1"/>
    <col min="12" max="12" width="15.140625" bestFit="1" customWidth="1"/>
    <col min="13" max="13" width="19.140625" bestFit="1" customWidth="1"/>
    <col min="14" max="14" width="15.140625" bestFit="1" customWidth="1"/>
    <col min="15" max="15" width="13.85546875" bestFit="1" customWidth="1"/>
    <col min="16" max="16" width="12.85546875" customWidth="1"/>
    <col min="17" max="17" width="14.28515625" customWidth="1"/>
    <col min="18" max="18" width="13.42578125" bestFit="1" customWidth="1"/>
    <col min="19" max="19" width="15.140625" style="293" bestFit="1" customWidth="1"/>
    <col min="20" max="20" width="10.28515625" style="337" customWidth="1"/>
    <col min="22" max="22" width="23.28515625" bestFit="1" customWidth="1"/>
    <col min="23" max="23" width="14.85546875" bestFit="1" customWidth="1"/>
    <col min="24" max="24" width="10.7109375" bestFit="1" customWidth="1"/>
    <col min="25" max="25" width="12.5703125" bestFit="1" customWidth="1"/>
    <col min="26" max="26" width="15.85546875" bestFit="1" customWidth="1"/>
    <col min="27" max="27" width="18.7109375" bestFit="1" customWidth="1"/>
    <col min="28" max="28" width="23.5703125" bestFit="1" customWidth="1"/>
    <col min="29" max="29" width="14.28515625" customWidth="1"/>
    <col min="30" max="30" width="12" bestFit="1" customWidth="1"/>
    <col min="31" max="31" width="14.28515625" bestFit="1" customWidth="1"/>
    <col min="32" max="32" width="17" bestFit="1" customWidth="1"/>
    <col min="33" max="33" width="10.28515625" bestFit="1" customWidth="1"/>
  </cols>
  <sheetData>
    <row r="1" spans="1:32">
      <c r="A1" s="164" t="s">
        <v>51</v>
      </c>
      <c r="B1" s="164" t="s">
        <v>196</v>
      </c>
      <c r="C1" s="164" t="s">
        <v>200</v>
      </c>
      <c r="D1" s="164"/>
      <c r="E1" s="164"/>
      <c r="F1" s="164" t="s">
        <v>197</v>
      </c>
      <c r="G1" s="164">
        <v>320</v>
      </c>
      <c r="H1" s="164" t="s">
        <v>198</v>
      </c>
      <c r="I1" s="164">
        <v>112</v>
      </c>
      <c r="J1" s="164" t="s">
        <v>199</v>
      </c>
      <c r="K1" s="164">
        <v>80</v>
      </c>
      <c r="L1" s="164"/>
      <c r="M1" s="164"/>
      <c r="N1" s="164"/>
      <c r="O1" s="164"/>
      <c r="P1" s="164"/>
      <c r="Q1" s="164"/>
      <c r="R1" s="164"/>
      <c r="S1" s="298"/>
      <c r="T1" s="335"/>
    </row>
    <row r="2" spans="1:32">
      <c r="A2" s="164"/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 t="s">
        <v>362</v>
      </c>
      <c r="M2" s="164" t="s">
        <v>363</v>
      </c>
      <c r="N2" s="164" t="s">
        <v>364</v>
      </c>
      <c r="O2" s="164" t="s">
        <v>365</v>
      </c>
      <c r="P2" s="164" t="s">
        <v>366</v>
      </c>
      <c r="Q2" s="164" t="s">
        <v>367</v>
      </c>
      <c r="R2" s="164" t="s">
        <v>368</v>
      </c>
      <c r="S2" s="298"/>
      <c r="T2" s="335"/>
    </row>
    <row r="3" spans="1:32" ht="15.75" thickBot="1">
      <c r="A3" s="163">
        <f>ELEC!C2</f>
        <v>44227</v>
      </c>
      <c r="B3" s="264">
        <f>'[2]EDl log'!B34</f>
        <v>853626</v>
      </c>
      <c r="C3" s="264">
        <f>'[2]EDl log'!C34</f>
        <v>2345</v>
      </c>
      <c r="D3" s="264">
        <f>'[2]EDl log'!D34</f>
        <v>2346</v>
      </c>
      <c r="E3" s="264">
        <f>'[2]EDl log'!E34</f>
        <v>853627</v>
      </c>
      <c r="F3" s="264">
        <v>128729</v>
      </c>
      <c r="G3" s="264">
        <f>'[2]EDl log'!G34</f>
        <v>446</v>
      </c>
      <c r="H3" s="264">
        <v>426042</v>
      </c>
      <c r="I3" s="264">
        <f>'[2]EDl log'!I34</f>
        <v>935</v>
      </c>
      <c r="J3" s="264">
        <v>298855</v>
      </c>
      <c r="K3" s="264">
        <f>'[2]EDl log'!K34</f>
        <v>965</v>
      </c>
      <c r="L3" s="264">
        <f>'[2]EDl log'!L34</f>
        <v>94.673300165837475</v>
      </c>
      <c r="M3" s="264">
        <f>'[2]EDl log'!M34</f>
        <v>69.466003316749592</v>
      </c>
      <c r="N3" s="264">
        <f>'[2]EDl log'!N34</f>
        <v>51.210613598673298</v>
      </c>
      <c r="O3" s="264">
        <f>'[2]EDl log'!O34</f>
        <v>154.80303857058792</v>
      </c>
      <c r="P3" s="264">
        <f>'[2]EDl log'!P34</f>
        <v>370.15295565184829</v>
      </c>
      <c r="Q3" s="264">
        <f>'[2]EDl log'!Q34</f>
        <v>431.00129032258002</v>
      </c>
      <c r="R3" s="264">
        <f>'[2]EDl log'!R34</f>
        <v>801.15424597442825</v>
      </c>
      <c r="S3" s="264">
        <f>'[2]EDl log'!S34</f>
        <v>6347</v>
      </c>
      <c r="T3" s="264">
        <f>'[2]EDl log'!T34</f>
        <v>0.12622565715683445</v>
      </c>
      <c r="Z3" t="s">
        <v>214</v>
      </c>
      <c r="AA3">
        <v>0.1</v>
      </c>
    </row>
    <row r="4" spans="1:32" ht="15.75" thickBot="1">
      <c r="A4" s="163">
        <f>ELEC!C3</f>
        <v>44228</v>
      </c>
      <c r="B4" s="539">
        <v>856126</v>
      </c>
      <c r="C4" s="264">
        <f t="shared" ref="C4:C31" si="0">SUM(B4-B3)</f>
        <v>2500</v>
      </c>
      <c r="D4" s="308">
        <f>SUM(G4+I4+K4)</f>
        <v>2499</v>
      </c>
      <c r="E4" s="308">
        <f>B3+D4</f>
        <v>856125</v>
      </c>
      <c r="F4" s="539">
        <v>129225</v>
      </c>
      <c r="G4" s="160">
        <f t="shared" ref="G4:G31" si="1">F4-F3</f>
        <v>496</v>
      </c>
      <c r="H4" s="539">
        <v>427118</v>
      </c>
      <c r="I4" s="161">
        <f t="shared" ref="I4:I31" si="2">H4-H3</f>
        <v>1076</v>
      </c>
      <c r="J4" s="539">
        <v>299782</v>
      </c>
      <c r="K4" s="162">
        <f t="shared" ref="K4:K31" si="3">J4-J3</f>
        <v>927</v>
      </c>
      <c r="L4" s="296">
        <f t="shared" ref="L4:L13" si="4">SUM(G4*$Y$28)/1507.5</f>
        <v>105.28689883913765</v>
      </c>
      <c r="M4" s="296">
        <f t="shared" ref="M4:M13" si="5">SUM(I4*$Y$27)/1507.5</f>
        <v>79.941625207296852</v>
      </c>
      <c r="N4" s="296">
        <f t="shared" ref="N4:N13" si="6">SUM(K4*$Y$26)/1507.5</f>
        <v>49.194029850746269</v>
      </c>
      <c r="O4" s="296">
        <f t="shared" ref="O4:O31" si="7">($AC$31/$A$34)/1507.5</f>
        <v>171.38907841743662</v>
      </c>
      <c r="P4" s="297">
        <f>SUM(L4:O4)</f>
        <v>405.81163231461738</v>
      </c>
      <c r="Q4" s="297">
        <f>SUM(-tanks!AX6*tanks!$AU$34)</f>
        <v>442.31555806450916</v>
      </c>
      <c r="R4" s="297">
        <f>SUM(P4:Q4)</f>
        <v>848.12719037912655</v>
      </c>
      <c r="S4" s="299">
        <f>SUM(ELEC!N3)</f>
        <v>6404.3999999999069</v>
      </c>
      <c r="T4" s="336">
        <f>IF(S4&gt;0,R4/S4,0)</f>
        <v>0.13242882867702499</v>
      </c>
      <c r="U4" s="250"/>
      <c r="V4" s="251" t="str">
        <f>'[6]EDl log'!V21</f>
        <v xml:space="preserve">EDL </v>
      </c>
      <c r="W4" s="167">
        <v>44197</v>
      </c>
      <c r="X4" s="169"/>
      <c r="Y4" s="169"/>
      <c r="Z4" s="169" t="s">
        <v>202</v>
      </c>
      <c r="AA4" s="169"/>
      <c r="AB4" s="658"/>
      <c r="AC4" s="659"/>
    </row>
    <row r="5" spans="1:32" ht="15.75" thickBot="1">
      <c r="A5" s="163">
        <f>ELEC!C4</f>
        <v>44229</v>
      </c>
      <c r="B5" s="539">
        <v>858354</v>
      </c>
      <c r="C5" s="264">
        <f t="shared" si="0"/>
        <v>2228</v>
      </c>
      <c r="D5" s="308">
        <f t="shared" ref="D5:D31" si="8">SUM(G5+I5+K5)</f>
        <v>2229</v>
      </c>
      <c r="E5" s="308">
        <f>B4+D5</f>
        <v>858355</v>
      </c>
      <c r="F5" s="539">
        <v>129716</v>
      </c>
      <c r="G5" s="160">
        <f t="shared" si="1"/>
        <v>491</v>
      </c>
      <c r="H5" s="539">
        <v>428204</v>
      </c>
      <c r="I5" s="161">
        <f t="shared" si="2"/>
        <v>1086</v>
      </c>
      <c r="J5" s="539">
        <v>300434</v>
      </c>
      <c r="K5" s="162">
        <f t="shared" si="3"/>
        <v>652</v>
      </c>
      <c r="L5" s="296">
        <f t="shared" si="4"/>
        <v>104.22553897180762</v>
      </c>
      <c r="M5" s="296">
        <f t="shared" si="5"/>
        <v>80.684577114427867</v>
      </c>
      <c r="N5" s="296">
        <f t="shared" si="6"/>
        <v>34.600331674958539</v>
      </c>
      <c r="O5" s="296">
        <f t="shared" si="7"/>
        <v>171.38907841743662</v>
      </c>
      <c r="P5" s="297">
        <f t="shared" ref="P5:P31" si="9">SUM(L5:O5)</f>
        <v>390.89952617863065</v>
      </c>
      <c r="Q5" s="297">
        <f>SUM(-tanks!AX7*tanks!$AU$34)</f>
        <v>399.68239354837806</v>
      </c>
      <c r="R5" s="297">
        <f t="shared" ref="R5:R31" si="10">SUM(P5:Q5)</f>
        <v>790.58191972700865</v>
      </c>
      <c r="S5" s="299">
        <f>SUM(ELEC!N4)</f>
        <v>6622</v>
      </c>
      <c r="T5" s="336">
        <f>IF(S5&gt;0,R5/S5,0)</f>
        <v>0.11938718207898047</v>
      </c>
      <c r="U5" s="250"/>
      <c r="V5" s="652"/>
      <c r="W5" s="653"/>
      <c r="X5" s="653"/>
      <c r="Y5" s="654"/>
      <c r="Z5" s="26" t="s">
        <v>203</v>
      </c>
      <c r="AA5" s="264">
        <f>'[7]EDl log'!AA22</f>
        <v>5000</v>
      </c>
      <c r="AB5" s="660"/>
      <c r="AC5" s="661"/>
    </row>
    <row r="6" spans="1:32" ht="15.75" thickBot="1">
      <c r="A6" s="163">
        <f>ELEC!C5</f>
        <v>44230</v>
      </c>
      <c r="B6" s="539">
        <v>860441</v>
      </c>
      <c r="C6" s="264">
        <f t="shared" si="0"/>
        <v>2087</v>
      </c>
      <c r="D6" s="308">
        <f t="shared" si="8"/>
        <v>2086</v>
      </c>
      <c r="E6" s="308">
        <f t="shared" ref="E6:E31" si="11">B5+D6</f>
        <v>860440</v>
      </c>
      <c r="F6" s="539">
        <v>129935</v>
      </c>
      <c r="G6" s="160">
        <f t="shared" si="1"/>
        <v>219</v>
      </c>
      <c r="H6" s="539">
        <v>429188</v>
      </c>
      <c r="I6" s="161">
        <f t="shared" si="2"/>
        <v>984</v>
      </c>
      <c r="J6" s="539">
        <v>301317</v>
      </c>
      <c r="K6" s="162">
        <f t="shared" si="3"/>
        <v>883</v>
      </c>
      <c r="L6" s="296">
        <f t="shared" si="4"/>
        <v>46.487562189054728</v>
      </c>
      <c r="M6" s="296">
        <f t="shared" si="5"/>
        <v>73.106467661691539</v>
      </c>
      <c r="N6" s="296">
        <f t="shared" si="6"/>
        <v>46.859038142620236</v>
      </c>
      <c r="O6" s="296">
        <f t="shared" si="7"/>
        <v>171.38907841743662</v>
      </c>
      <c r="P6" s="297">
        <f t="shared" si="9"/>
        <v>337.84214641080314</v>
      </c>
      <c r="Q6" s="297">
        <f>SUM(-tanks!AX8*tanks!$AU$34)</f>
        <v>546.30965806452957</v>
      </c>
      <c r="R6" s="297">
        <f t="shared" si="10"/>
        <v>884.15180447533271</v>
      </c>
      <c r="S6" s="299">
        <f>SUM(ELEC!N5)</f>
        <v>6753</v>
      </c>
      <c r="T6" s="336">
        <f t="shared" ref="T6:T31" si="12">IF(S6&gt;0,R6/S6,0)</f>
        <v>0.13092726262036616</v>
      </c>
      <c r="V6" s="655"/>
      <c r="W6" s="656"/>
      <c r="X6" s="656"/>
      <c r="Y6" s="657"/>
      <c r="Z6" s="3"/>
      <c r="AA6" s="3"/>
      <c r="AB6" s="660"/>
      <c r="AC6" s="661"/>
    </row>
    <row r="7" spans="1:32" ht="15" customHeight="1" thickBot="1">
      <c r="A7" s="163">
        <f>ELEC!C6</f>
        <v>44231</v>
      </c>
      <c r="B7" s="539">
        <v>862596</v>
      </c>
      <c r="C7" s="264">
        <f t="shared" si="0"/>
        <v>2155</v>
      </c>
      <c r="D7" s="308">
        <f t="shared" si="8"/>
        <v>2155</v>
      </c>
      <c r="E7" s="308">
        <f t="shared" si="11"/>
        <v>862596</v>
      </c>
      <c r="F7" s="539">
        <v>130413</v>
      </c>
      <c r="G7" s="160">
        <f t="shared" si="1"/>
        <v>478</v>
      </c>
      <c r="H7" s="539">
        <v>430047</v>
      </c>
      <c r="I7" s="161">
        <f t="shared" si="2"/>
        <v>859</v>
      </c>
      <c r="J7" s="539">
        <v>302135</v>
      </c>
      <c r="K7" s="162">
        <f t="shared" si="3"/>
        <v>818</v>
      </c>
      <c r="L7" s="296">
        <f t="shared" si="4"/>
        <v>101.46600331674959</v>
      </c>
      <c r="M7" s="296">
        <f t="shared" si="5"/>
        <v>63.819568822553897</v>
      </c>
      <c r="N7" s="296">
        <f t="shared" si="6"/>
        <v>43.40961857379768</v>
      </c>
      <c r="O7" s="296">
        <f t="shared" si="7"/>
        <v>171.38907841743662</v>
      </c>
      <c r="P7" s="297">
        <f t="shared" si="9"/>
        <v>380.08426913053779</v>
      </c>
      <c r="Q7" s="297">
        <f>SUM(-tanks!AX9*tanks!$AU$34)</f>
        <v>531.7446580645211</v>
      </c>
      <c r="R7" s="297">
        <f t="shared" si="10"/>
        <v>911.8289271950589</v>
      </c>
      <c r="S7" s="299">
        <f>SUM(ELEC!N6)</f>
        <v>6587</v>
      </c>
      <c r="T7" s="336">
        <f t="shared" si="12"/>
        <v>0.13842856037574905</v>
      </c>
      <c r="V7" s="648" t="s">
        <v>204</v>
      </c>
      <c r="W7" s="649"/>
      <c r="X7" s="650" t="s">
        <v>205</v>
      </c>
      <c r="Y7" s="651"/>
      <c r="Z7" s="649"/>
      <c r="AA7" s="26"/>
      <c r="AB7" s="662"/>
      <c r="AC7" s="663"/>
    </row>
    <row r="8" spans="1:32" ht="15.75" customHeight="1" thickBot="1">
      <c r="A8" s="163">
        <f>ELEC!C7</f>
        <v>44232</v>
      </c>
      <c r="B8" s="539">
        <v>864742</v>
      </c>
      <c r="C8" s="264">
        <f t="shared" si="0"/>
        <v>2146</v>
      </c>
      <c r="D8" s="308">
        <f t="shared" si="8"/>
        <v>2147</v>
      </c>
      <c r="E8" s="308">
        <f t="shared" si="11"/>
        <v>864743</v>
      </c>
      <c r="F8" s="539">
        <v>130838</v>
      </c>
      <c r="G8" s="160">
        <f t="shared" si="1"/>
        <v>425</v>
      </c>
      <c r="H8" s="539">
        <v>430939</v>
      </c>
      <c r="I8" s="161">
        <f t="shared" si="2"/>
        <v>892</v>
      </c>
      <c r="J8" s="539">
        <v>302965</v>
      </c>
      <c r="K8" s="162">
        <f>J8-J7</f>
        <v>830</v>
      </c>
      <c r="L8" s="296">
        <f t="shared" si="4"/>
        <v>90.215588723051411</v>
      </c>
      <c r="M8" s="296">
        <f t="shared" si="5"/>
        <v>66.271310116086241</v>
      </c>
      <c r="N8" s="296">
        <f t="shared" si="6"/>
        <v>44.046434494195687</v>
      </c>
      <c r="O8" s="296">
        <f t="shared" si="7"/>
        <v>171.38907841743662</v>
      </c>
      <c r="P8" s="297">
        <f t="shared" si="9"/>
        <v>371.92241175076998</v>
      </c>
      <c r="Q8" s="297">
        <f>SUM(-tanks!AX10*tanks!$AU$34)</f>
        <v>-259.03147741936141</v>
      </c>
      <c r="R8" s="297">
        <f t="shared" si="10"/>
        <v>112.89093433140857</v>
      </c>
      <c r="S8" s="299">
        <f>SUM(ELEC!N7)</f>
        <v>5932</v>
      </c>
      <c r="T8" s="336">
        <f>IF(S8&gt;0,R8/S8,0)</f>
        <v>1.9030838558902322E-2</v>
      </c>
      <c r="V8" s="255" t="s">
        <v>206</v>
      </c>
      <c r="W8" s="256" t="s">
        <v>207</v>
      </c>
      <c r="X8" s="256"/>
      <c r="Y8" s="256" t="s">
        <v>208</v>
      </c>
      <c r="Z8" s="26" t="s">
        <v>209</v>
      </c>
      <c r="AA8" s="26" t="s">
        <v>210</v>
      </c>
      <c r="AB8" s="533" t="str">
        <f>'[8]EDl log'!AB25</f>
        <v>Total cost LL</v>
      </c>
      <c r="AC8" s="252" t="s">
        <v>212</v>
      </c>
    </row>
    <row r="9" spans="1:32" ht="15.75" thickBot="1">
      <c r="A9" s="163">
        <f>ELEC!C8</f>
        <v>44233</v>
      </c>
      <c r="B9" s="539">
        <v>867071</v>
      </c>
      <c r="C9" s="264">
        <f t="shared" si="0"/>
        <v>2329</v>
      </c>
      <c r="D9" s="308">
        <f t="shared" si="8"/>
        <v>2329</v>
      </c>
      <c r="E9" s="308">
        <f t="shared" si="11"/>
        <v>867071</v>
      </c>
      <c r="F9" s="539">
        <v>131316</v>
      </c>
      <c r="G9" s="160">
        <f t="shared" si="1"/>
        <v>478</v>
      </c>
      <c r="H9" s="539">
        <v>431779</v>
      </c>
      <c r="I9" s="161">
        <f t="shared" si="2"/>
        <v>840</v>
      </c>
      <c r="J9" s="539">
        <v>303976</v>
      </c>
      <c r="K9" s="162">
        <f>J9-J8</f>
        <v>1011</v>
      </c>
      <c r="L9" s="296">
        <f t="shared" si="4"/>
        <v>101.46600331674959</v>
      </c>
      <c r="M9" s="296">
        <f t="shared" si="5"/>
        <v>62.407960199004975</v>
      </c>
      <c r="N9" s="296">
        <f t="shared" si="6"/>
        <v>53.651741293532339</v>
      </c>
      <c r="O9" s="296">
        <f t="shared" si="7"/>
        <v>171.38907841743662</v>
      </c>
      <c r="P9" s="297">
        <f t="shared" si="9"/>
        <v>388.9147832267235</v>
      </c>
      <c r="Q9" s="297">
        <f>SUM(-tanks!AX11*tanks!$AU$34)</f>
        <v>314.04019354836959</v>
      </c>
      <c r="R9" s="297">
        <f>SUM(P9:Q9)</f>
        <v>702.95497677509309</v>
      </c>
      <c r="S9" s="299">
        <f>SUM(ELEC!N8)</f>
        <v>5977</v>
      </c>
      <c r="T9" s="336">
        <f t="shared" si="12"/>
        <v>0.11761000113352738</v>
      </c>
      <c r="V9" s="571">
        <f>'[2]EDl log'!V26</f>
        <v>271580</v>
      </c>
      <c r="W9" s="571">
        <f>'[2]EDl log'!W26</f>
        <v>297890</v>
      </c>
      <c r="X9" s="571" t="str">
        <f>'[2]EDl log'!X26</f>
        <v>Night</v>
      </c>
      <c r="Y9" s="571">
        <f>'[2]EDl log'!Y26</f>
        <v>80</v>
      </c>
      <c r="Z9" s="571">
        <f>'[2]EDl log'!Z26</f>
        <v>1</v>
      </c>
      <c r="AA9" s="600">
        <f>'[2]EDl log'!AA26</f>
        <v>26310</v>
      </c>
      <c r="AB9" s="600">
        <f>'[2]EDl log'!AB26</f>
        <v>2104800</v>
      </c>
      <c r="AC9" s="600">
        <f>'[2]EDl log'!AC26</f>
        <v>1033333</v>
      </c>
      <c r="AD9" s="601">
        <f>'[2]EDl log'!AD26</f>
        <v>0.37186935920577618</v>
      </c>
    </row>
    <row r="10" spans="1:32" ht="15.75" thickBot="1">
      <c r="A10" s="163">
        <f>ELEC!C9</f>
        <v>44234</v>
      </c>
      <c r="B10" s="539">
        <v>869480</v>
      </c>
      <c r="C10" s="264">
        <f t="shared" si="0"/>
        <v>2409</v>
      </c>
      <c r="D10" s="308">
        <f t="shared" si="8"/>
        <v>2408</v>
      </c>
      <c r="E10" s="308">
        <f t="shared" si="11"/>
        <v>869479</v>
      </c>
      <c r="F10" s="539">
        <v>131674</v>
      </c>
      <c r="G10" s="160">
        <f t="shared" si="1"/>
        <v>358</v>
      </c>
      <c r="H10" s="539">
        <v>432965</v>
      </c>
      <c r="I10" s="161">
        <f t="shared" si="2"/>
        <v>1186</v>
      </c>
      <c r="J10" s="539">
        <v>304840</v>
      </c>
      <c r="K10" s="162">
        <f t="shared" si="3"/>
        <v>864</v>
      </c>
      <c r="L10" s="296">
        <f t="shared" si="4"/>
        <v>75.993366500829183</v>
      </c>
      <c r="M10" s="296">
        <f t="shared" si="5"/>
        <v>88.114096185737978</v>
      </c>
      <c r="N10" s="296">
        <f t="shared" si="6"/>
        <v>45.850746268656714</v>
      </c>
      <c r="O10" s="296">
        <f t="shared" si="7"/>
        <v>171.38907841743662</v>
      </c>
      <c r="P10" s="297">
        <f t="shared" si="9"/>
        <v>381.3472873726605</v>
      </c>
      <c r="Q10" s="297">
        <f>SUM(-tanks!AX12*tanks!$AU$34)</f>
        <v>552.13565806452107</v>
      </c>
      <c r="R10" s="297">
        <f t="shared" si="10"/>
        <v>933.48294543718157</v>
      </c>
      <c r="S10" s="299">
        <f>SUM(ELEC!N9)</f>
        <v>6551.2000000001863</v>
      </c>
      <c r="T10" s="336">
        <f t="shared" si="12"/>
        <v>0.14249037511252213</v>
      </c>
      <c r="V10" s="571">
        <f>'[2]EDl log'!V27</f>
        <v>393641</v>
      </c>
      <c r="W10" s="571">
        <f>'[2]EDl log'!W27</f>
        <v>425107</v>
      </c>
      <c r="X10" s="571" t="str">
        <f>'[2]EDl log'!X27</f>
        <v>day</v>
      </c>
      <c r="Y10" s="571">
        <f>'[2]EDl log'!Y27</f>
        <v>112</v>
      </c>
      <c r="Z10" s="571">
        <f>'[2]EDl log'!Z27</f>
        <v>1</v>
      </c>
      <c r="AA10" s="600">
        <f>'[2]EDl log'!AA27</f>
        <v>31466</v>
      </c>
      <c r="AB10" s="600">
        <f>'[2]EDl log'!AB27</f>
        <v>3524192</v>
      </c>
      <c r="AC10" s="600">
        <f>'[2]EDl log'!AC27</f>
        <v>6200000</v>
      </c>
      <c r="AD10" s="601">
        <f>'[2]EDl log'!AD27</f>
        <v>0.4429010604693141</v>
      </c>
    </row>
    <row r="11" spans="1:32" ht="15.75" thickBot="1">
      <c r="A11" s="163">
        <f>ELEC!C10</f>
        <v>44235</v>
      </c>
      <c r="B11" s="539">
        <v>871763</v>
      </c>
      <c r="C11" s="264">
        <f t="shared" si="0"/>
        <v>2283</v>
      </c>
      <c r="D11" s="308">
        <f>SUM(G11+I11+K11)</f>
        <v>2293</v>
      </c>
      <c r="E11" s="308">
        <f t="shared" si="11"/>
        <v>871773</v>
      </c>
      <c r="F11" s="539">
        <v>132118</v>
      </c>
      <c r="G11" s="160">
        <f t="shared" si="1"/>
        <v>444</v>
      </c>
      <c r="H11" s="539">
        <v>433933</v>
      </c>
      <c r="I11" s="161">
        <f t="shared" si="2"/>
        <v>968</v>
      </c>
      <c r="J11" s="539">
        <v>305721</v>
      </c>
      <c r="K11" s="162">
        <f t="shared" si="3"/>
        <v>881</v>
      </c>
      <c r="L11" s="296">
        <f t="shared" si="4"/>
        <v>94.24875621890547</v>
      </c>
      <c r="M11" s="296">
        <f t="shared" si="5"/>
        <v>71.917744610281929</v>
      </c>
      <c r="N11" s="296">
        <f t="shared" si="6"/>
        <v>46.752902155887227</v>
      </c>
      <c r="O11" s="296">
        <f t="shared" si="7"/>
        <v>171.38907841743662</v>
      </c>
      <c r="P11" s="297">
        <f t="shared" si="9"/>
        <v>384.30848140251123</v>
      </c>
      <c r="Q11" s="297">
        <f>SUM(-tanks!AX13*tanks!$AU$34)</f>
        <v>341.77195354840688</v>
      </c>
      <c r="R11" s="297">
        <f t="shared" si="10"/>
        <v>726.08043495091806</v>
      </c>
      <c r="S11" s="299">
        <f>SUM(ELEC!N10)</f>
        <v>6289.7999999998137</v>
      </c>
      <c r="T11" s="336">
        <f t="shared" si="12"/>
        <v>0.11543776192421691</v>
      </c>
      <c r="V11" s="571">
        <f>'[2]EDl log'!V28</f>
        <v>115015</v>
      </c>
      <c r="W11" s="571">
        <f>'[2]EDl log'!W28</f>
        <v>128283</v>
      </c>
      <c r="X11" s="571" t="str">
        <f>'[2]EDl log'!X28</f>
        <v>Peak</v>
      </c>
      <c r="Y11" s="571">
        <f>'[2]EDl log'!Y28</f>
        <v>320</v>
      </c>
      <c r="Z11" s="571">
        <f>'[2]EDl log'!Z28</f>
        <v>1</v>
      </c>
      <c r="AA11" s="600">
        <f>'[2]EDl log'!AA28</f>
        <v>13268</v>
      </c>
      <c r="AB11" s="600">
        <f>'[2]EDl log'!AB28</f>
        <v>4245760</v>
      </c>
      <c r="AC11" s="600">
        <f>'[2]EDl log'!AC28</f>
        <v>1000</v>
      </c>
      <c r="AD11" s="601">
        <f>'[2]EDl log'!AD28</f>
        <v>0.18524368231046931</v>
      </c>
      <c r="AE11" s="40">
        <f>SUM(AB11*5%)</f>
        <v>212288</v>
      </c>
      <c r="AF11" s="82">
        <f>SUM(AE11/7)*31</f>
        <v>940132.57142857136</v>
      </c>
    </row>
    <row r="12" spans="1:32" ht="15.75" thickBot="1">
      <c r="A12" s="163">
        <f>ELEC!C11</f>
        <v>44236</v>
      </c>
      <c r="B12" s="539">
        <v>873722</v>
      </c>
      <c r="C12" s="264">
        <f t="shared" si="0"/>
        <v>1959</v>
      </c>
      <c r="D12" s="308">
        <f t="shared" si="8"/>
        <v>1950</v>
      </c>
      <c r="E12" s="308">
        <f t="shared" si="11"/>
        <v>873713</v>
      </c>
      <c r="F12" s="539">
        <v>132337</v>
      </c>
      <c r="G12" s="160">
        <f t="shared" si="1"/>
        <v>219</v>
      </c>
      <c r="H12" s="539">
        <v>434813</v>
      </c>
      <c r="I12" s="161">
        <f t="shared" si="2"/>
        <v>880</v>
      </c>
      <c r="J12" s="539">
        <v>306572</v>
      </c>
      <c r="K12" s="162">
        <f t="shared" si="3"/>
        <v>851</v>
      </c>
      <c r="L12" s="296">
        <f t="shared" si="4"/>
        <v>46.487562189054728</v>
      </c>
      <c r="M12" s="296">
        <f t="shared" si="5"/>
        <v>65.379767827529022</v>
      </c>
      <c r="N12" s="296">
        <f t="shared" si="6"/>
        <v>45.160862354892203</v>
      </c>
      <c r="O12" s="296">
        <f t="shared" si="7"/>
        <v>171.38907841743662</v>
      </c>
      <c r="P12" s="297">
        <f t="shared" si="9"/>
        <v>328.41727078891256</v>
      </c>
      <c r="Q12" s="297">
        <f>SUM(-tanks!AX14*tanks!$AU$34)</f>
        <v>577.18745806450409</v>
      </c>
      <c r="R12" s="297">
        <f t="shared" si="10"/>
        <v>905.60472885341665</v>
      </c>
      <c r="S12" s="299">
        <f>SUM(ELEC!N11)</f>
        <v>7008</v>
      </c>
      <c r="T12" s="336">
        <f t="shared" si="12"/>
        <v>0.12922441907154919</v>
      </c>
      <c r="V12" s="571"/>
      <c r="W12" s="264"/>
      <c r="X12" s="3"/>
      <c r="Y12" s="264"/>
      <c r="Z12" s="568">
        <f>'[9]EDl log'!Z29</f>
        <v>0</v>
      </c>
      <c r="AA12" s="600">
        <f>'[2]EDl log'!AA29</f>
        <v>71044</v>
      </c>
      <c r="AB12" s="568">
        <f>'[1]EDl log'!AB29</f>
        <v>0</v>
      </c>
      <c r="AC12" s="568">
        <f>'[1]EDl log'!AC29</f>
        <v>0</v>
      </c>
      <c r="AD12" s="568">
        <f>'[1]EDl log'!AD29</f>
        <v>0</v>
      </c>
    </row>
    <row r="13" spans="1:32" ht="15.75" thickBot="1">
      <c r="A13" s="163">
        <f>ELEC!C12</f>
        <v>44237</v>
      </c>
      <c r="B13" s="539">
        <v>875296</v>
      </c>
      <c r="C13" s="264">
        <f t="shared" si="0"/>
        <v>1574</v>
      </c>
      <c r="D13" s="308">
        <f t="shared" si="8"/>
        <v>1573</v>
      </c>
      <c r="E13" s="308">
        <f t="shared" si="11"/>
        <v>875295</v>
      </c>
      <c r="F13" s="539">
        <v>132662</v>
      </c>
      <c r="G13" s="160">
        <f t="shared" si="1"/>
        <v>325</v>
      </c>
      <c r="H13" s="539">
        <v>435479</v>
      </c>
      <c r="I13" s="161">
        <f t="shared" si="2"/>
        <v>666</v>
      </c>
      <c r="J13" s="539">
        <v>307154</v>
      </c>
      <c r="K13" s="162">
        <f t="shared" si="3"/>
        <v>582</v>
      </c>
      <c r="L13" s="296">
        <f t="shared" si="4"/>
        <v>68.988391376451077</v>
      </c>
      <c r="M13" s="296">
        <f t="shared" si="5"/>
        <v>49.480597014925372</v>
      </c>
      <c r="N13" s="296">
        <f t="shared" si="6"/>
        <v>30.885572139303484</v>
      </c>
      <c r="O13" s="296">
        <f t="shared" si="7"/>
        <v>171.38907841743662</v>
      </c>
      <c r="P13" s="297">
        <f t="shared" si="9"/>
        <v>320.74363894811654</v>
      </c>
      <c r="Q13" s="297">
        <f>SUM(-tanks!AX15*tanks!$AU$34)</f>
        <v>934.52798709677313</v>
      </c>
      <c r="R13" s="297">
        <f t="shared" si="10"/>
        <v>1255.2716260448897</v>
      </c>
      <c r="S13" s="299">
        <f>SUM(ELEC!N12)</f>
        <v>7276</v>
      </c>
      <c r="T13" s="336">
        <f>IF(S13&gt;0,R13/S13,0)</f>
        <v>0.17252221358505906</v>
      </c>
      <c r="V13" s="571" t="str">
        <f>'[7]EDl log'!V30</f>
        <v>Occ %</v>
      </c>
      <c r="W13" s="601">
        <f>'[2]EDl log'!W30</f>
        <v>0</v>
      </c>
      <c r="X13" s="506"/>
      <c r="Y13" s="264" t="str">
        <f>'[4]EDl log'!Y30</f>
        <v>Per G</v>
      </c>
      <c r="Z13" s="3"/>
      <c r="AA13" s="3"/>
      <c r="AB13" s="600">
        <f>'[2]EDl log'!AB30</f>
        <v>9874752</v>
      </c>
      <c r="AC13" s="600">
        <f>'[2]EDl log'!AC30</f>
        <v>7234333</v>
      </c>
    </row>
    <row r="14" spans="1:32" ht="15.75" thickBot="1">
      <c r="A14" s="163">
        <f>ELEC!C13</f>
        <v>44238</v>
      </c>
      <c r="B14" s="539">
        <v>877076</v>
      </c>
      <c r="C14" s="264">
        <f t="shared" si="0"/>
        <v>1780</v>
      </c>
      <c r="D14" s="308">
        <f t="shared" si="8"/>
        <v>1780</v>
      </c>
      <c r="E14" s="308">
        <f t="shared" si="11"/>
        <v>877076</v>
      </c>
      <c r="F14" s="539">
        <v>132888</v>
      </c>
      <c r="G14" s="160">
        <f t="shared" si="1"/>
        <v>226</v>
      </c>
      <c r="H14" s="539">
        <v>436178</v>
      </c>
      <c r="I14" s="161">
        <f t="shared" si="2"/>
        <v>699</v>
      </c>
      <c r="J14" s="539">
        <v>308009</v>
      </c>
      <c r="K14" s="162">
        <f t="shared" ref="K14:K17" si="13">J14-J13</f>
        <v>855</v>
      </c>
      <c r="L14" s="296">
        <f t="shared" ref="L14:L17" si="14">SUM(G14*$Y$28)/1507.5</f>
        <v>47.973466003316751</v>
      </c>
      <c r="M14" s="296">
        <f t="shared" ref="M14:M17" si="15">SUM(I14*$Y$27)/1507.5</f>
        <v>51.932338308457709</v>
      </c>
      <c r="N14" s="296">
        <f t="shared" ref="N14:N17" si="16">SUM(K14*$Y$26)/1507.5</f>
        <v>45.373134328358212</v>
      </c>
      <c r="O14" s="296">
        <f t="shared" si="7"/>
        <v>171.38907841743662</v>
      </c>
      <c r="P14" s="297">
        <f t="shared" ref="P14:P17" si="17">SUM(L14:O14)</f>
        <v>316.66801705756927</v>
      </c>
      <c r="Q14" s="297">
        <f>SUM(-tanks!AX16*tanks!$AU$34)</f>
        <v>745.95352258065554</v>
      </c>
      <c r="R14" s="297">
        <f t="shared" ref="R14:R17" si="18">SUM(P14:Q14)</f>
        <v>1062.6215396382249</v>
      </c>
      <c r="S14" s="299">
        <f>SUM(ELEC!N13)</f>
        <v>7236</v>
      </c>
      <c r="T14" s="336">
        <f t="shared" ref="T14:T17" si="19">IF(S14&gt;0,R14/S14,0)</f>
        <v>0.14685206462662037</v>
      </c>
      <c r="V14" s="571" t="str">
        <f>'[7]EDl log'!V31</f>
        <v>Gen RH</v>
      </c>
      <c r="W14" s="571">
        <f>'[2]EDl log'!W31</f>
        <v>112</v>
      </c>
      <c r="X14" s="569">
        <f>'[1]EDl log'!X31</f>
        <v>3.7419354838709675</v>
      </c>
      <c r="Y14" s="569">
        <f>'[1]EDl log'!Y31</f>
        <v>1.8709677419354838</v>
      </c>
      <c r="Z14" s="264"/>
      <c r="AA14" s="3"/>
      <c r="AB14" s="600">
        <f>'[2]EDl log'!AB31</f>
        <v>17109085</v>
      </c>
      <c r="AC14" s="600">
        <f>'[2]EDl log'!AC31</f>
        <v>7234333</v>
      </c>
    </row>
    <row r="15" spans="1:32" ht="15.75" thickBot="1">
      <c r="A15" s="163">
        <f>ELEC!C14</f>
        <v>44239</v>
      </c>
      <c r="B15" s="539">
        <v>878743</v>
      </c>
      <c r="C15" s="264">
        <f t="shared" si="0"/>
        <v>1667</v>
      </c>
      <c r="D15" s="308">
        <f t="shared" si="8"/>
        <v>1666</v>
      </c>
      <c r="E15" s="308">
        <f t="shared" si="11"/>
        <v>878742</v>
      </c>
      <c r="F15" s="539">
        <v>133233</v>
      </c>
      <c r="G15" s="160">
        <f t="shared" si="1"/>
        <v>345</v>
      </c>
      <c r="H15" s="539">
        <v>436879</v>
      </c>
      <c r="I15" s="161">
        <f t="shared" si="2"/>
        <v>701</v>
      </c>
      <c r="J15" s="539">
        <v>308629</v>
      </c>
      <c r="K15" s="162">
        <f t="shared" si="13"/>
        <v>620</v>
      </c>
      <c r="L15" s="296">
        <f t="shared" si="14"/>
        <v>73.233830845771138</v>
      </c>
      <c r="M15" s="296">
        <f t="shared" si="15"/>
        <v>52.080928689883912</v>
      </c>
      <c r="N15" s="296">
        <f t="shared" si="16"/>
        <v>32.902155887230514</v>
      </c>
      <c r="O15" s="296">
        <f t="shared" si="7"/>
        <v>171.38907841743662</v>
      </c>
      <c r="P15" s="297">
        <f t="shared" si="17"/>
        <v>329.60599384032218</v>
      </c>
      <c r="Q15" s="297">
        <f>SUM(-tanks!AX17*tanks!$AU$34)</f>
        <v>440.46439354838657</v>
      </c>
      <c r="R15" s="297">
        <f t="shared" si="18"/>
        <v>770.0703873887087</v>
      </c>
      <c r="S15" s="299">
        <f>SUM(ELEC!N14)</f>
        <v>5643</v>
      </c>
      <c r="T15" s="336">
        <f t="shared" si="19"/>
        <v>0.13646471511407207</v>
      </c>
      <c r="V15" s="571" t="str">
        <f>'[7]EDl log'!V32</f>
        <v>H Deg</v>
      </c>
      <c r="W15" s="600">
        <f>'[2]EDl log'!W32</f>
        <v>0</v>
      </c>
      <c r="X15" s="544" t="e">
        <f>'[10]EDl log'!X15</f>
        <v>#REF!</v>
      </c>
      <c r="Y15" s="264"/>
      <c r="Z15" s="264"/>
      <c r="AA15" s="3"/>
      <c r="AB15" s="568">
        <f>'[1]EDl log'!AB32</f>
        <v>0</v>
      </c>
      <c r="AC15" s="568">
        <f>'[1]EDl log'!AC32</f>
        <v>0</v>
      </c>
    </row>
    <row r="16" spans="1:32" ht="15.75" thickBot="1">
      <c r="A16" s="163">
        <f>ELEC!C15</f>
        <v>44240</v>
      </c>
      <c r="B16" s="539">
        <v>880551</v>
      </c>
      <c r="C16" s="264">
        <f t="shared" si="0"/>
        <v>1808</v>
      </c>
      <c r="D16" s="308">
        <f t="shared" si="8"/>
        <v>1809</v>
      </c>
      <c r="E16" s="308">
        <f t="shared" si="11"/>
        <v>880552</v>
      </c>
      <c r="F16" s="539">
        <v>133505</v>
      </c>
      <c r="G16" s="160">
        <f t="shared" si="1"/>
        <v>272</v>
      </c>
      <c r="H16" s="539">
        <v>437592</v>
      </c>
      <c r="I16" s="161">
        <f t="shared" si="2"/>
        <v>713</v>
      </c>
      <c r="J16" s="539">
        <v>309453</v>
      </c>
      <c r="K16" s="162">
        <f t="shared" si="13"/>
        <v>824</v>
      </c>
      <c r="L16" s="296">
        <f t="shared" si="14"/>
        <v>57.737976782752902</v>
      </c>
      <c r="M16" s="296">
        <f t="shared" si="15"/>
        <v>52.97247097844113</v>
      </c>
      <c r="N16" s="296">
        <f t="shared" si="16"/>
        <v>43.728026533996683</v>
      </c>
      <c r="O16" s="296">
        <f t="shared" si="7"/>
        <v>171.38907841743662</v>
      </c>
      <c r="P16" s="297">
        <f t="shared" si="17"/>
        <v>325.82755271262732</v>
      </c>
      <c r="Q16" s="297">
        <f>SUM(-tanks!AX18*tanks!$AU$34)</f>
        <v>729.64072258063857</v>
      </c>
      <c r="R16" s="297">
        <f t="shared" si="18"/>
        <v>1055.4682752932658</v>
      </c>
      <c r="S16" s="299">
        <f>SUM(ELEC!N15)</f>
        <v>6507</v>
      </c>
      <c r="T16" s="336">
        <f t="shared" si="19"/>
        <v>0.16220505229649082</v>
      </c>
      <c r="V16" s="571" t="str">
        <f>'[7]EDl log'!V33</f>
        <v>C Deg</v>
      </c>
      <c r="W16" s="600">
        <f>'[2]EDl log'!W33</f>
        <v>0</v>
      </c>
      <c r="X16" s="544">
        <f>'[10]EDl log'!X16</f>
        <v>0</v>
      </c>
      <c r="Y16" s="544" t="e">
        <f>'[7]EDl log'!Y33</f>
        <v>#REF!</v>
      </c>
      <c r="Z16" s="3"/>
      <c r="AA16" s="3"/>
      <c r="AB16" s="568">
        <f>'[1]EDl log'!AB33</f>
        <v>0</v>
      </c>
      <c r="AC16" s="568">
        <f>'[1]EDl log'!AC33</f>
        <v>0</v>
      </c>
    </row>
    <row r="17" spans="1:32" ht="15.75" thickBot="1">
      <c r="A17" s="163">
        <f>ELEC!C16</f>
        <v>44241</v>
      </c>
      <c r="B17" s="539">
        <v>882600</v>
      </c>
      <c r="C17" s="264">
        <f t="shared" si="0"/>
        <v>2049</v>
      </c>
      <c r="D17" s="308">
        <f t="shared" si="8"/>
        <v>2049</v>
      </c>
      <c r="E17" s="308">
        <f t="shared" si="11"/>
        <v>882600</v>
      </c>
      <c r="F17" s="539">
        <v>133795</v>
      </c>
      <c r="G17" s="160">
        <f t="shared" si="1"/>
        <v>290</v>
      </c>
      <c r="H17" s="539">
        <v>438400</v>
      </c>
      <c r="I17" s="161">
        <f t="shared" si="2"/>
        <v>808</v>
      </c>
      <c r="J17" s="539">
        <v>310404</v>
      </c>
      <c r="K17" s="162">
        <f t="shared" si="13"/>
        <v>951</v>
      </c>
      <c r="L17" s="296">
        <f t="shared" si="14"/>
        <v>61.558872305140959</v>
      </c>
      <c r="M17" s="296">
        <f t="shared" si="15"/>
        <v>60.03051409618574</v>
      </c>
      <c r="N17" s="296">
        <f t="shared" si="16"/>
        <v>50.46766169154229</v>
      </c>
      <c r="O17" s="296">
        <f t="shared" si="7"/>
        <v>171.38907841743662</v>
      </c>
      <c r="P17" s="297">
        <f t="shared" si="17"/>
        <v>343.44612651030559</v>
      </c>
      <c r="Q17" s="297">
        <f>SUM(-tanks!AX19*tanks!$AU$34)</f>
        <v>834.90338709678156</v>
      </c>
      <c r="R17" s="297">
        <f t="shared" si="18"/>
        <v>1178.3495136070871</v>
      </c>
      <c r="S17" s="299">
        <f>SUM(ELEC!N16)</f>
        <v>7439</v>
      </c>
      <c r="T17" s="336">
        <f t="shared" si="19"/>
        <v>0.1584016015065314</v>
      </c>
      <c r="V17" s="253"/>
      <c r="W17" s="506"/>
      <c r="X17" s="17"/>
      <c r="Y17" s="430"/>
      <c r="Z17" s="506" t="s">
        <v>416</v>
      </c>
      <c r="AA17" s="602">
        <f>'[2]EDl log'!AA34</f>
        <v>0.11</v>
      </c>
      <c r="AB17" s="600">
        <f>'[2]EDl log'!AB34</f>
        <v>1881999.35</v>
      </c>
      <c r="AC17" s="568">
        <f>'[1]EDl log'!AC34</f>
        <v>0</v>
      </c>
    </row>
    <row r="18" spans="1:32" ht="15.75" thickBot="1">
      <c r="A18" s="163">
        <f>ELEC!C17</f>
        <v>44242</v>
      </c>
      <c r="B18" s="539">
        <v>884518</v>
      </c>
      <c r="C18" s="264">
        <f t="shared" si="0"/>
        <v>1918</v>
      </c>
      <c r="D18" s="308">
        <f t="shared" si="8"/>
        <v>1918</v>
      </c>
      <c r="E18" s="308">
        <f t="shared" si="11"/>
        <v>884518</v>
      </c>
      <c r="F18" s="539">
        <v>134020</v>
      </c>
      <c r="G18" s="160">
        <f t="shared" si="1"/>
        <v>225</v>
      </c>
      <c r="H18" s="539">
        <v>439134</v>
      </c>
      <c r="I18" s="161">
        <f t="shared" si="2"/>
        <v>734</v>
      </c>
      <c r="J18" s="539">
        <v>311363</v>
      </c>
      <c r="K18" s="162">
        <f t="shared" si="3"/>
        <v>959</v>
      </c>
      <c r="L18" s="296">
        <f t="shared" ref="L18:L31" si="20">SUM(G18*$Y$28)/1507.5</f>
        <v>47.761194029850749</v>
      </c>
      <c r="M18" s="296">
        <f t="shared" ref="M18:M31" si="21">SUM(I18*$Y$27)/1507.5</f>
        <v>54.532669983416255</v>
      </c>
      <c r="N18" s="296">
        <f t="shared" ref="N18:N31" si="22">SUM(K18*$Y$26)/1507.5</f>
        <v>50.892205638474294</v>
      </c>
      <c r="O18" s="296">
        <f t="shared" si="7"/>
        <v>171.38907841743662</v>
      </c>
      <c r="P18" s="297">
        <f t="shared" si="9"/>
        <v>324.57514806917794</v>
      </c>
      <c r="Q18" s="297">
        <f>SUM(-tanks!AX20*tanks!$AU$34)</f>
        <v>629.03885806451262</v>
      </c>
      <c r="R18" s="297">
        <f t="shared" si="10"/>
        <v>953.61400613369051</v>
      </c>
      <c r="S18" s="299">
        <f>SUM(ELEC!N17)</f>
        <v>7469</v>
      </c>
      <c r="T18" s="336">
        <f t="shared" si="12"/>
        <v>0.12767626270366722</v>
      </c>
      <c r="V18" s="228"/>
      <c r="W18" s="229"/>
      <c r="X18" s="229"/>
      <c r="Y18" s="430"/>
      <c r="Z18" s="506"/>
      <c r="AA18" s="602"/>
      <c r="AB18" s="600">
        <f>'[2]EDl log'!AB35</f>
        <v>18991084.350000001</v>
      </c>
      <c r="AC18" s="568">
        <f>'[1]EDl log'!AC35</f>
        <v>0</v>
      </c>
    </row>
    <row r="19" spans="1:32" ht="15.75" thickBot="1">
      <c r="A19" s="163">
        <f>ELEC!C18</f>
        <v>44243</v>
      </c>
      <c r="B19" s="539">
        <v>886485</v>
      </c>
      <c r="C19" s="264">
        <f t="shared" si="0"/>
        <v>1967</v>
      </c>
      <c r="D19" s="308">
        <f t="shared" si="8"/>
        <v>1968</v>
      </c>
      <c r="E19" s="308">
        <f t="shared" si="11"/>
        <v>886486</v>
      </c>
      <c r="F19" s="539">
        <v>134501</v>
      </c>
      <c r="G19" s="160">
        <f t="shared" si="1"/>
        <v>481</v>
      </c>
      <c r="H19" s="539">
        <v>439964</v>
      </c>
      <c r="I19" s="161">
        <f t="shared" si="2"/>
        <v>830</v>
      </c>
      <c r="J19" s="539">
        <v>312020</v>
      </c>
      <c r="K19" s="162">
        <f t="shared" si="3"/>
        <v>657</v>
      </c>
      <c r="L19" s="296">
        <f t="shared" si="20"/>
        <v>102.1028192371476</v>
      </c>
      <c r="M19" s="296">
        <f t="shared" si="21"/>
        <v>61.665008291873967</v>
      </c>
      <c r="N19" s="296">
        <f t="shared" si="22"/>
        <v>34.865671641791046</v>
      </c>
      <c r="O19" s="296">
        <f t="shared" si="7"/>
        <v>171.38907841743662</v>
      </c>
      <c r="P19" s="297">
        <f t="shared" si="9"/>
        <v>370.02257758824919</v>
      </c>
      <c r="Q19" s="297">
        <f>SUM(-tanks!AX21*tanks!$AU$34)</f>
        <v>-406.86152903225207</v>
      </c>
      <c r="R19" s="297">
        <f t="shared" si="10"/>
        <v>-36.838951444002873</v>
      </c>
      <c r="S19" s="299">
        <f>SUM(ELEC!N18)</f>
        <v>5934</v>
      </c>
      <c r="T19" s="336">
        <f t="shared" si="12"/>
        <v>-6.208114500169005E-3</v>
      </c>
      <c r="V19" s="228"/>
      <c r="W19" s="229"/>
      <c r="X19" s="229"/>
      <c r="Y19" s="572"/>
      <c r="Z19" s="572"/>
      <c r="AA19" s="602"/>
      <c r="AB19" s="600">
        <f>'[2]EDl log'!AB36</f>
        <v>11349.310116086235</v>
      </c>
      <c r="AC19" s="568">
        <f>'[1]EDl log'!AC36</f>
        <v>0</v>
      </c>
    </row>
    <row r="20" spans="1:32" ht="15.75" thickBot="1">
      <c r="A20" s="163">
        <f>ELEC!C19</f>
        <v>44244</v>
      </c>
      <c r="B20" s="539">
        <v>888071</v>
      </c>
      <c r="C20" s="264">
        <f t="shared" si="0"/>
        <v>1586</v>
      </c>
      <c r="D20" s="308">
        <f t="shared" si="8"/>
        <v>1584</v>
      </c>
      <c r="E20" s="308">
        <f t="shared" si="11"/>
        <v>888069</v>
      </c>
      <c r="F20" s="539">
        <v>134501</v>
      </c>
      <c r="G20" s="160">
        <f t="shared" si="1"/>
        <v>0</v>
      </c>
      <c r="H20" s="539">
        <v>440703</v>
      </c>
      <c r="I20" s="161">
        <f t="shared" si="2"/>
        <v>739</v>
      </c>
      <c r="J20" s="539">
        <v>312865</v>
      </c>
      <c r="K20" s="162">
        <f t="shared" si="3"/>
        <v>845</v>
      </c>
      <c r="L20" s="296">
        <f t="shared" si="20"/>
        <v>0</v>
      </c>
      <c r="M20" s="296">
        <f t="shared" si="21"/>
        <v>54.904145936981756</v>
      </c>
      <c r="N20" s="296">
        <f t="shared" si="22"/>
        <v>44.842454394693199</v>
      </c>
      <c r="O20" s="296">
        <f t="shared" si="7"/>
        <v>171.38907841743662</v>
      </c>
      <c r="P20" s="297">
        <f t="shared" si="9"/>
        <v>271.13567874911155</v>
      </c>
      <c r="Q20" s="297">
        <f>SUM(-tanks!AX22*tanks!$AU$34)</f>
        <v>1042.1210516128906</v>
      </c>
      <c r="R20" s="297">
        <f t="shared" si="10"/>
        <v>1313.2567303620021</v>
      </c>
      <c r="S20" s="299">
        <f>SUM(ELEC!N19)</f>
        <v>7520</v>
      </c>
      <c r="T20" s="336">
        <f t="shared" si="12"/>
        <v>0.1746352035055854</v>
      </c>
      <c r="V20" t="s">
        <v>412</v>
      </c>
      <c r="AB20" s="570"/>
    </row>
    <row r="21" spans="1:32" ht="15.75" thickBot="1">
      <c r="A21" s="163">
        <f>ELEC!C20</f>
        <v>44245</v>
      </c>
      <c r="B21" s="539">
        <v>889671</v>
      </c>
      <c r="C21" s="264">
        <f t="shared" si="0"/>
        <v>1600</v>
      </c>
      <c r="D21" s="308">
        <f t="shared" si="8"/>
        <v>1601</v>
      </c>
      <c r="E21" s="308">
        <f t="shared" si="11"/>
        <v>889672</v>
      </c>
      <c r="F21" s="539">
        <v>134658</v>
      </c>
      <c r="G21" s="160">
        <f t="shared" si="1"/>
        <v>157</v>
      </c>
      <c r="H21" s="539">
        <v>441427</v>
      </c>
      <c r="I21" s="161">
        <f t="shared" si="2"/>
        <v>724</v>
      </c>
      <c r="J21" s="539">
        <v>313585</v>
      </c>
      <c r="K21" s="162">
        <f t="shared" si="3"/>
        <v>720</v>
      </c>
      <c r="L21" s="296">
        <f t="shared" si="20"/>
        <v>33.326699834162518</v>
      </c>
      <c r="M21" s="296">
        <f t="shared" si="21"/>
        <v>53.78971807628524</v>
      </c>
      <c r="N21" s="296">
        <f t="shared" si="22"/>
        <v>38.208955223880594</v>
      </c>
      <c r="O21" s="296">
        <f t="shared" si="7"/>
        <v>171.38907841743662</v>
      </c>
      <c r="P21" s="297">
        <f t="shared" si="9"/>
        <v>296.71445155176497</v>
      </c>
      <c r="Q21" s="297">
        <f>SUM(-tanks!AX23*tanks!$AU$34)</f>
        <v>712.22098258065898</v>
      </c>
      <c r="R21" s="297">
        <f t="shared" si="10"/>
        <v>1008.935434132424</v>
      </c>
      <c r="S21" s="299">
        <f>SUM(ELEC!N20)</f>
        <v>7192</v>
      </c>
      <c r="T21" s="336">
        <f t="shared" si="12"/>
        <v>0.14028579451229478</v>
      </c>
      <c r="V21" s="166" t="s">
        <v>201</v>
      </c>
      <c r="W21" s="167">
        <v>44228</v>
      </c>
      <c r="X21" s="168"/>
      <c r="Y21" s="168"/>
      <c r="Z21" s="169" t="s">
        <v>202</v>
      </c>
      <c r="AA21" s="168"/>
      <c r="AB21" s="658"/>
      <c r="AC21" s="659"/>
    </row>
    <row r="22" spans="1:32" ht="15.75" thickBot="1">
      <c r="A22" s="163">
        <f>ELEC!C21</f>
        <v>44246</v>
      </c>
      <c r="B22" s="539">
        <v>891280</v>
      </c>
      <c r="C22" s="264">
        <f t="shared" si="0"/>
        <v>1609</v>
      </c>
      <c r="D22" s="308">
        <f t="shared" si="8"/>
        <v>1609</v>
      </c>
      <c r="E22" s="308">
        <f t="shared" si="11"/>
        <v>891280</v>
      </c>
      <c r="F22" s="539">
        <v>134892</v>
      </c>
      <c r="G22" s="160">
        <f t="shared" si="1"/>
        <v>234</v>
      </c>
      <c r="H22" s="539">
        <v>442048</v>
      </c>
      <c r="I22" s="161">
        <f t="shared" si="2"/>
        <v>621</v>
      </c>
      <c r="J22" s="539">
        <v>314339</v>
      </c>
      <c r="K22" s="162">
        <f t="shared" si="3"/>
        <v>754</v>
      </c>
      <c r="L22" s="296">
        <f t="shared" si="20"/>
        <v>49.671641791044777</v>
      </c>
      <c r="M22" s="296">
        <f t="shared" si="21"/>
        <v>46.137313432835818</v>
      </c>
      <c r="N22" s="296">
        <f t="shared" si="22"/>
        <v>40.013266998341628</v>
      </c>
      <c r="O22" s="296">
        <f t="shared" si="7"/>
        <v>171.38907841743662</v>
      </c>
      <c r="P22" s="297">
        <f t="shared" si="9"/>
        <v>307.21130063965882</v>
      </c>
      <c r="Q22" s="297">
        <f>SUM(-tanks!AX24*tanks!$AU$34)</f>
        <v>898.98938709677316</v>
      </c>
      <c r="R22" s="297">
        <f t="shared" si="10"/>
        <v>1206.200687736432</v>
      </c>
      <c r="S22" s="299">
        <f>SUM(ELEC!N21)</f>
        <v>7667</v>
      </c>
      <c r="T22" s="336">
        <f t="shared" si="12"/>
        <v>0.15732368432717256</v>
      </c>
      <c r="V22" s="664"/>
      <c r="W22" s="665"/>
      <c r="X22" s="665"/>
      <c r="Y22" s="666"/>
      <c r="Z22" s="26" t="s">
        <v>203</v>
      </c>
      <c r="AA22" s="26">
        <v>5000</v>
      </c>
      <c r="AB22" s="660"/>
      <c r="AC22" s="661"/>
    </row>
    <row r="23" spans="1:32" ht="15.75" thickBot="1">
      <c r="A23" s="163">
        <f>ELEC!C22</f>
        <v>44247</v>
      </c>
      <c r="B23" s="539">
        <v>893238</v>
      </c>
      <c r="C23" s="264">
        <f t="shared" si="0"/>
        <v>1958</v>
      </c>
      <c r="D23" s="308">
        <f t="shared" si="8"/>
        <v>1958</v>
      </c>
      <c r="E23" s="308">
        <f t="shared" si="11"/>
        <v>893238</v>
      </c>
      <c r="F23" s="539">
        <v>135164</v>
      </c>
      <c r="G23" s="160">
        <f t="shared" si="1"/>
        <v>272</v>
      </c>
      <c r="H23" s="539">
        <v>442739</v>
      </c>
      <c r="I23" s="161">
        <f t="shared" si="2"/>
        <v>691</v>
      </c>
      <c r="J23" s="539">
        <v>315334</v>
      </c>
      <c r="K23" s="162">
        <f t="shared" si="3"/>
        <v>995</v>
      </c>
      <c r="L23" s="296">
        <f t="shared" si="20"/>
        <v>57.737976782752902</v>
      </c>
      <c r="M23" s="296">
        <f t="shared" si="21"/>
        <v>51.337976782752904</v>
      </c>
      <c r="N23" s="296">
        <f t="shared" si="22"/>
        <v>52.802653399668323</v>
      </c>
      <c r="O23" s="296">
        <f t="shared" si="7"/>
        <v>171.38907841743662</v>
      </c>
      <c r="P23" s="297">
        <f t="shared" si="9"/>
        <v>333.26768538261075</v>
      </c>
      <c r="Q23" s="297">
        <f>SUM(-tanks!AX25*tanks!$AU$34)</f>
        <v>906.56318709675611</v>
      </c>
      <c r="R23" s="297">
        <f t="shared" si="10"/>
        <v>1239.8308724793669</v>
      </c>
      <c r="S23" s="299">
        <f>SUM(ELEC!N22)</f>
        <v>6433</v>
      </c>
      <c r="T23" s="336">
        <f t="shared" si="12"/>
        <v>0.19272981073828183</v>
      </c>
      <c r="V23" s="667"/>
      <c r="W23" s="668"/>
      <c r="X23" s="668"/>
      <c r="Y23" s="669"/>
      <c r="Z23" s="670"/>
      <c r="AA23" s="671"/>
      <c r="AB23" s="660"/>
      <c r="AC23" s="661"/>
    </row>
    <row r="24" spans="1:32" ht="15" customHeight="1" thickBot="1">
      <c r="A24" s="163">
        <f>ELEC!C23</f>
        <v>44248</v>
      </c>
      <c r="B24" s="539">
        <v>894909</v>
      </c>
      <c r="C24" s="264">
        <f t="shared" si="0"/>
        <v>1671</v>
      </c>
      <c r="D24" s="308">
        <f t="shared" si="8"/>
        <v>1671</v>
      </c>
      <c r="E24" s="308">
        <f t="shared" si="11"/>
        <v>894909</v>
      </c>
      <c r="F24" s="539">
        <v>135457</v>
      </c>
      <c r="G24" s="160">
        <f t="shared" si="1"/>
        <v>293</v>
      </c>
      <c r="H24" s="539">
        <v>443416</v>
      </c>
      <c r="I24" s="161">
        <f t="shared" si="2"/>
        <v>677</v>
      </c>
      <c r="J24" s="539">
        <v>316035</v>
      </c>
      <c r="K24" s="162">
        <f t="shared" si="3"/>
        <v>701</v>
      </c>
      <c r="L24" s="296">
        <f t="shared" si="20"/>
        <v>62.195688225538973</v>
      </c>
      <c r="M24" s="296">
        <f t="shared" si="21"/>
        <v>50.297844112769489</v>
      </c>
      <c r="N24" s="296">
        <f t="shared" si="22"/>
        <v>37.200663349917079</v>
      </c>
      <c r="O24" s="296">
        <f t="shared" si="7"/>
        <v>171.38907841743662</v>
      </c>
      <c r="P24" s="297">
        <f t="shared" si="9"/>
        <v>321.08327410566216</v>
      </c>
      <c r="Q24" s="297">
        <f>SUM(-tanks!AX26*tanks!$AU$34)</f>
        <v>559.126858064521</v>
      </c>
      <c r="R24" s="297">
        <f t="shared" si="10"/>
        <v>880.21013217018321</v>
      </c>
      <c r="S24" s="299">
        <f>SUM(ELEC!N23)</f>
        <v>6161</v>
      </c>
      <c r="T24" s="336">
        <f t="shared" si="12"/>
        <v>0.14286806235516689</v>
      </c>
      <c r="V24" s="672" t="s">
        <v>204</v>
      </c>
      <c r="W24" s="673"/>
      <c r="X24" s="674" t="s">
        <v>205</v>
      </c>
      <c r="Y24" s="675"/>
      <c r="Z24" s="676"/>
      <c r="AA24" s="170"/>
      <c r="AB24" s="662"/>
      <c r="AC24" s="663"/>
    </row>
    <row r="25" spans="1:32" ht="17.25" customHeight="1" thickBot="1">
      <c r="A25" s="163">
        <f>ELEC!C24</f>
        <v>44249</v>
      </c>
      <c r="B25" s="539">
        <v>896939</v>
      </c>
      <c r="C25" s="264">
        <f t="shared" si="0"/>
        <v>2030</v>
      </c>
      <c r="D25" s="308">
        <f t="shared" si="8"/>
        <v>2029</v>
      </c>
      <c r="E25" s="308">
        <f t="shared" si="11"/>
        <v>896938</v>
      </c>
      <c r="F25" s="539">
        <v>135957</v>
      </c>
      <c r="G25" s="160">
        <f t="shared" si="1"/>
        <v>500</v>
      </c>
      <c r="H25" s="539">
        <v>444144</v>
      </c>
      <c r="I25" s="161">
        <f t="shared" si="2"/>
        <v>728</v>
      </c>
      <c r="J25" s="539">
        <v>316836</v>
      </c>
      <c r="K25" s="162">
        <f t="shared" si="3"/>
        <v>801</v>
      </c>
      <c r="L25" s="296">
        <f t="shared" si="20"/>
        <v>106.13598673300166</v>
      </c>
      <c r="M25" s="296">
        <f t="shared" si="21"/>
        <v>54.086898839137646</v>
      </c>
      <c r="N25" s="296">
        <f t="shared" si="22"/>
        <v>42.507462686567166</v>
      </c>
      <c r="O25" s="296">
        <f t="shared" si="7"/>
        <v>171.38907841743662</v>
      </c>
      <c r="P25" s="297">
        <f t="shared" si="9"/>
        <v>374.11942667614312</v>
      </c>
      <c r="Q25" s="297">
        <f>SUM(-tanks!AX27*tanks!$AU$34)</f>
        <v>-84.420619354831871</v>
      </c>
      <c r="R25" s="297">
        <f t="shared" si="10"/>
        <v>289.69880732131128</v>
      </c>
      <c r="S25" s="299">
        <f>SUM(ELEC!N24)</f>
        <v>6895</v>
      </c>
      <c r="T25" s="336">
        <f t="shared" si="12"/>
        <v>4.2015780612227889E-2</v>
      </c>
      <c r="V25" s="247" t="s">
        <v>206</v>
      </c>
      <c r="W25" s="248" t="s">
        <v>207</v>
      </c>
      <c r="X25" s="248"/>
      <c r="Y25" s="248" t="s">
        <v>208</v>
      </c>
      <c r="Z25" s="248" t="s">
        <v>209</v>
      </c>
      <c r="AA25" s="248" t="s">
        <v>210</v>
      </c>
      <c r="AB25" s="248" t="s">
        <v>211</v>
      </c>
      <c r="AC25" s="171" t="s">
        <v>212</v>
      </c>
    </row>
    <row r="26" spans="1:32" ht="15.75" thickBot="1">
      <c r="A26" s="163">
        <f>ELEC!C25</f>
        <v>44250</v>
      </c>
      <c r="B26" s="539">
        <v>898616</v>
      </c>
      <c r="C26" s="264">
        <f t="shared" si="0"/>
        <v>1677</v>
      </c>
      <c r="D26" s="308">
        <f t="shared" si="8"/>
        <v>1677</v>
      </c>
      <c r="E26" s="308">
        <f t="shared" si="11"/>
        <v>898616</v>
      </c>
      <c r="F26" s="539">
        <v>136260</v>
      </c>
      <c r="G26" s="160">
        <f t="shared" si="1"/>
        <v>303</v>
      </c>
      <c r="H26" s="539">
        <v>444766</v>
      </c>
      <c r="I26" s="161">
        <f t="shared" si="2"/>
        <v>622</v>
      </c>
      <c r="J26" s="539">
        <v>317588</v>
      </c>
      <c r="K26" s="162">
        <f t="shared" si="3"/>
        <v>752</v>
      </c>
      <c r="L26" s="296">
        <f t="shared" si="20"/>
        <v>64.318407960199011</v>
      </c>
      <c r="M26" s="296">
        <f t="shared" si="21"/>
        <v>46.211608623548919</v>
      </c>
      <c r="N26" s="296">
        <f t="shared" si="22"/>
        <v>39.907131011608627</v>
      </c>
      <c r="O26" s="296">
        <f t="shared" si="7"/>
        <v>171.38907841743662</v>
      </c>
      <c r="P26" s="297">
        <f t="shared" si="9"/>
        <v>321.8262260127932</v>
      </c>
      <c r="Q26" s="297">
        <f>SUM(-tanks!AX28*tanks!$AU$34)</f>
        <v>1024.1769716129145</v>
      </c>
      <c r="R26" s="297">
        <f t="shared" si="10"/>
        <v>1346.0031976257078</v>
      </c>
      <c r="S26" s="299">
        <f>SUM(ELEC!N25)</f>
        <v>7942</v>
      </c>
      <c r="T26" s="336">
        <f t="shared" si="12"/>
        <v>0.16947912334748272</v>
      </c>
      <c r="V26" s="254">
        <f>W9</f>
        <v>297890</v>
      </c>
      <c r="W26" s="170">
        <f>J31</f>
        <v>321050</v>
      </c>
      <c r="X26" s="172" t="s">
        <v>199</v>
      </c>
      <c r="Y26" s="172">
        <v>80</v>
      </c>
      <c r="Z26" s="172">
        <v>1</v>
      </c>
      <c r="AA26" s="338">
        <f>(W26-V26)*Z26</f>
        <v>23160</v>
      </c>
      <c r="AB26" s="338">
        <f>AA26*Y26</f>
        <v>1852800</v>
      </c>
      <c r="AC26" s="249">
        <f>AC9</f>
        <v>1033333</v>
      </c>
      <c r="AD26" s="212">
        <f>SUM(K33)</f>
        <v>0.43221296152048605</v>
      </c>
    </row>
    <row r="27" spans="1:32" ht="15.75" thickBot="1">
      <c r="A27" s="163">
        <f>ELEC!C26</f>
        <v>44251</v>
      </c>
      <c r="B27" s="539">
        <v>900021</v>
      </c>
      <c r="C27" s="264">
        <f t="shared" si="0"/>
        <v>1405</v>
      </c>
      <c r="D27" s="308">
        <f t="shared" si="8"/>
        <v>1408</v>
      </c>
      <c r="E27" s="308">
        <f t="shared" si="11"/>
        <v>900024</v>
      </c>
      <c r="F27" s="539">
        <v>136426</v>
      </c>
      <c r="G27" s="160">
        <f t="shared" si="1"/>
        <v>166</v>
      </c>
      <c r="H27" s="539">
        <v>445278</v>
      </c>
      <c r="I27" s="161">
        <f t="shared" si="2"/>
        <v>512</v>
      </c>
      <c r="J27" s="539">
        <v>318318</v>
      </c>
      <c r="K27" s="162">
        <f t="shared" si="3"/>
        <v>730</v>
      </c>
      <c r="L27" s="296">
        <f t="shared" si="20"/>
        <v>35.237147595356554</v>
      </c>
      <c r="M27" s="296">
        <f t="shared" si="21"/>
        <v>38.039137645107793</v>
      </c>
      <c r="N27" s="296">
        <f t="shared" si="22"/>
        <v>38.739635157545607</v>
      </c>
      <c r="O27" s="296">
        <f t="shared" si="7"/>
        <v>171.38907841743662</v>
      </c>
      <c r="P27" s="297">
        <f t="shared" si="9"/>
        <v>283.40499881544656</v>
      </c>
      <c r="Q27" s="297">
        <f>SUM(-tanks!AX29*tanks!$AU$34)</f>
        <v>1011.6379161290337</v>
      </c>
      <c r="R27" s="297">
        <f t="shared" si="10"/>
        <v>1295.0429149444803</v>
      </c>
      <c r="S27" s="299">
        <f>SUM(ELEC!N26)</f>
        <v>8471</v>
      </c>
      <c r="T27" s="336">
        <f t="shared" si="12"/>
        <v>0.15287957914584824</v>
      </c>
      <c r="V27" s="254">
        <f t="shared" ref="V27:V28" si="23">W10</f>
        <v>425107</v>
      </c>
      <c r="W27" s="170">
        <f>H31</f>
        <v>446820</v>
      </c>
      <c r="X27" s="172" t="s">
        <v>213</v>
      </c>
      <c r="Y27" s="172">
        <v>112</v>
      </c>
      <c r="Z27" s="172">
        <v>1</v>
      </c>
      <c r="AA27" s="338">
        <f>(W27-V27)*Z27</f>
        <v>21713</v>
      </c>
      <c r="AB27" s="338">
        <f>SUM(AA27*Y27)</f>
        <v>2431856</v>
      </c>
      <c r="AC27" s="249">
        <f>AC10</f>
        <v>6200000</v>
      </c>
      <c r="AD27" s="212">
        <f>SUM(I33)</f>
        <v>0.40461909954821623</v>
      </c>
    </row>
    <row r="28" spans="1:32" ht="15.75" thickBot="1">
      <c r="A28" s="163">
        <f>ELEC!C27</f>
        <v>44252</v>
      </c>
      <c r="B28" s="539">
        <v>901718</v>
      </c>
      <c r="C28" s="264">
        <f t="shared" si="0"/>
        <v>1697</v>
      </c>
      <c r="D28" s="308">
        <f t="shared" si="8"/>
        <v>1695</v>
      </c>
      <c r="E28" s="308">
        <f t="shared" si="11"/>
        <v>901716</v>
      </c>
      <c r="F28" s="539">
        <v>136756</v>
      </c>
      <c r="G28" s="160">
        <f t="shared" si="1"/>
        <v>330</v>
      </c>
      <c r="H28" s="539">
        <v>445815</v>
      </c>
      <c r="I28" s="161">
        <f t="shared" si="2"/>
        <v>537</v>
      </c>
      <c r="J28" s="539">
        <v>319146</v>
      </c>
      <c r="K28" s="162">
        <f t="shared" si="3"/>
        <v>828</v>
      </c>
      <c r="L28" s="296">
        <f t="shared" si="20"/>
        <v>70.049751243781088</v>
      </c>
      <c r="M28" s="296">
        <f t="shared" si="21"/>
        <v>39.896517412935324</v>
      </c>
      <c r="N28" s="296">
        <f t="shared" si="22"/>
        <v>43.940298507462686</v>
      </c>
      <c r="O28" s="296">
        <f t="shared" si="7"/>
        <v>171.38907841743662</v>
      </c>
      <c r="P28" s="297">
        <f t="shared" si="9"/>
        <v>325.27564558161572</v>
      </c>
      <c r="Q28" s="297">
        <f>SUM(-tanks!AX30*tanks!$AU$34)</f>
        <v>1401.5852516128907</v>
      </c>
      <c r="R28" s="297">
        <f t="shared" si="10"/>
        <v>1726.8608971945064</v>
      </c>
      <c r="S28" s="299">
        <f>SUM(ELEC!N27)</f>
        <v>8788</v>
      </c>
      <c r="T28" s="336">
        <f t="shared" si="12"/>
        <v>0.19650215034074947</v>
      </c>
      <c r="V28" s="254">
        <f t="shared" si="23"/>
        <v>128283</v>
      </c>
      <c r="W28" s="170">
        <f>F31</f>
        <v>137108</v>
      </c>
      <c r="X28" s="172" t="s">
        <v>197</v>
      </c>
      <c r="Y28" s="172">
        <v>320</v>
      </c>
      <c r="Z28" s="172">
        <v>1</v>
      </c>
      <c r="AA28" s="338">
        <f>(W28-V28)*Z28</f>
        <v>8825</v>
      </c>
      <c r="AB28" s="338">
        <f>SUM(AA28*Y28)</f>
        <v>2824000</v>
      </c>
      <c r="AC28" s="249">
        <f>AC11</f>
        <v>1000</v>
      </c>
      <c r="AD28" s="212">
        <f>SUM(G33)</f>
        <v>0.16316793893129772</v>
      </c>
      <c r="AE28" s="40">
        <f>SUM(AB28*5%)</f>
        <v>141200</v>
      </c>
      <c r="AF28" s="82">
        <f>SUM(AE28/7)*31</f>
        <v>625314.2857142858</v>
      </c>
    </row>
    <row r="29" spans="1:32" ht="15.75" thickBot="1">
      <c r="A29" s="163">
        <f>ELEC!C28</f>
        <v>44253</v>
      </c>
      <c r="B29" s="539">
        <v>902788</v>
      </c>
      <c r="C29" s="264">
        <f t="shared" si="0"/>
        <v>1070</v>
      </c>
      <c r="D29" s="308">
        <f t="shared" si="8"/>
        <v>1071</v>
      </c>
      <c r="E29" s="308">
        <f t="shared" si="11"/>
        <v>902789</v>
      </c>
      <c r="F29" s="539">
        <v>136961</v>
      </c>
      <c r="G29" s="160">
        <f t="shared" si="1"/>
        <v>205</v>
      </c>
      <c r="H29" s="539">
        <v>446024</v>
      </c>
      <c r="I29" s="161">
        <f t="shared" si="2"/>
        <v>209</v>
      </c>
      <c r="J29" s="539">
        <v>319803</v>
      </c>
      <c r="K29" s="162">
        <f t="shared" si="3"/>
        <v>657</v>
      </c>
      <c r="L29" s="296">
        <f t="shared" si="20"/>
        <v>43.515754560530681</v>
      </c>
      <c r="M29" s="296">
        <f t="shared" si="21"/>
        <v>15.527694859038142</v>
      </c>
      <c r="N29" s="296">
        <f t="shared" si="22"/>
        <v>34.865671641791046</v>
      </c>
      <c r="O29" s="296">
        <f t="shared" si="7"/>
        <v>171.38907841743662</v>
      </c>
      <c r="P29" s="297">
        <f t="shared" si="9"/>
        <v>265.2981994787965</v>
      </c>
      <c r="Q29" s="297">
        <f>SUM(-tanks!AX31*tanks!$AU$34)</f>
        <v>831.61451612904216</v>
      </c>
      <c r="R29" s="297">
        <f t="shared" si="10"/>
        <v>1096.9127156078387</v>
      </c>
      <c r="S29" s="299">
        <f>SUM(ELEC!N28)</f>
        <v>9599</v>
      </c>
      <c r="T29" s="336">
        <f t="shared" si="12"/>
        <v>0.11427364471380755</v>
      </c>
      <c r="V29" s="213"/>
      <c r="W29" s="214"/>
      <c r="X29" s="214"/>
      <c r="Y29" s="215"/>
      <c r="Z29" s="3"/>
      <c r="AA29" s="338">
        <f>SUM(AA26:AA28)</f>
        <v>53698</v>
      </c>
      <c r="AB29" s="338"/>
      <c r="AC29" s="249"/>
    </row>
    <row r="30" spans="1:32" ht="14.25" customHeight="1" thickBot="1">
      <c r="A30" s="163">
        <f>ELEC!C29</f>
        <v>44254</v>
      </c>
      <c r="B30" s="539">
        <v>903794</v>
      </c>
      <c r="C30" s="264">
        <f t="shared" si="0"/>
        <v>1006</v>
      </c>
      <c r="D30" s="308">
        <f t="shared" si="8"/>
        <v>1005</v>
      </c>
      <c r="E30" s="308">
        <f t="shared" si="11"/>
        <v>903793</v>
      </c>
      <c r="F30" s="539">
        <v>137107</v>
      </c>
      <c r="G30" s="160">
        <f t="shared" si="1"/>
        <v>146</v>
      </c>
      <c r="H30" s="539">
        <v>446381</v>
      </c>
      <c r="I30" s="161">
        <f t="shared" si="2"/>
        <v>357</v>
      </c>
      <c r="J30" s="539">
        <v>320305</v>
      </c>
      <c r="K30" s="162">
        <f t="shared" si="3"/>
        <v>502</v>
      </c>
      <c r="L30" s="296">
        <f t="shared" si="20"/>
        <v>30.991708126036485</v>
      </c>
      <c r="M30" s="296">
        <f t="shared" si="21"/>
        <v>26.523383084577116</v>
      </c>
      <c r="N30" s="296">
        <f t="shared" si="22"/>
        <v>26.640132669983416</v>
      </c>
      <c r="O30" s="296">
        <f t="shared" si="7"/>
        <v>171.38907841743662</v>
      </c>
      <c r="P30" s="297">
        <f t="shared" si="9"/>
        <v>255.54430229803364</v>
      </c>
      <c r="Q30" s="297">
        <f>SUM(-tanks!AX32*tanks!$AU$34)</f>
        <v>1315.7551161290337</v>
      </c>
      <c r="R30" s="297">
        <f t="shared" si="10"/>
        <v>1571.2994184270674</v>
      </c>
      <c r="S30" s="299">
        <f>SUM(ELEC!N29)</f>
        <v>7813</v>
      </c>
      <c r="T30" s="336">
        <f t="shared" si="12"/>
        <v>0.20111345429758959</v>
      </c>
      <c r="V30" s="216" t="s">
        <v>316</v>
      </c>
      <c r="W30" s="443">
        <f>'General information '!F34</f>
        <v>0</v>
      </c>
      <c r="X30" s="217"/>
      <c r="Y30" s="218" t="s">
        <v>330</v>
      </c>
      <c r="Z30" s="3"/>
      <c r="AA30" s="338"/>
      <c r="AB30" s="338">
        <f>SUM(AB26:AB29)</f>
        <v>7108656</v>
      </c>
      <c r="AC30" s="249">
        <f>SUM(AC26:AC29)/A34*A32</f>
        <v>7234333</v>
      </c>
    </row>
    <row r="31" spans="1:32">
      <c r="A31" s="163">
        <f>ELEC!C30</f>
        <v>44255</v>
      </c>
      <c r="B31" s="539">
        <v>904978</v>
      </c>
      <c r="C31" s="264">
        <f t="shared" si="0"/>
        <v>1184</v>
      </c>
      <c r="D31" s="308">
        <f t="shared" si="8"/>
        <v>1185</v>
      </c>
      <c r="E31" s="308">
        <f t="shared" si="11"/>
        <v>904979</v>
      </c>
      <c r="F31" s="539">
        <v>137108</v>
      </c>
      <c r="G31" s="160">
        <f t="shared" si="1"/>
        <v>1</v>
      </c>
      <c r="H31" s="539">
        <v>446820</v>
      </c>
      <c r="I31" s="161">
        <f t="shared" si="2"/>
        <v>439</v>
      </c>
      <c r="J31" s="539">
        <v>321050</v>
      </c>
      <c r="K31" s="162">
        <f t="shared" si="3"/>
        <v>745</v>
      </c>
      <c r="L31" s="296">
        <f t="shared" si="20"/>
        <v>0.21227197346600332</v>
      </c>
      <c r="M31" s="296">
        <f t="shared" si="21"/>
        <v>32.61558872305141</v>
      </c>
      <c r="N31" s="296">
        <f t="shared" si="22"/>
        <v>39.535655058043119</v>
      </c>
      <c r="O31" s="296">
        <f t="shared" si="7"/>
        <v>171.38907841743662</v>
      </c>
      <c r="P31" s="297">
        <f t="shared" si="9"/>
        <v>243.75259417199715</v>
      </c>
      <c r="Q31" s="297">
        <f>SUM(-tanks!AX33*tanks!$AU$34)</f>
        <v>941.51918709677307</v>
      </c>
      <c r="R31" s="297">
        <f t="shared" si="10"/>
        <v>1185.2717812687702</v>
      </c>
      <c r="S31" s="299">
        <f>SUM(ELEC!N30)</f>
        <v>7721</v>
      </c>
      <c r="T31" s="336">
        <f t="shared" si="12"/>
        <v>0.15351272908545138</v>
      </c>
      <c r="V31" s="216" t="s">
        <v>317</v>
      </c>
      <c r="W31" s="217">
        <f>SUM(GEN!U31)</f>
        <v>189</v>
      </c>
      <c r="X31" s="222">
        <f>SUM(W31/A32)</f>
        <v>6.75</v>
      </c>
      <c r="Y31" s="260">
        <f>SUM(X31/2)</f>
        <v>3.375</v>
      </c>
      <c r="Z31" s="3"/>
      <c r="AA31" s="3"/>
      <c r="AB31" s="542">
        <f>SUM(AB30+AC31)</f>
        <v>14342989</v>
      </c>
      <c r="AC31" s="249">
        <f>SUM(AC30)</f>
        <v>7234333</v>
      </c>
    </row>
    <row r="32" spans="1:32" ht="15.75" thickBot="1">
      <c r="A32" s="538">
        <f>A34-COUNTIF(C4:C31,0)</f>
        <v>28</v>
      </c>
      <c r="C32" s="173">
        <f>SUM(C4:C31)/A32</f>
        <v>1834</v>
      </c>
      <c r="D32" s="173"/>
      <c r="E32" s="173"/>
      <c r="G32" s="173">
        <f>SUM(G4:G31)/A32</f>
        <v>299.25</v>
      </c>
      <c r="I32" s="173">
        <f>SUM(I4:I31)/A32</f>
        <v>742.07142857142856</v>
      </c>
      <c r="K32" s="173">
        <f>SUM(K4:K31)/A32</f>
        <v>792.67857142857144</v>
      </c>
      <c r="L32" s="173">
        <f>SUM(L31*1507.5)</f>
        <v>320</v>
      </c>
      <c r="M32" s="173">
        <f>SUM(M31*1507.5)</f>
        <v>49168</v>
      </c>
      <c r="N32" s="173">
        <f>SUM(N31*1507.5)</f>
        <v>59600</v>
      </c>
      <c r="O32" s="173">
        <f>SUM(O31*1507.5)</f>
        <v>258369.03571428571</v>
      </c>
      <c r="P32" s="173"/>
      <c r="Q32" s="173"/>
      <c r="R32" s="173"/>
      <c r="S32" s="300"/>
      <c r="V32" s="228"/>
      <c r="W32" s="229"/>
      <c r="X32" s="229"/>
      <c r="Y32" s="229"/>
      <c r="Z32" s="3"/>
      <c r="AA32" s="45"/>
      <c r="AB32" s="291"/>
      <c r="AC32" s="576"/>
    </row>
    <row r="33" spans="1:32" ht="15.75" thickBot="1">
      <c r="A33" s="210"/>
      <c r="C33" s="212">
        <f>SUM(G33:K33)</f>
        <v>1</v>
      </c>
      <c r="G33" s="225">
        <f>IF(C32&gt;0,G32/C32,0)</f>
        <v>0.16316793893129772</v>
      </c>
      <c r="H33" s="212"/>
      <c r="I33" s="225">
        <f>SUM(I32/C32)</f>
        <v>0.40461909954821623</v>
      </c>
      <c r="J33" s="212"/>
      <c r="K33" s="225">
        <f>SUM(K32/C32)</f>
        <v>0.43221296152048605</v>
      </c>
      <c r="L33" s="225"/>
      <c r="M33" s="225"/>
      <c r="N33" s="225"/>
      <c r="O33" s="225"/>
      <c r="P33" s="225"/>
      <c r="Q33" s="225"/>
      <c r="R33" s="225"/>
      <c r="S33" s="301"/>
      <c r="V33" s="228"/>
      <c r="W33" s="229"/>
      <c r="X33" s="229"/>
      <c r="Y33" s="229"/>
      <c r="Z33" s="229"/>
      <c r="AA33" s="229" t="s">
        <v>215</v>
      </c>
      <c r="AB33" s="577">
        <f>SUM(AB31/1507.5)</f>
        <v>9514.4205638474286</v>
      </c>
      <c r="AC33" s="578"/>
    </row>
    <row r="34" spans="1:32" ht="15.75" thickBot="1">
      <c r="A34">
        <v>28</v>
      </c>
      <c r="G34" s="212"/>
      <c r="H34" s="212"/>
      <c r="I34" s="212"/>
      <c r="J34" s="212"/>
      <c r="K34" s="212"/>
      <c r="L34" s="212"/>
      <c r="M34" s="212"/>
      <c r="N34" s="212"/>
      <c r="O34" s="212"/>
      <c r="P34" s="212"/>
      <c r="Q34" s="212"/>
      <c r="R34" s="212"/>
      <c r="V34" s="275"/>
      <c r="W34" s="219"/>
      <c r="X34" s="219"/>
      <c r="Y34" s="220"/>
      <c r="Z34" s="573"/>
      <c r="AA34" s="573"/>
      <c r="AB34" s="574"/>
      <c r="AC34" s="575"/>
    </row>
    <row r="35" spans="1:32">
      <c r="V35" s="217"/>
      <c r="W35" s="82">
        <f>AC30/1507.5</f>
        <v>4798.8941956882254</v>
      </c>
      <c r="Z35" s="40"/>
      <c r="AA35" s="292" t="s">
        <v>215</v>
      </c>
      <c r="AB35" s="293">
        <f>SUM(AB33)</f>
        <v>9514.4205638474286</v>
      </c>
    </row>
    <row r="36" spans="1:32">
      <c r="V36" s="217"/>
      <c r="W36" s="82">
        <f>(AB30+AB51)/1507.5</f>
        <v>4715.5263681592041</v>
      </c>
      <c r="X36" s="543"/>
      <c r="Z36" s="294">
        <f>SUM(AB35)</f>
        <v>9514.4205638474286</v>
      </c>
      <c r="AA36" s="293"/>
      <c r="AB36" s="293"/>
    </row>
    <row r="37" spans="1:32">
      <c r="V37" s="17"/>
      <c r="W37" s="82">
        <f>SUM(W35:W36)</f>
        <v>9514.4205638474305</v>
      </c>
      <c r="X37" s="543"/>
      <c r="Y37" s="82"/>
      <c r="Z37" s="294">
        <f>SUM(-tanks!AX34)*tanks!AU34</f>
        <v>17914.713201290328</v>
      </c>
      <c r="AA37" s="101">
        <f>SUM(AB31/A32)</f>
        <v>512249.60714285716</v>
      </c>
      <c r="AB37" s="348">
        <f>SUM(AA37*A34)</f>
        <v>14342989</v>
      </c>
    </row>
    <row r="38" spans="1:32" ht="18.75">
      <c r="W38" s="82">
        <f>(AB30+AB51)/1507.5</f>
        <v>4715.5263681592041</v>
      </c>
      <c r="Z38" s="276">
        <f>SUM(Z36:Z37)</f>
        <v>27429.133765137754</v>
      </c>
      <c r="AA38" s="293">
        <f>SUM(AA37/1507.5)</f>
        <v>339.80073442312249</v>
      </c>
      <c r="AB38" s="347">
        <f>SUM(AB37/1507.5)</f>
        <v>9514.4205638474286</v>
      </c>
    </row>
    <row r="39" spans="1:32">
      <c r="D39" s="519"/>
      <c r="E39" s="519"/>
      <c r="F39" s="519"/>
      <c r="W39" s="82">
        <f>SUM(W37:W38)</f>
        <v>14229.946932006635</v>
      </c>
      <c r="Z39" s="295" t="e">
        <f>SUM(ELEC!#REF!)</f>
        <v>#REF!</v>
      </c>
    </row>
    <row r="40" spans="1:32">
      <c r="Z40" s="293" t="e">
        <f>Z38/Z39</f>
        <v>#REF!</v>
      </c>
    </row>
    <row r="41" spans="1:32"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</row>
    <row r="42" spans="1:32">
      <c r="V42" s="545"/>
      <c r="W42" s="546"/>
      <c r="X42" s="17"/>
      <c r="Y42" s="17"/>
      <c r="Z42" s="547"/>
      <c r="AA42" s="17"/>
      <c r="AB42" s="677"/>
      <c r="AC42" s="677"/>
      <c r="AD42" s="17"/>
      <c r="AE42" s="17"/>
      <c r="AF42" s="17"/>
    </row>
    <row r="43" spans="1:32">
      <c r="V43" s="677"/>
      <c r="W43" s="677"/>
      <c r="X43" s="677"/>
      <c r="Y43" s="677"/>
      <c r="Z43" s="547"/>
      <c r="AA43" s="547"/>
      <c r="AB43" s="677"/>
      <c r="AC43" s="677"/>
      <c r="AD43" s="17"/>
      <c r="AE43" s="17"/>
      <c r="AF43" s="17"/>
    </row>
    <row r="44" spans="1:32">
      <c r="V44" s="677"/>
      <c r="W44" s="677"/>
      <c r="X44" s="677"/>
      <c r="Y44" s="677"/>
      <c r="Z44" s="677"/>
      <c r="AA44" s="677"/>
      <c r="AB44" s="677"/>
      <c r="AC44" s="677"/>
      <c r="AD44" s="17"/>
      <c r="AE44" s="17"/>
      <c r="AF44" s="17"/>
    </row>
    <row r="45" spans="1:32">
      <c r="V45" s="678"/>
      <c r="W45" s="678"/>
      <c r="X45" s="679"/>
      <c r="Y45" s="679"/>
      <c r="Z45" s="679"/>
      <c r="AA45" s="548"/>
      <c r="AB45" s="677"/>
      <c r="AC45" s="677"/>
      <c r="AD45" s="17"/>
      <c r="AE45" s="17"/>
      <c r="AF45" s="17"/>
    </row>
    <row r="46" spans="1:32">
      <c r="V46" s="545"/>
      <c r="W46" s="545"/>
      <c r="X46" s="545"/>
      <c r="Y46" s="545"/>
      <c r="Z46" s="545"/>
      <c r="AA46" s="545"/>
      <c r="AB46" s="545"/>
      <c r="AC46" s="549"/>
      <c r="AD46" s="17"/>
      <c r="AE46" s="17"/>
      <c r="AF46" s="17"/>
    </row>
    <row r="47" spans="1:32">
      <c r="V47" s="548"/>
      <c r="W47" s="548"/>
      <c r="X47" s="550"/>
      <c r="Y47" s="550"/>
      <c r="Z47" s="550"/>
      <c r="AA47" s="73"/>
      <c r="AB47" s="73"/>
      <c r="AC47" s="73"/>
      <c r="AD47" s="551"/>
      <c r="AE47" s="17"/>
      <c r="AF47" s="17"/>
    </row>
    <row r="48" spans="1:32">
      <c r="V48" s="548"/>
      <c r="W48" s="548"/>
      <c r="X48" s="550"/>
      <c r="Y48" s="550"/>
      <c r="Z48" s="550"/>
      <c r="AA48" s="73"/>
      <c r="AB48" s="73"/>
      <c r="AC48" s="73"/>
      <c r="AD48" s="551"/>
      <c r="AE48" s="17"/>
      <c r="AF48" s="17"/>
    </row>
    <row r="49" spans="22:32">
      <c r="V49" s="548"/>
      <c r="W49" s="548"/>
      <c r="X49" s="550"/>
      <c r="Y49" s="550"/>
      <c r="Z49" s="550"/>
      <c r="AA49" s="73"/>
      <c r="AB49" s="73"/>
      <c r="AC49" s="73"/>
      <c r="AD49" s="551"/>
      <c r="AE49" s="552"/>
      <c r="AF49" s="553"/>
    </row>
    <row r="50" spans="22:32">
      <c r="V50" s="217"/>
      <c r="W50" s="217"/>
      <c r="X50" s="217"/>
      <c r="Y50" s="217"/>
      <c r="Z50" s="17"/>
      <c r="AA50" s="73"/>
      <c r="AB50" s="73"/>
      <c r="AC50" s="73"/>
      <c r="AD50" s="17"/>
      <c r="AE50" s="17"/>
      <c r="AF50" s="17"/>
    </row>
    <row r="51" spans="22:32">
      <c r="V51" s="217"/>
      <c r="W51" s="554"/>
      <c r="X51" s="217"/>
      <c r="Y51" s="217"/>
      <c r="Z51" s="17"/>
      <c r="AA51" s="73"/>
      <c r="AB51" s="267"/>
      <c r="AC51" s="73"/>
      <c r="AD51" s="17"/>
      <c r="AE51" s="17"/>
      <c r="AF51" s="17"/>
    </row>
    <row r="52" spans="22:32">
      <c r="V52" s="217"/>
      <c r="W52" s="217"/>
      <c r="X52" s="222"/>
      <c r="Y52" s="555"/>
      <c r="Z52" s="17"/>
      <c r="AA52" s="17"/>
      <c r="AB52" s="73"/>
      <c r="AC52" s="73"/>
      <c r="AD52" s="17"/>
      <c r="AE52" s="17"/>
      <c r="AF52" s="17"/>
    </row>
    <row r="53" spans="22:32">
      <c r="V53" s="217"/>
      <c r="W53" s="217"/>
      <c r="X53" s="217"/>
      <c r="Y53" s="217"/>
      <c r="Z53" s="17"/>
      <c r="AA53" s="17"/>
      <c r="AB53" s="17"/>
      <c r="AC53" s="17"/>
      <c r="AD53" s="17"/>
      <c r="AE53" s="17"/>
      <c r="AF53" s="17"/>
    </row>
    <row r="54" spans="22:32">
      <c r="V54" s="217"/>
      <c r="W54" s="217"/>
      <c r="X54" s="217"/>
      <c r="Y54" s="217"/>
      <c r="Z54" s="17"/>
      <c r="AA54" s="17"/>
      <c r="AB54" s="17"/>
      <c r="AC54" s="17"/>
      <c r="AD54" s="17"/>
      <c r="AE54" s="17"/>
      <c r="AF54" s="17"/>
    </row>
    <row r="55" spans="22:32">
      <c r="V55" s="217"/>
      <c r="W55" s="217"/>
      <c r="X55" s="217"/>
      <c r="Y55" s="217"/>
      <c r="Z55" s="17"/>
      <c r="AA55" s="17"/>
      <c r="AB55" s="17"/>
      <c r="AC55" s="17"/>
      <c r="AD55" s="17"/>
      <c r="AE55" s="17"/>
      <c r="AF55" s="17"/>
    </row>
    <row r="56" spans="22:32">
      <c r="V56" s="17"/>
      <c r="W56" s="17"/>
      <c r="X56" s="17"/>
      <c r="Y56" s="17"/>
      <c r="Z56" s="17"/>
      <c r="AA56" s="556"/>
      <c r="AB56" s="557"/>
      <c r="AC56" s="558"/>
      <c r="AD56" s="17"/>
      <c r="AE56" s="17"/>
      <c r="AF56" s="17"/>
    </row>
    <row r="57" spans="22:32">
      <c r="V57" s="17"/>
      <c r="W57" s="17"/>
      <c r="X57" s="17"/>
      <c r="Y57" s="17"/>
      <c r="Z57" s="17"/>
      <c r="AA57" s="559"/>
      <c r="AB57" s="557"/>
      <c r="AC57" s="558"/>
      <c r="AD57" s="17"/>
      <c r="AE57" s="17"/>
      <c r="AF57" s="17"/>
    </row>
    <row r="58" spans="22:32">
      <c r="V58" s="17"/>
      <c r="W58" s="17"/>
      <c r="X58" s="17"/>
      <c r="Y58" s="17"/>
      <c r="Z58" s="17"/>
      <c r="AA58" s="17"/>
      <c r="AB58" s="557"/>
      <c r="AC58" s="558"/>
      <c r="AD58" s="17"/>
      <c r="AE58" s="17"/>
      <c r="AF58" s="17"/>
    </row>
    <row r="59" spans="22:32">
      <c r="V59" s="217"/>
      <c r="W59" s="217"/>
      <c r="X59" s="217"/>
      <c r="Y59" s="217"/>
      <c r="Z59" s="17"/>
      <c r="AA59" s="17"/>
      <c r="AB59" s="560"/>
      <c r="AC59" s="17"/>
      <c r="AD59" s="17"/>
      <c r="AE59" s="17"/>
      <c r="AF59" s="17"/>
    </row>
    <row r="60" spans="22:32">
      <c r="V60" s="217"/>
      <c r="W60" s="553"/>
      <c r="X60" s="17"/>
      <c r="Y60" s="17"/>
      <c r="Z60" s="552"/>
      <c r="AA60" s="561"/>
      <c r="AB60" s="550"/>
      <c r="AC60" s="17"/>
      <c r="AD60" s="17"/>
      <c r="AE60" s="17"/>
      <c r="AF60" s="17"/>
    </row>
    <row r="61" spans="22:32">
      <c r="V61" s="217"/>
      <c r="W61" s="553"/>
      <c r="X61" s="17"/>
      <c r="Y61" s="17"/>
      <c r="Z61" s="422"/>
      <c r="AA61" s="550"/>
      <c r="AB61" s="550"/>
      <c r="AC61" s="17"/>
      <c r="AD61" s="17"/>
      <c r="AE61" s="17"/>
      <c r="AF61" s="17"/>
    </row>
    <row r="62" spans="22:32">
      <c r="V62" s="17"/>
      <c r="W62" s="553"/>
      <c r="X62" s="17"/>
      <c r="Y62" s="553"/>
      <c r="Z62" s="422"/>
      <c r="AA62" s="550"/>
      <c r="AB62" s="562"/>
      <c r="AC62" s="17"/>
      <c r="AD62" s="17"/>
      <c r="AE62" s="17"/>
      <c r="AF62" s="17"/>
    </row>
    <row r="63" spans="22:32" ht="18.75">
      <c r="V63" s="17"/>
      <c r="W63" s="553"/>
      <c r="X63" s="17"/>
      <c r="Y63" s="17"/>
      <c r="Z63" s="563"/>
      <c r="AA63" s="550"/>
      <c r="AB63" s="564"/>
      <c r="AC63" s="17"/>
      <c r="AD63" s="17"/>
      <c r="AE63" s="17"/>
      <c r="AF63" s="17"/>
    </row>
    <row r="64" spans="22:32">
      <c r="V64" s="17"/>
      <c r="W64" s="553"/>
      <c r="X64" s="17"/>
      <c r="Y64" s="17"/>
      <c r="Z64" s="73"/>
      <c r="AA64" s="17"/>
      <c r="AB64" s="17"/>
      <c r="AC64" s="17"/>
      <c r="AD64" s="17"/>
      <c r="AE64" s="17"/>
      <c r="AF64" s="17"/>
    </row>
    <row r="65" spans="22:32">
      <c r="V65" s="17"/>
      <c r="W65" s="17"/>
      <c r="X65" s="17"/>
      <c r="Y65" s="17"/>
      <c r="Z65" s="550"/>
      <c r="AA65" s="17"/>
      <c r="AB65" s="17"/>
      <c r="AC65" s="17"/>
      <c r="AD65" s="17"/>
      <c r="AE65" s="17"/>
      <c r="AF65" s="17"/>
    </row>
    <row r="66" spans="22:32">
      <c r="V66" s="17"/>
      <c r="W66" s="17"/>
      <c r="X66" s="17"/>
      <c r="Y66" s="17"/>
      <c r="Z66" s="17"/>
      <c r="AA66" s="17"/>
      <c r="AB66" s="17"/>
      <c r="AC66" s="17"/>
      <c r="AD66" s="17"/>
      <c r="AE66" s="17"/>
      <c r="AF66" s="17"/>
    </row>
    <row r="67" spans="22:32">
      <c r="V67" s="17"/>
      <c r="W67" s="17"/>
      <c r="X67" s="17"/>
      <c r="Y67" s="17"/>
      <c r="Z67" s="17"/>
      <c r="AA67" s="17"/>
      <c r="AB67" s="17"/>
      <c r="AC67" s="17"/>
      <c r="AD67" s="17"/>
      <c r="AE67" s="17"/>
      <c r="AF67" s="17"/>
    </row>
    <row r="68" spans="22:32">
      <c r="V68" s="17"/>
      <c r="W68" s="17"/>
      <c r="X68" s="17"/>
      <c r="Y68" s="17"/>
      <c r="Z68" s="17"/>
      <c r="AA68" s="17"/>
      <c r="AB68" s="17"/>
      <c r="AC68" s="17"/>
      <c r="AD68" s="17"/>
      <c r="AE68" s="17"/>
      <c r="AF68" s="17"/>
    </row>
    <row r="69" spans="22:32"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/>
    </row>
    <row r="70" spans="22:32"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</row>
    <row r="71" spans="22:32"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</row>
    <row r="72" spans="22:32"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</row>
    <row r="73" spans="22:32"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</row>
    <row r="74" spans="22:32"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17"/>
    </row>
    <row r="75" spans="22:32"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</row>
    <row r="76" spans="22:32"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</row>
    <row r="77" spans="22:32"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</row>
  </sheetData>
  <mergeCells count="14">
    <mergeCell ref="AB42:AC45"/>
    <mergeCell ref="V43:Y44"/>
    <mergeCell ref="Z44:AA44"/>
    <mergeCell ref="V45:W45"/>
    <mergeCell ref="X45:Z45"/>
    <mergeCell ref="V7:W7"/>
    <mergeCell ref="X7:Z7"/>
    <mergeCell ref="V5:Y6"/>
    <mergeCell ref="AB4:AC7"/>
    <mergeCell ref="AB21:AC24"/>
    <mergeCell ref="V22:Y23"/>
    <mergeCell ref="Z23:AA23"/>
    <mergeCell ref="V24:W24"/>
    <mergeCell ref="X24:Z24"/>
  </mergeCells>
  <pageMargins left="0.7" right="0.7" top="0.75" bottom="0.75" header="0.3" footer="0.3"/>
  <pageSetup orientation="portrait" r:id="rId1"/>
  <ignoredErrors>
    <ignoredError sqref="I5:I13 G6:G13" formula="1"/>
  </ignoredError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>
  <dimension ref="A1:R33"/>
  <sheetViews>
    <sheetView workbookViewId="0">
      <pane ySplit="1" topLeftCell="A11" activePane="bottomLeft" state="frozen"/>
      <selection pane="bottomLeft" activeCell="H23" sqref="H23"/>
    </sheetView>
  </sheetViews>
  <sheetFormatPr defaultRowHeight="15"/>
  <cols>
    <col min="1" max="1" width="12.140625" bestFit="1" customWidth="1"/>
    <col min="2" max="2" width="6.7109375" customWidth="1"/>
    <col min="3" max="7" width="6.7109375" bestFit="1" customWidth="1"/>
    <col min="8" max="8" width="11.5703125" style="74" customWidth="1"/>
    <col min="9" max="9" width="12.7109375" bestFit="1" customWidth="1"/>
    <col min="10" max="10" width="25.42578125" style="490" customWidth="1"/>
    <col min="12" max="12" width="26.42578125" bestFit="1" customWidth="1"/>
    <col min="14" max="14" width="14.28515625" customWidth="1"/>
  </cols>
  <sheetData>
    <row r="1" spans="1:18" ht="39.75" customHeight="1" thickBot="1">
      <c r="A1" s="680" t="s">
        <v>51</v>
      </c>
      <c r="B1" s="692" t="s">
        <v>318</v>
      </c>
      <c r="C1" s="693"/>
      <c r="D1" s="695"/>
      <c r="E1" s="692" t="s">
        <v>319</v>
      </c>
      <c r="F1" s="693"/>
      <c r="G1" s="694"/>
      <c r="H1" s="689" t="s">
        <v>324</v>
      </c>
      <c r="I1" s="686" t="s">
        <v>325</v>
      </c>
      <c r="J1" s="683" t="s">
        <v>43</v>
      </c>
    </row>
    <row r="2" spans="1:18" ht="38.25" thickBot="1">
      <c r="A2" s="681"/>
      <c r="B2" s="257" t="s">
        <v>320</v>
      </c>
      <c r="C2" s="258" t="s">
        <v>321</v>
      </c>
      <c r="D2" s="234"/>
      <c r="E2" s="235">
        <v>3.5</v>
      </c>
      <c r="F2" s="259" t="s">
        <v>321</v>
      </c>
      <c r="G2" s="236"/>
      <c r="H2" s="690"/>
      <c r="I2" s="687"/>
      <c r="J2" s="684"/>
    </row>
    <row r="3" spans="1:18" ht="24" customHeight="1" thickBot="1">
      <c r="A3" s="682"/>
      <c r="B3" s="237" t="s">
        <v>328</v>
      </c>
      <c r="C3" s="238" t="s">
        <v>322</v>
      </c>
      <c r="D3" s="238" t="s">
        <v>329</v>
      </c>
      <c r="E3" s="239" t="s">
        <v>328</v>
      </c>
      <c r="F3" s="238" t="s">
        <v>322</v>
      </c>
      <c r="G3" s="239" t="s">
        <v>329</v>
      </c>
      <c r="H3" s="691"/>
      <c r="I3" s="688"/>
      <c r="J3" s="685"/>
    </row>
    <row r="4" spans="1:18" ht="19.5" thickBot="1">
      <c r="A4" s="243"/>
      <c r="B4" s="508"/>
      <c r="C4" s="508"/>
      <c r="D4" s="508"/>
      <c r="E4" s="508"/>
      <c r="F4" s="508"/>
      <c r="G4" s="508"/>
      <c r="H4" s="587">
        <v>0</v>
      </c>
      <c r="I4" s="244"/>
      <c r="J4" s="486"/>
      <c r="L4" s="3"/>
      <c r="M4" s="3" t="s">
        <v>389</v>
      </c>
      <c r="N4" s="3" t="s">
        <v>390</v>
      </c>
      <c r="O4" s="3" t="s">
        <v>391</v>
      </c>
    </row>
    <row r="5" spans="1:18" ht="16.5" customHeight="1" thickBot="1">
      <c r="A5" s="507">
        <f>ELEC!C2</f>
        <v>44227</v>
      </c>
      <c r="B5" s="45">
        <f>'[2]Swimming Pool quality check '!B36</f>
        <v>1.2</v>
      </c>
      <c r="C5" s="45">
        <f>'[2]Swimming Pool quality check '!C36</f>
        <v>7.8</v>
      </c>
      <c r="D5" s="45">
        <f>'[2]Swimming Pool quality check '!D36</f>
        <v>0</v>
      </c>
      <c r="E5" s="45">
        <f>'[2]Swimming Pool quality check '!E36</f>
        <v>1.3</v>
      </c>
      <c r="F5" s="45">
        <f>'[2]Swimming Pool quality check '!F36</f>
        <v>8</v>
      </c>
      <c r="G5" s="45">
        <f>'[2]Swimming Pool quality check '!G36</f>
        <v>0</v>
      </c>
      <c r="H5" s="45">
        <f>'[2]Swimming Pool quality check '!H36</f>
        <v>6716</v>
      </c>
      <c r="I5" s="45">
        <f>'[2]Swimming Pool quality check '!I36</f>
        <v>0</v>
      </c>
      <c r="J5" s="517">
        <f>'[11]Swimming Pool quality check '!J36</f>
        <v>0.33333333333333398</v>
      </c>
      <c r="K5" s="407">
        <v>0</v>
      </c>
      <c r="L5" s="534">
        <f>A5</f>
        <v>44227</v>
      </c>
      <c r="M5" s="509">
        <v>6541</v>
      </c>
      <c r="N5" s="509">
        <f>'[7]Swimming Pool quality check '!N36</f>
        <v>642</v>
      </c>
      <c r="O5" s="509">
        <f>'[7]Swimming Pool quality check '!O36</f>
        <v>6836</v>
      </c>
    </row>
    <row r="6" spans="1:18" ht="15.75" customHeight="1" thickBot="1">
      <c r="A6" s="240">
        <f>ELEC!C3</f>
        <v>44228</v>
      </c>
      <c r="B6" s="594">
        <v>1.1000000000000001</v>
      </c>
      <c r="C6" s="595">
        <v>7.8</v>
      </c>
      <c r="D6" s="595"/>
      <c r="E6" s="595">
        <v>1</v>
      </c>
      <c r="F6" s="595">
        <v>8</v>
      </c>
      <c r="G6" s="595"/>
      <c r="H6" s="596">
        <f>H5</f>
        <v>6716</v>
      </c>
      <c r="I6" s="509">
        <f>H6-H5</f>
        <v>0</v>
      </c>
      <c r="J6" s="487">
        <v>0.29166666666666669</v>
      </c>
      <c r="L6" s="99">
        <f t="shared" ref="L6:L33" si="0">A6</f>
        <v>44228</v>
      </c>
      <c r="M6" s="3">
        <v>6543</v>
      </c>
      <c r="N6" s="509">
        <v>487</v>
      </c>
      <c r="O6" s="509">
        <f t="shared" ref="O6:O33" si="1">M6+N6</f>
        <v>7030</v>
      </c>
    </row>
    <row r="7" spans="1:18" ht="15.75" thickBot="1">
      <c r="A7" s="240">
        <f>ELEC!C4</f>
        <v>44229</v>
      </c>
      <c r="B7" s="597">
        <v>1.3</v>
      </c>
      <c r="C7" s="596">
        <v>7.8</v>
      </c>
      <c r="D7" s="596"/>
      <c r="E7" s="596">
        <v>1.2</v>
      </c>
      <c r="F7" s="596">
        <v>8</v>
      </c>
      <c r="G7" s="596"/>
      <c r="H7" s="596">
        <f t="shared" ref="H7:H30" si="2">H6</f>
        <v>6716</v>
      </c>
      <c r="I7" s="509">
        <f>H7-H6</f>
        <v>0</v>
      </c>
      <c r="J7" s="488">
        <v>0.29166666666666669</v>
      </c>
      <c r="L7" s="99">
        <f t="shared" si="0"/>
        <v>44229</v>
      </c>
      <c r="M7" s="3">
        <v>6550</v>
      </c>
      <c r="N7" s="509">
        <v>487</v>
      </c>
      <c r="O7" s="509">
        <f t="shared" si="1"/>
        <v>7037</v>
      </c>
    </row>
    <row r="8" spans="1:18" ht="15.75" thickBot="1">
      <c r="A8" s="240">
        <f>ELEC!C5</f>
        <v>44230</v>
      </c>
      <c r="B8" s="597">
        <v>1.4</v>
      </c>
      <c r="C8" s="596">
        <v>7.8</v>
      </c>
      <c r="D8" s="596"/>
      <c r="E8" s="596">
        <v>1.3</v>
      </c>
      <c r="F8" s="596">
        <v>8</v>
      </c>
      <c r="G8" s="596"/>
      <c r="H8" s="596">
        <f t="shared" si="2"/>
        <v>6716</v>
      </c>
      <c r="I8" s="509">
        <f t="shared" ref="I8:I33" si="3">H8-H7</f>
        <v>0</v>
      </c>
      <c r="J8" s="488">
        <v>0.29166666666666669</v>
      </c>
      <c r="L8" s="99">
        <f t="shared" si="0"/>
        <v>44230</v>
      </c>
      <c r="M8" s="3">
        <v>6555</v>
      </c>
      <c r="N8" s="509">
        <v>487</v>
      </c>
      <c r="O8" s="509">
        <f t="shared" si="1"/>
        <v>7042</v>
      </c>
    </row>
    <row r="9" spans="1:18" ht="15.75" thickBot="1">
      <c r="A9" s="240">
        <f>ELEC!C6</f>
        <v>44231</v>
      </c>
      <c r="B9" s="598">
        <v>1.4</v>
      </c>
      <c r="C9" s="596">
        <v>7.8</v>
      </c>
      <c r="D9" s="45"/>
      <c r="E9" s="45">
        <v>1.2</v>
      </c>
      <c r="F9" s="45">
        <v>8</v>
      </c>
      <c r="G9" s="45"/>
      <c r="H9" s="596">
        <f t="shared" si="2"/>
        <v>6716</v>
      </c>
      <c r="I9" s="509">
        <f t="shared" si="3"/>
        <v>0</v>
      </c>
      <c r="J9" s="488">
        <v>0.25</v>
      </c>
      <c r="L9" s="99">
        <f t="shared" si="0"/>
        <v>44231</v>
      </c>
      <c r="M9" s="3">
        <f t="shared" ref="M9:M33" si="4">M8</f>
        <v>6555</v>
      </c>
      <c r="N9" s="509">
        <v>487</v>
      </c>
      <c r="O9" s="509">
        <f t="shared" si="1"/>
        <v>7042</v>
      </c>
    </row>
    <row r="10" spans="1:18" ht="15.75" thickBot="1">
      <c r="A10" s="240">
        <f>ELEC!C7</f>
        <v>44232</v>
      </c>
      <c r="B10" s="586">
        <v>1.1000000000000001</v>
      </c>
      <c r="C10" s="585">
        <v>7.8</v>
      </c>
      <c r="D10" s="585"/>
      <c r="E10" s="585">
        <v>1</v>
      </c>
      <c r="F10" s="585">
        <v>8</v>
      </c>
      <c r="G10" s="585"/>
      <c r="H10" s="596">
        <v>6715</v>
      </c>
      <c r="I10" s="509">
        <f t="shared" si="3"/>
        <v>-1</v>
      </c>
      <c r="J10" s="488">
        <v>0.29166666666666669</v>
      </c>
      <c r="L10" s="99">
        <f t="shared" si="0"/>
        <v>44232</v>
      </c>
      <c r="M10" s="3">
        <f t="shared" si="4"/>
        <v>6555</v>
      </c>
      <c r="N10" s="509">
        <v>487</v>
      </c>
      <c r="O10" s="509">
        <f t="shared" si="1"/>
        <v>7042</v>
      </c>
    </row>
    <row r="11" spans="1:18" ht="15.75" thickBot="1">
      <c r="A11" s="240">
        <f>ELEC!C8</f>
        <v>44233</v>
      </c>
      <c r="B11" s="537">
        <v>1.5</v>
      </c>
      <c r="C11" s="537">
        <v>7.8</v>
      </c>
      <c r="D11" s="537"/>
      <c r="E11" s="537">
        <v>1.2</v>
      </c>
      <c r="F11" s="537">
        <v>8</v>
      </c>
      <c r="G11" s="537"/>
      <c r="H11" s="596">
        <v>6715.5</v>
      </c>
      <c r="I11" s="509">
        <f t="shared" si="3"/>
        <v>0.5</v>
      </c>
      <c r="J11" s="488">
        <v>0.29166666666666669</v>
      </c>
      <c r="L11" s="99">
        <f t="shared" si="0"/>
        <v>44233</v>
      </c>
      <c r="M11" s="3">
        <f t="shared" si="4"/>
        <v>6555</v>
      </c>
      <c r="N11" s="509">
        <v>487</v>
      </c>
      <c r="O11" s="509">
        <f t="shared" si="1"/>
        <v>7042</v>
      </c>
    </row>
    <row r="12" spans="1:18" ht="16.5" thickBot="1">
      <c r="A12" s="240">
        <f>ELEC!C9</f>
        <v>44234</v>
      </c>
      <c r="B12" s="537">
        <v>1.4</v>
      </c>
      <c r="C12" s="537">
        <v>7.8</v>
      </c>
      <c r="D12" s="537"/>
      <c r="E12" s="537">
        <v>1</v>
      </c>
      <c r="F12" s="537">
        <v>8</v>
      </c>
      <c r="G12" s="537"/>
      <c r="H12" s="596">
        <v>6716</v>
      </c>
      <c r="I12" s="509">
        <f t="shared" si="3"/>
        <v>0.5</v>
      </c>
      <c r="J12" s="488">
        <v>0.29166666666666669</v>
      </c>
      <c r="L12" s="99">
        <f t="shared" si="0"/>
        <v>44234</v>
      </c>
      <c r="M12" s="3">
        <f t="shared" si="4"/>
        <v>6555</v>
      </c>
      <c r="N12" s="509">
        <v>487</v>
      </c>
      <c r="O12" s="509">
        <f t="shared" si="1"/>
        <v>7042</v>
      </c>
      <c r="P12" s="437"/>
      <c r="Q12" s="358"/>
      <c r="R12" s="358"/>
    </row>
    <row r="13" spans="1:18" ht="15.75" thickBot="1">
      <c r="A13" s="240">
        <f>ELEC!C10</f>
        <v>44235</v>
      </c>
      <c r="B13" s="537">
        <v>1.3</v>
      </c>
      <c r="C13" s="537">
        <v>7.8</v>
      </c>
      <c r="D13" s="537"/>
      <c r="E13" s="537" t="s">
        <v>417</v>
      </c>
      <c r="F13" s="537"/>
      <c r="G13" s="537"/>
      <c r="H13" s="596">
        <v>6717</v>
      </c>
      <c r="I13" s="509">
        <f t="shared" si="3"/>
        <v>1</v>
      </c>
      <c r="J13" s="488">
        <v>0.29166666666666669</v>
      </c>
      <c r="L13" s="99">
        <f t="shared" si="0"/>
        <v>44235</v>
      </c>
      <c r="M13" s="3">
        <f t="shared" si="4"/>
        <v>6555</v>
      </c>
      <c r="N13" s="509">
        <v>487</v>
      </c>
      <c r="O13" s="509">
        <f t="shared" si="1"/>
        <v>7042</v>
      </c>
    </row>
    <row r="14" spans="1:18" ht="15.75" thickBot="1">
      <c r="A14" s="240">
        <f>ELEC!C11</f>
        <v>44236</v>
      </c>
      <c r="B14" s="537">
        <v>1.3</v>
      </c>
      <c r="C14" s="589">
        <v>7.8</v>
      </c>
      <c r="D14" s="170"/>
      <c r="E14" s="170">
        <v>1.2</v>
      </c>
      <c r="F14" s="170">
        <v>7.4</v>
      </c>
      <c r="G14" s="170"/>
      <c r="H14" s="596">
        <v>6718</v>
      </c>
      <c r="I14" s="509">
        <f t="shared" si="3"/>
        <v>1</v>
      </c>
      <c r="J14" s="488">
        <v>0.29166666666666669</v>
      </c>
      <c r="L14" s="99">
        <f t="shared" si="0"/>
        <v>44236</v>
      </c>
      <c r="M14" s="3">
        <f t="shared" si="4"/>
        <v>6555</v>
      </c>
      <c r="N14" s="509">
        <v>487</v>
      </c>
      <c r="O14" s="509">
        <f t="shared" si="1"/>
        <v>7042</v>
      </c>
    </row>
    <row r="15" spans="1:18" ht="15.75" thickBot="1">
      <c r="A15" s="240">
        <f>ELEC!C12</f>
        <v>44237</v>
      </c>
      <c r="B15" s="537">
        <v>1.2</v>
      </c>
      <c r="C15" s="590">
        <v>7.8</v>
      </c>
      <c r="D15" s="590"/>
      <c r="E15" s="590">
        <v>1.4</v>
      </c>
      <c r="F15" s="590">
        <v>7.8</v>
      </c>
      <c r="G15" s="590"/>
      <c r="H15" s="596">
        <f t="shared" si="2"/>
        <v>6718</v>
      </c>
      <c r="I15" s="509">
        <f t="shared" si="3"/>
        <v>0</v>
      </c>
      <c r="J15" s="488">
        <v>0.29166666666666669</v>
      </c>
      <c r="L15" s="99">
        <f t="shared" si="0"/>
        <v>44237</v>
      </c>
      <c r="M15" s="3">
        <f t="shared" si="4"/>
        <v>6555</v>
      </c>
      <c r="N15" s="509">
        <v>487</v>
      </c>
      <c r="O15" s="509">
        <f t="shared" si="1"/>
        <v>7042</v>
      </c>
    </row>
    <row r="16" spans="1:18" ht="15.75" thickBot="1">
      <c r="A16" s="240">
        <f>ELEC!C13</f>
        <v>44238</v>
      </c>
      <c r="B16" s="537">
        <v>2.2000000000000002</v>
      </c>
      <c r="C16" s="590">
        <v>7.8</v>
      </c>
      <c r="D16" s="590"/>
      <c r="E16" s="590">
        <v>1.5</v>
      </c>
      <c r="F16" s="590">
        <v>7.8</v>
      </c>
      <c r="G16" s="590"/>
      <c r="H16" s="596">
        <f t="shared" si="2"/>
        <v>6718</v>
      </c>
      <c r="I16" s="509">
        <f t="shared" si="3"/>
        <v>0</v>
      </c>
      <c r="J16" s="488">
        <v>0.29166666666666669</v>
      </c>
      <c r="L16" s="99">
        <f t="shared" si="0"/>
        <v>44238</v>
      </c>
      <c r="M16" s="3">
        <f t="shared" si="4"/>
        <v>6555</v>
      </c>
      <c r="N16" s="509">
        <v>487</v>
      </c>
      <c r="O16" s="509">
        <f t="shared" si="1"/>
        <v>7042</v>
      </c>
    </row>
    <row r="17" spans="1:15" ht="15.75" thickBot="1">
      <c r="A17" s="240">
        <f>ELEC!C14</f>
        <v>44239</v>
      </c>
      <c r="B17" s="537">
        <v>2.5</v>
      </c>
      <c r="C17" s="537">
        <v>7.8</v>
      </c>
      <c r="D17" s="537"/>
      <c r="E17" s="537">
        <v>2</v>
      </c>
      <c r="F17" s="537">
        <v>7.4</v>
      </c>
      <c r="G17" s="537"/>
      <c r="H17" s="596">
        <f t="shared" si="2"/>
        <v>6718</v>
      </c>
      <c r="I17" s="509">
        <f t="shared" si="3"/>
        <v>0</v>
      </c>
      <c r="J17" s="488">
        <v>0.29166666666666669</v>
      </c>
      <c r="L17" s="99">
        <f t="shared" si="0"/>
        <v>44239</v>
      </c>
      <c r="M17" s="3">
        <f t="shared" si="4"/>
        <v>6555</v>
      </c>
      <c r="N17" s="509">
        <v>487</v>
      </c>
      <c r="O17" s="509">
        <f t="shared" si="1"/>
        <v>7042</v>
      </c>
    </row>
    <row r="18" spans="1:15" ht="15.75" thickBot="1">
      <c r="A18" s="240">
        <f>ELEC!C15</f>
        <v>44240</v>
      </c>
      <c r="B18" s="537">
        <v>1</v>
      </c>
      <c r="C18" s="591">
        <v>7.8</v>
      </c>
      <c r="D18" s="170"/>
      <c r="E18" s="170">
        <v>1.3</v>
      </c>
      <c r="F18" s="170">
        <v>7.8</v>
      </c>
      <c r="G18" s="537"/>
      <c r="H18" s="596">
        <f t="shared" si="2"/>
        <v>6718</v>
      </c>
      <c r="I18" s="509">
        <f t="shared" si="3"/>
        <v>0</v>
      </c>
      <c r="J18" s="488">
        <v>0.29166666666666669</v>
      </c>
      <c r="L18" s="99">
        <f t="shared" si="0"/>
        <v>44240</v>
      </c>
      <c r="M18" s="3">
        <f t="shared" si="4"/>
        <v>6555</v>
      </c>
      <c r="N18" s="509">
        <v>487</v>
      </c>
      <c r="O18" s="509">
        <f t="shared" si="1"/>
        <v>7042</v>
      </c>
    </row>
    <row r="19" spans="1:15" ht="15.75" thickBot="1">
      <c r="A19" s="240">
        <f>ELEC!C16</f>
        <v>44241</v>
      </c>
      <c r="B19" s="537">
        <v>2.2000000000000002</v>
      </c>
      <c r="C19" s="592">
        <v>7.8</v>
      </c>
      <c r="D19" s="170"/>
      <c r="E19" s="170">
        <v>1.5</v>
      </c>
      <c r="F19" s="170">
        <v>8</v>
      </c>
      <c r="G19" s="537"/>
      <c r="H19" s="596">
        <f t="shared" si="2"/>
        <v>6718</v>
      </c>
      <c r="I19" s="509">
        <f t="shared" si="3"/>
        <v>0</v>
      </c>
      <c r="J19" s="488">
        <v>0.29166666666666669</v>
      </c>
      <c r="L19" s="99">
        <f t="shared" si="0"/>
        <v>44241</v>
      </c>
      <c r="M19" s="3">
        <f t="shared" si="4"/>
        <v>6555</v>
      </c>
      <c r="N19" s="509">
        <v>487</v>
      </c>
      <c r="O19" s="509">
        <f t="shared" si="1"/>
        <v>7042</v>
      </c>
    </row>
    <row r="20" spans="1:15" ht="15.75" thickBot="1">
      <c r="A20" s="240">
        <f>ELEC!C17</f>
        <v>44242</v>
      </c>
      <c r="B20" s="537">
        <v>2.5</v>
      </c>
      <c r="C20" s="537">
        <v>7.8</v>
      </c>
      <c r="D20" s="537"/>
      <c r="E20" s="537">
        <v>1.5</v>
      </c>
      <c r="F20" s="537">
        <v>8</v>
      </c>
      <c r="G20" s="537"/>
      <c r="H20" s="596">
        <v>6720</v>
      </c>
      <c r="I20" s="509">
        <f t="shared" si="3"/>
        <v>2</v>
      </c>
      <c r="J20" s="488">
        <v>0.29166666666666669</v>
      </c>
      <c r="L20" s="99">
        <f t="shared" si="0"/>
        <v>44242</v>
      </c>
      <c r="M20" s="3">
        <f t="shared" si="4"/>
        <v>6555</v>
      </c>
      <c r="N20" s="509">
        <v>645</v>
      </c>
      <c r="O20" s="509">
        <f t="shared" si="1"/>
        <v>7200</v>
      </c>
    </row>
    <row r="21" spans="1:15" ht="15.75" thickBot="1">
      <c r="A21" s="240">
        <f>ELEC!C18</f>
        <v>44243</v>
      </c>
      <c r="B21" s="537">
        <v>2</v>
      </c>
      <c r="C21" s="593">
        <v>7.8</v>
      </c>
      <c r="D21" s="170"/>
      <c r="E21" s="170">
        <v>1.4</v>
      </c>
      <c r="F21" s="170">
        <v>8</v>
      </c>
      <c r="G21" s="537"/>
      <c r="H21" s="596">
        <f t="shared" si="2"/>
        <v>6720</v>
      </c>
      <c r="I21" s="509">
        <f t="shared" si="3"/>
        <v>0</v>
      </c>
      <c r="J21" s="580" t="s">
        <v>415</v>
      </c>
      <c r="L21" s="99">
        <f t="shared" si="0"/>
        <v>44243</v>
      </c>
      <c r="M21" s="3">
        <f t="shared" si="4"/>
        <v>6555</v>
      </c>
      <c r="N21" s="509">
        <v>645</v>
      </c>
      <c r="O21" s="509">
        <f t="shared" si="1"/>
        <v>7200</v>
      </c>
    </row>
    <row r="22" spans="1:15" ht="15.75" thickBot="1">
      <c r="A22" s="240">
        <f>ELEC!C19</f>
        <v>44244</v>
      </c>
      <c r="B22" s="537">
        <v>2</v>
      </c>
      <c r="C22" s="537">
        <v>7.8</v>
      </c>
      <c r="D22" s="537"/>
      <c r="E22" s="537">
        <v>1.3</v>
      </c>
      <c r="F22" s="537">
        <v>8</v>
      </c>
      <c r="G22" s="537"/>
      <c r="H22" s="596">
        <f t="shared" si="2"/>
        <v>6720</v>
      </c>
      <c r="I22" s="509">
        <f t="shared" si="3"/>
        <v>0</v>
      </c>
      <c r="J22" s="488">
        <v>0.29166666666666669</v>
      </c>
      <c r="L22" s="99">
        <f t="shared" si="0"/>
        <v>44244</v>
      </c>
      <c r="M22" s="3">
        <f t="shared" si="4"/>
        <v>6555</v>
      </c>
      <c r="N22" s="509">
        <v>645</v>
      </c>
      <c r="O22" s="509">
        <f t="shared" si="1"/>
        <v>7200</v>
      </c>
    </row>
    <row r="23" spans="1:15" ht="15.75" thickBot="1">
      <c r="A23" s="240">
        <f>ELEC!C20</f>
        <v>44245</v>
      </c>
      <c r="B23" s="537">
        <v>1.5</v>
      </c>
      <c r="C23" s="537">
        <v>7.8</v>
      </c>
      <c r="D23" s="537"/>
      <c r="E23" s="537">
        <v>1</v>
      </c>
      <c r="F23" s="537">
        <v>8</v>
      </c>
      <c r="G23" s="537"/>
      <c r="H23" s="596">
        <f t="shared" si="2"/>
        <v>6720</v>
      </c>
      <c r="I23" s="509">
        <f t="shared" si="3"/>
        <v>0</v>
      </c>
      <c r="J23" s="488">
        <v>0.29166666666666669</v>
      </c>
      <c r="L23" s="99">
        <f t="shared" si="0"/>
        <v>44245</v>
      </c>
      <c r="M23" s="3">
        <f t="shared" si="4"/>
        <v>6555</v>
      </c>
      <c r="N23" s="509">
        <v>645</v>
      </c>
      <c r="O23" s="509">
        <f t="shared" si="1"/>
        <v>7200</v>
      </c>
    </row>
    <row r="24" spans="1:15" ht="15.75" thickBot="1">
      <c r="A24" s="240">
        <f>ELEC!C21</f>
        <v>44246</v>
      </c>
      <c r="B24" s="537">
        <v>1.4</v>
      </c>
      <c r="C24" s="599">
        <v>7.8</v>
      </c>
      <c r="D24" s="170"/>
      <c r="E24" s="170">
        <v>1</v>
      </c>
      <c r="F24" s="170">
        <v>8</v>
      </c>
      <c r="G24" s="170"/>
      <c r="H24" s="596">
        <f t="shared" si="2"/>
        <v>6720</v>
      </c>
      <c r="I24" s="509">
        <f t="shared" si="3"/>
        <v>0</v>
      </c>
      <c r="J24" s="488">
        <v>0.29166666666666702</v>
      </c>
      <c r="L24" s="99">
        <f t="shared" si="0"/>
        <v>44246</v>
      </c>
      <c r="M24" s="3">
        <f t="shared" si="4"/>
        <v>6555</v>
      </c>
      <c r="N24" s="509">
        <v>645</v>
      </c>
      <c r="O24" s="509">
        <f t="shared" si="1"/>
        <v>7200</v>
      </c>
    </row>
    <row r="25" spans="1:15" ht="15.75" thickBot="1">
      <c r="A25" s="240">
        <f>ELEC!C22</f>
        <v>44247</v>
      </c>
      <c r="B25" s="582">
        <v>1.5</v>
      </c>
      <c r="C25" s="581">
        <v>7.8</v>
      </c>
      <c r="D25" s="170"/>
      <c r="E25" s="170">
        <v>1</v>
      </c>
      <c r="F25" s="170">
        <v>8</v>
      </c>
      <c r="G25" s="170"/>
      <c r="H25" s="596">
        <f t="shared" si="2"/>
        <v>6720</v>
      </c>
      <c r="I25" s="509">
        <f t="shared" si="3"/>
        <v>0</v>
      </c>
      <c r="J25" s="488">
        <v>0.29166666666666702</v>
      </c>
      <c r="L25" s="99">
        <f t="shared" si="0"/>
        <v>44247</v>
      </c>
      <c r="M25" s="3">
        <f t="shared" si="4"/>
        <v>6555</v>
      </c>
      <c r="N25" s="509">
        <v>645</v>
      </c>
      <c r="O25" s="509">
        <f t="shared" si="1"/>
        <v>7200</v>
      </c>
    </row>
    <row r="26" spans="1:15" ht="15.75" thickBot="1">
      <c r="A26" s="240">
        <f>ELEC!C23</f>
        <v>44248</v>
      </c>
      <c r="B26" s="582">
        <v>1.5</v>
      </c>
      <c r="C26" s="583">
        <v>7.8</v>
      </c>
      <c r="D26" s="170"/>
      <c r="E26" s="170">
        <v>1</v>
      </c>
      <c r="F26" s="170">
        <v>8</v>
      </c>
      <c r="G26" s="170"/>
      <c r="H26" s="596">
        <f t="shared" si="2"/>
        <v>6720</v>
      </c>
      <c r="I26" s="509">
        <f t="shared" si="3"/>
        <v>0</v>
      </c>
      <c r="J26" s="488">
        <v>0.29166666666666702</v>
      </c>
      <c r="L26" s="99">
        <f t="shared" si="0"/>
        <v>44248</v>
      </c>
      <c r="M26" s="3">
        <f t="shared" si="4"/>
        <v>6555</v>
      </c>
      <c r="N26" s="509">
        <v>645</v>
      </c>
      <c r="O26" s="509">
        <f t="shared" si="1"/>
        <v>7200</v>
      </c>
    </row>
    <row r="27" spans="1:15" ht="15.75" thickBot="1">
      <c r="A27" s="240">
        <f>ELEC!C24</f>
        <v>44249</v>
      </c>
      <c r="B27" s="170">
        <v>1.3</v>
      </c>
      <c r="C27" s="170">
        <v>7.8</v>
      </c>
      <c r="D27" s="170"/>
      <c r="E27" s="170">
        <v>0.5</v>
      </c>
      <c r="F27" s="170">
        <v>8</v>
      </c>
      <c r="G27" s="170"/>
      <c r="H27" s="596">
        <f t="shared" si="2"/>
        <v>6720</v>
      </c>
      <c r="I27" s="509">
        <f t="shared" si="3"/>
        <v>0</v>
      </c>
      <c r="J27" s="488">
        <v>0.29166666666666702</v>
      </c>
      <c r="L27" s="99">
        <f t="shared" si="0"/>
        <v>44249</v>
      </c>
      <c r="M27" s="3">
        <f t="shared" si="4"/>
        <v>6555</v>
      </c>
      <c r="N27" s="509">
        <v>645</v>
      </c>
      <c r="O27" s="509">
        <f t="shared" si="1"/>
        <v>7200</v>
      </c>
    </row>
    <row r="28" spans="1:15" ht="15.75" thickBot="1">
      <c r="A28" s="240">
        <f>ELEC!C25</f>
        <v>44250</v>
      </c>
      <c r="B28" s="254">
        <v>1.3</v>
      </c>
      <c r="C28" s="584">
        <v>7.8</v>
      </c>
      <c r="D28" s="170"/>
      <c r="E28" s="170">
        <v>0.5</v>
      </c>
      <c r="F28" s="170">
        <v>8</v>
      </c>
      <c r="G28" s="170"/>
      <c r="H28" s="596">
        <f t="shared" si="2"/>
        <v>6720</v>
      </c>
      <c r="I28" s="509">
        <f t="shared" si="3"/>
        <v>0</v>
      </c>
      <c r="J28" s="489">
        <v>0.29166666666666702</v>
      </c>
      <c r="L28" s="99">
        <f t="shared" si="0"/>
        <v>44250</v>
      </c>
      <c r="M28" s="3">
        <f t="shared" si="4"/>
        <v>6555</v>
      </c>
      <c r="N28" s="509">
        <v>645</v>
      </c>
      <c r="O28" s="509">
        <f t="shared" si="1"/>
        <v>7200</v>
      </c>
    </row>
    <row r="29" spans="1:15" ht="15.75" thickBot="1">
      <c r="A29" s="240">
        <f>ELEC!C26</f>
        <v>44251</v>
      </c>
      <c r="B29" s="537">
        <v>1.2</v>
      </c>
      <c r="C29" s="537">
        <v>7.8</v>
      </c>
      <c r="D29" s="537"/>
      <c r="E29" s="170">
        <v>0.6</v>
      </c>
      <c r="F29" s="170">
        <v>8</v>
      </c>
      <c r="G29" s="537"/>
      <c r="H29" s="596">
        <f t="shared" si="2"/>
        <v>6720</v>
      </c>
      <c r="I29" s="509">
        <f t="shared" si="3"/>
        <v>0</v>
      </c>
      <c r="J29" s="488">
        <v>0.29166666666666702</v>
      </c>
      <c r="L29" s="99">
        <f t="shared" si="0"/>
        <v>44251</v>
      </c>
      <c r="M29" s="3">
        <f t="shared" si="4"/>
        <v>6555</v>
      </c>
      <c r="N29" s="509">
        <v>645</v>
      </c>
      <c r="O29" s="509">
        <f t="shared" si="1"/>
        <v>7200</v>
      </c>
    </row>
    <row r="30" spans="1:15" ht="15.75" thickBot="1">
      <c r="A30" s="240">
        <f>ELEC!C27</f>
        <v>44252</v>
      </c>
      <c r="B30" s="170">
        <v>1.2</v>
      </c>
      <c r="C30" s="170">
        <v>7.8</v>
      </c>
      <c r="D30" s="170"/>
      <c r="E30" s="170">
        <v>0.6</v>
      </c>
      <c r="F30" s="170">
        <v>8</v>
      </c>
      <c r="G30" s="170"/>
      <c r="H30" s="596">
        <f t="shared" si="2"/>
        <v>6720</v>
      </c>
      <c r="I30" s="509">
        <f t="shared" si="3"/>
        <v>0</v>
      </c>
      <c r="J30" s="488">
        <v>0.29166666666666702</v>
      </c>
      <c r="L30" s="99">
        <f t="shared" si="0"/>
        <v>44252</v>
      </c>
      <c r="M30" s="3">
        <f t="shared" si="4"/>
        <v>6555</v>
      </c>
      <c r="N30" s="509">
        <v>645</v>
      </c>
      <c r="O30" s="509">
        <f t="shared" si="1"/>
        <v>7200</v>
      </c>
    </row>
    <row r="31" spans="1:15" ht="15.75" thickBot="1">
      <c r="A31" s="240">
        <f>ELEC!C28</f>
        <v>44253</v>
      </c>
      <c r="B31" s="254">
        <v>0.9</v>
      </c>
      <c r="C31" s="605">
        <v>7.8</v>
      </c>
      <c r="D31" s="170"/>
      <c r="E31" s="170">
        <v>0.5</v>
      </c>
      <c r="F31" s="170">
        <v>8</v>
      </c>
      <c r="G31" s="170"/>
      <c r="H31" s="596">
        <v>6721</v>
      </c>
      <c r="I31" s="509">
        <f t="shared" si="3"/>
        <v>1</v>
      </c>
      <c r="J31" s="488">
        <v>0.29166666666666702</v>
      </c>
      <c r="L31" s="99">
        <f t="shared" si="0"/>
        <v>44253</v>
      </c>
      <c r="M31" s="3">
        <f t="shared" si="4"/>
        <v>6555</v>
      </c>
      <c r="N31" s="509">
        <v>645</v>
      </c>
      <c r="O31" s="509">
        <f t="shared" si="1"/>
        <v>7200</v>
      </c>
    </row>
    <row r="32" spans="1:15" ht="15.75" thickBot="1">
      <c r="A32" s="240">
        <f>ELEC!C29</f>
        <v>44254</v>
      </c>
      <c r="B32" s="170">
        <v>0.7</v>
      </c>
      <c r="C32" s="170">
        <v>7.8</v>
      </c>
      <c r="D32" s="509"/>
      <c r="E32" s="170">
        <v>0.4</v>
      </c>
      <c r="F32" s="170">
        <v>8</v>
      </c>
      <c r="G32" s="509"/>
      <c r="H32" s="596">
        <v>6721</v>
      </c>
      <c r="I32" s="509">
        <f t="shared" si="3"/>
        <v>0</v>
      </c>
      <c r="J32" s="488">
        <v>0.29166666666666702</v>
      </c>
      <c r="L32" s="99">
        <f t="shared" si="0"/>
        <v>44254</v>
      </c>
      <c r="M32" s="3">
        <f t="shared" si="4"/>
        <v>6555</v>
      </c>
      <c r="N32" s="509">
        <v>645</v>
      </c>
      <c r="O32" s="509">
        <f t="shared" si="1"/>
        <v>7200</v>
      </c>
    </row>
    <row r="33" spans="1:15">
      <c r="A33" s="240">
        <f>ELEC!C30</f>
        <v>44255</v>
      </c>
      <c r="B33" s="170">
        <v>0.6</v>
      </c>
      <c r="C33" s="170">
        <v>7.8</v>
      </c>
      <c r="D33" s="509"/>
      <c r="E33" s="170">
        <v>0.1</v>
      </c>
      <c r="F33" s="170">
        <v>8</v>
      </c>
      <c r="G33" s="509"/>
      <c r="H33" s="596">
        <v>6721</v>
      </c>
      <c r="I33" s="509">
        <f t="shared" si="3"/>
        <v>0</v>
      </c>
      <c r="J33" s="488">
        <v>0.29166666666666702</v>
      </c>
      <c r="L33" s="99">
        <f t="shared" si="0"/>
        <v>44255</v>
      </c>
      <c r="M33" s="3">
        <f t="shared" si="4"/>
        <v>6555</v>
      </c>
      <c r="N33" s="509">
        <v>645</v>
      </c>
      <c r="O33" s="509">
        <f t="shared" si="1"/>
        <v>7200</v>
      </c>
    </row>
  </sheetData>
  <mergeCells count="6">
    <mergeCell ref="A1:A3"/>
    <mergeCell ref="J1:J3"/>
    <mergeCell ref="I1:I3"/>
    <mergeCell ref="H1:H3"/>
    <mergeCell ref="E1:G1"/>
    <mergeCell ref="B1:D1"/>
  </mergeCells>
  <pageMargins left="0.7" right="0.7" top="0.75" bottom="0.75" header="0.3" footer="0.3"/>
  <pageSetup paperSize="9" orientation="portrait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B96"/>
  <sheetViews>
    <sheetView topLeftCell="P1" zoomScale="80" zoomScaleNormal="80" workbookViewId="0">
      <selection activeCell="I42" sqref="I42"/>
    </sheetView>
  </sheetViews>
  <sheetFormatPr defaultRowHeight="15"/>
  <cols>
    <col min="1" max="1" width="9.140625" style="104" customWidth="1"/>
    <col min="4" max="4" width="9.140625" style="10" customWidth="1"/>
    <col min="5" max="5" width="9.140625" style="104" customWidth="1"/>
    <col min="8" max="8" width="9.140625" style="10" customWidth="1"/>
    <col min="9" max="9" width="9.140625" style="104" customWidth="1"/>
    <col min="12" max="12" width="9.140625" style="10" customWidth="1"/>
    <col min="13" max="13" width="9.140625" style="104" customWidth="1"/>
    <col min="16" max="16" width="9.140625" style="10" customWidth="1"/>
    <col min="17" max="17" width="9.140625" style="104" customWidth="1"/>
    <col min="20" max="20" width="9.140625" style="10" customWidth="1"/>
    <col min="21" max="21" width="9.140625" style="104" customWidth="1"/>
    <col min="24" max="24" width="9.140625" style="10" customWidth="1"/>
  </cols>
  <sheetData>
    <row r="1" spans="1:28" ht="18.75">
      <c r="A1" s="707" t="s">
        <v>161</v>
      </c>
      <c r="B1" s="707"/>
      <c r="C1" s="707"/>
      <c r="D1" s="707"/>
      <c r="E1" s="707"/>
      <c r="F1" s="707"/>
      <c r="G1" s="707"/>
      <c r="H1" s="707"/>
      <c r="I1" s="707"/>
      <c r="J1" s="707"/>
      <c r="K1" s="707"/>
      <c r="L1" s="707"/>
      <c r="M1" s="707"/>
      <c r="N1" s="707"/>
      <c r="O1" s="707"/>
      <c r="P1" s="707"/>
      <c r="Q1" s="707"/>
      <c r="R1" s="707"/>
      <c r="S1" s="707"/>
      <c r="T1" s="707"/>
      <c r="U1" s="707"/>
      <c r="V1" s="707"/>
      <c r="W1" s="707"/>
      <c r="X1" s="707"/>
    </row>
    <row r="2" spans="1:28" ht="19.5">
      <c r="A2" s="708"/>
      <c r="B2" s="708"/>
      <c r="C2" s="708"/>
      <c r="D2" s="708"/>
      <c r="E2" s="708"/>
      <c r="F2" s="708"/>
      <c r="G2" s="708"/>
      <c r="H2" s="708"/>
      <c r="I2" s="708"/>
      <c r="J2" s="708"/>
      <c r="K2" s="708"/>
      <c r="L2" s="708"/>
      <c r="M2" s="708"/>
      <c r="N2" s="708"/>
      <c r="O2" s="708"/>
      <c r="P2" s="708"/>
      <c r="Q2" s="708"/>
      <c r="R2" s="708"/>
      <c r="S2" s="708"/>
      <c r="T2" s="708"/>
      <c r="U2" s="708"/>
      <c r="V2" s="708"/>
      <c r="W2" s="708"/>
      <c r="X2" s="708"/>
    </row>
    <row r="3" spans="1:28" ht="19.5">
      <c r="A3" s="708" t="s">
        <v>162</v>
      </c>
      <c r="B3" s="708"/>
      <c r="C3" s="708"/>
      <c r="D3" s="708"/>
      <c r="E3" s="708"/>
      <c r="F3" s="708"/>
      <c r="G3" s="708"/>
      <c r="H3" s="708"/>
      <c r="I3" s="708"/>
      <c r="J3" s="708"/>
      <c r="K3" s="708"/>
      <c r="L3" s="708"/>
      <c r="M3" s="708"/>
      <c r="N3" s="708"/>
      <c r="O3" s="708"/>
      <c r="P3" s="708"/>
      <c r="Q3" s="708"/>
      <c r="R3" s="708"/>
      <c r="S3" s="708"/>
      <c r="T3" s="708"/>
      <c r="U3" s="708"/>
      <c r="V3" s="708"/>
      <c r="W3" s="708"/>
      <c r="X3" s="708"/>
    </row>
    <row r="4" spans="1:28" ht="19.5">
      <c r="A4" s="103"/>
      <c r="B4" s="103"/>
      <c r="C4" s="103"/>
      <c r="D4" s="103"/>
      <c r="E4" s="103"/>
      <c r="F4" s="103"/>
      <c r="G4" s="103"/>
      <c r="H4" s="103"/>
      <c r="I4" s="103"/>
      <c r="J4" s="103"/>
      <c r="K4" s="103"/>
      <c r="L4" s="103"/>
      <c r="M4" s="103"/>
      <c r="N4" s="103"/>
      <c r="O4" s="103"/>
      <c r="P4" s="103"/>
      <c r="Q4" s="103"/>
      <c r="R4" s="103"/>
      <c r="S4" s="103"/>
      <c r="T4" s="103"/>
      <c r="U4" s="103"/>
      <c r="V4" s="103"/>
      <c r="W4" s="103"/>
      <c r="X4" s="103"/>
    </row>
    <row r="5" spans="1:28" ht="19.5">
      <c r="A5" s="708" t="s">
        <v>409</v>
      </c>
      <c r="B5" s="708"/>
      <c r="C5" s="708"/>
      <c r="D5" s="708"/>
      <c r="E5" s="708"/>
      <c r="F5" s="708"/>
      <c r="G5" s="708"/>
      <c r="H5" s="708"/>
      <c r="I5" s="708"/>
      <c r="J5" s="708"/>
      <c r="K5" s="708"/>
      <c r="L5" s="708"/>
      <c r="M5" s="708"/>
      <c r="N5" s="708"/>
      <c r="O5" s="708"/>
      <c r="P5" s="708"/>
      <c r="Q5" s="708"/>
      <c r="R5" s="708"/>
      <c r="S5" s="708"/>
      <c r="T5" s="708"/>
      <c r="U5" s="708"/>
      <c r="V5" s="708"/>
      <c r="W5" s="708"/>
      <c r="X5" s="708"/>
    </row>
    <row r="6" spans="1:28" ht="15.75" thickBot="1">
      <c r="A6" s="709"/>
      <c r="B6" s="709"/>
      <c r="C6" s="709"/>
      <c r="D6" s="709"/>
      <c r="E6" s="709"/>
      <c r="F6" s="709"/>
      <c r="G6" s="709"/>
      <c r="H6" s="709"/>
      <c r="I6" s="709"/>
      <c r="J6" s="709"/>
      <c r="K6" s="709"/>
      <c r="L6" s="709"/>
      <c r="M6" s="709"/>
      <c r="N6" s="709"/>
      <c r="O6" s="709"/>
      <c r="P6" s="709"/>
      <c r="Q6" s="709"/>
      <c r="R6" s="709"/>
      <c r="S6" s="709"/>
      <c r="T6" s="709"/>
      <c r="U6" s="709"/>
      <c r="V6" s="709"/>
      <c r="W6" s="709"/>
      <c r="X6" s="709"/>
    </row>
    <row r="7" spans="1:28" ht="15.75" thickBot="1">
      <c r="A7" s="697" t="s">
        <v>163</v>
      </c>
      <c r="B7" s="698"/>
      <c r="C7" s="699" t="s">
        <v>164</v>
      </c>
      <c r="D7" s="700"/>
      <c r="E7" s="700"/>
      <c r="F7" s="700"/>
      <c r="G7" s="700"/>
      <c r="H7" s="700"/>
      <c r="I7" s="700"/>
      <c r="J7" s="700"/>
      <c r="K7" s="701"/>
    </row>
    <row r="8" spans="1:28" ht="15.75">
      <c r="A8" s="105"/>
      <c r="B8" s="106"/>
      <c r="C8" s="107"/>
      <c r="D8" s="108"/>
      <c r="E8" s="105"/>
      <c r="F8" s="106"/>
      <c r="G8" s="107"/>
      <c r="H8" s="108"/>
      <c r="I8" s="105"/>
      <c r="J8" s="109"/>
      <c r="K8" s="106"/>
      <c r="L8" s="110"/>
      <c r="M8" s="105"/>
      <c r="N8" s="106"/>
      <c r="O8" s="107"/>
      <c r="P8" s="108"/>
      <c r="Q8" s="111"/>
      <c r="R8" s="109"/>
      <c r="S8" s="106"/>
      <c r="T8" s="110"/>
      <c r="U8" s="111"/>
      <c r="V8" s="109"/>
      <c r="W8" s="106"/>
      <c r="X8" s="110"/>
    </row>
    <row r="9" spans="1:28" s="116" customFormat="1" ht="33.75">
      <c r="A9" s="112" t="s">
        <v>299</v>
      </c>
      <c r="B9" s="113" t="s">
        <v>166</v>
      </c>
      <c r="C9" s="113" t="s">
        <v>167</v>
      </c>
      <c r="D9" s="114" t="s">
        <v>168</v>
      </c>
      <c r="E9" s="112" t="s">
        <v>169</v>
      </c>
      <c r="F9" s="113" t="s">
        <v>166</v>
      </c>
      <c r="G9" s="113" t="s">
        <v>167</v>
      </c>
      <c r="H9" s="115" t="s">
        <v>168</v>
      </c>
      <c r="I9" s="112" t="s">
        <v>170</v>
      </c>
      <c r="J9" s="113" t="s">
        <v>166</v>
      </c>
      <c r="K9" s="113" t="s">
        <v>167</v>
      </c>
      <c r="L9" s="115" t="s">
        <v>168</v>
      </c>
      <c r="M9" s="112" t="s">
        <v>171</v>
      </c>
      <c r="N9" s="113" t="s">
        <v>166</v>
      </c>
      <c r="O9" s="113" t="s">
        <v>167</v>
      </c>
      <c r="P9" s="115" t="s">
        <v>168</v>
      </c>
      <c r="Q9" s="112" t="s">
        <v>172</v>
      </c>
      <c r="R9" s="113" t="s">
        <v>166</v>
      </c>
      <c r="S9" s="113" t="s">
        <v>167</v>
      </c>
      <c r="T9" s="115" t="s">
        <v>168</v>
      </c>
      <c r="U9" s="112" t="s">
        <v>173</v>
      </c>
      <c r="V9" s="113" t="s">
        <v>166</v>
      </c>
      <c r="W9" s="113" t="s">
        <v>167</v>
      </c>
      <c r="X9" s="115" t="s">
        <v>168</v>
      </c>
      <c r="AA9" s="158" t="s">
        <v>174</v>
      </c>
      <c r="AB9" s="158" t="s">
        <v>175</v>
      </c>
    </row>
    <row r="10" spans="1:28">
      <c r="A10" s="117">
        <v>1</v>
      </c>
      <c r="B10" s="272">
        <f>'[2]Degree Days 2020'!B10</f>
        <v>20</v>
      </c>
      <c r="C10" s="272">
        <f>'[2]Degree Days 2020'!C10</f>
        <v>15</v>
      </c>
      <c r="D10" s="272">
        <f>'[2]Degree Days 2020'!D10</f>
        <v>-0.80000000000000071</v>
      </c>
      <c r="E10" s="272">
        <f>'[10]Degree Days 2020'!E10</f>
        <v>1</v>
      </c>
      <c r="F10" s="272">
        <f>'General information '!B6</f>
        <v>21</v>
      </c>
      <c r="G10" s="272">
        <f>'General information '!C6</f>
        <v>16</v>
      </c>
      <c r="H10" s="272">
        <f>(F10+G10)/2-18.3</f>
        <v>0.19999999999999929</v>
      </c>
      <c r="I10" s="272">
        <f>'[8]Degree Days 2018'!I10</f>
        <v>1</v>
      </c>
      <c r="J10" s="272"/>
      <c r="K10" s="272"/>
      <c r="L10" s="272">
        <f>(J10+K10)/2-18.3</f>
        <v>-18.3</v>
      </c>
      <c r="M10" s="272">
        <f>'[10]Degree Days 2020'!M10</f>
        <v>1</v>
      </c>
      <c r="N10" s="272"/>
      <c r="O10" s="272"/>
      <c r="P10" s="272">
        <f>(N10+O10)/2-18.3</f>
        <v>-18.3</v>
      </c>
      <c r="Q10" s="531">
        <v>1</v>
      </c>
      <c r="R10" s="272"/>
      <c r="S10" s="272"/>
      <c r="T10" s="272">
        <f>(R10+S10)/2-18.3</f>
        <v>-18.3</v>
      </c>
      <c r="U10" s="531">
        <v>1</v>
      </c>
      <c r="V10" s="272"/>
      <c r="W10" s="272"/>
      <c r="X10" s="272">
        <f>(V10+W10)/2-18.3</f>
        <v>-18.3</v>
      </c>
      <c r="Z10" t="s">
        <v>165</v>
      </c>
      <c r="AA10" s="272">
        <f>B43</f>
        <v>-92.59999999999998</v>
      </c>
      <c r="AB10" s="272">
        <f>C43</f>
        <v>2.7999999999999936</v>
      </c>
    </row>
    <row r="11" spans="1:28">
      <c r="A11" s="117">
        <v>2</v>
      </c>
      <c r="B11" s="272">
        <f>'[2]Degree Days 2020'!B11</f>
        <v>21</v>
      </c>
      <c r="C11" s="272">
        <f>'[2]Degree Days 2020'!C11</f>
        <v>15</v>
      </c>
      <c r="D11" s="272">
        <f>'[2]Degree Days 2020'!D11</f>
        <v>-0.30000000000000071</v>
      </c>
      <c r="E11" s="272">
        <f>'[10]Degree Days 2020'!E11</f>
        <v>2</v>
      </c>
      <c r="F11" s="272">
        <f>'General information '!B7</f>
        <v>23</v>
      </c>
      <c r="G11" s="272">
        <f>'General information '!C7</f>
        <v>17</v>
      </c>
      <c r="H11" s="272">
        <f t="shared" ref="H11:H37" si="0">(F11+G11)/2-18.3</f>
        <v>1.6999999999999993</v>
      </c>
      <c r="I11" s="272">
        <f>'[8]Degree Days 2018'!I11</f>
        <v>2</v>
      </c>
      <c r="J11" s="272"/>
      <c r="K11" s="272"/>
      <c r="L11" s="272">
        <f t="shared" ref="L11:L40" si="1">(J11+K11)/2-18.3</f>
        <v>-18.3</v>
      </c>
      <c r="M11" s="272">
        <f>'[10]Degree Days 2020'!M11</f>
        <v>2</v>
      </c>
      <c r="N11" s="272"/>
      <c r="O11" s="272"/>
      <c r="P11" s="272">
        <f t="shared" ref="P11:P39" si="2">(N11+O11)/2-18.3</f>
        <v>-18.3</v>
      </c>
      <c r="Q11" s="531">
        <v>2</v>
      </c>
      <c r="R11" s="272"/>
      <c r="S11" s="272"/>
      <c r="T11" s="272">
        <f t="shared" ref="T11:T40" si="3">(R11+S11)/2-18.3</f>
        <v>-18.3</v>
      </c>
      <c r="U11" s="531">
        <v>2</v>
      </c>
      <c r="V11" s="272"/>
      <c r="W11" s="272"/>
      <c r="X11" s="272">
        <f t="shared" ref="X11:X39" si="4">(V11+W11)/2-18.3</f>
        <v>-18.3</v>
      </c>
      <c r="Z11" t="s">
        <v>169</v>
      </c>
      <c r="AA11" s="272"/>
      <c r="AB11" s="272"/>
    </row>
    <row r="12" spans="1:28">
      <c r="A12" s="117">
        <v>3</v>
      </c>
      <c r="B12" s="272">
        <f>'[2]Degree Days 2020'!B12</f>
        <v>21</v>
      </c>
      <c r="C12" s="272">
        <f>'[2]Degree Days 2020'!C12</f>
        <v>16</v>
      </c>
      <c r="D12" s="272">
        <f>'[2]Degree Days 2020'!D12</f>
        <v>0.19999999999999929</v>
      </c>
      <c r="E12" s="272">
        <f>'[10]Degree Days 2020'!E12</f>
        <v>3</v>
      </c>
      <c r="F12" s="272">
        <f>'General information '!B8</f>
        <v>20</v>
      </c>
      <c r="G12" s="272">
        <f>'General information '!C8</f>
        <v>15</v>
      </c>
      <c r="H12" s="272">
        <f t="shared" si="0"/>
        <v>-0.80000000000000071</v>
      </c>
      <c r="I12" s="272">
        <f>'[8]Degree Days 2018'!I12</f>
        <v>3</v>
      </c>
      <c r="J12" s="272"/>
      <c r="K12" s="272"/>
      <c r="L12" s="272">
        <f t="shared" si="1"/>
        <v>-18.3</v>
      </c>
      <c r="M12" s="272">
        <f>'[10]Degree Days 2020'!M12</f>
        <v>3</v>
      </c>
      <c r="N12" s="272"/>
      <c r="O12" s="272"/>
      <c r="P12" s="272">
        <f t="shared" si="2"/>
        <v>-18.3</v>
      </c>
      <c r="Q12" s="531">
        <v>3</v>
      </c>
      <c r="R12" s="272"/>
      <c r="S12" s="272"/>
      <c r="T12" s="272">
        <f t="shared" si="3"/>
        <v>-18.3</v>
      </c>
      <c r="U12" s="531">
        <v>3</v>
      </c>
      <c r="V12" s="272"/>
      <c r="W12" s="272"/>
      <c r="X12" s="272">
        <f t="shared" si="4"/>
        <v>-18.3</v>
      </c>
      <c r="Z12" t="s">
        <v>170</v>
      </c>
      <c r="AA12" s="272"/>
      <c r="AB12" s="272"/>
    </row>
    <row r="13" spans="1:28">
      <c r="A13" s="117">
        <v>4</v>
      </c>
      <c r="B13" s="272">
        <f>'[2]Degree Days 2020'!B13</f>
        <v>22</v>
      </c>
      <c r="C13" s="272">
        <f>'[2]Degree Days 2020'!C13</f>
        <v>15</v>
      </c>
      <c r="D13" s="272">
        <f>'[2]Degree Days 2020'!D13</f>
        <v>0.19999999999999929</v>
      </c>
      <c r="E13" s="272">
        <f>'[10]Degree Days 2020'!E13</f>
        <v>4</v>
      </c>
      <c r="F13" s="272">
        <f>'General information '!B9</f>
        <v>20</v>
      </c>
      <c r="G13" s="272">
        <f>'General information '!C9</f>
        <v>15</v>
      </c>
      <c r="H13" s="272">
        <f t="shared" si="0"/>
        <v>-0.80000000000000071</v>
      </c>
      <c r="I13" s="272">
        <f>'[8]Degree Days 2018'!I13</f>
        <v>4</v>
      </c>
      <c r="J13" s="272"/>
      <c r="K13" s="272"/>
      <c r="L13" s="272">
        <f t="shared" si="1"/>
        <v>-18.3</v>
      </c>
      <c r="M13" s="272">
        <f>'[10]Degree Days 2020'!M13</f>
        <v>4</v>
      </c>
      <c r="N13" s="272"/>
      <c r="O13" s="272"/>
      <c r="P13" s="272">
        <f t="shared" si="2"/>
        <v>-18.3</v>
      </c>
      <c r="Q13" s="531">
        <v>4</v>
      </c>
      <c r="R13" s="272"/>
      <c r="S13" s="272"/>
      <c r="T13" s="272">
        <f t="shared" si="3"/>
        <v>-18.3</v>
      </c>
      <c r="U13" s="531">
        <v>4</v>
      </c>
      <c r="V13" s="272"/>
      <c r="W13" s="272"/>
      <c r="X13" s="272">
        <f t="shared" si="4"/>
        <v>-18.3</v>
      </c>
      <c r="Z13" t="s">
        <v>171</v>
      </c>
      <c r="AA13" s="272"/>
      <c r="AB13" s="272"/>
    </row>
    <row r="14" spans="1:28">
      <c r="A14" s="117">
        <v>5</v>
      </c>
      <c r="B14" s="272">
        <f>'[2]Degree Days 2020'!B14</f>
        <v>22</v>
      </c>
      <c r="C14" s="272">
        <f>'[2]Degree Days 2020'!C14</f>
        <v>16</v>
      </c>
      <c r="D14" s="272">
        <f>'[2]Degree Days 2020'!D14</f>
        <v>0.69999999999999929</v>
      </c>
      <c r="E14" s="272">
        <f>'[10]Degree Days 2020'!E14</f>
        <v>5</v>
      </c>
      <c r="F14" s="272">
        <f>'General information '!B10</f>
        <v>20</v>
      </c>
      <c r="G14" s="272">
        <f>'General information '!C10</f>
        <v>15</v>
      </c>
      <c r="H14" s="272">
        <f t="shared" si="0"/>
        <v>-0.80000000000000071</v>
      </c>
      <c r="I14" s="272">
        <f>'[8]Degree Days 2018'!I14</f>
        <v>5</v>
      </c>
      <c r="J14" s="272"/>
      <c r="K14" s="272"/>
      <c r="L14" s="272">
        <f t="shared" si="1"/>
        <v>-18.3</v>
      </c>
      <c r="M14" s="272">
        <f>'[10]Degree Days 2020'!M14</f>
        <v>5</v>
      </c>
      <c r="N14" s="272"/>
      <c r="O14" s="272"/>
      <c r="P14" s="272">
        <f t="shared" si="2"/>
        <v>-18.3</v>
      </c>
      <c r="Q14" s="531">
        <v>5</v>
      </c>
      <c r="R14" s="272"/>
      <c r="S14" s="272"/>
      <c r="T14" s="272">
        <f t="shared" si="3"/>
        <v>-18.3</v>
      </c>
      <c r="U14" s="531">
        <v>5</v>
      </c>
      <c r="V14" s="272"/>
      <c r="W14" s="272"/>
      <c r="X14" s="272">
        <f t="shared" si="4"/>
        <v>-18.3</v>
      </c>
      <c r="Z14" t="s">
        <v>172</v>
      </c>
      <c r="AA14" s="272"/>
      <c r="AB14" s="272"/>
    </row>
    <row r="15" spans="1:28">
      <c r="A15" s="117">
        <v>6</v>
      </c>
      <c r="B15" s="272">
        <f>'[2]Degree Days 2020'!B15</f>
        <v>22</v>
      </c>
      <c r="C15" s="272">
        <f>'[2]Degree Days 2020'!C15</f>
        <v>15</v>
      </c>
      <c r="D15" s="272">
        <f>'[2]Degree Days 2020'!D15</f>
        <v>0.19999999999999929</v>
      </c>
      <c r="E15" s="272">
        <f>'[10]Degree Days 2020'!E15</f>
        <v>6</v>
      </c>
      <c r="F15" s="272">
        <f>'General information '!B11</f>
        <v>19</v>
      </c>
      <c r="G15" s="272">
        <f>'General information '!C11</f>
        <v>15</v>
      </c>
      <c r="H15" s="272">
        <f t="shared" si="0"/>
        <v>-1.3000000000000007</v>
      </c>
      <c r="I15" s="272">
        <f>'[8]Degree Days 2018'!I15</f>
        <v>6</v>
      </c>
      <c r="J15" s="272"/>
      <c r="K15" s="272"/>
      <c r="L15" s="272">
        <f t="shared" si="1"/>
        <v>-18.3</v>
      </c>
      <c r="M15" s="272">
        <f>'[10]Degree Days 2020'!M15</f>
        <v>6</v>
      </c>
      <c r="N15" s="272"/>
      <c r="O15" s="272"/>
      <c r="P15" s="272">
        <f t="shared" si="2"/>
        <v>-18.3</v>
      </c>
      <c r="Q15" s="531">
        <v>6</v>
      </c>
      <c r="R15" s="272"/>
      <c r="S15" s="272"/>
      <c r="T15" s="272">
        <f t="shared" si="3"/>
        <v>-18.3</v>
      </c>
      <c r="U15" s="531">
        <v>6</v>
      </c>
      <c r="V15" s="272"/>
      <c r="W15" s="272"/>
      <c r="X15" s="272">
        <f t="shared" si="4"/>
        <v>-18.3</v>
      </c>
      <c r="Z15" t="s">
        <v>173</v>
      </c>
      <c r="AA15" s="272"/>
      <c r="AB15" s="272"/>
    </row>
    <row r="16" spans="1:28">
      <c r="A16" s="117">
        <v>7</v>
      </c>
      <c r="B16" s="272">
        <f>'[2]Degree Days 2020'!B16</f>
        <v>20</v>
      </c>
      <c r="C16" s="272">
        <f>'[2]Degree Days 2020'!C16</f>
        <v>14</v>
      </c>
      <c r="D16" s="272">
        <f>'[2]Degree Days 2020'!D16</f>
        <v>-1.3000000000000007</v>
      </c>
      <c r="E16" s="272">
        <f>'[10]Degree Days 2020'!E16</f>
        <v>7</v>
      </c>
      <c r="F16" s="272">
        <f>'General information '!B12</f>
        <v>21</v>
      </c>
      <c r="G16" s="272">
        <f>'General information '!C12</f>
        <v>17</v>
      </c>
      <c r="H16" s="272">
        <f t="shared" si="0"/>
        <v>0.69999999999999929</v>
      </c>
      <c r="I16" s="272">
        <f>'[8]Degree Days 2018'!I16</f>
        <v>7</v>
      </c>
      <c r="J16" s="272"/>
      <c r="K16" s="272"/>
      <c r="L16" s="272">
        <f t="shared" si="1"/>
        <v>-18.3</v>
      </c>
      <c r="M16" s="272">
        <f>'[10]Degree Days 2020'!M16</f>
        <v>7</v>
      </c>
      <c r="N16" s="272"/>
      <c r="O16" s="272"/>
      <c r="P16" s="272">
        <f t="shared" si="2"/>
        <v>-18.3</v>
      </c>
      <c r="Q16" s="531">
        <v>7</v>
      </c>
      <c r="R16" s="272"/>
      <c r="S16" s="272"/>
      <c r="T16" s="272">
        <f t="shared" si="3"/>
        <v>-18.3</v>
      </c>
      <c r="U16" s="531">
        <v>7</v>
      </c>
      <c r="V16" s="272"/>
      <c r="W16" s="272"/>
      <c r="X16" s="272">
        <f t="shared" si="4"/>
        <v>-18.3</v>
      </c>
      <c r="Z16" t="s">
        <v>176</v>
      </c>
      <c r="AA16" s="272"/>
      <c r="AB16" s="272"/>
    </row>
    <row r="17" spans="1:28">
      <c r="A17" s="117">
        <v>8</v>
      </c>
      <c r="B17" s="272">
        <f>'[2]Degree Days 2020'!B17</f>
        <v>21</v>
      </c>
      <c r="C17" s="272">
        <f>'[2]Degree Days 2020'!C17</f>
        <v>14</v>
      </c>
      <c r="D17" s="272">
        <f>'[2]Degree Days 2020'!D17</f>
        <v>-0.80000000000000071</v>
      </c>
      <c r="E17" s="272">
        <f>'[10]Degree Days 2020'!E17</f>
        <v>8</v>
      </c>
      <c r="F17" s="272">
        <f>'General information '!B13</f>
        <v>23</v>
      </c>
      <c r="G17" s="272">
        <f>'General information '!C13</f>
        <v>19</v>
      </c>
      <c r="H17" s="272">
        <f t="shared" si="0"/>
        <v>2.6999999999999993</v>
      </c>
      <c r="I17" s="272">
        <f>'[8]Degree Days 2018'!I17</f>
        <v>8</v>
      </c>
      <c r="J17" s="272"/>
      <c r="K17" s="272"/>
      <c r="L17" s="272">
        <f t="shared" si="1"/>
        <v>-18.3</v>
      </c>
      <c r="M17" s="272">
        <f>'[10]Degree Days 2020'!M17</f>
        <v>8</v>
      </c>
      <c r="N17" s="272"/>
      <c r="O17" s="272"/>
      <c r="P17" s="272">
        <f t="shared" si="2"/>
        <v>-18.3</v>
      </c>
      <c r="Q17" s="531">
        <v>8</v>
      </c>
      <c r="R17" s="272"/>
      <c r="S17" s="272"/>
      <c r="T17" s="272">
        <f t="shared" si="3"/>
        <v>-18.3</v>
      </c>
      <c r="U17" s="531">
        <v>8</v>
      </c>
      <c r="V17" s="272"/>
      <c r="W17" s="272"/>
      <c r="X17" s="272">
        <f t="shared" si="4"/>
        <v>-18.3</v>
      </c>
      <c r="Z17" t="s">
        <v>177</v>
      </c>
      <c r="AA17" s="272"/>
      <c r="AB17" s="272"/>
    </row>
    <row r="18" spans="1:28">
      <c r="A18" s="117">
        <v>9</v>
      </c>
      <c r="B18" s="272">
        <f>'[2]Degree Days 2020'!B18</f>
        <v>22</v>
      </c>
      <c r="C18" s="272">
        <f>'[2]Degree Days 2020'!C18</f>
        <v>15</v>
      </c>
      <c r="D18" s="272">
        <f>'[2]Degree Days 2020'!D18</f>
        <v>0.19999999999999929</v>
      </c>
      <c r="E18" s="272">
        <f>'[10]Degree Days 2020'!E18</f>
        <v>9</v>
      </c>
      <c r="F18" s="272">
        <f>'General information '!B14</f>
        <v>21</v>
      </c>
      <c r="G18" s="272">
        <f>'General information '!C14</f>
        <v>18</v>
      </c>
      <c r="H18" s="272">
        <f t="shared" si="0"/>
        <v>1.1999999999999993</v>
      </c>
      <c r="I18" s="272">
        <f>'[8]Degree Days 2018'!I18</f>
        <v>9</v>
      </c>
      <c r="J18" s="272"/>
      <c r="K18" s="272"/>
      <c r="L18" s="272">
        <f t="shared" si="1"/>
        <v>-18.3</v>
      </c>
      <c r="M18" s="272">
        <f>'[10]Degree Days 2020'!M18</f>
        <v>9</v>
      </c>
      <c r="N18" s="272"/>
      <c r="O18" s="272"/>
      <c r="P18" s="272">
        <f t="shared" si="2"/>
        <v>-18.3</v>
      </c>
      <c r="Q18" s="531">
        <v>9</v>
      </c>
      <c r="R18" s="272"/>
      <c r="S18" s="272"/>
      <c r="T18" s="272">
        <f t="shared" si="3"/>
        <v>-18.3</v>
      </c>
      <c r="U18" s="531">
        <v>9</v>
      </c>
      <c r="V18" s="272"/>
      <c r="W18" s="272"/>
      <c r="X18" s="272">
        <f t="shared" si="4"/>
        <v>-18.3</v>
      </c>
      <c r="Z18" t="s">
        <v>178</v>
      </c>
      <c r="AA18" s="272"/>
      <c r="AB18" s="272"/>
    </row>
    <row r="19" spans="1:28">
      <c r="A19" s="117">
        <v>10</v>
      </c>
      <c r="B19" s="272">
        <f>'[2]Degree Days 2020'!B19</f>
        <v>22</v>
      </c>
      <c r="C19" s="272">
        <f>'[2]Degree Days 2020'!C19</f>
        <v>15</v>
      </c>
      <c r="D19" s="272">
        <f>'[2]Degree Days 2020'!D19</f>
        <v>0.19999999999999929</v>
      </c>
      <c r="E19" s="272">
        <f>'[10]Degree Days 2020'!E19</f>
        <v>10</v>
      </c>
      <c r="F19" s="272">
        <f>'General information '!B15</f>
        <v>19</v>
      </c>
      <c r="G19" s="272">
        <f>'General information '!C15</f>
        <v>14</v>
      </c>
      <c r="H19" s="272">
        <f t="shared" si="0"/>
        <v>-1.8000000000000007</v>
      </c>
      <c r="I19" s="272">
        <f>'[8]Degree Days 2018'!I19</f>
        <v>10</v>
      </c>
      <c r="J19" s="272"/>
      <c r="K19" s="272"/>
      <c r="L19" s="272">
        <f t="shared" si="1"/>
        <v>-18.3</v>
      </c>
      <c r="M19" s="272">
        <f>'[10]Degree Days 2020'!M19</f>
        <v>10</v>
      </c>
      <c r="N19" s="272"/>
      <c r="O19" s="272"/>
      <c r="P19" s="272">
        <f t="shared" si="2"/>
        <v>-18.3</v>
      </c>
      <c r="Q19" s="531">
        <v>10</v>
      </c>
      <c r="R19" s="272"/>
      <c r="S19" s="272"/>
      <c r="T19" s="272">
        <f t="shared" si="3"/>
        <v>-18.3</v>
      </c>
      <c r="U19" s="531">
        <v>10</v>
      </c>
      <c r="V19" s="272"/>
      <c r="W19" s="272"/>
      <c r="X19" s="272">
        <f t="shared" si="4"/>
        <v>-18.3</v>
      </c>
      <c r="Z19" t="s">
        <v>179</v>
      </c>
      <c r="AA19" s="272"/>
      <c r="AB19" s="272"/>
    </row>
    <row r="20" spans="1:28">
      <c r="A20" s="117">
        <v>11</v>
      </c>
      <c r="B20" s="272">
        <f>'[2]Degree Days 2020'!B20</f>
        <v>22</v>
      </c>
      <c r="C20" s="272">
        <f>'[2]Degree Days 2020'!C20</f>
        <v>16</v>
      </c>
      <c r="D20" s="272">
        <f>'[2]Degree Days 2020'!D20</f>
        <v>0.69999999999999929</v>
      </c>
      <c r="E20" s="272">
        <f>'[10]Degree Days 2020'!E20</f>
        <v>11</v>
      </c>
      <c r="F20" s="272">
        <f>'General information '!B16</f>
        <v>18</v>
      </c>
      <c r="G20" s="272">
        <f>'General information '!C16</f>
        <v>13</v>
      </c>
      <c r="H20" s="272">
        <f t="shared" si="0"/>
        <v>-2.8000000000000007</v>
      </c>
      <c r="I20" s="272">
        <f>'[8]Degree Days 2018'!I20</f>
        <v>11</v>
      </c>
      <c r="J20" s="272"/>
      <c r="K20" s="272"/>
      <c r="L20" s="272">
        <f t="shared" si="1"/>
        <v>-18.3</v>
      </c>
      <c r="M20" s="272">
        <f>'[10]Degree Days 2020'!M20</f>
        <v>11</v>
      </c>
      <c r="N20" s="272"/>
      <c r="O20" s="272"/>
      <c r="P20" s="272">
        <f t="shared" si="2"/>
        <v>-18.3</v>
      </c>
      <c r="Q20" s="531">
        <v>11</v>
      </c>
      <c r="R20" s="272"/>
      <c r="S20" s="272"/>
      <c r="T20" s="272">
        <f t="shared" si="3"/>
        <v>-18.3</v>
      </c>
      <c r="U20" s="531">
        <v>11</v>
      </c>
      <c r="V20" s="272"/>
      <c r="W20" s="272"/>
      <c r="X20" s="272">
        <f t="shared" si="4"/>
        <v>-18.3</v>
      </c>
      <c r="Z20" t="s">
        <v>180</v>
      </c>
      <c r="AA20" s="272"/>
      <c r="AB20" s="272"/>
    </row>
    <row r="21" spans="1:28">
      <c r="A21" s="117">
        <v>12</v>
      </c>
      <c r="B21" s="272">
        <f>'[2]Degree Days 2020'!B21</f>
        <v>24</v>
      </c>
      <c r="C21" s="272">
        <f>'[2]Degree Days 2020'!C21</f>
        <v>13</v>
      </c>
      <c r="D21" s="272">
        <f>'[2]Degree Days 2020'!D21</f>
        <v>0.19999999999999929</v>
      </c>
      <c r="E21" s="272">
        <f>'[10]Degree Days 2020'!E21</f>
        <v>12</v>
      </c>
      <c r="F21" s="272">
        <f>'General information '!B17</f>
        <v>18</v>
      </c>
      <c r="G21" s="272">
        <f>'General information '!C17</f>
        <v>13</v>
      </c>
      <c r="H21" s="272">
        <f t="shared" si="0"/>
        <v>-2.8000000000000007</v>
      </c>
      <c r="I21" s="272">
        <f>'[8]Degree Days 2018'!I21</f>
        <v>12</v>
      </c>
      <c r="J21" s="272"/>
      <c r="K21" s="272"/>
      <c r="L21" s="272">
        <f t="shared" si="1"/>
        <v>-18.3</v>
      </c>
      <c r="M21" s="272">
        <f>'[10]Degree Days 2020'!M21</f>
        <v>12</v>
      </c>
      <c r="N21" s="272"/>
      <c r="O21" s="272"/>
      <c r="P21" s="272">
        <f t="shared" si="2"/>
        <v>-18.3</v>
      </c>
      <c r="Q21" s="531">
        <v>12</v>
      </c>
      <c r="R21" s="272"/>
      <c r="S21" s="272"/>
      <c r="T21" s="272">
        <f t="shared" si="3"/>
        <v>-18.3</v>
      </c>
      <c r="U21" s="531">
        <v>12</v>
      </c>
      <c r="V21" s="272"/>
      <c r="W21" s="272"/>
      <c r="X21" s="272">
        <f t="shared" si="4"/>
        <v>-18.3</v>
      </c>
      <c r="Z21" t="s">
        <v>181</v>
      </c>
      <c r="AA21" s="134">
        <f t="shared" ref="AA21" si="5">SUM(B54)</f>
        <v>0</v>
      </c>
      <c r="AB21" s="134">
        <f t="shared" ref="AB21" si="6">SUM(C54)</f>
        <v>0</v>
      </c>
    </row>
    <row r="22" spans="1:28">
      <c r="A22" s="117">
        <v>13</v>
      </c>
      <c r="B22" s="272">
        <f>'[2]Degree Days 2020'!B22</f>
        <v>18</v>
      </c>
      <c r="C22" s="272">
        <f>'[2]Degree Days 2020'!C22</f>
        <v>12</v>
      </c>
      <c r="D22" s="272">
        <f>'[2]Degree Days 2020'!D22</f>
        <v>-3.3000000000000007</v>
      </c>
      <c r="E22" s="272">
        <f>'[10]Degree Days 2020'!E22</f>
        <v>13</v>
      </c>
      <c r="F22" s="272">
        <f>'General information '!B18</f>
        <v>19</v>
      </c>
      <c r="G22" s="272">
        <f>'General information '!C18</f>
        <v>14</v>
      </c>
      <c r="H22" s="272">
        <f t="shared" si="0"/>
        <v>-1.8000000000000007</v>
      </c>
      <c r="I22" s="272">
        <f>'[8]Degree Days 2018'!I22</f>
        <v>13</v>
      </c>
      <c r="J22" s="272"/>
      <c r="K22" s="272"/>
      <c r="L22" s="272">
        <f t="shared" si="1"/>
        <v>-18.3</v>
      </c>
      <c r="M22" s="272">
        <f>'[10]Degree Days 2020'!M22</f>
        <v>13</v>
      </c>
      <c r="N22" s="272"/>
      <c r="O22" s="272"/>
      <c r="P22" s="272">
        <f t="shared" si="2"/>
        <v>-18.3</v>
      </c>
      <c r="Q22" s="531">
        <v>13</v>
      </c>
      <c r="R22" s="272"/>
      <c r="S22" s="272"/>
      <c r="T22" s="272">
        <f t="shared" si="3"/>
        <v>-18.3</v>
      </c>
      <c r="U22" s="531">
        <v>13</v>
      </c>
      <c r="V22" s="272"/>
      <c r="W22" s="272"/>
      <c r="X22" s="272">
        <f t="shared" si="4"/>
        <v>-18.3</v>
      </c>
    </row>
    <row r="23" spans="1:28">
      <c r="A23" s="117">
        <v>14</v>
      </c>
      <c r="B23" s="272">
        <f>'[2]Degree Days 2020'!B23</f>
        <v>17</v>
      </c>
      <c r="C23" s="272">
        <f>'[2]Degree Days 2020'!C23</f>
        <v>12</v>
      </c>
      <c r="D23" s="272">
        <f>'[2]Degree Days 2020'!D23</f>
        <v>-3.8000000000000007</v>
      </c>
      <c r="E23" s="272">
        <f>'[10]Degree Days 2020'!E23</f>
        <v>14</v>
      </c>
      <c r="F23" s="272">
        <f>'General information '!B19</f>
        <v>18</v>
      </c>
      <c r="G23" s="272">
        <f>'General information '!C19</f>
        <v>13</v>
      </c>
      <c r="H23" s="272">
        <f t="shared" si="0"/>
        <v>-2.8000000000000007</v>
      </c>
      <c r="I23" s="272">
        <f>'[8]Degree Days 2018'!I23</f>
        <v>14</v>
      </c>
      <c r="J23" s="272"/>
      <c r="K23" s="272"/>
      <c r="L23" s="272">
        <f t="shared" si="1"/>
        <v>-18.3</v>
      </c>
      <c r="M23" s="272">
        <f>'[10]Degree Days 2020'!M23</f>
        <v>14</v>
      </c>
      <c r="N23" s="272"/>
      <c r="O23" s="272"/>
      <c r="P23" s="272">
        <f t="shared" si="2"/>
        <v>-18.3</v>
      </c>
      <c r="Q23" s="531">
        <v>14</v>
      </c>
      <c r="R23" s="272"/>
      <c r="S23" s="272"/>
      <c r="T23" s="272">
        <f t="shared" si="3"/>
        <v>-18.3</v>
      </c>
      <c r="U23" s="531">
        <v>14</v>
      </c>
      <c r="V23" s="272"/>
      <c r="W23" s="272"/>
      <c r="X23" s="272">
        <f t="shared" si="4"/>
        <v>-18.3</v>
      </c>
      <c r="AA23" s="134">
        <f>SUM(AA10:AA22)</f>
        <v>-92.59999999999998</v>
      </c>
      <c r="AB23" s="134">
        <f>SUM(AB10:AB22)</f>
        <v>2.7999999999999936</v>
      </c>
    </row>
    <row r="24" spans="1:28">
      <c r="A24" s="117">
        <v>15</v>
      </c>
      <c r="B24" s="272">
        <f>'[2]Degree Days 2020'!B24</f>
        <v>19</v>
      </c>
      <c r="C24" s="272">
        <f>'[2]Degree Days 2020'!C24</f>
        <v>13</v>
      </c>
      <c r="D24" s="272">
        <f>'[2]Degree Days 2020'!D24</f>
        <v>-2.3000000000000007</v>
      </c>
      <c r="E24" s="272">
        <f>'[10]Degree Days 2020'!E24</f>
        <v>15</v>
      </c>
      <c r="F24" s="272">
        <f>'General information '!B20</f>
        <v>18</v>
      </c>
      <c r="G24" s="272">
        <f>'General information '!C20</f>
        <v>12</v>
      </c>
      <c r="H24" s="272">
        <f t="shared" si="0"/>
        <v>-3.3000000000000007</v>
      </c>
      <c r="I24" s="272">
        <f>'[8]Degree Days 2018'!I24</f>
        <v>15</v>
      </c>
      <c r="J24" s="272"/>
      <c r="K24" s="272"/>
      <c r="L24" s="272">
        <f t="shared" si="1"/>
        <v>-18.3</v>
      </c>
      <c r="M24" s="272">
        <f>'[10]Degree Days 2020'!M24</f>
        <v>15</v>
      </c>
      <c r="N24" s="272"/>
      <c r="O24" s="272"/>
      <c r="P24" s="272">
        <f t="shared" si="2"/>
        <v>-18.3</v>
      </c>
      <c r="Q24" s="531">
        <v>15</v>
      </c>
      <c r="R24" s="272"/>
      <c r="S24" s="272"/>
      <c r="T24" s="272">
        <f t="shared" si="3"/>
        <v>-18.3</v>
      </c>
      <c r="U24" s="531">
        <v>15</v>
      </c>
      <c r="V24" s="272"/>
      <c r="W24" s="272"/>
      <c r="X24" s="272">
        <f t="shared" si="4"/>
        <v>-18.3</v>
      </c>
    </row>
    <row r="25" spans="1:28">
      <c r="A25" s="117">
        <v>16</v>
      </c>
      <c r="B25" s="272">
        <f>'[2]Degree Days 2020'!B25</f>
        <v>15</v>
      </c>
      <c r="C25" s="272">
        <f>'[2]Degree Days 2020'!C25</f>
        <v>9</v>
      </c>
      <c r="D25" s="272">
        <f>'[2]Degree Days 2020'!D25</f>
        <v>-6.3000000000000007</v>
      </c>
      <c r="E25" s="272">
        <f>'[10]Degree Days 2020'!E25</f>
        <v>16</v>
      </c>
      <c r="F25" s="272">
        <f>'General information '!B21</f>
        <v>11</v>
      </c>
      <c r="G25" s="272">
        <f>'General information '!C21</f>
        <v>7</v>
      </c>
      <c r="H25" s="272">
        <f t="shared" si="0"/>
        <v>-9.3000000000000007</v>
      </c>
      <c r="I25" s="272">
        <f>'[8]Degree Days 2018'!I25</f>
        <v>16</v>
      </c>
      <c r="J25" s="272"/>
      <c r="K25" s="272"/>
      <c r="L25" s="272">
        <f t="shared" si="1"/>
        <v>-18.3</v>
      </c>
      <c r="M25" s="272">
        <f>'[10]Degree Days 2020'!M25</f>
        <v>16</v>
      </c>
      <c r="N25" s="272"/>
      <c r="O25" s="272"/>
      <c r="P25" s="272">
        <f t="shared" si="2"/>
        <v>-18.3</v>
      </c>
      <c r="Q25" s="531">
        <v>16</v>
      </c>
      <c r="R25" s="272"/>
      <c r="S25" s="272"/>
      <c r="T25" s="272">
        <f t="shared" si="3"/>
        <v>-18.3</v>
      </c>
      <c r="U25" s="531">
        <v>16</v>
      </c>
      <c r="V25" s="272"/>
      <c r="W25" s="272"/>
      <c r="X25" s="272">
        <f t="shared" si="4"/>
        <v>-18.3</v>
      </c>
    </row>
    <row r="26" spans="1:28">
      <c r="A26" s="117">
        <v>17</v>
      </c>
      <c r="B26" s="272">
        <f>'[2]Degree Days 2020'!B26</f>
        <v>15</v>
      </c>
      <c r="C26" s="272">
        <f>'[2]Degree Days 2020'!C26</f>
        <v>12</v>
      </c>
      <c r="D26" s="272">
        <f>'[2]Degree Days 2020'!D26</f>
        <v>-4.8000000000000007</v>
      </c>
      <c r="E26" s="272">
        <f>'[10]Degree Days 2020'!E26</f>
        <v>17</v>
      </c>
      <c r="F26" s="272">
        <f>'General information '!B22</f>
        <v>13</v>
      </c>
      <c r="G26" s="272">
        <f>'General information '!C22</f>
        <v>7</v>
      </c>
      <c r="H26" s="272">
        <f t="shared" si="0"/>
        <v>-8.3000000000000007</v>
      </c>
      <c r="I26" s="272">
        <f>'[8]Degree Days 2018'!I26</f>
        <v>17</v>
      </c>
      <c r="J26" s="272"/>
      <c r="K26" s="272"/>
      <c r="L26" s="272">
        <f t="shared" si="1"/>
        <v>-18.3</v>
      </c>
      <c r="M26" s="272">
        <f>'[10]Degree Days 2020'!M26</f>
        <v>17</v>
      </c>
      <c r="N26" s="272"/>
      <c r="O26" s="272"/>
      <c r="P26" s="272">
        <f t="shared" si="2"/>
        <v>-18.3</v>
      </c>
      <c r="Q26" s="531">
        <v>17</v>
      </c>
      <c r="R26" s="272"/>
      <c r="S26" s="272"/>
      <c r="T26" s="272">
        <f t="shared" si="3"/>
        <v>-18.3</v>
      </c>
      <c r="U26" s="531">
        <v>17</v>
      </c>
      <c r="V26" s="272"/>
      <c r="W26" s="272"/>
      <c r="X26" s="272">
        <f t="shared" si="4"/>
        <v>-18.3</v>
      </c>
    </row>
    <row r="27" spans="1:28">
      <c r="A27" s="117">
        <v>18</v>
      </c>
      <c r="B27" s="272">
        <f>'[2]Degree Days 2020'!B27</f>
        <v>14</v>
      </c>
      <c r="C27" s="272">
        <f>'[2]Degree Days 2020'!C27</f>
        <v>8</v>
      </c>
      <c r="D27" s="272">
        <f>'[2]Degree Days 2020'!D27</f>
        <v>-7.3000000000000007</v>
      </c>
      <c r="E27" s="272">
        <f>'[10]Degree Days 2020'!E27</f>
        <v>18</v>
      </c>
      <c r="F27" s="272">
        <f>'General information '!B23</f>
        <v>13</v>
      </c>
      <c r="G27" s="272">
        <f>'General information '!C23</f>
        <v>7</v>
      </c>
      <c r="H27" s="272">
        <f t="shared" si="0"/>
        <v>-8.3000000000000007</v>
      </c>
      <c r="I27" s="272">
        <f>'[8]Degree Days 2018'!I27</f>
        <v>18</v>
      </c>
      <c r="J27" s="272"/>
      <c r="K27" s="272"/>
      <c r="L27" s="272">
        <f t="shared" si="1"/>
        <v>-18.3</v>
      </c>
      <c r="M27" s="272">
        <f>'[10]Degree Days 2020'!M27</f>
        <v>18</v>
      </c>
      <c r="N27" s="272"/>
      <c r="O27" s="272"/>
      <c r="P27" s="272">
        <f t="shared" si="2"/>
        <v>-18.3</v>
      </c>
      <c r="Q27" s="531">
        <v>18</v>
      </c>
      <c r="R27" s="272"/>
      <c r="S27" s="272"/>
      <c r="T27" s="272">
        <f t="shared" si="3"/>
        <v>-18.3</v>
      </c>
      <c r="U27" s="531">
        <v>18</v>
      </c>
      <c r="V27" s="272"/>
      <c r="W27" s="272"/>
      <c r="X27" s="272">
        <f t="shared" si="4"/>
        <v>-18.3</v>
      </c>
    </row>
    <row r="28" spans="1:28">
      <c r="A28" s="117">
        <v>19</v>
      </c>
      <c r="B28" s="272">
        <f>'[2]Degree Days 2020'!B28</f>
        <v>17</v>
      </c>
      <c r="C28" s="272">
        <f>'[2]Degree Days 2020'!C28</f>
        <v>10</v>
      </c>
      <c r="D28" s="272">
        <f>'[2]Degree Days 2020'!D28</f>
        <v>-4.8000000000000007</v>
      </c>
      <c r="E28" s="272">
        <f>'[10]Degree Days 2020'!E28</f>
        <v>19</v>
      </c>
      <c r="F28" s="272">
        <f>'General information '!B24</f>
        <v>14</v>
      </c>
      <c r="G28" s="272">
        <f>'General information '!C24</f>
        <v>7</v>
      </c>
      <c r="H28" s="272">
        <f t="shared" si="0"/>
        <v>-7.8000000000000007</v>
      </c>
      <c r="I28" s="272">
        <f>'[8]Degree Days 2018'!I28</f>
        <v>19</v>
      </c>
      <c r="J28" s="272"/>
      <c r="K28" s="272"/>
      <c r="L28" s="272">
        <f t="shared" si="1"/>
        <v>-18.3</v>
      </c>
      <c r="M28" s="272">
        <f>'[10]Degree Days 2020'!M28</f>
        <v>19</v>
      </c>
      <c r="N28" s="272"/>
      <c r="O28" s="272"/>
      <c r="P28" s="272">
        <f t="shared" si="2"/>
        <v>-18.3</v>
      </c>
      <c r="Q28" s="531">
        <v>19</v>
      </c>
      <c r="R28" s="272"/>
      <c r="S28" s="272"/>
      <c r="T28" s="272">
        <f t="shared" si="3"/>
        <v>-18.3</v>
      </c>
      <c r="U28" s="531">
        <v>19</v>
      </c>
      <c r="V28" s="272"/>
      <c r="W28" s="272"/>
      <c r="X28" s="272">
        <f t="shared" si="4"/>
        <v>-18.3</v>
      </c>
    </row>
    <row r="29" spans="1:28">
      <c r="A29" s="117">
        <v>20</v>
      </c>
      <c r="B29" s="272">
        <f>'[2]Degree Days 2020'!B29</f>
        <v>17</v>
      </c>
      <c r="C29" s="272">
        <f>'[2]Degree Days 2020'!C29</f>
        <v>10</v>
      </c>
      <c r="D29" s="272">
        <f>'[2]Degree Days 2020'!D29</f>
        <v>-4.8000000000000007</v>
      </c>
      <c r="E29" s="272">
        <f>'[10]Degree Days 2020'!E29</f>
        <v>20</v>
      </c>
      <c r="F29" s="272">
        <f>'General information '!B25</f>
        <v>19</v>
      </c>
      <c r="G29" s="272">
        <f>'General information '!C25</f>
        <v>14</v>
      </c>
      <c r="H29" s="272">
        <f t="shared" si="0"/>
        <v>-1.8000000000000007</v>
      </c>
      <c r="I29" s="272">
        <f>'[8]Degree Days 2018'!I29</f>
        <v>20</v>
      </c>
      <c r="J29" s="272"/>
      <c r="K29" s="272"/>
      <c r="L29" s="272">
        <f t="shared" si="1"/>
        <v>-18.3</v>
      </c>
      <c r="M29" s="272">
        <f>'[10]Degree Days 2020'!M29</f>
        <v>20</v>
      </c>
      <c r="N29" s="272"/>
      <c r="O29" s="272"/>
      <c r="P29" s="272">
        <f t="shared" si="2"/>
        <v>-18.3</v>
      </c>
      <c r="Q29" s="531">
        <v>20</v>
      </c>
      <c r="R29" s="272"/>
      <c r="S29" s="272"/>
      <c r="T29" s="272">
        <f t="shared" si="3"/>
        <v>-18.3</v>
      </c>
      <c r="U29" s="531">
        <v>20</v>
      </c>
      <c r="V29" s="272"/>
      <c r="W29" s="272"/>
      <c r="X29" s="272">
        <f t="shared" si="4"/>
        <v>-18.3</v>
      </c>
    </row>
    <row r="30" spans="1:28">
      <c r="A30" s="117">
        <v>21</v>
      </c>
      <c r="B30" s="272">
        <f>'[2]Degree Days 2020'!B30</f>
        <v>16</v>
      </c>
      <c r="C30" s="272">
        <f>'[2]Degree Days 2020'!C30</f>
        <v>9</v>
      </c>
      <c r="D30" s="272">
        <f>'[2]Degree Days 2020'!D30</f>
        <v>-5.8000000000000007</v>
      </c>
      <c r="E30" s="272">
        <f>'[10]Degree Days 2020'!E30</f>
        <v>21</v>
      </c>
      <c r="F30" s="272">
        <f>'General information '!B26</f>
        <v>18</v>
      </c>
      <c r="G30" s="272">
        <f>'General information '!C26</f>
        <v>13</v>
      </c>
      <c r="H30" s="272">
        <f t="shared" si="0"/>
        <v>-2.8000000000000007</v>
      </c>
      <c r="I30" s="272">
        <f>'[8]Degree Days 2018'!I30</f>
        <v>21</v>
      </c>
      <c r="J30" s="272"/>
      <c r="K30" s="272"/>
      <c r="L30" s="272">
        <f t="shared" si="1"/>
        <v>-18.3</v>
      </c>
      <c r="M30" s="272">
        <f>'[10]Degree Days 2020'!M30</f>
        <v>21</v>
      </c>
      <c r="N30" s="272"/>
      <c r="O30" s="272"/>
      <c r="P30" s="272">
        <f t="shared" si="2"/>
        <v>-18.3</v>
      </c>
      <c r="Q30" s="531">
        <v>21</v>
      </c>
      <c r="R30" s="272"/>
      <c r="S30" s="272"/>
      <c r="T30" s="272">
        <f t="shared" si="3"/>
        <v>-18.3</v>
      </c>
      <c r="U30" s="531">
        <v>21</v>
      </c>
      <c r="V30" s="272"/>
      <c r="W30" s="272"/>
      <c r="X30" s="272">
        <f t="shared" si="4"/>
        <v>-18.3</v>
      </c>
    </row>
    <row r="31" spans="1:28">
      <c r="A31" s="117">
        <v>22</v>
      </c>
      <c r="B31" s="272">
        <f>'[2]Degree Days 2020'!B31</f>
        <v>17</v>
      </c>
      <c r="C31" s="272">
        <f>'[2]Degree Days 2020'!C31</f>
        <v>10</v>
      </c>
      <c r="D31" s="272">
        <f>'[2]Degree Days 2020'!D31</f>
        <v>-4.8000000000000007</v>
      </c>
      <c r="E31" s="272">
        <f>'[10]Degree Days 2020'!E31</f>
        <v>22</v>
      </c>
      <c r="F31" s="272">
        <f>'General information '!B27</f>
        <v>21</v>
      </c>
      <c r="G31" s="272">
        <f>'General information '!C27</f>
        <v>12</v>
      </c>
      <c r="H31" s="272">
        <f t="shared" si="0"/>
        <v>-1.8000000000000007</v>
      </c>
      <c r="I31" s="272">
        <f>'[8]Degree Days 2018'!I31</f>
        <v>22</v>
      </c>
      <c r="J31" s="272"/>
      <c r="K31" s="272"/>
      <c r="L31" s="272">
        <f t="shared" si="1"/>
        <v>-18.3</v>
      </c>
      <c r="M31" s="272">
        <f>'[10]Degree Days 2020'!M31</f>
        <v>22</v>
      </c>
      <c r="N31" s="272"/>
      <c r="O31" s="272"/>
      <c r="P31" s="272">
        <f t="shared" si="2"/>
        <v>-18.3</v>
      </c>
      <c r="Q31" s="531">
        <v>22</v>
      </c>
      <c r="R31" s="272"/>
      <c r="S31" s="272"/>
      <c r="T31" s="272">
        <f t="shared" si="3"/>
        <v>-18.3</v>
      </c>
      <c r="U31" s="531">
        <v>22</v>
      </c>
      <c r="V31" s="272"/>
      <c r="W31" s="272"/>
      <c r="X31" s="272">
        <f t="shared" si="4"/>
        <v>-18.3</v>
      </c>
    </row>
    <row r="32" spans="1:28">
      <c r="A32" s="117">
        <v>23</v>
      </c>
      <c r="B32" s="272">
        <f>'[2]Degree Days 2020'!B32</f>
        <v>18</v>
      </c>
      <c r="C32" s="272">
        <f>'[2]Degree Days 2020'!C32</f>
        <v>12</v>
      </c>
      <c r="D32" s="272">
        <f>'[2]Degree Days 2020'!D32</f>
        <v>-3.3000000000000007</v>
      </c>
      <c r="E32" s="272">
        <f>'[10]Degree Days 2020'!E32</f>
        <v>23</v>
      </c>
      <c r="F32" s="272">
        <f>'General information '!B28</f>
        <v>19</v>
      </c>
      <c r="G32" s="272">
        <f>'General information '!C28</f>
        <v>13</v>
      </c>
      <c r="H32" s="272">
        <f t="shared" si="0"/>
        <v>-2.3000000000000007</v>
      </c>
      <c r="I32" s="272">
        <f>'[8]Degree Days 2018'!I32</f>
        <v>23</v>
      </c>
      <c r="J32" s="272"/>
      <c r="K32" s="272"/>
      <c r="L32" s="272">
        <f t="shared" si="1"/>
        <v>-18.3</v>
      </c>
      <c r="M32" s="272">
        <f>'[10]Degree Days 2020'!M32</f>
        <v>23</v>
      </c>
      <c r="N32" s="272"/>
      <c r="O32" s="272"/>
      <c r="P32" s="272">
        <f t="shared" si="2"/>
        <v>-18.3</v>
      </c>
      <c r="Q32" s="531">
        <v>23</v>
      </c>
      <c r="R32" s="272"/>
      <c r="S32" s="272"/>
      <c r="T32" s="272">
        <f t="shared" si="3"/>
        <v>-18.3</v>
      </c>
      <c r="U32" s="531">
        <v>23</v>
      </c>
      <c r="V32" s="272"/>
      <c r="W32" s="272"/>
      <c r="X32" s="272">
        <f t="shared" si="4"/>
        <v>-18.3</v>
      </c>
    </row>
    <row r="33" spans="1:24">
      <c r="A33" s="117">
        <v>24</v>
      </c>
      <c r="B33" s="272">
        <f>'[2]Degree Days 2020'!B33</f>
        <v>17</v>
      </c>
      <c r="C33" s="272">
        <f>'[2]Degree Days 2020'!C33</f>
        <v>11</v>
      </c>
      <c r="D33" s="272">
        <f>'[2]Degree Days 2020'!D33</f>
        <v>-4.3000000000000007</v>
      </c>
      <c r="E33" s="272">
        <f>'[10]Degree Days 2020'!E33</f>
        <v>24</v>
      </c>
      <c r="F33" s="272">
        <f>'General information '!B29</f>
        <v>19</v>
      </c>
      <c r="G33" s="272">
        <f>'General information '!C29</f>
        <v>12</v>
      </c>
      <c r="H33" s="272">
        <f t="shared" si="0"/>
        <v>-2.8000000000000007</v>
      </c>
      <c r="I33" s="272">
        <f>'[8]Degree Days 2018'!I33</f>
        <v>24</v>
      </c>
      <c r="J33" s="272"/>
      <c r="K33" s="272"/>
      <c r="L33" s="272">
        <f t="shared" si="1"/>
        <v>-18.3</v>
      </c>
      <c r="M33" s="272">
        <f>'[10]Degree Days 2020'!M33</f>
        <v>24</v>
      </c>
      <c r="N33" s="272"/>
      <c r="O33" s="272"/>
      <c r="P33" s="272">
        <f t="shared" si="2"/>
        <v>-18.3</v>
      </c>
      <c r="Q33" s="531">
        <v>24</v>
      </c>
      <c r="R33" s="272"/>
      <c r="S33" s="272"/>
      <c r="T33" s="272">
        <f t="shared" si="3"/>
        <v>-18.3</v>
      </c>
      <c r="U33" s="531">
        <v>24</v>
      </c>
      <c r="V33" s="272"/>
      <c r="W33" s="272"/>
      <c r="X33" s="272">
        <f t="shared" si="4"/>
        <v>-18.3</v>
      </c>
    </row>
    <row r="34" spans="1:24">
      <c r="A34" s="117">
        <v>25</v>
      </c>
      <c r="B34" s="272">
        <f>'[2]Degree Days 2020'!B34</f>
        <v>21</v>
      </c>
      <c r="C34" s="272">
        <f>'[2]Degree Days 2020'!C34</f>
        <v>12</v>
      </c>
      <c r="D34" s="272">
        <f>'[2]Degree Days 2020'!D34</f>
        <v>-1.8000000000000007</v>
      </c>
      <c r="E34" s="272">
        <f>'[10]Degree Days 2020'!E34</f>
        <v>25</v>
      </c>
      <c r="F34" s="272">
        <f>'General information '!B30</f>
        <v>18</v>
      </c>
      <c r="G34" s="272">
        <f>'General information '!C30</f>
        <v>13</v>
      </c>
      <c r="H34" s="272">
        <f t="shared" si="0"/>
        <v>-2.8000000000000007</v>
      </c>
      <c r="I34" s="272">
        <f>'[8]Degree Days 2018'!I34</f>
        <v>25</v>
      </c>
      <c r="J34" s="272"/>
      <c r="K34" s="272"/>
      <c r="L34" s="272">
        <f t="shared" si="1"/>
        <v>-18.3</v>
      </c>
      <c r="M34" s="272">
        <f>'[10]Degree Days 2020'!M34</f>
        <v>25</v>
      </c>
      <c r="N34" s="272"/>
      <c r="O34" s="272"/>
      <c r="P34" s="272">
        <f t="shared" si="2"/>
        <v>-18.3</v>
      </c>
      <c r="Q34" s="531">
        <v>25</v>
      </c>
      <c r="R34" s="272"/>
      <c r="S34" s="272"/>
      <c r="T34" s="272">
        <f t="shared" si="3"/>
        <v>-18.3</v>
      </c>
      <c r="U34" s="531">
        <v>25</v>
      </c>
      <c r="V34" s="272"/>
      <c r="W34" s="272"/>
      <c r="X34" s="272">
        <f t="shared" si="4"/>
        <v>-18.3</v>
      </c>
    </row>
    <row r="35" spans="1:24">
      <c r="A35" s="117">
        <v>26</v>
      </c>
      <c r="B35" s="272">
        <f>'[2]Degree Days 2020'!B35</f>
        <v>18</v>
      </c>
      <c r="C35" s="272">
        <f>'[2]Degree Days 2020'!C35</f>
        <v>11</v>
      </c>
      <c r="D35" s="272">
        <f>'[2]Degree Days 2020'!D35</f>
        <v>-3.8000000000000007</v>
      </c>
      <c r="E35" s="272">
        <f>'[10]Degree Days 2020'!E35</f>
        <v>26</v>
      </c>
      <c r="F35" s="272">
        <f>'General information '!B31</f>
        <v>18</v>
      </c>
      <c r="G35" s="272">
        <f>'General information '!C31</f>
        <v>13</v>
      </c>
      <c r="H35" s="272">
        <f t="shared" si="0"/>
        <v>-2.8000000000000007</v>
      </c>
      <c r="I35" s="272">
        <f>'[8]Degree Days 2018'!I35</f>
        <v>26</v>
      </c>
      <c r="J35" s="272"/>
      <c r="K35" s="272"/>
      <c r="L35" s="272">
        <f t="shared" si="1"/>
        <v>-18.3</v>
      </c>
      <c r="M35" s="272">
        <f>'[10]Degree Days 2020'!M35</f>
        <v>26</v>
      </c>
      <c r="N35" s="272"/>
      <c r="O35" s="272"/>
      <c r="P35" s="272">
        <f t="shared" si="2"/>
        <v>-18.3</v>
      </c>
      <c r="Q35" s="531">
        <v>26</v>
      </c>
      <c r="R35" s="272"/>
      <c r="S35" s="272"/>
      <c r="T35" s="272">
        <f t="shared" si="3"/>
        <v>-18.3</v>
      </c>
      <c r="U35" s="531">
        <v>26</v>
      </c>
      <c r="V35" s="272"/>
      <c r="W35" s="272"/>
      <c r="X35" s="272">
        <f t="shared" si="4"/>
        <v>-18.3</v>
      </c>
    </row>
    <row r="36" spans="1:24">
      <c r="A36" s="117">
        <v>27</v>
      </c>
      <c r="B36" s="272">
        <f>'[2]Degree Days 2020'!B36</f>
        <v>14</v>
      </c>
      <c r="C36" s="272">
        <f>'[2]Degree Days 2020'!C36</f>
        <v>10</v>
      </c>
      <c r="D36" s="272">
        <f>'[2]Degree Days 2020'!D36</f>
        <v>-6.3000000000000007</v>
      </c>
      <c r="E36" s="272">
        <f>'[10]Degree Days 2020'!E36</f>
        <v>27</v>
      </c>
      <c r="F36" s="272">
        <f>'General information '!B32</f>
        <v>18</v>
      </c>
      <c r="G36" s="272">
        <f>'General information '!C32</f>
        <v>13</v>
      </c>
      <c r="H36" s="272">
        <f t="shared" si="0"/>
        <v>-2.8000000000000007</v>
      </c>
      <c r="I36" s="272">
        <f>'[8]Degree Days 2018'!I36</f>
        <v>27</v>
      </c>
      <c r="J36" s="272"/>
      <c r="K36" s="272"/>
      <c r="L36" s="272">
        <f t="shared" si="1"/>
        <v>-18.3</v>
      </c>
      <c r="M36" s="272">
        <f>'[10]Degree Days 2020'!M36</f>
        <v>27</v>
      </c>
      <c r="N36" s="272"/>
      <c r="O36" s="272"/>
      <c r="P36" s="272">
        <f t="shared" si="2"/>
        <v>-18.3</v>
      </c>
      <c r="Q36" s="531">
        <v>27</v>
      </c>
      <c r="R36" s="272"/>
      <c r="S36" s="272"/>
      <c r="T36" s="272">
        <f t="shared" si="3"/>
        <v>-18.3</v>
      </c>
      <c r="U36" s="531">
        <v>27</v>
      </c>
      <c r="V36" s="272"/>
      <c r="W36" s="272"/>
      <c r="X36" s="272">
        <f t="shared" si="4"/>
        <v>-18.3</v>
      </c>
    </row>
    <row r="37" spans="1:24">
      <c r="A37" s="117">
        <v>28</v>
      </c>
      <c r="B37" s="272">
        <f>'[2]Degree Days 2020'!B37</f>
        <v>14</v>
      </c>
      <c r="C37" s="272">
        <f>'[2]Degree Days 2020'!C37</f>
        <v>10</v>
      </c>
      <c r="D37" s="272">
        <f>'[2]Degree Days 2020'!D37</f>
        <v>-6.3000000000000007</v>
      </c>
      <c r="E37" s="272">
        <f>'[10]Degree Days 2020'!E37</f>
        <v>28</v>
      </c>
      <c r="F37" s="272">
        <f>'General information '!B33</f>
        <v>17</v>
      </c>
      <c r="G37" s="272">
        <f>'General information '!C33</f>
        <v>13</v>
      </c>
      <c r="H37" s="272">
        <f t="shared" si="0"/>
        <v>-3.3000000000000007</v>
      </c>
      <c r="I37" s="272">
        <f>'[8]Degree Days 2018'!I37</f>
        <v>28</v>
      </c>
      <c r="J37" s="272"/>
      <c r="K37" s="272"/>
      <c r="L37" s="272">
        <f t="shared" si="1"/>
        <v>-18.3</v>
      </c>
      <c r="M37" s="272">
        <f>'[10]Degree Days 2020'!M37</f>
        <v>28</v>
      </c>
      <c r="N37" s="272"/>
      <c r="O37" s="272"/>
      <c r="P37" s="272">
        <f t="shared" si="2"/>
        <v>-18.3</v>
      </c>
      <c r="Q37" s="531">
        <v>28</v>
      </c>
      <c r="R37" s="272"/>
      <c r="S37" s="272"/>
      <c r="T37" s="272">
        <f t="shared" si="3"/>
        <v>-18.3</v>
      </c>
      <c r="U37" s="531">
        <v>28</v>
      </c>
      <c r="V37" s="272"/>
      <c r="W37" s="272"/>
      <c r="X37" s="272">
        <f t="shared" si="4"/>
        <v>-18.3</v>
      </c>
    </row>
    <row r="38" spans="1:24">
      <c r="A38" s="117">
        <v>29</v>
      </c>
      <c r="B38" s="272">
        <f>'[2]Degree Days 2020'!B38</f>
        <v>16</v>
      </c>
      <c r="C38" s="272">
        <f>'[2]Degree Days 2020'!C38</f>
        <v>12</v>
      </c>
      <c r="D38" s="272">
        <f>'[2]Degree Days 2020'!D38</f>
        <v>-4.3000000000000007</v>
      </c>
      <c r="E38" s="272"/>
      <c r="F38" s="272"/>
      <c r="G38" s="272"/>
      <c r="H38" s="272"/>
      <c r="I38" s="272">
        <f>'[8]Degree Days 2018'!I38</f>
        <v>29</v>
      </c>
      <c r="J38" s="272"/>
      <c r="K38" s="272"/>
      <c r="L38" s="272">
        <f t="shared" si="1"/>
        <v>-18.3</v>
      </c>
      <c r="M38" s="272">
        <f>'[10]Degree Days 2020'!M38</f>
        <v>29</v>
      </c>
      <c r="N38" s="272"/>
      <c r="O38" s="272"/>
      <c r="P38" s="272">
        <f t="shared" si="2"/>
        <v>-18.3</v>
      </c>
      <c r="Q38" s="531">
        <v>29</v>
      </c>
      <c r="R38" s="272"/>
      <c r="S38" s="272"/>
      <c r="T38" s="272">
        <f t="shared" si="3"/>
        <v>-18.3</v>
      </c>
      <c r="U38" s="531">
        <v>29</v>
      </c>
      <c r="V38" s="272"/>
      <c r="W38" s="272"/>
      <c r="X38" s="272">
        <f t="shared" si="4"/>
        <v>-18.3</v>
      </c>
    </row>
    <row r="39" spans="1:24">
      <c r="A39" s="117">
        <v>30</v>
      </c>
      <c r="B39" s="272">
        <f>'[2]Degree Days 2020'!B39</f>
        <v>10</v>
      </c>
      <c r="C39" s="272">
        <f>'[2]Degree Days 2020'!C39</f>
        <v>4</v>
      </c>
      <c r="D39" s="272">
        <f>'[2]Degree Days 2020'!D39</f>
        <v>-11.3</v>
      </c>
      <c r="E39" s="272"/>
      <c r="F39" s="272"/>
      <c r="G39" s="272"/>
      <c r="H39" s="272"/>
      <c r="I39" s="272">
        <f>'[8]Degree Days 2018'!I39</f>
        <v>30</v>
      </c>
      <c r="J39" s="272"/>
      <c r="K39" s="272"/>
      <c r="L39" s="272">
        <f t="shared" si="1"/>
        <v>-18.3</v>
      </c>
      <c r="M39" s="272">
        <f>'[10]Degree Days 2020'!M39</f>
        <v>30</v>
      </c>
      <c r="N39" s="272"/>
      <c r="O39" s="272"/>
      <c r="P39" s="272">
        <f t="shared" si="2"/>
        <v>-18.3</v>
      </c>
      <c r="Q39" s="531">
        <v>30</v>
      </c>
      <c r="R39" s="272"/>
      <c r="S39" s="272"/>
      <c r="T39" s="272">
        <f t="shared" si="3"/>
        <v>-18.3</v>
      </c>
      <c r="U39" s="531">
        <v>30</v>
      </c>
      <c r="V39" s="272"/>
      <c r="W39" s="272"/>
      <c r="X39" s="272">
        <f t="shared" si="4"/>
        <v>-18.3</v>
      </c>
    </row>
    <row r="40" spans="1:24">
      <c r="A40" s="117">
        <v>31</v>
      </c>
      <c r="B40" s="272">
        <f>'[2]Degree Days 2020'!B40</f>
        <v>21</v>
      </c>
      <c r="C40" s="272">
        <f>'[2]Degree Days 2020'!C40</f>
        <v>16</v>
      </c>
      <c r="D40" s="272">
        <f>'[2]Degree Days 2020'!D40</f>
        <v>0.19999999999999929</v>
      </c>
      <c r="E40" s="272"/>
      <c r="F40" s="272"/>
      <c r="G40" s="272"/>
      <c r="H40" s="272"/>
      <c r="I40" s="272">
        <f>'[8]Degree Days 2018'!I40</f>
        <v>31</v>
      </c>
      <c r="J40" s="272"/>
      <c r="K40" s="272"/>
      <c r="L40" s="272">
        <f t="shared" si="1"/>
        <v>-18.3</v>
      </c>
      <c r="M40" s="272"/>
      <c r="N40" s="272"/>
      <c r="O40" s="272"/>
      <c r="P40" s="272"/>
      <c r="Q40" s="531">
        <v>31</v>
      </c>
      <c r="R40" s="272"/>
      <c r="S40" s="272"/>
      <c r="T40" s="272">
        <f t="shared" si="3"/>
        <v>-18.3</v>
      </c>
      <c r="U40" s="272"/>
      <c r="V40" s="272"/>
      <c r="W40" s="272"/>
      <c r="X40" s="272"/>
    </row>
    <row r="41" spans="1:24">
      <c r="A41" s="123"/>
      <c r="B41" s="124"/>
      <c r="C41" s="124"/>
      <c r="D41" s="121"/>
      <c r="E41" s="123"/>
      <c r="F41" s="124"/>
      <c r="G41" s="124"/>
      <c r="H41" s="121"/>
      <c r="I41" s="123"/>
      <c r="J41" s="124"/>
      <c r="K41" s="124"/>
      <c r="L41" s="121"/>
      <c r="M41" s="123"/>
      <c r="N41" s="124"/>
      <c r="O41" s="124"/>
      <c r="P41" s="121"/>
      <c r="Q41" s="123"/>
      <c r="R41" s="124"/>
      <c r="S41" s="124"/>
      <c r="T41" s="121"/>
      <c r="U41" s="123"/>
      <c r="V41" s="124"/>
      <c r="W41" s="124"/>
      <c r="X41" s="121"/>
    </row>
    <row r="42" spans="1:24" s="128" customFormat="1" ht="21">
      <c r="A42" s="125"/>
      <c r="B42" s="126" t="s">
        <v>174</v>
      </c>
      <c r="C42" s="126" t="s">
        <v>175</v>
      </c>
      <c r="D42" s="127"/>
      <c r="E42" s="125"/>
      <c r="F42" s="126" t="s">
        <v>174</v>
      </c>
      <c r="G42" s="126" t="s">
        <v>175</v>
      </c>
      <c r="H42" s="127"/>
      <c r="I42" s="125"/>
      <c r="J42" s="126" t="s">
        <v>174</v>
      </c>
      <c r="K42" s="126" t="s">
        <v>175</v>
      </c>
      <c r="L42" s="127"/>
      <c r="M42" s="125"/>
      <c r="N42" s="126" t="s">
        <v>174</v>
      </c>
      <c r="O42" s="126" t="s">
        <v>175</v>
      </c>
      <c r="P42" s="127"/>
      <c r="Q42" s="125"/>
      <c r="R42" s="126" t="s">
        <v>174</v>
      </c>
      <c r="S42" s="126" t="s">
        <v>175</v>
      </c>
      <c r="T42" s="127"/>
      <c r="U42" s="125"/>
      <c r="V42" s="126" t="s">
        <v>174</v>
      </c>
      <c r="W42" s="126" t="s">
        <v>175</v>
      </c>
      <c r="X42" s="127"/>
    </row>
    <row r="43" spans="1:24">
      <c r="A43" s="129"/>
      <c r="B43" s="119">
        <f>'[2]Degree Days 2020'!B43</f>
        <v>-92.59999999999998</v>
      </c>
      <c r="C43" s="119">
        <f>'[2]Degree Days 2020'!C43</f>
        <v>2.7999999999999936</v>
      </c>
      <c r="D43" s="130"/>
      <c r="E43" s="129"/>
      <c r="F43" s="119">
        <f>SUMIF(H10:H37,"&lt;0")</f>
        <v>-75.899999999999977</v>
      </c>
      <c r="G43" s="119">
        <f>SUMIF(H10:H37,"&gt;0")</f>
        <v>6.4999999999999964</v>
      </c>
      <c r="H43" s="130"/>
      <c r="I43" s="129"/>
      <c r="J43" s="119">
        <f>SUMIF(L10:L37,"&lt;0")</f>
        <v>-512.4000000000002</v>
      </c>
      <c r="K43" s="119">
        <f>SUMIF(L10:L37,"&gt;0")</f>
        <v>0</v>
      </c>
      <c r="L43" s="130"/>
      <c r="M43" s="129"/>
      <c r="N43" s="119">
        <f>SUMIF(P10:P37,"&lt;0")</f>
        <v>-512.4000000000002</v>
      </c>
      <c r="O43" s="119">
        <f>SUMIF(P10:P37,"&gt;0")</f>
        <v>0</v>
      </c>
      <c r="P43" s="130"/>
      <c r="Q43" s="129"/>
      <c r="R43" s="119">
        <f>SUMIF(T10:T37,"&lt;0")</f>
        <v>-512.4000000000002</v>
      </c>
      <c r="S43" s="119">
        <f>SUMIF(T10:T37,"&gt;0")</f>
        <v>0</v>
      </c>
      <c r="T43" s="130"/>
      <c r="U43" s="129"/>
      <c r="V43" s="119">
        <f>SUMIF(X10:X37,"&lt;0")</f>
        <v>-512.4000000000002</v>
      </c>
      <c r="W43" s="119">
        <f>SUMIF(X10:X37,"&gt;0")</f>
        <v>0</v>
      </c>
      <c r="X43" s="130"/>
    </row>
    <row r="44" spans="1:24">
      <c r="A44" s="131"/>
      <c r="B44" s="132"/>
      <c r="C44" s="132"/>
      <c r="D44" s="133"/>
      <c r="E44" s="131"/>
      <c r="F44" s="132"/>
      <c r="G44" s="132"/>
      <c r="H44" s="133"/>
      <c r="I44" s="131"/>
      <c r="J44" s="132"/>
      <c r="K44" s="132"/>
      <c r="L44" s="133"/>
      <c r="M44" s="131"/>
      <c r="N44" s="132"/>
      <c r="O44" s="132"/>
      <c r="P44" s="133"/>
      <c r="Q44" s="131"/>
      <c r="R44" s="132"/>
      <c r="S44" s="132"/>
      <c r="T44" s="133"/>
      <c r="U44" s="131"/>
      <c r="V44" s="132"/>
      <c r="W44" s="132"/>
      <c r="X44" s="133"/>
    </row>
    <row r="45" spans="1:24">
      <c r="D45" s="134"/>
      <c r="H45" s="134"/>
      <c r="L45" s="134"/>
      <c r="P45" s="134"/>
      <c r="T45" s="134"/>
      <c r="X45" s="134"/>
    </row>
    <row r="46" spans="1:24" ht="15.75">
      <c r="A46" s="105"/>
      <c r="B46" s="106"/>
      <c r="C46" s="107"/>
      <c r="D46" s="135"/>
      <c r="E46" s="105"/>
      <c r="F46" s="106"/>
      <c r="G46" s="107"/>
      <c r="H46" s="135"/>
      <c r="I46" s="105"/>
      <c r="J46" s="109"/>
      <c r="K46" s="106"/>
      <c r="L46" s="136"/>
      <c r="M46" s="105"/>
      <c r="N46" s="106"/>
      <c r="O46" s="107"/>
      <c r="P46" s="135"/>
      <c r="Q46" s="111"/>
      <c r="R46" s="109"/>
      <c r="S46" s="106"/>
      <c r="T46" s="136"/>
      <c r="U46" s="111"/>
      <c r="V46" s="109"/>
      <c r="W46" s="106"/>
      <c r="X46" s="136"/>
    </row>
    <row r="47" spans="1:24" ht="22.5">
      <c r="A47" s="137" t="s">
        <v>176</v>
      </c>
      <c r="B47" s="113" t="s">
        <v>166</v>
      </c>
      <c r="C47" s="113" t="s">
        <v>167</v>
      </c>
      <c r="D47" s="138" t="s">
        <v>168</v>
      </c>
      <c r="E47" s="137" t="s">
        <v>177</v>
      </c>
      <c r="F47" s="113" t="s">
        <v>166</v>
      </c>
      <c r="G47" s="113" t="s">
        <v>167</v>
      </c>
      <c r="H47" s="138" t="s">
        <v>168</v>
      </c>
      <c r="I47" s="137" t="s">
        <v>178</v>
      </c>
      <c r="J47" s="113" t="s">
        <v>166</v>
      </c>
      <c r="K47" s="113" t="s">
        <v>167</v>
      </c>
      <c r="L47" s="138" t="s">
        <v>168</v>
      </c>
      <c r="M47" s="137" t="s">
        <v>179</v>
      </c>
      <c r="N47" s="113" t="s">
        <v>166</v>
      </c>
      <c r="O47" s="113" t="s">
        <v>167</v>
      </c>
      <c r="P47" s="138" t="s">
        <v>168</v>
      </c>
      <c r="Q47" s="137" t="s">
        <v>180</v>
      </c>
      <c r="R47" s="113" t="s">
        <v>166</v>
      </c>
      <c r="S47" s="113" t="s">
        <v>167</v>
      </c>
      <c r="T47" s="138" t="s">
        <v>168</v>
      </c>
      <c r="U47" s="137" t="s">
        <v>181</v>
      </c>
      <c r="V47" s="113" t="s">
        <v>166</v>
      </c>
      <c r="W47" s="113" t="s">
        <v>167</v>
      </c>
      <c r="X47" s="138" t="s">
        <v>168</v>
      </c>
    </row>
    <row r="48" spans="1:24">
      <c r="A48" s="117">
        <v>1</v>
      </c>
      <c r="B48" s="272"/>
      <c r="C48" s="272"/>
      <c r="D48" s="119">
        <f t="shared" ref="D48:D56" si="7">(B48+C48)/2-18.3</f>
        <v>-18.3</v>
      </c>
      <c r="E48" s="117">
        <v>1</v>
      </c>
      <c r="F48" s="272"/>
      <c r="G48" s="272"/>
      <c r="H48" s="119">
        <f t="shared" ref="H48:H78" si="8">(F48+G48)/2-18.3</f>
        <v>-18.3</v>
      </c>
      <c r="I48" s="117">
        <v>1</v>
      </c>
      <c r="J48" s="272"/>
      <c r="K48" s="272"/>
      <c r="L48" s="119">
        <f>(J48+K48)/2-18.3</f>
        <v>-18.3</v>
      </c>
      <c r="M48" s="117">
        <v>1</v>
      </c>
      <c r="N48" s="272"/>
      <c r="O48" s="272"/>
      <c r="P48" s="119">
        <f>(N48+O48)/2-18.3</f>
        <v>-18.3</v>
      </c>
      <c r="Q48" s="117">
        <v>1</v>
      </c>
      <c r="R48" s="272"/>
      <c r="S48" s="272"/>
      <c r="T48" s="119">
        <f>(R48+S48)/2-18.3</f>
        <v>-18.3</v>
      </c>
      <c r="U48" s="117">
        <v>1</v>
      </c>
      <c r="V48" s="272"/>
      <c r="W48" s="272"/>
      <c r="X48" s="119">
        <f t="shared" ref="X48:X78" si="9">(V48+W48)/2-18.3</f>
        <v>-18.3</v>
      </c>
    </row>
    <row r="49" spans="1:24">
      <c r="A49" s="117">
        <v>2</v>
      </c>
      <c r="B49" s="272"/>
      <c r="C49" s="272"/>
      <c r="D49" s="119">
        <f t="shared" si="7"/>
        <v>-18.3</v>
      </c>
      <c r="E49" s="117">
        <v>2</v>
      </c>
      <c r="F49" s="272"/>
      <c r="G49" s="272"/>
      <c r="H49" s="119">
        <f t="shared" si="8"/>
        <v>-18.3</v>
      </c>
      <c r="I49" s="117">
        <v>2</v>
      </c>
      <c r="J49" s="272"/>
      <c r="K49" s="272"/>
      <c r="L49" s="119">
        <f t="shared" ref="L49:L77" si="10">(J49+K49)/2-18.3</f>
        <v>-18.3</v>
      </c>
      <c r="M49" s="117">
        <v>2</v>
      </c>
      <c r="N49" s="272"/>
      <c r="O49" s="272"/>
      <c r="P49" s="119">
        <f t="shared" ref="P49:P78" si="11">(N49+O49)/2-18.3</f>
        <v>-18.3</v>
      </c>
      <c r="Q49" s="117">
        <v>2</v>
      </c>
      <c r="R49" s="272"/>
      <c r="S49" s="272"/>
      <c r="T49" s="119">
        <f t="shared" ref="T49:T77" si="12">(R49+S49)/2-18.3</f>
        <v>-18.3</v>
      </c>
      <c r="U49" s="117">
        <v>2</v>
      </c>
      <c r="V49" s="272"/>
      <c r="W49" s="272"/>
      <c r="X49" s="119">
        <f t="shared" si="9"/>
        <v>-18.3</v>
      </c>
    </row>
    <row r="50" spans="1:24">
      <c r="A50" s="117">
        <v>3</v>
      </c>
      <c r="B50" s="272"/>
      <c r="C50" s="272"/>
      <c r="D50" s="119">
        <f t="shared" si="7"/>
        <v>-18.3</v>
      </c>
      <c r="E50" s="117">
        <v>3</v>
      </c>
      <c r="F50" s="272"/>
      <c r="G50" s="272"/>
      <c r="H50" s="119">
        <f t="shared" si="8"/>
        <v>-18.3</v>
      </c>
      <c r="I50" s="117">
        <v>3</v>
      </c>
      <c r="J50" s="272"/>
      <c r="K50" s="272"/>
      <c r="L50" s="119">
        <f t="shared" si="10"/>
        <v>-18.3</v>
      </c>
      <c r="M50" s="117">
        <v>3</v>
      </c>
      <c r="N50" s="272"/>
      <c r="O50" s="272"/>
      <c r="P50" s="119">
        <f t="shared" si="11"/>
        <v>-18.3</v>
      </c>
      <c r="Q50" s="117">
        <v>3</v>
      </c>
      <c r="R50" s="272"/>
      <c r="S50" s="272"/>
      <c r="T50" s="119">
        <f t="shared" si="12"/>
        <v>-18.3</v>
      </c>
      <c r="U50" s="117">
        <v>3</v>
      </c>
      <c r="V50" s="272"/>
      <c r="W50" s="272"/>
      <c r="X50" s="119">
        <f t="shared" si="9"/>
        <v>-18.3</v>
      </c>
    </row>
    <row r="51" spans="1:24">
      <c r="A51" s="117">
        <v>4</v>
      </c>
      <c r="B51" s="272"/>
      <c r="C51" s="272"/>
      <c r="D51" s="119">
        <f t="shared" si="7"/>
        <v>-18.3</v>
      </c>
      <c r="E51" s="117">
        <v>4</v>
      </c>
      <c r="F51" s="272"/>
      <c r="G51" s="272"/>
      <c r="H51" s="119">
        <f t="shared" si="8"/>
        <v>-18.3</v>
      </c>
      <c r="I51" s="117">
        <v>4</v>
      </c>
      <c r="J51" s="272"/>
      <c r="K51" s="272"/>
      <c r="L51" s="119">
        <f t="shared" si="10"/>
        <v>-18.3</v>
      </c>
      <c r="M51" s="117">
        <v>4</v>
      </c>
      <c r="N51" s="272"/>
      <c r="O51" s="272"/>
      <c r="P51" s="119">
        <f t="shared" si="11"/>
        <v>-18.3</v>
      </c>
      <c r="Q51" s="117">
        <v>4</v>
      </c>
      <c r="R51" s="272"/>
      <c r="S51" s="272"/>
      <c r="T51" s="119">
        <f t="shared" si="12"/>
        <v>-18.3</v>
      </c>
      <c r="U51" s="117">
        <v>4</v>
      </c>
      <c r="V51" s="272"/>
      <c r="W51" s="272"/>
      <c r="X51" s="119">
        <f t="shared" si="9"/>
        <v>-18.3</v>
      </c>
    </row>
    <row r="52" spans="1:24">
      <c r="A52" s="117">
        <v>5</v>
      </c>
      <c r="B52" s="272"/>
      <c r="C52" s="272"/>
      <c r="D52" s="119">
        <f t="shared" si="7"/>
        <v>-18.3</v>
      </c>
      <c r="E52" s="117">
        <v>5</v>
      </c>
      <c r="F52" s="272"/>
      <c r="G52" s="272"/>
      <c r="H52" s="119">
        <f t="shared" si="8"/>
        <v>-18.3</v>
      </c>
      <c r="I52" s="117">
        <v>5</v>
      </c>
      <c r="J52" s="272"/>
      <c r="K52" s="272"/>
      <c r="L52" s="119">
        <f t="shared" si="10"/>
        <v>-18.3</v>
      </c>
      <c r="M52" s="117">
        <v>5</v>
      </c>
      <c r="N52" s="272"/>
      <c r="O52" s="272"/>
      <c r="P52" s="119">
        <f t="shared" si="11"/>
        <v>-18.3</v>
      </c>
      <c r="Q52" s="117">
        <v>5</v>
      </c>
      <c r="R52" s="272"/>
      <c r="S52" s="272"/>
      <c r="T52" s="119">
        <f t="shared" si="12"/>
        <v>-18.3</v>
      </c>
      <c r="U52" s="117">
        <v>5</v>
      </c>
      <c r="V52" s="272"/>
      <c r="W52" s="272"/>
      <c r="X52" s="119">
        <f t="shared" si="9"/>
        <v>-18.3</v>
      </c>
    </row>
    <row r="53" spans="1:24">
      <c r="A53" s="117">
        <v>6</v>
      </c>
      <c r="B53" s="272"/>
      <c r="C53" s="272"/>
      <c r="D53" s="119">
        <f t="shared" si="7"/>
        <v>-18.3</v>
      </c>
      <c r="E53" s="117">
        <v>6</v>
      </c>
      <c r="F53" s="272"/>
      <c r="G53" s="272"/>
      <c r="H53" s="119">
        <f t="shared" si="8"/>
        <v>-18.3</v>
      </c>
      <c r="I53" s="117">
        <v>6</v>
      </c>
      <c r="J53" s="272"/>
      <c r="K53" s="272"/>
      <c r="L53" s="119">
        <f t="shared" si="10"/>
        <v>-18.3</v>
      </c>
      <c r="M53" s="117">
        <v>6</v>
      </c>
      <c r="N53" s="272"/>
      <c r="O53" s="272"/>
      <c r="P53" s="119">
        <f t="shared" si="11"/>
        <v>-18.3</v>
      </c>
      <c r="Q53" s="117">
        <v>6</v>
      </c>
      <c r="R53" s="272"/>
      <c r="S53" s="272"/>
      <c r="T53" s="119">
        <f t="shared" si="12"/>
        <v>-18.3</v>
      </c>
      <c r="U53" s="117">
        <v>6</v>
      </c>
      <c r="V53" s="272"/>
      <c r="W53" s="272"/>
      <c r="X53" s="119">
        <f t="shared" si="9"/>
        <v>-18.3</v>
      </c>
    </row>
    <row r="54" spans="1:24">
      <c r="A54" s="117">
        <v>7</v>
      </c>
      <c r="B54" s="272"/>
      <c r="C54" s="272"/>
      <c r="D54" s="119">
        <f t="shared" si="7"/>
        <v>-18.3</v>
      </c>
      <c r="E54" s="117">
        <v>7</v>
      </c>
      <c r="F54" s="272"/>
      <c r="G54" s="272"/>
      <c r="H54" s="119">
        <f t="shared" si="8"/>
        <v>-18.3</v>
      </c>
      <c r="I54" s="117">
        <v>7</v>
      </c>
      <c r="J54" s="272"/>
      <c r="K54" s="272"/>
      <c r="L54" s="119">
        <f t="shared" si="10"/>
        <v>-18.3</v>
      </c>
      <c r="M54" s="117">
        <v>7</v>
      </c>
      <c r="N54" s="272"/>
      <c r="O54" s="272"/>
      <c r="P54" s="119">
        <f t="shared" si="11"/>
        <v>-18.3</v>
      </c>
      <c r="Q54" s="117">
        <v>7</v>
      </c>
      <c r="R54" s="272"/>
      <c r="S54" s="272"/>
      <c r="T54" s="119">
        <f t="shared" si="12"/>
        <v>-18.3</v>
      </c>
      <c r="U54" s="117">
        <v>7</v>
      </c>
      <c r="V54" s="272"/>
      <c r="W54" s="272"/>
      <c r="X54" s="119">
        <f t="shared" si="9"/>
        <v>-18.3</v>
      </c>
    </row>
    <row r="55" spans="1:24">
      <c r="A55" s="117">
        <v>8</v>
      </c>
      <c r="B55" s="272"/>
      <c r="C55" s="272"/>
      <c r="D55" s="119">
        <f t="shared" si="7"/>
        <v>-18.3</v>
      </c>
      <c r="E55" s="117">
        <v>8</v>
      </c>
      <c r="F55" s="272"/>
      <c r="G55" s="272"/>
      <c r="H55" s="119">
        <f t="shared" si="8"/>
        <v>-18.3</v>
      </c>
      <c r="I55" s="117">
        <v>8</v>
      </c>
      <c r="J55" s="272"/>
      <c r="K55" s="272"/>
      <c r="L55" s="119">
        <f t="shared" si="10"/>
        <v>-18.3</v>
      </c>
      <c r="M55" s="117">
        <v>8</v>
      </c>
      <c r="N55" s="272"/>
      <c r="O55" s="272"/>
      <c r="P55" s="119">
        <f t="shared" si="11"/>
        <v>-18.3</v>
      </c>
      <c r="Q55" s="117">
        <v>8</v>
      </c>
      <c r="R55" s="272"/>
      <c r="S55" s="272"/>
      <c r="T55" s="119">
        <f t="shared" si="12"/>
        <v>-18.3</v>
      </c>
      <c r="U55" s="117">
        <v>8</v>
      </c>
      <c r="V55" s="272"/>
      <c r="W55" s="272"/>
      <c r="X55" s="119">
        <f t="shared" si="9"/>
        <v>-18.3</v>
      </c>
    </row>
    <row r="56" spans="1:24">
      <c r="A56" s="117">
        <v>9</v>
      </c>
      <c r="B56" s="272"/>
      <c r="C56" s="272"/>
      <c r="D56" s="119">
        <f t="shared" si="7"/>
        <v>-18.3</v>
      </c>
      <c r="E56" s="117">
        <v>9</v>
      </c>
      <c r="F56" s="272"/>
      <c r="G56" s="272"/>
      <c r="H56" s="119">
        <f t="shared" si="8"/>
        <v>-18.3</v>
      </c>
      <c r="I56" s="117">
        <v>9</v>
      </c>
      <c r="J56" s="272"/>
      <c r="K56" s="272"/>
      <c r="L56" s="119">
        <f t="shared" si="10"/>
        <v>-18.3</v>
      </c>
      <c r="M56" s="117">
        <v>9</v>
      </c>
      <c r="N56" s="272"/>
      <c r="O56" s="272"/>
      <c r="P56" s="119">
        <f t="shared" si="11"/>
        <v>-18.3</v>
      </c>
      <c r="Q56" s="117">
        <v>9</v>
      </c>
      <c r="R56" s="272"/>
      <c r="S56" s="272"/>
      <c r="T56" s="119">
        <f t="shared" si="12"/>
        <v>-18.3</v>
      </c>
      <c r="U56" s="117">
        <v>9</v>
      </c>
      <c r="V56" s="272"/>
      <c r="W56" s="272"/>
      <c r="X56" s="119">
        <f t="shared" si="9"/>
        <v>-18.3</v>
      </c>
    </row>
    <row r="57" spans="1:24">
      <c r="A57" s="117">
        <v>10</v>
      </c>
      <c r="B57" s="272"/>
      <c r="C57" s="272"/>
      <c r="D57" s="119">
        <f t="shared" ref="D57:D78" si="13">(B57+C57)/2-18.3</f>
        <v>-18.3</v>
      </c>
      <c r="E57" s="117">
        <v>10</v>
      </c>
      <c r="F57" s="272"/>
      <c r="G57" s="272"/>
      <c r="H57" s="119">
        <f t="shared" si="8"/>
        <v>-18.3</v>
      </c>
      <c r="I57" s="117">
        <v>10</v>
      </c>
      <c r="J57" s="272"/>
      <c r="K57" s="272"/>
      <c r="L57" s="119">
        <f t="shared" si="10"/>
        <v>-18.3</v>
      </c>
      <c r="M57" s="117">
        <v>10</v>
      </c>
      <c r="N57" s="272"/>
      <c r="O57" s="272"/>
      <c r="P57" s="119">
        <f t="shared" si="11"/>
        <v>-18.3</v>
      </c>
      <c r="Q57" s="117">
        <v>10</v>
      </c>
      <c r="R57" s="272"/>
      <c r="S57" s="272"/>
      <c r="T57" s="119">
        <f t="shared" si="12"/>
        <v>-18.3</v>
      </c>
      <c r="U57" s="117">
        <v>10</v>
      </c>
      <c r="V57" s="272"/>
      <c r="W57" s="272"/>
      <c r="X57" s="119">
        <f t="shared" si="9"/>
        <v>-18.3</v>
      </c>
    </row>
    <row r="58" spans="1:24">
      <c r="A58" s="117">
        <v>11</v>
      </c>
      <c r="B58" s="272"/>
      <c r="C58" s="272"/>
      <c r="D58" s="119">
        <f t="shared" si="13"/>
        <v>-18.3</v>
      </c>
      <c r="E58" s="117">
        <v>11</v>
      </c>
      <c r="F58" s="272"/>
      <c r="G58" s="272"/>
      <c r="H58" s="119">
        <f t="shared" si="8"/>
        <v>-18.3</v>
      </c>
      <c r="I58" s="117">
        <v>11</v>
      </c>
      <c r="J58" s="272"/>
      <c r="K58" s="272"/>
      <c r="L58" s="119">
        <f t="shared" si="10"/>
        <v>-18.3</v>
      </c>
      <c r="M58" s="117">
        <v>11</v>
      </c>
      <c r="N58" s="272"/>
      <c r="O58" s="272"/>
      <c r="P58" s="119">
        <f t="shared" si="11"/>
        <v>-18.3</v>
      </c>
      <c r="Q58" s="117">
        <v>11</v>
      </c>
      <c r="R58" s="272"/>
      <c r="S58" s="272"/>
      <c r="T58" s="119">
        <f t="shared" si="12"/>
        <v>-18.3</v>
      </c>
      <c r="U58" s="117">
        <v>11</v>
      </c>
      <c r="V58" s="272"/>
      <c r="W58" s="272"/>
      <c r="X58" s="119">
        <f t="shared" si="9"/>
        <v>-18.3</v>
      </c>
    </row>
    <row r="59" spans="1:24">
      <c r="A59" s="117">
        <v>12</v>
      </c>
      <c r="B59" s="272"/>
      <c r="C59" s="272"/>
      <c r="D59" s="119">
        <f t="shared" si="13"/>
        <v>-18.3</v>
      </c>
      <c r="E59" s="117">
        <v>12</v>
      </c>
      <c r="F59" s="272"/>
      <c r="G59" s="272"/>
      <c r="H59" s="119">
        <f t="shared" si="8"/>
        <v>-18.3</v>
      </c>
      <c r="I59" s="117">
        <v>12</v>
      </c>
      <c r="J59" s="272"/>
      <c r="K59" s="272"/>
      <c r="L59" s="119">
        <f t="shared" si="10"/>
        <v>-18.3</v>
      </c>
      <c r="M59" s="117">
        <v>12</v>
      </c>
      <c r="N59" s="272"/>
      <c r="O59" s="272"/>
      <c r="P59" s="119">
        <f t="shared" si="11"/>
        <v>-18.3</v>
      </c>
      <c r="Q59" s="117">
        <v>12</v>
      </c>
      <c r="R59" s="272"/>
      <c r="S59" s="272"/>
      <c r="T59" s="119">
        <f t="shared" si="12"/>
        <v>-18.3</v>
      </c>
      <c r="U59" s="117">
        <v>12</v>
      </c>
      <c r="V59" s="272"/>
      <c r="W59" s="272"/>
      <c r="X59" s="119">
        <f t="shared" si="9"/>
        <v>-18.3</v>
      </c>
    </row>
    <row r="60" spans="1:24">
      <c r="A60" s="117">
        <v>13</v>
      </c>
      <c r="B60" s="272"/>
      <c r="C60" s="272"/>
      <c r="D60" s="119">
        <f t="shared" si="13"/>
        <v>-18.3</v>
      </c>
      <c r="E60" s="117">
        <v>13</v>
      </c>
      <c r="F60" s="272"/>
      <c r="G60" s="272"/>
      <c r="H60" s="119">
        <f t="shared" si="8"/>
        <v>-18.3</v>
      </c>
      <c r="I60" s="117">
        <v>13</v>
      </c>
      <c r="J60" s="272"/>
      <c r="K60" s="272"/>
      <c r="L60" s="119">
        <f t="shared" si="10"/>
        <v>-18.3</v>
      </c>
      <c r="M60" s="117">
        <v>13</v>
      </c>
      <c r="N60" s="272"/>
      <c r="O60" s="272"/>
      <c r="P60" s="119">
        <f t="shared" si="11"/>
        <v>-18.3</v>
      </c>
      <c r="Q60" s="117">
        <v>13</v>
      </c>
      <c r="R60" s="272"/>
      <c r="S60" s="272"/>
      <c r="T60" s="119">
        <f t="shared" si="12"/>
        <v>-18.3</v>
      </c>
      <c r="U60" s="117">
        <v>13</v>
      </c>
      <c r="V60" s="272"/>
      <c r="W60" s="272"/>
      <c r="X60" s="119">
        <f t="shared" si="9"/>
        <v>-18.3</v>
      </c>
    </row>
    <row r="61" spans="1:24">
      <c r="A61" s="117">
        <v>14</v>
      </c>
      <c r="B61" s="272"/>
      <c r="C61" s="272"/>
      <c r="D61" s="119">
        <f t="shared" si="13"/>
        <v>-18.3</v>
      </c>
      <c r="E61" s="117">
        <v>14</v>
      </c>
      <c r="F61" s="272"/>
      <c r="G61" s="272"/>
      <c r="H61" s="119">
        <f t="shared" si="8"/>
        <v>-18.3</v>
      </c>
      <c r="I61" s="117">
        <v>14</v>
      </c>
      <c r="J61" s="272"/>
      <c r="K61" s="272"/>
      <c r="L61" s="119">
        <f t="shared" si="10"/>
        <v>-18.3</v>
      </c>
      <c r="M61" s="117">
        <v>14</v>
      </c>
      <c r="N61" s="272"/>
      <c r="O61" s="272"/>
      <c r="P61" s="119">
        <f t="shared" si="11"/>
        <v>-18.3</v>
      </c>
      <c r="Q61" s="117">
        <v>14</v>
      </c>
      <c r="R61" s="272"/>
      <c r="S61" s="272"/>
      <c r="T61" s="119">
        <f t="shared" si="12"/>
        <v>-18.3</v>
      </c>
      <c r="U61" s="117">
        <v>14</v>
      </c>
      <c r="V61" s="272"/>
      <c r="W61" s="272"/>
      <c r="X61" s="119">
        <f t="shared" si="9"/>
        <v>-18.3</v>
      </c>
    </row>
    <row r="62" spans="1:24">
      <c r="A62" s="117">
        <v>15</v>
      </c>
      <c r="B62" s="272"/>
      <c r="C62" s="272"/>
      <c r="D62" s="119">
        <f t="shared" si="13"/>
        <v>-18.3</v>
      </c>
      <c r="E62" s="117">
        <v>15</v>
      </c>
      <c r="F62" s="272"/>
      <c r="G62" s="272"/>
      <c r="H62" s="119">
        <f t="shared" si="8"/>
        <v>-18.3</v>
      </c>
      <c r="I62" s="117">
        <v>15</v>
      </c>
      <c r="J62" s="272"/>
      <c r="K62" s="272"/>
      <c r="L62" s="119">
        <f t="shared" si="10"/>
        <v>-18.3</v>
      </c>
      <c r="M62" s="117">
        <v>15</v>
      </c>
      <c r="N62" s="272"/>
      <c r="O62" s="272"/>
      <c r="P62" s="119">
        <f t="shared" si="11"/>
        <v>-18.3</v>
      </c>
      <c r="Q62" s="117">
        <v>15</v>
      </c>
      <c r="R62" s="272"/>
      <c r="S62" s="272"/>
      <c r="T62" s="119">
        <f t="shared" si="12"/>
        <v>-18.3</v>
      </c>
      <c r="U62" s="117">
        <v>15</v>
      </c>
      <c r="V62" s="272"/>
      <c r="W62" s="272"/>
      <c r="X62" s="119">
        <f t="shared" si="9"/>
        <v>-18.3</v>
      </c>
    </row>
    <row r="63" spans="1:24">
      <c r="A63" s="117">
        <v>16</v>
      </c>
      <c r="B63" s="272"/>
      <c r="C63" s="272"/>
      <c r="D63" s="119">
        <f t="shared" si="13"/>
        <v>-18.3</v>
      </c>
      <c r="E63" s="117">
        <v>16</v>
      </c>
      <c r="F63" s="272"/>
      <c r="G63" s="272"/>
      <c r="H63" s="119">
        <f t="shared" si="8"/>
        <v>-18.3</v>
      </c>
      <c r="I63" s="117">
        <v>16</v>
      </c>
      <c r="J63" s="272"/>
      <c r="K63" s="272"/>
      <c r="L63" s="119">
        <f t="shared" si="10"/>
        <v>-18.3</v>
      </c>
      <c r="M63" s="117">
        <v>16</v>
      </c>
      <c r="N63" s="272"/>
      <c r="O63" s="272"/>
      <c r="P63" s="119">
        <f t="shared" si="11"/>
        <v>-18.3</v>
      </c>
      <c r="Q63" s="117">
        <v>16</v>
      </c>
      <c r="R63" s="272"/>
      <c r="S63" s="272"/>
      <c r="T63" s="119">
        <f t="shared" si="12"/>
        <v>-18.3</v>
      </c>
      <c r="U63" s="117">
        <v>16</v>
      </c>
      <c r="V63" s="272"/>
      <c r="W63" s="272"/>
      <c r="X63" s="119">
        <f t="shared" si="9"/>
        <v>-18.3</v>
      </c>
    </row>
    <row r="64" spans="1:24">
      <c r="A64" s="117">
        <v>17</v>
      </c>
      <c r="B64" s="272"/>
      <c r="C64" s="272"/>
      <c r="D64" s="119">
        <f t="shared" si="13"/>
        <v>-18.3</v>
      </c>
      <c r="E64" s="117">
        <v>17</v>
      </c>
      <c r="F64" s="272"/>
      <c r="G64" s="272"/>
      <c r="H64" s="119">
        <f t="shared" si="8"/>
        <v>-18.3</v>
      </c>
      <c r="I64" s="117">
        <v>17</v>
      </c>
      <c r="J64" s="272"/>
      <c r="K64" s="272"/>
      <c r="L64" s="119">
        <f t="shared" si="10"/>
        <v>-18.3</v>
      </c>
      <c r="M64" s="117">
        <v>17</v>
      </c>
      <c r="N64" s="272"/>
      <c r="O64" s="272"/>
      <c r="P64" s="119">
        <f t="shared" si="11"/>
        <v>-18.3</v>
      </c>
      <c r="Q64" s="117">
        <v>17</v>
      </c>
      <c r="R64" s="272"/>
      <c r="S64" s="272"/>
      <c r="T64" s="119">
        <f t="shared" si="12"/>
        <v>-18.3</v>
      </c>
      <c r="U64" s="117">
        <v>17</v>
      </c>
      <c r="V64" s="272"/>
      <c r="W64" s="272"/>
      <c r="X64" s="119">
        <f t="shared" si="9"/>
        <v>-18.3</v>
      </c>
    </row>
    <row r="65" spans="1:24">
      <c r="A65" s="117">
        <v>18</v>
      </c>
      <c r="B65" s="272"/>
      <c r="C65" s="272"/>
      <c r="D65" s="119">
        <f t="shared" si="13"/>
        <v>-18.3</v>
      </c>
      <c r="E65" s="117">
        <v>18</v>
      </c>
      <c r="F65" s="272"/>
      <c r="G65" s="272"/>
      <c r="H65" s="119">
        <f t="shared" si="8"/>
        <v>-18.3</v>
      </c>
      <c r="I65" s="117">
        <v>18</v>
      </c>
      <c r="J65" s="272"/>
      <c r="K65" s="272"/>
      <c r="L65" s="119">
        <f t="shared" si="10"/>
        <v>-18.3</v>
      </c>
      <c r="M65" s="117">
        <v>18</v>
      </c>
      <c r="N65" s="272"/>
      <c r="O65" s="272"/>
      <c r="P65" s="119">
        <f t="shared" si="11"/>
        <v>-18.3</v>
      </c>
      <c r="Q65" s="117">
        <v>18</v>
      </c>
      <c r="R65" s="272"/>
      <c r="S65" s="272"/>
      <c r="T65" s="119">
        <f t="shared" si="12"/>
        <v>-18.3</v>
      </c>
      <c r="U65" s="117">
        <v>18</v>
      </c>
      <c r="V65" s="272"/>
      <c r="W65" s="272"/>
      <c r="X65" s="119">
        <f t="shared" si="9"/>
        <v>-18.3</v>
      </c>
    </row>
    <row r="66" spans="1:24">
      <c r="A66" s="117">
        <v>19</v>
      </c>
      <c r="B66" s="272"/>
      <c r="C66" s="272"/>
      <c r="D66" s="119">
        <f t="shared" si="13"/>
        <v>-18.3</v>
      </c>
      <c r="E66" s="117">
        <v>19</v>
      </c>
      <c r="F66" s="272"/>
      <c r="G66" s="272"/>
      <c r="H66" s="119">
        <f t="shared" si="8"/>
        <v>-18.3</v>
      </c>
      <c r="I66" s="117">
        <v>19</v>
      </c>
      <c r="J66" s="272"/>
      <c r="K66" s="272"/>
      <c r="L66" s="119">
        <f t="shared" si="10"/>
        <v>-18.3</v>
      </c>
      <c r="M66" s="117">
        <v>19</v>
      </c>
      <c r="N66" s="272"/>
      <c r="O66" s="272"/>
      <c r="P66" s="119">
        <f t="shared" si="11"/>
        <v>-18.3</v>
      </c>
      <c r="Q66" s="117">
        <v>19</v>
      </c>
      <c r="R66" s="272"/>
      <c r="S66" s="272"/>
      <c r="T66" s="119">
        <f t="shared" si="12"/>
        <v>-18.3</v>
      </c>
      <c r="U66" s="117">
        <v>19</v>
      </c>
      <c r="V66" s="272"/>
      <c r="W66" s="272"/>
      <c r="X66" s="119">
        <f t="shared" si="9"/>
        <v>-18.3</v>
      </c>
    </row>
    <row r="67" spans="1:24">
      <c r="A67" s="117">
        <v>20</v>
      </c>
      <c r="B67" s="272"/>
      <c r="C67" s="272"/>
      <c r="D67" s="119">
        <f t="shared" si="13"/>
        <v>-18.3</v>
      </c>
      <c r="E67" s="117">
        <v>20</v>
      </c>
      <c r="F67" s="272"/>
      <c r="G67" s="272"/>
      <c r="H67" s="119">
        <f t="shared" si="8"/>
        <v>-18.3</v>
      </c>
      <c r="I67" s="117">
        <v>20</v>
      </c>
      <c r="J67" s="272"/>
      <c r="K67" s="272"/>
      <c r="L67" s="119">
        <f t="shared" si="10"/>
        <v>-18.3</v>
      </c>
      <c r="M67" s="117">
        <v>20</v>
      </c>
      <c r="N67" s="272"/>
      <c r="O67" s="272"/>
      <c r="P67" s="119">
        <f t="shared" si="11"/>
        <v>-18.3</v>
      </c>
      <c r="Q67" s="117">
        <v>20</v>
      </c>
      <c r="R67" s="272"/>
      <c r="S67" s="272"/>
      <c r="T67" s="119">
        <f t="shared" si="12"/>
        <v>-18.3</v>
      </c>
      <c r="U67" s="117">
        <v>20</v>
      </c>
      <c r="V67" s="272"/>
      <c r="W67" s="272"/>
      <c r="X67" s="119">
        <f t="shared" si="9"/>
        <v>-18.3</v>
      </c>
    </row>
    <row r="68" spans="1:24">
      <c r="A68" s="117">
        <v>21</v>
      </c>
      <c r="B68" s="272"/>
      <c r="C68" s="272"/>
      <c r="D68" s="119">
        <f t="shared" si="13"/>
        <v>-18.3</v>
      </c>
      <c r="E68" s="117">
        <v>21</v>
      </c>
      <c r="F68" s="272"/>
      <c r="G68" s="272"/>
      <c r="H68" s="119">
        <f t="shared" si="8"/>
        <v>-18.3</v>
      </c>
      <c r="I68" s="117">
        <v>21</v>
      </c>
      <c r="J68" s="272"/>
      <c r="K68" s="272"/>
      <c r="L68" s="119">
        <f t="shared" si="10"/>
        <v>-18.3</v>
      </c>
      <c r="M68" s="117">
        <v>21</v>
      </c>
      <c r="N68" s="272"/>
      <c r="O68" s="272"/>
      <c r="P68" s="119">
        <f t="shared" si="11"/>
        <v>-18.3</v>
      </c>
      <c r="Q68" s="117">
        <v>21</v>
      </c>
      <c r="R68" s="272"/>
      <c r="S68" s="272"/>
      <c r="T68" s="119">
        <f t="shared" si="12"/>
        <v>-18.3</v>
      </c>
      <c r="U68" s="117">
        <v>21</v>
      </c>
      <c r="V68" s="272"/>
      <c r="W68" s="272"/>
      <c r="X68" s="119">
        <f t="shared" si="9"/>
        <v>-18.3</v>
      </c>
    </row>
    <row r="69" spans="1:24">
      <c r="A69" s="117">
        <v>22</v>
      </c>
      <c r="B69" s="272"/>
      <c r="C69" s="272"/>
      <c r="D69" s="119">
        <f t="shared" si="13"/>
        <v>-18.3</v>
      </c>
      <c r="E69" s="117">
        <v>22</v>
      </c>
      <c r="F69" s="272"/>
      <c r="G69" s="272"/>
      <c r="H69" s="119">
        <f t="shared" si="8"/>
        <v>-18.3</v>
      </c>
      <c r="I69" s="117">
        <v>22</v>
      </c>
      <c r="J69" s="272"/>
      <c r="K69" s="272"/>
      <c r="L69" s="119">
        <f t="shared" si="10"/>
        <v>-18.3</v>
      </c>
      <c r="M69" s="117">
        <v>22</v>
      </c>
      <c r="N69" s="272"/>
      <c r="O69" s="272"/>
      <c r="P69" s="119">
        <f t="shared" si="11"/>
        <v>-18.3</v>
      </c>
      <c r="Q69" s="117">
        <v>22</v>
      </c>
      <c r="R69" s="272"/>
      <c r="S69" s="272"/>
      <c r="T69" s="119">
        <f>(R69+S69)/2-18.3</f>
        <v>-18.3</v>
      </c>
      <c r="U69" s="117">
        <v>22</v>
      </c>
      <c r="V69" s="272"/>
      <c r="W69" s="272"/>
      <c r="X69" s="119">
        <f t="shared" si="9"/>
        <v>-18.3</v>
      </c>
    </row>
    <row r="70" spans="1:24">
      <c r="A70" s="117">
        <v>23</v>
      </c>
      <c r="B70" s="272"/>
      <c r="C70" s="272"/>
      <c r="D70" s="119">
        <f t="shared" si="13"/>
        <v>-18.3</v>
      </c>
      <c r="E70" s="117">
        <v>23</v>
      </c>
      <c r="F70" s="272"/>
      <c r="G70" s="272"/>
      <c r="H70" s="119">
        <f t="shared" si="8"/>
        <v>-18.3</v>
      </c>
      <c r="I70" s="117">
        <v>23</v>
      </c>
      <c r="J70" s="272"/>
      <c r="K70" s="272"/>
      <c r="L70" s="119">
        <f t="shared" si="10"/>
        <v>-18.3</v>
      </c>
      <c r="M70" s="117">
        <v>23</v>
      </c>
      <c r="N70" s="272"/>
      <c r="O70" s="272"/>
      <c r="P70" s="119">
        <f t="shared" si="11"/>
        <v>-18.3</v>
      </c>
      <c r="Q70" s="117">
        <v>23</v>
      </c>
      <c r="R70" s="272"/>
      <c r="S70" s="272"/>
      <c r="T70" s="119">
        <f t="shared" si="12"/>
        <v>-18.3</v>
      </c>
      <c r="U70" s="117">
        <v>23</v>
      </c>
      <c r="V70" s="272"/>
      <c r="W70" s="272"/>
      <c r="X70" s="119">
        <f t="shared" si="9"/>
        <v>-18.3</v>
      </c>
    </row>
    <row r="71" spans="1:24">
      <c r="A71" s="117">
        <v>24</v>
      </c>
      <c r="B71" s="272"/>
      <c r="C71" s="272"/>
      <c r="D71" s="119">
        <f t="shared" si="13"/>
        <v>-18.3</v>
      </c>
      <c r="E71" s="117">
        <v>24</v>
      </c>
      <c r="F71" s="272"/>
      <c r="G71" s="272"/>
      <c r="H71" s="119">
        <f t="shared" si="8"/>
        <v>-18.3</v>
      </c>
      <c r="I71" s="117">
        <v>24</v>
      </c>
      <c r="J71" s="272"/>
      <c r="K71" s="272"/>
      <c r="L71" s="119">
        <f t="shared" si="10"/>
        <v>-18.3</v>
      </c>
      <c r="M71" s="117">
        <v>24</v>
      </c>
      <c r="N71" s="272"/>
      <c r="O71" s="272"/>
      <c r="P71" s="119">
        <f t="shared" si="11"/>
        <v>-18.3</v>
      </c>
      <c r="Q71" s="117">
        <v>24</v>
      </c>
      <c r="R71" s="272"/>
      <c r="S71" s="272"/>
      <c r="T71" s="119">
        <f t="shared" si="12"/>
        <v>-18.3</v>
      </c>
      <c r="U71" s="117">
        <v>24</v>
      </c>
      <c r="V71" s="272"/>
      <c r="W71" s="272"/>
      <c r="X71" s="119">
        <f t="shared" si="9"/>
        <v>-18.3</v>
      </c>
    </row>
    <row r="72" spans="1:24">
      <c r="A72" s="117">
        <v>25</v>
      </c>
      <c r="B72" s="272"/>
      <c r="C72" s="272"/>
      <c r="D72" s="119">
        <f t="shared" si="13"/>
        <v>-18.3</v>
      </c>
      <c r="E72" s="117">
        <v>25</v>
      </c>
      <c r="F72" s="272"/>
      <c r="G72" s="272"/>
      <c r="H72" s="119">
        <f t="shared" si="8"/>
        <v>-18.3</v>
      </c>
      <c r="I72" s="117">
        <v>25</v>
      </c>
      <c r="J72" s="272"/>
      <c r="K72" s="272"/>
      <c r="L72" s="119">
        <f t="shared" si="10"/>
        <v>-18.3</v>
      </c>
      <c r="M72" s="117">
        <v>25</v>
      </c>
      <c r="N72" s="272"/>
      <c r="O72" s="272"/>
      <c r="P72" s="119">
        <f t="shared" si="11"/>
        <v>-18.3</v>
      </c>
      <c r="Q72" s="117">
        <v>25</v>
      </c>
      <c r="R72" s="272"/>
      <c r="S72" s="272"/>
      <c r="T72" s="119">
        <f t="shared" si="12"/>
        <v>-18.3</v>
      </c>
      <c r="U72" s="117">
        <v>25</v>
      </c>
      <c r="V72" s="272"/>
      <c r="W72" s="272"/>
      <c r="X72" s="119">
        <f t="shared" si="9"/>
        <v>-18.3</v>
      </c>
    </row>
    <row r="73" spans="1:24">
      <c r="A73" s="117">
        <v>26</v>
      </c>
      <c r="B73" s="272"/>
      <c r="C73" s="272"/>
      <c r="D73" s="119">
        <f t="shared" si="13"/>
        <v>-18.3</v>
      </c>
      <c r="E73" s="117">
        <v>26</v>
      </c>
      <c r="F73" s="272"/>
      <c r="G73" s="272"/>
      <c r="H73" s="119">
        <f t="shared" si="8"/>
        <v>-18.3</v>
      </c>
      <c r="I73" s="117">
        <v>26</v>
      </c>
      <c r="J73" s="272"/>
      <c r="K73" s="272"/>
      <c r="L73" s="119">
        <f t="shared" si="10"/>
        <v>-18.3</v>
      </c>
      <c r="M73" s="117">
        <v>26</v>
      </c>
      <c r="N73" s="272"/>
      <c r="O73" s="272"/>
      <c r="P73" s="119">
        <f t="shared" si="11"/>
        <v>-18.3</v>
      </c>
      <c r="Q73" s="117">
        <v>26</v>
      </c>
      <c r="R73" s="272"/>
      <c r="S73" s="272"/>
      <c r="T73" s="119">
        <f t="shared" si="12"/>
        <v>-18.3</v>
      </c>
      <c r="U73" s="117">
        <v>26</v>
      </c>
      <c r="V73" s="272"/>
      <c r="W73" s="272"/>
      <c r="X73" s="119">
        <f t="shared" si="9"/>
        <v>-18.3</v>
      </c>
    </row>
    <row r="74" spans="1:24">
      <c r="A74" s="117">
        <v>27</v>
      </c>
      <c r="B74" s="272"/>
      <c r="C74" s="272"/>
      <c r="D74" s="119">
        <f t="shared" si="13"/>
        <v>-18.3</v>
      </c>
      <c r="E74" s="117">
        <v>27</v>
      </c>
      <c r="F74" s="272"/>
      <c r="G74" s="272"/>
      <c r="H74" s="119">
        <f t="shared" si="8"/>
        <v>-18.3</v>
      </c>
      <c r="I74" s="117">
        <v>27</v>
      </c>
      <c r="J74" s="272"/>
      <c r="K74" s="272"/>
      <c r="L74" s="119">
        <f t="shared" si="10"/>
        <v>-18.3</v>
      </c>
      <c r="M74" s="117">
        <v>27</v>
      </c>
      <c r="N74" s="272"/>
      <c r="O74" s="272"/>
      <c r="P74" s="119">
        <f t="shared" si="11"/>
        <v>-18.3</v>
      </c>
      <c r="Q74" s="117">
        <v>27</v>
      </c>
      <c r="R74" s="272"/>
      <c r="S74" s="272"/>
      <c r="T74" s="119">
        <f t="shared" si="12"/>
        <v>-18.3</v>
      </c>
      <c r="U74" s="117">
        <v>27</v>
      </c>
      <c r="V74" s="272"/>
      <c r="W74" s="272"/>
      <c r="X74" s="119">
        <f t="shared" si="9"/>
        <v>-18.3</v>
      </c>
    </row>
    <row r="75" spans="1:24">
      <c r="A75" s="117">
        <v>28</v>
      </c>
      <c r="B75" s="272"/>
      <c r="C75" s="272"/>
      <c r="D75" s="119">
        <f t="shared" si="13"/>
        <v>-18.3</v>
      </c>
      <c r="E75" s="117">
        <v>28</v>
      </c>
      <c r="F75" s="272"/>
      <c r="G75" s="272"/>
      <c r="H75" s="119">
        <f t="shared" si="8"/>
        <v>-18.3</v>
      </c>
      <c r="I75" s="117">
        <v>28</v>
      </c>
      <c r="J75" s="272"/>
      <c r="K75" s="272"/>
      <c r="L75" s="119">
        <f t="shared" si="10"/>
        <v>-18.3</v>
      </c>
      <c r="M75" s="117">
        <v>28</v>
      </c>
      <c r="N75" s="272"/>
      <c r="O75" s="272"/>
      <c r="P75" s="119">
        <f t="shared" si="11"/>
        <v>-18.3</v>
      </c>
      <c r="Q75" s="117">
        <v>28</v>
      </c>
      <c r="R75" s="272"/>
      <c r="S75" s="272"/>
      <c r="T75" s="119">
        <f t="shared" si="12"/>
        <v>-18.3</v>
      </c>
      <c r="U75" s="117">
        <v>28</v>
      </c>
      <c r="V75" s="272"/>
      <c r="W75" s="272"/>
      <c r="X75" s="119">
        <f t="shared" si="9"/>
        <v>-18.3</v>
      </c>
    </row>
    <row r="76" spans="1:24">
      <c r="A76" s="117">
        <v>29</v>
      </c>
      <c r="B76" s="272"/>
      <c r="C76" s="272"/>
      <c r="D76" s="119">
        <f t="shared" si="13"/>
        <v>-18.3</v>
      </c>
      <c r="E76" s="117">
        <v>29</v>
      </c>
      <c r="F76" s="272"/>
      <c r="G76" s="272"/>
      <c r="H76" s="119">
        <f t="shared" si="8"/>
        <v>-18.3</v>
      </c>
      <c r="I76" s="117">
        <v>29</v>
      </c>
      <c r="J76" s="272"/>
      <c r="K76" s="272"/>
      <c r="L76" s="119">
        <f t="shared" si="10"/>
        <v>-18.3</v>
      </c>
      <c r="M76" s="117">
        <v>29</v>
      </c>
      <c r="N76" s="272"/>
      <c r="O76" s="272"/>
      <c r="P76" s="119">
        <f t="shared" si="11"/>
        <v>-18.3</v>
      </c>
      <c r="Q76" s="117">
        <v>29</v>
      </c>
      <c r="R76" s="272"/>
      <c r="S76" s="272"/>
      <c r="T76" s="119">
        <f t="shared" si="12"/>
        <v>-18.3</v>
      </c>
      <c r="U76" s="117">
        <v>29</v>
      </c>
      <c r="V76" s="272"/>
      <c r="W76" s="272"/>
      <c r="X76" s="119">
        <f t="shared" si="9"/>
        <v>-18.3</v>
      </c>
    </row>
    <row r="77" spans="1:24">
      <c r="A77" s="117">
        <v>30</v>
      </c>
      <c r="B77" s="272"/>
      <c r="C77" s="272"/>
      <c r="D77" s="119">
        <f t="shared" si="13"/>
        <v>-18.3</v>
      </c>
      <c r="E77" s="117">
        <v>30</v>
      </c>
      <c r="F77" s="272"/>
      <c r="G77" s="272"/>
      <c r="H77" s="119">
        <f t="shared" si="8"/>
        <v>-18.3</v>
      </c>
      <c r="I77" s="117">
        <v>30</v>
      </c>
      <c r="J77" s="272"/>
      <c r="K77" s="272"/>
      <c r="L77" s="119">
        <f t="shared" si="10"/>
        <v>-18.3</v>
      </c>
      <c r="M77" s="117">
        <v>30</v>
      </c>
      <c r="N77" s="272"/>
      <c r="O77" s="272"/>
      <c r="P77" s="119">
        <f t="shared" si="11"/>
        <v>-18.3</v>
      </c>
      <c r="Q77" s="117">
        <v>30</v>
      </c>
      <c r="R77" s="272"/>
      <c r="S77" s="272"/>
      <c r="T77" s="119">
        <f t="shared" si="12"/>
        <v>-18.3</v>
      </c>
      <c r="U77" s="117">
        <v>30</v>
      </c>
      <c r="V77" s="272"/>
      <c r="W77" s="272"/>
      <c r="X77" s="119">
        <f t="shared" si="9"/>
        <v>-18.3</v>
      </c>
    </row>
    <row r="78" spans="1:24">
      <c r="A78" s="120">
        <v>31</v>
      </c>
      <c r="B78" s="272"/>
      <c r="C78" s="272"/>
      <c r="D78" s="119">
        <f t="shared" si="13"/>
        <v>-18.3</v>
      </c>
      <c r="E78" s="120">
        <v>31</v>
      </c>
      <c r="F78" s="272"/>
      <c r="G78" s="272"/>
      <c r="H78" s="119">
        <f t="shared" si="8"/>
        <v>-18.3</v>
      </c>
      <c r="I78" s="120"/>
      <c r="J78" s="272"/>
      <c r="K78" s="272"/>
      <c r="L78" s="122"/>
      <c r="M78" s="120">
        <v>31</v>
      </c>
      <c r="N78" s="272"/>
      <c r="O78" s="272"/>
      <c r="P78" s="122">
        <f t="shared" si="11"/>
        <v>-18.3</v>
      </c>
      <c r="Q78" s="120"/>
      <c r="R78" s="272"/>
      <c r="S78" s="272"/>
      <c r="T78" s="122"/>
      <c r="U78" s="120">
        <v>31</v>
      </c>
      <c r="V78" s="272"/>
      <c r="W78" s="272"/>
      <c r="X78" s="119">
        <f t="shared" si="9"/>
        <v>-18.3</v>
      </c>
    </row>
    <row r="79" spans="1:24" s="17" customFormat="1">
      <c r="A79" s="123"/>
      <c r="B79" s="124"/>
      <c r="C79" s="124"/>
      <c r="D79" s="121"/>
      <c r="E79" s="123"/>
      <c r="F79" s="124"/>
      <c r="G79" s="124"/>
      <c r="H79" s="121"/>
      <c r="I79" s="123"/>
      <c r="J79" s="124"/>
      <c r="K79" s="124"/>
      <c r="L79" s="121"/>
      <c r="M79" s="123"/>
      <c r="N79" s="124"/>
      <c r="O79" s="124"/>
      <c r="P79" s="121"/>
      <c r="Q79" s="123"/>
      <c r="R79" s="124"/>
      <c r="S79" s="124"/>
      <c r="T79" s="121"/>
      <c r="U79" s="123"/>
      <c r="V79" s="124"/>
      <c r="W79" s="124"/>
      <c r="X79" s="121"/>
    </row>
    <row r="80" spans="1:24" s="128" customFormat="1" ht="21">
      <c r="A80" s="125"/>
      <c r="B80" s="126" t="s">
        <v>174</v>
      </c>
      <c r="C80" s="126" t="s">
        <v>175</v>
      </c>
      <c r="D80" s="127"/>
      <c r="E80" s="125"/>
      <c r="F80" s="126" t="s">
        <v>174</v>
      </c>
      <c r="G80" s="126" t="s">
        <v>175</v>
      </c>
      <c r="H80" s="127"/>
      <c r="I80" s="125"/>
      <c r="J80" s="126" t="s">
        <v>174</v>
      </c>
      <c r="K80" s="126" t="s">
        <v>175</v>
      </c>
      <c r="L80" s="127"/>
      <c r="M80" s="125"/>
      <c r="N80" s="126" t="s">
        <v>174</v>
      </c>
      <c r="O80" s="126" t="s">
        <v>175</v>
      </c>
      <c r="P80" s="127"/>
      <c r="Q80" s="125"/>
      <c r="R80" s="126" t="s">
        <v>174</v>
      </c>
      <c r="S80" s="126" t="s">
        <v>175</v>
      </c>
      <c r="T80" s="127"/>
      <c r="U80" s="125"/>
      <c r="V80" s="126" t="s">
        <v>174</v>
      </c>
      <c r="W80" s="126" t="s">
        <v>175</v>
      </c>
      <c r="X80" s="127"/>
    </row>
    <row r="81" spans="1:24">
      <c r="A81" s="129"/>
      <c r="B81" s="119">
        <f>SUMIF(D48:D78,"&lt;0")</f>
        <v>-567.30000000000007</v>
      </c>
      <c r="C81" s="119">
        <f>SUMIF(D48:D78,"&gt;0")</f>
        <v>0</v>
      </c>
      <c r="D81" s="130"/>
      <c r="E81" s="129"/>
      <c r="F81" s="119">
        <f>SUMIF(H48:H78,"&lt;0")</f>
        <v>-567.30000000000007</v>
      </c>
      <c r="G81" s="119">
        <f>SUMIF(H48:H78,"&gt;0")</f>
        <v>0</v>
      </c>
      <c r="H81" s="130"/>
      <c r="I81" s="129"/>
      <c r="J81" s="119">
        <f>SUMIF(L48:L78,"&lt;0")</f>
        <v>-549.00000000000011</v>
      </c>
      <c r="K81" s="119">
        <f>SUMIF(L48:L78,"&gt;0")</f>
        <v>0</v>
      </c>
      <c r="L81" s="130"/>
      <c r="M81" s="129"/>
      <c r="N81" s="119">
        <f>SUMIF(P48:P78,"&lt;0")</f>
        <v>-567.30000000000007</v>
      </c>
      <c r="O81" s="119">
        <f>SUMIF(P48:P78,"&gt;0")</f>
        <v>0</v>
      </c>
      <c r="P81" s="130"/>
      <c r="Q81" s="129"/>
      <c r="R81" s="119">
        <f>SUMIF(T48:T78,"&lt;0")</f>
        <v>-549.00000000000011</v>
      </c>
      <c r="S81" s="119">
        <f>SUMIF(T48:T78,"&gt;0")</f>
        <v>0</v>
      </c>
      <c r="T81" s="130"/>
      <c r="U81" s="129"/>
      <c r="V81" s="119">
        <f>SUMIF(X48:X78,"&lt;0")</f>
        <v>-567.30000000000007</v>
      </c>
      <c r="W81" s="119">
        <f>SUMIF(X48:X78,"&gt;0")</f>
        <v>0</v>
      </c>
      <c r="X81" s="130"/>
    </row>
    <row r="82" spans="1:24">
      <c r="A82" s="131"/>
      <c r="B82" s="132"/>
      <c r="C82" s="132"/>
      <c r="D82" s="133"/>
      <c r="E82" s="131"/>
      <c r="F82" s="132"/>
      <c r="G82" s="132"/>
      <c r="H82" s="139"/>
      <c r="I82" s="131"/>
      <c r="J82" s="132"/>
      <c r="K82" s="132"/>
      <c r="L82" s="133"/>
      <c r="M82" s="131"/>
      <c r="N82" s="132"/>
      <c r="O82" s="132"/>
      <c r="P82" s="133"/>
      <c r="Q82" s="131"/>
      <c r="R82" s="132"/>
      <c r="S82" s="132"/>
      <c r="T82" s="133"/>
      <c r="U82" s="131"/>
      <c r="V82" s="132"/>
      <c r="W82" s="132"/>
      <c r="X82" s="133"/>
    </row>
    <row r="83" spans="1:24" ht="15.75" thickBot="1">
      <c r="D83" s="134"/>
      <c r="L83" s="134"/>
      <c r="P83" s="134"/>
      <c r="T83" s="134"/>
      <c r="X83" s="134"/>
    </row>
    <row r="84" spans="1:24">
      <c r="D84" s="134"/>
      <c r="L84" s="134"/>
      <c r="N84" s="702" t="s">
        <v>174</v>
      </c>
      <c r="O84" s="702" t="s">
        <v>175</v>
      </c>
      <c r="P84" s="134"/>
      <c r="T84" s="134"/>
      <c r="X84" s="134"/>
    </row>
    <row r="85" spans="1:24" ht="20.25" thickBot="1">
      <c r="D85" s="134"/>
      <c r="I85" s="704" t="s">
        <v>182</v>
      </c>
      <c r="J85" s="705"/>
      <c r="K85" s="705"/>
      <c r="L85" s="705"/>
      <c r="N85" s="703"/>
      <c r="O85" s="703"/>
      <c r="P85" s="134"/>
      <c r="R85" s="17"/>
      <c r="S85" s="17"/>
      <c r="T85" s="140"/>
      <c r="U85" s="141"/>
      <c r="X85" s="134"/>
    </row>
    <row r="86" spans="1:24" ht="18.75" thickBot="1">
      <c r="D86" s="134"/>
      <c r="I86" s="706" t="s">
        <v>183</v>
      </c>
      <c r="J86" s="706"/>
      <c r="K86" s="706"/>
      <c r="L86" s="706"/>
      <c r="N86" s="142">
        <f>B43+F43+J43+N43+R43+V43+B81+F81+J81+N81+R81+V81</f>
        <v>-5585.3000000000011</v>
      </c>
      <c r="O86" s="142">
        <f>C43+G43+K43+O43+S43+W43+C81+G81+K81+O81+S81+W81</f>
        <v>9.2999999999999901</v>
      </c>
      <c r="P86" s="134"/>
      <c r="R86" s="143"/>
      <c r="S86" s="143"/>
      <c r="T86" s="144"/>
      <c r="U86" s="145"/>
      <c r="X86" s="134"/>
    </row>
    <row r="87" spans="1:24" ht="18">
      <c r="D87" s="134"/>
      <c r="L87" s="134"/>
      <c r="P87" s="134"/>
      <c r="R87" s="143"/>
      <c r="S87" s="143"/>
      <c r="T87" s="146"/>
      <c r="U87" s="145"/>
      <c r="X87" s="134"/>
    </row>
    <row r="88" spans="1:24" ht="15.75">
      <c r="B88" s="696"/>
      <c r="C88" s="696"/>
      <c r="D88" s="696"/>
      <c r="E88" s="696"/>
      <c r="F88" s="696"/>
      <c r="G88" s="696"/>
      <c r="H88" s="696"/>
      <c r="I88" s="696"/>
      <c r="J88" s="696"/>
      <c r="K88" s="696"/>
      <c r="L88" s="696"/>
      <c r="M88" s="696"/>
      <c r="N88" s="696"/>
      <c r="O88" s="696"/>
      <c r="P88" s="696"/>
      <c r="Q88" s="696"/>
      <c r="R88" s="696"/>
      <c r="S88" s="696"/>
      <c r="T88" s="696"/>
      <c r="U88" s="696"/>
      <c r="V88" s="696"/>
      <c r="W88" s="696"/>
      <c r="X88" s="134"/>
    </row>
    <row r="89" spans="1:24">
      <c r="D89" s="134"/>
      <c r="P89" s="134"/>
      <c r="X89" s="134"/>
    </row>
    <row r="90" spans="1:24">
      <c r="D90" s="134"/>
      <c r="P90" s="134"/>
    </row>
    <row r="91" spans="1:24">
      <c r="D91" s="134"/>
      <c r="P91" s="134"/>
    </row>
    <row r="92" spans="1:24">
      <c r="D92" s="159" t="s">
        <v>195</v>
      </c>
      <c r="P92" s="134"/>
    </row>
    <row r="93" spans="1:24">
      <c r="D93" s="134"/>
      <c r="P93" s="134"/>
    </row>
    <row r="94" spans="1:24">
      <c r="D94" s="134"/>
      <c r="P94" s="134"/>
    </row>
    <row r="95" spans="1:24">
      <c r="D95" s="134"/>
      <c r="P95" s="134"/>
    </row>
    <row r="96" spans="1:24">
      <c r="D96" s="134"/>
    </row>
  </sheetData>
  <mergeCells count="12">
    <mergeCell ref="A1:X1"/>
    <mergeCell ref="A2:X2"/>
    <mergeCell ref="A3:X3"/>
    <mergeCell ref="A5:X5"/>
    <mergeCell ref="A6:X6"/>
    <mergeCell ref="B88:W88"/>
    <mergeCell ref="A7:B7"/>
    <mergeCell ref="C7:K7"/>
    <mergeCell ref="N84:N85"/>
    <mergeCell ref="O84:O85"/>
    <mergeCell ref="I85:L85"/>
    <mergeCell ref="I86:L86"/>
  </mergeCells>
  <hyperlinks>
    <hyperlink ref="D92" r:id="rId1"/>
  </hyperlinks>
  <pageMargins left="0.70866141732283472" right="0.70866141732283472" top="0.74803149606299213" bottom="0.74803149606299213" header="0.31496062992125984" footer="0.31496062992125984"/>
  <pageSetup paperSize="8" orientation="landscape" r:id="rId2"/>
  <drawing r:id="rId3"/>
  <legacyDrawing r:id="rId4"/>
</worksheet>
</file>

<file path=xl/worksheets/sheet16.xml><?xml version="1.0" encoding="utf-8"?>
<worksheet xmlns="http://schemas.openxmlformats.org/spreadsheetml/2006/main" xmlns:r="http://schemas.openxmlformats.org/officeDocument/2006/relationships">
  <dimension ref="A2:K33"/>
  <sheetViews>
    <sheetView topLeftCell="A4" workbookViewId="0">
      <pane xSplit="1" topLeftCell="B1" activePane="topRight" state="frozen"/>
      <selection pane="topRight" activeCell="H20" sqref="H20"/>
    </sheetView>
  </sheetViews>
  <sheetFormatPr defaultRowHeight="15"/>
  <cols>
    <col min="1" max="1" width="14.85546875" customWidth="1"/>
    <col min="2" max="2" width="12.28515625" bestFit="1" customWidth="1"/>
    <col min="3" max="3" width="9" bestFit="1" customWidth="1"/>
    <col min="4" max="4" width="17.7109375" bestFit="1" customWidth="1"/>
    <col min="5" max="5" width="15" bestFit="1" customWidth="1"/>
    <col min="6" max="6" width="14.7109375" style="174" customWidth="1"/>
    <col min="7" max="7" width="16.7109375" bestFit="1" customWidth="1"/>
    <col min="8" max="8" width="16" customWidth="1"/>
    <col min="9" max="9" width="16" bestFit="1" customWidth="1"/>
    <col min="10" max="10" width="15.28515625" bestFit="1" customWidth="1"/>
    <col min="11" max="11" width="16.140625" bestFit="1" customWidth="1"/>
    <col min="12" max="12" width="10.5703125" bestFit="1" customWidth="1"/>
    <col min="14" max="14" width="15.28515625" bestFit="1" customWidth="1"/>
    <col min="15" max="15" width="10.5703125" bestFit="1" customWidth="1"/>
  </cols>
  <sheetData>
    <row r="2" spans="1:11">
      <c r="A2" s="710" t="s">
        <v>216</v>
      </c>
      <c r="B2" s="710"/>
      <c r="C2" s="710"/>
      <c r="D2" s="710"/>
      <c r="E2" s="710"/>
      <c r="F2" s="710"/>
      <c r="G2" s="710"/>
      <c r="H2" s="710"/>
      <c r="I2" s="710"/>
    </row>
    <row r="3" spans="1:11">
      <c r="A3" s="193">
        <v>44197</v>
      </c>
      <c r="B3" s="177"/>
      <c r="C3" s="177"/>
      <c r="D3" s="177"/>
      <c r="E3" s="177"/>
      <c r="F3" s="177"/>
      <c r="G3" s="177"/>
      <c r="H3" s="177"/>
      <c r="I3" s="3"/>
    </row>
    <row r="4" spans="1:11">
      <c r="A4" s="3"/>
      <c r="B4" s="3"/>
      <c r="C4" s="3" t="s">
        <v>222</v>
      </c>
      <c r="D4" s="3">
        <v>1507.5</v>
      </c>
      <c r="E4" s="3"/>
      <c r="F4" s="196">
        <f>'EDl log'!A32</f>
        <v>28</v>
      </c>
      <c r="G4" s="195">
        <v>28</v>
      </c>
      <c r="H4" s="195"/>
      <c r="I4" s="195"/>
    </row>
    <row r="5" spans="1:11">
      <c r="A5" s="245" t="s">
        <v>231</v>
      </c>
      <c r="B5" s="175" t="s">
        <v>230</v>
      </c>
      <c r="C5" s="175" t="s">
        <v>227</v>
      </c>
      <c r="D5" s="175" t="s">
        <v>228</v>
      </c>
      <c r="E5" s="175" t="s">
        <v>229</v>
      </c>
      <c r="F5" s="246" t="s">
        <v>226</v>
      </c>
      <c r="G5" s="248" t="s">
        <v>334</v>
      </c>
      <c r="H5" s="248" t="s">
        <v>333</v>
      </c>
      <c r="I5" s="194" t="s">
        <v>232</v>
      </c>
      <c r="K5" s="429"/>
    </row>
    <row r="6" spans="1:11">
      <c r="A6" s="184" t="s">
        <v>217</v>
      </c>
      <c r="B6" s="350">
        <f>WATER!C34</f>
        <v>0</v>
      </c>
      <c r="C6" s="329">
        <v>1.66</v>
      </c>
      <c r="D6" s="184">
        <f>SUM(C6*B6)*D4</f>
        <v>0</v>
      </c>
      <c r="E6" s="435">
        <f>SUM(D6/D4)/F4</f>
        <v>0</v>
      </c>
      <c r="F6" s="185">
        <f>SUM(E6*F4)</f>
        <v>0</v>
      </c>
      <c r="G6" s="186">
        <f>SUM(B6*C6)</f>
        <v>0</v>
      </c>
      <c r="H6" s="185">
        <v>0</v>
      </c>
      <c r="I6" s="579">
        <v>0</v>
      </c>
      <c r="J6" s="276"/>
    </row>
    <row r="7" spans="1:11">
      <c r="A7" s="184" t="s">
        <v>218</v>
      </c>
      <c r="B7" s="350">
        <f>WATER!H34</f>
        <v>778</v>
      </c>
      <c r="C7" s="184">
        <v>8200</v>
      </c>
      <c r="D7" s="187">
        <f>SUM(C7)*D4</f>
        <v>12361500</v>
      </c>
      <c r="E7" s="185">
        <f>SUM(I7/G4)</f>
        <v>292.85714285714283</v>
      </c>
      <c r="F7" s="185">
        <f>SUM(E7*F4)</f>
        <v>8200</v>
      </c>
      <c r="G7" s="510">
        <v>8200</v>
      </c>
      <c r="H7" s="189">
        <f>'[12]Budget 2021'!$C$15</f>
        <v>8200</v>
      </c>
      <c r="I7" s="185">
        <f>H7</f>
        <v>8200</v>
      </c>
      <c r="J7" s="276"/>
    </row>
    <row r="8" spans="1:11">
      <c r="A8" s="190" t="s">
        <v>219</v>
      </c>
      <c r="B8" s="351">
        <f>tanks!AT34</f>
        <v>33314.1</v>
      </c>
      <c r="C8" s="493">
        <f>SUM(tanks!AU34)</f>
        <v>0.58260000000000001</v>
      </c>
      <c r="D8" s="191">
        <f>SUM(B8*C8)*D4</f>
        <v>29258757.949949998</v>
      </c>
      <c r="E8" s="192">
        <f>SUM(D8/D4/F4)</f>
        <v>693.17123785714284</v>
      </c>
      <c r="F8" s="192">
        <f>SUM(E8*F4)</f>
        <v>19408.79466</v>
      </c>
      <c r="G8" s="510">
        <f>E8*$F$4</f>
        <v>19408.79466</v>
      </c>
      <c r="H8" s="189">
        <f>'[12]Budget 2021'!$C$14</f>
        <v>28095.438387096758</v>
      </c>
      <c r="I8" s="192">
        <f>H8</f>
        <v>28095.438387096758</v>
      </c>
      <c r="J8" s="276"/>
    </row>
    <row r="9" spans="1:11">
      <c r="A9" s="2" t="s">
        <v>414</v>
      </c>
      <c r="B9" s="352">
        <f>'B5'!AV33</f>
        <v>0</v>
      </c>
      <c r="C9" s="349">
        <v>0.7</v>
      </c>
      <c r="D9" s="188">
        <f>SUM(B9*C9)*D4</f>
        <v>0</v>
      </c>
      <c r="E9" s="189">
        <f>SUM(C9*B9)/F4</f>
        <v>0</v>
      </c>
      <c r="F9" s="189">
        <f>SUM(E9*F4)</f>
        <v>0</v>
      </c>
      <c r="G9" s="510">
        <f>E9*$G$4</f>
        <v>0</v>
      </c>
      <c r="H9" s="189">
        <v>0</v>
      </c>
      <c r="I9" s="189">
        <f>H9</f>
        <v>0</v>
      </c>
      <c r="J9" s="276"/>
    </row>
    <row r="10" spans="1:11">
      <c r="A10" s="181" t="s">
        <v>220</v>
      </c>
      <c r="B10" s="353"/>
      <c r="C10" s="181"/>
      <c r="D10" s="183">
        <f>SUM('EDl log'!AB31)</f>
        <v>14342989</v>
      </c>
      <c r="E10" s="182">
        <f>SUM(D10/D4/F4)</f>
        <v>339.80073442312244</v>
      </c>
      <c r="F10" s="182">
        <f>SUM(E10*F4)</f>
        <v>9514.4205638474286</v>
      </c>
      <c r="G10" s="510">
        <f>E10*$G$4</f>
        <v>9514.4205638474286</v>
      </c>
      <c r="H10" s="189">
        <f>'[12]Budget 2021'!$C$12</f>
        <v>19000</v>
      </c>
      <c r="I10" s="278">
        <f>H10</f>
        <v>19000</v>
      </c>
      <c r="J10" s="276"/>
      <c r="K10" s="276"/>
    </row>
    <row r="11" spans="1:11">
      <c r="I11" s="276"/>
      <c r="J11" s="276"/>
      <c r="K11" s="276"/>
    </row>
    <row r="12" spans="1:11" ht="42.75" customHeight="1">
      <c r="E12" s="428">
        <f>SUM(E6:E11)</f>
        <v>1325.8291151374083</v>
      </c>
      <c r="F12" s="180">
        <f>SUM(F6:F10)</f>
        <v>37123.21522384743</v>
      </c>
      <c r="G12" s="179">
        <f>SUM(G6:G10)</f>
        <v>37123.21522384743</v>
      </c>
      <c r="H12" s="179">
        <f>SUM(H6:H11)</f>
        <v>55295.438387096758</v>
      </c>
      <c r="I12" s="221">
        <f>SUM(I6:I11)</f>
        <v>55295.438387096758</v>
      </c>
      <c r="J12" s="276"/>
    </row>
    <row r="13" spans="1:11" ht="30">
      <c r="A13" s="3"/>
      <c r="B13" s="175" t="s">
        <v>226</v>
      </c>
      <c r="C13" s="420" t="s">
        <v>384</v>
      </c>
      <c r="D13" s="420" t="s">
        <v>388</v>
      </c>
      <c r="E13" s="420" t="s">
        <v>385</v>
      </c>
      <c r="F13" s="420" t="s">
        <v>410</v>
      </c>
      <c r="G13" s="422"/>
      <c r="H13" s="17"/>
      <c r="I13" s="17"/>
      <c r="J13" s="17"/>
    </row>
    <row r="14" spans="1:11">
      <c r="A14" s="449" t="s">
        <v>302</v>
      </c>
      <c r="B14" s="97">
        <f>'Degree Days 2020'!AB19</f>
        <v>0</v>
      </c>
      <c r="C14" s="433">
        <f>'[13]Utility Cost '!B14</f>
        <v>0.69999999999999929</v>
      </c>
      <c r="D14" s="170"/>
      <c r="E14" s="170">
        <f t="shared" ref="E14:E18" si="0">B14-C14</f>
        <v>-0.69999999999999929</v>
      </c>
      <c r="F14" s="509">
        <v>0</v>
      </c>
      <c r="G14" s="422"/>
      <c r="H14" s="423">
        <f>SUM(G12-H12)</f>
        <v>-18172.223163249328</v>
      </c>
      <c r="I14" s="423">
        <f>SUM(G12-I12)</f>
        <v>-18172.223163249328</v>
      </c>
    </row>
    <row r="15" spans="1:11">
      <c r="A15" s="449" t="s">
        <v>303</v>
      </c>
      <c r="B15" s="97">
        <f>'Degree Days 2020'!AA19</f>
        <v>0</v>
      </c>
      <c r="C15" s="433">
        <f>'[13]Utility Cost '!B15</f>
        <v>-153.49999999999997</v>
      </c>
      <c r="D15" s="170"/>
      <c r="E15" s="170">
        <f t="shared" si="0"/>
        <v>153.49999999999997</v>
      </c>
      <c r="F15" s="509">
        <v>0</v>
      </c>
      <c r="G15" s="422"/>
      <c r="H15" s="17"/>
      <c r="I15" s="17"/>
      <c r="J15" s="17"/>
    </row>
    <row r="16" spans="1:11">
      <c r="A16" s="449" t="s">
        <v>304</v>
      </c>
      <c r="B16" s="566">
        <f>'General information '!D35</f>
        <v>15.821428571428571</v>
      </c>
      <c r="C16" s="433">
        <f>'[13]Utility Cost '!B16</f>
        <v>14.293103448275861</v>
      </c>
      <c r="D16" s="432"/>
      <c r="E16" s="433">
        <f t="shared" si="0"/>
        <v>1.52832512315271</v>
      </c>
      <c r="F16" s="529">
        <v>0</v>
      </c>
      <c r="G16" s="422"/>
      <c r="H16" s="17"/>
      <c r="I16" s="17"/>
      <c r="J16" s="17"/>
    </row>
    <row r="17" spans="1:10">
      <c r="A17" s="521" t="s">
        <v>316</v>
      </c>
      <c r="B17" s="524">
        <f>'General information '!F34</f>
        <v>0</v>
      </c>
      <c r="C17" s="523">
        <f>'[13]Utility Cost '!B17</f>
        <v>0.20819655172413792</v>
      </c>
      <c r="D17" s="477">
        <v>0</v>
      </c>
      <c r="E17" s="523">
        <f t="shared" si="0"/>
        <v>-0.20819655172413792</v>
      </c>
      <c r="F17" s="527">
        <f>B17-D17</f>
        <v>0</v>
      </c>
      <c r="G17" s="17"/>
      <c r="H17" s="17"/>
      <c r="I17" s="17"/>
      <c r="J17" s="17"/>
    </row>
    <row r="18" spans="1:10">
      <c r="A18" s="522" t="s">
        <v>386</v>
      </c>
      <c r="B18" s="526">
        <f>GEN!Z31</f>
        <v>189</v>
      </c>
      <c r="C18" s="433">
        <f>'[13]Utility Cost '!B18</f>
        <v>115.42000000000007</v>
      </c>
      <c r="D18" s="430">
        <f>'[12]Other Fuel Calculation 2021'!$C$117</f>
        <v>172.73885330486587</v>
      </c>
      <c r="E18" s="525">
        <f t="shared" si="0"/>
        <v>73.579999999999927</v>
      </c>
      <c r="F18" s="528">
        <f>B18-D18</f>
        <v>16.26114669513413</v>
      </c>
    </row>
    <row r="19" spans="1:10">
      <c r="A19" s="522" t="s">
        <v>411</v>
      </c>
      <c r="B19" s="520">
        <f>SUM(B18/$F$4)</f>
        <v>6.75</v>
      </c>
      <c r="C19" s="433">
        <f>'[13]Utility Cost '!B19</f>
        <v>3.9800000000000026</v>
      </c>
      <c r="D19" s="431"/>
      <c r="E19" s="431"/>
      <c r="F19" s="509"/>
    </row>
    <row r="20" spans="1:10">
      <c r="F20"/>
    </row>
    <row r="21" spans="1:10" ht="27" customHeight="1">
      <c r="F21"/>
    </row>
    <row r="22" spans="1:10">
      <c r="F22"/>
    </row>
    <row r="23" spans="1:10">
      <c r="F23"/>
    </row>
    <row r="24" spans="1:10">
      <c r="F24"/>
    </row>
    <row r="25" spans="1:10">
      <c r="F25"/>
    </row>
    <row r="26" spans="1:10">
      <c r="F26"/>
    </row>
    <row r="27" spans="1:10">
      <c r="F27"/>
    </row>
    <row r="28" spans="1:10">
      <c r="F28"/>
    </row>
    <row r="29" spans="1:10">
      <c r="F29"/>
    </row>
    <row r="30" spans="1:10">
      <c r="F30"/>
    </row>
    <row r="31" spans="1:10">
      <c r="F31"/>
    </row>
    <row r="32" spans="1:10">
      <c r="F32"/>
    </row>
    <row r="33" spans="6:6">
      <c r="F33"/>
    </row>
  </sheetData>
  <mergeCells count="1">
    <mergeCell ref="A2:I2"/>
  </mergeCells>
  <conditionalFormatting sqref="E14:E18">
    <cfRule type="cellIs" dxfId="1" priority="2" stopIfTrue="1" operator="lessThan">
      <formula>0</formula>
    </cfRule>
  </conditionalFormatting>
  <conditionalFormatting sqref="F14:F18">
    <cfRule type="cellIs" dxfId="0" priority="1" stopIfTrue="1" operator="lessThan">
      <formula>0</formula>
    </cfRule>
  </conditionalFormatting>
  <pageMargins left="0.7" right="0.7" top="0.75" bottom="0.75" header="0.3" footer="0.3"/>
  <pageSetup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:I37"/>
  <sheetViews>
    <sheetView topLeftCell="A16" workbookViewId="0">
      <selection activeCell="F23" sqref="E23:F23"/>
    </sheetView>
  </sheetViews>
  <sheetFormatPr defaultRowHeight="15"/>
  <cols>
    <col min="6" max="6" width="15.140625" bestFit="1" customWidth="1"/>
    <col min="7" max="7" width="35.140625" bestFit="1" customWidth="1"/>
  </cols>
  <sheetData>
    <row r="1" spans="1:9" ht="15.75" thickBot="1">
      <c r="A1" s="198" t="s">
        <v>234</v>
      </c>
      <c r="B1" s="199" t="s">
        <v>235</v>
      </c>
      <c r="C1" s="199" t="s">
        <v>236</v>
      </c>
      <c r="D1" s="199" t="s">
        <v>237</v>
      </c>
      <c r="E1" s="199" t="s">
        <v>307</v>
      </c>
      <c r="F1" s="199" t="s">
        <v>238</v>
      </c>
      <c r="G1" s="199" t="s">
        <v>239</v>
      </c>
      <c r="H1" s="199" t="s">
        <v>240</v>
      </c>
      <c r="I1" s="199" t="s">
        <v>51</v>
      </c>
    </row>
    <row r="2" spans="1:9">
      <c r="A2" s="200" t="s">
        <v>241</v>
      </c>
      <c r="B2" s="200" t="s">
        <v>242</v>
      </c>
      <c r="C2" s="200"/>
      <c r="D2" s="200"/>
      <c r="E2" s="200"/>
      <c r="F2" s="200"/>
      <c r="G2" s="200" t="s">
        <v>243</v>
      </c>
      <c r="H2" s="200"/>
      <c r="I2" s="200"/>
    </row>
    <row r="3" spans="1:9">
      <c r="A3" s="201" t="s">
        <v>244</v>
      </c>
      <c r="B3" s="201" t="s">
        <v>245</v>
      </c>
      <c r="C3" s="201"/>
      <c r="D3" s="201"/>
      <c r="E3" s="201"/>
      <c r="F3" s="201"/>
      <c r="G3" s="201" t="s">
        <v>305</v>
      </c>
      <c r="H3" s="201"/>
      <c r="I3" s="201"/>
    </row>
    <row r="4" spans="1:9">
      <c r="A4" s="201" t="s">
        <v>246</v>
      </c>
      <c r="B4" s="201" t="s">
        <v>247</v>
      </c>
      <c r="C4" s="201"/>
      <c r="D4" s="201"/>
      <c r="E4" s="201"/>
      <c r="F4" s="201"/>
      <c r="G4" s="201" t="s">
        <v>306</v>
      </c>
      <c r="H4" s="201"/>
      <c r="I4" s="201"/>
    </row>
    <row r="5" spans="1:9">
      <c r="A5" s="201" t="s">
        <v>248</v>
      </c>
      <c r="B5" s="201" t="s">
        <v>247</v>
      </c>
      <c r="C5" s="201"/>
      <c r="D5" s="201"/>
      <c r="E5" s="201"/>
      <c r="F5" s="201"/>
      <c r="G5" s="201" t="s">
        <v>248</v>
      </c>
      <c r="H5" s="201"/>
      <c r="I5" s="201"/>
    </row>
    <row r="6" spans="1:9" ht="15.75" thickBot="1">
      <c r="A6" s="202" t="s">
        <v>249</v>
      </c>
      <c r="B6" s="202" t="s">
        <v>247</v>
      </c>
      <c r="C6" s="202"/>
      <c r="D6" s="202"/>
      <c r="E6" s="202"/>
      <c r="F6" s="202"/>
      <c r="G6" s="202" t="s">
        <v>306</v>
      </c>
      <c r="H6" s="202"/>
      <c r="I6" s="202"/>
    </row>
    <row r="7" spans="1:9" ht="15.75" thickBot="1">
      <c r="A7" s="198" t="s">
        <v>250</v>
      </c>
      <c r="B7" s="199" t="s">
        <v>235</v>
      </c>
      <c r="C7" s="199" t="s">
        <v>236</v>
      </c>
      <c r="D7" s="199" t="s">
        <v>251</v>
      </c>
      <c r="E7" s="199" t="s">
        <v>307</v>
      </c>
      <c r="F7" s="199" t="s">
        <v>252</v>
      </c>
      <c r="G7" s="199"/>
      <c r="H7" s="199"/>
      <c r="I7" s="199"/>
    </row>
    <row r="8" spans="1:9">
      <c r="A8" s="200" t="s">
        <v>253</v>
      </c>
      <c r="B8" s="200" t="s">
        <v>242</v>
      </c>
      <c r="C8" s="200"/>
      <c r="D8" s="200"/>
      <c r="E8" s="200"/>
      <c r="F8" s="200"/>
      <c r="G8" s="205" t="s">
        <v>308</v>
      </c>
      <c r="H8" s="200"/>
      <c r="I8" s="200"/>
    </row>
    <row r="9" spans="1:9">
      <c r="A9" s="201" t="s">
        <v>254</v>
      </c>
      <c r="B9" s="201" t="s">
        <v>255</v>
      </c>
      <c r="C9" s="201"/>
      <c r="D9" s="201"/>
      <c r="E9" s="201"/>
      <c r="F9" s="201"/>
      <c r="G9" s="201" t="s">
        <v>309</v>
      </c>
      <c r="H9" s="201"/>
      <c r="I9" s="201"/>
    </row>
    <row r="10" spans="1:9">
      <c r="A10" s="201" t="s">
        <v>256</v>
      </c>
      <c r="B10" s="201" t="s">
        <v>255</v>
      </c>
      <c r="C10" s="201"/>
      <c r="D10" s="201"/>
      <c r="E10" s="201"/>
      <c r="F10" s="201"/>
      <c r="G10" s="201" t="s">
        <v>310</v>
      </c>
      <c r="H10" s="201"/>
      <c r="I10" s="201"/>
    </row>
    <row r="11" spans="1:9">
      <c r="A11" s="201" t="s">
        <v>257</v>
      </c>
      <c r="B11" s="201" t="s">
        <v>255</v>
      </c>
      <c r="C11" s="201"/>
      <c r="D11" s="201"/>
      <c r="E11" s="201"/>
      <c r="F11" s="201"/>
      <c r="G11" s="201" t="s">
        <v>311</v>
      </c>
      <c r="H11" s="201"/>
      <c r="I11" s="201"/>
    </row>
    <row r="12" spans="1:9">
      <c r="A12" s="201" t="s">
        <v>258</v>
      </c>
      <c r="B12" s="201" t="s">
        <v>259</v>
      </c>
      <c r="C12" s="201"/>
      <c r="D12" s="201"/>
      <c r="E12" s="201"/>
      <c r="F12" s="201"/>
      <c r="G12" s="201" t="s">
        <v>309</v>
      </c>
      <c r="H12" s="201"/>
      <c r="I12" s="201"/>
    </row>
    <row r="13" spans="1:9" ht="15.75" thickBot="1">
      <c r="A13" s="202" t="s">
        <v>260</v>
      </c>
      <c r="B13" s="202" t="s">
        <v>242</v>
      </c>
      <c r="C13" s="202"/>
      <c r="D13" s="202"/>
      <c r="E13" s="202"/>
      <c r="F13" s="202"/>
      <c r="G13" s="202" t="s">
        <v>261</v>
      </c>
      <c r="H13" s="202"/>
      <c r="I13" s="202"/>
    </row>
    <row r="14" spans="1:9" ht="15.75" thickBot="1">
      <c r="A14" s="198" t="s">
        <v>262</v>
      </c>
      <c r="B14" s="199" t="s">
        <v>263</v>
      </c>
      <c r="C14" s="199" t="s">
        <v>264</v>
      </c>
      <c r="D14" s="199" t="s">
        <v>265</v>
      </c>
      <c r="E14" s="199" t="s">
        <v>307</v>
      </c>
      <c r="F14" s="199" t="s">
        <v>266</v>
      </c>
      <c r="G14" s="199"/>
      <c r="H14" s="199"/>
      <c r="I14" s="199"/>
    </row>
    <row r="15" spans="1:9">
      <c r="A15" s="200" t="s">
        <v>267</v>
      </c>
      <c r="B15" s="200" t="s">
        <v>242</v>
      </c>
      <c r="C15" s="200"/>
      <c r="D15" s="200"/>
      <c r="E15" s="200"/>
      <c r="F15" s="200"/>
      <c r="G15" s="205" t="s">
        <v>312</v>
      </c>
      <c r="H15" s="200"/>
      <c r="I15" s="200"/>
    </row>
    <row r="16" spans="1:9">
      <c r="A16" s="201" t="s">
        <v>268</v>
      </c>
      <c r="B16" s="201">
        <v>400</v>
      </c>
      <c r="C16" s="201"/>
      <c r="D16" s="201"/>
      <c r="E16" s="201"/>
      <c r="F16" s="201"/>
      <c r="G16" s="201" t="s">
        <v>269</v>
      </c>
      <c r="H16" s="201"/>
      <c r="I16" s="201"/>
    </row>
    <row r="17" spans="1:9">
      <c r="A17" s="201" t="s">
        <v>270</v>
      </c>
      <c r="B17" s="201">
        <v>400</v>
      </c>
      <c r="C17" s="201"/>
      <c r="D17" s="201"/>
      <c r="E17" s="201"/>
      <c r="F17" s="201"/>
      <c r="G17" s="201" t="s">
        <v>271</v>
      </c>
      <c r="H17" s="201"/>
      <c r="I17" s="201"/>
    </row>
    <row r="18" spans="1:9">
      <c r="A18" s="201" t="s">
        <v>272</v>
      </c>
      <c r="B18" s="201">
        <v>400</v>
      </c>
      <c r="C18" s="201"/>
      <c r="D18" s="201"/>
      <c r="E18" s="201"/>
      <c r="F18" s="201"/>
      <c r="G18" s="201" t="s">
        <v>273</v>
      </c>
      <c r="H18" s="201"/>
      <c r="I18" s="201"/>
    </row>
    <row r="19" spans="1:9">
      <c r="A19" s="201" t="s">
        <v>274</v>
      </c>
      <c r="B19" s="201">
        <v>400</v>
      </c>
      <c r="C19" s="201"/>
      <c r="D19" s="201"/>
      <c r="E19" s="201"/>
      <c r="F19" s="201"/>
      <c r="G19" s="178" t="s">
        <v>275</v>
      </c>
      <c r="H19" s="201"/>
      <c r="I19" s="201"/>
    </row>
    <row r="20" spans="1:9">
      <c r="A20" s="201" t="s">
        <v>276</v>
      </c>
      <c r="B20" s="201">
        <v>400</v>
      </c>
      <c r="C20" s="201"/>
      <c r="D20" s="201"/>
      <c r="E20" s="201"/>
      <c r="F20" s="201"/>
      <c r="G20" s="201" t="s">
        <v>277</v>
      </c>
      <c r="H20" s="201"/>
      <c r="I20" s="201"/>
    </row>
    <row r="21" spans="1:9">
      <c r="A21" s="201" t="s">
        <v>278</v>
      </c>
      <c r="B21" s="201">
        <v>800</v>
      </c>
      <c r="C21" s="201"/>
      <c r="D21" s="201"/>
      <c r="E21" s="201"/>
      <c r="F21" s="201"/>
      <c r="G21" s="201" t="s">
        <v>279</v>
      </c>
      <c r="H21" s="201"/>
      <c r="I21" s="201"/>
    </row>
    <row r="22" spans="1:9" ht="15.75" thickBot="1">
      <c r="A22" s="202" t="s">
        <v>280</v>
      </c>
      <c r="B22" s="202" t="s">
        <v>242</v>
      </c>
      <c r="C22" s="202"/>
      <c r="D22" s="202"/>
      <c r="E22" s="202"/>
      <c r="F22" s="202"/>
      <c r="G22" s="202" t="s">
        <v>261</v>
      </c>
      <c r="H22" s="202"/>
      <c r="I22" s="202"/>
    </row>
    <row r="23" spans="1:9" ht="15.75" thickBot="1">
      <c r="A23" s="198" t="s">
        <v>281</v>
      </c>
      <c r="B23" s="199" t="s">
        <v>263</v>
      </c>
      <c r="C23" s="199" t="s">
        <v>264</v>
      </c>
      <c r="D23" s="199" t="s">
        <v>265</v>
      </c>
      <c r="E23" s="199" t="s">
        <v>307</v>
      </c>
      <c r="F23" s="199" t="s">
        <v>266</v>
      </c>
      <c r="G23" s="199"/>
      <c r="H23" s="199"/>
      <c r="I23" s="199"/>
    </row>
    <row r="24" spans="1:9">
      <c r="A24" s="200" t="s">
        <v>282</v>
      </c>
      <c r="B24" s="200" t="s">
        <v>242</v>
      </c>
      <c r="C24" s="200"/>
      <c r="D24" s="200"/>
      <c r="E24" s="200"/>
      <c r="F24" s="200"/>
      <c r="G24" s="178" t="s">
        <v>243</v>
      </c>
      <c r="H24" s="200"/>
      <c r="I24" s="200"/>
    </row>
    <row r="25" spans="1:9">
      <c r="A25" s="201" t="s">
        <v>283</v>
      </c>
      <c r="B25" s="201">
        <v>400</v>
      </c>
      <c r="C25" s="201" t="s">
        <v>284</v>
      </c>
      <c r="D25" s="201"/>
      <c r="E25" s="201"/>
      <c r="F25" s="201"/>
      <c r="G25" s="201" t="s">
        <v>131</v>
      </c>
      <c r="H25" s="201"/>
      <c r="I25" s="201"/>
    </row>
    <row r="26" spans="1:9">
      <c r="A26" s="201" t="s">
        <v>285</v>
      </c>
      <c r="B26" s="201">
        <v>400</v>
      </c>
      <c r="C26" s="201" t="s">
        <v>284</v>
      </c>
      <c r="D26" s="201"/>
      <c r="E26" s="201"/>
      <c r="F26" s="201"/>
      <c r="G26" s="201" t="s">
        <v>313</v>
      </c>
      <c r="H26" s="201"/>
      <c r="I26" s="201"/>
    </row>
    <row r="27" spans="1:9">
      <c r="A27" s="201" t="s">
        <v>286</v>
      </c>
      <c r="B27" s="201">
        <v>400</v>
      </c>
      <c r="C27" s="201"/>
      <c r="D27" s="201"/>
      <c r="E27" s="201"/>
      <c r="F27" s="201"/>
      <c r="G27" s="201" t="s">
        <v>314</v>
      </c>
      <c r="H27" s="201"/>
      <c r="I27" s="201"/>
    </row>
    <row r="28" spans="1:9">
      <c r="A28" s="201" t="s">
        <v>287</v>
      </c>
      <c r="B28" s="201">
        <v>1000</v>
      </c>
      <c r="C28" s="201"/>
      <c r="D28" s="201"/>
      <c r="E28" s="201"/>
      <c r="F28" s="201"/>
      <c r="G28" s="201" t="s">
        <v>287</v>
      </c>
      <c r="H28" s="201"/>
      <c r="I28" s="201"/>
    </row>
    <row r="29" spans="1:9" ht="15.75" thickBot="1">
      <c r="A29" s="405" t="s">
        <v>379</v>
      </c>
      <c r="B29" s="202">
        <v>1000</v>
      </c>
      <c r="C29" s="202"/>
      <c r="D29" s="202"/>
      <c r="E29" s="202"/>
      <c r="F29" s="202"/>
      <c r="G29" s="202"/>
      <c r="H29" s="202"/>
      <c r="I29" s="202"/>
    </row>
    <row r="30" spans="1:9" ht="15.75" thickBot="1">
      <c r="A30" s="198" t="s">
        <v>289</v>
      </c>
      <c r="B30" s="199" t="s">
        <v>263</v>
      </c>
      <c r="C30" s="199" t="s">
        <v>264</v>
      </c>
      <c r="D30" s="199" t="s">
        <v>265</v>
      </c>
      <c r="E30" s="199" t="s">
        <v>307</v>
      </c>
      <c r="F30" s="199" t="s">
        <v>266</v>
      </c>
      <c r="G30" s="199"/>
      <c r="H30" s="199"/>
      <c r="I30" s="199"/>
    </row>
    <row r="31" spans="1:9">
      <c r="A31" s="200" t="s">
        <v>28</v>
      </c>
      <c r="B31" s="200" t="s">
        <v>242</v>
      </c>
      <c r="C31" s="200"/>
      <c r="D31" s="200"/>
      <c r="E31" s="200"/>
      <c r="F31" s="200"/>
      <c r="G31" s="178" t="s">
        <v>243</v>
      </c>
      <c r="H31" s="200"/>
      <c r="I31" s="200"/>
    </row>
    <row r="32" spans="1:9">
      <c r="A32" s="201" t="s">
        <v>290</v>
      </c>
      <c r="B32" s="201">
        <v>1000</v>
      </c>
      <c r="C32" s="201"/>
      <c r="D32" s="201"/>
      <c r="E32" s="201"/>
      <c r="F32" s="201"/>
      <c r="G32" s="201" t="s">
        <v>291</v>
      </c>
      <c r="H32" s="201"/>
      <c r="I32" s="201"/>
    </row>
    <row r="33" spans="1:9">
      <c r="A33" s="201" t="s">
        <v>292</v>
      </c>
      <c r="B33" s="201">
        <v>630</v>
      </c>
      <c r="C33" s="201"/>
      <c r="D33" s="201"/>
      <c r="E33" s="201"/>
      <c r="F33" s="201"/>
      <c r="G33" s="201" t="s">
        <v>293</v>
      </c>
      <c r="H33" s="201"/>
      <c r="I33" s="201"/>
    </row>
    <row r="34" spans="1:9">
      <c r="A34" s="201" t="s">
        <v>294</v>
      </c>
      <c r="B34" s="201">
        <v>630</v>
      </c>
      <c r="C34" s="201"/>
      <c r="D34" s="201"/>
      <c r="E34" s="201"/>
      <c r="F34" s="201"/>
      <c r="G34" s="201" t="s">
        <v>295</v>
      </c>
      <c r="H34" s="201"/>
      <c r="I34" s="201"/>
    </row>
    <row r="35" spans="1:9">
      <c r="A35" s="201" t="s">
        <v>296</v>
      </c>
      <c r="B35" s="201">
        <v>630</v>
      </c>
      <c r="C35" s="201"/>
      <c r="D35" s="201"/>
      <c r="E35" s="201"/>
      <c r="F35" s="201"/>
      <c r="G35" s="201" t="s">
        <v>297</v>
      </c>
      <c r="H35" s="201"/>
      <c r="I35" s="201"/>
    </row>
    <row r="36" spans="1:9">
      <c r="A36" s="201" t="s">
        <v>298</v>
      </c>
      <c r="B36" s="201">
        <v>400</v>
      </c>
      <c r="C36" s="201"/>
      <c r="D36" s="201"/>
      <c r="E36" s="201"/>
      <c r="F36" s="201"/>
      <c r="G36" s="201" t="s">
        <v>273</v>
      </c>
      <c r="H36" s="201"/>
      <c r="I36" s="201"/>
    </row>
    <row r="37" spans="1:9">
      <c r="A37" s="202" t="s">
        <v>288</v>
      </c>
      <c r="B37" s="202">
        <v>1000</v>
      </c>
      <c r="C37" s="202"/>
      <c r="D37" s="202"/>
      <c r="E37" s="202"/>
      <c r="F37" s="202"/>
      <c r="G37" s="202" t="s">
        <v>288</v>
      </c>
      <c r="H37" s="202"/>
      <c r="I37" s="202"/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2</vt:i4>
      </vt:variant>
    </vt:vector>
  </HeadingPairs>
  <TitlesOfParts>
    <vt:vector size="20" baseType="lpstr">
      <vt:lpstr>Total</vt:lpstr>
      <vt:lpstr>Submetering</vt:lpstr>
      <vt:lpstr>ELEC</vt:lpstr>
      <vt:lpstr>B5</vt:lpstr>
      <vt:lpstr>WATER</vt:lpstr>
      <vt:lpstr>graphic</vt:lpstr>
      <vt:lpstr>General information </vt:lpstr>
      <vt:lpstr>tanks</vt:lpstr>
      <vt:lpstr>Sheet1</vt:lpstr>
      <vt:lpstr>Report</vt:lpstr>
      <vt:lpstr>Sheet5</vt:lpstr>
      <vt:lpstr>GEN</vt:lpstr>
      <vt:lpstr>EDl log</vt:lpstr>
      <vt:lpstr>Swimming Pool quality check </vt:lpstr>
      <vt:lpstr>Degree Days 2020</vt:lpstr>
      <vt:lpstr>Utility Cost </vt:lpstr>
      <vt:lpstr>MDB</vt:lpstr>
      <vt:lpstr>Sheet2</vt:lpstr>
      <vt:lpstr>'Degree Days 2020'!Print_Area</vt:lpstr>
      <vt:lpstr>WATER!Print_Area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bei.eng</dc:creator>
  <cp:lastModifiedBy>ahmad.ghazalah</cp:lastModifiedBy>
  <cp:lastPrinted>2020-02-18T09:36:23Z</cp:lastPrinted>
  <dcterms:created xsi:type="dcterms:W3CDTF">2015-01-02T09:20:21Z</dcterms:created>
  <dcterms:modified xsi:type="dcterms:W3CDTF">2021-03-01T09:56:49Z</dcterms:modified>
</cp:coreProperties>
</file>