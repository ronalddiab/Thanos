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2" i="1" l="1"/>
  <c r="G32" i="1" l="1"/>
  <c r="E32" i="1"/>
  <c r="D37" i="2" l="1"/>
  <c r="AN8" i="2" l="1"/>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7" i="2"/>
  <c r="AN6" i="2"/>
  <c r="P31" i="2" l="1"/>
  <c r="N31" i="1" l="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 i="1"/>
  <c r="M2" i="1"/>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C33" i="2" l="1"/>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E31" i="3" l="1"/>
  <c r="F31" i="3"/>
  <c r="G31" i="3"/>
  <c r="H31" i="3"/>
  <c r="Z9" i="2"/>
  <c r="P5" i="3" s="1"/>
  <c r="Z10" i="2"/>
  <c r="AA10" i="2" s="1"/>
  <c r="Z11" i="2"/>
  <c r="AA11" i="2" s="1"/>
  <c r="Z12" i="2"/>
  <c r="Z13" i="2"/>
  <c r="AA13" i="2" s="1"/>
  <c r="Z14" i="2"/>
  <c r="AA14" i="2" s="1"/>
  <c r="Z15" i="2"/>
  <c r="AA15" i="2" s="1"/>
  <c r="Z16" i="2"/>
  <c r="AA16" i="2" s="1"/>
  <c r="AA31" i="2"/>
  <c r="AA35" i="2"/>
  <c r="Z32" i="3"/>
  <c r="Y32" i="3"/>
  <c r="AD17" i="2"/>
  <c r="T13" i="3" s="1"/>
  <c r="W31" i="3"/>
  <c r="V31" i="3"/>
  <c r="V32" i="3" s="1"/>
  <c r="U31" i="3"/>
  <c r="R31" i="3"/>
  <c r="Q31" i="3"/>
  <c r="M31" i="3"/>
  <c r="L31" i="3"/>
  <c r="K31" i="3"/>
  <c r="J31" i="3"/>
  <c r="I31" i="3"/>
  <c r="Z35" i="2"/>
  <c r="P31" i="3"/>
  <c r="R15" i="2"/>
  <c r="O11" i="3" s="1"/>
  <c r="R16" i="2"/>
  <c r="O12" i="3" s="1"/>
  <c r="R17" i="2"/>
  <c r="O13" i="3" s="1"/>
  <c r="R18" i="2"/>
  <c r="R19" i="2"/>
  <c r="O15" i="3" s="1"/>
  <c r="R20" i="2"/>
  <c r="O16" i="3" s="1"/>
  <c r="R21" i="2"/>
  <c r="O17" i="3" s="1"/>
  <c r="R22" i="2"/>
  <c r="O18" i="3" s="1"/>
  <c r="R23" i="2"/>
  <c r="O19" i="3" s="1"/>
  <c r="R24" i="2"/>
  <c r="O20" i="3" s="1"/>
  <c r="R25" i="2"/>
  <c r="R26" i="2"/>
  <c r="R27" i="2"/>
  <c r="O23" i="3" s="1"/>
  <c r="R28" i="2"/>
  <c r="O24" i="3" s="1"/>
  <c r="R29" i="2"/>
  <c r="O25" i="3" s="1"/>
  <c r="R30" i="2"/>
  <c r="O26" i="3" s="1"/>
  <c r="R31" i="2"/>
  <c r="O27" i="3" s="1"/>
  <c r="R32" i="2"/>
  <c r="O28" i="3" s="1"/>
  <c r="R33" i="2"/>
  <c r="R34" i="2"/>
  <c r="O30" i="3" s="1"/>
  <c r="R35" i="2"/>
  <c r="O31" i="3" s="1"/>
  <c r="R6" i="2"/>
  <c r="O2" i="3" s="1"/>
  <c r="R7" i="2"/>
  <c r="O3" i="3" s="1"/>
  <c r="R8" i="2"/>
  <c r="O4" i="3" s="1"/>
  <c r="R9" i="2"/>
  <c r="O5" i="3" s="1"/>
  <c r="R10" i="2"/>
  <c r="O6" i="3" s="1"/>
  <c r="R11" i="2"/>
  <c r="R12" i="2"/>
  <c r="O8" i="3" s="1"/>
  <c r="R13" i="2"/>
  <c r="O9" i="3" s="1"/>
  <c r="R14" i="2"/>
  <c r="O10" i="3" s="1"/>
  <c r="AC35" i="2"/>
  <c r="AD35" i="2"/>
  <c r="T31" i="3" s="1"/>
  <c r="AI35" i="2"/>
  <c r="AK35" i="2" s="1"/>
  <c r="AL35" i="2" s="1"/>
  <c r="AM35" i="2" s="1"/>
  <c r="X31" i="3"/>
  <c r="AE35" i="2"/>
  <c r="K35" i="2"/>
  <c r="L35" i="2" s="1"/>
  <c r="S35" i="2"/>
  <c r="T35" i="2"/>
  <c r="U35" i="2"/>
  <c r="N31" i="3"/>
  <c r="AK11" i="2"/>
  <c r="X7" i="3" s="1"/>
  <c r="I7" i="1" s="1"/>
  <c r="AK12" i="2"/>
  <c r="X8" i="3" s="1"/>
  <c r="AK15" i="2"/>
  <c r="AK16" i="2"/>
  <c r="AL16" i="2" s="1"/>
  <c r="AM16" i="2" s="1"/>
  <c r="AK20" i="2"/>
  <c r="AK24" i="2"/>
  <c r="X20" i="3" s="1"/>
  <c r="AK28" i="2"/>
  <c r="AK31" i="2"/>
  <c r="AK32" i="2"/>
  <c r="AI34" i="2"/>
  <c r="AK34" i="2" s="1"/>
  <c r="AD10" i="2"/>
  <c r="AE10" i="2" s="1"/>
  <c r="AD13" i="2"/>
  <c r="AD14" i="2"/>
  <c r="AD19" i="2"/>
  <c r="AD22" i="2"/>
  <c r="AD26" i="2"/>
  <c r="AD27" i="2"/>
  <c r="AE27" i="2" s="1"/>
  <c r="AD28" i="2"/>
  <c r="AE28" i="2" s="1"/>
  <c r="AD29" i="2"/>
  <c r="AE29" i="2" s="1"/>
  <c r="AD31" i="2"/>
  <c r="AE31" i="2" s="1"/>
  <c r="AD33" i="2"/>
  <c r="AE33" i="2" s="1"/>
  <c r="AC34" i="2"/>
  <c r="AD34" i="2" s="1"/>
  <c r="AK7" i="2"/>
  <c r="AL7" i="2" s="1"/>
  <c r="AM7" i="2" s="1"/>
  <c r="AD8" i="2"/>
  <c r="AD7" i="2"/>
  <c r="AE7" i="2" s="1"/>
  <c r="AC6" i="2"/>
  <c r="AD6" i="2"/>
  <c r="AE6" i="2" s="1"/>
  <c r="T8" i="2"/>
  <c r="N4" i="3" s="1"/>
  <c r="T7" i="2"/>
  <c r="U7" i="2" s="1"/>
  <c r="S8" i="2"/>
  <c r="S7" i="2"/>
  <c r="K8" i="2"/>
  <c r="L8" i="2" s="1"/>
  <c r="K7" i="2"/>
  <c r="L7" i="2"/>
  <c r="M32" i="1"/>
  <c r="N32" i="1"/>
  <c r="Z6" i="2"/>
  <c r="AA6" i="2" s="1"/>
  <c r="AK8" i="2"/>
  <c r="AL8" i="2" s="1"/>
  <c r="AM8" i="2" s="1"/>
  <c r="AK9" i="2"/>
  <c r="X5" i="3" s="1"/>
  <c r="I5" i="1" s="1"/>
  <c r="AK10" i="2"/>
  <c r="AL10" i="2" s="1"/>
  <c r="AM10" i="2" s="1"/>
  <c r="AD9" i="2"/>
  <c r="AE9" i="2"/>
  <c r="AD11" i="2"/>
  <c r="AE11" i="2" s="1"/>
  <c r="AD12" i="2"/>
  <c r="AE12" i="2" s="1"/>
  <c r="AD15" i="2"/>
  <c r="AE15" i="2" s="1"/>
  <c r="AD16" i="2"/>
  <c r="AE16" i="2"/>
  <c r="AD18" i="2"/>
  <c r="AE18" i="2" s="1"/>
  <c r="AD20" i="2"/>
  <c r="AE20" i="2"/>
  <c r="AD21" i="2"/>
  <c r="AE21" i="2" s="1"/>
  <c r="AD23" i="2"/>
  <c r="AE23" i="2" s="1"/>
  <c r="AD24" i="2"/>
  <c r="AE24" i="2"/>
  <c r="AD25" i="2"/>
  <c r="AE26" i="2"/>
  <c r="AD30" i="2"/>
  <c r="AE30" i="2" s="1"/>
  <c r="AD32" i="2"/>
  <c r="T28" i="3" s="1"/>
  <c r="AE32" i="2"/>
  <c r="AN36" i="2"/>
  <c r="AG36" i="2"/>
  <c r="AH36" i="2"/>
  <c r="AF36" i="2"/>
  <c r="D36" i="2"/>
  <c r="J36" i="2"/>
  <c r="H36" i="2"/>
  <c r="I36" i="2"/>
  <c r="G36" i="2"/>
  <c r="AD41" i="2"/>
  <c r="D38" i="2"/>
  <c r="K9" i="2"/>
  <c r="L9" i="2"/>
  <c r="K10" i="2"/>
  <c r="L10" i="2" s="1"/>
  <c r="K11" i="2"/>
  <c r="L11" i="2" s="1"/>
  <c r="K12" i="2"/>
  <c r="L12" i="2" s="1"/>
  <c r="K13" i="2"/>
  <c r="L13" i="2" s="1"/>
  <c r="K14" i="2"/>
  <c r="L14" i="2" s="1"/>
  <c r="K15" i="2"/>
  <c r="L15" i="2" s="1"/>
  <c r="K16" i="2"/>
  <c r="L16" i="2" s="1"/>
  <c r="K17" i="2"/>
  <c r="L17" i="2" s="1"/>
  <c r="K18" i="2"/>
  <c r="L18" i="2" s="1"/>
  <c r="K19" i="2"/>
  <c r="L19" i="2" s="1"/>
  <c r="K20" i="2"/>
  <c r="L20" i="2" s="1"/>
  <c r="K21" i="2"/>
  <c r="L21" i="2"/>
  <c r="K22" i="2"/>
  <c r="L22" i="2" s="1"/>
  <c r="K23" i="2"/>
  <c r="L23" i="2" s="1"/>
  <c r="K24" i="2"/>
  <c r="L24" i="2" s="1"/>
  <c r="K25" i="2"/>
  <c r="L25" i="2" s="1"/>
  <c r="K26" i="2"/>
  <c r="L26" i="2" s="1"/>
  <c r="K27" i="2"/>
  <c r="L27" i="2"/>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N2" i="3" s="1"/>
  <c r="K6" i="2"/>
  <c r="L6" i="2" s="1"/>
  <c r="Z20" i="2"/>
  <c r="AA20" i="2" s="1"/>
  <c r="Z21" i="2"/>
  <c r="AA21" i="2" s="1"/>
  <c r="Z22" i="2"/>
  <c r="AA22" i="2" s="1"/>
  <c r="Z23" i="2"/>
  <c r="AA23" i="2" s="1"/>
  <c r="Z24" i="2"/>
  <c r="Z25" i="2"/>
  <c r="P21" i="3" s="1"/>
  <c r="Z26" i="2"/>
  <c r="P22" i="3" s="1"/>
  <c r="G22" i="1" s="1"/>
  <c r="Z27" i="2"/>
  <c r="P23" i="3" s="1"/>
  <c r="G23" i="1"/>
  <c r="Z28" i="2"/>
  <c r="AA28" i="2" s="1"/>
  <c r="Z29" i="2"/>
  <c r="AA29" i="2" s="1"/>
  <c r="Z30" i="2"/>
  <c r="AA30" i="2" s="1"/>
  <c r="Z31" i="2"/>
  <c r="Z32" i="2"/>
  <c r="AA32" i="2" s="1"/>
  <c r="P28" i="3"/>
  <c r="G28" i="1" s="1"/>
  <c r="Z33" i="2"/>
  <c r="AA33" i="2" s="1"/>
  <c r="Z34" i="2"/>
  <c r="P30" i="3" s="1"/>
  <c r="G30" i="1" s="1"/>
  <c r="Z7" i="2"/>
  <c r="AA7" i="2" s="1"/>
  <c r="Z8" i="2"/>
  <c r="AA8" i="2" s="1"/>
  <c r="G5" i="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c r="AM14" i="2" s="1"/>
  <c r="AK17" i="2"/>
  <c r="AL17" i="2"/>
  <c r="AM17" i="2" s="1"/>
  <c r="AK19" i="2"/>
  <c r="AL19" i="2" s="1"/>
  <c r="AM19" i="2"/>
  <c r="AK21" i="2"/>
  <c r="X17" i="3"/>
  <c r="I17" i="1" s="1"/>
  <c r="AK22" i="2"/>
  <c r="AL22" i="2" s="1"/>
  <c r="AM22" i="2" s="1"/>
  <c r="AK23" i="2"/>
  <c r="AL23" i="2" s="1"/>
  <c r="AM23" i="2" s="1"/>
  <c r="AK25" i="2"/>
  <c r="X21" i="3" s="1"/>
  <c r="I21" i="1" s="1"/>
  <c r="AK26" i="2"/>
  <c r="X22" i="3" s="1"/>
  <c r="AK27" i="2"/>
  <c r="AL27" i="2" s="1"/>
  <c r="AM27" i="2" s="1"/>
  <c r="AK29" i="2"/>
  <c r="X25" i="3" s="1"/>
  <c r="AK30" i="2"/>
  <c r="AL30" i="2" s="1"/>
  <c r="AM30" i="2" s="1"/>
  <c r="AL31" i="2"/>
  <c r="AM31" i="2" s="1"/>
  <c r="AK33" i="2"/>
  <c r="X29" i="3" s="1"/>
  <c r="AK6" i="2"/>
  <c r="X2" i="3" s="1"/>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S19" i="3" s="1"/>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E6" i="1" s="1"/>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E13" i="1" s="1"/>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E17" i="1" s="1"/>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E24" i="1" s="1"/>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E29" i="1" s="1"/>
  <c r="G29" i="3"/>
  <c r="H29" i="3"/>
  <c r="I29" i="3"/>
  <c r="J29" i="3"/>
  <c r="K29" i="3"/>
  <c r="L29" i="3"/>
  <c r="M29" i="3"/>
  <c r="E30" i="3"/>
  <c r="E30" i="1" s="1"/>
  <c r="F30" i="3"/>
  <c r="G30" i="3"/>
  <c r="H30" i="3"/>
  <c r="I30" i="3"/>
  <c r="J30" i="3"/>
  <c r="K30" i="3"/>
  <c r="L30" i="3"/>
  <c r="M30" i="3"/>
  <c r="R2" i="3"/>
  <c r="Q2" i="3"/>
  <c r="G2" i="3"/>
  <c r="H2" i="3"/>
  <c r="I2" i="3"/>
  <c r="J2" i="3"/>
  <c r="K2" i="3"/>
  <c r="L2" i="3"/>
  <c r="M2" i="3"/>
  <c r="F2" i="3"/>
  <c r="E2" i="3"/>
  <c r="S34" i="2"/>
  <c r="S33" i="2"/>
  <c r="O29" i="3"/>
  <c r="S32" i="2"/>
  <c r="S31" i="2"/>
  <c r="S30" i="2"/>
  <c r="S29" i="2"/>
  <c r="S28" i="2"/>
  <c r="S27" i="2"/>
  <c r="S26" i="2"/>
  <c r="O22" i="3"/>
  <c r="S25" i="2"/>
  <c r="O21" i="3"/>
  <c r="S24" i="2"/>
  <c r="S23" i="2"/>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P3" i="3"/>
  <c r="G3" i="1" s="1"/>
  <c r="U17" i="2"/>
  <c r="T21" i="3"/>
  <c r="AE25" i="2"/>
  <c r="P2" i="3"/>
  <c r="G2" i="1" s="1"/>
  <c r="U32" i="2"/>
  <c r="P19" i="3"/>
  <c r="G19" i="1"/>
  <c r="U30" i="2"/>
  <c r="AL11" i="2"/>
  <c r="AM11" i="2" s="1"/>
  <c r="D39" i="2"/>
  <c r="G38" i="2"/>
  <c r="AL6" i="2"/>
  <c r="AM6" i="2" s="1"/>
  <c r="T27" i="3"/>
  <c r="U16" i="2"/>
  <c r="P26" i="3"/>
  <c r="G26" i="1"/>
  <c r="X18" i="3"/>
  <c r="AL21" i="2"/>
  <c r="AM21" i="2" s="1"/>
  <c r="P15" i="3"/>
  <c r="U11" i="2"/>
  <c r="P11" i="3"/>
  <c r="G11" i="1" s="1"/>
  <c r="X27" i="3"/>
  <c r="X13" i="3"/>
  <c r="T22" i="3"/>
  <c r="T16" i="3"/>
  <c r="T5" i="3"/>
  <c r="S5" i="3"/>
  <c r="P24" i="3"/>
  <c r="G24" i="1" s="1"/>
  <c r="N18" i="3"/>
  <c r="U8" i="2"/>
  <c r="N29" i="3"/>
  <c r="K29" i="1" s="1"/>
  <c r="K28" i="1"/>
  <c r="P27" i="3"/>
  <c r="X9" i="3"/>
  <c r="AL25" i="2"/>
  <c r="AM25" i="2" s="1"/>
  <c r="X10" i="3"/>
  <c r="X26" i="3"/>
  <c r="T20" i="3"/>
  <c r="T12" i="3"/>
  <c r="T25" i="3"/>
  <c r="I25" i="1" s="1"/>
  <c r="T11" i="3"/>
  <c r="T3" i="3"/>
  <c r="T17" i="3"/>
  <c r="T7" i="3"/>
  <c r="S23" i="3"/>
  <c r="N24" i="3"/>
  <c r="K24" i="1" s="1"/>
  <c r="U19" i="2"/>
  <c r="N3" i="3"/>
  <c r="T23" i="3"/>
  <c r="S26" i="3"/>
  <c r="P17" i="3" l="1"/>
  <c r="G17" i="1" s="1"/>
  <c r="AA17" i="2"/>
  <c r="S11" i="3"/>
  <c r="S3" i="3"/>
  <c r="P4" i="3"/>
  <c r="S27" i="3"/>
  <c r="S15" i="3"/>
  <c r="K11" i="1"/>
  <c r="K31" i="1"/>
  <c r="K18" i="1"/>
  <c r="U6" i="2"/>
  <c r="N19" i="3"/>
  <c r="N10" i="3"/>
  <c r="U25" i="2"/>
  <c r="U9" i="2"/>
  <c r="AO9" i="2" s="1"/>
  <c r="U15" i="2"/>
  <c r="K7" i="1"/>
  <c r="K25" i="1"/>
  <c r="K15" i="1"/>
  <c r="K8" i="1"/>
  <c r="K4" i="1"/>
  <c r="I31" i="1"/>
  <c r="U32" i="3"/>
  <c r="W32" i="3"/>
  <c r="AE34" i="2"/>
  <c r="T30" i="3"/>
  <c r="AO35" i="2"/>
  <c r="Q32" i="3"/>
  <c r="S30" i="3"/>
  <c r="K30" i="1"/>
  <c r="K32" i="3"/>
  <c r="M32" i="3"/>
  <c r="J32" i="3"/>
  <c r="X30" i="3"/>
  <c r="I30" i="1" s="1"/>
  <c r="AL34" i="2"/>
  <c r="AM34" i="2" s="1"/>
  <c r="I27" i="1"/>
  <c r="AL24" i="2"/>
  <c r="AM24" i="2" s="1"/>
  <c r="AL9" i="2"/>
  <c r="AM9" i="2" s="1"/>
  <c r="X4" i="3"/>
  <c r="X19" i="3"/>
  <c r="I13" i="1"/>
  <c r="AE17" i="2"/>
  <c r="I20" i="1"/>
  <c r="T8" i="3"/>
  <c r="I8" i="1" s="1"/>
  <c r="T24" i="3"/>
  <c r="I22" i="1"/>
  <c r="G13" i="1"/>
  <c r="S13" i="3"/>
  <c r="AO33" i="2"/>
  <c r="S14" i="3"/>
  <c r="G15" i="1"/>
  <c r="P29" i="3"/>
  <c r="AA9" i="2"/>
  <c r="S17" i="3"/>
  <c r="P10" i="3"/>
  <c r="P25" i="3"/>
  <c r="G25" i="1" s="1"/>
  <c r="R32" i="3"/>
  <c r="S2" i="3"/>
  <c r="N9" i="3"/>
  <c r="K9" i="1" s="1"/>
  <c r="N16" i="3"/>
  <c r="K16" i="1" s="1"/>
  <c r="AO15" i="2"/>
  <c r="K3" i="1"/>
  <c r="N27" i="3"/>
  <c r="K27" i="1" s="1"/>
  <c r="O32" i="3"/>
  <c r="K26" i="1"/>
  <c r="K10" i="1"/>
  <c r="K2" i="1"/>
  <c r="K13" i="1"/>
  <c r="N23" i="3"/>
  <c r="K23" i="1" s="1"/>
  <c r="K19" i="1"/>
  <c r="AO28" i="2"/>
  <c r="AO7" i="2"/>
  <c r="K5" i="1"/>
  <c r="K20" i="1"/>
  <c r="K12" i="1"/>
  <c r="N20" i="3"/>
  <c r="AO31" i="2"/>
  <c r="AO17" i="2"/>
  <c r="K21" i="1"/>
  <c r="U12" i="2"/>
  <c r="K6" i="1"/>
  <c r="AO20" i="2"/>
  <c r="L32" i="3"/>
  <c r="E12" i="1"/>
  <c r="E9" i="1"/>
  <c r="E7" i="1"/>
  <c r="E4" i="1"/>
  <c r="E3" i="1"/>
  <c r="AO32" i="2"/>
  <c r="E23" i="1"/>
  <c r="E18" i="1"/>
  <c r="E16" i="1"/>
  <c r="E15" i="1"/>
  <c r="E14" i="1"/>
  <c r="E25" i="1"/>
  <c r="AO21" i="2"/>
  <c r="AO16" i="2"/>
  <c r="AO11" i="2"/>
  <c r="E28" i="1"/>
  <c r="E27" i="1"/>
  <c r="E26" i="1"/>
  <c r="E22" i="1"/>
  <c r="E21" i="1"/>
  <c r="E20" i="1"/>
  <c r="E19" i="1"/>
  <c r="E11" i="1"/>
  <c r="E10" i="1"/>
  <c r="E8" i="1"/>
  <c r="I32" i="3"/>
  <c r="E5" i="1"/>
  <c r="E2" i="1"/>
  <c r="AO30" i="2"/>
  <c r="T4" i="3"/>
  <c r="I4" i="1" s="1"/>
  <c r="AE8" i="2"/>
  <c r="AO8" i="2" s="1"/>
  <c r="AE19" i="2"/>
  <c r="AO19" i="2" s="1"/>
  <c r="T15" i="3"/>
  <c r="AE13" i="2"/>
  <c r="AO13" i="2" s="1"/>
  <c r="T9" i="3"/>
  <c r="I9" i="1" s="1"/>
  <c r="AL15" i="2"/>
  <c r="AM15" i="2" s="1"/>
  <c r="X11" i="3"/>
  <c r="I11" i="1" s="1"/>
  <c r="T18" i="3"/>
  <c r="I18" i="1" s="1"/>
  <c r="AE22" i="2"/>
  <c r="S22" i="3"/>
  <c r="S21" i="3"/>
  <c r="G21" i="1"/>
  <c r="AO23" i="2"/>
  <c r="T10" i="3"/>
  <c r="I10" i="1" s="1"/>
  <c r="AE14" i="2"/>
  <c r="AO14" i="2" s="1"/>
  <c r="AL32" i="2"/>
  <c r="AM32" i="2" s="1"/>
  <c r="X28" i="3"/>
  <c r="I28" i="1" s="1"/>
  <c r="AL28" i="2"/>
  <c r="AM28" i="2" s="1"/>
  <c r="X24" i="3"/>
  <c r="I24" i="1" s="1"/>
  <c r="X16" i="3"/>
  <c r="I16" i="1" s="1"/>
  <c r="AL20" i="2"/>
  <c r="AM20" i="2" s="1"/>
  <c r="T6" i="3"/>
  <c r="AO22" i="2"/>
  <c r="AO6" i="2"/>
  <c r="X3" i="3"/>
  <c r="I3" i="1" s="1"/>
  <c r="S24" i="3"/>
  <c r="X12" i="3"/>
  <c r="I12" i="1" s="1"/>
  <c r="AA26" i="2"/>
  <c r="AO26" i="2" s="1"/>
  <c r="N22" i="3"/>
  <c r="K22" i="1" s="1"/>
  <c r="N17" i="3"/>
  <c r="K17" i="1" s="1"/>
  <c r="T19" i="3"/>
  <c r="I19" i="1" s="1"/>
  <c r="P18" i="3"/>
  <c r="P7" i="3"/>
  <c r="AA25" i="2"/>
  <c r="AO25" i="2" s="1"/>
  <c r="P12" i="3"/>
  <c r="S9" i="3"/>
  <c r="T26" i="3"/>
  <c r="I26" i="1" s="1"/>
  <c r="AL26" i="2"/>
  <c r="AM26" i="2" s="1"/>
  <c r="S28" i="3"/>
  <c r="T29" i="3"/>
  <c r="I29" i="1" s="1"/>
  <c r="R36" i="2"/>
  <c r="R38" i="2" s="1"/>
  <c r="AL29" i="2"/>
  <c r="AM29" i="2" s="1"/>
  <c r="AA24" i="2"/>
  <c r="AO24" i="2" s="1"/>
  <c r="P20" i="3"/>
  <c r="S31" i="3"/>
  <c r="G31" i="1"/>
  <c r="AA34" i="2"/>
  <c r="AA18" i="2"/>
  <c r="AO18" i="2" s="1"/>
  <c r="AA12" i="2"/>
  <c r="P8" i="3"/>
  <c r="E31" i="1"/>
  <c r="K36" i="2"/>
  <c r="AD36" i="2"/>
  <c r="AE36" i="2" s="1"/>
  <c r="T36" i="2"/>
  <c r="U36" i="2" s="1"/>
  <c r="AL33" i="2"/>
  <c r="AM33" i="2" s="1"/>
  <c r="AL12" i="2"/>
  <c r="AM12" i="2" s="1"/>
  <c r="T2" i="3"/>
  <c r="G27" i="1"/>
  <c r="L36" i="2"/>
  <c r="AK36" i="2"/>
  <c r="N14" i="3"/>
  <c r="K14" i="1" s="1"/>
  <c r="Z36" i="2"/>
  <c r="X23" i="3"/>
  <c r="I23" i="1" s="1"/>
  <c r="T14" i="3"/>
  <c r="I14" i="1" s="1"/>
  <c r="U34" i="2"/>
  <c r="U29" i="2"/>
  <c r="AO29" i="2" s="1"/>
  <c r="X6" i="3"/>
  <c r="X15" i="3"/>
  <c r="U10" i="2"/>
  <c r="AO10" i="2" s="1"/>
  <c r="AL18" i="2"/>
  <c r="AM18" i="2" s="1"/>
  <c r="P6" i="3"/>
  <c r="P16" i="3"/>
  <c r="AA27" i="2"/>
  <c r="AO27" i="2" s="1"/>
  <c r="S25" i="3" l="1"/>
  <c r="S4" i="3"/>
  <c r="G4" i="1"/>
  <c r="N32" i="3"/>
  <c r="AO34" i="2"/>
  <c r="AM36" i="2"/>
  <c r="S29" i="3"/>
  <c r="G29" i="1"/>
  <c r="G10" i="1"/>
  <c r="S10" i="3"/>
  <c r="U37" i="2"/>
  <c r="X32" i="3" s="1"/>
  <c r="AO12" i="2"/>
  <c r="AL36" i="2"/>
  <c r="G20" i="1"/>
  <c r="S20" i="3"/>
  <c r="G18" i="1"/>
  <c r="S18" i="3"/>
  <c r="S12" i="3"/>
  <c r="G12" i="1"/>
  <c r="AA36" i="2"/>
  <c r="S16" i="3"/>
  <c r="G16" i="1"/>
  <c r="T32" i="3"/>
  <c r="I2" i="1"/>
  <c r="S8" i="3"/>
  <c r="G8" i="1"/>
  <c r="I15" i="1"/>
  <c r="U38" i="2"/>
  <c r="P32" i="3"/>
  <c r="G6" i="1"/>
  <c r="S6" i="3"/>
  <c r="S7" i="3"/>
  <c r="G7" i="1"/>
  <c r="I6" i="1"/>
  <c r="AO36" i="2" l="1"/>
  <c r="S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<sst xmlns="http://schemas.openxmlformats.org/spreadsheetml/2006/main" count="217" uniqueCount="103">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</sst>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53">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3" fontId="0" fillId="0" borderId="21"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2"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3"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2" xfId="0" applyNumberFormat="1" applyBorder="1" applyAlignment="1">
      <alignment horizontal="center"/>
    </xf>
    <xf numFmtId="0" fontId="1" fillId="0" borderId="23"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3" fontId="0" fillId="0" borderId="0" xfId="0" applyNumberFormat="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M32" sqref="M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1" t="s">
        <v>0</v>
      </c>
      <c r="B1" s="132" t="s">
        <v>1</v>
      </c>
      <c r="C1" s="133" t="s">
        <v>2</v>
      </c>
      <c r="D1" s="132" t="s">
        <v>3</v>
      </c>
      <c r="E1" s="134" t="s">
        <v>4</v>
      </c>
      <c r="F1" s="135" t="s">
        <v>5</v>
      </c>
      <c r="G1" s="134" t="s">
        <v>10</v>
      </c>
      <c r="H1" s="135" t="s">
        <v>11</v>
      </c>
      <c r="I1" s="136" t="s">
        <v>82</v>
      </c>
      <c r="J1" s="137" t="s">
        <v>83</v>
      </c>
      <c r="K1" s="134" t="s">
        <v>6</v>
      </c>
      <c r="L1" s="138" t="s">
        <v>7</v>
      </c>
      <c r="M1" s="134" t="s">
        <v>8</v>
      </c>
      <c r="N1" s="139" t="s">
        <v>9</v>
      </c>
    </row>
    <row r="2" spans="1:15" x14ac:dyDescent="0.25">
      <c r="A2" s="122" t="s">
        <v>80</v>
      </c>
      <c r="B2" s="123">
        <v>1</v>
      </c>
      <c r="C2" s="124">
        <v>6</v>
      </c>
      <c r="D2" s="123">
        <v>2020</v>
      </c>
      <c r="E2" s="113">
        <f>Submetering!E2+Submetering!F2+Submetering!G2+Submetering!H2+Submetering!I2+Submetering!J2+Submetering!K2</f>
        <v>19908</v>
      </c>
      <c r="F2" s="125">
        <v>0.2</v>
      </c>
      <c r="G2" s="113">
        <f>Submetering!P2</f>
        <v>271.79999999993015</v>
      </c>
      <c r="H2" s="125">
        <v>6.47</v>
      </c>
      <c r="I2" s="113">
        <f>Submetering!T2-Submetering!T2*15%-Submetering!X2</f>
        <v>44058.87439999709</v>
      </c>
      <c r="J2" s="112">
        <v>0.21</v>
      </c>
      <c r="K2" s="113">
        <f>Submetering!N2-Submetering!O2</f>
        <v>67.246999999999986</v>
      </c>
      <c r="L2" s="125">
        <v>7.84</v>
      </c>
      <c r="M2" s="113">
        <f>Submetering!Y2</f>
        <v>31</v>
      </c>
      <c r="N2" s="114">
        <f>Submetering!Z2</f>
        <v>44</v>
      </c>
    </row>
    <row r="3" spans="1:15" x14ac:dyDescent="0.25">
      <c r="A3" s="126" t="s">
        <v>80</v>
      </c>
      <c r="B3" s="72">
        <f>B2+1</f>
        <v>2</v>
      </c>
      <c r="C3" s="73">
        <v>6</v>
      </c>
      <c r="D3" s="72">
        <v>2020</v>
      </c>
      <c r="E3" s="71">
        <f>Submetering!E3+Submetering!F3+Submetering!G3+Submetering!H3+Submetering!I3+Submetering!J3+Submetering!K3</f>
        <v>20153</v>
      </c>
      <c r="F3" s="74">
        <v>0.2</v>
      </c>
      <c r="G3" s="71">
        <f>Submetering!P3</f>
        <v>284.60000000009313</v>
      </c>
      <c r="H3" s="74">
        <v>6.47</v>
      </c>
      <c r="I3" s="71">
        <f>Submetering!T3-Submetering!T3*15%-Submetering!X3</f>
        <v>45025.096000004356</v>
      </c>
      <c r="J3" s="70">
        <v>0.21</v>
      </c>
      <c r="K3" s="71">
        <f>Submetering!N3-Submetering!O3</f>
        <v>53.423000000000002</v>
      </c>
      <c r="L3" s="74">
        <v>7.84</v>
      </c>
      <c r="M3" s="71">
        <f>Submetering!Y3</f>
        <v>26</v>
      </c>
      <c r="N3" s="116">
        <f>Submetering!Z3</f>
        <v>40</v>
      </c>
    </row>
    <row r="4" spans="1:15" x14ac:dyDescent="0.25">
      <c r="A4" s="126" t="s">
        <v>80</v>
      </c>
      <c r="B4" s="72">
        <f t="shared" ref="B4:B31" si="0">B3+1</f>
        <v>3</v>
      </c>
      <c r="C4" s="73">
        <v>6</v>
      </c>
      <c r="D4" s="72">
        <v>2020</v>
      </c>
      <c r="E4" s="71">
        <f>Submetering!E4+Submetering!F4+Submetering!G4+Submetering!H4+Submetering!I4+Submetering!J4+Submetering!K4</f>
        <v>20884</v>
      </c>
      <c r="F4" s="74">
        <v>0.2</v>
      </c>
      <c r="G4" s="71">
        <f>Submetering!P4</f>
        <v>281.89999999990687</v>
      </c>
      <c r="H4" s="74">
        <v>6.47</v>
      </c>
      <c r="I4" s="71">
        <f>Submetering!T4-Submetering!T4*15%-Submetering!X4</f>
        <v>48336.741999997088</v>
      </c>
      <c r="J4" s="70">
        <v>0.21</v>
      </c>
      <c r="K4" s="71">
        <f>Submetering!N4-Submetering!O4</f>
        <v>45.465000000000003</v>
      </c>
      <c r="L4" s="74">
        <v>7.84</v>
      </c>
      <c r="M4" s="71">
        <f>Submetering!Y4</f>
        <v>24</v>
      </c>
      <c r="N4" s="116">
        <f>Submetering!Z4</f>
        <v>38</v>
      </c>
    </row>
    <row r="5" spans="1:15" x14ac:dyDescent="0.25">
      <c r="A5" s="126" t="s">
        <v>80</v>
      </c>
      <c r="B5" s="72">
        <f t="shared" si="0"/>
        <v>4</v>
      </c>
      <c r="C5" s="73">
        <v>6</v>
      </c>
      <c r="D5" s="72">
        <v>2020</v>
      </c>
      <c r="E5" s="71">
        <f>Submetering!E5+Submetering!F5+Submetering!G5+Submetering!H5+Submetering!I5+Submetering!J5+Submetering!K5</f>
        <v>20315</v>
      </c>
      <c r="F5" s="74">
        <v>0.2</v>
      </c>
      <c r="G5" s="71">
        <f>Submetering!P5</f>
        <v>302</v>
      </c>
      <c r="H5" s="74">
        <v>6.47</v>
      </c>
      <c r="I5" s="71">
        <f>Submetering!T5-Submetering!T5*15%-Submetering!X5</f>
        <v>45341.733400002908</v>
      </c>
      <c r="J5" s="70">
        <v>0.21</v>
      </c>
      <c r="K5" s="81">
        <f>Submetering!N5-Submetering!O5</f>
        <v>52.289999999999992</v>
      </c>
      <c r="L5" s="74">
        <v>7.84</v>
      </c>
      <c r="M5" s="71">
        <f>Submetering!Y5</f>
        <v>25</v>
      </c>
      <c r="N5" s="116">
        <f>Submetering!Z5</f>
        <v>33</v>
      </c>
    </row>
    <row r="6" spans="1:15" x14ac:dyDescent="0.25">
      <c r="A6" s="126" t="s">
        <v>80</v>
      </c>
      <c r="B6" s="72">
        <f t="shared" si="0"/>
        <v>5</v>
      </c>
      <c r="C6" s="73">
        <v>6</v>
      </c>
      <c r="D6" s="72">
        <v>2020</v>
      </c>
      <c r="E6" s="71">
        <f>Submetering!E6+Submetering!F6+Submetering!G6+Submetering!H6+Submetering!I6+Submetering!J6+Submetering!K6</f>
        <v>20237</v>
      </c>
      <c r="F6" s="74">
        <v>0.2</v>
      </c>
      <c r="G6" s="71">
        <f>Submetering!P6</f>
        <v>291.10000000009313</v>
      </c>
      <c r="H6" s="74">
        <v>6.47</v>
      </c>
      <c r="I6" s="71">
        <f>Submetering!T6-Submetering!T6*15%-Submetering!X6</f>
        <v>50990.741799995638</v>
      </c>
      <c r="J6" s="70">
        <v>0.21</v>
      </c>
      <c r="K6" s="71">
        <f>Submetering!N6-Submetering!O6</f>
        <v>34.573</v>
      </c>
      <c r="L6" s="74">
        <v>7.84</v>
      </c>
      <c r="M6" s="71">
        <f>Submetering!Y6</f>
        <v>28</v>
      </c>
      <c r="N6" s="116">
        <f>Submetering!Z6</f>
        <v>39</v>
      </c>
    </row>
    <row r="7" spans="1:15" x14ac:dyDescent="0.25">
      <c r="A7" s="126" t="s">
        <v>80</v>
      </c>
      <c r="B7" s="72">
        <f t="shared" si="0"/>
        <v>6</v>
      </c>
      <c r="C7" s="73">
        <v>6</v>
      </c>
      <c r="D7" s="72">
        <v>2020</v>
      </c>
      <c r="E7" s="71">
        <f>Submetering!E7+Submetering!F7+Submetering!G7+Submetering!H7+Submetering!I7+Submetering!J7+Submetering!K7</f>
        <v>21052</v>
      </c>
      <c r="F7" s="74">
        <v>0.2</v>
      </c>
      <c r="G7" s="71">
        <f>Submetering!P7</f>
        <v>310.29999999993015</v>
      </c>
      <c r="H7" s="74">
        <v>6.47</v>
      </c>
      <c r="I7" s="71">
        <f>Submetering!T7-Submetering!T7*15%-Submetering!X7</f>
        <v>60669.872400005814</v>
      </c>
      <c r="J7" s="70">
        <v>0.21</v>
      </c>
      <c r="K7" s="71">
        <f>Submetering!N7-Submetering!O7</f>
        <v>85.343000000000018</v>
      </c>
      <c r="L7" s="74">
        <v>7.84</v>
      </c>
      <c r="M7" s="71">
        <f>Submetering!Y7</f>
        <v>21</v>
      </c>
      <c r="N7" s="116">
        <f>Submetering!Z7</f>
        <v>23</v>
      </c>
    </row>
    <row r="8" spans="1:15" x14ac:dyDescent="0.25">
      <c r="A8" s="126" t="s">
        <v>80</v>
      </c>
      <c r="B8" s="72">
        <f t="shared" si="0"/>
        <v>7</v>
      </c>
      <c r="C8" s="73">
        <v>6</v>
      </c>
      <c r="D8" s="72">
        <v>2020</v>
      </c>
      <c r="E8" s="71">
        <f>Submetering!E8+Submetering!F8+Submetering!G8+Submetering!H8+Submetering!I8+Submetering!J8+Submetering!K8</f>
        <v>21617</v>
      </c>
      <c r="F8" s="74">
        <v>0.2</v>
      </c>
      <c r="G8" s="71">
        <f>Submetering!P8</f>
        <v>314.09999999997672</v>
      </c>
      <c r="H8" s="74">
        <v>6.47</v>
      </c>
      <c r="I8" s="71">
        <f>Submetering!T8-Submetering!T8*15%-Submetering!X8</f>
        <v>58752.094999998546</v>
      </c>
      <c r="J8" s="70">
        <v>0.21</v>
      </c>
      <c r="K8" s="71">
        <f>Submetering!N8-Submetering!O8</f>
        <v>68.516999999999996</v>
      </c>
      <c r="L8" s="74">
        <v>7.84</v>
      </c>
      <c r="M8" s="71">
        <f>Submetering!Y8</f>
        <v>23</v>
      </c>
      <c r="N8" s="116">
        <f>Submetering!Z8</f>
        <v>30</v>
      </c>
    </row>
    <row r="9" spans="1:15" x14ac:dyDescent="0.25">
      <c r="A9" s="126" t="s">
        <v>80</v>
      </c>
      <c r="B9" s="72">
        <f t="shared" si="0"/>
        <v>8</v>
      </c>
      <c r="C9" s="73">
        <v>6</v>
      </c>
      <c r="D9" s="72">
        <v>2020</v>
      </c>
      <c r="E9" s="71">
        <f>Submetering!E9+Submetering!F9+Submetering!G9+Submetering!H9+Submetering!I9+Submetering!J9+Submetering!K9</f>
        <v>21687</v>
      </c>
      <c r="F9" s="74">
        <v>0.2</v>
      </c>
      <c r="G9" s="71">
        <f>Submetering!P9</f>
        <v>290.20000000006985</v>
      </c>
      <c r="H9" s="74">
        <v>6.47</v>
      </c>
      <c r="I9" s="71">
        <f>Submetering!T9-Submetering!T9*15%-Submetering!X9</f>
        <v>48004.575999995635</v>
      </c>
      <c r="J9" s="70">
        <v>0.21</v>
      </c>
      <c r="K9" s="71">
        <f>Submetering!N9-Submetering!O9</f>
        <v>45.788999999999994</v>
      </c>
      <c r="L9" s="74">
        <v>7.84</v>
      </c>
      <c r="M9" s="71">
        <f>Submetering!Y9</f>
        <v>27</v>
      </c>
      <c r="N9" s="116">
        <f>Submetering!Z9</f>
        <v>35</v>
      </c>
      <c r="O9" s="1" t="s">
        <v>12</v>
      </c>
    </row>
    <row r="10" spans="1:15" x14ac:dyDescent="0.25">
      <c r="A10" s="126" t="s">
        <v>80</v>
      </c>
      <c r="B10" s="72">
        <f t="shared" si="0"/>
        <v>9</v>
      </c>
      <c r="C10" s="73">
        <v>6</v>
      </c>
      <c r="D10" s="72">
        <v>2020</v>
      </c>
      <c r="E10" s="71">
        <f>Submetering!E10+Submetering!F10+Submetering!G10+Submetering!H10+Submetering!I10+Submetering!J10+Submetering!K10</f>
        <v>21333</v>
      </c>
      <c r="F10" s="74">
        <v>0.2</v>
      </c>
      <c r="G10" s="71">
        <f>Submetering!P10</f>
        <v>299.59999999997672</v>
      </c>
      <c r="H10" s="74">
        <v>6.47</v>
      </c>
      <c r="I10" s="71">
        <f>Submetering!T10-Submetering!T10*15%-Submetering!X10</f>
        <v>48967.572799999994</v>
      </c>
      <c r="J10" s="70">
        <v>0.21</v>
      </c>
      <c r="K10" s="71">
        <f>Submetering!N10-Submetering!O10</f>
        <v>57.969000000000008</v>
      </c>
      <c r="L10" s="74">
        <v>7.84</v>
      </c>
      <c r="M10" s="71">
        <f>Submetering!Y10</f>
        <v>23</v>
      </c>
      <c r="N10" s="116">
        <f>Submetering!Z10</f>
        <v>34</v>
      </c>
    </row>
    <row r="11" spans="1:15" x14ac:dyDescent="0.25">
      <c r="A11" s="126" t="s">
        <v>80</v>
      </c>
      <c r="B11" s="72">
        <f t="shared" si="0"/>
        <v>10</v>
      </c>
      <c r="C11" s="73">
        <v>6</v>
      </c>
      <c r="D11" s="72">
        <v>2020</v>
      </c>
      <c r="E11" s="71">
        <f>Submetering!E11+Submetering!F11+Submetering!G11+Submetering!H11+Submetering!I11+Submetering!J11+Submetering!K11</f>
        <v>22264</v>
      </c>
      <c r="F11" s="74">
        <v>0.2</v>
      </c>
      <c r="G11" s="71">
        <f>Submetering!P11</f>
        <v>303.5</v>
      </c>
      <c r="H11" s="74">
        <v>6.47</v>
      </c>
      <c r="I11" s="71">
        <f>Submetering!T11-Submetering!T11*15%-Submetering!X11</f>
        <v>55645.994800001456</v>
      </c>
      <c r="J11" s="70">
        <v>0.21</v>
      </c>
      <c r="K11" s="71">
        <f>Submetering!N11-Submetering!O11</f>
        <v>62.143000000000001</v>
      </c>
      <c r="L11" s="74">
        <v>7.84</v>
      </c>
      <c r="M11" s="71">
        <f>Submetering!Y11</f>
        <v>21</v>
      </c>
      <c r="N11" s="116">
        <f>Submetering!Z11</f>
        <v>29</v>
      </c>
    </row>
    <row r="12" spans="1:15" x14ac:dyDescent="0.25">
      <c r="A12" s="126" t="s">
        <v>80</v>
      </c>
      <c r="B12" s="72">
        <f t="shared" si="0"/>
        <v>11</v>
      </c>
      <c r="C12" s="73">
        <v>6</v>
      </c>
      <c r="D12" s="72">
        <v>2020</v>
      </c>
      <c r="E12" s="71">
        <f>Submetering!E12+Submetering!F12+Submetering!G12+Submetering!H12+Submetering!I12+Submetering!J12+Submetering!K12</f>
        <v>21595</v>
      </c>
      <c r="F12" s="74">
        <v>0.2</v>
      </c>
      <c r="G12" s="71">
        <f>Submetering!P12</f>
        <v>327.19999999995343</v>
      </c>
      <c r="H12" s="74">
        <v>6.47</v>
      </c>
      <c r="I12" s="71">
        <f>Submetering!T12-Submetering!T12*15%-Submetering!X12</f>
        <v>50403.949400004363</v>
      </c>
      <c r="J12" s="70">
        <v>0.21</v>
      </c>
      <c r="K12" s="71">
        <f>Submetering!N12-Submetering!O12</f>
        <v>70.816000000000003</v>
      </c>
      <c r="L12" s="74">
        <v>7.84</v>
      </c>
      <c r="M12" s="71">
        <f>Submetering!Y12</f>
        <v>34</v>
      </c>
      <c r="N12" s="116">
        <f>Submetering!Z12</f>
        <v>49</v>
      </c>
    </row>
    <row r="13" spans="1:15" x14ac:dyDescent="0.25">
      <c r="A13" s="126" t="s">
        <v>80</v>
      </c>
      <c r="B13" s="72">
        <f t="shared" si="0"/>
        <v>12</v>
      </c>
      <c r="C13" s="73">
        <v>6</v>
      </c>
      <c r="D13" s="72">
        <v>2020</v>
      </c>
      <c r="E13" s="71">
        <f>Submetering!E13+Submetering!F13+Submetering!G13+Submetering!H13+Submetering!I13+Submetering!J13+Submetering!K13</f>
        <v>21988</v>
      </c>
      <c r="F13" s="74">
        <v>0.2</v>
      </c>
      <c r="G13" s="71">
        <f>Submetering!P13</f>
        <v>327</v>
      </c>
      <c r="H13" s="74">
        <v>6.47</v>
      </c>
      <c r="I13" s="71">
        <f>Submetering!T13-Submetering!T13*15%-Submetering!X13</f>
        <v>45237.286599997082</v>
      </c>
      <c r="J13" s="70">
        <v>0.21</v>
      </c>
      <c r="K13" s="71">
        <f>Submetering!N13-Submetering!O13</f>
        <v>71.806999999999988</v>
      </c>
      <c r="L13" s="74">
        <v>7.84</v>
      </c>
      <c r="M13" s="71">
        <f>Submetering!Y13</f>
        <v>34</v>
      </c>
      <c r="N13" s="116">
        <f>Submetering!Z13</f>
        <v>57</v>
      </c>
    </row>
    <row r="14" spans="1:15" x14ac:dyDescent="0.25">
      <c r="A14" s="126" t="s">
        <v>80</v>
      </c>
      <c r="B14" s="72">
        <f t="shared" si="0"/>
        <v>13</v>
      </c>
      <c r="C14" s="73">
        <v>6</v>
      </c>
      <c r="D14" s="72">
        <v>2020</v>
      </c>
      <c r="E14" s="71">
        <f>Submetering!E14+Submetering!F14+Submetering!G14+Submetering!H14+Submetering!I14+Submetering!J14+Submetering!K14</f>
        <v>21300</v>
      </c>
      <c r="F14" s="74">
        <v>0.2</v>
      </c>
      <c r="G14" s="71">
        <f>Submetering!P14</f>
        <v>307.40000000002328</v>
      </c>
      <c r="H14" s="74">
        <v>6.47</v>
      </c>
      <c r="I14" s="71">
        <f>Submetering!T14-Submetering!T14*15%-Submetering!X14</f>
        <v>51164.984400002912</v>
      </c>
      <c r="J14" s="70">
        <v>0.21</v>
      </c>
      <c r="K14" s="71">
        <f>Submetering!N14-Submetering!O14</f>
        <v>45.727999999999994</v>
      </c>
      <c r="L14" s="74">
        <v>7.84</v>
      </c>
      <c r="M14" s="71">
        <f>Submetering!Y14</f>
        <v>19</v>
      </c>
      <c r="N14" s="116">
        <f>Submetering!Z14</f>
        <v>27</v>
      </c>
    </row>
    <row r="15" spans="1:15" x14ac:dyDescent="0.25">
      <c r="A15" s="126" t="s">
        <v>80</v>
      </c>
      <c r="B15" s="72">
        <f t="shared" si="0"/>
        <v>14</v>
      </c>
      <c r="C15" s="73">
        <v>6</v>
      </c>
      <c r="D15" s="72">
        <v>2020</v>
      </c>
      <c r="E15" s="71">
        <f>Submetering!E15+Submetering!F15+Submetering!G15+Submetering!H15+Submetering!I15+Submetering!J15+Submetering!K15</f>
        <v>21873</v>
      </c>
      <c r="F15" s="74">
        <v>0.2</v>
      </c>
      <c r="G15" s="71">
        <f>Submetering!P15</f>
        <v>298.80000000004657</v>
      </c>
      <c r="H15" s="74">
        <v>6.47</v>
      </c>
      <c r="I15" s="71">
        <f>Submetering!T15-Submetering!T15*15%-Submetering!X15</f>
        <v>56332.941399999996</v>
      </c>
      <c r="J15" s="70">
        <v>0.21</v>
      </c>
      <c r="K15" s="81">
        <f>Submetering!N15-Submetering!O15</f>
        <v>77.906000000000006</v>
      </c>
      <c r="L15" s="74">
        <v>7.84</v>
      </c>
      <c r="M15" s="71">
        <f>Submetering!Y15</f>
        <v>28</v>
      </c>
      <c r="N15" s="116">
        <f>Submetering!Z15</f>
        <v>38</v>
      </c>
    </row>
    <row r="16" spans="1:15" x14ac:dyDescent="0.25">
      <c r="A16" s="126" t="s">
        <v>80</v>
      </c>
      <c r="B16" s="72">
        <f t="shared" si="0"/>
        <v>15</v>
      </c>
      <c r="C16" s="73">
        <v>6</v>
      </c>
      <c r="D16" s="72">
        <v>2020</v>
      </c>
      <c r="E16" s="71">
        <f>Submetering!E16+Submetering!F16+Submetering!G16+Submetering!H16+Submetering!I16+Submetering!J16+Submetering!K16</f>
        <v>22208</v>
      </c>
      <c r="F16" s="74">
        <v>0.2</v>
      </c>
      <c r="G16" s="71">
        <f>Submetering!P16</f>
        <v>319.79999999993015</v>
      </c>
      <c r="H16" s="74">
        <v>6.47</v>
      </c>
      <c r="I16" s="71">
        <f>Submetering!T16-Submetering!T16*15%-Submetering!X16</f>
        <v>55752.680599994186</v>
      </c>
      <c r="J16" s="70">
        <v>0.21</v>
      </c>
      <c r="K16" s="71">
        <f>Submetering!N16-Submetering!O16</f>
        <v>22.794000000000004</v>
      </c>
      <c r="L16" s="74">
        <v>7.84</v>
      </c>
      <c r="M16" s="71">
        <f>Submetering!Y16</f>
        <v>23</v>
      </c>
      <c r="N16" s="116">
        <f>Submetering!Z16</f>
        <v>34</v>
      </c>
    </row>
    <row r="17" spans="1:14" x14ac:dyDescent="0.25">
      <c r="A17" s="126" t="s">
        <v>80</v>
      </c>
      <c r="B17" s="72">
        <f t="shared" si="0"/>
        <v>16</v>
      </c>
      <c r="C17" s="73">
        <v>6</v>
      </c>
      <c r="D17" s="72">
        <v>2020</v>
      </c>
      <c r="E17" s="71">
        <f>Submetering!E17+Submetering!F17+Submetering!G17+Submetering!H17+Submetering!I17+Submetering!J17+Submetering!K17</f>
        <v>22128</v>
      </c>
      <c r="F17" s="74">
        <v>0.2</v>
      </c>
      <c r="G17" s="71">
        <f>Submetering!P17</f>
        <v>297.30000000004657</v>
      </c>
      <c r="H17" s="74">
        <v>6.47</v>
      </c>
      <c r="I17" s="71">
        <f>Submetering!T17-Submetering!T17*15%-Submetering!X17</f>
        <v>52165.456800001455</v>
      </c>
      <c r="J17" s="70">
        <v>0.21</v>
      </c>
      <c r="K17" s="71">
        <f>Submetering!N17-Submetering!O17</f>
        <v>92.41100000000003</v>
      </c>
      <c r="L17" s="74">
        <v>7.84</v>
      </c>
      <c r="M17" s="71">
        <f>Submetering!Y17</f>
        <v>21</v>
      </c>
      <c r="N17" s="116">
        <f>Submetering!Z17</f>
        <v>32</v>
      </c>
    </row>
    <row r="18" spans="1:14" x14ac:dyDescent="0.25">
      <c r="A18" s="126" t="s">
        <v>80</v>
      </c>
      <c r="B18" s="72">
        <f t="shared" si="0"/>
        <v>17</v>
      </c>
      <c r="C18" s="73">
        <v>6</v>
      </c>
      <c r="D18" s="72">
        <v>2020</v>
      </c>
      <c r="E18" s="71">
        <f>Submetering!E18+Submetering!F18+Submetering!G18+Submetering!H18+Submetering!I18+Submetering!J18+Submetering!K18</f>
        <v>21748</v>
      </c>
      <c r="F18" s="74">
        <v>0.2</v>
      </c>
      <c r="G18" s="71">
        <f>Submetering!P18</f>
        <v>296.90000000002328</v>
      </c>
      <c r="H18" s="74">
        <v>6.47</v>
      </c>
      <c r="I18" s="71">
        <f>Submetering!T18-Submetering!T18*15%-Submetering!X18</f>
        <v>51181.498800000001</v>
      </c>
      <c r="J18" s="70">
        <v>0.21</v>
      </c>
      <c r="K18" s="71">
        <f>Submetering!N18-Submetering!O18</f>
        <v>22.125</v>
      </c>
      <c r="L18" s="74">
        <v>7.84</v>
      </c>
      <c r="M18" s="71">
        <f>Submetering!Y18</f>
        <v>25</v>
      </c>
      <c r="N18" s="116">
        <f>Submetering!Z18</f>
        <v>33</v>
      </c>
    </row>
    <row r="19" spans="1:14" x14ac:dyDescent="0.25">
      <c r="A19" s="126" t="s">
        <v>80</v>
      </c>
      <c r="B19" s="72">
        <f t="shared" si="0"/>
        <v>18</v>
      </c>
      <c r="C19" s="73">
        <v>6</v>
      </c>
      <c r="D19" s="72">
        <v>2020</v>
      </c>
      <c r="E19" s="71">
        <f>Submetering!E19+Submetering!F19+Submetering!G19+Submetering!H19+Submetering!I19+Submetering!J19+Submetering!K19</f>
        <v>20763</v>
      </c>
      <c r="F19" s="74">
        <v>0.2</v>
      </c>
      <c r="G19" s="71">
        <f>Submetering!P19</f>
        <v>311.19999999995343</v>
      </c>
      <c r="H19" s="74">
        <v>6.47</v>
      </c>
      <c r="I19" s="71">
        <f>Submetering!T19-Submetering!T19*15%-Submetering!X19</f>
        <v>47978.705400001447</v>
      </c>
      <c r="J19" s="70">
        <v>0.21</v>
      </c>
      <c r="K19" s="71">
        <f>Submetering!N19-Submetering!O19</f>
        <v>54.265000000000015</v>
      </c>
      <c r="L19" s="74">
        <v>7.84</v>
      </c>
      <c r="M19" s="71">
        <f>Submetering!Y19</f>
        <v>27</v>
      </c>
      <c r="N19" s="116">
        <f>Submetering!Z19</f>
        <v>36</v>
      </c>
    </row>
    <row r="20" spans="1:14" x14ac:dyDescent="0.25">
      <c r="A20" s="126" t="s">
        <v>80</v>
      </c>
      <c r="B20" s="72">
        <f t="shared" si="0"/>
        <v>19</v>
      </c>
      <c r="C20" s="73">
        <v>6</v>
      </c>
      <c r="D20" s="72">
        <v>2020</v>
      </c>
      <c r="E20" s="71">
        <f>Submetering!E20+Submetering!F20+Submetering!G20+Submetering!H20+Submetering!I20+Submetering!J20+Submetering!K20</f>
        <v>20960</v>
      </c>
      <c r="F20" s="74">
        <v>0.2</v>
      </c>
      <c r="G20" s="71">
        <f>Submetering!P20</f>
        <v>301</v>
      </c>
      <c r="H20" s="74">
        <v>6.47</v>
      </c>
      <c r="I20" s="71">
        <f>Submetering!T20-Submetering!T20*15%-Submetering!X20</f>
        <v>49017.516199997088</v>
      </c>
      <c r="J20" s="70">
        <v>0.21</v>
      </c>
      <c r="K20" s="71">
        <f>Submetering!N20-Submetering!O20</f>
        <v>40.033999999999992</v>
      </c>
      <c r="L20" s="74">
        <v>7.84</v>
      </c>
      <c r="M20" s="71">
        <f>Submetering!Y20</f>
        <v>25</v>
      </c>
      <c r="N20" s="116">
        <f>Submetering!Z20</f>
        <v>35</v>
      </c>
    </row>
    <row r="21" spans="1:14" x14ac:dyDescent="0.25">
      <c r="A21" s="126" t="s">
        <v>80</v>
      </c>
      <c r="B21" s="72">
        <f t="shared" si="0"/>
        <v>20</v>
      </c>
      <c r="C21" s="73">
        <v>6</v>
      </c>
      <c r="D21" s="72">
        <v>2020</v>
      </c>
      <c r="E21" s="71">
        <f>Submetering!E21+Submetering!F21+Submetering!G21+Submetering!H21+Submetering!I21+Submetering!J21+Submetering!K21</f>
        <v>21699</v>
      </c>
      <c r="F21" s="74">
        <v>0.2</v>
      </c>
      <c r="G21" s="71">
        <f>Submetering!P21</f>
        <v>317.40000000002328</v>
      </c>
      <c r="H21" s="74">
        <v>6.47</v>
      </c>
      <c r="I21" s="71">
        <f>Submetering!T21-Submetering!T21*15%-Submetering!X21</f>
        <v>47731.319200005819</v>
      </c>
      <c r="J21" s="70">
        <v>0.21</v>
      </c>
      <c r="K21" s="71">
        <f>Submetering!N21-Submetering!O21</f>
        <v>52.742999999999995</v>
      </c>
      <c r="L21" s="74">
        <v>7.84</v>
      </c>
      <c r="M21" s="71">
        <f>Submetering!Y21</f>
        <v>18</v>
      </c>
      <c r="N21" s="116">
        <f>Submetering!Z21</f>
        <v>23</v>
      </c>
    </row>
    <row r="22" spans="1:14" x14ac:dyDescent="0.25">
      <c r="A22" s="126" t="s">
        <v>80</v>
      </c>
      <c r="B22" s="72">
        <f t="shared" si="0"/>
        <v>21</v>
      </c>
      <c r="C22" s="73">
        <v>6</v>
      </c>
      <c r="D22" s="72">
        <v>2020</v>
      </c>
      <c r="E22" s="71">
        <f>Submetering!E22+Submetering!F22+Submetering!G22+Submetering!H22+Submetering!I22+Submetering!J22+Submetering!K22</f>
        <v>22366</v>
      </c>
      <c r="F22" s="74">
        <v>0.2</v>
      </c>
      <c r="G22" s="71">
        <f>Submetering!P22</f>
        <v>319.19999999995343</v>
      </c>
      <c r="H22" s="74">
        <v>6.47</v>
      </c>
      <c r="I22" s="71">
        <f>Submetering!T22-Submetering!T22*15%-Submetering!X22</f>
        <v>51401.94659999854</v>
      </c>
      <c r="J22" s="70">
        <v>0.21</v>
      </c>
      <c r="K22" s="71">
        <f>Submetering!N22-Submetering!O22</f>
        <v>87.591999999999999</v>
      </c>
      <c r="L22" s="74">
        <v>7.84</v>
      </c>
      <c r="M22" s="71">
        <f>Submetering!Y22</f>
        <v>16</v>
      </c>
      <c r="N22" s="116">
        <f>Submetering!Z22</f>
        <v>21</v>
      </c>
    </row>
    <row r="23" spans="1:14" x14ac:dyDescent="0.25">
      <c r="A23" s="126" t="s">
        <v>80</v>
      </c>
      <c r="B23" s="72">
        <f t="shared" si="0"/>
        <v>22</v>
      </c>
      <c r="C23" s="73">
        <v>6</v>
      </c>
      <c r="D23" s="72">
        <v>2020</v>
      </c>
      <c r="E23" s="71">
        <f>Submetering!E23+Submetering!F23+Submetering!G23+Submetering!H23+Submetering!I23+Submetering!J23+Submetering!K23</f>
        <v>21791</v>
      </c>
      <c r="F23" s="74">
        <v>0.2</v>
      </c>
      <c r="G23" s="71">
        <f>Submetering!P23</f>
        <v>300</v>
      </c>
      <c r="H23" s="74">
        <v>6.47</v>
      </c>
      <c r="I23" s="71">
        <f>Submetering!T23-Submetering!T23*15%-Submetering!X23</f>
        <v>44902.17300000001</v>
      </c>
      <c r="J23" s="70">
        <v>0.21</v>
      </c>
      <c r="K23" s="71">
        <f>Submetering!N23-Submetering!O23</f>
        <v>57.31</v>
      </c>
      <c r="L23" s="74">
        <v>7.84</v>
      </c>
      <c r="M23" s="71">
        <f>Submetering!Y23</f>
        <v>21</v>
      </c>
      <c r="N23" s="116">
        <f>Submetering!Z23</f>
        <v>29</v>
      </c>
    </row>
    <row r="24" spans="1:14" x14ac:dyDescent="0.25">
      <c r="A24" s="126" t="s">
        <v>80</v>
      </c>
      <c r="B24" s="72">
        <f t="shared" si="0"/>
        <v>23</v>
      </c>
      <c r="C24" s="73">
        <v>6</v>
      </c>
      <c r="D24" s="72">
        <v>2020</v>
      </c>
      <c r="E24" s="71">
        <f>Submetering!E24+Submetering!F24+Submetering!G24+Submetering!H24+Submetering!I24+Submetering!J24+Submetering!K24</f>
        <v>22348</v>
      </c>
      <c r="F24" s="74">
        <v>0.2</v>
      </c>
      <c r="G24" s="71">
        <f>Submetering!P24</f>
        <v>299.10000000009313</v>
      </c>
      <c r="H24" s="74">
        <v>6.47</v>
      </c>
      <c r="I24" s="71">
        <f>Submetering!T24-Submetering!T24*15%-Submetering!X24</f>
        <v>46790.300599995637</v>
      </c>
      <c r="J24" s="70">
        <v>0.21</v>
      </c>
      <c r="K24" s="71">
        <f>Submetering!N24-Submetering!O24</f>
        <v>62.990999999999993</v>
      </c>
      <c r="L24" s="74">
        <v>7.84</v>
      </c>
      <c r="M24" s="71">
        <f>Submetering!Y24</f>
        <v>20</v>
      </c>
      <c r="N24" s="116">
        <f>Submetering!Z24</f>
        <v>28</v>
      </c>
    </row>
    <row r="25" spans="1:14" x14ac:dyDescent="0.25">
      <c r="A25" s="126" t="s">
        <v>80</v>
      </c>
      <c r="B25" s="72">
        <f t="shared" si="0"/>
        <v>24</v>
      </c>
      <c r="C25" s="73">
        <v>6</v>
      </c>
      <c r="D25" s="72">
        <v>2020</v>
      </c>
      <c r="E25" s="71">
        <f>Submetering!E25+Submetering!F25+Submetering!G25+Submetering!H25+Submetering!I25+Submetering!J25+Submetering!K25</f>
        <v>22648</v>
      </c>
      <c r="F25" s="74">
        <v>0.2</v>
      </c>
      <c r="G25" s="71">
        <f>Submetering!P25</f>
        <v>305</v>
      </c>
      <c r="H25" s="74">
        <v>6.47</v>
      </c>
      <c r="I25" s="71">
        <f>Submetering!T25-Submetering!T25*15%-Submetering!X25</f>
        <v>50813.233400002908</v>
      </c>
      <c r="J25" s="70">
        <v>0.21</v>
      </c>
      <c r="K25" s="71">
        <f>Submetering!N25-Submetering!O25</f>
        <v>65.391999999999996</v>
      </c>
      <c r="L25" s="74">
        <v>7.84</v>
      </c>
      <c r="M25" s="71">
        <f>Submetering!Y25</f>
        <v>31</v>
      </c>
      <c r="N25" s="116">
        <f>Submetering!Z25</f>
        <v>45</v>
      </c>
    </row>
    <row r="26" spans="1:14" x14ac:dyDescent="0.25">
      <c r="A26" s="126" t="s">
        <v>80</v>
      </c>
      <c r="B26" s="72">
        <f>B25+1</f>
        <v>25</v>
      </c>
      <c r="C26" s="73">
        <v>6</v>
      </c>
      <c r="D26" s="72">
        <v>2020</v>
      </c>
      <c r="E26" s="71">
        <f>Submetering!E26+Submetering!F26+Submetering!G26+Submetering!H26+Submetering!I26+Submetering!J26+Submetering!K26</f>
        <v>23273</v>
      </c>
      <c r="F26" s="74">
        <v>0.2</v>
      </c>
      <c r="G26" s="71">
        <f>Submetering!P26</f>
        <v>304.89999999990687</v>
      </c>
      <c r="H26" s="74">
        <v>6.47</v>
      </c>
      <c r="I26" s="71">
        <f>Submetering!T26-Submetering!T26*15%-Submetering!X26</f>
        <v>59740.33579999709</v>
      </c>
      <c r="J26" s="70">
        <v>0.21</v>
      </c>
      <c r="K26" s="71">
        <f>Submetering!N26-Submetering!O26</f>
        <v>59.840999999999994</v>
      </c>
      <c r="L26" s="74">
        <v>7.84</v>
      </c>
      <c r="M26" s="71">
        <f>Submetering!Y26</f>
        <v>50</v>
      </c>
      <c r="N26" s="116">
        <f>Submetering!Z26</f>
        <v>83</v>
      </c>
    </row>
    <row r="27" spans="1:14" x14ac:dyDescent="0.25">
      <c r="A27" s="126" t="s">
        <v>80</v>
      </c>
      <c r="B27" s="72">
        <f t="shared" si="0"/>
        <v>26</v>
      </c>
      <c r="C27" s="73">
        <v>6</v>
      </c>
      <c r="D27" s="72">
        <v>2020</v>
      </c>
      <c r="E27" s="71">
        <f>Submetering!E27+Submetering!F27+Submetering!G27+Submetering!H27+Submetering!I27+Submetering!J27+Submetering!K27</f>
        <v>23538</v>
      </c>
      <c r="F27" s="74">
        <v>0.2</v>
      </c>
      <c r="G27" s="71">
        <f>Submetering!P27</f>
        <v>331.70000000006985</v>
      </c>
      <c r="H27" s="74">
        <v>6.47</v>
      </c>
      <c r="I27" s="71">
        <f>Submetering!T27-Submetering!T27*15%-Submetering!X27</f>
        <v>61052.926600001461</v>
      </c>
      <c r="J27" s="70">
        <v>0.21</v>
      </c>
      <c r="K27" s="71">
        <f>Submetering!N27-Submetering!O27</f>
        <v>49.965999999999987</v>
      </c>
      <c r="L27" s="74">
        <v>7.84</v>
      </c>
      <c r="M27" s="71">
        <f>Submetering!Y27</f>
        <v>57</v>
      </c>
      <c r="N27" s="116">
        <f>Submetering!Z27</f>
        <v>92</v>
      </c>
    </row>
    <row r="28" spans="1:14" x14ac:dyDescent="0.25">
      <c r="A28" s="126" t="s">
        <v>80</v>
      </c>
      <c r="B28" s="72">
        <f t="shared" si="0"/>
        <v>27</v>
      </c>
      <c r="C28" s="73">
        <v>6</v>
      </c>
      <c r="D28" s="72">
        <v>2020</v>
      </c>
      <c r="E28" s="71">
        <f>Submetering!E28+Submetering!F28+Submetering!G28+Submetering!H28+Submetering!I28+Submetering!J28+Submetering!K28</f>
        <v>23384</v>
      </c>
      <c r="F28" s="74">
        <v>0.2</v>
      </c>
      <c r="G28" s="71">
        <f>Submetering!P28</f>
        <v>330.90000000002328</v>
      </c>
      <c r="H28" s="74">
        <v>6.47</v>
      </c>
      <c r="I28" s="71">
        <f>Submetering!T28-Submetering!T28*15%-Submetering!X28</f>
        <v>57825.238600001467</v>
      </c>
      <c r="J28" s="70">
        <v>0.21</v>
      </c>
      <c r="K28" s="71">
        <f>Submetering!N28-Submetering!O28</f>
        <v>42.087000000000003</v>
      </c>
      <c r="L28" s="74">
        <v>7.84</v>
      </c>
      <c r="M28" s="71">
        <f>Submetering!Y28</f>
        <v>29</v>
      </c>
      <c r="N28" s="116">
        <f>Submetering!Z28</f>
        <v>53</v>
      </c>
    </row>
    <row r="29" spans="1:14" x14ac:dyDescent="0.25">
      <c r="A29" s="126" t="s">
        <v>80</v>
      </c>
      <c r="B29" s="72">
        <f t="shared" si="0"/>
        <v>28</v>
      </c>
      <c r="C29" s="73">
        <v>6</v>
      </c>
      <c r="D29" s="72">
        <v>2020</v>
      </c>
      <c r="E29" s="71">
        <f>Submetering!E29+Submetering!F29+Submetering!G29+Submetering!H29+Submetering!I29+Submetering!J29+Submetering!K29</f>
        <v>23593</v>
      </c>
      <c r="F29" s="74">
        <v>0.2</v>
      </c>
      <c r="G29" s="71">
        <f>Submetering!P29</f>
        <v>330.79999999993015</v>
      </c>
      <c r="H29" s="74">
        <v>6.47</v>
      </c>
      <c r="I29" s="71">
        <f>Submetering!T29-Submetering!T29*15%-Submetering!X29</f>
        <v>58023.626199997088</v>
      </c>
      <c r="J29" s="70">
        <v>0.21</v>
      </c>
      <c r="K29" s="71">
        <f>Submetering!N29-Submetering!O29</f>
        <v>41.464000000000013</v>
      </c>
      <c r="L29" s="74">
        <v>7.84</v>
      </c>
      <c r="M29" s="71">
        <f>Submetering!Y29</f>
        <v>30</v>
      </c>
      <c r="N29" s="116">
        <f>Submetering!Z29</f>
        <v>53</v>
      </c>
    </row>
    <row r="30" spans="1:14" x14ac:dyDescent="0.25">
      <c r="A30" s="126" t="s">
        <v>80</v>
      </c>
      <c r="B30" s="72">
        <f t="shared" si="0"/>
        <v>29</v>
      </c>
      <c r="C30" s="73">
        <v>6</v>
      </c>
      <c r="D30" s="72">
        <v>2020</v>
      </c>
      <c r="E30" s="71">
        <f>Submetering!E30+Submetering!F30+Submetering!G30+Submetering!H30+Submetering!I30+Submetering!J30+Submetering!K30</f>
        <v>24780</v>
      </c>
      <c r="F30" s="74">
        <v>0.2</v>
      </c>
      <c r="G30" s="71">
        <f>Submetering!P30</f>
        <v>323.5</v>
      </c>
      <c r="H30" s="74">
        <v>6.47</v>
      </c>
      <c r="I30" s="71">
        <f>Submetering!T30-Submetering!T30*15%-Submetering!X30</f>
        <v>53994.202800001454</v>
      </c>
      <c r="J30" s="70">
        <v>0.21</v>
      </c>
      <c r="K30" s="71">
        <f>Submetering!N30-Submetering!O30</f>
        <v>55.021999999999998</v>
      </c>
      <c r="L30" s="74">
        <v>7.84</v>
      </c>
      <c r="M30" s="71">
        <f>Submetering!Y30</f>
        <v>26</v>
      </c>
      <c r="N30" s="116">
        <f>Submetering!Z30</f>
        <v>46</v>
      </c>
    </row>
    <row r="31" spans="1:14" ht="15.75" thickBot="1" x14ac:dyDescent="0.3">
      <c r="A31" s="127" t="s">
        <v>80</v>
      </c>
      <c r="B31" s="128">
        <f t="shared" si="0"/>
        <v>30</v>
      </c>
      <c r="C31" s="129">
        <v>6</v>
      </c>
      <c r="D31" s="128">
        <v>2020</v>
      </c>
      <c r="E31" s="120">
        <f>Submetering!E31+Submetering!F31+Submetering!G31+Submetering!H31+Submetering!I31+Submetering!J31+Submetering!K31</f>
        <v>24071</v>
      </c>
      <c r="F31" s="130">
        <v>0.2</v>
      </c>
      <c r="G31" s="120">
        <f>Submetering!P31</f>
        <v>342.30000000004657</v>
      </c>
      <c r="H31" s="130">
        <v>6.47</v>
      </c>
      <c r="I31" s="120">
        <f>Submetering!T31-Submetering!T31*15%-Submetering!X31</f>
        <v>51578.941600002901</v>
      </c>
      <c r="J31" s="119">
        <v>0.21</v>
      </c>
      <c r="K31" s="120">
        <f>Submetering!N31-Submetering!O31</f>
        <v>52.547000000000004</v>
      </c>
      <c r="L31" s="130">
        <v>7.84</v>
      </c>
      <c r="M31" s="120">
        <f>Submetering!Y31</f>
        <v>33</v>
      </c>
      <c r="N31" s="121">
        <f>Submetering!Z31</f>
        <v>56</v>
      </c>
    </row>
    <row r="32" spans="1:14" x14ac:dyDescent="0.25">
      <c r="E32" s="152">
        <f>SUM(E2:E31)</f>
        <v>657504</v>
      </c>
      <c r="G32" s="4">
        <f>SUM(G2:G31)</f>
        <v>9240.5</v>
      </c>
      <c r="I32" s="152">
        <f>SUM(I2:I31)</f>
        <v>1548882.5626000012</v>
      </c>
      <c r="M32" s="4">
        <f>SUM(M2:M31)</f>
        <v>816</v>
      </c>
      <c r="N32" s="4">
        <f>SUM(N2:N31)</f>
        <v>1215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Z32" sqref="Z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4" t="s">
        <v>0</v>
      </c>
      <c r="B1" s="105" t="s">
        <v>1</v>
      </c>
      <c r="C1" s="106" t="s">
        <v>2</v>
      </c>
      <c r="D1" s="105" t="s">
        <v>3</v>
      </c>
      <c r="E1" s="107" t="s">
        <v>64</v>
      </c>
      <c r="F1" s="107" t="s">
        <v>81</v>
      </c>
      <c r="G1" s="107" t="s">
        <v>84</v>
      </c>
      <c r="H1" s="107" t="s">
        <v>65</v>
      </c>
      <c r="I1" s="107" t="s">
        <v>66</v>
      </c>
      <c r="J1" s="107" t="s">
        <v>67</v>
      </c>
      <c r="K1" s="107" t="s">
        <v>68</v>
      </c>
      <c r="L1" s="108" t="s">
        <v>69</v>
      </c>
      <c r="M1" s="108" t="s">
        <v>70</v>
      </c>
      <c r="N1" s="108" t="s">
        <v>71</v>
      </c>
      <c r="O1" s="108" t="s">
        <v>72</v>
      </c>
      <c r="P1" s="108" t="s">
        <v>73</v>
      </c>
      <c r="Q1" s="108" t="s">
        <v>74</v>
      </c>
      <c r="R1" s="108" t="s">
        <v>75</v>
      </c>
      <c r="S1" s="108" t="s">
        <v>91</v>
      </c>
      <c r="T1" s="108" t="s">
        <v>86</v>
      </c>
      <c r="U1" s="108" t="s">
        <v>87</v>
      </c>
      <c r="V1" s="108" t="s">
        <v>88</v>
      </c>
      <c r="W1" s="108" t="s">
        <v>89</v>
      </c>
      <c r="X1" s="108" t="s">
        <v>90</v>
      </c>
      <c r="Y1" s="109" t="s">
        <v>8</v>
      </c>
      <c r="Z1" s="108" t="s">
        <v>9</v>
      </c>
    </row>
    <row r="2" spans="1:26" x14ac:dyDescent="0.25">
      <c r="A2" s="110" t="s">
        <v>80</v>
      </c>
      <c r="B2" s="111">
        <v>1</v>
      </c>
      <c r="C2" s="112">
        <v>6</v>
      </c>
      <c r="D2" s="111">
        <v>2020</v>
      </c>
      <c r="E2" s="113">
        <f>'FS-AD Daily '!B6</f>
        <v>3233</v>
      </c>
      <c r="F2" s="113">
        <f>'FS-AD Daily '!C6</f>
        <v>1578</v>
      </c>
      <c r="G2" s="113">
        <f>'FS-AD Daily '!D6</f>
        <v>802</v>
      </c>
      <c r="H2" s="113">
        <f>'FS-AD Daily '!E6</f>
        <v>3547</v>
      </c>
      <c r="I2" s="113">
        <f>'FS-AD Daily '!F6</f>
        <v>4690</v>
      </c>
      <c r="J2" s="113">
        <f>'FS-AD Daily '!G6</f>
        <v>2510</v>
      </c>
      <c r="K2" s="113">
        <f>'FS-AD Daily '!H6</f>
        <v>3548</v>
      </c>
      <c r="L2" s="113">
        <f>'FS-AD Daily '!I6</f>
        <v>2764</v>
      </c>
      <c r="M2" s="113">
        <f>'FS-AD Daily '!J6</f>
        <v>5941</v>
      </c>
      <c r="N2" s="113">
        <f>'FS-AD Daily '!T6</f>
        <v>99.940999999999988</v>
      </c>
      <c r="O2" s="113">
        <f>'FS-AD Daily '!R6</f>
        <v>32.694000000000003</v>
      </c>
      <c r="P2" s="113">
        <f>'FS-AD Daily '!Z6</f>
        <v>271.79999999993015</v>
      </c>
      <c r="Q2" s="113">
        <f>'FS-AD Daily '!V6</f>
        <v>127.5</v>
      </c>
      <c r="R2" s="113">
        <f>'FS-AD Daily '!W6</f>
        <v>0</v>
      </c>
      <c r="S2" s="113">
        <f>P2-Q2-R2</f>
        <v>144.29999999993015</v>
      </c>
      <c r="T2" s="113">
        <f>'FS-AD Daily '!AD6*3.516</f>
        <v>78069.263999999996</v>
      </c>
      <c r="U2" s="113">
        <f>('FS-AD Daily '!AF6)*1000</f>
        <v>38900</v>
      </c>
      <c r="V2" s="113">
        <f>('FS-AD Daily '!AG6)*1000</f>
        <v>15100</v>
      </c>
      <c r="W2" s="113">
        <f>'FS-AD Daily '!AH6*1000</f>
        <v>18200</v>
      </c>
      <c r="X2" s="113">
        <f>('FS-AD Daily '!AK6)*1000</f>
        <v>22300.00000000291</v>
      </c>
      <c r="Y2" s="113">
        <v>31</v>
      </c>
      <c r="Z2" s="114">
        <v>44</v>
      </c>
    </row>
    <row r="3" spans="1:26" x14ac:dyDescent="0.25">
      <c r="A3" s="115" t="s">
        <v>80</v>
      </c>
      <c r="B3" s="69">
        <f>B2+1</f>
        <v>2</v>
      </c>
      <c r="C3" s="70">
        <v>6</v>
      </c>
      <c r="D3" s="69">
        <v>2020</v>
      </c>
      <c r="E3" s="71">
        <f>'FS-AD Daily '!B7</f>
        <v>3236</v>
      </c>
      <c r="F3" s="71">
        <f>'FS-AD Daily '!C7</f>
        <v>1728</v>
      </c>
      <c r="G3" s="71">
        <f>'FS-AD Daily '!D7</f>
        <v>823</v>
      </c>
      <c r="H3" s="71">
        <f>'FS-AD Daily '!E7</f>
        <v>3598</v>
      </c>
      <c r="I3" s="71">
        <f>'FS-AD Daily '!F7</f>
        <v>4702</v>
      </c>
      <c r="J3" s="71">
        <f>'FS-AD Daily '!G7</f>
        <v>2520</v>
      </c>
      <c r="K3" s="71">
        <f>'FS-AD Daily '!H7</f>
        <v>3546</v>
      </c>
      <c r="L3" s="71">
        <f>'FS-AD Daily '!I7</f>
        <v>2813</v>
      </c>
      <c r="M3" s="71">
        <f>'FS-AD Daily '!J7</f>
        <v>5979</v>
      </c>
      <c r="N3" s="71">
        <f>'FS-AD Daily '!T7</f>
        <v>91.682000000000002</v>
      </c>
      <c r="O3" s="71">
        <f>'FS-AD Daily '!R7</f>
        <v>38.259</v>
      </c>
      <c r="P3" s="71">
        <f>'FS-AD Daily '!Z7</f>
        <v>284.60000000009313</v>
      </c>
      <c r="Q3" s="71">
        <f>'FS-AD Daily '!V7</f>
        <v>127.9</v>
      </c>
      <c r="R3" s="71">
        <f>'FS-AD Daily '!W7</f>
        <v>0</v>
      </c>
      <c r="S3" s="71">
        <f t="shared" ref="S3:S31" si="0">P3-Q3-R3</f>
        <v>156.70000000009313</v>
      </c>
      <c r="T3" s="71">
        <f>'FS-AD Daily '!AD7*3.516</f>
        <v>78617.759999999995</v>
      </c>
      <c r="U3" s="71">
        <f>('FS-AD Daily '!AF7)*1000</f>
        <v>41300</v>
      </c>
      <c r="V3" s="71">
        <f>('FS-AD Daily '!AG7)*1000</f>
        <v>15100</v>
      </c>
      <c r="W3" s="71">
        <f>'FS-AD Daily '!AH7*1000</f>
        <v>18300</v>
      </c>
      <c r="X3" s="71">
        <f>('FS-AD Daily '!AK7)*1000</f>
        <v>21799.999999995634</v>
      </c>
      <c r="Y3" s="71">
        <v>26</v>
      </c>
      <c r="Z3" s="116">
        <v>40</v>
      </c>
    </row>
    <row r="4" spans="1:26" x14ac:dyDescent="0.25">
      <c r="A4" s="115" t="s">
        <v>80</v>
      </c>
      <c r="B4" s="69">
        <f t="shared" ref="B4:B31" si="1">B3+1</f>
        <v>3</v>
      </c>
      <c r="C4" s="70">
        <v>6</v>
      </c>
      <c r="D4" s="69">
        <v>2020</v>
      </c>
      <c r="E4" s="71">
        <f>'FS-AD Daily '!B8</f>
        <v>3366</v>
      </c>
      <c r="F4" s="71">
        <f>'FS-AD Daily '!C8</f>
        <v>2258</v>
      </c>
      <c r="G4" s="71">
        <f>'FS-AD Daily '!D8</f>
        <v>805</v>
      </c>
      <c r="H4" s="71">
        <f>'FS-AD Daily '!E8</f>
        <v>3482</v>
      </c>
      <c r="I4" s="71">
        <f>'FS-AD Daily '!F8</f>
        <v>4792</v>
      </c>
      <c r="J4" s="71">
        <f>'FS-AD Daily '!G8</f>
        <v>2564</v>
      </c>
      <c r="K4" s="71">
        <f>'FS-AD Daily '!H8</f>
        <v>3617</v>
      </c>
      <c r="L4" s="71">
        <f>'FS-AD Daily '!I8</f>
        <v>2791</v>
      </c>
      <c r="M4" s="71">
        <f>'FS-AD Daily '!J8</f>
        <v>6167</v>
      </c>
      <c r="N4" s="71">
        <f>'FS-AD Daily '!T8</f>
        <v>83.472000000000008</v>
      </c>
      <c r="O4" s="71">
        <f>'FS-AD Daily '!R8</f>
        <v>38.007000000000005</v>
      </c>
      <c r="P4" s="71">
        <f>'FS-AD Daily '!Z8</f>
        <v>281.89999999990687</v>
      </c>
      <c r="Q4" s="71">
        <f>'FS-AD Daily '!V8</f>
        <v>127.7</v>
      </c>
      <c r="R4" s="71">
        <f>'FS-AD Daily '!W8</f>
        <v>0</v>
      </c>
      <c r="S4" s="71">
        <f t="shared" si="0"/>
        <v>154.19999999990688</v>
      </c>
      <c r="T4" s="71">
        <f>'FS-AD Daily '!AD8*3.516</f>
        <v>84278.52</v>
      </c>
      <c r="U4" s="71">
        <f>('FS-AD Daily '!AF8)*1000</f>
        <v>44400</v>
      </c>
      <c r="V4" s="71">
        <f>('FS-AD Daily '!AG8)*1000</f>
        <v>14900</v>
      </c>
      <c r="W4" s="71">
        <f>'FS-AD Daily '!AH8*1000</f>
        <v>18200</v>
      </c>
      <c r="X4" s="71">
        <f>('FS-AD Daily '!AK8)*1000</f>
        <v>23300.00000000291</v>
      </c>
      <c r="Y4" s="71">
        <v>24</v>
      </c>
      <c r="Z4" s="116">
        <v>38</v>
      </c>
    </row>
    <row r="5" spans="1:26" x14ac:dyDescent="0.25">
      <c r="A5" s="115" t="s">
        <v>80</v>
      </c>
      <c r="B5" s="69">
        <f t="shared" si="1"/>
        <v>4</v>
      </c>
      <c r="C5" s="70">
        <v>6</v>
      </c>
      <c r="D5" s="69">
        <v>2020</v>
      </c>
      <c r="E5" s="71">
        <f>'FS-AD Daily '!B9</f>
        <v>2859</v>
      </c>
      <c r="F5" s="71">
        <f>'FS-AD Daily '!C9</f>
        <v>2015</v>
      </c>
      <c r="G5" s="71">
        <f>'FS-AD Daily '!D9</f>
        <v>825</v>
      </c>
      <c r="H5" s="71">
        <f>'FS-AD Daily '!E9</f>
        <v>3549</v>
      </c>
      <c r="I5" s="71">
        <f>'FS-AD Daily '!F9</f>
        <v>4719</v>
      </c>
      <c r="J5" s="71">
        <f>'FS-AD Daily '!G9</f>
        <v>2762</v>
      </c>
      <c r="K5" s="71">
        <f>'FS-AD Daily '!H9</f>
        <v>3586</v>
      </c>
      <c r="L5" s="71">
        <f>'FS-AD Daily '!I9</f>
        <v>2761</v>
      </c>
      <c r="M5" s="71">
        <f>'FS-AD Daily '!J9</f>
        <v>6265</v>
      </c>
      <c r="N5" s="71">
        <f>'FS-AD Daily '!T9</f>
        <v>91.081999999999994</v>
      </c>
      <c r="O5" s="71">
        <f>'FS-AD Daily '!R9</f>
        <v>38.792000000000002</v>
      </c>
      <c r="P5" s="71">
        <f>'FS-AD Daily '!Z9</f>
        <v>302</v>
      </c>
      <c r="Q5" s="71">
        <f>'FS-AD Daily '!V9</f>
        <v>133.9</v>
      </c>
      <c r="R5" s="71">
        <f>'FS-AD Daily '!W9</f>
        <v>0</v>
      </c>
      <c r="S5" s="71">
        <f t="shared" si="0"/>
        <v>168.1</v>
      </c>
      <c r="T5" s="71">
        <f>'FS-AD Daily '!AD9*3.516</f>
        <v>81813.804000000004</v>
      </c>
      <c r="U5" s="71">
        <f>('FS-AD Daily '!AF9)*1000</f>
        <v>39800</v>
      </c>
      <c r="V5" s="71">
        <f>('FS-AD Daily '!AG9)*1000</f>
        <v>15200</v>
      </c>
      <c r="W5" s="71">
        <f>'FS-AD Daily '!AH9*1000</f>
        <v>18400</v>
      </c>
      <c r="X5" s="71">
        <f>('FS-AD Daily '!AK9)*1000</f>
        <v>24199.99999999709</v>
      </c>
      <c r="Y5" s="71">
        <v>25</v>
      </c>
      <c r="Z5" s="116">
        <v>33</v>
      </c>
    </row>
    <row r="6" spans="1:26" x14ac:dyDescent="0.25">
      <c r="A6" s="115" t="s">
        <v>80</v>
      </c>
      <c r="B6" s="69">
        <f t="shared" si="1"/>
        <v>5</v>
      </c>
      <c r="C6" s="70">
        <v>6</v>
      </c>
      <c r="D6" s="69">
        <v>2020</v>
      </c>
      <c r="E6" s="71">
        <f>'FS-AD Daily '!B10</f>
        <v>2708</v>
      </c>
      <c r="F6" s="71">
        <f>'FS-AD Daily '!C10</f>
        <v>1760</v>
      </c>
      <c r="G6" s="71">
        <f>'FS-AD Daily '!D10</f>
        <v>870</v>
      </c>
      <c r="H6" s="71">
        <f>'FS-AD Daily '!E10</f>
        <v>3306</v>
      </c>
      <c r="I6" s="71">
        <f>'FS-AD Daily '!F10</f>
        <v>4771</v>
      </c>
      <c r="J6" s="71">
        <f>'FS-AD Daily '!G10</f>
        <v>2795</v>
      </c>
      <c r="K6" s="71">
        <f>'FS-AD Daily '!H10</f>
        <v>4027</v>
      </c>
      <c r="L6" s="71">
        <f>'FS-AD Daily '!I10</f>
        <v>2758</v>
      </c>
      <c r="M6" s="71">
        <f>'FS-AD Daily '!J10</f>
        <v>6555</v>
      </c>
      <c r="N6" s="71">
        <f>'FS-AD Daily '!T10</f>
        <v>78.448999999999998</v>
      </c>
      <c r="O6" s="71">
        <f>'FS-AD Daily '!R10</f>
        <v>43.875999999999998</v>
      </c>
      <c r="P6" s="71">
        <f>'FS-AD Daily '!Z10</f>
        <v>291.10000000009313</v>
      </c>
      <c r="Q6" s="71">
        <f>'FS-AD Daily '!V10</f>
        <v>131.9</v>
      </c>
      <c r="R6" s="71">
        <f>'FS-AD Daily '!W10</f>
        <v>0</v>
      </c>
      <c r="S6" s="71">
        <f t="shared" si="0"/>
        <v>159.20000000009313</v>
      </c>
      <c r="T6" s="71">
        <f>'FS-AD Daily '!AD10*3.516</f>
        <v>91989.108000000007</v>
      </c>
      <c r="U6" s="71">
        <f>('FS-AD Daily '!AF10)*1000</f>
        <v>41500</v>
      </c>
      <c r="V6" s="71">
        <f>('FS-AD Daily '!AG10)*1000</f>
        <v>19200</v>
      </c>
      <c r="W6" s="71">
        <f>'FS-AD Daily '!AH10*1000</f>
        <v>19800</v>
      </c>
      <c r="X6" s="71">
        <f>('FS-AD Daily '!AK10)*1000</f>
        <v>27200.000000004366</v>
      </c>
      <c r="Y6" s="71">
        <v>28</v>
      </c>
      <c r="Z6" s="116">
        <v>39</v>
      </c>
    </row>
    <row r="7" spans="1:26" x14ac:dyDescent="0.25">
      <c r="A7" s="115" t="s">
        <v>80</v>
      </c>
      <c r="B7" s="69">
        <f t="shared" si="1"/>
        <v>6</v>
      </c>
      <c r="C7" s="70">
        <v>6</v>
      </c>
      <c r="D7" s="69">
        <v>2020</v>
      </c>
      <c r="E7" s="71">
        <f>'FS-AD Daily '!B11</f>
        <v>3268</v>
      </c>
      <c r="F7" s="71">
        <f>'FS-AD Daily '!C11</f>
        <v>1867</v>
      </c>
      <c r="G7" s="71">
        <f>'FS-AD Daily '!D11</f>
        <v>830</v>
      </c>
      <c r="H7" s="71">
        <f>'FS-AD Daily '!E11</f>
        <v>3534</v>
      </c>
      <c r="I7" s="71">
        <f>'FS-AD Daily '!F11</f>
        <v>4817</v>
      </c>
      <c r="J7" s="71">
        <f>'FS-AD Daily '!G11</f>
        <v>2799</v>
      </c>
      <c r="K7" s="71">
        <f>'FS-AD Daily '!H11</f>
        <v>3937</v>
      </c>
      <c r="L7" s="71">
        <f>'FS-AD Daily '!I11</f>
        <v>2864</v>
      </c>
      <c r="M7" s="71">
        <f>'FS-AD Daily '!J11</f>
        <v>6362</v>
      </c>
      <c r="N7" s="71">
        <f>'FS-AD Daily '!T11</f>
        <v>135.79400000000001</v>
      </c>
      <c r="O7" s="71">
        <f>'FS-AD Daily '!R11</f>
        <v>50.451000000000001</v>
      </c>
      <c r="P7" s="71">
        <f>'FS-AD Daily '!Z11</f>
        <v>310.29999999993015</v>
      </c>
      <c r="Q7" s="71">
        <f>'FS-AD Daily '!V11</f>
        <v>145.6</v>
      </c>
      <c r="R7" s="71">
        <f>'FS-AD Daily '!W11</f>
        <v>0</v>
      </c>
      <c r="S7" s="71">
        <f t="shared" si="0"/>
        <v>164.69999999993016</v>
      </c>
      <c r="T7" s="71">
        <f>'FS-AD Daily '!AD11*3.516</f>
        <v>102435.144</v>
      </c>
      <c r="U7" s="71">
        <f>('FS-AD Daily '!AF11)*1000</f>
        <v>49500</v>
      </c>
      <c r="V7" s="71">
        <f>('FS-AD Daily '!AG11)*1000</f>
        <v>23200</v>
      </c>
      <c r="W7" s="71">
        <f>'FS-AD Daily '!AH11*1000</f>
        <v>20100</v>
      </c>
      <c r="X7" s="71">
        <f>('FS-AD Daily '!AK11)*1000</f>
        <v>26399.999999994179</v>
      </c>
      <c r="Y7" s="71">
        <v>21</v>
      </c>
      <c r="Z7" s="116">
        <v>23</v>
      </c>
    </row>
    <row r="8" spans="1:26" x14ac:dyDescent="0.25">
      <c r="A8" s="115" t="s">
        <v>80</v>
      </c>
      <c r="B8" s="69">
        <f t="shared" si="1"/>
        <v>7</v>
      </c>
      <c r="C8" s="70">
        <v>6</v>
      </c>
      <c r="D8" s="69">
        <v>2020</v>
      </c>
      <c r="E8" s="71">
        <f>'FS-AD Daily '!B12</f>
        <v>3584</v>
      </c>
      <c r="F8" s="71">
        <f>'FS-AD Daily '!C12</f>
        <v>2040</v>
      </c>
      <c r="G8" s="71">
        <f>'FS-AD Daily '!D12</f>
        <v>760</v>
      </c>
      <c r="H8" s="71">
        <f>'FS-AD Daily '!E12</f>
        <v>3583</v>
      </c>
      <c r="I8" s="71">
        <f>'FS-AD Daily '!F12</f>
        <v>4768</v>
      </c>
      <c r="J8" s="71">
        <f>'FS-AD Daily '!G12</f>
        <v>2972</v>
      </c>
      <c r="K8" s="71">
        <f>'FS-AD Daily '!H12</f>
        <v>3910</v>
      </c>
      <c r="L8" s="71">
        <f>'FS-AD Daily '!I12</f>
        <v>2831</v>
      </c>
      <c r="M8" s="71">
        <f>'FS-AD Daily '!J12</f>
        <v>6303</v>
      </c>
      <c r="N8" s="71">
        <f>'FS-AD Daily '!T12</f>
        <v>112.72</v>
      </c>
      <c r="O8" s="71">
        <f>'FS-AD Daily '!R12</f>
        <v>44.203000000000003</v>
      </c>
      <c r="P8" s="71">
        <f>'FS-AD Daily '!Z12</f>
        <v>314.09999999997672</v>
      </c>
      <c r="Q8" s="71">
        <f>'FS-AD Daily '!V12</f>
        <v>153.5</v>
      </c>
      <c r="R8" s="71">
        <f>'FS-AD Daily '!W12</f>
        <v>0</v>
      </c>
      <c r="S8" s="71">
        <f t="shared" si="0"/>
        <v>160.59999999997672</v>
      </c>
      <c r="T8" s="71">
        <f>'FS-AD Daily '!AD12*3.516</f>
        <v>99590.7</v>
      </c>
      <c r="U8" s="71">
        <f>('FS-AD Daily '!AF12)*1000</f>
        <v>49000</v>
      </c>
      <c r="V8" s="71">
        <f>('FS-AD Daily '!AG12)*1000</f>
        <v>22200</v>
      </c>
      <c r="W8" s="71">
        <f>'FS-AD Daily '!AH12*1000</f>
        <v>20200</v>
      </c>
      <c r="X8" s="71">
        <f>('FS-AD Daily '!AK12)*1000</f>
        <v>25900.000000001455</v>
      </c>
      <c r="Y8" s="71">
        <v>23</v>
      </c>
      <c r="Z8" s="116">
        <v>30</v>
      </c>
    </row>
    <row r="9" spans="1:26" x14ac:dyDescent="0.25">
      <c r="A9" s="115" t="s">
        <v>80</v>
      </c>
      <c r="B9" s="69">
        <f t="shared" si="1"/>
        <v>8</v>
      </c>
      <c r="C9" s="70">
        <v>6</v>
      </c>
      <c r="D9" s="69">
        <v>2020</v>
      </c>
      <c r="E9" s="71">
        <f>'FS-AD Daily '!B13</f>
        <v>3579</v>
      </c>
      <c r="F9" s="71">
        <f>'FS-AD Daily '!C13</f>
        <v>2027</v>
      </c>
      <c r="G9" s="71">
        <f>'FS-AD Daily '!D13</f>
        <v>780</v>
      </c>
      <c r="H9" s="71">
        <f>'FS-AD Daily '!E13</f>
        <v>3597</v>
      </c>
      <c r="I9" s="71">
        <f>'FS-AD Daily '!F13</f>
        <v>4874</v>
      </c>
      <c r="J9" s="71">
        <f>'FS-AD Daily '!G13</f>
        <v>3127</v>
      </c>
      <c r="K9" s="71">
        <f>'FS-AD Daily '!H13</f>
        <v>3703</v>
      </c>
      <c r="L9" s="71">
        <f>'FS-AD Daily '!I13</f>
        <v>2822</v>
      </c>
      <c r="M9" s="71">
        <f>'FS-AD Daily '!J13</f>
        <v>6420</v>
      </c>
      <c r="N9" s="71">
        <f>'FS-AD Daily '!T13</f>
        <v>87.314999999999998</v>
      </c>
      <c r="O9" s="71">
        <f>'FS-AD Daily '!R13</f>
        <v>41.526000000000003</v>
      </c>
      <c r="P9" s="71">
        <f>'FS-AD Daily '!Z13</f>
        <v>290.20000000006985</v>
      </c>
      <c r="Q9" s="71">
        <f>'FS-AD Daily '!V13</f>
        <v>147.9</v>
      </c>
      <c r="R9" s="71">
        <f>'FS-AD Daily '!W13</f>
        <v>0</v>
      </c>
      <c r="S9" s="71">
        <f t="shared" si="0"/>
        <v>142.30000000006984</v>
      </c>
      <c r="T9" s="71">
        <f>'FS-AD Daily '!AD13*3.516</f>
        <v>84946.559999999998</v>
      </c>
      <c r="U9" s="71">
        <f>('FS-AD Daily '!AF13)*1000</f>
        <v>39700</v>
      </c>
      <c r="V9" s="71">
        <f>('FS-AD Daily '!AG13)*1000</f>
        <v>21100</v>
      </c>
      <c r="W9" s="71">
        <f>'FS-AD Daily '!AH13*1000</f>
        <v>18800</v>
      </c>
      <c r="X9" s="71">
        <f>('FS-AD Daily '!AK13)*1000</f>
        <v>24200.000000004366</v>
      </c>
      <c r="Y9" s="71">
        <v>27</v>
      </c>
      <c r="Z9" s="116">
        <v>35</v>
      </c>
    </row>
    <row r="10" spans="1:26" x14ac:dyDescent="0.25">
      <c r="A10" s="115" t="s">
        <v>80</v>
      </c>
      <c r="B10" s="69">
        <f t="shared" si="1"/>
        <v>9</v>
      </c>
      <c r="C10" s="70">
        <v>6</v>
      </c>
      <c r="D10" s="69">
        <v>2020</v>
      </c>
      <c r="E10" s="71">
        <f>'FS-AD Daily '!B14</f>
        <v>3413</v>
      </c>
      <c r="F10" s="71">
        <f>'FS-AD Daily '!C14</f>
        <v>1634</v>
      </c>
      <c r="G10" s="71">
        <f>'FS-AD Daily '!D14</f>
        <v>758</v>
      </c>
      <c r="H10" s="71">
        <f>'FS-AD Daily '!E14</f>
        <v>3587</v>
      </c>
      <c r="I10" s="71">
        <f>'FS-AD Daily '!F14</f>
        <v>4897</v>
      </c>
      <c r="J10" s="71">
        <f>'FS-AD Daily '!G14</f>
        <v>3051</v>
      </c>
      <c r="K10" s="71">
        <f>'FS-AD Daily '!H14</f>
        <v>3993</v>
      </c>
      <c r="L10" s="71">
        <f>'FS-AD Daily '!I14</f>
        <v>2853</v>
      </c>
      <c r="M10" s="71">
        <f>'FS-AD Daily '!J14</f>
        <v>6298</v>
      </c>
      <c r="N10" s="71">
        <f>'FS-AD Daily '!T14</f>
        <v>95.004000000000005</v>
      </c>
      <c r="O10" s="71">
        <f>'FS-AD Daily '!R14</f>
        <v>37.034999999999997</v>
      </c>
      <c r="P10" s="71">
        <f>'FS-AD Daily '!Z14</f>
        <v>299.59999999997672</v>
      </c>
      <c r="Q10" s="71">
        <f>'FS-AD Daily '!V14</f>
        <v>148.5</v>
      </c>
      <c r="R10" s="71">
        <f>'FS-AD Daily '!W14</f>
        <v>0</v>
      </c>
      <c r="S10" s="71">
        <f t="shared" si="0"/>
        <v>151.09999999997672</v>
      </c>
      <c r="T10" s="71">
        <f>'FS-AD Daily '!AD14*3.516</f>
        <v>85255.967999999993</v>
      </c>
      <c r="U10" s="71">
        <f>('FS-AD Daily '!AF14)*1000</f>
        <v>39700</v>
      </c>
      <c r="V10" s="71">
        <f>('FS-AD Daily '!AG14)*1000</f>
        <v>21900</v>
      </c>
      <c r="W10" s="71">
        <f>'FS-AD Daily '!AH14*1000</f>
        <v>18700</v>
      </c>
      <c r="X10" s="71">
        <f>('FS-AD Daily '!AK14)*1000</f>
        <v>23500</v>
      </c>
      <c r="Y10" s="71">
        <v>23</v>
      </c>
      <c r="Z10" s="116">
        <v>34</v>
      </c>
    </row>
    <row r="11" spans="1:26" x14ac:dyDescent="0.25">
      <c r="A11" s="115" t="s">
        <v>80</v>
      </c>
      <c r="B11" s="69">
        <f t="shared" si="1"/>
        <v>10</v>
      </c>
      <c r="C11" s="70">
        <v>6</v>
      </c>
      <c r="D11" s="69">
        <v>2020</v>
      </c>
      <c r="E11" s="71">
        <f>'FS-AD Daily '!B15</f>
        <v>3493</v>
      </c>
      <c r="F11" s="71">
        <f>'FS-AD Daily '!C15</f>
        <v>1992</v>
      </c>
      <c r="G11" s="71">
        <f>'FS-AD Daily '!D15</f>
        <v>758</v>
      </c>
      <c r="H11" s="71">
        <f>'FS-AD Daily '!E15</f>
        <v>3612</v>
      </c>
      <c r="I11" s="71">
        <f>'FS-AD Daily '!F15</f>
        <v>4885</v>
      </c>
      <c r="J11" s="71">
        <f>'FS-AD Daily '!G15</f>
        <v>3211</v>
      </c>
      <c r="K11" s="71">
        <f>'FS-AD Daily '!H15</f>
        <v>4313</v>
      </c>
      <c r="L11" s="71">
        <f>'FS-AD Daily '!I15</f>
        <v>2816</v>
      </c>
      <c r="M11" s="71">
        <f>'FS-AD Daily '!J15</f>
        <v>6347</v>
      </c>
      <c r="N11" s="71">
        <f>'FS-AD Daily '!T15</f>
        <v>101.074</v>
      </c>
      <c r="O11" s="71">
        <f>'FS-AD Daily '!R15</f>
        <v>38.930999999999997</v>
      </c>
      <c r="P11" s="71">
        <f>'FS-AD Daily '!Z15</f>
        <v>303.5</v>
      </c>
      <c r="Q11" s="71">
        <f>'FS-AD Daily '!V15</f>
        <v>155.5</v>
      </c>
      <c r="R11" s="71">
        <f>'FS-AD Daily '!W15</f>
        <v>0</v>
      </c>
      <c r="S11" s="71">
        <f t="shared" si="0"/>
        <v>148</v>
      </c>
      <c r="T11" s="71">
        <f>'FS-AD Daily '!AD15*3.516</f>
        <v>94995.288</v>
      </c>
      <c r="U11" s="71">
        <f>('FS-AD Daily '!AF15)*1000</f>
        <v>42900</v>
      </c>
      <c r="V11" s="71">
        <f>('FS-AD Daily '!AG15)*1000</f>
        <v>24200</v>
      </c>
      <c r="W11" s="71">
        <f>'FS-AD Daily '!AH15*1000</f>
        <v>20900</v>
      </c>
      <c r="X11" s="71">
        <f>('FS-AD Daily '!AK15)*1000</f>
        <v>25099.999999998545</v>
      </c>
      <c r="Y11" s="71">
        <v>21</v>
      </c>
      <c r="Z11" s="116">
        <v>29</v>
      </c>
    </row>
    <row r="12" spans="1:26" x14ac:dyDescent="0.25">
      <c r="A12" s="115" t="s">
        <v>80</v>
      </c>
      <c r="B12" s="69">
        <f t="shared" si="1"/>
        <v>11</v>
      </c>
      <c r="C12" s="70">
        <v>6</v>
      </c>
      <c r="D12" s="69">
        <v>2020</v>
      </c>
      <c r="E12" s="71">
        <f>'FS-AD Daily '!B16</f>
        <v>3538</v>
      </c>
      <c r="F12" s="71">
        <f>'FS-AD Daily '!C16</f>
        <v>1771</v>
      </c>
      <c r="G12" s="71">
        <f>'FS-AD Daily '!D16</f>
        <v>743</v>
      </c>
      <c r="H12" s="71">
        <f>'FS-AD Daily '!E16</f>
        <v>3515</v>
      </c>
      <c r="I12" s="71">
        <f>'FS-AD Daily '!F16</f>
        <v>4879</v>
      </c>
      <c r="J12" s="71">
        <f>'FS-AD Daily '!G16</f>
        <v>3075</v>
      </c>
      <c r="K12" s="71">
        <f>'FS-AD Daily '!H16</f>
        <v>4074</v>
      </c>
      <c r="L12" s="71">
        <f>'FS-AD Daily '!I16</f>
        <v>2850</v>
      </c>
      <c r="M12" s="71">
        <f>'FS-AD Daily '!J16</f>
        <v>6214</v>
      </c>
      <c r="N12" s="71">
        <f>'FS-AD Daily '!T16</f>
        <v>111.01300000000001</v>
      </c>
      <c r="O12" s="71">
        <f>'FS-AD Daily '!R16</f>
        <v>40.196999999999996</v>
      </c>
      <c r="P12" s="71">
        <f>'FS-AD Daily '!Z16</f>
        <v>327.19999999995343</v>
      </c>
      <c r="Q12" s="71">
        <f>'FS-AD Daily '!V16</f>
        <v>169.9</v>
      </c>
      <c r="R12" s="71">
        <f>'FS-AD Daily '!W16</f>
        <v>0</v>
      </c>
      <c r="S12" s="71">
        <f t="shared" si="0"/>
        <v>157.29999999995343</v>
      </c>
      <c r="T12" s="71">
        <f>'FS-AD Daily '!AD16*3.516</f>
        <v>87298.763999999996</v>
      </c>
      <c r="U12" s="71">
        <f>('FS-AD Daily '!AF16)*1000</f>
        <v>39300</v>
      </c>
      <c r="V12" s="71">
        <f>('FS-AD Daily '!AG16)*1000</f>
        <v>22300</v>
      </c>
      <c r="W12" s="71">
        <f>'FS-AD Daily '!AH16*1000</f>
        <v>21200</v>
      </c>
      <c r="X12" s="71">
        <f>('FS-AD Daily '!AK16)*1000</f>
        <v>23799.999999995634</v>
      </c>
      <c r="Y12" s="71">
        <v>34</v>
      </c>
      <c r="Z12" s="116">
        <v>49</v>
      </c>
    </row>
    <row r="13" spans="1:26" x14ac:dyDescent="0.25">
      <c r="A13" s="115" t="s">
        <v>80</v>
      </c>
      <c r="B13" s="69">
        <f t="shared" si="1"/>
        <v>12</v>
      </c>
      <c r="C13" s="70">
        <v>6</v>
      </c>
      <c r="D13" s="69">
        <v>2020</v>
      </c>
      <c r="E13" s="71">
        <f>'FS-AD Daily '!B17</f>
        <v>3822</v>
      </c>
      <c r="F13" s="71">
        <f>'FS-AD Daily '!C17</f>
        <v>1797</v>
      </c>
      <c r="G13" s="71">
        <f>'FS-AD Daily '!D17</f>
        <v>811</v>
      </c>
      <c r="H13" s="71">
        <f>'FS-AD Daily '!E17</f>
        <v>3867</v>
      </c>
      <c r="I13" s="71">
        <f>'FS-AD Daily '!F17</f>
        <v>4903</v>
      </c>
      <c r="J13" s="71">
        <f>'FS-AD Daily '!G17</f>
        <v>3052</v>
      </c>
      <c r="K13" s="71">
        <f>'FS-AD Daily '!H17</f>
        <v>3736</v>
      </c>
      <c r="L13" s="71">
        <f>'FS-AD Daily '!I17</f>
        <v>2837</v>
      </c>
      <c r="M13" s="71">
        <f>'FS-AD Daily '!J17</f>
        <v>6403</v>
      </c>
      <c r="N13" s="71">
        <f>'FS-AD Daily '!T17</f>
        <v>112.398</v>
      </c>
      <c r="O13" s="71">
        <f>'FS-AD Daily '!R17</f>
        <v>40.591000000000001</v>
      </c>
      <c r="P13" s="71">
        <f>'FS-AD Daily '!Z17</f>
        <v>327</v>
      </c>
      <c r="Q13" s="71">
        <f>'FS-AD Daily '!V17</f>
        <v>161.69999999999999</v>
      </c>
      <c r="R13" s="71">
        <f>'FS-AD Daily '!W17</f>
        <v>0</v>
      </c>
      <c r="S13" s="71">
        <f t="shared" si="0"/>
        <v>165.3</v>
      </c>
      <c r="T13" s="71">
        <f>'FS-AD Daily '!AD17*3.516</f>
        <v>78867.395999999993</v>
      </c>
      <c r="U13" s="71">
        <f>('FS-AD Daily '!AF17)*1000</f>
        <v>37500</v>
      </c>
      <c r="V13" s="71">
        <f>('FS-AD Daily '!AG17)*1000</f>
        <v>20700</v>
      </c>
      <c r="W13" s="71">
        <f>'FS-AD Daily '!AH17*1000</f>
        <v>19000</v>
      </c>
      <c r="X13" s="71">
        <f>('FS-AD Daily '!AK17)*1000</f>
        <v>21800.00000000291</v>
      </c>
      <c r="Y13" s="71">
        <v>34</v>
      </c>
      <c r="Z13" s="116">
        <v>57</v>
      </c>
    </row>
    <row r="14" spans="1:26" x14ac:dyDescent="0.25">
      <c r="A14" s="115" t="s">
        <v>80</v>
      </c>
      <c r="B14" s="69">
        <f t="shared" si="1"/>
        <v>13</v>
      </c>
      <c r="C14" s="70">
        <v>6</v>
      </c>
      <c r="D14" s="69">
        <v>2020</v>
      </c>
      <c r="E14" s="71">
        <f>'FS-AD Daily '!B18</f>
        <v>3785</v>
      </c>
      <c r="F14" s="71">
        <f>'FS-AD Daily '!C18</f>
        <v>1521</v>
      </c>
      <c r="G14" s="71">
        <f>'FS-AD Daily '!D18</f>
        <v>797</v>
      </c>
      <c r="H14" s="71">
        <f>'FS-AD Daily '!E18</f>
        <v>3323</v>
      </c>
      <c r="I14" s="71">
        <f>'FS-AD Daily '!F18</f>
        <v>4852</v>
      </c>
      <c r="J14" s="71">
        <f>'FS-AD Daily '!G18</f>
        <v>2920</v>
      </c>
      <c r="K14" s="71">
        <f>'FS-AD Daily '!H18</f>
        <v>4102</v>
      </c>
      <c r="L14" s="71">
        <f>'FS-AD Daily '!I18</f>
        <v>2893</v>
      </c>
      <c r="M14" s="71">
        <f>'FS-AD Daily '!J18</f>
        <v>6427</v>
      </c>
      <c r="N14" s="71">
        <f>'FS-AD Daily '!T18</f>
        <v>95.367999999999995</v>
      </c>
      <c r="O14" s="71">
        <f>'FS-AD Daily '!R18</f>
        <v>49.64</v>
      </c>
      <c r="P14" s="71">
        <f>'FS-AD Daily '!Z18</f>
        <v>307.40000000002328</v>
      </c>
      <c r="Q14" s="71">
        <f>'FS-AD Daily '!V18</f>
        <v>147.1</v>
      </c>
      <c r="R14" s="71">
        <f>'FS-AD Daily '!W18</f>
        <v>0</v>
      </c>
      <c r="S14" s="71">
        <f t="shared" si="0"/>
        <v>160.30000000002329</v>
      </c>
      <c r="T14" s="71">
        <f>'FS-AD Daily '!AD18*3.516</f>
        <v>91605.864000000001</v>
      </c>
      <c r="U14" s="71">
        <f>('FS-AD Daily '!AF18)*1000</f>
        <v>42100</v>
      </c>
      <c r="V14" s="71">
        <f>('FS-AD Daily '!AG18)*1000</f>
        <v>21800</v>
      </c>
      <c r="W14" s="71">
        <f>'FS-AD Daily '!AH18*1000</f>
        <v>20800</v>
      </c>
      <c r="X14" s="71">
        <f>('FS-AD Daily '!AK18)*1000</f>
        <v>26699.99999999709</v>
      </c>
      <c r="Y14" s="71">
        <v>19</v>
      </c>
      <c r="Z14" s="116">
        <v>27</v>
      </c>
    </row>
    <row r="15" spans="1:26" x14ac:dyDescent="0.25">
      <c r="A15" s="115" t="s">
        <v>80</v>
      </c>
      <c r="B15" s="69">
        <f t="shared" si="1"/>
        <v>14</v>
      </c>
      <c r="C15" s="70">
        <v>6</v>
      </c>
      <c r="D15" s="69">
        <v>2020</v>
      </c>
      <c r="E15" s="71">
        <f>'FS-AD Daily '!B19</f>
        <v>3846</v>
      </c>
      <c r="F15" s="71">
        <f>'FS-AD Daily '!C19</f>
        <v>1608</v>
      </c>
      <c r="G15" s="71">
        <f>'FS-AD Daily '!D19</f>
        <v>735</v>
      </c>
      <c r="H15" s="71">
        <f>'FS-AD Daily '!E19</f>
        <v>3550</v>
      </c>
      <c r="I15" s="71">
        <f>'FS-AD Daily '!F19</f>
        <v>4705</v>
      </c>
      <c r="J15" s="71">
        <f>'FS-AD Daily '!G19</f>
        <v>3154</v>
      </c>
      <c r="K15" s="71">
        <f>'FS-AD Daily '!H19</f>
        <v>4275</v>
      </c>
      <c r="L15" s="71">
        <f>'FS-AD Daily '!I19</f>
        <v>2832</v>
      </c>
      <c r="M15" s="71">
        <f>'FS-AD Daily '!J19</f>
        <v>6337</v>
      </c>
      <c r="N15" s="71">
        <f>'FS-AD Daily '!T19</f>
        <v>123.965</v>
      </c>
      <c r="O15" s="71">
        <f>'FS-AD Daily '!R19</f>
        <v>46.058999999999997</v>
      </c>
      <c r="P15" s="71">
        <f>'FS-AD Daily '!Z19</f>
        <v>298.80000000004657</v>
      </c>
      <c r="Q15" s="71">
        <f>'FS-AD Daily '!V19</f>
        <v>149.9</v>
      </c>
      <c r="R15" s="71">
        <f>'FS-AD Daily '!W19</f>
        <v>0</v>
      </c>
      <c r="S15" s="71">
        <f t="shared" si="0"/>
        <v>148.90000000004656</v>
      </c>
      <c r="T15" s="71">
        <f>'FS-AD Daily '!AD19*3.516</f>
        <v>96862.284</v>
      </c>
      <c r="U15" s="71">
        <f>('FS-AD Daily '!AF19)*1000</f>
        <v>46600</v>
      </c>
      <c r="V15" s="71">
        <f>('FS-AD Daily '!AG19)*1000</f>
        <v>23300</v>
      </c>
      <c r="W15" s="71">
        <f>'FS-AD Daily '!AH19*1000</f>
        <v>21000</v>
      </c>
      <c r="X15" s="71">
        <f>('FS-AD Daily '!AK19)*1000</f>
        <v>26000</v>
      </c>
      <c r="Y15" s="71">
        <v>28</v>
      </c>
      <c r="Z15" s="116">
        <v>38</v>
      </c>
    </row>
    <row r="16" spans="1:26" x14ac:dyDescent="0.25">
      <c r="A16" s="115" t="s">
        <v>80</v>
      </c>
      <c r="B16" s="69">
        <f t="shared" si="1"/>
        <v>15</v>
      </c>
      <c r="C16" s="70">
        <v>6</v>
      </c>
      <c r="D16" s="69">
        <v>2020</v>
      </c>
      <c r="E16" s="71">
        <f>'FS-AD Daily '!B20</f>
        <v>3927</v>
      </c>
      <c r="F16" s="71">
        <f>'FS-AD Daily '!C20</f>
        <v>1790</v>
      </c>
      <c r="G16" s="71">
        <f>'FS-AD Daily '!D20</f>
        <v>769</v>
      </c>
      <c r="H16" s="71">
        <f>'FS-AD Daily '!E20</f>
        <v>3484</v>
      </c>
      <c r="I16" s="71">
        <f>'FS-AD Daily '!F20</f>
        <v>4705</v>
      </c>
      <c r="J16" s="71">
        <f>'FS-AD Daily '!G20</f>
        <v>3231</v>
      </c>
      <c r="K16" s="71">
        <f>'FS-AD Daily '!H20</f>
        <v>4302</v>
      </c>
      <c r="L16" s="71">
        <f>'FS-AD Daily '!I20</f>
        <v>2852</v>
      </c>
      <c r="M16" s="71">
        <f>'FS-AD Daily '!J20</f>
        <v>6310</v>
      </c>
      <c r="N16" s="71">
        <f>'FS-AD Daily '!T20</f>
        <v>66.742000000000004</v>
      </c>
      <c r="O16" s="71">
        <f>'FS-AD Daily '!R20</f>
        <v>43.948</v>
      </c>
      <c r="P16" s="71">
        <f>'FS-AD Daily '!Z20</f>
        <v>319.79999999993015</v>
      </c>
      <c r="Q16" s="71">
        <f>'FS-AD Daily '!V20</f>
        <v>158.30000000000001</v>
      </c>
      <c r="R16" s="71">
        <f>'FS-AD Daily '!W20</f>
        <v>0</v>
      </c>
      <c r="S16" s="71">
        <f t="shared" si="0"/>
        <v>161.49999999993014</v>
      </c>
      <c r="T16" s="71">
        <f>'FS-AD Daily '!AD20*3.516</f>
        <v>95709.036000000007</v>
      </c>
      <c r="U16" s="71">
        <f>('FS-AD Daily '!AF20)*1000</f>
        <v>46800</v>
      </c>
      <c r="V16" s="71">
        <f>('FS-AD Daily '!AG20)*1000</f>
        <v>22700</v>
      </c>
      <c r="W16" s="71">
        <f>'FS-AD Daily '!AH20*1000</f>
        <v>20300</v>
      </c>
      <c r="X16" s="71">
        <f>('FS-AD Daily '!AK20)*1000</f>
        <v>25600.000000005821</v>
      </c>
      <c r="Y16" s="71">
        <v>23</v>
      </c>
      <c r="Z16" s="116">
        <v>34</v>
      </c>
    </row>
    <row r="17" spans="1:26" x14ac:dyDescent="0.25">
      <c r="A17" s="115" t="s">
        <v>80</v>
      </c>
      <c r="B17" s="69">
        <f t="shared" si="1"/>
        <v>16</v>
      </c>
      <c r="C17" s="70">
        <v>6</v>
      </c>
      <c r="D17" s="69">
        <v>2020</v>
      </c>
      <c r="E17" s="71">
        <f>'FS-AD Daily '!B21</f>
        <v>3807</v>
      </c>
      <c r="F17" s="71">
        <f>'FS-AD Daily '!C21</f>
        <v>2005</v>
      </c>
      <c r="G17" s="71">
        <f>'FS-AD Daily '!D21</f>
        <v>797</v>
      </c>
      <c r="H17" s="71">
        <f>'FS-AD Daily '!E21</f>
        <v>3386</v>
      </c>
      <c r="I17" s="71">
        <f>'FS-AD Daily '!F21</f>
        <v>4702</v>
      </c>
      <c r="J17" s="71">
        <f>'FS-AD Daily '!G21</f>
        <v>3141</v>
      </c>
      <c r="K17" s="71">
        <f>'FS-AD Daily '!H21</f>
        <v>4290</v>
      </c>
      <c r="L17" s="71">
        <f>'FS-AD Daily '!I21</f>
        <v>2844</v>
      </c>
      <c r="M17" s="71">
        <f>'FS-AD Daily '!J21</f>
        <v>6552</v>
      </c>
      <c r="N17" s="71">
        <f>'FS-AD Daily '!T21</f>
        <v>135.60500000000002</v>
      </c>
      <c r="O17" s="71">
        <f>'FS-AD Daily '!R21</f>
        <v>43.193999999999996</v>
      </c>
      <c r="P17" s="71">
        <f>'FS-AD Daily '!Z21</f>
        <v>297.30000000004657</v>
      </c>
      <c r="Q17" s="71">
        <f>'FS-AD Daily '!V21</f>
        <v>154.5</v>
      </c>
      <c r="R17" s="71">
        <f>'FS-AD Daily '!W21</f>
        <v>0</v>
      </c>
      <c r="S17" s="71">
        <f t="shared" si="0"/>
        <v>142.80000000004657</v>
      </c>
      <c r="T17" s="71">
        <f>'FS-AD Daily '!AD21*3.516</f>
        <v>92077.008000000002</v>
      </c>
      <c r="U17" s="71">
        <f>('FS-AD Daily '!AF21)*1000</f>
        <v>44200</v>
      </c>
      <c r="V17" s="71">
        <f>('FS-AD Daily '!AG21)*1000</f>
        <v>21300</v>
      </c>
      <c r="W17" s="71">
        <f>'FS-AD Daily '!AH21*1000</f>
        <v>20300</v>
      </c>
      <c r="X17" s="71">
        <f>('FS-AD Daily '!AK21)*1000</f>
        <v>26099.999999998545</v>
      </c>
      <c r="Y17" s="71">
        <v>21</v>
      </c>
      <c r="Z17" s="116">
        <v>32</v>
      </c>
    </row>
    <row r="18" spans="1:26" x14ac:dyDescent="0.25">
      <c r="A18" s="115" t="s">
        <v>80</v>
      </c>
      <c r="B18" s="69">
        <f t="shared" si="1"/>
        <v>17</v>
      </c>
      <c r="C18" s="70">
        <v>6</v>
      </c>
      <c r="D18" s="69">
        <v>2020</v>
      </c>
      <c r="E18" s="71">
        <f>'FS-AD Daily '!B22</f>
        <v>3662</v>
      </c>
      <c r="F18" s="71">
        <f>'FS-AD Daily '!C22</f>
        <v>1891</v>
      </c>
      <c r="G18" s="71">
        <f>'FS-AD Daily '!D22</f>
        <v>779</v>
      </c>
      <c r="H18" s="71">
        <f>'FS-AD Daily '!E22</f>
        <v>3432</v>
      </c>
      <c r="I18" s="71">
        <f>'FS-AD Daily '!F22</f>
        <v>4702</v>
      </c>
      <c r="J18" s="71">
        <f>'FS-AD Daily '!G22</f>
        <v>2994</v>
      </c>
      <c r="K18" s="71">
        <f>'FS-AD Daily '!H22</f>
        <v>4288</v>
      </c>
      <c r="L18" s="71">
        <f>'FS-AD Daily '!I22</f>
        <v>2819</v>
      </c>
      <c r="M18" s="71">
        <f>'FS-AD Daily '!J22</f>
        <v>6550</v>
      </c>
      <c r="N18" s="71">
        <f>'FS-AD Daily '!T22</f>
        <v>61.452999999999996</v>
      </c>
      <c r="O18" s="71">
        <f>'FS-AD Daily '!R22</f>
        <v>39.327999999999996</v>
      </c>
      <c r="P18" s="71">
        <f>'FS-AD Daily '!Z22</f>
        <v>296.90000000002328</v>
      </c>
      <c r="Q18" s="71">
        <f>'FS-AD Daily '!V22</f>
        <v>149.80000000000001</v>
      </c>
      <c r="R18" s="71">
        <f>'FS-AD Daily '!W22</f>
        <v>0</v>
      </c>
      <c r="S18" s="71">
        <f t="shared" si="0"/>
        <v>147.10000000002327</v>
      </c>
      <c r="T18" s="71">
        <f>'FS-AD Daily '!AD22*3.516</f>
        <v>90213.528000000006</v>
      </c>
      <c r="U18" s="71">
        <f>('FS-AD Daily '!AF22)*1000</f>
        <v>42100</v>
      </c>
      <c r="V18" s="71">
        <f>('FS-AD Daily '!AG22)*1000</f>
        <v>21700</v>
      </c>
      <c r="W18" s="71">
        <f>'FS-AD Daily '!AH22*1000</f>
        <v>20700</v>
      </c>
      <c r="X18" s="71">
        <f>('FS-AD Daily '!AK22)*1000</f>
        <v>25500</v>
      </c>
      <c r="Y18" s="71">
        <v>25</v>
      </c>
      <c r="Z18" s="116">
        <v>33</v>
      </c>
    </row>
    <row r="19" spans="1:26" x14ac:dyDescent="0.25">
      <c r="A19" s="115" t="s">
        <v>80</v>
      </c>
      <c r="B19" s="69">
        <f t="shared" si="1"/>
        <v>18</v>
      </c>
      <c r="C19" s="70">
        <v>6</v>
      </c>
      <c r="D19" s="69">
        <v>2020</v>
      </c>
      <c r="E19" s="71">
        <f>'FS-AD Daily '!B23</f>
        <v>3591</v>
      </c>
      <c r="F19" s="71">
        <f>'FS-AD Daily '!C23</f>
        <v>1567</v>
      </c>
      <c r="G19" s="71">
        <f>'FS-AD Daily '!D23</f>
        <v>803</v>
      </c>
      <c r="H19" s="71">
        <f>'FS-AD Daily '!E23</f>
        <v>3381</v>
      </c>
      <c r="I19" s="71">
        <f>'FS-AD Daily '!F23</f>
        <v>4570</v>
      </c>
      <c r="J19" s="71">
        <f>'FS-AD Daily '!G23</f>
        <v>2655</v>
      </c>
      <c r="K19" s="71">
        <f>'FS-AD Daily '!H23</f>
        <v>4196</v>
      </c>
      <c r="L19" s="71">
        <f>'FS-AD Daily '!I23</f>
        <v>2770</v>
      </c>
      <c r="M19" s="71">
        <f>'FS-AD Daily '!J23</f>
        <v>6598</v>
      </c>
      <c r="N19" s="71">
        <f>'FS-AD Daily '!T23</f>
        <v>97.63300000000001</v>
      </c>
      <c r="O19" s="71">
        <f>'FS-AD Daily '!R23</f>
        <v>43.367999999999995</v>
      </c>
      <c r="P19" s="71">
        <f>'FS-AD Daily '!Z23</f>
        <v>311.19999999995343</v>
      </c>
      <c r="Q19" s="71">
        <f>'FS-AD Daily '!V23</f>
        <v>155.4</v>
      </c>
      <c r="R19" s="71">
        <f>'FS-AD Daily '!W23</f>
        <v>0</v>
      </c>
      <c r="S19" s="71">
        <f t="shared" si="0"/>
        <v>155.79999999995343</v>
      </c>
      <c r="T19" s="71">
        <f>'FS-AD Daily '!AD23*3.516</f>
        <v>88916.123999999996</v>
      </c>
      <c r="U19" s="71">
        <f>('FS-AD Daily '!AF23)*1000</f>
        <v>41300</v>
      </c>
      <c r="V19" s="71">
        <f>('FS-AD Daily '!AG23)*1000</f>
        <v>21400</v>
      </c>
      <c r="W19" s="71">
        <f>'FS-AD Daily '!AH23*1000</f>
        <v>20800</v>
      </c>
      <c r="X19" s="71">
        <f>('FS-AD Daily '!AK23)*1000</f>
        <v>27599.999999998545</v>
      </c>
      <c r="Y19" s="71">
        <v>27</v>
      </c>
      <c r="Z19" s="116">
        <v>36</v>
      </c>
    </row>
    <row r="20" spans="1:26" x14ac:dyDescent="0.25">
      <c r="A20" s="115" t="s">
        <v>80</v>
      </c>
      <c r="B20" s="69">
        <f t="shared" si="1"/>
        <v>19</v>
      </c>
      <c r="C20" s="70">
        <v>6</v>
      </c>
      <c r="D20" s="69">
        <v>2020</v>
      </c>
      <c r="E20" s="71">
        <f>'FS-AD Daily '!B24</f>
        <v>3600</v>
      </c>
      <c r="F20" s="71">
        <f>'FS-AD Daily '!C24</f>
        <v>1519</v>
      </c>
      <c r="G20" s="71">
        <f>'FS-AD Daily '!D24</f>
        <v>822</v>
      </c>
      <c r="H20" s="71">
        <f>'FS-AD Daily '!E24</f>
        <v>3278</v>
      </c>
      <c r="I20" s="71">
        <f>'FS-AD Daily '!F24</f>
        <v>4643</v>
      </c>
      <c r="J20" s="71">
        <f>'FS-AD Daily '!G24</f>
        <v>2734</v>
      </c>
      <c r="K20" s="71">
        <f>'FS-AD Daily '!H24</f>
        <v>4364</v>
      </c>
      <c r="L20" s="71">
        <f>'FS-AD Daily '!I24</f>
        <v>2801</v>
      </c>
      <c r="M20" s="71">
        <f>'FS-AD Daily '!J24</f>
        <v>6265</v>
      </c>
      <c r="N20" s="71">
        <f>'FS-AD Daily '!T24</f>
        <v>88.149999999999991</v>
      </c>
      <c r="O20" s="71">
        <f>'FS-AD Daily '!R24</f>
        <v>48.116</v>
      </c>
      <c r="P20" s="71">
        <f>'FS-AD Daily '!Z24</f>
        <v>301</v>
      </c>
      <c r="Q20" s="71">
        <f>'FS-AD Daily '!V24</f>
        <v>156.6</v>
      </c>
      <c r="R20" s="71">
        <f>'FS-AD Daily '!W24</f>
        <v>0</v>
      </c>
      <c r="S20" s="71">
        <f t="shared" si="0"/>
        <v>144.4</v>
      </c>
      <c r="T20" s="71">
        <f>'FS-AD Daily '!AD24*3.516</f>
        <v>87432.372000000003</v>
      </c>
      <c r="U20" s="71">
        <f>('FS-AD Daily '!AF24)*1000</f>
        <v>41400</v>
      </c>
      <c r="V20" s="71">
        <f>('FS-AD Daily '!AG24)*1000</f>
        <v>21100</v>
      </c>
      <c r="W20" s="71">
        <f>'FS-AD Daily '!AH24*1000</f>
        <v>20500</v>
      </c>
      <c r="X20" s="71">
        <f>('FS-AD Daily '!AK24)*1000</f>
        <v>25300.00000000291</v>
      </c>
      <c r="Y20" s="71">
        <v>25</v>
      </c>
      <c r="Z20" s="116">
        <v>35</v>
      </c>
    </row>
    <row r="21" spans="1:26" x14ac:dyDescent="0.25">
      <c r="A21" s="115" t="s">
        <v>80</v>
      </c>
      <c r="B21" s="69">
        <f t="shared" si="1"/>
        <v>20</v>
      </c>
      <c r="C21" s="70">
        <v>6</v>
      </c>
      <c r="D21" s="69">
        <v>2020</v>
      </c>
      <c r="E21" s="71">
        <f>'FS-AD Daily '!B25</f>
        <v>3688</v>
      </c>
      <c r="F21" s="71">
        <f>'FS-AD Daily '!C25</f>
        <v>1642</v>
      </c>
      <c r="G21" s="71">
        <f>'FS-AD Daily '!D25</f>
        <v>838</v>
      </c>
      <c r="H21" s="71">
        <f>'FS-AD Daily '!E25</f>
        <v>3416</v>
      </c>
      <c r="I21" s="71">
        <f>'FS-AD Daily '!F25</f>
        <v>4742</v>
      </c>
      <c r="J21" s="71">
        <f>'FS-AD Daily '!G25</f>
        <v>2733</v>
      </c>
      <c r="K21" s="71">
        <f>'FS-AD Daily '!H25</f>
        <v>4640</v>
      </c>
      <c r="L21" s="71">
        <f>'FS-AD Daily '!I25</f>
        <v>2907</v>
      </c>
      <c r="M21" s="71">
        <f>'FS-AD Daily '!J25</f>
        <v>6550</v>
      </c>
      <c r="N21" s="71">
        <f>'FS-AD Daily '!T25</f>
        <v>100.249</v>
      </c>
      <c r="O21" s="71">
        <f>'FS-AD Daily '!R25</f>
        <v>47.506</v>
      </c>
      <c r="P21" s="71">
        <f>'FS-AD Daily '!Z25</f>
        <v>317.40000000002328</v>
      </c>
      <c r="Q21" s="71">
        <f>'FS-AD Daily '!V25</f>
        <v>156.69999999999999</v>
      </c>
      <c r="R21" s="71">
        <f>'FS-AD Daily '!W25</f>
        <v>0</v>
      </c>
      <c r="S21" s="71">
        <f t="shared" si="0"/>
        <v>160.70000000002329</v>
      </c>
      <c r="T21" s="71">
        <f>'FS-AD Daily '!AD25*3.516</f>
        <v>87801.551999999996</v>
      </c>
      <c r="U21" s="71">
        <f>('FS-AD Daily '!AF25)*1000</f>
        <v>40800</v>
      </c>
      <c r="V21" s="71">
        <f>('FS-AD Daily '!AG25)*1000</f>
        <v>18500</v>
      </c>
      <c r="W21" s="71">
        <f>'FS-AD Daily '!AH25*1000</f>
        <v>20600</v>
      </c>
      <c r="X21" s="71">
        <f>('FS-AD Daily '!AK25)*1000</f>
        <v>26899.999999994179</v>
      </c>
      <c r="Y21" s="71">
        <v>18</v>
      </c>
      <c r="Z21" s="116">
        <v>23</v>
      </c>
    </row>
    <row r="22" spans="1:26" x14ac:dyDescent="0.25">
      <c r="A22" s="115" t="s">
        <v>80</v>
      </c>
      <c r="B22" s="69">
        <f t="shared" si="1"/>
        <v>21</v>
      </c>
      <c r="C22" s="70">
        <v>6</v>
      </c>
      <c r="D22" s="69">
        <v>2020</v>
      </c>
      <c r="E22" s="71">
        <f>'FS-AD Daily '!B26</f>
        <v>3639</v>
      </c>
      <c r="F22" s="71">
        <f>'FS-AD Daily '!C26</f>
        <v>2041</v>
      </c>
      <c r="G22" s="71">
        <f>'FS-AD Daily '!D26</f>
        <v>835</v>
      </c>
      <c r="H22" s="71">
        <f>'FS-AD Daily '!E26</f>
        <v>3635</v>
      </c>
      <c r="I22" s="71">
        <f>'FS-AD Daily '!F26</f>
        <v>4756</v>
      </c>
      <c r="J22" s="71">
        <f>'FS-AD Daily '!G26</f>
        <v>2919</v>
      </c>
      <c r="K22" s="71">
        <f>'FS-AD Daily '!H26</f>
        <v>4541</v>
      </c>
      <c r="L22" s="71">
        <f>'FS-AD Daily '!I26</f>
        <v>2922</v>
      </c>
      <c r="M22" s="71">
        <f>'FS-AD Daily '!J26</f>
        <v>6348</v>
      </c>
      <c r="N22" s="71">
        <f>'FS-AD Daily '!T26</f>
        <v>129.202</v>
      </c>
      <c r="O22" s="71">
        <f>'FS-AD Daily '!R26</f>
        <v>41.61</v>
      </c>
      <c r="P22" s="71">
        <f>'FS-AD Daily '!Z26</f>
        <v>319.19999999995343</v>
      </c>
      <c r="Q22" s="71">
        <f>'FS-AD Daily '!V26</f>
        <v>160.19999999999999</v>
      </c>
      <c r="R22" s="71">
        <f>'FS-AD Daily '!W26</f>
        <v>0</v>
      </c>
      <c r="S22" s="71">
        <f t="shared" si="0"/>
        <v>158.99999999995345</v>
      </c>
      <c r="T22" s="71">
        <f>'FS-AD Daily '!AD26*3.516</f>
        <v>89766.995999999999</v>
      </c>
      <c r="U22" s="71">
        <f>('FS-AD Daily '!AF26)*1000</f>
        <v>45200</v>
      </c>
      <c r="V22" s="71">
        <f>('FS-AD Daily '!AG26)*1000</f>
        <v>17400</v>
      </c>
      <c r="W22" s="71">
        <f>'FS-AD Daily '!AH26*1000</f>
        <v>20600</v>
      </c>
      <c r="X22" s="71">
        <f>('FS-AD Daily '!AK26)*1000</f>
        <v>24900.000000001455</v>
      </c>
      <c r="Y22" s="71">
        <v>16</v>
      </c>
      <c r="Z22" s="116">
        <v>21</v>
      </c>
    </row>
    <row r="23" spans="1:26" x14ac:dyDescent="0.25">
      <c r="A23" s="115" t="s">
        <v>80</v>
      </c>
      <c r="B23" s="69">
        <f t="shared" si="1"/>
        <v>22</v>
      </c>
      <c r="C23" s="70">
        <v>6</v>
      </c>
      <c r="D23" s="69">
        <v>2020</v>
      </c>
      <c r="E23" s="71">
        <f>'FS-AD Daily '!B27</f>
        <v>3626</v>
      </c>
      <c r="F23" s="71">
        <f>'FS-AD Daily '!C27</f>
        <v>2049</v>
      </c>
      <c r="G23" s="71">
        <f>'FS-AD Daily '!D27</f>
        <v>795</v>
      </c>
      <c r="H23" s="71">
        <f>'FS-AD Daily '!E27</f>
        <v>3575</v>
      </c>
      <c r="I23" s="71">
        <f>'FS-AD Daily '!F27</f>
        <v>4860</v>
      </c>
      <c r="J23" s="71">
        <f>'FS-AD Daily '!G27</f>
        <v>2823</v>
      </c>
      <c r="K23" s="71">
        <f>'FS-AD Daily '!H27</f>
        <v>4063</v>
      </c>
      <c r="L23" s="71">
        <f>'FS-AD Daily '!I27</f>
        <v>2809</v>
      </c>
      <c r="M23" s="71">
        <f>'FS-AD Daily '!J27</f>
        <v>6402</v>
      </c>
      <c r="N23" s="71">
        <f>'FS-AD Daily '!T27</f>
        <v>97.872</v>
      </c>
      <c r="O23" s="71">
        <f>'FS-AD Daily '!R27</f>
        <v>40.561999999999998</v>
      </c>
      <c r="P23" s="71">
        <f>'FS-AD Daily '!Z27</f>
        <v>300</v>
      </c>
      <c r="Q23" s="71">
        <f>'FS-AD Daily '!V27</f>
        <v>136.9</v>
      </c>
      <c r="R23" s="71">
        <f>'FS-AD Daily '!W27</f>
        <v>0</v>
      </c>
      <c r="S23" s="71">
        <f t="shared" si="0"/>
        <v>163.1</v>
      </c>
      <c r="T23" s="71">
        <f>'FS-AD Daily '!AD27*3.516</f>
        <v>81061.38</v>
      </c>
      <c r="U23" s="71">
        <f>('FS-AD Daily '!AF27)*1000</f>
        <v>40800</v>
      </c>
      <c r="V23" s="71">
        <f>('FS-AD Daily '!AG27)*1000</f>
        <v>14000</v>
      </c>
      <c r="W23" s="71">
        <f>'FS-AD Daily '!AH27*1000</f>
        <v>19600</v>
      </c>
      <c r="X23" s="71">
        <f>('FS-AD Daily '!AK27)*1000</f>
        <v>24000</v>
      </c>
      <c r="Y23" s="71">
        <v>21</v>
      </c>
      <c r="Z23" s="116">
        <v>29</v>
      </c>
    </row>
    <row r="24" spans="1:26" x14ac:dyDescent="0.25">
      <c r="A24" s="115" t="s">
        <v>80</v>
      </c>
      <c r="B24" s="69">
        <f t="shared" si="1"/>
        <v>23</v>
      </c>
      <c r="C24" s="70">
        <v>6</v>
      </c>
      <c r="D24" s="69">
        <v>2020</v>
      </c>
      <c r="E24" s="71">
        <f>'FS-AD Daily '!B28</f>
        <v>3672</v>
      </c>
      <c r="F24" s="71">
        <f>'FS-AD Daily '!C28</f>
        <v>2383</v>
      </c>
      <c r="G24" s="71">
        <f>'FS-AD Daily '!D28</f>
        <v>789</v>
      </c>
      <c r="H24" s="71">
        <f>'FS-AD Daily '!E28</f>
        <v>3702</v>
      </c>
      <c r="I24" s="71">
        <f>'FS-AD Daily '!F28</f>
        <v>4828</v>
      </c>
      <c r="J24" s="71">
        <f>'FS-AD Daily '!G28</f>
        <v>2830</v>
      </c>
      <c r="K24" s="71">
        <f>'FS-AD Daily '!H28</f>
        <v>4144</v>
      </c>
      <c r="L24" s="71">
        <f>'FS-AD Daily '!I28</f>
        <v>2828</v>
      </c>
      <c r="M24" s="71">
        <f>'FS-AD Daily '!J28</f>
        <v>6477</v>
      </c>
      <c r="N24" s="71">
        <f>'FS-AD Daily '!T28</f>
        <v>96.754999999999995</v>
      </c>
      <c r="O24" s="71">
        <f>'FS-AD Daily '!R28</f>
        <v>33.764000000000003</v>
      </c>
      <c r="P24" s="71">
        <f>'FS-AD Daily '!Z28</f>
        <v>299.10000000009313</v>
      </c>
      <c r="Q24" s="71">
        <f>'FS-AD Daily '!V28</f>
        <v>142</v>
      </c>
      <c r="R24" s="71">
        <f>'FS-AD Daily '!W28</f>
        <v>0</v>
      </c>
      <c r="S24" s="71">
        <f t="shared" si="0"/>
        <v>157.10000000009313</v>
      </c>
      <c r="T24" s="71">
        <f>'FS-AD Daily '!AD28*3.516</f>
        <v>84106.236000000004</v>
      </c>
      <c r="U24" s="71">
        <f>('FS-AD Daily '!AF28)*1000</f>
        <v>36800</v>
      </c>
      <c r="V24" s="71">
        <f>('FS-AD Daily '!AG28)*1000</f>
        <v>14500</v>
      </c>
      <c r="W24" s="71">
        <f>'FS-AD Daily '!AH28*1000</f>
        <v>19900</v>
      </c>
      <c r="X24" s="71">
        <f>('FS-AD Daily '!AK28)*1000</f>
        <v>24700.000000004366</v>
      </c>
      <c r="Y24" s="71">
        <v>20</v>
      </c>
      <c r="Z24" s="116">
        <v>28</v>
      </c>
    </row>
    <row r="25" spans="1:26" x14ac:dyDescent="0.25">
      <c r="A25" s="115" t="s">
        <v>80</v>
      </c>
      <c r="B25" s="69">
        <f t="shared" si="1"/>
        <v>24</v>
      </c>
      <c r="C25" s="70">
        <v>6</v>
      </c>
      <c r="D25" s="69">
        <v>2020</v>
      </c>
      <c r="E25" s="71">
        <f>'FS-AD Daily '!B29</f>
        <v>3763</v>
      </c>
      <c r="F25" s="71">
        <f>'FS-AD Daily '!C29</f>
        <v>2453</v>
      </c>
      <c r="G25" s="71">
        <f>'FS-AD Daily '!D29</f>
        <v>784</v>
      </c>
      <c r="H25" s="71">
        <f>'FS-AD Daily '!E29</f>
        <v>3718</v>
      </c>
      <c r="I25" s="71">
        <f>'FS-AD Daily '!F29</f>
        <v>4673</v>
      </c>
      <c r="J25" s="71">
        <f>'FS-AD Daily '!G29</f>
        <v>2806</v>
      </c>
      <c r="K25" s="71">
        <f>'FS-AD Daily '!H29</f>
        <v>4451</v>
      </c>
      <c r="L25" s="71">
        <f>'FS-AD Daily '!I29</f>
        <v>2803</v>
      </c>
      <c r="M25" s="71">
        <f>'FS-AD Daily '!J29</f>
        <v>6413</v>
      </c>
      <c r="N25" s="71">
        <f>'FS-AD Daily '!T29</f>
        <v>104.54299999999999</v>
      </c>
      <c r="O25" s="71">
        <f>'FS-AD Daily '!R29</f>
        <v>39.150999999999996</v>
      </c>
      <c r="P25" s="71">
        <f>'FS-AD Daily '!Z29</f>
        <v>305</v>
      </c>
      <c r="Q25" s="71">
        <f>'FS-AD Daily '!V29</f>
        <v>154.69999999999999</v>
      </c>
      <c r="R25" s="71">
        <f>'FS-AD Daily '!W29</f>
        <v>0</v>
      </c>
      <c r="S25" s="71">
        <f t="shared" si="0"/>
        <v>150.30000000000001</v>
      </c>
      <c r="T25" s="71">
        <f>'FS-AD Daily '!AD29*3.516</f>
        <v>90603.804000000004</v>
      </c>
      <c r="U25" s="71">
        <f>('FS-AD Daily '!AF29)*1000</f>
        <v>45300</v>
      </c>
      <c r="V25" s="71">
        <f>('FS-AD Daily '!AG29)*1000</f>
        <v>17200</v>
      </c>
      <c r="W25" s="71">
        <f>'FS-AD Daily '!AH29*1000</f>
        <v>20300</v>
      </c>
      <c r="X25" s="71">
        <f>('FS-AD Daily '!AK29)*1000</f>
        <v>26199.99999999709</v>
      </c>
      <c r="Y25" s="71">
        <v>31</v>
      </c>
      <c r="Z25" s="116">
        <v>45</v>
      </c>
    </row>
    <row r="26" spans="1:26" x14ac:dyDescent="0.25">
      <c r="A26" s="115" t="s">
        <v>80</v>
      </c>
      <c r="B26" s="69">
        <f>B25+1</f>
        <v>25</v>
      </c>
      <c r="C26" s="70">
        <v>6</v>
      </c>
      <c r="D26" s="69">
        <v>2020</v>
      </c>
      <c r="E26" s="71">
        <f>'FS-AD Daily '!B30</f>
        <v>3889</v>
      </c>
      <c r="F26" s="71">
        <f>'FS-AD Daily '!C30</f>
        <v>2401</v>
      </c>
      <c r="G26" s="71">
        <f>'FS-AD Daily '!D30</f>
        <v>811</v>
      </c>
      <c r="H26" s="71">
        <f>'FS-AD Daily '!E30</f>
        <v>3815</v>
      </c>
      <c r="I26" s="71">
        <f>'FS-AD Daily '!F30</f>
        <v>4846</v>
      </c>
      <c r="J26" s="71">
        <f>'FS-AD Daily '!G30</f>
        <v>3052</v>
      </c>
      <c r="K26" s="71">
        <f>'FS-AD Daily '!H30</f>
        <v>4459</v>
      </c>
      <c r="L26" s="71">
        <f>'FS-AD Daily '!I30</f>
        <v>2797</v>
      </c>
      <c r="M26" s="71">
        <f>'FS-AD Daily '!J30</f>
        <v>6330</v>
      </c>
      <c r="N26" s="71">
        <f>'FS-AD Daily '!T30</f>
        <v>102.66799999999999</v>
      </c>
      <c r="O26" s="71">
        <f>'FS-AD Daily '!R30</f>
        <v>42.826999999999998</v>
      </c>
      <c r="P26" s="71">
        <f>'FS-AD Daily '!Z30</f>
        <v>304.89999999990687</v>
      </c>
      <c r="Q26" s="71">
        <f>'FS-AD Daily '!V30</f>
        <v>156.1</v>
      </c>
      <c r="R26" s="71">
        <f>'FS-AD Daily '!W30</f>
        <v>0</v>
      </c>
      <c r="S26" s="71">
        <f t="shared" si="0"/>
        <v>148.79999999990687</v>
      </c>
      <c r="T26" s="71">
        <f>'FS-AD Daily '!AD30*3.516</f>
        <v>98282.748000000007</v>
      </c>
      <c r="U26" s="71">
        <f>('FS-AD Daily '!AF30)*1000</f>
        <v>51400</v>
      </c>
      <c r="V26" s="71">
        <f>('FS-AD Daily '!AG30)*1000</f>
        <v>21600</v>
      </c>
      <c r="W26" s="71">
        <f>'FS-AD Daily '!AH30*1000</f>
        <v>21400</v>
      </c>
      <c r="X26" s="71">
        <f>('FS-AD Daily '!AK30)*1000</f>
        <v>23800.00000000291</v>
      </c>
      <c r="Y26" s="71">
        <v>50</v>
      </c>
      <c r="Z26" s="116">
        <v>83</v>
      </c>
    </row>
    <row r="27" spans="1:26" x14ac:dyDescent="0.25">
      <c r="A27" s="115" t="s">
        <v>80</v>
      </c>
      <c r="B27" s="69">
        <f t="shared" si="1"/>
        <v>26</v>
      </c>
      <c r="C27" s="70">
        <v>6</v>
      </c>
      <c r="D27" s="69">
        <v>2020</v>
      </c>
      <c r="E27" s="71">
        <f>'FS-AD Daily '!B31</f>
        <v>3830</v>
      </c>
      <c r="F27" s="71">
        <f>'FS-AD Daily '!C31</f>
        <v>1957</v>
      </c>
      <c r="G27" s="71">
        <f>'FS-AD Daily '!D31</f>
        <v>825</v>
      </c>
      <c r="H27" s="71">
        <f>'FS-AD Daily '!E31</f>
        <v>3950</v>
      </c>
      <c r="I27" s="71">
        <f>'FS-AD Daily '!F31</f>
        <v>5137</v>
      </c>
      <c r="J27" s="71">
        <f>'FS-AD Daily '!G31</f>
        <v>3264</v>
      </c>
      <c r="K27" s="71">
        <f>'FS-AD Daily '!H31</f>
        <v>4575</v>
      </c>
      <c r="L27" s="71">
        <f>'FS-AD Daily '!I31</f>
        <v>2790</v>
      </c>
      <c r="M27" s="71">
        <f>'FS-AD Daily '!J31</f>
        <v>7114</v>
      </c>
      <c r="N27" s="71">
        <f>'FS-AD Daily '!T31</f>
        <v>99.202999999999989</v>
      </c>
      <c r="O27" s="71">
        <f>'FS-AD Daily '!R31</f>
        <v>49.237000000000002</v>
      </c>
      <c r="P27" s="71">
        <f>'FS-AD Daily '!Z31</f>
        <v>331.70000000006985</v>
      </c>
      <c r="Q27" s="71">
        <f>'FS-AD Daily '!V31</f>
        <v>165.1</v>
      </c>
      <c r="R27" s="71">
        <f>'FS-AD Daily '!W31</f>
        <v>0</v>
      </c>
      <c r="S27" s="71">
        <f t="shared" si="0"/>
        <v>166.60000000006985</v>
      </c>
      <c r="T27" s="71">
        <f>'FS-AD Daily '!AD31*3.516</f>
        <v>104885.796</v>
      </c>
      <c r="U27" s="71">
        <f>('FS-AD Daily '!AF31)*1000</f>
        <v>50600</v>
      </c>
      <c r="V27" s="71">
        <f>('FS-AD Daily '!AG31)*1000</f>
        <v>30000</v>
      </c>
      <c r="W27" s="71">
        <f>'FS-AD Daily '!AH31*1000</f>
        <v>19900</v>
      </c>
      <c r="X27" s="71">
        <f>('FS-AD Daily '!AK31)*1000</f>
        <v>28099.999999998545</v>
      </c>
      <c r="Y27" s="71">
        <v>57</v>
      </c>
      <c r="Z27" s="116">
        <v>92</v>
      </c>
    </row>
    <row r="28" spans="1:26" x14ac:dyDescent="0.25">
      <c r="A28" s="115" t="s">
        <v>80</v>
      </c>
      <c r="B28" s="69">
        <f t="shared" si="1"/>
        <v>27</v>
      </c>
      <c r="C28" s="70">
        <v>6</v>
      </c>
      <c r="D28" s="69">
        <v>2020</v>
      </c>
      <c r="E28" s="71">
        <f>'FS-AD Daily '!B32</f>
        <v>4108</v>
      </c>
      <c r="F28" s="71">
        <f>'FS-AD Daily '!C32</f>
        <v>1571</v>
      </c>
      <c r="G28" s="71">
        <f>'FS-AD Daily '!D32</f>
        <v>829</v>
      </c>
      <c r="H28" s="71">
        <f>'FS-AD Daily '!E32</f>
        <v>3793</v>
      </c>
      <c r="I28" s="71">
        <f>'FS-AD Daily '!F32</f>
        <v>5051</v>
      </c>
      <c r="J28" s="71">
        <f>'FS-AD Daily '!G32</f>
        <v>3191</v>
      </c>
      <c r="K28" s="71">
        <f>'FS-AD Daily '!H32</f>
        <v>4841</v>
      </c>
      <c r="L28" s="71">
        <f>'FS-AD Daily '!I32</f>
        <v>2800</v>
      </c>
      <c r="M28" s="71">
        <f>'FS-AD Daily '!J32</f>
        <v>7078</v>
      </c>
      <c r="N28" s="71">
        <f>'FS-AD Daily '!T32</f>
        <v>100.277</v>
      </c>
      <c r="O28" s="71">
        <f>'FS-AD Daily '!R32</f>
        <v>58.19</v>
      </c>
      <c r="P28" s="71">
        <f>'FS-AD Daily '!Z32</f>
        <v>330.90000000002328</v>
      </c>
      <c r="Q28" s="71">
        <f>'FS-AD Daily '!V32</f>
        <v>161.19999999999999</v>
      </c>
      <c r="R28" s="71">
        <f>'FS-AD Daily '!W32</f>
        <v>0</v>
      </c>
      <c r="S28" s="71">
        <f t="shared" si="0"/>
        <v>169.70000000002329</v>
      </c>
      <c r="T28" s="71">
        <f>'FS-AD Daily '!AD32*3.516</f>
        <v>101088.516</v>
      </c>
      <c r="U28" s="71">
        <f>('FS-AD Daily '!AF32)*1000</f>
        <v>44100</v>
      </c>
      <c r="V28" s="71">
        <f>('FS-AD Daily '!AG32)*1000</f>
        <v>36400</v>
      </c>
      <c r="W28" s="71">
        <f>'FS-AD Daily '!AH32*1000</f>
        <v>18800</v>
      </c>
      <c r="X28" s="71">
        <f>('FS-AD Daily '!AK32)*1000</f>
        <v>28099.999999998545</v>
      </c>
      <c r="Y28" s="71">
        <v>29</v>
      </c>
      <c r="Z28" s="116">
        <v>53</v>
      </c>
    </row>
    <row r="29" spans="1:26" x14ac:dyDescent="0.25">
      <c r="A29" s="115" t="s">
        <v>80</v>
      </c>
      <c r="B29" s="69">
        <f t="shared" si="1"/>
        <v>28</v>
      </c>
      <c r="C29" s="70">
        <v>6</v>
      </c>
      <c r="D29" s="69">
        <v>2020</v>
      </c>
      <c r="E29" s="71">
        <f>'FS-AD Daily '!B33</f>
        <v>4421</v>
      </c>
      <c r="F29" s="71">
        <f>'FS-AD Daily '!C33</f>
        <v>1957</v>
      </c>
      <c r="G29" s="71">
        <f>'FS-AD Daily '!D33</f>
        <v>840</v>
      </c>
      <c r="H29" s="71">
        <f>'FS-AD Daily '!E33</f>
        <v>3656</v>
      </c>
      <c r="I29" s="71">
        <f>'FS-AD Daily '!F33</f>
        <v>4706</v>
      </c>
      <c r="J29" s="71">
        <f>'FS-AD Daily '!G33</f>
        <v>3026</v>
      </c>
      <c r="K29" s="71">
        <f>'FS-AD Daily '!H33</f>
        <v>4987</v>
      </c>
      <c r="L29" s="71">
        <f>'FS-AD Daily '!I33</f>
        <v>2734</v>
      </c>
      <c r="M29" s="71">
        <f>'FS-AD Daily '!J33</f>
        <v>6862</v>
      </c>
      <c r="N29" s="71">
        <f>'FS-AD Daily '!T33</f>
        <v>103.33800000000001</v>
      </c>
      <c r="O29" s="71">
        <f>'FS-AD Daily '!R33</f>
        <v>61.873999999999995</v>
      </c>
      <c r="P29" s="71">
        <f>'FS-AD Daily '!Z33</f>
        <v>330.79999999993015</v>
      </c>
      <c r="Q29" s="71">
        <f>'FS-AD Daily '!V33</f>
        <v>153.6</v>
      </c>
      <c r="R29" s="71">
        <f>'FS-AD Daily '!W33</f>
        <v>0</v>
      </c>
      <c r="S29" s="71">
        <f t="shared" si="0"/>
        <v>177.19999999993016</v>
      </c>
      <c r="T29" s="71">
        <f>'FS-AD Daily '!AD33*3.516</f>
        <v>100968.97199999999</v>
      </c>
      <c r="U29" s="71">
        <f>('FS-AD Daily '!AF33)*1000</f>
        <v>47600</v>
      </c>
      <c r="V29" s="71">
        <f>('FS-AD Daily '!AG33)*1000</f>
        <v>32000</v>
      </c>
      <c r="W29" s="71">
        <f>'FS-AD Daily '!AH33*1000</f>
        <v>18200</v>
      </c>
      <c r="X29" s="71">
        <f>('FS-AD Daily '!AK33)*1000</f>
        <v>27800.00000000291</v>
      </c>
      <c r="Y29" s="71">
        <v>30</v>
      </c>
      <c r="Z29" s="116">
        <v>53</v>
      </c>
    </row>
    <row r="30" spans="1:26" x14ac:dyDescent="0.25">
      <c r="A30" s="115" t="s">
        <v>80</v>
      </c>
      <c r="B30" s="69">
        <f t="shared" si="1"/>
        <v>29</v>
      </c>
      <c r="C30" s="70">
        <v>6</v>
      </c>
      <c r="D30" s="69">
        <v>2020</v>
      </c>
      <c r="E30" s="71">
        <f>'FS-AD Daily '!B34</f>
        <v>4433</v>
      </c>
      <c r="F30" s="71">
        <f>'FS-AD Daily '!C34</f>
        <v>2067</v>
      </c>
      <c r="G30" s="71">
        <f>'FS-AD Daily '!D34</f>
        <v>875</v>
      </c>
      <c r="H30" s="71">
        <f>'FS-AD Daily '!E34</f>
        <v>4001</v>
      </c>
      <c r="I30" s="71">
        <f>'FS-AD Daily '!F34</f>
        <v>4910</v>
      </c>
      <c r="J30" s="71">
        <f>'FS-AD Daily '!G34</f>
        <v>3211</v>
      </c>
      <c r="K30" s="71">
        <f>'FS-AD Daily '!H34</f>
        <v>5283</v>
      </c>
      <c r="L30" s="71">
        <f>'FS-AD Daily '!I34</f>
        <v>2733</v>
      </c>
      <c r="M30" s="71">
        <f>'FS-AD Daily '!J34</f>
        <v>6807</v>
      </c>
      <c r="N30" s="71">
        <f>'FS-AD Daily '!T34</f>
        <v>102.893</v>
      </c>
      <c r="O30" s="71">
        <f>'FS-AD Daily '!R34</f>
        <v>47.871000000000002</v>
      </c>
      <c r="P30" s="71">
        <f>'FS-AD Daily '!Z34</f>
        <v>323.5</v>
      </c>
      <c r="Q30" s="71">
        <f>'FS-AD Daily '!V34</f>
        <v>156.9</v>
      </c>
      <c r="R30" s="71">
        <f>'FS-AD Daily '!W34</f>
        <v>0</v>
      </c>
      <c r="S30" s="71">
        <f t="shared" si="0"/>
        <v>166.6</v>
      </c>
      <c r="T30" s="71">
        <f>'FS-AD Daily '!AD34*3.516</f>
        <v>92463.767999999996</v>
      </c>
      <c r="U30" s="71">
        <f>('FS-AD Daily '!AF34)*1000</f>
        <v>43600</v>
      </c>
      <c r="V30" s="71">
        <f>('FS-AD Daily '!AG34)*1000</f>
        <v>30600</v>
      </c>
      <c r="W30" s="71">
        <f>'FS-AD Daily '!AH34*1000</f>
        <v>18400</v>
      </c>
      <c r="X30" s="71">
        <f>('FS-AD Daily '!AK34)*1000</f>
        <v>24599.999999998545</v>
      </c>
      <c r="Y30" s="71">
        <v>26</v>
      </c>
      <c r="Z30" s="116">
        <v>46</v>
      </c>
    </row>
    <row r="31" spans="1:26" ht="15.75" thickBot="1" x14ac:dyDescent="0.3">
      <c r="A31" s="117" t="s">
        <v>80</v>
      </c>
      <c r="B31" s="118">
        <f t="shared" si="1"/>
        <v>30</v>
      </c>
      <c r="C31" s="119">
        <v>6</v>
      </c>
      <c r="D31" s="118">
        <v>2020</v>
      </c>
      <c r="E31" s="120">
        <f>'FS-AD Daily '!B35</f>
        <v>4168</v>
      </c>
      <c r="F31" s="120">
        <f>'FS-AD Daily '!C35</f>
        <v>1935</v>
      </c>
      <c r="G31" s="120">
        <f>'FS-AD Daily '!D35</f>
        <v>849</v>
      </c>
      <c r="H31" s="120">
        <f>'FS-AD Daily '!E35</f>
        <v>3890</v>
      </c>
      <c r="I31" s="120">
        <f>'FS-AD Daily '!F35</f>
        <v>4861</v>
      </c>
      <c r="J31" s="120">
        <f>'FS-AD Daily '!G35</f>
        <v>3188</v>
      </c>
      <c r="K31" s="120">
        <f>'FS-AD Daily '!H35</f>
        <v>5180</v>
      </c>
      <c r="L31" s="120">
        <f>'FS-AD Daily '!I35</f>
        <v>2762</v>
      </c>
      <c r="M31" s="120">
        <f>'FS-AD Daily '!J35</f>
        <v>6864</v>
      </c>
      <c r="N31" s="120">
        <f>'FS-AD Daily '!T35</f>
        <v>101.495</v>
      </c>
      <c r="O31" s="120">
        <f>'FS-AD Daily '!R35</f>
        <v>48.948</v>
      </c>
      <c r="P31" s="120">
        <f>'FS-AD Daily '!Z35</f>
        <v>342.30000000004657</v>
      </c>
      <c r="Q31" s="120">
        <f>'FS-AD Daily '!V35</f>
        <v>155.30000000000001</v>
      </c>
      <c r="R31" s="120">
        <f>'FS-AD Daily '!W35</f>
        <v>0</v>
      </c>
      <c r="S31" s="120">
        <f t="shared" si="0"/>
        <v>187.00000000004655</v>
      </c>
      <c r="T31" s="120">
        <f>'FS-AD Daily '!AD35*3.516</f>
        <v>89151.695999999996</v>
      </c>
      <c r="U31" s="120">
        <f>('FS-AD Daily '!AF35)*1000</f>
        <v>40800</v>
      </c>
      <c r="V31" s="120">
        <f>('FS-AD Daily '!AG35)*1000</f>
        <v>31100</v>
      </c>
      <c r="W31" s="120">
        <f>'FS-AD Daily '!AH35*1000</f>
        <v>18500</v>
      </c>
      <c r="X31" s="120">
        <f>('FS-AD Daily '!AK35)*1000</f>
        <v>24199.99999999709</v>
      </c>
      <c r="Y31" s="120">
        <v>33</v>
      </c>
      <c r="Z31" s="121">
        <v>56</v>
      </c>
    </row>
    <row r="32" spans="1:26" x14ac:dyDescent="0.25">
      <c r="I32" s="4">
        <f t="shared" ref="I32:W32" si="2">SUM(I2:I31)</f>
        <v>143946</v>
      </c>
      <c r="J32" s="4">
        <f t="shared" si="2"/>
        <v>88310</v>
      </c>
      <c r="K32" s="4">
        <f t="shared" si="2"/>
        <v>126971</v>
      </c>
      <c r="L32" s="4">
        <f t="shared" si="2"/>
        <v>84456</v>
      </c>
      <c r="M32" s="4">
        <f t="shared" si="2"/>
        <v>193538</v>
      </c>
      <c r="N32" s="4">
        <f t="shared" si="2"/>
        <v>3007.355</v>
      </c>
      <c r="O32" s="4">
        <f t="shared" si="2"/>
        <v>1309.7550000000001</v>
      </c>
      <c r="P32" s="4">
        <f t="shared" si="2"/>
        <v>9240.5</v>
      </c>
      <c r="Q32" s="4">
        <f t="shared" si="2"/>
        <v>4501.7999999999993</v>
      </c>
      <c r="R32" s="4">
        <f t="shared" si="2"/>
        <v>0</v>
      </c>
      <c r="S32" s="4">
        <f t="shared" si="2"/>
        <v>4738.7</v>
      </c>
      <c r="T32" s="4">
        <f t="shared" si="2"/>
        <v>2711155.9560000002</v>
      </c>
      <c r="U32" s="4">
        <f t="shared" si="2"/>
        <v>1295000</v>
      </c>
      <c r="V32" s="4">
        <f t="shared" si="2"/>
        <v>651700</v>
      </c>
      <c r="W32" s="4">
        <f t="shared" si="2"/>
        <v>592400</v>
      </c>
      <c r="X32" s="4">
        <f>'FS-AD Daily '!U37</f>
        <v>13309.183999999999</v>
      </c>
      <c r="Y32" s="4">
        <f>SUM(Y2:Y31)</f>
        <v>816</v>
      </c>
      <c r="Z32" s="4">
        <f>SUM(Z2:Z31)</f>
        <v>1215</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H14" activePane="bottomRight" state="frozen"/>
      <selection pane="topRight" activeCell="H1" sqref="H1"/>
      <selection pane="bottomLeft" activeCell="A5" sqref="A5"/>
      <selection pane="bottomRight" activeCell="T36" sqref="T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7" t="s">
        <v>14</v>
      </c>
      <c r="C1" s="147"/>
      <c r="D1" s="147"/>
      <c r="E1" s="147"/>
      <c r="F1" s="147"/>
      <c r="G1" s="147"/>
      <c r="H1" s="147"/>
      <c r="I1" s="147"/>
      <c r="J1" s="147"/>
      <c r="K1" s="25" t="s">
        <v>15</v>
      </c>
      <c r="L1" s="26" t="s">
        <v>16</v>
      </c>
      <c r="M1" s="27" t="s">
        <v>17</v>
      </c>
      <c r="N1" s="28" t="s">
        <v>18</v>
      </c>
      <c r="O1" s="28" t="s">
        <v>19</v>
      </c>
      <c r="P1" s="65" t="s">
        <v>20</v>
      </c>
      <c r="Q1" s="30" t="s">
        <v>21</v>
      </c>
      <c r="R1" s="31" t="s">
        <v>22</v>
      </c>
      <c r="S1" s="29" t="s">
        <v>23</v>
      </c>
      <c r="T1" s="32" t="s">
        <v>24</v>
      </c>
      <c r="U1" s="33" t="s">
        <v>25</v>
      </c>
      <c r="V1" s="32" t="s">
        <v>26</v>
      </c>
      <c r="W1" s="32" t="s">
        <v>27</v>
      </c>
      <c r="X1" s="148" t="s">
        <v>28</v>
      </c>
      <c r="Y1" s="148"/>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43" t="s">
        <v>41</v>
      </c>
      <c r="L2" s="142" t="s">
        <v>42</v>
      </c>
      <c r="M2" s="10"/>
      <c r="N2" s="10"/>
      <c r="O2" s="10"/>
      <c r="P2" s="10"/>
      <c r="Q2" s="10"/>
      <c r="R2" s="10"/>
      <c r="S2" s="151"/>
      <c r="T2" s="47"/>
      <c r="U2" s="145"/>
      <c r="V2" s="45"/>
      <c r="W2" s="45"/>
      <c r="X2" s="22">
        <v>1</v>
      </c>
      <c r="Y2" s="22">
        <v>2</v>
      </c>
      <c r="Z2" s="23"/>
      <c r="AA2" s="142" t="s">
        <v>101</v>
      </c>
      <c r="AB2" s="43"/>
      <c r="AC2" s="143" t="s">
        <v>43</v>
      </c>
      <c r="AD2" s="144"/>
      <c r="AE2" s="145" t="s">
        <v>100</v>
      </c>
      <c r="AF2" s="45"/>
      <c r="AG2" s="45"/>
      <c r="AH2" s="45"/>
      <c r="AI2" s="44"/>
      <c r="AJ2" s="44"/>
      <c r="AK2" s="44"/>
      <c r="AL2" s="44"/>
      <c r="AM2" s="145" t="s">
        <v>100</v>
      </c>
      <c r="AN2" s="146"/>
      <c r="AO2" s="141"/>
    </row>
    <row r="3" spans="1:44" ht="15" customHeight="1" x14ac:dyDescent="0.25">
      <c r="A3" s="9"/>
      <c r="B3" s="11" t="s">
        <v>44</v>
      </c>
      <c r="C3" s="11" t="s">
        <v>45</v>
      </c>
      <c r="D3" s="11" t="s">
        <v>46</v>
      </c>
      <c r="E3" s="11" t="s">
        <v>47</v>
      </c>
      <c r="F3" s="11" t="s">
        <v>48</v>
      </c>
      <c r="G3" s="11" t="s">
        <v>49</v>
      </c>
      <c r="H3" s="11" t="s">
        <v>50</v>
      </c>
      <c r="I3" s="11" t="s">
        <v>51</v>
      </c>
      <c r="J3" s="11" t="s">
        <v>52</v>
      </c>
      <c r="K3" s="149"/>
      <c r="L3" s="150"/>
      <c r="M3" s="10"/>
      <c r="N3" s="10"/>
      <c r="O3" s="10"/>
      <c r="P3" s="10"/>
      <c r="Q3" s="10"/>
      <c r="R3" s="10"/>
      <c r="S3" s="151"/>
      <c r="T3" s="47"/>
      <c r="U3" s="145"/>
      <c r="V3" s="45"/>
      <c r="W3" s="45"/>
      <c r="X3" s="11"/>
      <c r="Y3" s="11"/>
      <c r="Z3" s="12"/>
      <c r="AA3" s="142"/>
      <c r="AB3" s="43"/>
      <c r="AC3" s="143"/>
      <c r="AD3" s="144"/>
      <c r="AE3" s="145"/>
      <c r="AF3" s="45"/>
      <c r="AG3" s="45"/>
      <c r="AH3" s="45"/>
      <c r="AI3" s="13"/>
      <c r="AJ3" s="44"/>
      <c r="AK3" s="44"/>
      <c r="AL3" s="44"/>
      <c r="AM3" s="145"/>
      <c r="AN3" s="146"/>
      <c r="AO3" s="141"/>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1"/>
      <c r="T4" s="47"/>
      <c r="U4" s="145"/>
      <c r="V4" s="45"/>
      <c r="W4" s="45"/>
      <c r="X4" s="52"/>
      <c r="Y4" s="88">
        <v>657761.4</v>
      </c>
      <c r="Z4" s="12"/>
      <c r="AA4" s="142"/>
      <c r="AB4" s="87">
        <v>38762615</v>
      </c>
      <c r="AC4" s="143"/>
      <c r="AD4" s="144"/>
      <c r="AE4" s="145"/>
      <c r="AF4" s="45"/>
      <c r="AG4" s="45"/>
      <c r="AH4" s="45"/>
      <c r="AI4" s="43">
        <v>35103.5</v>
      </c>
      <c r="AJ4" s="43"/>
      <c r="AK4" s="43"/>
      <c r="AL4" s="43"/>
      <c r="AM4" s="145"/>
      <c r="AN4" s="146"/>
      <c r="AO4" s="141"/>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3" t="e">
        <f>SUM(#REF!)</f>
        <v>#REF!</v>
      </c>
    </row>
    <row r="6" spans="1:44" x14ac:dyDescent="0.25">
      <c r="A6" s="80">
        <v>43983</v>
      </c>
      <c r="B6" s="86">
        <v>3233</v>
      </c>
      <c r="C6" s="86">
        <v>1578</v>
      </c>
      <c r="D6" s="86">
        <v>802</v>
      </c>
      <c r="E6" s="86">
        <v>3547</v>
      </c>
      <c r="F6" s="86">
        <v>4690</v>
      </c>
      <c r="G6" s="86">
        <v>2510</v>
      </c>
      <c r="H6" s="86">
        <v>3548</v>
      </c>
      <c r="I6" s="86">
        <v>2764</v>
      </c>
      <c r="J6" s="86">
        <v>5941</v>
      </c>
      <c r="K6" s="63">
        <f>SUM(B6:H6)</f>
        <v>19908</v>
      </c>
      <c r="L6" s="40">
        <f>K6*0.2</f>
        <v>3981.6000000000004</v>
      </c>
      <c r="M6" s="85">
        <v>86.212999999999994</v>
      </c>
      <c r="N6" s="85">
        <v>1.2190000000000001</v>
      </c>
      <c r="O6" s="85">
        <v>4.2640000000000002</v>
      </c>
      <c r="P6" s="83">
        <v>27.210999999999999</v>
      </c>
      <c r="Q6" s="85">
        <v>13.728</v>
      </c>
      <c r="R6" s="85">
        <f t="shared" ref="R6:R35" si="0">N6+O6+P6</f>
        <v>32.694000000000003</v>
      </c>
      <c r="S6" s="85">
        <f t="shared" ref="S6:S34" si="1">(N6+O6+P6)*7.84</f>
        <v>256.32096000000001</v>
      </c>
      <c r="T6" s="64">
        <f t="shared" ref="T6:T34" si="2">M6+Q6</f>
        <v>99.940999999999988</v>
      </c>
      <c r="U6" s="85">
        <f t="shared" ref="U6:U36" si="3">T6*7.84</f>
        <v>783.53743999999995</v>
      </c>
      <c r="V6" s="85">
        <v>127.5</v>
      </c>
      <c r="W6" s="85">
        <v>0</v>
      </c>
      <c r="X6" s="86" t="s">
        <v>63</v>
      </c>
      <c r="Y6" s="86">
        <v>658033.19999999995</v>
      </c>
      <c r="Z6" s="61">
        <f>IF((Y6-Y5&lt;0), "0",Y6-Y4)</f>
        <v>271.79999999993015</v>
      </c>
      <c r="AA6" s="91">
        <f>Z6*6.47</f>
        <v>1758.545999999548</v>
      </c>
      <c r="AB6" s="86">
        <v>38784819</v>
      </c>
      <c r="AC6" s="86">
        <f>AB4</f>
        <v>38762615</v>
      </c>
      <c r="AD6" s="41">
        <f t="shared" ref="AD6:AD34" si="4">IF((AB6-AC6&lt;0), "0",AB6-AC6)</f>
        <v>22204</v>
      </c>
      <c r="AE6" s="85">
        <f>AD6*0.333415</f>
        <v>7403.1466600000003</v>
      </c>
      <c r="AF6" s="85">
        <v>38.9</v>
      </c>
      <c r="AG6" s="85">
        <v>15.1</v>
      </c>
      <c r="AH6" s="85">
        <v>18.2</v>
      </c>
      <c r="AI6" s="75">
        <v>35103.5</v>
      </c>
      <c r="AJ6" s="75">
        <v>35125.800000000003</v>
      </c>
      <c r="AK6" s="59">
        <f>IF((AJ6-AI6)&lt;0, "0",AJ6-AI6)</f>
        <v>22.30000000000291</v>
      </c>
      <c r="AL6" s="140">
        <f t="shared" ref="AL6:AL35" si="5">AK6*(284.34513609)</f>
        <v>6340.8965348078273</v>
      </c>
      <c r="AM6" s="85">
        <f>AL6*0.333415</f>
        <v>2114.1500181529518</v>
      </c>
      <c r="AN6" s="41">
        <f>Submetering!Y2</f>
        <v>31</v>
      </c>
      <c r="AO6" s="77">
        <f t="shared" ref="AO6:AO35" si="6">L6+U6+AA6+AE6</f>
        <v>13926.830099999548</v>
      </c>
    </row>
    <row r="7" spans="1:44" x14ac:dyDescent="0.25">
      <c r="A7" s="79">
        <v>43984</v>
      </c>
      <c r="B7" s="87">
        <v>3236</v>
      </c>
      <c r="C7" s="87">
        <v>1728</v>
      </c>
      <c r="D7" s="87">
        <v>823</v>
      </c>
      <c r="E7" s="87">
        <v>3598</v>
      </c>
      <c r="F7" s="87">
        <v>4702</v>
      </c>
      <c r="G7" s="87">
        <v>2520</v>
      </c>
      <c r="H7" s="87">
        <v>3546</v>
      </c>
      <c r="I7" s="87">
        <v>2813</v>
      </c>
      <c r="J7" s="87">
        <v>5979</v>
      </c>
      <c r="K7" s="87">
        <f>SUM(B7:H7)</f>
        <v>20153</v>
      </c>
      <c r="L7" s="14">
        <f>K7*0.2</f>
        <v>4030.6000000000004</v>
      </c>
      <c r="M7" s="84">
        <v>84.438000000000002</v>
      </c>
      <c r="N7" s="84">
        <v>1.819</v>
      </c>
      <c r="O7" s="84">
        <v>4.4790000000000001</v>
      </c>
      <c r="P7" s="82">
        <v>31.960999999999999</v>
      </c>
      <c r="Q7" s="84">
        <v>7.2439999999999998</v>
      </c>
      <c r="R7" s="84">
        <f t="shared" si="0"/>
        <v>38.259</v>
      </c>
      <c r="S7" s="84">
        <f>(N7+O7+P7)*7.84</f>
        <v>299.95056</v>
      </c>
      <c r="T7" s="84">
        <f>M7+Q7</f>
        <v>91.682000000000002</v>
      </c>
      <c r="U7" s="84">
        <f>T7*7.84</f>
        <v>718.78688</v>
      </c>
      <c r="V7" s="84">
        <v>127.9</v>
      </c>
      <c r="W7" s="84">
        <v>0</v>
      </c>
      <c r="X7" s="87" t="s">
        <v>63</v>
      </c>
      <c r="Y7" s="87">
        <v>658317.80000000005</v>
      </c>
      <c r="Z7" s="5">
        <f t="shared" ref="Z7:Z35" si="7">IF((Y7-Y6&lt;0), "0",Y7-Y6)</f>
        <v>284.60000000009313</v>
      </c>
      <c r="AA7" s="14">
        <f t="shared" ref="AA7:AA35" si="8">Z7*6.47</f>
        <v>1841.3620000006024</v>
      </c>
      <c r="AB7" s="87">
        <v>38807179</v>
      </c>
      <c r="AC7" s="87">
        <f>AB6</f>
        <v>38784819</v>
      </c>
      <c r="AD7" s="5">
        <f t="shared" si="4"/>
        <v>22360</v>
      </c>
      <c r="AE7" s="84">
        <f>AD7*0.333415</f>
        <v>7455.1594000000005</v>
      </c>
      <c r="AF7" s="84">
        <v>41.3</v>
      </c>
      <c r="AG7" s="84">
        <v>15.1</v>
      </c>
      <c r="AH7" s="84">
        <v>18.3</v>
      </c>
      <c r="AI7" s="87">
        <f>AJ6</f>
        <v>35125.800000000003</v>
      </c>
      <c r="AJ7" s="87">
        <v>35147.599999999999</v>
      </c>
      <c r="AK7" s="48">
        <f t="shared" ref="AK7:AK35" si="9">IF((AJ7-AI7)&lt;0, "0",AJ7-AI7)</f>
        <v>21.799999999995634</v>
      </c>
      <c r="AL7" s="90">
        <f t="shared" si="5"/>
        <v>6198.7239667607582</v>
      </c>
      <c r="AM7" s="84">
        <f>AL7*0.333415</f>
        <v>2066.7475513775385</v>
      </c>
      <c r="AN7" s="5">
        <f>Submetering!Y3</f>
        <v>26</v>
      </c>
      <c r="AO7" s="78">
        <f t="shared" si="6"/>
        <v>14045.908280000604</v>
      </c>
    </row>
    <row r="8" spans="1:44" x14ac:dyDescent="0.25">
      <c r="A8" s="79">
        <v>43985</v>
      </c>
      <c r="B8" s="87">
        <v>3366</v>
      </c>
      <c r="C8" s="87">
        <v>2258</v>
      </c>
      <c r="D8" s="87">
        <v>805</v>
      </c>
      <c r="E8" s="87">
        <v>3482</v>
      </c>
      <c r="F8" s="87">
        <v>4792</v>
      </c>
      <c r="G8" s="87">
        <v>2564</v>
      </c>
      <c r="H8" s="87">
        <v>3617</v>
      </c>
      <c r="I8" s="87">
        <v>2791</v>
      </c>
      <c r="J8" s="87">
        <v>6167</v>
      </c>
      <c r="K8" s="87">
        <f>SUM(B8:H8)</f>
        <v>20884</v>
      </c>
      <c r="L8" s="14">
        <f t="shared" ref="L8:L35" si="10">K8*0.2</f>
        <v>4176.8</v>
      </c>
      <c r="M8" s="84">
        <v>70.903000000000006</v>
      </c>
      <c r="N8" s="84">
        <v>1.2070000000000001</v>
      </c>
      <c r="O8" s="84">
        <v>4.3890000000000002</v>
      </c>
      <c r="P8" s="82">
        <v>32.411000000000001</v>
      </c>
      <c r="Q8" s="84">
        <v>12.569000000000001</v>
      </c>
      <c r="R8" s="84">
        <f t="shared" si="0"/>
        <v>38.007000000000005</v>
      </c>
      <c r="S8" s="84">
        <f>(N8+O8+P8)*7.84</f>
        <v>297.97488000000004</v>
      </c>
      <c r="T8" s="84">
        <f>M8+Q8</f>
        <v>83.472000000000008</v>
      </c>
      <c r="U8" s="84">
        <f>T8*7.84</f>
        <v>654.42048</v>
      </c>
      <c r="V8" s="84">
        <v>127.7</v>
      </c>
      <c r="W8" s="84">
        <v>0</v>
      </c>
      <c r="X8" s="87" t="s">
        <v>63</v>
      </c>
      <c r="Y8" s="87">
        <v>658599.69999999995</v>
      </c>
      <c r="Z8" s="5">
        <f t="shared" si="7"/>
        <v>281.89999999990687</v>
      </c>
      <c r="AA8" s="14">
        <f t="shared" si="8"/>
        <v>1823.8929999993973</v>
      </c>
      <c r="AB8" s="87">
        <v>38831149</v>
      </c>
      <c r="AC8" s="87">
        <f t="shared" ref="AC8:AC33" si="11">AB7</f>
        <v>38807179</v>
      </c>
      <c r="AD8" s="5">
        <f t="shared" si="4"/>
        <v>23970</v>
      </c>
      <c r="AE8" s="84">
        <f t="shared" ref="AE8:AE35" si="12">AD8*0.333415</f>
        <v>7991.9575500000001</v>
      </c>
      <c r="AF8" s="84">
        <v>44.4</v>
      </c>
      <c r="AG8" s="84">
        <v>14.9</v>
      </c>
      <c r="AH8" s="84">
        <v>18.2</v>
      </c>
      <c r="AI8" s="87">
        <f t="shared" ref="AI8:AI33" si="13">AJ7</f>
        <v>35147.599999999999</v>
      </c>
      <c r="AJ8" s="87">
        <v>35170.9</v>
      </c>
      <c r="AK8" s="48">
        <f t="shared" si="9"/>
        <v>23.30000000000291</v>
      </c>
      <c r="AL8" s="90">
        <f t="shared" si="5"/>
        <v>6625.2416708978271</v>
      </c>
      <c r="AM8" s="84">
        <f t="shared" ref="AM8:AM35" si="14">AL8*0.333415</f>
        <v>2208.9549517023993</v>
      </c>
      <c r="AN8" s="5">
        <f>Submetering!Y4</f>
        <v>24</v>
      </c>
      <c r="AO8" s="78">
        <f t="shared" si="6"/>
        <v>14647.071029999397</v>
      </c>
    </row>
    <row r="9" spans="1:44" x14ac:dyDescent="0.25">
      <c r="A9" s="79">
        <v>43986</v>
      </c>
      <c r="B9" s="87">
        <v>2859</v>
      </c>
      <c r="C9" s="87">
        <v>2015</v>
      </c>
      <c r="D9" s="87">
        <v>825</v>
      </c>
      <c r="E9" s="87">
        <v>3549</v>
      </c>
      <c r="F9" s="87">
        <v>4719</v>
      </c>
      <c r="G9" s="87">
        <v>2762</v>
      </c>
      <c r="H9" s="87">
        <v>3586</v>
      </c>
      <c r="I9" s="87">
        <v>2761</v>
      </c>
      <c r="J9" s="87">
        <v>6265</v>
      </c>
      <c r="K9" s="87">
        <f t="shared" ref="K9:K35" si="15">SUM(B9:H9)</f>
        <v>20315</v>
      </c>
      <c r="L9" s="14">
        <f t="shared" si="10"/>
        <v>4063</v>
      </c>
      <c r="M9" s="84">
        <v>80.843999999999994</v>
      </c>
      <c r="N9" s="84">
        <v>1.637</v>
      </c>
      <c r="O9" s="84">
        <v>4.3600000000000003</v>
      </c>
      <c r="P9" s="82">
        <v>32.795000000000002</v>
      </c>
      <c r="Q9" s="84">
        <v>10.238</v>
      </c>
      <c r="R9" s="84">
        <f t="shared" si="0"/>
        <v>38.792000000000002</v>
      </c>
      <c r="S9" s="84">
        <f t="shared" si="1"/>
        <v>304.12927999999999</v>
      </c>
      <c r="T9" s="84">
        <f t="shared" si="2"/>
        <v>91.081999999999994</v>
      </c>
      <c r="U9" s="84">
        <f t="shared" si="3"/>
        <v>714.08287999999993</v>
      </c>
      <c r="V9" s="84">
        <v>133.9</v>
      </c>
      <c r="W9" s="84">
        <v>0</v>
      </c>
      <c r="X9" s="87" t="s">
        <v>63</v>
      </c>
      <c r="Y9" s="87">
        <v>658901.69999999995</v>
      </c>
      <c r="Z9" s="5">
        <f t="shared" si="7"/>
        <v>302</v>
      </c>
      <c r="AA9" s="14">
        <f t="shared" si="8"/>
        <v>1953.9399999999998</v>
      </c>
      <c r="AB9" s="87">
        <v>38854418</v>
      </c>
      <c r="AC9" s="87">
        <f t="shared" si="11"/>
        <v>38831149</v>
      </c>
      <c r="AD9" s="5">
        <f t="shared" si="4"/>
        <v>23269</v>
      </c>
      <c r="AE9" s="84">
        <f t="shared" si="12"/>
        <v>7758.2336350000005</v>
      </c>
      <c r="AF9" s="84">
        <v>39.799999999999997</v>
      </c>
      <c r="AG9" s="84">
        <v>15.2</v>
      </c>
      <c r="AH9" s="84">
        <v>18.399999999999999</v>
      </c>
      <c r="AI9" s="87">
        <f t="shared" si="13"/>
        <v>35170.9</v>
      </c>
      <c r="AJ9" s="87">
        <v>35195.1</v>
      </c>
      <c r="AK9" s="48">
        <f t="shared" si="9"/>
        <v>24.19999999999709</v>
      </c>
      <c r="AL9" s="90">
        <f t="shared" si="5"/>
        <v>6881.1522933771721</v>
      </c>
      <c r="AM9" s="84">
        <f t="shared" si="14"/>
        <v>2294.2793918963498</v>
      </c>
      <c r="AN9" s="5">
        <f>Submetering!Y5</f>
        <v>25</v>
      </c>
      <c r="AO9" s="78">
        <f t="shared" si="6"/>
        <v>14489.256515000001</v>
      </c>
    </row>
    <row r="10" spans="1:44" x14ac:dyDescent="0.25">
      <c r="A10" s="79">
        <v>43987</v>
      </c>
      <c r="B10" s="87">
        <v>2708</v>
      </c>
      <c r="C10" s="87">
        <v>1760</v>
      </c>
      <c r="D10" s="87">
        <v>870</v>
      </c>
      <c r="E10" s="87">
        <v>3306</v>
      </c>
      <c r="F10" s="87">
        <v>4771</v>
      </c>
      <c r="G10" s="87">
        <v>2795</v>
      </c>
      <c r="H10" s="87">
        <v>4027</v>
      </c>
      <c r="I10" s="87">
        <v>2758</v>
      </c>
      <c r="J10" s="87">
        <v>6555</v>
      </c>
      <c r="K10" s="87">
        <f t="shared" si="15"/>
        <v>20237</v>
      </c>
      <c r="L10" s="14">
        <f t="shared" si="10"/>
        <v>4047.4</v>
      </c>
      <c r="M10" s="84">
        <v>75.893000000000001</v>
      </c>
      <c r="N10" s="84">
        <v>2.4340000000000002</v>
      </c>
      <c r="O10" s="84">
        <v>4.0540000000000003</v>
      </c>
      <c r="P10" s="82">
        <v>37.387999999999998</v>
      </c>
      <c r="Q10" s="84">
        <v>2.556</v>
      </c>
      <c r="R10" s="84">
        <f t="shared" si="0"/>
        <v>43.875999999999998</v>
      </c>
      <c r="S10" s="84">
        <f t="shared" si="1"/>
        <v>343.98783999999995</v>
      </c>
      <c r="T10" s="84">
        <f t="shared" si="2"/>
        <v>78.448999999999998</v>
      </c>
      <c r="U10" s="84">
        <f t="shared" si="3"/>
        <v>615.04016000000001</v>
      </c>
      <c r="V10" s="84">
        <v>131.9</v>
      </c>
      <c r="W10" s="84">
        <v>0</v>
      </c>
      <c r="X10" s="87" t="s">
        <v>63</v>
      </c>
      <c r="Y10" s="87">
        <v>659192.80000000005</v>
      </c>
      <c r="Z10" s="5">
        <f t="shared" si="7"/>
        <v>291.10000000009313</v>
      </c>
      <c r="AA10" s="14">
        <f t="shared" si="8"/>
        <v>1883.4170000006025</v>
      </c>
      <c r="AB10" s="87">
        <v>38880581</v>
      </c>
      <c r="AC10" s="87">
        <f t="shared" si="11"/>
        <v>38854418</v>
      </c>
      <c r="AD10" s="5">
        <f t="shared" si="4"/>
        <v>26163</v>
      </c>
      <c r="AE10" s="84">
        <f t="shared" si="12"/>
        <v>8723.1366450000005</v>
      </c>
      <c r="AF10" s="84">
        <v>41.5</v>
      </c>
      <c r="AG10" s="84">
        <v>19.2</v>
      </c>
      <c r="AH10" s="84">
        <v>19.8</v>
      </c>
      <c r="AI10" s="87">
        <f t="shared" si="13"/>
        <v>35195.1</v>
      </c>
      <c r="AJ10" s="87">
        <v>35222.300000000003</v>
      </c>
      <c r="AK10" s="48">
        <f t="shared" si="9"/>
        <v>27.200000000004366</v>
      </c>
      <c r="AL10" s="90">
        <f t="shared" si="5"/>
        <v>7734.1877016492408</v>
      </c>
      <c r="AM10" s="84">
        <f t="shared" si="14"/>
        <v>2578.6941925453816</v>
      </c>
      <c r="AN10" s="5">
        <f>Submetering!Y6</f>
        <v>28</v>
      </c>
      <c r="AO10" s="78">
        <f t="shared" si="6"/>
        <v>15268.993805000602</v>
      </c>
    </row>
    <row r="11" spans="1:44" x14ac:dyDescent="0.25">
      <c r="A11" s="79">
        <v>43988</v>
      </c>
      <c r="B11" s="87">
        <v>3268</v>
      </c>
      <c r="C11" s="87">
        <v>1867</v>
      </c>
      <c r="D11" s="87">
        <v>830</v>
      </c>
      <c r="E11" s="87">
        <v>3534</v>
      </c>
      <c r="F11" s="87">
        <v>4817</v>
      </c>
      <c r="G11" s="87">
        <v>2799</v>
      </c>
      <c r="H11" s="87">
        <v>3937</v>
      </c>
      <c r="I11" s="87">
        <v>2864</v>
      </c>
      <c r="J11" s="87">
        <v>6362</v>
      </c>
      <c r="K11" s="87">
        <f t="shared" si="15"/>
        <v>21052</v>
      </c>
      <c r="L11" s="14">
        <f t="shared" si="10"/>
        <v>4210.4000000000005</v>
      </c>
      <c r="M11" s="84">
        <v>123.28700000000001</v>
      </c>
      <c r="N11" s="84">
        <v>1.784</v>
      </c>
      <c r="O11" s="84">
        <v>4.0819999999999999</v>
      </c>
      <c r="P11" s="82">
        <v>44.585000000000001</v>
      </c>
      <c r="Q11" s="84">
        <v>12.507</v>
      </c>
      <c r="R11" s="84">
        <f t="shared" si="0"/>
        <v>50.451000000000001</v>
      </c>
      <c r="S11" s="84">
        <f t="shared" si="1"/>
        <v>395.53584000000001</v>
      </c>
      <c r="T11" s="84">
        <f t="shared" si="2"/>
        <v>135.79400000000001</v>
      </c>
      <c r="U11" s="84">
        <f t="shared" si="3"/>
        <v>1064.6249600000001</v>
      </c>
      <c r="V11" s="84">
        <v>145.6</v>
      </c>
      <c r="W11" s="84">
        <v>0</v>
      </c>
      <c r="X11" s="87" t="s">
        <v>63</v>
      </c>
      <c r="Y11" s="87">
        <v>659503.1</v>
      </c>
      <c r="Z11" s="5">
        <f t="shared" si="7"/>
        <v>310.29999999993015</v>
      </c>
      <c r="AA11" s="14">
        <f t="shared" si="8"/>
        <v>2007.6409999995481</v>
      </c>
      <c r="AB11" s="87">
        <v>38909715</v>
      </c>
      <c r="AC11" s="87">
        <f t="shared" si="11"/>
        <v>38880581</v>
      </c>
      <c r="AD11" s="5">
        <f t="shared" si="4"/>
        <v>29134</v>
      </c>
      <c r="AE11" s="84">
        <f t="shared" si="12"/>
        <v>9713.7126100000005</v>
      </c>
      <c r="AF11" s="84">
        <v>49.5</v>
      </c>
      <c r="AG11" s="84">
        <v>23.2</v>
      </c>
      <c r="AH11" s="84">
        <v>20.100000000000001</v>
      </c>
      <c r="AI11" s="87">
        <f t="shared" si="13"/>
        <v>35222.300000000003</v>
      </c>
      <c r="AJ11" s="87">
        <v>35248.699999999997</v>
      </c>
      <c r="AK11" s="48">
        <f t="shared" si="9"/>
        <v>26.399999999994179</v>
      </c>
      <c r="AL11" s="90">
        <f t="shared" si="5"/>
        <v>7506.7115927743444</v>
      </c>
      <c r="AM11" s="84">
        <f t="shared" si="14"/>
        <v>2502.850245704858</v>
      </c>
      <c r="AN11" s="5">
        <f>Submetering!Y7</f>
        <v>21</v>
      </c>
      <c r="AO11" s="78">
        <f t="shared" si="6"/>
        <v>16996.37856999955</v>
      </c>
    </row>
    <row r="12" spans="1:44" x14ac:dyDescent="0.25">
      <c r="A12" s="79">
        <v>43989</v>
      </c>
      <c r="B12" s="87">
        <v>3584</v>
      </c>
      <c r="C12" s="87">
        <v>2040</v>
      </c>
      <c r="D12" s="87">
        <v>760</v>
      </c>
      <c r="E12" s="87">
        <v>3583</v>
      </c>
      <c r="F12" s="87">
        <v>4768</v>
      </c>
      <c r="G12" s="87">
        <v>2972</v>
      </c>
      <c r="H12" s="87">
        <v>3910</v>
      </c>
      <c r="I12" s="87">
        <v>2831</v>
      </c>
      <c r="J12" s="87">
        <v>6303</v>
      </c>
      <c r="K12" s="87">
        <f t="shared" si="15"/>
        <v>21617</v>
      </c>
      <c r="L12" s="14">
        <f t="shared" si="10"/>
        <v>4323.4000000000005</v>
      </c>
      <c r="M12" s="84">
        <v>92.361000000000004</v>
      </c>
      <c r="N12" s="84">
        <v>2.048</v>
      </c>
      <c r="O12" s="84">
        <v>4.1100000000000003</v>
      </c>
      <c r="P12" s="82">
        <v>38.045000000000002</v>
      </c>
      <c r="Q12" s="84">
        <v>20.359000000000002</v>
      </c>
      <c r="R12" s="84">
        <f t="shared" si="0"/>
        <v>44.203000000000003</v>
      </c>
      <c r="S12" s="84">
        <f t="shared" si="1"/>
        <v>346.55152000000004</v>
      </c>
      <c r="T12" s="84">
        <f t="shared" si="2"/>
        <v>112.72</v>
      </c>
      <c r="U12" s="84">
        <f t="shared" si="3"/>
        <v>883.72479999999996</v>
      </c>
      <c r="V12" s="84">
        <v>153.5</v>
      </c>
      <c r="W12" s="84">
        <v>0</v>
      </c>
      <c r="X12" s="87" t="s">
        <v>63</v>
      </c>
      <c r="Y12" s="87">
        <v>659817.19999999995</v>
      </c>
      <c r="Z12" s="5">
        <f t="shared" si="7"/>
        <v>314.09999999997672</v>
      </c>
      <c r="AA12" s="14">
        <f t="shared" si="8"/>
        <v>2032.2269999998493</v>
      </c>
      <c r="AB12" s="87">
        <v>38938040</v>
      </c>
      <c r="AC12" s="87">
        <f t="shared" si="11"/>
        <v>38909715</v>
      </c>
      <c r="AD12" s="5">
        <f t="shared" si="4"/>
        <v>28325</v>
      </c>
      <c r="AE12" s="84">
        <f t="shared" si="12"/>
        <v>9443.9798750000009</v>
      </c>
      <c r="AF12" s="84">
        <v>49</v>
      </c>
      <c r="AG12" s="84">
        <v>22.2</v>
      </c>
      <c r="AH12" s="84">
        <v>20.2</v>
      </c>
      <c r="AI12" s="87">
        <f t="shared" si="13"/>
        <v>35248.699999999997</v>
      </c>
      <c r="AJ12" s="87">
        <v>35274.6</v>
      </c>
      <c r="AK12" s="48">
        <f t="shared" si="9"/>
        <v>25.900000000001455</v>
      </c>
      <c r="AL12" s="90">
        <f t="shared" si="5"/>
        <v>7364.5390247314135</v>
      </c>
      <c r="AM12" s="84">
        <f t="shared" si="14"/>
        <v>2455.4477789308244</v>
      </c>
      <c r="AN12" s="5">
        <f>Submetering!Y8</f>
        <v>23</v>
      </c>
      <c r="AO12" s="78">
        <f t="shared" si="6"/>
        <v>16683.331674999848</v>
      </c>
    </row>
    <row r="13" spans="1:44" x14ac:dyDescent="0.25">
      <c r="A13" s="79">
        <v>43990</v>
      </c>
      <c r="B13" s="87">
        <v>3579</v>
      </c>
      <c r="C13" s="87">
        <v>2027</v>
      </c>
      <c r="D13" s="87">
        <v>780</v>
      </c>
      <c r="E13" s="87">
        <v>3597</v>
      </c>
      <c r="F13" s="87">
        <v>4874</v>
      </c>
      <c r="G13" s="87">
        <v>3127</v>
      </c>
      <c r="H13" s="87">
        <v>3703</v>
      </c>
      <c r="I13" s="87">
        <v>2822</v>
      </c>
      <c r="J13" s="87">
        <v>6420</v>
      </c>
      <c r="K13" s="87">
        <f t="shared" si="15"/>
        <v>21687</v>
      </c>
      <c r="L13" s="14">
        <f t="shared" si="10"/>
        <v>4337.4000000000005</v>
      </c>
      <c r="M13" s="84">
        <v>85.24</v>
      </c>
      <c r="N13" s="84">
        <v>1.833</v>
      </c>
      <c r="O13" s="84">
        <v>4.2270000000000003</v>
      </c>
      <c r="P13" s="82">
        <v>35.466000000000001</v>
      </c>
      <c r="Q13" s="84">
        <v>2.0750000000000002</v>
      </c>
      <c r="R13" s="84">
        <f t="shared" si="0"/>
        <v>41.526000000000003</v>
      </c>
      <c r="S13" s="84">
        <f t="shared" si="1"/>
        <v>325.56384000000003</v>
      </c>
      <c r="T13" s="84">
        <f t="shared" si="2"/>
        <v>87.314999999999998</v>
      </c>
      <c r="U13" s="84">
        <f t="shared" si="3"/>
        <v>684.54959999999994</v>
      </c>
      <c r="V13" s="84">
        <v>147.9</v>
      </c>
      <c r="W13" s="84">
        <v>0</v>
      </c>
      <c r="X13" s="87" t="s">
        <v>63</v>
      </c>
      <c r="Y13" s="87">
        <v>660107.4</v>
      </c>
      <c r="Z13" s="5">
        <f t="shared" si="7"/>
        <v>290.20000000006985</v>
      </c>
      <c r="AA13" s="14">
        <f t="shared" si="8"/>
        <v>1877.5940000004518</v>
      </c>
      <c r="AB13" s="87">
        <v>38962200</v>
      </c>
      <c r="AC13" s="87">
        <f t="shared" si="11"/>
        <v>38938040</v>
      </c>
      <c r="AD13" s="5">
        <f t="shared" si="4"/>
        <v>24160</v>
      </c>
      <c r="AE13" s="84">
        <f t="shared" si="12"/>
        <v>8055.3064000000004</v>
      </c>
      <c r="AF13" s="84">
        <v>39.700000000000003</v>
      </c>
      <c r="AG13" s="84">
        <v>21.1</v>
      </c>
      <c r="AH13" s="84">
        <v>18.8</v>
      </c>
      <c r="AI13" s="87">
        <f t="shared" si="13"/>
        <v>35274.6</v>
      </c>
      <c r="AJ13" s="87">
        <v>35298.800000000003</v>
      </c>
      <c r="AK13" s="48">
        <f t="shared" si="9"/>
        <v>24.200000000004366</v>
      </c>
      <c r="AL13" s="90">
        <f t="shared" si="5"/>
        <v>6881.1522933792412</v>
      </c>
      <c r="AM13" s="84">
        <f t="shared" si="14"/>
        <v>2294.2793918970397</v>
      </c>
      <c r="AN13" s="5">
        <f>Submetering!Y9</f>
        <v>27</v>
      </c>
      <c r="AO13" s="78">
        <f t="shared" si="6"/>
        <v>14954.850000000453</v>
      </c>
    </row>
    <row r="14" spans="1:44" x14ac:dyDescent="0.25">
      <c r="A14" s="79">
        <v>43991</v>
      </c>
      <c r="B14" s="87">
        <v>3413</v>
      </c>
      <c r="C14" s="87">
        <v>1634</v>
      </c>
      <c r="D14" s="87">
        <v>758</v>
      </c>
      <c r="E14" s="87">
        <v>3587</v>
      </c>
      <c r="F14" s="87">
        <v>4897</v>
      </c>
      <c r="G14" s="87">
        <v>3051</v>
      </c>
      <c r="H14" s="87">
        <v>3993</v>
      </c>
      <c r="I14" s="87">
        <v>2853</v>
      </c>
      <c r="J14" s="87">
        <v>6298</v>
      </c>
      <c r="K14" s="87">
        <f t="shared" si="15"/>
        <v>21333</v>
      </c>
      <c r="L14" s="14">
        <f t="shared" si="10"/>
        <v>4266.6000000000004</v>
      </c>
      <c r="M14" s="84">
        <v>87.438000000000002</v>
      </c>
      <c r="N14" s="84">
        <v>1.45</v>
      </c>
      <c r="O14" s="84">
        <v>3.8090000000000002</v>
      </c>
      <c r="P14" s="82">
        <v>31.776</v>
      </c>
      <c r="Q14" s="84">
        <v>7.5659999999999998</v>
      </c>
      <c r="R14" s="84">
        <f>N14+O14+P14</f>
        <v>37.034999999999997</v>
      </c>
      <c r="S14" s="84">
        <f t="shared" si="1"/>
        <v>290.35439999999994</v>
      </c>
      <c r="T14" s="84">
        <f t="shared" si="2"/>
        <v>95.004000000000005</v>
      </c>
      <c r="U14" s="84">
        <f t="shared" si="3"/>
        <v>744.83136000000002</v>
      </c>
      <c r="V14" s="84">
        <v>148.5</v>
      </c>
      <c r="W14" s="84">
        <v>0</v>
      </c>
      <c r="X14" s="87" t="s">
        <v>63</v>
      </c>
      <c r="Y14" s="88">
        <v>660407</v>
      </c>
      <c r="Z14" s="5">
        <f>IF((Y14-Y13&lt;0), "0",Y14-Y13)</f>
        <v>299.59999999997672</v>
      </c>
      <c r="AA14" s="14">
        <f t="shared" si="8"/>
        <v>1938.4119999998493</v>
      </c>
      <c r="AB14" s="87">
        <v>38986448</v>
      </c>
      <c r="AC14" s="87">
        <f t="shared" si="11"/>
        <v>38962200</v>
      </c>
      <c r="AD14" s="5">
        <f t="shared" si="4"/>
        <v>24248</v>
      </c>
      <c r="AE14" s="84">
        <f t="shared" si="12"/>
        <v>8084.6469200000001</v>
      </c>
      <c r="AF14" s="84">
        <v>39.700000000000003</v>
      </c>
      <c r="AG14" s="84">
        <v>21.9</v>
      </c>
      <c r="AH14" s="84">
        <v>18.7</v>
      </c>
      <c r="AI14" s="87">
        <f t="shared" si="13"/>
        <v>35298.800000000003</v>
      </c>
      <c r="AJ14" s="87">
        <v>35322.300000000003</v>
      </c>
      <c r="AK14" s="48">
        <f t="shared" si="9"/>
        <v>23.5</v>
      </c>
      <c r="AL14" s="90">
        <f t="shared" si="5"/>
        <v>6682.1106981149996</v>
      </c>
      <c r="AM14" s="84">
        <f t="shared" si="14"/>
        <v>2227.9159384120126</v>
      </c>
      <c r="AN14" s="5">
        <f>Submetering!Y10</f>
        <v>23</v>
      </c>
      <c r="AO14" s="78">
        <f t="shared" si="6"/>
        <v>15034.490279999849</v>
      </c>
    </row>
    <row r="15" spans="1:44" x14ac:dyDescent="0.25">
      <c r="A15" s="79">
        <v>43992</v>
      </c>
      <c r="B15" s="87">
        <v>3493</v>
      </c>
      <c r="C15" s="87">
        <v>1992</v>
      </c>
      <c r="D15" s="87">
        <v>758</v>
      </c>
      <c r="E15" s="87">
        <v>3612</v>
      </c>
      <c r="F15" s="87">
        <v>4885</v>
      </c>
      <c r="G15" s="87">
        <v>3211</v>
      </c>
      <c r="H15" s="87">
        <v>4313</v>
      </c>
      <c r="I15" s="87">
        <v>2816</v>
      </c>
      <c r="J15" s="87">
        <v>6347</v>
      </c>
      <c r="K15" s="87">
        <f t="shared" si="15"/>
        <v>22264</v>
      </c>
      <c r="L15" s="14">
        <f t="shared" si="10"/>
        <v>4452.8</v>
      </c>
      <c r="M15" s="84">
        <v>94.828000000000003</v>
      </c>
      <c r="N15" s="84">
        <v>1.3360000000000001</v>
      </c>
      <c r="O15" s="84">
        <v>3.8420000000000001</v>
      </c>
      <c r="P15" s="82">
        <v>33.753</v>
      </c>
      <c r="Q15" s="84">
        <v>6.2460000000000004</v>
      </c>
      <c r="R15" s="84">
        <f t="shared" si="0"/>
        <v>38.930999999999997</v>
      </c>
      <c r="S15" s="84">
        <f t="shared" si="1"/>
        <v>305.21903999999995</v>
      </c>
      <c r="T15" s="84">
        <f t="shared" si="2"/>
        <v>101.074</v>
      </c>
      <c r="U15" s="84">
        <f t="shared" si="3"/>
        <v>792.42016000000001</v>
      </c>
      <c r="V15" s="84">
        <v>155.5</v>
      </c>
      <c r="W15" s="84">
        <v>0</v>
      </c>
      <c r="X15" s="87" t="s">
        <v>63</v>
      </c>
      <c r="Y15" s="88">
        <v>660710.5</v>
      </c>
      <c r="Z15" s="5">
        <f t="shared" si="7"/>
        <v>303.5</v>
      </c>
      <c r="AA15" s="14">
        <f t="shared" si="8"/>
        <v>1963.645</v>
      </c>
      <c r="AB15" s="87">
        <v>39013466</v>
      </c>
      <c r="AC15" s="87">
        <f t="shared" si="11"/>
        <v>38986448</v>
      </c>
      <c r="AD15" s="5">
        <f t="shared" si="4"/>
        <v>27018</v>
      </c>
      <c r="AE15" s="84">
        <f t="shared" si="12"/>
        <v>9008.206470000001</v>
      </c>
      <c r="AF15" s="84">
        <v>42.9</v>
      </c>
      <c r="AG15" s="84">
        <v>24.2</v>
      </c>
      <c r="AH15" s="84">
        <v>20.9</v>
      </c>
      <c r="AI15" s="87">
        <f t="shared" si="13"/>
        <v>35322.300000000003</v>
      </c>
      <c r="AJ15" s="87">
        <v>35347.4</v>
      </c>
      <c r="AK15" s="48">
        <f t="shared" si="9"/>
        <v>25.099999999998545</v>
      </c>
      <c r="AL15" s="90">
        <f t="shared" si="5"/>
        <v>7137.0629158585862</v>
      </c>
      <c r="AM15" s="84">
        <f t="shared" si="14"/>
        <v>2379.6038320909906</v>
      </c>
      <c r="AN15" s="5">
        <f>Submetering!Y11</f>
        <v>21</v>
      </c>
      <c r="AO15" s="89">
        <f t="shared" si="6"/>
        <v>16217.07163</v>
      </c>
    </row>
    <row r="16" spans="1:44" x14ac:dyDescent="0.25">
      <c r="A16" s="79">
        <v>43993</v>
      </c>
      <c r="B16" s="87">
        <v>3538</v>
      </c>
      <c r="C16" s="87">
        <v>1771</v>
      </c>
      <c r="D16" s="87">
        <v>743</v>
      </c>
      <c r="E16" s="87">
        <v>3515</v>
      </c>
      <c r="F16" s="87">
        <v>4879</v>
      </c>
      <c r="G16" s="87">
        <v>3075</v>
      </c>
      <c r="H16" s="87">
        <v>4074</v>
      </c>
      <c r="I16" s="87">
        <v>2850</v>
      </c>
      <c r="J16" s="87">
        <v>6214</v>
      </c>
      <c r="K16" s="87">
        <f t="shared" si="15"/>
        <v>21595</v>
      </c>
      <c r="L16" s="14">
        <f t="shared" si="10"/>
        <v>4319</v>
      </c>
      <c r="M16" s="84">
        <v>97.694000000000003</v>
      </c>
      <c r="N16" s="84">
        <v>2.5579999999999998</v>
      </c>
      <c r="O16" s="84">
        <v>3.69</v>
      </c>
      <c r="P16" s="82">
        <v>33.948999999999998</v>
      </c>
      <c r="Q16" s="84">
        <v>13.319000000000001</v>
      </c>
      <c r="R16" s="84">
        <f t="shared" si="0"/>
        <v>40.196999999999996</v>
      </c>
      <c r="S16" s="84">
        <f t="shared" si="1"/>
        <v>315.14447999999999</v>
      </c>
      <c r="T16" s="84">
        <f t="shared" si="2"/>
        <v>111.01300000000001</v>
      </c>
      <c r="U16" s="84">
        <f t="shared" si="3"/>
        <v>870.34192000000007</v>
      </c>
      <c r="V16" s="84">
        <v>169.9</v>
      </c>
      <c r="W16" s="84">
        <v>0</v>
      </c>
      <c r="X16" s="87" t="s">
        <v>63</v>
      </c>
      <c r="Y16" s="88">
        <v>661037.69999999995</v>
      </c>
      <c r="Z16" s="5">
        <f t="shared" si="7"/>
        <v>327.19999999995343</v>
      </c>
      <c r="AA16" s="14">
        <f t="shared" si="8"/>
        <v>2116.9839999996984</v>
      </c>
      <c r="AB16" s="87">
        <v>39038295</v>
      </c>
      <c r="AC16" s="87">
        <f t="shared" si="11"/>
        <v>39013466</v>
      </c>
      <c r="AD16" s="5">
        <f t="shared" si="4"/>
        <v>24829</v>
      </c>
      <c r="AE16" s="84">
        <f t="shared" si="12"/>
        <v>8278.3610349999999</v>
      </c>
      <c r="AF16" s="84">
        <v>39.299999999999997</v>
      </c>
      <c r="AG16" s="84">
        <v>22.3</v>
      </c>
      <c r="AH16" s="84">
        <v>21.2</v>
      </c>
      <c r="AI16" s="87">
        <f t="shared" si="13"/>
        <v>35347.4</v>
      </c>
      <c r="AJ16" s="87">
        <v>35371.199999999997</v>
      </c>
      <c r="AK16" s="48">
        <f t="shared" si="9"/>
        <v>23.799999999995634</v>
      </c>
      <c r="AL16" s="90">
        <f t="shared" si="5"/>
        <v>6767.414238940758</v>
      </c>
      <c r="AM16" s="84">
        <f t="shared" si="14"/>
        <v>2256.3574184764329</v>
      </c>
      <c r="AN16" s="5">
        <f>Submetering!Y12</f>
        <v>34</v>
      </c>
      <c r="AO16" s="78">
        <f t="shared" si="6"/>
        <v>15584.686954999699</v>
      </c>
    </row>
    <row r="17" spans="1:41" x14ac:dyDescent="0.25">
      <c r="A17" s="79">
        <v>43994</v>
      </c>
      <c r="B17" s="87">
        <v>3822</v>
      </c>
      <c r="C17" s="87">
        <v>1797</v>
      </c>
      <c r="D17" s="87">
        <v>811</v>
      </c>
      <c r="E17" s="87">
        <v>3867</v>
      </c>
      <c r="F17" s="87">
        <v>4903</v>
      </c>
      <c r="G17" s="87">
        <v>3052</v>
      </c>
      <c r="H17" s="87">
        <v>3736</v>
      </c>
      <c r="I17" s="87">
        <v>2837</v>
      </c>
      <c r="J17" s="87">
        <v>6403</v>
      </c>
      <c r="K17" s="87">
        <f t="shared" si="15"/>
        <v>21988</v>
      </c>
      <c r="L17" s="14">
        <f t="shared" si="10"/>
        <v>4397.6000000000004</v>
      </c>
      <c r="M17" s="84">
        <v>95.507999999999996</v>
      </c>
      <c r="N17" s="84">
        <v>2.23</v>
      </c>
      <c r="O17" s="84">
        <v>3.2759999999999998</v>
      </c>
      <c r="P17" s="82">
        <v>35.085000000000001</v>
      </c>
      <c r="Q17" s="84">
        <v>16.89</v>
      </c>
      <c r="R17" s="84">
        <f t="shared" si="0"/>
        <v>40.591000000000001</v>
      </c>
      <c r="S17" s="84">
        <f t="shared" si="1"/>
        <v>318.23344000000003</v>
      </c>
      <c r="T17" s="84">
        <f t="shared" si="2"/>
        <v>112.398</v>
      </c>
      <c r="U17" s="84">
        <f t="shared" si="3"/>
        <v>881.20031999999992</v>
      </c>
      <c r="V17" s="84">
        <v>161.69999999999999</v>
      </c>
      <c r="W17" s="84">
        <v>0</v>
      </c>
      <c r="X17" s="87" t="s">
        <v>63</v>
      </c>
      <c r="Y17" s="88">
        <v>661364.69999999995</v>
      </c>
      <c r="Z17" s="5">
        <f t="shared" si="7"/>
        <v>327</v>
      </c>
      <c r="AA17" s="14">
        <f t="shared" si="8"/>
        <v>2115.69</v>
      </c>
      <c r="AB17" s="87">
        <v>39060726</v>
      </c>
      <c r="AC17" s="87">
        <f t="shared" si="11"/>
        <v>39038295</v>
      </c>
      <c r="AD17" s="5">
        <f t="shared" si="4"/>
        <v>22431</v>
      </c>
      <c r="AE17" s="84">
        <f t="shared" si="12"/>
        <v>7478.8318650000001</v>
      </c>
      <c r="AF17" s="84">
        <v>37.5</v>
      </c>
      <c r="AG17" s="84">
        <v>20.7</v>
      </c>
      <c r="AH17" s="84">
        <v>19</v>
      </c>
      <c r="AI17" s="87">
        <f t="shared" si="13"/>
        <v>35371.199999999997</v>
      </c>
      <c r="AJ17" s="88">
        <v>35393</v>
      </c>
      <c r="AK17" s="48">
        <f t="shared" si="9"/>
        <v>21.80000000000291</v>
      </c>
      <c r="AL17" s="90">
        <f t="shared" si="5"/>
        <v>6198.7239667628273</v>
      </c>
      <c r="AM17" s="84">
        <f t="shared" si="14"/>
        <v>2066.7475513782283</v>
      </c>
      <c r="AN17" s="5">
        <f>Submetering!Y13</f>
        <v>34</v>
      </c>
      <c r="AO17" s="78">
        <f t="shared" si="6"/>
        <v>14873.322185000001</v>
      </c>
    </row>
    <row r="18" spans="1:41" x14ac:dyDescent="0.25">
      <c r="A18" s="79">
        <v>43995</v>
      </c>
      <c r="B18" s="87">
        <v>3785</v>
      </c>
      <c r="C18" s="87">
        <v>1521</v>
      </c>
      <c r="D18" s="87">
        <v>797</v>
      </c>
      <c r="E18" s="87">
        <v>3323</v>
      </c>
      <c r="F18" s="87">
        <v>4852</v>
      </c>
      <c r="G18" s="87">
        <v>2920</v>
      </c>
      <c r="H18" s="87">
        <v>4102</v>
      </c>
      <c r="I18" s="87">
        <v>2893</v>
      </c>
      <c r="J18" s="87">
        <v>6427</v>
      </c>
      <c r="K18" s="87">
        <f t="shared" si="15"/>
        <v>21300</v>
      </c>
      <c r="L18" s="14">
        <f t="shared" si="10"/>
        <v>4260</v>
      </c>
      <c r="M18" s="84">
        <v>87.816000000000003</v>
      </c>
      <c r="N18" s="84">
        <v>6.7169999999999996</v>
      </c>
      <c r="O18" s="84">
        <v>3.7789999999999999</v>
      </c>
      <c r="P18" s="82">
        <v>39.143999999999998</v>
      </c>
      <c r="Q18" s="84">
        <v>7.5519999999999996</v>
      </c>
      <c r="R18" s="84">
        <f t="shared" si="0"/>
        <v>49.64</v>
      </c>
      <c r="S18" s="84">
        <f t="shared" si="1"/>
        <v>389.17759999999998</v>
      </c>
      <c r="T18" s="84">
        <f t="shared" si="2"/>
        <v>95.367999999999995</v>
      </c>
      <c r="U18" s="84">
        <f t="shared" si="3"/>
        <v>747.68511999999998</v>
      </c>
      <c r="V18" s="84">
        <v>147.1</v>
      </c>
      <c r="W18" s="84">
        <v>0</v>
      </c>
      <c r="X18" s="87" t="s">
        <v>63</v>
      </c>
      <c r="Y18" s="88">
        <v>661672.1</v>
      </c>
      <c r="Z18" s="5">
        <f t="shared" si="7"/>
        <v>307.40000000002328</v>
      </c>
      <c r="AA18" s="14">
        <f t="shared" si="8"/>
        <v>1988.8780000001507</v>
      </c>
      <c r="AB18" s="87">
        <v>39086780</v>
      </c>
      <c r="AC18" s="87">
        <f t="shared" si="11"/>
        <v>39060726</v>
      </c>
      <c r="AD18" s="5">
        <f t="shared" si="4"/>
        <v>26054</v>
      </c>
      <c r="AE18" s="84">
        <f t="shared" si="12"/>
        <v>8686.7944100000004</v>
      </c>
      <c r="AF18" s="82">
        <v>42.1</v>
      </c>
      <c r="AG18" s="82">
        <v>21.8</v>
      </c>
      <c r="AH18" s="82">
        <v>20.8</v>
      </c>
      <c r="AI18" s="88">
        <f t="shared" si="13"/>
        <v>35393</v>
      </c>
      <c r="AJ18" s="88">
        <v>35419.699999999997</v>
      </c>
      <c r="AK18" s="48">
        <f t="shared" si="9"/>
        <v>26.69999999999709</v>
      </c>
      <c r="AL18" s="90">
        <f t="shared" si="5"/>
        <v>7592.0151336021718</v>
      </c>
      <c r="AM18" s="84">
        <f t="shared" si="14"/>
        <v>2531.2917257699683</v>
      </c>
      <c r="AN18" s="5">
        <f>Submetering!Y14</f>
        <v>19</v>
      </c>
      <c r="AO18" s="78">
        <f t="shared" si="6"/>
        <v>15683.35753000015</v>
      </c>
    </row>
    <row r="19" spans="1:41" x14ac:dyDescent="0.25">
      <c r="A19" s="79">
        <v>43996</v>
      </c>
      <c r="B19" s="87">
        <v>3846</v>
      </c>
      <c r="C19" s="87">
        <v>1608</v>
      </c>
      <c r="D19" s="87">
        <v>735</v>
      </c>
      <c r="E19" s="87">
        <v>3550</v>
      </c>
      <c r="F19" s="87">
        <v>4705</v>
      </c>
      <c r="G19" s="87">
        <v>3154</v>
      </c>
      <c r="H19" s="87">
        <v>4275</v>
      </c>
      <c r="I19" s="87">
        <v>2832</v>
      </c>
      <c r="J19" s="87">
        <v>6337</v>
      </c>
      <c r="K19" s="87">
        <f t="shared" si="15"/>
        <v>21873</v>
      </c>
      <c r="L19" s="14">
        <f t="shared" si="10"/>
        <v>4374.6000000000004</v>
      </c>
      <c r="M19" s="84">
        <v>113.919</v>
      </c>
      <c r="N19" s="84">
        <v>1.4990000000000001</v>
      </c>
      <c r="O19" s="84">
        <v>3.782</v>
      </c>
      <c r="P19" s="82">
        <v>40.777999999999999</v>
      </c>
      <c r="Q19" s="84">
        <v>10.045999999999999</v>
      </c>
      <c r="R19" s="84">
        <f t="shared" si="0"/>
        <v>46.058999999999997</v>
      </c>
      <c r="S19" s="84">
        <f t="shared" si="1"/>
        <v>361.10255999999998</v>
      </c>
      <c r="T19" s="84">
        <f t="shared" si="2"/>
        <v>123.965</v>
      </c>
      <c r="U19" s="84">
        <f t="shared" si="3"/>
        <v>971.88559999999995</v>
      </c>
      <c r="V19" s="84">
        <v>149.9</v>
      </c>
      <c r="W19" s="84">
        <v>0</v>
      </c>
      <c r="X19" s="87" t="s">
        <v>63</v>
      </c>
      <c r="Y19" s="88">
        <v>661970.9</v>
      </c>
      <c r="Z19" s="5">
        <f t="shared" si="7"/>
        <v>298.80000000004657</v>
      </c>
      <c r="AA19" s="14">
        <f t="shared" si="8"/>
        <v>1933.2360000003011</v>
      </c>
      <c r="AB19" s="87">
        <v>39114329</v>
      </c>
      <c r="AC19" s="87">
        <f t="shared" si="11"/>
        <v>39086780</v>
      </c>
      <c r="AD19" s="5">
        <f t="shared" si="4"/>
        <v>27549</v>
      </c>
      <c r="AE19" s="84">
        <f t="shared" si="12"/>
        <v>9185.2498350000005</v>
      </c>
      <c r="AF19" s="84">
        <v>46.6</v>
      </c>
      <c r="AG19" s="84">
        <v>23.3</v>
      </c>
      <c r="AH19" s="84">
        <v>21</v>
      </c>
      <c r="AI19" s="87">
        <f t="shared" si="13"/>
        <v>35419.699999999997</v>
      </c>
      <c r="AJ19" s="88">
        <v>35445.699999999997</v>
      </c>
      <c r="AK19" s="48">
        <f t="shared" si="9"/>
        <v>26</v>
      </c>
      <c r="AL19" s="90">
        <f t="shared" si="5"/>
        <v>7392.9735383399993</v>
      </c>
      <c r="AM19" s="84">
        <f t="shared" si="14"/>
        <v>2464.928272285631</v>
      </c>
      <c r="AN19" s="5">
        <f>Submetering!Y15</f>
        <v>28</v>
      </c>
      <c r="AO19" s="78">
        <f t="shared" si="6"/>
        <v>16464.971435000301</v>
      </c>
    </row>
    <row r="20" spans="1:41" x14ac:dyDescent="0.25">
      <c r="A20" s="79">
        <v>43997</v>
      </c>
      <c r="B20" s="87">
        <v>3927</v>
      </c>
      <c r="C20" s="87">
        <v>1790</v>
      </c>
      <c r="D20" s="87">
        <v>769</v>
      </c>
      <c r="E20" s="87">
        <v>3484</v>
      </c>
      <c r="F20" s="87">
        <v>4705</v>
      </c>
      <c r="G20" s="87">
        <v>3231</v>
      </c>
      <c r="H20" s="87">
        <v>4302</v>
      </c>
      <c r="I20" s="87">
        <v>2852</v>
      </c>
      <c r="J20" s="87">
        <v>6310</v>
      </c>
      <c r="K20" s="87">
        <f t="shared" si="15"/>
        <v>22208</v>
      </c>
      <c r="L20" s="14">
        <f t="shared" si="10"/>
        <v>4441.6000000000004</v>
      </c>
      <c r="M20" s="84">
        <v>57.582000000000001</v>
      </c>
      <c r="N20" s="84">
        <v>1.62</v>
      </c>
      <c r="O20" s="84">
        <v>3.7690000000000001</v>
      </c>
      <c r="P20" s="82">
        <v>38.558999999999997</v>
      </c>
      <c r="Q20" s="84">
        <v>9.16</v>
      </c>
      <c r="R20" s="84">
        <f t="shared" si="0"/>
        <v>43.948</v>
      </c>
      <c r="S20" s="84">
        <f t="shared" si="1"/>
        <v>344.55232000000001</v>
      </c>
      <c r="T20" s="84">
        <f t="shared" si="2"/>
        <v>66.742000000000004</v>
      </c>
      <c r="U20" s="84">
        <f t="shared" si="3"/>
        <v>523.25728000000004</v>
      </c>
      <c r="V20" s="84">
        <v>158.30000000000001</v>
      </c>
      <c r="W20" s="84">
        <v>0</v>
      </c>
      <c r="X20" s="87" t="s">
        <v>63</v>
      </c>
      <c r="Y20" s="87">
        <v>662290.69999999995</v>
      </c>
      <c r="Z20" s="5">
        <f t="shared" si="7"/>
        <v>319.79999999993015</v>
      </c>
      <c r="AA20" s="14">
        <f t="shared" si="8"/>
        <v>2069.1059999995482</v>
      </c>
      <c r="AB20" s="87">
        <v>39141550</v>
      </c>
      <c r="AC20" s="87">
        <f t="shared" si="11"/>
        <v>39114329</v>
      </c>
      <c r="AD20" s="5">
        <f t="shared" si="4"/>
        <v>27221</v>
      </c>
      <c r="AE20" s="84">
        <f t="shared" si="12"/>
        <v>9075.8897150000012</v>
      </c>
      <c r="AF20" s="84">
        <v>46.8</v>
      </c>
      <c r="AG20" s="84">
        <v>22.7</v>
      </c>
      <c r="AH20" s="84">
        <v>20.3</v>
      </c>
      <c r="AI20" s="87">
        <f t="shared" si="13"/>
        <v>35445.699999999997</v>
      </c>
      <c r="AJ20" s="88">
        <v>35471.300000000003</v>
      </c>
      <c r="AK20" s="48">
        <f t="shared" si="9"/>
        <v>25.600000000005821</v>
      </c>
      <c r="AL20" s="90">
        <f t="shared" si="5"/>
        <v>7279.2354839056543</v>
      </c>
      <c r="AM20" s="84">
        <f t="shared" si="14"/>
        <v>2427.006298866404</v>
      </c>
      <c r="AN20" s="5">
        <f>Submetering!Y16</f>
        <v>23</v>
      </c>
      <c r="AO20" s="78">
        <f t="shared" si="6"/>
        <v>16109.85299499955</v>
      </c>
    </row>
    <row r="21" spans="1:41" x14ac:dyDescent="0.25">
      <c r="A21" s="79">
        <v>43998</v>
      </c>
      <c r="B21" s="87">
        <v>3807</v>
      </c>
      <c r="C21" s="87">
        <v>2005</v>
      </c>
      <c r="D21" s="87">
        <v>797</v>
      </c>
      <c r="E21" s="87">
        <v>3386</v>
      </c>
      <c r="F21" s="87">
        <v>4702</v>
      </c>
      <c r="G21" s="87">
        <v>3141</v>
      </c>
      <c r="H21" s="87">
        <v>4290</v>
      </c>
      <c r="I21" s="87">
        <v>2844</v>
      </c>
      <c r="J21" s="87">
        <v>6552</v>
      </c>
      <c r="K21" s="87">
        <f t="shared" si="15"/>
        <v>22128</v>
      </c>
      <c r="L21" s="14">
        <f t="shared" si="10"/>
        <v>4425.6000000000004</v>
      </c>
      <c r="M21" s="84">
        <v>125.54300000000001</v>
      </c>
      <c r="N21" s="84">
        <v>4.4580000000000002</v>
      </c>
      <c r="O21" s="84">
        <v>3.8660000000000001</v>
      </c>
      <c r="P21" s="82">
        <v>34.869999999999997</v>
      </c>
      <c r="Q21" s="84">
        <v>10.061999999999999</v>
      </c>
      <c r="R21" s="84">
        <f t="shared" si="0"/>
        <v>43.193999999999996</v>
      </c>
      <c r="S21" s="84">
        <f t="shared" si="1"/>
        <v>338.64095999999995</v>
      </c>
      <c r="T21" s="84">
        <f t="shared" si="2"/>
        <v>135.60500000000002</v>
      </c>
      <c r="U21" s="84">
        <f t="shared" si="3"/>
        <v>1063.1432000000002</v>
      </c>
      <c r="V21" s="84">
        <v>154.5</v>
      </c>
      <c r="W21" s="84">
        <v>0</v>
      </c>
      <c r="X21" s="87" t="s">
        <v>63</v>
      </c>
      <c r="Y21" s="88">
        <v>662588</v>
      </c>
      <c r="Z21" s="5">
        <f t="shared" si="7"/>
        <v>297.30000000004657</v>
      </c>
      <c r="AA21" s="14">
        <f t="shared" si="8"/>
        <v>1923.5310000003012</v>
      </c>
      <c r="AB21" s="87">
        <v>39167738</v>
      </c>
      <c r="AC21" s="87">
        <f t="shared" si="11"/>
        <v>39141550</v>
      </c>
      <c r="AD21" s="5">
        <f t="shared" si="4"/>
        <v>26188</v>
      </c>
      <c r="AE21" s="84">
        <f t="shared" si="12"/>
        <v>8731.4720200000011</v>
      </c>
      <c r="AF21" s="84">
        <v>44.2</v>
      </c>
      <c r="AG21" s="84">
        <v>21.3</v>
      </c>
      <c r="AH21" s="84">
        <v>20.3</v>
      </c>
      <c r="AI21" s="87">
        <f t="shared" si="13"/>
        <v>35471.300000000003</v>
      </c>
      <c r="AJ21" s="88">
        <v>35497.4</v>
      </c>
      <c r="AK21" s="48">
        <f t="shared" si="9"/>
        <v>26.099999999998545</v>
      </c>
      <c r="AL21" s="90">
        <f t="shared" si="5"/>
        <v>7421.408051948586</v>
      </c>
      <c r="AM21" s="84">
        <f t="shared" si="14"/>
        <v>2474.4087656404381</v>
      </c>
      <c r="AN21" s="5">
        <f>Submetering!Y17</f>
        <v>21</v>
      </c>
      <c r="AO21" s="78">
        <f t="shared" si="6"/>
        <v>16143.746220000303</v>
      </c>
    </row>
    <row r="22" spans="1:41" x14ac:dyDescent="0.25">
      <c r="A22" s="79">
        <v>43999</v>
      </c>
      <c r="B22" s="87">
        <v>3662</v>
      </c>
      <c r="C22" s="87">
        <v>1891</v>
      </c>
      <c r="D22" s="87">
        <v>779</v>
      </c>
      <c r="E22" s="87">
        <v>3432</v>
      </c>
      <c r="F22" s="87">
        <v>4702</v>
      </c>
      <c r="G22" s="87">
        <v>2994</v>
      </c>
      <c r="H22" s="87">
        <v>4288</v>
      </c>
      <c r="I22" s="87">
        <v>2819</v>
      </c>
      <c r="J22" s="87">
        <v>6550</v>
      </c>
      <c r="K22" s="87">
        <f t="shared" si="15"/>
        <v>21748</v>
      </c>
      <c r="L22" s="14">
        <f t="shared" si="10"/>
        <v>4349.6000000000004</v>
      </c>
      <c r="M22" s="84">
        <v>50.454999999999998</v>
      </c>
      <c r="N22" s="84">
        <v>2.0699999999999998</v>
      </c>
      <c r="O22" s="84">
        <v>3.98</v>
      </c>
      <c r="P22" s="82">
        <v>33.277999999999999</v>
      </c>
      <c r="Q22" s="84">
        <v>10.997999999999999</v>
      </c>
      <c r="R22" s="84">
        <f t="shared" si="0"/>
        <v>39.327999999999996</v>
      </c>
      <c r="S22" s="84">
        <f t="shared" si="1"/>
        <v>308.33151999999995</v>
      </c>
      <c r="T22" s="84">
        <f t="shared" si="2"/>
        <v>61.452999999999996</v>
      </c>
      <c r="U22" s="84">
        <f t="shared" si="3"/>
        <v>481.79151999999993</v>
      </c>
      <c r="V22" s="84">
        <v>149.80000000000001</v>
      </c>
      <c r="W22" s="84">
        <v>0</v>
      </c>
      <c r="X22" s="87" t="s">
        <v>63</v>
      </c>
      <c r="Y22" s="88">
        <v>662884.9</v>
      </c>
      <c r="Z22" s="5">
        <f t="shared" si="7"/>
        <v>296.90000000002328</v>
      </c>
      <c r="AA22" s="14">
        <f t="shared" si="8"/>
        <v>1920.9430000001505</v>
      </c>
      <c r="AB22" s="87">
        <v>39193396</v>
      </c>
      <c r="AC22" s="87">
        <f t="shared" si="11"/>
        <v>39167738</v>
      </c>
      <c r="AD22" s="5">
        <f t="shared" si="4"/>
        <v>25658</v>
      </c>
      <c r="AE22" s="84">
        <f t="shared" si="12"/>
        <v>8554.7620700000007</v>
      </c>
      <c r="AF22" s="84">
        <v>42.1</v>
      </c>
      <c r="AG22" s="84">
        <v>21.7</v>
      </c>
      <c r="AH22" s="84">
        <v>20.7</v>
      </c>
      <c r="AI22" s="87">
        <f t="shared" si="13"/>
        <v>35497.4</v>
      </c>
      <c r="AJ22" s="88">
        <v>35522.9</v>
      </c>
      <c r="AK22" s="48">
        <f t="shared" si="9"/>
        <v>25.5</v>
      </c>
      <c r="AL22" s="90">
        <f t="shared" si="5"/>
        <v>7250.8009702949994</v>
      </c>
      <c r="AM22" s="84">
        <f t="shared" si="14"/>
        <v>2417.5258055109075</v>
      </c>
      <c r="AN22" s="5">
        <f>Submetering!Y18</f>
        <v>25</v>
      </c>
      <c r="AO22" s="78">
        <f t="shared" si="6"/>
        <v>15307.09659000015</v>
      </c>
    </row>
    <row r="23" spans="1:41" x14ac:dyDescent="0.25">
      <c r="A23" s="79">
        <v>44000</v>
      </c>
      <c r="B23" s="87">
        <v>3591</v>
      </c>
      <c r="C23" s="87">
        <v>1567</v>
      </c>
      <c r="D23" s="87">
        <v>803</v>
      </c>
      <c r="E23" s="87">
        <v>3381</v>
      </c>
      <c r="F23" s="87">
        <v>4570</v>
      </c>
      <c r="G23" s="87">
        <v>2655</v>
      </c>
      <c r="H23" s="87">
        <v>4196</v>
      </c>
      <c r="I23" s="87">
        <v>2770</v>
      </c>
      <c r="J23" s="87">
        <v>6598</v>
      </c>
      <c r="K23" s="87">
        <f t="shared" si="15"/>
        <v>20763</v>
      </c>
      <c r="L23" s="14">
        <f t="shared" si="10"/>
        <v>4152.6000000000004</v>
      </c>
      <c r="M23" s="84">
        <v>85.426000000000002</v>
      </c>
      <c r="N23" s="84">
        <v>6.734</v>
      </c>
      <c r="O23" s="84">
        <v>4.0629999999999997</v>
      </c>
      <c r="P23" s="82">
        <v>32.570999999999998</v>
      </c>
      <c r="Q23" s="84">
        <v>12.207000000000001</v>
      </c>
      <c r="R23" s="84">
        <f t="shared" si="0"/>
        <v>43.367999999999995</v>
      </c>
      <c r="S23" s="84">
        <f t="shared" si="1"/>
        <v>340.00511999999998</v>
      </c>
      <c r="T23" s="84">
        <f t="shared" si="2"/>
        <v>97.63300000000001</v>
      </c>
      <c r="U23" s="84">
        <f t="shared" si="3"/>
        <v>765.44272000000001</v>
      </c>
      <c r="V23" s="84">
        <v>155.4</v>
      </c>
      <c r="W23" s="84">
        <v>0</v>
      </c>
      <c r="X23" s="87" t="s">
        <v>63</v>
      </c>
      <c r="Y23" s="88">
        <v>663196.1</v>
      </c>
      <c r="Z23" s="5">
        <f t="shared" si="7"/>
        <v>311.19999999995343</v>
      </c>
      <c r="AA23" s="14">
        <f t="shared" si="8"/>
        <v>2013.4639999996987</v>
      </c>
      <c r="AB23" s="87">
        <v>39218685</v>
      </c>
      <c r="AC23" s="87">
        <f t="shared" si="11"/>
        <v>39193396</v>
      </c>
      <c r="AD23" s="5">
        <f t="shared" si="4"/>
        <v>25289</v>
      </c>
      <c r="AE23" s="84">
        <f t="shared" si="12"/>
        <v>8431.7319349999998</v>
      </c>
      <c r="AF23" s="84">
        <v>41.3</v>
      </c>
      <c r="AG23" s="84">
        <v>21.4</v>
      </c>
      <c r="AH23" s="84">
        <v>20.8</v>
      </c>
      <c r="AI23" s="87">
        <f t="shared" si="13"/>
        <v>35522.9</v>
      </c>
      <c r="AJ23" s="88">
        <v>35550.5</v>
      </c>
      <c r="AK23" s="48">
        <f t="shared" si="9"/>
        <v>27.599999999998545</v>
      </c>
      <c r="AL23" s="90">
        <f t="shared" si="5"/>
        <v>7847.9257560835858</v>
      </c>
      <c r="AM23" s="84">
        <f t="shared" si="14"/>
        <v>2616.6161659646091</v>
      </c>
      <c r="AN23" s="5">
        <f>Submetering!Y19</f>
        <v>27</v>
      </c>
      <c r="AO23" s="78">
        <f t="shared" si="6"/>
        <v>15363.238654999699</v>
      </c>
    </row>
    <row r="24" spans="1:41" x14ac:dyDescent="0.25">
      <c r="A24" s="79">
        <v>44001</v>
      </c>
      <c r="B24" s="87">
        <v>3600</v>
      </c>
      <c r="C24" s="87">
        <v>1519</v>
      </c>
      <c r="D24" s="87">
        <v>822</v>
      </c>
      <c r="E24" s="87">
        <v>3278</v>
      </c>
      <c r="F24" s="87">
        <v>4643</v>
      </c>
      <c r="G24" s="87">
        <v>2734</v>
      </c>
      <c r="H24" s="87">
        <v>4364</v>
      </c>
      <c r="I24" s="87">
        <v>2801</v>
      </c>
      <c r="J24" s="87">
        <v>6265</v>
      </c>
      <c r="K24" s="87">
        <f t="shared" si="15"/>
        <v>20960</v>
      </c>
      <c r="L24" s="14">
        <f t="shared" si="10"/>
        <v>4192</v>
      </c>
      <c r="M24" s="84">
        <v>85.171999999999997</v>
      </c>
      <c r="N24" s="84">
        <v>2.4020000000000001</v>
      </c>
      <c r="O24" s="84">
        <v>4.0129999999999999</v>
      </c>
      <c r="P24" s="82">
        <v>41.701000000000001</v>
      </c>
      <c r="Q24" s="84">
        <v>2.9780000000000002</v>
      </c>
      <c r="R24" s="84">
        <f t="shared" si="0"/>
        <v>48.116</v>
      </c>
      <c r="S24" s="84">
        <f t="shared" si="1"/>
        <v>377.22944000000001</v>
      </c>
      <c r="T24" s="84">
        <f t="shared" si="2"/>
        <v>88.149999999999991</v>
      </c>
      <c r="U24" s="84">
        <f t="shared" si="3"/>
        <v>691.09599999999989</v>
      </c>
      <c r="V24" s="84">
        <v>156.6</v>
      </c>
      <c r="W24" s="84">
        <v>0</v>
      </c>
      <c r="X24" s="87" t="s">
        <v>63</v>
      </c>
      <c r="Y24" s="88">
        <v>663497.1</v>
      </c>
      <c r="Z24" s="5">
        <f t="shared" si="7"/>
        <v>301</v>
      </c>
      <c r="AA24" s="14">
        <f t="shared" si="8"/>
        <v>1947.47</v>
      </c>
      <c r="AB24" s="87">
        <v>39243552</v>
      </c>
      <c r="AC24" s="87">
        <f t="shared" si="11"/>
        <v>39218685</v>
      </c>
      <c r="AD24" s="5">
        <f t="shared" si="4"/>
        <v>24867</v>
      </c>
      <c r="AE24" s="84">
        <f t="shared" si="12"/>
        <v>8291.0308050000003</v>
      </c>
      <c r="AF24" s="84">
        <v>41.4</v>
      </c>
      <c r="AG24" s="84">
        <v>21.1</v>
      </c>
      <c r="AH24" s="84">
        <v>20.5</v>
      </c>
      <c r="AI24" s="87">
        <f t="shared" si="13"/>
        <v>35550.5</v>
      </c>
      <c r="AJ24" s="88">
        <v>35575.800000000003</v>
      </c>
      <c r="AK24" s="48">
        <f t="shared" si="9"/>
        <v>25.30000000000291</v>
      </c>
      <c r="AL24" s="90">
        <f t="shared" si="5"/>
        <v>7193.9319430778269</v>
      </c>
      <c r="AM24" s="84">
        <f t="shared" si="14"/>
        <v>2398.5648188012938</v>
      </c>
      <c r="AN24" s="5">
        <f>Submetering!Y20</f>
        <v>25</v>
      </c>
      <c r="AO24" s="78">
        <f t="shared" si="6"/>
        <v>15121.596805000001</v>
      </c>
    </row>
    <row r="25" spans="1:41" x14ac:dyDescent="0.25">
      <c r="A25" s="79">
        <v>44002</v>
      </c>
      <c r="B25" s="87">
        <v>3688</v>
      </c>
      <c r="C25" s="87">
        <v>1642</v>
      </c>
      <c r="D25" s="87">
        <v>838</v>
      </c>
      <c r="E25" s="87">
        <v>3416</v>
      </c>
      <c r="F25" s="87">
        <v>4742</v>
      </c>
      <c r="G25" s="87">
        <v>2733</v>
      </c>
      <c r="H25" s="87">
        <v>4640</v>
      </c>
      <c r="I25" s="87">
        <v>2907</v>
      </c>
      <c r="J25" s="87">
        <v>6550</v>
      </c>
      <c r="K25" s="87">
        <f t="shared" si="15"/>
        <v>21699</v>
      </c>
      <c r="L25" s="14">
        <f t="shared" si="10"/>
        <v>4339.8</v>
      </c>
      <c r="M25" s="84">
        <v>92.759</v>
      </c>
      <c r="N25" s="84">
        <v>2.5569999999999999</v>
      </c>
      <c r="O25" s="84">
        <v>4.0979999999999999</v>
      </c>
      <c r="P25" s="82">
        <v>40.850999999999999</v>
      </c>
      <c r="Q25" s="84">
        <v>7.49</v>
      </c>
      <c r="R25" s="84">
        <f t="shared" si="0"/>
        <v>47.506</v>
      </c>
      <c r="S25" s="84">
        <f t="shared" si="1"/>
        <v>372.44704000000002</v>
      </c>
      <c r="T25" s="84">
        <f t="shared" si="2"/>
        <v>100.249</v>
      </c>
      <c r="U25" s="84">
        <f t="shared" si="3"/>
        <v>785.95215999999994</v>
      </c>
      <c r="V25" s="84">
        <v>156.69999999999999</v>
      </c>
      <c r="W25" s="84">
        <v>0</v>
      </c>
      <c r="X25" s="87" t="s">
        <v>63</v>
      </c>
      <c r="Y25" s="88">
        <v>663814.5</v>
      </c>
      <c r="Z25" s="5">
        <f t="shared" si="7"/>
        <v>317.40000000002328</v>
      </c>
      <c r="AA25" s="14">
        <f t="shared" si="8"/>
        <v>2053.5780000001505</v>
      </c>
      <c r="AB25" s="87">
        <v>39268524</v>
      </c>
      <c r="AC25" s="87">
        <f t="shared" si="11"/>
        <v>39243552</v>
      </c>
      <c r="AD25" s="5">
        <f t="shared" si="4"/>
        <v>24972</v>
      </c>
      <c r="AE25" s="84">
        <f t="shared" si="12"/>
        <v>8326.0393800000002</v>
      </c>
      <c r="AF25" s="84">
        <v>40.799999999999997</v>
      </c>
      <c r="AG25" s="84">
        <v>18.5</v>
      </c>
      <c r="AH25" s="84">
        <v>20.6</v>
      </c>
      <c r="AI25" s="87">
        <f t="shared" si="13"/>
        <v>35575.800000000003</v>
      </c>
      <c r="AJ25" s="88">
        <v>35602.699999999997</v>
      </c>
      <c r="AK25" s="48">
        <f t="shared" si="9"/>
        <v>26.899999999994179</v>
      </c>
      <c r="AL25" s="90">
        <f t="shared" si="5"/>
        <v>7648.8841608193443</v>
      </c>
      <c r="AM25" s="84">
        <f t="shared" si="14"/>
        <v>2550.252712479582</v>
      </c>
      <c r="AN25" s="5">
        <f>Submetering!Y21</f>
        <v>18</v>
      </c>
      <c r="AO25" s="78">
        <f t="shared" si="6"/>
        <v>15505.369540000151</v>
      </c>
    </row>
    <row r="26" spans="1:41" x14ac:dyDescent="0.25">
      <c r="A26" s="79">
        <v>44003</v>
      </c>
      <c r="B26" s="87">
        <v>3639</v>
      </c>
      <c r="C26" s="87">
        <v>2041</v>
      </c>
      <c r="D26" s="87">
        <v>835</v>
      </c>
      <c r="E26" s="87">
        <v>3635</v>
      </c>
      <c r="F26" s="87">
        <v>4756</v>
      </c>
      <c r="G26" s="87">
        <v>2919</v>
      </c>
      <c r="H26" s="87">
        <v>4541</v>
      </c>
      <c r="I26" s="87">
        <v>2922</v>
      </c>
      <c r="J26" s="87">
        <v>6348</v>
      </c>
      <c r="K26" s="87">
        <f t="shared" si="15"/>
        <v>22366</v>
      </c>
      <c r="L26" s="14">
        <f t="shared" si="10"/>
        <v>4473.2</v>
      </c>
      <c r="M26" s="84">
        <v>119.352</v>
      </c>
      <c r="N26" s="84">
        <v>1.6759999999999999</v>
      </c>
      <c r="O26" s="84">
        <v>4.1130000000000004</v>
      </c>
      <c r="P26" s="82">
        <v>35.820999999999998</v>
      </c>
      <c r="Q26" s="84">
        <v>9.85</v>
      </c>
      <c r="R26" s="84">
        <f t="shared" si="0"/>
        <v>41.61</v>
      </c>
      <c r="S26" s="84">
        <f t="shared" si="1"/>
        <v>326.22239999999999</v>
      </c>
      <c r="T26" s="84">
        <f t="shared" si="2"/>
        <v>129.202</v>
      </c>
      <c r="U26" s="84">
        <f t="shared" si="3"/>
        <v>1012.94368</v>
      </c>
      <c r="V26" s="84">
        <v>160.19999999999999</v>
      </c>
      <c r="W26" s="84">
        <v>0</v>
      </c>
      <c r="X26" s="87" t="s">
        <v>63</v>
      </c>
      <c r="Y26" s="87">
        <v>664133.69999999995</v>
      </c>
      <c r="Z26" s="5">
        <f t="shared" si="7"/>
        <v>319.19999999995343</v>
      </c>
      <c r="AA26" s="14">
        <f t="shared" si="8"/>
        <v>2065.2239999996987</v>
      </c>
      <c r="AB26" s="87">
        <v>39294055</v>
      </c>
      <c r="AC26" s="87">
        <f t="shared" si="11"/>
        <v>39268524</v>
      </c>
      <c r="AD26" s="5">
        <f t="shared" si="4"/>
        <v>25531</v>
      </c>
      <c r="AE26" s="84">
        <f t="shared" si="12"/>
        <v>8512.4183649999995</v>
      </c>
      <c r="AF26" s="84">
        <v>45.2</v>
      </c>
      <c r="AG26" s="84">
        <v>17.399999999999999</v>
      </c>
      <c r="AH26" s="84">
        <v>20.6</v>
      </c>
      <c r="AI26" s="87">
        <f t="shared" si="13"/>
        <v>35602.699999999997</v>
      </c>
      <c r="AJ26" s="88">
        <v>35627.599999999999</v>
      </c>
      <c r="AK26" s="48">
        <f t="shared" si="9"/>
        <v>24.900000000001455</v>
      </c>
      <c r="AL26" s="90">
        <f t="shared" si="5"/>
        <v>7080.1938886414137</v>
      </c>
      <c r="AM26" s="84">
        <f t="shared" si="14"/>
        <v>2360.6428453813769</v>
      </c>
      <c r="AN26" s="5">
        <f>Submetering!Y22</f>
        <v>16</v>
      </c>
      <c r="AO26" s="78">
        <f t="shared" si="6"/>
        <v>16063.786044999699</v>
      </c>
    </row>
    <row r="27" spans="1:41" x14ac:dyDescent="0.25">
      <c r="A27" s="79">
        <v>44004</v>
      </c>
      <c r="B27" s="87">
        <v>3626</v>
      </c>
      <c r="C27" s="87">
        <v>2049</v>
      </c>
      <c r="D27" s="87">
        <v>795</v>
      </c>
      <c r="E27" s="87">
        <v>3575</v>
      </c>
      <c r="F27" s="87">
        <v>4860</v>
      </c>
      <c r="G27" s="87">
        <v>2823</v>
      </c>
      <c r="H27" s="87">
        <v>4063</v>
      </c>
      <c r="I27" s="87">
        <v>2809</v>
      </c>
      <c r="J27" s="87">
        <v>6402</v>
      </c>
      <c r="K27" s="87">
        <f t="shared" si="15"/>
        <v>21791</v>
      </c>
      <c r="L27" s="14">
        <f t="shared" si="10"/>
        <v>4358.2</v>
      </c>
      <c r="M27" s="84">
        <v>88.683999999999997</v>
      </c>
      <c r="N27" s="84">
        <v>1.542</v>
      </c>
      <c r="O27" s="84">
        <v>3.9009999999999998</v>
      </c>
      <c r="P27" s="82">
        <v>35.119</v>
      </c>
      <c r="Q27" s="84">
        <v>9.1880000000000006</v>
      </c>
      <c r="R27" s="84">
        <f t="shared" si="0"/>
        <v>40.561999999999998</v>
      </c>
      <c r="S27" s="84">
        <f t="shared" si="1"/>
        <v>318.00608</v>
      </c>
      <c r="T27" s="84">
        <f t="shared" si="2"/>
        <v>97.872</v>
      </c>
      <c r="U27" s="84">
        <f t="shared" si="3"/>
        <v>767.31647999999996</v>
      </c>
      <c r="V27" s="84">
        <v>136.9</v>
      </c>
      <c r="W27" s="84">
        <v>0</v>
      </c>
      <c r="X27" s="87" t="s">
        <v>63</v>
      </c>
      <c r="Y27" s="87">
        <v>664433.69999999995</v>
      </c>
      <c r="Z27" s="5">
        <f t="shared" si="7"/>
        <v>300</v>
      </c>
      <c r="AA27" s="14">
        <f t="shared" si="8"/>
        <v>1941</v>
      </c>
      <c r="AB27" s="87">
        <v>39317110</v>
      </c>
      <c r="AC27" s="87">
        <f t="shared" si="11"/>
        <v>39294055</v>
      </c>
      <c r="AD27" s="5">
        <f t="shared" si="4"/>
        <v>23055</v>
      </c>
      <c r="AE27" s="84">
        <f t="shared" si="12"/>
        <v>7686.8828250000006</v>
      </c>
      <c r="AF27" s="84">
        <v>40.799999999999997</v>
      </c>
      <c r="AG27" s="84">
        <v>14</v>
      </c>
      <c r="AH27" s="84">
        <v>19.600000000000001</v>
      </c>
      <c r="AI27" s="87">
        <f t="shared" si="13"/>
        <v>35627.599999999999</v>
      </c>
      <c r="AJ27" s="88">
        <v>35651.599999999999</v>
      </c>
      <c r="AK27" s="48">
        <f t="shared" si="9"/>
        <v>24</v>
      </c>
      <c r="AL27" s="90">
        <f t="shared" si="5"/>
        <v>6824.2832661599996</v>
      </c>
      <c r="AM27" s="84">
        <f t="shared" si="14"/>
        <v>2275.3184051867365</v>
      </c>
      <c r="AN27" s="5">
        <f>Submetering!Y23</f>
        <v>21</v>
      </c>
      <c r="AO27" s="78">
        <f t="shared" si="6"/>
        <v>14753.399305000001</v>
      </c>
    </row>
    <row r="28" spans="1:41" x14ac:dyDescent="0.25">
      <c r="A28" s="79">
        <v>44005</v>
      </c>
      <c r="B28" s="87">
        <v>3672</v>
      </c>
      <c r="C28" s="87">
        <v>2383</v>
      </c>
      <c r="D28" s="87">
        <v>789</v>
      </c>
      <c r="E28" s="87">
        <v>3702</v>
      </c>
      <c r="F28" s="87">
        <v>4828</v>
      </c>
      <c r="G28" s="87">
        <v>2830</v>
      </c>
      <c r="H28" s="87">
        <v>4144</v>
      </c>
      <c r="I28" s="87">
        <v>2828</v>
      </c>
      <c r="J28" s="87">
        <v>6477</v>
      </c>
      <c r="K28" s="87">
        <f t="shared" si="15"/>
        <v>22348</v>
      </c>
      <c r="L28" s="14">
        <f t="shared" si="10"/>
        <v>4469.6000000000004</v>
      </c>
      <c r="M28" s="84">
        <v>87.685000000000002</v>
      </c>
      <c r="N28" s="84">
        <v>1.9259999999999999</v>
      </c>
      <c r="O28" s="84">
        <v>3.8780000000000001</v>
      </c>
      <c r="P28" s="82">
        <v>27.96</v>
      </c>
      <c r="Q28" s="84">
        <v>9.07</v>
      </c>
      <c r="R28" s="84">
        <f t="shared" si="0"/>
        <v>33.764000000000003</v>
      </c>
      <c r="S28" s="84">
        <f t="shared" si="1"/>
        <v>264.70976000000002</v>
      </c>
      <c r="T28" s="84">
        <f t="shared" si="2"/>
        <v>96.754999999999995</v>
      </c>
      <c r="U28" s="84">
        <f t="shared" si="3"/>
        <v>758.55919999999992</v>
      </c>
      <c r="V28" s="84">
        <v>142</v>
      </c>
      <c r="W28" s="84">
        <v>0</v>
      </c>
      <c r="X28" s="87" t="s">
        <v>63</v>
      </c>
      <c r="Y28" s="87">
        <v>664732.80000000005</v>
      </c>
      <c r="Z28" s="5">
        <f t="shared" si="7"/>
        <v>299.10000000009313</v>
      </c>
      <c r="AA28" s="14">
        <f t="shared" si="8"/>
        <v>1935.1770000006024</v>
      </c>
      <c r="AB28" s="87">
        <v>39341031</v>
      </c>
      <c r="AC28" s="87">
        <f t="shared" si="11"/>
        <v>39317110</v>
      </c>
      <c r="AD28" s="5">
        <f t="shared" si="4"/>
        <v>23921</v>
      </c>
      <c r="AE28" s="84">
        <f t="shared" si="12"/>
        <v>7975.6202150000008</v>
      </c>
      <c r="AF28" s="84">
        <v>36.799999999999997</v>
      </c>
      <c r="AG28" s="84">
        <v>14.5</v>
      </c>
      <c r="AH28" s="84">
        <v>19.899999999999999</v>
      </c>
      <c r="AI28" s="87">
        <f t="shared" si="13"/>
        <v>35651.599999999999</v>
      </c>
      <c r="AJ28" s="88">
        <v>35676.300000000003</v>
      </c>
      <c r="AK28" s="48">
        <f t="shared" si="9"/>
        <v>24.700000000004366</v>
      </c>
      <c r="AL28" s="90">
        <f t="shared" si="5"/>
        <v>7023.3248614242411</v>
      </c>
      <c r="AM28" s="84">
        <f t="shared" si="14"/>
        <v>2341.6818586717636</v>
      </c>
      <c r="AN28" s="5">
        <f>Submetering!Y24</f>
        <v>20</v>
      </c>
      <c r="AO28" s="78">
        <f t="shared" si="6"/>
        <v>15138.956415000604</v>
      </c>
    </row>
    <row r="29" spans="1:41" x14ac:dyDescent="0.25">
      <c r="A29" s="79">
        <v>44006</v>
      </c>
      <c r="B29" s="87">
        <v>3763</v>
      </c>
      <c r="C29" s="87">
        <v>2453</v>
      </c>
      <c r="D29" s="87">
        <v>784</v>
      </c>
      <c r="E29" s="87">
        <v>3718</v>
      </c>
      <c r="F29" s="87">
        <v>4673</v>
      </c>
      <c r="G29" s="87">
        <v>2806</v>
      </c>
      <c r="H29" s="87">
        <v>4451</v>
      </c>
      <c r="I29" s="87">
        <v>2803</v>
      </c>
      <c r="J29" s="87">
        <v>6413</v>
      </c>
      <c r="K29" s="87">
        <f t="shared" si="15"/>
        <v>22648</v>
      </c>
      <c r="L29" s="14">
        <f t="shared" si="10"/>
        <v>4529.6000000000004</v>
      </c>
      <c r="M29" s="84">
        <v>94.811999999999998</v>
      </c>
      <c r="N29" s="84">
        <v>2.2559999999999998</v>
      </c>
      <c r="O29" s="84">
        <v>3.952</v>
      </c>
      <c r="P29" s="82">
        <v>32.942999999999998</v>
      </c>
      <c r="Q29" s="84">
        <v>9.7309999999999999</v>
      </c>
      <c r="R29" s="84">
        <f t="shared" si="0"/>
        <v>39.150999999999996</v>
      </c>
      <c r="S29" s="84">
        <f t="shared" si="1"/>
        <v>306.94383999999997</v>
      </c>
      <c r="T29" s="84">
        <f t="shared" si="2"/>
        <v>104.54299999999999</v>
      </c>
      <c r="U29" s="84">
        <f t="shared" si="3"/>
        <v>819.61711999999989</v>
      </c>
      <c r="V29" s="84">
        <v>154.69999999999999</v>
      </c>
      <c r="W29" s="84">
        <v>0</v>
      </c>
      <c r="X29" s="87" t="s">
        <v>63</v>
      </c>
      <c r="Y29" s="87">
        <v>665037.80000000005</v>
      </c>
      <c r="Z29" s="5">
        <f t="shared" si="7"/>
        <v>305</v>
      </c>
      <c r="AA29" s="14">
        <f t="shared" si="8"/>
        <v>1973.35</v>
      </c>
      <c r="AB29" s="87">
        <v>39366800</v>
      </c>
      <c r="AC29" s="87">
        <f t="shared" si="11"/>
        <v>39341031</v>
      </c>
      <c r="AD29" s="5">
        <f t="shared" si="4"/>
        <v>25769</v>
      </c>
      <c r="AE29" s="84">
        <f t="shared" si="12"/>
        <v>8591.7711350000009</v>
      </c>
      <c r="AF29" s="84">
        <v>45.3</v>
      </c>
      <c r="AG29" s="84">
        <v>17.2</v>
      </c>
      <c r="AH29" s="84">
        <v>20.3</v>
      </c>
      <c r="AI29" s="87">
        <f t="shared" si="13"/>
        <v>35676.300000000003</v>
      </c>
      <c r="AJ29" s="88">
        <v>35702.5</v>
      </c>
      <c r="AK29" s="48">
        <f t="shared" si="9"/>
        <v>26.19999999999709</v>
      </c>
      <c r="AL29" s="90">
        <f t="shared" si="5"/>
        <v>7449.8425655571718</v>
      </c>
      <c r="AM29" s="84">
        <f t="shared" si="14"/>
        <v>2483.8892589952447</v>
      </c>
      <c r="AN29" s="5">
        <f>Submetering!Y25</f>
        <v>31</v>
      </c>
      <c r="AO29" s="78">
        <f t="shared" si="6"/>
        <v>15914.338255000001</v>
      </c>
    </row>
    <row r="30" spans="1:41" x14ac:dyDescent="0.25">
      <c r="A30" s="79">
        <v>44007</v>
      </c>
      <c r="B30" s="87">
        <v>3889</v>
      </c>
      <c r="C30" s="87">
        <v>2401</v>
      </c>
      <c r="D30" s="87">
        <v>811</v>
      </c>
      <c r="E30" s="87">
        <v>3815</v>
      </c>
      <c r="F30" s="87">
        <v>4846</v>
      </c>
      <c r="G30" s="87">
        <v>3052</v>
      </c>
      <c r="H30" s="87">
        <v>4459</v>
      </c>
      <c r="I30" s="87">
        <v>2797</v>
      </c>
      <c r="J30" s="87">
        <v>6330</v>
      </c>
      <c r="K30" s="87">
        <f t="shared" si="15"/>
        <v>23273</v>
      </c>
      <c r="L30" s="14">
        <f t="shared" si="10"/>
        <v>4654.6000000000004</v>
      </c>
      <c r="M30" s="84">
        <v>92.691999999999993</v>
      </c>
      <c r="N30" s="84">
        <v>2.1629999999999998</v>
      </c>
      <c r="O30" s="84">
        <v>3.9329999999999998</v>
      </c>
      <c r="P30" s="82">
        <v>36.731000000000002</v>
      </c>
      <c r="Q30" s="84">
        <v>9.9760000000000009</v>
      </c>
      <c r="R30" s="84">
        <f t="shared" si="0"/>
        <v>42.826999999999998</v>
      </c>
      <c r="S30" s="84">
        <f t="shared" si="1"/>
        <v>335.76367999999997</v>
      </c>
      <c r="T30" s="84">
        <f t="shared" si="2"/>
        <v>102.66799999999999</v>
      </c>
      <c r="U30" s="84">
        <f t="shared" si="3"/>
        <v>804.91711999999995</v>
      </c>
      <c r="V30" s="84">
        <v>156.1</v>
      </c>
      <c r="W30" s="84">
        <v>0</v>
      </c>
      <c r="X30" s="87" t="s">
        <v>63</v>
      </c>
      <c r="Y30" s="87">
        <v>665342.69999999995</v>
      </c>
      <c r="Z30" s="5">
        <f t="shared" si="7"/>
        <v>304.89999999990687</v>
      </c>
      <c r="AA30" s="14">
        <f t="shared" si="8"/>
        <v>1972.7029999993974</v>
      </c>
      <c r="AB30" s="87">
        <v>39394753</v>
      </c>
      <c r="AC30" s="87">
        <f t="shared" si="11"/>
        <v>39366800</v>
      </c>
      <c r="AD30" s="5">
        <f t="shared" si="4"/>
        <v>27953</v>
      </c>
      <c r="AE30" s="84">
        <f t="shared" si="12"/>
        <v>9319.9494950000008</v>
      </c>
      <c r="AF30" s="84">
        <v>51.4</v>
      </c>
      <c r="AG30" s="84">
        <v>21.6</v>
      </c>
      <c r="AH30" s="84">
        <v>21.4</v>
      </c>
      <c r="AI30" s="87">
        <f t="shared" si="13"/>
        <v>35702.5</v>
      </c>
      <c r="AJ30" s="88">
        <v>35726.300000000003</v>
      </c>
      <c r="AK30" s="48">
        <f t="shared" si="9"/>
        <v>23.80000000000291</v>
      </c>
      <c r="AL30" s="90">
        <f t="shared" si="5"/>
        <v>6767.4142389428271</v>
      </c>
      <c r="AM30" s="84">
        <f t="shared" si="14"/>
        <v>2256.3574184771228</v>
      </c>
      <c r="AN30" s="5">
        <f>Submetering!Y26</f>
        <v>50</v>
      </c>
      <c r="AO30" s="78">
        <f t="shared" si="6"/>
        <v>16752.169614999399</v>
      </c>
    </row>
    <row r="31" spans="1:41" x14ac:dyDescent="0.25">
      <c r="A31" s="79">
        <v>44008</v>
      </c>
      <c r="B31" s="87">
        <v>3830</v>
      </c>
      <c r="C31" s="87">
        <v>1957</v>
      </c>
      <c r="D31" s="87">
        <v>825</v>
      </c>
      <c r="E31" s="87">
        <v>3950</v>
      </c>
      <c r="F31" s="87">
        <v>5137</v>
      </c>
      <c r="G31" s="87">
        <v>3264</v>
      </c>
      <c r="H31" s="87">
        <v>4575</v>
      </c>
      <c r="I31" s="87">
        <v>2790</v>
      </c>
      <c r="J31" s="87">
        <v>7114</v>
      </c>
      <c r="K31" s="87">
        <f t="shared" si="15"/>
        <v>23538</v>
      </c>
      <c r="L31" s="14">
        <f t="shared" si="10"/>
        <v>4707.6000000000004</v>
      </c>
      <c r="M31" s="84">
        <v>94.596999999999994</v>
      </c>
      <c r="N31" s="84">
        <v>1.5760000000000001</v>
      </c>
      <c r="O31" s="84">
        <v>3.661</v>
      </c>
      <c r="P31" s="82">
        <f>65751.73-65707.73</f>
        <v>44</v>
      </c>
      <c r="Q31" s="84">
        <v>4.6059999999999999</v>
      </c>
      <c r="R31" s="84">
        <f t="shared" si="0"/>
        <v>49.237000000000002</v>
      </c>
      <c r="S31" s="84">
        <f t="shared" si="1"/>
        <v>386.01808</v>
      </c>
      <c r="T31" s="84">
        <f t="shared" si="2"/>
        <v>99.202999999999989</v>
      </c>
      <c r="U31" s="84">
        <f t="shared" si="3"/>
        <v>777.75151999999991</v>
      </c>
      <c r="V31" s="84">
        <v>165.1</v>
      </c>
      <c r="W31" s="84">
        <v>0</v>
      </c>
      <c r="X31" s="87" t="s">
        <v>63</v>
      </c>
      <c r="Y31" s="87">
        <v>665674.4</v>
      </c>
      <c r="Z31" s="5">
        <f t="shared" si="7"/>
        <v>331.70000000006985</v>
      </c>
      <c r="AA31" s="14">
        <f t="shared" si="8"/>
        <v>2146.0990000004517</v>
      </c>
      <c r="AB31" s="87">
        <v>39424584</v>
      </c>
      <c r="AC31" s="87">
        <f t="shared" si="11"/>
        <v>39394753</v>
      </c>
      <c r="AD31" s="5">
        <f t="shared" si="4"/>
        <v>29831</v>
      </c>
      <c r="AE31" s="84">
        <f t="shared" si="12"/>
        <v>9946.1028650000007</v>
      </c>
      <c r="AF31" s="84">
        <v>50.6</v>
      </c>
      <c r="AG31" s="84">
        <v>30</v>
      </c>
      <c r="AH31" s="84">
        <v>19.899999999999999</v>
      </c>
      <c r="AI31" s="87">
        <f t="shared" si="13"/>
        <v>35726.300000000003</v>
      </c>
      <c r="AJ31" s="88">
        <v>35754.400000000001</v>
      </c>
      <c r="AK31" s="48">
        <f t="shared" si="9"/>
        <v>28.099999999998545</v>
      </c>
      <c r="AL31" s="90">
        <f t="shared" si="5"/>
        <v>7990.0983241285858</v>
      </c>
      <c r="AM31" s="84">
        <f t="shared" si="14"/>
        <v>2664.0186327393326</v>
      </c>
      <c r="AN31" s="5">
        <f>Submetering!Y27</f>
        <v>57</v>
      </c>
      <c r="AO31" s="78">
        <f t="shared" si="6"/>
        <v>17577.55338500045</v>
      </c>
    </row>
    <row r="32" spans="1:41" x14ac:dyDescent="0.25">
      <c r="A32" s="79">
        <v>44009</v>
      </c>
      <c r="B32" s="87">
        <v>4108</v>
      </c>
      <c r="C32" s="87">
        <v>1571</v>
      </c>
      <c r="D32" s="87">
        <v>829</v>
      </c>
      <c r="E32" s="87">
        <v>3793</v>
      </c>
      <c r="F32" s="87">
        <v>5051</v>
      </c>
      <c r="G32" s="87">
        <v>3191</v>
      </c>
      <c r="H32" s="87">
        <v>4841</v>
      </c>
      <c r="I32" s="87">
        <v>2800</v>
      </c>
      <c r="J32" s="87">
        <v>7078</v>
      </c>
      <c r="K32" s="87">
        <f t="shared" si="15"/>
        <v>23384</v>
      </c>
      <c r="L32" s="14">
        <f t="shared" si="10"/>
        <v>4676.8</v>
      </c>
      <c r="M32" s="84">
        <v>89.637</v>
      </c>
      <c r="N32" s="84">
        <v>2.7170000000000001</v>
      </c>
      <c r="O32" s="84">
        <v>3.6549999999999998</v>
      </c>
      <c r="P32" s="82">
        <v>51.817999999999998</v>
      </c>
      <c r="Q32" s="84">
        <v>10.64</v>
      </c>
      <c r="R32" s="84">
        <f t="shared" si="0"/>
        <v>58.19</v>
      </c>
      <c r="S32" s="84">
        <f t="shared" si="1"/>
        <v>456.20959999999997</v>
      </c>
      <c r="T32" s="84">
        <f t="shared" si="2"/>
        <v>100.277</v>
      </c>
      <c r="U32" s="84">
        <f t="shared" si="3"/>
        <v>786.17168000000004</v>
      </c>
      <c r="V32" s="84">
        <v>161.19999999999999</v>
      </c>
      <c r="W32" s="84">
        <v>0</v>
      </c>
      <c r="X32" s="87" t="s">
        <v>63</v>
      </c>
      <c r="Y32" s="87">
        <v>666005.30000000005</v>
      </c>
      <c r="Z32" s="5">
        <f t="shared" si="7"/>
        <v>330.90000000002328</v>
      </c>
      <c r="AA32" s="14">
        <f t="shared" si="8"/>
        <v>2140.9230000001508</v>
      </c>
      <c r="AB32" s="87">
        <v>39453335</v>
      </c>
      <c r="AC32" s="87">
        <f t="shared" si="11"/>
        <v>39424584</v>
      </c>
      <c r="AD32" s="5">
        <f t="shared" si="4"/>
        <v>28751</v>
      </c>
      <c r="AE32" s="84">
        <f t="shared" si="12"/>
        <v>9586.0146650000006</v>
      </c>
      <c r="AF32" s="84">
        <v>44.1</v>
      </c>
      <c r="AG32" s="84">
        <v>36.4</v>
      </c>
      <c r="AH32" s="84">
        <v>18.8</v>
      </c>
      <c r="AI32" s="87">
        <f t="shared" si="13"/>
        <v>35754.400000000001</v>
      </c>
      <c r="AJ32" s="87">
        <v>35782.5</v>
      </c>
      <c r="AK32" s="48">
        <f t="shared" si="9"/>
        <v>28.099999999998545</v>
      </c>
      <c r="AL32" s="90">
        <f t="shared" si="5"/>
        <v>7990.0983241285858</v>
      </c>
      <c r="AM32" s="84">
        <f t="shared" si="14"/>
        <v>2664.0186327393326</v>
      </c>
      <c r="AN32" s="5">
        <f>Submetering!Y28</f>
        <v>29</v>
      </c>
      <c r="AO32" s="78">
        <f t="shared" si="6"/>
        <v>17189.909345000153</v>
      </c>
    </row>
    <row r="33" spans="1:41" x14ac:dyDescent="0.25">
      <c r="A33" s="79">
        <v>44010</v>
      </c>
      <c r="B33" s="87">
        <v>4421</v>
      </c>
      <c r="C33" s="87">
        <v>1957</v>
      </c>
      <c r="D33" s="87">
        <v>840</v>
      </c>
      <c r="E33" s="87">
        <v>3656</v>
      </c>
      <c r="F33" s="87">
        <v>4706</v>
      </c>
      <c r="G33" s="87">
        <v>3026</v>
      </c>
      <c r="H33" s="87">
        <v>4987</v>
      </c>
      <c r="I33" s="87">
        <v>2734</v>
      </c>
      <c r="J33" s="87">
        <v>6862</v>
      </c>
      <c r="K33" s="87">
        <f t="shared" si="15"/>
        <v>23593</v>
      </c>
      <c r="L33" s="14">
        <f t="shared" si="10"/>
        <v>4718.6000000000004</v>
      </c>
      <c r="M33" s="84">
        <v>92.278000000000006</v>
      </c>
      <c r="N33" s="84">
        <v>3.786</v>
      </c>
      <c r="O33" s="84">
        <v>3.8220000000000001</v>
      </c>
      <c r="P33" s="82">
        <v>54.265999999999998</v>
      </c>
      <c r="Q33" s="84">
        <v>11.06</v>
      </c>
      <c r="R33" s="84">
        <f t="shared" si="0"/>
        <v>61.873999999999995</v>
      </c>
      <c r="S33" s="84">
        <f t="shared" si="1"/>
        <v>485.09215999999998</v>
      </c>
      <c r="T33" s="84">
        <f t="shared" si="2"/>
        <v>103.33800000000001</v>
      </c>
      <c r="U33" s="84">
        <f t="shared" si="3"/>
        <v>810.16992000000005</v>
      </c>
      <c r="V33" s="84">
        <v>153.6</v>
      </c>
      <c r="W33" s="84">
        <v>0</v>
      </c>
      <c r="X33" s="87" t="s">
        <v>63</v>
      </c>
      <c r="Y33" s="87">
        <v>666336.1</v>
      </c>
      <c r="Z33" s="5">
        <f t="shared" si="7"/>
        <v>330.79999999993015</v>
      </c>
      <c r="AA33" s="14">
        <f t="shared" si="8"/>
        <v>2140.2759999995478</v>
      </c>
      <c r="AB33" s="87">
        <v>39482052</v>
      </c>
      <c r="AC33" s="87">
        <f t="shared" si="11"/>
        <v>39453335</v>
      </c>
      <c r="AD33" s="5">
        <f t="shared" si="4"/>
        <v>28717</v>
      </c>
      <c r="AE33" s="84">
        <f t="shared" si="12"/>
        <v>9574.6785550000004</v>
      </c>
      <c r="AF33" s="84">
        <v>47.6</v>
      </c>
      <c r="AG33" s="84">
        <v>32</v>
      </c>
      <c r="AH33" s="84">
        <v>18.2</v>
      </c>
      <c r="AI33" s="87">
        <f t="shared" si="13"/>
        <v>35782.5</v>
      </c>
      <c r="AJ33" s="87">
        <v>35810.300000000003</v>
      </c>
      <c r="AK33" s="48">
        <f t="shared" si="9"/>
        <v>27.80000000000291</v>
      </c>
      <c r="AL33" s="90">
        <f t="shared" si="5"/>
        <v>7904.7947833028275</v>
      </c>
      <c r="AM33" s="84">
        <f t="shared" si="14"/>
        <v>2635.5771526749122</v>
      </c>
      <c r="AN33" s="5">
        <f>Submetering!Y29</f>
        <v>30</v>
      </c>
      <c r="AO33" s="78">
        <f t="shared" si="6"/>
        <v>17243.724474999548</v>
      </c>
    </row>
    <row r="34" spans="1:41" x14ac:dyDescent="0.25">
      <c r="A34" s="79">
        <v>44011</v>
      </c>
      <c r="B34" s="87">
        <v>4433</v>
      </c>
      <c r="C34" s="87">
        <v>2067</v>
      </c>
      <c r="D34" s="87">
        <v>875</v>
      </c>
      <c r="E34" s="87">
        <v>4001</v>
      </c>
      <c r="F34" s="87">
        <v>4910</v>
      </c>
      <c r="G34" s="87">
        <v>3211</v>
      </c>
      <c r="H34" s="87">
        <v>5283</v>
      </c>
      <c r="I34" s="87">
        <v>2733</v>
      </c>
      <c r="J34" s="87">
        <v>6807</v>
      </c>
      <c r="K34" s="87">
        <f t="shared" si="15"/>
        <v>24780</v>
      </c>
      <c r="L34" s="14">
        <f t="shared" si="10"/>
        <v>4956</v>
      </c>
      <c r="M34" s="84">
        <v>92.31</v>
      </c>
      <c r="N34" s="84">
        <v>1.3520000000000001</v>
      </c>
      <c r="O34" s="84">
        <v>3.915</v>
      </c>
      <c r="P34" s="82">
        <v>42.603999999999999</v>
      </c>
      <c r="Q34" s="84">
        <v>10.583</v>
      </c>
      <c r="R34" s="84">
        <f t="shared" si="0"/>
        <v>47.871000000000002</v>
      </c>
      <c r="S34" s="84">
        <f t="shared" si="1"/>
        <v>375.30864000000003</v>
      </c>
      <c r="T34" s="84">
        <f t="shared" si="2"/>
        <v>102.893</v>
      </c>
      <c r="U34" s="84">
        <f t="shared" si="3"/>
        <v>806.68111999999996</v>
      </c>
      <c r="V34" s="84">
        <v>156.9</v>
      </c>
      <c r="W34" s="84">
        <v>0</v>
      </c>
      <c r="X34" s="87" t="s">
        <v>63</v>
      </c>
      <c r="Y34" s="87">
        <v>666659.6</v>
      </c>
      <c r="Z34" s="5">
        <f t="shared" si="7"/>
        <v>323.5</v>
      </c>
      <c r="AA34" s="14">
        <f t="shared" si="8"/>
        <v>2093.0450000000001</v>
      </c>
      <c r="AB34" s="87">
        <v>39508350</v>
      </c>
      <c r="AC34" s="87">
        <f t="shared" ref="AC34" si="16">AB33</f>
        <v>39482052</v>
      </c>
      <c r="AD34" s="5">
        <f t="shared" si="4"/>
        <v>26298</v>
      </c>
      <c r="AE34" s="84">
        <f t="shared" si="12"/>
        <v>8768.1476700000003</v>
      </c>
      <c r="AF34" s="84">
        <v>43.6</v>
      </c>
      <c r="AG34" s="84">
        <v>30.6</v>
      </c>
      <c r="AH34" s="84">
        <v>18.399999999999999</v>
      </c>
      <c r="AI34" s="88">
        <f t="shared" ref="AI34:AI35" si="17">AJ33</f>
        <v>35810.300000000003</v>
      </c>
      <c r="AJ34" s="88">
        <v>35834.9</v>
      </c>
      <c r="AK34" s="48">
        <f t="shared" si="9"/>
        <v>24.599999999998545</v>
      </c>
      <c r="AL34" s="90">
        <f t="shared" si="5"/>
        <v>6994.8903478135862</v>
      </c>
      <c r="AM34" s="84">
        <f t="shared" si="14"/>
        <v>2332.2013653162671</v>
      </c>
      <c r="AN34" s="5">
        <f>Submetering!Y30</f>
        <v>26</v>
      </c>
      <c r="AO34" s="78">
        <f t="shared" si="6"/>
        <v>16623.873790000001</v>
      </c>
    </row>
    <row r="35" spans="1:41" ht="21.75" thickBot="1" x14ac:dyDescent="0.3">
      <c r="A35" s="92">
        <v>44012</v>
      </c>
      <c r="B35" s="93">
        <v>4168</v>
      </c>
      <c r="C35" s="93">
        <v>1935</v>
      </c>
      <c r="D35" s="93">
        <v>849</v>
      </c>
      <c r="E35" s="93">
        <v>3890</v>
      </c>
      <c r="F35" s="93">
        <v>4861</v>
      </c>
      <c r="G35" s="93">
        <v>3188</v>
      </c>
      <c r="H35" s="93">
        <v>5180</v>
      </c>
      <c r="I35" s="93">
        <v>2762</v>
      </c>
      <c r="J35" s="93">
        <v>6864</v>
      </c>
      <c r="K35" s="93">
        <f t="shared" si="15"/>
        <v>24071</v>
      </c>
      <c r="L35" s="94">
        <f t="shared" si="10"/>
        <v>4814.2</v>
      </c>
      <c r="M35" s="95">
        <v>91.902000000000001</v>
      </c>
      <c r="N35" s="95">
        <v>2.9660000000000002</v>
      </c>
      <c r="O35" s="95">
        <v>3.9049999999999998</v>
      </c>
      <c r="P35" s="96">
        <v>42.076999999999998</v>
      </c>
      <c r="Q35" s="95">
        <v>9.593</v>
      </c>
      <c r="R35" s="95">
        <f t="shared" si="0"/>
        <v>48.948</v>
      </c>
      <c r="S35" s="95">
        <f t="shared" ref="S35" si="18">(N35+O35+P35)*7.84</f>
        <v>383.75232</v>
      </c>
      <c r="T35" s="95">
        <f t="shared" ref="T35" si="19">M35+Q35</f>
        <v>101.495</v>
      </c>
      <c r="U35" s="95">
        <f t="shared" ref="U35" si="20">T35*7.84</f>
        <v>795.72080000000005</v>
      </c>
      <c r="V35" s="95">
        <v>155.30000000000001</v>
      </c>
      <c r="W35" s="95">
        <v>0</v>
      </c>
      <c r="X35" s="93" t="s">
        <v>63</v>
      </c>
      <c r="Y35" s="93">
        <v>667001.9</v>
      </c>
      <c r="Z35" s="97">
        <f t="shared" si="7"/>
        <v>342.30000000004657</v>
      </c>
      <c r="AA35" s="98">
        <f t="shared" si="8"/>
        <v>2214.6810000003011</v>
      </c>
      <c r="AB35" s="93">
        <v>39533706</v>
      </c>
      <c r="AC35" s="93">
        <f t="shared" ref="AC35" si="21">AB34</f>
        <v>39508350</v>
      </c>
      <c r="AD35" s="97">
        <f t="shared" ref="AD35" si="22">IF((AB35-AC35&lt;0), "0",AB35-AC35)</f>
        <v>25356</v>
      </c>
      <c r="AE35" s="95">
        <f t="shared" si="12"/>
        <v>8454.070740000001</v>
      </c>
      <c r="AF35" s="95">
        <v>40.799999999999997</v>
      </c>
      <c r="AG35" s="95">
        <v>31.1</v>
      </c>
      <c r="AH35" s="95">
        <v>18.5</v>
      </c>
      <c r="AI35" s="99">
        <f t="shared" si="17"/>
        <v>35834.9</v>
      </c>
      <c r="AJ35" s="99">
        <v>35859.1</v>
      </c>
      <c r="AK35" s="100">
        <f t="shared" si="9"/>
        <v>24.19999999999709</v>
      </c>
      <c r="AL35" s="101">
        <f t="shared" si="5"/>
        <v>6881.1522933771721</v>
      </c>
      <c r="AM35" s="95">
        <f t="shared" si="14"/>
        <v>2294.2793918963498</v>
      </c>
      <c r="AN35" s="97">
        <f>Submetering!Y31</f>
        <v>33</v>
      </c>
      <c r="AO35" s="102">
        <f t="shared" si="6"/>
        <v>16278.672540000302</v>
      </c>
    </row>
    <row r="36" spans="1:41" x14ac:dyDescent="0.25">
      <c r="A36" s="76"/>
      <c r="D36" s="6">
        <f>SUM(D6:D35)</f>
        <v>24137</v>
      </c>
      <c r="E36" s="6" t="s">
        <v>93</v>
      </c>
      <c r="G36" s="6">
        <f t="shared" ref="G36:L36" si="23">SUM(G6:G35)</f>
        <v>88310</v>
      </c>
      <c r="H36" s="6">
        <f t="shared" si="23"/>
        <v>126971</v>
      </c>
      <c r="I36" s="6">
        <f t="shared" si="23"/>
        <v>84456</v>
      </c>
      <c r="J36" s="6">
        <f t="shared" si="23"/>
        <v>193538</v>
      </c>
      <c r="K36" s="6">
        <f t="shared" si="23"/>
        <v>657504</v>
      </c>
      <c r="L36" s="6">
        <f t="shared" si="23"/>
        <v>131500.80000000005</v>
      </c>
      <c r="R36" s="16">
        <f>SUM(R6:R35)</f>
        <v>1309.7550000000001</v>
      </c>
      <c r="T36" s="16">
        <f>SUM(T6:T35)</f>
        <v>3007.355</v>
      </c>
      <c r="U36" s="16">
        <f t="shared" si="3"/>
        <v>23577.663199999999</v>
      </c>
      <c r="Z36" s="17">
        <f>SUM(Z6:Z35)</f>
        <v>9240.5</v>
      </c>
      <c r="AA36" s="17">
        <f>SUM(AA6:AA35)</f>
        <v>59786.034999999996</v>
      </c>
      <c r="AD36" s="17">
        <f>SUM(AD6:AD35)</f>
        <v>771091</v>
      </c>
      <c r="AE36" s="16">
        <f>AD36*0.334569</f>
        <v>257983.14477899999</v>
      </c>
      <c r="AF36" s="16">
        <f>SUM(AF6:AF35)</f>
        <v>1294.9999999999993</v>
      </c>
      <c r="AG36" s="16">
        <f>SUM(AG6:AG35)</f>
        <v>651.69999999999993</v>
      </c>
      <c r="AH36" s="16">
        <f>SUM(AH6:AH35)</f>
        <v>592.40000000000009</v>
      </c>
      <c r="AK36" s="42">
        <f>SUM(AK6:AK35)</f>
        <v>755.59999999999854</v>
      </c>
      <c r="AL36" s="42">
        <f>SUM(AL6:AL35)</f>
        <v>214851.18482960353</v>
      </c>
      <c r="AM36" s="42">
        <f>SUM(AM6:AM35)</f>
        <v>71634.607789962276</v>
      </c>
      <c r="AN36" s="42">
        <f>SUM(AN6:AN35)</f>
        <v>816</v>
      </c>
      <c r="AO36" s="42">
        <f>SUM(AO6:AO35)</f>
        <v>471957.80396500003</v>
      </c>
    </row>
    <row r="37" spans="1:41" x14ac:dyDescent="0.25">
      <c r="D37" s="6" t="e">
        <f>#REF!*24</f>
        <v>#REF!</v>
      </c>
      <c r="E37" s="6" t="s">
        <v>1</v>
      </c>
      <c r="R37" s="16">
        <v>7.84</v>
      </c>
      <c r="T37" s="16" t="s">
        <v>99</v>
      </c>
      <c r="U37" s="16">
        <f>U36-R38</f>
        <v>13309.183999999999</v>
      </c>
    </row>
    <row r="38" spans="1:41" x14ac:dyDescent="0.25">
      <c r="D38" s="6" t="e">
        <f>D37*31</f>
        <v>#REF!</v>
      </c>
      <c r="E38" s="6" t="s">
        <v>2</v>
      </c>
      <c r="F38" s="6" t="s">
        <v>94</v>
      </c>
      <c r="G38" s="6" t="e">
        <f>D38*0.2</f>
        <v>#REF!</v>
      </c>
      <c r="R38" s="16">
        <f>R36*R37</f>
        <v>10268.4792</v>
      </c>
      <c r="U38" s="16">
        <f>U37/R37</f>
        <v>1697.6</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2020-07-02T11:58:04Z</dcterms:modified>
</cp:coreProperties>
</file>