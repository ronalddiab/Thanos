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915" activeTab="34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'1'!$A$1:$M$187</definedName>
    <definedName name="_xlnm.Print_Area" localSheetId="15">'10'!$A$1:$M$206</definedName>
    <definedName name="_xlnm.Print_Area" localSheetId="18">'13'!$A$1:$M$189</definedName>
    <definedName name="_xlnm.Print_Area" localSheetId="19">'14'!$A$1:$M$187</definedName>
    <definedName name="_xlnm.Print_Area" localSheetId="20">'15'!$A$1:$J$189</definedName>
    <definedName name="_xlnm.Print_Area" localSheetId="21">'16'!$A$1:$J$189</definedName>
    <definedName name="_xlnm.Print_Area" localSheetId="22">'17'!$A$1:$M$187</definedName>
    <definedName name="_xlnm.Print_Area" localSheetId="23">'18 '!$A$1:$J$187</definedName>
    <definedName name="_xlnm.Print_Area" localSheetId="24">'19'!$A$1:$J$187</definedName>
    <definedName name="_xlnm.Print_Area" localSheetId="25">'20'!$A$1:$J$187</definedName>
    <definedName name="_xlnm.Print_Area" localSheetId="26">'21'!$A$1:$J$189</definedName>
    <definedName name="_xlnm.Print_Area" localSheetId="27">'22'!$A$1:$J$189</definedName>
    <definedName name="_xlnm.Print_Area" localSheetId="28">'23'!$A$1:$J$187</definedName>
    <definedName name="_xlnm.Print_Area" localSheetId="29">'24'!$A$1:$J$189</definedName>
    <definedName name="_xlnm.Print_Area" localSheetId="30">'25'!$A$1:$J$189</definedName>
    <definedName name="_xlnm.Print_Area" localSheetId="31">'26'!$A$1:$J$188</definedName>
    <definedName name="_xlnm.Print_Area" localSheetId="32">'27'!$A$1:$J$189</definedName>
    <definedName name="_xlnm.Print_Area" localSheetId="33">'28'!$A$1:$J$187</definedName>
    <definedName name="_xlnm.Print_Area" localSheetId="34">'29'!$A$1:$R$187</definedName>
    <definedName name="_xlnm.Print_Area" localSheetId="8">'3'!$A$1:$M$187</definedName>
    <definedName name="_xlnm.Print_Area" localSheetId="35">'30'!$A$1:$J$187</definedName>
    <definedName name="_xlnm.Print_Area" localSheetId="36">'31'!$A$1:$J$187</definedName>
    <definedName name="_xlnm.Print_Area" localSheetId="9">'4'!$A$1:$J$186</definedName>
    <definedName name="_xlnm.Print_Area" localSheetId="10">'5'!$A$1:$N$193</definedName>
    <definedName name="_xlnm.Print_Area" localSheetId="11">'6'!$A$1:$J$189</definedName>
    <definedName name="_xlnm.Print_Area" localSheetId="12">'7'!$A$1:$J$191</definedName>
    <definedName name="_xlnm.Print_Area" localSheetId="13">'8'!$A$1:$J$187</definedName>
    <definedName name="_xlnm.Print_Area" localSheetId="14">'9'!$A$1:$J$188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4" i="30"/>
  <c r="I7"/>
  <c r="I9" s="1"/>
  <c r="H104"/>
  <c r="H135"/>
  <c r="I135"/>
  <c r="G178"/>
  <c r="E27" i="29"/>
  <c r="G153"/>
  <c r="E177" i="24"/>
  <c r="E129"/>
  <c r="E56"/>
  <c r="E40"/>
  <c r="E39"/>
  <c r="E37"/>
  <c r="E35"/>
  <c r="E130"/>
  <c r="E130" i="23"/>
  <c r="E120"/>
  <c r="E113"/>
  <c r="E63"/>
  <c r="E55"/>
  <c r="E56"/>
  <c r="E57"/>
  <c r="E58"/>
  <c r="E49"/>
  <c r="E15" i="22"/>
  <c r="E175" i="21"/>
  <c r="F187" i="20"/>
  <c r="F187" i="19"/>
  <c r="F188" i="18"/>
  <c r="H188" s="1"/>
  <c r="I188" s="1"/>
  <c r="K188" s="1"/>
  <c r="E145"/>
  <c r="E146"/>
  <c r="E114"/>
  <c r="H188" i="17"/>
  <c r="I188" s="1"/>
  <c r="K188" s="1"/>
  <c r="O15" i="16"/>
  <c r="P15" i="17"/>
  <c r="G15"/>
  <c r="O7" i="16"/>
  <c r="G15" i="15"/>
  <c r="H187" i="20" l="1"/>
  <c r="I187" s="1"/>
  <c r="K187" s="1"/>
  <c r="H187" i="19"/>
  <c r="I187" s="1"/>
  <c r="K187" s="1"/>
  <c r="E134" i="10" l="1"/>
  <c r="E146" i="33" l="1"/>
  <c r="E155" i="5"/>
  <c r="E149" i="4"/>
  <c r="E150"/>
  <c r="E151"/>
  <c r="E152"/>
  <c r="F87"/>
  <c r="E7"/>
  <c r="E8"/>
  <c r="E9"/>
  <c r="E69" i="3"/>
  <c r="E155"/>
  <c r="G134" i="2"/>
  <c r="G37"/>
  <c r="G18"/>
  <c r="E31" s="1"/>
  <c r="E90" i="31" l="1"/>
  <c r="G90" s="1"/>
  <c r="B30" i="48"/>
  <c r="H30"/>
  <c r="B22"/>
  <c r="G56" i="23"/>
  <c r="E155"/>
  <c r="E39" i="22" l="1"/>
  <c r="E139"/>
  <c r="E140"/>
  <c r="E141"/>
  <c r="E142"/>
  <c r="E143"/>
  <c r="E144"/>
  <c r="E145"/>
  <c r="E146"/>
  <c r="E147"/>
  <c r="E148"/>
  <c r="E149"/>
  <c r="E150"/>
  <c r="E151"/>
  <c r="E152"/>
  <c r="E113"/>
  <c r="E114"/>
  <c r="E115"/>
  <c r="E116"/>
  <c r="E117"/>
  <c r="E118"/>
  <c r="E119"/>
  <c r="E120"/>
  <c r="E121"/>
  <c r="E122"/>
  <c r="E123"/>
  <c r="E36" i="21"/>
  <c r="E37"/>
  <c r="E38"/>
  <c r="E39"/>
  <c r="E40"/>
  <c r="E41"/>
  <c r="E42"/>
  <c r="E43"/>
  <c r="E44"/>
  <c r="E45"/>
  <c r="E46"/>
  <c r="E181" i="20"/>
  <c r="E182"/>
  <c r="E180"/>
  <c r="E176"/>
  <c r="E177"/>
  <c r="E175"/>
  <c r="E171"/>
  <c r="E172"/>
  <c r="E170"/>
  <c r="E159"/>
  <c r="E160"/>
  <c r="E161"/>
  <c r="E162"/>
  <c r="E163"/>
  <c r="E164"/>
  <c r="E165"/>
  <c r="E158"/>
  <c r="E156"/>
  <c r="E155"/>
  <c r="E152"/>
  <c r="E139"/>
  <c r="E140"/>
  <c r="E141"/>
  <c r="E142"/>
  <c r="E143"/>
  <c r="E144"/>
  <c r="E145"/>
  <c r="E146"/>
  <c r="E147"/>
  <c r="E148"/>
  <c r="E149"/>
  <c r="E150"/>
  <c r="E151"/>
  <c r="E138"/>
  <c r="E134"/>
  <c r="E129"/>
  <c r="E130"/>
  <c r="E131"/>
  <c r="E132"/>
  <c r="E133"/>
  <c r="E128"/>
  <c r="E124"/>
  <c r="E113"/>
  <c r="E114"/>
  <c r="E115"/>
  <c r="E116"/>
  <c r="E117"/>
  <c r="E118"/>
  <c r="E119"/>
  <c r="E120"/>
  <c r="E121"/>
  <c r="E122"/>
  <c r="E123"/>
  <c r="E112"/>
  <c r="E83"/>
  <c r="E84"/>
  <c r="E85"/>
  <c r="E86"/>
  <c r="E87"/>
  <c r="E88"/>
  <c r="E89"/>
  <c r="E90"/>
  <c r="E91"/>
  <c r="E92"/>
  <c r="E82"/>
  <c r="E75"/>
  <c r="E76"/>
  <c r="E77"/>
  <c r="E78"/>
  <c r="E79"/>
  <c r="E74"/>
  <c r="E63"/>
  <c r="E64"/>
  <c r="E65"/>
  <c r="E66"/>
  <c r="E67"/>
  <c r="E68"/>
  <c r="E69"/>
  <c r="E70"/>
  <c r="E71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23"/>
  <c r="E24"/>
  <c r="E22"/>
  <c r="E19"/>
  <c r="E18"/>
  <c r="E15"/>
  <c r="E11"/>
  <c r="E12"/>
  <c r="E57" i="19"/>
  <c r="E84" i="17" l="1"/>
  <c r="E134" i="16"/>
  <c r="J185" i="15"/>
  <c r="E134" i="14"/>
  <c r="AH4" i="45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L4"/>
  <c r="I4"/>
  <c r="G4"/>
  <c r="F4"/>
  <c r="Q4" i="48"/>
  <c r="E92" i="9" l="1"/>
  <c r="G2" i="48"/>
  <c r="E15" i="5"/>
  <c r="E155" i="4"/>
  <c r="O11" i="3" l="1"/>
  <c r="O11" i="2" l="1"/>
  <c r="E79" i="25" l="1"/>
  <c r="E156" i="31"/>
  <c r="G156" s="1"/>
  <c r="E155"/>
  <c r="G155" s="1"/>
  <c r="E156" i="43"/>
  <c r="G156" s="1"/>
  <c r="E155"/>
  <c r="G155" s="1"/>
  <c r="E156" i="30"/>
  <c r="G156" s="1"/>
  <c r="E155"/>
  <c r="G155" s="1"/>
  <c r="E156" i="29"/>
  <c r="G156" s="1"/>
  <c r="E155"/>
  <c r="G155" s="1"/>
  <c r="E156" i="28"/>
  <c r="G156" s="1"/>
  <c r="E155"/>
  <c r="G155" s="1"/>
  <c r="E156" i="27"/>
  <c r="G156" s="1"/>
  <c r="E155"/>
  <c r="G155" s="1"/>
  <c r="E156" i="40"/>
  <c r="G156" s="1"/>
  <c r="E155"/>
  <c r="G155" s="1"/>
  <c r="E156" i="25"/>
  <c r="G156" s="1"/>
  <c r="E155"/>
  <c r="G155" s="1"/>
  <c r="E156" i="24"/>
  <c r="G156" s="1"/>
  <c r="E155"/>
  <c r="G155" s="1"/>
  <c r="E156" i="23"/>
  <c r="G156" s="1"/>
  <c r="G155"/>
  <c r="E156" i="22"/>
  <c r="G156" s="1"/>
  <c r="E155"/>
  <c r="G155" s="1"/>
  <c r="E156" i="21"/>
  <c r="G156" s="1"/>
  <c r="E155"/>
  <c r="G155" s="1"/>
  <c r="E156" i="19"/>
  <c r="G156" s="1"/>
  <c r="E155"/>
  <c r="G155" s="1"/>
  <c r="E156" i="18"/>
  <c r="G156" s="1"/>
  <c r="E155"/>
  <c r="G155" s="1"/>
  <c r="E156" i="17"/>
  <c r="G156" s="1"/>
  <c r="E155"/>
  <c r="G155" s="1"/>
  <c r="E156" i="16"/>
  <c r="G156" s="1"/>
  <c r="E155"/>
  <c r="G155" s="1"/>
  <c r="E156" i="15"/>
  <c r="G156" s="1"/>
  <c r="E155"/>
  <c r="G155" s="1"/>
  <c r="E156" i="14"/>
  <c r="G156" s="1"/>
  <c r="E155"/>
  <c r="G155" s="1"/>
  <c r="E156" i="13"/>
  <c r="G156" s="1"/>
  <c r="E155"/>
  <c r="G155" s="1"/>
  <c r="E156" i="12"/>
  <c r="G156" s="1"/>
  <c r="E155"/>
  <c r="G155" s="1"/>
  <c r="E156" i="11"/>
  <c r="G156" s="1"/>
  <c r="E155"/>
  <c r="G155" s="1"/>
  <c r="E156" i="10"/>
  <c r="G156" s="1"/>
  <c r="E155"/>
  <c r="G155" s="1"/>
  <c r="E156" i="9"/>
  <c r="G156" s="1"/>
  <c r="E155"/>
  <c r="G155" s="1"/>
  <c r="E156" i="8"/>
  <c r="G156" s="1"/>
  <c r="E155"/>
  <c r="G155" s="1"/>
  <c r="E156" i="7"/>
  <c r="G156" s="1"/>
  <c r="E155"/>
  <c r="G155" s="1"/>
  <c r="E156" i="33"/>
  <c r="G156" s="1"/>
  <c r="E155"/>
  <c r="G155" s="1"/>
  <c r="E156" i="5"/>
  <c r="G156" s="1"/>
  <c r="G155"/>
  <c r="E156" i="4"/>
  <c r="G156" s="1"/>
  <c r="G155"/>
  <c r="E156" i="3"/>
  <c r="G156" s="1"/>
  <c r="H156" s="1"/>
  <c r="J156" s="1"/>
  <c r="G155"/>
  <c r="H155" s="1"/>
  <c r="J155" s="1"/>
  <c r="G156" i="2"/>
  <c r="G155"/>
  <c r="J156"/>
  <c r="J155"/>
  <c r="H156" i="4" l="1"/>
  <c r="H156" i="5" s="1"/>
  <c r="H155" i="4"/>
  <c r="H155" i="5" s="1"/>
  <c r="H155" i="33" s="1"/>
  <c r="G155" i="20"/>
  <c r="G156"/>
  <c r="V5" i="1"/>
  <c r="E152" i="31"/>
  <c r="G152" s="1"/>
  <c r="E151"/>
  <c r="G151" s="1"/>
  <c r="Z35" i="44" s="1"/>
  <c r="E150" i="31"/>
  <c r="G150" s="1"/>
  <c r="E149"/>
  <c r="G149" s="1"/>
  <c r="E148"/>
  <c r="G148" s="1"/>
  <c r="W35" i="44" s="1"/>
  <c r="E147" i="31"/>
  <c r="G147" s="1"/>
  <c r="V35" i="44" s="1"/>
  <c r="E146" i="31"/>
  <c r="G146" s="1"/>
  <c r="T35" i="44" s="1"/>
  <c r="E145" i="31"/>
  <c r="G145" s="1"/>
  <c r="S35" i="44" s="1"/>
  <c r="E144" i="31"/>
  <c r="G144" s="1"/>
  <c r="U35" i="44" s="1"/>
  <c r="E143" i="31"/>
  <c r="G143" s="1"/>
  <c r="X35" i="44" s="1"/>
  <c r="E134" i="43"/>
  <c r="G134" s="1"/>
  <c r="E134" i="31"/>
  <c r="G134" s="1"/>
  <c r="E152" i="43"/>
  <c r="G152" s="1"/>
  <c r="E151"/>
  <c r="G151" s="1"/>
  <c r="Z34" i="44" s="1"/>
  <c r="E150" i="43"/>
  <c r="G150" s="1"/>
  <c r="E149"/>
  <c r="G149" s="1"/>
  <c r="E148"/>
  <c r="G148" s="1"/>
  <c r="W34" i="44" s="1"/>
  <c r="E147" i="43"/>
  <c r="G147" s="1"/>
  <c r="V34" i="44" s="1"/>
  <c r="E146" i="43"/>
  <c r="G146" s="1"/>
  <c r="T34" i="44" s="1"/>
  <c r="E145" i="43"/>
  <c r="G145" s="1"/>
  <c r="S34" i="44" s="1"/>
  <c r="E144" i="43"/>
  <c r="G144" s="1"/>
  <c r="U34" i="44" s="1"/>
  <c r="E143" i="43"/>
  <c r="G143" s="1"/>
  <c r="X34" i="44" s="1"/>
  <c r="E152" i="30"/>
  <c r="G152" s="1"/>
  <c r="E151"/>
  <c r="G151" s="1"/>
  <c r="Z33" i="44" s="1"/>
  <c r="E150" i="30"/>
  <c r="G150" s="1"/>
  <c r="E149"/>
  <c r="G149" s="1"/>
  <c r="E148"/>
  <c r="G148" s="1"/>
  <c r="W33" i="44" s="1"/>
  <c r="E147" i="30"/>
  <c r="G147" s="1"/>
  <c r="V33" i="44" s="1"/>
  <c r="E146" i="30"/>
  <c r="G146" s="1"/>
  <c r="T33" i="44" s="1"/>
  <c r="E145" i="30"/>
  <c r="G145" s="1"/>
  <c r="S33" i="44" s="1"/>
  <c r="E144" i="30"/>
  <c r="G144" s="1"/>
  <c r="U33" i="44" s="1"/>
  <c r="E143" i="30"/>
  <c r="G143" s="1"/>
  <c r="X33" i="44" s="1"/>
  <c r="E134" i="30"/>
  <c r="G134" s="1"/>
  <c r="E152" i="29"/>
  <c r="G152" s="1"/>
  <c r="E151"/>
  <c r="G151" s="1"/>
  <c r="Z32" i="44" s="1"/>
  <c r="E150" i="29"/>
  <c r="G150" s="1"/>
  <c r="E149"/>
  <c r="G149" s="1"/>
  <c r="E148"/>
  <c r="G148" s="1"/>
  <c r="W32" i="44" s="1"/>
  <c r="E147" i="29"/>
  <c r="G147" s="1"/>
  <c r="V32" i="44" s="1"/>
  <c r="E146" i="29"/>
  <c r="G146" s="1"/>
  <c r="T32" i="44" s="1"/>
  <c r="E145" i="29"/>
  <c r="G145" s="1"/>
  <c r="S32" i="44" s="1"/>
  <c r="E144" i="29"/>
  <c r="G144" s="1"/>
  <c r="U32" i="44" s="1"/>
  <c r="E143" i="29"/>
  <c r="G143" s="1"/>
  <c r="X32" i="44" s="1"/>
  <c r="E134" i="29"/>
  <c r="G134" s="1"/>
  <c r="E152" i="28"/>
  <c r="G152" s="1"/>
  <c r="E151"/>
  <c r="G151" s="1"/>
  <c r="Z31" i="44" s="1"/>
  <c r="E150" i="28"/>
  <c r="G150" s="1"/>
  <c r="E149"/>
  <c r="G149" s="1"/>
  <c r="E148"/>
  <c r="G148" s="1"/>
  <c r="W31" i="44" s="1"/>
  <c r="E147" i="28"/>
  <c r="G147" s="1"/>
  <c r="V31" i="44" s="1"/>
  <c r="E146" i="28"/>
  <c r="G146" s="1"/>
  <c r="T31" i="44" s="1"/>
  <c r="E145" i="28"/>
  <c r="G145" s="1"/>
  <c r="S31" i="44" s="1"/>
  <c r="E144" i="28"/>
  <c r="G144" s="1"/>
  <c r="U31" i="44" s="1"/>
  <c r="E143" i="28"/>
  <c r="G143" s="1"/>
  <c r="X31" i="44" s="1"/>
  <c r="E134" i="28"/>
  <c r="G134" s="1"/>
  <c r="E152" i="27"/>
  <c r="G152" s="1"/>
  <c r="E151"/>
  <c r="G151" s="1"/>
  <c r="Z30" i="44" s="1"/>
  <c r="E150" i="27"/>
  <c r="G150" s="1"/>
  <c r="E149"/>
  <c r="G149" s="1"/>
  <c r="E148"/>
  <c r="G148" s="1"/>
  <c r="W30" i="44" s="1"/>
  <c r="E147" i="27"/>
  <c r="G147" s="1"/>
  <c r="V30" i="44" s="1"/>
  <c r="E146" i="27"/>
  <c r="G146" s="1"/>
  <c r="T30" i="44" s="1"/>
  <c r="E145" i="27"/>
  <c r="G145" s="1"/>
  <c r="S30" i="44" s="1"/>
  <c r="E144" i="27"/>
  <c r="G144" s="1"/>
  <c r="U30" i="44" s="1"/>
  <c r="E143" i="27"/>
  <c r="G143" s="1"/>
  <c r="X30" i="44" s="1"/>
  <c r="E134" i="27"/>
  <c r="G134" s="1"/>
  <c r="E152" i="40"/>
  <c r="G152" s="1"/>
  <c r="E151"/>
  <c r="G151" s="1"/>
  <c r="Z29" i="44" s="1"/>
  <c r="E150" i="40"/>
  <c r="G150" s="1"/>
  <c r="E149"/>
  <c r="G149" s="1"/>
  <c r="E148"/>
  <c r="G148" s="1"/>
  <c r="W29" i="44" s="1"/>
  <c r="E147" i="40"/>
  <c r="G147" s="1"/>
  <c r="V29" i="44" s="1"/>
  <c r="E146" i="40"/>
  <c r="G146" s="1"/>
  <c r="T29" i="44" s="1"/>
  <c r="E145" i="40"/>
  <c r="G145" s="1"/>
  <c r="S29" i="44" s="1"/>
  <c r="E144" i="40"/>
  <c r="G144" s="1"/>
  <c r="U29" i="44" s="1"/>
  <c r="E143" i="40"/>
  <c r="G143" s="1"/>
  <c r="X29" i="44" s="1"/>
  <c r="E134" i="40"/>
  <c r="G134" s="1"/>
  <c r="E152" i="25"/>
  <c r="G152" s="1"/>
  <c r="E151"/>
  <c r="G151" s="1"/>
  <c r="Z28" i="44" s="1"/>
  <c r="E150" i="25"/>
  <c r="G150" s="1"/>
  <c r="E149"/>
  <c r="G149" s="1"/>
  <c r="E148"/>
  <c r="G148" s="1"/>
  <c r="W28" i="44" s="1"/>
  <c r="E147" i="25"/>
  <c r="G147" s="1"/>
  <c r="V28" i="44" s="1"/>
  <c r="E146" i="25"/>
  <c r="G146" s="1"/>
  <c r="T28" i="44" s="1"/>
  <c r="E145" i="25"/>
  <c r="G145" s="1"/>
  <c r="S28" i="44" s="1"/>
  <c r="E144" i="25"/>
  <c r="G144" s="1"/>
  <c r="U28" i="44" s="1"/>
  <c r="E143" i="25"/>
  <c r="G143" s="1"/>
  <c r="X28" i="44" s="1"/>
  <c r="E134" i="25"/>
  <c r="G134" s="1"/>
  <c r="E152" i="24"/>
  <c r="G152" s="1"/>
  <c r="E151"/>
  <c r="G151" s="1"/>
  <c r="Z27" i="44" s="1"/>
  <c r="E150" i="24"/>
  <c r="G150" s="1"/>
  <c r="E149"/>
  <c r="G149" s="1"/>
  <c r="E148"/>
  <c r="G148" s="1"/>
  <c r="W27" i="44" s="1"/>
  <c r="E147" i="24"/>
  <c r="G147" s="1"/>
  <c r="V27" i="44" s="1"/>
  <c r="E146" i="24"/>
  <c r="G146" s="1"/>
  <c r="T27" i="44" s="1"/>
  <c r="E145" i="24"/>
  <c r="G145" s="1"/>
  <c r="S27" i="44" s="1"/>
  <c r="E144" i="24"/>
  <c r="G144" s="1"/>
  <c r="U27" i="44" s="1"/>
  <c r="E143" i="24"/>
  <c r="G143" s="1"/>
  <c r="X27" i="44" s="1"/>
  <c r="E141" i="24"/>
  <c r="G141" s="1"/>
  <c r="Q27" i="44" s="1"/>
  <c r="E142" i="24"/>
  <c r="G142" s="1"/>
  <c r="R27" i="44" s="1"/>
  <c r="E134" i="24"/>
  <c r="G134" s="1"/>
  <c r="J156" i="4" l="1"/>
  <c r="H156" i="33"/>
  <c r="J156" s="1"/>
  <c r="J156" i="5"/>
  <c r="J155" i="4"/>
  <c r="J155" i="33"/>
  <c r="H155" i="7"/>
  <c r="J155" i="5"/>
  <c r="E152" i="23"/>
  <c r="G152" s="1"/>
  <c r="E151"/>
  <c r="G151" s="1"/>
  <c r="Z26" i="44" s="1"/>
  <c r="E150" i="23"/>
  <c r="G150" s="1"/>
  <c r="E149"/>
  <c r="G149" s="1"/>
  <c r="E148"/>
  <c r="G148" s="1"/>
  <c r="W26" i="44" s="1"/>
  <c r="E147" i="23"/>
  <c r="G147" s="1"/>
  <c r="V26" i="44" s="1"/>
  <c r="E146" i="23"/>
  <c r="G146" s="1"/>
  <c r="T26" i="44" s="1"/>
  <c r="E145" i="23"/>
  <c r="G145" s="1"/>
  <c r="S26" i="44" s="1"/>
  <c r="E144" i="23"/>
  <c r="G144" s="1"/>
  <c r="U26" i="44" s="1"/>
  <c r="E143" i="23"/>
  <c r="G143" s="1"/>
  <c r="X26" i="44" s="1"/>
  <c r="E134" i="22"/>
  <c r="G134" s="1"/>
  <c r="E134" i="23"/>
  <c r="G134" s="1"/>
  <c r="G152" i="22"/>
  <c r="G151"/>
  <c r="Z25" i="44" s="1"/>
  <c r="G149" i="22"/>
  <c r="G148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s="1"/>
  <c r="E151"/>
  <c r="G151" s="1"/>
  <c r="Z24" i="44" s="1"/>
  <c r="E150" i="21"/>
  <c r="G150" s="1"/>
  <c r="E149"/>
  <c r="G149" s="1"/>
  <c r="E148"/>
  <c r="G148" s="1"/>
  <c r="W24" i="44" s="1"/>
  <c r="E147" i="21"/>
  <c r="G147" s="1"/>
  <c r="V24" i="44" s="1"/>
  <c r="E146" i="21"/>
  <c r="G146" s="1"/>
  <c r="T24" i="44" s="1"/>
  <c r="E145" i="21"/>
  <c r="G145" s="1"/>
  <c r="S24" i="44" s="1"/>
  <c r="E144" i="21"/>
  <c r="G144" s="1"/>
  <c r="U24" i="44" s="1"/>
  <c r="E143" i="21"/>
  <c r="G143" s="1"/>
  <c r="X24" i="44" s="1"/>
  <c r="E134" i="21"/>
  <c r="G134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G149" i="19"/>
  <c r="E134"/>
  <c r="G134" s="1"/>
  <c r="E152" i="18"/>
  <c r="G152" s="1"/>
  <c r="E151"/>
  <c r="G151" s="1"/>
  <c r="Z21" i="44" s="1"/>
  <c r="E150" i="18"/>
  <c r="G150" s="1"/>
  <c r="E149"/>
  <c r="G149" s="1"/>
  <c r="E148"/>
  <c r="G148" s="1"/>
  <c r="W21" i="44" s="1"/>
  <c r="E147" i="18"/>
  <c r="G147" s="1"/>
  <c r="V21" i="44" s="1"/>
  <c r="G146" i="18"/>
  <c r="T21" i="44" s="1"/>
  <c r="G145" i="18"/>
  <c r="S21" i="44" s="1"/>
  <c r="E144" i="18"/>
  <c r="G144" s="1"/>
  <c r="U21" i="44" s="1"/>
  <c r="E143" i="18"/>
  <c r="G143" s="1"/>
  <c r="X21" i="44" s="1"/>
  <c r="E134" i="18"/>
  <c r="G134" s="1"/>
  <c r="E152" i="17"/>
  <c r="G152" s="1"/>
  <c r="E151"/>
  <c r="G151" s="1"/>
  <c r="Z20" i="44" s="1"/>
  <c r="E150" i="17"/>
  <c r="G150" s="1"/>
  <c r="E149"/>
  <c r="G149" s="1"/>
  <c r="E148"/>
  <c r="G148" s="1"/>
  <c r="W20" i="44" s="1"/>
  <c r="E147" i="17"/>
  <c r="G147" s="1"/>
  <c r="V20" i="44" s="1"/>
  <c r="E146" i="17"/>
  <c r="G146" s="1"/>
  <c r="T20" i="44" s="1"/>
  <c r="E145" i="17"/>
  <c r="G145" s="1"/>
  <c r="S20" i="44" s="1"/>
  <c r="E144" i="17"/>
  <c r="G144" s="1"/>
  <c r="U20" i="44" s="1"/>
  <c r="E143" i="17"/>
  <c r="G143" s="1"/>
  <c r="X20" i="44" s="1"/>
  <c r="E134" i="17"/>
  <c r="G134" s="1"/>
  <c r="E152" i="16"/>
  <c r="G152" s="1"/>
  <c r="E151"/>
  <c r="G151" s="1"/>
  <c r="Z19" i="44" s="1"/>
  <c r="E150" i="16"/>
  <c r="G150" s="1"/>
  <c r="E149"/>
  <c r="G149" s="1"/>
  <c r="E148"/>
  <c r="G148" s="1"/>
  <c r="W19" i="44" s="1"/>
  <c r="E147" i="16"/>
  <c r="G147" s="1"/>
  <c r="V19" i="44" s="1"/>
  <c r="E146" i="16"/>
  <c r="G146" s="1"/>
  <c r="T19" i="44" s="1"/>
  <c r="E145" i="16"/>
  <c r="G145" s="1"/>
  <c r="S19" i="44" s="1"/>
  <c r="E144" i="16"/>
  <c r="G144" s="1"/>
  <c r="U19" i="44" s="1"/>
  <c r="E143" i="16"/>
  <c r="G143" s="1"/>
  <c r="X19" i="44" s="1"/>
  <c r="G134" i="16"/>
  <c r="E152" i="15"/>
  <c r="G152" s="1"/>
  <c r="E151"/>
  <c r="G151" s="1"/>
  <c r="Z18" i="44" s="1"/>
  <c r="E150" i="15"/>
  <c r="G150" s="1"/>
  <c r="E149"/>
  <c r="G149" s="1"/>
  <c r="E148"/>
  <c r="G148" s="1"/>
  <c r="W18" i="44" s="1"/>
  <c r="E147" i="15"/>
  <c r="G147" s="1"/>
  <c r="V18" i="44" s="1"/>
  <c r="E146" i="15"/>
  <c r="G146" s="1"/>
  <c r="T18" i="44" s="1"/>
  <c r="E145" i="15"/>
  <c r="G145" s="1"/>
  <c r="S18" i="44" s="1"/>
  <c r="E144" i="15"/>
  <c r="G144" s="1"/>
  <c r="U18" i="44" s="1"/>
  <c r="E143" i="15"/>
  <c r="G143" s="1"/>
  <c r="X18" i="44" s="1"/>
  <c r="E134" i="15"/>
  <c r="G134" s="1"/>
  <c r="E152" i="14"/>
  <c r="G152" s="1"/>
  <c r="E151"/>
  <c r="G151" s="1"/>
  <c r="Z17" i="44" s="1"/>
  <c r="E150" i="14"/>
  <c r="G150" s="1"/>
  <c r="E149"/>
  <c r="G149" s="1"/>
  <c r="E148"/>
  <c r="G148" s="1"/>
  <c r="W17" i="44" s="1"/>
  <c r="E147" i="14"/>
  <c r="G147" s="1"/>
  <c r="V17" i="44" s="1"/>
  <c r="E146" i="14"/>
  <c r="G146" s="1"/>
  <c r="T17" i="44" s="1"/>
  <c r="E145" i="14"/>
  <c r="G145" s="1"/>
  <c r="S17" i="44" s="1"/>
  <c r="E144" i="14"/>
  <c r="G144" s="1"/>
  <c r="U17" i="44" s="1"/>
  <c r="E143" i="14"/>
  <c r="G143" s="1"/>
  <c r="X17" i="44" s="1"/>
  <c r="G134" i="14"/>
  <c r="E152" i="13"/>
  <c r="G152" s="1"/>
  <c r="E151"/>
  <c r="G151" s="1"/>
  <c r="Z16" i="44" s="1"/>
  <c r="E150" i="13"/>
  <c r="G150" s="1"/>
  <c r="E149"/>
  <c r="G149" s="1"/>
  <c r="E148"/>
  <c r="G148" s="1"/>
  <c r="W16" i="44" s="1"/>
  <c r="E147" i="13"/>
  <c r="G147" s="1"/>
  <c r="V16" i="44" s="1"/>
  <c r="E146" i="13"/>
  <c r="G146" s="1"/>
  <c r="T16" i="44" s="1"/>
  <c r="E145" i="13"/>
  <c r="G145" s="1"/>
  <c r="S16" i="44" s="1"/>
  <c r="E144" i="13"/>
  <c r="G144" s="1"/>
  <c r="U16" i="44" s="1"/>
  <c r="E143" i="13"/>
  <c r="G143" s="1"/>
  <c r="X16" i="44" s="1"/>
  <c r="E134" i="13"/>
  <c r="G134" s="1"/>
  <c r="E152" i="12"/>
  <c r="G152" s="1"/>
  <c r="E151"/>
  <c r="G151" s="1"/>
  <c r="Z15" i="44" s="1"/>
  <c r="E150" i="12"/>
  <c r="G150" s="1"/>
  <c r="E149"/>
  <c r="G149" s="1"/>
  <c r="E148"/>
  <c r="G148" s="1"/>
  <c r="W15" i="44" s="1"/>
  <c r="E147" i="12"/>
  <c r="G147" s="1"/>
  <c r="V15" i="44" s="1"/>
  <c r="E146" i="12"/>
  <c r="G146" s="1"/>
  <c r="T15" i="44" s="1"/>
  <c r="E145" i="12"/>
  <c r="G145" s="1"/>
  <c r="S15" i="44" s="1"/>
  <c r="E144" i="12"/>
  <c r="G144" s="1"/>
  <c r="U15" i="44" s="1"/>
  <c r="E143" i="12"/>
  <c r="G143" s="1"/>
  <c r="X15" i="44" s="1"/>
  <c r="E134" i="12"/>
  <c r="G134" s="1"/>
  <c r="E152" i="11"/>
  <c r="G152" s="1"/>
  <c r="E151"/>
  <c r="G151" s="1"/>
  <c r="Z14" i="44" s="1"/>
  <c r="E150" i="11"/>
  <c r="G150" s="1"/>
  <c r="E149"/>
  <c r="G149" s="1"/>
  <c r="E148"/>
  <c r="G148" s="1"/>
  <c r="W14" i="44" s="1"/>
  <c r="E147" i="11"/>
  <c r="G147" s="1"/>
  <c r="V14" i="44" s="1"/>
  <c r="E146" i="11"/>
  <c r="G146" s="1"/>
  <c r="T14" i="44" s="1"/>
  <c r="E145" i="11"/>
  <c r="G145" s="1"/>
  <c r="S14" i="44" s="1"/>
  <c r="E144" i="11"/>
  <c r="G144" s="1"/>
  <c r="U14" i="44" s="1"/>
  <c r="E143" i="11"/>
  <c r="G143" s="1"/>
  <c r="X14" i="44" s="1"/>
  <c r="G134" i="11"/>
  <c r="E152" i="10"/>
  <c r="G152" s="1"/>
  <c r="E151"/>
  <c r="G151" s="1"/>
  <c r="Z13" i="44" s="1"/>
  <c r="E150" i="10"/>
  <c r="G150" s="1"/>
  <c r="E149"/>
  <c r="G149" s="1"/>
  <c r="E148"/>
  <c r="G148" s="1"/>
  <c r="W13" i="44" s="1"/>
  <c r="E147" i="10"/>
  <c r="G147" s="1"/>
  <c r="V13" i="44" s="1"/>
  <c r="E146" i="10"/>
  <c r="G146" s="1"/>
  <c r="T13" i="44" s="1"/>
  <c r="E145" i="10"/>
  <c r="G145" s="1"/>
  <c r="S13" i="44" s="1"/>
  <c r="E144" i="10"/>
  <c r="G144" s="1"/>
  <c r="U13" i="44" s="1"/>
  <c r="E143" i="10"/>
  <c r="G143" s="1"/>
  <c r="X13" i="44" s="1"/>
  <c r="G134" i="10"/>
  <c r="E152" i="9"/>
  <c r="G152" s="1"/>
  <c r="E151"/>
  <c r="G151" s="1"/>
  <c r="Z12" i="44" s="1"/>
  <c r="E150" i="9"/>
  <c r="G150" s="1"/>
  <c r="E149"/>
  <c r="G149" s="1"/>
  <c r="E148"/>
  <c r="G148" s="1"/>
  <c r="W12" i="44" s="1"/>
  <c r="E147" i="9"/>
  <c r="G147" s="1"/>
  <c r="V12" i="44" s="1"/>
  <c r="E146" i="9"/>
  <c r="G146" s="1"/>
  <c r="T12" i="44" s="1"/>
  <c r="E145" i="9"/>
  <c r="G145" s="1"/>
  <c r="S12" i="44" s="1"/>
  <c r="E144" i="9"/>
  <c r="G144" s="1"/>
  <c r="U12" i="44" s="1"/>
  <c r="E143" i="9"/>
  <c r="G143" s="1"/>
  <c r="X12" i="44" s="1"/>
  <c r="E134" i="9"/>
  <c r="G134" s="1"/>
  <c r="E152" i="8"/>
  <c r="G152" s="1"/>
  <c r="E151"/>
  <c r="G151" s="1"/>
  <c r="Z11" i="44" s="1"/>
  <c r="E150" i="8"/>
  <c r="G150" s="1"/>
  <c r="E149"/>
  <c r="G149" s="1"/>
  <c r="E148"/>
  <c r="G148" s="1"/>
  <c r="W11" i="44" s="1"/>
  <c r="E147" i="8"/>
  <c r="G147" s="1"/>
  <c r="V11" i="44" s="1"/>
  <c r="E146" i="8"/>
  <c r="G146" s="1"/>
  <c r="T11" i="44" s="1"/>
  <c r="E145" i="8"/>
  <c r="G145" s="1"/>
  <c r="S11" i="44" s="1"/>
  <c r="E144" i="8"/>
  <c r="G144" s="1"/>
  <c r="U11" i="44" s="1"/>
  <c r="E143" i="8"/>
  <c r="G143" s="1"/>
  <c r="X11" i="44" s="1"/>
  <c r="E152" i="7"/>
  <c r="G152" s="1"/>
  <c r="E151"/>
  <c r="G151" s="1"/>
  <c r="Z10" i="44" s="1"/>
  <c r="E150" i="7"/>
  <c r="E149"/>
  <c r="G149" s="1"/>
  <c r="E148"/>
  <c r="G148" s="1"/>
  <c r="W10" i="44" s="1"/>
  <c r="E147" i="7"/>
  <c r="G147" s="1"/>
  <c r="V10" i="44" s="1"/>
  <c r="E146" i="7"/>
  <c r="G146" s="1"/>
  <c r="T10" i="44" s="1"/>
  <c r="E145" i="7"/>
  <c r="G145" s="1"/>
  <c r="S10" i="44" s="1"/>
  <c r="E144" i="7"/>
  <c r="G144" s="1"/>
  <c r="U10" i="44" s="1"/>
  <c r="E143" i="7"/>
  <c r="G143" s="1"/>
  <c r="X10" i="44" s="1"/>
  <c r="G150" i="7"/>
  <c r="E134" i="8"/>
  <c r="G134" s="1"/>
  <c r="E134" i="7"/>
  <c r="G134" s="1"/>
  <c r="E152" i="33"/>
  <c r="G152" s="1"/>
  <c r="E151"/>
  <c r="G151" s="1"/>
  <c r="Z9" i="44" s="1"/>
  <c r="E150" i="33"/>
  <c r="G150" s="1"/>
  <c r="E149"/>
  <c r="G149" s="1"/>
  <c r="E148"/>
  <c r="G148" s="1"/>
  <c r="W9" i="44" s="1"/>
  <c r="E147" i="33"/>
  <c r="G147" s="1"/>
  <c r="V9" i="44" s="1"/>
  <c r="G146" i="33"/>
  <c r="T9" i="44" s="1"/>
  <c r="E145" i="33"/>
  <c r="G145" s="1"/>
  <c r="S9" i="44" s="1"/>
  <c r="E144" i="33"/>
  <c r="G144" s="1"/>
  <c r="U9" i="44" s="1"/>
  <c r="E143" i="33"/>
  <c r="G143" s="1"/>
  <c r="X9" i="44" s="1"/>
  <c r="E134" i="33"/>
  <c r="G134" s="1"/>
  <c r="G165" i="2"/>
  <c r="H165" s="1"/>
  <c r="H165" i="3" s="1"/>
  <c r="H165" i="4" s="1"/>
  <c r="G164" i="2"/>
  <c r="H164" s="1"/>
  <c r="H164" i="3" s="1"/>
  <c r="H164" i="4" s="1"/>
  <c r="G163" i="2"/>
  <c r="E152" i="5"/>
  <c r="G152" s="1"/>
  <c r="E151"/>
  <c r="G151" s="1"/>
  <c r="Z8" i="44" s="1"/>
  <c r="E150" i="5"/>
  <c r="G150" s="1"/>
  <c r="E149"/>
  <c r="G149" s="1"/>
  <c r="E148"/>
  <c r="G148" s="1"/>
  <c r="W8" i="44" s="1"/>
  <c r="E147" i="5"/>
  <c r="G147" s="1"/>
  <c r="V8" i="44" s="1"/>
  <c r="E146" i="5"/>
  <c r="G146" s="1"/>
  <c r="T8" i="44" s="1"/>
  <c r="E145" i="5"/>
  <c r="G145" s="1"/>
  <c r="S8" i="44" s="1"/>
  <c r="E144" i="5"/>
  <c r="G144" s="1"/>
  <c r="U8" i="44" s="1"/>
  <c r="E143" i="5"/>
  <c r="G143" s="1"/>
  <c r="X8" i="44" s="1"/>
  <c r="E134" i="5"/>
  <c r="G134" s="1"/>
  <c r="G134" i="4"/>
  <c r="G152"/>
  <c r="G151"/>
  <c r="Z7" i="44" s="1"/>
  <c r="E148" i="4"/>
  <c r="G148" s="1"/>
  <c r="W7" i="44" s="1"/>
  <c r="E147" i="4"/>
  <c r="G147" s="1"/>
  <c r="V7" i="44" s="1"/>
  <c r="E146" i="4"/>
  <c r="G146" s="1"/>
  <c r="T7" i="44" s="1"/>
  <c r="E145" i="4"/>
  <c r="G145" s="1"/>
  <c r="S7" i="44" s="1"/>
  <c r="E144" i="4"/>
  <c r="G144" s="1"/>
  <c r="U7" i="44" s="1"/>
  <c r="E143" i="4"/>
  <c r="G143" s="1"/>
  <c r="X7" i="44" s="1"/>
  <c r="G150" i="4"/>
  <c r="G149"/>
  <c r="E139" i="3"/>
  <c r="E152"/>
  <c r="G152" s="1"/>
  <c r="E151"/>
  <c r="G151" s="1"/>
  <c r="Z6" i="44" s="1"/>
  <c r="E150" i="3"/>
  <c r="G150" s="1"/>
  <c r="E149"/>
  <c r="G149" s="1"/>
  <c r="E148"/>
  <c r="G148" s="1"/>
  <c r="W6" i="44" s="1"/>
  <c r="E147" i="3"/>
  <c r="G147" s="1"/>
  <c r="V6" i="44" s="1"/>
  <c r="E146" i="3"/>
  <c r="G146" s="1"/>
  <c r="T6" i="44" s="1"/>
  <c r="E145" i="3"/>
  <c r="G145" s="1"/>
  <c r="S6" i="44" s="1"/>
  <c r="E144" i="3"/>
  <c r="G144" s="1"/>
  <c r="U6" i="44" s="1"/>
  <c r="E143" i="3"/>
  <c r="G143" s="1"/>
  <c r="X6" i="44" s="1"/>
  <c r="E142" i="3"/>
  <c r="E141"/>
  <c r="E134"/>
  <c r="G134" s="1"/>
  <c r="J169" i="2"/>
  <c r="G152"/>
  <c r="H152" s="1"/>
  <c r="J152" s="1"/>
  <c r="G151"/>
  <c r="H134"/>
  <c r="J134" s="1"/>
  <c r="E186" i="31"/>
  <c r="E185"/>
  <c r="E184"/>
  <c r="E182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89"/>
  <c r="E88"/>
  <c r="E87"/>
  <c r="E86"/>
  <c r="E85"/>
  <c r="E84"/>
  <c r="E83"/>
  <c r="E82"/>
  <c r="E79"/>
  <c r="E78"/>
  <c r="E77"/>
  <c r="E76"/>
  <c r="E75"/>
  <c r="E74"/>
  <c r="E71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82" i="43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86" i="30"/>
  <c r="E185"/>
  <c r="E184"/>
  <c r="E182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1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H26" i="29"/>
  <c r="E186"/>
  <c r="E185"/>
  <c r="E184"/>
  <c r="E182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H124" i="28"/>
  <c r="H124" i="29" s="1"/>
  <c r="H124" i="30" s="1"/>
  <c r="H124" i="43" s="1"/>
  <c r="H124" i="31" s="1"/>
  <c r="E186" i="28"/>
  <c r="E185"/>
  <c r="E184"/>
  <c r="E182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86" i="27"/>
  <c r="E185"/>
  <c r="E184"/>
  <c r="E182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86" i="40"/>
  <c r="E185"/>
  <c r="E184"/>
  <c r="E182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86" i="25"/>
  <c r="E185"/>
  <c r="E184"/>
  <c r="E182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72" i="24"/>
  <c r="E182"/>
  <c r="E181"/>
  <c r="E180"/>
  <c r="E176"/>
  <c r="E175"/>
  <c r="E171"/>
  <c r="E170"/>
  <c r="E165"/>
  <c r="E164"/>
  <c r="E163"/>
  <c r="E162"/>
  <c r="E161"/>
  <c r="E160"/>
  <c r="E159"/>
  <c r="E158"/>
  <c r="E140"/>
  <c r="E139"/>
  <c r="E138"/>
  <c r="E133"/>
  <c r="E132"/>
  <c r="E131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5"/>
  <c r="E54"/>
  <c r="E53"/>
  <c r="E52"/>
  <c r="E51"/>
  <c r="E50"/>
  <c r="E49"/>
  <c r="E46"/>
  <c r="E45"/>
  <c r="E44"/>
  <c r="E43"/>
  <c r="E42"/>
  <c r="E41"/>
  <c r="E38"/>
  <c r="E36"/>
  <c r="E24"/>
  <c r="E23"/>
  <c r="E22"/>
  <c r="E18"/>
  <c r="E12"/>
  <c r="E11"/>
  <c r="E182" i="23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29"/>
  <c r="E128"/>
  <c r="E124"/>
  <c r="E123"/>
  <c r="E122"/>
  <c r="E121"/>
  <c r="E119"/>
  <c r="E118"/>
  <c r="E117"/>
  <c r="E116"/>
  <c r="E115"/>
  <c r="E114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2"/>
  <c r="E54"/>
  <c r="E53"/>
  <c r="E52"/>
  <c r="E51"/>
  <c r="E50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82" i="22"/>
  <c r="E181"/>
  <c r="E180"/>
  <c r="E177"/>
  <c r="E176"/>
  <c r="E175"/>
  <c r="E172"/>
  <c r="E171"/>
  <c r="E170"/>
  <c r="E165"/>
  <c r="E164"/>
  <c r="E163"/>
  <c r="E162"/>
  <c r="E161"/>
  <c r="E160"/>
  <c r="E159"/>
  <c r="E158"/>
  <c r="E138"/>
  <c r="E133"/>
  <c r="E132"/>
  <c r="E131"/>
  <c r="E130"/>
  <c r="E129"/>
  <c r="E128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8"/>
  <c r="E37"/>
  <c r="E36"/>
  <c r="E35"/>
  <c r="E24"/>
  <c r="E23"/>
  <c r="E22"/>
  <c r="E18"/>
  <c r="E12"/>
  <c r="E11"/>
  <c r="H124" i="21"/>
  <c r="H124" i="22" s="1"/>
  <c r="H124" i="23" s="1"/>
  <c r="H124" i="24" s="1"/>
  <c r="E182" i="21"/>
  <c r="E181"/>
  <c r="E180"/>
  <c r="E176"/>
  <c r="E172"/>
  <c r="E171"/>
  <c r="E170"/>
  <c r="E165"/>
  <c r="E164"/>
  <c r="E163"/>
  <c r="G163" s="1"/>
  <c r="E162"/>
  <c r="E161"/>
  <c r="E160"/>
  <c r="E159"/>
  <c r="E158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35"/>
  <c r="E24"/>
  <c r="E23"/>
  <c r="E22"/>
  <c r="E18"/>
  <c r="E12"/>
  <c r="E11"/>
  <c r="E182" i="19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G67" s="1"/>
  <c r="E66"/>
  <c r="E65"/>
  <c r="E64"/>
  <c r="E63"/>
  <c r="E62"/>
  <c r="E58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H124" i="18"/>
  <c r="H124" i="19" s="1"/>
  <c r="E171" i="18"/>
  <c r="E182"/>
  <c r="E181"/>
  <c r="E180"/>
  <c r="E177"/>
  <c r="E176"/>
  <c r="E175"/>
  <c r="E172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86" i="17"/>
  <c r="E185"/>
  <c r="E184"/>
  <c r="E183"/>
  <c r="E182"/>
  <c r="E181"/>
  <c r="E180"/>
  <c r="E179"/>
  <c r="E178"/>
  <c r="E177"/>
  <c r="E176"/>
  <c r="E175"/>
  <c r="E174"/>
  <c r="E173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G92" s="1"/>
  <c r="E91"/>
  <c r="G91" s="1"/>
  <c r="E90"/>
  <c r="E89"/>
  <c r="E88"/>
  <c r="E87"/>
  <c r="E86"/>
  <c r="E85"/>
  <c r="E83"/>
  <c r="E82"/>
  <c r="E79"/>
  <c r="E78"/>
  <c r="E77"/>
  <c r="E76"/>
  <c r="E75"/>
  <c r="E74"/>
  <c r="E70"/>
  <c r="E69"/>
  <c r="E68"/>
  <c r="E67"/>
  <c r="E66"/>
  <c r="E65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82" i="16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82" i="15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0"/>
  <c r="E10" i="16" s="1"/>
  <c r="E10" i="17" s="1"/>
  <c r="E10" i="18" s="1"/>
  <c r="E10" i="19" s="1"/>
  <c r="E182" i="14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82" i="13"/>
  <c r="E181"/>
  <c r="E180"/>
  <c r="E177"/>
  <c r="E176"/>
  <c r="E175"/>
  <c r="E172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39"/>
  <c r="E38"/>
  <c r="E37"/>
  <c r="E36"/>
  <c r="E35"/>
  <c r="E24"/>
  <c r="E23"/>
  <c r="E22"/>
  <c r="E18"/>
  <c r="E12"/>
  <c r="E11"/>
  <c r="E10"/>
  <c r="E182" i="12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0"/>
  <c r="H124" i="11"/>
  <c r="H26"/>
  <c r="E182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0"/>
  <c r="E182" i="10"/>
  <c r="E181"/>
  <c r="E180"/>
  <c r="E177"/>
  <c r="E176"/>
  <c r="E175"/>
  <c r="E172"/>
  <c r="E171"/>
  <c r="E170"/>
  <c r="E165"/>
  <c r="E164"/>
  <c r="E163"/>
  <c r="G163" s="1"/>
  <c r="E162"/>
  <c r="E161"/>
  <c r="E160"/>
  <c r="E159"/>
  <c r="E158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0"/>
  <c r="E182" i="9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0"/>
  <c r="E182" i="8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0"/>
  <c r="E46" i="7"/>
  <c r="E182"/>
  <c r="E181"/>
  <c r="E180"/>
  <c r="E179"/>
  <c r="E178"/>
  <c r="E177"/>
  <c r="E176"/>
  <c r="E175"/>
  <c r="E174"/>
  <c r="E173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5"/>
  <c r="E44"/>
  <c r="E43"/>
  <c r="E42"/>
  <c r="E41"/>
  <c r="E40"/>
  <c r="E39"/>
  <c r="E38"/>
  <c r="E37"/>
  <c r="E36"/>
  <c r="E35"/>
  <c r="E24"/>
  <c r="E23"/>
  <c r="E22"/>
  <c r="E18"/>
  <c r="E12"/>
  <c r="E11"/>
  <c r="E10"/>
  <c r="E182" i="33"/>
  <c r="E181"/>
  <c r="E180"/>
  <c r="E179"/>
  <c r="E178"/>
  <c r="E177"/>
  <c r="E176"/>
  <c r="E175"/>
  <c r="E174"/>
  <c r="E173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E123"/>
  <c r="E122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8"/>
  <c r="E77"/>
  <c r="E76"/>
  <c r="E75"/>
  <c r="E74"/>
  <c r="E70"/>
  <c r="E69"/>
  <c r="E68"/>
  <c r="E67"/>
  <c r="E66"/>
  <c r="E65"/>
  <c r="E64"/>
  <c r="E63"/>
  <c r="E62"/>
  <c r="G62" s="1"/>
  <c r="E58"/>
  <c r="E57"/>
  <c r="E56"/>
  <c r="E55"/>
  <c r="E54"/>
  <c r="E53"/>
  <c r="E52"/>
  <c r="E51"/>
  <c r="E50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0"/>
  <c r="H124" i="5"/>
  <c r="E182"/>
  <c r="E181"/>
  <c r="E180"/>
  <c r="E177"/>
  <c r="E176"/>
  <c r="E175"/>
  <c r="E172"/>
  <c r="E171"/>
  <c r="E170"/>
  <c r="E165"/>
  <c r="G165" s="1"/>
  <c r="E164"/>
  <c r="G164" s="1"/>
  <c r="E163"/>
  <c r="G163" s="1"/>
  <c r="E162"/>
  <c r="E161"/>
  <c r="E160"/>
  <c r="E159"/>
  <c r="E158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"/>
  <c r="E12"/>
  <c r="E11"/>
  <c r="E10"/>
  <c r="E182" i="4"/>
  <c r="E181"/>
  <c r="E180"/>
  <c r="E177"/>
  <c r="E176"/>
  <c r="E175"/>
  <c r="E172"/>
  <c r="E171"/>
  <c r="E170"/>
  <c r="E165"/>
  <c r="E164"/>
  <c r="E163"/>
  <c r="E162"/>
  <c r="E161"/>
  <c r="E160"/>
  <c r="E159"/>
  <c r="E158"/>
  <c r="E142"/>
  <c r="E141"/>
  <c r="E140"/>
  <c r="E139"/>
  <c r="E138"/>
  <c r="E133"/>
  <c r="E132"/>
  <c r="E131"/>
  <c r="E130"/>
  <c r="E129"/>
  <c r="E128"/>
  <c r="G128" s="1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9"/>
  <c r="E19" i="5" s="1"/>
  <c r="E19" i="33" s="1"/>
  <c r="E19" i="7" s="1"/>
  <c r="E19" i="8" s="1"/>
  <c r="E19" i="9" s="1"/>
  <c r="E19" i="10" s="1"/>
  <c r="E19" i="11" s="1"/>
  <c r="E19" i="12" s="1"/>
  <c r="E19" i="13" s="1"/>
  <c r="E19" i="14" s="1"/>
  <c r="E19" i="15" s="1"/>
  <c r="E19" i="16" s="1"/>
  <c r="E19" i="17" s="1"/>
  <c r="E19" i="18" s="1"/>
  <c r="E19" i="19" s="1"/>
  <c r="E18" i="4"/>
  <c r="E15"/>
  <c r="E15" i="33" s="1"/>
  <c r="E15" i="7" s="1"/>
  <c r="E15" i="8" s="1"/>
  <c r="E15" i="9" s="1"/>
  <c r="E15" i="10" s="1"/>
  <c r="E15" i="11" s="1"/>
  <c r="E15" i="12" s="1"/>
  <c r="E15" i="13" s="1"/>
  <c r="E15" i="14" s="1"/>
  <c r="E15" i="16" s="1"/>
  <c r="E15" i="18" s="1"/>
  <c r="E15" i="19" s="1"/>
  <c r="E12" i="4"/>
  <c r="E11"/>
  <c r="E10"/>
  <c r="E9" i="5"/>
  <c r="E9" i="33" s="1"/>
  <c r="E9" i="7" s="1"/>
  <c r="E9" i="8" s="1"/>
  <c r="E9" i="9" s="1"/>
  <c r="E9" i="10" s="1"/>
  <c r="E9" i="11" s="1"/>
  <c r="E9" i="12" s="1"/>
  <c r="E9" i="13" s="1"/>
  <c r="E8" i="5"/>
  <c r="E8" i="33" s="1"/>
  <c r="E8" i="7" s="1"/>
  <c r="E8" i="8" s="1"/>
  <c r="E8" i="9" s="1"/>
  <c r="E8" i="10" s="1"/>
  <c r="E8" i="11" s="1"/>
  <c r="E8" i="12" s="1"/>
  <c r="E8" i="13" s="1"/>
  <c r="E7" i="5"/>
  <c r="E7" i="33" s="1"/>
  <c r="E7" i="7" s="1"/>
  <c r="E7" i="8" s="1"/>
  <c r="E7" i="9" s="1"/>
  <c r="E7" i="10" s="1"/>
  <c r="E7" i="11" s="1"/>
  <c r="E7" i="12" s="1"/>
  <c r="E7" i="13" s="1"/>
  <c r="E133" i="3"/>
  <c r="E132"/>
  <c r="E131"/>
  <c r="E130"/>
  <c r="E129"/>
  <c r="E128"/>
  <c r="E74"/>
  <c r="E79"/>
  <c r="E78"/>
  <c r="E77"/>
  <c r="E76"/>
  <c r="E75"/>
  <c r="E24"/>
  <c r="E19"/>
  <c r="G19" s="1"/>
  <c r="E18"/>
  <c r="E182"/>
  <c r="E181"/>
  <c r="E180"/>
  <c r="E177"/>
  <c r="E176"/>
  <c r="E175"/>
  <c r="E172"/>
  <c r="E171"/>
  <c r="E170"/>
  <c r="E165"/>
  <c r="E164"/>
  <c r="E163"/>
  <c r="E162"/>
  <c r="E161"/>
  <c r="E160"/>
  <c r="E159"/>
  <c r="E158"/>
  <c r="E140"/>
  <c r="E13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0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3"/>
  <c r="E22"/>
  <c r="G22" s="1"/>
  <c r="E15"/>
  <c r="G15" s="1"/>
  <c r="E12"/>
  <c r="E11"/>
  <c r="G11" s="1"/>
  <c r="E10"/>
  <c r="G10" s="1"/>
  <c r="E8"/>
  <c r="G8" s="1"/>
  <c r="E27" s="1"/>
  <c r="E7"/>
  <c r="G7" s="1"/>
  <c r="E9"/>
  <c r="G9" s="1"/>
  <c r="H179" i="2"/>
  <c r="J179" s="1"/>
  <c r="H174"/>
  <c r="J174" s="1"/>
  <c r="H163"/>
  <c r="H163" i="3" s="1"/>
  <c r="H163" i="4" s="1"/>
  <c r="H127" i="2"/>
  <c r="J127" s="1"/>
  <c r="G23"/>
  <c r="H23" s="1"/>
  <c r="J23" s="1"/>
  <c r="G22"/>
  <c r="G19"/>
  <c r="E30" s="1"/>
  <c r="G15"/>
  <c r="E28" s="1"/>
  <c r="G13"/>
  <c r="H13" s="1"/>
  <c r="J13" s="1"/>
  <c r="G12"/>
  <c r="H12" s="1"/>
  <c r="J12" s="1"/>
  <c r="G11"/>
  <c r="H11" s="1"/>
  <c r="J11" s="1"/>
  <c r="G10"/>
  <c r="H10" s="1"/>
  <c r="J10" s="1"/>
  <c r="G9"/>
  <c r="H9" s="1"/>
  <c r="J9" s="1"/>
  <c r="G8"/>
  <c r="E27" s="1"/>
  <c r="G7"/>
  <c r="I18" i="3"/>
  <c r="G18"/>
  <c r="I7"/>
  <c r="E10" i="20" l="1"/>
  <c r="E10" i="21" s="1"/>
  <c r="E10" i="22" s="1"/>
  <c r="E10" i="23" s="1"/>
  <c r="E10" i="24" s="1"/>
  <c r="E10" i="25" s="1"/>
  <c r="E10" i="40" s="1"/>
  <c r="E10" i="27" s="1"/>
  <c r="E10" i="28" s="1"/>
  <c r="E10" i="29" s="1"/>
  <c r="E10" i="30" s="1"/>
  <c r="E10" i="43" s="1"/>
  <c r="F10" s="1"/>
  <c r="E10" i="31" s="1"/>
  <c r="F10" s="1"/>
  <c r="G10" i="19"/>
  <c r="G151"/>
  <c r="Z22" i="44" s="1"/>
  <c r="E9" i="14"/>
  <c r="E9" i="15" s="1"/>
  <c r="E8" i="14"/>
  <c r="E8" i="15" s="1"/>
  <c r="E7" i="14"/>
  <c r="E7" i="15" s="1"/>
  <c r="G146" i="19"/>
  <c r="T22" i="44" s="1"/>
  <c r="G147" i="19"/>
  <c r="V22" i="44" s="1"/>
  <c r="H156" i="7"/>
  <c r="J156" s="1"/>
  <c r="P16" i="3"/>
  <c r="P17"/>
  <c r="G145" i="19"/>
  <c r="S22" i="44" s="1"/>
  <c r="E19" i="21"/>
  <c r="E19" i="22" s="1"/>
  <c r="E19" i="23" s="1"/>
  <c r="E19" i="24" s="1"/>
  <c r="E19" i="25" s="1"/>
  <c r="E19" i="40" s="1"/>
  <c r="E19" i="27" s="1"/>
  <c r="E19" i="28" s="1"/>
  <c r="E19" i="29" s="1"/>
  <c r="E19" i="30" s="1"/>
  <c r="E19" i="43" s="1"/>
  <c r="E19" i="31" s="1"/>
  <c r="E15" i="23"/>
  <c r="E15" i="24" s="1"/>
  <c r="E15" i="25" s="1"/>
  <c r="E15" i="40" s="1"/>
  <c r="E15" i="27" s="1"/>
  <c r="E15" i="28" s="1"/>
  <c r="E15" i="29" s="1"/>
  <c r="E15" i="30" s="1"/>
  <c r="E15" i="43" s="1"/>
  <c r="E15" i="31" s="1"/>
  <c r="G150" i="19"/>
  <c r="G143"/>
  <c r="X22" i="44" s="1"/>
  <c r="J155" i="7"/>
  <c r="H155" i="8"/>
  <c r="H18" i="2"/>
  <c r="J18" s="1"/>
  <c r="H19"/>
  <c r="J19" s="1"/>
  <c r="H8"/>
  <c r="J8" s="1"/>
  <c r="I9" s="1"/>
  <c r="H15"/>
  <c r="J15" s="1"/>
  <c r="I16" s="1"/>
  <c r="G24"/>
  <c r="E29" s="1"/>
  <c r="H10" i="3"/>
  <c r="J10" s="1"/>
  <c r="I13" i="2"/>
  <c r="G144" i="19"/>
  <c r="U22" i="44" s="1"/>
  <c r="G148" i="19"/>
  <c r="W22" i="44" s="1"/>
  <c r="G152" i="19"/>
  <c r="H165" i="5"/>
  <c r="H165" i="33" s="1"/>
  <c r="H165" i="7" s="1"/>
  <c r="H165" i="8" s="1"/>
  <c r="H164" i="5"/>
  <c r="H164" i="33" s="1"/>
  <c r="H164" i="7" s="1"/>
  <c r="H164" i="8" s="1"/>
  <c r="H163" i="5"/>
  <c r="H163" i="33" s="1"/>
  <c r="H163" i="7" s="1"/>
  <c r="J163" s="1"/>
  <c r="H179" i="3"/>
  <c r="H179" i="4" s="1"/>
  <c r="J179" s="1"/>
  <c r="H152" i="3"/>
  <c r="H152" i="4" s="1"/>
  <c r="H9" i="3"/>
  <c r="J9" s="1"/>
  <c r="H127"/>
  <c r="H127" i="4" s="1"/>
  <c r="J127" s="1"/>
  <c r="H174" i="3"/>
  <c r="H174" i="4" s="1"/>
  <c r="H174" i="5" s="1"/>
  <c r="H151" i="2"/>
  <c r="J151" s="1"/>
  <c r="Z5" i="44"/>
  <c r="H134" i="3"/>
  <c r="H134" i="4" s="1"/>
  <c r="G134" i="20"/>
  <c r="H22" i="2"/>
  <c r="J22" s="1"/>
  <c r="H23" i="3"/>
  <c r="H11"/>
  <c r="J11" s="1"/>
  <c r="H12"/>
  <c r="G20"/>
  <c r="H7" i="2"/>
  <c r="J7" s="1"/>
  <c r="G20"/>
  <c r="H20" s="1"/>
  <c r="J20" s="1"/>
  <c r="I20" s="1"/>
  <c r="G13" i="3"/>
  <c r="Z37" i="44" l="1"/>
  <c r="Z36"/>
  <c r="E9" i="16"/>
  <c r="E8"/>
  <c r="N8" s="1"/>
  <c r="E7"/>
  <c r="N7" s="1"/>
  <c r="H15" i="3"/>
  <c r="J15" s="1"/>
  <c r="I16" s="1"/>
  <c r="H19"/>
  <c r="J19" s="1"/>
  <c r="H18"/>
  <c r="J18" s="1"/>
  <c r="H156" i="8"/>
  <c r="J156" s="1"/>
  <c r="H155" i="9"/>
  <c r="J155" i="8"/>
  <c r="H8" i="3"/>
  <c r="J8" s="1"/>
  <c r="I9" s="1"/>
  <c r="H24" i="2"/>
  <c r="H163" i="8"/>
  <c r="J163" s="1"/>
  <c r="J165" i="7"/>
  <c r="J164"/>
  <c r="J174" i="4"/>
  <c r="J134" i="3"/>
  <c r="H179" i="5"/>
  <c r="H179" i="33" s="1"/>
  <c r="J127" i="3"/>
  <c r="J179"/>
  <c r="H127" i="5"/>
  <c r="J127" s="1"/>
  <c r="J152" i="3"/>
  <c r="J152" i="4"/>
  <c r="H152" i="5"/>
  <c r="J134" i="4"/>
  <c r="H134" i="5"/>
  <c r="H151" i="3"/>
  <c r="H22"/>
  <c r="J22" s="1"/>
  <c r="H174" i="33"/>
  <c r="J174" i="5"/>
  <c r="J165" i="8"/>
  <c r="H165" i="9"/>
  <c r="H164"/>
  <c r="J164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H20"/>
  <c r="J12"/>
  <c r="H13"/>
  <c r="H7"/>
  <c r="J7" s="1"/>
  <c r="I13"/>
  <c r="G182" i="31"/>
  <c r="G181"/>
  <c r="G180"/>
  <c r="G177"/>
  <c r="AH23" i="45" s="1"/>
  <c r="G176" i="31"/>
  <c r="AH22" i="45" s="1"/>
  <c r="G175" i="31"/>
  <c r="AH21" i="45" s="1"/>
  <c r="G172" i="31"/>
  <c r="AH19" i="45" s="1"/>
  <c r="G171" i="31"/>
  <c r="AH18" i="45" s="1"/>
  <c r="G170" i="31"/>
  <c r="AH17" i="45" s="1"/>
  <c r="G162" i="31"/>
  <c r="G161"/>
  <c r="G160"/>
  <c r="G159"/>
  <c r="AB35" i="44" s="1"/>
  <c r="G158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/>
  <c r="G132"/>
  <c r="G131"/>
  <c r="G130"/>
  <c r="G129"/>
  <c r="G128"/>
  <c r="G123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/>
  <c r="G113"/>
  <c r="G112"/>
  <c r="G92"/>
  <c r="G91"/>
  <c r="AK34" i="1" s="1"/>
  <c r="AI34"/>
  <c r="G89" i="31"/>
  <c r="G88"/>
  <c r="G87"/>
  <c r="AC34" i="1" s="1"/>
  <c r="G86" i="31"/>
  <c r="AB34" i="1" s="1"/>
  <c r="G85" i="31"/>
  <c r="AA34" i="1" s="1"/>
  <c r="G84" i="31"/>
  <c r="Z34" i="1" s="1"/>
  <c r="G83" i="31"/>
  <c r="G82"/>
  <c r="G78"/>
  <c r="AS35" i="44" s="1"/>
  <c r="G77" i="31"/>
  <c r="AR35" i="44" s="1"/>
  <c r="G76" i="31"/>
  <c r="AQ35" i="44" s="1"/>
  <c r="G75" i="31"/>
  <c r="AP35" i="44" s="1"/>
  <c r="G74" i="31"/>
  <c r="G70"/>
  <c r="AH15" i="45" s="1"/>
  <c r="G69" i="31"/>
  <c r="AH14" i="45" s="1"/>
  <c r="G68" i="31"/>
  <c r="AH13" i="45" s="1"/>
  <c r="G67" i="31"/>
  <c r="G66"/>
  <c r="G65"/>
  <c r="G63"/>
  <c r="AH8" i="45" s="1"/>
  <c r="G62" i="31"/>
  <c r="AH7" i="45" s="1"/>
  <c r="G58" i="31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G15"/>
  <c r="G10"/>
  <c r="K9"/>
  <c r="M8"/>
  <c r="G182" i="43"/>
  <c r="G181"/>
  <c r="G180"/>
  <c r="G177"/>
  <c r="AG23" i="45" s="1"/>
  <c r="G176" i="43"/>
  <c r="AG22" i="45" s="1"/>
  <c r="G175" i="43"/>
  <c r="AG21" i="45" s="1"/>
  <c r="G172" i="43"/>
  <c r="AG19" i="45" s="1"/>
  <c r="G171" i="43"/>
  <c r="AG18" i="45" s="1"/>
  <c r="G170" i="43"/>
  <c r="AG17" i="45" s="1"/>
  <c r="G162" i="43"/>
  <c r="G161"/>
  <c r="G160"/>
  <c r="G159"/>
  <c r="AB34" i="44" s="1"/>
  <c r="G158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/>
  <c r="G132"/>
  <c r="G131"/>
  <c r="G130"/>
  <c r="G129"/>
  <c r="G128"/>
  <c r="G12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/>
  <c r="G113"/>
  <c r="G112"/>
  <c r="G92"/>
  <c r="AL33" i="1" s="1"/>
  <c r="G91" i="43"/>
  <c r="G90"/>
  <c r="G89"/>
  <c r="G88"/>
  <c r="G87"/>
  <c r="AC33" i="1" s="1"/>
  <c r="G86" i="43"/>
  <c r="AB33" i="1" s="1"/>
  <c r="G85" i="43"/>
  <c r="AA33" i="1" s="1"/>
  <c r="G84" i="43"/>
  <c r="Z33" i="1" s="1"/>
  <c r="G83" i="43"/>
  <c r="G82"/>
  <c r="G78"/>
  <c r="AS34" i="44" s="1"/>
  <c r="G77" i="43"/>
  <c r="AR34" i="44" s="1"/>
  <c r="G76" i="43"/>
  <c r="AQ34" i="44" s="1"/>
  <c r="G75" i="43"/>
  <c r="AP34" i="44" s="1"/>
  <c r="G74" i="43"/>
  <c r="G70"/>
  <c r="AG15" i="45" s="1"/>
  <c r="G69" i="43"/>
  <c r="AG14" i="45" s="1"/>
  <c r="G68" i="43"/>
  <c r="AG13" i="45" s="1"/>
  <c r="G67" i="43"/>
  <c r="G66"/>
  <c r="G65"/>
  <c r="G63"/>
  <c r="AG8" i="45" s="1"/>
  <c r="G62" i="43"/>
  <c r="AG7" i="45" s="1"/>
  <c r="G58" i="43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M8"/>
  <c r="G182" i="30"/>
  <c r="G181"/>
  <c r="G180"/>
  <c r="G177"/>
  <c r="AF23" i="45" s="1"/>
  <c r="G176" i="30"/>
  <c r="AF22" i="45" s="1"/>
  <c r="G175" i="30"/>
  <c r="AF21" i="45" s="1"/>
  <c r="G172" i="30"/>
  <c r="AF19" i="45" s="1"/>
  <c r="G171" i="30"/>
  <c r="AF18" i="45" s="1"/>
  <c r="G170" i="30"/>
  <c r="AF17" i="45" s="1"/>
  <c r="G162" i="30"/>
  <c r="G161"/>
  <c r="G160"/>
  <c r="G159"/>
  <c r="AB33" i="44" s="1"/>
  <c r="G158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/>
  <c r="G132"/>
  <c r="G131"/>
  <c r="G130"/>
  <c r="G129"/>
  <c r="G128"/>
  <c r="G123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/>
  <c r="G113"/>
  <c r="G112"/>
  <c r="G92"/>
  <c r="AL32" i="1" s="1"/>
  <c r="G91" i="30"/>
  <c r="G90"/>
  <c r="G89"/>
  <c r="G88"/>
  <c r="G87"/>
  <c r="AC32" i="1" s="1"/>
  <c r="G86" i="30"/>
  <c r="AB32" i="1" s="1"/>
  <c r="G85" i="30"/>
  <c r="AA32" i="1" s="1"/>
  <c r="G84" i="30"/>
  <c r="Z32" i="1" s="1"/>
  <c r="G83" i="30"/>
  <c r="G82"/>
  <c r="G78"/>
  <c r="AS33" i="44" s="1"/>
  <c r="G77" i="30"/>
  <c r="AR33" i="44" s="1"/>
  <c r="G76" i="30"/>
  <c r="AQ33" i="44" s="1"/>
  <c r="G75" i="30"/>
  <c r="AP33" i="44" s="1"/>
  <c r="G74" i="30"/>
  <c r="G70"/>
  <c r="AF15" i="45" s="1"/>
  <c r="G69" i="30"/>
  <c r="AF14" i="45" s="1"/>
  <c r="G68" i="30"/>
  <c r="AF13" i="45" s="1"/>
  <c r="G67" i="30"/>
  <c r="G66"/>
  <c r="G65"/>
  <c r="G63"/>
  <c r="AF8" i="45" s="1"/>
  <c r="G62" i="30"/>
  <c r="AF7" i="45" s="1"/>
  <c r="G58" i="3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M8"/>
  <c r="G182" i="29"/>
  <c r="G181"/>
  <c r="G180"/>
  <c r="G177"/>
  <c r="AE23" i="45" s="1"/>
  <c r="G176" i="29"/>
  <c r="AE22" i="45" s="1"/>
  <c r="G175" i="29"/>
  <c r="AE21" i="45" s="1"/>
  <c r="G172" i="29"/>
  <c r="AE19" i="45" s="1"/>
  <c r="G171" i="29"/>
  <c r="AE18" i="45" s="1"/>
  <c r="G170" i="29"/>
  <c r="AE17" i="45" s="1"/>
  <c r="G162" i="29"/>
  <c r="G161"/>
  <c r="G160"/>
  <c r="G159"/>
  <c r="AB32" i="44" s="1"/>
  <c r="G158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/>
  <c r="G132"/>
  <c r="G131"/>
  <c r="G130"/>
  <c r="G129"/>
  <c r="G128"/>
  <c r="G123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/>
  <c r="G113"/>
  <c r="G112"/>
  <c r="G92"/>
  <c r="AL31" i="1" s="1"/>
  <c r="G91" i="29"/>
  <c r="G90"/>
  <c r="G89"/>
  <c r="G88"/>
  <c r="G87"/>
  <c r="AC31" i="1" s="1"/>
  <c r="G86" i="29"/>
  <c r="AB31" i="1" s="1"/>
  <c r="G85" i="29"/>
  <c r="AA31" i="1" s="1"/>
  <c r="G84" i="29"/>
  <c r="Z31" i="1" s="1"/>
  <c r="G83" i="29"/>
  <c r="G82"/>
  <c r="G78"/>
  <c r="AS32" i="44" s="1"/>
  <c r="G77" i="29"/>
  <c r="AR32" i="44" s="1"/>
  <c r="G76" i="29"/>
  <c r="AQ32" i="44" s="1"/>
  <c r="G75" i="29"/>
  <c r="AP32" i="44" s="1"/>
  <c r="G74" i="29"/>
  <c r="G70"/>
  <c r="AE15" i="45" s="1"/>
  <c r="G69" i="29"/>
  <c r="AE14" i="45" s="1"/>
  <c r="G68" i="29"/>
  <c r="AE13" i="45" s="1"/>
  <c r="G67" i="29"/>
  <c r="G66"/>
  <c r="G65"/>
  <c r="G63"/>
  <c r="AE8" i="45" s="1"/>
  <c r="G62" i="29"/>
  <c r="AE7" i="45" s="1"/>
  <c r="G58" i="29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M8"/>
  <c r="G182" i="28"/>
  <c r="G181"/>
  <c r="G180"/>
  <c r="G177"/>
  <c r="AD23" i="45" s="1"/>
  <c r="G176" i="28"/>
  <c r="AD22" i="45" s="1"/>
  <c r="G175" i="28"/>
  <c r="AD21" i="45" s="1"/>
  <c r="G172" i="28"/>
  <c r="AD19" i="45" s="1"/>
  <c r="G171" i="28"/>
  <c r="AD18" i="45" s="1"/>
  <c r="G170" i="28"/>
  <c r="AD17" i="45" s="1"/>
  <c r="G162" i="28"/>
  <c r="G161"/>
  <c r="G160"/>
  <c r="G159"/>
  <c r="AB31" i="44" s="1"/>
  <c r="G158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/>
  <c r="G132"/>
  <c r="G131"/>
  <c r="G130"/>
  <c r="G129"/>
  <c r="G128"/>
  <c r="G123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/>
  <c r="G113"/>
  <c r="G112"/>
  <c r="G92"/>
  <c r="AL30" i="1" s="1"/>
  <c r="G91" i="28"/>
  <c r="G90"/>
  <c r="G89"/>
  <c r="G88"/>
  <c r="G87"/>
  <c r="AC30" i="1" s="1"/>
  <c r="G86" i="28"/>
  <c r="AB30" i="1" s="1"/>
  <c r="G85" i="28"/>
  <c r="AA30" i="1" s="1"/>
  <c r="G84" i="28"/>
  <c r="Z30" i="1" s="1"/>
  <c r="G83" i="28"/>
  <c r="G82"/>
  <c r="G78"/>
  <c r="AS31" i="44" s="1"/>
  <c r="G77" i="28"/>
  <c r="AR31" i="44" s="1"/>
  <c r="G76" i="28"/>
  <c r="AQ31" i="44" s="1"/>
  <c r="G75" i="28"/>
  <c r="AP31" i="44" s="1"/>
  <c r="G74" i="28"/>
  <c r="G70"/>
  <c r="AD15" i="45" s="1"/>
  <c r="G69" i="28"/>
  <c r="AD14" i="45" s="1"/>
  <c r="G68" i="28"/>
  <c r="AD13" i="45" s="1"/>
  <c r="G67" i="28"/>
  <c r="G66"/>
  <c r="G65"/>
  <c r="G63"/>
  <c r="AD8" i="45" s="1"/>
  <c r="G62" i="28"/>
  <c r="AD7" i="45" s="1"/>
  <c r="G58" i="2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M8"/>
  <c r="G182" i="27"/>
  <c r="G181"/>
  <c r="G180"/>
  <c r="G177"/>
  <c r="AC23" i="45" s="1"/>
  <c r="G176" i="27"/>
  <c r="AC22" i="45" s="1"/>
  <c r="G175" i="27"/>
  <c r="AC21" i="45" s="1"/>
  <c r="G172" i="27"/>
  <c r="AC19" i="45" s="1"/>
  <c r="G171" i="27"/>
  <c r="AC18" i="45" s="1"/>
  <c r="G170" i="27"/>
  <c r="AC17" i="45" s="1"/>
  <c r="G162" i="27"/>
  <c r="G161"/>
  <c r="G160"/>
  <c r="G159"/>
  <c r="AB30" i="44" s="1"/>
  <c r="G158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/>
  <c r="G132"/>
  <c r="G131"/>
  <c r="G130"/>
  <c r="G129"/>
  <c r="G128"/>
  <c r="G123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/>
  <c r="G113"/>
  <c r="G112"/>
  <c r="G92"/>
  <c r="AL29" i="1" s="1"/>
  <c r="G91" i="27"/>
  <c r="G90"/>
  <c r="G89"/>
  <c r="G88"/>
  <c r="G87"/>
  <c r="AC29" i="1" s="1"/>
  <c r="G86" i="27"/>
  <c r="AB29" i="1" s="1"/>
  <c r="G85" i="27"/>
  <c r="AA29" i="1" s="1"/>
  <c r="G84" i="27"/>
  <c r="Z29" i="1" s="1"/>
  <c r="G83" i="27"/>
  <c r="G82"/>
  <c r="G78"/>
  <c r="AS30" i="44" s="1"/>
  <c r="G77" i="27"/>
  <c r="AR30" i="44" s="1"/>
  <c r="G76" i="27"/>
  <c r="AQ30" i="44" s="1"/>
  <c r="G75" i="27"/>
  <c r="AP30" i="44" s="1"/>
  <c r="G74" i="27"/>
  <c r="G70"/>
  <c r="AC15" i="45" s="1"/>
  <c r="G69" i="27"/>
  <c r="AC14" i="45" s="1"/>
  <c r="G68" i="27"/>
  <c r="AC13" i="45" s="1"/>
  <c r="G67" i="27"/>
  <c r="G66"/>
  <c r="G65"/>
  <c r="G63"/>
  <c r="AC8" i="45" s="1"/>
  <c r="G62" i="27"/>
  <c r="AC7" i="45" s="1"/>
  <c r="G58" i="27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M8"/>
  <c r="G182" i="40"/>
  <c r="G181"/>
  <c r="G180"/>
  <c r="G177"/>
  <c r="AB23" i="45" s="1"/>
  <c r="G176" i="40"/>
  <c r="AB22" i="45" s="1"/>
  <c r="G175" i="40"/>
  <c r="AB21" i="45" s="1"/>
  <c r="G172" i="40"/>
  <c r="AB19" i="45" s="1"/>
  <c r="G171" i="40"/>
  <c r="AB18" i="45" s="1"/>
  <c r="G170" i="40"/>
  <c r="AB17" i="45" s="1"/>
  <c r="G162" i="40"/>
  <c r="G161"/>
  <c r="G160"/>
  <c r="G159"/>
  <c r="AB29" i="44" s="1"/>
  <c r="G158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/>
  <c r="G132"/>
  <c r="G131"/>
  <c r="G130"/>
  <c r="G129"/>
  <c r="G128"/>
  <c r="G123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/>
  <c r="G113"/>
  <c r="G112"/>
  <c r="G92"/>
  <c r="AL28" i="1" s="1"/>
  <c r="G91" i="40"/>
  <c r="G90"/>
  <c r="G89"/>
  <c r="G88"/>
  <c r="G87"/>
  <c r="AC28" i="1" s="1"/>
  <c r="G86" i="40"/>
  <c r="AB28" i="1" s="1"/>
  <c r="G85" i="40"/>
  <c r="AA28" i="1" s="1"/>
  <c r="G84" i="40"/>
  <c r="Z28" i="1" s="1"/>
  <c r="G83" i="40"/>
  <c r="G82"/>
  <c r="G78"/>
  <c r="AS29" i="44" s="1"/>
  <c r="G77" i="40"/>
  <c r="AR29" i="44" s="1"/>
  <c r="G76" i="40"/>
  <c r="AQ29" i="44" s="1"/>
  <c r="G75" i="40"/>
  <c r="AP29" i="44" s="1"/>
  <c r="G74" i="40"/>
  <c r="G70"/>
  <c r="AB15" i="45" s="1"/>
  <c r="G69" i="40"/>
  <c r="AB14" i="45" s="1"/>
  <c r="G68" i="40"/>
  <c r="AB13" i="45" s="1"/>
  <c r="G67" i="40"/>
  <c r="G66"/>
  <c r="G65"/>
  <c r="G63"/>
  <c r="AB8" i="45" s="1"/>
  <c r="G62" i="40"/>
  <c r="AB7" i="45" s="1"/>
  <c r="G58" i="4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M8"/>
  <c r="G182" i="25"/>
  <c r="G181"/>
  <c r="G180"/>
  <c r="G177"/>
  <c r="AA23" i="45" s="1"/>
  <c r="G176" i="25"/>
  <c r="AA22" i="45" s="1"/>
  <c r="G175" i="25"/>
  <c r="AA21" i="45" s="1"/>
  <c r="G172" i="25"/>
  <c r="AA19" i="45" s="1"/>
  <c r="G171" i="25"/>
  <c r="AA18" i="45" s="1"/>
  <c r="G170" i="25"/>
  <c r="AA17" i="45" s="1"/>
  <c r="G162" i="25"/>
  <c r="G161"/>
  <c r="G160"/>
  <c r="G159"/>
  <c r="AB28" i="44" s="1"/>
  <c r="G158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/>
  <c r="G132"/>
  <c r="G131"/>
  <c r="G130"/>
  <c r="G129"/>
  <c r="G128"/>
  <c r="G123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/>
  <c r="G113"/>
  <c r="G112"/>
  <c r="G92"/>
  <c r="AL27" i="1" s="1"/>
  <c r="G91" i="25"/>
  <c r="G90"/>
  <c r="G89"/>
  <c r="G88"/>
  <c r="G87"/>
  <c r="AC27" i="1" s="1"/>
  <c r="G86" i="25"/>
  <c r="AB27" i="1" s="1"/>
  <c r="G85" i="25"/>
  <c r="AA27" i="1" s="1"/>
  <c r="G84" i="25"/>
  <c r="Z27" i="1" s="1"/>
  <c r="G83" i="25"/>
  <c r="G82"/>
  <c r="G78"/>
  <c r="AS28" i="44" s="1"/>
  <c r="G77" i="25"/>
  <c r="AR28" i="44" s="1"/>
  <c r="G76" i="25"/>
  <c r="AQ28" i="44" s="1"/>
  <c r="G75" i="25"/>
  <c r="AP28" i="44" s="1"/>
  <c r="G74" i="25"/>
  <c r="G70"/>
  <c r="AA15" i="45" s="1"/>
  <c r="G69" i="25"/>
  <c r="AA14" i="45" s="1"/>
  <c r="G68" i="25"/>
  <c r="AA13" i="45" s="1"/>
  <c r="G67" i="25"/>
  <c r="G66"/>
  <c r="G65"/>
  <c r="G63"/>
  <c r="AA8" i="45" s="1"/>
  <c r="G62" i="25"/>
  <c r="AA7" i="45" s="1"/>
  <c r="G58" i="25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M8"/>
  <c r="G182" i="24"/>
  <c r="G181"/>
  <c r="G180"/>
  <c r="G177"/>
  <c r="Z23" i="45" s="1"/>
  <c r="G176" i="24"/>
  <c r="Z22" i="45" s="1"/>
  <c r="G175" i="24"/>
  <c r="Z21" i="45" s="1"/>
  <c r="G172" i="24"/>
  <c r="Z19" i="45" s="1"/>
  <c r="G171" i="24"/>
  <c r="Z18" i="45" s="1"/>
  <c r="G170" i="24"/>
  <c r="Z17" i="45" s="1"/>
  <c r="G162" i="24"/>
  <c r="G161"/>
  <c r="G160"/>
  <c r="G159"/>
  <c r="AB27" i="44" s="1"/>
  <c r="G158" i="24"/>
  <c r="AA27" i="44" s="1"/>
  <c r="G140" i="24"/>
  <c r="P27" i="44" s="1"/>
  <c r="G139" i="24"/>
  <c r="O27" i="44" s="1"/>
  <c r="G138" i="24"/>
  <c r="G133"/>
  <c r="G132"/>
  <c r="G131"/>
  <c r="G130"/>
  <c r="G129"/>
  <c r="G128"/>
  <c r="G123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/>
  <c r="G113"/>
  <c r="G112"/>
  <c r="G92"/>
  <c r="AL26" i="1" s="1"/>
  <c r="G91" i="24"/>
  <c r="G90"/>
  <c r="G89"/>
  <c r="G88"/>
  <c r="G87"/>
  <c r="AC26" i="1" s="1"/>
  <c r="G86" i="24"/>
  <c r="AB26" i="1" s="1"/>
  <c r="G85" i="24"/>
  <c r="AA26" i="1" s="1"/>
  <c r="G84" i="24"/>
  <c r="Z26" i="1" s="1"/>
  <c r="G83" i="24"/>
  <c r="G82"/>
  <c r="G78"/>
  <c r="AS27" i="44" s="1"/>
  <c r="G77" i="24"/>
  <c r="AR27" i="44" s="1"/>
  <c r="G76" i="24"/>
  <c r="AQ27" i="44" s="1"/>
  <c r="G75" i="24"/>
  <c r="AP27" i="44" s="1"/>
  <c r="G74" i="24"/>
  <c r="G70"/>
  <c r="Z15" i="45" s="1"/>
  <c r="G69" i="24"/>
  <c r="Z14" i="45" s="1"/>
  <c r="G68" i="24"/>
  <c r="Z13" i="45" s="1"/>
  <c r="G67" i="24"/>
  <c r="G66"/>
  <c r="G65"/>
  <c r="G63"/>
  <c r="Z8" i="45" s="1"/>
  <c r="G62" i="24"/>
  <c r="Z7" i="45" s="1"/>
  <c r="G58" i="24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M8"/>
  <c r="G182" i="23"/>
  <c r="G181"/>
  <c r="G180"/>
  <c r="G177"/>
  <c r="Y23" i="45" s="1"/>
  <c r="G176" i="23"/>
  <c r="Y22" i="45" s="1"/>
  <c r="G175" i="23"/>
  <c r="Y21" i="45" s="1"/>
  <c r="G172" i="23"/>
  <c r="Y19" i="45" s="1"/>
  <c r="G171" i="23"/>
  <c r="Y18" i="45" s="1"/>
  <c r="G170" i="23"/>
  <c r="Y17" i="45" s="1"/>
  <c r="G162" i="23"/>
  <c r="G161"/>
  <c r="G160"/>
  <c r="G159"/>
  <c r="AB26" i="44" s="1"/>
  <c r="G158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/>
  <c r="G132"/>
  <c r="G131"/>
  <c r="G129"/>
  <c r="G128"/>
  <c r="G1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/>
  <c r="G113"/>
  <c r="G112"/>
  <c r="G92"/>
  <c r="AL25" i="1" s="1"/>
  <c r="G91" i="23"/>
  <c r="G90"/>
  <c r="G89"/>
  <c r="G88"/>
  <c r="G87"/>
  <c r="AC25" i="1" s="1"/>
  <c r="G86" i="23"/>
  <c r="AB25" i="1" s="1"/>
  <c r="G85" i="23"/>
  <c r="AA25" i="1" s="1"/>
  <c r="G84" i="23"/>
  <c r="Z25" i="1" s="1"/>
  <c r="G83" i="23"/>
  <c r="G82"/>
  <c r="G78"/>
  <c r="AS26" i="44" s="1"/>
  <c r="G77" i="23"/>
  <c r="AR26" i="44" s="1"/>
  <c r="G76" i="23"/>
  <c r="AQ26" i="44" s="1"/>
  <c r="G75" i="23"/>
  <c r="AP26" i="44" s="1"/>
  <c r="G74" i="23"/>
  <c r="G70"/>
  <c r="Y15" i="45" s="1"/>
  <c r="G69" i="23"/>
  <c r="Y14" i="45" s="1"/>
  <c r="G68" i="23"/>
  <c r="Y13" i="45" s="1"/>
  <c r="G67" i="23"/>
  <c r="G66"/>
  <c r="G65"/>
  <c r="G63"/>
  <c r="Y8" i="45" s="1"/>
  <c r="G62" i="23"/>
  <c r="Y7" i="45" s="1"/>
  <c r="G58" i="23"/>
  <c r="G57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M8"/>
  <c r="G182" i="22"/>
  <c r="G181"/>
  <c r="G180"/>
  <c r="G177"/>
  <c r="X23" i="45" s="1"/>
  <c r="G176" i="22"/>
  <c r="X22" i="45" s="1"/>
  <c r="G175" i="22"/>
  <c r="X21" i="45" s="1"/>
  <c r="G172" i="22"/>
  <c r="X19" i="45" s="1"/>
  <c r="G171" i="22"/>
  <c r="X18" i="45" s="1"/>
  <c r="G170" i="22"/>
  <c r="X17" i="45" s="1"/>
  <c r="G162" i="22"/>
  <c r="G161"/>
  <c r="G160"/>
  <c r="G159"/>
  <c r="AB25" i="44" s="1"/>
  <c r="G158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/>
  <c r="G132"/>
  <c r="G131"/>
  <c r="G130"/>
  <c r="G129"/>
  <c r="G128"/>
  <c r="G123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/>
  <c r="G113"/>
  <c r="G112"/>
  <c r="G92"/>
  <c r="AL24" i="1" s="1"/>
  <c r="G91" i="22"/>
  <c r="G90"/>
  <c r="G89"/>
  <c r="G88"/>
  <c r="G87"/>
  <c r="AC24" i="1" s="1"/>
  <c r="G86" i="22"/>
  <c r="AB24" i="1" s="1"/>
  <c r="G85" i="22"/>
  <c r="AA24" i="1" s="1"/>
  <c r="G84" i="22"/>
  <c r="Z24" i="1" s="1"/>
  <c r="G83" i="22"/>
  <c r="G82"/>
  <c r="G78"/>
  <c r="AS25" i="44" s="1"/>
  <c r="G77" i="22"/>
  <c r="AR25" i="44" s="1"/>
  <c r="G76" i="22"/>
  <c r="AQ25" i="44" s="1"/>
  <c r="G75" i="22"/>
  <c r="AP25" i="44" s="1"/>
  <c r="G74" i="22"/>
  <c r="G70"/>
  <c r="X15" i="45" s="1"/>
  <c r="G69" i="22"/>
  <c r="X14" i="45" s="1"/>
  <c r="G68" i="22"/>
  <c r="X13" i="45" s="1"/>
  <c r="G67" i="22"/>
  <c r="G66"/>
  <c r="G65"/>
  <c r="G63"/>
  <c r="X8" i="45" s="1"/>
  <c r="G62" i="22"/>
  <c r="X7" i="45" s="1"/>
  <c r="G58" i="22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M8"/>
  <c r="G182" i="21"/>
  <c r="G181"/>
  <c r="G180"/>
  <c r="G177"/>
  <c r="W23" i="45" s="1"/>
  <c r="G176" i="21"/>
  <c r="W22" i="45" s="1"/>
  <c r="G175" i="21"/>
  <c r="W21" i="45" s="1"/>
  <c r="G172" i="21"/>
  <c r="W19" i="45" s="1"/>
  <c r="G171" i="21"/>
  <c r="W18" i="45" s="1"/>
  <c r="G170" i="21"/>
  <c r="W17" i="45" s="1"/>
  <c r="G162" i="21"/>
  <c r="G161"/>
  <c r="G160"/>
  <c r="G159"/>
  <c r="AB24" i="44" s="1"/>
  <c r="G158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/>
  <c r="G132"/>
  <c r="G131"/>
  <c r="G130"/>
  <c r="G129"/>
  <c r="G128"/>
  <c r="G123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/>
  <c r="G113"/>
  <c r="G112"/>
  <c r="G92"/>
  <c r="AL23" i="1" s="1"/>
  <c r="G91" i="21"/>
  <c r="G90"/>
  <c r="G89"/>
  <c r="G88"/>
  <c r="G87"/>
  <c r="AC23" i="1" s="1"/>
  <c r="G86" i="21"/>
  <c r="AB23" i="1" s="1"/>
  <c r="G85" i="21"/>
  <c r="AA23" i="1" s="1"/>
  <c r="G84" i="21"/>
  <c r="Z23" i="1" s="1"/>
  <c r="G83" i="21"/>
  <c r="G82"/>
  <c r="G78"/>
  <c r="AS24" i="44" s="1"/>
  <c r="G77" i="21"/>
  <c r="AR24" i="44" s="1"/>
  <c r="G76" i="21"/>
  <c r="AQ24" i="44" s="1"/>
  <c r="G75" i="21"/>
  <c r="AP24" i="44" s="1"/>
  <c r="G74" i="21"/>
  <c r="G70"/>
  <c r="W15" i="45" s="1"/>
  <c r="G69" i="21"/>
  <c r="W14" i="45" s="1"/>
  <c r="G68" i="21"/>
  <c r="W13" i="45" s="1"/>
  <c r="G67" i="21"/>
  <c r="G66"/>
  <c r="G65"/>
  <c r="G63"/>
  <c r="W8" i="45" s="1"/>
  <c r="G62" i="21"/>
  <c r="G58"/>
  <c r="G57"/>
  <c r="G56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M8"/>
  <c r="G182" i="20"/>
  <c r="G181"/>
  <c r="G180"/>
  <c r="G177"/>
  <c r="V23" i="45" s="1"/>
  <c r="G176" i="20"/>
  <c r="V22" i="45" s="1"/>
  <c r="G175" i="20"/>
  <c r="V21" i="45" s="1"/>
  <c r="G172" i="20"/>
  <c r="V19" i="45" s="1"/>
  <c r="G171" i="20"/>
  <c r="V18" i="45" s="1"/>
  <c r="G170" i="20"/>
  <c r="V17" i="45" s="1"/>
  <c r="G162" i="20"/>
  <c r="G161"/>
  <c r="G160"/>
  <c r="G159"/>
  <c r="AB23" i="44" s="1"/>
  <c r="G158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/>
  <c r="G132"/>
  <c r="G131"/>
  <c r="G130"/>
  <c r="G129"/>
  <c r="G128"/>
  <c r="G123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/>
  <c r="G113"/>
  <c r="G112"/>
  <c r="G92"/>
  <c r="AL22" i="1" s="1"/>
  <c r="G91" i="20"/>
  <c r="G90"/>
  <c r="G89"/>
  <c r="G88"/>
  <c r="G87"/>
  <c r="AC22" i="1" s="1"/>
  <c r="G86" i="20"/>
  <c r="AB22" i="1" s="1"/>
  <c r="G85" i="20"/>
  <c r="AA22" i="1" s="1"/>
  <c r="G84" i="20"/>
  <c r="Z22" i="1" s="1"/>
  <c r="G83" i="20"/>
  <c r="G82"/>
  <c r="G78"/>
  <c r="AS23" i="44" s="1"/>
  <c r="G77" i="20"/>
  <c r="AR23" i="44" s="1"/>
  <c r="G76" i="20"/>
  <c r="AQ23" i="44" s="1"/>
  <c r="G75" i="20"/>
  <c r="AP23" i="44" s="1"/>
  <c r="G74" i="20"/>
  <c r="G70"/>
  <c r="V15" i="45" s="1"/>
  <c r="G69" i="20"/>
  <c r="V14" i="45" s="1"/>
  <c r="G68" i="20"/>
  <c r="V13" i="45" s="1"/>
  <c r="G67" i="20"/>
  <c r="G66"/>
  <c r="G65"/>
  <c r="G63"/>
  <c r="V8" i="45" s="1"/>
  <c r="G62" i="20"/>
  <c r="V7" i="45" s="1"/>
  <c r="G58" i="2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M8"/>
  <c r="G182" i="19"/>
  <c r="G181"/>
  <c r="G180"/>
  <c r="G177"/>
  <c r="U23" i="45" s="1"/>
  <c r="G176" i="19"/>
  <c r="U22" i="45" s="1"/>
  <c r="G175" i="19"/>
  <c r="U21" i="45" s="1"/>
  <c r="G172" i="19"/>
  <c r="U19" i="45" s="1"/>
  <c r="G171" i="19"/>
  <c r="U18" i="45" s="1"/>
  <c r="G170" i="19"/>
  <c r="U17" i="45" s="1"/>
  <c r="G162" i="19"/>
  <c r="G161"/>
  <c r="G160"/>
  <c r="G159"/>
  <c r="AB22" i="44" s="1"/>
  <c r="G158" i="19"/>
  <c r="G142"/>
  <c r="R22" i="44" s="1"/>
  <c r="G141" i="19"/>
  <c r="Q22" i="44" s="1"/>
  <c r="G140" i="19"/>
  <c r="P22" i="44" s="1"/>
  <c r="G139" i="19"/>
  <c r="O22" i="44" s="1"/>
  <c r="G138" i="19"/>
  <c r="G133"/>
  <c r="G132"/>
  <c r="G131"/>
  <c r="G130"/>
  <c r="G129"/>
  <c r="G128"/>
  <c r="G135" s="1"/>
  <c r="G123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/>
  <c r="G113"/>
  <c r="G112"/>
  <c r="G92"/>
  <c r="AL21" i="1" s="1"/>
  <c r="G91" i="19"/>
  <c r="G90"/>
  <c r="G89"/>
  <c r="G88"/>
  <c r="G87"/>
  <c r="AC21" i="1" s="1"/>
  <c r="G86" i="19"/>
  <c r="AB21" i="1" s="1"/>
  <c r="G85" i="19"/>
  <c r="AA21" i="1" s="1"/>
  <c r="G84" i="19"/>
  <c r="Z21" i="1" s="1"/>
  <c r="G83" i="19"/>
  <c r="G82"/>
  <c r="G78"/>
  <c r="AS22" i="44" s="1"/>
  <c r="G77" i="19"/>
  <c r="AR22" i="44" s="1"/>
  <c r="G76" i="19"/>
  <c r="AQ22" i="44" s="1"/>
  <c r="G75" i="19"/>
  <c r="AP22" i="44" s="1"/>
  <c r="G74" i="19"/>
  <c r="G70"/>
  <c r="U15" i="45" s="1"/>
  <c r="G69" i="19"/>
  <c r="U14" i="45" s="1"/>
  <c r="G68" i="19"/>
  <c r="U13" i="45" s="1"/>
  <c r="G66" i="19"/>
  <c r="G65"/>
  <c r="G63"/>
  <c r="U8" i="45" s="1"/>
  <c r="G62" i="19"/>
  <c r="U7" i="45" s="1"/>
  <c r="G58" i="19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K9"/>
  <c r="M8"/>
  <c r="G182" i="18"/>
  <c r="G181"/>
  <c r="G180"/>
  <c r="G177"/>
  <c r="T23" i="45" s="1"/>
  <c r="G176" i="18"/>
  <c r="T22" i="45" s="1"/>
  <c r="G175" i="18"/>
  <c r="T21" i="45" s="1"/>
  <c r="G172" i="18"/>
  <c r="T19" i="45" s="1"/>
  <c r="G171" i="18"/>
  <c r="T18" i="45" s="1"/>
  <c r="G170" i="18"/>
  <c r="T17" i="45" s="1"/>
  <c r="G162" i="18"/>
  <c r="G161"/>
  <c r="G160"/>
  <c r="G159"/>
  <c r="AB21" i="44" s="1"/>
  <c r="G158" i="18"/>
  <c r="G142"/>
  <c r="R21" i="44" s="1"/>
  <c r="G141" i="18"/>
  <c r="Q21" i="44" s="1"/>
  <c r="G140" i="18"/>
  <c r="P21" i="44" s="1"/>
  <c r="G139" i="18"/>
  <c r="O21" i="44" s="1"/>
  <c r="G138" i="18"/>
  <c r="G133"/>
  <c r="G132"/>
  <c r="G131"/>
  <c r="G130"/>
  <c r="G129"/>
  <c r="G128"/>
  <c r="G123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/>
  <c r="G113"/>
  <c r="G112"/>
  <c r="G92"/>
  <c r="AL20" i="1" s="1"/>
  <c r="G91" i="18"/>
  <c r="G90"/>
  <c r="G89"/>
  <c r="G88"/>
  <c r="G87"/>
  <c r="AC20" i="1" s="1"/>
  <c r="G86" i="18"/>
  <c r="AB20" i="1" s="1"/>
  <c r="G85" i="18"/>
  <c r="AA20" i="1" s="1"/>
  <c r="G84" i="18"/>
  <c r="Z20" i="1" s="1"/>
  <c r="G83" i="18"/>
  <c r="G82"/>
  <c r="G78"/>
  <c r="AS21" i="44" s="1"/>
  <c r="G77" i="18"/>
  <c r="AR21" i="44" s="1"/>
  <c r="G76" i="18"/>
  <c r="AQ21" i="44" s="1"/>
  <c r="G75" i="18"/>
  <c r="AP21" i="44" s="1"/>
  <c r="G74" i="18"/>
  <c r="G70"/>
  <c r="T15" i="45" s="1"/>
  <c r="G69" i="18"/>
  <c r="T14" i="45" s="1"/>
  <c r="G68" i="18"/>
  <c r="T13" i="45" s="1"/>
  <c r="G67" i="18"/>
  <c r="G66"/>
  <c r="G65"/>
  <c r="G63"/>
  <c r="T8" i="45" s="1"/>
  <c r="G62" i="18"/>
  <c r="T7" i="45" s="1"/>
  <c r="G58" i="1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M8"/>
  <c r="G182" i="17"/>
  <c r="G181"/>
  <c r="G180"/>
  <c r="G177"/>
  <c r="S23" i="45" s="1"/>
  <c r="G176" i="17"/>
  <c r="S22" i="45" s="1"/>
  <c r="G175" i="17"/>
  <c r="S21" i="45" s="1"/>
  <c r="G172" i="17"/>
  <c r="S19" i="45" s="1"/>
  <c r="G171" i="17"/>
  <c r="S18" i="45" s="1"/>
  <c r="G170" i="17"/>
  <c r="S17" i="45" s="1"/>
  <c r="G162" i="17"/>
  <c r="G161"/>
  <c r="G160"/>
  <c r="G159"/>
  <c r="AB20" i="44" s="1"/>
  <c r="G158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/>
  <c r="G132"/>
  <c r="G131"/>
  <c r="G130"/>
  <c r="G129"/>
  <c r="G128"/>
  <c r="G123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/>
  <c r="G112"/>
  <c r="AL19" i="1"/>
  <c r="G90" i="17"/>
  <c r="G89"/>
  <c r="G88"/>
  <c r="G87"/>
  <c r="AC19" i="1" s="1"/>
  <c r="G86" i="17"/>
  <c r="AB19" i="1" s="1"/>
  <c r="G85" i="17"/>
  <c r="AA19" i="1" s="1"/>
  <c r="G84" i="17"/>
  <c r="Z19" i="1" s="1"/>
  <c r="G83" i="17"/>
  <c r="G82"/>
  <c r="G78"/>
  <c r="AS20" i="44" s="1"/>
  <c r="G77" i="17"/>
  <c r="AR20" i="44" s="1"/>
  <c r="G76" i="17"/>
  <c r="AQ20" i="44" s="1"/>
  <c r="G75" i="17"/>
  <c r="AP20" i="44" s="1"/>
  <c r="G74" i="17"/>
  <c r="G70"/>
  <c r="S15" i="45" s="1"/>
  <c r="G69" i="17"/>
  <c r="S14" i="45" s="1"/>
  <c r="G68" i="17"/>
  <c r="S13" i="45" s="1"/>
  <c r="G67" i="17"/>
  <c r="G66"/>
  <c r="G65"/>
  <c r="G63"/>
  <c r="S8" i="45" s="1"/>
  <c r="G62" i="17"/>
  <c r="S7" i="45" s="1"/>
  <c r="G58" i="17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0"/>
  <c r="K9"/>
  <c r="M8"/>
  <c r="G182" i="16"/>
  <c r="G181"/>
  <c r="G180"/>
  <c r="G177"/>
  <c r="R23" i="45" s="1"/>
  <c r="G176" i="16"/>
  <c r="R22" i="45" s="1"/>
  <c r="G175" i="16"/>
  <c r="R21" i="45" s="1"/>
  <c r="G172" i="16"/>
  <c r="R19" i="45" s="1"/>
  <c r="G171" i="16"/>
  <c r="R18" i="45" s="1"/>
  <c r="G170" i="16"/>
  <c r="R17" i="45" s="1"/>
  <c r="G162" i="16"/>
  <c r="G161"/>
  <c r="G160"/>
  <c r="G159"/>
  <c r="AB19" i="44" s="1"/>
  <c r="G158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/>
  <c r="G132"/>
  <c r="G131"/>
  <c r="G130"/>
  <c r="G129"/>
  <c r="G128"/>
  <c r="G123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/>
  <c r="G113"/>
  <c r="G112"/>
  <c r="G92"/>
  <c r="AL18" i="1" s="1"/>
  <c r="G91" i="16"/>
  <c r="G90"/>
  <c r="G89"/>
  <c r="G88"/>
  <c r="G87"/>
  <c r="AC18" i="1" s="1"/>
  <c r="G86" i="16"/>
  <c r="AB18" i="1" s="1"/>
  <c r="G85" i="16"/>
  <c r="AA18" i="1" s="1"/>
  <c r="G84" i="16"/>
  <c r="Z18" i="1" s="1"/>
  <c r="G83" i="16"/>
  <c r="G82"/>
  <c r="G78"/>
  <c r="AS19" i="44" s="1"/>
  <c r="G77" i="16"/>
  <c r="AR19" i="44" s="1"/>
  <c r="G76" i="16"/>
  <c r="AQ19" i="44" s="1"/>
  <c r="G75" i="16"/>
  <c r="AP19" i="44" s="1"/>
  <c r="G74" i="16"/>
  <c r="G70"/>
  <c r="R15" i="45" s="1"/>
  <c r="G69" i="16"/>
  <c r="R14" i="45" s="1"/>
  <c r="G68" i="16"/>
  <c r="R13" i="45" s="1"/>
  <c r="G67" i="16"/>
  <c r="G66"/>
  <c r="G65"/>
  <c r="G63"/>
  <c r="R8" i="45" s="1"/>
  <c r="G62" i="16"/>
  <c r="R7" i="45" s="1"/>
  <c r="G58" i="16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M8"/>
  <c r="G182" i="15"/>
  <c r="G181"/>
  <c r="G180"/>
  <c r="G177"/>
  <c r="Q23" i="45" s="1"/>
  <c r="G176" i="15"/>
  <c r="Q22" i="45" s="1"/>
  <c r="G175" i="15"/>
  <c r="Q21" i="45" s="1"/>
  <c r="G172" i="15"/>
  <c r="Q19" i="45" s="1"/>
  <c r="G171" i="15"/>
  <c r="Q18" i="45" s="1"/>
  <c r="G170" i="15"/>
  <c r="Q17" i="45" s="1"/>
  <c r="G162" i="15"/>
  <c r="G161"/>
  <c r="G160"/>
  <c r="G159"/>
  <c r="AB18" i="44" s="1"/>
  <c r="G158" i="15"/>
  <c r="G142"/>
  <c r="R18" i="44" s="1"/>
  <c r="G141" i="15"/>
  <c r="Q18" i="44" s="1"/>
  <c r="G140" i="15"/>
  <c r="P18" i="44" s="1"/>
  <c r="G139" i="15"/>
  <c r="O18" i="44" s="1"/>
  <c r="G138" i="15"/>
  <c r="G133"/>
  <c r="G132"/>
  <c r="G131"/>
  <c r="G130"/>
  <c r="G129"/>
  <c r="G128"/>
  <c r="G123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/>
  <c r="G113"/>
  <c r="G112"/>
  <c r="G92"/>
  <c r="AL17" i="1" s="1"/>
  <c r="G91" i="15"/>
  <c r="G90"/>
  <c r="G89"/>
  <c r="G88"/>
  <c r="G87"/>
  <c r="AC17" i="1" s="1"/>
  <c r="G86" i="15"/>
  <c r="AB17" i="1" s="1"/>
  <c r="G85" i="15"/>
  <c r="AA17" i="1" s="1"/>
  <c r="G84" i="15"/>
  <c r="Z17" i="1" s="1"/>
  <c r="G83" i="15"/>
  <c r="G82"/>
  <c r="G78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/>
  <c r="G65"/>
  <c r="G63"/>
  <c r="Q8" i="45" s="1"/>
  <c r="G62" i="15"/>
  <c r="Q7" i="45" s="1"/>
  <c r="G58" i="15"/>
  <c r="G57"/>
  <c r="G56"/>
  <c r="G55"/>
  <c r="G54"/>
  <c r="G53"/>
  <c r="G52"/>
  <c r="G51"/>
  <c r="G50"/>
  <c r="G49"/>
  <c r="G46"/>
  <c r="G45"/>
  <c r="G44"/>
  <c r="AO17" i="1" s="1"/>
  <c r="G43" i="15"/>
  <c r="G42"/>
  <c r="G41"/>
  <c r="G40"/>
  <c r="G39"/>
  <c r="G38"/>
  <c r="G37"/>
  <c r="G36"/>
  <c r="G35"/>
  <c r="E29"/>
  <c r="G29" s="1"/>
  <c r="G22"/>
  <c r="G19"/>
  <c r="G18"/>
  <c r="E31" s="1"/>
  <c r="G31" s="1"/>
  <c r="G10"/>
  <c r="K9"/>
  <c r="G9"/>
  <c r="M8"/>
  <c r="G8"/>
  <c r="E27" s="1"/>
  <c r="G27" s="1"/>
  <c r="G7"/>
  <c r="G182" i="14"/>
  <c r="G181"/>
  <c r="G180"/>
  <c r="G177"/>
  <c r="P23" i="45" s="1"/>
  <c r="G176" i="14"/>
  <c r="P22" i="45" s="1"/>
  <c r="G175" i="14"/>
  <c r="P21" i="45" s="1"/>
  <c r="G172" i="14"/>
  <c r="P19" i="45" s="1"/>
  <c r="G171" i="14"/>
  <c r="P18" i="45" s="1"/>
  <c r="G170" i="14"/>
  <c r="P17" i="45" s="1"/>
  <c r="G162" i="14"/>
  <c r="G161"/>
  <c r="G160"/>
  <c r="G159"/>
  <c r="AB17" i="44" s="1"/>
  <c r="G158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/>
  <c r="G132"/>
  <c r="G131"/>
  <c r="G130"/>
  <c r="G129"/>
  <c r="G128"/>
  <c r="G123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/>
  <c r="G113"/>
  <c r="G112"/>
  <c r="G92"/>
  <c r="AL16" i="1" s="1"/>
  <c r="G91" i="14"/>
  <c r="G90"/>
  <c r="G89"/>
  <c r="G88"/>
  <c r="G87"/>
  <c r="AC16" i="1" s="1"/>
  <c r="G86" i="14"/>
  <c r="AB16" i="1" s="1"/>
  <c r="G85" i="14"/>
  <c r="AA16" i="1" s="1"/>
  <c r="G84" i="14"/>
  <c r="Z16" i="1" s="1"/>
  <c r="G83" i="14"/>
  <c r="G82"/>
  <c r="G78"/>
  <c r="AS17" i="44" s="1"/>
  <c r="G77" i="14"/>
  <c r="AR17" i="44" s="1"/>
  <c r="G76" i="14"/>
  <c r="AQ17" i="44" s="1"/>
  <c r="G75" i="14"/>
  <c r="AP17" i="44" s="1"/>
  <c r="G74" i="14"/>
  <c r="G70"/>
  <c r="P15" i="45" s="1"/>
  <c r="G69" i="14"/>
  <c r="P14" i="45" s="1"/>
  <c r="G68" i="14"/>
  <c r="P13" i="45" s="1"/>
  <c r="G67" i="14"/>
  <c r="G66"/>
  <c r="G65"/>
  <c r="G63"/>
  <c r="P8" i="45" s="1"/>
  <c r="G62" i="14"/>
  <c r="P7" i="45" s="1"/>
  <c r="G58" i="14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G9"/>
  <c r="M8"/>
  <c r="G8"/>
  <c r="E27" s="1"/>
  <c r="G27" s="1"/>
  <c r="G7"/>
  <c r="G182" i="13"/>
  <c r="G181"/>
  <c r="G180"/>
  <c r="G177"/>
  <c r="O23" i="45" s="1"/>
  <c r="G176" i="13"/>
  <c r="O22" i="45" s="1"/>
  <c r="G175" i="13"/>
  <c r="O21" i="45" s="1"/>
  <c r="G172" i="13"/>
  <c r="O19" i="45" s="1"/>
  <c r="G171" i="13"/>
  <c r="O18" i="45" s="1"/>
  <c r="G170" i="13"/>
  <c r="O17" i="45" s="1"/>
  <c r="G162" i="13"/>
  <c r="G161"/>
  <c r="G160"/>
  <c r="G159"/>
  <c r="AB16" i="44" s="1"/>
  <c r="G158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/>
  <c r="G132"/>
  <c r="G131"/>
  <c r="G130"/>
  <c r="G129"/>
  <c r="G128"/>
  <c r="G12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/>
  <c r="G113"/>
  <c r="G112"/>
  <c r="G92"/>
  <c r="AL15" i="1" s="1"/>
  <c r="G91" i="13"/>
  <c r="G90"/>
  <c r="G89"/>
  <c r="G88"/>
  <c r="G87"/>
  <c r="AC15" i="1" s="1"/>
  <c r="G86" i="13"/>
  <c r="AB15" i="1" s="1"/>
  <c r="G85" i="13"/>
  <c r="AA15" i="1" s="1"/>
  <c r="G84" i="13"/>
  <c r="Z15" i="1" s="1"/>
  <c r="G83" i="13"/>
  <c r="G82"/>
  <c r="G78"/>
  <c r="AS16" i="44" s="1"/>
  <c r="G77" i="13"/>
  <c r="AR16" i="44" s="1"/>
  <c r="G76" i="13"/>
  <c r="AQ16" i="44" s="1"/>
  <c r="G75" i="13"/>
  <c r="AP16" i="44" s="1"/>
  <c r="G74" i="13"/>
  <c r="G70"/>
  <c r="O15" i="45" s="1"/>
  <c r="G69" i="13"/>
  <c r="O14" i="45" s="1"/>
  <c r="G68" i="13"/>
  <c r="O13" i="45" s="1"/>
  <c r="G67" i="13"/>
  <c r="G66"/>
  <c r="G65"/>
  <c r="G63"/>
  <c r="O8" i="45" s="1"/>
  <c r="G62" i="13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G9"/>
  <c r="M8"/>
  <c r="G8"/>
  <c r="G7"/>
  <c r="G182" i="12"/>
  <c r="G181"/>
  <c r="G180"/>
  <c r="G177"/>
  <c r="N23" i="45" s="1"/>
  <c r="G176" i="12"/>
  <c r="N22" i="45" s="1"/>
  <c r="G175" i="12"/>
  <c r="N21" i="45" s="1"/>
  <c r="G172" i="12"/>
  <c r="N19" i="45" s="1"/>
  <c r="G171" i="12"/>
  <c r="N18" i="45" s="1"/>
  <c r="G170" i="12"/>
  <c r="N17" i="45" s="1"/>
  <c r="G162" i="12"/>
  <c r="G161"/>
  <c r="G160"/>
  <c r="G159"/>
  <c r="AB15" i="44" s="1"/>
  <c r="G158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/>
  <c r="G132"/>
  <c r="G131"/>
  <c r="G130"/>
  <c r="G129"/>
  <c r="G128"/>
  <c r="G135" s="1"/>
  <c r="G123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/>
  <c r="G113"/>
  <c r="G112"/>
  <c r="G92"/>
  <c r="AL14" i="1" s="1"/>
  <c r="G91" i="12"/>
  <c r="G90"/>
  <c r="G89"/>
  <c r="G88"/>
  <c r="G87"/>
  <c r="AC14" i="1" s="1"/>
  <c r="G86" i="12"/>
  <c r="AB14" i="1" s="1"/>
  <c r="G85" i="12"/>
  <c r="AA14" i="1" s="1"/>
  <c r="G84" i="12"/>
  <c r="Z14" i="1" s="1"/>
  <c r="G83" i="12"/>
  <c r="G82"/>
  <c r="G78"/>
  <c r="AS15" i="44" s="1"/>
  <c r="G77" i="12"/>
  <c r="AR15" i="44" s="1"/>
  <c r="G76" i="12"/>
  <c r="AQ15" i="44" s="1"/>
  <c r="G75" i="12"/>
  <c r="AP15" i="44" s="1"/>
  <c r="G74" i="12"/>
  <c r="G70"/>
  <c r="N15" i="45" s="1"/>
  <c r="G69" i="12"/>
  <c r="N14" i="45" s="1"/>
  <c r="G68" i="12"/>
  <c r="N13" i="45" s="1"/>
  <c r="G67" i="12"/>
  <c r="G66"/>
  <c r="G65"/>
  <c r="G63"/>
  <c r="N8" i="45" s="1"/>
  <c r="G62" i="12"/>
  <c r="N7" i="45" s="1"/>
  <c r="G58" i="12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G9"/>
  <c r="M8"/>
  <c r="G8"/>
  <c r="G7"/>
  <c r="G182" i="11"/>
  <c r="G181"/>
  <c r="G180"/>
  <c r="G177"/>
  <c r="M23" i="45" s="1"/>
  <c r="G176" i="11"/>
  <c r="M22" i="45" s="1"/>
  <c r="G175" i="11"/>
  <c r="M21" i="45" s="1"/>
  <c r="G172" i="11"/>
  <c r="M19" i="45" s="1"/>
  <c r="G171" i="11"/>
  <c r="M18" i="45" s="1"/>
  <c r="G170" i="11"/>
  <c r="M17" i="45" s="1"/>
  <c r="G162" i="11"/>
  <c r="G161"/>
  <c r="G160"/>
  <c r="G159"/>
  <c r="AB14" i="44" s="1"/>
  <c r="G158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/>
  <c r="AM14" i="44" s="1"/>
  <c r="G132" i="11"/>
  <c r="G131"/>
  <c r="G130"/>
  <c r="G129"/>
  <c r="G128"/>
  <c r="G123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/>
  <c r="G113"/>
  <c r="G112"/>
  <c r="G92"/>
  <c r="AL13" i="1" s="1"/>
  <c r="G91" i="11"/>
  <c r="G90"/>
  <c r="G89"/>
  <c r="G88"/>
  <c r="G87"/>
  <c r="AC13" i="1" s="1"/>
  <c r="G86" i="11"/>
  <c r="AB13" i="1" s="1"/>
  <c r="G85" i="11"/>
  <c r="AA13" i="1" s="1"/>
  <c r="G84" i="11"/>
  <c r="Z13" i="1" s="1"/>
  <c r="G83" i="11"/>
  <c r="G82"/>
  <c r="G78"/>
  <c r="AS14" i="44" s="1"/>
  <c r="G77" i="11"/>
  <c r="AR14" i="44" s="1"/>
  <c r="G76" i="11"/>
  <c r="AQ14" i="44" s="1"/>
  <c r="G75" i="11"/>
  <c r="AP14" i="44" s="1"/>
  <c r="G74" i="11"/>
  <c r="G70"/>
  <c r="M15" i="45" s="1"/>
  <c r="G69" i="11"/>
  <c r="M14" i="45" s="1"/>
  <c r="G68" i="11"/>
  <c r="M13" i="45" s="1"/>
  <c r="G67" i="11"/>
  <c r="G66"/>
  <c r="G65"/>
  <c r="G63"/>
  <c r="M8" i="45" s="1"/>
  <c r="G62" i="11"/>
  <c r="M7" i="45" s="1"/>
  <c r="G58" i="11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G9"/>
  <c r="M8"/>
  <c r="G8"/>
  <c r="G7"/>
  <c r="G182" i="10"/>
  <c r="G181"/>
  <c r="G180"/>
  <c r="G177"/>
  <c r="L23" i="45" s="1"/>
  <c r="G176" i="10"/>
  <c r="L22" i="45" s="1"/>
  <c r="G175" i="10"/>
  <c r="L21" i="45" s="1"/>
  <c r="G172" i="10"/>
  <c r="L19" i="45" s="1"/>
  <c r="G171" i="10"/>
  <c r="L18" i="45" s="1"/>
  <c r="G170" i="10"/>
  <c r="L17" i="45" s="1"/>
  <c r="G162" i="10"/>
  <c r="G161"/>
  <c r="G160"/>
  <c r="G159"/>
  <c r="AB13" i="44" s="1"/>
  <c r="G158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/>
  <c r="AM13" i="44" s="1"/>
  <c r="G132" i="10"/>
  <c r="G131"/>
  <c r="G130"/>
  <c r="G129"/>
  <c r="G128"/>
  <c r="G123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/>
  <c r="G113"/>
  <c r="G112"/>
  <c r="G92"/>
  <c r="AL12" i="1" s="1"/>
  <c r="G91" i="10"/>
  <c r="G90"/>
  <c r="G89"/>
  <c r="G88"/>
  <c r="G87"/>
  <c r="AC12" i="1" s="1"/>
  <c r="G86" i="10"/>
  <c r="AB12" i="1" s="1"/>
  <c r="G85" i="10"/>
  <c r="AA12" i="1" s="1"/>
  <c r="G84" i="10"/>
  <c r="Z12" i="1" s="1"/>
  <c r="G83" i="10"/>
  <c r="G82"/>
  <c r="G78"/>
  <c r="AS13" i="44" s="1"/>
  <c r="G77" i="10"/>
  <c r="AR13" i="44" s="1"/>
  <c r="G76" i="10"/>
  <c r="AQ13" i="44" s="1"/>
  <c r="G75" i="10"/>
  <c r="AP13" i="44" s="1"/>
  <c r="G74" i="10"/>
  <c r="G70"/>
  <c r="L15" i="45" s="1"/>
  <c r="G69" i="10"/>
  <c r="L14" i="45" s="1"/>
  <c r="G68" i="10"/>
  <c r="L13" i="45" s="1"/>
  <c r="G67" i="10"/>
  <c r="G66"/>
  <c r="G65"/>
  <c r="G63"/>
  <c r="L8" i="45" s="1"/>
  <c r="G62" i="10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G9"/>
  <c r="M8"/>
  <c r="G8"/>
  <c r="G7"/>
  <c r="G182" i="9"/>
  <c r="G181"/>
  <c r="G180"/>
  <c r="G177"/>
  <c r="K23" i="45" s="1"/>
  <c r="G176" i="9"/>
  <c r="K22" i="45" s="1"/>
  <c r="G175" i="9"/>
  <c r="K21" i="45" s="1"/>
  <c r="G172" i="9"/>
  <c r="K19" i="45" s="1"/>
  <c r="G171" i="9"/>
  <c r="K18" i="45" s="1"/>
  <c r="G170" i="9"/>
  <c r="K17" i="45" s="1"/>
  <c r="G162" i="9"/>
  <c r="G161"/>
  <c r="G160"/>
  <c r="G159"/>
  <c r="AB12" i="44" s="1"/>
  <c r="G158" i="9"/>
  <c r="AA12" i="44" s="1"/>
  <c r="G142" i="9"/>
  <c r="R12" i="44" s="1"/>
  <c r="G141" i="9"/>
  <c r="Q12" i="44" s="1"/>
  <c r="G140" i="9"/>
  <c r="P12" i="44" s="1"/>
  <c r="G139" i="9"/>
  <c r="O12" i="44" s="1"/>
  <c r="G138" i="9"/>
  <c r="G133"/>
  <c r="AM12" i="44" s="1"/>
  <c r="G132" i="9"/>
  <c r="G131"/>
  <c r="G130"/>
  <c r="G129"/>
  <c r="G128"/>
  <c r="G123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/>
  <c r="G113"/>
  <c r="G112"/>
  <c r="G92"/>
  <c r="AL11" i="1" s="1"/>
  <c r="G91" i="9"/>
  <c r="G90"/>
  <c r="G89"/>
  <c r="G88"/>
  <c r="G87"/>
  <c r="AC11" i="1" s="1"/>
  <c r="G86" i="9"/>
  <c r="AB11" i="1" s="1"/>
  <c r="G85" i="9"/>
  <c r="AA11" i="1" s="1"/>
  <c r="G84" i="9"/>
  <c r="Z11" i="1" s="1"/>
  <c r="G83" i="9"/>
  <c r="G82"/>
  <c r="G78"/>
  <c r="AS12" i="44" s="1"/>
  <c r="G77" i="9"/>
  <c r="AR12" i="44" s="1"/>
  <c r="G76" i="9"/>
  <c r="AQ12" i="44" s="1"/>
  <c r="G75" i="9"/>
  <c r="AP12" i="44" s="1"/>
  <c r="G74" i="9"/>
  <c r="G70"/>
  <c r="K15" i="45" s="1"/>
  <c r="G69" i="9"/>
  <c r="K14" i="45" s="1"/>
  <c r="G68" i="9"/>
  <c r="K13" i="45" s="1"/>
  <c r="G67" i="9"/>
  <c r="G66"/>
  <c r="G65"/>
  <c r="G63"/>
  <c r="K8" i="45" s="1"/>
  <c r="G62" i="9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G15"/>
  <c r="G10"/>
  <c r="K9"/>
  <c r="G9"/>
  <c r="M8"/>
  <c r="G8"/>
  <c r="G7"/>
  <c r="G135" l="1"/>
  <c r="G125" i="23"/>
  <c r="G135" i="22"/>
  <c r="I135" i="9"/>
  <c r="G125" i="11"/>
  <c r="I125" s="1"/>
  <c r="G135" i="13"/>
  <c r="I135" s="1"/>
  <c r="G153" i="19"/>
  <c r="I153" s="1"/>
  <c r="I125" i="23"/>
  <c r="G135" i="28"/>
  <c r="I135" s="1"/>
  <c r="G125" i="31"/>
  <c r="I125" s="1"/>
  <c r="I135" i="19"/>
  <c r="G135" i="40"/>
  <c r="I135" s="1"/>
  <c r="N25" i="44"/>
  <c r="G153" i="22"/>
  <c r="I153" s="1"/>
  <c r="N18" i="44"/>
  <c r="G153" i="15"/>
  <c r="I153" s="1"/>
  <c r="G135" i="18"/>
  <c r="I135" s="1"/>
  <c r="G125" i="20"/>
  <c r="I125" s="1"/>
  <c r="N26" i="44"/>
  <c r="G153" i="23"/>
  <c r="I153" s="1"/>
  <c r="G125" i="27"/>
  <c r="I125" s="1"/>
  <c r="N32" i="44"/>
  <c r="I153" i="29"/>
  <c r="G135" i="43"/>
  <c r="I135" s="1"/>
  <c r="N29" i="44"/>
  <c r="G153" i="40"/>
  <c r="I153" s="1"/>
  <c r="G125" i="10"/>
  <c r="I125" s="1"/>
  <c r="N14" i="44"/>
  <c r="G153" i="11"/>
  <c r="I153" s="1"/>
  <c r="I135" i="12"/>
  <c r="G125" i="14"/>
  <c r="I125" s="1"/>
  <c r="G125" i="16"/>
  <c r="I125" s="1"/>
  <c r="I135" i="22"/>
  <c r="G125" i="30"/>
  <c r="I125" s="1"/>
  <c r="N35" i="44"/>
  <c r="G153" i="31"/>
  <c r="I153" s="1"/>
  <c r="G135" i="15"/>
  <c r="I135" s="1"/>
  <c r="G125" i="17"/>
  <c r="I125" s="1"/>
  <c r="N23" i="44"/>
  <c r="G153" i="20"/>
  <c r="I153" s="1"/>
  <c r="G125" i="21"/>
  <c r="I125" s="1"/>
  <c r="G125" i="25"/>
  <c r="I125" s="1"/>
  <c r="N30" i="44"/>
  <c r="G153" i="27"/>
  <c r="I153" s="1"/>
  <c r="G135" i="29"/>
  <c r="I135" s="1"/>
  <c r="N15" i="44"/>
  <c r="G153" i="12"/>
  <c r="I153" s="1"/>
  <c r="G125" i="9"/>
  <c r="I125" s="1"/>
  <c r="N13" i="44"/>
  <c r="G153" i="10"/>
  <c r="I153" s="1"/>
  <c r="G135" i="11"/>
  <c r="I135" s="1"/>
  <c r="G125" i="13"/>
  <c r="I125" s="1"/>
  <c r="N17" i="44"/>
  <c r="G153" i="14"/>
  <c r="I153" s="1"/>
  <c r="N19" i="44"/>
  <c r="G153" i="16"/>
  <c r="I153" s="1"/>
  <c r="N20" i="44"/>
  <c r="G153" i="17"/>
  <c r="I153" s="1"/>
  <c r="G135" i="23"/>
  <c r="I135" s="1"/>
  <c r="G125" i="28"/>
  <c r="I125" s="1"/>
  <c r="N33" i="44"/>
  <c r="G153" i="30"/>
  <c r="I153" s="1"/>
  <c r="G135" i="31"/>
  <c r="I135" s="1"/>
  <c r="G125" i="18"/>
  <c r="I125" s="1"/>
  <c r="G135" i="20"/>
  <c r="I135" s="1"/>
  <c r="N24" i="44"/>
  <c r="G153" i="21"/>
  <c r="I153" s="1"/>
  <c r="G135" i="27"/>
  <c r="I135" s="1"/>
  <c r="G125" i="43"/>
  <c r="I125" s="1"/>
  <c r="N12" i="44"/>
  <c r="G153" i="9"/>
  <c r="I153" s="1"/>
  <c r="G135" i="10"/>
  <c r="I135" s="1"/>
  <c r="G125" i="12"/>
  <c r="I125" s="1"/>
  <c r="N16" i="44"/>
  <c r="G153" i="13"/>
  <c r="I153" s="1"/>
  <c r="G135" i="14"/>
  <c r="I135" s="1"/>
  <c r="G135" i="16"/>
  <c r="I135" s="1"/>
  <c r="G135" i="17"/>
  <c r="I135" s="1"/>
  <c r="G125" i="19"/>
  <c r="I125" s="1"/>
  <c r="G125" i="22"/>
  <c r="I125" s="1"/>
  <c r="G125" i="40"/>
  <c r="I125" s="1"/>
  <c r="N31" i="44"/>
  <c r="G153" i="28"/>
  <c r="I153" s="1"/>
  <c r="G135" i="30"/>
  <c r="G125" i="15"/>
  <c r="I125" s="1"/>
  <c r="G153" i="18"/>
  <c r="I153" s="1"/>
  <c r="G135" i="21"/>
  <c r="I135" s="1"/>
  <c r="G135" i="25"/>
  <c r="I135" s="1"/>
  <c r="G125" i="29"/>
  <c r="I125" s="1"/>
  <c r="N34" i="44"/>
  <c r="G153" i="43"/>
  <c r="I153" s="1"/>
  <c r="N28" i="44"/>
  <c r="G153" i="25"/>
  <c r="I153" s="1"/>
  <c r="N27" i="44"/>
  <c r="G153" i="24"/>
  <c r="I153" s="1"/>
  <c r="G135"/>
  <c r="I135" s="1"/>
  <c r="G125"/>
  <c r="I125" s="1"/>
  <c r="G8" i="16"/>
  <c r="G7"/>
  <c r="G9"/>
  <c r="G184"/>
  <c r="G184" i="12"/>
  <c r="G184" i="30"/>
  <c r="G94" i="29"/>
  <c r="G184" i="40"/>
  <c r="G185"/>
  <c r="G185" i="30"/>
  <c r="G185" i="23"/>
  <c r="G184"/>
  <c r="G184" i="20"/>
  <c r="G98"/>
  <c r="G185" i="22"/>
  <c r="G185" i="25"/>
  <c r="G185" i="29"/>
  <c r="O7" i="45"/>
  <c r="G184" i="13"/>
  <c r="G184" i="27"/>
  <c r="G184" i="43"/>
  <c r="G185" i="10"/>
  <c r="G185" i="19"/>
  <c r="G185" i="18"/>
  <c r="G185" i="15"/>
  <c r="G185" i="13"/>
  <c r="G185" i="14"/>
  <c r="G102" i="11"/>
  <c r="G100" i="12"/>
  <c r="G101" s="1"/>
  <c r="G100" i="20"/>
  <c r="G100" i="27"/>
  <c r="G184" i="31"/>
  <c r="L7" i="45"/>
  <c r="G184" i="10"/>
  <c r="G185" i="9"/>
  <c r="G185" i="17"/>
  <c r="G185" i="28"/>
  <c r="G185" i="31"/>
  <c r="G185" i="16"/>
  <c r="G185" i="20"/>
  <c r="G185" i="24"/>
  <c r="G185" i="27"/>
  <c r="G185" i="43"/>
  <c r="K7" i="45"/>
  <c r="G184" i="9"/>
  <c r="G184" i="22"/>
  <c r="G184" i="25"/>
  <c r="G184" i="29"/>
  <c r="G185" i="12"/>
  <c r="G185" i="11"/>
  <c r="G184"/>
  <c r="E30" i="14"/>
  <c r="G30" s="1"/>
  <c r="G184"/>
  <c r="E30" i="18"/>
  <c r="G30" s="1"/>
  <c r="G184"/>
  <c r="E30" i="15"/>
  <c r="G30" s="1"/>
  <c r="G184"/>
  <c r="E30" i="17"/>
  <c r="G30" s="1"/>
  <c r="G184"/>
  <c r="E30" i="19"/>
  <c r="G30" s="1"/>
  <c r="G184"/>
  <c r="E30" i="13"/>
  <c r="G30" s="1"/>
  <c r="W7" i="45"/>
  <c r="G184" i="21"/>
  <c r="E30" i="28"/>
  <c r="G30" s="1"/>
  <c r="G184"/>
  <c r="E30" i="24"/>
  <c r="G30" s="1"/>
  <c r="G184"/>
  <c r="G185" i="21"/>
  <c r="H156" i="9"/>
  <c r="H156" i="10" s="1"/>
  <c r="G102" i="30"/>
  <c r="G100" i="43"/>
  <c r="G94" i="13"/>
  <c r="G104" i="25"/>
  <c r="G102" i="9"/>
  <c r="G103" s="1"/>
  <c r="G100" i="18"/>
  <c r="G102" i="21"/>
  <c r="G100" i="22"/>
  <c r="G104" i="13"/>
  <c r="G105" s="1"/>
  <c r="G98" i="25"/>
  <c r="G98" i="29"/>
  <c r="G102" i="20"/>
  <c r="G100" i="21"/>
  <c r="W13" i="1"/>
  <c r="M10" i="45"/>
  <c r="G102" i="15"/>
  <c r="G103" s="1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G101" s="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/>
  <c r="AW34" i="44"/>
  <c r="AK33" i="1"/>
  <c r="AU34" i="44"/>
  <c r="AO33" i="1"/>
  <c r="AO34" i="44"/>
  <c r="AG33" i="1"/>
  <c r="AV34" i="44"/>
  <c r="AI33" i="1"/>
  <c r="AX34" i="44"/>
  <c r="AX35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/>
  <c r="N22"/>
  <c r="AO22" i="1"/>
  <c r="AO23" i="44"/>
  <c r="AG21" i="1"/>
  <c r="AV22" i="44"/>
  <c r="AA22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D12"/>
  <c r="AG11" i="1"/>
  <c r="AV12" i="44"/>
  <c r="AK11" i="1"/>
  <c r="AU12" i="44"/>
  <c r="AO11" i="1"/>
  <c r="AO12" i="44"/>
  <c r="AH11" i="1"/>
  <c r="AW12" i="44"/>
  <c r="H163" i="9"/>
  <c r="H163" i="10" s="1"/>
  <c r="H127" i="33"/>
  <c r="J127" s="1"/>
  <c r="J179" i="5"/>
  <c r="G100" i="19"/>
  <c r="G102" i="22"/>
  <c r="G100" i="23"/>
  <c r="G94" i="25"/>
  <c r="G102" i="13"/>
  <c r="G103" s="1"/>
  <c r="G173" i="17"/>
  <c r="G104" i="29"/>
  <c r="H151" i="4"/>
  <c r="J151" i="3"/>
  <c r="G94" i="20"/>
  <c r="G104" i="21"/>
  <c r="G100" i="25"/>
  <c r="G102" i="28"/>
  <c r="H134" i="33"/>
  <c r="J134" i="5"/>
  <c r="BJ13" i="1"/>
  <c r="BJ12"/>
  <c r="BJ11"/>
  <c r="G96" i="11"/>
  <c r="G97" s="1"/>
  <c r="G102" i="12"/>
  <c r="G103" s="1"/>
  <c r="G98" i="13"/>
  <c r="G99" s="1"/>
  <c r="G100"/>
  <c r="G101" s="1"/>
  <c r="G102" i="27"/>
  <c r="G100" i="28"/>
  <c r="G102" i="43"/>
  <c r="J152" i="5"/>
  <c r="H152" i="33"/>
  <c r="G100" i="9"/>
  <c r="G101" s="1"/>
  <c r="G102" i="16"/>
  <c r="G104" i="15"/>
  <c r="G105" s="1"/>
  <c r="G102" i="19"/>
  <c r="G47" i="43"/>
  <c r="G183"/>
  <c r="G183" i="30"/>
  <c r="I88" i="28"/>
  <c r="I90" i="27"/>
  <c r="G183"/>
  <c r="G183" i="40"/>
  <c r="G47"/>
  <c r="I90" i="25"/>
  <c r="G79" i="23"/>
  <c r="G80" s="1"/>
  <c r="I90"/>
  <c r="G183" i="22"/>
  <c r="G183" i="21"/>
  <c r="I90" i="18"/>
  <c r="I90" i="16"/>
  <c r="I88" i="14"/>
  <c r="G183" i="11"/>
  <c r="G183" i="9"/>
  <c r="I90"/>
  <c r="H165" i="10"/>
  <c r="J165" i="9"/>
  <c r="H164" i="10"/>
  <c r="J164" i="9"/>
  <c r="H179" i="7"/>
  <c r="J179" i="33"/>
  <c r="H174" i="7"/>
  <c r="J174" i="33"/>
  <c r="J20" i="3"/>
  <c r="I20" s="1"/>
  <c r="J13"/>
  <c r="G104" i="31"/>
  <c r="G183"/>
  <c r="G102"/>
  <c r="E31"/>
  <c r="G31" s="1"/>
  <c r="G94"/>
  <c r="G98"/>
  <c r="G100"/>
  <c r="I90"/>
  <c r="G71"/>
  <c r="I90" i="43"/>
  <c r="G71"/>
  <c r="G96"/>
  <c r="I90" i="30"/>
  <c r="G71"/>
  <c r="G100"/>
  <c r="G47"/>
  <c r="G100" i="29"/>
  <c r="G178" i="28"/>
  <c r="G186" s="1"/>
  <c r="G79"/>
  <c r="G79" i="27"/>
  <c r="G47"/>
  <c r="I90" i="40"/>
  <c r="G71"/>
  <c r="G96"/>
  <c r="G183" i="25"/>
  <c r="G173" i="24"/>
  <c r="G178"/>
  <c r="G186" s="1"/>
  <c r="G183" i="23"/>
  <c r="G71"/>
  <c r="G47"/>
  <c r="G79" i="22"/>
  <c r="G47"/>
  <c r="G96" i="21"/>
  <c r="G183" i="20"/>
  <c r="I90"/>
  <c r="G71"/>
  <c r="I85" i="19"/>
  <c r="G79"/>
  <c r="G80" s="1"/>
  <c r="H80" s="1"/>
  <c r="G104"/>
  <c r="G178" i="18"/>
  <c r="G186" s="1"/>
  <c r="I88"/>
  <c r="G183" i="16"/>
  <c r="G71"/>
  <c r="G47"/>
  <c r="G183" i="15"/>
  <c r="G79"/>
  <c r="G178" i="14"/>
  <c r="G186" s="1"/>
  <c r="I90"/>
  <c r="G173" i="13"/>
  <c r="G178"/>
  <c r="G186" s="1"/>
  <c r="I85"/>
  <c r="G79"/>
  <c r="G183" i="12"/>
  <c r="G47"/>
  <c r="I90" i="11"/>
  <c r="G71"/>
  <c r="G47"/>
  <c r="G183" i="10"/>
  <c r="G79"/>
  <c r="G47"/>
  <c r="G71" i="9"/>
  <c r="G96"/>
  <c r="G97" s="1"/>
  <c r="G47"/>
  <c r="I88" i="31"/>
  <c r="G59"/>
  <c r="G79"/>
  <c r="E30"/>
  <c r="G30" s="1"/>
  <c r="G173"/>
  <c r="G178"/>
  <c r="G186" s="1"/>
  <c r="G64"/>
  <c r="G96"/>
  <c r="G47"/>
  <c r="G20"/>
  <c r="I85"/>
  <c r="E28"/>
  <c r="G28" s="1"/>
  <c r="G71" i="10"/>
  <c r="I90" i="12"/>
  <c r="G173" i="14"/>
  <c r="G178" i="15"/>
  <c r="G186" s="1"/>
  <c r="I90" i="10"/>
  <c r="G71" i="12"/>
  <c r="I88" i="17"/>
  <c r="G173" i="15"/>
  <c r="G178" i="17"/>
  <c r="G186" s="1"/>
  <c r="G183" i="18"/>
  <c r="G173" i="19"/>
  <c r="G173" i="21"/>
  <c r="G183" i="24"/>
  <c r="G173" i="28"/>
  <c r="G94" i="43"/>
  <c r="G59"/>
  <c r="G98"/>
  <c r="G100" i="14"/>
  <c r="G101" s="1"/>
  <c r="G96" i="15"/>
  <c r="G97" s="1"/>
  <c r="G79" i="16"/>
  <c r="G80" s="1"/>
  <c r="G20" i="17"/>
  <c r="G102"/>
  <c r="G71" i="29"/>
  <c r="G79" i="43"/>
  <c r="G173" i="18"/>
  <c r="G183" i="28"/>
  <c r="E30" i="43"/>
  <c r="G30" s="1"/>
  <c r="G104" i="14"/>
  <c r="G105" s="1"/>
  <c r="G96"/>
  <c r="G97" s="1"/>
  <c r="G104" i="43"/>
  <c r="G64"/>
  <c r="G173"/>
  <c r="G178"/>
  <c r="G186" s="1"/>
  <c r="G96" i="12"/>
  <c r="G97" s="1"/>
  <c r="G102" i="14"/>
  <c r="G103" s="1"/>
  <c r="G79" i="17"/>
  <c r="G80" s="1"/>
  <c r="G100"/>
  <c r="G104" i="18"/>
  <c r="G96"/>
  <c r="G183" i="19"/>
  <c r="I90" i="29"/>
  <c r="G183"/>
  <c r="G178" i="19"/>
  <c r="G186" s="1"/>
  <c r="I88" i="43"/>
  <c r="G100" i="15"/>
  <c r="G101" s="1"/>
  <c r="G104" i="17"/>
  <c r="G96"/>
  <c r="G102" i="18"/>
  <c r="G71" i="25"/>
  <c r="G71" i="27"/>
  <c r="G79" i="24"/>
  <c r="G80" s="1"/>
  <c r="G102"/>
  <c r="G96" i="25"/>
  <c r="G79" i="30"/>
  <c r="G79" i="21"/>
  <c r="G71" i="22"/>
  <c r="I90"/>
  <c r="G20" i="43"/>
  <c r="I85"/>
  <c r="G79" i="20"/>
  <c r="G100" i="24"/>
  <c r="G104" i="28"/>
  <c r="G96"/>
  <c r="G96" i="29"/>
  <c r="G178" i="21"/>
  <c r="G186" s="1"/>
  <c r="G96" i="24"/>
  <c r="E28" i="43"/>
  <c r="G28" s="1"/>
  <c r="I88" i="30"/>
  <c r="G94"/>
  <c r="G59"/>
  <c r="G98"/>
  <c r="E30"/>
  <c r="G30" s="1"/>
  <c r="G173"/>
  <c r="G186"/>
  <c r="G96"/>
  <c r="G104"/>
  <c r="G64"/>
  <c r="G20"/>
  <c r="I85"/>
  <c r="E28"/>
  <c r="G28" s="1"/>
  <c r="I88" i="29"/>
  <c r="G59"/>
  <c r="G79"/>
  <c r="G80" s="1"/>
  <c r="E30"/>
  <c r="G30" s="1"/>
  <c r="G173"/>
  <c r="G178"/>
  <c r="G186" s="1"/>
  <c r="G64"/>
  <c r="G47"/>
  <c r="G20"/>
  <c r="I85"/>
  <c r="E28"/>
  <c r="G28" s="1"/>
  <c r="I90" i="28"/>
  <c r="G71"/>
  <c r="I85"/>
  <c r="G47"/>
  <c r="G20"/>
  <c r="G59"/>
  <c r="G64"/>
  <c r="G94"/>
  <c r="G98"/>
  <c r="E28"/>
  <c r="G28" s="1"/>
  <c r="I88" i="27"/>
  <c r="G94"/>
  <c r="G59"/>
  <c r="G98"/>
  <c r="E30"/>
  <c r="G30" s="1"/>
  <c r="G173"/>
  <c r="G178"/>
  <c r="G186" s="1"/>
  <c r="G96"/>
  <c r="G104"/>
  <c r="G64"/>
  <c r="G20"/>
  <c r="I85"/>
  <c r="E28"/>
  <c r="G28" s="1"/>
  <c r="I88" i="40"/>
  <c r="G94"/>
  <c r="G59"/>
  <c r="G98"/>
  <c r="G79"/>
  <c r="E30"/>
  <c r="G30" s="1"/>
  <c r="G173"/>
  <c r="G178"/>
  <c r="G186" s="1"/>
  <c r="G104"/>
  <c r="G64"/>
  <c r="G20"/>
  <c r="I85"/>
  <c r="E28"/>
  <c r="G28" s="1"/>
  <c r="I88" i="25"/>
  <c r="G59"/>
  <c r="G79"/>
  <c r="E30"/>
  <c r="G30" s="1"/>
  <c r="G173"/>
  <c r="G178"/>
  <c r="G186" s="1"/>
  <c r="G64"/>
  <c r="G47"/>
  <c r="G20"/>
  <c r="I85"/>
  <c r="E28"/>
  <c r="G28" s="1"/>
  <c r="I90" i="24"/>
  <c r="G71"/>
  <c r="I85"/>
  <c r="G47"/>
  <c r="I88"/>
  <c r="G20"/>
  <c r="G59"/>
  <c r="G64"/>
  <c r="G94"/>
  <c r="G98"/>
  <c r="E28"/>
  <c r="G28" s="1"/>
  <c r="I88" i="23"/>
  <c r="G94"/>
  <c r="G59"/>
  <c r="G98"/>
  <c r="E30"/>
  <c r="G30" s="1"/>
  <c r="G173"/>
  <c r="G178"/>
  <c r="G186" s="1"/>
  <c r="G96"/>
  <c r="G104"/>
  <c r="G64"/>
  <c r="G20"/>
  <c r="I85"/>
  <c r="E28"/>
  <c r="G28" s="1"/>
  <c r="I88" i="22"/>
  <c r="G94"/>
  <c r="G59"/>
  <c r="G98"/>
  <c r="E30"/>
  <c r="G30" s="1"/>
  <c r="G173"/>
  <c r="G178"/>
  <c r="G186" s="1"/>
  <c r="G96"/>
  <c r="G104"/>
  <c r="G64"/>
  <c r="G20"/>
  <c r="I85"/>
  <c r="E28"/>
  <c r="G28" s="1"/>
  <c r="E30" i="21"/>
  <c r="G30" s="1"/>
  <c r="G64"/>
  <c r="G59"/>
  <c r="G71"/>
  <c r="I85"/>
  <c r="I90"/>
  <c r="G47"/>
  <c r="I88"/>
  <c r="G20"/>
  <c r="G94"/>
  <c r="G98"/>
  <c r="E28"/>
  <c r="G28" s="1"/>
  <c r="I88" i="20"/>
  <c r="G59"/>
  <c r="E30"/>
  <c r="G30" s="1"/>
  <c r="G173"/>
  <c r="G178"/>
  <c r="G186" s="1"/>
  <c r="G96"/>
  <c r="G64"/>
  <c r="G47"/>
  <c r="G20"/>
  <c r="I85"/>
  <c r="E28"/>
  <c r="G28" s="1"/>
  <c r="G64" i="19"/>
  <c r="I90"/>
  <c r="G96"/>
  <c r="G59"/>
  <c r="G71"/>
  <c r="G47"/>
  <c r="I88"/>
  <c r="G20"/>
  <c r="G94"/>
  <c r="G98"/>
  <c r="E28"/>
  <c r="G28" s="1"/>
  <c r="I85" i="18"/>
  <c r="G71"/>
  <c r="G79"/>
  <c r="G47"/>
  <c r="G20"/>
  <c r="G59"/>
  <c r="G64"/>
  <c r="G94"/>
  <c r="G98"/>
  <c r="E28"/>
  <c r="G28" s="1"/>
  <c r="G71" i="17"/>
  <c r="I85"/>
  <c r="I90"/>
  <c r="G183"/>
  <c r="G47"/>
  <c r="G59"/>
  <c r="G64"/>
  <c r="G94"/>
  <c r="G98"/>
  <c r="E28"/>
  <c r="G28" s="1"/>
  <c r="I88" i="16"/>
  <c r="G94"/>
  <c r="G59"/>
  <c r="G98"/>
  <c r="E27"/>
  <c r="G27" s="1"/>
  <c r="E30"/>
  <c r="G30" s="1"/>
  <c r="G173"/>
  <c r="G178"/>
  <c r="G186" s="1"/>
  <c r="G96"/>
  <c r="G104"/>
  <c r="G64"/>
  <c r="G20"/>
  <c r="I85"/>
  <c r="E28"/>
  <c r="G28" s="1"/>
  <c r="I90" i="15"/>
  <c r="G64"/>
  <c r="G59"/>
  <c r="G71"/>
  <c r="I85"/>
  <c r="G47"/>
  <c r="I88"/>
  <c r="G20"/>
  <c r="G94"/>
  <c r="G98"/>
  <c r="E28"/>
  <c r="G28" s="1"/>
  <c r="I85" i="14"/>
  <c r="G183"/>
  <c r="G79"/>
  <c r="G71"/>
  <c r="G47"/>
  <c r="G20"/>
  <c r="G59"/>
  <c r="G64"/>
  <c r="G94"/>
  <c r="G98"/>
  <c r="E28"/>
  <c r="G28" s="1"/>
  <c r="G95" i="13"/>
  <c r="G59"/>
  <c r="G71"/>
  <c r="E27"/>
  <c r="G27" s="1"/>
  <c r="G64"/>
  <c r="I90"/>
  <c r="G96"/>
  <c r="G183"/>
  <c r="G47"/>
  <c r="I88"/>
  <c r="G20"/>
  <c r="E28"/>
  <c r="G28" s="1"/>
  <c r="E30" i="12"/>
  <c r="G30" s="1"/>
  <c r="G64"/>
  <c r="I88"/>
  <c r="G94"/>
  <c r="G59"/>
  <c r="G98"/>
  <c r="G173"/>
  <c r="G178"/>
  <c r="G186" s="1"/>
  <c r="G79"/>
  <c r="E27"/>
  <c r="G27" s="1"/>
  <c r="G104"/>
  <c r="E28"/>
  <c r="G28" s="1"/>
  <c r="G20"/>
  <c r="I85"/>
  <c r="G64" i="11"/>
  <c r="I88"/>
  <c r="G103"/>
  <c r="G94"/>
  <c r="G59"/>
  <c r="G98"/>
  <c r="G173"/>
  <c r="G178"/>
  <c r="G186" s="1"/>
  <c r="G79"/>
  <c r="E27"/>
  <c r="G27" s="1"/>
  <c r="E30"/>
  <c r="G30" s="1"/>
  <c r="G104"/>
  <c r="G20"/>
  <c r="I85"/>
  <c r="E28"/>
  <c r="G28" s="1"/>
  <c r="E30" i="10"/>
  <c r="G30" s="1"/>
  <c r="G104"/>
  <c r="G64"/>
  <c r="I88"/>
  <c r="G94"/>
  <c r="G59"/>
  <c r="G98"/>
  <c r="G100"/>
  <c r="G102"/>
  <c r="G173"/>
  <c r="G178"/>
  <c r="G186" s="1"/>
  <c r="E27"/>
  <c r="G27" s="1"/>
  <c r="G96"/>
  <c r="G20"/>
  <c r="I85"/>
  <c r="E28"/>
  <c r="G28" s="1"/>
  <c r="G64" i="9"/>
  <c r="I88"/>
  <c r="G20"/>
  <c r="G59"/>
  <c r="G94"/>
  <c r="G98"/>
  <c r="G173"/>
  <c r="G178"/>
  <c r="G186" s="1"/>
  <c r="G79"/>
  <c r="E27"/>
  <c r="G27" s="1"/>
  <c r="E30"/>
  <c r="G30" s="1"/>
  <c r="G104"/>
  <c r="E28"/>
  <c r="G28" s="1"/>
  <c r="E31"/>
  <c r="G31" s="1"/>
  <c r="I85"/>
  <c r="G182" i="8"/>
  <c r="G181"/>
  <c r="G180"/>
  <c r="G177"/>
  <c r="J23" i="45" s="1"/>
  <c r="G176" i="8"/>
  <c r="J22" i="45" s="1"/>
  <c r="G175" i="8"/>
  <c r="J21" i="45" s="1"/>
  <c r="G172" i="8"/>
  <c r="J19" i="45" s="1"/>
  <c r="G171" i="8"/>
  <c r="J18" i="45" s="1"/>
  <c r="G170" i="8"/>
  <c r="J17" i="45" s="1"/>
  <c r="G162" i="8"/>
  <c r="G161"/>
  <c r="G160"/>
  <c r="G159"/>
  <c r="AB11" i="44" s="1"/>
  <c r="G158" i="8"/>
  <c r="G142"/>
  <c r="R11" i="44" s="1"/>
  <c r="G141" i="8"/>
  <c r="Q11" i="44" s="1"/>
  <c r="G140" i="8"/>
  <c r="P11" i="44" s="1"/>
  <c r="G139" i="8"/>
  <c r="O11" i="44" s="1"/>
  <c r="G138" i="8"/>
  <c r="G133"/>
  <c r="G132"/>
  <c r="G131"/>
  <c r="G130"/>
  <c r="G129"/>
  <c r="G128"/>
  <c r="G123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/>
  <c r="G113"/>
  <c r="G112"/>
  <c r="G92"/>
  <c r="AL10" i="1" s="1"/>
  <c r="G91" i="8"/>
  <c r="G90"/>
  <c r="G89"/>
  <c r="G88"/>
  <c r="G87"/>
  <c r="AC10" i="1" s="1"/>
  <c r="G86" i="8"/>
  <c r="AB10" i="1" s="1"/>
  <c r="G85" i="8"/>
  <c r="AA10" i="1" s="1"/>
  <c r="G84" i="8"/>
  <c r="Z10" i="1" s="1"/>
  <c r="G83" i="8"/>
  <c r="G82"/>
  <c r="G78"/>
  <c r="AS11" i="44" s="1"/>
  <c r="G77" i="8"/>
  <c r="AR11" i="44" s="1"/>
  <c r="G76" i="8"/>
  <c r="AQ11" i="44" s="1"/>
  <c r="G75" i="8"/>
  <c r="AP11" i="44" s="1"/>
  <c r="G74" i="8"/>
  <c r="G70"/>
  <c r="J15" i="45" s="1"/>
  <c r="G69" i="8"/>
  <c r="J14" i="45" s="1"/>
  <c r="G68" i="8"/>
  <c r="J13" i="45" s="1"/>
  <c r="G67" i="8"/>
  <c r="G66"/>
  <c r="G65"/>
  <c r="G63"/>
  <c r="J8" i="45" s="1"/>
  <c r="G62" i="8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G9"/>
  <c r="M8"/>
  <c r="G8"/>
  <c r="G7"/>
  <c r="G182" i="7"/>
  <c r="G181"/>
  <c r="G180"/>
  <c r="G177"/>
  <c r="I23" i="45" s="1"/>
  <c r="G176" i="7"/>
  <c r="I22" i="45" s="1"/>
  <c r="G175" i="7"/>
  <c r="I21" i="45" s="1"/>
  <c r="G172" i="7"/>
  <c r="I19" i="45" s="1"/>
  <c r="G171" i="7"/>
  <c r="I18" i="45" s="1"/>
  <c r="G170" i="7"/>
  <c r="I17" i="45" s="1"/>
  <c r="G162" i="7"/>
  <c r="G161"/>
  <c r="G160"/>
  <c r="G159"/>
  <c r="AB10" i="44" s="1"/>
  <c r="G158" i="7"/>
  <c r="AA10" i="44" s="1"/>
  <c r="G142" i="7"/>
  <c r="R10" i="44" s="1"/>
  <c r="G141" i="7"/>
  <c r="Q10" i="44" s="1"/>
  <c r="G140" i="7"/>
  <c r="P10" i="44" s="1"/>
  <c r="G139" i="7"/>
  <c r="O10" i="44" s="1"/>
  <c r="G138" i="7"/>
  <c r="G133"/>
  <c r="G132"/>
  <c r="G131"/>
  <c r="G130"/>
  <c r="G129"/>
  <c r="G128"/>
  <c r="G123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/>
  <c r="G113"/>
  <c r="G112"/>
  <c r="G92"/>
  <c r="AL9" i="1" s="1"/>
  <c r="G91" i="7"/>
  <c r="G90"/>
  <c r="G89"/>
  <c r="AW10" i="44" s="1"/>
  <c r="G88" i="7"/>
  <c r="G87"/>
  <c r="AC9" i="1" s="1"/>
  <c r="G86" i="7"/>
  <c r="AB9" i="1" s="1"/>
  <c r="G85" i="7"/>
  <c r="AA9" i="1" s="1"/>
  <c r="G84" i="7"/>
  <c r="Z9" i="1" s="1"/>
  <c r="G83" i="7"/>
  <c r="G82"/>
  <c r="G78"/>
  <c r="AS10" i="44" s="1"/>
  <c r="G77" i="7"/>
  <c r="AR10" i="44" s="1"/>
  <c r="G76" i="7"/>
  <c r="AQ10" i="44" s="1"/>
  <c r="G75" i="7"/>
  <c r="AP10" i="44" s="1"/>
  <c r="G74" i="7"/>
  <c r="G70"/>
  <c r="I15" i="45" s="1"/>
  <c r="G69" i="7"/>
  <c r="I14" i="45" s="1"/>
  <c r="G68" i="7"/>
  <c r="I13" i="45" s="1"/>
  <c r="G67" i="7"/>
  <c r="G66"/>
  <c r="G65"/>
  <c r="G63"/>
  <c r="I8" i="45" s="1"/>
  <c r="G62" i="7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G9"/>
  <c r="M8"/>
  <c r="G8"/>
  <c r="G7"/>
  <c r="G182" i="33"/>
  <c r="G181"/>
  <c r="G180"/>
  <c r="G177"/>
  <c r="H23" i="45" s="1"/>
  <c r="G176" i="33"/>
  <c r="H22" i="45" s="1"/>
  <c r="G175" i="33"/>
  <c r="H21" i="45" s="1"/>
  <c r="G172" i="33"/>
  <c r="H19" i="45" s="1"/>
  <c r="G171" i="33"/>
  <c r="H18" i="45" s="1"/>
  <c r="G170" i="33"/>
  <c r="H17" i="45" s="1"/>
  <c r="G162" i="33"/>
  <c r="G161"/>
  <c r="G160"/>
  <c r="G159"/>
  <c r="AB9" i="44" s="1"/>
  <c r="G158" i="33"/>
  <c r="AA9" i="44" s="1"/>
  <c r="G142" i="33"/>
  <c r="R9" i="44" s="1"/>
  <c r="G141" i="33"/>
  <c r="Q9" i="44" s="1"/>
  <c r="G140" i="33"/>
  <c r="P9" i="44" s="1"/>
  <c r="G139" i="33"/>
  <c r="O9" i="44" s="1"/>
  <c r="G138" i="33"/>
  <c r="G133"/>
  <c r="G132"/>
  <c r="G131"/>
  <c r="G130"/>
  <c r="G129"/>
  <c r="G128"/>
  <c r="G12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/>
  <c r="G113"/>
  <c r="G112"/>
  <c r="G92"/>
  <c r="AL8" i="1" s="1"/>
  <c r="G91" i="33"/>
  <c r="G90"/>
  <c r="G89"/>
  <c r="G88"/>
  <c r="G87"/>
  <c r="AC8" i="1" s="1"/>
  <c r="G86" i="33"/>
  <c r="AB8" i="1" s="1"/>
  <c r="G85" i="33"/>
  <c r="AA8" i="1" s="1"/>
  <c r="G84" i="33"/>
  <c r="Z8" i="1" s="1"/>
  <c r="G83" i="33"/>
  <c r="G82"/>
  <c r="G78"/>
  <c r="AS9" i="44" s="1"/>
  <c r="G77" i="33"/>
  <c r="AR9" i="44" s="1"/>
  <c r="G76" i="33"/>
  <c r="AQ9" i="44" s="1"/>
  <c r="G75" i="33"/>
  <c r="AP9" i="44" s="1"/>
  <c r="G74" i="33"/>
  <c r="G70"/>
  <c r="H15" i="45" s="1"/>
  <c r="G69" i="33"/>
  <c r="H14" i="45" s="1"/>
  <c r="G68" i="33"/>
  <c r="H13" i="45" s="1"/>
  <c r="G67" i="33"/>
  <c r="G66"/>
  <c r="G65"/>
  <c r="G63"/>
  <c r="H8" i="45" s="1"/>
  <c r="H7"/>
  <c r="G58" i="33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4" s="1"/>
  <c r="G18"/>
  <c r="E31" s="1"/>
  <c r="G31" s="1"/>
  <c r="G15"/>
  <c r="G10"/>
  <c r="K9"/>
  <c r="G9"/>
  <c r="M8"/>
  <c r="G8"/>
  <c r="G7"/>
  <c r="G182" i="5"/>
  <c r="G181"/>
  <c r="G180"/>
  <c r="G177"/>
  <c r="G23" i="45" s="1"/>
  <c r="G176" i="5"/>
  <c r="G22" i="45" s="1"/>
  <c r="G175" i="5"/>
  <c r="G21" i="45" s="1"/>
  <c r="G172" i="5"/>
  <c r="G19" i="45" s="1"/>
  <c r="G171" i="5"/>
  <c r="G18" i="45" s="1"/>
  <c r="G170" i="5"/>
  <c r="G17" i="45" s="1"/>
  <c r="G162" i="5"/>
  <c r="G161"/>
  <c r="G160"/>
  <c r="G159"/>
  <c r="AB8" i="44" s="1"/>
  <c r="G158" i="5"/>
  <c r="AA8" i="44" s="1"/>
  <c r="G142" i="5"/>
  <c r="R8" i="44" s="1"/>
  <c r="G141" i="5"/>
  <c r="Q8" i="44" s="1"/>
  <c r="G140" i="5"/>
  <c r="P8" i="44" s="1"/>
  <c r="G139" i="5"/>
  <c r="O8" i="44" s="1"/>
  <c r="G138" i="5"/>
  <c r="G133"/>
  <c r="AM8" i="44" s="1"/>
  <c r="G132" i="5"/>
  <c r="G131"/>
  <c r="G130"/>
  <c r="G129"/>
  <c r="G128"/>
  <c r="G123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/>
  <c r="G113"/>
  <c r="G112"/>
  <c r="G92"/>
  <c r="AL7" i="1" s="1"/>
  <c r="G91" i="5"/>
  <c r="G90"/>
  <c r="G89"/>
  <c r="G88"/>
  <c r="G87"/>
  <c r="AC7" i="1" s="1"/>
  <c r="G86" i="5"/>
  <c r="AB7" i="1" s="1"/>
  <c r="G85" i="5"/>
  <c r="AA7" i="1" s="1"/>
  <c r="G84" i="5"/>
  <c r="Z7" i="1" s="1"/>
  <c r="G83" i="5"/>
  <c r="G82"/>
  <c r="G78"/>
  <c r="AS8" i="44" s="1"/>
  <c r="G77" i="5"/>
  <c r="AR8" i="44" s="1"/>
  <c r="G76" i="5"/>
  <c r="AQ8" i="44" s="1"/>
  <c r="G75" i="5"/>
  <c r="AP8" i="44" s="1"/>
  <c r="G74" i="5"/>
  <c r="G70"/>
  <c r="G15" i="45" s="1"/>
  <c r="G69" i="5"/>
  <c r="G14" i="45" s="1"/>
  <c r="G68" i="5"/>
  <c r="G13" i="45" s="1"/>
  <c r="G67" i="5"/>
  <c r="G66"/>
  <c r="G65"/>
  <c r="G63"/>
  <c r="G8" i="45" s="1"/>
  <c r="G62" i="5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G9"/>
  <c r="M8"/>
  <c r="G8"/>
  <c r="G7"/>
  <c r="G182" i="4"/>
  <c r="G181"/>
  <c r="G180"/>
  <c r="G177"/>
  <c r="F23" i="45" s="1"/>
  <c r="G176" i="4"/>
  <c r="F22" i="45" s="1"/>
  <c r="G175" i="4"/>
  <c r="F21" i="45" s="1"/>
  <c r="G172" i="4"/>
  <c r="F19" i="45" s="1"/>
  <c r="G171" i="4"/>
  <c r="F18" i="45" s="1"/>
  <c r="G170" i="4"/>
  <c r="F17" i="45" s="1"/>
  <c r="G162" i="4"/>
  <c r="G161"/>
  <c r="G160"/>
  <c r="G159"/>
  <c r="AB7" i="44" s="1"/>
  <c r="G158" i="4"/>
  <c r="AA7" i="44" s="1"/>
  <c r="G142" i="4"/>
  <c r="R7" i="44" s="1"/>
  <c r="G141" i="4"/>
  <c r="Q7" i="44" s="1"/>
  <c r="G140" i="4"/>
  <c r="P7" i="44" s="1"/>
  <c r="G139" i="4"/>
  <c r="O7" i="44" s="1"/>
  <c r="G138" i="4"/>
  <c r="G133"/>
  <c r="AM7" i="44" s="1"/>
  <c r="G132" i="4"/>
  <c r="G131"/>
  <c r="G130"/>
  <c r="G129"/>
  <c r="G123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/>
  <c r="G113"/>
  <c r="G112"/>
  <c r="G92"/>
  <c r="AL6" i="1" s="1"/>
  <c r="G91" i="4"/>
  <c r="G90"/>
  <c r="G89"/>
  <c r="G88"/>
  <c r="G87"/>
  <c r="AC6" i="1" s="1"/>
  <c r="G86" i="4"/>
  <c r="AB6" i="1" s="1"/>
  <c r="G85" i="4"/>
  <c r="AA6" i="1" s="1"/>
  <c r="G84" i="4"/>
  <c r="Z6" i="1" s="1"/>
  <c r="G83" i="4"/>
  <c r="G82"/>
  <c r="G78"/>
  <c r="AS7" i="44" s="1"/>
  <c r="G77" i="4"/>
  <c r="AR7" i="44" s="1"/>
  <c r="G76" i="4"/>
  <c r="AQ7" i="44" s="1"/>
  <c r="G75" i="4"/>
  <c r="AP7" i="44" s="1"/>
  <c r="G74" i="4"/>
  <c r="G70"/>
  <c r="F15" i="45" s="1"/>
  <c r="G69" i="4"/>
  <c r="F14" i="45" s="1"/>
  <c r="G68" i="4"/>
  <c r="F13" i="45" s="1"/>
  <c r="G67" i="4"/>
  <c r="G66"/>
  <c r="G65"/>
  <c r="G63"/>
  <c r="F8" i="45" s="1"/>
  <c r="G62" i="4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H22" s="1"/>
  <c r="G19"/>
  <c r="H19" s="1"/>
  <c r="G18"/>
  <c r="G15"/>
  <c r="H15" s="1"/>
  <c r="G10"/>
  <c r="H10" s="1"/>
  <c r="K9"/>
  <c r="G9"/>
  <c r="H9" s="1"/>
  <c r="M8"/>
  <c r="G8"/>
  <c r="H8" s="1"/>
  <c r="G7"/>
  <c r="H7" s="1"/>
  <c r="G182" i="3"/>
  <c r="G181"/>
  <c r="G180"/>
  <c r="G177"/>
  <c r="E23" i="45" s="1"/>
  <c r="G176" i="3"/>
  <c r="E22" i="45" s="1"/>
  <c r="G175" i="3"/>
  <c r="E21" i="45" s="1"/>
  <c r="G172" i="3"/>
  <c r="E19" i="45" s="1"/>
  <c r="G171" i="3"/>
  <c r="E18" i="45" s="1"/>
  <c r="G170" i="3"/>
  <c r="E17" i="45" s="1"/>
  <c r="G162" i="3"/>
  <c r="G161"/>
  <c r="G160"/>
  <c r="G159"/>
  <c r="AB6" i="44" s="1"/>
  <c r="G158" i="3"/>
  <c r="AA6" i="44" s="1"/>
  <c r="G142" i="3"/>
  <c r="R6" i="44" s="1"/>
  <c r="G141" i="3"/>
  <c r="Q6" i="44" s="1"/>
  <c r="G140" i="3"/>
  <c r="P6" i="44" s="1"/>
  <c r="G139" i="3"/>
  <c r="O6" i="44" s="1"/>
  <c r="G138" i="3"/>
  <c r="G133"/>
  <c r="G132"/>
  <c r="G131"/>
  <c r="G130"/>
  <c r="G129"/>
  <c r="G128"/>
  <c r="G12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/>
  <c r="G113"/>
  <c r="G112"/>
  <c r="G92"/>
  <c r="AL5" i="1" s="1"/>
  <c r="G91" i="3"/>
  <c r="G90"/>
  <c r="G89"/>
  <c r="G88"/>
  <c r="G87"/>
  <c r="AC5" i="1" s="1"/>
  <c r="G86" i="3"/>
  <c r="AB5" i="1" s="1"/>
  <c r="G85" i="3"/>
  <c r="AA5" i="1" s="1"/>
  <c r="G84" i="3"/>
  <c r="Z5" i="1" s="1"/>
  <c r="G83" i="3"/>
  <c r="G82"/>
  <c r="G78"/>
  <c r="AS6" i="44" s="1"/>
  <c r="G77" i="3"/>
  <c r="AR6" i="44" s="1"/>
  <c r="G76" i="3"/>
  <c r="AQ6" i="44" s="1"/>
  <c r="G75" i="3"/>
  <c r="AP6" i="44" s="1"/>
  <c r="G74" i="3"/>
  <c r="G70"/>
  <c r="E15" i="45" s="1"/>
  <c r="G69" i="3"/>
  <c r="E14" i="45" s="1"/>
  <c r="G68" i="3"/>
  <c r="E13" i="45" s="1"/>
  <c r="G67" i="3"/>
  <c r="G66"/>
  <c r="G65"/>
  <c r="G63"/>
  <c r="E8" i="45" s="1"/>
  <c r="G62" i="3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K9"/>
  <c r="M8"/>
  <c r="G182" i="2"/>
  <c r="H182" s="1"/>
  <c r="J182" s="1"/>
  <c r="G181"/>
  <c r="G180"/>
  <c r="G177"/>
  <c r="D23" i="45" s="1"/>
  <c r="G176" i="2"/>
  <c r="D22" i="45" s="1"/>
  <c r="G175" i="2"/>
  <c r="G172"/>
  <c r="D19" i="45" s="1"/>
  <c r="G171" i="2"/>
  <c r="D18" i="45" s="1"/>
  <c r="G170" i="2"/>
  <c r="D17" i="45" s="1"/>
  <c r="G162" i="2"/>
  <c r="G161"/>
  <c r="G160"/>
  <c r="G159"/>
  <c r="AB5" i="44" s="1"/>
  <c r="G158" i="2"/>
  <c r="G150"/>
  <c r="G149"/>
  <c r="G148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O36" s="1"/>
  <c r="G138" i="2"/>
  <c r="G133"/>
  <c r="G132"/>
  <c r="H132" s="1"/>
  <c r="J132" s="1"/>
  <c r="G131"/>
  <c r="G130"/>
  <c r="G129"/>
  <c r="G128"/>
  <c r="G123"/>
  <c r="AL5" i="44" s="1"/>
  <c r="AL37" s="1"/>
  <c r="G122" i="2"/>
  <c r="G121"/>
  <c r="AJ5" i="44" s="1"/>
  <c r="G120" i="2"/>
  <c r="G119"/>
  <c r="AH5" i="44" s="1"/>
  <c r="G118" i="2"/>
  <c r="G117"/>
  <c r="AF5" i="44" s="1"/>
  <c r="G116" i="2"/>
  <c r="G115"/>
  <c r="G114"/>
  <c r="H114" s="1"/>
  <c r="J114" s="1"/>
  <c r="G113"/>
  <c r="G112"/>
  <c r="G92"/>
  <c r="G91"/>
  <c r="G90"/>
  <c r="G89"/>
  <c r="G88"/>
  <c r="G87"/>
  <c r="G86"/>
  <c r="G85"/>
  <c r="G84"/>
  <c r="G83"/>
  <c r="H83" s="1"/>
  <c r="G82"/>
  <c r="H82" s="1"/>
  <c r="G78"/>
  <c r="G77"/>
  <c r="G76"/>
  <c r="G75"/>
  <c r="G74"/>
  <c r="G70"/>
  <c r="G69"/>
  <c r="G68"/>
  <c r="G67"/>
  <c r="G66"/>
  <c r="G65"/>
  <c r="G63"/>
  <c r="G62"/>
  <c r="G184" s="1"/>
  <c r="G58"/>
  <c r="H58" s="1"/>
  <c r="G57"/>
  <c r="H57" s="1"/>
  <c r="G56"/>
  <c r="H56" s="1"/>
  <c r="G55"/>
  <c r="H55" s="1"/>
  <c r="G54"/>
  <c r="H54" s="1"/>
  <c r="G53"/>
  <c r="H53" s="1"/>
  <c r="G52"/>
  <c r="H52" s="1"/>
  <c r="G51"/>
  <c r="H51" s="1"/>
  <c r="G50"/>
  <c r="H50" s="1"/>
  <c r="G49"/>
  <c r="H49" s="1"/>
  <c r="G46"/>
  <c r="H46" s="1"/>
  <c r="G45"/>
  <c r="H45" s="1"/>
  <c r="G44"/>
  <c r="H44" s="1"/>
  <c r="G43"/>
  <c r="H43" s="1"/>
  <c r="G42"/>
  <c r="H42" s="1"/>
  <c r="G41"/>
  <c r="H41" s="1"/>
  <c r="G40"/>
  <c r="H40" s="1"/>
  <c r="G39"/>
  <c r="H39" s="1"/>
  <c r="G38"/>
  <c r="H37"/>
  <c r="G36"/>
  <c r="G35"/>
  <c r="H35" s="1"/>
  <c r="G29"/>
  <c r="H29" s="1"/>
  <c r="G30"/>
  <c r="H30" s="1"/>
  <c r="G31"/>
  <c r="H31" s="1"/>
  <c r="K9"/>
  <c r="M8"/>
  <c r="G27"/>
  <c r="H27" s="1"/>
  <c r="AB36" i="44" l="1"/>
  <c r="AJ37"/>
  <c r="R36"/>
  <c r="P37"/>
  <c r="AF36"/>
  <c r="Q36"/>
  <c r="AH37"/>
  <c r="Q37"/>
  <c r="U37"/>
  <c r="U36"/>
  <c r="S37"/>
  <c r="S36"/>
  <c r="AH36"/>
  <c r="AL36"/>
  <c r="R37"/>
  <c r="T37"/>
  <c r="T36"/>
  <c r="V36"/>
  <c r="V37"/>
  <c r="O37"/>
  <c r="W36"/>
  <c r="W37"/>
  <c r="G125" i="7"/>
  <c r="AF37" i="44"/>
  <c r="AJ36"/>
  <c r="P36"/>
  <c r="AB37"/>
  <c r="X36"/>
  <c r="X37"/>
  <c r="G135" i="8"/>
  <c r="I135" s="1"/>
  <c r="N8" i="44"/>
  <c r="G153" i="5"/>
  <c r="I153" s="1"/>
  <c r="G125" i="8"/>
  <c r="I125" s="1"/>
  <c r="G135" i="2"/>
  <c r="G125" i="4"/>
  <c r="I125" s="1"/>
  <c r="N7" i="44"/>
  <c r="G153" i="4"/>
  <c r="I153" s="1"/>
  <c r="G135" i="5"/>
  <c r="I135" s="1"/>
  <c r="I125" i="7"/>
  <c r="N11" i="44"/>
  <c r="G153" i="8"/>
  <c r="I153" s="1"/>
  <c r="N10" i="44"/>
  <c r="G153" i="7"/>
  <c r="I153" s="1"/>
  <c r="H112" i="2"/>
  <c r="J112" s="1"/>
  <c r="G125"/>
  <c r="I125" s="1"/>
  <c r="N6" i="44"/>
  <c r="G153" i="3"/>
  <c r="I153" s="1"/>
  <c r="G135" i="4"/>
  <c r="I135" s="1"/>
  <c r="G125" i="5"/>
  <c r="I125" s="1"/>
  <c r="N9" i="44"/>
  <c r="G153" i="33"/>
  <c r="I153" s="1"/>
  <c r="N5" i="44"/>
  <c r="N37" s="1"/>
  <c r="G153" i="2"/>
  <c r="G135" i="3"/>
  <c r="G60" i="25"/>
  <c r="G103" i="16"/>
  <c r="G101"/>
  <c r="G8" i="17"/>
  <c r="E27" s="1"/>
  <c r="G27" s="1"/>
  <c r="G32" s="1"/>
  <c r="E9"/>
  <c r="H56" i="3"/>
  <c r="G185" i="2"/>
  <c r="G60" i="19"/>
  <c r="G60" i="18"/>
  <c r="G185" i="33"/>
  <c r="G135" i="7"/>
  <c r="I135" s="1"/>
  <c r="G60" i="17"/>
  <c r="E9" i="45"/>
  <c r="G185" i="3"/>
  <c r="G185" i="7"/>
  <c r="G7" i="45"/>
  <c r="G184" i="5"/>
  <c r="F7" i="45"/>
  <c r="G184" i="4"/>
  <c r="G185" i="5"/>
  <c r="G135" i="33"/>
  <c r="J7" i="45"/>
  <c r="G184" i="8"/>
  <c r="H180" i="2"/>
  <c r="J180" s="1"/>
  <c r="G183"/>
  <c r="G102" i="5"/>
  <c r="G103" s="1"/>
  <c r="H127" i="7"/>
  <c r="H127" i="8" s="1"/>
  <c r="E7" i="45"/>
  <c r="G184" i="3"/>
  <c r="G185" i="4"/>
  <c r="I7" i="45"/>
  <c r="G184" i="7"/>
  <c r="G185" i="8"/>
  <c r="G32" i="15"/>
  <c r="AA11" i="44"/>
  <c r="J156" i="9"/>
  <c r="G125" i="33"/>
  <c r="I125" s="1"/>
  <c r="G98"/>
  <c r="G99" s="1"/>
  <c r="G125" i="3"/>
  <c r="I125" s="1"/>
  <c r="AD8" i="44"/>
  <c r="G104" i="4"/>
  <c r="G105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s="1"/>
  <c r="G98" i="8"/>
  <c r="G99" s="1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I59" s="1"/>
  <c r="AD11" i="44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AD10"/>
  <c r="J163" i="9"/>
  <c r="AI9" i="1"/>
  <c r="AX10" i="44"/>
  <c r="BJ9" i="1"/>
  <c r="AM10" i="44"/>
  <c r="AO9" i="1"/>
  <c r="AO10" i="44"/>
  <c r="AK9" i="1"/>
  <c r="AU10" i="44"/>
  <c r="AG9" i="1"/>
  <c r="AV10" i="44"/>
  <c r="AD9"/>
  <c r="AK8" i="1"/>
  <c r="AU9" i="44"/>
  <c r="AI8" i="1"/>
  <c r="AX9" i="44"/>
  <c r="BJ8" i="1"/>
  <c r="AM9" i="44"/>
  <c r="AG8" i="1"/>
  <c r="AV9" i="44"/>
  <c r="AV36" s="1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D7"/>
  <c r="AO6" i="1"/>
  <c r="AO7" i="44"/>
  <c r="AH6" i="1"/>
  <c r="AW7" i="44"/>
  <c r="AD6"/>
  <c r="AG5" i="1"/>
  <c r="AV6" i="44"/>
  <c r="AK5" i="1"/>
  <c r="AU6" i="44"/>
  <c r="AO5" i="1"/>
  <c r="AO6" i="44"/>
  <c r="AO36" s="1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AL4" i="1"/>
  <c r="H175" i="2"/>
  <c r="J175" s="1"/>
  <c r="D21" i="45"/>
  <c r="G102" i="4"/>
  <c r="G103" s="1"/>
  <c r="G100" i="5"/>
  <c r="G101" s="1"/>
  <c r="G94" i="8"/>
  <c r="G95" s="1"/>
  <c r="J152" i="33"/>
  <c r="H152" i="7"/>
  <c r="H120" i="2"/>
  <c r="J120" s="1"/>
  <c r="AI5" i="44"/>
  <c r="H118" i="2"/>
  <c r="J118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/>
  <c r="AM5" i="44"/>
  <c r="AM37" s="1"/>
  <c r="AD5"/>
  <c r="G100" i="4"/>
  <c r="G60" i="11"/>
  <c r="I59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H74" i="43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s="1"/>
  <c r="AK5" i="44"/>
  <c r="G94" i="33"/>
  <c r="G95" s="1"/>
  <c r="I90" i="7"/>
  <c r="AH9" i="1"/>
  <c r="G100" i="8"/>
  <c r="G101" s="1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W37" s="1"/>
  <c r="AH4" i="1"/>
  <c r="H116" i="2"/>
  <c r="J116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AX36" s="1"/>
  <c r="BJ7" i="1"/>
  <c r="BJ6"/>
  <c r="G60" i="43"/>
  <c r="G60" i="30"/>
  <c r="G183" i="7"/>
  <c r="I90" i="8"/>
  <c r="H15" i="5"/>
  <c r="H15" i="33" s="1"/>
  <c r="H15" i="7" s="1"/>
  <c r="H15" i="8" s="1"/>
  <c r="H15" i="9" s="1"/>
  <c r="H15" i="10" s="1"/>
  <c r="H15" i="11" s="1"/>
  <c r="H15" i="12" s="1"/>
  <c r="H15" i="13" s="1"/>
  <c r="H15" i="14" s="1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H15" i="27" s="1"/>
  <c r="H15" i="28" s="1"/>
  <c r="H15" i="29" s="1"/>
  <c r="H15" i="30" s="1"/>
  <c r="H15" i="43" s="1"/>
  <c r="H15" i="31" s="1"/>
  <c r="I90" i="33"/>
  <c r="H8" i="5"/>
  <c r="H8" i="33" s="1"/>
  <c r="H8" i="7" s="1"/>
  <c r="H8" i="8" s="1"/>
  <c r="H8" i="9" s="1"/>
  <c r="H8" i="10" s="1"/>
  <c r="H8" i="11" s="1"/>
  <c r="H8" i="12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10" i="18" s="1"/>
  <c r="H10" i="19" s="1"/>
  <c r="H10" i="20" s="1"/>
  <c r="H10" i="21" s="1"/>
  <c r="H10" i="22" s="1"/>
  <c r="H10" i="23" s="1"/>
  <c r="H10" i="24" s="1"/>
  <c r="H10" i="25" s="1"/>
  <c r="H10" i="40" s="1"/>
  <c r="H10" i="27" s="1"/>
  <c r="H10" i="28" s="1"/>
  <c r="H10" i="29" s="1"/>
  <c r="H10" i="30" s="1"/>
  <c r="H10" i="43" s="1"/>
  <c r="H10" i="31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s="1"/>
  <c r="H9"/>
  <c r="H9" i="33" s="1"/>
  <c r="H9" i="7" s="1"/>
  <c r="H9" i="8" s="1"/>
  <c r="H9" i="9" s="1"/>
  <c r="H9" i="10" s="1"/>
  <c r="H9" i="11" s="1"/>
  <c r="H9" i="12" s="1"/>
  <c r="H9" i="13" s="1"/>
  <c r="H9" i="14" s="1"/>
  <c r="H9" i="15" s="1"/>
  <c r="H9" i="16" s="1"/>
  <c r="G47" i="5"/>
  <c r="G71"/>
  <c r="H7"/>
  <c r="H7" i="33" s="1"/>
  <c r="H7" i="7" s="1"/>
  <c r="H7" i="8" s="1"/>
  <c r="H7" i="9" s="1"/>
  <c r="H7" i="10" s="1"/>
  <c r="H7" i="11" s="1"/>
  <c r="H7" i="12" s="1"/>
  <c r="H7" i="13" s="1"/>
  <c r="H7" i="14" s="1"/>
  <c r="H7" i="15" s="1"/>
  <c r="H7" i="16" s="1"/>
  <c r="H19" i="5"/>
  <c r="H19" i="33" s="1"/>
  <c r="H19" i="7" s="1"/>
  <c r="H19" i="8" s="1"/>
  <c r="H19" i="9" s="1"/>
  <c r="H19" i="10" s="1"/>
  <c r="H19" i="11" s="1"/>
  <c r="H19" i="12" s="1"/>
  <c r="H19" i="13" s="1"/>
  <c r="H19" i="14" s="1"/>
  <c r="H19" i="15" s="1"/>
  <c r="H19" i="16" s="1"/>
  <c r="H19" i="17" s="1"/>
  <c r="H19" i="18" s="1"/>
  <c r="H19" i="19" s="1"/>
  <c r="H19" i="20" s="1"/>
  <c r="H19" i="21" s="1"/>
  <c r="H19" i="22" s="1"/>
  <c r="H19" i="23" s="1"/>
  <c r="H19" i="24" s="1"/>
  <c r="H19" i="25" s="1"/>
  <c r="H19" i="40" s="1"/>
  <c r="H19" i="27" s="1"/>
  <c r="H19" i="28" s="1"/>
  <c r="H19" i="29" s="1"/>
  <c r="H19" i="30" s="1"/>
  <c r="H19" i="43" s="1"/>
  <c r="H19" i="31" s="1"/>
  <c r="E31" i="4"/>
  <c r="G31" s="1"/>
  <c r="H18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/>
  <c r="J131" s="1"/>
  <c r="H129"/>
  <c r="H128"/>
  <c r="J128" s="1"/>
  <c r="H130"/>
  <c r="H179" i="8"/>
  <c r="J179" i="7"/>
  <c r="J163" i="10"/>
  <c r="H163" i="11"/>
  <c r="H132" i="3"/>
  <c r="H29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5" i="11"/>
  <c r="J165" i="10"/>
  <c r="H174" i="8"/>
  <c r="J174" i="7"/>
  <c r="H164" i="11"/>
  <c r="J164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s="1"/>
  <c r="G173" i="2"/>
  <c r="H170"/>
  <c r="H172"/>
  <c r="G183" i="3"/>
  <c r="H180"/>
  <c r="H177" i="2"/>
  <c r="J177" s="1"/>
  <c r="H171"/>
  <c r="H176"/>
  <c r="J176" s="1"/>
  <c r="H181"/>
  <c r="H182" i="3"/>
  <c r="H158" i="2"/>
  <c r="J158" s="1"/>
  <c r="H160"/>
  <c r="J160" s="1"/>
  <c r="H162"/>
  <c r="J162" s="1"/>
  <c r="H159"/>
  <c r="H161"/>
  <c r="H139"/>
  <c r="H143"/>
  <c r="H147"/>
  <c r="H149"/>
  <c r="H141"/>
  <c r="J141" s="1"/>
  <c r="H145"/>
  <c r="H140"/>
  <c r="H142"/>
  <c r="J142" s="1"/>
  <c r="H144"/>
  <c r="H148"/>
  <c r="H150"/>
  <c r="H138"/>
  <c r="H146"/>
  <c r="H117"/>
  <c r="J117" s="1"/>
  <c r="H112" i="3"/>
  <c r="H119" i="2"/>
  <c r="J119" s="1"/>
  <c r="H113"/>
  <c r="J113" s="1"/>
  <c r="H121"/>
  <c r="J121" s="1"/>
  <c r="H114" i="3"/>
  <c r="H115" i="2"/>
  <c r="H123"/>
  <c r="J123" s="1"/>
  <c r="H92" i="3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6" i="4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s="1"/>
  <c r="H36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s="1"/>
  <c r="H42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s="1"/>
  <c r="H38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s="1"/>
  <c r="H40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80" i="30"/>
  <c r="G80" i="28"/>
  <c r="G80" i="27"/>
  <c r="G60"/>
  <c r="G80" i="40"/>
  <c r="G60" i="23"/>
  <c r="G80" i="22"/>
  <c r="G60"/>
  <c r="G80" i="21"/>
  <c r="G80" i="20"/>
  <c r="G60" i="16"/>
  <c r="I59" s="1"/>
  <c r="G80" i="15"/>
  <c r="G80" i="13"/>
  <c r="H80" s="1"/>
  <c r="J80" s="1"/>
  <c r="G80" i="10"/>
  <c r="G60"/>
  <c r="I59" s="1"/>
  <c r="G183" i="8"/>
  <c r="G79"/>
  <c r="G96"/>
  <c r="G97" s="1"/>
  <c r="G71" i="7"/>
  <c r="G102"/>
  <c r="G103" s="1"/>
  <c r="G79" i="33"/>
  <c r="G80" s="1"/>
  <c r="G71"/>
  <c r="G183" i="5"/>
  <c r="I90"/>
  <c r="G96" i="4"/>
  <c r="G97" s="1"/>
  <c r="G60" i="31"/>
  <c r="G80"/>
  <c r="G71" i="3"/>
  <c r="G183" i="33"/>
  <c r="G173" i="4"/>
  <c r="G71" i="8"/>
  <c r="G178" i="2"/>
  <c r="I90" i="3"/>
  <c r="G80" i="12"/>
  <c r="G80" i="25"/>
  <c r="H80" i="17"/>
  <c r="G104" i="2"/>
  <c r="H104" s="1"/>
  <c r="G96"/>
  <c r="H96" s="1"/>
  <c r="G79" i="4"/>
  <c r="G178"/>
  <c r="G186" s="1"/>
  <c r="G80" i="43"/>
  <c r="G60" i="29"/>
  <c r="G60" i="28"/>
  <c r="G60" i="40"/>
  <c r="G60" i="24"/>
  <c r="G60" i="21"/>
  <c r="H186" i="20"/>
  <c r="G60"/>
  <c r="G80" i="18"/>
  <c r="G105" i="16"/>
  <c r="G32"/>
  <c r="G99"/>
  <c r="G97"/>
  <c r="G95"/>
  <c r="G95" i="15"/>
  <c r="G99"/>
  <c r="G60"/>
  <c r="G32" i="14"/>
  <c r="G95"/>
  <c r="G60"/>
  <c r="G99"/>
  <c r="G80"/>
  <c r="G32" i="13"/>
  <c r="G97"/>
  <c r="G60"/>
  <c r="G105" i="12"/>
  <c r="G32"/>
  <c r="G99"/>
  <c r="G95"/>
  <c r="G95" i="11"/>
  <c r="G80"/>
  <c r="G105"/>
  <c r="G32"/>
  <c r="G99"/>
  <c r="G32" i="10"/>
  <c r="G99"/>
  <c r="G103"/>
  <c r="G95"/>
  <c r="G105"/>
  <c r="G97"/>
  <c r="G101"/>
  <c r="G95" i="9"/>
  <c r="G80"/>
  <c r="G105"/>
  <c r="G60"/>
  <c r="G32"/>
  <c r="G99"/>
  <c r="I88" i="8"/>
  <c r="G104"/>
  <c r="G59"/>
  <c r="G102"/>
  <c r="G173"/>
  <c r="G178"/>
  <c r="G186" s="1"/>
  <c r="E27"/>
  <c r="G27" s="1"/>
  <c r="E30"/>
  <c r="G30" s="1"/>
  <c r="G64"/>
  <c r="G47"/>
  <c r="G20"/>
  <c r="I85"/>
  <c r="E28"/>
  <c r="G28" s="1"/>
  <c r="E27" i="7"/>
  <c r="G27" s="1"/>
  <c r="I88"/>
  <c r="G104"/>
  <c r="G96"/>
  <c r="G59"/>
  <c r="G173"/>
  <c r="G178"/>
  <c r="G186" s="1"/>
  <c r="G79"/>
  <c r="G94"/>
  <c r="G98"/>
  <c r="E30"/>
  <c r="G30" s="1"/>
  <c r="G64"/>
  <c r="G47"/>
  <c r="G20"/>
  <c r="I85"/>
  <c r="E28"/>
  <c r="G28" s="1"/>
  <c r="E27" i="33"/>
  <c r="G27" s="1"/>
  <c r="I88"/>
  <c r="G100"/>
  <c r="G104"/>
  <c r="G96"/>
  <c r="G64"/>
  <c r="G59"/>
  <c r="G102"/>
  <c r="G173"/>
  <c r="G178"/>
  <c r="G186" s="1"/>
  <c r="E30"/>
  <c r="G30" s="1"/>
  <c r="G47"/>
  <c r="G20"/>
  <c r="I85"/>
  <c r="E28"/>
  <c r="G28" s="1"/>
  <c r="G64" i="5"/>
  <c r="I88"/>
  <c r="G98"/>
  <c r="G94"/>
  <c r="G59"/>
  <c r="G173"/>
  <c r="G178"/>
  <c r="G186" s="1"/>
  <c r="G79"/>
  <c r="E27"/>
  <c r="G27" s="1"/>
  <c r="E30"/>
  <c r="G30" s="1"/>
  <c r="G104"/>
  <c r="G20"/>
  <c r="I85"/>
  <c r="E28"/>
  <c r="G28" s="1"/>
  <c r="G101" i="4"/>
  <c r="G64"/>
  <c r="E30"/>
  <c r="G30" s="1"/>
  <c r="E27"/>
  <c r="G27" s="1"/>
  <c r="G59"/>
  <c r="G71"/>
  <c r="I85"/>
  <c r="I90"/>
  <c r="G183"/>
  <c r="G47"/>
  <c r="I88"/>
  <c r="G20"/>
  <c r="H20" s="1"/>
  <c r="G94"/>
  <c r="G98"/>
  <c r="E28"/>
  <c r="G28" s="1"/>
  <c r="E30" i="3"/>
  <c r="G64"/>
  <c r="I88"/>
  <c r="G104"/>
  <c r="G96"/>
  <c r="G59"/>
  <c r="G173"/>
  <c r="G178"/>
  <c r="G186" s="1"/>
  <c r="G79"/>
  <c r="G94"/>
  <c r="G98"/>
  <c r="E31"/>
  <c r="G47"/>
  <c r="I85"/>
  <c r="E28"/>
  <c r="G28" s="1"/>
  <c r="G71" i="2"/>
  <c r="H71" s="1"/>
  <c r="I85"/>
  <c r="I90"/>
  <c r="G47"/>
  <c r="H47" s="1"/>
  <c r="I88"/>
  <c r="G59"/>
  <c r="H59" s="1"/>
  <c r="G64"/>
  <c r="H64" s="1"/>
  <c r="G94"/>
  <c r="H94" s="1"/>
  <c r="G98"/>
  <c r="H98" s="1"/>
  <c r="G28"/>
  <c r="H28" s="1"/>
  <c r="G177" i="50"/>
  <c r="H177" s="1"/>
  <c r="J177" s="1"/>
  <c r="E176"/>
  <c r="G176" s="1"/>
  <c r="H176" s="1"/>
  <c r="J176" s="1"/>
  <c r="E175"/>
  <c r="G175" s="1"/>
  <c r="H175" s="1"/>
  <c r="J175" s="1"/>
  <c r="H174"/>
  <c r="J174" s="1"/>
  <c r="E172"/>
  <c r="G172" s="1"/>
  <c r="H172" s="1"/>
  <c r="J172" s="1"/>
  <c r="E171"/>
  <c r="G171" s="1"/>
  <c r="H171" s="1"/>
  <c r="J171" s="1"/>
  <c r="E170"/>
  <c r="G170" s="1"/>
  <c r="H169"/>
  <c r="E167"/>
  <c r="G167" s="1"/>
  <c r="H167" s="1"/>
  <c r="J167" s="1"/>
  <c r="E166"/>
  <c r="G166" s="1"/>
  <c r="H166" s="1"/>
  <c r="J166" s="1"/>
  <c r="E165"/>
  <c r="G165" s="1"/>
  <c r="E157"/>
  <c r="G157" s="1"/>
  <c r="H157" s="1"/>
  <c r="J157" s="1"/>
  <c r="E156"/>
  <c r="G156" s="1"/>
  <c r="H156" s="1"/>
  <c r="J156" s="1"/>
  <c r="E155"/>
  <c r="G155" s="1"/>
  <c r="H155" s="1"/>
  <c r="J155" s="1"/>
  <c r="E154"/>
  <c r="G154" s="1"/>
  <c r="H154" s="1"/>
  <c r="J154" s="1"/>
  <c r="E153"/>
  <c r="G153" s="1"/>
  <c r="H153" s="1"/>
  <c r="J153" s="1"/>
  <c r="H135"/>
  <c r="J135" s="1"/>
  <c r="H134"/>
  <c r="J134" s="1"/>
  <c r="E150"/>
  <c r="G150" s="1"/>
  <c r="H150" s="1"/>
  <c r="J150" s="1"/>
  <c r="E149"/>
  <c r="G149" s="1"/>
  <c r="H149" s="1"/>
  <c r="J149" s="1"/>
  <c r="E148"/>
  <c r="G148" s="1"/>
  <c r="H148" s="1"/>
  <c r="J148" s="1"/>
  <c r="E147"/>
  <c r="G147" s="1"/>
  <c r="H147" s="1"/>
  <c r="J147" s="1"/>
  <c r="E146"/>
  <c r="G146" s="1"/>
  <c r="H146" s="1"/>
  <c r="J146" s="1"/>
  <c r="E145"/>
  <c r="G145" s="1"/>
  <c r="H145" s="1"/>
  <c r="J145" s="1"/>
  <c r="E144"/>
  <c r="G144" s="1"/>
  <c r="H144" s="1"/>
  <c r="J144" s="1"/>
  <c r="E143"/>
  <c r="G143" s="1"/>
  <c r="H143" s="1"/>
  <c r="J143" s="1"/>
  <c r="E142"/>
  <c r="G142" s="1"/>
  <c r="H142" s="1"/>
  <c r="J142" s="1"/>
  <c r="E141"/>
  <c r="G141" s="1"/>
  <c r="H141" s="1"/>
  <c r="J141" s="1"/>
  <c r="E140"/>
  <c r="G140" s="1"/>
  <c r="H140" s="1"/>
  <c r="J140" s="1"/>
  <c r="E139"/>
  <c r="G139" s="1"/>
  <c r="H139" s="1"/>
  <c r="J139" s="1"/>
  <c r="E138"/>
  <c r="G138" s="1"/>
  <c r="H138" s="1"/>
  <c r="J138" s="1"/>
  <c r="E133"/>
  <c r="G133" s="1"/>
  <c r="H133" s="1"/>
  <c r="J133" s="1"/>
  <c r="E132"/>
  <c r="G132" s="1"/>
  <c r="E131"/>
  <c r="G131" s="1"/>
  <c r="E130"/>
  <c r="G130" s="1"/>
  <c r="E129"/>
  <c r="G129" s="1"/>
  <c r="E128"/>
  <c r="G128" s="1"/>
  <c r="G117"/>
  <c r="G115"/>
  <c r="H115" s="1"/>
  <c r="J115" s="1"/>
  <c r="G114"/>
  <c r="H114" s="1"/>
  <c r="J114" s="1"/>
  <c r="G113"/>
  <c r="H113" s="1"/>
  <c r="J113" s="1"/>
  <c r="G112"/>
  <c r="H112" s="1"/>
  <c r="J112" s="1"/>
  <c r="E92"/>
  <c r="G92" s="1"/>
  <c r="E91"/>
  <c r="G91" s="1"/>
  <c r="E90"/>
  <c r="G90" s="1"/>
  <c r="E89"/>
  <c r="G89" s="1"/>
  <c r="E88"/>
  <c r="G88" s="1"/>
  <c r="E87"/>
  <c r="G87" s="1"/>
  <c r="E86"/>
  <c r="G86" s="1"/>
  <c r="E85"/>
  <c r="G85" s="1"/>
  <c r="E84"/>
  <c r="G84" s="1"/>
  <c r="E83"/>
  <c r="G83" s="1"/>
  <c r="E82"/>
  <c r="G82" s="1"/>
  <c r="E78"/>
  <c r="G78" s="1"/>
  <c r="E77"/>
  <c r="G77" s="1"/>
  <c r="E76"/>
  <c r="G76" s="1"/>
  <c r="E75"/>
  <c r="G75" s="1"/>
  <c r="E74"/>
  <c r="G74" s="1"/>
  <c r="E70"/>
  <c r="G70" s="1"/>
  <c r="E69"/>
  <c r="G69" s="1"/>
  <c r="E68"/>
  <c r="G68" s="1"/>
  <c r="E67"/>
  <c r="G67" s="1"/>
  <c r="E66"/>
  <c r="G66" s="1"/>
  <c r="E65"/>
  <c r="G65" s="1"/>
  <c r="E63"/>
  <c r="G63" s="1"/>
  <c r="E62"/>
  <c r="G62" s="1"/>
  <c r="G122"/>
  <c r="G120"/>
  <c r="G118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G46"/>
  <c r="G45"/>
  <c r="G44"/>
  <c r="G43"/>
  <c r="G42"/>
  <c r="G41"/>
  <c r="G40"/>
  <c r="G39"/>
  <c r="G38"/>
  <c r="G37"/>
  <c r="G36"/>
  <c r="G35"/>
  <c r="E29"/>
  <c r="G29" s="1"/>
  <c r="E24"/>
  <c r="E23"/>
  <c r="E22"/>
  <c r="G22" s="1"/>
  <c r="E19"/>
  <c r="G19" s="1"/>
  <c r="G18"/>
  <c r="E18"/>
  <c r="G15"/>
  <c r="E10"/>
  <c r="G10" s="1"/>
  <c r="K9"/>
  <c r="G9"/>
  <c r="M8"/>
  <c r="AV37" i="44" l="1"/>
  <c r="AO37"/>
  <c r="AM36"/>
  <c r="N36"/>
  <c r="AE36"/>
  <c r="AE37"/>
  <c r="AP37"/>
  <c r="AP36"/>
  <c r="AI37"/>
  <c r="AI36"/>
  <c r="AW36"/>
  <c r="AK36"/>
  <c r="AK37"/>
  <c r="AA36"/>
  <c r="AA37"/>
  <c r="AX37"/>
  <c r="AS37"/>
  <c r="AS36"/>
  <c r="AR37"/>
  <c r="AR36"/>
  <c r="AQ36"/>
  <c r="AQ37"/>
  <c r="AG36"/>
  <c r="AG37"/>
  <c r="I135" i="33"/>
  <c r="H153" i="2"/>
  <c r="I153"/>
  <c r="I135"/>
  <c r="H135"/>
  <c r="J135" s="1"/>
  <c r="I135" i="3"/>
  <c r="G7" i="17"/>
  <c r="H7" s="1"/>
  <c r="E8" i="18"/>
  <c r="G9" i="17"/>
  <c r="H9" s="1"/>
  <c r="H175" i="3"/>
  <c r="H175" i="4" s="1"/>
  <c r="H122" i="3"/>
  <c r="J127" i="7"/>
  <c r="H178" i="2"/>
  <c r="J178" s="1"/>
  <c r="G186"/>
  <c r="H186" s="1"/>
  <c r="J186" s="1"/>
  <c r="G60" i="5"/>
  <c r="I59" s="1"/>
  <c r="G60" i="4"/>
  <c r="G30" i="3"/>
  <c r="H30" s="1"/>
  <c r="H30" i="4" s="1"/>
  <c r="H30" i="5" s="1"/>
  <c r="H30" i="33" s="1"/>
  <c r="H30" i="7" s="1"/>
  <c r="H30" i="8" s="1"/>
  <c r="H30" i="9" s="1"/>
  <c r="H30" i="10" s="1"/>
  <c r="H30" i="11" s="1"/>
  <c r="H30" i="12" s="1"/>
  <c r="H30" i="13" s="1"/>
  <c r="H30" i="14" s="1"/>
  <c r="H30" i="15" s="1"/>
  <c r="H30" i="16" s="1"/>
  <c r="H30" i="17" s="1"/>
  <c r="H30" i="18" s="1"/>
  <c r="H30" i="19" s="1"/>
  <c r="H30" i="20" s="1"/>
  <c r="H30" i="21" s="1"/>
  <c r="H30" i="22" s="1"/>
  <c r="H30" i="23" s="1"/>
  <c r="H30" i="24" s="1"/>
  <c r="H30" i="25" s="1"/>
  <c r="H30" i="40" s="1"/>
  <c r="H30" i="27" s="1"/>
  <c r="H30" i="28" s="1"/>
  <c r="H30" i="29" s="1"/>
  <c r="H30" i="30" s="1"/>
  <c r="H30" i="43" s="1"/>
  <c r="H30" i="31" s="1"/>
  <c r="H118" i="3"/>
  <c r="J118" s="1"/>
  <c r="G31"/>
  <c r="H31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/>
  <c r="H120" i="4" s="1"/>
  <c r="J155" i="11"/>
  <c r="H155" i="12"/>
  <c r="J156" i="11"/>
  <c r="H156" i="12"/>
  <c r="H131" i="3"/>
  <c r="J131" s="1"/>
  <c r="H117"/>
  <c r="H117" i="4" s="1"/>
  <c r="H121" i="3"/>
  <c r="J121" s="1"/>
  <c r="G97" i="2"/>
  <c r="H97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s="1"/>
  <c r="H119" i="3"/>
  <c r="H119" i="4" s="1"/>
  <c r="H28" i="3"/>
  <c r="H28" i="4" s="1"/>
  <c r="H28" i="5" s="1"/>
  <c r="H28" i="33" s="1"/>
  <c r="H28" i="7" s="1"/>
  <c r="H28" i="8" s="1"/>
  <c r="H28" i="9" s="1"/>
  <c r="H28" i="10" s="1"/>
  <c r="H28" i="11" s="1"/>
  <c r="H28" i="12" s="1"/>
  <c r="H28" i="13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28" i="40" s="1"/>
  <c r="H28" i="27" s="1"/>
  <c r="H28" i="28" s="1"/>
  <c r="H28" i="29" s="1"/>
  <c r="H28" i="30" s="1"/>
  <c r="H28" i="43" s="1"/>
  <c r="H28" i="31" s="1"/>
  <c r="G105" i="2"/>
  <c r="H105" s="1"/>
  <c r="H158" i="3"/>
  <c r="J158" s="1"/>
  <c r="J148" i="2"/>
  <c r="H148" i="3"/>
  <c r="H148" i="4" s="1"/>
  <c r="J143" i="2"/>
  <c r="H143" i="3"/>
  <c r="H143" i="4" s="1"/>
  <c r="J147" i="2"/>
  <c r="H147" i="3"/>
  <c r="H147" i="4" s="1"/>
  <c r="H129" i="3"/>
  <c r="J129" s="1"/>
  <c r="J129" i="2"/>
  <c r="H116" i="3"/>
  <c r="J116" s="1"/>
  <c r="J144" i="2"/>
  <c r="H144" i="3"/>
  <c r="H144" i="4" s="1"/>
  <c r="H139" i="3"/>
  <c r="H139" i="4" s="1"/>
  <c r="J139" i="2"/>
  <c r="H128" i="3"/>
  <c r="J128" s="1"/>
  <c r="H133"/>
  <c r="H133" i="4" s="1"/>
  <c r="J133" i="2"/>
  <c r="J152" i="7"/>
  <c r="H152" i="8"/>
  <c r="H115" i="3"/>
  <c r="J115" s="1"/>
  <c r="J115" i="2"/>
  <c r="J150"/>
  <c r="H150" i="3"/>
  <c r="H150" i="4" s="1"/>
  <c r="H170" i="3"/>
  <c r="H170" i="4" s="1"/>
  <c r="J170" i="2"/>
  <c r="H140" i="3"/>
  <c r="J140" s="1"/>
  <c r="J140" i="2"/>
  <c r="H161" i="3"/>
  <c r="H161" i="4" s="1"/>
  <c r="J161" i="2"/>
  <c r="H181" i="3"/>
  <c r="J181" s="1"/>
  <c r="J181" i="2"/>
  <c r="J151" i="5"/>
  <c r="H151" i="33"/>
  <c r="G104" i="50"/>
  <c r="J146" i="2"/>
  <c r="H146" i="3"/>
  <c r="H146" i="4" s="1"/>
  <c r="J145" i="2"/>
  <c r="H145" i="3"/>
  <c r="H145" i="4" s="1"/>
  <c r="J134" i="7"/>
  <c r="H134" i="8"/>
  <c r="H138" i="3"/>
  <c r="J138" s="1"/>
  <c r="J138" i="2"/>
  <c r="H159" i="3"/>
  <c r="J159" s="1"/>
  <c r="J159" i="2"/>
  <c r="H171" i="3"/>
  <c r="H171" i="4" s="1"/>
  <c r="J171" i="2"/>
  <c r="H130" i="3"/>
  <c r="H130" i="4" s="1"/>
  <c r="J130" i="2"/>
  <c r="H123" i="3"/>
  <c r="H123" i="4" s="1"/>
  <c r="H142" i="3"/>
  <c r="J142" s="1"/>
  <c r="J149" i="2"/>
  <c r="H149" i="3"/>
  <c r="H149" i="4" s="1"/>
  <c r="G101" i="2"/>
  <c r="H101" s="1"/>
  <c r="H101" i="3" s="1"/>
  <c r="H101" i="4" s="1"/>
  <c r="H101" i="5" s="1"/>
  <c r="G103" i="2"/>
  <c r="H103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H104" i="43" s="1"/>
  <c r="H104" i="31" s="1"/>
  <c r="J104" s="1"/>
  <c r="J186" i="20"/>
  <c r="H186" i="21"/>
  <c r="H20" i="5"/>
  <c r="H20" i="33" s="1"/>
  <c r="H20" i="7" s="1"/>
  <c r="H20" i="8" s="1"/>
  <c r="H20" i="9" s="1"/>
  <c r="H20" i="10" s="1"/>
  <c r="H20" i="11" s="1"/>
  <c r="H20" i="12" s="1"/>
  <c r="H20" i="13" s="1"/>
  <c r="H20" i="14" s="1"/>
  <c r="H20" i="15" s="1"/>
  <c r="H20" i="16" s="1"/>
  <c r="H20" i="17" s="1"/>
  <c r="H20" i="18" s="1"/>
  <c r="H20" i="19" s="1"/>
  <c r="H20" i="20" s="1"/>
  <c r="H20" i="21" s="1"/>
  <c r="H20" i="22" s="1"/>
  <c r="H20" i="23" s="1"/>
  <c r="H20" i="24" s="1"/>
  <c r="H20" i="25" s="1"/>
  <c r="H20" i="40" s="1"/>
  <c r="H20" i="27" s="1"/>
  <c r="H20" i="28" s="1"/>
  <c r="H20" i="29" s="1"/>
  <c r="H20" i="30" s="1"/>
  <c r="H20" i="43" s="1"/>
  <c r="H20" i="31" s="1"/>
  <c r="J77" i="43"/>
  <c r="J65"/>
  <c r="J70"/>
  <c r="J78"/>
  <c r="J68" i="31"/>
  <c r="H141" i="3"/>
  <c r="J141" s="1"/>
  <c r="H176"/>
  <c r="H176" i="4" s="1"/>
  <c r="H177" i="3"/>
  <c r="J177" s="1"/>
  <c r="J66" i="43"/>
  <c r="H165" i="12"/>
  <c r="J165" i="11"/>
  <c r="J163"/>
  <c r="H163" i="12"/>
  <c r="H132" i="4"/>
  <c r="J132" i="3"/>
  <c r="H179" i="9"/>
  <c r="J179" i="8"/>
  <c r="H79" i="3"/>
  <c r="H79" i="4" s="1"/>
  <c r="H79" i="5" s="1"/>
  <c r="H79" i="33" s="1"/>
  <c r="H79" i="7" s="1"/>
  <c r="H79" i="8" s="1"/>
  <c r="H79" i="9" s="1"/>
  <c r="H79" i="10" s="1"/>
  <c r="H79" i="11" s="1"/>
  <c r="H79" i="12" s="1"/>
  <c r="H79" i="13" s="1"/>
  <c r="H164" i="12"/>
  <c r="J164" i="11"/>
  <c r="J174" i="8"/>
  <c r="H174" i="9"/>
  <c r="H127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2" i="3"/>
  <c r="J162" s="1"/>
  <c r="H173" i="2"/>
  <c r="J173" s="1"/>
  <c r="H183"/>
  <c r="H182" i="4"/>
  <c r="J182" i="3"/>
  <c r="H180" i="4"/>
  <c r="J180" i="3"/>
  <c r="H172"/>
  <c r="H185" i="2"/>
  <c r="H184"/>
  <c r="J184" s="1"/>
  <c r="H160" i="3"/>
  <c r="J122"/>
  <c r="H122" i="4"/>
  <c r="H113" i="3"/>
  <c r="J114"/>
  <c r="H114" i="4"/>
  <c r="J112" i="3"/>
  <c r="H112" i="4"/>
  <c r="H86" i="31"/>
  <c r="J86" s="1"/>
  <c r="J86" i="43"/>
  <c r="H92" i="31"/>
  <c r="J92" s="1"/>
  <c r="J92" i="43"/>
  <c r="J85"/>
  <c r="H85" i="31"/>
  <c r="J85" s="1"/>
  <c r="H90"/>
  <c r="J90" s="1"/>
  <c r="J90" i="43"/>
  <c r="J89"/>
  <c r="H89" i="31"/>
  <c r="J89" s="1"/>
  <c r="J87" i="43"/>
  <c r="H87" i="31"/>
  <c r="J87" s="1"/>
  <c r="H84"/>
  <c r="J84" s="1"/>
  <c r="J84" i="43"/>
  <c r="H91" i="31"/>
  <c r="J91" s="1"/>
  <c r="J91" i="43"/>
  <c r="J88"/>
  <c r="H88" i="31"/>
  <c r="J88" s="1"/>
  <c r="H75"/>
  <c r="J75" s="1"/>
  <c r="J75" i="43"/>
  <c r="H76" i="31"/>
  <c r="J76" s="1"/>
  <c r="J76" i="43"/>
  <c r="H74" i="31"/>
  <c r="J74" s="1"/>
  <c r="J74" i="43"/>
  <c r="J62"/>
  <c r="H62" i="31"/>
  <c r="J62" s="1"/>
  <c r="H69"/>
  <c r="J69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s="1"/>
  <c r="G80" i="4"/>
  <c r="G80" i="3"/>
  <c r="H80" s="1"/>
  <c r="J68" i="43"/>
  <c r="J67"/>
  <c r="G80" i="7"/>
  <c r="J63" i="43"/>
  <c r="I59" i="15"/>
  <c r="I59" i="14"/>
  <c r="I59" i="13"/>
  <c r="I59" i="9"/>
  <c r="G60" i="8"/>
  <c r="G105"/>
  <c r="G32"/>
  <c r="G103"/>
  <c r="G95" i="7"/>
  <c r="G99"/>
  <c r="G32"/>
  <c r="G60"/>
  <c r="G105"/>
  <c r="G97"/>
  <c r="G105" i="33"/>
  <c r="G101"/>
  <c r="G32"/>
  <c r="G60"/>
  <c r="G97"/>
  <c r="G103"/>
  <c r="G105" i="5"/>
  <c r="G95"/>
  <c r="G99"/>
  <c r="G32"/>
  <c r="G80"/>
  <c r="G99" i="4"/>
  <c r="G32"/>
  <c r="G95"/>
  <c r="G97" i="3"/>
  <c r="G95"/>
  <c r="G99"/>
  <c r="G60"/>
  <c r="G105"/>
  <c r="G95" i="2"/>
  <c r="H95" s="1"/>
  <c r="G99"/>
  <c r="H99" s="1"/>
  <c r="G32"/>
  <c r="H32" s="1"/>
  <c r="G60"/>
  <c r="H60" s="1"/>
  <c r="G20" i="50"/>
  <c r="G180"/>
  <c r="H180" s="1"/>
  <c r="J180" s="1"/>
  <c r="G179"/>
  <c r="H179" s="1"/>
  <c r="J179" s="1"/>
  <c r="H165"/>
  <c r="J165" s="1"/>
  <c r="G168"/>
  <c r="H168" s="1"/>
  <c r="J168" s="1"/>
  <c r="H170"/>
  <c r="J170" s="1"/>
  <c r="G173"/>
  <c r="G178"/>
  <c r="H178" s="1"/>
  <c r="J178" s="1"/>
  <c r="G94"/>
  <c r="I85"/>
  <c r="G98"/>
  <c r="G79"/>
  <c r="G96"/>
  <c r="E31"/>
  <c r="G31" s="1"/>
  <c r="G102"/>
  <c r="G100"/>
  <c r="G116"/>
  <c r="E30"/>
  <c r="G30" s="1"/>
  <c r="G71"/>
  <c r="G121"/>
  <c r="I88"/>
  <c r="G119"/>
  <c r="G123"/>
  <c r="G59"/>
  <c r="G64"/>
  <c r="E28"/>
  <c r="G28" s="1"/>
  <c r="I90"/>
  <c r="G47"/>
  <c r="H135" i="3" l="1"/>
  <c r="H135" i="4" s="1"/>
  <c r="I59" i="17"/>
  <c r="G8" i="18"/>
  <c r="E27" s="1"/>
  <c r="G27" s="1"/>
  <c r="G32" s="1"/>
  <c r="G97" i="17"/>
  <c r="G99"/>
  <c r="G105"/>
  <c r="G95"/>
  <c r="G101"/>
  <c r="G103"/>
  <c r="E7" i="18"/>
  <c r="E9"/>
  <c r="J175" i="3"/>
  <c r="H178"/>
  <c r="H178" i="4" s="1"/>
  <c r="J117" i="3"/>
  <c r="H79" i="14"/>
  <c r="H79" i="15" s="1"/>
  <c r="H79" i="16" s="1"/>
  <c r="H79" i="17" s="1"/>
  <c r="H79" i="18" s="1"/>
  <c r="H79" i="19" s="1"/>
  <c r="H79" i="20" s="1"/>
  <c r="H79" i="21" s="1"/>
  <c r="H79" i="22" s="1"/>
  <c r="H79" i="23" s="1"/>
  <c r="H79" i="24" s="1"/>
  <c r="H79" i="25" s="1"/>
  <c r="H79" i="40" s="1"/>
  <c r="H79" i="27" s="1"/>
  <c r="H79" i="28" s="1"/>
  <c r="H79" i="29" s="1"/>
  <c r="H79" i="30" s="1"/>
  <c r="H79" i="43" s="1"/>
  <c r="H79" i="31" s="1"/>
  <c r="J79" i="13"/>
  <c r="H118" i="4"/>
  <c r="J118" s="1"/>
  <c r="H138"/>
  <c r="H138" i="5" s="1"/>
  <c r="G32" i="3"/>
  <c r="H32" s="1"/>
  <c r="H32" i="4" s="1"/>
  <c r="H32" i="5" s="1"/>
  <c r="H32" i="33" s="1"/>
  <c r="H32" i="7" s="1"/>
  <c r="H32" i="8" s="1"/>
  <c r="H32" i="9" s="1"/>
  <c r="H32" i="10" s="1"/>
  <c r="H32" i="11" s="1"/>
  <c r="H32" i="12" s="1"/>
  <c r="H32" i="13" s="1"/>
  <c r="H32" i="14" s="1"/>
  <c r="H32" i="15" s="1"/>
  <c r="H32" i="16" s="1"/>
  <c r="H32" i="17" s="1"/>
  <c r="H115" i="4"/>
  <c r="H115" i="5" s="1"/>
  <c r="H121" i="4"/>
  <c r="J121" s="1"/>
  <c r="H27" i="3"/>
  <c r="H27" i="4" s="1"/>
  <c r="H27" i="5" s="1"/>
  <c r="H27" i="33" s="1"/>
  <c r="H27" i="7" s="1"/>
  <c r="H27" i="8" s="1"/>
  <c r="H27" i="9" s="1"/>
  <c r="H27" i="10" s="1"/>
  <c r="H27" i="11" s="1"/>
  <c r="H27" i="12" s="1"/>
  <c r="H27" i="13" s="1"/>
  <c r="H27" i="14" s="1"/>
  <c r="H27" i="15" s="1"/>
  <c r="H27" i="16" s="1"/>
  <c r="H27" i="17" s="1"/>
  <c r="J161" i="3"/>
  <c r="H158" i="4"/>
  <c r="H158" i="5" s="1"/>
  <c r="J150" i="3"/>
  <c r="J149"/>
  <c r="J120"/>
  <c r="J143"/>
  <c r="H97"/>
  <c r="H97" i="4" s="1"/>
  <c r="H97" i="5" s="1"/>
  <c r="H97" i="33" s="1"/>
  <c r="H97" i="7" s="1"/>
  <c r="H97" i="8" s="1"/>
  <c r="H97" i="9" s="1"/>
  <c r="H97" i="10" s="1"/>
  <c r="H97" i="11" s="1"/>
  <c r="H97" i="12" s="1"/>
  <c r="H97" i="13" s="1"/>
  <c r="H97" i="14" s="1"/>
  <c r="H97" i="15" s="1"/>
  <c r="H97" i="16" s="1"/>
  <c r="H80" i="4"/>
  <c r="H80" i="5" s="1"/>
  <c r="J139" i="3"/>
  <c r="J171"/>
  <c r="J156" i="12"/>
  <c r="H156" i="13"/>
  <c r="H155"/>
  <c r="J155" i="12"/>
  <c r="J146" i="3"/>
  <c r="J144"/>
  <c r="H131" i="4"/>
  <c r="J131" s="1"/>
  <c r="J123" i="3"/>
  <c r="J119"/>
  <c r="H116" i="4"/>
  <c r="J116" s="1"/>
  <c r="H140"/>
  <c r="H140" i="5" s="1"/>
  <c r="H181" i="4"/>
  <c r="H181" i="5" s="1"/>
  <c r="H142" i="4"/>
  <c r="H142" i="5" s="1"/>
  <c r="J147" i="3"/>
  <c r="J148"/>
  <c r="H105"/>
  <c r="H105" i="4" s="1"/>
  <c r="H105" i="5" s="1"/>
  <c r="H105" i="33" s="1"/>
  <c r="H105" i="7" s="1"/>
  <c r="H105" i="8" s="1"/>
  <c r="H105" i="9" s="1"/>
  <c r="H105" i="10" s="1"/>
  <c r="H105" i="11" s="1"/>
  <c r="H105" i="12" s="1"/>
  <c r="H105" i="13" s="1"/>
  <c r="H105" i="14" s="1"/>
  <c r="H105" i="15" s="1"/>
  <c r="H105" i="16" s="1"/>
  <c r="H159" i="4"/>
  <c r="J159" s="1"/>
  <c r="H129"/>
  <c r="J129" s="1"/>
  <c r="J130" i="3"/>
  <c r="H141" i="4"/>
  <c r="J141" s="1"/>
  <c r="H162"/>
  <c r="J162" s="1"/>
  <c r="H128"/>
  <c r="J128" s="1"/>
  <c r="H134" i="9"/>
  <c r="J134" i="8"/>
  <c r="H103" i="33"/>
  <c r="H103" i="7" s="1"/>
  <c r="H103" i="8" s="1"/>
  <c r="H103" i="9" s="1"/>
  <c r="H103" i="10" s="1"/>
  <c r="H103" i="11" s="1"/>
  <c r="H103" i="12" s="1"/>
  <c r="H103" i="13" s="1"/>
  <c r="H103" i="14" s="1"/>
  <c r="H103" i="15" s="1"/>
  <c r="H103" i="16" s="1"/>
  <c r="H150" i="5"/>
  <c r="J150" i="4"/>
  <c r="H186" i="3"/>
  <c r="H186" i="4" s="1"/>
  <c r="J145"/>
  <c r="H145" i="5"/>
  <c r="H147"/>
  <c r="J147" i="4"/>
  <c r="J170" i="3"/>
  <c r="J176"/>
  <c r="J133"/>
  <c r="H149" i="5"/>
  <c r="J149" i="4"/>
  <c r="J146"/>
  <c r="H146" i="5"/>
  <c r="J144" i="4"/>
  <c r="H144" i="5"/>
  <c r="H143"/>
  <c r="J143" i="4"/>
  <c r="J152" i="8"/>
  <c r="H152" i="9"/>
  <c r="H148" i="5"/>
  <c r="J148" i="4"/>
  <c r="H183" i="3"/>
  <c r="H183" i="4" s="1"/>
  <c r="J183" i="2"/>
  <c r="H151" i="7"/>
  <c r="J151" i="33"/>
  <c r="H186" i="22"/>
  <c r="J186" i="21"/>
  <c r="H96" i="31"/>
  <c r="J96" s="1"/>
  <c r="J94" i="43"/>
  <c r="J104"/>
  <c r="H101" i="33"/>
  <c r="H101" i="7" s="1"/>
  <c r="H101" i="8" s="1"/>
  <c r="H101" i="9" s="1"/>
  <c r="H101" i="10" s="1"/>
  <c r="H101" i="11" s="1"/>
  <c r="H101" i="12" s="1"/>
  <c r="H101" i="13" s="1"/>
  <c r="H101" i="14" s="1"/>
  <c r="H101" i="15" s="1"/>
  <c r="H101" i="16" s="1"/>
  <c r="H102" i="31"/>
  <c r="J102" s="1"/>
  <c r="H177" i="4"/>
  <c r="H177" i="5" s="1"/>
  <c r="J165" i="12"/>
  <c r="H165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4" i="9"/>
  <c r="H174" i="10"/>
  <c r="J127" i="9"/>
  <c r="H127" i="10"/>
  <c r="H164" i="13"/>
  <c r="J164" i="12"/>
  <c r="H179" i="10"/>
  <c r="J179" i="9"/>
  <c r="H130" i="5"/>
  <c r="J130" i="4"/>
  <c r="H163" i="13"/>
  <c r="J163" i="12"/>
  <c r="J180" i="4"/>
  <c r="H180" i="5"/>
  <c r="J182" i="4"/>
  <c r="H182" i="5"/>
  <c r="H171"/>
  <c r="J171" i="4"/>
  <c r="H172"/>
  <c r="J172" i="3"/>
  <c r="J176" i="4"/>
  <c r="H176" i="5"/>
  <c r="H173" i="3"/>
  <c r="H170" i="5"/>
  <c r="J170" i="4"/>
  <c r="H175" i="5"/>
  <c r="J175" i="4"/>
  <c r="H160"/>
  <c r="J160" i="3"/>
  <c r="H161" i="5"/>
  <c r="J161" i="4"/>
  <c r="H185" i="3"/>
  <c r="H184"/>
  <c r="J145"/>
  <c r="J139" i="4"/>
  <c r="H139" i="5"/>
  <c r="H114"/>
  <c r="J114" i="4"/>
  <c r="H122" i="5"/>
  <c r="J122" i="4"/>
  <c r="H117" i="5"/>
  <c r="J117" i="4"/>
  <c r="H123" i="5"/>
  <c r="J123" i="4"/>
  <c r="H119" i="5"/>
  <c r="J119" i="4"/>
  <c r="H120" i="5"/>
  <c r="J120" i="4"/>
  <c r="H113"/>
  <c r="J113" i="3"/>
  <c r="H112" i="5"/>
  <c r="J112" i="4"/>
  <c r="H71" i="31"/>
  <c r="J71" s="1"/>
  <c r="J71" i="43"/>
  <c r="J64"/>
  <c r="J100"/>
  <c r="H100" i="31"/>
  <c r="J100" s="1"/>
  <c r="H95" i="3"/>
  <c r="H95" i="4" s="1"/>
  <c r="H95" i="5" s="1"/>
  <c r="H95" i="33" s="1"/>
  <c r="H95" i="7" s="1"/>
  <c r="H95" i="8" s="1"/>
  <c r="H95" i="9" s="1"/>
  <c r="H95" i="10" s="1"/>
  <c r="H95" i="11" s="1"/>
  <c r="H95" i="12" s="1"/>
  <c r="H95" i="13" s="1"/>
  <c r="H95" i="14" s="1"/>
  <c r="H95" i="15" s="1"/>
  <c r="H95" i="16" s="1"/>
  <c r="H95" i="17" s="1"/>
  <c r="J98" i="43"/>
  <c r="H99" i="3"/>
  <c r="H99" i="4" s="1"/>
  <c r="H99" i="5" s="1"/>
  <c r="H99" i="33" s="1"/>
  <c r="H99" i="7" s="1"/>
  <c r="H99" i="8" s="1"/>
  <c r="H99" i="9" s="1"/>
  <c r="H99" i="10" s="1"/>
  <c r="H99" i="11" s="1"/>
  <c r="H99" i="12" s="1"/>
  <c r="H99" i="13" s="1"/>
  <c r="H99" i="14" s="1"/>
  <c r="H99" i="15" s="1"/>
  <c r="H99" i="16" s="1"/>
  <c r="J83" i="31"/>
  <c r="J83" i="43"/>
  <c r="I59" i="8"/>
  <c r="I59" i="7"/>
  <c r="I59" i="33"/>
  <c r="I59" i="4"/>
  <c r="I59" i="3"/>
  <c r="I59" i="2"/>
  <c r="G80" i="50"/>
  <c r="G181"/>
  <c r="H181" s="1"/>
  <c r="J181" s="1"/>
  <c r="H173"/>
  <c r="J173" s="1"/>
  <c r="G60"/>
  <c r="B26" i="48"/>
  <c r="J135" i="3" l="1"/>
  <c r="H105" i="17"/>
  <c r="H97"/>
  <c r="H135" i="5"/>
  <c r="J135" i="4"/>
  <c r="H27" i="18"/>
  <c r="H32"/>
  <c r="E8" i="19"/>
  <c r="E8" i="20" s="1"/>
  <c r="H103" i="17"/>
  <c r="H99"/>
  <c r="G9" i="18"/>
  <c r="H9" s="1"/>
  <c r="H101" i="17"/>
  <c r="G7" i="18"/>
  <c r="J158" i="4"/>
  <c r="H121" i="5"/>
  <c r="J121" s="1"/>
  <c r="J178" i="3"/>
  <c r="J115" i="4"/>
  <c r="J138"/>
  <c r="J140"/>
  <c r="J79" i="25"/>
  <c r="H118" i="5"/>
  <c r="H118" i="33" s="1"/>
  <c r="J181" i="4"/>
  <c r="H155" i="14"/>
  <c r="J155" i="13"/>
  <c r="H156" i="14"/>
  <c r="J156" i="13"/>
  <c r="H131" i="5"/>
  <c r="J131" s="1"/>
  <c r="J183" i="3"/>
  <c r="H116" i="5"/>
  <c r="J116" s="1"/>
  <c r="H129"/>
  <c r="J129" s="1"/>
  <c r="H162"/>
  <c r="H162" i="33" s="1"/>
  <c r="J142" i="4"/>
  <c r="H159" i="5"/>
  <c r="J159" s="1"/>
  <c r="H141"/>
  <c r="J141" s="1"/>
  <c r="H128"/>
  <c r="J128" s="1"/>
  <c r="J186" i="3"/>
  <c r="H152" i="10"/>
  <c r="J152" i="9"/>
  <c r="H145" i="33"/>
  <c r="J145" i="5"/>
  <c r="H149" i="33"/>
  <c r="J149" i="5"/>
  <c r="H151" i="8"/>
  <c r="J151" i="7"/>
  <c r="H143" i="33"/>
  <c r="J143" i="5"/>
  <c r="J150"/>
  <c r="H150" i="33"/>
  <c r="J144" i="5"/>
  <c r="H144" i="33"/>
  <c r="H146"/>
  <c r="J146" i="5"/>
  <c r="H148" i="33"/>
  <c r="J148" i="5"/>
  <c r="H147" i="33"/>
  <c r="J147" i="5"/>
  <c r="H134" i="10"/>
  <c r="J134" i="9"/>
  <c r="H186" i="23"/>
  <c r="J186" i="22"/>
  <c r="J177" i="4"/>
  <c r="H130" i="33"/>
  <c r="J130" i="5"/>
  <c r="J174" i="10"/>
  <c r="H174" i="11"/>
  <c r="J165" i="13"/>
  <c r="H165" i="14"/>
  <c r="J127" i="10"/>
  <c r="H127" i="11"/>
  <c r="H132" i="33"/>
  <c r="J132" i="5"/>
  <c r="J133"/>
  <c r="H133" i="33"/>
  <c r="H163" i="14"/>
  <c r="J163" i="13"/>
  <c r="J179" i="10"/>
  <c r="H179" i="11"/>
  <c r="H164" i="14"/>
  <c r="J164" i="13"/>
  <c r="H175" i="33"/>
  <c r="J175" i="5"/>
  <c r="H170" i="33"/>
  <c r="J170" i="5"/>
  <c r="H176" i="33"/>
  <c r="J176" i="5"/>
  <c r="H182" i="33"/>
  <c r="J182" i="5"/>
  <c r="H171" i="33"/>
  <c r="J171" i="5"/>
  <c r="H183"/>
  <c r="J183" i="4"/>
  <c r="J178"/>
  <c r="H178" i="5"/>
  <c r="H181" i="33"/>
  <c r="J181" i="5"/>
  <c r="H180" i="33"/>
  <c r="J180" i="5"/>
  <c r="H177" i="33"/>
  <c r="J177" i="5"/>
  <c r="H173" i="4"/>
  <c r="J173" i="3"/>
  <c r="H172" i="5"/>
  <c r="J172" i="4"/>
  <c r="J186"/>
  <c r="H186" i="5"/>
  <c r="H161" i="33"/>
  <c r="J161" i="5"/>
  <c r="H159" i="33"/>
  <c r="H158"/>
  <c r="J158" i="5"/>
  <c r="H185" i="4"/>
  <c r="J185" i="3"/>
  <c r="H160" i="5"/>
  <c r="J160" i="4"/>
  <c r="H184"/>
  <c r="J184" i="3"/>
  <c r="H139" i="33"/>
  <c r="J139" i="5"/>
  <c r="J142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22" i="33"/>
  <c r="J122" i="5"/>
  <c r="J135" l="1"/>
  <c r="H135" i="33"/>
  <c r="E9" i="19"/>
  <c r="E9" i="20" s="1"/>
  <c r="G8" i="19"/>
  <c r="E27" s="1"/>
  <c r="G27" s="1"/>
  <c r="E8" i="21"/>
  <c r="G8" i="20"/>
  <c r="E27" s="1"/>
  <c r="G27" s="1"/>
  <c r="G32" s="1"/>
  <c r="G105" i="18"/>
  <c r="H105" s="1"/>
  <c r="G101"/>
  <c r="H101" s="1"/>
  <c r="G103"/>
  <c r="H103" s="1"/>
  <c r="G97"/>
  <c r="H97" s="1"/>
  <c r="G99"/>
  <c r="H99" s="1"/>
  <c r="G95"/>
  <c r="H95" s="1"/>
  <c r="I59"/>
  <c r="H7"/>
  <c r="E7" i="19"/>
  <c r="H121" i="33"/>
  <c r="H121" i="7" s="1"/>
  <c r="J118" i="5"/>
  <c r="J156" i="14"/>
  <c r="H156" i="15"/>
  <c r="H129" i="33"/>
  <c r="J129" s="1"/>
  <c r="H155" i="15"/>
  <c r="J155" i="14"/>
  <c r="H131" i="33"/>
  <c r="J131" s="1"/>
  <c r="J162" i="5"/>
  <c r="H116" i="33"/>
  <c r="H116" i="7" s="1"/>
  <c r="H141" i="33"/>
  <c r="H141" i="7" s="1"/>
  <c r="H128" i="33"/>
  <c r="J128" s="1"/>
  <c r="H151" i="9"/>
  <c r="J151" i="8"/>
  <c r="H144" i="7"/>
  <c r="J144" i="33"/>
  <c r="J134" i="10"/>
  <c r="H134" i="11"/>
  <c r="J149" i="33"/>
  <c r="H149" i="7"/>
  <c r="H150"/>
  <c r="J150" i="33"/>
  <c r="J146"/>
  <c r="H146" i="7"/>
  <c r="J147" i="33"/>
  <c r="H147" i="7"/>
  <c r="H145"/>
  <c r="J145" i="33"/>
  <c r="J148"/>
  <c r="H148" i="7"/>
  <c r="J143" i="33"/>
  <c r="H143" i="7"/>
  <c r="H152" i="11"/>
  <c r="J152" i="10"/>
  <c r="H186" i="24"/>
  <c r="J186" i="23"/>
  <c r="H132" i="7"/>
  <c r="J132" i="33"/>
  <c r="J179" i="11"/>
  <c r="H179" i="12"/>
  <c r="J127" i="11"/>
  <c r="H127" i="12"/>
  <c r="H174"/>
  <c r="J174" i="11"/>
  <c r="H130" i="7"/>
  <c r="J130" i="33"/>
  <c r="H164" i="15"/>
  <c r="J164" i="14"/>
  <c r="J163"/>
  <c r="H163" i="15"/>
  <c r="H133" i="7"/>
  <c r="J133" i="33"/>
  <c r="H165" i="15"/>
  <c r="J165" i="14"/>
  <c r="H173" i="5"/>
  <c r="J173" i="4"/>
  <c r="H180" i="7"/>
  <c r="J180" i="33"/>
  <c r="J171"/>
  <c r="H171" i="7"/>
  <c r="H176"/>
  <c r="J176" i="33"/>
  <c r="J175"/>
  <c r="H175" i="7"/>
  <c r="H186" i="33"/>
  <c r="J186" i="5"/>
  <c r="H178" i="33"/>
  <c r="J178" i="5"/>
  <c r="H172" i="33"/>
  <c r="J172" i="5"/>
  <c r="J177" i="33"/>
  <c r="H177" i="7"/>
  <c r="J181" i="33"/>
  <c r="H181" i="7"/>
  <c r="H183" i="33"/>
  <c r="J183" i="5"/>
  <c r="J182" i="33"/>
  <c r="H182" i="7"/>
  <c r="J170" i="33"/>
  <c r="H170" i="7"/>
  <c r="H184" i="5"/>
  <c r="J184" i="4"/>
  <c r="H160" i="33"/>
  <c r="J160" i="5"/>
  <c r="J158" i="33"/>
  <c r="H158" i="7"/>
  <c r="H161"/>
  <c r="J161" i="33"/>
  <c r="J162"/>
  <c r="H162" i="7"/>
  <c r="H185" i="5"/>
  <c r="J185" i="4"/>
  <c r="J159" i="33"/>
  <c r="H159" i="7"/>
  <c r="J138" i="33"/>
  <c r="H138" i="7"/>
  <c r="J142" i="33"/>
  <c r="H142" i="7"/>
  <c r="H139"/>
  <c r="J139" i="33"/>
  <c r="H140" i="7"/>
  <c r="J140" i="33"/>
  <c r="H122" i="7"/>
  <c r="J122" i="33"/>
  <c r="J119"/>
  <c r="H119" i="7"/>
  <c r="J112" i="33"/>
  <c r="H112" i="7"/>
  <c r="H114"/>
  <c r="J114" i="33"/>
  <c r="J123"/>
  <c r="H123" i="7"/>
  <c r="H113" i="33"/>
  <c r="J113" i="5"/>
  <c r="H118" i="7"/>
  <c r="J118" i="33"/>
  <c r="J117"/>
  <c r="H117" i="7"/>
  <c r="J115" i="33"/>
  <c r="H115" i="7"/>
  <c r="J120" i="33"/>
  <c r="H120" i="7"/>
  <c r="B20" i="48"/>
  <c r="J135" i="33" l="1"/>
  <c r="H135" i="7"/>
  <c r="G9" i="19"/>
  <c r="H9" s="1"/>
  <c r="G32"/>
  <c r="H32" s="1"/>
  <c r="H32" i="20" s="1"/>
  <c r="H27" i="19"/>
  <c r="H27" i="20" s="1"/>
  <c r="E9" i="21"/>
  <c r="G9" i="20"/>
  <c r="E7"/>
  <c r="G7" i="19"/>
  <c r="G8" i="21"/>
  <c r="E27" s="1"/>
  <c r="G27" s="1"/>
  <c r="G32" s="1"/>
  <c r="H129" i="7"/>
  <c r="J129" s="1"/>
  <c r="J121" i="33"/>
  <c r="J141"/>
  <c r="J155" i="15"/>
  <c r="H155" i="16"/>
  <c r="H156"/>
  <c r="J156" i="15"/>
  <c r="H131" i="7"/>
  <c r="H131" i="8" s="1"/>
  <c r="J116" i="33"/>
  <c r="H128" i="7"/>
  <c r="J128" s="1"/>
  <c r="J149"/>
  <c r="H149" i="8"/>
  <c r="H145"/>
  <c r="J145" i="7"/>
  <c r="J147"/>
  <c r="H147" i="8"/>
  <c r="J134" i="11"/>
  <c r="H134" i="12"/>
  <c r="H152"/>
  <c r="J152" i="11"/>
  <c r="H143" i="8"/>
  <c r="J143" i="7"/>
  <c r="H146" i="8"/>
  <c r="J146" i="7"/>
  <c r="J144"/>
  <c r="H144" i="8"/>
  <c r="J148" i="7"/>
  <c r="H148" i="8"/>
  <c r="H150"/>
  <c r="J150" i="7"/>
  <c r="H151" i="10"/>
  <c r="J151" i="9"/>
  <c r="H186" i="25"/>
  <c r="J186" i="24"/>
  <c r="J163" i="15"/>
  <c r="H163" i="16"/>
  <c r="J127" i="12"/>
  <c r="H127" i="13"/>
  <c r="H179"/>
  <c r="J179" i="12"/>
  <c r="H130" i="8"/>
  <c r="J130" i="7"/>
  <c r="H132" i="8"/>
  <c r="J132" i="7"/>
  <c r="H133" i="8"/>
  <c r="J133" i="7"/>
  <c r="J164" i="15"/>
  <c r="H164" i="16"/>
  <c r="J174" i="12"/>
  <c r="H174" i="13"/>
  <c r="H165" i="16"/>
  <c r="J165" i="15"/>
  <c r="J182" i="7"/>
  <c r="H182" i="8"/>
  <c r="J181" i="7"/>
  <c r="H181" i="8"/>
  <c r="J183" i="33"/>
  <c r="H183" i="7"/>
  <c r="J178" i="33"/>
  <c r="H178" i="7"/>
  <c r="H173" i="33"/>
  <c r="J173" i="5"/>
  <c r="J170" i="7"/>
  <c r="H170" i="8"/>
  <c r="J177" i="7"/>
  <c r="H177" i="8"/>
  <c r="J175" i="7"/>
  <c r="H175" i="8"/>
  <c r="J171" i="7"/>
  <c r="H171" i="8"/>
  <c r="H172" i="7"/>
  <c r="J172" i="33"/>
  <c r="H186" i="7"/>
  <c r="J186" i="33"/>
  <c r="H176" i="8"/>
  <c r="J176" i="7"/>
  <c r="H180" i="8"/>
  <c r="J180" i="7"/>
  <c r="H184" i="33"/>
  <c r="J184" i="5"/>
  <c r="J158" i="7"/>
  <c r="H158" i="8"/>
  <c r="H159"/>
  <c r="J159" i="7"/>
  <c r="J162"/>
  <c r="H162" i="8"/>
  <c r="H185" i="33"/>
  <c r="J185" i="5"/>
  <c r="J161" i="7"/>
  <c r="H161" i="8"/>
  <c r="J160" i="33"/>
  <c r="H160" i="7"/>
  <c r="J141"/>
  <c r="H141" i="8"/>
  <c r="J142" i="7"/>
  <c r="H142" i="8"/>
  <c r="H140"/>
  <c r="J140" i="7"/>
  <c r="H139" i="8"/>
  <c r="J139" i="7"/>
  <c r="J138"/>
  <c r="H138" i="8"/>
  <c r="H118"/>
  <c r="J118" i="7"/>
  <c r="H122" i="8"/>
  <c r="J122" i="7"/>
  <c r="J121"/>
  <c r="H121" i="8"/>
  <c r="J115" i="7"/>
  <c r="H115" i="8"/>
  <c r="J112" i="7"/>
  <c r="H112" i="8"/>
  <c r="J123" i="7"/>
  <c r="H123" i="8"/>
  <c r="J113" i="33"/>
  <c r="H113" i="7"/>
  <c r="H114" i="8"/>
  <c r="J114" i="7"/>
  <c r="J120"/>
  <c r="H120" i="8"/>
  <c r="J116" i="7"/>
  <c r="H116" i="8"/>
  <c r="J117" i="7"/>
  <c r="H117" i="8"/>
  <c r="J119" i="7"/>
  <c r="H119" i="8"/>
  <c r="C33" i="48"/>
  <c r="D33"/>
  <c r="F33"/>
  <c r="B3"/>
  <c r="E4" i="45" s="1"/>
  <c r="B4" i="48"/>
  <c r="B5"/>
  <c r="B6"/>
  <c r="B7"/>
  <c r="B8"/>
  <c r="B9"/>
  <c r="B10"/>
  <c r="B11"/>
  <c r="B12"/>
  <c r="B13"/>
  <c r="B14"/>
  <c r="B15"/>
  <c r="B16"/>
  <c r="B17"/>
  <c r="B18"/>
  <c r="B19"/>
  <c r="B21"/>
  <c r="B25"/>
  <c r="B27"/>
  <c r="B28"/>
  <c r="B29"/>
  <c r="B31"/>
  <c r="B32"/>
  <c r="B2"/>
  <c r="D4" i="45" s="1"/>
  <c r="K2" i="48"/>
  <c r="E2"/>
  <c r="H135" i="8" l="1"/>
  <c r="J135" i="7"/>
  <c r="H32" i="21"/>
  <c r="H9" i="20"/>
  <c r="E8" i="22"/>
  <c r="G101" i="19"/>
  <c r="H101" s="1"/>
  <c r="G103"/>
  <c r="H103" s="1"/>
  <c r="G99"/>
  <c r="H99" s="1"/>
  <c r="G95"/>
  <c r="H95" s="1"/>
  <c r="G105"/>
  <c r="H105" s="1"/>
  <c r="G97"/>
  <c r="H97" s="1"/>
  <c r="I59"/>
  <c r="G9" i="21"/>
  <c r="E7"/>
  <c r="G7" i="20"/>
  <c r="H7" i="19"/>
  <c r="H27" i="21"/>
  <c r="H129" i="8"/>
  <c r="H129" i="9" s="1"/>
  <c r="H156" i="17"/>
  <c r="J156" i="16"/>
  <c r="J155"/>
  <c r="H155" i="17"/>
  <c r="J131" i="7"/>
  <c r="H128" i="8"/>
  <c r="J12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/>
  <c r="J145" i="8"/>
  <c r="H148" i="9"/>
  <c r="J148" i="8"/>
  <c r="J149"/>
  <c r="H149" i="9"/>
  <c r="H152" i="13"/>
  <c r="J152" i="12"/>
  <c r="H186" i="40"/>
  <c r="J186" i="25"/>
  <c r="H131" i="9"/>
  <c r="J131" i="8"/>
  <c r="H132" i="9"/>
  <c r="J132" i="8"/>
  <c r="H174" i="14"/>
  <c r="J174" i="13"/>
  <c r="H163" i="17"/>
  <c r="J163" i="16"/>
  <c r="H179" i="14"/>
  <c r="J179" i="13"/>
  <c r="H165" i="17"/>
  <c r="J165" i="16"/>
  <c r="H133" i="9"/>
  <c r="J133" i="8"/>
  <c r="H130" i="9"/>
  <c r="J130" i="8"/>
  <c r="J164" i="16"/>
  <c r="H164" i="17"/>
  <c r="J127" i="13"/>
  <c r="H127" i="14"/>
  <c r="J175" i="8"/>
  <c r="H175" i="9"/>
  <c r="H170"/>
  <c r="J170" i="8"/>
  <c r="J178" i="7"/>
  <c r="H178" i="8"/>
  <c r="H181" i="9"/>
  <c r="J181" i="8"/>
  <c r="H180" i="9"/>
  <c r="J180" i="8"/>
  <c r="H186"/>
  <c r="J186" i="7"/>
  <c r="J173" i="33"/>
  <c r="H173" i="7"/>
  <c r="J171" i="8"/>
  <c r="H171" i="9"/>
  <c r="H177"/>
  <c r="J177" i="8"/>
  <c r="J183" i="7"/>
  <c r="H183" i="8"/>
  <c r="H182" i="9"/>
  <c r="J182" i="8"/>
  <c r="H176" i="9"/>
  <c r="J176" i="8"/>
  <c r="H172"/>
  <c r="J172" i="7"/>
  <c r="H185"/>
  <c r="J185" i="33"/>
  <c r="J159" i="8"/>
  <c r="H159" i="9"/>
  <c r="H184" i="7"/>
  <c r="J184" i="33"/>
  <c r="J160" i="7"/>
  <c r="H160" i="8"/>
  <c r="H161" i="9"/>
  <c r="J161" i="8"/>
  <c r="H162" i="9"/>
  <c r="J162" i="8"/>
  <c r="H158" i="9"/>
  <c r="J158" i="8"/>
  <c r="J138"/>
  <c r="H138" i="9"/>
  <c r="J142" i="8"/>
  <c r="H142" i="9"/>
  <c r="J141" i="8"/>
  <c r="H141" i="9"/>
  <c r="H139"/>
  <c r="J139" i="8"/>
  <c r="H140" i="9"/>
  <c r="J140" i="8"/>
  <c r="J116"/>
  <c r="H116" i="9"/>
  <c r="J123" i="8"/>
  <c r="H123" i="9"/>
  <c r="H118"/>
  <c r="J118" i="8"/>
  <c r="J120"/>
  <c r="H120" i="9"/>
  <c r="J113" i="7"/>
  <c r="H113" i="8"/>
  <c r="J112"/>
  <c r="H112" i="9"/>
  <c r="J121" i="8"/>
  <c r="H121" i="9"/>
  <c r="J119" i="8"/>
  <c r="H119" i="9"/>
  <c r="J115" i="8"/>
  <c r="H115" i="9"/>
  <c r="J117" i="8"/>
  <c r="H117" i="9"/>
  <c r="H114"/>
  <c r="J114" i="8"/>
  <c r="H122" i="9"/>
  <c r="J122" i="8"/>
  <c r="B33" i="48"/>
  <c r="H135" i="9" l="1"/>
  <c r="J135" i="8"/>
  <c r="H9" i="21"/>
  <c r="H7" i="20"/>
  <c r="G103"/>
  <c r="H103" s="1"/>
  <c r="G99"/>
  <c r="H99" s="1"/>
  <c r="G105"/>
  <c r="H105" s="1"/>
  <c r="G101"/>
  <c r="H101" s="1"/>
  <c r="G97"/>
  <c r="H97" s="1"/>
  <c r="G95"/>
  <c r="H95" s="1"/>
  <c r="I59"/>
  <c r="G7" i="21"/>
  <c r="E9" i="22"/>
  <c r="G8"/>
  <c r="E27" s="1"/>
  <c r="G27" s="1"/>
  <c r="G32" s="1"/>
  <c r="H32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6" i="27"/>
  <c r="J186" i="40"/>
  <c r="J130" i="9"/>
  <c r="H130" i="10"/>
  <c r="H129"/>
  <c r="J129" i="9"/>
  <c r="J131"/>
  <c r="H131" i="10"/>
  <c r="J127" i="14"/>
  <c r="H127" i="15"/>
  <c r="J179" i="14"/>
  <c r="H179" i="15"/>
  <c r="H133" i="10"/>
  <c r="J133" i="9"/>
  <c r="H165" i="18"/>
  <c r="J165" i="17"/>
  <c r="J174" i="14"/>
  <c r="H174" i="15"/>
  <c r="H132" i="10"/>
  <c r="J132" i="9"/>
  <c r="H163" i="18"/>
  <c r="J163" i="17"/>
  <c r="H164" i="18"/>
  <c r="J164" i="17"/>
  <c r="J183" i="8"/>
  <c r="H183" i="9"/>
  <c r="H171" i="10"/>
  <c r="J171" i="9"/>
  <c r="H172"/>
  <c r="J172" i="8"/>
  <c r="H182" i="10"/>
  <c r="J182" i="9"/>
  <c r="H177" i="10"/>
  <c r="J177" i="9"/>
  <c r="H180" i="10"/>
  <c r="J180" i="9"/>
  <c r="J173" i="7"/>
  <c r="H173" i="8"/>
  <c r="H178" i="9"/>
  <c r="J178" i="8"/>
  <c r="H175" i="10"/>
  <c r="J175" i="9"/>
  <c r="H176" i="10"/>
  <c r="J176" i="9"/>
  <c r="H186"/>
  <c r="J186" i="8"/>
  <c r="H181" i="10"/>
  <c r="J181" i="9"/>
  <c r="H170" i="10"/>
  <c r="J170" i="9"/>
  <c r="J160" i="8"/>
  <c r="H160" i="9"/>
  <c r="H159" i="10"/>
  <c r="J159" i="9"/>
  <c r="H158" i="10"/>
  <c r="J158" i="9"/>
  <c r="H161" i="10"/>
  <c r="AD13" i="44" s="1"/>
  <c r="J161" i="9"/>
  <c r="H184" i="8"/>
  <c r="J184" i="7"/>
  <c r="H185" i="8"/>
  <c r="J185" i="7"/>
  <c r="H162" i="10"/>
  <c r="J162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/>
  <c r="H115" i="10"/>
  <c r="H121"/>
  <c r="J121" i="9"/>
  <c r="J113" i="8"/>
  <c r="H113" i="9"/>
  <c r="H122" i="10"/>
  <c r="J122" i="9"/>
  <c r="H117" i="10"/>
  <c r="J117" i="9"/>
  <c r="J119"/>
  <c r="H119" i="10"/>
  <c r="H112"/>
  <c r="J112" i="9"/>
  <c r="H120" i="10"/>
  <c r="J120" i="9"/>
  <c r="J123"/>
  <c r="H123" i="10"/>
  <c r="H3" i="48"/>
  <c r="K4" i="45" s="1"/>
  <c r="H4" i="48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1"/>
  <c r="H32"/>
  <c r="H2"/>
  <c r="H135" i="10" l="1"/>
  <c r="J135" i="9"/>
  <c r="G101" i="21"/>
  <c r="H101" s="1"/>
  <c r="G103"/>
  <c r="H103" s="1"/>
  <c r="G99"/>
  <c r="H99" s="1"/>
  <c r="G95"/>
  <c r="H95" s="1"/>
  <c r="G105"/>
  <c r="H105" s="1"/>
  <c r="G97"/>
  <c r="H97" s="1"/>
  <c r="I59"/>
  <c r="E7" i="22"/>
  <c r="H7" i="21"/>
  <c r="E8" i="23"/>
  <c r="G9" i="22"/>
  <c r="H9" s="1"/>
  <c r="H27"/>
  <c r="J156" i="18"/>
  <c r="H156" i="19"/>
  <c r="H155"/>
  <c r="J155" i="18"/>
  <c r="J128" i="9"/>
  <c r="J134" i="14"/>
  <c r="H134" i="15"/>
  <c r="H147" i="11"/>
  <c r="J147" i="10"/>
  <c r="J144"/>
  <c r="H144" i="11"/>
  <c r="H150"/>
  <c r="J150" i="10"/>
  <c r="H152" i="15"/>
  <c r="J152" i="14"/>
  <c r="J151" i="12"/>
  <c r="H151" i="13"/>
  <c r="H148" i="11"/>
  <c r="J148" i="10"/>
  <c r="J149"/>
  <c r="H149" i="11"/>
  <c r="J145" i="10"/>
  <c r="H145" i="11"/>
  <c r="J146" i="10"/>
  <c r="H146" i="11"/>
  <c r="H143"/>
  <c r="J143" i="10"/>
  <c r="H186" i="28"/>
  <c r="J186" i="27"/>
  <c r="J179" i="15"/>
  <c r="H179" i="16"/>
  <c r="J131" i="10"/>
  <c r="H131" i="11"/>
  <c r="J130" i="10"/>
  <c r="H130" i="11"/>
  <c r="H164" i="19"/>
  <c r="J164" i="18"/>
  <c r="J128" i="10"/>
  <c r="H128" i="11"/>
  <c r="H163" i="19"/>
  <c r="J163" i="18"/>
  <c r="H165" i="19"/>
  <c r="J165" i="18"/>
  <c r="H129" i="11"/>
  <c r="J129" i="10"/>
  <c r="J132"/>
  <c r="H132" i="11"/>
  <c r="H133"/>
  <c r="J133" i="10"/>
  <c r="H174" i="16"/>
  <c r="J174" i="15"/>
  <c r="H127" i="16"/>
  <c r="J127" i="15"/>
  <c r="H170" i="11"/>
  <c r="J170" i="10"/>
  <c r="H186"/>
  <c r="J186" i="9"/>
  <c r="H175" i="11"/>
  <c r="J175" i="10"/>
  <c r="H177" i="11"/>
  <c r="J177" i="10"/>
  <c r="H172"/>
  <c r="J172" i="9"/>
  <c r="H183" i="10"/>
  <c r="J183" i="9"/>
  <c r="H173"/>
  <c r="J173" i="8"/>
  <c r="H181" i="11"/>
  <c r="J181" i="10"/>
  <c r="J176"/>
  <c r="H176" i="11"/>
  <c r="H178" i="10"/>
  <c r="J178" i="9"/>
  <c r="J180" i="10"/>
  <c r="H180" i="11"/>
  <c r="H182"/>
  <c r="J182" i="10"/>
  <c r="H171" i="11"/>
  <c r="J171" i="10"/>
  <c r="H162" i="11"/>
  <c r="J162" i="10"/>
  <c r="J184" i="8"/>
  <c r="H184" i="9"/>
  <c r="H158" i="11"/>
  <c r="J158" i="10"/>
  <c r="J160" i="9"/>
  <c r="H160" i="10"/>
  <c r="H185" i="9"/>
  <c r="J185" i="8"/>
  <c r="J161" i="10"/>
  <c r="H161" i="11"/>
  <c r="AD14" i="44" s="1"/>
  <c r="H159" i="11"/>
  <c r="J159" i="10"/>
  <c r="H138" i="11"/>
  <c r="J138" i="10"/>
  <c r="H141" i="11"/>
  <c r="J141" i="10"/>
  <c r="J139"/>
  <c r="H139" i="11"/>
  <c r="H140"/>
  <c r="J140" i="10"/>
  <c r="H142" i="11"/>
  <c r="J142" i="10"/>
  <c r="J123"/>
  <c r="H123" i="11"/>
  <c r="J122" i="10"/>
  <c r="H122" i="11"/>
  <c r="J121" i="10"/>
  <c r="H121" i="11"/>
  <c r="H116"/>
  <c r="J116" i="10"/>
  <c r="J114"/>
  <c r="H114" i="11"/>
  <c r="J119" i="10"/>
  <c r="H119" i="11"/>
  <c r="H120"/>
  <c r="J120" i="10"/>
  <c r="H112" i="11"/>
  <c r="J112" i="10"/>
  <c r="J117"/>
  <c r="H117" i="11"/>
  <c r="J118" i="10"/>
  <c r="H118" i="11"/>
  <c r="H113" i="10"/>
  <c r="J113" i="9"/>
  <c r="J115" i="10"/>
  <c r="H115" i="11"/>
  <c r="H33" i="48"/>
  <c r="H135" i="11" l="1"/>
  <c r="J135" i="10"/>
  <c r="G8" i="23"/>
  <c r="E27" s="1"/>
  <c r="G27" s="1"/>
  <c r="G32" s="1"/>
  <c r="H32" s="1"/>
  <c r="G7" i="22"/>
  <c r="H7" s="1"/>
  <c r="E9" i="23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/>
  <c r="H146" i="12"/>
  <c r="J151" i="13"/>
  <c r="H151" i="14"/>
  <c r="H147" i="12"/>
  <c r="J147" i="11"/>
  <c r="H145" i="12"/>
  <c r="J145" i="11"/>
  <c r="H134" i="16"/>
  <c r="J134" i="15"/>
  <c r="J152"/>
  <c r="H152" i="16"/>
  <c r="H186" i="29"/>
  <c r="J186" i="28"/>
  <c r="H133" i="12"/>
  <c r="J133" i="11"/>
  <c r="J128"/>
  <c r="H128" i="12"/>
  <c r="H130"/>
  <c r="J130" i="11"/>
  <c r="H179" i="17"/>
  <c r="J179" i="16"/>
  <c r="J127"/>
  <c r="H127" i="17"/>
  <c r="H129" i="12"/>
  <c r="J129" i="11"/>
  <c r="H165" i="20"/>
  <c r="J165" i="19"/>
  <c r="H174" i="17"/>
  <c r="J174" i="16"/>
  <c r="J163" i="19"/>
  <c r="H163" i="20"/>
  <c r="H164"/>
  <c r="J164" i="19"/>
  <c r="J132" i="11"/>
  <c r="H132" i="12"/>
  <c r="J131" i="11"/>
  <c r="H131" i="12"/>
  <c r="H171"/>
  <c r="J171" i="11"/>
  <c r="H173" i="10"/>
  <c r="J173" i="9"/>
  <c r="J172" i="10"/>
  <c r="H172" i="11"/>
  <c r="H175" i="12"/>
  <c r="J175" i="11"/>
  <c r="H170" i="12"/>
  <c r="J170" i="11"/>
  <c r="H180" i="12"/>
  <c r="J180" i="11"/>
  <c r="H176" i="12"/>
  <c r="J176" i="11"/>
  <c r="H182" i="12"/>
  <c r="J182" i="11"/>
  <c r="H178"/>
  <c r="J178" i="10"/>
  <c r="H181" i="12"/>
  <c r="J181" i="11"/>
  <c r="H183"/>
  <c r="J183" i="10"/>
  <c r="H177" i="12"/>
  <c r="J177" i="11"/>
  <c r="J186" i="10"/>
  <c r="H186" i="11"/>
  <c r="J160" i="10"/>
  <c r="H160" i="11"/>
  <c r="H159" i="12"/>
  <c r="J159" i="11"/>
  <c r="H185" i="10"/>
  <c r="J185" i="9"/>
  <c r="H158" i="12"/>
  <c r="J158" i="11"/>
  <c r="H162" i="12"/>
  <c r="J162" i="11"/>
  <c r="J161"/>
  <c r="H161" i="12"/>
  <c r="AD15" i="44" s="1"/>
  <c r="J184" i="9"/>
  <c r="H184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/>
  <c r="H120" i="12"/>
  <c r="H123"/>
  <c r="J123" i="11"/>
  <c r="H117" i="12"/>
  <c r="J117" i="11"/>
  <c r="H114" i="12"/>
  <c r="J114" i="11"/>
  <c r="H121" i="12"/>
  <c r="J121" i="11"/>
  <c r="J112"/>
  <c r="H112" i="12"/>
  <c r="J116" i="11"/>
  <c r="H116" i="12"/>
  <c r="H118"/>
  <c r="J118" i="11"/>
  <c r="H119" i="12"/>
  <c r="J119" i="11"/>
  <c r="H122" i="12"/>
  <c r="J122" i="11"/>
  <c r="E34" i="1"/>
  <c r="F34"/>
  <c r="S34"/>
  <c r="U34" s="1"/>
  <c r="H135" i="22" l="1"/>
  <c r="H135" i="23"/>
  <c r="H135" i="18"/>
  <c r="H135" i="19"/>
  <c r="H135" i="24"/>
  <c r="H135" i="20"/>
  <c r="H135" i="16"/>
  <c r="H135" i="13"/>
  <c r="H135" i="14" s="1"/>
  <c r="J135" s="1"/>
  <c r="H135" i="12"/>
  <c r="J135" s="1"/>
  <c r="H135" i="17"/>
  <c r="J135" i="11"/>
  <c r="G9" i="23"/>
  <c r="H9" s="1"/>
  <c r="E8" i="24"/>
  <c r="G97" i="22"/>
  <c r="H97" s="1"/>
  <c r="G95"/>
  <c r="H95" s="1"/>
  <c r="G103"/>
  <c r="H103" s="1"/>
  <c r="G101"/>
  <c r="H101" s="1"/>
  <c r="G105"/>
  <c r="H105" s="1"/>
  <c r="G99"/>
  <c r="H99" s="1"/>
  <c r="I59"/>
  <c r="E7" i="23"/>
  <c r="H27"/>
  <c r="J156" i="20"/>
  <c r="H156" i="21"/>
  <c r="J155" i="20"/>
  <c r="H155" i="21"/>
  <c r="J147" i="12"/>
  <c r="H147" i="13"/>
  <c r="H14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/>
  <c r="J149" i="12"/>
  <c r="H186" i="30"/>
  <c r="J186" i="29"/>
  <c r="H131" i="13"/>
  <c r="J131" i="12"/>
  <c r="H127" i="18"/>
  <c r="J127" i="17"/>
  <c r="J164" i="20"/>
  <c r="H164" i="21"/>
  <c r="J165" i="20"/>
  <c r="H165" i="21"/>
  <c r="H130" i="13"/>
  <c r="J130" i="12"/>
  <c r="H174" i="18"/>
  <c r="J174" i="17"/>
  <c r="H129" i="13"/>
  <c r="J129" i="12"/>
  <c r="J179" i="17"/>
  <c r="H179" i="18"/>
  <c r="H133" i="13"/>
  <c r="J133" i="12"/>
  <c r="H132" i="13"/>
  <c r="J132" i="12"/>
  <c r="H163" i="21"/>
  <c r="J163" i="20"/>
  <c r="H128" i="13"/>
  <c r="J128" i="12"/>
  <c r="H183"/>
  <c r="J183" i="11"/>
  <c r="H178" i="12"/>
  <c r="J178" i="11"/>
  <c r="H176" i="13"/>
  <c r="J176" i="12"/>
  <c r="H170" i="13"/>
  <c r="J170" i="12"/>
  <c r="H171" i="13"/>
  <c r="J171" i="12"/>
  <c r="H186"/>
  <c r="J186" i="11"/>
  <c r="H172" i="12"/>
  <c r="J172" i="11"/>
  <c r="H177" i="13"/>
  <c r="J177" i="12"/>
  <c r="H181" i="13"/>
  <c r="J181" i="12"/>
  <c r="H182" i="13"/>
  <c r="J182" i="12"/>
  <c r="H180" i="13"/>
  <c r="J180" i="12"/>
  <c r="H175" i="13"/>
  <c r="J175" i="12"/>
  <c r="H173" i="11"/>
  <c r="J173" i="10"/>
  <c r="H162" i="13"/>
  <c r="J162" i="12"/>
  <c r="J185" i="10"/>
  <c r="H185" i="11"/>
  <c r="H161" i="13"/>
  <c r="AD16" i="44" s="1"/>
  <c r="J161" i="12"/>
  <c r="J184" i="10"/>
  <c r="H184" i="11"/>
  <c r="H160" i="12"/>
  <c r="J160" i="11"/>
  <c r="H158" i="13"/>
  <c r="J158" i="12"/>
  <c r="H159" i="13"/>
  <c r="J159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/>
  <c r="J113" i="11"/>
  <c r="E17" i="48"/>
  <c r="H135" i="43" l="1"/>
  <c r="H135" i="40"/>
  <c r="H135" i="27"/>
  <c r="H135" i="29"/>
  <c r="H135" i="25"/>
  <c r="H135" i="31"/>
  <c r="H135" i="28"/>
  <c r="G7" i="23"/>
  <c r="G8" i="24"/>
  <c r="E27" s="1"/>
  <c r="G27" s="1"/>
  <c r="G32" s="1"/>
  <c r="H32" s="1"/>
  <c r="E9"/>
  <c r="J155" i="21"/>
  <c r="H155" i="22"/>
  <c r="H156"/>
  <c r="J156" i="21"/>
  <c r="H151" i="16"/>
  <c r="J151" i="15"/>
  <c r="J152" i="17"/>
  <c r="H152" i="18"/>
  <c r="J149" i="13"/>
  <c r="H149" i="14"/>
  <c r="H144"/>
  <c r="J144" i="13"/>
  <c r="J148"/>
  <c r="H148" i="14"/>
  <c r="J134" i="17"/>
  <c r="H134" i="18"/>
  <c r="J143" i="13"/>
  <c r="H143" i="14"/>
  <c r="H150"/>
  <c r="J150" i="13"/>
  <c r="J145"/>
  <c r="H145" i="14"/>
  <c r="H147"/>
  <c r="J147" i="13"/>
  <c r="H146" i="14"/>
  <c r="J146" i="13"/>
  <c r="H186" i="43"/>
  <c r="J186" i="30"/>
  <c r="H130" i="14"/>
  <c r="J130" i="13"/>
  <c r="H164" i="22"/>
  <c r="J164" i="21"/>
  <c r="H128" i="14"/>
  <c r="J128" i="13"/>
  <c r="H132" i="14"/>
  <c r="J132" i="13"/>
  <c r="J163" i="21"/>
  <c r="H163" i="22"/>
  <c r="H133" i="14"/>
  <c r="J133" i="13"/>
  <c r="H174" i="19"/>
  <c r="J174" i="18"/>
  <c r="H127" i="19"/>
  <c r="J127" i="18"/>
  <c r="H129" i="14"/>
  <c r="J129" i="13"/>
  <c r="H131" i="14"/>
  <c r="J131" i="13"/>
  <c r="H179" i="19"/>
  <c r="J179" i="18"/>
  <c r="J165" i="21"/>
  <c r="H165" i="22"/>
  <c r="H173" i="12"/>
  <c r="J173" i="11"/>
  <c r="H180" i="14"/>
  <c r="J180" i="13"/>
  <c r="H181" i="14"/>
  <c r="J181" i="13"/>
  <c r="H172"/>
  <c r="J172" i="12"/>
  <c r="H171" i="14"/>
  <c r="J171" i="13"/>
  <c r="H176" i="14"/>
  <c r="J176" i="13"/>
  <c r="H183"/>
  <c r="J183" i="12"/>
  <c r="H175" i="14"/>
  <c r="J175" i="13"/>
  <c r="H182" i="14"/>
  <c r="J182" i="13"/>
  <c r="H177" i="14"/>
  <c r="J177" i="13"/>
  <c r="H186"/>
  <c r="J186" i="12"/>
  <c r="H170" i="14"/>
  <c r="J170" i="13"/>
  <c r="H178"/>
  <c r="J178" i="12"/>
  <c r="H184"/>
  <c r="J184" i="11"/>
  <c r="H159" i="14"/>
  <c r="J159" i="13"/>
  <c r="H160"/>
  <c r="J160" i="12"/>
  <c r="H161" i="14"/>
  <c r="AD17" i="44" s="1"/>
  <c r="J161" i="13"/>
  <c r="H162" i="14"/>
  <c r="J162" i="13"/>
  <c r="H158" i="14"/>
  <c r="J158" i="13"/>
  <c r="J185" i="11"/>
  <c r="H185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/>
  <c r="J113" i="12"/>
  <c r="K32" i="47"/>
  <c r="L32"/>
  <c r="E31" i="48"/>
  <c r="G31"/>
  <c r="E8" i="25" l="1"/>
  <c r="G103" i="23"/>
  <c r="H103" s="1"/>
  <c r="G99"/>
  <c r="H99" s="1"/>
  <c r="G97"/>
  <c r="H97" s="1"/>
  <c r="G95"/>
  <c r="H95" s="1"/>
  <c r="G101"/>
  <c r="H101" s="1"/>
  <c r="G105"/>
  <c r="H105" s="1"/>
  <c r="I59"/>
  <c r="H7"/>
  <c r="E7" i="24"/>
  <c r="H27"/>
  <c r="G9"/>
  <c r="H9" s="1"/>
  <c r="J156" i="22"/>
  <c r="H156" i="23"/>
  <c r="H155"/>
  <c r="J155" i="22"/>
  <c r="H150" i="15"/>
  <c r="J150" i="14"/>
  <c r="H144" i="15"/>
  <c r="J144" i="14"/>
  <c r="H143" i="15"/>
  <c r="J143" i="14"/>
  <c r="J149"/>
  <c r="H149" i="15"/>
  <c r="H146"/>
  <c r="J146" i="14"/>
  <c r="H134" i="19"/>
  <c r="J134" i="18"/>
  <c r="J152"/>
  <c r="H152" i="19"/>
  <c r="J147" i="14"/>
  <c r="H147" i="15"/>
  <c r="H145"/>
  <c r="J145" i="14"/>
  <c r="H148" i="15"/>
  <c r="J148" i="14"/>
  <c r="H151" i="17"/>
  <c r="J151" i="16"/>
  <c r="J186" i="43"/>
  <c r="H186" i="31"/>
  <c r="J186" s="1"/>
  <c r="H132" i="50"/>
  <c r="J132" s="1"/>
  <c r="H131" i="15"/>
  <c r="J131" i="14"/>
  <c r="J174" i="19"/>
  <c r="H174" i="20"/>
  <c r="H130" i="15"/>
  <c r="J130" i="14"/>
  <c r="H165" i="23"/>
  <c r="J165" i="22"/>
  <c r="J163"/>
  <c r="H163" i="23"/>
  <c r="H179" i="20"/>
  <c r="J179" i="19"/>
  <c r="H129" i="15"/>
  <c r="J129" i="14"/>
  <c r="H127" i="20"/>
  <c r="J127" i="19"/>
  <c r="H133" i="15"/>
  <c r="J133" i="14"/>
  <c r="H132" i="15"/>
  <c r="J132" i="14"/>
  <c r="J164" i="22"/>
  <c r="H164" i="23"/>
  <c r="H128" i="15"/>
  <c r="H135" s="1"/>
  <c r="J135" s="1"/>
  <c r="J128" i="14"/>
  <c r="H178"/>
  <c r="J178" i="13"/>
  <c r="H186" i="14"/>
  <c r="J186" i="13"/>
  <c r="H182" i="15"/>
  <c r="J182" i="14"/>
  <c r="H183"/>
  <c r="J183" i="13"/>
  <c r="H171" i="15"/>
  <c r="J171" i="14"/>
  <c r="H181" i="15"/>
  <c r="J181" i="14"/>
  <c r="H173" i="13"/>
  <c r="J173" i="12"/>
  <c r="H170" i="15"/>
  <c r="J170" i="14"/>
  <c r="H177" i="15"/>
  <c r="J177" i="14"/>
  <c r="H175" i="15"/>
  <c r="J175" i="14"/>
  <c r="H176" i="15"/>
  <c r="J176" i="14"/>
  <c r="H172"/>
  <c r="J172" i="13"/>
  <c r="H180" i="15"/>
  <c r="J180" i="14"/>
  <c r="H162" i="15"/>
  <c r="J162" i="14"/>
  <c r="H160"/>
  <c r="J160" i="13"/>
  <c r="H184"/>
  <c r="J184" i="12"/>
  <c r="H185" i="13"/>
  <c r="J185" i="12"/>
  <c r="H158" i="15"/>
  <c r="J158" i="14"/>
  <c r="H161" i="15"/>
  <c r="AD18" i="44" s="1"/>
  <c r="J161" i="14"/>
  <c r="H159" i="15"/>
  <c r="J159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/>
  <c r="D33"/>
  <c r="S33"/>
  <c r="U33" s="1"/>
  <c r="E9" i="25" l="1"/>
  <c r="G7" i="24"/>
  <c r="H7" s="1"/>
  <c r="G8" i="25"/>
  <c r="E27" s="1"/>
  <c r="G27" s="1"/>
  <c r="G32" s="1"/>
  <c r="H32" s="1"/>
  <c r="H155" i="24"/>
  <c r="J155" i="23"/>
  <c r="H156" i="24"/>
  <c r="J156" i="23"/>
  <c r="J147" i="15"/>
  <c r="H147" i="16"/>
  <c r="H149"/>
  <c r="J149" i="15"/>
  <c r="J152" i="19"/>
  <c r="H152" i="20"/>
  <c r="H151" i="18"/>
  <c r="J151" i="17"/>
  <c r="J143" i="15"/>
  <c r="H143" i="16"/>
  <c r="H148"/>
  <c r="J148" i="15"/>
  <c r="J134" i="19"/>
  <c r="H134" i="20"/>
  <c r="J144" i="15"/>
  <c r="H144" i="16"/>
  <c r="J145" i="15"/>
  <c r="H145" i="16"/>
  <c r="H146"/>
  <c r="J146" i="15"/>
  <c r="J150"/>
  <c r="H150" i="16"/>
  <c r="H128"/>
  <c r="J128" i="15"/>
  <c r="H127" i="21"/>
  <c r="J127" i="20"/>
  <c r="H131" i="16"/>
  <c r="J131" i="15"/>
  <c r="H133" i="16"/>
  <c r="J133" i="15"/>
  <c r="H129" i="16"/>
  <c r="J129" i="15"/>
  <c r="J165" i="23"/>
  <c r="H165" i="24"/>
  <c r="H132" i="16"/>
  <c r="J132" i="15"/>
  <c r="H179" i="21"/>
  <c r="J179" i="20"/>
  <c r="H130" i="16"/>
  <c r="J130" i="15"/>
  <c r="J164" i="23"/>
  <c r="H164" i="24"/>
  <c r="J163" i="23"/>
  <c r="H163" i="24"/>
  <c r="H174" i="21"/>
  <c r="J174" i="20"/>
  <c r="H180" i="16"/>
  <c r="J180" i="15"/>
  <c r="H176" i="16"/>
  <c r="J176" i="15"/>
  <c r="H177" i="16"/>
  <c r="J177" i="15"/>
  <c r="H173" i="14"/>
  <c r="J173" i="13"/>
  <c r="H171" i="16"/>
  <c r="J171" i="15"/>
  <c r="H182" i="16"/>
  <c r="J182" i="15"/>
  <c r="H178"/>
  <c r="J178" i="14"/>
  <c r="H172" i="15"/>
  <c r="J172" i="14"/>
  <c r="H175" i="16"/>
  <c r="J175" i="15"/>
  <c r="H170" i="16"/>
  <c r="J170" i="15"/>
  <c r="H181" i="16"/>
  <c r="J181" i="15"/>
  <c r="H183"/>
  <c r="J183" i="14"/>
  <c r="H186" i="15"/>
  <c r="J186" i="14"/>
  <c r="H159" i="16"/>
  <c r="J159" i="15"/>
  <c r="H158" i="16"/>
  <c r="J158" i="15"/>
  <c r="H184" i="14"/>
  <c r="J184" i="13"/>
  <c r="H162" i="16"/>
  <c r="J162" i="15"/>
  <c r="H161" i="16"/>
  <c r="AD19" i="44" s="1"/>
  <c r="J161" i="15"/>
  <c r="J185" i="13"/>
  <c r="H160" i="15"/>
  <c r="J160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H7" i="1"/>
  <c r="J7" s="1"/>
  <c r="G7"/>
  <c r="H6"/>
  <c r="J6" s="1"/>
  <c r="G6"/>
  <c r="H5"/>
  <c r="J5" s="1"/>
  <c r="G5"/>
  <c r="AN2" i="49"/>
  <c r="G4" i="1"/>
  <c r="H27" i="25" l="1"/>
  <c r="E8" i="40"/>
  <c r="G9" i="25"/>
  <c r="H9" s="1"/>
  <c r="G105" i="24"/>
  <c r="H105" s="1"/>
  <c r="G97"/>
  <c r="H97" s="1"/>
  <c r="G103"/>
  <c r="H103" s="1"/>
  <c r="G101"/>
  <c r="H101" s="1"/>
  <c r="G99"/>
  <c r="H99" s="1"/>
  <c r="G95"/>
  <c r="H95" s="1"/>
  <c r="I59"/>
  <c r="E7" i="25"/>
  <c r="J156" i="24"/>
  <c r="H156" i="25"/>
  <c r="J155" i="24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/>
  <c r="H145" i="17"/>
  <c r="H143"/>
  <c r="J143" i="16"/>
  <c r="H147" i="17"/>
  <c r="J147" i="16"/>
  <c r="H174" i="22"/>
  <c r="J174" i="21"/>
  <c r="H131" i="17"/>
  <c r="J131" i="16"/>
  <c r="J164" i="24"/>
  <c r="H164" i="25"/>
  <c r="H165"/>
  <c r="J165" i="24"/>
  <c r="H133" i="17"/>
  <c r="J133" i="16"/>
  <c r="H130" i="17"/>
  <c r="J130" i="16"/>
  <c r="H132" i="17"/>
  <c r="J132" i="16"/>
  <c r="H129" i="17"/>
  <c r="J129" i="16"/>
  <c r="H127" i="22"/>
  <c r="J127" i="21"/>
  <c r="H179" i="22"/>
  <c r="J179" i="21"/>
  <c r="H128" i="17"/>
  <c r="J128" i="16"/>
  <c r="H163" i="25"/>
  <c r="J163" i="24"/>
  <c r="H186" i="16"/>
  <c r="J186" i="15"/>
  <c r="H181" i="17"/>
  <c r="J181" i="16"/>
  <c r="H175" i="17"/>
  <c r="J175" i="16"/>
  <c r="H178"/>
  <c r="J178" i="15"/>
  <c r="H171" i="17"/>
  <c r="J171" i="16"/>
  <c r="H177" i="17"/>
  <c r="J177" i="16"/>
  <c r="H180" i="17"/>
  <c r="J180" i="16"/>
  <c r="H183"/>
  <c r="J183" i="15"/>
  <c r="H170" i="17"/>
  <c r="J170" i="16"/>
  <c r="H172"/>
  <c r="J172" i="15"/>
  <c r="H182" i="17"/>
  <c r="J182" i="16"/>
  <c r="H173" i="15"/>
  <c r="J173" i="14"/>
  <c r="H176" i="17"/>
  <c r="J176" i="16"/>
  <c r="H160"/>
  <c r="J160" i="15"/>
  <c r="H161" i="17"/>
  <c r="AD20" i="44" s="1"/>
  <c r="J161" i="16"/>
  <c r="H184" i="15"/>
  <c r="J184" i="14"/>
  <c r="H159" i="17"/>
  <c r="J159" i="16"/>
  <c r="J185" i="14"/>
  <c r="H162" i="17"/>
  <c r="J162" i="16"/>
  <c r="H158" i="17"/>
  <c r="J158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/>
  <c r="J113" i="15"/>
  <c r="H122" i="17"/>
  <c r="J122" i="16"/>
  <c r="H118" i="17"/>
  <c r="J118" i="16"/>
  <c r="H121" i="17"/>
  <c r="J121" i="16"/>
  <c r="H117" i="17"/>
  <c r="J117" i="16"/>
  <c r="J114"/>
  <c r="H112" i="17"/>
  <c r="J112" i="16"/>
  <c r="H123" i="17"/>
  <c r="J123" i="16"/>
  <c r="D5" i="44"/>
  <c r="H4" i="1"/>
  <c r="J4" s="1"/>
  <c r="B5" i="44"/>
  <c r="C5"/>
  <c r="J2" i="48" s="1"/>
  <c r="D6" i="44"/>
  <c r="D7"/>
  <c r="D8"/>
  <c r="B8"/>
  <c r="B6"/>
  <c r="B7"/>
  <c r="C6"/>
  <c r="C7"/>
  <c r="C8"/>
  <c r="AN4" i="49"/>
  <c r="AN3"/>
  <c r="G7" i="25" l="1"/>
  <c r="E9" i="40"/>
  <c r="G8"/>
  <c r="E27" s="1"/>
  <c r="G27" s="1"/>
  <c r="G32" s="1"/>
  <c r="H32" s="1"/>
  <c r="H155"/>
  <c r="J155" i="25"/>
  <c r="H156" i="40"/>
  <c r="J156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4" i="22"/>
  <c r="H174" i="23"/>
  <c r="H164" i="40"/>
  <c r="J164" i="25"/>
  <c r="J163"/>
  <c r="H163" i="40"/>
  <c r="J179" i="22"/>
  <c r="H179" i="23"/>
  <c r="H129" i="18"/>
  <c r="J129" i="17"/>
  <c r="H130" i="18"/>
  <c r="J130" i="17"/>
  <c r="J165" i="25"/>
  <c r="H165" i="40"/>
  <c r="H131" i="18"/>
  <c r="J131" i="17"/>
  <c r="H176" i="18"/>
  <c r="J176" i="17"/>
  <c r="H182" i="18"/>
  <c r="J182" i="17"/>
  <c r="H170" i="18"/>
  <c r="J170" i="17"/>
  <c r="H180" i="18"/>
  <c r="J180" i="17"/>
  <c r="H171" i="18"/>
  <c r="J171" i="17"/>
  <c r="H175" i="18"/>
  <c r="J175" i="17"/>
  <c r="H186"/>
  <c r="J186" i="16"/>
  <c r="H173"/>
  <c r="J173" i="15"/>
  <c r="H172" i="17"/>
  <c r="J172" i="16"/>
  <c r="J183"/>
  <c r="H183" i="17"/>
  <c r="H177" i="18"/>
  <c r="J177" i="17"/>
  <c r="H178"/>
  <c r="J178" i="16"/>
  <c r="H181" i="18"/>
  <c r="J181" i="17"/>
  <c r="H158" i="18"/>
  <c r="J158" i="17"/>
  <c r="H185" i="16"/>
  <c r="H184"/>
  <c r="J184" i="15"/>
  <c r="H160" i="17"/>
  <c r="J160" i="16"/>
  <c r="H162" i="18"/>
  <c r="J162" i="17"/>
  <c r="H159" i="18"/>
  <c r="J159" i="17"/>
  <c r="H161" i="18"/>
  <c r="AD21" i="44" s="1"/>
  <c r="J161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/>
  <c r="E6"/>
  <c r="E8"/>
  <c r="AN5" i="49"/>
  <c r="H27" i="40" l="1"/>
  <c r="E8" i="27"/>
  <c r="G9" i="40"/>
  <c r="H9" s="1"/>
  <c r="G105" i="25"/>
  <c r="H105" s="1"/>
  <c r="G99"/>
  <c r="H99" s="1"/>
  <c r="G95"/>
  <c r="H95" s="1"/>
  <c r="G103"/>
  <c r="H103" s="1"/>
  <c r="G97"/>
  <c r="H97" s="1"/>
  <c r="G101"/>
  <c r="H101" s="1"/>
  <c r="I59"/>
  <c r="H7"/>
  <c r="E7" i="40"/>
  <c r="H156" i="27"/>
  <c r="J156" i="40"/>
  <c r="H155" i="27"/>
  <c r="J155" i="40"/>
  <c r="H148" i="19"/>
  <c r="J148" i="18"/>
  <c r="J149"/>
  <c r="H149" i="19"/>
  <c r="J143" i="18"/>
  <c r="H143" i="19"/>
  <c r="H147"/>
  <c r="J147" i="18"/>
  <c r="J144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79" i="24"/>
  <c r="J179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4" i="27"/>
  <c r="J164" i="40"/>
  <c r="H165" i="27"/>
  <c r="J165" i="40"/>
  <c r="H163" i="27"/>
  <c r="J163" i="40"/>
  <c r="H174" i="24"/>
  <c r="J174" i="23"/>
  <c r="J183" i="17"/>
  <c r="H183" i="18"/>
  <c r="H181" i="19"/>
  <c r="J181" i="18"/>
  <c r="H177" i="19"/>
  <c r="J177" i="18"/>
  <c r="H172"/>
  <c r="J172" i="17"/>
  <c r="H186" i="18"/>
  <c r="J186" i="17"/>
  <c r="H171" i="19"/>
  <c r="J171" i="18"/>
  <c r="H170" i="19"/>
  <c r="J170" i="18"/>
  <c r="H176" i="19"/>
  <c r="J176" i="18"/>
  <c r="H178"/>
  <c r="J178" i="17"/>
  <c r="H173"/>
  <c r="J173" i="16"/>
  <c r="H175" i="19"/>
  <c r="J175" i="18"/>
  <c r="H180" i="19"/>
  <c r="J180" i="18"/>
  <c r="H182" i="19"/>
  <c r="J182" i="18"/>
  <c r="H161" i="19"/>
  <c r="AD22" i="44" s="1"/>
  <c r="J161" i="18"/>
  <c r="H162" i="19"/>
  <c r="J162" i="18"/>
  <c r="H184" i="17"/>
  <c r="J184" i="16"/>
  <c r="H158" i="19"/>
  <c r="J158" i="18"/>
  <c r="H159" i="19"/>
  <c r="J159" i="18"/>
  <c r="H160"/>
  <c r="J160" i="17"/>
  <c r="H185"/>
  <c r="J185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/>
  <c r="J113" i="17"/>
  <c r="H117" i="19"/>
  <c r="J117" i="18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G8" i="27" l="1"/>
  <c r="E27" s="1"/>
  <c r="G27" s="1"/>
  <c r="G32" s="1"/>
  <c r="H32" s="1"/>
  <c r="E8" i="28"/>
  <c r="G7" i="40"/>
  <c r="H7" s="1"/>
  <c r="E9" i="27"/>
  <c r="H156" i="28"/>
  <c r="J156" i="27"/>
  <c r="J155"/>
  <c r="H155" i="28"/>
  <c r="H148" i="20"/>
  <c r="J148" i="19"/>
  <c r="H146" i="20"/>
  <c r="J146" i="19"/>
  <c r="J152" i="23"/>
  <c r="J147" i="19"/>
  <c r="H147" i="20"/>
  <c r="H150"/>
  <c r="J150" i="19"/>
  <c r="J134" i="23"/>
  <c r="H134" i="24"/>
  <c r="H143" i="20"/>
  <c r="J143" i="19"/>
  <c r="J145"/>
  <c r="H145" i="20"/>
  <c r="J149" i="19"/>
  <c r="H149" i="20"/>
  <c r="H151" i="22"/>
  <c r="J151" i="21"/>
  <c r="J144" i="19"/>
  <c r="H144" i="20"/>
  <c r="J174" i="24"/>
  <c r="H174" i="25"/>
  <c r="H164" i="28"/>
  <c r="J164" i="27"/>
  <c r="H133" i="20"/>
  <c r="J133" i="19"/>
  <c r="J179" i="24"/>
  <c r="H179" i="25"/>
  <c r="H163" i="28"/>
  <c r="J163" i="27"/>
  <c r="H130" i="20"/>
  <c r="J130" i="19"/>
  <c r="H128" i="20"/>
  <c r="J128" i="19"/>
  <c r="H129" i="20"/>
  <c r="J129" i="19"/>
  <c r="J127" i="24"/>
  <c r="H127" i="25"/>
  <c r="H165" i="28"/>
  <c r="J165" i="27"/>
  <c r="H131" i="20"/>
  <c r="J131" i="19"/>
  <c r="H132" i="20"/>
  <c r="J132" i="19"/>
  <c r="H182" i="20"/>
  <c r="J182" i="19"/>
  <c r="H175" i="20"/>
  <c r="J175" i="19"/>
  <c r="H178"/>
  <c r="J178" i="18"/>
  <c r="H170" i="20"/>
  <c r="J170" i="19"/>
  <c r="H186"/>
  <c r="J186" s="1"/>
  <c r="J186" i="18"/>
  <c r="H177" i="20"/>
  <c r="J177" i="19"/>
  <c r="H183"/>
  <c r="J183" i="18"/>
  <c r="H180" i="20"/>
  <c r="J180" i="19"/>
  <c r="H173" i="18"/>
  <c r="J173" i="17"/>
  <c r="H176" i="20"/>
  <c r="J176" i="19"/>
  <c r="H171" i="20"/>
  <c r="J171" i="19"/>
  <c r="H172"/>
  <c r="J172" i="18"/>
  <c r="H181" i="20"/>
  <c r="J181" i="19"/>
  <c r="H185" i="18"/>
  <c r="J185" i="17"/>
  <c r="H159" i="20"/>
  <c r="J159" i="19"/>
  <c r="H184" i="18"/>
  <c r="J184" i="17"/>
  <c r="H161" i="20"/>
  <c r="AD23" i="44" s="1"/>
  <c r="J161" i="19"/>
  <c r="H160"/>
  <c r="J160" i="18"/>
  <c r="H158" i="20"/>
  <c r="J158" i="19"/>
  <c r="H162" i="20"/>
  <c r="J162" i="19"/>
  <c r="H140" i="20"/>
  <c r="J140" i="19"/>
  <c r="H138" i="20"/>
  <c r="J138" i="19"/>
  <c r="H142" i="20"/>
  <c r="J142" i="19"/>
  <c r="H139" i="20"/>
  <c r="J139" i="19"/>
  <c r="H141" i="20"/>
  <c r="J141" i="19"/>
  <c r="H113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G8" i="28" l="1"/>
  <c r="E27" s="1"/>
  <c r="G27" s="1"/>
  <c r="G32" s="1"/>
  <c r="H32" s="1"/>
  <c r="E8" i="29"/>
  <c r="G8" s="1"/>
  <c r="G27" s="1"/>
  <c r="G32" s="1"/>
  <c r="H27" i="27"/>
  <c r="G97" i="40"/>
  <c r="H97" s="1"/>
  <c r="G95"/>
  <c r="H95" s="1"/>
  <c r="G101"/>
  <c r="H101" s="1"/>
  <c r="G105"/>
  <c r="H105" s="1"/>
  <c r="G103"/>
  <c r="H103" s="1"/>
  <c r="G99"/>
  <c r="H99" s="1"/>
  <c r="I59"/>
  <c r="G9" i="27"/>
  <c r="H9" s="1"/>
  <c r="E7"/>
  <c r="J155" i="28"/>
  <c r="H155" i="29"/>
  <c r="J156" i="28"/>
  <c r="H156" i="29"/>
  <c r="J145" i="20"/>
  <c r="H145" i="21"/>
  <c r="H147"/>
  <c r="J147" i="20"/>
  <c r="H144" i="21"/>
  <c r="J144" i="20"/>
  <c r="J143"/>
  <c r="H143" i="21"/>
  <c r="H152" i="25"/>
  <c r="J152" i="24"/>
  <c r="H134" i="25"/>
  <c r="J134" i="24"/>
  <c r="H151" i="23"/>
  <c r="J151" i="22"/>
  <c r="J146" i="20"/>
  <c r="H146" i="21"/>
  <c r="J149" i="20"/>
  <c r="H149" i="21"/>
  <c r="H150"/>
  <c r="J150" i="20"/>
  <c r="J148"/>
  <c r="H148" i="21"/>
  <c r="H132"/>
  <c r="J132" i="20"/>
  <c r="H129" i="21"/>
  <c r="J129" i="20"/>
  <c r="H174" i="40"/>
  <c r="J174" i="25"/>
  <c r="H133" i="21"/>
  <c r="J133" i="20"/>
  <c r="H131" i="21"/>
  <c r="J131" i="20"/>
  <c r="H128" i="21"/>
  <c r="J128" i="20"/>
  <c r="H164" i="29"/>
  <c r="J164" i="28"/>
  <c r="H165" i="29"/>
  <c r="J165" i="28"/>
  <c r="H130" i="21"/>
  <c r="J130" i="20"/>
  <c r="H163" i="29"/>
  <c r="J163" i="28"/>
  <c r="H127" i="40"/>
  <c r="J127" i="25"/>
  <c r="H179" i="40"/>
  <c r="J179" i="25"/>
  <c r="H181" i="21"/>
  <c r="J181" i="20"/>
  <c r="H171" i="21"/>
  <c r="J171" i="20"/>
  <c r="H173" i="19"/>
  <c r="J173" i="18"/>
  <c r="H183" i="20"/>
  <c r="J183" i="19"/>
  <c r="H178" i="20"/>
  <c r="J178" i="19"/>
  <c r="H182" i="21"/>
  <c r="J182" i="20"/>
  <c r="H172"/>
  <c r="J172" i="19"/>
  <c r="H176" i="21"/>
  <c r="J176" i="20"/>
  <c r="H180" i="21"/>
  <c r="J180" i="20"/>
  <c r="H177" i="21"/>
  <c r="J177" i="20"/>
  <c r="H170" i="21"/>
  <c r="J170" i="20"/>
  <c r="H175" i="21"/>
  <c r="J175" i="20"/>
  <c r="H162" i="21"/>
  <c r="J162" i="20"/>
  <c r="H160"/>
  <c r="J160" i="19"/>
  <c r="H184"/>
  <c r="J184" i="18"/>
  <c r="H185" i="19"/>
  <c r="J185" i="18"/>
  <c r="H158" i="21"/>
  <c r="J158" i="20"/>
  <c r="H161" i="21"/>
  <c r="AD24" i="44" s="1"/>
  <c r="J161" i="20"/>
  <c r="H159" i="21"/>
  <c r="J159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/>
  <c r="G5"/>
  <c r="G6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K2" i="47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3"/>
  <c r="H4" i="45" s="1"/>
  <c r="AM35" i="1"/>
  <c r="T35"/>
  <c r="P35"/>
  <c r="M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H32" i="29" l="1"/>
  <c r="H27" i="28"/>
  <c r="H27" i="29" s="1"/>
  <c r="E8" i="30"/>
  <c r="G7" i="27"/>
  <c r="E9" i="28"/>
  <c r="J3" i="48"/>
  <c r="M4" i="45" s="1"/>
  <c r="J4"/>
  <c r="K5" i="47"/>
  <c r="J5" i="48"/>
  <c r="K4" i="47"/>
  <c r="J4" i="48"/>
  <c r="H156" i="30"/>
  <c r="J156" i="29"/>
  <c r="J155"/>
  <c r="H155" i="30"/>
  <c r="H146" i="22"/>
  <c r="J146" i="21"/>
  <c r="H143" i="22"/>
  <c r="J143" i="21"/>
  <c r="J152" i="25"/>
  <c r="H152" i="40"/>
  <c r="H151" i="24"/>
  <c r="J151" i="23"/>
  <c r="J144" i="21"/>
  <c r="H144" i="22"/>
  <c r="H150"/>
  <c r="J150" i="21"/>
  <c r="H134" i="40"/>
  <c r="J134" i="25"/>
  <c r="J147" i="21"/>
  <c r="H147" i="22"/>
  <c r="J148" i="21"/>
  <c r="H148" i="22"/>
  <c r="H149"/>
  <c r="J149" i="21"/>
  <c r="J145"/>
  <c r="H145" i="22"/>
  <c r="H179" i="27"/>
  <c r="J179" i="40"/>
  <c r="J163" i="29"/>
  <c r="H163" i="30"/>
  <c r="H131" i="22"/>
  <c r="J131" i="21"/>
  <c r="H132" i="22"/>
  <c r="J132" i="21"/>
  <c r="H127" i="27"/>
  <c r="J127" i="40"/>
  <c r="H130" i="22"/>
  <c r="J130" i="21"/>
  <c r="H164" i="30"/>
  <c r="J164" i="29"/>
  <c r="H128" i="22"/>
  <c r="J128" i="21"/>
  <c r="H133" i="22"/>
  <c r="J133" i="21"/>
  <c r="H129" i="22"/>
  <c r="J129" i="21"/>
  <c r="J165" i="29"/>
  <c r="H165" i="30"/>
  <c r="H174" i="27"/>
  <c r="J174" i="40"/>
  <c r="H170" i="22"/>
  <c r="J170" i="21"/>
  <c r="H180" i="22"/>
  <c r="J180" i="21"/>
  <c r="H172"/>
  <c r="J172" i="20"/>
  <c r="H178" i="21"/>
  <c r="J178" i="20"/>
  <c r="H173"/>
  <c r="J173" i="19"/>
  <c r="H181" i="22"/>
  <c r="J181" i="21"/>
  <c r="H175" i="22"/>
  <c r="J175" i="21"/>
  <c r="H177" i="22"/>
  <c r="J177" i="21"/>
  <c r="H176" i="22"/>
  <c r="J176" i="21"/>
  <c r="H182" i="22"/>
  <c r="J182" i="21"/>
  <c r="H183"/>
  <c r="J183" i="20"/>
  <c r="H171" i="22"/>
  <c r="J171" i="21"/>
  <c r="H159" i="22"/>
  <c r="J159" i="21"/>
  <c r="H158" i="22"/>
  <c r="J158" i="21"/>
  <c r="H184" i="20"/>
  <c r="J184" i="19"/>
  <c r="H162" i="22"/>
  <c r="J162" i="21"/>
  <c r="H161" i="22"/>
  <c r="AD25" i="44" s="1"/>
  <c r="J161" i="21"/>
  <c r="H185" i="20"/>
  <c r="J185" i="19"/>
  <c r="H160" i="21"/>
  <c r="J160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/>
  <c r="J113" i="20"/>
  <c r="H123" i="22"/>
  <c r="J123" i="21"/>
  <c r="H122" i="22"/>
  <c r="J122" i="21"/>
  <c r="K3" i="47"/>
  <c r="G33" i="48"/>
  <c r="E4"/>
  <c r="E33" s="1"/>
  <c r="E7" i="28" l="1"/>
  <c r="G9"/>
  <c r="H9" s="1"/>
  <c r="G8" i="30"/>
  <c r="E27" s="1"/>
  <c r="G27" s="1"/>
  <c r="G32" s="1"/>
  <c r="H32" s="1"/>
  <c r="G101" i="27"/>
  <c r="H101" s="1"/>
  <c r="G105"/>
  <c r="H105" s="1"/>
  <c r="G103"/>
  <c r="H103" s="1"/>
  <c r="G99"/>
  <c r="H99" s="1"/>
  <c r="G97"/>
  <c r="H97" s="1"/>
  <c r="G95"/>
  <c r="H95" s="1"/>
  <c r="I59"/>
  <c r="H7"/>
  <c r="H156" i="43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/>
  <c r="J150" i="22"/>
  <c r="H143" i="23"/>
  <c r="J143" i="22"/>
  <c r="H148" i="23"/>
  <c r="J148" i="22"/>
  <c r="J144"/>
  <c r="H144" i="23"/>
  <c r="J146" i="22"/>
  <c r="H146" i="23"/>
  <c r="H129"/>
  <c r="J129" i="22"/>
  <c r="H130" i="23"/>
  <c r="J130" i="22"/>
  <c r="H132" i="23"/>
  <c r="J132" i="22"/>
  <c r="H133" i="23"/>
  <c r="J133" i="22"/>
  <c r="J164" i="30"/>
  <c r="H164" i="43"/>
  <c r="J127" i="27"/>
  <c r="H127" i="28"/>
  <c r="H131" i="23"/>
  <c r="J131" i="22"/>
  <c r="J174" i="27"/>
  <c r="H174" i="28"/>
  <c r="H128" i="23"/>
  <c r="J128" i="22"/>
  <c r="H179" i="28"/>
  <c r="J179" i="27"/>
  <c r="H165" i="43"/>
  <c r="J165" i="30"/>
  <c r="J163"/>
  <c r="H163" i="43"/>
  <c r="H183" i="22"/>
  <c r="J183" i="21"/>
  <c r="H176" i="23"/>
  <c r="J176" i="22"/>
  <c r="H175" i="23"/>
  <c r="J175" i="22"/>
  <c r="H173" i="21"/>
  <c r="J173" i="20"/>
  <c r="H172" i="22"/>
  <c r="J172" i="21"/>
  <c r="H170" i="23"/>
  <c r="J170" i="22"/>
  <c r="H171" i="23"/>
  <c r="J171" i="22"/>
  <c r="H182" i="23"/>
  <c r="J182" i="22"/>
  <c r="H177" i="23"/>
  <c r="J177" i="22"/>
  <c r="H181" i="23"/>
  <c r="J181" i="22"/>
  <c r="H178"/>
  <c r="J178" i="21"/>
  <c r="H180" i="23"/>
  <c r="J180" i="22"/>
  <c r="H160"/>
  <c r="J160" i="21"/>
  <c r="H161" i="23"/>
  <c r="AD26" i="44" s="1"/>
  <c r="J161" i="22"/>
  <c r="H184" i="21"/>
  <c r="J184" i="20"/>
  <c r="H159" i="23"/>
  <c r="J159" i="22"/>
  <c r="H185" i="21"/>
  <c r="J185" i="20"/>
  <c r="H162" i="23"/>
  <c r="J162" i="22"/>
  <c r="H158" i="23"/>
  <c r="J158" i="22"/>
  <c r="H138" i="23"/>
  <c r="J138" i="22"/>
  <c r="H139" i="23"/>
  <c r="J139" i="22"/>
  <c r="H142" i="23"/>
  <c r="H142" i="24" s="1"/>
  <c r="J142" s="1"/>
  <c r="J142" i="22"/>
  <c r="H140" i="23"/>
  <c r="J140" i="22"/>
  <c r="H141" i="23"/>
  <c r="H141" i="24" s="1"/>
  <c r="J141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/>
  <c r="J113" i="21"/>
  <c r="H119" i="23"/>
  <c r="J119" i="22"/>
  <c r="H120" i="23"/>
  <c r="J120" i="22"/>
  <c r="H115" i="23"/>
  <c r="J115" i="22"/>
  <c r="H116" i="23"/>
  <c r="J116" i="22"/>
  <c r="AP45" i="44"/>
  <c r="AP41"/>
  <c r="E8" i="43" l="1"/>
  <c r="F8" s="1"/>
  <c r="E8" i="31" s="1"/>
  <c r="F8" s="1"/>
  <c r="G8" s="1"/>
  <c r="E27" s="1"/>
  <c r="G27" s="1"/>
  <c r="G32" s="1"/>
  <c r="H27" i="30"/>
  <c r="E9" i="29"/>
  <c r="G7" i="28"/>
  <c r="H155" i="31"/>
  <c r="J155" s="1"/>
  <c r="J155" i="43"/>
  <c r="H156" i="31"/>
  <c r="J156" s="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79" i="29"/>
  <c r="J179" i="28"/>
  <c r="H129" i="24"/>
  <c r="J129" i="23"/>
  <c r="H163" i="31"/>
  <c r="J163" s="1"/>
  <c r="J163" i="43"/>
  <c r="J174" i="28"/>
  <c r="H174" i="29"/>
  <c r="J127" i="28"/>
  <c r="H127" i="29"/>
  <c r="H132" i="24"/>
  <c r="J132" i="23"/>
  <c r="H165" i="31"/>
  <c r="J165" s="1"/>
  <c r="J165" i="43"/>
  <c r="H128" i="24"/>
  <c r="J128" i="23"/>
  <c r="H131" i="24"/>
  <c r="J131" i="23"/>
  <c r="H130" i="24"/>
  <c r="J130" i="23"/>
  <c r="H133" i="24"/>
  <c r="J133" i="23"/>
  <c r="H164" i="31"/>
  <c r="J164" s="1"/>
  <c r="J164" i="43"/>
  <c r="H178" i="23"/>
  <c r="J178" i="22"/>
  <c r="H177" i="24"/>
  <c r="J177" i="23"/>
  <c r="H171" i="24"/>
  <c r="J171" i="23"/>
  <c r="H172"/>
  <c r="J172" i="22"/>
  <c r="H175" i="24"/>
  <c r="J175" i="23"/>
  <c r="H183"/>
  <c r="J183" i="22"/>
  <c r="H180" i="24"/>
  <c r="J180" i="23"/>
  <c r="H181" i="24"/>
  <c r="J181" i="23"/>
  <c r="H182" i="24"/>
  <c r="J182" i="23"/>
  <c r="H170" i="24"/>
  <c r="J170" i="23"/>
  <c r="H173" i="22"/>
  <c r="J173" i="21"/>
  <c r="H176" i="24"/>
  <c r="J176" i="23"/>
  <c r="H158" i="24"/>
  <c r="J158" i="23"/>
  <c r="H185" i="22"/>
  <c r="J185" i="21"/>
  <c r="H184" i="22"/>
  <c r="J184" i="21"/>
  <c r="H160" i="23"/>
  <c r="J160" i="22"/>
  <c r="H162" i="24"/>
  <c r="J162" i="23"/>
  <c r="H159" i="24"/>
  <c r="J159" i="23"/>
  <c r="H161" i="24"/>
  <c r="AD27" i="44" s="1"/>
  <c r="J161" i="23"/>
  <c r="H138" i="24"/>
  <c r="J138" i="23"/>
  <c r="H140" i="24"/>
  <c r="J140" i="23"/>
  <c r="J141"/>
  <c r="J142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/>
  <c r="J113" i="22"/>
  <c r="H118" i="24"/>
  <c r="J118" i="23"/>
  <c r="H117" i="24"/>
  <c r="J117" i="23"/>
  <c r="H112" i="24"/>
  <c r="J112" i="23"/>
  <c r="AC35" i="44"/>
  <c r="G105" i="28" l="1"/>
  <c r="H105" s="1"/>
  <c r="G103"/>
  <c r="H103" s="1"/>
  <c r="G101"/>
  <c r="H101" s="1"/>
  <c r="G97"/>
  <c r="H97" s="1"/>
  <c r="G95"/>
  <c r="H95" s="1"/>
  <c r="G99"/>
  <c r="H99" s="1"/>
  <c r="I59"/>
  <c r="E7" i="29"/>
  <c r="G8" i="43"/>
  <c r="E27" s="1"/>
  <c r="G27" s="1"/>
  <c r="G32" s="1"/>
  <c r="H32" s="1"/>
  <c r="H32" i="31" s="1"/>
  <c r="E8" i="50"/>
  <c r="G8" s="1"/>
  <c r="E27" s="1"/>
  <c r="G27" s="1"/>
  <c r="G32" s="1"/>
  <c r="G9" i="29"/>
  <c r="H9" s="1"/>
  <c r="H7" i="28"/>
  <c r="H144" i="25"/>
  <c r="J144" i="24"/>
  <c r="J147"/>
  <c r="H147" i="25"/>
  <c r="J150" i="24"/>
  <c r="H150" i="25"/>
  <c r="H143"/>
  <c r="J143" i="24"/>
  <c r="H145" i="25"/>
  <c r="J145" i="24"/>
  <c r="H152" i="29"/>
  <c r="J152" i="28"/>
  <c r="H151" i="27"/>
  <c r="J151" i="40"/>
  <c r="J148" i="24"/>
  <c r="H148" i="25"/>
  <c r="H149"/>
  <c r="J149" i="24"/>
  <c r="H146" i="25"/>
  <c r="J146" i="24"/>
  <c r="H134" i="29"/>
  <c r="J134" i="28"/>
  <c r="H127" i="30"/>
  <c r="J127" i="29"/>
  <c r="H130" i="25"/>
  <c r="J130" i="24"/>
  <c r="J179" i="29"/>
  <c r="H179" i="30"/>
  <c r="H133" i="25"/>
  <c r="J133" i="24"/>
  <c r="H128" i="25"/>
  <c r="J128" i="24"/>
  <c r="H132" i="25"/>
  <c r="J132" i="24"/>
  <c r="H129" i="25"/>
  <c r="J129" i="24"/>
  <c r="H131" i="25"/>
  <c r="J131" i="24"/>
  <c r="J174" i="29"/>
  <c r="H174" i="30"/>
  <c r="H173" i="23"/>
  <c r="J173" i="22"/>
  <c r="H182" i="25"/>
  <c r="J182" i="24"/>
  <c r="H180" i="25"/>
  <c r="J180" i="24"/>
  <c r="H175" i="25"/>
  <c r="J175" i="24"/>
  <c r="H171" i="25"/>
  <c r="J171" i="24"/>
  <c r="H178"/>
  <c r="J178" i="23"/>
  <c r="H176" i="25"/>
  <c r="J176" i="24"/>
  <c r="H170" i="25"/>
  <c r="J170" i="24"/>
  <c r="H181" i="25"/>
  <c r="J181" i="24"/>
  <c r="H183"/>
  <c r="J183" i="23"/>
  <c r="H172" i="24"/>
  <c r="J172" i="23"/>
  <c r="H177" i="25"/>
  <c r="J177" i="24"/>
  <c r="H161" i="25"/>
  <c r="AD28" i="44" s="1"/>
  <c r="J161" i="24"/>
  <c r="H162" i="25"/>
  <c r="J162" i="24"/>
  <c r="H184" i="23"/>
  <c r="J184" i="22"/>
  <c r="H158" i="25"/>
  <c r="J158" i="24"/>
  <c r="H159" i="25"/>
  <c r="J159" i="24"/>
  <c r="H160"/>
  <c r="J160" i="23"/>
  <c r="H185"/>
  <c r="J185" i="22"/>
  <c r="H139" i="25"/>
  <c r="J139" i="24"/>
  <c r="H142" i="25"/>
  <c r="H141"/>
  <c r="H140"/>
  <c r="J140" i="24"/>
  <c r="H138" i="25"/>
  <c r="J138" i="24"/>
  <c r="H117" i="25"/>
  <c r="J117" i="24"/>
  <c r="H113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E9" i="30" l="1"/>
  <c r="G9" s="1"/>
  <c r="H9" s="1"/>
  <c r="H27" i="43"/>
  <c r="H27" i="31" s="1"/>
  <c r="G7" i="29"/>
  <c r="H7" s="1"/>
  <c r="J143" i="25"/>
  <c r="H143" i="40"/>
  <c r="J150" i="25"/>
  <c r="H150" i="40"/>
  <c r="H134" i="30"/>
  <c r="J134" i="29"/>
  <c r="H151" i="28"/>
  <c r="J151" i="27"/>
  <c r="J147" i="25"/>
  <c r="H147" i="40"/>
  <c r="H146"/>
  <c r="J146" i="25"/>
  <c r="H152" i="30"/>
  <c r="J152" i="29"/>
  <c r="J148" i="25"/>
  <c r="H148" i="40"/>
  <c r="H149"/>
  <c r="J149" i="25"/>
  <c r="J145"/>
  <c r="H145" i="40"/>
  <c r="J144" i="25"/>
  <c r="H144" i="40"/>
  <c r="H129"/>
  <c r="J129" i="25"/>
  <c r="J127" i="30"/>
  <c r="H127" i="43"/>
  <c r="J179" i="30"/>
  <c r="H179" i="43"/>
  <c r="H128" i="40"/>
  <c r="J128" i="25"/>
  <c r="H131" i="40"/>
  <c r="J131" i="25"/>
  <c r="H132" i="40"/>
  <c r="J132" i="25"/>
  <c r="H133" i="40"/>
  <c r="J133" i="25"/>
  <c r="H130" i="40"/>
  <c r="J130" i="25"/>
  <c r="H174" i="43"/>
  <c r="J174" i="30"/>
  <c r="H172" i="25"/>
  <c r="J172" i="24"/>
  <c r="H181" i="40"/>
  <c r="J181" i="25"/>
  <c r="H176" i="40"/>
  <c r="J176" i="25"/>
  <c r="H171" i="40"/>
  <c r="J171" i="25"/>
  <c r="H180" i="40"/>
  <c r="J180" i="25"/>
  <c r="H173" i="24"/>
  <c r="J173" i="23"/>
  <c r="H177" i="40"/>
  <c r="J177" i="25"/>
  <c r="H183"/>
  <c r="J183" i="24"/>
  <c r="H170" i="40"/>
  <c r="J170" i="25"/>
  <c r="H178"/>
  <c r="J178" i="24"/>
  <c r="H175" i="40"/>
  <c r="J175" i="25"/>
  <c r="H182" i="40"/>
  <c r="J182" i="25"/>
  <c r="H185" i="24"/>
  <c r="J185" i="23"/>
  <c r="H159" i="40"/>
  <c r="J159" i="25"/>
  <c r="H184" i="24"/>
  <c r="J184" i="23"/>
  <c r="H161" i="40"/>
  <c r="AD29" i="44" s="1"/>
  <c r="J161" i="25"/>
  <c r="H160"/>
  <c r="J160" i="24"/>
  <c r="H158" i="40"/>
  <c r="J158" i="25"/>
  <c r="H162" i="40"/>
  <c r="J162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/>
  <c r="J113" i="24"/>
  <c r="E9" i="43" l="1"/>
  <c r="G99" i="29"/>
  <c r="H99" s="1"/>
  <c r="G95"/>
  <c r="H95" s="1"/>
  <c r="G97"/>
  <c r="H97" s="1"/>
  <c r="G101"/>
  <c r="H101" s="1"/>
  <c r="G105"/>
  <c r="H105" s="1"/>
  <c r="G103"/>
  <c r="H103" s="1"/>
  <c r="I59"/>
  <c r="E7" i="30"/>
  <c r="H151" i="29"/>
  <c r="J151" i="28"/>
  <c r="H144" i="27"/>
  <c r="J144" i="40"/>
  <c r="H152" i="43"/>
  <c r="J152" i="30"/>
  <c r="H134" i="43"/>
  <c r="J134" i="30"/>
  <c r="J145" i="40"/>
  <c r="H145" i="27"/>
  <c r="H150"/>
  <c r="J150" i="40"/>
  <c r="H148" i="27"/>
  <c r="J148" i="40"/>
  <c r="H146" i="27"/>
  <c r="J146" i="40"/>
  <c r="H147" i="27"/>
  <c r="J147" i="40"/>
  <c r="H143" i="27"/>
  <c r="J143" i="40"/>
  <c r="J149"/>
  <c r="H149" i="27"/>
  <c r="H133"/>
  <c r="J133" i="40"/>
  <c r="H129" i="27"/>
  <c r="J129" i="40"/>
  <c r="J179" i="43"/>
  <c r="H179" i="31"/>
  <c r="J179" s="1"/>
  <c r="H131" i="27"/>
  <c r="J131" i="40"/>
  <c r="J174" i="43"/>
  <c r="H174" i="31"/>
  <c r="J174" s="1"/>
  <c r="H120" i="50"/>
  <c r="J120" s="1"/>
  <c r="H130" i="27"/>
  <c r="J130" i="40"/>
  <c r="H132" i="27"/>
  <c r="J132" i="40"/>
  <c r="H128" i="27"/>
  <c r="J128" i="40"/>
  <c r="H127" i="31"/>
  <c r="J127" s="1"/>
  <c r="J127" i="43"/>
  <c r="H175" i="27"/>
  <c r="J175" i="40"/>
  <c r="H170" i="27"/>
  <c r="J170" i="40"/>
  <c r="H177" i="27"/>
  <c r="J177" i="40"/>
  <c r="H180" i="27"/>
  <c r="J180" i="40"/>
  <c r="H176" i="27"/>
  <c r="J176" i="40"/>
  <c r="H172"/>
  <c r="J172" i="25"/>
  <c r="H182" i="27"/>
  <c r="J182" i="40"/>
  <c r="H178"/>
  <c r="J178" i="25"/>
  <c r="H183" i="40"/>
  <c r="J183" i="25"/>
  <c r="H173"/>
  <c r="J173" i="24"/>
  <c r="H171" i="27"/>
  <c r="J171" i="40"/>
  <c r="H181" i="27"/>
  <c r="J181" i="40"/>
  <c r="H162" i="27"/>
  <c r="J162" i="40"/>
  <c r="H160"/>
  <c r="J160" i="25"/>
  <c r="H184"/>
  <c r="J184" i="24"/>
  <c r="H185" i="25"/>
  <c r="J185" i="24"/>
  <c r="H158" i="27"/>
  <c r="J158" i="40"/>
  <c r="H161" i="27"/>
  <c r="AD30" i="44" s="1"/>
  <c r="J161" i="40"/>
  <c r="H159" i="27"/>
  <c r="J159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/>
  <c r="AC7"/>
  <c r="AC8"/>
  <c r="AC6"/>
  <c r="G7" i="30" l="1"/>
  <c r="F9" i="43"/>
  <c r="G9" s="1"/>
  <c r="H9" s="1"/>
  <c r="H146" i="28"/>
  <c r="J146" i="27"/>
  <c r="J134" i="43"/>
  <c r="H134" i="31"/>
  <c r="J134" s="1"/>
  <c r="J149" i="27"/>
  <c r="H149" i="28"/>
  <c r="H148"/>
  <c r="J148" i="27"/>
  <c r="H152" i="31"/>
  <c r="J152" s="1"/>
  <c r="J152" i="43"/>
  <c r="H143" i="28"/>
  <c r="J143" i="27"/>
  <c r="J150"/>
  <c r="H150" i="28"/>
  <c r="J144" i="27"/>
  <c r="H144" i="28"/>
  <c r="H145"/>
  <c r="J145" i="27"/>
  <c r="J14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1" i="28"/>
  <c r="J171" i="27"/>
  <c r="H183"/>
  <c r="J183" i="40"/>
  <c r="H182" i="28"/>
  <c r="J182" i="27"/>
  <c r="H176" i="28"/>
  <c r="J176" i="27"/>
  <c r="H177" i="28"/>
  <c r="J177" i="27"/>
  <c r="H175" i="28"/>
  <c r="J175" i="27"/>
  <c r="H181" i="28"/>
  <c r="J181" i="27"/>
  <c r="H173" i="40"/>
  <c r="J173" i="25"/>
  <c r="H178" i="27"/>
  <c r="J178" i="40"/>
  <c r="H172" i="27"/>
  <c r="J172" i="40"/>
  <c r="H180" i="28"/>
  <c r="J180" i="27"/>
  <c r="H170" i="28"/>
  <c r="J170" i="27"/>
  <c r="H159" i="28"/>
  <c r="J159" i="27"/>
  <c r="H158" i="28"/>
  <c r="J158" i="27"/>
  <c r="H184" i="40"/>
  <c r="J184" i="25"/>
  <c r="H162" i="28"/>
  <c r="J162" i="27"/>
  <c r="H161" i="28"/>
  <c r="AD31" i="44" s="1"/>
  <c r="J161" i="27"/>
  <c r="H185" i="40"/>
  <c r="J185" i="25"/>
  <c r="H160" i="27"/>
  <c r="J160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/>
  <c r="E9" i="31" l="1"/>
  <c r="F9" s="1"/>
  <c r="G9" s="1"/>
  <c r="H9" s="1"/>
  <c r="G105" i="30"/>
  <c r="H105" s="1"/>
  <c r="G99"/>
  <c r="H99" s="1"/>
  <c r="G97"/>
  <c r="H97" s="1"/>
  <c r="G95"/>
  <c r="H95" s="1"/>
  <c r="G103"/>
  <c r="H103" s="1"/>
  <c r="G101"/>
  <c r="H101" s="1"/>
  <c r="I59"/>
  <c r="H7"/>
  <c r="E7" i="43"/>
  <c r="H144" i="29"/>
  <c r="J144" i="28"/>
  <c r="H148" i="29"/>
  <c r="J148" i="28"/>
  <c r="J146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/>
  <c r="J131" i="28"/>
  <c r="H128" i="29"/>
  <c r="J128" i="28"/>
  <c r="H130" i="29"/>
  <c r="J130" i="28"/>
  <c r="H129" i="29"/>
  <c r="J129" i="28"/>
  <c r="H132" i="29"/>
  <c r="J132" i="28"/>
  <c r="H133" i="29"/>
  <c r="J133" i="28"/>
  <c r="H180" i="29"/>
  <c r="J180" i="28"/>
  <c r="H178"/>
  <c r="J178" i="27"/>
  <c r="H181" i="29"/>
  <c r="J181" i="28"/>
  <c r="H177" i="29"/>
  <c r="J177" i="28"/>
  <c r="H182" i="29"/>
  <c r="J182" i="28"/>
  <c r="H171" i="29"/>
  <c r="J171" i="28"/>
  <c r="H170" i="29"/>
  <c r="J170" i="28"/>
  <c r="H172"/>
  <c r="J172" i="27"/>
  <c r="H173"/>
  <c r="J173" i="40"/>
  <c r="H175" i="29"/>
  <c r="J175" i="28"/>
  <c r="H176" i="29"/>
  <c r="J176" i="28"/>
  <c r="H183"/>
  <c r="J183" i="27"/>
  <c r="H160" i="28"/>
  <c r="J160" i="27"/>
  <c r="H161" i="29"/>
  <c r="AD32" i="44" s="1"/>
  <c r="J161" i="28"/>
  <c r="H184" i="27"/>
  <c r="J184" i="40"/>
  <c r="H159" i="29"/>
  <c r="J159" i="28"/>
  <c r="H185" i="27"/>
  <c r="J185" i="40"/>
  <c r="H162" i="29"/>
  <c r="J162" i="28"/>
  <c r="H158" i="29"/>
  <c r="J158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F7" i="43" l="1"/>
  <c r="E7" i="31" s="1"/>
  <c r="F7" s="1"/>
  <c r="J144" i="29"/>
  <c r="H144" i="30"/>
  <c r="H143"/>
  <c r="J143" i="29"/>
  <c r="J151" i="43"/>
  <c r="H151" i="31"/>
  <c r="J151" s="1"/>
  <c r="H147" i="30"/>
  <c r="J147" i="29"/>
  <c r="H146" i="30"/>
  <c r="J146" i="29"/>
  <c r="J148"/>
  <c r="H148" i="30"/>
  <c r="H150"/>
  <c r="J150" i="29"/>
  <c r="J149"/>
  <c r="H149" i="30"/>
  <c r="H145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6" i="30"/>
  <c r="J176" i="29"/>
  <c r="H173" i="28"/>
  <c r="J173" i="27"/>
  <c r="H170" i="30"/>
  <c r="J170" i="29"/>
  <c r="H182" i="30"/>
  <c r="J182" i="29"/>
  <c r="H181" i="30"/>
  <c r="J181" i="29"/>
  <c r="H180" i="30"/>
  <c r="J180" i="29"/>
  <c r="H183"/>
  <c r="J183" i="28"/>
  <c r="H175" i="30"/>
  <c r="J175" i="29"/>
  <c r="H172"/>
  <c r="J172" i="28"/>
  <c r="H171" i="30"/>
  <c r="J171" i="29"/>
  <c r="H177" i="30"/>
  <c r="J177" i="29"/>
  <c r="H178"/>
  <c r="J178" i="28"/>
  <c r="H158" i="30"/>
  <c r="J158" i="29"/>
  <c r="H185" i="28"/>
  <c r="J185" i="27"/>
  <c r="H184" i="28"/>
  <c r="J184" i="27"/>
  <c r="H160" i="29"/>
  <c r="J160" i="28"/>
  <c r="H162" i="30"/>
  <c r="J162" i="29"/>
  <c r="H159" i="30"/>
  <c r="J159" i="29"/>
  <c r="H161" i="30"/>
  <c r="AD33" i="44" s="1"/>
  <c r="J161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/>
  <c r="AC28" i="44"/>
  <c r="Z25" i="49"/>
  <c r="AB7"/>
  <c r="AB9"/>
  <c r="Z30"/>
  <c r="AB25" l="1"/>
  <c r="N7" i="31"/>
  <c r="G7"/>
  <c r="G7" i="43"/>
  <c r="E7" i="50"/>
  <c r="G7" s="1"/>
  <c r="H147" i="43"/>
  <c r="J147" i="30"/>
  <c r="J150"/>
  <c r="H150" i="43"/>
  <c r="H148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77" i="43"/>
  <c r="J177" i="30"/>
  <c r="H172"/>
  <c r="J172" i="29"/>
  <c r="H183" i="30"/>
  <c r="J183" i="29"/>
  <c r="H181" i="43"/>
  <c r="J181" i="30"/>
  <c r="H170" i="43"/>
  <c r="J170" i="30"/>
  <c r="H176" i="43"/>
  <c r="J176" i="30"/>
  <c r="H178"/>
  <c r="J178" i="29"/>
  <c r="H171" i="43"/>
  <c r="J171" i="30"/>
  <c r="H175" i="43"/>
  <c r="J175" i="30"/>
  <c r="H180" i="43"/>
  <c r="J180" i="30"/>
  <c r="H182" i="43"/>
  <c r="J182" i="30"/>
  <c r="H173" i="29"/>
  <c r="J173" i="28"/>
  <c r="H161" i="43"/>
  <c r="AD34" i="44" s="1"/>
  <c r="J161" i="30"/>
  <c r="H162" i="43"/>
  <c r="J162" i="30"/>
  <c r="H184" i="29"/>
  <c r="J184" i="28"/>
  <c r="H158" i="43"/>
  <c r="J158" i="30"/>
  <c r="H159" i="43"/>
  <c r="J159" i="30"/>
  <c r="H160"/>
  <c r="J160" i="29"/>
  <c r="H185"/>
  <c r="J185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/>
  <c r="J113" i="29"/>
  <c r="H117" i="43"/>
  <c r="J117" i="30"/>
  <c r="AC27" i="44"/>
  <c r="AB24" i="49" s="1"/>
  <c r="Z24"/>
  <c r="AB8"/>
  <c r="AA32"/>
  <c r="AB10"/>
  <c r="AB5"/>
  <c r="AA24"/>
  <c r="AA25"/>
  <c r="Z11"/>
  <c r="Z10"/>
  <c r="Z9"/>
  <c r="Z8"/>
  <c r="Z7"/>
  <c r="AA6"/>
  <c r="AB6"/>
  <c r="Z6"/>
  <c r="AA5"/>
  <c r="Z5"/>
  <c r="Z4"/>
  <c r="AB4"/>
  <c r="AA4"/>
  <c r="Z31"/>
  <c r="Z29"/>
  <c r="Z27"/>
  <c r="Z26"/>
  <c r="Z23"/>
  <c r="Z22"/>
  <c r="Z21"/>
  <c r="Z20"/>
  <c r="Z19"/>
  <c r="Z18"/>
  <c r="Z17"/>
  <c r="Z16"/>
  <c r="Z15"/>
  <c r="Z14"/>
  <c r="Z13"/>
  <c r="Z12"/>
  <c r="AA7"/>
  <c r="AC25" i="44"/>
  <c r="AB22" i="49" s="1"/>
  <c r="AA13"/>
  <c r="AA23"/>
  <c r="AA12"/>
  <c r="AA22"/>
  <c r="AC21" i="44"/>
  <c r="AB18" i="49" s="1"/>
  <c r="AC17" i="44"/>
  <c r="AB14" i="49" s="1"/>
  <c r="AA31"/>
  <c r="AA11"/>
  <c r="AA20"/>
  <c r="AB11"/>
  <c r="AC20" i="44"/>
  <c r="AB17" i="49" s="1"/>
  <c r="AA26"/>
  <c r="AC31" i="44"/>
  <c r="AB28" i="49" s="1"/>
  <c r="AA29"/>
  <c r="Z32"/>
  <c r="AA18"/>
  <c r="AC15" i="44"/>
  <c r="AC16"/>
  <c r="AB13" i="49" s="1"/>
  <c r="AA16"/>
  <c r="AC22" i="44"/>
  <c r="AB19" i="49" s="1"/>
  <c r="AC24" i="44"/>
  <c r="AB21" i="49" s="1"/>
  <c r="AC32" i="44"/>
  <c r="AB29" i="49" s="1"/>
  <c r="AC34" i="44"/>
  <c r="AB31" i="49" s="1"/>
  <c r="AC29" i="44"/>
  <c r="AB26" i="49" s="1"/>
  <c r="AA14"/>
  <c r="AA10"/>
  <c r="AA27"/>
  <c r="AA15"/>
  <c r="AA30"/>
  <c r="AA21"/>
  <c r="AA17"/>
  <c r="AC19" i="44"/>
  <c r="AB16" i="49" s="1"/>
  <c r="AC18" i="44"/>
  <c r="AB15" i="49" s="1"/>
  <c r="AA19"/>
  <c r="AA8"/>
  <c r="AA9"/>
  <c r="AC30" i="44"/>
  <c r="AB27" i="49" s="1"/>
  <c r="AC26" i="44"/>
  <c r="AB23" i="49" s="1"/>
  <c r="AC23" i="44"/>
  <c r="AB20" i="49" s="1"/>
  <c r="AA28"/>
  <c r="AC36" i="44" l="1"/>
  <c r="AC37"/>
  <c r="G103" i="50"/>
  <c r="G97"/>
  <c r="G99"/>
  <c r="G105"/>
  <c r="G95"/>
  <c r="G101"/>
  <c r="I59"/>
  <c r="G97" i="43"/>
  <c r="H97" s="1"/>
  <c r="J97" s="1"/>
  <c r="G99"/>
  <c r="H99" s="1"/>
  <c r="J99" s="1"/>
  <c r="G103"/>
  <c r="H103" s="1"/>
  <c r="J103" s="1"/>
  <c r="G101"/>
  <c r="H101" s="1"/>
  <c r="J101" s="1"/>
  <c r="G95"/>
  <c r="H95" s="1"/>
  <c r="G105"/>
  <c r="H105" s="1"/>
  <c r="I59"/>
  <c r="H7"/>
  <c r="G103" i="31"/>
  <c r="G95"/>
  <c r="G97"/>
  <c r="G101"/>
  <c r="G105"/>
  <c r="G99"/>
  <c r="I59"/>
  <c r="AB12" i="49"/>
  <c r="J146" i="43"/>
  <c r="H146" i="31"/>
  <c r="J146" s="1"/>
  <c r="H149"/>
  <c r="J149" s="1"/>
  <c r="J149" i="43"/>
  <c r="J145"/>
  <c r="H145" i="31"/>
  <c r="J145" s="1"/>
  <c r="H148"/>
  <c r="J148" s="1"/>
  <c r="J148" i="43"/>
  <c r="J150"/>
  <c r="H150" i="31"/>
  <c r="J150" s="1"/>
  <c r="J144" i="43"/>
  <c r="H144" i="31"/>
  <c r="J144" s="1"/>
  <c r="J143" i="43"/>
  <c r="H143" i="31"/>
  <c r="J143" s="1"/>
  <c r="H147"/>
  <c r="J147" s="1"/>
  <c r="J147" i="43"/>
  <c r="H130" i="31"/>
  <c r="J130" s="1"/>
  <c r="J130" i="43"/>
  <c r="H132" i="31"/>
  <c r="J132" s="1"/>
  <c r="J132" i="43"/>
  <c r="H128" i="31"/>
  <c r="J128" s="1"/>
  <c r="J128" i="43"/>
  <c r="J129"/>
  <c r="H129" i="31"/>
  <c r="J129" s="1"/>
  <c r="H79" i="50"/>
  <c r="H131" i="31"/>
  <c r="J131" s="1"/>
  <c r="J131" i="43"/>
  <c r="H82" i="31"/>
  <c r="J82" s="1"/>
  <c r="H133"/>
  <c r="J133" s="1"/>
  <c r="J133" i="43"/>
  <c r="J182"/>
  <c r="H182" i="31"/>
  <c r="J182" s="1"/>
  <c r="H128" i="50"/>
  <c r="J128" s="1"/>
  <c r="H175" i="31"/>
  <c r="J175" s="1"/>
  <c r="J175" i="43"/>
  <c r="H121" i="50"/>
  <c r="J121" s="1"/>
  <c r="H178" i="43"/>
  <c r="J178" i="30"/>
  <c r="H170" i="31"/>
  <c r="J170" s="1"/>
  <c r="J170" i="43"/>
  <c r="H116" i="50"/>
  <c r="J116" s="1"/>
  <c r="H183" i="43"/>
  <c r="J183" i="30"/>
  <c r="J177" i="43"/>
  <c r="H177" i="31"/>
  <c r="J177" s="1"/>
  <c r="H123" i="50"/>
  <c r="J123" s="1"/>
  <c r="H173" i="30"/>
  <c r="J173" i="29"/>
  <c r="J180" i="43"/>
  <c r="H180" i="31"/>
  <c r="J180" s="1"/>
  <c r="J171" i="43"/>
  <c r="H171" i="31"/>
  <c r="J171" s="1"/>
  <c r="H117" i="50"/>
  <c r="J117" s="1"/>
  <c r="J176" i="43"/>
  <c r="H176" i="31"/>
  <c r="J176" s="1"/>
  <c r="H122" i="50"/>
  <c r="J122" s="1"/>
  <c r="J181" i="43"/>
  <c r="H181" i="31"/>
  <c r="J181" s="1"/>
  <c r="H127" i="50"/>
  <c r="J127" s="1"/>
  <c r="H172" i="43"/>
  <c r="J172" i="30"/>
  <c r="H185"/>
  <c r="J185" i="29"/>
  <c r="J159" i="43"/>
  <c r="H159" i="31"/>
  <c r="J159" s="1"/>
  <c r="H184" i="30"/>
  <c r="J184" i="29"/>
  <c r="J161" i="43"/>
  <c r="H161" i="31"/>
  <c r="H160" i="43"/>
  <c r="J160" i="30"/>
  <c r="H158" i="31"/>
  <c r="J158" s="1"/>
  <c r="J158" i="43"/>
  <c r="H162" i="31"/>
  <c r="J162" s="1"/>
  <c r="J162" i="43"/>
  <c r="J142"/>
  <c r="H142" i="31"/>
  <c r="J142" s="1"/>
  <c r="J140" i="43"/>
  <c r="H140" i="31"/>
  <c r="J140" s="1"/>
  <c r="H139"/>
  <c r="J139" s="1"/>
  <c r="J139" i="43"/>
  <c r="H141" i="31"/>
  <c r="J141" s="1"/>
  <c r="J141" i="43"/>
  <c r="H138" i="31"/>
  <c r="J138" s="1"/>
  <c r="J138" i="43"/>
  <c r="H113"/>
  <c r="J113" i="30"/>
  <c r="J114" i="43"/>
  <c r="H114" i="31"/>
  <c r="J114" s="1"/>
  <c r="H115"/>
  <c r="J115" s="1"/>
  <c r="J115" i="43"/>
  <c r="J118"/>
  <c r="H118" i="31"/>
  <c r="J118" s="1"/>
  <c r="H123"/>
  <c r="J123" s="1"/>
  <c r="J123" i="43"/>
  <c r="H119" i="31"/>
  <c r="J119" s="1"/>
  <c r="J119" i="43"/>
  <c r="H117" i="31"/>
  <c r="J117" s="1"/>
  <c r="J117" i="43"/>
  <c r="H116" i="31"/>
  <c r="J116" s="1"/>
  <c r="J116" i="43"/>
  <c r="H122" i="31"/>
  <c r="J122" s="1"/>
  <c r="J122" i="43"/>
  <c r="J112"/>
  <c r="H112" i="31"/>
  <c r="J112" s="1"/>
  <c r="J120" i="43"/>
  <c r="H120" i="31"/>
  <c r="J120" s="1"/>
  <c r="H121"/>
  <c r="J121" s="1"/>
  <c r="J121" i="43"/>
  <c r="Z3" i="49"/>
  <c r="AB3"/>
  <c r="AA3"/>
  <c r="Z2"/>
  <c r="AB2"/>
  <c r="AA2"/>
  <c r="H101" i="31" l="1"/>
  <c r="J101" s="1"/>
  <c r="H99"/>
  <c r="J99" s="1"/>
  <c r="H103"/>
  <c r="J103" s="1"/>
  <c r="H105"/>
  <c r="J105" s="1"/>
  <c r="J105" i="43"/>
  <c r="H95" i="31"/>
  <c r="J95" s="1"/>
  <c r="J95" i="43"/>
  <c r="AU35" i="44"/>
  <c r="H97" i="31"/>
  <c r="J97" s="1"/>
  <c r="J161"/>
  <c r="AD35" i="44"/>
  <c r="H173" i="43"/>
  <c r="J173" i="30"/>
  <c r="J172" i="43"/>
  <c r="H172" i="31"/>
  <c r="J172" s="1"/>
  <c r="H118" i="50"/>
  <c r="J118" s="1"/>
  <c r="H178" i="31"/>
  <c r="J178" s="1"/>
  <c r="J178" i="43"/>
  <c r="J183"/>
  <c r="H183" i="31"/>
  <c r="J183" s="1"/>
  <c r="H129" i="50"/>
  <c r="J129" s="1"/>
  <c r="H160" i="31"/>
  <c r="J160" s="1"/>
  <c r="J160" i="43"/>
  <c r="H184"/>
  <c r="J184" i="30"/>
  <c r="H185" i="43"/>
  <c r="J185" i="30"/>
  <c r="J113" i="43"/>
  <c r="H113" i="31"/>
  <c r="J113" s="1"/>
  <c r="AN10" i="49"/>
  <c r="AE10"/>
  <c r="Y13" i="44"/>
  <c r="X10" i="49" s="1"/>
  <c r="AD10"/>
  <c r="AD36" i="44" l="1"/>
  <c r="AD37"/>
  <c r="AU36"/>
  <c r="AU37"/>
  <c r="AC32" i="49"/>
  <c r="H173" i="31"/>
  <c r="J173" s="1"/>
  <c r="J173" i="43"/>
  <c r="H119" i="50"/>
  <c r="J119" s="1"/>
  <c r="H185" i="31"/>
  <c r="J185" s="1"/>
  <c r="J185" i="43"/>
  <c r="H131" i="50"/>
  <c r="J131" s="1"/>
  <c r="J184" i="43"/>
  <c r="H184" i="31"/>
  <c r="J184" s="1"/>
  <c r="H130" i="50"/>
  <c r="J13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AT10" l="1"/>
  <c r="BB10"/>
  <c r="AS10"/>
  <c r="BA10"/>
  <c r="C9" i="44" l="1"/>
  <c r="J6" i="48" s="1"/>
  <c r="H8" i="1"/>
  <c r="J8" s="1"/>
  <c r="C10" i="44"/>
  <c r="H9" i="1"/>
  <c r="J9" s="1"/>
  <c r="AN32" i="49"/>
  <c r="BA34" i="1"/>
  <c r="BC34"/>
  <c r="BD34"/>
  <c r="BE34"/>
  <c r="BG34"/>
  <c r="Y35" i="44"/>
  <c r="AZ34" i="1"/>
  <c r="AR34"/>
  <c r="AU34"/>
  <c r="AV34"/>
  <c r="AW34"/>
  <c r="D35" i="44"/>
  <c r="BF34" i="1"/>
  <c r="AX34"/>
  <c r="AT34"/>
  <c r="J7" i="48" l="1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/>
  <c r="AE32"/>
  <c r="X32"/>
  <c r="N34" i="1" l="1"/>
  <c r="G32" i="47"/>
  <c r="AT35" i="44"/>
  <c r="AT32" i="49"/>
  <c r="BB32"/>
  <c r="AS32"/>
  <c r="BA32"/>
  <c r="AI25" i="45" l="1"/>
  <c r="AI27"/>
  <c r="AD20" i="49" l="1"/>
  <c r="L15" i="44" l="1"/>
  <c r="K12" i="49" s="1"/>
  <c r="Y15" i="44"/>
  <c r="X12" i="49" s="1"/>
  <c r="AX7" l="1"/>
  <c r="AW7"/>
  <c r="AV9"/>
  <c r="AZ10"/>
  <c r="AY10"/>
  <c r="AX10"/>
  <c r="AW10"/>
  <c r="AV10"/>
  <c r="AU10"/>
  <c r="AZ14"/>
  <c r="AY14"/>
  <c r="AX14"/>
  <c r="AW14"/>
  <c r="AV14"/>
  <c r="AU14"/>
  <c r="AZ15"/>
  <c r="AY15"/>
  <c r="AX15"/>
  <c r="AW15"/>
  <c r="AV15"/>
  <c r="AU15"/>
  <c r="AZ16"/>
  <c r="AY16"/>
  <c r="AX16"/>
  <c r="AW16"/>
  <c r="AV16"/>
  <c r="AU16"/>
  <c r="AZ18"/>
  <c r="AY18"/>
  <c r="AX18"/>
  <c r="AW18"/>
  <c r="AV18"/>
  <c r="AU18"/>
  <c r="AZ19"/>
  <c r="AY19"/>
  <c r="AX19"/>
  <c r="AW19"/>
  <c r="AV19"/>
  <c r="AU19"/>
  <c r="AZ24"/>
  <c r="AY24"/>
  <c r="AX24"/>
  <c r="AW24"/>
  <c r="AV24"/>
  <c r="AU24"/>
  <c r="AZ25"/>
  <c r="AY25"/>
  <c r="AX25"/>
  <c r="AW25"/>
  <c r="AV25"/>
  <c r="AU25"/>
  <c r="AZ26"/>
  <c r="AY26"/>
  <c r="AX26"/>
  <c r="AW26"/>
  <c r="AV26"/>
  <c r="AU26"/>
  <c r="AZ27"/>
  <c r="AY27"/>
  <c r="AX27"/>
  <c r="AW27"/>
  <c r="AV27"/>
  <c r="AU27"/>
  <c r="AZ28"/>
  <c r="AY28"/>
  <c r="AX28"/>
  <c r="AW28"/>
  <c r="AV28"/>
  <c r="AU28"/>
  <c r="AZ29"/>
  <c r="AY29"/>
  <c r="AX29"/>
  <c r="AW29"/>
  <c r="AV29"/>
  <c r="AU29"/>
  <c r="AZ32"/>
  <c r="AY32"/>
  <c r="AX32"/>
  <c r="AW32"/>
  <c r="AV32"/>
  <c r="AU32"/>
  <c r="AT26" l="1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U31"/>
  <c r="BB31"/>
  <c r="BA31"/>
  <c r="AZ31"/>
  <c r="AY31"/>
  <c r="AX31"/>
  <c r="AW31"/>
  <c r="AV31"/>
  <c r="AT29"/>
  <c r="BB29"/>
  <c r="AT27"/>
  <c r="BB27"/>
  <c r="AT28"/>
  <c r="BB28"/>
  <c r="AS27"/>
  <c r="BA27"/>
  <c r="AX21"/>
  <c r="AY22"/>
  <c r="AW21"/>
  <c r="AU20"/>
  <c r="AX22"/>
  <c r="AV21"/>
  <c r="AW22"/>
  <c r="AU21"/>
  <c r="AY21"/>
  <c r="AV22"/>
  <c r="AZ20"/>
  <c r="AW20"/>
  <c r="AV20"/>
  <c r="AU22"/>
  <c r="AY20"/>
  <c r="AZ22"/>
  <c r="AZ21"/>
  <c r="AX20"/>
  <c r="AT17"/>
  <c r="AY3"/>
  <c r="AW5"/>
  <c r="AU9"/>
  <c r="AY9"/>
  <c r="AW8"/>
  <c r="AU7"/>
  <c r="AZ7"/>
  <c r="AX6"/>
  <c r="AZ5"/>
  <c r="AU3"/>
  <c r="AY4"/>
  <c r="AZ9"/>
  <c r="AX8"/>
  <c r="AU6"/>
  <c r="AX3"/>
  <c r="AX4"/>
  <c r="AW3"/>
  <c r="AW4"/>
  <c r="AX9"/>
  <c r="AV8"/>
  <c r="AZ8"/>
  <c r="AW6"/>
  <c r="AU5"/>
  <c r="AY5"/>
  <c r="AU4"/>
  <c r="AY6"/>
  <c r="AV3"/>
  <c r="AZ3"/>
  <c r="AV4"/>
  <c r="AZ4"/>
  <c r="AU8"/>
  <c r="AY8"/>
  <c r="AV6"/>
  <c r="AZ6"/>
  <c r="AX5"/>
  <c r="AZ11"/>
  <c r="AY11"/>
  <c r="AW11"/>
  <c r="AV11"/>
  <c r="AZ23"/>
  <c r="AU23"/>
  <c r="AY23"/>
  <c r="AW23"/>
  <c r="AV23"/>
  <c r="AV2"/>
  <c r="AZ2"/>
  <c r="AU2"/>
  <c r="AW2"/>
  <c r="AX30"/>
  <c r="AW30"/>
  <c r="AV30"/>
  <c r="AZ30"/>
  <c r="AU30"/>
  <c r="AY30"/>
  <c r="AU13"/>
  <c r="AX13"/>
  <c r="AY13"/>
  <c r="AW13"/>
  <c r="AV13"/>
  <c r="AZ13"/>
  <c r="AX12"/>
  <c r="AW12"/>
  <c r="AV12"/>
  <c r="AZ12"/>
  <c r="AU12"/>
  <c r="AY12"/>
  <c r="AU11"/>
  <c r="AX11"/>
  <c r="AY7"/>
  <c r="AW9"/>
  <c r="AV7"/>
  <c r="AV5"/>
  <c r="AX23"/>
  <c r="AU17" l="1"/>
  <c r="AS17"/>
  <c r="BB17"/>
  <c r="AZ17"/>
  <c r="AS26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" i="1" l="1"/>
  <c r="J11" s="1"/>
  <c r="C11" i="44" l="1"/>
  <c r="H10" i="1"/>
  <c r="J10" s="1"/>
  <c r="H12"/>
  <c r="J12" s="1"/>
  <c r="C12" i="44"/>
  <c r="J9" i="48" s="1"/>
  <c r="J8" l="1"/>
  <c r="C13" i="44"/>
  <c r="BB13" l="1"/>
  <c r="J10" i="48"/>
  <c r="H14" i="1"/>
  <c r="J14" s="1"/>
  <c r="C15" i="44"/>
  <c r="J12" i="48" s="1"/>
  <c r="H13" i="1"/>
  <c r="J13" s="1"/>
  <c r="C14" i="44"/>
  <c r="J11" i="48" s="1"/>
  <c r="H15" i="1" l="1"/>
  <c r="J15" s="1"/>
  <c r="C16" i="44"/>
  <c r="J13" i="48" s="1"/>
  <c r="C17" i="44" l="1"/>
  <c r="J14" i="48" s="1"/>
  <c r="H16" i="1"/>
  <c r="J16" s="1"/>
  <c r="H17" l="1"/>
  <c r="J17" s="1"/>
  <c r="C18" i="44"/>
  <c r="J15" i="48" s="1"/>
  <c r="W5" i="45"/>
  <c r="H18" i="1" l="1"/>
  <c r="J18" s="1"/>
  <c r="C19" i="44"/>
  <c r="J16" i="48" s="1"/>
  <c r="H19" i="1" l="1"/>
  <c r="J19" s="1"/>
  <c r="C20" i="44"/>
  <c r="J17" i="48" s="1"/>
  <c r="H20" i="1" l="1"/>
  <c r="J20" s="1"/>
  <c r="C21" i="44"/>
  <c r="J18" i="48" s="1"/>
  <c r="H21" i="1" l="1"/>
  <c r="J21" s="1"/>
  <c r="C22" i="44"/>
  <c r="J19" i="48" s="1"/>
  <c r="H22" i="1" l="1"/>
  <c r="J22" s="1"/>
  <c r="C23" i="44"/>
  <c r="J20" i="48" s="1"/>
  <c r="H23" i="1" l="1"/>
  <c r="J23" s="1"/>
  <c r="C24" i="44"/>
  <c r="J21" i="48" s="1"/>
  <c r="C25" i="44" l="1"/>
  <c r="J22" i="48" s="1"/>
  <c r="H24" i="1"/>
  <c r="J24" s="1"/>
  <c r="Y25" i="49"/>
  <c r="H25" i="1" l="1"/>
  <c r="J25" s="1"/>
  <c r="C26" i="44"/>
  <c r="J23" i="48" s="1"/>
  <c r="L28" i="44"/>
  <c r="K25" i="49" l="1"/>
  <c r="C27" i="44"/>
  <c r="J24" i="48" s="1"/>
  <c r="H26" i="1"/>
  <c r="J26" s="1"/>
  <c r="BL25" i="49"/>
  <c r="BK25"/>
  <c r="BJ25"/>
  <c r="BI25"/>
  <c r="BH25"/>
  <c r="BC25"/>
  <c r="AQ25"/>
  <c r="AN25"/>
  <c r="AL25"/>
  <c r="W25"/>
  <c r="V25"/>
  <c r="U25"/>
  <c r="T25"/>
  <c r="S25"/>
  <c r="R25"/>
  <c r="Q25"/>
  <c r="P25"/>
  <c r="O25"/>
  <c r="N25"/>
  <c r="M25"/>
  <c r="AK25"/>
  <c r="AJ25"/>
  <c r="AI25"/>
  <c r="AH25"/>
  <c r="AG25"/>
  <c r="AF25"/>
  <c r="AE25"/>
  <c r="AD25"/>
  <c r="Y28" i="44"/>
  <c r="X25" i="49" l="1"/>
  <c r="H27" i="1"/>
  <c r="J27" s="1"/>
  <c r="C28" i="44"/>
  <c r="AA27" i="45"/>
  <c r="BF25" i="49" s="1"/>
  <c r="AR25"/>
  <c r="AP25"/>
  <c r="AM25"/>
  <c r="AA29" i="45"/>
  <c r="AO25" i="49"/>
  <c r="M28" i="44"/>
  <c r="K28"/>
  <c r="I28"/>
  <c r="J28"/>
  <c r="G28"/>
  <c r="F28"/>
  <c r="H28"/>
  <c r="AA30" i="45"/>
  <c r="AA5"/>
  <c r="AY28" i="44"/>
  <c r="AA25" i="45"/>
  <c r="BE25" i="49" s="1"/>
  <c r="J25" l="1"/>
  <c r="I25"/>
  <c r="H25"/>
  <c r="G25"/>
  <c r="F25"/>
  <c r="L25"/>
  <c r="E25"/>
  <c r="J25" i="48"/>
  <c r="BB28" i="44"/>
  <c r="C29"/>
  <c r="J26" i="48" s="1"/>
  <c r="H28" i="1"/>
  <c r="J28" s="1"/>
  <c r="AA31" i="45"/>
  <c r="C30" i="44" l="1"/>
  <c r="J27" i="48" s="1"/>
  <c r="H29" i="1"/>
  <c r="J29" s="1"/>
  <c r="C31" i="44" l="1"/>
  <c r="H30" i="1"/>
  <c r="J30" s="1"/>
  <c r="J28" i="48" l="1"/>
  <c r="H31" i="1"/>
  <c r="J31" s="1"/>
  <c r="C32" i="44"/>
  <c r="AV9" i="1"/>
  <c r="BI32" i="49"/>
  <c r="BJ32"/>
  <c r="BK32"/>
  <c r="BL32"/>
  <c r="AQ32"/>
  <c r="BC32"/>
  <c r="N32"/>
  <c r="Q32"/>
  <c r="R32"/>
  <c r="S32"/>
  <c r="T32"/>
  <c r="U32"/>
  <c r="V32"/>
  <c r="W32"/>
  <c r="Y32"/>
  <c r="M32"/>
  <c r="AF32"/>
  <c r="AG32"/>
  <c r="AH32"/>
  <c r="AI32"/>
  <c r="AJ32"/>
  <c r="AK32"/>
  <c r="BJ31"/>
  <c r="BK31"/>
  <c r="BL31"/>
  <c r="AN31"/>
  <c r="N31"/>
  <c r="O31"/>
  <c r="P31"/>
  <c r="Q31"/>
  <c r="R31"/>
  <c r="S31"/>
  <c r="T31"/>
  <c r="U31"/>
  <c r="V31"/>
  <c r="W31"/>
  <c r="Y31"/>
  <c r="M31"/>
  <c r="AL10"/>
  <c r="BB20" i="1"/>
  <c r="BD20"/>
  <c r="BG5"/>
  <c r="BF5"/>
  <c r="BE5"/>
  <c r="BD5"/>
  <c r="BC5"/>
  <c r="BA5"/>
  <c r="AZ5"/>
  <c r="AV13"/>
  <c r="BI10" i="49"/>
  <c r="BJ10"/>
  <c r="BK10"/>
  <c r="BL10"/>
  <c r="N10"/>
  <c r="O10"/>
  <c r="P10"/>
  <c r="Q10"/>
  <c r="R10"/>
  <c r="S10"/>
  <c r="T10"/>
  <c r="U10"/>
  <c r="V10"/>
  <c r="W10"/>
  <c r="Y10"/>
  <c r="AY27" i="1"/>
  <c r="AQ27"/>
  <c r="AR27"/>
  <c r="AV27"/>
  <c r="AX27"/>
  <c r="BL20" i="49"/>
  <c r="BK20"/>
  <c r="BJ20"/>
  <c r="BC20"/>
  <c r="BC14" i="1"/>
  <c r="BD14"/>
  <c r="BE14"/>
  <c r="BF14"/>
  <c r="BG14"/>
  <c r="BC11" i="49"/>
  <c r="AN11"/>
  <c r="N11"/>
  <c r="O11"/>
  <c r="P11"/>
  <c r="Q11"/>
  <c r="R11"/>
  <c r="S11"/>
  <c r="T11"/>
  <c r="U11"/>
  <c r="V11"/>
  <c r="W11"/>
  <c r="Y11"/>
  <c r="AL11"/>
  <c r="BB13" i="1"/>
  <c r="BC13"/>
  <c r="BD13"/>
  <c r="BE13"/>
  <c r="BF13"/>
  <c r="BG13"/>
  <c r="Y14" i="44"/>
  <c r="X11" i="49" s="1"/>
  <c r="AV10" i="1"/>
  <c r="AZ10"/>
  <c r="BA10"/>
  <c r="BB10"/>
  <c r="BC10"/>
  <c r="BD10"/>
  <c r="BE10"/>
  <c r="BG10"/>
  <c r="Y11" i="44"/>
  <c r="X8" i="49" s="1"/>
  <c r="AD8"/>
  <c r="AE8"/>
  <c r="AF8"/>
  <c r="AG8"/>
  <c r="AH8"/>
  <c r="AI8"/>
  <c r="AJ8"/>
  <c r="N8"/>
  <c r="O8"/>
  <c r="P8"/>
  <c r="Q8"/>
  <c r="R8"/>
  <c r="S8"/>
  <c r="T8"/>
  <c r="U8"/>
  <c r="V8"/>
  <c r="W8"/>
  <c r="Y8"/>
  <c r="AN8"/>
  <c r="BC8"/>
  <c r="BI8"/>
  <c r="BJ8"/>
  <c r="BK8"/>
  <c r="BL8"/>
  <c r="BC4"/>
  <c r="AT6" i="1"/>
  <c r="BA6"/>
  <c r="BC6"/>
  <c r="BG6"/>
  <c r="Y7" i="44"/>
  <c r="X4" i="49" s="1"/>
  <c r="AH4"/>
  <c r="M4"/>
  <c r="N4"/>
  <c r="O4"/>
  <c r="P4"/>
  <c r="Q4"/>
  <c r="R4"/>
  <c r="S4"/>
  <c r="T4"/>
  <c r="U4"/>
  <c r="V4"/>
  <c r="W4"/>
  <c r="Y4"/>
  <c r="AL4"/>
  <c r="BI4"/>
  <c r="BJ4"/>
  <c r="BK4"/>
  <c r="BL4"/>
  <c r="J16" i="35"/>
  <c r="AF9" i="49"/>
  <c r="N22"/>
  <c r="O22"/>
  <c r="P22"/>
  <c r="Q22"/>
  <c r="R22"/>
  <c r="S22"/>
  <c r="T22"/>
  <c r="U22"/>
  <c r="V22"/>
  <c r="W22"/>
  <c r="Y22"/>
  <c r="BA19" i="1"/>
  <c r="BD19"/>
  <c r="BE19"/>
  <c r="BF19"/>
  <c r="BG19"/>
  <c r="Y20" i="44"/>
  <c r="X17" i="49" s="1"/>
  <c r="AV19" i="1"/>
  <c r="AN13" i="49"/>
  <c r="Y14"/>
  <c r="W14"/>
  <c r="V14"/>
  <c r="U14"/>
  <c r="T14"/>
  <c r="S14"/>
  <c r="R14"/>
  <c r="Q14"/>
  <c r="P14"/>
  <c r="O14"/>
  <c r="N14"/>
  <c r="M10"/>
  <c r="Y9"/>
  <c r="W9"/>
  <c r="V9"/>
  <c r="U9"/>
  <c r="T9"/>
  <c r="S9"/>
  <c r="R9"/>
  <c r="Q9"/>
  <c r="P9"/>
  <c r="O9"/>
  <c r="N9"/>
  <c r="M9"/>
  <c r="Y7"/>
  <c r="W7"/>
  <c r="V7"/>
  <c r="U7"/>
  <c r="T7"/>
  <c r="S7"/>
  <c r="R7"/>
  <c r="Q7"/>
  <c r="P7"/>
  <c r="O7"/>
  <c r="N7"/>
  <c r="M7"/>
  <c r="Y6"/>
  <c r="W6"/>
  <c r="V6"/>
  <c r="U6"/>
  <c r="T6"/>
  <c r="S6"/>
  <c r="R6"/>
  <c r="Q6"/>
  <c r="P6"/>
  <c r="O6"/>
  <c r="N6"/>
  <c r="M6"/>
  <c r="AL5"/>
  <c r="Y5"/>
  <c r="W5"/>
  <c r="V5"/>
  <c r="U5"/>
  <c r="T5"/>
  <c r="S5"/>
  <c r="R5"/>
  <c r="Q5"/>
  <c r="N5"/>
  <c r="M5"/>
  <c r="BI11"/>
  <c r="BJ11"/>
  <c r="BK11"/>
  <c r="BL11"/>
  <c r="BI9"/>
  <c r="BJ9"/>
  <c r="BK9"/>
  <c r="BL9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AE30" i="49"/>
  <c r="L33" i="44"/>
  <c r="K30" i="49" s="1"/>
  <c r="M33" i="44"/>
  <c r="L30" i="49" s="1"/>
  <c r="BL29"/>
  <c r="BK29"/>
  <c r="BJ29"/>
  <c r="BI29"/>
  <c r="BH29"/>
  <c r="BC29"/>
  <c r="AN29"/>
  <c r="AL29"/>
  <c r="Y29"/>
  <c r="W29"/>
  <c r="V29"/>
  <c r="U29"/>
  <c r="T29"/>
  <c r="S29"/>
  <c r="R29"/>
  <c r="Q29"/>
  <c r="P29"/>
  <c r="O29"/>
  <c r="N29"/>
  <c r="M29"/>
  <c r="AK29"/>
  <c r="AJ29"/>
  <c r="AI29"/>
  <c r="AH29"/>
  <c r="AG29"/>
  <c r="AF29"/>
  <c r="AE29"/>
  <c r="Y32" i="44"/>
  <c r="X29" i="49" s="1"/>
  <c r="BG31" i="1"/>
  <c r="BF31"/>
  <c r="BD31"/>
  <c r="BA31"/>
  <c r="AZ31"/>
  <c r="AV31"/>
  <c r="BL28" i="49"/>
  <c r="BK28"/>
  <c r="BJ28"/>
  <c r="BI28"/>
  <c r="BC28"/>
  <c r="AN28"/>
  <c r="Y28"/>
  <c r="W28"/>
  <c r="V28"/>
  <c r="U28"/>
  <c r="T28"/>
  <c r="S28"/>
  <c r="R28"/>
  <c r="Q28"/>
  <c r="P28"/>
  <c r="O28"/>
  <c r="N28"/>
  <c r="M28"/>
  <c r="BF30" i="1"/>
  <c r="BD30"/>
  <c r="AP30"/>
  <c r="BL27" i="49"/>
  <c r="BK27"/>
  <c r="BJ27"/>
  <c r="BI27"/>
  <c r="BC27"/>
  <c r="AN27"/>
  <c r="Y27"/>
  <c r="W27"/>
  <c r="V27"/>
  <c r="U27"/>
  <c r="T27"/>
  <c r="S27"/>
  <c r="R27"/>
  <c r="Q27"/>
  <c r="P27"/>
  <c r="O27"/>
  <c r="N27"/>
  <c r="M27"/>
  <c r="BF29" i="1"/>
  <c r="BD29"/>
  <c r="BC29"/>
  <c r="BA29"/>
  <c r="AZ29"/>
  <c r="BL26" i="49"/>
  <c r="BK26"/>
  <c r="BJ26"/>
  <c r="BI26"/>
  <c r="BC26"/>
  <c r="AN26"/>
  <c r="Y26"/>
  <c r="W26"/>
  <c r="V26"/>
  <c r="U26"/>
  <c r="T26"/>
  <c r="S26"/>
  <c r="R26"/>
  <c r="Q26"/>
  <c r="P26"/>
  <c r="O26"/>
  <c r="N26"/>
  <c r="M26"/>
  <c r="BG28" i="1"/>
  <c r="BF28"/>
  <c r="BE28"/>
  <c r="BC28"/>
  <c r="BB28"/>
  <c r="BA28"/>
  <c r="BG27"/>
  <c r="BF27"/>
  <c r="BE27"/>
  <c r="BC27"/>
  <c r="BA27"/>
  <c r="BH27"/>
  <c r="AZ27"/>
  <c r="AP27"/>
  <c r="BL24" i="49"/>
  <c r="BK24"/>
  <c r="BJ24"/>
  <c r="BI24"/>
  <c r="BC24"/>
  <c r="AN24"/>
  <c r="Y24"/>
  <c r="W24"/>
  <c r="V24"/>
  <c r="U24"/>
  <c r="T24"/>
  <c r="S24"/>
  <c r="R24"/>
  <c r="Q24"/>
  <c r="P24"/>
  <c r="O24"/>
  <c r="N24"/>
  <c r="Y27" i="44"/>
  <c r="X24" i="49" s="1"/>
  <c r="BG26" i="1"/>
  <c r="BF26"/>
  <c r="BE26"/>
  <c r="BD26"/>
  <c r="BC26"/>
  <c r="BB26"/>
  <c r="BA26"/>
  <c r="AZ26"/>
  <c r="AV26"/>
  <c r="AN23" i="49"/>
  <c r="BL22"/>
  <c r="BK22"/>
  <c r="BJ22"/>
  <c r="BI22"/>
  <c r="BC22"/>
  <c r="AN22"/>
  <c r="M22"/>
  <c r="BL21"/>
  <c r="BK21"/>
  <c r="BJ21"/>
  <c r="BI21"/>
  <c r="BC21"/>
  <c r="AN21"/>
  <c r="Y21"/>
  <c r="W21"/>
  <c r="V21"/>
  <c r="U21"/>
  <c r="T21"/>
  <c r="S21"/>
  <c r="R21"/>
  <c r="P21"/>
  <c r="O21"/>
  <c r="N21"/>
  <c r="M21"/>
  <c r="BI20"/>
  <c r="AN20"/>
  <c r="Y20"/>
  <c r="W20"/>
  <c r="V20"/>
  <c r="U20"/>
  <c r="T20"/>
  <c r="S20"/>
  <c r="R20"/>
  <c r="P20"/>
  <c r="O20"/>
  <c r="N20"/>
  <c r="M20"/>
  <c r="BG22" i="1"/>
  <c r="BF22"/>
  <c r="BE22"/>
  <c r="BD22"/>
  <c r="BC22"/>
  <c r="BA22"/>
  <c r="AZ22"/>
  <c r="BL19" i="49"/>
  <c r="BK19"/>
  <c r="BJ19"/>
  <c r="BI19"/>
  <c r="BC19"/>
  <c r="AN19"/>
  <c r="Y19"/>
  <c r="W19"/>
  <c r="V19"/>
  <c r="U19"/>
  <c r="T19"/>
  <c r="S19"/>
  <c r="R19"/>
  <c r="Q19"/>
  <c r="P19"/>
  <c r="O19"/>
  <c r="N19"/>
  <c r="BL18"/>
  <c r="BK18"/>
  <c r="BJ18"/>
  <c r="BI18"/>
  <c r="BC18"/>
  <c r="AO18"/>
  <c r="AN18"/>
  <c r="Y18"/>
  <c r="W18"/>
  <c r="V18"/>
  <c r="U18"/>
  <c r="T18"/>
  <c r="S18"/>
  <c r="R18"/>
  <c r="Q18"/>
  <c r="P18"/>
  <c r="O18"/>
  <c r="N18"/>
  <c r="Y21" i="44"/>
  <c r="X18" i="49" s="1"/>
  <c r="BE20" i="1"/>
  <c r="BC20"/>
  <c r="BA20"/>
  <c r="L21" i="44"/>
  <c r="K18" i="49" s="1"/>
  <c r="M21" i="44"/>
  <c r="L18" i="49" s="1"/>
  <c r="BL17"/>
  <c r="BK17"/>
  <c r="BJ17"/>
  <c r="BI17"/>
  <c r="AN17"/>
  <c r="Y17"/>
  <c r="W17"/>
  <c r="V17"/>
  <c r="U17"/>
  <c r="T17"/>
  <c r="S17"/>
  <c r="R17"/>
  <c r="Q17"/>
  <c r="P17"/>
  <c r="O17"/>
  <c r="N17"/>
  <c r="M17"/>
  <c r="AK17"/>
  <c r="AJ17"/>
  <c r="AI17"/>
  <c r="AH17"/>
  <c r="AG17"/>
  <c r="AE17"/>
  <c r="AD17"/>
  <c r="BL16"/>
  <c r="BK16"/>
  <c r="BJ16"/>
  <c r="BI16"/>
  <c r="BC16"/>
  <c r="AN16"/>
  <c r="Y16"/>
  <c r="W16"/>
  <c r="V16"/>
  <c r="U16"/>
  <c r="T16"/>
  <c r="S16"/>
  <c r="R16"/>
  <c r="Q16"/>
  <c r="P16"/>
  <c r="O16"/>
  <c r="M16"/>
  <c r="AJ16"/>
  <c r="AI16"/>
  <c r="AH16"/>
  <c r="AG16"/>
  <c r="AF16"/>
  <c r="AE16"/>
  <c r="AD16"/>
  <c r="Y19" i="44"/>
  <c r="X16" i="49" s="1"/>
  <c r="BG18" i="1"/>
  <c r="BF18"/>
  <c r="BE18"/>
  <c r="BD18"/>
  <c r="BC18"/>
  <c r="BA18"/>
  <c r="BL15" i="49"/>
  <c r="BK15"/>
  <c r="BJ15"/>
  <c r="BC15"/>
  <c r="AN15"/>
  <c r="BG17" i="1"/>
  <c r="BE17"/>
  <c r="BD17"/>
  <c r="BC17"/>
  <c r="BA17"/>
  <c r="BL14" i="49"/>
  <c r="BK14"/>
  <c r="BJ14"/>
  <c r="BI14"/>
  <c r="BC14"/>
  <c r="AQ14"/>
  <c r="AN14"/>
  <c r="BG16" i="1"/>
  <c r="BF16"/>
  <c r="BE16"/>
  <c r="BD16"/>
  <c r="BC16"/>
  <c r="BA16"/>
  <c r="AZ16"/>
  <c r="AZ14"/>
  <c r="BH11" i="49"/>
  <c r="AZ13" i="1"/>
  <c r="BC10" i="49"/>
  <c r="AJ10"/>
  <c r="AI10"/>
  <c r="AH10"/>
  <c r="AG10"/>
  <c r="AF10"/>
  <c r="BG12" i="1"/>
  <c r="BF12"/>
  <c r="BE12"/>
  <c r="BD12"/>
  <c r="BB12"/>
  <c r="BA12"/>
  <c r="AZ12"/>
  <c r="AV12"/>
  <c r="BC9" i="49"/>
  <c r="AJ9"/>
  <c r="AI9"/>
  <c r="AH9"/>
  <c r="AG9"/>
  <c r="AE9"/>
  <c r="AD9"/>
  <c r="Y12" i="44"/>
  <c r="X9" i="49" s="1"/>
  <c r="BG11" i="1"/>
  <c r="BF11"/>
  <c r="BE11"/>
  <c r="BD11"/>
  <c r="BC11"/>
  <c r="BA11"/>
  <c r="AV11"/>
  <c r="BL7" i="49"/>
  <c r="BK7"/>
  <c r="BJ7"/>
  <c r="BI7"/>
  <c r="BC7"/>
  <c r="AN7"/>
  <c r="Y10" i="44"/>
  <c r="BG9" i="1"/>
  <c r="BF9"/>
  <c r="BE9"/>
  <c r="BD9"/>
  <c r="BC9"/>
  <c r="BB9"/>
  <c r="AZ9"/>
  <c r="BI6" i="49"/>
  <c r="BJ6"/>
  <c r="BK6"/>
  <c r="BL6"/>
  <c r="BC6"/>
  <c r="AN6"/>
  <c r="BA8" i="1"/>
  <c r="BB8"/>
  <c r="BC8"/>
  <c r="BD8"/>
  <c r="BE8"/>
  <c r="BF8"/>
  <c r="BG8"/>
  <c r="Y9" i="44"/>
  <c r="X6" i="49" s="1"/>
  <c r="AZ8" i="1"/>
  <c r="AV8"/>
  <c r="BI5" i="49"/>
  <c r="BJ5"/>
  <c r="BK5"/>
  <c r="BL5"/>
  <c r="BC5"/>
  <c r="BB7" i="1"/>
  <c r="BD7"/>
  <c r="BE7"/>
  <c r="BG7"/>
  <c r="Y8" i="44"/>
  <c r="X5" i="49" s="1"/>
  <c r="AV7" i="1"/>
  <c r="AT27"/>
  <c r="AF17" i="49"/>
  <c r="BC3"/>
  <c r="AO3"/>
  <c r="BC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M5" i="44"/>
  <c r="S25" i="1"/>
  <c r="S22"/>
  <c r="S7"/>
  <c r="S9"/>
  <c r="S12"/>
  <c r="S13"/>
  <c r="S14"/>
  <c r="S21"/>
  <c r="S15"/>
  <c r="S16"/>
  <c r="S18"/>
  <c r="S20"/>
  <c r="S24"/>
  <c r="S31"/>
  <c r="S27"/>
  <c r="S19"/>
  <c r="S10"/>
  <c r="S8"/>
  <c r="S17"/>
  <c r="S26"/>
  <c r="S28"/>
  <c r="S29"/>
  <c r="S30"/>
  <c r="S32"/>
  <c r="S23"/>
  <c r="S6"/>
  <c r="S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M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J29" i="48" l="1"/>
  <c r="X7" i="49"/>
  <c r="BK3"/>
  <c r="S3"/>
  <c r="BJ3"/>
  <c r="R3"/>
  <c r="BI3"/>
  <c r="Q3"/>
  <c r="P3"/>
  <c r="Y3"/>
  <c r="O3"/>
  <c r="W3"/>
  <c r="N3"/>
  <c r="V3"/>
  <c r="AD3"/>
  <c r="M3"/>
  <c r="U3"/>
  <c r="BL3"/>
  <c r="T3"/>
  <c r="BC21" i="1"/>
  <c r="AZ17"/>
  <c r="AV21"/>
  <c r="BI15" i="49"/>
  <c r="AT21" i="1"/>
  <c r="BA21"/>
  <c r="Y22" i="44"/>
  <c r="X19" i="49" s="1"/>
  <c r="BG21" i="1"/>
  <c r="BF21"/>
  <c r="J33" i="44"/>
  <c r="I30" i="49" s="1"/>
  <c r="C33" i="44"/>
  <c r="H32" i="1"/>
  <c r="J32" s="1"/>
  <c r="AD29"/>
  <c r="BE33"/>
  <c r="AN34"/>
  <c r="AX33"/>
  <c r="AJ34"/>
  <c r="AT33"/>
  <c r="BF33"/>
  <c r="BC31" i="49"/>
  <c r="BD33" i="1"/>
  <c r="AU33"/>
  <c r="BG33"/>
  <c r="BI31" i="49"/>
  <c r="AV33" i="1"/>
  <c r="AY35" i="44"/>
  <c r="AS33" i="1"/>
  <c r="I34" i="44"/>
  <c r="H31" i="49" s="1"/>
  <c r="I33" i="44"/>
  <c r="H30" i="49" s="1"/>
  <c r="AN9"/>
  <c r="AR33" i="1"/>
  <c r="H34" i="44"/>
  <c r="G31" i="49" s="1"/>
  <c r="AP33" i="1"/>
  <c r="F34" i="44"/>
  <c r="E31" i="49" s="1"/>
  <c r="L2"/>
  <c r="AQ33" i="1"/>
  <c r="G34" i="44"/>
  <c r="AW33" i="1"/>
  <c r="K34" i="44"/>
  <c r="J31" i="49" s="1"/>
  <c r="BA33" i="1"/>
  <c r="BB33"/>
  <c r="AL31" i="49"/>
  <c r="BC33" i="1"/>
  <c r="L34" i="44"/>
  <c r="K31" i="49" s="1"/>
  <c r="BH33" i="1"/>
  <c r="AZ33"/>
  <c r="M34" i="44"/>
  <c r="L31" i="49" s="1"/>
  <c r="AY33" i="1"/>
  <c r="AZ28"/>
  <c r="AN12" i="49"/>
  <c r="AN30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G33" i="44"/>
  <c r="F30" i="49" s="1"/>
  <c r="Q20"/>
  <c r="AA36" i="1"/>
  <c r="I8" i="44"/>
  <c r="H5" i="49" s="1"/>
  <c r="K10" i="44"/>
  <c r="G25"/>
  <c r="F22" i="49" s="1"/>
  <c r="F8" i="44"/>
  <c r="H8"/>
  <c r="G5" i="49" s="1"/>
  <c r="BC7" i="1"/>
  <c r="K9" i="44"/>
  <c r="J6" i="49" s="1"/>
  <c r="L12" i="44"/>
  <c r="K9" i="49" s="1"/>
  <c r="F18" i="44"/>
  <c r="K18"/>
  <c r="J15" i="49" s="1"/>
  <c r="F19" i="44"/>
  <c r="M2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/>
  <c r="L27" i="49" s="1"/>
  <c r="I19" i="44"/>
  <c r="H16" i="49" s="1"/>
  <c r="M9" i="44"/>
  <c r="L6" i="49" s="1"/>
  <c r="I10" i="44"/>
  <c r="L10"/>
  <c r="I12"/>
  <c r="H9" i="49" s="1"/>
  <c r="I23" i="44"/>
  <c r="H20" i="49" s="1"/>
  <c r="F24" i="44"/>
  <c r="K24"/>
  <c r="J21" i="49" s="1"/>
  <c r="G27" i="44"/>
  <c r="F24" i="49" s="1"/>
  <c r="I31" i="44"/>
  <c r="H28" i="49" s="1"/>
  <c r="F31" i="44"/>
  <c r="K32"/>
  <c r="J29" i="49" s="1"/>
  <c r="I32" i="44"/>
  <c r="H29" i="49" s="1"/>
  <c r="M7" i="44"/>
  <c r="L4" i="49" s="1"/>
  <c r="H15" i="44"/>
  <c r="G12" i="49" s="1"/>
  <c r="M14" i="44"/>
  <c r="L11" i="49" s="1"/>
  <c r="L6" i="44"/>
  <c r="F29"/>
  <c r="F30"/>
  <c r="L9"/>
  <c r="K6" i="49" s="1"/>
  <c r="F16" i="44"/>
  <c r="F20"/>
  <c r="G9"/>
  <c r="F6" i="49" s="1"/>
  <c r="H10" i="44"/>
  <c r="H12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/>
  <c r="F9" i="49" s="1"/>
  <c r="L18" i="44"/>
  <c r="K15" i="49" s="1"/>
  <c r="J19" i="44"/>
  <c r="I16" i="49" s="1"/>
  <c r="H22" i="44"/>
  <c r="G19" i="49" s="1"/>
  <c r="G23" i="44"/>
  <c r="F20" i="49" s="1"/>
  <c r="F27" i="44"/>
  <c r="K27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/>
  <c r="J24"/>
  <c r="I21" i="49" s="1"/>
  <c r="M11" i="44"/>
  <c r="L8" i="49" s="1"/>
  <c r="K15" i="44"/>
  <c r="J12" i="49" s="1"/>
  <c r="M8" i="44"/>
  <c r="L5" i="49" s="1"/>
  <c r="M32" i="44"/>
  <c r="L29" i="49" s="1"/>
  <c r="F9" i="44"/>
  <c r="I9"/>
  <c r="H6" i="49" s="1"/>
  <c r="M10" i="44"/>
  <c r="M12"/>
  <c r="L9" i="49" s="1"/>
  <c r="F15" i="44"/>
  <c r="I18"/>
  <c r="H15" i="49" s="1"/>
  <c r="M23" i="44"/>
  <c r="L20" i="49" s="1"/>
  <c r="L24" i="44"/>
  <c r="K21" i="49" s="1"/>
  <c r="L29" i="44"/>
  <c r="L30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/>
  <c r="G21" i="49" s="1"/>
  <c r="L27" i="44"/>
  <c r="K24" i="49" s="1"/>
  <c r="M18" i="44"/>
  <c r="L15" i="49" s="1"/>
  <c r="L8" i="44"/>
  <c r="K5" i="49" s="1"/>
  <c r="F10" i="44"/>
  <c r="F12"/>
  <c r="K12"/>
  <c r="J9" i="49" s="1"/>
  <c r="L16" i="44"/>
  <c r="K13" i="49" s="1"/>
  <c r="L17" i="44"/>
  <c r="K14" i="49" s="1"/>
  <c r="H18" i="44"/>
  <c r="G15" i="49" s="1"/>
  <c r="F23" i="44"/>
  <c r="K23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/>
  <c r="J5"/>
  <c r="H19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/>
  <c r="J13" i="49" s="1"/>
  <c r="K5" i="44"/>
  <c r="F14"/>
  <c r="F25"/>
  <c r="M26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/>
  <c r="G27" i="49" s="1"/>
  <c r="H5" i="44"/>
  <c r="F5"/>
  <c r="I17"/>
  <c r="H14" i="49" s="1"/>
  <c r="K8" i="44"/>
  <c r="J5" i="49" s="1"/>
  <c r="K7" i="44"/>
  <c r="J4" i="49" s="1"/>
  <c r="F7" i="44"/>
  <c r="H11"/>
  <c r="G8" i="49" s="1"/>
  <c r="G16" i="44"/>
  <c r="F13" i="49" s="1"/>
  <c r="K14" i="44"/>
  <c r="J11" i="49" s="1"/>
  <c r="G30" i="44"/>
  <c r="F27" i="49" s="1"/>
  <c r="I29" i="44"/>
  <c r="I5"/>
  <c r="L5"/>
  <c r="J10"/>
  <c r="J12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/>
  <c r="I31" i="49" s="1"/>
  <c r="G32" i="44"/>
  <c r="F29" i="49" s="1"/>
  <c r="G17" i="44"/>
  <c r="F14" i="49" s="1"/>
  <c r="J14" i="44"/>
  <c r="I11" i="49" s="1"/>
  <c r="F6" i="44"/>
  <c r="K30"/>
  <c r="J27" i="49" s="1"/>
  <c r="G29" i="44"/>
  <c r="AD5" i="49"/>
  <c r="AH5"/>
  <c r="AJ6"/>
  <c r="AF6"/>
  <c r="AD7"/>
  <c r="AH7"/>
  <c r="AG4"/>
  <c r="AI5"/>
  <c r="AE5"/>
  <c r="AK6"/>
  <c r="AG6"/>
  <c r="AG7"/>
  <c r="AK7"/>
  <c r="AD4"/>
  <c r="AJ5"/>
  <c r="AF5"/>
  <c r="AD6"/>
  <c r="AH6"/>
  <c r="AF7"/>
  <c r="AJ7"/>
  <c r="AI4"/>
  <c r="AE4"/>
  <c r="AK5"/>
  <c r="AG5"/>
  <c r="AI6"/>
  <c r="AE6"/>
  <c r="AE7"/>
  <c r="AI7"/>
  <c r="AJ4"/>
  <c r="AF4"/>
  <c r="D35" i="1"/>
  <c r="F35"/>
  <c r="F38" s="1"/>
  <c r="AH30" i="45"/>
  <c r="M24" i="49"/>
  <c r="G8" i="1"/>
  <c r="Y30" i="44"/>
  <c r="X27" i="49" s="1"/>
  <c r="Y31" i="44"/>
  <c r="X28" i="49" s="1"/>
  <c r="AV30" i="1"/>
  <c r="Y29" i="44"/>
  <c r="Y17"/>
  <c r="X14" i="49" s="1"/>
  <c r="Y18" i="44"/>
  <c r="X15" i="49" s="1"/>
  <c r="BB17" i="1"/>
  <c r="BB16"/>
  <c r="AV17"/>
  <c r="AV16"/>
  <c r="Y6" i="44"/>
  <c r="AV5" i="1"/>
  <c r="AE15" i="49"/>
  <c r="F21" i="44"/>
  <c r="AD18" i="49"/>
  <c r="T29" i="45"/>
  <c r="AF19" i="49"/>
  <c r="AV22" i="1"/>
  <c r="BA23"/>
  <c r="AD21" i="49"/>
  <c r="BF25" i="1"/>
  <c r="BK23" i="49"/>
  <c r="BA24" i="1"/>
  <c r="AE22" i="49"/>
  <c r="AE11"/>
  <c r="AD11"/>
  <c r="AV20" i="1"/>
  <c r="AD19" i="49"/>
  <c r="AI19"/>
  <c r="BD23" i="1"/>
  <c r="BA25"/>
  <c r="BE25"/>
  <c r="AD30" i="49"/>
  <c r="BF24" i="1"/>
  <c r="AD31" i="49"/>
  <c r="AH19"/>
  <c r="BG23" i="1"/>
  <c r="BD25"/>
  <c r="BI23" i="49"/>
  <c r="AE14"/>
  <c r="AE19"/>
  <c r="BG24" i="1"/>
  <c r="AV6"/>
  <c r="AE31" i="49"/>
  <c r="AD13"/>
  <c r="AD14"/>
  <c r="AE18"/>
  <c r="AG19"/>
  <c r="BF23" i="1"/>
  <c r="AE21" i="49"/>
  <c r="AD22"/>
  <c r="BG25" i="1"/>
  <c r="BL23" i="49"/>
  <c r="AE13"/>
  <c r="AZ19" i="1"/>
  <c r="BJ23" i="49"/>
  <c r="BC23"/>
  <c r="Y23"/>
  <c r="W23"/>
  <c r="V23"/>
  <c r="U23"/>
  <c r="T23"/>
  <c r="S23"/>
  <c r="R23"/>
  <c r="Q23"/>
  <c r="P23"/>
  <c r="O23"/>
  <c r="N23"/>
  <c r="M23"/>
  <c r="Y26" i="44"/>
  <c r="X23" i="49" s="1"/>
  <c r="BC25" i="1"/>
  <c r="BB25"/>
  <c r="AZ25"/>
  <c r="Y25" i="44"/>
  <c r="X22" i="49" s="1"/>
  <c r="BC24" i="1"/>
  <c r="BB24"/>
  <c r="AZ24"/>
  <c r="AV24"/>
  <c r="Y23" i="44"/>
  <c r="X20" i="49" s="1"/>
  <c r="Y24" i="44"/>
  <c r="X21" i="49" s="1"/>
  <c r="BB23" i="1"/>
  <c r="AZ23"/>
  <c r="AV23"/>
  <c r="AK19" i="49"/>
  <c r="Y16" i="44"/>
  <c r="X13" i="49" s="1"/>
  <c r="AK11"/>
  <c r="AJ11"/>
  <c r="AI11"/>
  <c r="AH11"/>
  <c r="AG11"/>
  <c r="AF11"/>
  <c r="BG4" i="1"/>
  <c r="AX4"/>
  <c r="BH4"/>
  <c r="BF4"/>
  <c r="AW4"/>
  <c r="Y5" i="44"/>
  <c r="AY4" i="1"/>
  <c r="AK31" i="49"/>
  <c r="AJ31"/>
  <c r="AI31"/>
  <c r="AH31"/>
  <c r="AG31"/>
  <c r="AF31"/>
  <c r="Y34" i="44"/>
  <c r="X31" i="49" s="1"/>
  <c r="Y33" i="44"/>
  <c r="X30" i="49" s="1"/>
  <c r="AD29"/>
  <c r="BC31" i="1"/>
  <c r="AV29"/>
  <c r="AD28" i="49"/>
  <c r="AH28"/>
  <c r="AG28"/>
  <c r="AK28"/>
  <c r="AF28"/>
  <c r="AJ28"/>
  <c r="AE28"/>
  <c r="AI28"/>
  <c r="AE27"/>
  <c r="AI27"/>
  <c r="AD27"/>
  <c r="AH27"/>
  <c r="AG27"/>
  <c r="AK27"/>
  <c r="AF27"/>
  <c r="AJ27"/>
  <c r="AE26"/>
  <c r="AI26"/>
  <c r="AD26"/>
  <c r="AH26"/>
  <c r="AG26"/>
  <c r="AK26"/>
  <c r="AF26"/>
  <c r="AJ26"/>
  <c r="AG24"/>
  <c r="AK24"/>
  <c r="AF24"/>
  <c r="AJ24"/>
  <c r="AE24"/>
  <c r="AI24"/>
  <c r="AD24"/>
  <c r="AH24"/>
  <c r="AK22"/>
  <c r="AJ22"/>
  <c r="AI22"/>
  <c r="AH22"/>
  <c r="AG22"/>
  <c r="AF22"/>
  <c r="AK21"/>
  <c r="AJ21"/>
  <c r="AI21"/>
  <c r="AH21"/>
  <c r="AG21"/>
  <c r="AF21"/>
  <c r="AE20"/>
  <c r="AK20"/>
  <c r="AJ20"/>
  <c r="AI20"/>
  <c r="AH20"/>
  <c r="AG20"/>
  <c r="AF20"/>
  <c r="AJ19"/>
  <c r="AK18"/>
  <c r="AJ18"/>
  <c r="AI18"/>
  <c r="AH18"/>
  <c r="AG18"/>
  <c r="AF18"/>
  <c r="I17" i="35"/>
  <c r="AJ15" i="49"/>
  <c r="AI15"/>
  <c r="AH15"/>
  <c r="AG15"/>
  <c r="AF15"/>
  <c r="AD15"/>
  <c r="I16" i="35"/>
  <c r="AJ14" i="49"/>
  <c r="AI14"/>
  <c r="AH14"/>
  <c r="AG14"/>
  <c r="AF14"/>
  <c r="AJ13"/>
  <c r="AH13"/>
  <c r="AG13"/>
  <c r="AF13"/>
  <c r="BG32" i="1"/>
  <c r="AF30" i="49"/>
  <c r="AJ30"/>
  <c r="BC30"/>
  <c r="BI30"/>
  <c r="U30"/>
  <c r="Q30"/>
  <c r="AV32" i="1"/>
  <c r="BF32"/>
  <c r="AI30" i="49"/>
  <c r="AQ30"/>
  <c r="BL30"/>
  <c r="V30"/>
  <c r="R30"/>
  <c r="N30"/>
  <c r="D5" i="45"/>
  <c r="BA32" i="1"/>
  <c r="AH30" i="49"/>
  <c r="M30"/>
  <c r="BK30"/>
  <c r="W30"/>
  <c r="S30"/>
  <c r="O30"/>
  <c r="BG36" i="1"/>
  <c r="AG30" i="49"/>
  <c r="AK30"/>
  <c r="BJ30"/>
  <c r="Y30"/>
  <c r="T30"/>
  <c r="P30"/>
  <c r="U13"/>
  <c r="Q13"/>
  <c r="BJ13"/>
  <c r="AT24" i="1"/>
  <c r="AZ15"/>
  <c r="BC15"/>
  <c r="BG15"/>
  <c r="V13" i="49"/>
  <c r="R13"/>
  <c r="N13"/>
  <c r="BK13"/>
  <c r="BD15" i="1"/>
  <c r="BC13" i="49"/>
  <c r="W13"/>
  <c r="S13"/>
  <c r="O13"/>
  <c r="BL13"/>
  <c r="AV15" i="1"/>
  <c r="BI13" i="49"/>
  <c r="Y13"/>
  <c r="T13"/>
  <c r="P13"/>
  <c r="BE15" i="1"/>
  <c r="N12" i="49"/>
  <c r="V12"/>
  <c r="BC12"/>
  <c r="BI12"/>
  <c r="Q12"/>
  <c r="U12"/>
  <c r="BL12"/>
  <c r="P12"/>
  <c r="T12"/>
  <c r="Y12"/>
  <c r="AV14" i="1"/>
  <c r="BJ12" i="49"/>
  <c r="R12"/>
  <c r="BK12"/>
  <c r="O12"/>
  <c r="S12"/>
  <c r="W12"/>
  <c r="T5" i="45"/>
  <c r="AQ19" i="49"/>
  <c r="G5" i="45"/>
  <c r="M5"/>
  <c r="AD5"/>
  <c r="AQ6" i="49"/>
  <c r="BE21" i="1"/>
  <c r="L5" i="45"/>
  <c r="U5"/>
  <c r="X5"/>
  <c r="AC5"/>
  <c r="AY10" i="44"/>
  <c r="K25" i="45"/>
  <c r="AQ15" i="49"/>
  <c r="AY24" i="44"/>
  <c r="AQ13" i="49"/>
  <c r="AE12"/>
  <c r="P5" i="45"/>
  <c r="AD12" i="49"/>
  <c r="K5" i="45"/>
  <c r="O5"/>
  <c r="R5"/>
  <c r="S5"/>
  <c r="V5"/>
  <c r="AB5"/>
  <c r="AE5"/>
  <c r="AQ10" i="49"/>
  <c r="AQ12"/>
  <c r="AV18" i="1"/>
  <c r="AQ16" i="49"/>
  <c r="AQ18"/>
  <c r="BE24" i="1"/>
  <c r="AQ8" i="49"/>
  <c r="H5" i="45"/>
  <c r="I5"/>
  <c r="N5"/>
  <c r="Q5"/>
  <c r="BE6" i="1"/>
  <c r="J5" i="45"/>
  <c r="BF6" i="1"/>
  <c r="BF7"/>
  <c r="AY8" i="44"/>
  <c r="G6" i="45"/>
  <c r="AQ5" i="49"/>
  <c r="F6" i="45"/>
  <c r="AY7" i="44"/>
  <c r="AQ4" i="49"/>
  <c r="AH5" i="45"/>
  <c r="AG5"/>
  <c r="AH25"/>
  <c r="BE32" i="49" s="1"/>
  <c r="AF5" i="45"/>
  <c r="AQ31" i="49"/>
  <c r="AQ29"/>
  <c r="BE31" i="1"/>
  <c r="BE30"/>
  <c r="BE29"/>
  <c r="BB30"/>
  <c r="AQ27" i="49"/>
  <c r="AY29" i="44"/>
  <c r="AQ26" i="49"/>
  <c r="Y5" i="45"/>
  <c r="Z5"/>
  <c r="AQ24" i="49"/>
  <c r="AQ23"/>
  <c r="AQ22"/>
  <c r="AQ21"/>
  <c r="AQ20"/>
  <c r="AQ2"/>
  <c r="D6" i="45"/>
  <c r="AQ3" i="49"/>
  <c r="E5" i="45"/>
  <c r="E6"/>
  <c r="E11" i="35"/>
  <c r="G11" s="1"/>
  <c r="E17"/>
  <c r="G17" s="1"/>
  <c r="E15"/>
  <c r="G15" s="1"/>
  <c r="E16"/>
  <c r="G16" s="1"/>
  <c r="E12"/>
  <c r="G12" s="1"/>
  <c r="E10"/>
  <c r="G10" s="1"/>
  <c r="E13"/>
  <c r="G13" s="1"/>
  <c r="BH31" i="49"/>
  <c r="AD9" i="1"/>
  <c r="I4" i="35"/>
  <c r="AS18" i="1"/>
  <c r="AP7"/>
  <c r="AR7"/>
  <c r="AP8"/>
  <c r="AW8"/>
  <c r="AS9"/>
  <c r="AX9"/>
  <c r="BH9"/>
  <c r="AR11"/>
  <c r="AY12"/>
  <c r="AT12"/>
  <c r="AX12"/>
  <c r="BH12"/>
  <c r="I12" i="35"/>
  <c r="AK10" i="49"/>
  <c r="AU17" i="1"/>
  <c r="AU18"/>
  <c r="AT20"/>
  <c r="AX20"/>
  <c r="BH20"/>
  <c r="AP22"/>
  <c r="AS22"/>
  <c r="AW22"/>
  <c r="AU23"/>
  <c r="AT25"/>
  <c r="AX25"/>
  <c r="BH25"/>
  <c r="AT26"/>
  <c r="AX26"/>
  <c r="BH26"/>
  <c r="AT30"/>
  <c r="AX30"/>
  <c r="BH30"/>
  <c r="AP31"/>
  <c r="AX32"/>
  <c r="AX16"/>
  <c r="AT16"/>
  <c r="AY16"/>
  <c r="AX19"/>
  <c r="AS19"/>
  <c r="BH19"/>
  <c r="AU24"/>
  <c r="AY24"/>
  <c r="AN8" i="44"/>
  <c r="BG5" i="49" s="1"/>
  <c r="I7" i="35"/>
  <c r="AK4" i="49"/>
  <c r="BD6" i="1"/>
  <c r="BH6"/>
  <c r="AX6"/>
  <c r="I10" i="35"/>
  <c r="AK8" i="49"/>
  <c r="BH10" i="1"/>
  <c r="AX10"/>
  <c r="AT10"/>
  <c r="BH13"/>
  <c r="AX14"/>
  <c r="AT14"/>
  <c r="AR15"/>
  <c r="AW13"/>
  <c r="AR5"/>
  <c r="AQ29"/>
  <c r="AU28"/>
  <c r="BI28" s="1"/>
  <c r="AQ28"/>
  <c r="AX7"/>
  <c r="BH7"/>
  <c r="AX8"/>
  <c r="AT8"/>
  <c r="AY8"/>
  <c r="AR9"/>
  <c r="AW9"/>
  <c r="AP12"/>
  <c r="AS12"/>
  <c r="AY17"/>
  <c r="AT17"/>
  <c r="AX17"/>
  <c r="AT18"/>
  <c r="AX18"/>
  <c r="I18" i="35"/>
  <c r="AK16" i="49"/>
  <c r="AP20" i="1"/>
  <c r="AW20"/>
  <c r="AY21"/>
  <c r="AU21"/>
  <c r="AR22"/>
  <c r="AY23"/>
  <c r="AT23"/>
  <c r="AX23"/>
  <c r="BH23"/>
  <c r="AP24"/>
  <c r="AP25"/>
  <c r="AS25"/>
  <c r="AW25"/>
  <c r="AP26"/>
  <c r="AW26"/>
  <c r="AS30"/>
  <c r="AZ30"/>
  <c r="AR31"/>
  <c r="AP32"/>
  <c r="AS32"/>
  <c r="AU16"/>
  <c r="AQ16"/>
  <c r="AU19"/>
  <c r="BI19" s="1"/>
  <c r="AY19"/>
  <c r="AQ24"/>
  <c r="AQ6"/>
  <c r="AU10"/>
  <c r="AQ10"/>
  <c r="AU14"/>
  <c r="AQ14"/>
  <c r="AW15"/>
  <c r="AS15"/>
  <c r="AX13"/>
  <c r="AT13"/>
  <c r="BH5"/>
  <c r="AR29"/>
  <c r="I5" i="35"/>
  <c r="AT7" i="1"/>
  <c r="AU8"/>
  <c r="BI8" s="1"/>
  <c r="AQ9"/>
  <c r="AY11"/>
  <c r="AT11"/>
  <c r="AX11"/>
  <c r="BH11"/>
  <c r="AP17"/>
  <c r="AS17"/>
  <c r="AW17"/>
  <c r="AR18"/>
  <c r="AW18"/>
  <c r="AX21"/>
  <c r="BH21"/>
  <c r="BD21"/>
  <c r="AU22"/>
  <c r="BH22"/>
  <c r="AS23"/>
  <c r="AW23"/>
  <c r="AR25"/>
  <c r="BH28"/>
  <c r="AR30"/>
  <c r="AU31"/>
  <c r="AR32"/>
  <c r="AQ19"/>
  <c r="AW24"/>
  <c r="AR24"/>
  <c r="AQ7"/>
  <c r="AR6"/>
  <c r="AN7" i="44"/>
  <c r="BG4" i="49" s="1"/>
  <c r="AR10" i="1"/>
  <c r="AR14"/>
  <c r="AX15"/>
  <c r="AT15"/>
  <c r="AY15"/>
  <c r="AU13"/>
  <c r="BI13" s="1"/>
  <c r="AQ13"/>
  <c r="AP5"/>
  <c r="AT5"/>
  <c r="AX5"/>
  <c r="AW29"/>
  <c r="AT19"/>
  <c r="AW28"/>
  <c r="AS28"/>
  <c r="BG32" i="49"/>
  <c r="AR8" i="1"/>
  <c r="BH8"/>
  <c r="AT9"/>
  <c r="AS11"/>
  <c r="AW11"/>
  <c r="I11" i="35"/>
  <c r="AK9" i="49"/>
  <c r="AP13" i="1"/>
  <c r="AP15"/>
  <c r="AR17"/>
  <c r="AQ20"/>
  <c r="AU20"/>
  <c r="AR21"/>
  <c r="AW21"/>
  <c r="AT22"/>
  <c r="AX22"/>
  <c r="AQ25"/>
  <c r="AU25"/>
  <c r="AQ26"/>
  <c r="AU26"/>
  <c r="BI26" s="1"/>
  <c r="AP29"/>
  <c r="AQ30"/>
  <c r="AY31"/>
  <c r="AT31"/>
  <c r="AX31"/>
  <c r="BH31"/>
  <c r="AQ32"/>
  <c r="AW16"/>
  <c r="AS16"/>
  <c r="AW19"/>
  <c r="AR19"/>
  <c r="AX24"/>
  <c r="BD24"/>
  <c r="BH24"/>
  <c r="AW7"/>
  <c r="AP6"/>
  <c r="AW10"/>
  <c r="AP10"/>
  <c r="AW14"/>
  <c r="AS14"/>
  <c r="BH14"/>
  <c r="AU15"/>
  <c r="AQ15"/>
  <c r="AX29"/>
  <c r="AT29"/>
  <c r="AY29"/>
  <c r="AX28"/>
  <c r="AT28"/>
  <c r="AW30"/>
  <c r="AW31"/>
  <c r="BH10" i="49"/>
  <c r="H18" i="35"/>
  <c r="AL17" i="49"/>
  <c r="M18"/>
  <c r="M19"/>
  <c r="AL19"/>
  <c r="AL23"/>
  <c r="AL24"/>
  <c r="M16" i="35"/>
  <c r="O16" s="1"/>
  <c r="M14" i="49"/>
  <c r="AL14"/>
  <c r="AL13"/>
  <c r="O15"/>
  <c r="AL30"/>
  <c r="O32"/>
  <c r="P32"/>
  <c r="BG20" i="1"/>
  <c r="BH18" i="49"/>
  <c r="AL21"/>
  <c r="BH22"/>
  <c r="BH26"/>
  <c r="AL27"/>
  <c r="BH28"/>
  <c r="AL9"/>
  <c r="M15" i="35"/>
  <c r="O15" s="1"/>
  <c r="M13" i="49"/>
  <c r="AL8"/>
  <c r="M10" i="35"/>
  <c r="O10" s="1"/>
  <c r="M8" i="49"/>
  <c r="P15"/>
  <c r="H11" i="35"/>
  <c r="BH14" i="49"/>
  <c r="BH17"/>
  <c r="BH19"/>
  <c r="AL20"/>
  <c r="BH20"/>
  <c r="BH23"/>
  <c r="BH24"/>
  <c r="AL26"/>
  <c r="BH30"/>
  <c r="AL7"/>
  <c r="M14" i="35"/>
  <c r="O14" s="1"/>
  <c r="M12" i="49"/>
  <c r="AL12"/>
  <c r="AL32"/>
  <c r="BH32"/>
  <c r="AN5" i="44"/>
  <c r="H12" i="35"/>
  <c r="BH12" i="49"/>
  <c r="AL18"/>
  <c r="BH21"/>
  <c r="BH27"/>
  <c r="AL28"/>
  <c r="BH9"/>
  <c r="O5"/>
  <c r="P5"/>
  <c r="AL6"/>
  <c r="M13" i="35"/>
  <c r="O13" s="1"/>
  <c r="M11" i="49"/>
  <c r="AL22"/>
  <c r="H7" i="35"/>
  <c r="H10"/>
  <c r="M15" i="49"/>
  <c r="BH15"/>
  <c r="BH16"/>
  <c r="AL16"/>
  <c r="AL15"/>
  <c r="Y15"/>
  <c r="W15"/>
  <c r="V15"/>
  <c r="U15"/>
  <c r="T15"/>
  <c r="S15"/>
  <c r="R15"/>
  <c r="Q15"/>
  <c r="M18" i="35"/>
  <c r="N16" i="49"/>
  <c r="M17" i="35"/>
  <c r="N15" i="49"/>
  <c r="L4" i="1"/>
  <c r="G2" i="47" s="1"/>
  <c r="H23" i="44"/>
  <c r="G20" i="49" s="1"/>
  <c r="G8" i="35"/>
  <c r="P36" i="1"/>
  <c r="U30"/>
  <c r="U21"/>
  <c r="U9"/>
  <c r="U8"/>
  <c r="AS4"/>
  <c r="BA36"/>
  <c r="BE36"/>
  <c r="U31"/>
  <c r="U28"/>
  <c r="U7"/>
  <c r="BB32"/>
  <c r="U6"/>
  <c r="AR23"/>
  <c r="E36"/>
  <c r="BC36"/>
  <c r="E18" i="35"/>
  <c r="G18" s="1"/>
  <c r="BB19" i="1"/>
  <c r="Z36"/>
  <c r="T36"/>
  <c r="AS27"/>
  <c r="BF17"/>
  <c r="AY26"/>
  <c r="BG30"/>
  <c r="AD13"/>
  <c r="BB27"/>
  <c r="U26"/>
  <c r="E9" i="35"/>
  <c r="G9" s="1"/>
  <c r="U25" i="1"/>
  <c r="U29"/>
  <c r="U18"/>
  <c r="U14"/>
  <c r="U32"/>
  <c r="BD36"/>
  <c r="D36"/>
  <c r="I36"/>
  <c r="AY28"/>
  <c r="BG29"/>
  <c r="AD16"/>
  <c r="BB15"/>
  <c r="U13"/>
  <c r="AN12"/>
  <c r="AU12"/>
  <c r="M11" i="35"/>
  <c r="O11" s="1"/>
  <c r="BB11" i="1"/>
  <c r="BF10"/>
  <c r="BA14"/>
  <c r="AY30"/>
  <c r="AQ5"/>
  <c r="AY13"/>
  <c r="L17" i="35"/>
  <c r="AP4" i="1"/>
  <c r="AD17"/>
  <c r="AY14"/>
  <c r="AR16"/>
  <c r="AD22"/>
  <c r="AQ18"/>
  <c r="AY20"/>
  <c r="BA13"/>
  <c r="AR13"/>
  <c r="AQ23"/>
  <c r="AR26"/>
  <c r="AP28"/>
  <c r="AU27"/>
  <c r="AQ31"/>
  <c r="AN27"/>
  <c r="BC4"/>
  <c r="U20"/>
  <c r="BA30"/>
  <c r="U12"/>
  <c r="AZ11"/>
  <c r="AW12"/>
  <c r="AP19"/>
  <c r="BH29"/>
  <c r="AD12"/>
  <c r="AS10"/>
  <c r="AU29"/>
  <c r="AU30"/>
  <c r="BF15"/>
  <c r="AP23"/>
  <c r="BE23"/>
  <c r="AS26"/>
  <c r="BC30"/>
  <c r="M12" i="35"/>
  <c r="O12" s="1"/>
  <c r="E5" i="47"/>
  <c r="AY10" i="1"/>
  <c r="AS29"/>
  <c r="AR4"/>
  <c r="BB18"/>
  <c r="AY22"/>
  <c r="U27"/>
  <c r="AD26"/>
  <c r="O8" i="35"/>
  <c r="U10" i="1"/>
  <c r="F36"/>
  <c r="U5"/>
  <c r="AD11"/>
  <c r="U24"/>
  <c r="U15"/>
  <c r="U22"/>
  <c r="AD19"/>
  <c r="M36"/>
  <c r="AC36"/>
  <c r="BA9"/>
  <c r="M9" i="35"/>
  <c r="O9" s="1"/>
  <c r="AP9" i="1"/>
  <c r="AD8"/>
  <c r="AS8"/>
  <c r="AR12"/>
  <c r="S36"/>
  <c r="U17"/>
  <c r="AP11"/>
  <c r="AQ17"/>
  <c r="E14" i="35"/>
  <c r="G14" s="1"/>
  <c r="BH15" i="1"/>
  <c r="AY25"/>
  <c r="BD28"/>
  <c r="BD27"/>
  <c r="Y27"/>
  <c r="BB29"/>
  <c r="AD30"/>
  <c r="BB14"/>
  <c r="AS24"/>
  <c r="AW27"/>
  <c r="AP18"/>
  <c r="L18" i="35"/>
  <c r="U19" i="1"/>
  <c r="AD27"/>
  <c r="AD28"/>
  <c r="AY9"/>
  <c r="BA15"/>
  <c r="K8" i="35"/>
  <c r="U16" i="1"/>
  <c r="H4" i="35"/>
  <c r="AQ11" i="1"/>
  <c r="AP21"/>
  <c r="BB21"/>
  <c r="AR28"/>
  <c r="AU11"/>
  <c r="BI11" s="1"/>
  <c r="AP14"/>
  <c r="AZ18"/>
  <c r="AV25"/>
  <c r="AQ8"/>
  <c r="BC12"/>
  <c r="AR20"/>
  <c r="AQ22"/>
  <c r="AS13"/>
  <c r="AD24"/>
  <c r="U23"/>
  <c r="AU9"/>
  <c r="BI9" s="1"/>
  <c r="AQ12"/>
  <c r="AP16"/>
  <c r="BH16"/>
  <c r="BH17"/>
  <c r="E12" i="47"/>
  <c r="E7" i="35"/>
  <c r="G7" s="1"/>
  <c r="M6"/>
  <c r="O6" s="1"/>
  <c r="BA7" i="1"/>
  <c r="AZ7"/>
  <c r="AU7"/>
  <c r="AS7"/>
  <c r="AY7"/>
  <c r="L7"/>
  <c r="G5" i="47" s="1"/>
  <c r="E6" i="35"/>
  <c r="G6" s="1"/>
  <c r="M7"/>
  <c r="O7" s="1"/>
  <c r="BB6" i="1"/>
  <c r="AZ6"/>
  <c r="AW6"/>
  <c r="AU6"/>
  <c r="AS6"/>
  <c r="AY6"/>
  <c r="L6"/>
  <c r="G4" i="47" s="1"/>
  <c r="E4"/>
  <c r="E5" i="35"/>
  <c r="G5" s="1"/>
  <c r="M5"/>
  <c r="O5" s="1"/>
  <c r="BB5" i="1"/>
  <c r="BA4"/>
  <c r="AW5"/>
  <c r="AU5"/>
  <c r="AS5"/>
  <c r="AY5"/>
  <c r="E3" i="47"/>
  <c r="AZ4" i="1"/>
  <c r="AT4"/>
  <c r="AQ4"/>
  <c r="E4" i="35"/>
  <c r="G4" s="1"/>
  <c r="M4"/>
  <c r="O4" s="1"/>
  <c r="BE4" i="1"/>
  <c r="BD4"/>
  <c r="BB4"/>
  <c r="AV4"/>
  <c r="AU4"/>
  <c r="E2" i="47"/>
  <c r="AD31" i="1"/>
  <c r="BE32"/>
  <c r="BD32"/>
  <c r="BC32"/>
  <c r="BB31"/>
  <c r="BH32"/>
  <c r="AZ32"/>
  <c r="AW32"/>
  <c r="AU32"/>
  <c r="AT32"/>
  <c r="AS31"/>
  <c r="AY32"/>
  <c r="F37" i="44" l="1"/>
  <c r="X26" i="49"/>
  <c r="Y36" i="44"/>
  <c r="Y37"/>
  <c r="K26" i="49"/>
  <c r="L37" i="44"/>
  <c r="L36"/>
  <c r="J26" i="49"/>
  <c r="I26"/>
  <c r="H26"/>
  <c r="G26"/>
  <c r="H37" i="44"/>
  <c r="H36"/>
  <c r="F26" i="49"/>
  <c r="L26"/>
  <c r="M37" i="44"/>
  <c r="M36"/>
  <c r="J30" i="48"/>
  <c r="K7" i="49"/>
  <c r="J7"/>
  <c r="I7"/>
  <c r="H7"/>
  <c r="G7"/>
  <c r="F7"/>
  <c r="L7"/>
  <c r="BB33" i="44"/>
  <c r="BB32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/>
  <c r="E17"/>
  <c r="BB20" i="44"/>
  <c r="E16" i="49"/>
  <c r="BB19" i="44"/>
  <c r="E15" i="49"/>
  <c r="BB18" i="44"/>
  <c r="E14" i="49"/>
  <c r="BB17" i="44"/>
  <c r="BH13" i="49"/>
  <c r="BA16" i="44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s="1"/>
  <c r="E4" i="49"/>
  <c r="BB6" i="44"/>
  <c r="BC6" s="1"/>
  <c r="AZ9"/>
  <c r="E3" i="49"/>
  <c r="AI3"/>
  <c r="AK3"/>
  <c r="AY6" i="44"/>
  <c r="AH3" i="49"/>
  <c r="J2"/>
  <c r="G3"/>
  <c r="J3"/>
  <c r="X3"/>
  <c r="AF3"/>
  <c r="H3"/>
  <c r="AJ3"/>
  <c r="AE3"/>
  <c r="I3"/>
  <c r="L3"/>
  <c r="K3"/>
  <c r="AL3"/>
  <c r="AG3"/>
  <c r="G2"/>
  <c r="BH8"/>
  <c r="AZ11" i="44"/>
  <c r="BH7" i="49"/>
  <c r="AZ10" i="44"/>
  <c r="E2" i="49"/>
  <c r="F3"/>
  <c r="AZ36" i="1"/>
  <c r="AZ21"/>
  <c r="H33"/>
  <c r="J33" s="1"/>
  <c r="C34" i="44"/>
  <c r="AZ5"/>
  <c r="BH6" i="49"/>
  <c r="BH3"/>
  <c r="AZ6" i="44"/>
  <c r="BH5" i="49"/>
  <c r="AZ8" i="44"/>
  <c r="BH4" i="49"/>
  <c r="AZ7" i="44"/>
  <c r="E14" i="47"/>
  <c r="AG27" i="45"/>
  <c r="BF31" i="49" s="1"/>
  <c r="AN33" i="1"/>
  <c r="Y33"/>
  <c r="AR31" i="49"/>
  <c r="BI33" i="1"/>
  <c r="AH31" i="45"/>
  <c r="AE33" i="1"/>
  <c r="AD33"/>
  <c r="AD34"/>
  <c r="Y34"/>
  <c r="AJ33"/>
  <c r="BI34"/>
  <c r="AE34"/>
  <c r="BO34"/>
  <c r="AN18"/>
  <c r="AN23"/>
  <c r="BO33"/>
  <c r="E24" i="45"/>
  <c r="BD3" i="49" s="1"/>
  <c r="F24" i="45"/>
  <c r="BD4" i="49" s="1"/>
  <c r="G24" i="45"/>
  <c r="BD5" i="49" s="1"/>
  <c r="S2"/>
  <c r="BJ2"/>
  <c r="T2"/>
  <c r="AE2"/>
  <c r="AF2"/>
  <c r="B9" i="44"/>
  <c r="K2" i="49"/>
  <c r="Y2"/>
  <c r="AJ2"/>
  <c r="H2"/>
  <c r="V2"/>
  <c r="U2"/>
  <c r="BL2"/>
  <c r="O2"/>
  <c r="P2"/>
  <c r="N2"/>
  <c r="AK2"/>
  <c r="AL2"/>
  <c r="X2"/>
  <c r="AG2"/>
  <c r="W2"/>
  <c r="Q2"/>
  <c r="I2"/>
  <c r="R2"/>
  <c r="BK2"/>
  <c r="M2"/>
  <c r="AQ17"/>
  <c r="AH2"/>
  <c r="AI2"/>
  <c r="F31"/>
  <c r="BG2"/>
  <c r="BI2"/>
  <c r="BH2"/>
  <c r="AD2"/>
  <c r="AK36" i="1"/>
  <c r="D24" i="45"/>
  <c r="BD2" i="49" s="1"/>
  <c r="BC2"/>
  <c r="BC17"/>
  <c r="D25" i="45"/>
  <c r="AR28" i="49"/>
  <c r="AN31" i="1"/>
  <c r="AR17" i="49"/>
  <c r="D27" i="45"/>
  <c r="AP3" i="49"/>
  <c r="AP18"/>
  <c r="BE9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N24" i="1"/>
  <c r="D29" i="45"/>
  <c r="AO2" i="49"/>
  <c r="AM13"/>
  <c r="AP17"/>
  <c r="N29" i="45"/>
  <c r="AO12" i="49"/>
  <c r="N27" i="45"/>
  <c r="BF12" i="49" s="1"/>
  <c r="AR12"/>
  <c r="M29" i="45"/>
  <c r="AO11" i="49"/>
  <c r="AN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N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AZ20" i="1"/>
  <c r="AN11"/>
  <c r="AD23"/>
  <c r="AN9"/>
  <c r="AN19"/>
  <c r="G39" i="44"/>
  <c r="AN22" i="1"/>
  <c r="AN16"/>
  <c r="H9" i="35"/>
  <c r="BI5" i="1"/>
  <c r="I9" i="35"/>
  <c r="AL36" i="1"/>
  <c r="J39" i="44"/>
  <c r="I39"/>
  <c r="I22"/>
  <c r="H19" i="49" s="1"/>
  <c r="G22" i="44"/>
  <c r="F19" i="49" s="1"/>
  <c r="AN30" i="1"/>
  <c r="H39" i="44"/>
  <c r="I21"/>
  <c r="H18" i="49" s="1"/>
  <c r="F39" i="44"/>
  <c r="K39"/>
  <c r="AN29" i="1"/>
  <c r="F22" i="44"/>
  <c r="J23"/>
  <c r="I20" i="49" s="1"/>
  <c r="AN20" i="1"/>
  <c r="AN10"/>
  <c r="AN13"/>
  <c r="J7" i="44"/>
  <c r="I4" i="49" s="1"/>
  <c r="K21" i="44"/>
  <c r="J18" i="49" s="1"/>
  <c r="J21" i="44"/>
  <c r="I18" i="49" s="1"/>
  <c r="S11" i="1"/>
  <c r="U11" s="1"/>
  <c r="AJ21"/>
  <c r="T30" i="45"/>
  <c r="T31" s="1"/>
  <c r="BI14" i="1"/>
  <c r="E6" i="47"/>
  <c r="I6" i="35"/>
  <c r="H6"/>
  <c r="AN7" i="1"/>
  <c r="AG35"/>
  <c r="H5" i="35"/>
  <c r="K5" s="1"/>
  <c r="AJ23" i="1"/>
  <c r="H17" i="35"/>
  <c r="K17" s="1"/>
  <c r="L30" i="45"/>
  <c r="L31" s="1"/>
  <c r="BA35" i="1"/>
  <c r="F37"/>
  <c r="AN25"/>
  <c r="AN8"/>
  <c r="AU35"/>
  <c r="BE35"/>
  <c r="BD35"/>
  <c r="AT35"/>
  <c r="AR35"/>
  <c r="AC35"/>
  <c r="AN14"/>
  <c r="AW35"/>
  <c r="AV35"/>
  <c r="AB35"/>
  <c r="AH35"/>
  <c r="BC35"/>
  <c r="AP35"/>
  <c r="W35"/>
  <c r="V35"/>
  <c r="X35"/>
  <c r="BJ35"/>
  <c r="AO35"/>
  <c r="AX35"/>
  <c r="AY35"/>
  <c r="BH35"/>
  <c r="N4"/>
  <c r="U30" i="45"/>
  <c r="U31" s="1"/>
  <c r="N7" i="1"/>
  <c r="N6"/>
  <c r="N30" i="45"/>
  <c r="I25"/>
  <c r="BE7" i="49" s="1"/>
  <c r="AR36" i="1"/>
  <c r="BI16"/>
  <c r="H30" i="45"/>
  <c r="H31" s="1"/>
  <c r="I13" i="35"/>
  <c r="AN15" i="1"/>
  <c r="AD14"/>
  <c r="BI22"/>
  <c r="AV36"/>
  <c r="AI36"/>
  <c r="Q30" i="45"/>
  <c r="Q31" s="1"/>
  <c r="R30"/>
  <c r="R31" s="1"/>
  <c r="BB36" i="1"/>
  <c r="AK14" i="49"/>
  <c r="AK13"/>
  <c r="Y14" i="1"/>
  <c r="AN5"/>
  <c r="BK4"/>
  <c r="AD21"/>
  <c r="E25" i="45"/>
  <c r="BE3" i="49" s="1"/>
  <c r="E30" i="45"/>
  <c r="E31" s="1"/>
  <c r="W25"/>
  <c r="BE21" i="49" s="1"/>
  <c r="W30" i="45"/>
  <c r="W31" s="1"/>
  <c r="AD20" i="1"/>
  <c r="Z30" i="45"/>
  <c r="Z31" s="1"/>
  <c r="O30"/>
  <c r="P25"/>
  <c r="BE14" i="49" s="1"/>
  <c r="P30" i="45"/>
  <c r="P31" s="1"/>
  <c r="AD23" i="49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O4" i="1"/>
  <c r="BM4"/>
  <c r="D30" i="45"/>
  <c r="G30"/>
  <c r="G31" s="1"/>
  <c r="AE23" i="49"/>
  <c r="F30" i="45"/>
  <c r="F31" s="1"/>
  <c r="AG30"/>
  <c r="AE30"/>
  <c r="AE31" s="1"/>
  <c r="AF30"/>
  <c r="AD30"/>
  <c r="AD31" s="1"/>
  <c r="AC30"/>
  <c r="AC31" s="1"/>
  <c r="AB30"/>
  <c r="AB31" s="1"/>
  <c r="AN26" i="1"/>
  <c r="Y30" i="45"/>
  <c r="AD25" i="1"/>
  <c r="X30" i="45"/>
  <c r="X31" s="1"/>
  <c r="AK23" i="49"/>
  <c r="AJ23"/>
  <c r="AI23"/>
  <c r="AH23"/>
  <c r="AG23"/>
  <c r="AF23"/>
  <c r="BI24" i="1"/>
  <c r="AT5" i="44"/>
  <c r="Y21" i="1"/>
  <c r="X36"/>
  <c r="M25" i="45"/>
  <c r="BE11" i="49" s="1"/>
  <c r="I14" i="35"/>
  <c r="AK12" i="49"/>
  <c r="H13" i="35"/>
  <c r="AH36" i="1"/>
  <c r="AN4"/>
  <c r="Y7"/>
  <c r="BI29"/>
  <c r="AY32" i="44"/>
  <c r="U25" i="45"/>
  <c r="BE19" i="49" s="1"/>
  <c r="Y22" i="1"/>
  <c r="BI21"/>
  <c r="AY22" i="44"/>
  <c r="Y20" i="1"/>
  <c r="AJ17"/>
  <c r="Y18"/>
  <c r="AK15" i="49"/>
  <c r="O25" i="45"/>
  <c r="BE13" i="49" s="1"/>
  <c r="H16" i="35"/>
  <c r="K16" s="1"/>
  <c r="AD15" i="1"/>
  <c r="I15" i="35"/>
  <c r="H15"/>
  <c r="AI13" i="49"/>
  <c r="AY12" i="44"/>
  <c r="AJ8" i="1"/>
  <c r="AY26" i="44"/>
  <c r="AY21"/>
  <c r="R25" i="45"/>
  <c r="BE16" i="49" s="1"/>
  <c r="AG36" i="1"/>
  <c r="AJ26"/>
  <c r="AF25" i="45"/>
  <c r="BE30" i="49" s="1"/>
  <c r="AY33" i="44"/>
  <c r="L5" i="1"/>
  <c r="BI6"/>
  <c r="Y6"/>
  <c r="BI18"/>
  <c r="Y25" i="45"/>
  <c r="BE23" i="49" s="1"/>
  <c r="W36" i="1"/>
  <c r="AJ20"/>
  <c r="Q25" i="45"/>
  <c r="BE15" i="49" s="1"/>
  <c r="Y5" i="1"/>
  <c r="K11" i="35"/>
  <c r="AN6" i="44"/>
  <c r="AY5"/>
  <c r="AJ18" i="1"/>
  <c r="Y17"/>
  <c r="AY18" i="44"/>
  <c r="AY17"/>
  <c r="AJ11" i="1"/>
  <c r="AH12" i="49"/>
  <c r="AJ12"/>
  <c r="AI12"/>
  <c r="AG12"/>
  <c r="AF12"/>
  <c r="Z25" i="45"/>
  <c r="BE24" i="49" s="1"/>
  <c r="AJ15" i="1"/>
  <c r="AY16" i="44"/>
  <c r="N25" i="45"/>
  <c r="BE12" i="49" s="1"/>
  <c r="AJ14" i="1"/>
  <c r="AJ13"/>
  <c r="AJ12"/>
  <c r="Y12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/>
  <c r="BM5" i="49" s="1"/>
  <c r="AY9" i="44"/>
  <c r="E13" i="47"/>
  <c r="H14" i="35"/>
  <c r="Y29" i="1"/>
  <c r="AJ29"/>
  <c r="AG25" i="45"/>
  <c r="BE31" i="49" s="1"/>
  <c r="AY25" i="44"/>
  <c r="AY23"/>
  <c r="AY19"/>
  <c r="Y9" i="1"/>
  <c r="Y15"/>
  <c r="Y10"/>
  <c r="AE25" i="45"/>
  <c r="BE29" i="49" s="1"/>
  <c r="AY20" i="44"/>
  <c r="AJ16" i="1"/>
  <c r="AJ24"/>
  <c r="AJ25"/>
  <c r="AJ10"/>
  <c r="Y8"/>
  <c r="AY13" i="44"/>
  <c r="AY27"/>
  <c r="AY15"/>
  <c r="AY14"/>
  <c r="AJ7" i="1"/>
  <c r="F25" i="45"/>
  <c r="BE4" i="49" s="1"/>
  <c r="G25" i="45"/>
  <c r="BE5" i="49" s="1"/>
  <c r="S4" i="1"/>
  <c r="Y4"/>
  <c r="AY34" i="44"/>
  <c r="AJ31" i="1"/>
  <c r="Y31"/>
  <c r="BO31"/>
  <c r="BP31" s="1"/>
  <c r="BI31"/>
  <c r="BI41" s="1"/>
  <c r="AJ30"/>
  <c r="AY31" i="44"/>
  <c r="AC25" i="45"/>
  <c r="BE27" i="49" s="1"/>
  <c r="AY30" i="44"/>
  <c r="AB25" i="45"/>
  <c r="BE26" i="49" s="1"/>
  <c r="Y28" i="1"/>
  <c r="Y26"/>
  <c r="AE25"/>
  <c r="Y25"/>
  <c r="AE24"/>
  <c r="AF24" s="1"/>
  <c r="Y24"/>
  <c r="Y23"/>
  <c r="AE18"/>
  <c r="AE21"/>
  <c r="BF20"/>
  <c r="Y19"/>
  <c r="AJ5"/>
  <c r="BO24"/>
  <c r="BP24" s="1"/>
  <c r="AU36"/>
  <c r="AE28"/>
  <c r="AF28" s="1"/>
  <c r="BO28"/>
  <c r="BP28" s="1"/>
  <c r="AW36"/>
  <c r="K18" i="35"/>
  <c r="BO21" i="1"/>
  <c r="BO23"/>
  <c r="AJ6"/>
  <c r="AE19"/>
  <c r="AF19" s="1"/>
  <c r="AE15"/>
  <c r="Y30"/>
  <c r="AT36"/>
  <c r="K12" i="35"/>
  <c r="AS36" i="1"/>
  <c r="O17" i="35"/>
  <c r="BO13" i="1"/>
  <c r="BP13" s="1"/>
  <c r="BO14"/>
  <c r="AT7" i="44"/>
  <c r="BM4" i="49" s="1"/>
  <c r="K7" i="35"/>
  <c r="AE16" i="1"/>
  <c r="AF16" s="1"/>
  <c r="BI32"/>
  <c r="BO26"/>
  <c r="BP26" s="1"/>
  <c r="AE14"/>
  <c r="AE31"/>
  <c r="AF31" s="1"/>
  <c r="BO16"/>
  <c r="BP16" s="1"/>
  <c r="BO22"/>
  <c r="BP22" s="1"/>
  <c r="AE26"/>
  <c r="AF26" s="1"/>
  <c r="AE22"/>
  <c r="AF22" s="1"/>
  <c r="BM32" i="49"/>
  <c r="AE13" i="1"/>
  <c r="AF13" s="1"/>
  <c r="K10" i="35"/>
  <c r="BO10" i="1"/>
  <c r="AE8"/>
  <c r="AF8" s="1"/>
  <c r="BO8"/>
  <c r="BP8" s="1"/>
  <c r="K4" i="35"/>
  <c r="BO18" i="1"/>
  <c r="BO17"/>
  <c r="BP17" s="1"/>
  <c r="BO19"/>
  <c r="BP19" s="1"/>
  <c r="BI4"/>
  <c r="AE7"/>
  <c r="BI7"/>
  <c r="AQ21"/>
  <c r="AQ35" s="1"/>
  <c r="BI25"/>
  <c r="BI10"/>
  <c r="AE27"/>
  <c r="AF27" s="1"/>
  <c r="BI27"/>
  <c r="AE12"/>
  <c r="AF12" s="1"/>
  <c r="BI12"/>
  <c r="AS21"/>
  <c r="BI23"/>
  <c r="BI17"/>
  <c r="AS20"/>
  <c r="BI15"/>
  <c r="AE30"/>
  <c r="AF30" s="1"/>
  <c r="BI30"/>
  <c r="O4"/>
  <c r="I2" i="47" s="1"/>
  <c r="O18" i="35"/>
  <c r="BB22" i="1"/>
  <c r="BM14"/>
  <c r="BM6"/>
  <c r="BM5"/>
  <c r="BL5"/>
  <c r="BK5"/>
  <c r="BL4"/>
  <c r="BK14"/>
  <c r="BL14"/>
  <c r="BK7"/>
  <c r="BL7"/>
  <c r="BK6"/>
  <c r="BL6"/>
  <c r="BM7"/>
  <c r="Y13"/>
  <c r="BO7"/>
  <c r="O6"/>
  <c r="I4" i="47" s="1"/>
  <c r="AJ4" i="1"/>
  <c r="BO27"/>
  <c r="BP27" s="1"/>
  <c r="Y16"/>
  <c r="BO30"/>
  <c r="BP30" s="1"/>
  <c r="Y11"/>
  <c r="AB36"/>
  <c r="AQ36"/>
  <c r="BF36"/>
  <c r="AJ28"/>
  <c r="U36"/>
  <c r="AE17"/>
  <c r="AF17" s="1"/>
  <c r="BO15"/>
  <c r="BO12"/>
  <c r="BP12" s="1"/>
  <c r="AD10"/>
  <c r="AE10"/>
  <c r="V36"/>
  <c r="AE29"/>
  <c r="AF29" s="1"/>
  <c r="BO29"/>
  <c r="BP29" s="1"/>
  <c r="AE23"/>
  <c r="AJ27"/>
  <c r="K7"/>
  <c r="AP36"/>
  <c r="AE11"/>
  <c r="AF11" s="1"/>
  <c r="BO11"/>
  <c r="BP11" s="1"/>
  <c r="K14"/>
  <c r="K16"/>
  <c r="O7"/>
  <c r="I5" i="47" s="1"/>
  <c r="O5" i="1"/>
  <c r="I3" i="47" s="1"/>
  <c r="AD18" i="1"/>
  <c r="AD36" s="1"/>
  <c r="AE9"/>
  <c r="AF9" s="1"/>
  <c r="BO9"/>
  <c r="BP9" s="1"/>
  <c r="BO25"/>
  <c r="AD7"/>
  <c r="AD6"/>
  <c r="BO6"/>
  <c r="AE6"/>
  <c r="K6"/>
  <c r="AD5"/>
  <c r="AE5"/>
  <c r="BO5"/>
  <c r="K5"/>
  <c r="AD4"/>
  <c r="AE4"/>
  <c r="K4"/>
  <c r="AN32"/>
  <c r="AD32"/>
  <c r="Y32"/>
  <c r="AJ32"/>
  <c r="AE32"/>
  <c r="BO32"/>
  <c r="AY37" i="44" l="1"/>
  <c r="I36"/>
  <c r="J37"/>
  <c r="J36"/>
  <c r="F36"/>
  <c r="K37"/>
  <c r="K36"/>
  <c r="AY36"/>
  <c r="AZ36"/>
  <c r="AZ37"/>
  <c r="I37"/>
  <c r="BB34"/>
  <c r="J31" i="48"/>
  <c r="BB23" i="44"/>
  <c r="E19" i="49"/>
  <c r="BB22" i="44"/>
  <c r="BB21"/>
  <c r="BC9"/>
  <c r="BB7"/>
  <c r="BC7" s="1"/>
  <c r="AA35" i="1"/>
  <c r="BG3" i="49"/>
  <c r="H6" i="45"/>
  <c r="H24" s="1"/>
  <c r="BD6" i="49" s="1"/>
  <c r="AZ35" i="1"/>
  <c r="BP4"/>
  <c r="H34"/>
  <c r="C35" i="44"/>
  <c r="C36" s="1"/>
  <c r="G9" i="1"/>
  <c r="BM16"/>
  <c r="BL16"/>
  <c r="BK16"/>
  <c r="D9" i="44"/>
  <c r="AN9"/>
  <c r="L8" i="1"/>
  <c r="B10" i="44"/>
  <c r="BP33" i="1"/>
  <c r="AF33"/>
  <c r="Z35"/>
  <c r="AF34"/>
  <c r="BP34"/>
  <c r="O31" i="45"/>
  <c r="AN36" i="1"/>
  <c r="K8"/>
  <c r="Y31" i="45"/>
  <c r="BL8" i="1"/>
  <c r="BK8"/>
  <c r="N31" i="45"/>
  <c r="BM8" i="1"/>
  <c r="BP23"/>
  <c r="AG31" i="45"/>
  <c r="BM2" i="49"/>
  <c r="AF31" i="45"/>
  <c r="D31"/>
  <c r="BF17" i="49"/>
  <c r="BF2"/>
  <c r="BE17"/>
  <c r="BE2"/>
  <c r="M31" i="45"/>
  <c r="G3" i="47"/>
  <c r="K9" i="35"/>
  <c r="K13"/>
  <c r="AF23" i="1"/>
  <c r="AK35"/>
  <c r="AT6" i="44"/>
  <c r="AN21" i="1"/>
  <c r="AN35" s="1"/>
  <c r="AI35"/>
  <c r="K6" i="35"/>
  <c r="AJ19" i="1"/>
  <c r="AJ35" s="1"/>
  <c r="AF14"/>
  <c r="BP14"/>
  <c r="U4"/>
  <c r="U35" s="1"/>
  <c r="S35"/>
  <c r="AL35"/>
  <c r="BB35"/>
  <c r="BQ4"/>
  <c r="AD35"/>
  <c r="BF35"/>
  <c r="AS35"/>
  <c r="Y35"/>
  <c r="R7"/>
  <c r="M5" i="47"/>
  <c r="R6" i="1"/>
  <c r="M4" i="47"/>
  <c r="R5" i="1"/>
  <c r="R4"/>
  <c r="M2" i="47"/>
  <c r="N5" i="1"/>
  <c r="BK15"/>
  <c r="AF21"/>
  <c r="BP21"/>
  <c r="Y36"/>
  <c r="AJ36"/>
  <c r="K14" i="35"/>
  <c r="BP5" i="1"/>
  <c r="BP32"/>
  <c r="BP25"/>
  <c r="AF25"/>
  <c r="BP18"/>
  <c r="BP15"/>
  <c r="AF15"/>
  <c r="BP10"/>
  <c r="BP6"/>
  <c r="BP7"/>
  <c r="K15"/>
  <c r="K15" i="35"/>
  <c r="Q4" i="1"/>
  <c r="AE20"/>
  <c r="AF20" s="1"/>
  <c r="BL15"/>
  <c r="BM15"/>
  <c r="BO20"/>
  <c r="BP20" s="1"/>
  <c r="BI20"/>
  <c r="BI35" s="1"/>
  <c r="BO36"/>
  <c r="AF7"/>
  <c r="Q6"/>
  <c r="BN6" s="1"/>
  <c r="AE36"/>
  <c r="AF18"/>
  <c r="AF36" s="1"/>
  <c r="AF10"/>
  <c r="Q5"/>
  <c r="Q7"/>
  <c r="BN7" s="1"/>
  <c r="AF6"/>
  <c r="AF5"/>
  <c r="AF4"/>
  <c r="AF32"/>
  <c r="C37" i="44" l="1"/>
  <c r="BC10"/>
  <c r="BB35"/>
  <c r="J32" i="48"/>
  <c r="BM3" i="49"/>
  <c r="I6" i="45"/>
  <c r="I24" s="1"/>
  <c r="BD7" i="49" s="1"/>
  <c r="E10" i="44"/>
  <c r="J6" i="45"/>
  <c r="J24" s="1"/>
  <c r="BD8" i="49" s="1"/>
  <c r="E9" i="44"/>
  <c r="O8" i="1"/>
  <c r="I6" i="47" s="1"/>
  <c r="J34" i="1"/>
  <c r="K34"/>
  <c r="E32" i="47"/>
  <c r="BM34" i="1"/>
  <c r="BK34"/>
  <c r="BL34"/>
  <c r="G10"/>
  <c r="B11" i="44"/>
  <c r="BC11" s="1"/>
  <c r="K10" i="1"/>
  <c r="G6" i="47"/>
  <c r="N8" i="1"/>
  <c r="BG6" i="49"/>
  <c r="AT9" i="44"/>
  <c r="BM6" i="49" s="1"/>
  <c r="E7" i="47"/>
  <c r="K9" i="1"/>
  <c r="BM9"/>
  <c r="BL9"/>
  <c r="BK9"/>
  <c r="D11" i="44"/>
  <c r="AN11"/>
  <c r="L10" i="1"/>
  <c r="D10" i="44"/>
  <c r="AN10"/>
  <c r="L9" i="1"/>
  <c r="BN5"/>
  <c r="AF35"/>
  <c r="AE35"/>
  <c r="BN4"/>
  <c r="M3" i="47"/>
  <c r="O9" i="1" l="1"/>
  <c r="M6" i="47"/>
  <c r="Q8" i="1"/>
  <c r="BN8" s="1"/>
  <c r="R8"/>
  <c r="E11" i="44"/>
  <c r="O10" i="1"/>
  <c r="I8" i="47" s="1"/>
  <c r="B12" i="44"/>
  <c r="G11" i="1"/>
  <c r="K17"/>
  <c r="BK10"/>
  <c r="BM10"/>
  <c r="BL10"/>
  <c r="E8" i="47"/>
  <c r="BG7" i="49"/>
  <c r="AT10" i="44"/>
  <c r="BG8" i="49"/>
  <c r="AT11" i="44"/>
  <c r="BM8" i="49" s="1"/>
  <c r="G7" i="47"/>
  <c r="N9" i="1"/>
  <c r="G8" i="47"/>
  <c r="N10" i="1"/>
  <c r="E9" i="47"/>
  <c r="K11" i="1"/>
  <c r="BK11"/>
  <c r="BM11"/>
  <c r="BL11"/>
  <c r="G12"/>
  <c r="BC12" i="44" l="1"/>
  <c r="Q9" i="1"/>
  <c r="BN9" s="1"/>
  <c r="I7" i="47"/>
  <c r="M7" s="1"/>
  <c r="R9" i="1"/>
  <c r="G13"/>
  <c r="M8" i="47"/>
  <c r="R10" i="1"/>
  <c r="Q10"/>
  <c r="BN10" s="1"/>
  <c r="K6" i="45"/>
  <c r="K24" s="1"/>
  <c r="BD9" i="49" s="1"/>
  <c r="L6" i="45"/>
  <c r="L24" s="1"/>
  <c r="BD10" i="49" s="1"/>
  <c r="B15" i="44"/>
  <c r="BC15" s="1"/>
  <c r="G14" i="1"/>
  <c r="J36"/>
  <c r="BK17"/>
  <c r="BL17"/>
  <c r="BM17"/>
  <c r="E15" i="47"/>
  <c r="AN13" i="44"/>
  <c r="L11" i="1"/>
  <c r="N11" s="1"/>
  <c r="AN12" i="44"/>
  <c r="D12"/>
  <c r="BM7" i="49"/>
  <c r="B13" i="44"/>
  <c r="BC13" s="1"/>
  <c r="AT12" l="1"/>
  <c r="B14"/>
  <c r="BC14" s="1"/>
  <c r="E12"/>
  <c r="O11" i="1"/>
  <c r="I9" i="47" s="1"/>
  <c r="E13" i="44"/>
  <c r="O12" i="1"/>
  <c r="I10" i="47" s="1"/>
  <c r="L12" i="1"/>
  <c r="N12" s="1"/>
  <c r="D13" i="44"/>
  <c r="G9" i="47"/>
  <c r="BG9" i="49"/>
  <c r="BG10"/>
  <c r="AT13" i="44"/>
  <c r="BM10" i="49" s="1"/>
  <c r="E11" i="47"/>
  <c r="BL13" i="1"/>
  <c r="K13"/>
  <c r="BM13"/>
  <c r="BK13"/>
  <c r="E16" i="47"/>
  <c r="BL18" i="1"/>
  <c r="BL36" s="1"/>
  <c r="BM18"/>
  <c r="K18"/>
  <c r="K36" s="1"/>
  <c r="BK18"/>
  <c r="BK36" s="1"/>
  <c r="H36"/>
  <c r="E10" i="47"/>
  <c r="BK12" i="1"/>
  <c r="K12"/>
  <c r="BL12"/>
  <c r="BM12"/>
  <c r="E17" i="47"/>
  <c r="BL19" i="1"/>
  <c r="BK19"/>
  <c r="K19"/>
  <c r="BM19"/>
  <c r="BM9" i="49" l="1"/>
  <c r="O13" i="1"/>
  <c r="I11" i="47" s="1"/>
  <c r="M6" i="45"/>
  <c r="M24" s="1"/>
  <c r="BD11" i="49" s="1"/>
  <c r="G16" i="1"/>
  <c r="M9" i="47"/>
  <c r="R11" i="1"/>
  <c r="Q11"/>
  <c r="R12"/>
  <c r="Q12"/>
  <c r="BN12" s="1"/>
  <c r="G15"/>
  <c r="B16" i="44"/>
  <c r="BC16" s="1"/>
  <c r="G10" i="47"/>
  <c r="D14" i="44"/>
  <c r="AN14"/>
  <c r="L13" i="1"/>
  <c r="N13" s="1"/>
  <c r="D15" i="44"/>
  <c r="E18" i="47"/>
  <c r="K20" i="1"/>
  <c r="BM20"/>
  <c r="BL20"/>
  <c r="BK20"/>
  <c r="BG11" i="49" l="1"/>
  <c r="N6" i="45"/>
  <c r="N24" s="1"/>
  <c r="BD12" i="49" s="1"/>
  <c r="E14" i="44"/>
  <c r="E15"/>
  <c r="B17"/>
  <c r="BC17" s="1"/>
  <c r="M10" i="47"/>
  <c r="Q13" i="1"/>
  <c r="BN13" s="1"/>
  <c r="R13"/>
  <c r="BN11"/>
  <c r="D16" i="44"/>
  <c r="B18"/>
  <c r="BC18" s="1"/>
  <c r="G17" i="1"/>
  <c r="AT14" i="44"/>
  <c r="G11" i="47"/>
  <c r="AN15" i="44"/>
  <c r="AT15" s="1"/>
  <c r="BM12" i="49" s="1"/>
  <c r="L14" i="1"/>
  <c r="G12" i="47" s="1"/>
  <c r="E19"/>
  <c r="BM21" i="1"/>
  <c r="K21"/>
  <c r="BL21"/>
  <c r="BK21"/>
  <c r="BM11" i="49" l="1"/>
  <c r="O14" i="1"/>
  <c r="M11" i="47"/>
  <c r="O6" i="45"/>
  <c r="O24" s="1"/>
  <c r="BD13" i="49" s="1"/>
  <c r="O15" i="1"/>
  <c r="I13" i="47" s="1"/>
  <c r="P6" i="45"/>
  <c r="P24" s="1"/>
  <c r="BD14" i="49" s="1"/>
  <c r="L15" i="1"/>
  <c r="AN16" i="44"/>
  <c r="G18" i="1"/>
  <c r="B19" i="44"/>
  <c r="BC19" s="1"/>
  <c r="D17"/>
  <c r="L16" i="1"/>
  <c r="AN17" i="44"/>
  <c r="N14" i="1"/>
  <c r="BG12" i="49"/>
  <c r="E20" i="47"/>
  <c r="K22" i="1"/>
  <c r="BL22"/>
  <c r="BK22"/>
  <c r="BM22"/>
  <c r="I12" i="47" l="1"/>
  <c r="M12" s="1"/>
  <c r="Q14" i="1"/>
  <c r="BN14" s="1"/>
  <c r="R14"/>
  <c r="E16" i="44"/>
  <c r="O16" i="1"/>
  <c r="I14" i="47" s="1"/>
  <c r="Q6" i="45"/>
  <c r="Q24" s="1"/>
  <c r="BD15" i="49" s="1"/>
  <c r="Q15" i="1"/>
  <c r="R15"/>
  <c r="N15"/>
  <c r="G13" i="47"/>
  <c r="BG13" i="49"/>
  <c r="AT16" i="44"/>
  <c r="G19" i="1"/>
  <c r="B20" i="44"/>
  <c r="BC20" s="1"/>
  <c r="G14" i="47"/>
  <c r="N16" i="1"/>
  <c r="BG14" i="49"/>
  <c r="AT17" i="44"/>
  <c r="AN18"/>
  <c r="L17" i="1"/>
  <c r="D18" i="44"/>
  <c r="BM13" i="49" l="1"/>
  <c r="BN15" i="1"/>
  <c r="E17" i="44"/>
  <c r="O17" i="1"/>
  <c r="I15" i="47" s="1"/>
  <c r="M13"/>
  <c r="M14"/>
  <c r="Q16" i="1"/>
  <c r="BN16" s="1"/>
  <c r="R16"/>
  <c r="BM14" i="49"/>
  <c r="BA17" i="44"/>
  <c r="AT18"/>
  <c r="BG15" i="49"/>
  <c r="N17" i="1"/>
  <c r="G15" i="47"/>
  <c r="E22"/>
  <c r="E21"/>
  <c r="BL23" i="1"/>
  <c r="K23"/>
  <c r="BK23"/>
  <c r="BM23"/>
  <c r="E18" i="44" l="1"/>
  <c r="G20" i="1"/>
  <c r="B21" i="44"/>
  <c r="BC21" s="1"/>
  <c r="M15" i="47"/>
  <c r="Q17" i="1"/>
  <c r="BN17" s="1"/>
  <c r="R17"/>
  <c r="R6" i="45"/>
  <c r="R24" s="1"/>
  <c r="BD16" i="49" s="1"/>
  <c r="D19" i="44"/>
  <c r="AN19"/>
  <c r="AT19" s="1"/>
  <c r="G21" i="1"/>
  <c r="B22" i="44"/>
  <c r="BC22" s="1"/>
  <c r="L18" i="1"/>
  <c r="G16" i="47" s="1"/>
  <c r="BM15" i="49"/>
  <c r="BA18" i="44"/>
  <c r="AN20"/>
  <c r="L19" i="1"/>
  <c r="D20" i="44"/>
  <c r="K24" i="1"/>
  <c r="BM24"/>
  <c r="BK24"/>
  <c r="BL24"/>
  <c r="E23" i="47"/>
  <c r="BM25" i="1"/>
  <c r="BK25"/>
  <c r="BL25"/>
  <c r="K25"/>
  <c r="BG16" i="49" l="1"/>
  <c r="S6" i="45"/>
  <c r="S24" s="1"/>
  <c r="BD17" i="49" s="1"/>
  <c r="O18" i="1"/>
  <c r="I16" i="47" s="1"/>
  <c r="E19" i="44"/>
  <c r="G22" i="1"/>
  <c r="B23" i="44"/>
  <c r="BC23" s="1"/>
  <c r="N18" i="1"/>
  <c r="L36"/>
  <c r="AT20" i="44"/>
  <c r="BG17" i="49"/>
  <c r="N19" i="1"/>
  <c r="G17" i="47"/>
  <c r="BA19" i="44"/>
  <c r="BM16" i="49"/>
  <c r="E24" i="47"/>
  <c r="K26" i="1"/>
  <c r="BM26"/>
  <c r="BL26"/>
  <c r="BK26"/>
  <c r="O20" l="1"/>
  <c r="I18" i="47" s="1"/>
  <c r="T6" i="45"/>
  <c r="T24" s="1"/>
  <c r="BD18" i="49" s="1"/>
  <c r="U6" i="45"/>
  <c r="U24" s="1"/>
  <c r="BD19" i="49" s="1"/>
  <c r="M16" i="47"/>
  <c r="R18" i="1"/>
  <c r="R36" s="1"/>
  <c r="O36"/>
  <c r="Q18"/>
  <c r="Q36" s="1"/>
  <c r="E20" i="44"/>
  <c r="O19" i="1"/>
  <c r="I17" i="47" s="1"/>
  <c r="N36" i="1"/>
  <c r="G23"/>
  <c r="B24" i="44"/>
  <c r="BC24" s="1"/>
  <c r="BA20"/>
  <c r="BM17" i="49"/>
  <c r="D21" i="44"/>
  <c r="AN21"/>
  <c r="L20" i="1"/>
  <c r="E25" i="47"/>
  <c r="E21" i="44" l="1"/>
  <c r="O21" i="1"/>
  <c r="I19" i="47" s="1"/>
  <c r="M17"/>
  <c r="R19" i="1"/>
  <c r="Q19"/>
  <c r="BN19" s="1"/>
  <c r="R20"/>
  <c r="Q20"/>
  <c r="BN18"/>
  <c r="BN36" s="1"/>
  <c r="G24"/>
  <c r="B25" i="44"/>
  <c r="BC25" s="1"/>
  <c r="D22"/>
  <c r="L21" i="1"/>
  <c r="AN22" i="44"/>
  <c r="BG18" i="49"/>
  <c r="AT21" i="44"/>
  <c r="N20" i="1"/>
  <c r="G18" i="47"/>
  <c r="BK27" i="1"/>
  <c r="BM27"/>
  <c r="K27"/>
  <c r="BL27"/>
  <c r="E26" i="47"/>
  <c r="BM28" i="1"/>
  <c r="BK28"/>
  <c r="BL28"/>
  <c r="K28"/>
  <c r="E22" i="44" l="1"/>
  <c r="Q21" i="1"/>
  <c r="R21"/>
  <c r="V6" i="45"/>
  <c r="V24" s="1"/>
  <c r="BD20" i="49" s="1"/>
  <c r="BN20" i="1"/>
  <c r="M18" i="47"/>
  <c r="G25" i="1"/>
  <c r="B26" i="44"/>
  <c r="BC26" s="1"/>
  <c r="L22" i="1"/>
  <c r="AN23" i="44"/>
  <c r="D23"/>
  <c r="BA21"/>
  <c r="BM18" i="49"/>
  <c r="N21" i="1"/>
  <c r="G19" i="47"/>
  <c r="BG19" i="49"/>
  <c r="AT22" i="44"/>
  <c r="E27" i="47"/>
  <c r="BK29" i="1"/>
  <c r="BL29"/>
  <c r="BM29"/>
  <c r="K29"/>
  <c r="O23" l="1"/>
  <c r="I21" i="47" s="1"/>
  <c r="BN21" i="1"/>
  <c r="M19" i="47"/>
  <c r="W6" i="45"/>
  <c r="W24" s="1"/>
  <c r="BD21" i="49" s="1"/>
  <c r="E23" i="44"/>
  <c r="O22" i="1"/>
  <c r="I20" i="47" s="1"/>
  <c r="G26" i="1"/>
  <c r="B27" i="44"/>
  <c r="BC27" s="1"/>
  <c r="N22" i="1"/>
  <c r="G20" i="47"/>
  <c r="AN24" i="44"/>
  <c r="D24"/>
  <c r="L23" i="1"/>
  <c r="AT23" i="44"/>
  <c r="BG20" i="49"/>
  <c r="BM19"/>
  <c r="BA22" i="44"/>
  <c r="E28" i="47"/>
  <c r="BL30" i="1"/>
  <c r="K30"/>
  <c r="BM30"/>
  <c r="BK30"/>
  <c r="E24" i="44" l="1"/>
  <c r="X6" i="45"/>
  <c r="X24" s="1"/>
  <c r="BD22" i="49" s="1"/>
  <c r="O24" i="1"/>
  <c r="I22" i="47" s="1"/>
  <c r="Q23" i="1"/>
  <c r="R23"/>
  <c r="M20" i="47"/>
  <c r="Q22" i="1"/>
  <c r="BN22" s="1"/>
  <c r="R22"/>
  <c r="B28" i="44"/>
  <c r="BC28" s="1"/>
  <c r="G27" i="1"/>
  <c r="AT24" i="44"/>
  <c r="BG21" i="49"/>
  <c r="BA23" i="44"/>
  <c r="BM20" i="49"/>
  <c r="N23" i="1"/>
  <c r="G21" i="47"/>
  <c r="L24" i="1"/>
  <c r="D25" i="44"/>
  <c r="AN25"/>
  <c r="BK31" i="1"/>
  <c r="E29" i="47"/>
  <c r="Y6" i="45" l="1"/>
  <c r="Y24" s="1"/>
  <c r="BD23" i="49" s="1"/>
  <c r="E25" i="44"/>
  <c r="BN23" i="1"/>
  <c r="Z6" i="45"/>
  <c r="Z24" s="1"/>
  <c r="BD24" i="49" s="1"/>
  <c r="Q24" i="1"/>
  <c r="R24"/>
  <c r="M21" i="47"/>
  <c r="E26" i="44"/>
  <c r="O25" i="1"/>
  <c r="I23" i="47" s="1"/>
  <c r="G28" i="1"/>
  <c r="B29" i="44"/>
  <c r="BC29" s="1"/>
  <c r="N24" i="1"/>
  <c r="G22" i="47"/>
  <c r="BA24" i="44"/>
  <c r="BM21" i="49"/>
  <c r="BG22"/>
  <c r="AT25" i="44"/>
  <c r="L25" i="1"/>
  <c r="D26" i="44"/>
  <c r="AN26"/>
  <c r="K31" i="1"/>
  <c r="BM31"/>
  <c r="BL31"/>
  <c r="E30" i="47"/>
  <c r="BL32" i="1"/>
  <c r="BK32"/>
  <c r="BM32"/>
  <c r="K32"/>
  <c r="BN24" l="1"/>
  <c r="AA6" i="45"/>
  <c r="E27" i="44"/>
  <c r="O26" i="1"/>
  <c r="I24" i="47" s="1"/>
  <c r="R25" i="1"/>
  <c r="Q25"/>
  <c r="M22" i="47"/>
  <c r="B30" i="44"/>
  <c r="BC30" s="1"/>
  <c r="G29" i="1"/>
  <c r="AN27" i="44"/>
  <c r="D27"/>
  <c r="L26" i="1"/>
  <c r="N25"/>
  <c r="G23" i="47"/>
  <c r="AT26" i="44"/>
  <c r="BG23" i="49"/>
  <c r="BA25" i="44"/>
  <c r="BM22" i="49"/>
  <c r="AA24" i="45" l="1"/>
  <c r="BD25" i="49" s="1"/>
  <c r="BN25" i="1"/>
  <c r="M23" i="47"/>
  <c r="E28" i="44"/>
  <c r="O27" i="1"/>
  <c r="I25" i="47" s="1"/>
  <c r="R26" i="1"/>
  <c r="Q26"/>
  <c r="B31" i="44"/>
  <c r="BC31" s="1"/>
  <c r="G30" i="1"/>
  <c r="BA26" i="44"/>
  <c r="BM23" i="49"/>
  <c r="BG24"/>
  <c r="AT27" i="44"/>
  <c r="N26" i="1"/>
  <c r="G24" i="47"/>
  <c r="L27" i="1"/>
  <c r="AN28" i="44"/>
  <c r="D28"/>
  <c r="O28" i="1" l="1"/>
  <c r="I26" i="47" s="1"/>
  <c r="AB6" i="45"/>
  <c r="AB24" s="1"/>
  <c r="BD26" i="49" s="1"/>
  <c r="BN26" i="1"/>
  <c r="M24" i="47"/>
  <c r="R27" i="1"/>
  <c r="Q27"/>
  <c r="B32" i="44"/>
  <c r="BC32" s="1"/>
  <c r="G31" i="1"/>
  <c r="AN29" i="44"/>
  <c r="L28" i="1"/>
  <c r="D29" i="44"/>
  <c r="N27" i="1"/>
  <c r="G25" i="47"/>
  <c r="BA27" i="44"/>
  <c r="BM24" i="49"/>
  <c r="BG25"/>
  <c r="AT28" i="44"/>
  <c r="AC6" i="45" l="1"/>
  <c r="AC24" s="1"/>
  <c r="BD27" i="49" s="1"/>
  <c r="M25" i="47"/>
  <c r="E29" i="44"/>
  <c r="Q28" i="1"/>
  <c r="R28"/>
  <c r="E30" i="44"/>
  <c r="O29" i="1"/>
  <c r="I27" i="47" s="1"/>
  <c r="G32" i="1"/>
  <c r="B33" i="44"/>
  <c r="BC33" s="1"/>
  <c r="AT29"/>
  <c r="BG26" i="49"/>
  <c r="G26" i="47"/>
  <c r="N28" i="1"/>
  <c r="BA28" i="44"/>
  <c r="BM25" i="49"/>
  <c r="BN27" i="1"/>
  <c r="AN30" i="44"/>
  <c r="L29" i="1"/>
  <c r="D30" i="44"/>
  <c r="E31" l="1"/>
  <c r="AD6" i="45"/>
  <c r="AD24" s="1"/>
  <c r="BD28" i="49" s="1"/>
  <c r="BN28" i="1"/>
  <c r="M26" i="47"/>
  <c r="R29" i="1"/>
  <c r="Q29"/>
  <c r="AN31" i="44"/>
  <c r="L30" i="1"/>
  <c r="D31" i="44"/>
  <c r="BG27" i="49"/>
  <c r="AT30" i="44"/>
  <c r="N29" i="1"/>
  <c r="G27" i="47"/>
  <c r="BA29" i="44"/>
  <c r="BM26" i="49"/>
  <c r="O30" i="1" l="1"/>
  <c r="M27" i="47"/>
  <c r="E32" i="44"/>
  <c r="AE6" i="45"/>
  <c r="AE24" s="1"/>
  <c r="BD29" i="49" s="1"/>
  <c r="AF6" i="45"/>
  <c r="AF24" s="1"/>
  <c r="BD30" i="49" s="1"/>
  <c r="G34" i="1"/>
  <c r="B35" i="44"/>
  <c r="BA30"/>
  <c r="BM27" i="49"/>
  <c r="AT31" i="44"/>
  <c r="BG28" i="49"/>
  <c r="BN29" i="1"/>
  <c r="N30"/>
  <c r="G28" i="47"/>
  <c r="D32" i="44"/>
  <c r="L31" i="1"/>
  <c r="AN32" i="44"/>
  <c r="BC35" l="1"/>
  <c r="R30" i="1"/>
  <c r="I28" i="47"/>
  <c r="M28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5" i="50"/>
  <c r="J85" s="1"/>
  <c r="Q30" i="1"/>
  <c r="BN30" s="1"/>
  <c r="O31"/>
  <c r="E33" i="44"/>
  <c r="O32" i="1"/>
  <c r="I30" i="47" s="1"/>
  <c r="AT32" i="44"/>
  <c r="BG29" i="49"/>
  <c r="L32" i="1"/>
  <c r="D33" i="44"/>
  <c r="AN33"/>
  <c r="BM28" i="49"/>
  <c r="BA31" i="44"/>
  <c r="N31" i="1"/>
  <c r="G29" i="47"/>
  <c r="R31" i="1" l="1"/>
  <c r="I29" i="47"/>
  <c r="M29" s="1"/>
  <c r="J85" i="22"/>
  <c r="J85" i="2"/>
  <c r="Q31" i="1"/>
  <c r="BN31" s="1"/>
  <c r="R32"/>
  <c r="Q32"/>
  <c r="AG6" i="45"/>
  <c r="AG24" s="1"/>
  <c r="BD31" i="49" s="1"/>
  <c r="BA32" i="44"/>
  <c r="BM29" i="49"/>
  <c r="D34" i="44"/>
  <c r="D36" s="1"/>
  <c r="L33" i="1"/>
  <c r="AN34" i="44"/>
  <c r="AN37" s="1"/>
  <c r="N32" i="1"/>
  <c r="G30" i="47"/>
  <c r="BG30" i="49"/>
  <c r="AT33" i="44"/>
  <c r="D37" l="1"/>
  <c r="AN36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0" i="50"/>
  <c r="J9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2" i="50"/>
  <c r="J92" s="1"/>
  <c r="J92" i="2"/>
  <c r="H83" i="50"/>
  <c r="J83" s="1"/>
  <c r="BN32" i="1"/>
  <c r="M30" i="47"/>
  <c r="O33" i="1"/>
  <c r="I31" i="47" s="1"/>
  <c r="E34" i="44"/>
  <c r="N33" i="1"/>
  <c r="N35" s="1"/>
  <c r="G31" i="47"/>
  <c r="L35" i="1"/>
  <c r="BA33" i="44"/>
  <c r="BM30" i="49"/>
  <c r="AT34" i="44"/>
  <c r="AT36" s="1"/>
  <c r="BG31" i="49"/>
  <c r="BG35" i="1"/>
  <c r="BO35" s="1"/>
  <c r="BP35" s="1"/>
  <c r="AT37" i="44" l="1"/>
  <c r="AC29" i="49"/>
  <c r="J96" i="29"/>
  <c r="J96" i="30"/>
  <c r="J88" i="29"/>
  <c r="J102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/>
  <c r="J78" i="40"/>
  <c r="J84" i="25"/>
  <c r="J84" i="40"/>
  <c r="J96" i="23"/>
  <c r="J96" i="24"/>
  <c r="J94" i="23"/>
  <c r="J94" i="24"/>
  <c r="J102" i="23"/>
  <c r="J102" i="24"/>
  <c r="J75" i="23"/>
  <c r="J75" i="24"/>
  <c r="H87" i="50"/>
  <c r="J87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89" i="50"/>
  <c r="J89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/>
  <c r="J96"/>
  <c r="J94"/>
  <c r="J88"/>
  <c r="J84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/>
  <c r="J84" i="19"/>
  <c r="J84" i="20"/>
  <c r="J102" i="19"/>
  <c r="J102" i="20"/>
  <c r="J82" i="19"/>
  <c r="J82" i="20"/>
  <c r="J74" i="18"/>
  <c r="J74" i="19"/>
  <c r="J76" i="18"/>
  <c r="J76" i="19"/>
  <c r="J88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/>
  <c r="J94" i="9"/>
  <c r="J94" i="10"/>
  <c r="J84" i="9"/>
  <c r="J84" i="10"/>
  <c r="J82" i="9"/>
  <c r="J82" i="10"/>
  <c r="J102" i="9"/>
  <c r="J102" i="10"/>
  <c r="J77" i="8"/>
  <c r="J77" i="9"/>
  <c r="J88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/>
  <c r="J76" i="2"/>
  <c r="J76" i="3"/>
  <c r="H102" i="50"/>
  <c r="J102" s="1"/>
  <c r="H94"/>
  <c r="J94" s="1"/>
  <c r="J74" i="2"/>
  <c r="H88" i="50"/>
  <c r="J88" s="1"/>
  <c r="H84"/>
  <c r="J84" s="1"/>
  <c r="J83" i="2"/>
  <c r="H96" i="50"/>
  <c r="J96" s="1"/>
  <c r="H82"/>
  <c r="J82" s="1"/>
  <c r="H77"/>
  <c r="J77" s="1"/>
  <c r="H78"/>
  <c r="J78" s="1"/>
  <c r="H74"/>
  <c r="J74" s="1"/>
  <c r="H76"/>
  <c r="J76" s="1"/>
  <c r="H62"/>
  <c r="J62" s="1"/>
  <c r="H75"/>
  <c r="J75" s="1"/>
  <c r="AH6" i="45"/>
  <c r="AH24" s="1"/>
  <c r="BD32" i="49" s="1"/>
  <c r="R33" i="1"/>
  <c r="Q33"/>
  <c r="BA34" i="44"/>
  <c r="BA36" s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/>
  <c r="J96"/>
  <c r="J102"/>
  <c r="J74"/>
  <c r="J76"/>
  <c r="J75"/>
  <c r="J84"/>
  <c r="J94"/>
  <c r="J82"/>
  <c r="J78"/>
  <c r="J77"/>
  <c r="J104"/>
  <c r="J91" i="21"/>
  <c r="J98"/>
  <c r="J100"/>
  <c r="J104" i="20"/>
  <c r="J104" i="21"/>
  <c r="J91" i="19"/>
  <c r="J98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/>
  <c r="J100" i="33"/>
  <c r="J62" i="5"/>
  <c r="J104" i="4"/>
  <c r="J104" i="5"/>
  <c r="J91" i="3"/>
  <c r="J100"/>
  <c r="J100" i="4"/>
  <c r="J98" i="3"/>
  <c r="J98" i="4"/>
  <c r="J104" i="2"/>
  <c r="J104" i="3"/>
  <c r="J82" i="2"/>
  <c r="J84"/>
  <c r="J88"/>
  <c r="J102"/>
  <c r="J96"/>
  <c r="H91" i="50"/>
  <c r="J91" s="1"/>
  <c r="H98"/>
  <c r="J98" s="1"/>
  <c r="H100"/>
  <c r="J100" s="1"/>
  <c r="J94" i="2"/>
  <c r="H104" i="50"/>
  <c r="J104" s="1"/>
  <c r="H86"/>
  <c r="J86" s="1"/>
  <c r="O34" i="1"/>
  <c r="I32" i="47" s="1"/>
  <c r="E35" i="44"/>
  <c r="E37" l="1"/>
  <c r="E36"/>
  <c r="J86" i="30"/>
  <c r="J91"/>
  <c r="J98" i="22"/>
  <c r="J100"/>
  <c r="J91"/>
  <c r="J91" i="20"/>
  <c r="J91" i="33"/>
  <c r="J91" i="4"/>
  <c r="J98" i="2"/>
  <c r="J91"/>
  <c r="J100"/>
  <c r="Q34" i="1"/>
  <c r="R34"/>
  <c r="R35" s="1"/>
  <c r="O35"/>
  <c r="Q35" l="1"/>
  <c r="BN34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3" i="50"/>
  <c r="J63" s="1"/>
  <c r="J71" i="2"/>
  <c r="H71" i="50"/>
  <c r="J71" s="1"/>
  <c r="H65"/>
  <c r="J65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/>
  <c r="J67" i="21"/>
  <c r="J69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/>
  <c r="H67" i="50"/>
  <c r="J67" s="1"/>
  <c r="H69"/>
  <c r="J69" s="1"/>
  <c r="G33" i="1"/>
  <c r="J67" i="22" l="1"/>
  <c r="J69"/>
  <c r="J69" i="2"/>
  <c r="J67"/>
  <c r="G35" i="1"/>
  <c r="K33"/>
  <c r="BK33"/>
  <c r="BM33"/>
  <c r="BL33"/>
  <c r="B34" i="44"/>
  <c r="B37" s="1"/>
  <c r="E31" i="47"/>
  <c r="B36" i="44" l="1"/>
  <c r="BC34"/>
  <c r="J97" i="29"/>
  <c r="J97" i="30"/>
  <c r="J99" i="29"/>
  <c r="J99" i="30"/>
  <c r="J95" i="29"/>
  <c r="J95" i="30"/>
  <c r="J103" i="29"/>
  <c r="J103" i="30"/>
  <c r="J105" i="29"/>
  <c r="J101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1" i="50"/>
  <c r="J101" s="1"/>
  <c r="H95"/>
  <c r="J95" s="1"/>
  <c r="H105"/>
  <c r="J105" s="1"/>
  <c r="H97"/>
  <c r="J97" s="1"/>
  <c r="H103"/>
  <c r="J103" s="1"/>
  <c r="H99"/>
  <c r="J99" s="1"/>
  <c r="J35" i="1"/>
  <c r="BN33"/>
  <c r="BN35" s="1"/>
  <c r="M31" i="47"/>
  <c r="H35" i="1"/>
  <c r="H37" s="1"/>
  <c r="K35"/>
  <c r="BM35"/>
  <c r="BL35"/>
  <c r="BK35"/>
  <c r="J105" i="30" l="1"/>
  <c r="J95" i="22"/>
  <c r="J101"/>
  <c r="J97"/>
  <c r="J99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/>
  <c r="J68"/>
  <c r="J66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4" i="50"/>
  <c r="J64" s="1"/>
  <c r="J70" i="2"/>
  <c r="H70" i="50"/>
  <c r="J70" s="1"/>
  <c r="H68"/>
  <c r="J68" s="1"/>
  <c r="H66"/>
  <c r="J66" s="1"/>
  <c r="J68" i="22" l="1"/>
  <c r="J64"/>
  <c r="J66"/>
  <c r="J70"/>
  <c r="J66" i="2"/>
  <c r="J64"/>
  <c r="J68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5" i="50"/>
  <c r="I7" i="27"/>
  <c r="I18" i="30"/>
  <c r="I15" i="28"/>
  <c r="I7" i="13"/>
  <c r="I15" i="33"/>
  <c r="I15" i="11"/>
  <c r="I18"/>
  <c r="I7" i="9"/>
  <c r="I7" i="20"/>
  <c r="I18" i="19"/>
  <c r="I18" i="16"/>
  <c r="I7" i="8"/>
  <c r="I18" i="7"/>
  <c r="I15" i="19"/>
  <c r="I18" i="12"/>
  <c r="I7" i="24"/>
  <c r="I18" i="14"/>
  <c r="I18" i="21"/>
  <c r="I15"/>
  <c r="I18" i="13"/>
  <c r="I7" i="14"/>
  <c r="I18" i="25"/>
  <c r="I7" i="18"/>
  <c r="I7" i="12"/>
  <c r="I15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8" i="50"/>
  <c r="I15" i="7"/>
  <c r="I7" i="4"/>
  <c r="I7" i="50"/>
  <c r="I15" i="14"/>
  <c r="I7" i="7"/>
  <c r="I15" i="22"/>
  <c r="I18"/>
  <c r="I15" i="16"/>
  <c r="I7" i="5"/>
  <c r="I7" i="33"/>
  <c r="J27" i="2"/>
  <c r="J30"/>
  <c r="J31"/>
  <c r="J28"/>
  <c r="J29"/>
  <c r="J32"/>
  <c r="J38"/>
  <c r="J37"/>
  <c r="J42"/>
  <c r="J43"/>
  <c r="J45"/>
  <c r="J44"/>
  <c r="J39"/>
  <c r="J41"/>
  <c r="J40"/>
  <c r="J36"/>
  <c r="J47"/>
  <c r="J35"/>
  <c r="J46"/>
  <c r="J50"/>
  <c r="J58"/>
  <c r="J57"/>
  <c r="J56"/>
  <c r="J60"/>
  <c r="J59"/>
  <c r="J53"/>
  <c r="J51"/>
  <c r="J54"/>
  <c r="J52"/>
  <c r="G5" i="44"/>
  <c r="J55" i="2"/>
  <c r="J49"/>
  <c r="G36" i="44" l="1"/>
  <c r="G37"/>
  <c r="BB5"/>
  <c r="F2" i="49"/>
  <c r="J29" i="3"/>
  <c r="J27"/>
  <c r="J28"/>
  <c r="J30"/>
  <c r="J32"/>
  <c r="J31"/>
  <c r="J46"/>
  <c r="J37"/>
  <c r="J45"/>
  <c r="J41"/>
  <c r="J38"/>
  <c r="J47"/>
  <c r="J39"/>
  <c r="J40"/>
  <c r="J36"/>
  <c r="J42"/>
  <c r="J35"/>
  <c r="J44"/>
  <c r="J43"/>
  <c r="J56"/>
  <c r="J49"/>
  <c r="J58"/>
  <c r="J51"/>
  <c r="J52"/>
  <c r="J57"/>
  <c r="J60"/>
  <c r="J59"/>
  <c r="J50"/>
  <c r="J53"/>
  <c r="J55"/>
  <c r="J54"/>
  <c r="G12" i="4"/>
  <c r="H12" s="1"/>
  <c r="G11"/>
  <c r="H11" s="1"/>
  <c r="BB37" i="44" l="1"/>
  <c r="BB36"/>
  <c r="BC5"/>
  <c r="G13" i="4"/>
  <c r="H13" s="1"/>
  <c r="BC37" i="44" l="1"/>
  <c r="BC36"/>
  <c r="I60" i="4"/>
  <c r="I13"/>
  <c r="J7"/>
  <c r="I9" s="1"/>
  <c r="J12"/>
  <c r="J10"/>
  <c r="J8"/>
  <c r="J11"/>
  <c r="J9"/>
  <c r="J13"/>
  <c r="J15"/>
  <c r="I16" s="1"/>
  <c r="J19"/>
  <c r="J18"/>
  <c r="J20"/>
  <c r="I20" s="1"/>
  <c r="J22"/>
  <c r="J24"/>
  <c r="J23"/>
  <c r="J28"/>
  <c r="J27"/>
  <c r="J32"/>
  <c r="J29"/>
  <c r="J30"/>
  <c r="J31"/>
  <c r="J43"/>
  <c r="J45"/>
  <c r="J47"/>
  <c r="J41"/>
  <c r="J39"/>
  <c r="J37"/>
  <c r="J35"/>
  <c r="J42"/>
  <c r="J44"/>
  <c r="J38"/>
  <c r="J36"/>
  <c r="J46"/>
  <c r="J40"/>
  <c r="J58"/>
  <c r="J56"/>
  <c r="J52"/>
  <c r="J60"/>
  <c r="J57"/>
  <c r="J49"/>
  <c r="J55"/>
  <c r="J54"/>
  <c r="J51"/>
  <c r="J59"/>
  <c r="J53"/>
  <c r="J50"/>
  <c r="G12" i="5"/>
  <c r="H12" s="1"/>
  <c r="G11"/>
  <c r="G13" l="1"/>
  <c r="H13" s="1"/>
  <c r="H11"/>
  <c r="J7"/>
  <c r="I9" s="1"/>
  <c r="J8"/>
  <c r="J12"/>
  <c r="J9"/>
  <c r="J10"/>
  <c r="J15"/>
  <c r="I16" s="1"/>
  <c r="J19"/>
  <c r="J20"/>
  <c r="I20" s="1"/>
  <c r="J18"/>
  <c r="J24"/>
  <c r="J23"/>
  <c r="J22"/>
  <c r="J27"/>
  <c r="J31"/>
  <c r="J32"/>
  <c r="J30"/>
  <c r="J28"/>
  <c r="J29"/>
  <c r="J36"/>
  <c r="J46"/>
  <c r="J44"/>
  <c r="J37"/>
  <c r="J43"/>
  <c r="J41"/>
  <c r="J47"/>
  <c r="J42"/>
  <c r="J39"/>
  <c r="J38"/>
  <c r="J35"/>
  <c r="J40"/>
  <c r="J45"/>
  <c r="J59"/>
  <c r="J55"/>
  <c r="J56"/>
  <c r="J50"/>
  <c r="J49"/>
  <c r="J54"/>
  <c r="J57"/>
  <c r="J52"/>
  <c r="J53"/>
  <c r="J60"/>
  <c r="J58"/>
  <c r="J51"/>
  <c r="G11" i="9"/>
  <c r="G11" i="21"/>
  <c r="G11" i="33"/>
  <c r="G11" i="27"/>
  <c r="G12" i="10"/>
  <c r="G12" i="16"/>
  <c r="G11"/>
  <c r="G12" i="31"/>
  <c r="E11" i="50"/>
  <c r="G11" s="1"/>
  <c r="G12" i="8"/>
  <c r="G11" i="40"/>
  <c r="G11" i="10"/>
  <c r="G11" i="18"/>
  <c r="G12" i="25"/>
  <c r="G11" i="28"/>
  <c r="G12" i="11"/>
  <c r="G11" i="13"/>
  <c r="G12" i="21"/>
  <c r="G12" i="23"/>
  <c r="G11" i="19"/>
  <c r="G12" i="22"/>
  <c r="G12" i="19"/>
  <c r="E12" i="50"/>
  <c r="G12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s="1"/>
  <c r="G11" i="20"/>
  <c r="G13" s="1"/>
  <c r="G12" i="15"/>
  <c r="G11" i="22"/>
  <c r="G12" i="40"/>
  <c r="G11" i="7"/>
  <c r="G12" i="9"/>
  <c r="G12" i="14"/>
  <c r="G12" i="7"/>
  <c r="G13" i="22" l="1"/>
  <c r="I60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2" i="31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H11" i="19" s="1"/>
  <c r="H11" i="20" s="1"/>
  <c r="H11" i="21" s="1"/>
  <c r="H11" i="22" s="1"/>
  <c r="H11" i="23" s="1"/>
  <c r="H11" i="24" s="1"/>
  <c r="H11" i="25" s="1"/>
  <c r="H11" i="40" s="1"/>
  <c r="H11" i="27" s="1"/>
  <c r="H11" i="28" s="1"/>
  <c r="H11" i="29" s="1"/>
  <c r="H11" i="30" s="1"/>
  <c r="H11" i="43" s="1"/>
  <c r="H11" i="31" s="1"/>
  <c r="J13" i="5"/>
  <c r="J11"/>
  <c r="I13"/>
  <c r="I60"/>
  <c r="G13" i="31"/>
  <c r="G13" i="23"/>
  <c r="I60" s="1"/>
  <c r="G13" i="17"/>
  <c r="I60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3" i="50"/>
  <c r="G13" i="29"/>
  <c r="G13" i="43"/>
  <c r="G13" i="10"/>
  <c r="G13" i="16"/>
  <c r="G13" i="19"/>
  <c r="G13" i="28"/>
  <c r="G13" i="9"/>
  <c r="G13" i="21"/>
  <c r="G13" i="27"/>
  <c r="G13" i="33"/>
  <c r="H13" s="1"/>
  <c r="H13" i="7" l="1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/>
  <c r="I13" i="17"/>
  <c r="I60" i="10"/>
  <c r="I13"/>
  <c r="I60" i="30"/>
  <c r="I13"/>
  <c r="I13" i="7"/>
  <c r="I60"/>
  <c r="I60" i="14"/>
  <c r="I13"/>
  <c r="I60" i="27"/>
  <c r="I13"/>
  <c r="I13" i="28"/>
  <c r="I60"/>
  <c r="I13" i="19"/>
  <c r="I60"/>
  <c r="I13" i="16"/>
  <c r="I60"/>
  <c r="I60" i="43"/>
  <c r="I13"/>
  <c r="I13" i="13"/>
  <c r="I60"/>
  <c r="I60" i="20"/>
  <c r="I13"/>
  <c r="I13" i="25"/>
  <c r="I60"/>
  <c r="I60" i="21"/>
  <c r="I13"/>
  <c r="I60" i="15"/>
  <c r="I13"/>
  <c r="I60" i="8"/>
  <c r="I13"/>
  <c r="I13" i="11"/>
  <c r="I60"/>
  <c r="I60" i="12"/>
  <c r="I13"/>
  <c r="I60" i="33"/>
  <c r="I13"/>
  <c r="I13" i="50"/>
  <c r="I60"/>
  <c r="I13" i="40"/>
  <c r="I60"/>
  <c r="I13" i="9"/>
  <c r="I60"/>
  <c r="I13" i="29"/>
  <c r="I60"/>
  <c r="I13" i="18"/>
  <c r="I60"/>
  <c r="I13" i="24"/>
  <c r="I60"/>
  <c r="J7" i="33"/>
  <c r="I9" s="1"/>
  <c r="J9"/>
  <c r="J8"/>
  <c r="J12"/>
  <c r="J13"/>
  <c r="J11"/>
  <c r="J10"/>
  <c r="J15"/>
  <c r="I16" s="1"/>
  <c r="J18"/>
  <c r="J19"/>
  <c r="J20"/>
  <c r="I20" s="1"/>
  <c r="J24"/>
  <c r="J22"/>
  <c r="J23"/>
  <c r="J29"/>
  <c r="J31"/>
  <c r="J30"/>
  <c r="J28"/>
  <c r="J27"/>
  <c r="J32"/>
  <c r="J43"/>
  <c r="J39"/>
  <c r="J42"/>
  <c r="J45"/>
  <c r="J46"/>
  <c r="J37"/>
  <c r="J36"/>
  <c r="J35"/>
  <c r="J40"/>
  <c r="J38"/>
  <c r="J47"/>
  <c r="J41"/>
  <c r="J44"/>
  <c r="J50"/>
  <c r="J57"/>
  <c r="J58"/>
  <c r="J54"/>
  <c r="J56"/>
  <c r="J55"/>
  <c r="J59"/>
  <c r="J53"/>
  <c r="J49"/>
  <c r="J51"/>
  <c r="J60"/>
  <c r="J52"/>
  <c r="J7" i="7"/>
  <c r="I9" s="1"/>
  <c r="J10"/>
  <c r="J9"/>
  <c r="J12"/>
  <c r="J8"/>
  <c r="J11"/>
  <c r="J15"/>
  <c r="I16" s="1"/>
  <c r="J18"/>
  <c r="J19"/>
  <c r="J20"/>
  <c r="I20" s="1"/>
  <c r="J24"/>
  <c r="J22"/>
  <c r="J23"/>
  <c r="J30"/>
  <c r="J32"/>
  <c r="J27"/>
  <c r="J28"/>
  <c r="J31"/>
  <c r="J29"/>
  <c r="J37"/>
  <c r="J46"/>
  <c r="J47"/>
  <c r="J38"/>
  <c r="J44"/>
  <c r="J42"/>
  <c r="J35"/>
  <c r="J45"/>
  <c r="J41"/>
  <c r="J40"/>
  <c r="J36"/>
  <c r="J39"/>
  <c r="J43"/>
  <c r="J52"/>
  <c r="J58"/>
  <c r="J60"/>
  <c r="J57"/>
  <c r="J53"/>
  <c r="J49"/>
  <c r="J55"/>
  <c r="J56"/>
  <c r="J59"/>
  <c r="J54"/>
  <c r="J50"/>
  <c r="J51"/>
  <c r="J7" i="8"/>
  <c r="I9" s="1"/>
  <c r="J12"/>
  <c r="J9"/>
  <c r="J11"/>
  <c r="J10"/>
  <c r="J8"/>
  <c r="J15"/>
  <c r="I16" s="1"/>
  <c r="J19"/>
  <c r="J18"/>
  <c r="J20"/>
  <c r="I20" s="1"/>
  <c r="J22"/>
  <c r="J24"/>
  <c r="J23"/>
  <c r="J27"/>
  <c r="J30"/>
  <c r="J32"/>
  <c r="J29"/>
  <c r="J28"/>
  <c r="J31"/>
  <c r="J38"/>
  <c r="J36"/>
  <c r="J41"/>
  <c r="J35"/>
  <c r="J42"/>
  <c r="J37"/>
  <c r="J44"/>
  <c r="J46"/>
  <c r="J39"/>
  <c r="J40"/>
  <c r="J47"/>
  <c r="J45"/>
  <c r="J43"/>
  <c r="J52"/>
  <c r="J57"/>
  <c r="J60"/>
  <c r="J50"/>
  <c r="J55"/>
  <c r="J58"/>
  <c r="J51"/>
  <c r="J59"/>
  <c r="J53"/>
  <c r="J49"/>
  <c r="J56"/>
  <c r="J54"/>
  <c r="J7" i="9"/>
  <c r="I9" s="1"/>
  <c r="J8"/>
  <c r="J10"/>
  <c r="J12"/>
  <c r="J9"/>
  <c r="J11"/>
  <c r="J15"/>
  <c r="I16" s="1"/>
  <c r="J18"/>
  <c r="J19"/>
  <c r="J20"/>
  <c r="I20" s="1"/>
  <c r="J22"/>
  <c r="J24"/>
  <c r="J23"/>
  <c r="J29"/>
  <c r="J31"/>
  <c r="J30"/>
  <c r="J28"/>
  <c r="J32"/>
  <c r="J27"/>
  <c r="J40"/>
  <c r="J39"/>
  <c r="J36"/>
  <c r="J37"/>
  <c r="J42"/>
  <c r="J44"/>
  <c r="J46"/>
  <c r="J41"/>
  <c r="J47"/>
  <c r="J43"/>
  <c r="J38"/>
  <c r="J35"/>
  <c r="J45"/>
  <c r="J54"/>
  <c r="J59"/>
  <c r="J49"/>
  <c r="J57"/>
  <c r="J50"/>
  <c r="J53"/>
  <c r="J51"/>
  <c r="J55"/>
  <c r="J58"/>
  <c r="J52"/>
  <c r="J60"/>
  <c r="J56"/>
  <c r="J7" i="10"/>
  <c r="I9" s="1"/>
  <c r="J12"/>
  <c r="J8"/>
  <c r="J9"/>
  <c r="J11"/>
  <c r="J10"/>
  <c r="J15"/>
  <c r="I16" s="1"/>
  <c r="J19"/>
  <c r="J18"/>
  <c r="J20"/>
  <c r="I20" s="1"/>
  <c r="J24"/>
  <c r="J22"/>
  <c r="J23"/>
  <c r="J27"/>
  <c r="J31"/>
  <c r="J29"/>
  <c r="J28"/>
  <c r="J30"/>
  <c r="J32"/>
  <c r="J45"/>
  <c r="J37"/>
  <c r="J42"/>
  <c r="J36"/>
  <c r="J43"/>
  <c r="J38"/>
  <c r="J40"/>
  <c r="J39"/>
  <c r="J35"/>
  <c r="J47"/>
  <c r="J41"/>
  <c r="J44"/>
  <c r="J46"/>
  <c r="J55"/>
  <c r="J60"/>
  <c r="J57"/>
  <c r="J56"/>
  <c r="J50"/>
  <c r="J52"/>
  <c r="J51"/>
  <c r="J53"/>
  <c r="J58"/>
  <c r="J59"/>
  <c r="J49"/>
  <c r="J54"/>
  <c r="J7" i="11"/>
  <c r="I9" s="1"/>
  <c r="J12"/>
  <c r="J9"/>
  <c r="J11"/>
  <c r="J10"/>
  <c r="J8"/>
  <c r="J15"/>
  <c r="I16" s="1"/>
  <c r="J19"/>
  <c r="J20"/>
  <c r="I20" s="1"/>
  <c r="J18"/>
  <c r="J23"/>
  <c r="J24"/>
  <c r="J22"/>
  <c r="J29"/>
  <c r="J27"/>
  <c r="J31"/>
  <c r="J32"/>
  <c r="J30"/>
  <c r="J28"/>
  <c r="J45"/>
  <c r="J38"/>
  <c r="J43"/>
  <c r="J37"/>
  <c r="J35"/>
  <c r="J39"/>
  <c r="J36"/>
  <c r="J40"/>
  <c r="J41"/>
  <c r="J46"/>
  <c r="J47"/>
  <c r="J44"/>
  <c r="J42"/>
  <c r="J60"/>
  <c r="J53"/>
  <c r="J56"/>
  <c r="J52"/>
  <c r="J59"/>
  <c r="J58"/>
  <c r="J50"/>
  <c r="J49"/>
  <c r="J55"/>
  <c r="J54"/>
  <c r="J57"/>
  <c r="J51"/>
  <c r="J7" i="12"/>
  <c r="I9" s="1"/>
  <c r="J10"/>
  <c r="J12"/>
  <c r="J11"/>
  <c r="J9"/>
  <c r="J15"/>
  <c r="I16" s="1"/>
  <c r="J19"/>
  <c r="J18"/>
  <c r="J20"/>
  <c r="I20" s="1"/>
  <c r="J22"/>
  <c r="J24"/>
  <c r="J23"/>
  <c r="J28"/>
  <c r="J30"/>
  <c r="J32"/>
  <c r="J29"/>
  <c r="J27"/>
  <c r="J31"/>
  <c r="J45"/>
  <c r="J38"/>
  <c r="J42"/>
  <c r="J44"/>
  <c r="J35"/>
  <c r="J43"/>
  <c r="J40"/>
  <c r="J41"/>
  <c r="J46"/>
  <c r="J36"/>
  <c r="J37"/>
  <c r="J47"/>
  <c r="J39"/>
  <c r="J56"/>
  <c r="J49"/>
  <c r="J59"/>
  <c r="J54"/>
  <c r="J50"/>
  <c r="J51"/>
  <c r="J55"/>
  <c r="J58"/>
  <c r="J53"/>
  <c r="J57"/>
  <c r="J60"/>
  <c r="J52"/>
  <c r="J7" i="13"/>
  <c r="I9" s="1"/>
  <c r="J12"/>
  <c r="J11"/>
  <c r="J9"/>
  <c r="J10"/>
  <c r="J15"/>
  <c r="I16" s="1"/>
  <c r="J20"/>
  <c r="I20" s="1"/>
  <c r="J19"/>
  <c r="J18"/>
  <c r="J23"/>
  <c r="J24"/>
  <c r="J22"/>
  <c r="J30"/>
  <c r="J29"/>
  <c r="J31"/>
  <c r="J32"/>
  <c r="J27"/>
  <c r="J28"/>
  <c r="J44"/>
  <c r="J38"/>
  <c r="J42"/>
  <c r="J37"/>
  <c r="J45"/>
  <c r="J46"/>
  <c r="J40"/>
  <c r="J43"/>
  <c r="J36"/>
  <c r="J41"/>
  <c r="J47"/>
  <c r="J39"/>
  <c r="J35"/>
  <c r="J60"/>
  <c r="J54"/>
  <c r="J53"/>
  <c r="J56"/>
  <c r="J50"/>
  <c r="J49"/>
  <c r="J55"/>
  <c r="J59"/>
  <c r="J52"/>
  <c r="J57"/>
  <c r="J51"/>
  <c r="J58"/>
  <c r="J7" i="14"/>
  <c r="I9" s="1"/>
  <c r="J10"/>
  <c r="J12"/>
  <c r="J11"/>
  <c r="J9"/>
  <c r="J15"/>
  <c r="I16" s="1"/>
  <c r="J19"/>
  <c r="J18"/>
  <c r="J20"/>
  <c r="I20" s="1"/>
  <c r="J24"/>
  <c r="J22"/>
  <c r="J23"/>
  <c r="J30"/>
  <c r="J27"/>
  <c r="J29"/>
  <c r="J32"/>
  <c r="J28"/>
  <c r="J31"/>
  <c r="J44"/>
  <c r="J36"/>
  <c r="J42"/>
  <c r="J39"/>
  <c r="J37"/>
  <c r="J43"/>
  <c r="J41"/>
  <c r="J35"/>
  <c r="J45"/>
  <c r="J40"/>
  <c r="J47"/>
  <c r="J38"/>
  <c r="J46"/>
  <c r="J54"/>
  <c r="J55"/>
  <c r="J60"/>
  <c r="J53"/>
  <c r="J51"/>
  <c r="J56"/>
  <c r="J57"/>
  <c r="J58"/>
  <c r="J49"/>
  <c r="J59"/>
  <c r="J52"/>
  <c r="J50"/>
  <c r="J7" i="15"/>
  <c r="I9" s="1"/>
  <c r="J12"/>
  <c r="J11"/>
  <c r="J9"/>
  <c r="J10"/>
  <c r="J15"/>
  <c r="I16" s="1"/>
  <c r="J19"/>
  <c r="J20"/>
  <c r="I20" s="1"/>
  <c r="J18"/>
  <c r="J22"/>
  <c r="J23"/>
  <c r="J24"/>
  <c r="J32"/>
  <c r="J29"/>
  <c r="J31"/>
  <c r="J27"/>
  <c r="J30"/>
  <c r="J28"/>
  <c r="J46"/>
  <c r="J47"/>
  <c r="J36"/>
  <c r="J35"/>
  <c r="J45"/>
  <c r="J41"/>
  <c r="J38"/>
  <c r="J44"/>
  <c r="J37"/>
  <c r="J39"/>
  <c r="J40"/>
  <c r="J43"/>
  <c r="J42"/>
  <c r="J55"/>
  <c r="J53"/>
  <c r="J58"/>
  <c r="J60"/>
  <c r="J59"/>
  <c r="J57"/>
  <c r="J54"/>
  <c r="J49"/>
  <c r="J50"/>
  <c r="J56"/>
  <c r="J51"/>
  <c r="J52"/>
  <c r="J7" i="16"/>
  <c r="I9" s="1"/>
  <c r="J12"/>
  <c r="J10"/>
  <c r="J9"/>
  <c r="J11"/>
  <c r="J15"/>
  <c r="I16" s="1"/>
  <c r="J18"/>
  <c r="J19"/>
  <c r="J20"/>
  <c r="I20" s="1"/>
  <c r="J23"/>
  <c r="J24"/>
  <c r="J22"/>
  <c r="J27"/>
  <c r="J31"/>
  <c r="J29"/>
  <c r="J30"/>
  <c r="J32"/>
  <c r="J28"/>
  <c r="J40"/>
  <c r="J46"/>
  <c r="J41"/>
  <c r="J44"/>
  <c r="J36"/>
  <c r="J42"/>
  <c r="J39"/>
  <c r="J35"/>
  <c r="J47"/>
  <c r="J45"/>
  <c r="J43"/>
  <c r="J37"/>
  <c r="J38"/>
  <c r="J58"/>
  <c r="J51"/>
  <c r="J59"/>
  <c r="J54"/>
  <c r="J57"/>
  <c r="J56"/>
  <c r="J50"/>
  <c r="J52"/>
  <c r="J49"/>
  <c r="J55"/>
  <c r="J60"/>
  <c r="J53"/>
  <c r="J7" i="17"/>
  <c r="I9" s="1"/>
  <c r="J10"/>
  <c r="J9"/>
  <c r="J11"/>
  <c r="J12"/>
  <c r="J15"/>
  <c r="I16" s="1"/>
  <c r="J18"/>
  <c r="J19"/>
  <c r="J20"/>
  <c r="I20" s="1"/>
  <c r="J24"/>
  <c r="J22"/>
  <c r="J23"/>
  <c r="J32"/>
  <c r="J30"/>
  <c r="J28"/>
  <c r="J27"/>
  <c r="J29"/>
  <c r="J31"/>
  <c r="J36"/>
  <c r="J43"/>
  <c r="J37"/>
  <c r="J41"/>
  <c r="J46"/>
  <c r="J38"/>
  <c r="J42"/>
  <c r="J40"/>
  <c r="J47"/>
  <c r="J45"/>
  <c r="J39"/>
  <c r="J35"/>
  <c r="J44"/>
  <c r="J52"/>
  <c r="J60"/>
  <c r="J56"/>
  <c r="J57"/>
  <c r="J55"/>
  <c r="J53"/>
  <c r="J54"/>
  <c r="J50"/>
  <c r="J58"/>
  <c r="J49"/>
  <c r="J59"/>
  <c r="J51"/>
  <c r="J7" i="18"/>
  <c r="I9" s="1"/>
  <c r="J9"/>
  <c r="J12"/>
  <c r="J11"/>
  <c r="J10"/>
  <c r="J15"/>
  <c r="I16" s="1"/>
  <c r="J20"/>
  <c r="I20" s="1"/>
  <c r="J19"/>
  <c r="J18"/>
  <c r="J24"/>
  <c r="J22"/>
  <c r="J23"/>
  <c r="J29"/>
  <c r="J27"/>
  <c r="J30"/>
  <c r="J32"/>
  <c r="J31"/>
  <c r="J28"/>
  <c r="J40"/>
  <c r="J38"/>
  <c r="J45"/>
  <c r="J47"/>
  <c r="J35"/>
  <c r="J46"/>
  <c r="J39"/>
  <c r="J44"/>
  <c r="J43"/>
  <c r="J36"/>
  <c r="J41"/>
  <c r="J37"/>
  <c r="J42"/>
  <c r="J57"/>
  <c r="J60"/>
  <c r="J54"/>
  <c r="J53"/>
  <c r="J55"/>
  <c r="J49"/>
  <c r="J58"/>
  <c r="J51"/>
  <c r="J52"/>
  <c r="J59"/>
  <c r="J50"/>
  <c r="J56"/>
  <c r="J7" i="19"/>
  <c r="I9" s="1"/>
  <c r="J10"/>
  <c r="J12"/>
  <c r="J9"/>
  <c r="J11"/>
  <c r="J15"/>
  <c r="I16" s="1"/>
  <c r="J19"/>
  <c r="J18"/>
  <c r="J20"/>
  <c r="I20" s="1"/>
  <c r="J24"/>
  <c r="J23"/>
  <c r="J22"/>
  <c r="J30"/>
  <c r="J27"/>
  <c r="J31"/>
  <c r="J29"/>
  <c r="J28"/>
  <c r="J32"/>
  <c r="J35"/>
  <c r="J40"/>
  <c r="J46"/>
  <c r="J38"/>
  <c r="J45"/>
  <c r="J43"/>
  <c r="J37"/>
  <c r="J36"/>
  <c r="J41"/>
  <c r="J39"/>
  <c r="J42"/>
  <c r="J44"/>
  <c r="J47"/>
  <c r="J52"/>
  <c r="J59"/>
  <c r="J53"/>
  <c r="J51"/>
  <c r="J49"/>
  <c r="J57"/>
  <c r="J56"/>
  <c r="J50"/>
  <c r="J60"/>
  <c r="J58"/>
  <c r="J55"/>
  <c r="J54"/>
  <c r="J7" i="20"/>
  <c r="I9" s="1"/>
  <c r="J11"/>
  <c r="J9"/>
  <c r="J10"/>
  <c r="J12"/>
  <c r="J15"/>
  <c r="I16" s="1"/>
  <c r="J18"/>
  <c r="J19"/>
  <c r="J20"/>
  <c r="I20" s="1"/>
  <c r="J22"/>
  <c r="J23"/>
  <c r="J24"/>
  <c r="J32"/>
  <c r="J27"/>
  <c r="J28"/>
  <c r="J29"/>
  <c r="J30"/>
  <c r="J31"/>
  <c r="J41"/>
  <c r="J39"/>
  <c r="J36"/>
  <c r="J42"/>
  <c r="J47"/>
  <c r="J43"/>
  <c r="J46"/>
  <c r="J35"/>
  <c r="J38"/>
  <c r="J37"/>
  <c r="J40"/>
  <c r="J44"/>
  <c r="J45"/>
  <c r="J57"/>
  <c r="J58"/>
  <c r="J54"/>
  <c r="J53"/>
  <c r="J49"/>
  <c r="J51"/>
  <c r="J60"/>
  <c r="J52"/>
  <c r="J55"/>
  <c r="J56"/>
  <c r="J59"/>
  <c r="J50"/>
  <c r="J7" i="21"/>
  <c r="I9" s="1"/>
  <c r="J12"/>
  <c r="J10"/>
  <c r="J11"/>
  <c r="J9"/>
  <c r="J15"/>
  <c r="I16" s="1"/>
  <c r="J19"/>
  <c r="J18"/>
  <c r="J20"/>
  <c r="I20" s="1"/>
  <c r="J23"/>
  <c r="J22"/>
  <c r="J24"/>
  <c r="J31"/>
  <c r="J28"/>
  <c r="J29"/>
  <c r="J27"/>
  <c r="J32"/>
  <c r="J30"/>
  <c r="J44"/>
  <c r="J45"/>
  <c r="J35"/>
  <c r="J37"/>
  <c r="J41"/>
  <c r="J47"/>
  <c r="J46"/>
  <c r="J42"/>
  <c r="J39"/>
  <c r="J38"/>
  <c r="J40"/>
  <c r="J43"/>
  <c r="J36"/>
  <c r="J58"/>
  <c r="J56"/>
  <c r="J53"/>
  <c r="J52"/>
  <c r="J54"/>
  <c r="J59"/>
  <c r="J49"/>
  <c r="J50"/>
  <c r="J51"/>
  <c r="J60"/>
  <c r="J57"/>
  <c r="J55"/>
  <c r="J7" i="22"/>
  <c r="I9" s="1"/>
  <c r="J10"/>
  <c r="J11"/>
  <c r="J12"/>
  <c r="J9"/>
  <c r="J15"/>
  <c r="I16" s="1"/>
  <c r="J18"/>
  <c r="J19"/>
  <c r="J20"/>
  <c r="I20" s="1"/>
  <c r="J24"/>
  <c r="J23"/>
  <c r="J22"/>
  <c r="J28"/>
  <c r="J30"/>
  <c r="J32"/>
  <c r="J29"/>
  <c r="J31"/>
  <c r="J27"/>
  <c r="J35"/>
  <c r="J36"/>
  <c r="J37"/>
  <c r="J47"/>
  <c r="J38"/>
  <c r="J45"/>
  <c r="J40"/>
  <c r="J39"/>
  <c r="J46"/>
  <c r="J41"/>
  <c r="J44"/>
  <c r="J42"/>
  <c r="J43"/>
  <c r="J50"/>
  <c r="J59"/>
  <c r="J49"/>
  <c r="J54"/>
  <c r="J52"/>
  <c r="J57"/>
  <c r="J55"/>
  <c r="J53"/>
  <c r="J58"/>
  <c r="J51"/>
  <c r="J56"/>
  <c r="J60"/>
  <c r="J7" i="23"/>
  <c r="I9" s="1"/>
  <c r="J9"/>
  <c r="J10"/>
  <c r="J12"/>
  <c r="J11"/>
  <c r="J15"/>
  <c r="I16" s="1"/>
  <c r="J19"/>
  <c r="J18"/>
  <c r="J20"/>
  <c r="I20" s="1"/>
  <c r="J24"/>
  <c r="J22"/>
  <c r="J23"/>
  <c r="J29"/>
  <c r="J31"/>
  <c r="J30"/>
  <c r="J28"/>
  <c r="J27"/>
  <c r="J32"/>
  <c r="J38"/>
  <c r="J46"/>
  <c r="J47"/>
  <c r="J35"/>
  <c r="J41"/>
  <c r="J39"/>
  <c r="J36"/>
  <c r="J40"/>
  <c r="J43"/>
  <c r="J37"/>
  <c r="J45"/>
  <c r="J42"/>
  <c r="J44"/>
  <c r="J57"/>
  <c r="J60"/>
  <c r="J49"/>
  <c r="J50"/>
  <c r="J54"/>
  <c r="J55"/>
  <c r="J58"/>
  <c r="J51"/>
  <c r="J56"/>
  <c r="J53"/>
  <c r="J59"/>
  <c r="J52"/>
  <c r="J7" i="24"/>
  <c r="I9" s="1"/>
  <c r="J9"/>
  <c r="J12"/>
  <c r="J11"/>
  <c r="J10"/>
  <c r="J15"/>
  <c r="I16" s="1"/>
  <c r="J19"/>
  <c r="J18"/>
  <c r="J20"/>
  <c r="I20" s="1"/>
  <c r="J23"/>
  <c r="J24"/>
  <c r="J22"/>
  <c r="J31"/>
  <c r="J30"/>
  <c r="J27"/>
  <c r="J28"/>
  <c r="J32"/>
  <c r="J29"/>
  <c r="J46"/>
  <c r="J43"/>
  <c r="J47"/>
  <c r="J44"/>
  <c r="J38"/>
  <c r="J40"/>
  <c r="J37"/>
  <c r="J42"/>
  <c r="J45"/>
  <c r="J36"/>
  <c r="J35"/>
  <c r="J39"/>
  <c r="J41"/>
  <c r="J52"/>
  <c r="J59"/>
  <c r="J50"/>
  <c r="J49"/>
  <c r="J55"/>
  <c r="J51"/>
  <c r="J54"/>
  <c r="J57"/>
  <c r="J56"/>
  <c r="J58"/>
  <c r="J53"/>
  <c r="J60"/>
  <c r="J7" i="25"/>
  <c r="I9" s="1"/>
  <c r="J11"/>
  <c r="J9"/>
  <c r="J12"/>
  <c r="J10"/>
  <c r="J15"/>
  <c r="I16" s="1"/>
  <c r="J19"/>
  <c r="J20"/>
  <c r="I20" s="1"/>
  <c r="J18"/>
  <c r="J22"/>
  <c r="J24"/>
  <c r="J23"/>
  <c r="J27"/>
  <c r="J29"/>
  <c r="J32"/>
  <c r="J28"/>
  <c r="J31"/>
  <c r="J30"/>
  <c r="J35"/>
  <c r="J45"/>
  <c r="J39"/>
  <c r="J46"/>
  <c r="J36"/>
  <c r="J43"/>
  <c r="J47"/>
  <c r="J40"/>
  <c r="J38"/>
  <c r="J42"/>
  <c r="J44"/>
  <c r="J37"/>
  <c r="J41"/>
  <c r="J56"/>
  <c r="J54"/>
  <c r="J58"/>
  <c r="J53"/>
  <c r="J60"/>
  <c r="J59"/>
  <c r="J50"/>
  <c r="J51"/>
  <c r="J49"/>
  <c r="J55"/>
  <c r="J52"/>
  <c r="J57"/>
  <c r="J7" i="40"/>
  <c r="I9" s="1"/>
  <c r="J10"/>
  <c r="J9"/>
  <c r="J12"/>
  <c r="J11"/>
  <c r="J15"/>
  <c r="I16" s="1"/>
  <c r="J19"/>
  <c r="J18"/>
  <c r="J20"/>
  <c r="I20" s="1"/>
  <c r="J24"/>
  <c r="J23"/>
  <c r="J22"/>
  <c r="J38"/>
  <c r="J47"/>
  <c r="J35"/>
  <c r="J37"/>
  <c r="J44"/>
  <c r="J41"/>
  <c r="J42"/>
  <c r="J46"/>
  <c r="J40"/>
  <c r="J43"/>
  <c r="J45"/>
  <c r="J36"/>
  <c r="J39"/>
  <c r="J32"/>
  <c r="J27"/>
  <c r="J29"/>
  <c r="J28"/>
  <c r="J31"/>
  <c r="J30"/>
  <c r="J49"/>
  <c r="J55"/>
  <c r="J54"/>
  <c r="J59"/>
  <c r="J57"/>
  <c r="J60"/>
  <c r="J53"/>
  <c r="J50"/>
  <c r="J51"/>
  <c r="J52"/>
  <c r="J56"/>
  <c r="J58"/>
  <c r="J7" i="27"/>
  <c r="I9" s="1"/>
  <c r="J9"/>
  <c r="J12"/>
  <c r="J10"/>
  <c r="J11"/>
  <c r="J15"/>
  <c r="I16" s="1"/>
  <c r="J20"/>
  <c r="I20" s="1"/>
  <c r="J18"/>
  <c r="J19"/>
  <c r="J23"/>
  <c r="J22"/>
  <c r="J24"/>
  <c r="J30"/>
  <c r="J28"/>
  <c r="J31"/>
  <c r="J29"/>
  <c r="J27"/>
  <c r="J32"/>
  <c r="J37"/>
  <c r="J35"/>
  <c r="J41"/>
  <c r="J45"/>
  <c r="J47"/>
  <c r="J40"/>
  <c r="J36"/>
  <c r="J43"/>
  <c r="J46"/>
  <c r="J38"/>
  <c r="J42"/>
  <c r="J39"/>
  <c r="J44"/>
  <c r="J56"/>
  <c r="J57"/>
  <c r="J51"/>
  <c r="J49"/>
  <c r="J55"/>
  <c r="J59"/>
  <c r="J53"/>
  <c r="J52"/>
  <c r="J54"/>
  <c r="J50"/>
  <c r="J58"/>
  <c r="J60"/>
  <c r="J7" i="28"/>
  <c r="I9" s="1"/>
  <c r="J11"/>
  <c r="J12"/>
  <c r="J9"/>
  <c r="J10"/>
  <c r="J15"/>
  <c r="I16" s="1"/>
  <c r="J18"/>
  <c r="J19"/>
  <c r="J20"/>
  <c r="I20" s="1"/>
  <c r="J22"/>
  <c r="J24"/>
  <c r="J23"/>
  <c r="J32"/>
  <c r="J30"/>
  <c r="J28"/>
  <c r="J29"/>
  <c r="J27"/>
  <c r="J31"/>
  <c r="J37"/>
  <c r="J40"/>
  <c r="J46"/>
  <c r="J47"/>
  <c r="J44"/>
  <c r="J36"/>
  <c r="J41"/>
  <c r="J39"/>
  <c r="J38"/>
  <c r="J42"/>
  <c r="J35"/>
  <c r="J43"/>
  <c r="J45"/>
  <c r="J59"/>
  <c r="J54"/>
  <c r="J57"/>
  <c r="J53"/>
  <c r="J60"/>
  <c r="J56"/>
  <c r="J52"/>
  <c r="J51"/>
  <c r="J55"/>
  <c r="J58"/>
  <c r="J50"/>
  <c r="J49"/>
  <c r="J7" i="29"/>
  <c r="I9" s="1"/>
  <c r="J11"/>
  <c r="J12"/>
  <c r="J10"/>
  <c r="J9"/>
  <c r="J15"/>
  <c r="I16" s="1"/>
  <c r="J19"/>
  <c r="J20"/>
  <c r="I20" s="1"/>
  <c r="J18"/>
  <c r="J24"/>
  <c r="J22"/>
  <c r="J23"/>
  <c r="J31"/>
  <c r="J28"/>
  <c r="J30"/>
  <c r="J27"/>
  <c r="J29"/>
  <c r="J32"/>
  <c r="J44"/>
  <c r="J46"/>
  <c r="J36"/>
  <c r="J38"/>
  <c r="J47"/>
  <c r="J35"/>
  <c r="J39"/>
  <c r="J42"/>
  <c r="J41"/>
  <c r="J37"/>
  <c r="J43"/>
  <c r="J45"/>
  <c r="J40"/>
  <c r="J60"/>
  <c r="J49"/>
  <c r="J58"/>
  <c r="J50"/>
  <c r="J52"/>
  <c r="J53"/>
  <c r="J55"/>
  <c r="J59"/>
  <c r="J56"/>
  <c r="J54"/>
  <c r="J57"/>
  <c r="J51"/>
  <c r="J7" i="30"/>
  <c r="J12"/>
  <c r="J10"/>
  <c r="J9"/>
  <c r="J11"/>
  <c r="J15"/>
  <c r="I16" s="1"/>
  <c r="J20"/>
  <c r="I20" s="1"/>
  <c r="J19"/>
  <c r="J18"/>
  <c r="J24"/>
  <c r="J23"/>
  <c r="J22"/>
  <c r="J31"/>
  <c r="J29"/>
  <c r="J28"/>
  <c r="J27"/>
  <c r="J30"/>
  <c r="J32"/>
  <c r="J44"/>
  <c r="J39"/>
  <c r="J43"/>
  <c r="J36"/>
  <c r="J41"/>
  <c r="J47"/>
  <c r="J40"/>
  <c r="J38"/>
  <c r="J35"/>
  <c r="J42"/>
  <c r="J45"/>
  <c r="J37"/>
  <c r="J46"/>
  <c r="J49"/>
  <c r="J54"/>
  <c r="J56"/>
  <c r="J59"/>
  <c r="J50"/>
  <c r="J53"/>
  <c r="J60"/>
  <c r="J58"/>
  <c r="J57"/>
  <c r="J52"/>
  <c r="J55"/>
  <c r="J51"/>
  <c r="J7" i="43"/>
  <c r="I9" s="1"/>
  <c r="H7" i="31"/>
  <c r="J7" s="1"/>
  <c r="I9" s="1"/>
  <c r="H7" i="50"/>
  <c r="J7" s="1"/>
  <c r="I9" s="1"/>
  <c r="J12" i="43"/>
  <c r="J9"/>
  <c r="J11"/>
  <c r="J11" i="31"/>
  <c r="H10" i="50"/>
  <c r="J10" s="1"/>
  <c r="J10" i="43"/>
  <c r="J9" i="31"/>
  <c r="H9" i="50"/>
  <c r="J9" s="1"/>
  <c r="H11"/>
  <c r="J11" s="1"/>
  <c r="H12"/>
  <c r="J12" s="1"/>
  <c r="J10" i="31"/>
  <c r="J12"/>
  <c r="J15" i="43"/>
  <c r="I16" s="1"/>
  <c r="J15" i="31"/>
  <c r="I16" s="1"/>
  <c r="H15" i="50"/>
  <c r="J15" s="1"/>
  <c r="I16" s="1"/>
  <c r="J18" i="31"/>
  <c r="J18" i="43"/>
  <c r="J20"/>
  <c r="I20" s="1"/>
  <c r="H18" i="50"/>
  <c r="J18" s="1"/>
  <c r="J19" i="43"/>
  <c r="H19" i="50"/>
  <c r="J19" s="1"/>
  <c r="J19" i="31"/>
  <c r="H20" i="50"/>
  <c r="J20" s="1"/>
  <c r="I20" s="1"/>
  <c r="J20" i="31"/>
  <c r="I20" s="1"/>
  <c r="J22" i="43"/>
  <c r="J24"/>
  <c r="H23" i="50"/>
  <c r="J23" s="1"/>
  <c r="J23" i="43"/>
  <c r="J24" i="31"/>
  <c r="H22" i="50"/>
  <c r="J22" s="1"/>
  <c r="J22" i="31"/>
  <c r="J23"/>
  <c r="H24" i="50"/>
  <c r="J24" s="1"/>
  <c r="J27" i="43"/>
  <c r="J28"/>
  <c r="H28" i="50"/>
  <c r="J28" s="1"/>
  <c r="J32" i="31"/>
  <c r="J32" i="43"/>
  <c r="J31"/>
  <c r="J30"/>
  <c r="J30" i="31"/>
  <c r="J31"/>
  <c r="H30" i="50"/>
  <c r="J30" s="1"/>
  <c r="J29" i="43"/>
  <c r="J29" i="31"/>
  <c r="H29" i="50"/>
  <c r="J29" s="1"/>
  <c r="H27"/>
  <c r="J27" s="1"/>
  <c r="J27" i="31"/>
  <c r="H32" i="50"/>
  <c r="J32" s="1"/>
  <c r="H31"/>
  <c r="J31" s="1"/>
  <c r="J28" i="31"/>
  <c r="J42" i="43"/>
  <c r="J41"/>
  <c r="J35"/>
  <c r="J40"/>
  <c r="J43"/>
  <c r="J41" i="31"/>
  <c r="J44" i="43"/>
  <c r="H40" i="50"/>
  <c r="J40" s="1"/>
  <c r="J45" i="43"/>
  <c r="J39"/>
  <c r="J36"/>
  <c r="J38"/>
  <c r="J47" i="31"/>
  <c r="J47" i="43"/>
  <c r="H36" i="50"/>
  <c r="J36" s="1"/>
  <c r="J42" i="31"/>
  <c r="J45"/>
  <c r="H35" i="50"/>
  <c r="J35" s="1"/>
  <c r="H45"/>
  <c r="J45" s="1"/>
  <c r="J46" i="31"/>
  <c r="J46" i="43"/>
  <c r="H38" i="50"/>
  <c r="J38" s="1"/>
  <c r="H37"/>
  <c r="J37" s="1"/>
  <c r="J37" i="43"/>
  <c r="J37" i="31"/>
  <c r="H46" i="50"/>
  <c r="J46" s="1"/>
  <c r="J40" i="31"/>
  <c r="J39"/>
  <c r="H47" i="50"/>
  <c r="J47" s="1"/>
  <c r="H43"/>
  <c r="J43" s="1"/>
  <c r="J35" i="31"/>
  <c r="J44"/>
  <c r="H41" i="50"/>
  <c r="J41" s="1"/>
  <c r="J43" i="31"/>
  <c r="H39" i="50"/>
  <c r="J39" s="1"/>
  <c r="J38" i="31"/>
  <c r="H42" i="50"/>
  <c r="J42" s="1"/>
  <c r="H44"/>
  <c r="J44" s="1"/>
  <c r="J36" i="31"/>
  <c r="J58" i="43"/>
  <c r="J59"/>
  <c r="H59" i="50"/>
  <c r="J59" s="1"/>
  <c r="J49" i="43"/>
  <c r="J54"/>
  <c r="H49" i="50"/>
  <c r="J49" s="1"/>
  <c r="H58"/>
  <c r="J58" s="1"/>
  <c r="J50" i="43"/>
  <c r="J49" i="31"/>
  <c r="H56" i="50"/>
  <c r="J56" s="1"/>
  <c r="J56" i="43"/>
  <c r="J60"/>
  <c r="H50" i="50"/>
  <c r="J50" s="1"/>
  <c r="J53" i="43"/>
  <c r="H53" i="50"/>
  <c r="J53" s="1"/>
  <c r="J55" i="43"/>
  <c r="J57"/>
  <c r="H54" i="50"/>
  <c r="J54" s="1"/>
  <c r="J56" i="31"/>
  <c r="J54"/>
  <c r="J52" i="43"/>
  <c r="J53" i="31"/>
  <c r="H55" i="50"/>
  <c r="J55" s="1"/>
  <c r="J51" i="31"/>
  <c r="J51" i="43"/>
  <c r="H52" i="50"/>
  <c r="J52" s="1"/>
  <c r="J50" i="31"/>
  <c r="J52"/>
  <c r="H60" i="50"/>
  <c r="J60" s="1"/>
  <c r="H57"/>
  <c r="J57" s="1"/>
  <c r="J57" i="31"/>
  <c r="H51" i="50"/>
  <c r="J51" s="1"/>
  <c r="J58" i="31"/>
  <c r="J55"/>
  <c r="J60"/>
  <c r="J59"/>
  <c r="J8" i="12"/>
  <c r="H8" i="13"/>
  <c r="H8" i="14" s="1"/>
  <c r="H13" i="28" l="1"/>
  <c r="H13" i="29" s="1"/>
  <c r="H13" i="30" s="1"/>
  <c r="H13" i="43" s="1"/>
  <c r="J1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3" i="31" l="1"/>
  <c r="J13" s="1"/>
  <c r="H13" i="50"/>
  <c r="J13" s="1"/>
  <c r="J13" i="29"/>
  <c r="J13" i="28"/>
  <c r="J13" i="30"/>
  <c r="H8" i="16"/>
  <c r="J8" i="15"/>
  <c r="J8" i="16" l="1"/>
  <c r="H8" i="17"/>
  <c r="J8" l="1"/>
  <c r="H8" i="18"/>
  <c r="H8" i="19" l="1"/>
  <c r="J8" i="18"/>
  <c r="J8" i="19" l="1"/>
  <c r="H8" i="20"/>
  <c r="H8" i="21" l="1"/>
  <c r="J8" i="20"/>
  <c r="H8" i="22" l="1"/>
  <c r="J8" i="21"/>
  <c r="H8" i="23" l="1"/>
  <c r="J8" i="22"/>
  <c r="J8" i="23" l="1"/>
  <c r="H8" i="24"/>
  <c r="J8" l="1"/>
  <c r="H8" i="25"/>
  <c r="J8" l="1"/>
  <c r="H8" i="40"/>
  <c r="H8" i="27" l="1"/>
  <c r="J8" i="40"/>
  <c r="H8" i="28" l="1"/>
  <c r="J8" i="27"/>
  <c r="J8" i="28" l="1"/>
  <c r="H8" i="29"/>
  <c r="J8" l="1"/>
  <c r="H8" i="30"/>
  <c r="J8" l="1"/>
  <c r="H8" i="43"/>
  <c r="J8" l="1"/>
  <c r="H8" i="50"/>
  <c r="J8" s="1"/>
  <c r="H8" i="31"/>
  <c r="J8" s="1"/>
</calcChain>
</file>

<file path=xl/sharedStrings.xml><?xml version="1.0" encoding="utf-8"?>
<sst xmlns="http://schemas.openxmlformats.org/spreadsheetml/2006/main" count="10646" uniqueCount="362">
  <si>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</si>
  <si>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</si>
  <si>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</si>
  <si>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</si>
  <si>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</si>
  <si>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</si>
  <si>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</si>
  <si>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</si>
  <si>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</si>
  <si>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</si>
  <si>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</si>
  <si>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</si>
  <si>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</si>
  <si>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</si>
  <si>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</si>
  <si>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</si>
  <si>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</si>
  <si>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</si>
  <si>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</si>
  <si>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</si>
  <si>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</si>
  <si>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</si>
  <si>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</si>
  <si>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</si>
  <si>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</si>
  <si>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</si>
  <si>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</si>
  <si>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</si>
  <si>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</si>
  <si>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</si>
  <si>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</si>
  <si>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</si>
  <si>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</si>
  <si>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</si>
  <si>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</si>
  <si>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</si>
  <si>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</si>
  <si>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</si>
  <si>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</si>
  <si>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</si>
  <si>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</si>
  <si>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</si>
  <si>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</si>
  <si>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</si>
  <si>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</si>
  <si>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</si>
  <si>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</si>
  <si>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</si>
  <si>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</si>
  <si>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</si>
  <si>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</si>
  <si>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</si>
  <si>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</si>
  <si>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</si>
  <si>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</si>
  <si>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</si>
  <si>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</si>
  <si>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</si>
  <si>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</si>
  <si>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</si>
  <si>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</si>
  <si>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</si>
  <si>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</si>
  <si>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</si>
  <si>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</si>
  <si>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</si>
  <si>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</si>
  <si>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</si>
  <si>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</si>
  <si>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</si>
  <si>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</si>
  <si>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</si>
  <si>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</si>
  <si>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</si>
  <si>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</si>
  <si>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</si>
  <si>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</si>
  <si>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</si>
  <si>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</si>
  <si>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</si>
  <si>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</si>
  <si>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</si>
  <si>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</si>
  <si>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</si>
  <si>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</si>
  <si>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</si>
  <si>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</si>
  <si>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</si>
  <si>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</si>
  <si>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</si>
  <si>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</si>
  <si>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</si>
  <si>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</si>
  <si>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</si>
  <si>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</si>
  <si>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</si>
  <si>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</si>
  <si>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</si>
  <si>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</si>
  <si>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</si>
  <si>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</si>
  <si>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</si>
  <si>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</si>
  <si>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</si>
  <si>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</si>
  <si>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</si>
  <si>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</si>
  <si>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</si>
  <si>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</si>
  <si>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</si>
  <si>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</si>
  <si>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</si>
  <si>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</si>
  <si>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</si>
  <si>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</si>
  <si>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</si>
  <si>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</si>
  <si>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</si>
  <si>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</si>
  <si>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</si>
  <si>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</si>
  <si>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</si>
  <si>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</si>
  <si>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</si>
  <si>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</si>
  <si>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</si>
  <si>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</si>
  <si>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</si>
  <si>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</si>
  <si>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</si>
  <si>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</si>
  <si>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</si>
  <si>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</si>
  <si>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</si>
  <si>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</si>
  <si>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</si>
  <si>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</si>
  <si>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</si>
  <si>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</si>
  <si>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</si>
  <si>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</si>
  <si>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</si>
  <si>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</si>
  <si>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</si>
  <si>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</si>
  <si>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</si>
  <si>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</si>
  <si>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</si>
  <si>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</si>
  <si>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</si>
  <si>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</si>
  <si>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</si>
  <si>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</si>
  <si>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</si>
  <si>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</si>
  <si>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</si>
  <si>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</si>
  <si>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</si>
  <si>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</si>
  <si>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</si>
  <si>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</si>
  <si>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</si>
  <si>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</si>
  <si>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</si>
  <si>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</si>
  <si>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</si>
  <si>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</si>
  <si>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</si>
  <si>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</si>
  <si>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</si>
  <si>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</si>
  <si>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</si>
  <si>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</si>
  <si>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</si>
  <si>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</si>
  <si>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</si>
  <si>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</si>
  <si>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</si>
  <si>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</si>
  <si>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</si>
  <si>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</si>
  <si>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</si>
  <si>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</si>
  <si>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</si>
  <si>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</si>
  <si>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</si>
  <si>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</si>
  <si>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</si>
  <si>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</si>
  <si>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</si>
  <si>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</si>
  <si>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</si>
  <si>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</si>
  <si>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</si>
  <si>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</si>
  <si>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</si>
  <si>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</si>
  <si>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</si>
  <si>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</si>
  <si>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</si>
  <si>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</si>
  <si>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</si>
  <si>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</si>
  <si>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</si>
  <si>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</si>
  <si>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</si>
  <si>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</si>
  <si>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</si>
  <si>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</si>
  <si>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</si>
  <si>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</si>
  <si>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</si>
  <si>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</si>
  <si>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</si>
  <si>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</si>
  <si>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</si>
  <si>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</si>
  <si>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</si>
  <si>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</si>
  <si>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</si>
  <si>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</si>
  <si>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</si>
  <si>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</si>
  <si>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</si>
  <si>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</si>
  <si>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</si>
  <si>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</si>
  <si>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</si>
  <si>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</si>
  <si>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</si>
  <si>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</si>
  <si>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</si>
  <si>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</si>
  <si>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</si>
  <si>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</si>
  <si>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</si>
  <si>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</si>
  <si>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</si>
  <si>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</si>
  <si>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</si>
  <si>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</si>
  <si>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</si>
  <si>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</si>
  <si>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</si>
  <si>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</si>
  <si>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</si>
  <si>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</si>
  <si>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</si>
  <si>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</si>
  <si>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</si>
  <si>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</si>
  <si>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</si>
  <si>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</si>
  <si>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</si>
  <si>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</si>
  <si>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</si>
  <si>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</si>
  <si>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</si>
  <si>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</si>
  <si>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</si>
  <si>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</si>
  <si>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</si>
  <si>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</si>
  <si>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</si>
  <si>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</si>
  <si>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</si>
  <si>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</si>
  <si>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</si>
  <si>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</si>
  <si>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</si>
  <si>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</si>
  <si>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</si>
  <si>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</si>
  <si>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</si>
  <si>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</si>
  <si>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</si>
  <si>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</si>
  <si>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</si>
  <si>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</si>
  <si>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</si>
  <si>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</si>
  <si>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</si>
  <si>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</si>
  <si>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</si>
  <si>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</si>
  <si>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</si>
  <si>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</si>
  <si>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</si>
  <si>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</si>
  <si>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</si>
  <si>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</si>
  <si>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</si>
  <si>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</si>
  <si>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</si>
  <si>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</si>
  <si>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</si>
  <si>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</si>
  <si>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</si>
  <si>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</si>
  <si>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</si>
  <si>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</si>
  <si>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</si>
  <si>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</si>
  <si>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</si>
  <si>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</si>
  <si>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</si>
  <si>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</si>
  <si>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</si>
  <si>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</si>
  <si>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</si>
  <si>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</si>
  <si>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</si>
  <si>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</si>
  <si>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</si>
  <si>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</si>
  <si>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</si>
  <si>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</si>
  <si>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</si>
  <si>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</si>
  <si>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</si>
  <si>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</si>
  <si>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</si>
  <si>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</si>
  <si>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</si>
  <si>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</si>
  <si>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</si>
  <si>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</si>
  <si>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</si>
  <si>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</si>
  <si>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</si>
  <si>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</si>
  <si>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</si>
  <si>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</si>
  <si>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</si>
  <si>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</si>
  <si>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</si>
  <si>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</si>
  <si>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</si>
  <si>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</si>
  <si>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</si>
  <si>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</si>
  <si>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</si>
  <si>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</si>
  <si>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</si>
  <si>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</si>
  <si>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</si>
  <si>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</si>
  <si>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</si>
  <si>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</si>
  <si>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</si>
  <si>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</si>
  <si>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</si>
  <si>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</si>
  <si>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</si>
  <si>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</si>
  <si>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</si>
  <si>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</si>
  <si>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</si>
  <si>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</si>
  <si>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</si>
  <si>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 xml:space="preserve">Prepaired by--- Prakash </t>
  </si>
  <si>
    <t>7th floor</t>
  </si>
</sst>
</file>

<file path=xl/styles.xml><?xml version="1.0" encoding="utf-8"?>
<styleSheet xmlns="http://schemas.openxmlformats.org/spreadsheetml/2006/main">
  <numFmts count="9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</numFmts>
  <fonts count="8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sz val="18"/>
      <name val="Arial Unicode MS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i/>
      <sz val="20"/>
      <name val="Arial Unicode MS"/>
      <family val="2"/>
    </font>
    <font>
      <b/>
      <sz val="14"/>
      <color theme="1"/>
      <name val="Arial Unicode MS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886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1" fontId="53" fillId="0" borderId="1" xfId="0" applyNumberFormat="1" applyFont="1" applyFill="1" applyBorder="1" applyAlignment="1">
      <alignment horizontal="center" wrapText="1"/>
    </xf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3" fillId="0" borderId="1" xfId="0" applyNumberFormat="1" applyFont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1" fontId="53" fillId="2" borderId="1" xfId="0" applyNumberFormat="1" applyFont="1" applyFill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" fontId="56" fillId="0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7" fillId="0" borderId="25" xfId="16" applyFont="1" applyBorder="1" applyAlignment="1">
      <alignment horizontal="center"/>
    </xf>
    <xf numFmtId="0" fontId="58" fillId="0" borderId="25" xfId="16" applyFont="1" applyBorder="1" applyAlignment="1">
      <alignment horizontal="center"/>
    </xf>
    <xf numFmtId="1" fontId="58" fillId="0" borderId="25" xfId="16" applyNumberFormat="1" applyFont="1" applyBorder="1" applyAlignment="1">
      <alignment horizontal="center"/>
    </xf>
    <xf numFmtId="1" fontId="57" fillId="0" borderId="25" xfId="16" applyNumberFormat="1" applyFont="1" applyBorder="1" applyAlignment="1">
      <alignment horizontal="center" wrapText="1"/>
    </xf>
    <xf numFmtId="0" fontId="57" fillId="0" borderId="25" xfId="16" applyFont="1" applyBorder="1" applyAlignment="1">
      <alignment horizontal="center" wrapText="1"/>
    </xf>
    <xf numFmtId="0" fontId="57" fillId="0" borderId="0" xfId="16" applyFont="1" applyAlignment="1">
      <alignment wrapText="1"/>
    </xf>
    <xf numFmtId="0" fontId="57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7" fillId="0" borderId="1" xfId="16" applyNumberFormat="1" applyFont="1" applyBorder="1" applyAlignment="1">
      <alignment horizontal="center" wrapText="1"/>
    </xf>
    <xf numFmtId="1" fontId="59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7" fillId="0" borderId="5" xfId="17" applyFont="1" applyBorder="1"/>
    <xf numFmtId="0" fontId="58" fillId="0" borderId="5" xfId="17" applyFont="1" applyBorder="1" applyAlignment="1">
      <alignment horizontal="center"/>
    </xf>
    <xf numFmtId="0" fontId="57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0" fontId="66" fillId="0" borderId="16" xfId="1" applyFont="1" applyFill="1" applyBorder="1" applyAlignment="1">
      <alignment vertical="top" wrapText="1"/>
    </xf>
    <xf numFmtId="0" fontId="66" fillId="0" borderId="1" xfId="1" applyFont="1" applyFill="1" applyBorder="1" applyAlignment="1">
      <alignment horizontal="center" vertical="top" wrapText="1"/>
    </xf>
    <xf numFmtId="0" fontId="66" fillId="0" borderId="12" xfId="1" applyFont="1" applyFill="1" applyBorder="1" applyAlignment="1">
      <alignment horizontal="center" vertical="top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5" xfId="17" applyNumberFormat="1" applyFont="1" applyFill="1" applyBorder="1" applyAlignment="1">
      <alignment horizontal="center" wrapText="1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65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1" fillId="10" borderId="5" xfId="17" applyNumberFormat="1" applyFont="1" applyFill="1" applyBorder="1" applyAlignment="1">
      <alignment horizontal="center" wrapText="1"/>
    </xf>
    <xf numFmtId="1" fontId="64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1" fontId="67" fillId="2" borderId="16" xfId="1" applyNumberFormat="1" applyFont="1" applyFill="1" applyBorder="1" applyAlignment="1">
      <alignment vertical="center" wrapText="1"/>
    </xf>
    <xf numFmtId="1" fontId="68" fillId="0" borderId="1" xfId="0" applyNumberFormat="1" applyFont="1" applyBorder="1" applyAlignment="1">
      <alignment horizontal="center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28" fillId="2" borderId="16" xfId="1" applyNumberFormat="1" applyFont="1" applyFill="1" applyBorder="1" applyAlignment="1">
      <alignment vertical="center" wrapText="1"/>
    </xf>
    <xf numFmtId="1" fontId="57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4" borderId="5" xfId="0" applyFont="1" applyFill="1" applyBorder="1" applyAlignment="1">
      <alignment horizontal="center"/>
    </xf>
    <xf numFmtId="0" fontId="13" fillId="0" borderId="20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26" xfId="1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/>
    </xf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2" borderId="0" xfId="0" applyFont="1" applyFill="1"/>
    <xf numFmtId="1" fontId="11" fillId="12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69" fillId="0" borderId="1" xfId="0" applyFont="1" applyBorder="1"/>
    <xf numFmtId="0" fontId="11" fillId="0" borderId="1" xfId="0" applyFont="1" applyBorder="1"/>
    <xf numFmtId="0" fontId="29" fillId="0" borderId="0" xfId="0" applyFont="1"/>
    <xf numFmtId="0" fontId="11" fillId="16" borderId="1" xfId="0" applyFont="1" applyFill="1" applyBorder="1"/>
    <xf numFmtId="0" fontId="28" fillId="0" borderId="1" xfId="0" applyFont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4" fillId="9" borderId="1" xfId="3" applyFont="1" applyFill="1" applyBorder="1" applyAlignment="1">
      <alignment horizontal="center"/>
    </xf>
    <xf numFmtId="9" fontId="74" fillId="9" borderId="1" xfId="4" applyNumberFormat="1" applyFont="1" applyFill="1" applyBorder="1"/>
    <xf numFmtId="0" fontId="74" fillId="9" borderId="1" xfId="3" applyFont="1" applyFill="1" applyBorder="1" applyAlignment="1">
      <alignment horizontal="center" vertical="center"/>
    </xf>
    <xf numFmtId="1" fontId="74" fillId="9" borderId="12" xfId="3" applyNumberFormat="1" applyFont="1" applyFill="1" applyBorder="1" applyAlignment="1">
      <alignment horizontal="center" vertical="center"/>
    </xf>
    <xf numFmtId="0" fontId="74" fillId="9" borderId="1" xfId="3" applyFont="1" applyFill="1" applyBorder="1" applyAlignment="1">
      <alignment horizontal="left"/>
    </xf>
    <xf numFmtId="0" fontId="74" fillId="9" borderId="1" xfId="3" applyFont="1" applyFill="1" applyBorder="1" applyAlignment="1"/>
    <xf numFmtId="10" fontId="74" fillId="9" borderId="1" xfId="3" applyNumberFormat="1" applyFont="1" applyFill="1" applyBorder="1" applyAlignment="1">
      <alignment horizontal="center"/>
    </xf>
    <xf numFmtId="1" fontId="74" fillId="9" borderId="1" xfId="3" applyNumberFormat="1" applyFont="1" applyFill="1" applyBorder="1" applyAlignment="1">
      <alignment horizontal="center"/>
    </xf>
    <xf numFmtId="1" fontId="74" fillId="9" borderId="12" xfId="3" applyNumberFormat="1" applyFont="1" applyFill="1" applyBorder="1" applyAlignment="1">
      <alignment horizontal="center"/>
    </xf>
    <xf numFmtId="9" fontId="74" fillId="9" borderId="1" xfId="3" applyNumberFormat="1" applyFont="1" applyFill="1" applyBorder="1" applyAlignment="1">
      <alignment horizontal="left"/>
    </xf>
    <xf numFmtId="2" fontId="74" fillId="9" borderId="1" xfId="3" applyNumberFormat="1" applyFont="1" applyFill="1" applyBorder="1" applyAlignment="1">
      <alignment horizontal="center"/>
    </xf>
    <xf numFmtId="9" fontId="74" fillId="9" borderId="1" xfId="3" applyNumberFormat="1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 vertical="center"/>
    </xf>
    <xf numFmtId="2" fontId="74" fillId="2" borderId="1" xfId="3" applyNumberFormat="1" applyFont="1" applyFill="1" applyBorder="1" applyAlignment="1">
      <alignment horizontal="center" vertical="center"/>
    </xf>
    <xf numFmtId="166" fontId="74" fillId="8" borderId="1" xfId="3" applyNumberFormat="1" applyFont="1" applyFill="1" applyBorder="1" applyAlignment="1">
      <alignment horizontal="center" wrapText="1" shrinkToFit="1"/>
    </xf>
    <xf numFmtId="2" fontId="74" fillId="8" borderId="1" xfId="3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 vertical="center"/>
    </xf>
    <xf numFmtId="166" fontId="74" fillId="8" borderId="12" xfId="3" applyNumberFormat="1" applyFont="1" applyFill="1" applyBorder="1" applyAlignment="1">
      <alignment horizontal="center" wrapText="1" shrinkToFit="1"/>
    </xf>
    <xf numFmtId="0" fontId="74" fillId="12" borderId="1" xfId="3" applyFont="1" applyFill="1" applyBorder="1" applyAlignment="1">
      <alignment horizontal="center" vertical="center"/>
    </xf>
    <xf numFmtId="0" fontId="74" fillId="12" borderId="1" xfId="3" applyFont="1" applyFill="1" applyBorder="1" applyAlignment="1">
      <alignment horizontal="center"/>
    </xf>
    <xf numFmtId="0" fontId="74" fillId="12" borderId="12" xfId="3" applyFont="1" applyFill="1" applyBorder="1" applyAlignment="1">
      <alignment horizontal="center"/>
    </xf>
    <xf numFmtId="0" fontId="74" fillId="8" borderId="1" xfId="3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center"/>
    </xf>
    <xf numFmtId="1" fontId="74" fillId="2" borderId="1" xfId="5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/>
    </xf>
    <xf numFmtId="0" fontId="74" fillId="2" borderId="1" xfId="3" applyNumberFormat="1" applyFont="1" applyFill="1" applyBorder="1" applyAlignment="1">
      <alignment horizontal="center"/>
    </xf>
    <xf numFmtId="1" fontId="74" fillId="8" borderId="12" xfId="5" applyNumberFormat="1" applyFont="1" applyFill="1" applyBorder="1" applyAlignment="1" applyProtection="1">
      <alignment horizontal="center"/>
    </xf>
    <xf numFmtId="0" fontId="74" fillId="8" borderId="5" xfId="3" applyFont="1" applyFill="1" applyBorder="1" applyAlignment="1">
      <alignment horizontal="left" vertical="center"/>
    </xf>
    <xf numFmtId="0" fontId="74" fillId="8" borderId="10" xfId="3" applyFont="1" applyFill="1" applyBorder="1" applyAlignment="1">
      <alignment horizontal="left" vertical="center"/>
    </xf>
    <xf numFmtId="0" fontId="74" fillId="8" borderId="7" xfId="3" applyFont="1" applyFill="1" applyBorder="1" applyAlignment="1">
      <alignment horizontal="center"/>
    </xf>
    <xf numFmtId="2" fontId="74" fillId="8" borderId="7" xfId="3" applyNumberFormat="1" applyFont="1" applyFill="1" applyBorder="1" applyAlignment="1">
      <alignment horizontal="center"/>
    </xf>
    <xf numFmtId="1" fontId="74" fillId="2" borderId="7" xfId="3" applyNumberFormat="1" applyFont="1" applyFill="1" applyBorder="1" applyAlignment="1">
      <alignment horizontal="center"/>
    </xf>
    <xf numFmtId="169" fontId="74" fillId="8" borderId="1" xfId="3" applyNumberFormat="1" applyFont="1" applyFill="1" applyBorder="1" applyAlignment="1">
      <alignment vertical="center"/>
    </xf>
    <xf numFmtId="0" fontId="74" fillId="0" borderId="1" xfId="4" applyFont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0" fontId="74" fillId="13" borderId="1" xfId="3" applyFont="1" applyFill="1" applyBorder="1" applyAlignment="1">
      <alignment horizontal="center"/>
    </xf>
    <xf numFmtId="2" fontId="74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4" fillId="8" borderId="1" xfId="3" applyFont="1" applyFill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76" fillId="2" borderId="1" xfId="4" applyFont="1" applyFill="1" applyBorder="1" applyAlignment="1">
      <alignment horizontal="center"/>
    </xf>
    <xf numFmtId="1" fontId="77" fillId="2" borderId="1" xfId="5" applyNumberFormat="1" applyFont="1" applyFill="1" applyBorder="1" applyAlignment="1">
      <alignment horizontal="center" vertical="center"/>
    </xf>
    <xf numFmtId="0" fontId="74" fillId="2" borderId="1" xfId="3" applyFont="1" applyFill="1" applyBorder="1" applyAlignment="1">
      <alignment horizontal="left" vertical="center"/>
    </xf>
    <xf numFmtId="0" fontId="74" fillId="2" borderId="1" xfId="3" applyFont="1" applyFill="1" applyBorder="1" applyAlignment="1">
      <alignment horizontal="center"/>
    </xf>
    <xf numFmtId="1" fontId="74" fillId="2" borderId="12" xfId="5" applyNumberFormat="1" applyFont="1" applyFill="1" applyBorder="1" applyAlignment="1" applyProtection="1">
      <alignment horizontal="center"/>
    </xf>
    <xf numFmtId="1" fontId="48" fillId="12" borderId="1" xfId="3" applyNumberFormat="1" applyFont="1" applyFill="1" applyBorder="1" applyAlignment="1">
      <alignment horizontal="center"/>
    </xf>
    <xf numFmtId="0" fontId="76" fillId="0" borderId="1" xfId="4" applyFont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0" fontId="74" fillId="0" borderId="1" xfId="4" applyFont="1" applyBorder="1"/>
    <xf numFmtId="0" fontId="78" fillId="8" borderId="1" xfId="3" applyFont="1" applyFill="1" applyBorder="1" applyAlignment="1">
      <alignment horizontal="center"/>
    </xf>
    <xf numFmtId="166" fontId="78" fillId="8" borderId="1" xfId="5" applyNumberFormat="1" applyFont="1" applyFill="1" applyBorder="1" applyAlignment="1">
      <alignment horizontal="center" vertical="center"/>
    </xf>
    <xf numFmtId="1" fontId="74" fillId="2" borderId="1" xfId="5" applyNumberFormat="1" applyFont="1" applyFill="1" applyBorder="1" applyAlignment="1" applyProtection="1">
      <alignment horizontal="center"/>
    </xf>
    <xf numFmtId="0" fontId="74" fillId="13" borderId="1" xfId="3" applyFont="1" applyFill="1" applyBorder="1" applyAlignment="1">
      <alignment horizontal="center" vertical="center"/>
    </xf>
    <xf numFmtId="0" fontId="78" fillId="2" borderId="1" xfId="4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 vertical="center"/>
    </xf>
    <xf numFmtId="1" fontId="74" fillId="12" borderId="1" xfId="3" applyNumberFormat="1" applyFont="1" applyFill="1" applyBorder="1" applyAlignment="1">
      <alignment horizontal="center" vertical="center"/>
    </xf>
    <xf numFmtId="0" fontId="77" fillId="12" borderId="1" xfId="3" applyFont="1" applyFill="1" applyBorder="1" applyAlignment="1">
      <alignment horizontal="center" vertical="center"/>
    </xf>
    <xf numFmtId="1" fontId="74" fillId="12" borderId="12" xfId="3" applyNumberFormat="1" applyFont="1" applyFill="1" applyBorder="1" applyAlignment="1">
      <alignment horizontal="center" vertical="center"/>
    </xf>
    <xf numFmtId="0" fontId="79" fillId="2" borderId="3" xfId="3" applyFont="1" applyFill="1" applyBorder="1" applyAlignment="1">
      <alignment horizontal="center"/>
    </xf>
    <xf numFmtId="0" fontId="79" fillId="2" borderId="4" xfId="3" applyFont="1" applyFill="1" applyBorder="1" applyAlignment="1">
      <alignment horizontal="center"/>
    </xf>
    <xf numFmtId="164" fontId="79" fillId="8" borderId="1" xfId="8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6" fontId="48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0" fontId="79" fillId="8" borderId="1" xfId="3" applyFont="1" applyFill="1" applyBorder="1" applyAlignment="1">
      <alignment horizontal="center"/>
    </xf>
    <xf numFmtId="2" fontId="74" fillId="8" borderId="1" xfId="9" applyNumberFormat="1" applyFont="1" applyFill="1" applyBorder="1" applyAlignment="1">
      <alignment horizontal="center"/>
    </xf>
    <xf numFmtId="170" fontId="48" fillId="8" borderId="1" xfId="5" applyNumberFormat="1" applyFont="1" applyFill="1" applyBorder="1" applyAlignment="1" applyProtection="1">
      <alignment horizontal="center" vertical="center"/>
    </xf>
    <xf numFmtId="166" fontId="77" fillId="8" borderId="1" xfId="5" applyNumberFormat="1" applyFont="1" applyFill="1" applyBorder="1" applyAlignment="1" applyProtection="1">
      <alignment horizontal="center"/>
    </xf>
    <xf numFmtId="2" fontId="77" fillId="8" borderId="1" xfId="3" applyNumberFormat="1" applyFont="1" applyFill="1" applyBorder="1" applyAlignment="1">
      <alignment horizontal="right"/>
    </xf>
    <xf numFmtId="0" fontId="79" fillId="13" borderId="3" xfId="3" applyFont="1" applyFill="1" applyBorder="1" applyAlignment="1">
      <alignment horizontal="center"/>
    </xf>
    <xf numFmtId="0" fontId="79" fillId="13" borderId="4" xfId="3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171" fontId="78" fillId="8" borderId="1" xfId="5" applyNumberFormat="1" applyFont="1" applyFill="1" applyBorder="1" applyAlignment="1" applyProtection="1">
      <alignment horizontal="center" vertical="center"/>
    </xf>
    <xf numFmtId="1" fontId="78" fillId="2" borderId="1" xfId="3" applyNumberFormat="1" applyFont="1" applyFill="1" applyBorder="1" applyAlignment="1">
      <alignment horizontal="center" vertical="top"/>
    </xf>
    <xf numFmtId="0" fontId="74" fillId="12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left" vertical="justify"/>
    </xf>
    <xf numFmtId="0" fontId="74" fillId="17" borderId="1" xfId="3" applyFont="1" applyFill="1" applyBorder="1" applyAlignment="1">
      <alignment horizontal="center"/>
    </xf>
    <xf numFmtId="1" fontId="48" fillId="17" borderId="1" xfId="3" applyNumberFormat="1" applyFont="1" applyFill="1" applyBorder="1" applyAlignment="1">
      <alignment horizontal="center"/>
    </xf>
    <xf numFmtId="0" fontId="74" fillId="17" borderId="12" xfId="3" applyFont="1" applyFill="1" applyBorder="1" applyAlignment="1">
      <alignment horizontal="center"/>
    </xf>
    <xf numFmtId="1" fontId="48" fillId="2" borderId="1" xfId="3" applyNumberFormat="1" applyFont="1" applyFill="1" applyBorder="1" applyAlignment="1">
      <alignment horizontal="center"/>
    </xf>
    <xf numFmtId="165" fontId="74" fillId="8" borderId="1" xfId="7" applyFont="1" applyFill="1" applyBorder="1" applyAlignment="1">
      <alignment horizontal="right" wrapText="1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1" fontId="48" fillId="0" borderId="24" xfId="0" applyNumberFormat="1" applyFont="1" applyBorder="1"/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4" fillId="12" borderId="1" xfId="5" applyNumberFormat="1" applyFont="1" applyFill="1" applyBorder="1" applyAlignment="1">
      <alignment horizontal="center"/>
    </xf>
    <xf numFmtId="1" fontId="74" fillId="12" borderId="12" xfId="5" applyNumberFormat="1" applyFont="1" applyFill="1" applyBorder="1" applyAlignment="1">
      <alignment horizontal="center"/>
    </xf>
    <xf numFmtId="0" fontId="76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9" fontId="74" fillId="8" borderId="1" xfId="6" applyNumberFormat="1" applyFont="1" applyFill="1" applyBorder="1" applyAlignment="1">
      <alignment horizontal="center"/>
    </xf>
    <xf numFmtId="167" fontId="74" fillId="0" borderId="1" xfId="6" applyNumberFormat="1" applyFont="1" applyFill="1" applyBorder="1" applyAlignment="1"/>
    <xf numFmtId="1" fontId="74" fillId="8" borderId="1" xfId="5" applyNumberFormat="1" applyFont="1" applyFill="1" applyBorder="1" applyAlignment="1">
      <alignment horizontal="right"/>
    </xf>
    <xf numFmtId="0" fontId="74" fillId="8" borderId="6" xfId="3" applyFont="1" applyFill="1" applyBorder="1" applyAlignment="1">
      <alignment horizontal="center"/>
    </xf>
    <xf numFmtId="2" fontId="74" fillId="8" borderId="6" xfId="3" applyNumberFormat="1" applyFont="1" applyFill="1" applyBorder="1" applyAlignment="1">
      <alignment horizontal="center"/>
    </xf>
    <xf numFmtId="9" fontId="74" fillId="8" borderId="6" xfId="6" applyNumberFormat="1" applyFont="1" applyFill="1" applyBorder="1" applyAlignment="1">
      <alignment horizontal="center"/>
    </xf>
    <xf numFmtId="2" fontId="74" fillId="8" borderId="6" xfId="3" applyNumberFormat="1" applyFont="1" applyFill="1" applyBorder="1" applyAlignment="1">
      <alignment horizontal="right"/>
    </xf>
    <xf numFmtId="1" fontId="74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1" fontId="48" fillId="0" borderId="1" xfId="0" applyNumberFormat="1" applyFont="1" applyBorder="1"/>
    <xf numFmtId="0" fontId="74" fillId="0" borderId="1" xfId="0" applyFont="1" applyBorder="1" applyAlignment="1">
      <alignment horizontal="center"/>
    </xf>
    <xf numFmtId="1" fontId="74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6" fillId="2" borderId="1" xfId="4" applyFont="1" applyFill="1" applyBorder="1" applyAlignment="1">
      <alignment horizontal="center" wrapText="1"/>
    </xf>
    <xf numFmtId="0" fontId="76" fillId="0" borderId="1" xfId="4" applyFont="1" applyFill="1" applyBorder="1" applyAlignment="1">
      <alignment horizontal="center" wrapText="1"/>
    </xf>
    <xf numFmtId="0" fontId="76" fillId="0" borderId="1" xfId="4" applyFont="1" applyBorder="1" applyAlignment="1">
      <alignment horizontal="center" wrapText="1"/>
    </xf>
    <xf numFmtId="0" fontId="74" fillId="0" borderId="1" xfId="3" applyFont="1" applyFill="1" applyBorder="1" applyAlignment="1">
      <alignment horizontal="center"/>
    </xf>
    <xf numFmtId="0" fontId="74" fillId="0" borderId="0" xfId="3" applyFont="1" applyFill="1" applyBorder="1" applyAlignment="1">
      <alignment horizontal="center"/>
    </xf>
    <xf numFmtId="0" fontId="77" fillId="0" borderId="1" xfId="0" applyFont="1" applyFill="1" applyBorder="1"/>
    <xf numFmtId="0" fontId="74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74" fillId="0" borderId="1" xfId="5" applyNumberFormat="1" applyFont="1" applyFill="1" applyBorder="1" applyAlignment="1">
      <alignment horizontal="center" vertical="center"/>
    </xf>
    <xf numFmtId="1" fontId="74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7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4" fillId="10" borderId="1" xfId="4" applyFont="1" applyFill="1" applyBorder="1" applyAlignment="1">
      <alignment horizontal="center" wrapText="1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80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81" fillId="9" borderId="1" xfId="3" applyFont="1" applyFill="1" applyBorder="1" applyAlignment="1">
      <alignment horizontal="center" vertical="center"/>
    </xf>
    <xf numFmtId="2" fontId="81" fillId="9" borderId="1" xfId="3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8" fillId="0" borderId="0" xfId="0" applyFont="1" applyBorder="1" applyAlignment="1">
      <alignment horizontal="center"/>
    </xf>
    <xf numFmtId="168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9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2" fontId="74" fillId="0" borderId="1" xfId="3" applyNumberFormat="1" applyFont="1" applyFill="1" applyBorder="1" applyAlignment="1">
      <alignment horizontal="right"/>
    </xf>
    <xf numFmtId="1" fontId="74" fillId="0" borderId="1" xfId="5" applyNumberFormat="1" applyFont="1" applyFill="1" applyBorder="1" applyAlignment="1" applyProtection="1">
      <alignment horizontal="center"/>
    </xf>
    <xf numFmtId="2" fontId="77" fillId="0" borderId="1" xfId="3" applyNumberFormat="1" applyFont="1" applyFill="1" applyBorder="1" applyAlignment="1">
      <alignment horizontal="right"/>
    </xf>
    <xf numFmtId="0" fontId="74" fillId="0" borderId="1" xfId="3" applyFont="1" applyFill="1" applyBorder="1" applyAlignment="1">
      <alignment horizontal="center" vertical="center"/>
    </xf>
    <xf numFmtId="0" fontId="74" fillId="0" borderId="0" xfId="4" applyFont="1" applyFill="1" applyBorder="1" applyAlignment="1">
      <alignment horizontal="center"/>
    </xf>
    <xf numFmtId="1" fontId="74" fillId="0" borderId="0" xfId="5" applyNumberFormat="1" applyFont="1" applyFill="1" applyBorder="1" applyAlignment="1">
      <alignment horizontal="center" vertical="center"/>
    </xf>
    <xf numFmtId="1" fontId="74" fillId="0" borderId="0" xfId="3" applyNumberFormat="1" applyFont="1" applyFill="1" applyBorder="1" applyAlignment="1">
      <alignment horizontal="center"/>
    </xf>
    <xf numFmtId="1" fontId="74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2" fontId="74" fillId="9" borderId="1" xfId="3" applyNumberFormat="1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 vertical="center"/>
    </xf>
    <xf numFmtId="166" fontId="82" fillId="2" borderId="0" xfId="3" applyNumberFormat="1" applyFont="1" applyFill="1" applyBorder="1" applyAlignment="1">
      <alignment horizontal="center"/>
    </xf>
    <xf numFmtId="166" fontId="83" fillId="2" borderId="0" xfId="3" applyNumberFormat="1" applyFont="1" applyFill="1" applyBorder="1" applyAlignment="1">
      <alignment horizontal="center" vertical="center" wrapText="1" shrinkToFit="1"/>
    </xf>
    <xf numFmtId="0" fontId="83" fillId="2" borderId="0" xfId="3" applyFont="1" applyFill="1" applyBorder="1" applyAlignment="1">
      <alignment horizontal="center" vertical="center"/>
    </xf>
    <xf numFmtId="2" fontId="74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83" fillId="2" borderId="0" xfId="5" applyNumberFormat="1" applyFont="1" applyFill="1" applyBorder="1" applyAlignment="1" applyProtection="1">
      <alignment horizontal="center"/>
    </xf>
    <xf numFmtId="0" fontId="83" fillId="2" borderId="0" xfId="3" applyFont="1" applyFill="1" applyBorder="1" applyAlignment="1">
      <alignment horizontal="center"/>
    </xf>
    <xf numFmtId="0" fontId="83" fillId="17" borderId="3" xfId="3" applyFont="1" applyFill="1" applyBorder="1" applyAlignment="1">
      <alignment vertical="justify"/>
    </xf>
    <xf numFmtId="0" fontId="85" fillId="17" borderId="3" xfId="3" applyFont="1" applyFill="1" applyBorder="1" applyAlignment="1">
      <alignment horizontal="center" vertical="justify"/>
    </xf>
    <xf numFmtId="0" fontId="83" fillId="17" borderId="21" xfId="3" applyFont="1" applyFill="1" applyBorder="1" applyAlignment="1">
      <alignment vertical="justify"/>
    </xf>
    <xf numFmtId="1" fontId="77" fillId="2" borderId="0" xfId="0" applyNumberFormat="1" applyFont="1" applyFill="1"/>
    <xf numFmtId="1" fontId="77" fillId="0" borderId="0" xfId="0" applyNumberFormat="1" applyFont="1"/>
    <xf numFmtId="166" fontId="83" fillId="2" borderId="0" xfId="5" applyNumberFormat="1" applyFont="1" applyFill="1" applyBorder="1" applyAlignment="1" applyProtection="1">
      <alignment horizontal="center"/>
    </xf>
    <xf numFmtId="0" fontId="74" fillId="0" borderId="0" xfId="0" applyFont="1" applyBorder="1"/>
    <xf numFmtId="0" fontId="74" fillId="0" borderId="0" xfId="0" applyFont="1"/>
    <xf numFmtId="166" fontId="83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1" fontId="38" fillId="10" borderId="1" xfId="5" applyNumberFormat="1" applyFont="1" applyFill="1" applyBorder="1" applyAlignment="1">
      <alignment horizontal="center" vertic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2" fontId="38" fillId="10" borderId="1" xfId="3" applyNumberFormat="1" applyFont="1" applyFill="1" applyBorder="1" applyAlignment="1">
      <alignment horizontal="center"/>
    </xf>
    <xf numFmtId="1" fontId="38" fillId="10" borderId="6" xfId="5" applyNumberFormat="1" applyFont="1" applyFill="1" applyBorder="1" applyAlignment="1">
      <alignment horizontal="center" vertic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center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6" fillId="2" borderId="1" xfId="0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48" fillId="12" borderId="29" xfId="0" applyFont="1" applyFill="1" applyBorder="1" applyAlignment="1">
      <alignment horizontal="center"/>
    </xf>
    <xf numFmtId="0" fontId="48" fillId="12" borderId="30" xfId="0" applyFont="1" applyFill="1" applyBorder="1" applyAlignment="1">
      <alignment horizontal="center"/>
    </xf>
    <xf numFmtId="0" fontId="74" fillId="2" borderId="20" xfId="0" applyFont="1" applyFill="1" applyBorder="1" applyAlignment="1">
      <alignment horizontal="center"/>
    </xf>
    <xf numFmtId="0" fontId="74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4" fillId="12" borderId="23" xfId="3" applyFont="1" applyFill="1" applyBorder="1" applyAlignment="1">
      <alignment horizontal="center" vertical="center"/>
    </xf>
    <xf numFmtId="0" fontId="74" fillId="12" borderId="0" xfId="3" applyFont="1" applyFill="1" applyBorder="1" applyAlignment="1">
      <alignment horizontal="center" vertical="center"/>
    </xf>
    <xf numFmtId="0" fontId="74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6" fillId="0" borderId="1" xfId="4" applyFont="1" applyFill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74" fillId="13" borderId="13" xfId="3" applyFont="1" applyFill="1" applyBorder="1" applyAlignment="1">
      <alignment horizontal="left"/>
    </xf>
    <xf numFmtId="0" fontId="74" fillId="13" borderId="3" xfId="3" applyFont="1" applyFill="1" applyBorder="1" applyAlignment="1">
      <alignment horizontal="left"/>
    </xf>
    <xf numFmtId="0" fontId="74" fillId="13" borderId="4" xfId="3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4" fillId="8" borderId="13" xfId="3" applyFont="1" applyFill="1" applyBorder="1" applyAlignment="1">
      <alignment horizontal="left"/>
    </xf>
    <xf numFmtId="0" fontId="74" fillId="8" borderId="3" xfId="3" applyFont="1" applyFill="1" applyBorder="1" applyAlignment="1">
      <alignment horizontal="left"/>
    </xf>
    <xf numFmtId="0" fontId="74" fillId="8" borderId="4" xfId="3" applyFont="1" applyFill="1" applyBorder="1" applyAlignment="1">
      <alignment horizontal="left"/>
    </xf>
    <xf numFmtId="0" fontId="74" fillId="8" borderId="0" xfId="3" applyFont="1" applyFill="1" applyBorder="1" applyAlignment="1">
      <alignment vertical="center"/>
    </xf>
    <xf numFmtId="0" fontId="74" fillId="0" borderId="2" xfId="4" applyFont="1" applyBorder="1" applyAlignment="1">
      <alignment horizontal="left" vertical="center"/>
    </xf>
    <xf numFmtId="0" fontId="74" fillId="0" borderId="3" xfId="4" applyFont="1" applyBorder="1" applyAlignment="1">
      <alignment horizontal="left" vertical="center"/>
    </xf>
    <xf numFmtId="0" fontId="74" fillId="0" borderId="4" xfId="4" applyFont="1" applyBorder="1" applyAlignment="1">
      <alignment horizontal="left" vertical="center"/>
    </xf>
    <xf numFmtId="0" fontId="74" fillId="8" borderId="19" xfId="3" applyFont="1" applyFill="1" applyBorder="1" applyAlignment="1">
      <alignment horizontal="left"/>
    </xf>
    <xf numFmtId="0" fontId="74" fillId="8" borderId="8" xfId="3" applyFont="1" applyFill="1" applyBorder="1" applyAlignment="1">
      <alignment horizontal="left"/>
    </xf>
    <xf numFmtId="0" fontId="74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4" fillId="12" borderId="13" xfId="3" applyFont="1" applyFill="1" applyBorder="1" applyAlignment="1">
      <alignment horizontal="center" vertical="center"/>
    </xf>
    <xf numFmtId="0" fontId="74" fillId="12" borderId="3" xfId="3" applyFont="1" applyFill="1" applyBorder="1" applyAlignment="1">
      <alignment horizontal="center" vertical="center"/>
    </xf>
    <xf numFmtId="0" fontId="74" fillId="12" borderId="4" xfId="3" applyFont="1" applyFill="1" applyBorder="1" applyAlignment="1">
      <alignment horizontal="center" vertical="center"/>
    </xf>
    <xf numFmtId="0" fontId="74" fillId="12" borderId="13" xfId="3" applyFont="1" applyFill="1" applyBorder="1" applyAlignment="1">
      <alignment horizontal="center"/>
    </xf>
    <xf numFmtId="0" fontId="74" fillId="12" borderId="3" xfId="3" applyFont="1" applyFill="1" applyBorder="1" applyAlignment="1">
      <alignment horizontal="center"/>
    </xf>
    <xf numFmtId="0" fontId="74" fillId="12" borderId="4" xfId="3" applyFont="1" applyFill="1" applyBorder="1" applyAlignment="1">
      <alignment horizontal="center"/>
    </xf>
    <xf numFmtId="0" fontId="75" fillId="17" borderId="13" xfId="3" applyFont="1" applyFill="1" applyBorder="1" applyAlignment="1">
      <alignment horizontal="center"/>
    </xf>
    <xf numFmtId="0" fontId="75" fillId="17" borderId="3" xfId="3" applyFont="1" applyFill="1" applyBorder="1" applyAlignment="1">
      <alignment horizontal="center"/>
    </xf>
    <xf numFmtId="0" fontId="75" fillId="17" borderId="4" xfId="3" applyFont="1" applyFill="1" applyBorder="1" applyAlignment="1">
      <alignment horizontal="center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7" fillId="8" borderId="14" xfId="3" applyFont="1" applyFill="1" applyBorder="1" applyAlignment="1">
      <alignment horizontal="center"/>
    </xf>
    <xf numFmtId="0" fontId="77" fillId="8" borderId="11" xfId="3" applyFont="1" applyFill="1" applyBorder="1" applyAlignment="1">
      <alignment horizontal="center"/>
    </xf>
    <xf numFmtId="0" fontId="77" fillId="8" borderId="15" xfId="3" applyFont="1" applyFill="1" applyBorder="1" applyAlignment="1">
      <alignment horizontal="center"/>
    </xf>
    <xf numFmtId="0" fontId="75" fillId="12" borderId="13" xfId="3" applyFont="1" applyFill="1" applyBorder="1" applyAlignment="1">
      <alignment horizontal="center" vertical="center"/>
    </xf>
    <xf numFmtId="0" fontId="75" fillId="12" borderId="3" xfId="3" applyFont="1" applyFill="1" applyBorder="1" applyAlignment="1">
      <alignment horizontal="center" vertical="center"/>
    </xf>
    <xf numFmtId="0" fontId="75" fillId="12" borderId="4" xfId="3" applyFont="1" applyFill="1" applyBorder="1" applyAlignment="1">
      <alignment horizontal="center" vertical="center"/>
    </xf>
    <xf numFmtId="0" fontId="75" fillId="12" borderId="13" xfId="3" applyFont="1" applyFill="1" applyBorder="1" applyAlignment="1">
      <alignment horizontal="center"/>
    </xf>
    <xf numFmtId="0" fontId="75" fillId="12" borderId="3" xfId="3" applyFont="1" applyFill="1" applyBorder="1" applyAlignment="1">
      <alignment horizontal="center"/>
    </xf>
    <xf numFmtId="0" fontId="75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4" fillId="9" borderId="2" xfId="3" applyFont="1" applyFill="1" applyBorder="1" applyAlignment="1">
      <alignment horizontal="center"/>
    </xf>
    <xf numFmtId="0" fontId="74" fillId="9" borderId="4" xfId="3" applyFont="1" applyFill="1" applyBorder="1" applyAlignment="1">
      <alignment horizontal="center"/>
    </xf>
    <xf numFmtId="0" fontId="84" fillId="17" borderId="13" xfId="3" applyFont="1" applyFill="1" applyBorder="1" applyAlignment="1">
      <alignment horizontal="center" vertical="center"/>
    </xf>
    <xf numFmtId="0" fontId="84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76" fillId="0" borderId="2" xfId="4" applyFont="1" applyFill="1" applyBorder="1" applyAlignment="1">
      <alignment horizontal="left"/>
    </xf>
    <xf numFmtId="0" fontId="76" fillId="0" borderId="3" xfId="4" applyFont="1" applyFill="1" applyBorder="1" applyAlignment="1">
      <alignment horizontal="left"/>
    </xf>
    <xf numFmtId="0" fontId="76" fillId="0" borderId="4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4" fillId="0" borderId="1" xfId="4" applyFont="1" applyFill="1" applyBorder="1" applyAlignment="1">
      <alignment horizontal="left"/>
    </xf>
    <xf numFmtId="0" fontId="74" fillId="0" borderId="2" xfId="4" applyFont="1" applyFill="1" applyBorder="1" applyAlignment="1">
      <alignment horizontal="left"/>
    </xf>
    <xf numFmtId="0" fontId="74" fillId="0" borderId="3" xfId="4" applyFont="1" applyFill="1" applyBorder="1" applyAlignment="1">
      <alignment horizontal="left"/>
    </xf>
    <xf numFmtId="0" fontId="74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72" fillId="12" borderId="13" xfId="3" applyFont="1" applyFill="1" applyBorder="1" applyAlignment="1">
      <alignment horizontal="center" vertical="center"/>
    </xf>
    <xf numFmtId="0" fontId="72" fillId="12" borderId="3" xfId="3" applyFont="1" applyFill="1" applyBorder="1" applyAlignment="1">
      <alignment horizontal="center" vertical="center"/>
    </xf>
    <xf numFmtId="0" fontId="72" fillId="12" borderId="4" xfId="3" applyFont="1" applyFill="1" applyBorder="1" applyAlignment="1">
      <alignment horizontal="center" vertical="center"/>
    </xf>
    <xf numFmtId="0" fontId="73" fillId="17" borderId="13" xfId="3" applyFont="1" applyFill="1" applyBorder="1" applyAlignment="1">
      <alignment horizontal="center" vertical="center"/>
    </xf>
    <xf numFmtId="0" fontId="73" fillId="17" borderId="3" xfId="3" applyFont="1" applyFill="1" applyBorder="1" applyAlignment="1">
      <alignment horizontal="center" vertical="center"/>
    </xf>
    <xf numFmtId="0" fontId="72" fillId="17" borderId="13" xfId="3" applyFont="1" applyFill="1" applyBorder="1" applyAlignment="1">
      <alignment horizontal="center"/>
    </xf>
    <xf numFmtId="0" fontId="72" fillId="17" borderId="3" xfId="3" applyFont="1" applyFill="1" applyBorder="1" applyAlignment="1">
      <alignment horizontal="center"/>
    </xf>
    <xf numFmtId="0" fontId="72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31" xfId="0" applyFont="1" applyFill="1" applyBorder="1" applyAlignment="1">
      <alignment horizontal="left"/>
    </xf>
    <xf numFmtId="0" fontId="37" fillId="12" borderId="32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  <xf numFmtId="1" fontId="38" fillId="0" borderId="1" xfId="0" applyNumberFormat="1" applyFont="1" applyFill="1" applyBorder="1" applyAlignment="1">
      <alignment horizontal="center"/>
    </xf>
  </cellXfs>
  <cellStyles count="19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6"/>
    <cellStyle name="Normal 4 2" xfId="18"/>
    <cellStyle name="Normal 5" xfId="17"/>
    <cellStyle name="Percent 2" xfId="6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24.779999999998836</c:v>
                </c:pt>
                <c:pt idx="1">
                  <c:v>27.130000000004657</c:v>
                </c:pt>
                <c:pt idx="2">
                  <c:v>24</c:v>
                </c:pt>
                <c:pt idx="3">
                  <c:v>24</c:v>
                </c:pt>
                <c:pt idx="4">
                  <c:v>33</c:v>
                </c:pt>
                <c:pt idx="5">
                  <c:v>28.999999999997954</c:v>
                </c:pt>
                <c:pt idx="6">
                  <c:v>24.089999999996508</c:v>
                </c:pt>
                <c:pt idx="7">
                  <c:v>24.060000000004948</c:v>
                </c:pt>
                <c:pt idx="8">
                  <c:v>24.44999999999709</c:v>
                </c:pt>
                <c:pt idx="9">
                  <c:v>24</c:v>
                </c:pt>
                <c:pt idx="10">
                  <c:v>24</c:v>
                </c:pt>
                <c:pt idx="11">
                  <c:v>29.910000000003492</c:v>
                </c:pt>
                <c:pt idx="12">
                  <c:v>32</c:v>
                </c:pt>
                <c:pt idx="13">
                  <c:v>29</c:v>
                </c:pt>
                <c:pt idx="14">
                  <c:v>35.689999999998236</c:v>
                </c:pt>
                <c:pt idx="15">
                  <c:v>33.609999999999445</c:v>
                </c:pt>
                <c:pt idx="16">
                  <c:v>37.190000000002328</c:v>
                </c:pt>
                <c:pt idx="17">
                  <c:v>36.769999999996116</c:v>
                </c:pt>
                <c:pt idx="18">
                  <c:v>33.150000000004184</c:v>
                </c:pt>
                <c:pt idx="19">
                  <c:v>36.369999999996253</c:v>
                </c:pt>
                <c:pt idx="20">
                  <c:v>38.3400000000006</c:v>
                </c:pt>
                <c:pt idx="21">
                  <c:v>37.9399999999996</c:v>
                </c:pt>
                <c:pt idx="22">
                  <c:v>39.629999999997381</c:v>
                </c:pt>
                <c:pt idx="23">
                  <c:v>36.620000000003529</c:v>
                </c:pt>
                <c:pt idx="24">
                  <c:v>37.490000000000009</c:v>
                </c:pt>
                <c:pt idx="25">
                  <c:v>37</c:v>
                </c:pt>
                <c:pt idx="26">
                  <c:v>35</c:v>
                </c:pt>
                <c:pt idx="27">
                  <c:v>17.839999999998781</c:v>
                </c:pt>
                <c:pt idx="28">
                  <c:v>23.5</c:v>
                </c:pt>
                <c:pt idx="29">
                  <c:v>-913.56</c:v>
                </c:pt>
                <c:pt idx="30">
                  <c:v>24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77008256"/>
        <c:axId val="77018240"/>
      </c:lineChart>
      <c:catAx>
        <c:axId val="770082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018240"/>
        <c:crosses val="autoZero"/>
        <c:auto val="1"/>
        <c:lblAlgn val="ctr"/>
        <c:lblOffset val="100"/>
      </c:catAx>
      <c:valAx>
        <c:axId val="77018240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77008256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15.43999999999869</c:v>
                </c:pt>
                <c:pt idx="1">
                  <c:v>13.229999999995925</c:v>
                </c:pt>
                <c:pt idx="2">
                  <c:v>11.540000000000873</c:v>
                </c:pt>
                <c:pt idx="3">
                  <c:v>9.2099999999954889</c:v>
                </c:pt>
                <c:pt idx="4">
                  <c:v>10.999999999996362</c:v>
                </c:pt>
                <c:pt idx="5">
                  <c:v>12.800000000010186</c:v>
                </c:pt>
                <c:pt idx="6">
                  <c:v>14.220000000001164</c:v>
                </c:pt>
                <c:pt idx="7">
                  <c:v>16.760000000002037</c:v>
                </c:pt>
                <c:pt idx="8">
                  <c:v>18.449999999993452</c:v>
                </c:pt>
                <c:pt idx="9">
                  <c:v>15.709999999999127</c:v>
                </c:pt>
                <c:pt idx="10">
                  <c:v>16.500000000003638</c:v>
                </c:pt>
                <c:pt idx="11">
                  <c:v>16.27999999999156</c:v>
                </c:pt>
                <c:pt idx="12">
                  <c:v>16.130000000004657</c:v>
                </c:pt>
                <c:pt idx="13">
                  <c:v>17.409999999999854</c:v>
                </c:pt>
                <c:pt idx="14">
                  <c:v>14.27000000001135</c:v>
                </c:pt>
                <c:pt idx="15">
                  <c:v>16.839999999996508</c:v>
                </c:pt>
                <c:pt idx="16">
                  <c:v>19.239999999990687</c:v>
                </c:pt>
                <c:pt idx="17">
                  <c:v>16.670000000012806</c:v>
                </c:pt>
                <c:pt idx="18">
                  <c:v>17.179999999993015</c:v>
                </c:pt>
                <c:pt idx="19">
                  <c:v>17.83999999999287</c:v>
                </c:pt>
                <c:pt idx="20">
                  <c:v>14.940000000009604</c:v>
                </c:pt>
                <c:pt idx="21">
                  <c:v>15.309999999990396</c:v>
                </c:pt>
                <c:pt idx="22">
                  <c:v>15.729999999999563</c:v>
                </c:pt>
                <c:pt idx="23">
                  <c:v>15.630000000004657</c:v>
                </c:pt>
                <c:pt idx="24">
                  <c:v>18.31000000000131</c:v>
                </c:pt>
                <c:pt idx="25">
                  <c:v>17.330000000001746</c:v>
                </c:pt>
                <c:pt idx="26">
                  <c:v>18.899999999990541</c:v>
                </c:pt>
                <c:pt idx="27">
                  <c:v>18.58000000001266</c:v>
                </c:pt>
                <c:pt idx="28">
                  <c:v>17.239999999990687</c:v>
                </c:pt>
                <c:pt idx="29">
                  <c:v>-477.04999999999563</c:v>
                </c:pt>
                <c:pt idx="30">
                  <c:v>18.36000000000422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77055488"/>
        <c:axId val="77057024"/>
      </c:lineChart>
      <c:catAx>
        <c:axId val="7705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057024"/>
        <c:crosses val="autoZero"/>
        <c:auto val="1"/>
        <c:lblAlgn val="ctr"/>
        <c:lblOffset val="100"/>
      </c:catAx>
      <c:valAx>
        <c:axId val="77057024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05548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068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237</c:v>
                </c:pt>
                <c:pt idx="1">
                  <c:v>270</c:v>
                </c:pt>
                <c:pt idx="2">
                  <c:v>279</c:v>
                </c:pt>
                <c:pt idx="3">
                  <c:v>239</c:v>
                </c:pt>
                <c:pt idx="4">
                  <c:v>159</c:v>
                </c:pt>
                <c:pt idx="5">
                  <c:v>291</c:v>
                </c:pt>
                <c:pt idx="6">
                  <c:v>259</c:v>
                </c:pt>
                <c:pt idx="7">
                  <c:v>258</c:v>
                </c:pt>
                <c:pt idx="8">
                  <c:v>253</c:v>
                </c:pt>
                <c:pt idx="9">
                  <c:v>225</c:v>
                </c:pt>
                <c:pt idx="10">
                  <c:v>233</c:v>
                </c:pt>
                <c:pt idx="11">
                  <c:v>278</c:v>
                </c:pt>
                <c:pt idx="12">
                  <c:v>256</c:v>
                </c:pt>
                <c:pt idx="13">
                  <c:v>293</c:v>
                </c:pt>
                <c:pt idx="14">
                  <c:v>236</c:v>
                </c:pt>
                <c:pt idx="15">
                  <c:v>251</c:v>
                </c:pt>
                <c:pt idx="16">
                  <c:v>255</c:v>
                </c:pt>
                <c:pt idx="17">
                  <c:v>337</c:v>
                </c:pt>
                <c:pt idx="18">
                  <c:v>325</c:v>
                </c:pt>
                <c:pt idx="19">
                  <c:v>271</c:v>
                </c:pt>
                <c:pt idx="20">
                  <c:v>276</c:v>
                </c:pt>
                <c:pt idx="21">
                  <c:v>260</c:v>
                </c:pt>
                <c:pt idx="22">
                  <c:v>233</c:v>
                </c:pt>
                <c:pt idx="23">
                  <c:v>235</c:v>
                </c:pt>
                <c:pt idx="24">
                  <c:v>295</c:v>
                </c:pt>
                <c:pt idx="25">
                  <c:v>291</c:v>
                </c:pt>
                <c:pt idx="26">
                  <c:v>272</c:v>
                </c:pt>
                <c:pt idx="27">
                  <c:v>294</c:v>
                </c:pt>
                <c:pt idx="28">
                  <c:v>265</c:v>
                </c:pt>
                <c:pt idx="29">
                  <c:v>-1505</c:v>
                </c:pt>
                <c:pt idx="30">
                  <c:v>269</c:v>
                </c:pt>
                <c:pt idx="31">
                  <c:v>6390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78536704"/>
        <c:axId val="78538240"/>
      </c:lineChart>
      <c:catAx>
        <c:axId val="7853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38240"/>
        <c:crosses val="autoZero"/>
        <c:auto val="1"/>
        <c:lblAlgn val="ctr"/>
        <c:lblOffset val="100"/>
      </c:catAx>
      <c:valAx>
        <c:axId val="78538240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36704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60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1029.0300000000279</c:v>
                </c:pt>
                <c:pt idx="1">
                  <c:v>946.85000000009313</c:v>
                </c:pt>
                <c:pt idx="2">
                  <c:v>955.48999999999069</c:v>
                </c:pt>
                <c:pt idx="3">
                  <c:v>914.75</c:v>
                </c:pt>
                <c:pt idx="4">
                  <c:v>889.91999999992549</c:v>
                </c:pt>
                <c:pt idx="5">
                  <c:v>955.67999999993481</c:v>
                </c:pt>
                <c:pt idx="6">
                  <c:v>962.48999999999069</c:v>
                </c:pt>
                <c:pt idx="7">
                  <c:v>1009.75</c:v>
                </c:pt>
                <c:pt idx="8">
                  <c:v>1028.0800000000745</c:v>
                </c:pt>
                <c:pt idx="9">
                  <c:v>1016</c:v>
                </c:pt>
                <c:pt idx="10">
                  <c:v>1046</c:v>
                </c:pt>
                <c:pt idx="11">
                  <c:v>1060</c:v>
                </c:pt>
                <c:pt idx="12">
                  <c:v>1071</c:v>
                </c:pt>
                <c:pt idx="13">
                  <c:v>1139.97</c:v>
                </c:pt>
                <c:pt idx="14">
                  <c:v>911.19999999995343</c:v>
                </c:pt>
                <c:pt idx="15">
                  <c:v>794.9000000001397</c:v>
                </c:pt>
                <c:pt idx="16">
                  <c:v>824.39999999990687</c:v>
                </c:pt>
                <c:pt idx="17">
                  <c:v>783.80000000004657</c:v>
                </c:pt>
                <c:pt idx="18">
                  <c:v>785.5999999998603</c:v>
                </c:pt>
                <c:pt idx="19">
                  <c:v>1135.2800000000279</c:v>
                </c:pt>
                <c:pt idx="20">
                  <c:v>1044.0400000000373</c:v>
                </c:pt>
                <c:pt idx="21">
                  <c:v>1044.0400000000373</c:v>
                </c:pt>
                <c:pt idx="22">
                  <c:v>1060.3199999998324</c:v>
                </c:pt>
                <c:pt idx="23">
                  <c:v>1071.6000000000931</c:v>
                </c:pt>
                <c:pt idx="24">
                  <c:v>1082</c:v>
                </c:pt>
                <c:pt idx="25">
                  <c:v>1201</c:v>
                </c:pt>
                <c:pt idx="26">
                  <c:v>1124</c:v>
                </c:pt>
                <c:pt idx="27">
                  <c:v>1158.1200000001118</c:v>
                </c:pt>
                <c:pt idx="28">
                  <c:v>1085.0799999998417</c:v>
                </c:pt>
                <c:pt idx="29">
                  <c:v>-27419.199999999953</c:v>
                </c:pt>
                <c:pt idx="30">
                  <c:v>1024.9599999999627</c:v>
                </c:pt>
                <c:pt idx="31">
                  <c:v>2736.149999999936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77145600"/>
        <c:axId val="77147136"/>
      </c:lineChart>
      <c:catAx>
        <c:axId val="7714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147136"/>
        <c:crosses val="autoZero"/>
        <c:auto val="1"/>
        <c:lblAlgn val="ctr"/>
        <c:lblOffset val="100"/>
      </c:catAx>
      <c:valAx>
        <c:axId val="7714713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145600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044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2900.0400000000081</c:v>
                </c:pt>
                <c:pt idx="1">
                  <c:v>2945.3999999999942</c:v>
                </c:pt>
                <c:pt idx="2">
                  <c:v>2961.1600000000035</c:v>
                </c:pt>
                <c:pt idx="3">
                  <c:v>2745.679999999993</c:v>
                </c:pt>
                <c:pt idx="4">
                  <c:v>2856.6700000000128</c:v>
                </c:pt>
                <c:pt idx="5">
                  <c:v>2809.5899999999965</c:v>
                </c:pt>
                <c:pt idx="6">
                  <c:v>2812.8600000000151</c:v>
                </c:pt>
                <c:pt idx="7">
                  <c:v>2891.2200000000012</c:v>
                </c:pt>
                <c:pt idx="8">
                  <c:v>2928.3299999999872</c:v>
                </c:pt>
                <c:pt idx="9">
                  <c:v>2884</c:v>
                </c:pt>
                <c:pt idx="10">
                  <c:v>2887</c:v>
                </c:pt>
                <c:pt idx="11">
                  <c:v>2962</c:v>
                </c:pt>
                <c:pt idx="12">
                  <c:v>3040</c:v>
                </c:pt>
                <c:pt idx="13">
                  <c:v>2824</c:v>
                </c:pt>
                <c:pt idx="14">
                  <c:v>2954.210000000021</c:v>
                </c:pt>
                <c:pt idx="15">
                  <c:v>2997.2799999999697</c:v>
                </c:pt>
                <c:pt idx="16">
                  <c:v>2980.359999999986</c:v>
                </c:pt>
                <c:pt idx="17">
                  <c:v>2891.1600000000326</c:v>
                </c:pt>
                <c:pt idx="18">
                  <c:v>2926.8999999999651</c:v>
                </c:pt>
                <c:pt idx="19">
                  <c:v>2942.6000000000349</c:v>
                </c:pt>
                <c:pt idx="20">
                  <c:v>2957.140000000014</c:v>
                </c:pt>
                <c:pt idx="21">
                  <c:v>3001.5</c:v>
                </c:pt>
                <c:pt idx="22">
                  <c:v>3091.3399999999674</c:v>
                </c:pt>
                <c:pt idx="23">
                  <c:v>2994.5100000000093</c:v>
                </c:pt>
                <c:pt idx="24">
                  <c:v>3057</c:v>
                </c:pt>
                <c:pt idx="25">
                  <c:v>3148</c:v>
                </c:pt>
                <c:pt idx="26">
                  <c:v>3060</c:v>
                </c:pt>
                <c:pt idx="27">
                  <c:v>2863.9099999999744</c:v>
                </c:pt>
                <c:pt idx="28">
                  <c:v>3082.2000000000116</c:v>
                </c:pt>
                <c:pt idx="29">
                  <c:v>-88384.109999999986</c:v>
                </c:pt>
                <c:pt idx="30">
                  <c:v>2988.0499999999884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78647680"/>
        <c:axId val="78649216"/>
      </c:lineChart>
      <c:catAx>
        <c:axId val="7864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49216"/>
        <c:crosses val="autoZero"/>
        <c:auto val="1"/>
        <c:lblAlgn val="ctr"/>
        <c:lblOffset val="100"/>
      </c:catAx>
      <c:valAx>
        <c:axId val="78649216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47680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1772.9599999999991</c:v>
                </c:pt>
                <c:pt idx="1">
                  <c:v>1996.9700000000012</c:v>
                </c:pt>
                <c:pt idx="2">
                  <c:v>2088.510000000002</c:v>
                </c:pt>
                <c:pt idx="3">
                  <c:v>1971.489999999998</c:v>
                </c:pt>
                <c:pt idx="4">
                  <c:v>1911.4000000000015</c:v>
                </c:pt>
                <c:pt idx="5">
                  <c:v>1950.9100000000035</c:v>
                </c:pt>
                <c:pt idx="6">
                  <c:v>1989.8999999999942</c:v>
                </c:pt>
                <c:pt idx="7">
                  <c:v>2125.9200000000055</c:v>
                </c:pt>
                <c:pt idx="8">
                  <c:v>2039.2699999999968</c:v>
                </c:pt>
                <c:pt idx="9">
                  <c:v>2009</c:v>
                </c:pt>
                <c:pt idx="10">
                  <c:v>2071</c:v>
                </c:pt>
                <c:pt idx="11">
                  <c:v>2041</c:v>
                </c:pt>
                <c:pt idx="12">
                  <c:v>2144</c:v>
                </c:pt>
                <c:pt idx="13">
                  <c:v>1792</c:v>
                </c:pt>
                <c:pt idx="14">
                  <c:v>1985.3700000000026</c:v>
                </c:pt>
                <c:pt idx="15">
                  <c:v>2096.1399999999994</c:v>
                </c:pt>
                <c:pt idx="16">
                  <c:v>2120.4399999999951</c:v>
                </c:pt>
                <c:pt idx="17">
                  <c:v>13.220000000001164</c:v>
                </c:pt>
                <c:pt idx="18">
                  <c:v>4103.2700000000041</c:v>
                </c:pt>
                <c:pt idx="19">
                  <c:v>2089.1999999999971</c:v>
                </c:pt>
                <c:pt idx="20">
                  <c:v>2011.9600000000064</c:v>
                </c:pt>
                <c:pt idx="21">
                  <c:v>2019.5999999999913</c:v>
                </c:pt>
                <c:pt idx="22">
                  <c:v>1993.8399999999965</c:v>
                </c:pt>
                <c:pt idx="23">
                  <c:v>1981.9600000000064</c:v>
                </c:pt>
                <c:pt idx="24">
                  <c:v>2192</c:v>
                </c:pt>
                <c:pt idx="25">
                  <c:v>2079</c:v>
                </c:pt>
                <c:pt idx="26">
                  <c:v>2134</c:v>
                </c:pt>
                <c:pt idx="27">
                  <c:v>2069.1600000000035</c:v>
                </c:pt>
                <c:pt idx="28">
                  <c:v>2281.3000000000029</c:v>
                </c:pt>
                <c:pt idx="29">
                  <c:v>-61006.460000000006</c:v>
                </c:pt>
                <c:pt idx="30">
                  <c:v>1931.6699999999983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78686464"/>
        <c:axId val="78700544"/>
      </c:lineChart>
      <c:catAx>
        <c:axId val="7868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00544"/>
        <c:crosses val="autoZero"/>
        <c:auto val="1"/>
        <c:lblAlgn val="ctr"/>
        <c:lblOffset val="100"/>
      </c:catAx>
      <c:valAx>
        <c:axId val="78700544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8646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0.51</c:v>
                </c:pt>
                <c:pt idx="1">
                  <c:v>0.51</c:v>
                </c:pt>
                <c:pt idx="2">
                  <c:v>0.51</c:v>
                </c:pt>
                <c:pt idx="3">
                  <c:v>0.68</c:v>
                </c:pt>
                <c:pt idx="4">
                  <c:v>0.38</c:v>
                </c:pt>
                <c:pt idx="5">
                  <c:v>1</c:v>
                </c:pt>
                <c:pt idx="6">
                  <c:v>0.98</c:v>
                </c:pt>
                <c:pt idx="7">
                  <c:v>0.55000000000000004</c:v>
                </c:pt>
                <c:pt idx="8">
                  <c:v>0.56000000000000005</c:v>
                </c:pt>
                <c:pt idx="9">
                  <c:v>0.68</c:v>
                </c:pt>
                <c:pt idx="10">
                  <c:v>0.76</c:v>
                </c:pt>
                <c:pt idx="11">
                  <c:v>0.78</c:v>
                </c:pt>
                <c:pt idx="12">
                  <c:v>0.69</c:v>
                </c:pt>
                <c:pt idx="13">
                  <c:v>0.51</c:v>
                </c:pt>
                <c:pt idx="14">
                  <c:v>0.7</c:v>
                </c:pt>
                <c:pt idx="15">
                  <c:v>0.57420000000000004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0.8</c:v>
                </c:pt>
                <c:pt idx="21">
                  <c:v>0.97</c:v>
                </c:pt>
                <c:pt idx="22">
                  <c:v>0.9</c:v>
                </c:pt>
                <c:pt idx="23">
                  <c:v>0.82</c:v>
                </c:pt>
                <c:pt idx="24">
                  <c:v>0.77</c:v>
                </c:pt>
                <c:pt idx="25">
                  <c:v>0.71</c:v>
                </c:pt>
                <c:pt idx="26">
                  <c:v>0.46</c:v>
                </c:pt>
                <c:pt idx="27">
                  <c:v>0.92</c:v>
                </c:pt>
                <c:pt idx="28">
                  <c:v>0.95</c:v>
                </c:pt>
                <c:pt idx="29">
                  <c:v>0.98</c:v>
                </c:pt>
                <c:pt idx="30">
                  <c:v>28</c:v>
                </c:pt>
                <c:pt idx="31">
                  <c:v>1.6001290322580646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78594048"/>
        <c:axId val="78595584"/>
      </c:lineChart>
      <c:catAx>
        <c:axId val="7859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95584"/>
        <c:crosses val="autoZero"/>
        <c:auto val="1"/>
        <c:lblAlgn val="ctr"/>
        <c:lblOffset val="100"/>
      </c:catAx>
      <c:valAx>
        <c:axId val="785955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785940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21808.969999999972</c:v>
                </c:pt>
                <c:pt idx="1">
                  <c:v>22954.079999999958</c:v>
                </c:pt>
                <c:pt idx="2">
                  <c:v>22487.75</c:v>
                </c:pt>
                <c:pt idx="3">
                  <c:v>20833.410000000033</c:v>
                </c:pt>
                <c:pt idx="4">
                  <c:v>24186.890000000014</c:v>
                </c:pt>
                <c:pt idx="5">
                  <c:v>22837.550000000047</c:v>
                </c:pt>
                <c:pt idx="6">
                  <c:v>21951.039999999921</c:v>
                </c:pt>
                <c:pt idx="7">
                  <c:v>21972.239999999991</c:v>
                </c:pt>
                <c:pt idx="8">
                  <c:v>21818.170000000042</c:v>
                </c:pt>
                <c:pt idx="9">
                  <c:v>21010</c:v>
                </c:pt>
                <c:pt idx="10">
                  <c:v>20585</c:v>
                </c:pt>
                <c:pt idx="11">
                  <c:v>22424</c:v>
                </c:pt>
                <c:pt idx="12">
                  <c:v>24350</c:v>
                </c:pt>
                <c:pt idx="13">
                  <c:v>22382</c:v>
                </c:pt>
                <c:pt idx="14">
                  <c:v>24876.320000000065</c:v>
                </c:pt>
                <c:pt idx="15">
                  <c:v>25405.379999999997</c:v>
                </c:pt>
                <c:pt idx="16">
                  <c:v>27478.199999999997</c:v>
                </c:pt>
                <c:pt idx="17">
                  <c:v>26897.630000000005</c:v>
                </c:pt>
                <c:pt idx="18">
                  <c:v>25802.360000000015</c:v>
                </c:pt>
                <c:pt idx="19">
                  <c:v>26883.199999999983</c:v>
                </c:pt>
                <c:pt idx="20">
                  <c:v>27602.040000000008</c:v>
                </c:pt>
                <c:pt idx="21">
                  <c:v>25787.660000000003</c:v>
                </c:pt>
                <c:pt idx="22">
                  <c:v>28205.540000000008</c:v>
                </c:pt>
                <c:pt idx="23">
                  <c:v>26510.669999999984</c:v>
                </c:pt>
                <c:pt idx="24">
                  <c:v>26645</c:v>
                </c:pt>
                <c:pt idx="25">
                  <c:v>27268</c:v>
                </c:pt>
                <c:pt idx="26">
                  <c:v>25666</c:v>
                </c:pt>
                <c:pt idx="27">
                  <c:v>23556</c:v>
                </c:pt>
                <c:pt idx="28">
                  <c:v>23471.349999999977</c:v>
                </c:pt>
                <c:pt idx="29">
                  <c:v>21500</c:v>
                </c:pt>
                <c:pt idx="30">
                  <c:v>21500</c:v>
                </c:pt>
                <c:pt idx="31">
                  <c:v>746656.45000000007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78784384"/>
        <c:axId val="78785920"/>
      </c:lineChart>
      <c:catAx>
        <c:axId val="7878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85920"/>
        <c:crosses val="autoZero"/>
        <c:auto val="1"/>
        <c:lblAlgn val="ctr"/>
        <c:lblOffset val="100"/>
      </c:catAx>
      <c:valAx>
        <c:axId val="7878592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84384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10.3100000000004</c:v>
                </c:pt>
                <c:pt idx="1">
                  <c:v>10.289999999999964</c:v>
                </c:pt>
                <c:pt idx="2">
                  <c:v>10.25</c:v>
                </c:pt>
                <c:pt idx="3">
                  <c:v>9.8000000000001819</c:v>
                </c:pt>
                <c:pt idx="4">
                  <c:v>10.159999999999854</c:v>
                </c:pt>
                <c:pt idx="5">
                  <c:v>10.909999999999854</c:v>
                </c:pt>
                <c:pt idx="6">
                  <c:v>10.149999999999636</c:v>
                </c:pt>
                <c:pt idx="7">
                  <c:v>10.070000000000618</c:v>
                </c:pt>
                <c:pt idx="8">
                  <c:v>9.1799999999993815</c:v>
                </c:pt>
                <c:pt idx="9">
                  <c:v>10.490000000000691</c:v>
                </c:pt>
                <c:pt idx="10">
                  <c:v>10.289999999999964</c:v>
                </c:pt>
                <c:pt idx="11">
                  <c:v>10.789999999999964</c:v>
                </c:pt>
                <c:pt idx="12">
                  <c:v>10.639999999999418</c:v>
                </c:pt>
                <c:pt idx="13">
                  <c:v>9.7899999999999636</c:v>
                </c:pt>
                <c:pt idx="14">
                  <c:v>8.8800000000001091</c:v>
                </c:pt>
                <c:pt idx="15">
                  <c:v>9</c:v>
                </c:pt>
                <c:pt idx="16">
                  <c:v>10.800000000000182</c:v>
                </c:pt>
                <c:pt idx="17">
                  <c:v>10.390000000000327</c:v>
                </c:pt>
                <c:pt idx="18">
                  <c:v>9.9799999999995634</c:v>
                </c:pt>
                <c:pt idx="19">
                  <c:v>9.930000000000291</c:v>
                </c:pt>
                <c:pt idx="20">
                  <c:v>10.109999999999673</c:v>
                </c:pt>
                <c:pt idx="21">
                  <c:v>10.480000000000473</c:v>
                </c:pt>
                <c:pt idx="22">
                  <c:v>10.159999999999854</c:v>
                </c:pt>
                <c:pt idx="23">
                  <c:v>9.8299999999999272</c:v>
                </c:pt>
                <c:pt idx="24">
                  <c:v>9.1799999999998363</c:v>
                </c:pt>
                <c:pt idx="25">
                  <c:v>10.699999999999818</c:v>
                </c:pt>
                <c:pt idx="26">
                  <c:v>10.75</c:v>
                </c:pt>
                <c:pt idx="27">
                  <c:v>9.6100000000005821</c:v>
                </c:pt>
                <c:pt idx="28">
                  <c:v>11.069999999999709</c:v>
                </c:pt>
                <c:pt idx="29">
                  <c:v>-304.13000000000011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78838784"/>
        <c:axId val="78717696"/>
      </c:lineChart>
      <c:catAx>
        <c:axId val="7883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17696"/>
        <c:crosses val="autoZero"/>
        <c:auto val="1"/>
        <c:lblAlgn val="ctr"/>
        <c:lblOffset val="100"/>
      </c:catAx>
      <c:valAx>
        <c:axId val="78717696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387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IN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4.1828817210434806E-2"/>
          <c:y val="7.4487823818547558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278.42399999999907</c:v>
                </c:pt>
                <c:pt idx="1">
                  <c:v>289.46999999997206</c:v>
                </c:pt>
                <c:pt idx="2">
                  <c:v>308.45999999996275</c:v>
                </c:pt>
                <c:pt idx="3">
                  <c:v>288.83000000007451</c:v>
                </c:pt>
                <c:pt idx="4">
                  <c:v>287.14999999990687</c:v>
                </c:pt>
                <c:pt idx="5">
                  <c:v>261.56000000005588</c:v>
                </c:pt>
                <c:pt idx="6">
                  <c:v>299</c:v>
                </c:pt>
                <c:pt idx="7">
                  <c:v>293</c:v>
                </c:pt>
                <c:pt idx="8">
                  <c:v>305</c:v>
                </c:pt>
                <c:pt idx="9">
                  <c:v>303</c:v>
                </c:pt>
                <c:pt idx="10">
                  <c:v>280</c:v>
                </c:pt>
                <c:pt idx="11">
                  <c:v>252.48999999999069</c:v>
                </c:pt>
                <c:pt idx="12">
                  <c:v>283.47999999998137</c:v>
                </c:pt>
                <c:pt idx="13">
                  <c:v>281.27000000001863</c:v>
                </c:pt>
                <c:pt idx="14">
                  <c:v>296.51000000000931</c:v>
                </c:pt>
                <c:pt idx="15">
                  <c:v>286.02000000001863</c:v>
                </c:pt>
                <c:pt idx="16">
                  <c:v>284.36999999999534</c:v>
                </c:pt>
                <c:pt idx="17">
                  <c:v>288.97999999998137</c:v>
                </c:pt>
                <c:pt idx="18">
                  <c:v>297.27000000001863</c:v>
                </c:pt>
                <c:pt idx="19">
                  <c:v>288.31999999994878</c:v>
                </c:pt>
                <c:pt idx="20">
                  <c:v>281.29000000003725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502.6660000000029</c:v>
                </c:pt>
                <c:pt idx="1">
                  <c:v>464.34999999995307</c:v>
                </c:pt>
                <c:pt idx="2">
                  <c:v>505.06999999996333</c:v>
                </c:pt>
                <c:pt idx="3">
                  <c:v>549.12999999990643</c:v>
                </c:pt>
                <c:pt idx="4">
                  <c:v>587.78000000010798</c:v>
                </c:pt>
                <c:pt idx="5">
                  <c:v>635.62000000001353</c:v>
                </c:pt>
                <c:pt idx="6">
                  <c:v>568</c:v>
                </c:pt>
                <c:pt idx="7">
                  <c:v>594</c:v>
                </c:pt>
                <c:pt idx="8">
                  <c:v>581</c:v>
                </c:pt>
                <c:pt idx="9">
                  <c:v>601</c:v>
                </c:pt>
                <c:pt idx="10">
                  <c:v>689.97</c:v>
                </c:pt>
                <c:pt idx="11">
                  <c:v>500.10999999997512</c:v>
                </c:pt>
                <c:pt idx="12">
                  <c:v>350.32000000015796</c:v>
                </c:pt>
                <c:pt idx="13">
                  <c:v>367.62999999988278</c:v>
                </c:pt>
                <c:pt idx="14">
                  <c:v>341.09000000003289</c:v>
                </c:pt>
                <c:pt idx="15">
                  <c:v>331.97999999984859</c:v>
                </c:pt>
                <c:pt idx="16">
                  <c:v>653.29000000002816</c:v>
                </c:pt>
                <c:pt idx="17">
                  <c:v>590.68000000006396</c:v>
                </c:pt>
                <c:pt idx="18">
                  <c:v>579.17000000000553</c:v>
                </c:pt>
                <c:pt idx="19">
                  <c:v>598.69999999987886</c:v>
                </c:pt>
                <c:pt idx="20">
                  <c:v>606.21000000006097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85.559999999997672</c:v>
                </c:pt>
                <c:pt idx="1">
                  <c:v>87</c:v>
                </c:pt>
                <c:pt idx="2">
                  <c:v>88.75</c:v>
                </c:pt>
                <c:pt idx="3">
                  <c:v>86.230000000010477</c:v>
                </c:pt>
                <c:pt idx="4">
                  <c:v>92.419999999983702</c:v>
                </c:pt>
                <c:pt idx="5">
                  <c:v>94.600000000005821</c:v>
                </c:pt>
                <c:pt idx="6">
                  <c:v>113</c:v>
                </c:pt>
                <c:pt idx="7">
                  <c:v>118</c:v>
                </c:pt>
                <c:pt idx="8">
                  <c:v>120</c:v>
                </c:pt>
                <c:pt idx="9">
                  <c:v>119</c:v>
                </c:pt>
                <c:pt idx="10">
                  <c:v>128</c:v>
                </c:pt>
                <c:pt idx="11">
                  <c:v>110.79999999998836</c:v>
                </c:pt>
                <c:pt idx="12">
                  <c:v>123.5</c:v>
                </c:pt>
                <c:pt idx="13">
                  <c:v>131.60000000000582</c:v>
                </c:pt>
                <c:pt idx="14">
                  <c:v>106.20000000001164</c:v>
                </c:pt>
                <c:pt idx="15">
                  <c:v>125.69999999998254</c:v>
                </c:pt>
                <c:pt idx="16">
                  <c:v>126.82000000000698</c:v>
                </c:pt>
                <c:pt idx="17">
                  <c:v>113.67999999999302</c:v>
                </c:pt>
                <c:pt idx="18">
                  <c:v>127.70000000001164</c:v>
                </c:pt>
                <c:pt idx="19">
                  <c:v>120.10000000000582</c:v>
                </c:pt>
                <c:pt idx="20">
                  <c:v>130.89999999999418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79419648"/>
        <c:axId val="78970880"/>
      </c:lineChart>
      <c:catAx>
        <c:axId val="7941964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78970880"/>
        <c:crosses val="autoZero"/>
        <c:auto val="1"/>
        <c:lblAlgn val="ctr"/>
        <c:lblOffset val="100"/>
      </c:catAx>
      <c:valAx>
        <c:axId val="78970880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794196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8613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0.25965246222888627</c:v>
                </c:pt>
                <c:pt idx="1">
                  <c:v>6250.2900000000081</c:v>
                </c:pt>
                <c:pt idx="2">
                  <c:v>5371.2200000000084</c:v>
                </c:pt>
                <c:pt idx="3">
                  <c:v>5066.4999999999927</c:v>
                </c:pt>
                <c:pt idx="4">
                  <c:v>0</c:v>
                </c:pt>
                <c:pt idx="5">
                  <c:v>5959.0099999999948</c:v>
                </c:pt>
                <c:pt idx="6">
                  <c:v>5341.6399999999994</c:v>
                </c:pt>
                <c:pt idx="7">
                  <c:v>5181.820000000007</c:v>
                </c:pt>
                <c:pt idx="8">
                  <c:v>5158.5299999999988</c:v>
                </c:pt>
                <c:pt idx="9">
                  <c:v>4843</c:v>
                </c:pt>
                <c:pt idx="10">
                  <c:v>4864</c:v>
                </c:pt>
                <c:pt idx="11">
                  <c:v>5360.2900000000373</c:v>
                </c:pt>
                <c:pt idx="12">
                  <c:v>6131</c:v>
                </c:pt>
                <c:pt idx="13">
                  <c:v>6179</c:v>
                </c:pt>
                <c:pt idx="14">
                  <c:v>7030.5100000000093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80013184"/>
        <c:axId val="80014720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955609</c:v>
                </c:pt>
                <c:pt idx="11">
                  <c:v>978033</c:v>
                </c:pt>
                <c:pt idx="12">
                  <c:v>1002383</c:v>
                </c:pt>
                <c:pt idx="13">
                  <c:v>1024765</c:v>
                </c:pt>
                <c:pt idx="14">
                  <c:v>1049641.32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54215552"/>
        <c:axId val="154217088"/>
      </c:lineChart>
      <c:catAx>
        <c:axId val="8001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14720"/>
        <c:crosses val="autoZero"/>
        <c:auto val="1"/>
        <c:lblAlgn val="ctr"/>
        <c:lblOffset val="100"/>
      </c:catAx>
      <c:valAx>
        <c:axId val="8001472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13184"/>
        <c:crosses val="autoZero"/>
        <c:crossBetween val="between"/>
        <c:minorUnit val="50"/>
      </c:valAx>
      <c:catAx>
        <c:axId val="154215552"/>
        <c:scaling>
          <c:orientation val="minMax"/>
        </c:scaling>
        <c:delete val="1"/>
        <c:axPos val="b"/>
        <c:tickLblPos val="none"/>
        <c:crossAx val="154217088"/>
        <c:crosses val="autoZero"/>
        <c:auto val="1"/>
        <c:lblAlgn val="ctr"/>
        <c:lblOffset val="100"/>
      </c:catAx>
      <c:valAx>
        <c:axId val="15421708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15552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54262144"/>
        <c:axId val="82579840"/>
      </c:lineChart>
      <c:catAx>
        <c:axId val="154262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79840"/>
        <c:crosses val="autoZero"/>
        <c:auto val="1"/>
        <c:lblAlgn val="ctr"/>
        <c:lblOffset val="100"/>
      </c:catAx>
      <c:valAx>
        <c:axId val="82579840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6214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955609</c:v>
                </c:pt>
                <c:pt idx="11">
                  <c:v>978033</c:v>
                </c:pt>
                <c:pt idx="12">
                  <c:v>1002383</c:v>
                </c:pt>
                <c:pt idx="13">
                  <c:v>1024765</c:v>
                </c:pt>
                <c:pt idx="14">
                  <c:v>1049641.32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82608896"/>
        <c:axId val="82610432"/>
      </c:lineChart>
      <c:catAx>
        <c:axId val="8260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10432"/>
        <c:crosses val="autoZero"/>
        <c:auto val="1"/>
        <c:lblAlgn val="ctr"/>
        <c:lblOffset val="100"/>
      </c:catAx>
      <c:valAx>
        <c:axId val="8261043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088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934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207</c:v>
                </c:pt>
                <c:pt idx="1">
                  <c:v>193</c:v>
                </c:pt>
                <c:pt idx="2">
                  <c:v>179</c:v>
                </c:pt>
                <c:pt idx="3">
                  <c:v>237</c:v>
                </c:pt>
                <c:pt idx="4">
                  <c:v>0</c:v>
                </c:pt>
                <c:pt idx="5">
                  <c:v>236</c:v>
                </c:pt>
                <c:pt idx="6">
                  <c:v>207</c:v>
                </c:pt>
                <c:pt idx="7">
                  <c:v>202</c:v>
                </c:pt>
                <c:pt idx="8">
                  <c:v>193</c:v>
                </c:pt>
                <c:pt idx="9">
                  <c:v>197</c:v>
                </c:pt>
                <c:pt idx="10">
                  <c:v>194</c:v>
                </c:pt>
                <c:pt idx="11">
                  <c:v>239</c:v>
                </c:pt>
                <c:pt idx="12">
                  <c:v>233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82636800"/>
        <c:axId val="82638336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955609</c:v>
                </c:pt>
                <c:pt idx="11">
                  <c:v>978033</c:v>
                </c:pt>
                <c:pt idx="12">
                  <c:v>1002383</c:v>
                </c:pt>
                <c:pt idx="13">
                  <c:v>1024765</c:v>
                </c:pt>
                <c:pt idx="14">
                  <c:v>1049641.32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82639872"/>
        <c:axId val="83235584"/>
      </c:lineChart>
      <c:catAx>
        <c:axId val="8263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38336"/>
        <c:crosses val="autoZero"/>
        <c:auto val="1"/>
        <c:lblAlgn val="ctr"/>
        <c:lblOffset val="100"/>
      </c:catAx>
      <c:valAx>
        <c:axId val="82638336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36800"/>
        <c:crosses val="autoZero"/>
        <c:crossBetween val="between"/>
      </c:valAx>
      <c:catAx>
        <c:axId val="82639872"/>
        <c:scaling>
          <c:orientation val="minMax"/>
        </c:scaling>
        <c:delete val="1"/>
        <c:axPos val="b"/>
        <c:tickLblPos val="none"/>
        <c:crossAx val="83235584"/>
        <c:crosses val="autoZero"/>
        <c:auto val="1"/>
        <c:lblAlgn val="ctr"/>
        <c:lblOffset val="100"/>
      </c:catAx>
      <c:valAx>
        <c:axId val="8323558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398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50</c:v>
                </c:pt>
                <c:pt idx="1">
                  <c:v>32</c:v>
                </c:pt>
                <c:pt idx="2">
                  <c:v>47</c:v>
                </c:pt>
                <c:pt idx="3">
                  <c:v>65</c:v>
                </c:pt>
                <c:pt idx="4">
                  <c:v>0</c:v>
                </c:pt>
                <c:pt idx="5">
                  <c:v>36</c:v>
                </c:pt>
                <c:pt idx="6">
                  <c:v>42</c:v>
                </c:pt>
                <c:pt idx="7">
                  <c:v>42</c:v>
                </c:pt>
                <c:pt idx="8">
                  <c:v>30</c:v>
                </c:pt>
                <c:pt idx="9">
                  <c:v>47</c:v>
                </c:pt>
                <c:pt idx="10">
                  <c:v>47</c:v>
                </c:pt>
                <c:pt idx="11">
                  <c:v>59</c:v>
                </c:pt>
                <c:pt idx="12">
                  <c:v>60</c:v>
                </c:pt>
                <c:pt idx="13">
                  <c:v>33</c:v>
                </c:pt>
                <c:pt idx="14">
                  <c:v>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7</c:v>
                </c:pt>
                <c:pt idx="1">
                  <c:v>10</c:v>
                </c:pt>
                <c:pt idx="2">
                  <c:v>13</c:v>
                </c:pt>
                <c:pt idx="3">
                  <c:v>15</c:v>
                </c:pt>
                <c:pt idx="4">
                  <c:v>0</c:v>
                </c:pt>
                <c:pt idx="5">
                  <c:v>17</c:v>
                </c:pt>
                <c:pt idx="6">
                  <c:v>11</c:v>
                </c:pt>
                <c:pt idx="7">
                  <c:v>8</c:v>
                </c:pt>
                <c:pt idx="8">
                  <c:v>9</c:v>
                </c:pt>
                <c:pt idx="9">
                  <c:v>12</c:v>
                </c:pt>
                <c:pt idx="10">
                  <c:v>11</c:v>
                </c:pt>
                <c:pt idx="11">
                  <c:v>18</c:v>
                </c:pt>
                <c:pt idx="12">
                  <c:v>10</c:v>
                </c:pt>
                <c:pt idx="13">
                  <c:v>193</c:v>
                </c:pt>
                <c:pt idx="14">
                  <c:v>202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83287040"/>
        <c:axId val="83292928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955609</c:v>
                </c:pt>
                <c:pt idx="11">
                  <c:v>978033</c:v>
                </c:pt>
                <c:pt idx="12">
                  <c:v>1002383</c:v>
                </c:pt>
                <c:pt idx="13">
                  <c:v>1024765</c:v>
                </c:pt>
                <c:pt idx="14">
                  <c:v>1049641.32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83294464"/>
        <c:axId val="154542080"/>
      </c:lineChart>
      <c:catAx>
        <c:axId val="8328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92928"/>
        <c:crosses val="autoZero"/>
        <c:auto val="1"/>
        <c:lblAlgn val="ctr"/>
        <c:lblOffset val="100"/>
      </c:catAx>
      <c:valAx>
        <c:axId val="83292928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87040"/>
        <c:crosses val="autoZero"/>
        <c:crossBetween val="between"/>
        <c:majorUnit val="2"/>
      </c:valAx>
      <c:catAx>
        <c:axId val="83294464"/>
        <c:scaling>
          <c:orientation val="minMax"/>
        </c:scaling>
        <c:delete val="1"/>
        <c:axPos val="b"/>
        <c:tickLblPos val="none"/>
        <c:crossAx val="154542080"/>
        <c:crosses val="autoZero"/>
        <c:auto val="1"/>
        <c:lblAlgn val="ctr"/>
        <c:lblOffset val="100"/>
      </c:catAx>
      <c:valAx>
        <c:axId val="15454208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9446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H2" sqref="H2:H32"/>
    </sheetView>
  </sheetViews>
  <sheetFormatPr defaultColWidth="9" defaultRowHeight="15"/>
  <cols>
    <col min="1" max="1" width="9.6640625" style="283" customWidth="1"/>
    <col min="2" max="3" width="9" style="277"/>
    <col min="4" max="4" width="10.44140625" style="278" customWidth="1"/>
    <col min="5" max="5" width="9.77734375" style="279" customWidth="1"/>
    <col min="6" max="6" width="9.77734375" style="283" customWidth="1"/>
    <col min="7" max="10" width="9" style="283"/>
    <col min="11" max="12" width="9" style="279"/>
    <col min="13" max="13" width="0" style="282" hidden="1" customWidth="1"/>
    <col min="14" max="256" width="9" style="282"/>
    <col min="257" max="257" width="9.6640625" style="282" customWidth="1"/>
    <col min="258" max="259" width="9" style="282"/>
    <col min="260" max="260" width="10.44140625" style="282" customWidth="1"/>
    <col min="261" max="262" width="9.77734375" style="282" customWidth="1"/>
    <col min="263" max="268" width="9" style="282"/>
    <col min="269" max="269" width="0" style="282" hidden="1" customWidth="1"/>
    <col min="270" max="512" width="9" style="282"/>
    <col min="513" max="513" width="9.6640625" style="282" customWidth="1"/>
    <col min="514" max="515" width="9" style="282"/>
    <col min="516" max="516" width="10.44140625" style="282" customWidth="1"/>
    <col min="517" max="518" width="9.77734375" style="282" customWidth="1"/>
    <col min="519" max="524" width="9" style="282"/>
    <col min="525" max="525" width="0" style="282" hidden="1" customWidth="1"/>
    <col min="526" max="768" width="9" style="282"/>
    <col min="769" max="769" width="9.6640625" style="282" customWidth="1"/>
    <col min="770" max="771" width="9" style="282"/>
    <col min="772" max="772" width="10.44140625" style="282" customWidth="1"/>
    <col min="773" max="774" width="9.77734375" style="282" customWidth="1"/>
    <col min="775" max="780" width="9" style="282"/>
    <col min="781" max="781" width="0" style="282" hidden="1" customWidth="1"/>
    <col min="782" max="1024" width="9" style="282"/>
    <col min="1025" max="1025" width="9.6640625" style="282" customWidth="1"/>
    <col min="1026" max="1027" width="9" style="282"/>
    <col min="1028" max="1028" width="10.44140625" style="282" customWidth="1"/>
    <col min="1029" max="1030" width="9.77734375" style="282" customWidth="1"/>
    <col min="1031" max="1036" width="9" style="282"/>
    <col min="1037" max="1037" width="0" style="282" hidden="1" customWidth="1"/>
    <col min="1038" max="1280" width="9" style="282"/>
    <col min="1281" max="1281" width="9.6640625" style="282" customWidth="1"/>
    <col min="1282" max="1283" width="9" style="282"/>
    <col min="1284" max="1284" width="10.44140625" style="282" customWidth="1"/>
    <col min="1285" max="1286" width="9.77734375" style="282" customWidth="1"/>
    <col min="1287" max="1292" width="9" style="282"/>
    <col min="1293" max="1293" width="0" style="282" hidden="1" customWidth="1"/>
    <col min="1294" max="1536" width="9" style="282"/>
    <col min="1537" max="1537" width="9.6640625" style="282" customWidth="1"/>
    <col min="1538" max="1539" width="9" style="282"/>
    <col min="1540" max="1540" width="10.44140625" style="282" customWidth="1"/>
    <col min="1541" max="1542" width="9.77734375" style="282" customWidth="1"/>
    <col min="1543" max="1548" width="9" style="282"/>
    <col min="1549" max="1549" width="0" style="282" hidden="1" customWidth="1"/>
    <col min="1550" max="1792" width="9" style="282"/>
    <col min="1793" max="1793" width="9.6640625" style="282" customWidth="1"/>
    <col min="1794" max="1795" width="9" style="282"/>
    <col min="1796" max="1796" width="10.44140625" style="282" customWidth="1"/>
    <col min="1797" max="1798" width="9.77734375" style="282" customWidth="1"/>
    <col min="1799" max="1804" width="9" style="282"/>
    <col min="1805" max="1805" width="0" style="282" hidden="1" customWidth="1"/>
    <col min="1806" max="2048" width="9" style="282"/>
    <col min="2049" max="2049" width="9.6640625" style="282" customWidth="1"/>
    <col min="2050" max="2051" width="9" style="282"/>
    <col min="2052" max="2052" width="10.44140625" style="282" customWidth="1"/>
    <col min="2053" max="2054" width="9.77734375" style="282" customWidth="1"/>
    <col min="2055" max="2060" width="9" style="282"/>
    <col min="2061" max="2061" width="0" style="282" hidden="1" customWidth="1"/>
    <col min="2062" max="2304" width="9" style="282"/>
    <col min="2305" max="2305" width="9.6640625" style="282" customWidth="1"/>
    <col min="2306" max="2307" width="9" style="282"/>
    <col min="2308" max="2308" width="10.44140625" style="282" customWidth="1"/>
    <col min="2309" max="2310" width="9.77734375" style="282" customWidth="1"/>
    <col min="2311" max="2316" width="9" style="282"/>
    <col min="2317" max="2317" width="0" style="282" hidden="1" customWidth="1"/>
    <col min="2318" max="2560" width="9" style="282"/>
    <col min="2561" max="2561" width="9.6640625" style="282" customWidth="1"/>
    <col min="2562" max="2563" width="9" style="282"/>
    <col min="2564" max="2564" width="10.44140625" style="282" customWidth="1"/>
    <col min="2565" max="2566" width="9.77734375" style="282" customWidth="1"/>
    <col min="2567" max="2572" width="9" style="282"/>
    <col min="2573" max="2573" width="0" style="282" hidden="1" customWidth="1"/>
    <col min="2574" max="2816" width="9" style="282"/>
    <col min="2817" max="2817" width="9.6640625" style="282" customWidth="1"/>
    <col min="2818" max="2819" width="9" style="282"/>
    <col min="2820" max="2820" width="10.44140625" style="282" customWidth="1"/>
    <col min="2821" max="2822" width="9.77734375" style="282" customWidth="1"/>
    <col min="2823" max="2828" width="9" style="282"/>
    <col min="2829" max="2829" width="0" style="282" hidden="1" customWidth="1"/>
    <col min="2830" max="3072" width="9" style="282"/>
    <col min="3073" max="3073" width="9.6640625" style="282" customWidth="1"/>
    <col min="3074" max="3075" width="9" style="282"/>
    <col min="3076" max="3076" width="10.44140625" style="282" customWidth="1"/>
    <col min="3077" max="3078" width="9.77734375" style="282" customWidth="1"/>
    <col min="3079" max="3084" width="9" style="282"/>
    <col min="3085" max="3085" width="0" style="282" hidden="1" customWidth="1"/>
    <col min="3086" max="3328" width="9" style="282"/>
    <col min="3329" max="3329" width="9.6640625" style="282" customWidth="1"/>
    <col min="3330" max="3331" width="9" style="282"/>
    <col min="3332" max="3332" width="10.44140625" style="282" customWidth="1"/>
    <col min="3333" max="3334" width="9.77734375" style="282" customWidth="1"/>
    <col min="3335" max="3340" width="9" style="282"/>
    <col min="3341" max="3341" width="0" style="282" hidden="1" customWidth="1"/>
    <col min="3342" max="3584" width="9" style="282"/>
    <col min="3585" max="3585" width="9.6640625" style="282" customWidth="1"/>
    <col min="3586" max="3587" width="9" style="282"/>
    <col min="3588" max="3588" width="10.44140625" style="282" customWidth="1"/>
    <col min="3589" max="3590" width="9.77734375" style="282" customWidth="1"/>
    <col min="3591" max="3596" width="9" style="282"/>
    <col min="3597" max="3597" width="0" style="282" hidden="1" customWidth="1"/>
    <col min="3598" max="3840" width="9" style="282"/>
    <col min="3841" max="3841" width="9.6640625" style="282" customWidth="1"/>
    <col min="3842" max="3843" width="9" style="282"/>
    <col min="3844" max="3844" width="10.44140625" style="282" customWidth="1"/>
    <col min="3845" max="3846" width="9.77734375" style="282" customWidth="1"/>
    <col min="3847" max="3852" width="9" style="282"/>
    <col min="3853" max="3853" width="0" style="282" hidden="1" customWidth="1"/>
    <col min="3854" max="4096" width="9" style="282"/>
    <col min="4097" max="4097" width="9.6640625" style="282" customWidth="1"/>
    <col min="4098" max="4099" width="9" style="282"/>
    <col min="4100" max="4100" width="10.44140625" style="282" customWidth="1"/>
    <col min="4101" max="4102" width="9.77734375" style="282" customWidth="1"/>
    <col min="4103" max="4108" width="9" style="282"/>
    <col min="4109" max="4109" width="0" style="282" hidden="1" customWidth="1"/>
    <col min="4110" max="4352" width="9" style="282"/>
    <col min="4353" max="4353" width="9.6640625" style="282" customWidth="1"/>
    <col min="4354" max="4355" width="9" style="282"/>
    <col min="4356" max="4356" width="10.44140625" style="282" customWidth="1"/>
    <col min="4357" max="4358" width="9.77734375" style="282" customWidth="1"/>
    <col min="4359" max="4364" width="9" style="282"/>
    <col min="4365" max="4365" width="0" style="282" hidden="1" customWidth="1"/>
    <col min="4366" max="4608" width="9" style="282"/>
    <col min="4609" max="4609" width="9.6640625" style="282" customWidth="1"/>
    <col min="4610" max="4611" width="9" style="282"/>
    <col min="4612" max="4612" width="10.44140625" style="282" customWidth="1"/>
    <col min="4613" max="4614" width="9.77734375" style="282" customWidth="1"/>
    <col min="4615" max="4620" width="9" style="282"/>
    <col min="4621" max="4621" width="0" style="282" hidden="1" customWidth="1"/>
    <col min="4622" max="4864" width="9" style="282"/>
    <col min="4865" max="4865" width="9.6640625" style="282" customWidth="1"/>
    <col min="4866" max="4867" width="9" style="282"/>
    <col min="4868" max="4868" width="10.44140625" style="282" customWidth="1"/>
    <col min="4869" max="4870" width="9.77734375" style="282" customWidth="1"/>
    <col min="4871" max="4876" width="9" style="282"/>
    <col min="4877" max="4877" width="0" style="282" hidden="1" customWidth="1"/>
    <col min="4878" max="5120" width="9" style="282"/>
    <col min="5121" max="5121" width="9.6640625" style="282" customWidth="1"/>
    <col min="5122" max="5123" width="9" style="282"/>
    <col min="5124" max="5124" width="10.44140625" style="282" customWidth="1"/>
    <col min="5125" max="5126" width="9.77734375" style="282" customWidth="1"/>
    <col min="5127" max="5132" width="9" style="282"/>
    <col min="5133" max="5133" width="0" style="282" hidden="1" customWidth="1"/>
    <col min="5134" max="5376" width="9" style="282"/>
    <col min="5377" max="5377" width="9.6640625" style="282" customWidth="1"/>
    <col min="5378" max="5379" width="9" style="282"/>
    <col min="5380" max="5380" width="10.44140625" style="282" customWidth="1"/>
    <col min="5381" max="5382" width="9.77734375" style="282" customWidth="1"/>
    <col min="5383" max="5388" width="9" style="282"/>
    <col min="5389" max="5389" width="0" style="282" hidden="1" customWidth="1"/>
    <col min="5390" max="5632" width="9" style="282"/>
    <col min="5633" max="5633" width="9.6640625" style="282" customWidth="1"/>
    <col min="5634" max="5635" width="9" style="282"/>
    <col min="5636" max="5636" width="10.44140625" style="282" customWidth="1"/>
    <col min="5637" max="5638" width="9.77734375" style="282" customWidth="1"/>
    <col min="5639" max="5644" width="9" style="282"/>
    <col min="5645" max="5645" width="0" style="282" hidden="1" customWidth="1"/>
    <col min="5646" max="5888" width="9" style="282"/>
    <col min="5889" max="5889" width="9.6640625" style="282" customWidth="1"/>
    <col min="5890" max="5891" width="9" style="282"/>
    <col min="5892" max="5892" width="10.44140625" style="282" customWidth="1"/>
    <col min="5893" max="5894" width="9.77734375" style="282" customWidth="1"/>
    <col min="5895" max="5900" width="9" style="282"/>
    <col min="5901" max="5901" width="0" style="282" hidden="1" customWidth="1"/>
    <col min="5902" max="6144" width="9" style="282"/>
    <col min="6145" max="6145" width="9.6640625" style="282" customWidth="1"/>
    <col min="6146" max="6147" width="9" style="282"/>
    <col min="6148" max="6148" width="10.44140625" style="282" customWidth="1"/>
    <col min="6149" max="6150" width="9.77734375" style="282" customWidth="1"/>
    <col min="6151" max="6156" width="9" style="282"/>
    <col min="6157" max="6157" width="0" style="282" hidden="1" customWidth="1"/>
    <col min="6158" max="6400" width="9" style="282"/>
    <col min="6401" max="6401" width="9.6640625" style="282" customWidth="1"/>
    <col min="6402" max="6403" width="9" style="282"/>
    <col min="6404" max="6404" width="10.44140625" style="282" customWidth="1"/>
    <col min="6405" max="6406" width="9.77734375" style="282" customWidth="1"/>
    <col min="6407" max="6412" width="9" style="282"/>
    <col min="6413" max="6413" width="0" style="282" hidden="1" customWidth="1"/>
    <col min="6414" max="6656" width="9" style="282"/>
    <col min="6657" max="6657" width="9.6640625" style="282" customWidth="1"/>
    <col min="6658" max="6659" width="9" style="282"/>
    <col min="6660" max="6660" width="10.44140625" style="282" customWidth="1"/>
    <col min="6661" max="6662" width="9.77734375" style="282" customWidth="1"/>
    <col min="6663" max="6668" width="9" style="282"/>
    <col min="6669" max="6669" width="0" style="282" hidden="1" customWidth="1"/>
    <col min="6670" max="6912" width="9" style="282"/>
    <col min="6913" max="6913" width="9.6640625" style="282" customWidth="1"/>
    <col min="6914" max="6915" width="9" style="282"/>
    <col min="6916" max="6916" width="10.44140625" style="282" customWidth="1"/>
    <col min="6917" max="6918" width="9.77734375" style="282" customWidth="1"/>
    <col min="6919" max="6924" width="9" style="282"/>
    <col min="6925" max="6925" width="0" style="282" hidden="1" customWidth="1"/>
    <col min="6926" max="7168" width="9" style="282"/>
    <col min="7169" max="7169" width="9.6640625" style="282" customWidth="1"/>
    <col min="7170" max="7171" width="9" style="282"/>
    <col min="7172" max="7172" width="10.44140625" style="282" customWidth="1"/>
    <col min="7173" max="7174" width="9.77734375" style="282" customWidth="1"/>
    <col min="7175" max="7180" width="9" style="282"/>
    <col min="7181" max="7181" width="0" style="282" hidden="1" customWidth="1"/>
    <col min="7182" max="7424" width="9" style="282"/>
    <col min="7425" max="7425" width="9.6640625" style="282" customWidth="1"/>
    <col min="7426" max="7427" width="9" style="282"/>
    <col min="7428" max="7428" width="10.44140625" style="282" customWidth="1"/>
    <col min="7429" max="7430" width="9.77734375" style="282" customWidth="1"/>
    <col min="7431" max="7436" width="9" style="282"/>
    <col min="7437" max="7437" width="0" style="282" hidden="1" customWidth="1"/>
    <col min="7438" max="7680" width="9" style="282"/>
    <col min="7681" max="7681" width="9.6640625" style="282" customWidth="1"/>
    <col min="7682" max="7683" width="9" style="282"/>
    <col min="7684" max="7684" width="10.44140625" style="282" customWidth="1"/>
    <col min="7685" max="7686" width="9.77734375" style="282" customWidth="1"/>
    <col min="7687" max="7692" width="9" style="282"/>
    <col min="7693" max="7693" width="0" style="282" hidden="1" customWidth="1"/>
    <col min="7694" max="7936" width="9" style="282"/>
    <col min="7937" max="7937" width="9.6640625" style="282" customWidth="1"/>
    <col min="7938" max="7939" width="9" style="282"/>
    <col min="7940" max="7940" width="10.44140625" style="282" customWidth="1"/>
    <col min="7941" max="7942" width="9.77734375" style="282" customWidth="1"/>
    <col min="7943" max="7948" width="9" style="282"/>
    <col min="7949" max="7949" width="0" style="282" hidden="1" customWidth="1"/>
    <col min="7950" max="8192" width="9" style="282"/>
    <col min="8193" max="8193" width="9.6640625" style="282" customWidth="1"/>
    <col min="8194" max="8195" width="9" style="282"/>
    <col min="8196" max="8196" width="10.44140625" style="282" customWidth="1"/>
    <col min="8197" max="8198" width="9.77734375" style="282" customWidth="1"/>
    <col min="8199" max="8204" width="9" style="282"/>
    <col min="8205" max="8205" width="0" style="282" hidden="1" customWidth="1"/>
    <col min="8206" max="8448" width="9" style="282"/>
    <col min="8449" max="8449" width="9.6640625" style="282" customWidth="1"/>
    <col min="8450" max="8451" width="9" style="282"/>
    <col min="8452" max="8452" width="10.44140625" style="282" customWidth="1"/>
    <col min="8453" max="8454" width="9.77734375" style="282" customWidth="1"/>
    <col min="8455" max="8460" width="9" style="282"/>
    <col min="8461" max="8461" width="0" style="282" hidden="1" customWidth="1"/>
    <col min="8462" max="8704" width="9" style="282"/>
    <col min="8705" max="8705" width="9.6640625" style="282" customWidth="1"/>
    <col min="8706" max="8707" width="9" style="282"/>
    <col min="8708" max="8708" width="10.44140625" style="282" customWidth="1"/>
    <col min="8709" max="8710" width="9.77734375" style="282" customWidth="1"/>
    <col min="8711" max="8716" width="9" style="282"/>
    <col min="8717" max="8717" width="0" style="282" hidden="1" customWidth="1"/>
    <col min="8718" max="8960" width="9" style="282"/>
    <col min="8961" max="8961" width="9.6640625" style="282" customWidth="1"/>
    <col min="8962" max="8963" width="9" style="282"/>
    <col min="8964" max="8964" width="10.44140625" style="282" customWidth="1"/>
    <col min="8965" max="8966" width="9.77734375" style="282" customWidth="1"/>
    <col min="8967" max="8972" width="9" style="282"/>
    <col min="8973" max="8973" width="0" style="282" hidden="1" customWidth="1"/>
    <col min="8974" max="9216" width="9" style="282"/>
    <col min="9217" max="9217" width="9.6640625" style="282" customWidth="1"/>
    <col min="9218" max="9219" width="9" style="282"/>
    <col min="9220" max="9220" width="10.44140625" style="282" customWidth="1"/>
    <col min="9221" max="9222" width="9.77734375" style="282" customWidth="1"/>
    <col min="9223" max="9228" width="9" style="282"/>
    <col min="9229" max="9229" width="0" style="282" hidden="1" customWidth="1"/>
    <col min="9230" max="9472" width="9" style="282"/>
    <col min="9473" max="9473" width="9.6640625" style="282" customWidth="1"/>
    <col min="9474" max="9475" width="9" style="282"/>
    <col min="9476" max="9476" width="10.44140625" style="282" customWidth="1"/>
    <col min="9477" max="9478" width="9.77734375" style="282" customWidth="1"/>
    <col min="9479" max="9484" width="9" style="282"/>
    <col min="9485" max="9485" width="0" style="282" hidden="1" customWidth="1"/>
    <col min="9486" max="9728" width="9" style="282"/>
    <col min="9729" max="9729" width="9.6640625" style="282" customWidth="1"/>
    <col min="9730" max="9731" width="9" style="282"/>
    <col min="9732" max="9732" width="10.44140625" style="282" customWidth="1"/>
    <col min="9733" max="9734" width="9.77734375" style="282" customWidth="1"/>
    <col min="9735" max="9740" width="9" style="282"/>
    <col min="9741" max="9741" width="0" style="282" hidden="1" customWidth="1"/>
    <col min="9742" max="9984" width="9" style="282"/>
    <col min="9985" max="9985" width="9.6640625" style="282" customWidth="1"/>
    <col min="9986" max="9987" width="9" style="282"/>
    <col min="9988" max="9988" width="10.44140625" style="282" customWidth="1"/>
    <col min="9989" max="9990" width="9.77734375" style="282" customWidth="1"/>
    <col min="9991" max="9996" width="9" style="282"/>
    <col min="9997" max="9997" width="0" style="282" hidden="1" customWidth="1"/>
    <col min="9998" max="10240" width="9" style="282"/>
    <col min="10241" max="10241" width="9.6640625" style="282" customWidth="1"/>
    <col min="10242" max="10243" width="9" style="282"/>
    <col min="10244" max="10244" width="10.44140625" style="282" customWidth="1"/>
    <col min="10245" max="10246" width="9.77734375" style="282" customWidth="1"/>
    <col min="10247" max="10252" width="9" style="282"/>
    <col min="10253" max="10253" width="0" style="282" hidden="1" customWidth="1"/>
    <col min="10254" max="10496" width="9" style="282"/>
    <col min="10497" max="10497" width="9.6640625" style="282" customWidth="1"/>
    <col min="10498" max="10499" width="9" style="282"/>
    <col min="10500" max="10500" width="10.44140625" style="282" customWidth="1"/>
    <col min="10501" max="10502" width="9.77734375" style="282" customWidth="1"/>
    <col min="10503" max="10508" width="9" style="282"/>
    <col min="10509" max="10509" width="0" style="282" hidden="1" customWidth="1"/>
    <col min="10510" max="10752" width="9" style="282"/>
    <col min="10753" max="10753" width="9.6640625" style="282" customWidth="1"/>
    <col min="10754" max="10755" width="9" style="282"/>
    <col min="10756" max="10756" width="10.44140625" style="282" customWidth="1"/>
    <col min="10757" max="10758" width="9.77734375" style="282" customWidth="1"/>
    <col min="10759" max="10764" width="9" style="282"/>
    <col min="10765" max="10765" width="0" style="282" hidden="1" customWidth="1"/>
    <col min="10766" max="11008" width="9" style="282"/>
    <col min="11009" max="11009" width="9.6640625" style="282" customWidth="1"/>
    <col min="11010" max="11011" width="9" style="282"/>
    <col min="11012" max="11012" width="10.44140625" style="282" customWidth="1"/>
    <col min="11013" max="11014" width="9.77734375" style="282" customWidth="1"/>
    <col min="11015" max="11020" width="9" style="282"/>
    <col min="11021" max="11021" width="0" style="282" hidden="1" customWidth="1"/>
    <col min="11022" max="11264" width="9" style="282"/>
    <col min="11265" max="11265" width="9.6640625" style="282" customWidth="1"/>
    <col min="11266" max="11267" width="9" style="282"/>
    <col min="11268" max="11268" width="10.44140625" style="282" customWidth="1"/>
    <col min="11269" max="11270" width="9.77734375" style="282" customWidth="1"/>
    <col min="11271" max="11276" width="9" style="282"/>
    <col min="11277" max="11277" width="0" style="282" hidden="1" customWidth="1"/>
    <col min="11278" max="11520" width="9" style="282"/>
    <col min="11521" max="11521" width="9.6640625" style="282" customWidth="1"/>
    <col min="11522" max="11523" width="9" style="282"/>
    <col min="11524" max="11524" width="10.44140625" style="282" customWidth="1"/>
    <col min="11525" max="11526" width="9.77734375" style="282" customWidth="1"/>
    <col min="11527" max="11532" width="9" style="282"/>
    <col min="11533" max="11533" width="0" style="282" hidden="1" customWidth="1"/>
    <col min="11534" max="11776" width="9" style="282"/>
    <col min="11777" max="11777" width="9.6640625" style="282" customWidth="1"/>
    <col min="11778" max="11779" width="9" style="282"/>
    <col min="11780" max="11780" width="10.44140625" style="282" customWidth="1"/>
    <col min="11781" max="11782" width="9.77734375" style="282" customWidth="1"/>
    <col min="11783" max="11788" width="9" style="282"/>
    <col min="11789" max="11789" width="0" style="282" hidden="1" customWidth="1"/>
    <col min="11790" max="12032" width="9" style="282"/>
    <col min="12033" max="12033" width="9.6640625" style="282" customWidth="1"/>
    <col min="12034" max="12035" width="9" style="282"/>
    <col min="12036" max="12036" width="10.44140625" style="282" customWidth="1"/>
    <col min="12037" max="12038" width="9.77734375" style="282" customWidth="1"/>
    <col min="12039" max="12044" width="9" style="282"/>
    <col min="12045" max="12045" width="0" style="282" hidden="1" customWidth="1"/>
    <col min="12046" max="12288" width="9" style="282"/>
    <col min="12289" max="12289" width="9.6640625" style="282" customWidth="1"/>
    <col min="12290" max="12291" width="9" style="282"/>
    <col min="12292" max="12292" width="10.44140625" style="282" customWidth="1"/>
    <col min="12293" max="12294" width="9.77734375" style="282" customWidth="1"/>
    <col min="12295" max="12300" width="9" style="282"/>
    <col min="12301" max="12301" width="0" style="282" hidden="1" customWidth="1"/>
    <col min="12302" max="12544" width="9" style="282"/>
    <col min="12545" max="12545" width="9.6640625" style="282" customWidth="1"/>
    <col min="12546" max="12547" width="9" style="282"/>
    <col min="12548" max="12548" width="10.44140625" style="282" customWidth="1"/>
    <col min="12549" max="12550" width="9.77734375" style="282" customWidth="1"/>
    <col min="12551" max="12556" width="9" style="282"/>
    <col min="12557" max="12557" width="0" style="282" hidden="1" customWidth="1"/>
    <col min="12558" max="12800" width="9" style="282"/>
    <col min="12801" max="12801" width="9.6640625" style="282" customWidth="1"/>
    <col min="12802" max="12803" width="9" style="282"/>
    <col min="12804" max="12804" width="10.44140625" style="282" customWidth="1"/>
    <col min="12805" max="12806" width="9.77734375" style="282" customWidth="1"/>
    <col min="12807" max="12812" width="9" style="282"/>
    <col min="12813" max="12813" width="0" style="282" hidden="1" customWidth="1"/>
    <col min="12814" max="13056" width="9" style="282"/>
    <col min="13057" max="13057" width="9.6640625" style="282" customWidth="1"/>
    <col min="13058" max="13059" width="9" style="282"/>
    <col min="13060" max="13060" width="10.44140625" style="282" customWidth="1"/>
    <col min="13061" max="13062" width="9.77734375" style="282" customWidth="1"/>
    <col min="13063" max="13068" width="9" style="282"/>
    <col min="13069" max="13069" width="0" style="282" hidden="1" customWidth="1"/>
    <col min="13070" max="13312" width="9" style="282"/>
    <col min="13313" max="13313" width="9.6640625" style="282" customWidth="1"/>
    <col min="13314" max="13315" width="9" style="282"/>
    <col min="13316" max="13316" width="10.44140625" style="282" customWidth="1"/>
    <col min="13317" max="13318" width="9.77734375" style="282" customWidth="1"/>
    <col min="13319" max="13324" width="9" style="282"/>
    <col min="13325" max="13325" width="0" style="282" hidden="1" customWidth="1"/>
    <col min="13326" max="13568" width="9" style="282"/>
    <col min="13569" max="13569" width="9.6640625" style="282" customWidth="1"/>
    <col min="13570" max="13571" width="9" style="282"/>
    <col min="13572" max="13572" width="10.44140625" style="282" customWidth="1"/>
    <col min="13573" max="13574" width="9.77734375" style="282" customWidth="1"/>
    <col min="13575" max="13580" width="9" style="282"/>
    <col min="13581" max="13581" width="0" style="282" hidden="1" customWidth="1"/>
    <col min="13582" max="13824" width="9" style="282"/>
    <col min="13825" max="13825" width="9.6640625" style="282" customWidth="1"/>
    <col min="13826" max="13827" width="9" style="282"/>
    <col min="13828" max="13828" width="10.44140625" style="282" customWidth="1"/>
    <col min="13829" max="13830" width="9.77734375" style="282" customWidth="1"/>
    <col min="13831" max="13836" width="9" style="282"/>
    <col min="13837" max="13837" width="0" style="282" hidden="1" customWidth="1"/>
    <col min="13838" max="14080" width="9" style="282"/>
    <col min="14081" max="14081" width="9.6640625" style="282" customWidth="1"/>
    <col min="14082" max="14083" width="9" style="282"/>
    <col min="14084" max="14084" width="10.44140625" style="282" customWidth="1"/>
    <col min="14085" max="14086" width="9.77734375" style="282" customWidth="1"/>
    <col min="14087" max="14092" width="9" style="282"/>
    <col min="14093" max="14093" width="0" style="282" hidden="1" customWidth="1"/>
    <col min="14094" max="14336" width="9" style="282"/>
    <col min="14337" max="14337" width="9.6640625" style="282" customWidth="1"/>
    <col min="14338" max="14339" width="9" style="282"/>
    <col min="14340" max="14340" width="10.44140625" style="282" customWidth="1"/>
    <col min="14341" max="14342" width="9.77734375" style="282" customWidth="1"/>
    <col min="14343" max="14348" width="9" style="282"/>
    <col min="14349" max="14349" width="0" style="282" hidden="1" customWidth="1"/>
    <col min="14350" max="14592" width="9" style="282"/>
    <col min="14593" max="14593" width="9.6640625" style="282" customWidth="1"/>
    <col min="14594" max="14595" width="9" style="282"/>
    <col min="14596" max="14596" width="10.44140625" style="282" customWidth="1"/>
    <col min="14597" max="14598" width="9.77734375" style="282" customWidth="1"/>
    <col min="14599" max="14604" width="9" style="282"/>
    <col min="14605" max="14605" width="0" style="282" hidden="1" customWidth="1"/>
    <col min="14606" max="14848" width="9" style="282"/>
    <col min="14849" max="14849" width="9.6640625" style="282" customWidth="1"/>
    <col min="14850" max="14851" width="9" style="282"/>
    <col min="14852" max="14852" width="10.44140625" style="282" customWidth="1"/>
    <col min="14853" max="14854" width="9.77734375" style="282" customWidth="1"/>
    <col min="14855" max="14860" width="9" style="282"/>
    <col min="14861" max="14861" width="0" style="282" hidden="1" customWidth="1"/>
    <col min="14862" max="15104" width="9" style="282"/>
    <col min="15105" max="15105" width="9.6640625" style="282" customWidth="1"/>
    <col min="15106" max="15107" width="9" style="282"/>
    <col min="15108" max="15108" width="10.44140625" style="282" customWidth="1"/>
    <col min="15109" max="15110" width="9.77734375" style="282" customWidth="1"/>
    <col min="15111" max="15116" width="9" style="282"/>
    <col min="15117" max="15117" width="0" style="282" hidden="1" customWidth="1"/>
    <col min="15118" max="15360" width="9" style="282"/>
    <col min="15361" max="15361" width="9.6640625" style="282" customWidth="1"/>
    <col min="15362" max="15363" width="9" style="282"/>
    <col min="15364" max="15364" width="10.44140625" style="282" customWidth="1"/>
    <col min="15365" max="15366" width="9.77734375" style="282" customWidth="1"/>
    <col min="15367" max="15372" width="9" style="282"/>
    <col min="15373" max="15373" width="0" style="282" hidden="1" customWidth="1"/>
    <col min="15374" max="15616" width="9" style="282"/>
    <col min="15617" max="15617" width="9.6640625" style="282" customWidth="1"/>
    <col min="15618" max="15619" width="9" style="282"/>
    <col min="15620" max="15620" width="10.44140625" style="282" customWidth="1"/>
    <col min="15621" max="15622" width="9.77734375" style="282" customWidth="1"/>
    <col min="15623" max="15628" width="9" style="282"/>
    <col min="15629" max="15629" width="0" style="282" hidden="1" customWidth="1"/>
    <col min="15630" max="15872" width="9" style="282"/>
    <col min="15873" max="15873" width="9.6640625" style="282" customWidth="1"/>
    <col min="15874" max="15875" width="9" style="282"/>
    <col min="15876" max="15876" width="10.44140625" style="282" customWidth="1"/>
    <col min="15877" max="15878" width="9.77734375" style="282" customWidth="1"/>
    <col min="15879" max="15884" width="9" style="282"/>
    <col min="15885" max="15885" width="0" style="282" hidden="1" customWidth="1"/>
    <col min="15886" max="16128" width="9" style="282"/>
    <col min="16129" max="16129" width="9.6640625" style="282" customWidth="1"/>
    <col min="16130" max="16131" width="9" style="282"/>
    <col min="16132" max="16132" width="10.44140625" style="282" customWidth="1"/>
    <col min="16133" max="16134" width="9.77734375" style="282" customWidth="1"/>
    <col min="16135" max="16140" width="9" style="282"/>
    <col min="16141" max="16141" width="0" style="282" hidden="1" customWidth="1"/>
    <col min="16142" max="16384" width="9" style="282"/>
  </cols>
  <sheetData>
    <row r="1" spans="1:13" s="275" customFormat="1" ht="60.75" thickBot="1">
      <c r="A1" s="269" t="s">
        <v>257</v>
      </c>
      <c r="B1" s="270" t="s">
        <v>258</v>
      </c>
      <c r="C1" s="270" t="s">
        <v>259</v>
      </c>
      <c r="D1" s="271" t="s">
        <v>260</v>
      </c>
      <c r="E1" s="272" t="s">
        <v>261</v>
      </c>
      <c r="F1" s="273" t="s">
        <v>262</v>
      </c>
      <c r="G1" s="272" t="s">
        <v>269</v>
      </c>
      <c r="H1" s="273" t="s">
        <v>270</v>
      </c>
      <c r="I1" s="273" t="s">
        <v>263</v>
      </c>
      <c r="J1" s="273" t="s">
        <v>264</v>
      </c>
      <c r="K1" s="272" t="s">
        <v>265</v>
      </c>
      <c r="L1" s="272" t="s">
        <v>266</v>
      </c>
      <c r="M1" s="274" t="s">
        <v>267</v>
      </c>
    </row>
    <row r="2" spans="1:13">
      <c r="A2" s="276" t="s">
        <v>268</v>
      </c>
      <c r="B2" s="277">
        <v>1</v>
      </c>
      <c r="C2" s="277">
        <v>11</v>
      </c>
      <c r="D2" s="278">
        <v>2021</v>
      </c>
      <c r="E2" s="279">
        <f>(IF('Daily HLP'!H4&gt;0,'Daily HLP'!H4,0))</f>
        <v>21808.969999999972</v>
      </c>
      <c r="F2" s="280">
        <v>9</v>
      </c>
      <c r="G2" s="280">
        <f>(IF('Daily HLP'!L4&gt;0,'Daily HLP'!L4,0))</f>
        <v>1029.0300000000279</v>
      </c>
      <c r="H2" s="280">
        <v>65</v>
      </c>
      <c r="I2" s="280">
        <f>(IF('Daily HLP'!O4&gt;0,'Daily HLP'!O4,0))</f>
        <v>237</v>
      </c>
      <c r="J2" s="280">
        <v>99</v>
      </c>
      <c r="K2" s="285">
        <f>Occupancy!G2</f>
        <v>127</v>
      </c>
      <c r="L2" s="279">
        <f>Occupancy!F2</f>
        <v>514</v>
      </c>
      <c r="M2" s="281" t="e">
        <f>E2*F2+G2*H2+#REF!*#REF!+I2*J2</f>
        <v>#REF!</v>
      </c>
    </row>
    <row r="3" spans="1:13">
      <c r="A3" s="276" t="s">
        <v>268</v>
      </c>
      <c r="B3" s="277">
        <f>B2+1</f>
        <v>2</v>
      </c>
      <c r="C3" s="277">
        <v>11</v>
      </c>
      <c r="D3" s="278">
        <v>2021</v>
      </c>
      <c r="E3" s="279">
        <f>(IF('Daily HLP'!H5&gt;0,'Daily HLP'!H5,0))</f>
        <v>22954.079999999958</v>
      </c>
      <c r="F3" s="280">
        <v>9</v>
      </c>
      <c r="G3" s="280">
        <f>(IF('Daily HLP'!L5&gt;0,'Daily HLP'!L5,0))</f>
        <v>946.85000000009313</v>
      </c>
      <c r="H3" s="280">
        <v>65</v>
      </c>
      <c r="I3" s="280">
        <f>(IF('Daily HLP'!O5&gt;0,'Daily HLP'!O5,0))</f>
        <v>270</v>
      </c>
      <c r="J3" s="280">
        <v>99</v>
      </c>
      <c r="K3" s="285">
        <f>Occupancy!G3</f>
        <v>109</v>
      </c>
      <c r="L3" s="279">
        <f>Occupancy!F3</f>
        <v>502</v>
      </c>
      <c r="M3" s="281" t="e">
        <f>E3*F3+G3*H3+#REF!*#REF!+I3*J3</f>
        <v>#REF!</v>
      </c>
    </row>
    <row r="4" spans="1:13">
      <c r="A4" s="276" t="s">
        <v>268</v>
      </c>
      <c r="B4" s="277">
        <f t="shared" ref="B4:B32" si="0">B3+1</f>
        <v>3</v>
      </c>
      <c r="C4" s="277">
        <v>11</v>
      </c>
      <c r="D4" s="278">
        <v>2021</v>
      </c>
      <c r="E4" s="279">
        <f>(IF('Daily HLP'!H6&gt;0,'Daily HLP'!H6,0))</f>
        <v>22487.75</v>
      </c>
      <c r="F4" s="280">
        <v>9</v>
      </c>
      <c r="G4" s="280">
        <f>(IF('Daily HLP'!L6&gt;0,'Daily HLP'!L6,0))</f>
        <v>955.48999999999069</v>
      </c>
      <c r="H4" s="280">
        <v>65</v>
      </c>
      <c r="I4" s="280">
        <f>(IF('Daily HLP'!O6&gt;0,'Daily HLP'!O6,0))</f>
        <v>279</v>
      </c>
      <c r="J4" s="280">
        <v>99</v>
      </c>
      <c r="K4" s="285">
        <f>Occupancy!G4</f>
        <v>91</v>
      </c>
      <c r="L4" s="279">
        <f>Occupancy!F4</f>
        <v>363</v>
      </c>
      <c r="M4" s="281" t="e">
        <f>E4*F4+G4*H4+#REF!*#REF!+I4*J4</f>
        <v>#REF!</v>
      </c>
    </row>
    <row r="5" spans="1:13">
      <c r="A5" s="276" t="s">
        <v>268</v>
      </c>
      <c r="B5" s="277">
        <f t="shared" si="0"/>
        <v>4</v>
      </c>
      <c r="C5" s="277">
        <v>11</v>
      </c>
      <c r="D5" s="278">
        <v>2021</v>
      </c>
      <c r="E5" s="279">
        <f>(IF('Daily HLP'!H7&gt;0,'Daily HLP'!H7,0))</f>
        <v>20833.410000000033</v>
      </c>
      <c r="F5" s="280">
        <v>9</v>
      </c>
      <c r="G5" s="280">
        <f>(IF('Daily HLP'!L7&gt;0,'Daily HLP'!L7,0))</f>
        <v>914.75</v>
      </c>
      <c r="H5" s="280">
        <v>65</v>
      </c>
      <c r="I5" s="280">
        <f>(IF('Daily HLP'!O7&gt;0,'Daily HLP'!O7,0))</f>
        <v>239</v>
      </c>
      <c r="J5" s="280">
        <v>99</v>
      </c>
      <c r="K5" s="285">
        <f>Occupancy!G5</f>
        <v>84</v>
      </c>
      <c r="L5" s="279">
        <f>Occupancy!F5</f>
        <v>386</v>
      </c>
      <c r="M5" s="281" t="e">
        <f>E5*F5+G5*H5+#REF!*#REF!+I5*J5</f>
        <v>#REF!</v>
      </c>
    </row>
    <row r="6" spans="1:13">
      <c r="A6" s="276" t="s">
        <v>268</v>
      </c>
      <c r="B6" s="277">
        <f t="shared" si="0"/>
        <v>5</v>
      </c>
      <c r="C6" s="277">
        <v>11</v>
      </c>
      <c r="D6" s="278">
        <v>2021</v>
      </c>
      <c r="E6" s="279">
        <f>(IF('Daily HLP'!H8&gt;0,'Daily HLP'!H8,0))</f>
        <v>24186.890000000014</v>
      </c>
      <c r="F6" s="280">
        <v>9</v>
      </c>
      <c r="G6" s="280">
        <f>(IF('Daily HLP'!L8&gt;0,'Daily HLP'!L8,0))</f>
        <v>889.91999999992549</v>
      </c>
      <c r="H6" s="280">
        <v>65</v>
      </c>
      <c r="I6" s="280">
        <f>(IF('Daily HLP'!O8&gt;0,'Daily HLP'!O8,0))</f>
        <v>159</v>
      </c>
      <c r="J6" s="280">
        <v>99</v>
      </c>
      <c r="K6" s="285">
        <f>Occupancy!G6</f>
        <v>165</v>
      </c>
      <c r="L6" s="279">
        <f>Occupancy!F6</f>
        <v>675</v>
      </c>
      <c r="M6" s="281" t="e">
        <f>E6*F6+G6*H6+#REF!*#REF!+I6*J6</f>
        <v>#REF!</v>
      </c>
    </row>
    <row r="7" spans="1:13">
      <c r="A7" s="276" t="s">
        <v>268</v>
      </c>
      <c r="B7" s="277">
        <f t="shared" si="0"/>
        <v>6</v>
      </c>
      <c r="C7" s="277">
        <v>11</v>
      </c>
      <c r="D7" s="278">
        <v>2021</v>
      </c>
      <c r="E7" s="279">
        <f>(IF('Daily HLP'!H9&gt;0,'Daily HLP'!H9,0))</f>
        <v>22837.550000000047</v>
      </c>
      <c r="F7" s="280">
        <v>9</v>
      </c>
      <c r="G7" s="280">
        <f>(IF('Daily HLP'!L9&gt;0,'Daily HLP'!L9,0))</f>
        <v>955.67999999993481</v>
      </c>
      <c r="H7" s="280">
        <v>65</v>
      </c>
      <c r="I7" s="280">
        <f>(IF('Daily HLP'!O9&gt;0,'Daily HLP'!O9,0))</f>
        <v>291</v>
      </c>
      <c r="J7" s="280">
        <v>99</v>
      </c>
      <c r="K7" s="285">
        <f>Occupancy!G7</f>
        <v>184</v>
      </c>
      <c r="L7" s="279">
        <f>Occupancy!F7</f>
        <v>588</v>
      </c>
      <c r="M7" s="281" t="e">
        <f>E7*F7+G7*H7+#REF!*#REF!+I7*J7</f>
        <v>#REF!</v>
      </c>
    </row>
    <row r="8" spans="1:13">
      <c r="A8" s="276" t="s">
        <v>268</v>
      </c>
      <c r="B8" s="277">
        <f t="shared" si="0"/>
        <v>7</v>
      </c>
      <c r="C8" s="277">
        <v>11</v>
      </c>
      <c r="D8" s="278">
        <v>2021</v>
      </c>
      <c r="E8" s="279">
        <f>(IF('Daily HLP'!H10&gt;0,'Daily HLP'!H10,0))</f>
        <v>21951.039999999921</v>
      </c>
      <c r="F8" s="280">
        <v>9</v>
      </c>
      <c r="G8" s="280">
        <f>(IF('Daily HLP'!L10&gt;0,'Daily HLP'!L10,0))</f>
        <v>962.48999999999069</v>
      </c>
      <c r="H8" s="280">
        <v>65</v>
      </c>
      <c r="I8" s="280">
        <f>(IF('Daily HLP'!O10&gt;0,'Daily HLP'!O10,0))</f>
        <v>259</v>
      </c>
      <c r="J8" s="280">
        <v>99</v>
      </c>
      <c r="K8" s="285">
        <f>Occupancy!G8</f>
        <v>159</v>
      </c>
      <c r="L8" s="279">
        <f>Occupancy!F8</f>
        <v>525</v>
      </c>
      <c r="M8" s="281" t="e">
        <f>E8*F8+G8*H8+#REF!*#REF!+I8*J8</f>
        <v>#REF!</v>
      </c>
    </row>
    <row r="9" spans="1:13">
      <c r="A9" s="276" t="s">
        <v>268</v>
      </c>
      <c r="B9" s="277">
        <f t="shared" si="0"/>
        <v>8</v>
      </c>
      <c r="C9" s="277">
        <v>11</v>
      </c>
      <c r="D9" s="278">
        <v>2021</v>
      </c>
      <c r="E9" s="279">
        <f>(IF('Daily HLP'!H11&gt;0,'Daily HLP'!H11,0))</f>
        <v>21972.239999999991</v>
      </c>
      <c r="F9" s="280">
        <v>9</v>
      </c>
      <c r="G9" s="280">
        <f>(IF('Daily HLP'!L11&gt;0,'Daily HLP'!L11,0))</f>
        <v>1009.75</v>
      </c>
      <c r="H9" s="280">
        <v>65</v>
      </c>
      <c r="I9" s="280">
        <f>(IF('Daily HLP'!O11&gt;0,'Daily HLP'!O11,0))</f>
        <v>258</v>
      </c>
      <c r="J9" s="280">
        <v>99</v>
      </c>
      <c r="K9" s="285">
        <f>Occupancy!G9</f>
        <v>117</v>
      </c>
      <c r="L9" s="279">
        <f>Occupancy!F9</f>
        <v>464</v>
      </c>
      <c r="M9" s="281" t="e">
        <f>E9*F9+G9*H9+#REF!*#REF!+I9*J9</f>
        <v>#REF!</v>
      </c>
    </row>
    <row r="10" spans="1:13">
      <c r="A10" s="276" t="s">
        <v>268</v>
      </c>
      <c r="B10" s="277">
        <f t="shared" si="0"/>
        <v>9</v>
      </c>
      <c r="C10" s="277">
        <v>11</v>
      </c>
      <c r="D10" s="278">
        <v>2021</v>
      </c>
      <c r="E10" s="279">
        <f>(IF('Daily HLP'!H12&gt;0,'Daily HLP'!H12,0))</f>
        <v>21818.170000000042</v>
      </c>
      <c r="F10" s="280">
        <v>9</v>
      </c>
      <c r="G10" s="280">
        <f>(IF('Daily HLP'!L12&gt;0,'Daily HLP'!L12,0))</f>
        <v>1028.0800000000745</v>
      </c>
      <c r="H10" s="280">
        <v>65</v>
      </c>
      <c r="I10" s="280">
        <f>(IF('Daily HLP'!O12&gt;0,'Daily HLP'!O12,0))</f>
        <v>253</v>
      </c>
      <c r="J10" s="280">
        <v>99</v>
      </c>
      <c r="K10" s="285">
        <f>Occupancy!G10</f>
        <v>128</v>
      </c>
      <c r="L10" s="279">
        <f>Occupancy!F10</f>
        <v>385</v>
      </c>
      <c r="M10" s="281" t="e">
        <f>E10*F10+G10*H10+#REF!*#REF!+I10*J10</f>
        <v>#REF!</v>
      </c>
    </row>
    <row r="11" spans="1:13">
      <c r="A11" s="276" t="s">
        <v>268</v>
      </c>
      <c r="B11" s="277">
        <f t="shared" si="0"/>
        <v>10</v>
      </c>
      <c r="C11" s="277">
        <v>11</v>
      </c>
      <c r="D11" s="278">
        <v>2021</v>
      </c>
      <c r="E11" s="279">
        <f>(IF('Daily HLP'!H13&gt;0,'Daily HLP'!H13,0))</f>
        <v>21010</v>
      </c>
      <c r="F11" s="280">
        <v>9</v>
      </c>
      <c r="G11" s="280">
        <f>(IF('Daily HLP'!L13&gt;0,'Daily HLP'!L13,0))</f>
        <v>1016</v>
      </c>
      <c r="H11" s="280">
        <v>65</v>
      </c>
      <c r="I11" s="280">
        <f>(IF('Daily HLP'!O13&gt;0,'Daily HLP'!O13,0))</f>
        <v>225</v>
      </c>
      <c r="J11" s="280">
        <v>99</v>
      </c>
      <c r="K11" s="285">
        <f>Occupancy!G11</f>
        <v>151</v>
      </c>
      <c r="L11" s="279">
        <f>Occupancy!F11</f>
        <v>503</v>
      </c>
      <c r="M11" s="281" t="e">
        <f>E11*F11+G11*H11+#REF!*#REF!+I11*J11</f>
        <v>#REF!</v>
      </c>
    </row>
    <row r="12" spans="1:13">
      <c r="A12" s="276" t="s">
        <v>268</v>
      </c>
      <c r="B12" s="277">
        <f t="shared" si="0"/>
        <v>11</v>
      </c>
      <c r="C12" s="277">
        <v>11</v>
      </c>
      <c r="D12" s="278">
        <v>2021</v>
      </c>
      <c r="E12" s="279">
        <f>(IF('Daily HLP'!H14&gt;0,'Daily HLP'!H14,0))</f>
        <v>20585</v>
      </c>
      <c r="F12" s="280">
        <v>9</v>
      </c>
      <c r="G12" s="280">
        <f>(IF('Daily HLP'!L14&gt;0,'Daily HLP'!L14,0))</f>
        <v>1046</v>
      </c>
      <c r="H12" s="280">
        <v>65</v>
      </c>
      <c r="I12" s="280">
        <f>(IF('Daily HLP'!O14&gt;0,'Daily HLP'!O14,0))</f>
        <v>233</v>
      </c>
      <c r="J12" s="280">
        <v>99</v>
      </c>
      <c r="K12" s="285">
        <f>Occupancy!G12</f>
        <v>166</v>
      </c>
      <c r="L12" s="279">
        <f>Occupancy!F12</f>
        <v>521</v>
      </c>
      <c r="M12" s="281" t="e">
        <f>E12*F12+G12*H12+#REF!*#REF!+I12*J12</f>
        <v>#REF!</v>
      </c>
    </row>
    <row r="13" spans="1:13">
      <c r="A13" s="276" t="s">
        <v>268</v>
      </c>
      <c r="B13" s="277">
        <f t="shared" si="0"/>
        <v>12</v>
      </c>
      <c r="C13" s="277">
        <v>11</v>
      </c>
      <c r="D13" s="278">
        <v>2021</v>
      </c>
      <c r="E13" s="279">
        <f>(IF('Daily HLP'!H15&gt;0,'Daily HLP'!H15,0))</f>
        <v>22424</v>
      </c>
      <c r="F13" s="280">
        <v>9</v>
      </c>
      <c r="G13" s="280">
        <f>(IF('Daily HLP'!L15&gt;0,'Daily HLP'!L15,0))</f>
        <v>1060</v>
      </c>
      <c r="H13" s="280">
        <v>65</v>
      </c>
      <c r="I13" s="280">
        <f>(IF('Daily HLP'!O15&gt;0,'Daily HLP'!O15,0))</f>
        <v>278</v>
      </c>
      <c r="J13" s="280">
        <v>99</v>
      </c>
      <c r="K13" s="285">
        <f>Occupancy!G13</f>
        <v>166</v>
      </c>
      <c r="L13" s="279">
        <f>Occupancy!F13</f>
        <v>684</v>
      </c>
      <c r="M13" s="281" t="e">
        <f>E13*F13+G13*H13+#REF!*#REF!+I13*J13</f>
        <v>#REF!</v>
      </c>
    </row>
    <row r="14" spans="1:13">
      <c r="A14" s="276" t="s">
        <v>268</v>
      </c>
      <c r="B14" s="277">
        <f t="shared" si="0"/>
        <v>13</v>
      </c>
      <c r="C14" s="277">
        <v>11</v>
      </c>
      <c r="D14" s="278">
        <v>2021</v>
      </c>
      <c r="E14" s="279">
        <f>(IF('Daily HLP'!H16&gt;0,'Daily HLP'!H16,0))</f>
        <v>24350</v>
      </c>
      <c r="F14" s="280">
        <v>9</v>
      </c>
      <c r="G14" s="280">
        <f>(IF('Daily HLP'!L16&gt;0,'Daily HLP'!L16,0))</f>
        <v>1071</v>
      </c>
      <c r="H14" s="280">
        <v>65</v>
      </c>
      <c r="I14" s="280">
        <f>(IF('Daily HLP'!O16&gt;0,'Daily HLP'!O16,0))</f>
        <v>256</v>
      </c>
      <c r="J14" s="280">
        <v>99</v>
      </c>
      <c r="K14" s="285">
        <f>Occupancy!G14</f>
        <v>148</v>
      </c>
      <c r="L14" s="279">
        <f>Occupancy!F14</f>
        <v>756</v>
      </c>
      <c r="M14" s="281" t="e">
        <f>E14*F14+G14*H14+#REF!*#REF!+I14*J14</f>
        <v>#REF!</v>
      </c>
    </row>
    <row r="15" spans="1:13">
      <c r="A15" s="276" t="s">
        <v>268</v>
      </c>
      <c r="B15" s="277">
        <f t="shared" si="0"/>
        <v>14</v>
      </c>
      <c r="C15" s="277">
        <v>11</v>
      </c>
      <c r="D15" s="278">
        <v>2021</v>
      </c>
      <c r="E15" s="279">
        <f>(IF('Daily HLP'!H17&gt;0,'Daily HLP'!H17,0))</f>
        <v>22382</v>
      </c>
      <c r="F15" s="280">
        <v>9</v>
      </c>
      <c r="G15" s="280">
        <f>(IF('Daily HLP'!L17&gt;0,'Daily HLP'!L17,0))</f>
        <v>1139.97</v>
      </c>
      <c r="H15" s="280">
        <v>65</v>
      </c>
      <c r="I15" s="280">
        <f>(IF('Daily HLP'!O17&gt;0,'Daily HLP'!O17,0))</f>
        <v>293</v>
      </c>
      <c r="J15" s="280">
        <v>99</v>
      </c>
      <c r="K15" s="285">
        <f>Occupancy!G15</f>
        <v>131</v>
      </c>
      <c r="L15" s="279">
        <f>Occupancy!F15</f>
        <v>709</v>
      </c>
      <c r="M15" s="281" t="e">
        <f>E15*F15+G15*H15+#REF!*#REF!+I15*J15</f>
        <v>#REF!</v>
      </c>
    </row>
    <row r="16" spans="1:13">
      <c r="A16" s="276" t="s">
        <v>268</v>
      </c>
      <c r="B16" s="277">
        <f t="shared" si="0"/>
        <v>15</v>
      </c>
      <c r="C16" s="277">
        <v>11</v>
      </c>
      <c r="D16" s="278">
        <v>2021</v>
      </c>
      <c r="E16" s="279">
        <f>(IF('Daily HLP'!H18&gt;0,'Daily HLP'!H18,0))</f>
        <v>24876.320000000065</v>
      </c>
      <c r="F16" s="280">
        <v>9</v>
      </c>
      <c r="G16" s="280">
        <f>(IF('Daily HLP'!L18&gt;0,'Daily HLP'!L18,0))</f>
        <v>911.19999999995343</v>
      </c>
      <c r="H16" s="280">
        <v>65</v>
      </c>
      <c r="I16" s="280">
        <f>(IF('Daily HLP'!O18&gt;0,'Daily HLP'!O18,0))</f>
        <v>236</v>
      </c>
      <c r="J16" s="280">
        <v>99</v>
      </c>
      <c r="K16" s="285">
        <f>Occupancy!G16</f>
        <v>145</v>
      </c>
      <c r="L16" s="279">
        <f>Occupancy!F16</f>
        <v>491</v>
      </c>
      <c r="M16" s="281" t="e">
        <f>E16*F16+G16*H16+#REF!*#REF!+I16*J16</f>
        <v>#REF!</v>
      </c>
    </row>
    <row r="17" spans="1:13">
      <c r="A17" s="276" t="s">
        <v>268</v>
      </c>
      <c r="B17" s="277">
        <f t="shared" si="0"/>
        <v>16</v>
      </c>
      <c r="C17" s="277">
        <v>11</v>
      </c>
      <c r="D17" s="278">
        <v>2021</v>
      </c>
      <c r="E17" s="279">
        <f>(IF('Daily HLP'!H19&gt;0,'Daily HLP'!H19,0))</f>
        <v>25405.379999999997</v>
      </c>
      <c r="F17" s="280">
        <v>9</v>
      </c>
      <c r="G17" s="280">
        <f>(IF('Daily HLP'!L19&gt;0,'Daily HLP'!L19,0))</f>
        <v>794.9000000001397</v>
      </c>
      <c r="H17" s="280">
        <v>65</v>
      </c>
      <c r="I17" s="280">
        <f>(IF('Daily HLP'!O19&gt;0,'Daily HLP'!O19,0))</f>
        <v>251</v>
      </c>
      <c r="J17" s="280">
        <v>99</v>
      </c>
      <c r="K17" s="285">
        <f>Occupancy!G17</f>
        <v>170</v>
      </c>
      <c r="L17" s="279">
        <f>Occupancy!F17</f>
        <v>627</v>
      </c>
      <c r="M17" s="281" t="e">
        <f>E17*F17+G17*H17+#REF!*#REF!+I17*J17</f>
        <v>#REF!</v>
      </c>
    </row>
    <row r="18" spans="1:13">
      <c r="A18" s="276" t="s">
        <v>268</v>
      </c>
      <c r="B18" s="277">
        <f t="shared" si="0"/>
        <v>17</v>
      </c>
      <c r="C18" s="277">
        <v>11</v>
      </c>
      <c r="D18" s="278">
        <v>2021</v>
      </c>
      <c r="E18" s="279">
        <f>(IF('Daily HLP'!H20&gt;0,'Daily HLP'!H20,0))</f>
        <v>27478.199999999997</v>
      </c>
      <c r="F18" s="280">
        <v>9</v>
      </c>
      <c r="G18" s="280">
        <f>(IF('Daily HLP'!L20&gt;0,'Daily HLP'!L20,0))</f>
        <v>824.39999999990687</v>
      </c>
      <c r="H18" s="280">
        <v>65</v>
      </c>
      <c r="I18" s="280">
        <f>(IF('Daily HLP'!O20&gt;0,'Daily HLP'!O20,0))</f>
        <v>255</v>
      </c>
      <c r="J18" s="280">
        <v>99</v>
      </c>
      <c r="K18" s="285">
        <f>Occupancy!G18</f>
        <v>173</v>
      </c>
      <c r="L18" s="279">
        <f>Occupancy!F18</f>
        <v>646</v>
      </c>
      <c r="M18" s="281" t="e">
        <f>E18*F18+G18*H18+#REF!*#REF!+I18*J18</f>
        <v>#REF!</v>
      </c>
    </row>
    <row r="19" spans="1:13">
      <c r="A19" s="276" t="s">
        <v>268</v>
      </c>
      <c r="B19" s="277">
        <f t="shared" si="0"/>
        <v>18</v>
      </c>
      <c r="C19" s="277">
        <v>11</v>
      </c>
      <c r="D19" s="278">
        <v>2021</v>
      </c>
      <c r="E19" s="279">
        <f>(IF('Daily HLP'!H21&gt;0,'Daily HLP'!H21,0))</f>
        <v>26897.630000000005</v>
      </c>
      <c r="F19" s="280">
        <v>9</v>
      </c>
      <c r="G19" s="280">
        <f>(IF('Daily HLP'!L21&gt;0,'Daily HLP'!L21,0))</f>
        <v>783.80000000004657</v>
      </c>
      <c r="H19" s="280">
        <v>65</v>
      </c>
      <c r="I19" s="280">
        <f>(IF('Daily HLP'!O21&gt;0,'Daily HLP'!O21,0))</f>
        <v>337</v>
      </c>
      <c r="J19" s="280">
        <v>99</v>
      </c>
      <c r="K19" s="285">
        <f>Occupancy!G19</f>
        <v>145</v>
      </c>
      <c r="L19" s="279">
        <f>Occupancy!F19</f>
        <v>810</v>
      </c>
      <c r="M19" s="281" t="e">
        <f>E19*F19+G19*H19+#REF!*#REF!+I19*J19</f>
        <v>#REF!</v>
      </c>
    </row>
    <row r="20" spans="1:13">
      <c r="A20" s="276" t="s">
        <v>268</v>
      </c>
      <c r="B20" s="277">
        <f t="shared" si="0"/>
        <v>19</v>
      </c>
      <c r="C20" s="277">
        <v>11</v>
      </c>
      <c r="D20" s="278">
        <v>2021</v>
      </c>
      <c r="E20" s="279">
        <f>(IF('Daily HLP'!H22&gt;0,'Daily HLP'!H22,0))</f>
        <v>25802.360000000015</v>
      </c>
      <c r="F20" s="280">
        <v>9</v>
      </c>
      <c r="G20" s="280">
        <f>(IF('Daily HLP'!L22&gt;0,'Daily HLP'!L22,0))</f>
        <v>785.5999999998603</v>
      </c>
      <c r="H20" s="280">
        <v>65</v>
      </c>
      <c r="I20" s="280">
        <f>(IF('Daily HLP'!O22&gt;0,'Daily HLP'!O22,0))</f>
        <v>325</v>
      </c>
      <c r="J20" s="280">
        <v>99</v>
      </c>
      <c r="K20" s="285">
        <f>Occupancy!G20</f>
        <v>137</v>
      </c>
      <c r="L20" s="279">
        <f>Occupancy!F20</f>
        <v>656</v>
      </c>
      <c r="M20" s="281" t="e">
        <f>E20*F20+G20*H20+#REF!*#REF!+I20*J20</f>
        <v>#REF!</v>
      </c>
    </row>
    <row r="21" spans="1:13">
      <c r="A21" s="276" t="s">
        <v>268</v>
      </c>
      <c r="B21" s="277">
        <f t="shared" si="0"/>
        <v>20</v>
      </c>
      <c r="C21" s="277">
        <v>11</v>
      </c>
      <c r="D21" s="278">
        <v>2021</v>
      </c>
      <c r="E21" s="279">
        <f>(IF('Daily HLP'!H23&gt;0,'Daily HLP'!H23,0))</f>
        <v>26883.199999999983</v>
      </c>
      <c r="F21" s="280">
        <v>9</v>
      </c>
      <c r="G21" s="280">
        <f>(IF('Daily HLP'!L23&gt;0,'Daily HLP'!L23,0))</f>
        <v>1135.2800000000279</v>
      </c>
      <c r="H21" s="280">
        <v>65</v>
      </c>
      <c r="I21" s="280">
        <f>(IF('Daily HLP'!O23&gt;0,'Daily HLP'!O23,0))</f>
        <v>271</v>
      </c>
      <c r="J21" s="280">
        <v>99</v>
      </c>
      <c r="K21" s="285">
        <f>Occupancy!G21</f>
        <v>179</v>
      </c>
      <c r="L21" s="279">
        <f>Occupancy!F21</f>
        <v>694</v>
      </c>
      <c r="M21" s="281" t="e">
        <f>E21*F21+G21*H21+#REF!*#REF!+I21*J21</f>
        <v>#REF!</v>
      </c>
    </row>
    <row r="22" spans="1:13">
      <c r="A22" s="276" t="s">
        <v>268</v>
      </c>
      <c r="B22" s="277">
        <f t="shared" si="0"/>
        <v>21</v>
      </c>
      <c r="C22" s="277">
        <v>11</v>
      </c>
      <c r="D22" s="278">
        <v>2021</v>
      </c>
      <c r="E22" s="279">
        <f>(IF('Daily HLP'!H24&gt;0,'Daily HLP'!H24,0))</f>
        <v>27602.040000000008</v>
      </c>
      <c r="F22" s="280">
        <v>9</v>
      </c>
      <c r="G22" s="280">
        <f>(IF('Daily HLP'!L24&gt;0,'Daily HLP'!L24,0))</f>
        <v>1044.0400000000373</v>
      </c>
      <c r="H22" s="280">
        <v>65</v>
      </c>
      <c r="I22" s="280">
        <f>(IF('Daily HLP'!O24&gt;0,'Daily HLP'!O24,0))</f>
        <v>276</v>
      </c>
      <c r="J22" s="280">
        <v>99</v>
      </c>
      <c r="K22" s="285">
        <f>Occupancy!G22</f>
        <v>146</v>
      </c>
      <c r="L22" s="279">
        <f>Occupancy!F22</f>
        <v>1163</v>
      </c>
      <c r="M22" s="281" t="e">
        <f>E22*F22+G22*H22+#REF!*#REF!+I22*J22</f>
        <v>#REF!</v>
      </c>
    </row>
    <row r="23" spans="1:13">
      <c r="A23" s="276" t="s">
        <v>268</v>
      </c>
      <c r="B23" s="277">
        <f t="shared" si="0"/>
        <v>22</v>
      </c>
      <c r="C23" s="277">
        <v>11</v>
      </c>
      <c r="D23" s="278">
        <v>2021</v>
      </c>
      <c r="E23" s="279">
        <f>(IF('Daily HLP'!H25&gt;0,'Daily HLP'!H25,0))</f>
        <v>25787.660000000003</v>
      </c>
      <c r="F23" s="280">
        <v>9</v>
      </c>
      <c r="G23" s="280">
        <f>(IF('Daily HLP'!L25&gt;0,'Daily HLP'!L25,0))</f>
        <v>1044.0400000000373</v>
      </c>
      <c r="H23" s="280">
        <v>65</v>
      </c>
      <c r="I23" s="280">
        <f>(IF('Daily HLP'!O25&gt;0,'Daily HLP'!O25,0))</f>
        <v>260</v>
      </c>
      <c r="J23" s="280">
        <v>99</v>
      </c>
      <c r="K23" s="285">
        <f>Occupancy!G23</f>
        <v>165</v>
      </c>
      <c r="L23" s="279">
        <f>Occupancy!F23</f>
        <v>1847</v>
      </c>
      <c r="M23" s="281" t="e">
        <f>E23*F23+G23*H23+#REF!*#REF!+I23*J23</f>
        <v>#REF!</v>
      </c>
    </row>
    <row r="24" spans="1:13">
      <c r="A24" s="276" t="s">
        <v>268</v>
      </c>
      <c r="B24" s="277">
        <f t="shared" si="0"/>
        <v>23</v>
      </c>
      <c r="C24" s="277">
        <v>11</v>
      </c>
      <c r="D24" s="278">
        <v>2021</v>
      </c>
      <c r="E24" s="279">
        <f>(IF('Daily HLP'!H26&gt;0,'Daily HLP'!H26,0))</f>
        <v>28205.540000000008</v>
      </c>
      <c r="F24" s="280">
        <v>9</v>
      </c>
      <c r="G24" s="280">
        <f>(IF('Daily HLP'!L26&gt;0,'Daily HLP'!L26,0))</f>
        <v>1060.3199999998324</v>
      </c>
      <c r="H24" s="280">
        <v>65</v>
      </c>
      <c r="I24" s="280">
        <f>(IF('Daily HLP'!O26&gt;0,'Daily HLP'!O26,0))</f>
        <v>233</v>
      </c>
      <c r="J24" s="280">
        <v>99</v>
      </c>
      <c r="K24" s="285">
        <f>Occupancy!G24</f>
        <v>154</v>
      </c>
      <c r="L24" s="279">
        <f>Occupancy!F24</f>
        <v>737</v>
      </c>
      <c r="M24" s="281" t="e">
        <f>E24*F24+G24*H24+#REF!*#REF!+I24*J24</f>
        <v>#REF!</v>
      </c>
    </row>
    <row r="25" spans="1:13">
      <c r="A25" s="276" t="s">
        <v>268</v>
      </c>
      <c r="B25" s="277">
        <f t="shared" si="0"/>
        <v>24</v>
      </c>
      <c r="C25" s="277">
        <v>11</v>
      </c>
      <c r="D25" s="278">
        <v>2021</v>
      </c>
      <c r="E25" s="279">
        <f>(IF('Daily HLP'!H27&gt;0,'Daily HLP'!H27,0))</f>
        <v>26510.669999999984</v>
      </c>
      <c r="F25" s="280">
        <v>9</v>
      </c>
      <c r="G25" s="280">
        <f>(IF('Daily HLP'!L27&gt;0,'Daily HLP'!L27,0))</f>
        <v>1071.6000000000931</v>
      </c>
      <c r="H25" s="280">
        <v>65</v>
      </c>
      <c r="I25" s="280">
        <f>(IF('Daily HLP'!O27&gt;0,'Daily HLP'!O27,0))</f>
        <v>235</v>
      </c>
      <c r="J25" s="280">
        <v>99</v>
      </c>
      <c r="K25" s="285">
        <f>Occupancy!G25</f>
        <v>135</v>
      </c>
      <c r="L25" s="279">
        <f>Occupancy!F25</f>
        <v>995</v>
      </c>
      <c r="M25" s="281" t="e">
        <f>E25*F25+G25*H25+#REF!*#REF!+I25*J25</f>
        <v>#REF!</v>
      </c>
    </row>
    <row r="26" spans="1:13">
      <c r="A26" s="276" t="s">
        <v>268</v>
      </c>
      <c r="B26" s="277">
        <f>B25+1</f>
        <v>25</v>
      </c>
      <c r="C26" s="277">
        <v>11</v>
      </c>
      <c r="D26" s="278">
        <v>2021</v>
      </c>
      <c r="E26" s="279">
        <f>(IF('Daily HLP'!H28&gt;0,'Daily HLP'!H28,0))</f>
        <v>26645</v>
      </c>
      <c r="F26" s="280">
        <v>9</v>
      </c>
      <c r="G26" s="280">
        <f>(IF('Daily HLP'!L28&gt;0,'Daily HLP'!L28,0))</f>
        <v>1082</v>
      </c>
      <c r="H26" s="280">
        <v>65</v>
      </c>
      <c r="I26" s="280">
        <f>(IF('Daily HLP'!O28&gt;0,'Daily HLP'!O28,0))</f>
        <v>295</v>
      </c>
      <c r="J26" s="280">
        <v>99</v>
      </c>
      <c r="K26" s="285">
        <f>Occupancy!G26</f>
        <v>134</v>
      </c>
      <c r="L26" s="279">
        <f>Occupancy!F26</f>
        <v>1320</v>
      </c>
      <c r="M26" s="281" t="e">
        <f>E26*F26+G26*H26+#REF!*#REF!+I26*J26</f>
        <v>#REF!</v>
      </c>
    </row>
    <row r="27" spans="1:13">
      <c r="A27" s="276" t="s">
        <v>268</v>
      </c>
      <c r="B27" s="277">
        <f t="shared" si="0"/>
        <v>26</v>
      </c>
      <c r="C27" s="277">
        <v>11</v>
      </c>
      <c r="D27" s="278">
        <v>2021</v>
      </c>
      <c r="E27" s="279">
        <f>(IF('Daily HLP'!H29&gt;0,'Daily HLP'!H29,0))</f>
        <v>27268</v>
      </c>
      <c r="F27" s="280">
        <v>9</v>
      </c>
      <c r="G27" s="280">
        <f>(IF('Daily HLP'!L29&gt;0,'Daily HLP'!L29,0))</f>
        <v>1201</v>
      </c>
      <c r="H27" s="280">
        <v>65</v>
      </c>
      <c r="I27" s="280">
        <f>(IF('Daily HLP'!O29&gt;0,'Daily HLP'!O29,0))</f>
        <v>291</v>
      </c>
      <c r="J27" s="280">
        <v>99</v>
      </c>
      <c r="K27" s="285">
        <f>Occupancy!G27</f>
        <v>151</v>
      </c>
      <c r="L27" s="279">
        <f>Occupancy!F27</f>
        <v>1444</v>
      </c>
      <c r="M27" s="281" t="e">
        <f>E27*F27+G27*H27+#REF!*#REF!+I27*J27</f>
        <v>#REF!</v>
      </c>
    </row>
    <row r="28" spans="1:13">
      <c r="A28" s="276" t="s">
        <v>268</v>
      </c>
      <c r="B28" s="277">
        <f t="shared" si="0"/>
        <v>27</v>
      </c>
      <c r="C28" s="277">
        <v>11</v>
      </c>
      <c r="D28" s="278">
        <v>2021</v>
      </c>
      <c r="E28" s="279">
        <f>(IF('Daily HLP'!H30&gt;0,'Daily HLP'!H30,0))</f>
        <v>25666</v>
      </c>
      <c r="F28" s="280">
        <v>9</v>
      </c>
      <c r="G28" s="280">
        <f>(IF('Daily HLP'!L30&gt;0,'Daily HLP'!L30,0))</f>
        <v>1124</v>
      </c>
      <c r="H28" s="280">
        <v>65</v>
      </c>
      <c r="I28" s="280">
        <f>(IF('Daily HLP'!O30&gt;0,'Daily HLP'!O30,0))</f>
        <v>272</v>
      </c>
      <c r="J28" s="280">
        <v>99</v>
      </c>
      <c r="K28" s="285">
        <f>Occupancy!G28</f>
        <v>0</v>
      </c>
      <c r="L28" s="279">
        <f>Occupancy!F28</f>
        <v>0</v>
      </c>
      <c r="M28" s="281" t="e">
        <f>E28*F28+G28*H28+#REF!*#REF!+I28*J28</f>
        <v>#REF!</v>
      </c>
    </row>
    <row r="29" spans="1:13">
      <c r="A29" s="276" t="s">
        <v>268</v>
      </c>
      <c r="B29" s="277">
        <f t="shared" si="0"/>
        <v>28</v>
      </c>
      <c r="C29" s="277">
        <v>11</v>
      </c>
      <c r="D29" s="278">
        <v>2021</v>
      </c>
      <c r="E29" s="279">
        <f>(IF('Daily HLP'!H31&gt;0,'Daily HLP'!H31,0))</f>
        <v>23556</v>
      </c>
      <c r="F29" s="280">
        <v>9</v>
      </c>
      <c r="G29" s="280">
        <f>(IF('Daily HLP'!L31&gt;0,'Daily HLP'!L31,0))</f>
        <v>1158.1200000001118</v>
      </c>
      <c r="H29" s="280">
        <v>65</v>
      </c>
      <c r="I29" s="280">
        <f>(IF('Daily HLP'!O31&gt;0,'Daily HLP'!O31,0))</f>
        <v>294</v>
      </c>
      <c r="J29" s="280">
        <v>99</v>
      </c>
      <c r="K29" s="285">
        <f>Occupancy!G29</f>
        <v>0</v>
      </c>
      <c r="L29" s="279">
        <f>Occupancy!F29</f>
        <v>0</v>
      </c>
      <c r="M29" s="281" t="e">
        <f>E29*F29+G29*H29+#REF!*#REF!+I29*J29</f>
        <v>#REF!</v>
      </c>
    </row>
    <row r="30" spans="1:13">
      <c r="A30" s="276" t="s">
        <v>268</v>
      </c>
      <c r="B30" s="277">
        <f t="shared" si="0"/>
        <v>29</v>
      </c>
      <c r="C30" s="277">
        <v>11</v>
      </c>
      <c r="D30" s="278">
        <v>2021</v>
      </c>
      <c r="E30" s="279">
        <f>(IF('Daily HLP'!H32&gt;0,'Daily HLP'!H32,0))</f>
        <v>23471.349999999977</v>
      </c>
      <c r="F30" s="280">
        <v>9</v>
      </c>
      <c r="G30" s="280">
        <f>(IF('Daily HLP'!L32&gt;0,'Daily HLP'!L32,0))</f>
        <v>1085.0799999998417</v>
      </c>
      <c r="H30" s="280">
        <v>65</v>
      </c>
      <c r="I30" s="280">
        <f>(IF('Daily HLP'!O32&gt;0,'Daily HLP'!O32,0))</f>
        <v>265</v>
      </c>
      <c r="J30" s="280">
        <v>99</v>
      </c>
      <c r="K30" s="285">
        <f>Occupancy!G30</f>
        <v>0</v>
      </c>
      <c r="L30" s="279">
        <f>Occupancy!F30</f>
        <v>0</v>
      </c>
      <c r="M30" s="281" t="e">
        <f>E30*F30+G30*H30+#REF!*#REF!+I30*J30</f>
        <v>#REF!</v>
      </c>
    </row>
    <row r="31" spans="1:13">
      <c r="A31" s="276" t="s">
        <v>268</v>
      </c>
      <c r="B31" s="277">
        <f t="shared" si="0"/>
        <v>30</v>
      </c>
      <c r="C31" s="277">
        <v>11</v>
      </c>
      <c r="D31" s="278">
        <v>2021</v>
      </c>
      <c r="E31" s="279">
        <f>(IF('Daily HLP'!H33&gt;0,'Daily HLP'!H33,0))</f>
        <v>21500</v>
      </c>
      <c r="F31" s="280">
        <v>9</v>
      </c>
      <c r="G31" s="280">
        <f>(IF('Daily HLP'!L33&gt;0,'Daily HLP'!L33,0))</f>
        <v>0</v>
      </c>
      <c r="H31" s="280">
        <v>65</v>
      </c>
      <c r="I31" s="280">
        <f>(IF('Daily HLP'!O33&gt;0,'Daily HLP'!O33,0))</f>
        <v>0</v>
      </c>
      <c r="J31" s="280">
        <v>99</v>
      </c>
      <c r="K31" s="285">
        <f>Occupancy!G31</f>
        <v>0</v>
      </c>
      <c r="L31" s="279">
        <f>Occupancy!F31</f>
        <v>0</v>
      </c>
      <c r="M31" s="281" t="e">
        <f>E31*F31+G31*H31+#REF!*#REF!+I31*J31</f>
        <v>#REF!</v>
      </c>
    </row>
    <row r="32" spans="1:13" s="279" customFormat="1">
      <c r="A32" s="276" t="s">
        <v>268</v>
      </c>
      <c r="B32" s="277">
        <f t="shared" si="0"/>
        <v>31</v>
      </c>
      <c r="C32" s="277">
        <v>11</v>
      </c>
      <c r="D32" s="278">
        <v>2021</v>
      </c>
      <c r="E32" s="279">
        <f>(IF('Daily HLP'!H34&gt;0,'Daily HLP'!H34,0))</f>
        <v>21500</v>
      </c>
      <c r="F32" s="280">
        <v>9</v>
      </c>
      <c r="G32" s="280">
        <f>(IF('Daily HLP'!L34&gt;0,'Daily HLP'!L34,0))</f>
        <v>1024.9599999999627</v>
      </c>
      <c r="H32" s="280">
        <v>65</v>
      </c>
      <c r="I32" s="280">
        <f>(IF('Daily HLP'!O34&gt;0,'Daily HLP'!O34,0))</f>
        <v>269</v>
      </c>
      <c r="J32" s="280">
        <v>99</v>
      </c>
      <c r="K32" s="285">
        <f>Occupancy!G32</f>
        <v>0</v>
      </c>
      <c r="L32" s="279">
        <f>Occupancy!F32</f>
        <v>0</v>
      </c>
      <c r="M32" s="282"/>
    </row>
    <row r="33" spans="1:13" s="279" customFormat="1">
      <c r="A33" s="283"/>
      <c r="B33" s="277"/>
      <c r="C33" s="277"/>
      <c r="D33" s="278"/>
      <c r="F33" s="280"/>
      <c r="G33" s="280"/>
      <c r="H33" s="280"/>
      <c r="I33" s="280"/>
      <c r="J33" s="280"/>
      <c r="M33" s="282"/>
    </row>
    <row r="34" spans="1:13" s="279" customFormat="1">
      <c r="A34" s="283"/>
      <c r="B34" s="277"/>
      <c r="C34" s="277"/>
      <c r="D34" s="278"/>
      <c r="F34" s="280"/>
      <c r="G34" s="280"/>
      <c r="H34" s="280"/>
      <c r="I34" s="280"/>
      <c r="J34" s="280"/>
      <c r="M34" s="282"/>
    </row>
    <row r="35" spans="1:13" s="279" customFormat="1">
      <c r="A35" s="283"/>
      <c r="B35" s="277"/>
      <c r="C35" s="277"/>
      <c r="D35" s="278"/>
      <c r="F35" s="280"/>
      <c r="G35" s="280"/>
      <c r="H35" s="280"/>
      <c r="I35" s="280"/>
      <c r="J35" s="280"/>
      <c r="M35" s="282"/>
    </row>
    <row r="36" spans="1:13" s="279" customFormat="1">
      <c r="A36" s="283"/>
      <c r="B36" s="277"/>
      <c r="C36" s="277"/>
      <c r="D36" s="278"/>
      <c r="F36" s="280"/>
      <c r="G36" s="280"/>
      <c r="H36" s="280"/>
      <c r="I36" s="280"/>
      <c r="J36" s="280"/>
      <c r="M36" s="282"/>
    </row>
    <row r="37" spans="1:13" s="279" customFormat="1">
      <c r="A37" s="283"/>
      <c r="B37" s="277"/>
      <c r="C37" s="277"/>
      <c r="D37" s="278"/>
      <c r="F37" s="280"/>
      <c r="G37" s="280"/>
      <c r="H37" s="280"/>
      <c r="I37" s="280"/>
      <c r="J37" s="280"/>
      <c r="M37" s="282"/>
    </row>
    <row r="38" spans="1:13" s="279" customFormat="1">
      <c r="A38" s="283"/>
      <c r="B38" s="277"/>
      <c r="C38" s="277"/>
      <c r="D38" s="278"/>
      <c r="F38" s="280"/>
      <c r="G38" s="280"/>
      <c r="H38" s="280"/>
      <c r="I38" s="280"/>
      <c r="J38" s="280"/>
      <c r="M38" s="28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5"/>
  <sheetViews>
    <sheetView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90" customWidth="1"/>
    <col min="2" max="3" width="9" style="294" customWidth="1"/>
    <col min="4" max="4" width="10.44140625" style="294" customWidth="1"/>
    <col min="5" max="29" width="9.77734375" style="304" customWidth="1"/>
    <col min="30" max="30" width="9" style="304"/>
    <col min="31" max="31" width="9" style="305"/>
    <col min="32" max="32" width="9" style="304"/>
    <col min="33" max="39" width="9" style="306"/>
    <col min="40" max="40" width="9" style="309"/>
    <col min="41" max="49" width="9" style="306"/>
    <col min="50" max="58" width="9" style="309"/>
    <col min="59" max="65" width="9" style="306"/>
    <col min="66" max="16384" width="9" style="293"/>
  </cols>
  <sheetData>
    <row r="1" spans="1:65" s="290" customFormat="1" ht="60" customHeight="1">
      <c r="A1" s="288" t="s">
        <v>257</v>
      </c>
      <c r="B1" s="289" t="s">
        <v>258</v>
      </c>
      <c r="C1" s="289" t="s">
        <v>259</v>
      </c>
      <c r="D1" s="289" t="s">
        <v>260</v>
      </c>
      <c r="E1" s="298" t="str">
        <f>'Section Load'!F4</f>
        <v>HVAC</v>
      </c>
      <c r="F1" s="298" t="str">
        <f>'Section Load'!G4</f>
        <v>Fire &amp; Emergency PP</v>
      </c>
      <c r="G1" s="298" t="str">
        <f>'Section Load'!H4</f>
        <v>Main PP</v>
      </c>
      <c r="H1" s="298" t="str">
        <f>'Section Load'!I4</f>
        <v>Lighting PP</v>
      </c>
      <c r="I1" s="298" t="str">
        <f>'Section Load'!J4</f>
        <v>CH-1+ CH2+CH3+CH4</v>
      </c>
      <c r="J1" s="298" t="str">
        <f>'Section Load'!K4</f>
        <v>Chilled water Pump</v>
      </c>
      <c r="K1" s="298" t="str">
        <f>'Section Load'!L4</f>
        <v>Ball Room-1</v>
      </c>
      <c r="L1" s="298" t="str">
        <f>'Section Load'!M4</f>
        <v>Ball Room-2</v>
      </c>
      <c r="M1" s="298" t="str">
        <f>'Section Load'!N4</f>
        <v>MK-1</v>
      </c>
      <c r="N1" s="298" t="str">
        <f>'Section Load'!O4</f>
        <v>MK-2</v>
      </c>
      <c r="O1" s="298" t="str">
        <f>'Section Load'!P4</f>
        <v>Prato</v>
      </c>
      <c r="P1" s="298" t="str">
        <f>'Section Load'!Q4</f>
        <v>San- Qi Indian</v>
      </c>
      <c r="Q1" s="298" t="str">
        <f>'Section Load'!R4</f>
        <v>San- Qi Japanese</v>
      </c>
      <c r="R1" s="298" t="str">
        <f>'Section Load'!S4</f>
        <v>The club</v>
      </c>
      <c r="S1" s="298" t="str">
        <f>'Section Load'!T4</f>
        <v>AER</v>
      </c>
      <c r="T1" s="298" t="str">
        <f>'Section Load'!U4</f>
        <v>COLD ROOM'S</v>
      </c>
      <c r="U1" s="298" t="str">
        <f>'Section Load'!V4</f>
        <v>Ball Room 1</v>
      </c>
      <c r="V1" s="298" t="str">
        <f>'Section Load'!W4</f>
        <v>Ball Room 2</v>
      </c>
      <c r="W1" s="298" t="str">
        <f>'Section Load'!X4</f>
        <v>B1 Laundry</v>
      </c>
      <c r="X1" s="298" t="str">
        <f>'Section Load'!Y4</f>
        <v>B2 Laundry</v>
      </c>
      <c r="Y1" s="298" t="str">
        <f>'Section Load'!Z4</f>
        <v>STP</v>
      </c>
      <c r="Z1" s="298" t="str">
        <f>'Section Load'!AA4</f>
        <v>MOCK Up Room</v>
      </c>
      <c r="AA1" s="298" t="str">
        <f>'Section Load'!AB4</f>
        <v>27th Floor</v>
      </c>
      <c r="AB1" s="298" t="str">
        <f>'Section Load'!AC4</f>
        <v>Physic57</v>
      </c>
      <c r="AC1" s="298" t="str">
        <f>'Section Load'!AD4</f>
        <v>Pinoor Legal- Power+lighting</v>
      </c>
      <c r="AD1" s="298" t="str">
        <f>'Section Load'!AE4</f>
        <v>2nd floor plant room</v>
      </c>
      <c r="AE1" s="298" t="str">
        <f>'Section Load'!AF4</f>
        <v>5th Floor SPA</v>
      </c>
      <c r="AF1" s="298" t="str">
        <f>'Section Load'!AG4</f>
        <v>5th Floor</v>
      </c>
      <c r="AG1" s="298" t="str">
        <f>'Section Load'!AH4</f>
        <v>12th Floor</v>
      </c>
      <c r="AH1" s="298" t="str">
        <f>'Section Load'!AI4</f>
        <v>20th Floor</v>
      </c>
      <c r="AI1" s="298" t="str">
        <f>'Section Load'!AJ4</f>
        <v>27th Floor</v>
      </c>
      <c r="AJ1" s="298" t="str">
        <f>'Section Load'!AK4</f>
        <v>34th Floor</v>
      </c>
      <c r="AK1" s="298" t="str">
        <f>'Section Load'!AL4</f>
        <v>Sanqi</v>
      </c>
      <c r="AL1" s="298" t="str">
        <f>'Section Load'!AM4</f>
        <v>Cooling Tower</v>
      </c>
      <c r="AM1" s="299" t="s">
        <v>279</v>
      </c>
      <c r="AN1" s="307" t="s">
        <v>199</v>
      </c>
      <c r="AO1" s="299" t="s">
        <v>201</v>
      </c>
      <c r="AP1" s="299" t="s">
        <v>202</v>
      </c>
      <c r="AQ1" s="299" t="s">
        <v>203</v>
      </c>
      <c r="AR1" s="299" t="s">
        <v>204</v>
      </c>
      <c r="AS1" s="299" t="s">
        <v>205</v>
      </c>
      <c r="AT1" s="299" t="s">
        <v>206</v>
      </c>
      <c r="AU1" s="299" t="s">
        <v>209</v>
      </c>
      <c r="AV1" s="299" t="s">
        <v>75</v>
      </c>
      <c r="AW1" s="299" t="s">
        <v>76</v>
      </c>
      <c r="AX1" s="307" t="s">
        <v>210</v>
      </c>
      <c r="AY1" s="307" t="s">
        <v>211</v>
      </c>
      <c r="AZ1" s="307" t="s">
        <v>212</v>
      </c>
      <c r="BA1" s="307" t="s">
        <v>214</v>
      </c>
      <c r="BB1" s="307" t="s">
        <v>215</v>
      </c>
      <c r="BC1" s="307" t="s">
        <v>302</v>
      </c>
      <c r="BD1" s="307" t="s">
        <v>300</v>
      </c>
      <c r="BE1" s="307" t="s">
        <v>280</v>
      </c>
      <c r="BF1" s="307" t="s">
        <v>281</v>
      </c>
      <c r="BG1" s="300" t="str">
        <f>'Section Load'!AN4</f>
        <v>MGL</v>
      </c>
      <c r="BH1" s="300" t="str">
        <f>'Section Load'!AO4</f>
        <v>HWG</v>
      </c>
      <c r="BI1" s="300" t="str">
        <f>'Section Load'!AP4</f>
        <v>Prato</v>
      </c>
      <c r="BJ1" s="300" t="str">
        <f>'Section Load'!AQ4</f>
        <v>BR-1</v>
      </c>
      <c r="BK1" s="300" t="str">
        <f>'Section Load'!AR4</f>
        <v>SanQi IND</v>
      </c>
      <c r="BL1" s="300" t="str">
        <f>'Section Load'!AS4</f>
        <v>SanQi JPN</v>
      </c>
      <c r="BM1" s="300" t="str">
        <f>'Section Load'!AT4</f>
        <v>Boiler</v>
      </c>
    </row>
    <row r="2" spans="1:65" ht="15" customHeight="1">
      <c r="A2" s="291" t="s">
        <v>268</v>
      </c>
      <c r="B2" s="292">
        <v>1</v>
      </c>
      <c r="C2" s="292">
        <v>11</v>
      </c>
      <c r="D2" s="292">
        <v>2021</v>
      </c>
      <c r="E2" s="301">
        <f>(IF('Section Load'!F5&gt;0,'Section Load'!F5,0))</f>
        <v>3192.9599999999991</v>
      </c>
      <c r="F2" s="301">
        <f>(IF('Section Load'!G5&gt;0,'Section Load'!G5,0))</f>
        <v>1604.9599999999919</v>
      </c>
      <c r="G2" s="301">
        <f>(IF('Section Load'!H5&gt;0,'Section Load'!H5,0))</f>
        <v>1846.1399999999994</v>
      </c>
      <c r="H2" s="301">
        <f>(IF('Section Load'!I5&gt;0,'Section Load'!I5,0))</f>
        <v>2900.0400000000081</v>
      </c>
      <c r="I2" s="301">
        <f>(IF('Section Load'!J5&gt;0,'Section Load'!J5,0))</f>
        <v>5549.160000000018</v>
      </c>
      <c r="J2" s="301">
        <f>(IF('Section Load'!K5&gt;0,'Section Load'!K5,0))</f>
        <v>2600.9000000001397</v>
      </c>
      <c r="K2" s="301">
        <f>(IF('Section Load'!L5&gt;0,'Section Load'!L5,0))</f>
        <v>1026.9599999999627</v>
      </c>
      <c r="L2" s="301">
        <f>(IF('Section Load'!M5&gt;0,'Section Load'!M5,0))</f>
        <v>683.27999999999884</v>
      </c>
      <c r="M2" s="301">
        <f>(IF('Section Load'!N5&gt;0,'Section Load'!N5,0))</f>
        <v>59</v>
      </c>
      <c r="N2" s="301">
        <f>(IF('Section Load'!O5&gt;0,'Section Load'!O5,0))</f>
        <v>0</v>
      </c>
      <c r="O2" s="301">
        <f>(IF('Section Load'!P5&gt;0,'Section Load'!P5,0))</f>
        <v>0</v>
      </c>
      <c r="P2" s="301">
        <f>(IF('Section Load'!Q5&gt;0,'Section Load'!Q5,0))</f>
        <v>193.4800000000032</v>
      </c>
      <c r="Q2" s="301">
        <f>(IF('Section Load'!R5&gt;0,'Section Load'!R5,0))</f>
        <v>15.680000000000291</v>
      </c>
      <c r="R2" s="301">
        <f>(IF('Section Load'!S5&gt;0,'Section Load'!S5,0))</f>
        <v>33.25</v>
      </c>
      <c r="S2" s="301">
        <f>(IF('Section Load'!T5&gt;0,'Section Load'!T5,0))</f>
        <v>352</v>
      </c>
      <c r="T2" s="301">
        <f>(IF('Section Load'!U5&gt;0,'Section Load'!U5,0))</f>
        <v>223</v>
      </c>
      <c r="U2" s="301">
        <f>(IF('Section Load'!V5&gt;0,'Section Load'!V5,0))</f>
        <v>388.64000000001397</v>
      </c>
      <c r="V2" s="301">
        <f>(IF('Section Load'!W5&gt;0,'Section Load'!W5,0))</f>
        <v>211.52000000001863</v>
      </c>
      <c r="W2" s="301">
        <f>(IF('Section Load'!X5&gt;0,'Section Load'!X5,0))</f>
        <v>23.720000000000027</v>
      </c>
      <c r="X2" s="301">
        <f>(IF('Section Load'!Y5&gt;0,'Section Load'!Y5,0))</f>
        <v>205.38000000000466</v>
      </c>
      <c r="Y2" s="301">
        <f>(IF('Section Load'!Z5&gt;0,'Section Load'!Z5,0))</f>
        <v>255</v>
      </c>
      <c r="Z2" s="301">
        <f>(IF('Section Load'!AA5&gt;0,'Section Load'!AA5,0))</f>
        <v>76.200000000011642</v>
      </c>
      <c r="AA2" s="301">
        <f>(IF('Section Load'!AB5&gt;0,'Section Load'!AB5,0))</f>
        <v>30.19999999999709</v>
      </c>
      <c r="AB2" s="301">
        <f>(IF('Section Load'!AC5&gt;0,'Section Load'!AC5,0))</f>
        <v>0</v>
      </c>
      <c r="AC2" s="301">
        <f>(IF('Section Load'!AD5&gt;0,'Section Load'!AD5,0))</f>
        <v>86.400000000002819</v>
      </c>
      <c r="AD2" s="301">
        <f>(IF('Section Load'!AE5&gt;0,'Section Load'!AE5,0))</f>
        <v>0</v>
      </c>
      <c r="AE2" s="301">
        <f>(IF('Section Load'!AF5&gt;0,'Section Load'!AF5,0))</f>
        <v>79.009999999999991</v>
      </c>
      <c r="AF2" s="301">
        <f>(IF('Section Load'!AG5&gt;0,'Section Load'!AG5,0))</f>
        <v>353.16000000000349</v>
      </c>
      <c r="AG2" s="301">
        <f>(IF('Section Load'!AH5&gt;0,'Section Load'!AH5,0))</f>
        <v>441.80000000001746</v>
      </c>
      <c r="AH2" s="301">
        <f>(IF('Section Load'!AI5&gt;0,'Section Load'!AI5,0))</f>
        <v>451.44999999999982</v>
      </c>
      <c r="AI2" s="301">
        <f>(IF('Section Load'!AJ5&gt;0,'Section Load'!AJ5,0))</f>
        <v>689.65999999997439</v>
      </c>
      <c r="AJ2" s="301">
        <f>(IF('Section Load'!AK5&gt;0,'Section Load'!AK5,0))</f>
        <v>318.90999999998894</v>
      </c>
      <c r="AK2" s="301">
        <f>(IF('Section Load'!AL5&gt;0,'Section Load'!AL5,0))</f>
        <v>294.02000000000407</v>
      </c>
      <c r="AL2" s="301">
        <f>(IF('Section Load'!AM5&gt;0,'Section Load'!AM5,0))</f>
        <v>604.29000000000087</v>
      </c>
      <c r="AM2" s="302">
        <f>(IF('Water Report'!$D$7&gt;0,'Water Report'!$D$7,0))</f>
        <v>118</v>
      </c>
      <c r="AN2" s="302">
        <f>(IF('Water Report'!$D$8&gt;0,'Water Report'!$D$8,0))</f>
        <v>80</v>
      </c>
      <c r="AO2" s="302">
        <f>(IF('Water Report'!$D$9&gt;0,'Water Report'!$D$9,0))</f>
        <v>97</v>
      </c>
      <c r="AP2" s="302">
        <f>(IF('Water Report'!$D$10&gt;0,'Water Report'!$D$10,0))</f>
        <v>23</v>
      </c>
      <c r="AQ2" s="302">
        <f>(IF('Water Report'!$D$11&gt;0,'Water Report'!$D$11,0))</f>
        <v>30</v>
      </c>
      <c r="AR2" s="302">
        <f>(IF('Water Report'!$D$13&gt;0,'Water Report'!$D$13,0))</f>
        <v>41</v>
      </c>
      <c r="AS2" s="302">
        <f>(IF('Water Report'!$D$14&gt;0,'Water Report'!$D$14,0))</f>
        <v>9</v>
      </c>
      <c r="AT2" s="302">
        <f>(IF('Water Report'!$D$15&gt;0,'Water Report'!$D$15,0))</f>
        <v>7</v>
      </c>
      <c r="AU2" s="302">
        <f>(IF('Water Report'!$D$17&gt;0,'Water Report'!$D$17,0))</f>
        <v>0</v>
      </c>
      <c r="AV2" s="302">
        <f>(IF('Water Report'!$D$18&gt;0,'Water Report'!$D$18,0))</f>
        <v>16</v>
      </c>
      <c r="AW2" s="302">
        <f>(IF('Water Report'!$D$19&gt;0,'Water Report'!$D$19,0))</f>
        <v>11</v>
      </c>
      <c r="AX2" s="308">
        <f>(IF('Water Report'!$D$21&gt;0,'Water Report'!$D$21,0))</f>
        <v>68</v>
      </c>
      <c r="AY2" s="308">
        <f>(IF('Water Report'!$D$22&gt;0,'Water Report'!$D$22,0))</f>
        <v>0</v>
      </c>
      <c r="AZ2" s="308">
        <f>(IF('Water Report'!$D$23&gt;0,'Water Report'!$D$23,0))</f>
        <v>0</v>
      </c>
      <c r="BA2" s="308">
        <f>(IF('Water Report'!$D$14&gt;0,'Water Report'!$D$14,0))</f>
        <v>9</v>
      </c>
      <c r="BB2" s="308">
        <f>(IF('Water Report'!$D$15&gt;0,'Water Report'!$D$15,0))</f>
        <v>7</v>
      </c>
      <c r="BC2" s="308">
        <f>(IF('Water Report'!$D$13&gt;0,'Water Report'!$D$13,0))</f>
        <v>41</v>
      </c>
      <c r="BD2" s="308">
        <f>(IF('Water Report'!$D$24&gt;0,'Water Report'!$D$24,0))</f>
        <v>237</v>
      </c>
      <c r="BE2" s="308">
        <f>(IF('Water Report'!$D$25&gt;0,'Water Report'!$D$25,0))</f>
        <v>166</v>
      </c>
      <c r="BF2" s="308">
        <f>(IF('Water Report'!$D$27&gt;0,'Water Report'!$D$27,0))</f>
        <v>109</v>
      </c>
      <c r="BG2" s="303">
        <f>(IF('Section Load'!AN5&gt;0,'Section Load'!AN5,0))</f>
        <v>1029.0300000000279</v>
      </c>
      <c r="BH2" s="303">
        <f>(IF('Section Load'!AO5&gt;0,'Section Load'!AO5,0))</f>
        <v>294.14899999997579</v>
      </c>
      <c r="BI2" s="303">
        <f>(IF('Section Load'!AP5&gt;0,'Section Load'!AP5,0))</f>
        <v>0</v>
      </c>
      <c r="BJ2" s="303">
        <f>(IF('Section Load'!AQ5&gt;0,'Section Load'!AQ5,0))</f>
        <v>94.869999999995343</v>
      </c>
      <c r="BK2" s="303">
        <f>(IF('Section Load'!AR5&gt;0,'Section Load'!AR5,0))</f>
        <v>35.400000000001455</v>
      </c>
      <c r="BL2" s="303">
        <f>(IF('Section Load'!AS5&gt;0,'Section Load'!AS5,0))</f>
        <v>2</v>
      </c>
      <c r="BM2" s="303">
        <f>(IF('Section Load'!AT5&gt;0,'Section Load'!AT5,0))</f>
        <v>602.61100000005536</v>
      </c>
    </row>
    <row r="3" spans="1:65">
      <c r="A3" s="291" t="s">
        <v>268</v>
      </c>
      <c r="B3" s="292">
        <f>B2+1</f>
        <v>2</v>
      </c>
      <c r="C3" s="292">
        <v>11</v>
      </c>
      <c r="D3" s="292">
        <v>2021</v>
      </c>
      <c r="E3" s="301">
        <f>(IF('Section Load'!F6&gt;0,'Section Load'!F6,0))</f>
        <v>3505.3699999999953</v>
      </c>
      <c r="F3" s="301">
        <f>(IF('Section Load'!G6&gt;0,'Section Load'!G6,0))</f>
        <v>1550.5200000000041</v>
      </c>
      <c r="G3" s="301">
        <f>(IF('Section Load'!H6&gt;0,'Section Load'!H6,0))</f>
        <v>1770.9900000000052</v>
      </c>
      <c r="H3" s="301">
        <f>(IF('Section Load'!I6&gt;0,'Section Load'!I6,0))</f>
        <v>2945.3999999999942</v>
      </c>
      <c r="I3" s="301">
        <f>(IF('Section Load'!J6&gt;0,'Section Load'!J6,0))</f>
        <v>6250.2900000000081</v>
      </c>
      <c r="J3" s="301">
        <f>(IF('Section Load'!K6&gt;0,'Section Load'!K6,0))</f>
        <v>2747.8000000000466</v>
      </c>
      <c r="K3" s="301">
        <f>(IF('Section Load'!L6&gt;0,'Section Load'!L6,0))</f>
        <v>1026.4799999999814</v>
      </c>
      <c r="L3" s="301">
        <f>(IF('Section Load'!M6&gt;0,'Section Load'!M6,0))</f>
        <v>757.12000000000262</v>
      </c>
      <c r="M3" s="301">
        <f>(IF('Section Load'!N6&gt;0,'Section Load'!N6,0))</f>
        <v>62</v>
      </c>
      <c r="N3" s="301">
        <f>(IF('Section Load'!O6&gt;0,'Section Load'!O6,0))</f>
        <v>1</v>
      </c>
      <c r="O3" s="301">
        <f>(IF('Section Load'!P6&gt;0,'Section Load'!P6,0))</f>
        <v>0</v>
      </c>
      <c r="P3" s="301">
        <f>(IF('Section Load'!Q6&gt;0,'Section Load'!Q6,0))</f>
        <v>169.47000000000116</v>
      </c>
      <c r="Q3" s="301">
        <f>(IF('Section Load'!R6&gt;0,'Section Load'!R6,0))</f>
        <v>16.950000000000728</v>
      </c>
      <c r="R3" s="301">
        <f>(IF('Section Load'!S6&gt;0,'Section Load'!S6,0))</f>
        <v>35.570000000000164</v>
      </c>
      <c r="S3" s="301">
        <f>(IF('Section Load'!T6&gt;0,'Section Load'!T6,0))</f>
        <v>412</v>
      </c>
      <c r="T3" s="301">
        <f>(IF('Section Load'!U6&gt;0,'Section Load'!U6,0))</f>
        <v>224</v>
      </c>
      <c r="U3" s="301">
        <f>(IF('Section Load'!V6&gt;0,'Section Load'!V6,0))</f>
        <v>397.35999999998603</v>
      </c>
      <c r="V3" s="301">
        <f>(IF('Section Load'!W6&gt;0,'Section Load'!W6,0))</f>
        <v>222.40000000002328</v>
      </c>
      <c r="W3" s="301">
        <f>(IF('Section Load'!X6&gt;0,'Section Load'!X6,0))</f>
        <v>25.629999999999882</v>
      </c>
      <c r="X3" s="301">
        <f>(IF('Section Load'!Y6&gt;0,'Section Load'!Y6,0))</f>
        <v>181.72000000000116</v>
      </c>
      <c r="Y3" s="301">
        <f>(IF('Section Load'!Z6&gt;0,'Section Load'!Z6,0))</f>
        <v>220</v>
      </c>
      <c r="Z3" s="301">
        <f>(IF('Section Load'!AA6&gt;0,'Section Load'!AA6,0))</f>
        <v>92.200000000011642</v>
      </c>
      <c r="AA3" s="301">
        <f>(IF('Section Load'!AB6&gt;0,'Section Load'!AB6,0))</f>
        <v>35.099999999991269</v>
      </c>
      <c r="AB3" s="301">
        <f>(IF('Section Load'!AC6&gt;0,'Section Load'!AC6,0))</f>
        <v>0</v>
      </c>
      <c r="AC3" s="301">
        <f>(IF('Section Load'!AD6&gt;0,'Section Load'!AD6,0))</f>
        <v>81.19999999999709</v>
      </c>
      <c r="AD3" s="301">
        <f>(IF('Section Load'!AE6&gt;0,'Section Load'!AE6,0))</f>
        <v>0</v>
      </c>
      <c r="AE3" s="301">
        <f>(IF('Section Load'!AF6&gt;0,'Section Load'!AF6,0))</f>
        <v>85.639999999999873</v>
      </c>
      <c r="AF3" s="301">
        <f>(IF('Section Load'!AG6&gt;0,'Section Load'!AG6,0))</f>
        <v>352.26000000000931</v>
      </c>
      <c r="AG3" s="301">
        <f>(IF('Section Load'!AH6&gt;0,'Section Load'!AH6,0))</f>
        <v>434.72000000000116</v>
      </c>
      <c r="AH3" s="301">
        <f>(IF('Section Load'!AI6&gt;0,'Section Load'!AI6,0))</f>
        <v>436.65999999999985</v>
      </c>
      <c r="AI3" s="301">
        <f>(IF('Section Load'!AJ6&gt;0,'Section Load'!AJ6,0))</f>
        <v>736.07000000000698</v>
      </c>
      <c r="AJ3" s="301">
        <f>(IF('Section Load'!AK6&gt;0,'Section Load'!AK6,0))</f>
        <v>303.90000000000873</v>
      </c>
      <c r="AK3" s="301">
        <f>(IF('Section Load'!AL6&gt;0,'Section Load'!AL6,0))</f>
        <v>293.16000000000349</v>
      </c>
      <c r="AL3" s="301">
        <f>(IF('Section Load'!AM6&gt;0,'Section Load'!AM6,0))</f>
        <v>675.55999999999767</v>
      </c>
      <c r="AM3" s="302">
        <f>(IF('Water Report'!$E$7&gt;0,'Water Report'!$E$7,0))</f>
        <v>108</v>
      </c>
      <c r="AN3" s="302">
        <f>(IF('Water Report'!$E$8&gt;0,'Water Report'!$E$8,0))</f>
        <v>89</v>
      </c>
      <c r="AO3" s="302">
        <f>(IF('Water Report'!$E$9&gt;0,'Water Report'!$E$9,0))</f>
        <v>109</v>
      </c>
      <c r="AP3" s="302">
        <f>(IF('Water Report'!$E$10&gt;0,'Water Report'!$E$10,0))</f>
        <v>18</v>
      </c>
      <c r="AQ3" s="302">
        <f>(IF('Water Report'!$E$11&gt;0,'Water Report'!$E$11,0))</f>
        <v>24</v>
      </c>
      <c r="AR3" s="302">
        <f>(IF('Water Report'!$E$13&gt;0,'Water Report'!$E$13,0))</f>
        <v>26</v>
      </c>
      <c r="AS3" s="302">
        <f>(IF('Water Report'!$E$14&gt;0,'Water Report'!$E$14,0))</f>
        <v>6</v>
      </c>
      <c r="AT3" s="302">
        <f>(IF('Water Report'!$E$15&gt;0,'Water Report'!$E$15,0))</f>
        <v>10</v>
      </c>
      <c r="AU3" s="302">
        <f>(IF('Water Report'!$E$17&gt;0,'Water Report'!$E$17,0))</f>
        <v>0</v>
      </c>
      <c r="AV3" s="302">
        <f>(IF('Water Report'!$E$18&gt;0,'Water Report'!$E$18,0))</f>
        <v>12</v>
      </c>
      <c r="AW3" s="302">
        <f>(IF('Water Report'!$E$19&gt;0,'Water Report'!$E$19,0))</f>
        <v>10</v>
      </c>
      <c r="AX3" s="308">
        <f>(IF('Water Report'!$E$21&gt;0,'Water Report'!$E$21,0))</f>
        <v>57</v>
      </c>
      <c r="AY3" s="308">
        <f>(IF('Water Report'!$E$22&gt;0,'Water Report'!$E$22,0))</f>
        <v>0</v>
      </c>
      <c r="AZ3" s="308">
        <f>(IF('Water Report'!$E$23&gt;0,'Water Report'!$E$23,0))</f>
        <v>19</v>
      </c>
      <c r="BA3" s="308">
        <f>(IF('Water Report'!$E$14&gt;0,'Water Report'!$E$14,0))</f>
        <v>6</v>
      </c>
      <c r="BB3" s="308">
        <f>(IF('Water Report'!$E$15&gt;0,'Water Report'!$E$15,0))</f>
        <v>10</v>
      </c>
      <c r="BC3" s="308">
        <f>(IF('Water Report'!$E$13&gt;0,'Water Report'!$E$13,0))</f>
        <v>26</v>
      </c>
      <c r="BD3" s="308">
        <f>(IF('Water Report'!$E$24&gt;0,'Water Report'!$E$24,0))</f>
        <v>270</v>
      </c>
      <c r="BE3" s="308">
        <f>(IF('Water Report'!$E$25&gt;0,'Water Report'!$E$25,0))</f>
        <v>167</v>
      </c>
      <c r="BF3" s="308">
        <f>(IF('Water Report'!$E$27&gt;0,'Water Report'!$E$27,0))</f>
        <v>102</v>
      </c>
      <c r="BG3" s="303">
        <f>(IF('Section Load'!AN6&gt;0,'Section Load'!AN6,0))</f>
        <v>946.85000000009313</v>
      </c>
      <c r="BH3" s="303">
        <f>(IF('Section Load'!AO6&gt;0,'Section Load'!AO6,0))</f>
        <v>292.80000000004657</v>
      </c>
      <c r="BI3" s="303">
        <f>(IF('Section Load'!AP6&gt;0,'Section Load'!AP6,0))</f>
        <v>0</v>
      </c>
      <c r="BJ3" s="303">
        <f>(IF('Section Load'!AQ6&gt;0,'Section Load'!AQ6,0))</f>
        <v>96.839999999996508</v>
      </c>
      <c r="BK3" s="303">
        <f>(IF('Section Load'!AR6&gt;0,'Section Load'!AR6,0))</f>
        <v>37.5</v>
      </c>
      <c r="BL3" s="303">
        <f>(IF('Section Load'!AS6&gt;0,'Section Load'!AS6,0))</f>
        <v>2.8999999999996362</v>
      </c>
      <c r="BM3" s="303">
        <f>(IF('Section Load'!AT6&gt;0,'Section Load'!AT6,0))</f>
        <v>516.81000000005042</v>
      </c>
    </row>
    <row r="4" spans="1:65">
      <c r="A4" s="291" t="s">
        <v>268</v>
      </c>
      <c r="B4" s="292">
        <f t="shared" ref="B4:B32" si="0">B3+1</f>
        <v>3</v>
      </c>
      <c r="C4" s="292">
        <v>11</v>
      </c>
      <c r="D4" s="292">
        <v>2021</v>
      </c>
      <c r="E4" s="301">
        <f>(IF('Section Load'!F7&gt;0,'Section Load'!F7,0))</f>
        <v>3774.2300000000032</v>
      </c>
      <c r="F4" s="301">
        <f>(IF('Section Load'!G7&gt;0,'Section Load'!G7,0))</f>
        <v>1629.4600000000064</v>
      </c>
      <c r="G4" s="301">
        <f>(IF('Section Load'!H7&gt;0,'Section Load'!H7,0))</f>
        <v>1944.7100000000064</v>
      </c>
      <c r="H4" s="301">
        <f>(IF('Section Load'!I7&gt;0,'Section Load'!I7,0))</f>
        <v>2961.1600000000035</v>
      </c>
      <c r="I4" s="301">
        <f>(IF('Section Load'!J7&gt;0,'Section Load'!J7,0))</f>
        <v>5371.2200000000084</v>
      </c>
      <c r="J4" s="301">
        <f>(IF('Section Load'!K7&gt;0,'Section Load'!K7,0))</f>
        <v>2695.3999999999069</v>
      </c>
      <c r="K4" s="301">
        <f>(IF('Section Load'!L7&gt;0,'Section Load'!L7,0))</f>
        <v>960.1600000000326</v>
      </c>
      <c r="L4" s="301">
        <f>(IF('Section Load'!M7&gt;0,'Section Load'!M7,0))</f>
        <v>684.48999999999796</v>
      </c>
      <c r="M4" s="301">
        <f>(IF('Section Load'!N7&gt;0,'Section Load'!N7,0))</f>
        <v>65</v>
      </c>
      <c r="N4" s="301">
        <f>(IF('Section Load'!O7&gt;0,'Section Load'!O7,0))</f>
        <v>1</v>
      </c>
      <c r="O4" s="301">
        <f>(IF('Section Load'!P7&gt;0,'Section Load'!P7,0))</f>
        <v>0</v>
      </c>
      <c r="P4" s="301">
        <f>(IF('Section Load'!Q7&gt;0,'Section Load'!Q7,0))</f>
        <v>177.51000000000204</v>
      </c>
      <c r="Q4" s="301">
        <f>(IF('Section Load'!R7&gt;0,'Section Load'!R7,0))</f>
        <v>15.720000000001164</v>
      </c>
      <c r="R4" s="301">
        <f>(IF('Section Load'!S7&gt;0,'Section Load'!S7,0))</f>
        <v>36.569999999999709</v>
      </c>
      <c r="S4" s="301">
        <f>(IF('Section Load'!T7&gt;0,'Section Load'!T7,0))</f>
        <v>276</v>
      </c>
      <c r="T4" s="301">
        <f>(IF('Section Load'!U7&gt;0,'Section Load'!U7,0))</f>
        <v>228</v>
      </c>
      <c r="U4" s="301">
        <f>(IF('Section Load'!V7&gt;0,'Section Load'!V7,0))</f>
        <v>392.71999999997206</v>
      </c>
      <c r="V4" s="301">
        <f>(IF('Section Load'!W7&gt;0,'Section Load'!W7,0))</f>
        <v>210.59999999997672</v>
      </c>
      <c r="W4" s="301">
        <f>(IF('Section Load'!X7&gt;0,'Section Load'!X7,0))</f>
        <v>24.200000000000045</v>
      </c>
      <c r="X4" s="301">
        <f>(IF('Section Load'!Y7&gt;0,'Section Load'!Y7,0))</f>
        <v>194.82000000000698</v>
      </c>
      <c r="Y4" s="301">
        <f>(IF('Section Load'!Z7&gt;0,'Section Load'!Z7,0))</f>
        <v>291</v>
      </c>
      <c r="Z4" s="301">
        <f>(IF('Section Load'!AA7&gt;0,'Section Load'!AA7,0))</f>
        <v>6.6799999999930151</v>
      </c>
      <c r="AA4" s="301">
        <f>(IF('Section Load'!AB7&gt;0,'Section Load'!AB7,0))</f>
        <v>37.80000000000291</v>
      </c>
      <c r="AB4" s="301">
        <f>(IF('Section Load'!AC7&gt;0,'Section Load'!AC7,0))</f>
        <v>0</v>
      </c>
      <c r="AC4" s="301">
        <f>(IF('Section Load'!AD7&gt;0,'Section Load'!AD7,0))</f>
        <v>62</v>
      </c>
      <c r="AD4" s="301">
        <f>(IF('Section Load'!AE7&gt;0,'Section Load'!AE7,0))</f>
        <v>0</v>
      </c>
      <c r="AE4" s="301">
        <f>(IF('Section Load'!AF7&gt;0,'Section Load'!AF7,0))</f>
        <v>50.019999999999982</v>
      </c>
      <c r="AF4" s="301">
        <f>(IF('Section Load'!AG7&gt;0,'Section Load'!AG7,0))</f>
        <v>336.57999999998719</v>
      </c>
      <c r="AG4" s="301">
        <f>(IF('Section Load'!AH7&gt;0,'Section Load'!AH7,0))</f>
        <v>445.72000000000116</v>
      </c>
      <c r="AH4" s="301">
        <f>(IF('Section Load'!AI7&gt;0,'Section Load'!AI7,0))</f>
        <v>456.89000000000033</v>
      </c>
      <c r="AI4" s="301">
        <f>(IF('Section Load'!AJ7&gt;0,'Section Load'!AJ7,0))</f>
        <v>754.8300000000163</v>
      </c>
      <c r="AJ4" s="301">
        <f>(IF('Section Load'!AK7&gt;0,'Section Load'!AK7,0))</f>
        <v>291.36999999999534</v>
      </c>
      <c r="AK4" s="301">
        <f>(IF('Section Load'!AL7&gt;0,'Section Load'!AL7,0))</f>
        <v>304.97999999999593</v>
      </c>
      <c r="AL4" s="301">
        <f>(IF('Section Load'!AM7&gt;0,'Section Load'!AM7,0))</f>
        <v>815.11000000000058</v>
      </c>
      <c r="AM4" s="302">
        <f>(IF('Water Report'!$F$7&gt;0,'Water Report'!$F$7,0))</f>
        <v>128</v>
      </c>
      <c r="AN4" s="302">
        <f>(IF('Water Report'!$F$8&gt;0,'Water Report'!$F$8,0))</f>
        <v>113</v>
      </c>
      <c r="AO4" s="302">
        <f>(IF('Water Report'!$F$9&gt;0,'Water Report'!$G$9,0))</f>
        <v>85</v>
      </c>
      <c r="AP4" s="302">
        <f>(IF('Water Report'!$F$10&gt;0,'Water Report'!$F$10,0))</f>
        <v>17</v>
      </c>
      <c r="AQ4" s="302">
        <f>(IF('Water Report'!$F$11&gt;0,'Water Report'!$F$11,0))</f>
        <v>19</v>
      </c>
      <c r="AR4" s="302">
        <f>(IF('Water Report'!$F$13&gt;0,'Water Report'!$F$13,0))</f>
        <v>35</v>
      </c>
      <c r="AS4" s="302">
        <f>(IF('Water Report'!$F$14&gt;0,'Water Report'!$F$14,0))</f>
        <v>30</v>
      </c>
      <c r="AT4" s="302">
        <f>(IF('Water Report'!$F$15&gt;0,'Water Report'!$F$15,0))</f>
        <v>15</v>
      </c>
      <c r="AU4" s="302">
        <f>(IF('Water Report'!$F$17&gt;0,'Water Report'!$F$17,0))</f>
        <v>0</v>
      </c>
      <c r="AV4" s="302">
        <f>(IF('Water Report'!$F$18&gt;0,'Water Report'!$F$18,0))</f>
        <v>14</v>
      </c>
      <c r="AW4" s="302">
        <f>(IF('Water Report'!$F$19&gt;0,'Water Report'!$F$19,0))</f>
        <v>8</v>
      </c>
      <c r="AX4" s="308">
        <f>(IF('Water Report'!$F$21&gt;0,'Water Report'!$F$21,0))</f>
        <v>60</v>
      </c>
      <c r="AY4" s="308">
        <f>(IF('Water Report'!$F$22&gt;0,'Water Report'!$F$22,0))</f>
        <v>0</v>
      </c>
      <c r="AZ4" s="308">
        <f>(IF('Water Report'!$F$23&gt;0,'Water Report'!$F$23,0))</f>
        <v>14</v>
      </c>
      <c r="BA4" s="308">
        <f>(IF('Water Report'!$F$14&gt;0,'Water Report'!$F$14,0))</f>
        <v>30</v>
      </c>
      <c r="BB4" s="308">
        <f>(IF('Water Report'!$F$15&gt;0,'Water Report'!$F$15,0))</f>
        <v>15</v>
      </c>
      <c r="BC4" s="308">
        <f>(IF('Water Report'!$F$13&gt;0,'Water Report'!$F$13,0))</f>
        <v>35</v>
      </c>
      <c r="BD4" s="308">
        <f>(IF('Water Report'!$F$24&gt;0,'Water Report'!$F$24,0))</f>
        <v>279</v>
      </c>
      <c r="BE4" s="308">
        <f>(IF('Water Report'!$F$25&gt;0,'Water Report'!$F$25,0))</f>
        <v>202</v>
      </c>
      <c r="BF4" s="308">
        <f>(IF('Water Report'!$F$27&gt;0,'Water Report'!$F$27,0))</f>
        <v>109</v>
      </c>
      <c r="BG4" s="303">
        <f>(IF('Section Load'!AN7&gt;0,'Section Load'!AN7,0))</f>
        <v>955.48999999999069</v>
      </c>
      <c r="BH4" s="303">
        <f>(IF('Section Load'!AO7&gt;0,'Section Load'!AO7,0))</f>
        <v>291.92599999997765</v>
      </c>
      <c r="BI4" s="303">
        <f>(IF('Section Load'!AP7&gt;0,'Section Load'!AP7,0))</f>
        <v>0</v>
      </c>
      <c r="BJ4" s="303">
        <f>(IF('Section Load'!AQ7&gt;0,'Section Load'!AQ7,0))</f>
        <v>114.23000000001048</v>
      </c>
      <c r="BK4" s="303">
        <f>(IF('Section Load'!AR7&gt;0,'Section Load'!AR7,0))</f>
        <v>36.099999999998545</v>
      </c>
      <c r="BL4" s="303">
        <f>(IF('Section Load'!AS7&gt;0,'Section Load'!AS7,0))</f>
        <v>1</v>
      </c>
      <c r="BM4" s="303">
        <f>(IF('Section Load'!AT7&gt;0,'Section Load'!AT7,0))</f>
        <v>512.23400000000402</v>
      </c>
    </row>
    <row r="5" spans="1:65">
      <c r="A5" s="291" t="s">
        <v>268</v>
      </c>
      <c r="B5" s="292">
        <f t="shared" si="0"/>
        <v>4</v>
      </c>
      <c r="C5" s="292">
        <v>11</v>
      </c>
      <c r="D5" s="292">
        <v>2021</v>
      </c>
      <c r="E5" s="301">
        <f>(IF('Section Load'!F8&gt;0,'Section Load'!F8,0))</f>
        <v>3614.5099999999875</v>
      </c>
      <c r="F5" s="301">
        <f>(IF('Section Load'!G8&gt;0,'Section Load'!G8,0))</f>
        <v>1438.8999999999942</v>
      </c>
      <c r="G5" s="301">
        <f>(IF('Section Load'!H8&gt;0,'Section Load'!H8,0))</f>
        <v>1642.6100000000006</v>
      </c>
      <c r="H5" s="301">
        <f>(IF('Section Load'!I8&gt;0,'Section Load'!I8,0))</f>
        <v>2745.679999999993</v>
      </c>
      <c r="I5" s="301">
        <f>(IF('Section Load'!J8&gt;0,'Section Load'!J8,0))</f>
        <v>5066.4999999999927</v>
      </c>
      <c r="J5" s="301">
        <f>(IF('Section Load'!K8&gt;0,'Section Load'!K8,0))</f>
        <v>2524.1999999999534</v>
      </c>
      <c r="K5" s="301">
        <f>(IF('Section Load'!L8&gt;0,'Section Load'!L8,0))</f>
        <v>884</v>
      </c>
      <c r="L5" s="301">
        <f>(IF('Section Load'!M8&gt;0,'Section Load'!M8,0))</f>
        <v>640.12000000000262</v>
      </c>
      <c r="M5" s="301">
        <f>(IF('Section Load'!N8&gt;0,'Section Load'!N8,0))</f>
        <v>37</v>
      </c>
      <c r="N5" s="301">
        <f>(IF('Section Load'!O8&gt;0,'Section Load'!O8,0))</f>
        <v>1</v>
      </c>
      <c r="O5" s="301">
        <f>(IF('Section Load'!P8&gt;0,'Section Load'!P8,0))</f>
        <v>4.8000000000029104</v>
      </c>
      <c r="P5" s="301">
        <f>(IF('Section Load'!Q8&gt;0,'Section Load'!Q8,0))</f>
        <v>185.40999999999622</v>
      </c>
      <c r="Q5" s="301">
        <f>(IF('Section Load'!R8&gt;0,'Section Load'!R8,0))</f>
        <v>14.69999999999709</v>
      </c>
      <c r="R5" s="301">
        <f>(IF('Section Load'!S8&gt;0,'Section Load'!S8,0))</f>
        <v>32.760000000000218</v>
      </c>
      <c r="S5" s="301">
        <f>(IF('Section Load'!T8&gt;0,'Section Load'!T8,0))</f>
        <v>270</v>
      </c>
      <c r="T5" s="301">
        <f>(IF('Section Load'!U8&gt;0,'Section Load'!U8,0))</f>
        <v>227</v>
      </c>
      <c r="U5" s="301">
        <f>(IF('Section Load'!V8&gt;0,'Section Load'!V8,0))</f>
        <v>357.79999999993015</v>
      </c>
      <c r="V5" s="301">
        <f>(IF('Section Load'!W8&gt;0,'Section Load'!W8,0))</f>
        <v>209</v>
      </c>
      <c r="W5" s="301">
        <f>(IF('Section Load'!X8&gt;0,'Section Load'!X8,0))</f>
        <v>24.670000000000073</v>
      </c>
      <c r="X5" s="301">
        <f>(IF('Section Load'!Y8&gt;0,'Section Load'!Y8,0))</f>
        <v>198.71999999998661</v>
      </c>
      <c r="Y5" s="301">
        <f>(IF('Section Load'!Z8&gt;0,'Section Load'!Z8,0))</f>
        <v>212</v>
      </c>
      <c r="Z5" s="301">
        <f>(IF('Section Load'!AA8&gt;0,'Section Load'!AA8,0))</f>
        <v>5.8800000000046566</v>
      </c>
      <c r="AA5" s="301">
        <f>(IF('Section Load'!AB8&gt;0,'Section Load'!AB8,0))</f>
        <v>19.69999999999709</v>
      </c>
      <c r="AB5" s="301">
        <f>(IF('Section Load'!AC8&gt;0,'Section Load'!AC8,0))</f>
        <v>0</v>
      </c>
      <c r="AC5" s="301">
        <f>(IF('Section Load'!AD8&gt;0,'Section Load'!AD8,0))</f>
        <v>36.400000000006003</v>
      </c>
      <c r="AD5" s="301">
        <f>(IF('Section Load'!AE8&gt;0,'Section Load'!AE8,0))</f>
        <v>0</v>
      </c>
      <c r="AE5" s="301">
        <f>(IF('Section Load'!AF8&gt;0,'Section Load'!AF8,0))</f>
        <v>22.259999999999991</v>
      </c>
      <c r="AF5" s="301">
        <f>(IF('Section Load'!AG8&gt;0,'Section Load'!AG8,0))</f>
        <v>295.39999999999418</v>
      </c>
      <c r="AG5" s="301">
        <f>(IF('Section Load'!AH8&gt;0,'Section Load'!AH8,0))</f>
        <v>411.66000000000349</v>
      </c>
      <c r="AH5" s="301">
        <f>(IF('Section Load'!AI8&gt;0,'Section Load'!AI8,0))</f>
        <v>433.71999999999935</v>
      </c>
      <c r="AI5" s="301">
        <f>(IF('Section Load'!AJ8&gt;0,'Section Load'!AJ8,0))</f>
        <v>710.8399999999674</v>
      </c>
      <c r="AJ5" s="301">
        <f>(IF('Section Load'!AK8&gt;0,'Section Load'!AK8,0))</f>
        <v>263.83000000000175</v>
      </c>
      <c r="AK5" s="301">
        <f>(IF('Section Load'!AL8&gt;0,'Section Load'!AL8,0))</f>
        <v>282.94000000000233</v>
      </c>
      <c r="AL5" s="301">
        <f>(IF('Section Load'!AM8&gt;0,'Section Load'!AM8,0))</f>
        <v>752.16000000000349</v>
      </c>
      <c r="AM5" s="302">
        <f>(IF('Water Report'!$G$7&gt;0,'Water Report'!$F$7,0))</f>
        <v>128</v>
      </c>
      <c r="AN5" s="302">
        <f>(IF('Water Report'!$G$8&gt;0,'Water Report'!$F$8,0))</f>
        <v>113</v>
      </c>
      <c r="AO5" s="302">
        <f>(IF('Water Report'!$G$9&gt;0,'Water Report'!$H$9,0))</f>
        <v>72</v>
      </c>
      <c r="AP5" s="302">
        <f>(IF('Water Report'!$G$10&gt;0,'Water Report'!$G$10,0))</f>
        <v>17</v>
      </c>
      <c r="AQ5" s="302">
        <f>(IF('Water Report'!$G$11&gt;0,'Water Report'!$G$11,0))</f>
        <v>17</v>
      </c>
      <c r="AR5" s="302">
        <f>(IF('Water Report'!$G$13&gt;0,'Water Report'!$G$13,0))</f>
        <v>40</v>
      </c>
      <c r="AS5" s="302">
        <f>(IF('Water Report'!$G$14&gt;0,'Water Report'!$G$14,0))</f>
        <v>7</v>
      </c>
      <c r="AT5" s="302">
        <f>(IF('Water Report'!$G$15&gt;0,'Water Report'!$G$15,0))</f>
        <v>13</v>
      </c>
      <c r="AU5" s="302">
        <f>(IF('Water Report'!$G$17&gt;0,'Water Report'!$G$17,0))</f>
        <v>0</v>
      </c>
      <c r="AV5" s="302">
        <f>(IF('Water Report'!$G$18&gt;0,'Water Report'!$G$18,0))</f>
        <v>9</v>
      </c>
      <c r="AW5" s="302">
        <f>(IF('Water Report'!$G$19&gt;0,'Water Report'!$G$19,0))</f>
        <v>10</v>
      </c>
      <c r="AX5" s="308">
        <f>(IF('Water Report'!$G$21&gt;0,'Water Report'!$G$21,0))</f>
        <v>65</v>
      </c>
      <c r="AY5" s="308">
        <f>(IF('Water Report'!$G$22&gt;0,'Water Report'!$G$22,0))</f>
        <v>0</v>
      </c>
      <c r="AZ5" s="308">
        <f>(IF('Water Report'!$G$23&gt;0,'Water Report'!$G$23,0))</f>
        <v>1</v>
      </c>
      <c r="BA5" s="308">
        <f>(IF('Water Report'!$G$14&gt;0,'Water Report'!$G$14,0))</f>
        <v>7</v>
      </c>
      <c r="BB5" s="308">
        <f>(IF('Water Report'!$G$15&gt;0,'Water Report'!$G$15,0))</f>
        <v>13</v>
      </c>
      <c r="BC5" s="308">
        <f>(IF('Water Report'!$G$13&gt;0,'Water Report'!$G$13,0))</f>
        <v>40</v>
      </c>
      <c r="BD5" s="308">
        <f>(IF('Water Report'!$G$24&gt;0,'Water Report'!$G$24,0))</f>
        <v>239</v>
      </c>
      <c r="BE5" s="308">
        <f>(IF('Water Report'!$G$25&gt;0,'Water Report'!$G$25,0))</f>
        <v>139</v>
      </c>
      <c r="BF5" s="308">
        <f>(IF('Water Report'!$G$27&gt;0,'Water Report'!$G$27,0))</f>
        <v>106</v>
      </c>
      <c r="BG5" s="303">
        <f>(IF('Section Load'!AN8&gt;0,'Section Load'!AN8,0))</f>
        <v>914.75</v>
      </c>
      <c r="BH5" s="303">
        <f>(IF('Section Load'!AO8&gt;0,'Section Load'!AO8,0))</f>
        <v>278.42399999999907</v>
      </c>
      <c r="BI5" s="303">
        <f>(IF('Section Load'!AP8&gt;0,'Section Load'!AP8,0))</f>
        <v>0</v>
      </c>
      <c r="BJ5" s="303">
        <f>(IF('Section Load'!AQ8&gt;0,'Section Load'!AQ8,0))</f>
        <v>85.559999999997672</v>
      </c>
      <c r="BK5" s="303">
        <f>(IF('Section Load'!AR8&gt;0,'Section Load'!AR8,0))</f>
        <v>44.5</v>
      </c>
      <c r="BL5" s="303">
        <f>(IF('Section Load'!AS8&gt;0,'Section Load'!AS8,0))</f>
        <v>3.6000000000003638</v>
      </c>
      <c r="BM5" s="303">
        <f>(IF('Section Load'!AT8&gt;0,'Section Load'!AT8,0))</f>
        <v>502.6660000000029</v>
      </c>
    </row>
    <row r="6" spans="1:65">
      <c r="A6" s="291" t="s">
        <v>268</v>
      </c>
      <c r="B6" s="292">
        <f t="shared" si="0"/>
        <v>5</v>
      </c>
      <c r="C6" s="292">
        <v>11</v>
      </c>
      <c r="D6" s="292">
        <v>2021</v>
      </c>
      <c r="E6" s="301">
        <f>(IF('Section Load'!F9&gt;0,'Section Load'!F9,0))</f>
        <v>3597.8700000000026</v>
      </c>
      <c r="F6" s="301">
        <f>(IF('Section Load'!G9&gt;0,'Section Load'!G9,0))</f>
        <v>1602.3300000000017</v>
      </c>
      <c r="G6" s="301">
        <f>(IF('Section Load'!H9&gt;0,'Section Load'!H9,0))</f>
        <v>1798.5099999999948</v>
      </c>
      <c r="H6" s="301">
        <f>(IF('Section Load'!I9&gt;0,'Section Load'!I9,0))</f>
        <v>2856.6700000000128</v>
      </c>
      <c r="I6" s="301">
        <f>(IF('Section Load'!J9&gt;0,'Section Load'!J9,0))</f>
        <v>6887.7499999999927</v>
      </c>
      <c r="J6" s="301">
        <f>(IF('Section Load'!K9&gt;0,'Section Load'!K9,0))</f>
        <v>2973.3000000000466</v>
      </c>
      <c r="K6" s="301">
        <f>(IF('Section Load'!L9&gt;0,'Section Load'!L9,0))</f>
        <v>1183.0899999999674</v>
      </c>
      <c r="L6" s="301">
        <f>(IF('Section Load'!M9&gt;0,'Section Load'!M9,0))</f>
        <v>903.31999999999971</v>
      </c>
      <c r="M6" s="301">
        <f>(IF('Section Load'!N9&gt;0,'Section Load'!N9,0))</f>
        <v>68</v>
      </c>
      <c r="N6" s="301">
        <f>(IF('Section Load'!O9&gt;0,'Section Load'!O9,0))</f>
        <v>0</v>
      </c>
      <c r="O6" s="301">
        <f>(IF('Section Load'!P9&gt;0,'Section Load'!P9,0))</f>
        <v>1.1999999999970896</v>
      </c>
      <c r="P6" s="301">
        <f>(IF('Section Load'!Q9&gt;0,'Section Load'!Q9,0))</f>
        <v>221.18000000000029</v>
      </c>
      <c r="Q6" s="301">
        <f>(IF('Section Load'!R9&gt;0,'Section Load'!R9,0))</f>
        <v>17.080000000001746</v>
      </c>
      <c r="R6" s="301">
        <f>(IF('Section Load'!S9&gt;0,'Section Load'!S9,0))</f>
        <v>36.849999999999909</v>
      </c>
      <c r="S6" s="301">
        <f>(IF('Section Load'!T9&gt;0,'Section Load'!T9,0))</f>
        <v>564</v>
      </c>
      <c r="T6" s="301">
        <f>(IF('Section Load'!U9&gt;0,'Section Load'!U9,0))</f>
        <v>227</v>
      </c>
      <c r="U6" s="301">
        <f>(IF('Section Load'!V9&gt;0,'Section Load'!V9,0))</f>
        <v>397.56000000005588</v>
      </c>
      <c r="V6" s="301">
        <f>(IF('Section Load'!W9&gt;0,'Section Load'!W9,0))</f>
        <v>248.35999999998603</v>
      </c>
      <c r="W6" s="301">
        <f>(IF('Section Load'!X9&gt;0,'Section Load'!X9,0))</f>
        <v>23.599999999999909</v>
      </c>
      <c r="X6" s="301">
        <f>(IF('Section Load'!Y9&gt;0,'Section Load'!Y9,0))</f>
        <v>171.4600000000064</v>
      </c>
      <c r="Y6" s="301">
        <f>(IF('Section Load'!Z9&gt;0,'Section Load'!Z9,0))</f>
        <v>228</v>
      </c>
      <c r="Z6" s="301">
        <f>(IF('Section Load'!AA9&gt;0,'Section Load'!AA9,0))</f>
        <v>7</v>
      </c>
      <c r="AA6" s="301">
        <f>(IF('Section Load'!AB9&gt;0,'Section Load'!AB9,0))</f>
        <v>15.600000000005821</v>
      </c>
      <c r="AB6" s="301">
        <f>(IF('Section Load'!AC9&gt;0,'Section Load'!AC9,0))</f>
        <v>0</v>
      </c>
      <c r="AC6" s="301">
        <f>(IF('Section Load'!AD9&gt;0,'Section Load'!AD9,0))</f>
        <v>40.599999999999909</v>
      </c>
      <c r="AD6" s="301">
        <f>(IF('Section Load'!AE9&gt;0,'Section Load'!AE9,0))</f>
        <v>0</v>
      </c>
      <c r="AE6" s="301">
        <f>(IF('Section Load'!AF9&gt;0,'Section Load'!AF9,0))</f>
        <v>22.880000000000109</v>
      </c>
      <c r="AF6" s="301">
        <f>(IF('Section Load'!AG9&gt;0,'Section Load'!AG9,0))</f>
        <v>321.67000000001281</v>
      </c>
      <c r="AG6" s="301">
        <f>(IF('Section Load'!AH9&gt;0,'Section Load'!AH9,0))</f>
        <v>421.98999999999069</v>
      </c>
      <c r="AH6" s="301">
        <f>(IF('Section Load'!AI9&gt;0,'Section Load'!AI9,0))</f>
        <v>449.68000000000029</v>
      </c>
      <c r="AI6" s="301">
        <f>(IF('Section Load'!AJ9&gt;0,'Section Load'!AJ9,0))</f>
        <v>733.09000000002561</v>
      </c>
      <c r="AJ6" s="301">
        <f>(IF('Section Load'!AK9&gt;0,'Section Load'!AK9,0))</f>
        <v>275.11000000000058</v>
      </c>
      <c r="AK6" s="301">
        <f>(IF('Section Load'!AL9&gt;0,'Section Load'!AL9,0))</f>
        <v>300.13999999999942</v>
      </c>
      <c r="AL6" s="301">
        <f>(IF('Section Load'!AM9&gt;0,'Section Load'!AM9,0))</f>
        <v>815.58999999999651</v>
      </c>
      <c r="AM6" s="302">
        <f>(IF('Water Report'!$H$7&gt;0,'Water Report'!$H$7,0))</f>
        <v>67</v>
      </c>
      <c r="AN6" s="302">
        <f>(IF('Water Report'!$H$8&gt;0,'Water Report'!$H$8,0))</f>
        <v>95</v>
      </c>
      <c r="AO6" s="302">
        <f>(IF('Water Report'!$H$9&gt;0,'Water Report'!$H$9,0))</f>
        <v>72</v>
      </c>
      <c r="AP6" s="302">
        <f>(IF('Water Report'!$H$10&gt;0,'Water Report'!$H$10,0))</f>
        <v>13</v>
      </c>
      <c r="AQ6" s="302">
        <f>(IF('Water Report'!$H$11&gt;0,'Water Report'!$H$11,0))</f>
        <v>30</v>
      </c>
      <c r="AR6" s="302">
        <f>(IF('Water Report'!$H$13&gt;0,'Water Report'!$H$13,0))</f>
        <v>28</v>
      </c>
      <c r="AS6" s="302">
        <f>(IF('Water Report'!$H$14&gt;0,'Water Report'!$H$14,0))</f>
        <v>9</v>
      </c>
      <c r="AT6" s="302">
        <f>(IF('Water Report'!$H$15&gt;0,'Water Report'!$H$15,0))</f>
        <v>10</v>
      </c>
      <c r="AU6" s="302">
        <f>(IF('Water Report'!$H$17&gt;0,'Water Report'!$H$17,0))</f>
        <v>0</v>
      </c>
      <c r="AV6" s="302">
        <f>(IF('Water Report'!$H$18&gt;0,'Water Report'!$H$18,0))</f>
        <v>8</v>
      </c>
      <c r="AW6" s="302">
        <f>(IF('Water Report'!$H$19&gt;0,'Water Report'!$H$19,0))</f>
        <v>8</v>
      </c>
      <c r="AX6" s="308">
        <f>(IF('Water Report'!$H$21&gt;0,'Water Report'!$H$21,0))</f>
        <v>122</v>
      </c>
      <c r="AY6" s="308">
        <f>(IF('Water Report'!$H$22&gt;0,'Water Report'!$H$22,0))</f>
        <v>0</v>
      </c>
      <c r="AZ6" s="308">
        <f>(IF('Water Report'!$H$23&gt;0,'Water Report'!$H$23,0))</f>
        <v>2</v>
      </c>
      <c r="BA6" s="308">
        <f>(IF('Water Report'!$H$14&gt;0,'Water Report'!$H$14,0))</f>
        <v>9</v>
      </c>
      <c r="BB6" s="308">
        <f>(IF('Water Report'!$H$15&gt;0,'Water Report'!$H$15,0))</f>
        <v>10</v>
      </c>
      <c r="BC6" s="308">
        <f>(IF('Water Report'!$H$13&gt;0,'Water Report'!$H$13,0))</f>
        <v>28</v>
      </c>
      <c r="BD6" s="308">
        <f>(IF('Water Report'!$H$24&gt;0,'Water Report'!$H$24,0))</f>
        <v>159</v>
      </c>
      <c r="BE6" s="308">
        <f>(IF('Water Report'!$H$25&gt;0,'Water Report'!$H$25,0))</f>
        <v>134</v>
      </c>
      <c r="BF6" s="308">
        <f>(IF('Water Report'!$H$27&gt;0,'Water Report'!$H$27,0))</f>
        <v>152</v>
      </c>
      <c r="BG6" s="303">
        <f>(IF('Section Load'!AN9&gt;0,'Section Load'!AN9,0))</f>
        <v>889.91999999992549</v>
      </c>
      <c r="BH6" s="303">
        <f>(IF('Section Load'!AO9&gt;0,'Section Load'!AO9,0))</f>
        <v>289.46999999997206</v>
      </c>
      <c r="BI6" s="303">
        <f>(IF('Section Load'!AP9&gt;0,'Section Load'!AP9,0))</f>
        <v>0</v>
      </c>
      <c r="BJ6" s="303">
        <f>(IF('Section Load'!AQ9&gt;0,'Section Load'!AQ9,0))</f>
        <v>87</v>
      </c>
      <c r="BK6" s="303">
        <f>(IF('Section Load'!AR9&gt;0,'Section Load'!AR9,0))</f>
        <v>47</v>
      </c>
      <c r="BL6" s="303">
        <f>(IF('Section Load'!AS9&gt;0,'Section Load'!AS9,0))</f>
        <v>2.1000000000003638</v>
      </c>
      <c r="BM6" s="303">
        <f>(IF('Section Load'!AT9&gt;0,'Section Load'!AT9,0))</f>
        <v>464.34999999995307</v>
      </c>
    </row>
    <row r="7" spans="1:65">
      <c r="A7" s="291" t="s">
        <v>268</v>
      </c>
      <c r="B7" s="292">
        <f t="shared" si="0"/>
        <v>6</v>
      </c>
      <c r="C7" s="292">
        <v>11</v>
      </c>
      <c r="D7" s="292">
        <v>2021</v>
      </c>
      <c r="E7" s="301">
        <f>(IF('Section Load'!F10&gt;0,'Section Load'!F10,0))</f>
        <v>3610.5599999999977</v>
      </c>
      <c r="F7" s="301">
        <f>(IF('Section Load'!G10&gt;0,'Section Load'!G10,0))</f>
        <v>1653.7100000000064</v>
      </c>
      <c r="G7" s="301">
        <f>(IF('Section Load'!H10&gt;0,'Section Load'!H10,0))</f>
        <v>1902.3000000000029</v>
      </c>
      <c r="H7" s="301">
        <f>(IF('Section Load'!I10&gt;0,'Section Load'!I10,0))</f>
        <v>2809.5899999999965</v>
      </c>
      <c r="I7" s="301">
        <f>(IF('Section Load'!J10&gt;0,'Section Load'!J10,0))</f>
        <v>5959.0099999999948</v>
      </c>
      <c r="J7" s="301">
        <f>(IF('Section Load'!K10&gt;0,'Section Load'!K10,0))</f>
        <v>2754.6000000000931</v>
      </c>
      <c r="K7" s="301">
        <f>(IF('Section Load'!L10&gt;0,'Section Load'!L10,0))</f>
        <v>1109.7099999999627</v>
      </c>
      <c r="L7" s="301">
        <f>(IF('Section Load'!M10&gt;0,'Section Load'!M10,0))</f>
        <v>875.9800000000032</v>
      </c>
      <c r="M7" s="301">
        <f>(IF('Section Load'!N10&gt;0,'Section Load'!N10,0))</f>
        <v>55</v>
      </c>
      <c r="N7" s="301">
        <f>(IF('Section Load'!O10&gt;0,'Section Load'!O10,0))</f>
        <v>1</v>
      </c>
      <c r="O7" s="301">
        <f>(IF('Section Load'!P10&gt;0,'Section Load'!P10,0))</f>
        <v>1.1999999999970896</v>
      </c>
      <c r="P7" s="301">
        <f>(IF('Section Load'!Q10&gt;0,'Section Load'!Q10,0))</f>
        <v>195.97000000000116</v>
      </c>
      <c r="Q7" s="301">
        <f>(IF('Section Load'!R10&gt;0,'Section Load'!R10,0))</f>
        <v>17.369999999998981</v>
      </c>
      <c r="R7" s="301">
        <f>(IF('Section Load'!S10&gt;0,'Section Load'!S10,0))</f>
        <v>40.449999999999818</v>
      </c>
      <c r="S7" s="301">
        <f>(IF('Section Load'!T10&gt;0,'Section Load'!T10,0))</f>
        <v>365</v>
      </c>
      <c r="T7" s="301">
        <f>(IF('Section Load'!U10&gt;0,'Section Load'!U10,0))</f>
        <v>224</v>
      </c>
      <c r="U7" s="301">
        <f>(IF('Section Load'!V10&gt;0,'Section Load'!V10,0))</f>
        <v>392</v>
      </c>
      <c r="V7" s="301">
        <f>(IF('Section Load'!W10&gt;0,'Section Load'!W10,0))</f>
        <v>264</v>
      </c>
      <c r="W7" s="301">
        <f>(IF('Section Load'!X10&gt;0,'Section Load'!X10,0))</f>
        <v>22.210000000000036</v>
      </c>
      <c r="X7" s="301">
        <f>(IF('Section Load'!Y10&gt;0,'Section Load'!Y10,0))</f>
        <v>200.58000000000175</v>
      </c>
      <c r="Y7" s="301">
        <f>(IF('Section Load'!Z10&gt;0,'Section Load'!Z10,0))</f>
        <v>277</v>
      </c>
      <c r="Z7" s="301">
        <f>(IF('Section Load'!AA10&gt;0,'Section Load'!AA10,0))</f>
        <v>6.1599999999743886</v>
      </c>
      <c r="AA7" s="301">
        <f>(IF('Section Load'!AB10&gt;0,'Section Load'!AB10,0))</f>
        <v>17.399999999994179</v>
      </c>
      <c r="AB7" s="301">
        <f>(IF('Section Load'!AC10&gt;0,'Section Load'!AC10,0))</f>
        <v>0</v>
      </c>
      <c r="AC7" s="301">
        <f>(IF('Section Load'!AD10&gt;0,'Section Load'!AD10,0))</f>
        <v>37.300000000000182</v>
      </c>
      <c r="AD7" s="301">
        <f>(IF('Section Load'!AE10&gt;0,'Section Load'!AE10,0))</f>
        <v>0</v>
      </c>
      <c r="AE7" s="301">
        <f>(IF('Section Load'!AF10&gt;0,'Section Load'!AF10,0))</f>
        <v>25.470000000000027</v>
      </c>
      <c r="AF7" s="301">
        <f>(IF('Section Load'!AG10&gt;0,'Section Load'!AG10,0))</f>
        <v>319.23000000001048</v>
      </c>
      <c r="AG7" s="301">
        <f>(IF('Section Load'!AH10&gt;0,'Section Load'!AH10,0))</f>
        <v>435.36999999999534</v>
      </c>
      <c r="AH7" s="301">
        <f>(IF('Section Load'!AI10&gt;0,'Section Load'!AI10,0))</f>
        <v>431.03999999999996</v>
      </c>
      <c r="AI7" s="301">
        <f>(IF('Section Load'!AJ10&gt;0,'Section Load'!AJ10,0))</f>
        <v>679.92999999999302</v>
      </c>
      <c r="AJ7" s="301">
        <f>(IF('Section Load'!AK10&gt;0,'Section Load'!AK10,0))</f>
        <v>295.38000000000466</v>
      </c>
      <c r="AK7" s="301">
        <f>(IF('Section Load'!AL10&gt;0,'Section Load'!AL10,0))</f>
        <v>302.52999999999884</v>
      </c>
      <c r="AL7" s="301">
        <f>(IF('Section Load'!AM10&gt;0,'Section Load'!AM10,0))</f>
        <v>804.88999999999942</v>
      </c>
      <c r="AM7" s="302">
        <f>(IF('Water Report'!$I$7&gt;0,'Water Report'!$I$7,0))</f>
        <v>144</v>
      </c>
      <c r="AN7" s="302">
        <f>(IF('Water Report'!$I$8&gt;0,'Water Report'!$I$8,0))</f>
        <v>100</v>
      </c>
      <c r="AO7" s="302">
        <f>(IF('Water Report'!$I$9&gt;0,'Water Report'!$I$9,0))</f>
        <v>110</v>
      </c>
      <c r="AP7" s="302">
        <f>(IF('Water Report'!$I$10&gt;0,'Water Report'!$I$10,0))</f>
        <v>32</v>
      </c>
      <c r="AQ7" s="302">
        <f>(IF('Water Report'!$I$11&gt;0,'Water Report'!$I$11,0))</f>
        <v>41</v>
      </c>
      <c r="AR7" s="302">
        <f>(IF('Water Report'!$I$13&gt;0,'Water Report'!$I$13,0))</f>
        <v>14</v>
      </c>
      <c r="AS7" s="302">
        <f>(IF('Water Report'!$I$14&gt;0,'Water Report'!$I$14,0))</f>
        <v>22</v>
      </c>
      <c r="AT7" s="302">
        <f>(IF('Water Report'!$I$15&gt;0,'Water Report'!$I$15,0))</f>
        <v>17</v>
      </c>
      <c r="AU7" s="302">
        <f>(IF('Water Report'!$I$17&gt;0,'Water Report'!$I$17,0))</f>
        <v>23</v>
      </c>
      <c r="AV7" s="302">
        <f>(IF('Water Report'!$I$18&gt;0,'Water Report'!$I$18,0))</f>
        <v>10</v>
      </c>
      <c r="AW7" s="302">
        <f>(IF('Water Report'!$I$19&gt;0,'Water Report'!$I$19,0))</f>
        <v>9</v>
      </c>
      <c r="AX7" s="308">
        <f>(IF('Water Report'!$I$21&gt;0,'Water Report'!$I$21,0))</f>
        <v>129</v>
      </c>
      <c r="AY7" s="308">
        <f>(IF('Water Report'!$I$22&gt;0,'Water Report'!$I$22,0))</f>
        <v>0</v>
      </c>
      <c r="AZ7" s="308">
        <f>(IF('Water Report'!$I$23&gt;0,'Water Report'!$I$23,0))</f>
        <v>15</v>
      </c>
      <c r="BA7" s="308">
        <f>(IF('Water Report'!$I$14&gt;0,'Water Report'!$I$14,0))</f>
        <v>22</v>
      </c>
      <c r="BB7" s="308">
        <f>(IF('Water Report'!$I$15&gt;0,'Water Report'!$I$15,0))</f>
        <v>17</v>
      </c>
      <c r="BC7" s="308">
        <f>(IF('Water Report'!$I$13&gt;0,'Water Report'!$I$13,0))</f>
        <v>14</v>
      </c>
      <c r="BD7" s="308">
        <f>(IF('Water Report'!$I$24&gt;0,'Water Report'!$I$24,0))</f>
        <v>291</v>
      </c>
      <c r="BE7" s="308">
        <f>(IF('Water Report'!$I$25&gt;0,'Water Report'!$I$25,0))</f>
        <v>222</v>
      </c>
      <c r="BF7" s="308">
        <f>(IF('Water Report'!$I$27&gt;0,'Water Report'!$I$27,0))</f>
        <v>158</v>
      </c>
      <c r="BG7" s="303">
        <f>(IF('Section Load'!AN10&gt;0,'Section Load'!AN10,0))</f>
        <v>955.67999999993481</v>
      </c>
      <c r="BH7" s="303">
        <f>(IF('Section Load'!AO10&gt;0,'Section Load'!AO10,0))</f>
        <v>308.45999999996275</v>
      </c>
      <c r="BI7" s="303">
        <f>(IF('Section Load'!AP10&gt;0,'Section Load'!AP10,0))</f>
        <v>3.4000000000087311</v>
      </c>
      <c r="BJ7" s="303">
        <f>(IF('Section Load'!AQ10&gt;0,'Section Load'!AQ10,0))</f>
        <v>88.75</v>
      </c>
      <c r="BK7" s="303">
        <f>(IF('Section Load'!AR10&gt;0,'Section Load'!AR10,0))</f>
        <v>47</v>
      </c>
      <c r="BL7" s="303">
        <f>(IF('Section Load'!AS10&gt;0,'Section Load'!AS10,0))</f>
        <v>3</v>
      </c>
      <c r="BM7" s="303">
        <f>(IF('Section Load'!AT10&gt;0,'Section Load'!AT10,0))</f>
        <v>505.06999999996333</v>
      </c>
    </row>
    <row r="8" spans="1:65">
      <c r="A8" s="291" t="s">
        <v>268</v>
      </c>
      <c r="B8" s="292">
        <f t="shared" si="0"/>
        <v>7</v>
      </c>
      <c r="C8" s="292">
        <v>11</v>
      </c>
      <c r="D8" s="292">
        <v>2021</v>
      </c>
      <c r="E8" s="301">
        <f>(IF('Section Load'!F11&gt;0,'Section Load'!F11,0))</f>
        <v>3710.4599999999919</v>
      </c>
      <c r="F8" s="301">
        <f>(IF('Section Load'!G11&gt;0,'Section Load'!G11,0))</f>
        <v>1579.8199999999924</v>
      </c>
      <c r="G8" s="301">
        <f>(IF('Section Load'!H11&gt;0,'Section Load'!H11,0))</f>
        <v>1893.2099999999919</v>
      </c>
      <c r="H8" s="301">
        <f>(IF('Section Load'!I11&gt;0,'Section Load'!I11,0))</f>
        <v>2812.8600000000151</v>
      </c>
      <c r="I8" s="301">
        <f>(IF('Section Load'!J11&gt;0,'Section Load'!J11,0))</f>
        <v>5341.6399999999994</v>
      </c>
      <c r="J8" s="301">
        <f>(IF('Section Load'!K11&gt;0,'Section Load'!K11,0))</f>
        <v>2609.6999999999534</v>
      </c>
      <c r="K8" s="301">
        <f>(IF('Section Load'!L11&gt;0,'Section Load'!L11,0))</f>
        <v>1148.8800000000047</v>
      </c>
      <c r="L8" s="301">
        <f>(IF('Section Load'!M11&gt;0,'Section Load'!M11,0))</f>
        <v>701.52999999999884</v>
      </c>
      <c r="M8" s="301">
        <f>(IF('Section Load'!N11&gt;0,'Section Load'!N11,0))</f>
        <v>45</v>
      </c>
      <c r="N8" s="301">
        <f>(IF('Section Load'!O11&gt;0,'Section Load'!O11,0))</f>
        <v>1</v>
      </c>
      <c r="O8" s="301">
        <f>(IF('Section Load'!P11&gt;0,'Section Load'!P11,0))</f>
        <v>1.1999999999970896</v>
      </c>
      <c r="P8" s="301">
        <f>(IF('Section Load'!Q11&gt;0,'Section Load'!Q11,0))</f>
        <v>198.90000000000146</v>
      </c>
      <c r="Q8" s="301">
        <f>(IF('Section Load'!R11&gt;0,'Section Load'!R11,0))</f>
        <v>16.650000000001455</v>
      </c>
      <c r="R8" s="301">
        <f>(IF('Section Load'!S11&gt;0,'Section Load'!S11,0))</f>
        <v>37.269999999999982</v>
      </c>
      <c r="S8" s="301">
        <f>(IF('Section Load'!T11&gt;0,'Section Load'!T11,0))</f>
        <v>401</v>
      </c>
      <c r="T8" s="301">
        <f>(IF('Section Load'!U11&gt;0,'Section Load'!U11,0))</f>
        <v>233</v>
      </c>
      <c r="U8" s="301">
        <f>(IF('Section Load'!V11&gt;0,'Section Load'!V11,0))</f>
        <v>417</v>
      </c>
      <c r="V8" s="301">
        <f>(IF('Section Load'!W11&gt;0,'Section Load'!W11,0))</f>
        <v>254.52000000001863</v>
      </c>
      <c r="W8" s="301">
        <f>(IF('Section Load'!X11&gt;0,'Section Load'!X11,0))</f>
        <v>19.099999999999909</v>
      </c>
      <c r="X8" s="301">
        <f>(IF('Section Load'!Y11&gt;0,'Section Load'!Y11,0))</f>
        <v>211.55000000000291</v>
      </c>
      <c r="Y8" s="301">
        <f>(IF('Section Load'!Z11&gt;0,'Section Load'!Z11,0))</f>
        <v>259</v>
      </c>
      <c r="Z8" s="301">
        <f>(IF('Section Load'!AA11&gt;0,'Section Load'!AA11,0))</f>
        <v>6.4000000000232831</v>
      </c>
      <c r="AA8" s="301">
        <f>(IF('Section Load'!AB11&gt;0,'Section Load'!AB11,0))</f>
        <v>6.2000000000116415</v>
      </c>
      <c r="AB8" s="301">
        <f>(IF('Section Load'!AC11&gt;0,'Section Load'!AC11,0))</f>
        <v>0</v>
      </c>
      <c r="AC8" s="301">
        <f>(IF('Section Load'!AD11&gt;0,'Section Load'!AD11,0))</f>
        <v>39</v>
      </c>
      <c r="AD8" s="301">
        <f>(IF('Section Load'!AE11&gt;0,'Section Load'!AE11,0))</f>
        <v>0</v>
      </c>
      <c r="AE8" s="301">
        <f>(IF('Section Load'!AF11&gt;0,'Section Load'!AF11,0))</f>
        <v>21.6099999999999</v>
      </c>
      <c r="AF8" s="301">
        <f>(IF('Section Load'!AG11&gt;0,'Section Load'!AG11,0))</f>
        <v>306.31999999997788</v>
      </c>
      <c r="AG8" s="301">
        <f>(IF('Section Load'!AH11&gt;0,'Section Load'!AH11,0))</f>
        <v>422.73999999999069</v>
      </c>
      <c r="AH8" s="301">
        <f>(IF('Section Load'!AI11&gt;0,'Section Load'!AI11,0))</f>
        <v>420.22000000000025</v>
      </c>
      <c r="AI8" s="301">
        <f>(IF('Section Load'!AJ11&gt;0,'Section Load'!AJ11,0))</f>
        <v>693.5800000000163</v>
      </c>
      <c r="AJ8" s="301">
        <f>(IF('Section Load'!AK11&gt;0,'Section Load'!AK11,0))</f>
        <v>307.88999999999942</v>
      </c>
      <c r="AK8" s="301">
        <f>(IF('Section Load'!AL11&gt;0,'Section Load'!AL11,0))</f>
        <v>294.25999999999476</v>
      </c>
      <c r="AL8" s="301">
        <f>(IF('Section Load'!AM11&gt;0,'Section Load'!AM11,0))</f>
        <v>832.26000000000204</v>
      </c>
      <c r="AM8" s="302">
        <f>(IF('Water Report'!$J$7&gt;0,'Water Report'!$J$7,0))</f>
        <v>133</v>
      </c>
      <c r="AN8" s="302">
        <f>(IF('Water Report'!$J$8&gt;0,'Water Report'!$J$8,0))</f>
        <v>126</v>
      </c>
      <c r="AO8" s="302">
        <f>(IF('Water Report'!$J$9&gt;0,'Water Report'!$J$9,0))</f>
        <v>90</v>
      </c>
      <c r="AP8" s="302">
        <f>(IF('Water Report'!$J$10&gt;0,'Water Report'!$J$10,0))</f>
        <v>31</v>
      </c>
      <c r="AQ8" s="302">
        <f>(IF('Water Report'!$J$11&gt;0,'Water Report'!$J$11,0))</f>
        <v>33</v>
      </c>
      <c r="AR8" s="302">
        <f>(IF('Water Report'!$J$13&gt;0,'Water Report'!$J$13,0))</f>
        <v>25</v>
      </c>
      <c r="AS8" s="302">
        <f>(IF('Water Report'!$J$14&gt;0,'Water Report'!$J$14,0))</f>
        <v>17</v>
      </c>
      <c r="AT8" s="302">
        <f>(IF('Water Report'!$J$15&gt;0,'Water Report'!$J$15,0))</f>
        <v>11</v>
      </c>
      <c r="AU8" s="302">
        <f>(IF('Water Report'!$J$17&gt;0,'Water Report'!$J$17,0))</f>
        <v>0</v>
      </c>
      <c r="AV8" s="302">
        <f>(IF('Water Report'!$J$18&gt;0,'Water Report'!$J$18,0))</f>
        <v>13</v>
      </c>
      <c r="AW8" s="302">
        <f>(IF('Water Report'!$J$19&gt;0,'Water Report'!$J$19,0))</f>
        <v>13</v>
      </c>
      <c r="AX8" s="308">
        <f>(IF('Water Report'!$J$21&gt;0,'Water Report'!$J$21,0))</f>
        <v>89</v>
      </c>
      <c r="AY8" s="308">
        <f>(IF('Water Report'!$J$22&gt;0,'Water Report'!$J$22,0))</f>
        <v>0</v>
      </c>
      <c r="AZ8" s="308">
        <f>(IF('Water Report'!$J$23&gt;0,'Water Report'!$J$23,0))</f>
        <v>2</v>
      </c>
      <c r="BA8" s="308">
        <f>(IF('Water Report'!$J$14&gt;0,'Water Report'!$J$14,0))</f>
        <v>17</v>
      </c>
      <c r="BB8" s="308">
        <f>(IF('Water Report'!$J$15&gt;0,'Water Report'!$J$15,0))</f>
        <v>11</v>
      </c>
      <c r="BC8" s="308">
        <f>(IF('Water Report'!$J$13&gt;0,'Water Report'!$J$13,0))</f>
        <v>25</v>
      </c>
      <c r="BD8" s="308">
        <f>(IF('Water Report'!$J$24&gt;0,'Water Report'!$J$24,0))</f>
        <v>259</v>
      </c>
      <c r="BE8" s="308">
        <f>(IF('Water Report'!$J$25&gt;0,'Water Report'!$J$25,0))</f>
        <v>182</v>
      </c>
      <c r="BF8" s="308">
        <f>(IF('Water Report'!$J$27&gt;0,'Water Report'!$J$27,0))</f>
        <v>116</v>
      </c>
      <c r="BG8" s="303">
        <f>(IF('Section Load'!AN11&gt;0,'Section Load'!AN11,0))</f>
        <v>962.48999999999069</v>
      </c>
      <c r="BH8" s="303">
        <f>(IF('Section Load'!AO11&gt;0,'Section Load'!AO11,0))</f>
        <v>288.83000000007451</v>
      </c>
      <c r="BI8" s="303">
        <f>(IF('Section Load'!AP11&gt;0,'Section Load'!AP11,0))</f>
        <v>0</v>
      </c>
      <c r="BJ8" s="303">
        <f>(IF('Section Load'!AQ11&gt;0,'Section Load'!AQ11,0))</f>
        <v>86.230000000010477</v>
      </c>
      <c r="BK8" s="303">
        <f>(IF('Section Load'!AR11&gt;0,'Section Load'!AR11,0))</f>
        <v>37</v>
      </c>
      <c r="BL8" s="303">
        <f>(IF('Section Load'!AS11&gt;0,'Section Load'!AS11,0))</f>
        <v>1.2999999999992724</v>
      </c>
      <c r="BM8" s="303">
        <f>(IF('Section Load'!AT11&gt;0,'Section Load'!AT11,0))</f>
        <v>549.12999999990643</v>
      </c>
    </row>
    <row r="9" spans="1:65">
      <c r="A9" s="291" t="s">
        <v>268</v>
      </c>
      <c r="B9" s="292">
        <f t="shared" si="0"/>
        <v>8</v>
      </c>
      <c r="C9" s="292">
        <v>11</v>
      </c>
      <c r="D9" s="292">
        <v>2021</v>
      </c>
      <c r="E9" s="301">
        <f>(IF('Section Load'!F12&gt;0,'Section Load'!F12,0))</f>
        <v>3847.9400000000242</v>
      </c>
      <c r="F9" s="301">
        <f>(IF('Section Load'!G12&gt;0,'Section Load'!G12,0))</f>
        <v>1589.1399999999994</v>
      </c>
      <c r="G9" s="301">
        <f>(IF('Section Load'!H12&gt;0,'Section Load'!H12,0))</f>
        <v>1785.8700000000099</v>
      </c>
      <c r="H9" s="301">
        <f>(IF('Section Load'!I12&gt;0,'Section Load'!I12,0))</f>
        <v>2891.2200000000012</v>
      </c>
      <c r="I9" s="301">
        <f>(IF('Section Load'!J12&gt;0,'Section Load'!J12,0))</f>
        <v>5181.820000000007</v>
      </c>
      <c r="J9" s="301">
        <f>(IF('Section Load'!K12&gt;0,'Section Load'!K12,0))</f>
        <v>2607.8000000000466</v>
      </c>
      <c r="K9" s="301">
        <f>(IF('Section Load'!L12&gt;0,'Section Load'!L12,0))</f>
        <v>1020.8000000000466</v>
      </c>
      <c r="L9" s="301">
        <f>(IF('Section Load'!M12&gt;0,'Section Load'!M12,0))</f>
        <v>823.65999999999622</v>
      </c>
      <c r="M9" s="301">
        <f>(IF('Section Load'!N12&gt;0,'Section Load'!N12,0))</f>
        <v>32</v>
      </c>
      <c r="N9" s="301">
        <f>(IF('Section Load'!O12&gt;0,'Section Load'!O12,0))</f>
        <v>1</v>
      </c>
      <c r="O9" s="301">
        <f>(IF('Section Load'!P12&gt;0,'Section Load'!P12,0))</f>
        <v>1.1000000000058208</v>
      </c>
      <c r="P9" s="301">
        <f>(IF('Section Load'!Q12&gt;0,'Section Load'!Q12,0))</f>
        <v>163.47999999999593</v>
      </c>
      <c r="Q9" s="301">
        <f>(IF('Section Load'!R12&gt;0,'Section Load'!R12,0))</f>
        <v>15.590000000000146</v>
      </c>
      <c r="R9" s="301">
        <f>(IF('Section Load'!S12&gt;0,'Section Load'!S12,0))</f>
        <v>39.010000000000218</v>
      </c>
      <c r="S9" s="301">
        <f>(IF('Section Load'!T12&gt;0,'Section Load'!T12,0))</f>
        <v>389</v>
      </c>
      <c r="T9" s="301">
        <f>(IF('Section Load'!U12&gt;0,'Section Load'!U12,0))</f>
        <v>226</v>
      </c>
      <c r="U9" s="301">
        <f>(IF('Section Load'!V12&gt;0,'Section Load'!V12,0))</f>
        <v>403.56000000005588</v>
      </c>
      <c r="V9" s="301">
        <f>(IF('Section Load'!W12&gt;0,'Section Load'!W12,0))</f>
        <v>241.11999999999534</v>
      </c>
      <c r="W9" s="301">
        <f>(IF('Section Load'!X12&gt;0,'Section Load'!X12,0))</f>
        <v>27.820000000000164</v>
      </c>
      <c r="X9" s="301">
        <f>(IF('Section Load'!Y12&gt;0,'Section Load'!Y12,0))</f>
        <v>205.3799999999901</v>
      </c>
      <c r="Y9" s="301">
        <f>(IF('Section Load'!Z12&gt;0,'Section Load'!Z12,0))</f>
        <v>235</v>
      </c>
      <c r="Z9" s="301">
        <f>(IF('Section Load'!AA12&gt;0,'Section Load'!AA12,0))</f>
        <v>6.4000000000232831</v>
      </c>
      <c r="AA9" s="301">
        <f>(IF('Section Load'!AB12&gt;0,'Section Load'!AB12,0))</f>
        <v>31.69999999999709</v>
      </c>
      <c r="AB9" s="301">
        <f>(IF('Section Load'!AC12&gt;0,'Section Load'!AC12,0))</f>
        <v>0</v>
      </c>
      <c r="AC9" s="301">
        <f>(IF('Section Load'!AD12&gt;0,'Section Load'!AD12,0))</f>
        <v>67.000000000002728</v>
      </c>
      <c r="AD9" s="301">
        <f>(IF('Section Load'!AE12&gt;0,'Section Load'!AE12,0))</f>
        <v>0</v>
      </c>
      <c r="AE9" s="301">
        <f>(IF('Section Load'!AF12&gt;0,'Section Load'!AF12,0))</f>
        <v>21.789999999999964</v>
      </c>
      <c r="AF9" s="301">
        <f>(IF('Section Load'!AG12&gt;0,'Section Load'!AG12,0))</f>
        <v>353.34000000002561</v>
      </c>
      <c r="AG9" s="301">
        <f>(IF('Section Load'!AH12&gt;0,'Section Load'!AH12,0))</f>
        <v>410.44000000000233</v>
      </c>
      <c r="AH9" s="301">
        <f>(IF('Section Load'!AI12&gt;0,'Section Load'!AI12,0))</f>
        <v>427.1899999999996</v>
      </c>
      <c r="AI9" s="301">
        <f>(IF('Section Load'!AJ12&gt;0,'Section Load'!AJ12,0))</f>
        <v>717.64000000001397</v>
      </c>
      <c r="AJ9" s="301">
        <f>(IF('Section Load'!AK12&gt;0,'Section Load'!AK12,0))</f>
        <v>323.09999999999127</v>
      </c>
      <c r="AK9" s="301">
        <f>(IF('Section Load'!AL12&gt;0,'Section Load'!AL12,0))</f>
        <v>296.68000000000757</v>
      </c>
      <c r="AL9" s="301">
        <f>(IF('Section Load'!AM12&gt;0,'Section Load'!AM12,0))</f>
        <v>780.18999999999505</v>
      </c>
      <c r="AM9" s="302">
        <f>(IF('Water Report'!$K$7&gt;0,'Water Report'!$K$7,0))</f>
        <v>118</v>
      </c>
      <c r="AN9" s="302">
        <f>(IF('Water Report'!$K$8&gt;0,'Water Report'!$K$8,0))</f>
        <v>107</v>
      </c>
      <c r="AO9" s="302">
        <f>(IF('Water Report'!$K$9&gt;0,'Water Report'!$K$9,0))</f>
        <v>96</v>
      </c>
      <c r="AP9" s="302">
        <f>(IF('Water Report'!$K$10&gt;0,'Water Report'!$K$10,0))</f>
        <v>27</v>
      </c>
      <c r="AQ9" s="302">
        <f>(IF('Water Report'!$K$11&gt;0,'Water Report'!$K$11,0))</f>
        <v>29</v>
      </c>
      <c r="AR9" s="302">
        <f>(IF('Water Report'!$K$13&gt;0,'Water Report'!$K$13,0))</f>
        <v>30</v>
      </c>
      <c r="AS9" s="302">
        <f>(IF('Water Report'!$K$14&gt;0,'Water Report'!$K$14,0))</f>
        <v>12</v>
      </c>
      <c r="AT9" s="302">
        <f>(IF('Water Report'!$K$15&gt;0,'Water Report'!$K$15,0))</f>
        <v>8</v>
      </c>
      <c r="AU9" s="302">
        <f>(IF('Water Report'!$K$17&gt;0,'Water Report'!$K$17,0))</f>
        <v>0</v>
      </c>
      <c r="AV9" s="302">
        <f>(IF('Water Report'!$K$18&gt;0,'Water Report'!$K$18,0))</f>
        <v>14</v>
      </c>
      <c r="AW9" s="302">
        <f>(IF('Water Report'!$K$19&gt;0,'Water Report'!$K$19,0))</f>
        <v>14</v>
      </c>
      <c r="AX9" s="308">
        <f>(IF('Water Report'!$K$21&gt;0,'Water Report'!$K$21,0))</f>
        <v>50</v>
      </c>
      <c r="AY9" s="308">
        <f>(IF('Water Report'!$K$22&gt;0,'Water Report'!$K$22,0))</f>
        <v>0</v>
      </c>
      <c r="AZ9" s="308">
        <f>(IF('Water Report'!$K$23&gt;0,'Water Report'!$K$23,0))</f>
        <v>11</v>
      </c>
      <c r="BA9" s="308">
        <f>(IF('Water Report'!$K$14&gt;0,'Water Report'!$K$14,0))</f>
        <v>12</v>
      </c>
      <c r="BB9" s="308">
        <f>(IF('Water Report'!$K$15&gt;0,'Water Report'!$K$15,0))</f>
        <v>8</v>
      </c>
      <c r="BC9" s="308">
        <f>(IF('Water Report'!$K$13&gt;0,'Water Report'!$K$13,0))</f>
        <v>30</v>
      </c>
      <c r="BD9" s="308">
        <f>(IF('Water Report'!$K$24&gt;0,'Water Report'!$K$24,0))</f>
        <v>258</v>
      </c>
      <c r="BE9" s="308">
        <f>(IF('Water Report'!$K$25&gt;0,'Water Report'!$K$25,0))</f>
        <v>172</v>
      </c>
      <c r="BF9" s="308">
        <f>(IF('Water Report'!$K$27&gt;0,'Water Report'!$K$27,0))</f>
        <v>91</v>
      </c>
      <c r="BG9" s="303">
        <f>(IF('Section Load'!AN12&gt;0,'Section Load'!AN12,0))</f>
        <v>1009.75</v>
      </c>
      <c r="BH9" s="303">
        <f>(IF('Section Load'!AO12&gt;0,'Section Load'!AO12,0))</f>
        <v>287.14999999990687</v>
      </c>
      <c r="BI9" s="303">
        <f>(IF('Section Load'!AP12&gt;0,'Section Load'!AP12,0))</f>
        <v>0</v>
      </c>
      <c r="BJ9" s="303">
        <f>(IF('Section Load'!AQ12&gt;0,'Section Load'!AQ12,0))</f>
        <v>92.419999999983702</v>
      </c>
      <c r="BK9" s="303">
        <f>(IF('Section Load'!AR12&gt;0,'Section Load'!AR12,0))</f>
        <v>41</v>
      </c>
      <c r="BL9" s="303">
        <f>(IF('Section Load'!AS12&gt;0,'Section Load'!AS12,0))</f>
        <v>1.4000000000014552</v>
      </c>
      <c r="BM9" s="303">
        <f>(IF('Section Load'!AT12&gt;0,'Section Load'!AT12,0))</f>
        <v>587.78000000010798</v>
      </c>
    </row>
    <row r="10" spans="1:65">
      <c r="A10" s="291" t="s">
        <v>268</v>
      </c>
      <c r="B10" s="292">
        <f t="shared" si="0"/>
        <v>9</v>
      </c>
      <c r="C10" s="292">
        <v>11</v>
      </c>
      <c r="D10" s="292">
        <v>2021</v>
      </c>
      <c r="E10" s="301">
        <f>(IF('Section Load'!F13&gt;0,'Section Load'!F13,0))</f>
        <v>3457.0399999999863</v>
      </c>
      <c r="F10" s="301">
        <f>(IF('Section Load'!G13&gt;0,'Section Load'!G13,0))</f>
        <v>1570.3300000000017</v>
      </c>
      <c r="G10" s="301">
        <f>(IF('Section Load'!H13&gt;0,'Section Load'!H13,0))</f>
        <v>1768.6199999999953</v>
      </c>
      <c r="H10" s="301">
        <f>(IF('Section Load'!I13&gt;0,'Section Load'!I13,0))</f>
        <v>2928.3299999999872</v>
      </c>
      <c r="I10" s="301">
        <f>(IF('Section Load'!J13&gt;0,'Section Load'!J13,0))</f>
        <v>5158.5299999999988</v>
      </c>
      <c r="J10" s="301">
        <f>(IF('Section Load'!K13&gt;0,'Section Load'!K13,0))</f>
        <v>2590.8999999999069</v>
      </c>
      <c r="K10" s="301">
        <f>(IF('Section Load'!L13&gt;0,'Section Load'!L13,0))</f>
        <v>1069.609999999986</v>
      </c>
      <c r="L10" s="301">
        <f>(IF('Section Load'!M13&gt;0,'Section Load'!M13,0))</f>
        <v>999.83000000000175</v>
      </c>
      <c r="M10" s="301">
        <f>(IF('Section Load'!N13&gt;0,'Section Load'!N13,0))</f>
        <v>42</v>
      </c>
      <c r="N10" s="301">
        <f>(IF('Section Load'!O13&gt;0,'Section Load'!O13,0))</f>
        <v>1</v>
      </c>
      <c r="O10" s="301">
        <f>(IF('Section Load'!P13&gt;0,'Section Load'!P13,0))</f>
        <v>1.5</v>
      </c>
      <c r="P10" s="301">
        <f>(IF('Section Load'!Q13&gt;0,'Section Load'!Q13,0))</f>
        <v>179.65000000000146</v>
      </c>
      <c r="Q10" s="301">
        <f>(IF('Section Load'!R13&gt;0,'Section Load'!R13,0))</f>
        <v>14.389999999999418</v>
      </c>
      <c r="R10" s="301">
        <f>(IF('Section Load'!S13&gt;0,'Section Load'!S13,0))</f>
        <v>38.269999999999982</v>
      </c>
      <c r="S10" s="301">
        <f>(IF('Section Load'!T13&gt;0,'Section Load'!T13,0))</f>
        <v>447</v>
      </c>
      <c r="T10" s="301">
        <f>(IF('Section Load'!U13&gt;0,'Section Load'!U13,0))</f>
        <v>237</v>
      </c>
      <c r="U10" s="301">
        <f>(IF('Section Load'!V13&gt;0,'Section Load'!V13,0))</f>
        <v>410.43999999994412</v>
      </c>
      <c r="V10" s="301">
        <f>(IF('Section Load'!W13&gt;0,'Section Load'!W13,0))</f>
        <v>257.35999999998603</v>
      </c>
      <c r="W10" s="301">
        <f>(IF('Section Load'!X13&gt;0,'Section Load'!X13,0))</f>
        <v>27.869999999999891</v>
      </c>
      <c r="X10" s="301">
        <f>(IF('Section Load'!Y13&gt;0,'Section Load'!Y13,0))</f>
        <v>230.49000000000524</v>
      </c>
      <c r="Y10" s="301">
        <f>(IF('Section Load'!Z13&gt;0,'Section Load'!Z13,0))</f>
        <v>207</v>
      </c>
      <c r="Z10" s="301">
        <f>(IF('Section Load'!AA13&gt;0,'Section Load'!AA13,0))</f>
        <v>36.039999999979045</v>
      </c>
      <c r="AA10" s="301">
        <f>(IF('Section Load'!AB13&gt;0,'Section Load'!AB13,0))</f>
        <v>37.69999999999709</v>
      </c>
      <c r="AB10" s="301">
        <f>(IF('Section Load'!AC13&gt;0,'Section Load'!AC13,0))</f>
        <v>0</v>
      </c>
      <c r="AC10" s="301">
        <f>(IF('Section Load'!AD13&gt;0,'Section Load'!AD13,0))</f>
        <v>92.19999999999709</v>
      </c>
      <c r="AD10" s="301">
        <f>(IF('Section Load'!AE13&gt;0,'Section Load'!AE13,0))</f>
        <v>0</v>
      </c>
      <c r="AE10" s="301">
        <f>(IF('Section Load'!AF13&gt;0,'Section Load'!AF13,0))</f>
        <v>21.130000000000109</v>
      </c>
      <c r="AF10" s="301">
        <f>(IF('Section Load'!AG13&gt;0,'Section Load'!AG13,0))</f>
        <v>360.10999999998603</v>
      </c>
      <c r="AG10" s="301">
        <f>(IF('Section Load'!AH13&gt;0,'Section Load'!AH13,0))</f>
        <v>397.45000000001164</v>
      </c>
      <c r="AH10" s="301">
        <f>(IF('Section Load'!AI13&gt;0,'Section Load'!AI13,0))</f>
        <v>435.55000000000018</v>
      </c>
      <c r="AI10" s="301">
        <f>(IF('Section Load'!AJ13&gt;0,'Section Load'!AJ13,0))</f>
        <v>722.84999999997672</v>
      </c>
      <c r="AJ10" s="301">
        <f>(IF('Section Load'!AK13&gt;0,'Section Load'!AK13,0))</f>
        <v>316.63000000000466</v>
      </c>
      <c r="AK10" s="301">
        <f>(IF('Section Load'!AL13&gt;0,'Section Load'!AL13,0))</f>
        <v>292.52999999999884</v>
      </c>
      <c r="AL10" s="301">
        <f>(IF('Section Load'!AM13&gt;0,'Section Load'!AM13,0))</f>
        <v>557.66000000000349</v>
      </c>
      <c r="AM10" s="302">
        <f>(IF('Water Report'!$L$7&gt;0,'Water Report'!$L$7,0))</f>
        <v>112</v>
      </c>
      <c r="AN10" s="302">
        <f>(IF('Water Report'!$L$8&gt;0,'Water Report'!$L$8,0))</f>
        <v>75</v>
      </c>
      <c r="AO10" s="302">
        <f>(IF('Water Report'!$L$9&gt;0,'Water Report'!$L$9,0))</f>
        <v>106</v>
      </c>
      <c r="AP10" s="302">
        <f>(IF('Water Report'!$L$10&gt;0,'Water Report'!$L$10,0))</f>
        <v>25</v>
      </c>
      <c r="AQ10" s="302">
        <f>(IF('Water Report'!$L$11&gt;0,'Water Report'!$L$11,0))</f>
        <v>23</v>
      </c>
      <c r="AR10" s="302">
        <f>(IF('Water Report'!$L$13&gt;0,'Water Report'!$L$13,0))</f>
        <v>22</v>
      </c>
      <c r="AS10" s="302">
        <f>(IF('Water Report'!$L$14&gt;0,'Water Report'!$L$14,0))</f>
        <v>8</v>
      </c>
      <c r="AT10" s="302">
        <f>(IF('Water Report'!$L$15&gt;0,'Water Report'!$L$15,0))</f>
        <v>9</v>
      </c>
      <c r="AU10" s="302">
        <f>(IF('Water Report'!$L$17&gt;0,'Water Report'!$L$17,0))</f>
        <v>0</v>
      </c>
      <c r="AV10" s="302">
        <f>(IF('Water Report'!$L$18&gt;0,'Water Report'!$L$18,0))</f>
        <v>21</v>
      </c>
      <c r="AW10" s="302">
        <f>(IF('Water Report'!$L$19&gt;0,'Water Report'!$L$19,0))</f>
        <v>14</v>
      </c>
      <c r="AX10" s="308">
        <f>(IF('Water Report'!$L$21&gt;0,'Water Report'!$L$21,0))</f>
        <v>62</v>
      </c>
      <c r="AY10" s="308">
        <f>(IF('Water Report'!$L$22&gt;0,'Water Report'!$L$22,0))</f>
        <v>0</v>
      </c>
      <c r="AZ10" s="308">
        <f>(IF('Water Report'!$L$23&gt;0,'Water Report'!$L$23,0))</f>
        <v>1</v>
      </c>
      <c r="BA10" s="308">
        <f>(IF('Water Report'!$L$14&gt;0,'Water Report'!$L$14,0))</f>
        <v>8</v>
      </c>
      <c r="BB10" s="308">
        <f>(IF('Water Report'!$L$15&gt;0,'Water Report'!$L$15,0))</f>
        <v>9</v>
      </c>
      <c r="BC10" s="308">
        <f>(IF('Water Report'!$L$13&gt;0,'Water Report'!$L$13,0))</f>
        <v>22</v>
      </c>
      <c r="BD10" s="308">
        <f>(IF('Water Report'!$L$24&gt;0,'Water Report'!$L$24,0))</f>
        <v>253</v>
      </c>
      <c r="BE10" s="308">
        <f>(IF('Water Report'!$L$25&gt;0,'Water Report'!$L$25,0))</f>
        <v>171</v>
      </c>
      <c r="BF10" s="308">
        <f>(IF('Water Report'!$L$27&gt;0,'Water Report'!$L$27,0))</f>
        <v>85</v>
      </c>
      <c r="BG10" s="303">
        <f>(IF('Section Load'!AN13&gt;0,'Section Load'!AN13,0))</f>
        <v>1028.0800000000745</v>
      </c>
      <c r="BH10" s="303">
        <f>(IF('Section Load'!AO13&gt;0,'Section Load'!AO13,0))</f>
        <v>261.56000000005588</v>
      </c>
      <c r="BI10" s="303">
        <f>(IF('Section Load'!AP13&gt;0,'Section Load'!AP13,0))</f>
        <v>0</v>
      </c>
      <c r="BJ10" s="303">
        <f>(IF('Section Load'!AQ13&gt;0,'Section Load'!AQ13,0))</f>
        <v>94.600000000005821</v>
      </c>
      <c r="BK10" s="303">
        <f>(IF('Section Load'!AR13&gt;0,'Section Load'!AR13,0))</f>
        <v>34</v>
      </c>
      <c r="BL10" s="303">
        <f>(IF('Section Load'!AS13&gt;0,'Section Load'!AS13,0))</f>
        <v>2.2999999999992724</v>
      </c>
      <c r="BM10" s="303">
        <f>(IF('Section Load'!AT13&gt;0,'Section Load'!AT13,0))</f>
        <v>635.62000000001353</v>
      </c>
    </row>
    <row r="11" spans="1:65">
      <c r="A11" s="291" t="s">
        <v>268</v>
      </c>
      <c r="B11" s="292">
        <f t="shared" si="0"/>
        <v>10</v>
      </c>
      <c r="C11" s="292">
        <v>11</v>
      </c>
      <c r="D11" s="292">
        <v>2021</v>
      </c>
      <c r="E11" s="301">
        <f>(IF('Section Load'!F14&gt;0,'Section Load'!F14,0))</f>
        <v>3227</v>
      </c>
      <c r="F11" s="301">
        <f>(IF('Section Load'!G14&gt;0,'Section Load'!G14,0))</f>
        <v>1588</v>
      </c>
      <c r="G11" s="301">
        <f>(IF('Section Load'!H14&gt;0,'Section Load'!H14,0))</f>
        <v>1767</v>
      </c>
      <c r="H11" s="301">
        <f>(IF('Section Load'!I14&gt;0,'Section Load'!I14,0))</f>
        <v>2884</v>
      </c>
      <c r="I11" s="301">
        <f>(IF('Section Load'!J14&gt;0,'Section Load'!J14,0))</f>
        <v>4843</v>
      </c>
      <c r="J11" s="301">
        <f>(IF('Section Load'!K14&gt;0,'Section Load'!K14,0))</f>
        <v>2516</v>
      </c>
      <c r="K11" s="301">
        <f>(IF('Section Load'!L14&gt;0,'Section Load'!L14,0))</f>
        <v>1089</v>
      </c>
      <c r="L11" s="301">
        <f>(IF('Section Load'!M14&gt;0,'Section Load'!M14,0))</f>
        <v>882</v>
      </c>
      <c r="M11" s="301">
        <f>(IF('Section Load'!N14&gt;0,'Section Load'!N14,0))</f>
        <v>70</v>
      </c>
      <c r="N11" s="301">
        <f>(IF('Section Load'!O14&gt;0,'Section Load'!O14,0))</f>
        <v>0</v>
      </c>
      <c r="O11" s="301">
        <f>(IF('Section Load'!P14&gt;0,'Section Load'!P14,0))</f>
        <v>1</v>
      </c>
      <c r="P11" s="301">
        <f>(IF('Section Load'!Q14&gt;0,'Section Load'!Q14,0))</f>
        <v>170</v>
      </c>
      <c r="Q11" s="301">
        <f>(IF('Section Load'!R14&gt;0,'Section Load'!R14,0))</f>
        <v>16</v>
      </c>
      <c r="R11" s="301">
        <f>(IF('Section Load'!S14&gt;0,'Section Load'!S14,0))</f>
        <v>38</v>
      </c>
      <c r="S11" s="301">
        <f>(IF('Section Load'!T14&gt;0,'Section Load'!T14,0))</f>
        <v>420</v>
      </c>
      <c r="T11" s="301">
        <f>(IF('Section Load'!U14&gt;0,'Section Load'!U14,0))</f>
        <v>228</v>
      </c>
      <c r="U11" s="301">
        <f>(IF('Section Load'!V14&gt;0,'Section Load'!V14,0))</f>
        <v>378</v>
      </c>
      <c r="V11" s="301">
        <f>(IF('Section Load'!W14&gt;0,'Section Load'!W14,0))</f>
        <v>239</v>
      </c>
      <c r="W11" s="301">
        <f>(IF('Section Load'!X14&gt;0,'Section Load'!X14,0))</f>
        <v>22</v>
      </c>
      <c r="X11" s="301">
        <f>(IF('Section Load'!Y14&gt;0,'Section Load'!Y14,0))</f>
        <v>191</v>
      </c>
      <c r="Y11" s="301">
        <f>(IF('Section Load'!Z14&gt;0,'Section Load'!Z14,0))</f>
        <v>259</v>
      </c>
      <c r="Z11" s="301">
        <f>(IF('Section Load'!AA14&gt;0,'Section Load'!AA14,0))</f>
        <v>51</v>
      </c>
      <c r="AA11" s="301">
        <f>(IF('Section Load'!AB14&gt;0,'Section Load'!AB14,0))</f>
        <v>42</v>
      </c>
      <c r="AB11" s="301">
        <f>(IF('Section Load'!AC14&gt;0,'Section Load'!AC14,0))</f>
        <v>0</v>
      </c>
      <c r="AC11" s="301">
        <f>(IF('Section Load'!AD14&gt;0,'Section Load'!AD14,0))</f>
        <v>100.5</v>
      </c>
      <c r="AD11" s="301">
        <f>(IF('Section Load'!AE14&gt;0,'Section Load'!AE14,0))</f>
        <v>0</v>
      </c>
      <c r="AE11" s="301">
        <f>(IF('Section Load'!AF14&gt;0,'Section Load'!AF14,0))</f>
        <v>21</v>
      </c>
      <c r="AF11" s="301">
        <f>(IF('Section Load'!AG14&gt;0,'Section Load'!AG14,0))</f>
        <v>375</v>
      </c>
      <c r="AG11" s="301">
        <f>(IF('Section Load'!AH14&gt;0,'Section Load'!AH14,0))</f>
        <v>443</v>
      </c>
      <c r="AH11" s="301">
        <f>(IF('Section Load'!AI14&gt;0,'Section Load'!AI14,0))</f>
        <v>411</v>
      </c>
      <c r="AI11" s="301">
        <f>(IF('Section Load'!AJ14&gt;0,'Section Load'!AJ14,0))</f>
        <v>723</v>
      </c>
      <c r="AJ11" s="301">
        <f>(IF('Section Load'!AK14&gt;0,'Section Load'!AK14,0))</f>
        <v>327</v>
      </c>
      <c r="AK11" s="301">
        <f>(IF('Section Load'!AL14&gt;0,'Section Load'!AL14,0))</f>
        <v>291</v>
      </c>
      <c r="AL11" s="301">
        <f>(IF('Section Load'!AM14&gt;0,'Section Load'!AM14,0))</f>
        <v>492</v>
      </c>
      <c r="AM11" s="302">
        <f>(IF('Water Report'!$M$7&gt;0,'Water Report'!$M$7,0))</f>
        <v>100</v>
      </c>
      <c r="AN11" s="302">
        <f>(IF('Water Report'!$M$8&gt;0,'Water Report'!$M$8,0))</f>
        <v>96</v>
      </c>
      <c r="AO11" s="302">
        <f>(IF('Water Report'!$M$9&gt;0,'Water Report'!$M$9,0))</f>
        <v>95</v>
      </c>
      <c r="AP11" s="302">
        <f>(IF('Water Report'!$M$10&gt;0,'Water Report'!$M$10,0))</f>
        <v>20</v>
      </c>
      <c r="AQ11" s="302">
        <f>(IF('Water Report'!$M$11&gt;0,'Water Report'!$M$11,0))</f>
        <v>23</v>
      </c>
      <c r="AR11" s="302">
        <f>(IF('Water Report'!$M$13&gt;0,'Water Report'!$M$13,0))</f>
        <v>36</v>
      </c>
      <c r="AS11" s="302">
        <f>(IF('Water Report'!$M$14&gt;0,'Water Report'!$M$14,0))</f>
        <v>11</v>
      </c>
      <c r="AT11" s="302">
        <f>(IF('Water Report'!$M$15&gt;0,'Water Report'!$M$15,0))</f>
        <v>12</v>
      </c>
      <c r="AU11" s="302">
        <f>(IF('Water Report'!$M$17&gt;0,'Water Report'!$M$17,0))</f>
        <v>0</v>
      </c>
      <c r="AV11" s="302">
        <f>(IF('Water Report'!$M$18&gt;0,'Water Report'!$M$18,0))</f>
        <v>11</v>
      </c>
      <c r="AW11" s="302">
        <f>(IF('Water Report'!$M$19&gt;0,'Water Report'!$M$19,0))</f>
        <v>10</v>
      </c>
      <c r="AX11" s="308">
        <f>(IF('Water Report'!$M$21&gt;0,'Water Report'!$M$21,0))</f>
        <v>78</v>
      </c>
      <c r="AY11" s="308">
        <f>(IF('Water Report'!$M$22&gt;0,'Water Report'!$M$22,0))</f>
        <v>0</v>
      </c>
      <c r="AZ11" s="308">
        <f>(IF('Water Report'!$M$23&gt;0,'Water Report'!$M$23,0))</f>
        <v>14</v>
      </c>
      <c r="BA11" s="308">
        <f>(IF('Water Report'!$M$14&gt;0,'Water Report'!$M$14,0))</f>
        <v>11</v>
      </c>
      <c r="BB11" s="308">
        <f>(IF('Water Report'!$M$15&gt;0,'Water Report'!$M$15,0))</f>
        <v>12</v>
      </c>
      <c r="BC11" s="308">
        <f>(IF('Water Report'!$M$13&gt;0,'Water Report'!$M$13,0))</f>
        <v>36</v>
      </c>
      <c r="BD11" s="308">
        <f>(IF('Water Report'!$M$24&gt;0,'Water Report'!$M$24,0))</f>
        <v>225</v>
      </c>
      <c r="BE11" s="308">
        <f>(IF('Water Report'!$M$25&gt;0,'Water Report'!$M$25,0))</f>
        <v>161</v>
      </c>
      <c r="BF11" s="308">
        <f>(IF('Water Report'!$M$27&gt;0,'Water Report'!$M$27,0))</f>
        <v>128</v>
      </c>
      <c r="BG11" s="303">
        <f>(IF('Section Load'!AN14&gt;0,'Section Load'!AN14,0))</f>
        <v>1016</v>
      </c>
      <c r="BH11" s="303">
        <f>(IF('Section Load'!AO14&gt;0,'Section Load'!AO14,0))</f>
        <v>299</v>
      </c>
      <c r="BI11" s="303">
        <f>(IF('Section Load'!AP14&gt;0,'Section Load'!AP14,0))</f>
        <v>0</v>
      </c>
      <c r="BJ11" s="303">
        <f>(IF('Section Load'!AQ14&gt;0,'Section Load'!AQ14,0))</f>
        <v>113</v>
      </c>
      <c r="BK11" s="303">
        <f>(IF('Section Load'!AR14&gt;0,'Section Load'!AR14,0))</f>
        <v>35</v>
      </c>
      <c r="BL11" s="303">
        <f>(IF('Section Load'!AS14&gt;0,'Section Load'!AS14,0))</f>
        <v>1</v>
      </c>
      <c r="BM11" s="303">
        <f>(IF('Section Load'!AT14&gt;0,'Section Load'!AT14,0))</f>
        <v>568</v>
      </c>
    </row>
    <row r="12" spans="1:65">
      <c r="A12" s="291" t="s">
        <v>268</v>
      </c>
      <c r="B12" s="292">
        <f t="shared" si="0"/>
        <v>11</v>
      </c>
      <c r="C12" s="292">
        <v>11</v>
      </c>
      <c r="D12" s="292">
        <v>2021</v>
      </c>
      <c r="E12" s="301">
        <f>(IF('Section Load'!F15&gt;0,'Section Load'!F15,0))</f>
        <v>3327</v>
      </c>
      <c r="F12" s="301">
        <f>(IF('Section Load'!G15&gt;0,'Section Load'!G15,0))</f>
        <v>1567</v>
      </c>
      <c r="G12" s="301">
        <f>(IF('Section Load'!H15&gt;0,'Section Load'!H15,0))</f>
        <v>1740</v>
      </c>
      <c r="H12" s="301">
        <f>(IF('Section Load'!I15&gt;0,'Section Load'!I15,0))</f>
        <v>2887</v>
      </c>
      <c r="I12" s="301">
        <f>(IF('Section Load'!J15&gt;0,'Section Load'!J15,0))</f>
        <v>4864</v>
      </c>
      <c r="J12" s="301">
        <f>(IF('Section Load'!K15&gt;0,'Section Load'!K15,0))</f>
        <v>2425</v>
      </c>
      <c r="K12" s="301">
        <f>(IF('Section Load'!L15&gt;0,'Section Load'!L15,0))</f>
        <v>1114</v>
      </c>
      <c r="L12" s="301">
        <f>(IF('Section Load'!M15&gt;0,'Section Load'!M15,0))</f>
        <v>874</v>
      </c>
      <c r="M12" s="301">
        <f>(IF('Section Load'!N15&gt;0,'Section Load'!N15,0))</f>
        <v>63</v>
      </c>
      <c r="N12" s="301">
        <f>(IF('Section Load'!O15&gt;0,'Section Load'!O15,0))</f>
        <v>1</v>
      </c>
      <c r="O12" s="301">
        <f>(IF('Section Load'!P15&gt;0,'Section Load'!P15,0))</f>
        <v>1</v>
      </c>
      <c r="P12" s="301">
        <f>(IF('Section Load'!Q15&gt;0,'Section Load'!Q15,0))</f>
        <v>187</v>
      </c>
      <c r="Q12" s="301">
        <f>(IF('Section Load'!R15&gt;0,'Section Load'!R15,0))</f>
        <v>16</v>
      </c>
      <c r="R12" s="301">
        <f>(IF('Section Load'!S15&gt;0,'Section Load'!S15,0))</f>
        <v>37</v>
      </c>
      <c r="S12" s="301">
        <f>(IF('Section Load'!T15&gt;0,'Section Load'!T15,0))</f>
        <v>417</v>
      </c>
      <c r="T12" s="301">
        <f>(IF('Section Load'!U15&gt;0,'Section Load'!U15,0))</f>
        <v>235</v>
      </c>
      <c r="U12" s="301">
        <f>(IF('Section Load'!V15&gt;0,'Section Load'!V15,0))</f>
        <v>343</v>
      </c>
      <c r="V12" s="301">
        <f>(IF('Section Load'!W15&gt;0,'Section Load'!W15,0))</f>
        <v>251</v>
      </c>
      <c r="W12" s="301">
        <f>(IF('Section Load'!X15&gt;0,'Section Load'!X15,0))</f>
        <v>26</v>
      </c>
      <c r="X12" s="301">
        <f>(IF('Section Load'!Y15&gt;0,'Section Load'!Y15,0))</f>
        <v>204</v>
      </c>
      <c r="Y12" s="301">
        <f>(IF('Section Load'!Z15&gt;0,'Section Load'!Z15,0))</f>
        <v>214</v>
      </c>
      <c r="Z12" s="301">
        <f>(IF('Section Load'!AA15&gt;0,'Section Load'!AA15,0))</f>
        <v>0</v>
      </c>
      <c r="AA12" s="301">
        <f>(IF('Section Load'!AB15&gt;0,'Section Load'!AB15,0))</f>
        <v>46</v>
      </c>
      <c r="AB12" s="301">
        <f>(IF('Section Load'!AC15&gt;0,'Section Load'!AC15,0))</f>
        <v>4.9999999999272404E-2</v>
      </c>
      <c r="AC12" s="301">
        <f>(IF('Section Load'!AD15&gt;0,'Section Load'!AD15,0))</f>
        <v>92.5</v>
      </c>
      <c r="AD12" s="301">
        <f>(IF('Section Load'!AE15&gt;0,'Section Load'!AE15,0))</f>
        <v>0</v>
      </c>
      <c r="AE12" s="301">
        <f>(IF('Section Load'!AF15&gt;0,'Section Load'!AF15,0))</f>
        <v>22</v>
      </c>
      <c r="AF12" s="301">
        <f>(IF('Section Load'!AG15&gt;0,'Section Load'!AG15,0))</f>
        <v>362</v>
      </c>
      <c r="AG12" s="301">
        <f>(IF('Section Load'!AH15&gt;0,'Section Load'!AH15,0))</f>
        <v>414</v>
      </c>
      <c r="AH12" s="301">
        <f>(IF('Section Load'!AI15&gt;0,'Section Load'!AI15,0))</f>
        <v>404</v>
      </c>
      <c r="AI12" s="301">
        <f>(IF('Section Load'!AJ15&gt;0,'Section Load'!AJ15,0))</f>
        <v>723</v>
      </c>
      <c r="AJ12" s="301">
        <f>(IF('Section Load'!AK15&gt;0,'Section Load'!AK15,0))</f>
        <v>306</v>
      </c>
      <c r="AK12" s="301">
        <f>(IF('Section Load'!AL15&gt;0,'Section Load'!AL15,0))</f>
        <v>295</v>
      </c>
      <c r="AL12" s="301">
        <f>(IF('Section Load'!AM15&gt;0,'Section Load'!AM15,0))</f>
        <v>490</v>
      </c>
      <c r="AM12" s="302">
        <f>(IF('Water Report'!$N$7&gt;0,'Water Report'!$N$7,0))</f>
        <v>103</v>
      </c>
      <c r="AN12" s="302">
        <f>(IF('Water Report'!$N$8&gt;0,'Water Report'!$N$8,0))</f>
        <v>93</v>
      </c>
      <c r="AO12" s="302">
        <f>(IF('Water Report'!$N$9&gt;0,'Water Report'!$N$9,0))</f>
        <v>95</v>
      </c>
      <c r="AP12" s="302">
        <f>(IF('Water Report'!$N$10&gt;0,'Water Report'!$N$10,0))</f>
        <v>17</v>
      </c>
      <c r="AQ12" s="302">
        <f>(IF('Water Report'!$N$11&gt;0,'Water Report'!$N$11,0))</f>
        <v>24</v>
      </c>
      <c r="AR12" s="302">
        <f>(IF('Water Report'!$N$13&gt;0,'Water Report'!$N$13,0))</f>
        <v>38</v>
      </c>
      <c r="AS12" s="302">
        <f>(IF('Water Report'!$N$14&gt;0,'Water Report'!$N$14,0))</f>
        <v>9</v>
      </c>
      <c r="AT12" s="302">
        <f>(IF('Water Report'!$N$15&gt;0,'Water Report'!$N$15,0))</f>
        <v>11</v>
      </c>
      <c r="AU12" s="302">
        <f>(IF('Water Report'!$N$17&gt;0,'Water Report'!$N$17,0))</f>
        <v>0</v>
      </c>
      <c r="AV12" s="302">
        <f>(IF('Water Report'!$N$18&gt;0,'Water Report'!$N$18,0))</f>
        <v>13</v>
      </c>
      <c r="AW12" s="302">
        <f>(IF('Water Report'!$N$19&gt;0,'Water Report'!$N$19,0))</f>
        <v>14</v>
      </c>
      <c r="AX12" s="308">
        <f>(IF('Water Report'!$N$21&gt;0,'Water Report'!$N$21,0))</f>
        <v>63</v>
      </c>
      <c r="AY12" s="308">
        <f>(IF('Water Report'!$N$22&gt;0,'Water Report'!$N$22,0))</f>
        <v>0</v>
      </c>
      <c r="AZ12" s="308">
        <f>(IF('Water Report'!$N$23&gt;0,'Water Report'!$N$23,0))</f>
        <v>10</v>
      </c>
      <c r="BA12" s="308">
        <f>(IF('Water Report'!$N$14&gt;0,'Water Report'!$N$14,0))</f>
        <v>9</v>
      </c>
      <c r="BB12" s="308">
        <f>(IF('Water Report'!$N$15&gt;0,'Water Report'!$N$15,0))</f>
        <v>11</v>
      </c>
      <c r="BC12" s="308">
        <f>(IF('Water Report'!$N$13&gt;0,'Water Report'!$N$13,0))</f>
        <v>38</v>
      </c>
      <c r="BD12" s="308">
        <f>(IF('Water Report'!$N$24&gt;0,'Water Report'!$N$24,0))</f>
        <v>233</v>
      </c>
      <c r="BE12" s="308">
        <f>(IF('Water Report'!$N$25&gt;0,'Water Report'!$N$25,0))</f>
        <v>156</v>
      </c>
      <c r="BF12" s="308">
        <f>(IF('Water Report'!$N$27&gt;0,'Water Report'!$N$27,0))</f>
        <v>111</v>
      </c>
      <c r="BG12" s="303">
        <f>(IF('Section Load'!AN15&gt;0,'Section Load'!AN15,0))</f>
        <v>1046</v>
      </c>
      <c r="BH12" s="303">
        <f>(IF('Section Load'!AO15&gt;0,'Section Load'!AO15,0))</f>
        <v>293</v>
      </c>
      <c r="BI12" s="303">
        <f>(IF('Section Load'!AP15&gt;0,'Section Load'!AP15,0))</f>
        <v>0</v>
      </c>
      <c r="BJ12" s="303">
        <f>(IF('Section Load'!AQ15&gt;0,'Section Load'!AQ15,0))</f>
        <v>118</v>
      </c>
      <c r="BK12" s="303">
        <f>(IF('Section Load'!AR15&gt;0,'Section Load'!AR15,0))</f>
        <v>39</v>
      </c>
      <c r="BL12" s="303">
        <f>(IF('Section Load'!AS15&gt;0,'Section Load'!AS15,0))</f>
        <v>2</v>
      </c>
      <c r="BM12" s="303">
        <f>(IF('Section Load'!AT15&gt;0,'Section Load'!AT15,0))</f>
        <v>594</v>
      </c>
    </row>
    <row r="13" spans="1:65">
      <c r="A13" s="291" t="s">
        <v>268</v>
      </c>
      <c r="B13" s="292">
        <f t="shared" si="0"/>
        <v>12</v>
      </c>
      <c r="C13" s="292">
        <v>11</v>
      </c>
      <c r="D13" s="292">
        <v>2021</v>
      </c>
      <c r="E13" s="301">
        <f>(IF('Section Load'!F16&gt;0,'Section Load'!F16,0))</f>
        <v>3413</v>
      </c>
      <c r="F13" s="301">
        <f>(IF('Section Load'!G16&gt;0,'Section Load'!G16,0))</f>
        <v>1617</v>
      </c>
      <c r="G13" s="301">
        <f>(IF('Section Load'!H16&gt;0,'Section Load'!H16,0))</f>
        <v>1852</v>
      </c>
      <c r="H13" s="301">
        <f>(IF('Section Load'!I16&gt;0,'Section Load'!I16,0))</f>
        <v>2962</v>
      </c>
      <c r="I13" s="301">
        <f>(IF('Section Load'!J16&gt;0,'Section Load'!J16,0))</f>
        <v>5360.2900000000373</v>
      </c>
      <c r="J13" s="301">
        <f>(IF('Section Load'!K16&gt;0,'Section Load'!K16,0))</f>
        <v>2719</v>
      </c>
      <c r="K13" s="301">
        <f>(IF('Section Load'!L16&gt;0,'Section Load'!L16,0))</f>
        <v>1311</v>
      </c>
      <c r="L13" s="301">
        <f>(IF('Section Load'!M16&gt;0,'Section Load'!M16,0))</f>
        <v>986</v>
      </c>
      <c r="M13" s="301">
        <f>(IF('Section Load'!N16&gt;0,'Section Load'!N16,0))</f>
        <v>48</v>
      </c>
      <c r="N13" s="301">
        <f>(IF('Section Load'!O16&gt;0,'Section Load'!O16,0))</f>
        <v>19</v>
      </c>
      <c r="O13" s="301">
        <f>(IF('Section Load'!P16&gt;0,'Section Load'!P16,0))</f>
        <v>0</v>
      </c>
      <c r="P13" s="301">
        <f>(IF('Section Load'!Q16&gt;0,'Section Load'!Q16,0))</f>
        <v>213</v>
      </c>
      <c r="Q13" s="301">
        <f>(IF('Section Load'!R16&gt;0,'Section Load'!R16,0))</f>
        <v>19</v>
      </c>
      <c r="R13" s="301">
        <f>(IF('Section Load'!S16&gt;0,'Section Load'!S16,0))</f>
        <v>36</v>
      </c>
      <c r="S13" s="301">
        <f>(IF('Section Load'!T16&gt;0,'Section Load'!T16,0))</f>
        <v>412</v>
      </c>
      <c r="T13" s="301">
        <f>(IF('Section Load'!U16&gt;0,'Section Load'!U16,0))</f>
        <v>233</v>
      </c>
      <c r="U13" s="301">
        <f>(IF('Section Load'!V16&gt;0,'Section Load'!V16,0))</f>
        <v>520</v>
      </c>
      <c r="V13" s="301">
        <f>(IF('Section Load'!W16&gt;0,'Section Load'!W16,0))</f>
        <v>258</v>
      </c>
      <c r="W13" s="301">
        <f>(IF('Section Load'!X16&gt;0,'Section Load'!X16,0))</f>
        <v>27</v>
      </c>
      <c r="X13" s="301">
        <f>(IF('Section Load'!Y16&gt;0,'Section Load'!Y16,0))</f>
        <v>218</v>
      </c>
      <c r="Y13" s="301">
        <f>(IF('Section Load'!Z16&gt;0,'Section Load'!Z16,0))</f>
        <v>239</v>
      </c>
      <c r="Z13" s="301">
        <f>(IF('Section Load'!AA16&gt;0,'Section Load'!AA16,0))</f>
        <v>0</v>
      </c>
      <c r="AA13" s="301">
        <f>(IF('Section Load'!AB16&gt;0,'Section Load'!AB16,0))</f>
        <v>53</v>
      </c>
      <c r="AB13" s="301">
        <f>(IF('Section Load'!AC16&gt;0,'Section Load'!AC16,0))</f>
        <v>2.1899999999986903</v>
      </c>
      <c r="AC13" s="301">
        <f>(IF('Section Load'!AD16&gt;0,'Section Load'!AD16,0))</f>
        <v>89.5</v>
      </c>
      <c r="AD13" s="301">
        <f>(IF('Section Load'!AE16&gt;0,'Section Load'!AE16,0))</f>
        <v>0</v>
      </c>
      <c r="AE13" s="301">
        <f>(IF('Section Load'!AF16&gt;0,'Section Load'!AF16,0))</f>
        <v>21</v>
      </c>
      <c r="AF13" s="301">
        <f>(IF('Section Load'!AG16&gt;0,'Section Load'!AG16,0))</f>
        <v>348</v>
      </c>
      <c r="AG13" s="301">
        <f>(IF('Section Load'!AH16&gt;0,'Section Load'!AH16,0))</f>
        <v>424</v>
      </c>
      <c r="AH13" s="301">
        <f>(IF('Section Load'!AI16&gt;0,'Section Load'!AI16,0))</f>
        <v>407</v>
      </c>
      <c r="AI13" s="301">
        <f>(IF('Section Load'!AJ16&gt;0,'Section Load'!AJ16,0))</f>
        <v>714</v>
      </c>
      <c r="AJ13" s="301">
        <f>(IF('Section Load'!AK16&gt;0,'Section Load'!AK16,0))</f>
        <v>306</v>
      </c>
      <c r="AK13" s="301">
        <f>(IF('Section Load'!AL16&gt;0,'Section Load'!AL16,0))</f>
        <v>289</v>
      </c>
      <c r="AL13" s="301">
        <f>(IF('Section Load'!AM16&gt;0,'Section Load'!AM16,0))</f>
        <v>576</v>
      </c>
      <c r="AM13" s="302">
        <f>(IF('Water Report'!$O$7&gt;0,'Water Report'!$O$7,0))</f>
        <v>120</v>
      </c>
      <c r="AN13" s="302">
        <f>(IF('Water Report'!$O$8&gt;0,'Water Report'!$O$8,0))</f>
        <v>90</v>
      </c>
      <c r="AO13" s="302">
        <f>(IF('Water Report'!$O$9&gt;0,'Water Report'!$O$9,0))</f>
        <v>112</v>
      </c>
      <c r="AP13" s="302">
        <f>(IF('Water Report'!$O$10&gt;0,'Water Report'!$O$10,0))</f>
        <v>21</v>
      </c>
      <c r="AQ13" s="302">
        <f>(IF('Water Report'!$O$11&gt;0,'Water Report'!$O$11,0))</f>
        <v>29</v>
      </c>
      <c r="AR13" s="302">
        <f>(IF('Water Report'!$O$13&gt;0,'Water Report'!$O$13,0))</f>
        <v>47</v>
      </c>
      <c r="AS13" s="302">
        <f>(IF('Water Report'!$O$14&gt;0,'Water Report'!$O$14,0))</f>
        <v>12</v>
      </c>
      <c r="AT13" s="302">
        <f>(IF('Water Report'!$O$15&gt;0,'Water Report'!$O$15,0))</f>
        <v>18</v>
      </c>
      <c r="AU13" s="302">
        <f>(IF('Water Report'!$O$17&gt;0,'Water Report'!$O$17,0))</f>
        <v>0</v>
      </c>
      <c r="AV13" s="302">
        <f>(IF('Water Report'!$O$18&gt;0,'Water Report'!$O$18,0))</f>
        <v>13</v>
      </c>
      <c r="AW13" s="302">
        <f>(IF('Water Report'!$O$19&gt;0,'Water Report'!$O$19,0))</f>
        <v>16</v>
      </c>
      <c r="AX13" s="308">
        <f>(IF('Water Report'!$O$21&gt;0,'Water Report'!$O$21,0))</f>
        <v>84</v>
      </c>
      <c r="AY13" s="308">
        <f>(IF('Water Report'!$O$22&gt;0,'Water Report'!$O$22,0))</f>
        <v>0</v>
      </c>
      <c r="AZ13" s="308">
        <f>(IF('Water Report'!$O$23&gt;0,'Water Report'!$O$23,0))</f>
        <v>0</v>
      </c>
      <c r="BA13" s="308">
        <f>(IF('Water Report'!$O$14&gt;0,'Water Report'!$O$14,0))</f>
        <v>12</v>
      </c>
      <c r="BB13" s="308">
        <f>(IF('Water Report'!$O$15&gt;0,'Water Report'!$O$15,0))</f>
        <v>18</v>
      </c>
      <c r="BC13" s="308">
        <f>(IF('Water Report'!$O$13&gt;0,'Water Report'!$O$13,0))</f>
        <v>47</v>
      </c>
      <c r="BD13" s="308">
        <f>(IF('Water Report'!$O$24&gt;0,'Water Report'!$O$24,0))</f>
        <v>278</v>
      </c>
      <c r="BE13" s="308">
        <f>(IF('Water Report'!$O$25&gt;0,'Water Report'!$O$25,0))</f>
        <v>192</v>
      </c>
      <c r="BF13" s="308">
        <f>(IF('Water Report'!$O$27&gt;0,'Water Report'!$O$27,0))</f>
        <v>131</v>
      </c>
      <c r="BG13" s="303">
        <f>(IF('Section Load'!AN16&gt;0,'Section Load'!AN16,0))</f>
        <v>1060</v>
      </c>
      <c r="BH13" s="303">
        <f>(IF('Section Load'!AO16&gt;0,'Section Load'!AO16,0))</f>
        <v>305</v>
      </c>
      <c r="BI13" s="303">
        <f>(IF('Section Load'!AP16&gt;0,'Section Load'!AP16,0))</f>
        <v>0</v>
      </c>
      <c r="BJ13" s="303">
        <f>(IF('Section Load'!AQ16&gt;0,'Section Load'!AQ16,0))</f>
        <v>120</v>
      </c>
      <c r="BK13" s="303">
        <f>(IF('Section Load'!AR16&gt;0,'Section Load'!AR16,0))</f>
        <v>50</v>
      </c>
      <c r="BL13" s="303">
        <f>(IF('Section Load'!AS16&gt;0,'Section Load'!AS16,0))</f>
        <v>4</v>
      </c>
      <c r="BM13" s="303">
        <f>(IF('Section Load'!AT16&gt;0,'Section Load'!AT16,0))</f>
        <v>581</v>
      </c>
    </row>
    <row r="14" spans="1:65">
      <c r="A14" s="291" t="s">
        <v>268</v>
      </c>
      <c r="B14" s="292">
        <f t="shared" si="0"/>
        <v>13</v>
      </c>
      <c r="C14" s="292">
        <v>11</v>
      </c>
      <c r="D14" s="292">
        <v>2021</v>
      </c>
      <c r="E14" s="301">
        <f>(IF('Section Load'!F17&gt;0,'Section Load'!F17,0))</f>
        <v>3825</v>
      </c>
      <c r="F14" s="301">
        <f>(IF('Section Load'!G17&gt;0,'Section Load'!G17,0))</f>
        <v>1651</v>
      </c>
      <c r="G14" s="301">
        <f>(IF('Section Load'!H17&gt;0,'Section Load'!H17,0))</f>
        <v>1898</v>
      </c>
      <c r="H14" s="301">
        <f>(IF('Section Load'!I17&gt;0,'Section Load'!I17,0))</f>
        <v>3040</v>
      </c>
      <c r="I14" s="301">
        <f>(IF('Section Load'!J17&gt;0,'Section Load'!J17,0))</f>
        <v>6131</v>
      </c>
      <c r="J14" s="301">
        <f>(IF('Section Load'!K17&gt;0,'Section Load'!K17,0))</f>
        <v>2775</v>
      </c>
      <c r="K14" s="301">
        <f>(IF('Section Load'!L17&gt;0,'Section Load'!L17,0))</f>
        <v>1833</v>
      </c>
      <c r="L14" s="301">
        <f>(IF('Section Load'!M17&gt;0,'Section Load'!M17,0))</f>
        <v>1288</v>
      </c>
      <c r="M14" s="301">
        <f>(IF('Section Load'!N17&gt;0,'Section Load'!N17,0))</f>
        <v>52</v>
      </c>
      <c r="N14" s="301">
        <f>(IF('Section Load'!O17&gt;0,'Section Load'!O17,0))</f>
        <v>1</v>
      </c>
      <c r="O14" s="301">
        <f>(IF('Section Load'!P17&gt;0,'Section Load'!P17,0))</f>
        <v>0</v>
      </c>
      <c r="P14" s="301">
        <f>(IF('Section Load'!Q17&gt;0,'Section Load'!Q17,0))</f>
        <v>193</v>
      </c>
      <c r="Q14" s="301">
        <f>(IF('Section Load'!R17&gt;0,'Section Load'!R17,0))</f>
        <v>18</v>
      </c>
      <c r="R14" s="301">
        <f>(IF('Section Load'!S17&gt;0,'Section Load'!S17,0))</f>
        <v>38</v>
      </c>
      <c r="S14" s="301">
        <f>(IF('Section Load'!T17&gt;0,'Section Load'!T17,0))</f>
        <v>397</v>
      </c>
      <c r="T14" s="301">
        <f>(IF('Section Load'!U17&gt;0,'Section Load'!U17,0))</f>
        <v>236</v>
      </c>
      <c r="U14" s="301">
        <f>(IF('Section Load'!V17&gt;0,'Section Load'!V17,0))</f>
        <v>453</v>
      </c>
      <c r="V14" s="301">
        <f>(IF('Section Load'!W17&gt;0,'Section Load'!W17,0))</f>
        <v>336</v>
      </c>
      <c r="W14" s="301">
        <f>(IF('Section Load'!X17&gt;0,'Section Load'!X17,0))</f>
        <v>33</v>
      </c>
      <c r="X14" s="301">
        <f>(IF('Section Load'!Y17&gt;0,'Section Load'!Y17,0))</f>
        <v>216</v>
      </c>
      <c r="Y14" s="301">
        <f>(IF('Section Load'!Z17&gt;0,'Section Load'!Z17,0))</f>
        <v>243</v>
      </c>
      <c r="Z14" s="301">
        <f>(IF('Section Load'!AA17&gt;0,'Section Load'!AA17,0))</f>
        <v>0</v>
      </c>
      <c r="AA14" s="301">
        <f>(IF('Section Load'!AB17&gt;0,'Section Load'!AB17,0))</f>
        <v>12</v>
      </c>
      <c r="AB14" s="301">
        <f>(IF('Section Load'!AC17&gt;0,'Section Load'!AC17,0))</f>
        <v>2.8300000000017462</v>
      </c>
      <c r="AC14" s="301">
        <f>(IF('Section Load'!AD17&gt;0,'Section Load'!AD17,0))</f>
        <v>84.5</v>
      </c>
      <c r="AD14" s="301">
        <f>(IF('Section Load'!AE17&gt;0,'Section Load'!AE17,0))</f>
        <v>0</v>
      </c>
      <c r="AE14" s="301">
        <f>(IF('Section Load'!AF17&gt;0,'Section Load'!AF17,0))</f>
        <v>23</v>
      </c>
      <c r="AF14" s="301">
        <f>(IF('Section Load'!AG17&gt;0,'Section Load'!AG17,0))</f>
        <v>337</v>
      </c>
      <c r="AG14" s="301">
        <f>(IF('Section Load'!AH17&gt;0,'Section Load'!AH17,0))</f>
        <v>443</v>
      </c>
      <c r="AH14" s="301">
        <f>(IF('Section Load'!AI17&gt;0,'Section Load'!AI17,0))</f>
        <v>412</v>
      </c>
      <c r="AI14" s="301">
        <f>(IF('Section Load'!AJ17&gt;0,'Section Load'!AJ17,0))</f>
        <v>725</v>
      </c>
      <c r="AJ14" s="301">
        <f>(IF('Section Load'!AK17&gt;0,'Section Load'!AK17,0))</f>
        <v>304</v>
      </c>
      <c r="AK14" s="301">
        <f>(IF('Section Load'!AL17&gt;0,'Section Load'!AL17,0))</f>
        <v>297</v>
      </c>
      <c r="AL14" s="301">
        <f>(IF('Section Load'!AM17&gt;0,'Section Load'!AM17,0))</f>
        <v>783</v>
      </c>
      <c r="AM14" s="302">
        <f>(IF('Water Report'!$P$7&gt;0,'Water Report'!$P$7,0))</f>
        <v>131</v>
      </c>
      <c r="AN14" s="302">
        <f>(IF('Water Report'!$P$8&gt;0,'Water Report'!$P$8,0))</f>
        <v>107</v>
      </c>
      <c r="AO14" s="302">
        <f>(IF('Water Report'!$P$9&gt;0,'Water Report'!$P$9,0))</f>
        <v>110</v>
      </c>
      <c r="AP14" s="302">
        <f>(IF('Water Report'!$P$10&gt;0,'Water Report'!$P$10,0))</f>
        <v>20</v>
      </c>
      <c r="AQ14" s="302">
        <f>(IF('Water Report'!$P$11&gt;0,'Water Report'!$P$11,0))</f>
        <v>33</v>
      </c>
      <c r="AR14" s="302">
        <f>(IF('Water Report'!$P$13&gt;0,'Water Report'!$P$13,0))</f>
        <v>41</v>
      </c>
      <c r="AS14" s="302">
        <f>(IF('Water Report'!$P$14&gt;0,'Water Report'!$P$14,0))</f>
        <v>19</v>
      </c>
      <c r="AT14" s="302">
        <f>(IF('Water Report'!$P$15&gt;0,'Water Report'!$P$15,0))</f>
        <v>10</v>
      </c>
      <c r="AU14" s="302">
        <f>(IF('Water Report'!$P$17&gt;0,'Water Report'!$P$17,0))</f>
        <v>0</v>
      </c>
      <c r="AV14" s="302">
        <f>(IF('Water Report'!$P$18&gt;0,'Water Report'!$P$18,0))</f>
        <v>18</v>
      </c>
      <c r="AW14" s="302">
        <f>(IF('Water Report'!$P$19&gt;0,'Water Report'!$P$19,0))</f>
        <v>17</v>
      </c>
      <c r="AX14" s="308">
        <f>(IF('Water Report'!$P$21&gt;0,'Water Report'!$P$21,0))</f>
        <v>63</v>
      </c>
      <c r="AY14" s="308">
        <f>(IF('Water Report'!$P$22&gt;0,'Water Report'!$P$22,0))</f>
        <v>0</v>
      </c>
      <c r="AZ14" s="308">
        <f>(IF('Water Report'!$P$23&gt;0,'Water Report'!$P$23,0))</f>
        <v>24</v>
      </c>
      <c r="BA14" s="308">
        <f>(IF('Water Report'!$P$14&gt;0,'Water Report'!$P$14,0))</f>
        <v>19</v>
      </c>
      <c r="BB14" s="308">
        <f>(IF('Water Report'!$P$15&gt;0,'Water Report'!$P$15,0))</f>
        <v>10</v>
      </c>
      <c r="BC14" s="308">
        <f>(IF('Water Report'!$P$13&gt;0,'Water Report'!$P$13,0))</f>
        <v>41</v>
      </c>
      <c r="BD14" s="308">
        <f>(IF('Water Report'!$P$24&gt;0,'Water Report'!$P$24,0))</f>
        <v>256</v>
      </c>
      <c r="BE14" s="308">
        <f>(IF('Water Report'!$P$25&gt;0,'Water Report'!$P$25,0))</f>
        <v>192</v>
      </c>
      <c r="BF14" s="308">
        <f>(IF('Water Report'!$P$27&gt;0,'Water Report'!$P$27,0))</f>
        <v>128</v>
      </c>
      <c r="BG14" s="303">
        <f>(IF('Section Load'!AN17&gt;0,'Section Load'!AN17,0))</f>
        <v>1071</v>
      </c>
      <c r="BH14" s="303">
        <f>(IF('Section Load'!AO17&gt;0,'Section Load'!AO17,0))</f>
        <v>303</v>
      </c>
      <c r="BI14" s="303">
        <f>(IF('Section Load'!AP17&gt;0,'Section Load'!AP17,0))</f>
        <v>0</v>
      </c>
      <c r="BJ14" s="303">
        <f>(IF('Section Load'!AQ17&gt;0,'Section Load'!AQ17,0))</f>
        <v>119</v>
      </c>
      <c r="BK14" s="303">
        <f>(IF('Section Load'!AR17&gt;0,'Section Load'!AR17,0))</f>
        <v>45</v>
      </c>
      <c r="BL14" s="303">
        <f>(IF('Section Load'!AS17&gt;0,'Section Load'!AS17,0))</f>
        <v>3</v>
      </c>
      <c r="BM14" s="303">
        <f>(IF('Section Load'!AT17&gt;0,'Section Load'!AT17,0))</f>
        <v>601</v>
      </c>
    </row>
    <row r="15" spans="1:65">
      <c r="A15" s="291" t="s">
        <v>268</v>
      </c>
      <c r="B15" s="292">
        <f t="shared" si="0"/>
        <v>14</v>
      </c>
      <c r="C15" s="292">
        <v>11</v>
      </c>
      <c r="D15" s="292">
        <v>2021</v>
      </c>
      <c r="E15" s="301">
        <f>(IF('Section Load'!F18&gt;0,'Section Load'!F18,0))</f>
        <v>3440</v>
      </c>
      <c r="F15" s="301">
        <f>(IF('Section Load'!G18&gt;0,'Section Load'!G18,0))</f>
        <v>1518</v>
      </c>
      <c r="G15" s="301">
        <f>(IF('Section Load'!H18&gt;0,'Section Load'!H18,0))</f>
        <v>1821</v>
      </c>
      <c r="H15" s="301">
        <f>(IF('Section Load'!I18&gt;0,'Section Load'!I18,0))</f>
        <v>2824</v>
      </c>
      <c r="I15" s="301">
        <f>(IF('Section Load'!J18&gt;0,'Section Load'!J18,0))</f>
        <v>6179</v>
      </c>
      <c r="J15" s="301">
        <f>(IF('Section Load'!K18&gt;0,'Section Load'!K18,0))</f>
        <v>2571</v>
      </c>
      <c r="K15" s="301">
        <f>(IF('Section Load'!L18&gt;0,'Section Load'!L18,0))</f>
        <v>1194</v>
      </c>
      <c r="L15" s="301">
        <f>(IF('Section Load'!M18&gt;0,'Section Load'!M18,0))</f>
        <v>875</v>
      </c>
      <c r="M15" s="301">
        <f>(IF('Section Load'!N18&gt;0,'Section Load'!N18,0))</f>
        <v>71</v>
      </c>
      <c r="N15" s="301">
        <f>(IF('Section Load'!O18&gt;0,'Section Load'!O18,0))</f>
        <v>1</v>
      </c>
      <c r="O15" s="301">
        <f>(IF('Section Load'!P18&gt;0,'Section Load'!P18,0))</f>
        <v>0</v>
      </c>
      <c r="P15" s="301">
        <f>(IF('Section Load'!Q18&gt;0,'Section Load'!Q18,0))</f>
        <v>193</v>
      </c>
      <c r="Q15" s="301">
        <f>(IF('Section Load'!R18&gt;0,'Section Load'!R18,0))</f>
        <v>17</v>
      </c>
      <c r="R15" s="301">
        <f>(IF('Section Load'!S18&gt;0,'Section Load'!S18,0))</f>
        <v>44</v>
      </c>
      <c r="S15" s="301">
        <f>(IF('Section Load'!T18&gt;0,'Section Load'!T18,0))</f>
        <v>468</v>
      </c>
      <c r="T15" s="301">
        <f>(IF('Section Load'!U18&gt;0,'Section Load'!U18,0))</f>
        <v>241</v>
      </c>
      <c r="U15" s="301">
        <f>(IF('Section Load'!V18&gt;0,'Section Load'!V18,0))</f>
        <v>441</v>
      </c>
      <c r="V15" s="301">
        <f>(IF('Section Load'!W18&gt;0,'Section Load'!W18,0))</f>
        <v>283</v>
      </c>
      <c r="W15" s="301">
        <f>(IF('Section Load'!X18&gt;0,'Section Load'!X18,0))</f>
        <v>26</v>
      </c>
      <c r="X15" s="301">
        <f>(IF('Section Load'!Y18&gt;0,'Section Load'!Y18,0))</f>
        <v>203</v>
      </c>
      <c r="Y15" s="301">
        <f>(IF('Section Load'!Z18&gt;0,'Section Load'!Z18,0))</f>
        <v>253</v>
      </c>
      <c r="Z15" s="301">
        <f>(IF('Section Load'!AA18&gt;0,'Section Load'!AA18,0))</f>
        <v>0</v>
      </c>
      <c r="AA15" s="301">
        <f>(IF('Section Load'!AB18&gt;0,'Section Load'!AB18,0))</f>
        <v>14</v>
      </c>
      <c r="AB15" s="301">
        <f>(IF('Section Load'!AC18&gt;0,'Section Load'!AC18,0))</f>
        <v>0</v>
      </c>
      <c r="AC15" s="301">
        <f>(IF('Section Load'!AD18&gt;0,'Section Load'!AD18,0))</f>
        <v>74.5</v>
      </c>
      <c r="AD15" s="301">
        <f>(IF('Section Load'!AE18&gt;0,'Section Load'!AE18,0))</f>
        <v>0</v>
      </c>
      <c r="AE15" s="301">
        <f>(IF('Section Load'!AF18&gt;0,'Section Load'!AF18,0))</f>
        <v>21</v>
      </c>
      <c r="AF15" s="301">
        <f>(IF('Section Load'!AG18&gt;0,'Section Load'!AG18,0))</f>
        <v>323</v>
      </c>
      <c r="AG15" s="301">
        <f>(IF('Section Load'!AH18&gt;0,'Section Load'!AH18,0))</f>
        <v>429</v>
      </c>
      <c r="AH15" s="301">
        <f>(IF('Section Load'!AI18&gt;0,'Section Load'!AI18,0))</f>
        <v>422</v>
      </c>
      <c r="AI15" s="301">
        <f>(IF('Section Load'!AJ18&gt;0,'Section Load'!AJ18,0))</f>
        <v>719</v>
      </c>
      <c r="AJ15" s="301">
        <f>(IF('Section Load'!AK18&gt;0,'Section Load'!AK18,0))</f>
        <v>276</v>
      </c>
      <c r="AK15" s="301">
        <f>(IF('Section Load'!AL18&gt;0,'Section Load'!AL18,0))</f>
        <v>287</v>
      </c>
      <c r="AL15" s="301">
        <f>(IF('Section Load'!AM18&gt;0,'Section Load'!AM18,0))</f>
        <v>769</v>
      </c>
      <c r="AM15" s="302">
        <f>(IF('Water Report'!$Q$7&gt;0,'Water Report'!$Q$7,0))</f>
        <v>141</v>
      </c>
      <c r="AN15" s="302">
        <f>(IF('Water Report'!$Q$8&gt;0,'Water Report'!$Q$8,0))</f>
        <v>117</v>
      </c>
      <c r="AO15" s="302">
        <f>(IF('Water Report'!$Q$9&gt;0,'Water Report'!$Q$9,0))</f>
        <v>101</v>
      </c>
      <c r="AP15" s="302">
        <f>(IF('Water Report'!$Q$10&gt;0,'Water Report'!$Q$10,0))</f>
        <v>26</v>
      </c>
      <c r="AQ15" s="302">
        <f>(IF('Water Report'!$Q$11&gt;0,'Water Report'!$Q$11,0))</f>
        <v>24</v>
      </c>
      <c r="AR15" s="302">
        <f>(IF('Water Report'!$Q$13&gt;0,'Water Report'!$Q$13,0))</f>
        <v>23</v>
      </c>
      <c r="AS15" s="302">
        <f>(IF('Water Report'!$Q$14&gt;0,'Water Report'!$Q$14,0))</f>
        <v>10</v>
      </c>
      <c r="AT15" s="302">
        <f>(IF('Water Report'!$Q$15&gt;0,'Water Report'!$Q$15,0))</f>
        <v>9</v>
      </c>
      <c r="AU15" s="302">
        <f>(IF('Water Report'!$Q$17&gt;0,'Water Report'!$Q$17,0))</f>
        <v>0</v>
      </c>
      <c r="AV15" s="302">
        <f>(IF('Water Report'!$Q$18&gt;0,'Water Report'!$Q$18,0))</f>
        <v>13</v>
      </c>
      <c r="AW15" s="302">
        <f>(IF('Water Report'!$Q$19&gt;0,'Water Report'!$Q$19,0))</f>
        <v>11</v>
      </c>
      <c r="AX15" s="308">
        <f>(IF('Water Report'!$Q$21&gt;0,'Water Report'!$Q$21,0))</f>
        <v>111</v>
      </c>
      <c r="AY15" s="308">
        <f>(IF('Water Report'!$Q$22&gt;0,'Water Report'!$Q$22,0))</f>
        <v>0</v>
      </c>
      <c r="AZ15" s="308">
        <f>(IF('Water Report'!$Q$23&gt;0,'Water Report'!$Q$23,0))</f>
        <v>4</v>
      </c>
      <c r="BA15" s="308">
        <f>(IF('Water Report'!$Q$14&gt;0,'Water Report'!$Q$14,0))</f>
        <v>10</v>
      </c>
      <c r="BB15" s="308">
        <f>(IF('Water Report'!$Q$15&gt;0,'Water Report'!$Q$15,0))</f>
        <v>9</v>
      </c>
      <c r="BC15" s="308">
        <f>(IF('Water Report'!$Q$13&gt;0,'Water Report'!$Q$13,0))</f>
        <v>23</v>
      </c>
      <c r="BD15" s="308">
        <f>(IF('Water Report'!$Q$24&gt;0,'Water Report'!$Q$24,0))</f>
        <v>293</v>
      </c>
      <c r="BE15" s="308">
        <f>(IF('Water Report'!$Q$25&gt;0,'Water Report'!$Q$25,0))</f>
        <v>170</v>
      </c>
      <c r="BF15" s="308">
        <f>(IF('Water Report'!$Q$27&gt;0,'Water Report'!$Q$27,0))</f>
        <v>138</v>
      </c>
      <c r="BG15" s="303">
        <f>(IF('Section Load'!AN18&gt;0,'Section Load'!AN18,0))</f>
        <v>1139.97</v>
      </c>
      <c r="BH15" s="303">
        <f>(IF('Section Load'!AO18&gt;0,'Section Load'!AO18,0))</f>
        <v>280</v>
      </c>
      <c r="BI15" s="303">
        <f>(IF('Section Load'!AP18&gt;0,'Section Load'!AP18,0))</f>
        <v>0</v>
      </c>
      <c r="BJ15" s="303">
        <f>(IF('Section Load'!AQ18&gt;0,'Section Load'!AQ18,0))</f>
        <v>128</v>
      </c>
      <c r="BK15" s="303">
        <f>(IF('Section Load'!AR18&gt;0,'Section Load'!AR18,0))</f>
        <v>41</v>
      </c>
      <c r="BL15" s="303">
        <f>(IF('Section Load'!AS18&gt;0,'Section Load'!AS18,0))</f>
        <v>1</v>
      </c>
      <c r="BM15" s="303">
        <f>(IF('Section Load'!AT18&gt;0,'Section Load'!AT18,0))</f>
        <v>689.97</v>
      </c>
    </row>
    <row r="16" spans="1:65">
      <c r="A16" s="291" t="s">
        <v>268</v>
      </c>
      <c r="B16" s="292">
        <f t="shared" si="0"/>
        <v>15</v>
      </c>
      <c r="C16" s="292">
        <v>11</v>
      </c>
      <c r="D16" s="292">
        <v>2021</v>
      </c>
      <c r="E16" s="301">
        <f>(IF('Section Load'!F19&gt;0,'Section Load'!F19,0))</f>
        <v>3603.6999999999898</v>
      </c>
      <c r="F16" s="301">
        <f>(IF('Section Load'!G19&gt;0,'Section Load'!G19,0))</f>
        <v>1554.8800000000047</v>
      </c>
      <c r="G16" s="301">
        <f>(IF('Section Load'!H19&gt;0,'Section Load'!H19,0))</f>
        <v>1735.5599999999977</v>
      </c>
      <c r="H16" s="301">
        <f>(IF('Section Load'!I19&gt;0,'Section Load'!I19,0))</f>
        <v>2954.210000000021</v>
      </c>
      <c r="I16" s="301">
        <f>(IF('Section Load'!J19&gt;0,'Section Load'!J19,0))</f>
        <v>7030.5100000000093</v>
      </c>
      <c r="J16" s="301">
        <f>(IF('Section Load'!K19&gt;0,'Section Load'!K19,0))</f>
        <v>2788.5</v>
      </c>
      <c r="K16" s="301">
        <f>(IF('Section Load'!L19&gt;0,'Section Load'!L19,0))</f>
        <v>1115.4699999999721</v>
      </c>
      <c r="L16" s="301">
        <f>(IF('Section Load'!M19&gt;0,'Section Load'!M19,0))</f>
        <v>840.69999999999709</v>
      </c>
      <c r="M16" s="301">
        <f>(IF('Section Load'!N19&gt;0,'Section Load'!N19,0))</f>
        <v>42</v>
      </c>
      <c r="N16" s="301">
        <f>(IF('Section Load'!O19&gt;0,'Section Load'!O19,0))</f>
        <v>4</v>
      </c>
      <c r="O16" s="301">
        <f>(IF('Section Load'!P19&gt;0,'Section Load'!P19,0))</f>
        <v>0</v>
      </c>
      <c r="P16" s="301">
        <f>(IF('Section Load'!Q19&gt;0,'Section Load'!Q19,0))</f>
        <v>186.45999999999913</v>
      </c>
      <c r="Q16" s="301">
        <f>(IF('Section Load'!R19&gt;0,'Section Load'!R19,0))</f>
        <v>17.220000000001164</v>
      </c>
      <c r="R16" s="301">
        <f>(IF('Section Load'!S19&gt;0,'Section Load'!S19,0))</f>
        <v>31.150000000000091</v>
      </c>
      <c r="S16" s="301">
        <f>(IF('Section Load'!T19&gt;0,'Section Load'!T19,0))</f>
        <v>427</v>
      </c>
      <c r="T16" s="301">
        <f>(IF('Section Load'!U19&gt;0,'Section Load'!U19,0))</f>
        <v>240</v>
      </c>
      <c r="U16" s="301">
        <f>(IF('Section Load'!V19&gt;0,'Section Load'!V19,0))</f>
        <v>450.64000000001397</v>
      </c>
      <c r="V16" s="301">
        <f>(IF('Section Load'!W19&gt;0,'Section Load'!W19,0))</f>
        <v>266.52000000001863</v>
      </c>
      <c r="W16" s="301">
        <f>(IF('Section Load'!X19&gt;0,'Section Load'!X19,0))</f>
        <v>27.880000000000109</v>
      </c>
      <c r="X16" s="301">
        <f>(IF('Section Load'!Y19&gt;0,'Section Load'!Y19,0))</f>
        <v>228.66300000000047</v>
      </c>
      <c r="Y16" s="301">
        <f>(IF('Section Load'!Z19&gt;0,'Section Load'!Z19,0))</f>
        <v>214</v>
      </c>
      <c r="Z16" s="301">
        <f>(IF('Section Load'!AA19&gt;0,'Section Load'!AA19,0))</f>
        <v>34</v>
      </c>
      <c r="AA16" s="301">
        <f>(IF('Section Load'!AB19&gt;0,'Section Load'!AB19,0))</f>
        <v>33.600000000005821</v>
      </c>
      <c r="AB16" s="301">
        <f>(IF('Section Load'!AC19&gt;0,'Section Load'!AC19,0))</f>
        <v>0</v>
      </c>
      <c r="AC16" s="301">
        <f>(IF('Section Load'!AD19&gt;0,'Section Load'!AD19,0))</f>
        <v>102.80000000000018</v>
      </c>
      <c r="AD16" s="301">
        <f>(IF('Section Load'!AE19&gt;0,'Section Load'!AE19,0))</f>
        <v>0</v>
      </c>
      <c r="AE16" s="301">
        <f>(IF('Section Load'!AF19&gt;0,'Section Load'!AF19,0))</f>
        <v>21.420000000000073</v>
      </c>
      <c r="AF16" s="301">
        <f>(IF('Section Load'!AG19&gt;0,'Section Load'!AG19,0))</f>
        <v>345.25</v>
      </c>
      <c r="AG16" s="301">
        <f>(IF('Section Load'!AH19&gt;0,'Section Load'!AH19,0))</f>
        <v>414.45000000001164</v>
      </c>
      <c r="AH16" s="301">
        <f>(IF('Section Load'!AI19&gt;0,'Section Load'!AI19,0))</f>
        <v>417.22999999999956</v>
      </c>
      <c r="AI16" s="301">
        <f>(IF('Section Load'!AJ19&gt;0,'Section Load'!AJ19,0))</f>
        <v>715.59000000002561</v>
      </c>
      <c r="AJ16" s="301">
        <f>(IF('Section Load'!AK19&gt;0,'Section Load'!AK19,0))</f>
        <v>312.27999999999884</v>
      </c>
      <c r="AK16" s="301">
        <f>(IF('Section Load'!AL19&gt;0,'Section Load'!AL19,0))</f>
        <v>284.08999999999651</v>
      </c>
      <c r="AL16" s="301">
        <f>(IF('Section Load'!AM19&gt;0,'Section Load'!AM19,0))</f>
        <v>740.9800000000032</v>
      </c>
      <c r="AM16" s="302">
        <f>(IF('Water Report'!$R$7&gt;0,'Water Report'!$R$7,0))</f>
        <v>107</v>
      </c>
      <c r="AN16" s="302">
        <f>(IF('Water Report'!$R$8&gt;0,'Water Report'!$R$8,0))</f>
        <v>95</v>
      </c>
      <c r="AO16" s="302">
        <f>(IF('Water Report'!$R$9&gt;0,'Water Report'!$R$9,0))</f>
        <v>116</v>
      </c>
      <c r="AP16" s="302">
        <f>(IF('Water Report'!$R$10&gt;0,'Water Report'!$R$10,0))</f>
        <v>21</v>
      </c>
      <c r="AQ16" s="302">
        <f>(IF('Water Report'!$R$11&gt;0,'Water Report'!$R$11,0))</f>
        <v>20</v>
      </c>
      <c r="AR16" s="302">
        <f>(IF('Water Report'!$R$13&gt;0,'Water Report'!$R$13,0))</f>
        <v>28</v>
      </c>
      <c r="AS16" s="302">
        <f>(IF('Water Report'!$R$14&gt;0,'Water Report'!$R$14,0))</f>
        <v>9</v>
      </c>
      <c r="AT16" s="302">
        <f>(IF('Water Report'!$R$15&gt;0,'Water Report'!$R$15,0))</f>
        <v>8</v>
      </c>
      <c r="AU16" s="302">
        <f>(IF('Water Report'!$R$17&gt;0,'Water Report'!$R$17,0))</f>
        <v>0</v>
      </c>
      <c r="AV16" s="302">
        <f>(IF('Water Report'!$R$18&gt;0,'Water Report'!$R$18,0))</f>
        <v>14</v>
      </c>
      <c r="AW16" s="302">
        <f>(IF('Water Report'!$R$19&gt;0,'Water Report'!$R$19,0))</f>
        <v>11</v>
      </c>
      <c r="AX16" s="308">
        <f>(IF('Water Report'!$R$21&gt;0,'Water Report'!$R$21,0))</f>
        <v>77</v>
      </c>
      <c r="AY16" s="308">
        <f>(IF('Water Report'!$R$22&gt;0,'Water Report'!$R$22,0))</f>
        <v>0</v>
      </c>
      <c r="AZ16" s="308">
        <f>(IF('Water Report'!$R$23&gt;0,'Water Report'!$R$23,0))</f>
        <v>9</v>
      </c>
      <c r="BA16" s="308">
        <f>(IF('Water Report'!$R$14&gt;0,'Water Report'!$R$14,0))</f>
        <v>9</v>
      </c>
      <c r="BB16" s="308">
        <f>(IF('Water Report'!$R$15&gt;0,'Water Report'!$R$15,0))</f>
        <v>8</v>
      </c>
      <c r="BC16" s="308">
        <f>(IF('Water Report'!$R$13&gt;0,'Water Report'!$R$13,0))</f>
        <v>28</v>
      </c>
      <c r="BD16" s="308">
        <f>(IF('Water Report'!$R$24&gt;0,'Water Report'!$R$24,0))</f>
        <v>236</v>
      </c>
      <c r="BE16" s="308">
        <f>(IF('Water Report'!$R$25&gt;0,'Water Report'!$R$25,0))</f>
        <v>174</v>
      </c>
      <c r="BF16" s="308">
        <f>(IF('Water Report'!$R$27&gt;0,'Water Report'!$R$27,0))</f>
        <v>114</v>
      </c>
      <c r="BG16" s="303">
        <f>(IF('Section Load'!AN19&gt;0,'Section Load'!AN19,0))</f>
        <v>911.19999999995343</v>
      </c>
      <c r="BH16" s="303">
        <f>(IF('Section Load'!AO19&gt;0,'Section Load'!AO19,0))</f>
        <v>252.48999999999069</v>
      </c>
      <c r="BI16" s="303">
        <f>(IF('Section Load'!AP19&gt;0,'Section Load'!AP19,0))</f>
        <v>0</v>
      </c>
      <c r="BJ16" s="303">
        <f>(IF('Section Load'!AQ19&gt;0,'Section Load'!AQ19,0))</f>
        <v>110.79999999998836</v>
      </c>
      <c r="BK16" s="303">
        <f>(IF('Section Load'!AR19&gt;0,'Section Load'!AR19,0))</f>
        <v>46</v>
      </c>
      <c r="BL16" s="303">
        <f>(IF('Section Load'!AS19&gt;0,'Section Load'!AS19,0))</f>
        <v>1.7999999999992724</v>
      </c>
      <c r="BM16" s="303">
        <f>(IF('Section Load'!AT19&gt;0,'Section Load'!AT19,0))</f>
        <v>500.10999999997512</v>
      </c>
    </row>
    <row r="17" spans="1:65">
      <c r="A17" s="291" t="s">
        <v>268</v>
      </c>
      <c r="B17" s="292">
        <f t="shared" si="0"/>
        <v>16</v>
      </c>
      <c r="C17" s="292">
        <v>11</v>
      </c>
      <c r="D17" s="292">
        <v>2021</v>
      </c>
      <c r="E17" s="301">
        <f>(IF('Section Load'!F20&gt;0,'Section Load'!F20,0))</f>
        <v>3624.8600000000006</v>
      </c>
      <c r="F17" s="301">
        <f>(IF('Section Load'!G20&gt;0,'Section Load'!G20,0))</f>
        <v>1596.4400000000023</v>
      </c>
      <c r="G17" s="301">
        <f>(IF('Section Load'!H20&gt;0,'Section Load'!H20,0))</f>
        <v>1865.8300000000163</v>
      </c>
      <c r="H17" s="301">
        <f>(IF('Section Load'!I20&gt;0,'Section Load'!I20,0))</f>
        <v>2997.2799999999697</v>
      </c>
      <c r="I17" s="301">
        <f>(IF('Section Load'!J20&gt;0,'Section Load'!J20,0))</f>
        <v>7803.9999999999709</v>
      </c>
      <c r="J17" s="301">
        <f>(IF('Section Load'!K20&gt;0,'Section Load'!K20,0))</f>
        <v>2788.8999999999069</v>
      </c>
      <c r="K17" s="301">
        <f>(IF('Section Load'!L20&gt;0,'Section Load'!L20,0))</f>
        <v>1347.9200000000419</v>
      </c>
      <c r="L17" s="301">
        <f>(IF('Section Load'!M20&gt;0,'Section Load'!M20,0))</f>
        <v>905.24000000000524</v>
      </c>
      <c r="M17" s="301">
        <f>(IF('Section Load'!N20&gt;0,'Section Load'!N20,0))</f>
        <v>57</v>
      </c>
      <c r="N17" s="301">
        <f>(IF('Section Load'!O20&gt;0,'Section Load'!O20,0))</f>
        <v>1</v>
      </c>
      <c r="O17" s="301">
        <f>(IF('Section Load'!P20&gt;0,'Section Load'!P20,0))</f>
        <v>0</v>
      </c>
      <c r="P17" s="301">
        <f>(IF('Section Load'!Q20&gt;0,'Section Load'!Q20,0))</f>
        <v>195.23999999999796</v>
      </c>
      <c r="Q17" s="301">
        <f>(IF('Section Load'!R20&gt;0,'Section Load'!R20,0))</f>
        <v>17.069999999999709</v>
      </c>
      <c r="R17" s="301">
        <f>(IF('Section Load'!S20&gt;0,'Section Load'!S20,0))</f>
        <v>39.559999999999945</v>
      </c>
      <c r="S17" s="301">
        <f>(IF('Section Load'!T20&gt;0,'Section Load'!T20,0))</f>
        <v>416</v>
      </c>
      <c r="T17" s="301">
        <f>(IF('Section Load'!U20&gt;0,'Section Load'!U20,0))</f>
        <v>249</v>
      </c>
      <c r="U17" s="301">
        <f>(IF('Section Load'!V20&gt;0,'Section Load'!V20,0))</f>
        <v>458.1600000000326</v>
      </c>
      <c r="V17" s="301">
        <f>(IF('Section Load'!W20&gt;0,'Section Load'!W20,0))</f>
        <v>252.91999999992549</v>
      </c>
      <c r="W17" s="301">
        <f>(IF('Section Load'!X20&gt;0,'Section Load'!X20,0))</f>
        <v>31.889999999999873</v>
      </c>
      <c r="X17" s="301">
        <f>(IF('Section Load'!Y20&gt;0,'Section Load'!Y20,0))</f>
        <v>234.20699999999488</v>
      </c>
      <c r="Y17" s="301">
        <f>(IF('Section Load'!Z20&gt;0,'Section Load'!Z20,0))</f>
        <v>278</v>
      </c>
      <c r="Z17" s="301">
        <f>(IF('Section Load'!AA20&gt;0,'Section Load'!AA20,0))</f>
        <v>28.71999999997206</v>
      </c>
      <c r="AA17" s="301">
        <f>(IF('Section Load'!AB20&gt;0,'Section Load'!AB20,0))</f>
        <v>40.5</v>
      </c>
      <c r="AB17" s="301">
        <f>(IF('Section Load'!AC20&gt;0,'Section Load'!AC20,0))</f>
        <v>4.7899999999972351</v>
      </c>
      <c r="AC17" s="301">
        <f>(IF('Section Load'!AD20&gt;0,'Section Load'!AD20,0))</f>
        <v>143.69999999999709</v>
      </c>
      <c r="AD17" s="301">
        <f>(IF('Section Load'!AE20&gt;0,'Section Load'!AE20,0))</f>
        <v>0</v>
      </c>
      <c r="AE17" s="301">
        <f>(IF('Section Load'!AF20&gt;0,'Section Load'!AF20,0))</f>
        <v>19.819999999999936</v>
      </c>
      <c r="AF17" s="301">
        <f>(IF('Section Load'!AG20&gt;0,'Section Load'!AG20,0))</f>
        <v>375.23999999999069</v>
      </c>
      <c r="AG17" s="301">
        <f>(IF('Section Load'!AH20&gt;0,'Section Load'!AH20,0))</f>
        <v>431.55999999999767</v>
      </c>
      <c r="AH17" s="301">
        <f>(IF('Section Load'!AI20&gt;0,'Section Load'!AI20,0))</f>
        <v>422.63000000000102</v>
      </c>
      <c r="AI17" s="301">
        <f>(IF('Section Load'!AJ20&gt;0,'Section Load'!AJ20,0))</f>
        <v>721.10999999998603</v>
      </c>
      <c r="AJ17" s="301">
        <f>(IF('Section Load'!AK20&gt;0,'Section Load'!AK20,0))</f>
        <v>320.52000000000407</v>
      </c>
      <c r="AK17" s="301">
        <f>(IF('Section Load'!AL20&gt;0,'Section Load'!AL20,0))</f>
        <v>283.91000000000349</v>
      </c>
      <c r="AL17" s="301">
        <f>(IF('Section Load'!AM20&gt;0,'Section Load'!AM20,0))</f>
        <v>645.71999999999389</v>
      </c>
      <c r="AM17" s="302">
        <f>(IF('Water Report'!$S$7&gt;0,'Water Report'!$S$7,0))</f>
        <v>119</v>
      </c>
      <c r="AN17" s="302">
        <f>(IF('Water Report'!$S$8&gt;0,'Water Report'!$S$8,0))</f>
        <v>117</v>
      </c>
      <c r="AO17" s="302">
        <f>(IF('Water Report'!$S$9&gt;0,'Water Report'!$S$9,0))</f>
        <v>102</v>
      </c>
      <c r="AP17" s="302">
        <f>(IF('Water Report'!$S$10&gt;0,'Water Report'!$D$10,0))</f>
        <v>23</v>
      </c>
      <c r="AQ17" s="302">
        <f>(IF('Water Report'!$S$11&gt;0,'Water Report'!$D$11,0))</f>
        <v>30</v>
      </c>
      <c r="AR17" s="302">
        <f>(IF('Water Report'!$S$13&gt;0,'Water Report'!$D$13,0))</f>
        <v>41</v>
      </c>
      <c r="AS17" s="302">
        <f>(IF('Water Report'!$S$14&gt;0,'Water Report'!$D$14,0))</f>
        <v>9</v>
      </c>
      <c r="AT17" s="302">
        <f>(IF('Water Report'!$S$15&gt;0,'Water Report'!$D$15,0))</f>
        <v>7</v>
      </c>
      <c r="AU17" s="302">
        <f>(IF('Water Report'!$S$17&gt;0,'Water Report'!$D$17,0))</f>
        <v>0</v>
      </c>
      <c r="AV17" s="302">
        <f>(IF('Water Report'!$S$18&gt;0,'Water Report'!$D$18,0))</f>
        <v>16</v>
      </c>
      <c r="AW17" s="302">
        <f>(IF('Water Report'!$S$19&gt;0,'Water Report'!$D$19,0))</f>
        <v>11</v>
      </c>
      <c r="AX17" s="308">
        <f>(IF('Water Report'!$S$21&gt;0,'Water Report'!$D$21,0))</f>
        <v>68</v>
      </c>
      <c r="AY17" s="308">
        <f>(IF('Water Report'!$S$22&gt;0,'Water Report'!$D$22,0))</f>
        <v>0</v>
      </c>
      <c r="AZ17" s="308">
        <f>(IF('Water Report'!$S$23&gt;0,'Water Report'!$D$23,0))</f>
        <v>0</v>
      </c>
      <c r="BA17" s="308">
        <f>(IF('Water Report'!$S$14&gt;0,'Water Report'!$D$14,0))</f>
        <v>9</v>
      </c>
      <c r="BB17" s="308">
        <f>(IF('Water Report'!$S$15&gt;0,'Water Report'!$D$15,0))</f>
        <v>7</v>
      </c>
      <c r="BC17" s="308">
        <f>(IF('Water Report'!$S$13&gt;0,'Water Report'!$D$13,0))</f>
        <v>41</v>
      </c>
      <c r="BD17" s="308">
        <f>(IF('Water Report'!$S$24&gt;0,'Water Report'!$D$24,0))</f>
        <v>237</v>
      </c>
      <c r="BE17" s="308">
        <f>(IF('Water Report'!$S$25&gt;0,'Water Report'!$D$25,0))</f>
        <v>166</v>
      </c>
      <c r="BF17" s="308">
        <f>(IF('Water Report'!$S$27&gt;0,'Water Report'!$D$27,0))</f>
        <v>109</v>
      </c>
      <c r="BG17" s="303">
        <f>(IF('Section Load'!AN20&gt;0,'Section Load'!AN20,0))</f>
        <v>794.9000000001397</v>
      </c>
      <c r="BH17" s="303">
        <f>(IF('Section Load'!AO20&gt;0,'Section Load'!AO20,0))</f>
        <v>283.47999999998137</v>
      </c>
      <c r="BI17" s="303">
        <f>(IF('Section Load'!AP20&gt;0,'Section Load'!AP20,0))</f>
        <v>0</v>
      </c>
      <c r="BJ17" s="303">
        <f>(IF('Section Load'!AQ20&gt;0,'Section Load'!AQ20,0))</f>
        <v>123.5</v>
      </c>
      <c r="BK17" s="303">
        <f>(IF('Section Load'!AR20&gt;0,'Section Load'!AR20,0))</f>
        <v>37</v>
      </c>
      <c r="BL17" s="303">
        <f>(IF('Section Load'!AS20&gt;0,'Section Load'!AS20,0))</f>
        <v>0.6000000000003638</v>
      </c>
      <c r="BM17" s="303">
        <f>(IF('Section Load'!AT20&gt;0,'Section Load'!AT20,0))</f>
        <v>350.32000000015796</v>
      </c>
    </row>
    <row r="18" spans="1:65">
      <c r="A18" s="291" t="s">
        <v>268</v>
      </c>
      <c r="B18" s="292">
        <f t="shared" si="0"/>
        <v>17</v>
      </c>
      <c r="C18" s="292">
        <v>11</v>
      </c>
      <c r="D18" s="292">
        <v>2021</v>
      </c>
      <c r="E18" s="301">
        <f>(IF('Section Load'!F21&gt;0,'Section Load'!F21,0))</f>
        <v>3829.8799999999974</v>
      </c>
      <c r="F18" s="301">
        <f>(IF('Section Load'!G21&gt;0,'Section Load'!G21,0))</f>
        <v>1696.0799999999872</v>
      </c>
      <c r="G18" s="301">
        <f>(IF('Section Load'!H21&gt;0,'Section Load'!H21,0))</f>
        <v>1917.6999999999825</v>
      </c>
      <c r="H18" s="301">
        <f>(IF('Section Load'!I21&gt;0,'Section Load'!I21,0))</f>
        <v>2980.359999999986</v>
      </c>
      <c r="I18" s="301">
        <f>(IF('Section Load'!J21&gt;0,'Section Load'!J21,0))</f>
        <v>8791.7599999999948</v>
      </c>
      <c r="J18" s="301">
        <f>(IF('Section Load'!K21&gt;0,'Section Load'!K21,0))</f>
        <v>3015.6000000000931</v>
      </c>
      <c r="K18" s="301">
        <f>(IF('Section Load'!L21&gt;0,'Section Load'!L21,0))</f>
        <v>1503.2800000000279</v>
      </c>
      <c r="L18" s="301">
        <f>(IF('Section Load'!M21&gt;0,'Section Load'!M21,0))</f>
        <v>1258.3600000000006</v>
      </c>
      <c r="M18" s="301">
        <f>(IF('Section Load'!N21&gt;0,'Section Load'!N21,0))</f>
        <v>52</v>
      </c>
      <c r="N18" s="301">
        <f>(IF('Section Load'!O21&gt;0,'Section Load'!O21,0))</f>
        <v>1</v>
      </c>
      <c r="O18" s="301">
        <f>(IF('Section Load'!P21&gt;0,'Section Load'!P21,0))</f>
        <v>0</v>
      </c>
      <c r="P18" s="301">
        <f>(IF('Section Load'!Q21&gt;0,'Section Load'!Q21,0))</f>
        <v>192.80000000000291</v>
      </c>
      <c r="Q18" s="301">
        <f>(IF('Section Load'!R21&gt;0,'Section Load'!R21,0))</f>
        <v>16.430000000000291</v>
      </c>
      <c r="R18" s="301">
        <f>(IF('Section Load'!S21&gt;0,'Section Load'!S21,0))</f>
        <v>40.509999999999764</v>
      </c>
      <c r="S18" s="301">
        <f>(IF('Section Load'!T21&gt;0,'Section Load'!T21,0))</f>
        <v>309</v>
      </c>
      <c r="T18" s="301">
        <f>(IF('Section Load'!U21&gt;0,'Section Load'!U21,0))</f>
        <v>235</v>
      </c>
      <c r="U18" s="301">
        <f>(IF('Section Load'!V21&gt;0,'Section Load'!V21,0))</f>
        <v>460</v>
      </c>
      <c r="V18" s="301">
        <f>(IF('Section Load'!W21&gt;0,'Section Load'!W21,0))</f>
        <v>284.20000000006985</v>
      </c>
      <c r="W18" s="301">
        <f>(IF('Section Load'!X21&gt;0,'Section Load'!X21,0))</f>
        <v>29.230000000000018</v>
      </c>
      <c r="X18" s="301">
        <f>(IF('Section Load'!Y21&gt;0,'Section Load'!Y21,0))</f>
        <v>214.57000000000698</v>
      </c>
      <c r="Y18" s="301">
        <f>(IF('Section Load'!Z21&gt;0,'Section Load'!Z21,0))</f>
        <v>280</v>
      </c>
      <c r="Z18" s="301">
        <f>(IF('Section Load'!AA21&gt;0,'Section Load'!AA21,0))</f>
        <v>30.92000000004191</v>
      </c>
      <c r="AA18" s="301">
        <f>(IF('Section Load'!AB21&gt;0,'Section Load'!AB21,0))</f>
        <v>37.799999999988358</v>
      </c>
      <c r="AB18" s="301">
        <f>(IF('Section Load'!AC21&gt;0,'Section Load'!AC21,0))</f>
        <v>9.5500000000029104</v>
      </c>
      <c r="AC18" s="301">
        <f>(IF('Section Load'!AD21&gt;0,'Section Load'!AD21,0))</f>
        <v>171.19999999999709</v>
      </c>
      <c r="AD18" s="301">
        <f>(IF('Section Load'!AE21&gt;0,'Section Load'!AE21,0))</f>
        <v>0</v>
      </c>
      <c r="AE18" s="301">
        <f>(IF('Section Load'!AF21&gt;0,'Section Load'!AF21,0))</f>
        <v>18.759999999999991</v>
      </c>
      <c r="AF18" s="301">
        <f>(IF('Section Load'!AG21&gt;0,'Section Load'!AG21,0))</f>
        <v>420.82000000000698</v>
      </c>
      <c r="AG18" s="301">
        <f>(IF('Section Load'!AH21&gt;0,'Section Load'!AH21,0))</f>
        <v>460.81999999997788</v>
      </c>
      <c r="AH18" s="301">
        <f>(IF('Section Load'!AI21&gt;0,'Section Load'!AI21,0))</f>
        <v>437.1299999999992</v>
      </c>
      <c r="AI18" s="301">
        <f>(IF('Section Load'!AJ21&gt;0,'Section Load'!AJ21,0))</f>
        <v>663.40999999997439</v>
      </c>
      <c r="AJ18" s="301">
        <f>(IF('Section Load'!AK21&gt;0,'Section Load'!AK21,0))</f>
        <v>307.02999999999884</v>
      </c>
      <c r="AK18" s="301">
        <f>(IF('Section Load'!AL21&gt;0,'Section Load'!AL21,0))</f>
        <v>288.55999999999767</v>
      </c>
      <c r="AL18" s="301">
        <f>(IF('Section Load'!AM21&gt;0,'Section Load'!AM21,0))</f>
        <v>804.85000000000582</v>
      </c>
      <c r="AM18" s="302">
        <f>(IF('Water Report'!$T$7&gt;0,'Water Report'!$T$7,0))</f>
        <v>120</v>
      </c>
      <c r="AN18" s="302">
        <f>(IF('Water Report'!$T$8&gt;0,'Water Report'!$T$8,0))</f>
        <v>78</v>
      </c>
      <c r="AO18" s="302">
        <f>(IF('Water Report'!$T$9&gt;0,'Water Report'!$T$9,0))</f>
        <v>109</v>
      </c>
      <c r="AP18" s="302">
        <f>(IF('Water Report'!$T$10&gt;0,'Water Report'!$T$10,0))</f>
        <v>23</v>
      </c>
      <c r="AQ18" s="302">
        <f>(IF('Water Report'!$T$11&gt;0,'Water Report'!$T$11,0))</f>
        <v>35</v>
      </c>
      <c r="AR18" s="302">
        <f>(IF('Water Report'!$T$13&gt;0,'Water Report'!$T$13,0))</f>
        <v>30</v>
      </c>
      <c r="AS18" s="302">
        <f>(IF('Water Report'!$T$14&gt;0,'Water Report'!$T$14,0))</f>
        <v>4</v>
      </c>
      <c r="AT18" s="302">
        <f>(IF('Water Report'!$T$15&gt;0,'Water Report'!$T$15,0))</f>
        <v>7</v>
      </c>
      <c r="AU18" s="302">
        <f>(IF('Water Report'!$T$17&gt;0,'Water Report'!$T$17,0))</f>
        <v>0</v>
      </c>
      <c r="AV18" s="302">
        <f>(IF('Water Report'!$T$18&gt;0,'Water Report'!$T$18,0))</f>
        <v>30</v>
      </c>
      <c r="AW18" s="302">
        <f>(IF('Water Report'!$T$19&gt;0,'Water Report'!$T$19,0))</f>
        <v>11</v>
      </c>
      <c r="AX18" s="308">
        <f>(IF('Water Report'!$T$21&gt;0,'Water Report'!$T$21,0))</f>
        <v>136</v>
      </c>
      <c r="AY18" s="308">
        <f>(IF('Water Report'!$T$22&gt;0,'Water Report'!$T$22,0))</f>
        <v>0</v>
      </c>
      <c r="AZ18" s="308">
        <f>(IF('Water Report'!$T$23&gt;0,'Water Report'!$T$23,0))</f>
        <v>0</v>
      </c>
      <c r="BA18" s="308">
        <f>(IF('Water Report'!$T$14&gt;0,'Water Report'!$T$14,0))</f>
        <v>4</v>
      </c>
      <c r="BB18" s="308">
        <f>(IF('Water Report'!$T$15&gt;0,'Water Report'!$T$15,0))</f>
        <v>7</v>
      </c>
      <c r="BC18" s="308">
        <f>(IF('Water Report'!$T$13&gt;0,'Water Report'!$T$13,0))</f>
        <v>30</v>
      </c>
      <c r="BD18" s="308">
        <f>(IF('Water Report'!$T$24&gt;0,'Water Report'!$T$24,0))</f>
        <v>255</v>
      </c>
      <c r="BE18" s="308">
        <f>(IF('Water Report'!$T$25&gt;0,'Water Report'!$T$25,0))</f>
        <v>178</v>
      </c>
      <c r="BF18" s="308">
        <f>(IF('Water Report'!$T$27&gt;0,'Water Report'!$T$27,0))</f>
        <v>166</v>
      </c>
      <c r="BG18" s="303">
        <f>(IF('Section Load'!AN21&gt;0,'Section Load'!AN21,0))</f>
        <v>824.39999999990687</v>
      </c>
      <c r="BH18" s="303">
        <f>(IF('Section Load'!AO21&gt;0,'Section Load'!AO21,0))</f>
        <v>281.27000000001863</v>
      </c>
      <c r="BI18" s="303">
        <f>(IF('Section Load'!AP21&gt;0,'Section Load'!AP21,0))</f>
        <v>0</v>
      </c>
      <c r="BJ18" s="303">
        <f>(IF('Section Load'!AQ21&gt;0,'Section Load'!AQ21,0))</f>
        <v>131.60000000000582</v>
      </c>
      <c r="BK18" s="303">
        <f>(IF('Section Load'!AR21&gt;0,'Section Load'!AR21,0))</f>
        <v>41.599999999998545</v>
      </c>
      <c r="BL18" s="303">
        <f>(IF('Section Load'!AS21&gt;0,'Section Load'!AS21,0))</f>
        <v>2.3000000000010914</v>
      </c>
      <c r="BM18" s="303">
        <f>(IF('Section Load'!AT21&gt;0,'Section Load'!AT21,0))</f>
        <v>367.62999999988278</v>
      </c>
    </row>
    <row r="19" spans="1:65">
      <c r="A19" s="291" t="s">
        <v>268</v>
      </c>
      <c r="B19" s="292">
        <f t="shared" si="0"/>
        <v>18</v>
      </c>
      <c r="C19" s="292">
        <v>11</v>
      </c>
      <c r="D19" s="292">
        <v>2021</v>
      </c>
      <c r="E19" s="301">
        <f>(IF('Section Load'!F22&gt;0,'Section Load'!F22,0))</f>
        <v>1697.2799999999988</v>
      </c>
      <c r="F19" s="301">
        <f>(IF('Section Load'!G22&gt;0,'Section Load'!G22,0))</f>
        <v>1804.6800000000076</v>
      </c>
      <c r="G19" s="301">
        <f>(IF('Section Load'!H22&gt;0,'Section Load'!H22,0))</f>
        <v>1865.9700000000012</v>
      </c>
      <c r="H19" s="301">
        <f>(IF('Section Load'!I22&gt;0,'Section Load'!I22,0))</f>
        <v>2891.1600000000326</v>
      </c>
      <c r="I19" s="301">
        <f>(IF('Section Load'!J22&gt;0,'Section Load'!J22,0))</f>
        <v>8645.3099999999831</v>
      </c>
      <c r="J19" s="301">
        <f>(IF('Section Load'!K22&gt;0,'Section Load'!K22,0))</f>
        <v>2870.3999999999069</v>
      </c>
      <c r="K19" s="301">
        <f>(IF('Section Load'!L22&gt;0,'Section Load'!L22,0))</f>
        <v>1613.2799999999115</v>
      </c>
      <c r="L19" s="301">
        <f>(IF('Section Load'!M22&gt;0,'Section Load'!M22,0))</f>
        <v>1112.4400000000023</v>
      </c>
      <c r="M19" s="301">
        <f>(IF('Section Load'!N22&gt;0,'Section Load'!N22,0))</f>
        <v>52</v>
      </c>
      <c r="N19" s="301">
        <f>(IF('Section Load'!O22&gt;0,'Section Load'!O22,0))</f>
        <v>0</v>
      </c>
      <c r="O19" s="301">
        <f>(IF('Section Load'!P22&gt;0,'Section Load'!P22,0))</f>
        <v>8.6999999999970896</v>
      </c>
      <c r="P19" s="301">
        <f>(IF('Section Load'!Q22&gt;0,'Section Load'!Q22,0))</f>
        <v>190.76000000000204</v>
      </c>
      <c r="Q19" s="301">
        <f>(IF('Section Load'!R22&gt;0,'Section Load'!R22,0))</f>
        <v>16.610000000000582</v>
      </c>
      <c r="R19" s="301">
        <f>(IF('Section Load'!S22&gt;0,'Section Load'!S22,0))</f>
        <v>39.630000000000109</v>
      </c>
      <c r="S19" s="301">
        <f>(IF('Section Load'!T22&gt;0,'Section Load'!T22,0))</f>
        <v>346</v>
      </c>
      <c r="T19" s="301">
        <f>(IF('Section Load'!U22&gt;0,'Section Load'!U22,0))</f>
        <v>247</v>
      </c>
      <c r="U19" s="301">
        <f>(IF('Section Load'!V22&gt;0,'Section Load'!V22,0))</f>
        <v>468.8399999999674</v>
      </c>
      <c r="V19" s="301">
        <f>(IF('Section Load'!W22&gt;0,'Section Load'!W22,0))</f>
        <v>244.1600000000326</v>
      </c>
      <c r="W19" s="301">
        <f>(IF('Section Load'!X22&gt;0,'Section Load'!X22,0))</f>
        <v>22.759999999999991</v>
      </c>
      <c r="X19" s="301">
        <f>(IF('Section Load'!Y22&gt;0,'Section Load'!Y22,0))</f>
        <v>204.91000000000349</v>
      </c>
      <c r="Y19" s="301">
        <f>(IF('Section Load'!Z22&gt;0,'Section Load'!Z22,0))</f>
        <v>258</v>
      </c>
      <c r="Z19" s="301">
        <f>(IF('Section Load'!AA22&gt;0,'Section Load'!AA22,0))</f>
        <v>12.799999999988358</v>
      </c>
      <c r="AA19" s="301">
        <f>(IF('Section Load'!AB22&gt;0,'Section Load'!AB22,0))</f>
        <v>40.100000000005821</v>
      </c>
      <c r="AB19" s="301">
        <f>(IF('Section Load'!AC22&gt;0,'Section Load'!AC22,0))</f>
        <v>8.8899999999994179</v>
      </c>
      <c r="AC19" s="301">
        <f>(IF('Section Load'!AD22&gt;0,'Section Load'!AD22,0))</f>
        <v>187.6200000000058</v>
      </c>
      <c r="AD19" s="301">
        <f>(IF('Section Load'!AE22&gt;0,'Section Load'!AE22,0))</f>
        <v>0</v>
      </c>
      <c r="AE19" s="301">
        <f>(IF('Section Load'!AF22&gt;0,'Section Load'!AF22,0))</f>
        <v>17.730000000000018</v>
      </c>
      <c r="AF19" s="301">
        <f>(IF('Section Load'!AG22&gt;0,'Section Load'!AG22,0))</f>
        <v>408</v>
      </c>
      <c r="AG19" s="301">
        <f>(IF('Section Load'!AH22&gt;0,'Section Load'!AH22,0))</f>
        <v>449.80000000001746</v>
      </c>
      <c r="AH19" s="301">
        <f>(IF('Section Load'!AI22&gt;0,'Section Load'!AI22,0))</f>
        <v>423.0580000000009</v>
      </c>
      <c r="AI19" s="301">
        <f>(IF('Section Load'!AJ22&gt;0,'Section Load'!AJ22,0))</f>
        <v>672.0800000000163</v>
      </c>
      <c r="AJ19" s="301">
        <f>(IF('Section Load'!AK22&gt;0,'Section Load'!AK22,0))</f>
        <v>300.89999999999418</v>
      </c>
      <c r="AK19" s="301">
        <f>(IF('Section Load'!AL22&gt;0,'Section Load'!AL22,0))</f>
        <v>276.72000000000116</v>
      </c>
      <c r="AL19" s="301">
        <f>(IF('Section Load'!AM22&gt;0,'Section Load'!AM22,0))</f>
        <v>778.93000000000029</v>
      </c>
      <c r="AM19" s="302">
        <f>(IF('Water Report'!$U$7&gt;0,'Water Report'!$U$7,0))</f>
        <v>146</v>
      </c>
      <c r="AN19" s="302">
        <f>(IF('Water Report'!$U$8&gt;0,'Water Report'!$U$8,0))</f>
        <v>0</v>
      </c>
      <c r="AO19" s="302">
        <f>(IF('Water Report'!$U$9&gt;0,'Water Report'!$U$9,0))</f>
        <v>106</v>
      </c>
      <c r="AP19" s="302">
        <f>(IF('Water Report'!$U$10&gt;0,'Water Report'!$U$10,0))</f>
        <v>43</v>
      </c>
      <c r="AQ19" s="302">
        <f>(IF('Water Report'!$U$11&gt;0,'Water Report'!$U$11,0))</f>
        <v>25</v>
      </c>
      <c r="AR19" s="302">
        <f>(IF('Water Report'!$U$13&gt;0,'Water Report'!$U$13,0))</f>
        <v>37</v>
      </c>
      <c r="AS19" s="302">
        <f>(IF('Water Report'!$U$14&gt;0,'Water Report'!$U$14,0))</f>
        <v>9</v>
      </c>
      <c r="AT19" s="302">
        <f>(IF('Water Report'!$U$15&gt;0,'Water Report'!$U$15,0))</f>
        <v>11</v>
      </c>
      <c r="AU19" s="302">
        <f>(IF('Water Report'!$U$17&gt;0,'Water Report'!$U$17,0))</f>
        <v>0</v>
      </c>
      <c r="AV19" s="302">
        <f>(IF('Water Report'!$U$18&gt;0,'Water Report'!$U$18,0))</f>
        <v>14</v>
      </c>
      <c r="AW19" s="302">
        <f>(IF('Water Report'!$U$19&gt;0,'Water Report'!$U$19,0))</f>
        <v>11</v>
      </c>
      <c r="AX19" s="308">
        <f>(IF('Water Report'!$U$21&gt;0,'Water Report'!$U$21,0))</f>
        <v>108</v>
      </c>
      <c r="AY19" s="308">
        <f>(IF('Water Report'!$U$22&gt;0,'Water Report'!$U$22,0))</f>
        <v>0</v>
      </c>
      <c r="AZ19" s="308">
        <f>(IF('Water Report'!$U$23&gt;0,'Water Report'!$U$23,0))</f>
        <v>0</v>
      </c>
      <c r="BA19" s="308">
        <f>(IF('Water Report'!$U$14&gt;0,'Water Report'!$U$14,0))</f>
        <v>9</v>
      </c>
      <c r="BB19" s="308">
        <f>(IF('Water Report'!$U$15&gt;0,'Water Report'!$U$15,0))</f>
        <v>11</v>
      </c>
      <c r="BC19" s="308">
        <f>(IF('Water Report'!$U$13&gt;0,'Water Report'!$U$13,0))</f>
        <v>37</v>
      </c>
      <c r="BD19" s="308">
        <f>(IF('Water Report'!$U$24&gt;0,'Water Report'!$U$24,0))</f>
        <v>337</v>
      </c>
      <c r="BE19" s="308">
        <f>(IF('Water Report'!$U$25&gt;0,'Water Report'!$U$25,0))</f>
        <v>194</v>
      </c>
      <c r="BF19" s="308">
        <f>(IF('Water Report'!$U$27&gt;0,'Water Report'!$U$27,0))</f>
        <v>145</v>
      </c>
      <c r="BG19" s="303">
        <f>(IF('Section Load'!AN22&gt;0,'Section Load'!AN22,0))</f>
        <v>783.80000000004657</v>
      </c>
      <c r="BH19" s="303">
        <f>(IF('Section Load'!AO22&gt;0,'Section Load'!AO22,0))</f>
        <v>296.51000000000931</v>
      </c>
      <c r="BI19" s="303">
        <f>(IF('Section Load'!AP22&gt;0,'Section Load'!AP22,0))</f>
        <v>0</v>
      </c>
      <c r="BJ19" s="303">
        <f>(IF('Section Load'!AQ22&gt;0,'Section Load'!AQ22,0))</f>
        <v>106.20000000001164</v>
      </c>
      <c r="BK19" s="303">
        <f>(IF('Section Load'!AR22&gt;0,'Section Load'!AR22,0))</f>
        <v>38.30000000000291</v>
      </c>
      <c r="BL19" s="303">
        <f>(IF('Section Load'!AS22&gt;0,'Section Load'!AS22,0))</f>
        <v>2.0999999999985448</v>
      </c>
      <c r="BM19" s="303">
        <f>(IF('Section Load'!AT22&gt;0,'Section Load'!AT22,0))</f>
        <v>341.09000000003289</v>
      </c>
    </row>
    <row r="20" spans="1:65">
      <c r="A20" s="291" t="s">
        <v>268</v>
      </c>
      <c r="B20" s="292">
        <f t="shared" si="0"/>
        <v>19</v>
      </c>
      <c r="C20" s="292">
        <v>11</v>
      </c>
      <c r="D20" s="292">
        <v>2021</v>
      </c>
      <c r="E20" s="301">
        <f>(IF('Section Load'!F23&gt;0,'Section Load'!F23,0))</f>
        <v>5620.0500000000029</v>
      </c>
      <c r="F20" s="301">
        <f>(IF('Section Load'!G23&gt;0,'Section Load'!G23,0))</f>
        <v>1586.6300000000047</v>
      </c>
      <c r="G20" s="301">
        <f>(IF('Section Load'!H23&gt;0,'Section Load'!H23,0))</f>
        <v>1808.7900000000081</v>
      </c>
      <c r="H20" s="301">
        <f>(IF('Section Load'!I23&gt;0,'Section Load'!I23,0))</f>
        <v>2926.8999999999651</v>
      </c>
      <c r="I20" s="301">
        <f>(IF('Section Load'!J23&gt;0,'Section Load'!J23,0))</f>
        <v>7972.4600000000501</v>
      </c>
      <c r="J20" s="301">
        <f>(IF('Section Load'!K23&gt;0,'Section Load'!K23,0))</f>
        <v>2801.2000000001863</v>
      </c>
      <c r="K20" s="301">
        <f>(IF('Section Load'!L23&gt;0,'Section Load'!L23,0))</f>
        <v>1761.0400000000373</v>
      </c>
      <c r="L20" s="301">
        <f>(IF('Section Load'!M23&gt;0,'Section Load'!M23,0))</f>
        <v>807.41999999999825</v>
      </c>
      <c r="M20" s="301">
        <f>(IF('Section Load'!N23&gt;0,'Section Load'!N23,0))</f>
        <v>45</v>
      </c>
      <c r="N20" s="301">
        <f>(IF('Section Load'!O23&gt;0,'Section Load'!O23,0))</f>
        <v>2</v>
      </c>
      <c r="O20" s="301">
        <f>(IF('Section Load'!P23&gt;0,'Section Load'!P23,0))</f>
        <v>1.3000000000029104</v>
      </c>
      <c r="P20" s="301">
        <f>(IF('Section Load'!Q23&gt;0,'Section Load'!Q23,0))</f>
        <v>200.29000000000087</v>
      </c>
      <c r="Q20" s="301">
        <f>(IF('Section Load'!R23&gt;0,'Section Load'!R23,0))</f>
        <v>17.469999999997526</v>
      </c>
      <c r="R20" s="301">
        <f>(IF('Section Load'!S23&gt;0,'Section Load'!S23,0))</f>
        <v>46.150000000000091</v>
      </c>
      <c r="S20" s="301">
        <f>(IF('Section Load'!T23&gt;0,'Section Load'!T23,0))</f>
        <v>392</v>
      </c>
      <c r="T20" s="301">
        <f>(IF('Section Load'!U23&gt;0,'Section Load'!U23,0))</f>
        <v>237</v>
      </c>
      <c r="U20" s="301">
        <f>(IF('Section Load'!V23&gt;0,'Section Load'!V23,0))</f>
        <v>469.59999999997672</v>
      </c>
      <c r="V20" s="301">
        <f>(IF('Section Load'!W23&gt;0,'Section Load'!W23,0))</f>
        <v>256.15999999991618</v>
      </c>
      <c r="W20" s="301">
        <f>(IF('Section Load'!X23&gt;0,'Section Load'!X23,0))</f>
        <v>27.240000000000009</v>
      </c>
      <c r="X20" s="301">
        <f>(IF('Section Load'!Y23&gt;0,'Section Load'!Y23,0))</f>
        <v>211.83999999999651</v>
      </c>
      <c r="Y20" s="301">
        <f>(IF('Section Load'!Z23&gt;0,'Section Load'!Z23,0))</f>
        <v>224</v>
      </c>
      <c r="Z20" s="301">
        <f>(IF('Section Load'!AA23&gt;0,'Section Load'!AA23,0))</f>
        <v>175.59999999997672</v>
      </c>
      <c r="AA20" s="301">
        <f>(IF('Section Load'!AB23&gt;0,'Section Load'!AB23,0))</f>
        <v>38.30000000000291</v>
      </c>
      <c r="AB20" s="301">
        <f>(IF('Section Load'!AC23&gt;0,'Section Load'!AC23,0))</f>
        <v>9.0000000000145519E-2</v>
      </c>
      <c r="AC20" s="301">
        <f>(IF('Section Load'!AD23&gt;0,'Section Load'!AD23,0))</f>
        <v>175.69999999999436</v>
      </c>
      <c r="AD20" s="301">
        <f>(IF('Section Load'!AE23&gt;0,'Section Load'!AE23,0))</f>
        <v>0</v>
      </c>
      <c r="AE20" s="301">
        <f>(IF('Section Load'!AF23&gt;0,'Section Load'!AF23,0))</f>
        <v>20.900000000000091</v>
      </c>
      <c r="AF20" s="301">
        <f>(IF('Section Load'!AG23&gt;0,'Section Load'!AG23,0))</f>
        <v>399.48000000001048</v>
      </c>
      <c r="AG20" s="301">
        <f>(IF('Section Load'!AH23&gt;0,'Section Load'!AH23,0))</f>
        <v>429.33999999999651</v>
      </c>
      <c r="AH20" s="301">
        <f>(IF('Section Load'!AI23&gt;0,'Section Load'!AI23,0))</f>
        <v>435.96199999999953</v>
      </c>
      <c r="AI20" s="301">
        <f>(IF('Section Load'!AJ23&gt;0,'Section Load'!AJ23,0))</f>
        <v>752.80999999999767</v>
      </c>
      <c r="AJ20" s="301">
        <f>(IF('Section Load'!AK23&gt;0,'Section Load'!AK23,0))</f>
        <v>305.52999999999884</v>
      </c>
      <c r="AK20" s="301">
        <f>(IF('Section Load'!AL23&gt;0,'Section Load'!AL23,0))</f>
        <v>262.73999999999069</v>
      </c>
      <c r="AL20" s="301">
        <f>(IF('Section Load'!AM23&gt;0,'Section Load'!AM23,0))</f>
        <v>793.14999999999418</v>
      </c>
      <c r="AM20" s="302">
        <f>(IF('Water Report'!$V$7&gt;0,'Water Report'!$V$7,0))</f>
        <v>122</v>
      </c>
      <c r="AN20" s="302">
        <f>(IF('Water Report'!$V$8&gt;0,'Water Report'!$V$8,0))</f>
        <v>76</v>
      </c>
      <c r="AO20" s="302">
        <f>(IF('Water Report'!$V$9&gt;0,'Water Report'!$V$9,0))</f>
        <v>95</v>
      </c>
      <c r="AP20" s="302">
        <f>(IF('Water Report'!$V$10&gt;0,'Water Report'!$V$10,0))</f>
        <v>23</v>
      </c>
      <c r="AQ20" s="302">
        <f>(IF('Water Report'!$V$11&gt;0,'Water Report'!$V$11,0))</f>
        <v>33</v>
      </c>
      <c r="AR20" s="302">
        <f>(IF('Water Report'!$V$13&gt;0,'Water Report'!$V$13,0))</f>
        <v>22</v>
      </c>
      <c r="AS20" s="302">
        <f>(IF('Water Report'!$V$14&gt;0,'Water Report'!$V$14,0))</f>
        <v>12</v>
      </c>
      <c r="AT20" s="302">
        <f>(IF('Water Report'!$V$15&gt;0,'Water Report'!$V$15,0))</f>
        <v>8</v>
      </c>
      <c r="AU20" s="302">
        <f>(IF('Water Report'!$V$17&gt;0,'Water Report'!$V$17,0))</f>
        <v>0</v>
      </c>
      <c r="AV20" s="302">
        <f>(IF('Water Report'!$V$18&gt;0,'Water Report'!$V$18,0))</f>
        <v>16</v>
      </c>
      <c r="AW20" s="302">
        <f>(IF('Water Report'!$V$19&gt;0,'Water Report'!$V$19,0))</f>
        <v>12</v>
      </c>
      <c r="AX20" s="308">
        <f>(IF('Water Report'!$V$21&gt;0,'Water Report'!$V$21,0))</f>
        <v>84</v>
      </c>
      <c r="AY20" s="308">
        <f>(IF('Water Report'!$V$22&gt;0,'Water Report'!$V$22,0))</f>
        <v>0</v>
      </c>
      <c r="AZ20" s="308">
        <f>(IF('Water Report'!$V$23&gt;0,'Water Report'!$V$23,0))</f>
        <v>0</v>
      </c>
      <c r="BA20" s="308">
        <f>(IF('Water Report'!$V$14&gt;0,'Water Report'!$V$14,0))</f>
        <v>12</v>
      </c>
      <c r="BB20" s="308">
        <f>(IF('Water Report'!$V$15&gt;0,'Water Report'!$V$15,0))</f>
        <v>8</v>
      </c>
      <c r="BC20" s="308">
        <f>(IF('Water Report'!$V$13&gt;0,'Water Report'!$V$13,0))</f>
        <v>22</v>
      </c>
      <c r="BD20" s="308">
        <f>(IF('Water Report'!$V$24&gt;0,'Water Report'!$V$24,0))</f>
        <v>325</v>
      </c>
      <c r="BE20" s="308">
        <f>(IF('Water Report'!$V$25&gt;0,'Water Report'!$V$25,0))</f>
        <v>171</v>
      </c>
      <c r="BF20" s="308">
        <f>(IF('Water Report'!$V$27&gt;0,'Water Report'!$V$27,0))</f>
        <v>106</v>
      </c>
      <c r="BG20" s="303">
        <f>(IF('Section Load'!AN23&gt;0,'Section Load'!AN23,0))</f>
        <v>785.5999999998603</v>
      </c>
      <c r="BH20" s="303">
        <f>(IF('Section Load'!AO23&gt;0,'Section Load'!AO23,0))</f>
        <v>286.02000000001863</v>
      </c>
      <c r="BI20" s="303">
        <f>(IF('Section Load'!AP23&gt;0,'Section Load'!AP23,0))</f>
        <v>0.40000000000873115</v>
      </c>
      <c r="BJ20" s="303">
        <f>(IF('Section Load'!AQ23&gt;0,'Section Load'!AQ23,0))</f>
        <v>125.69999999998254</v>
      </c>
      <c r="BK20" s="303">
        <f>(IF('Section Load'!AR23&gt;0,'Section Load'!AR23,0))</f>
        <v>39.900000000001455</v>
      </c>
      <c r="BL20" s="303">
        <f>(IF('Section Load'!AS23&gt;0,'Section Load'!AS23,0))</f>
        <v>1.6000000000003638</v>
      </c>
      <c r="BM20" s="303">
        <f>(IF('Section Load'!AT23&gt;0,'Section Load'!AT23,0))</f>
        <v>331.97999999984859</v>
      </c>
    </row>
    <row r="21" spans="1:65">
      <c r="A21" s="291" t="s">
        <v>268</v>
      </c>
      <c r="B21" s="292">
        <f t="shared" si="0"/>
        <v>20</v>
      </c>
      <c r="C21" s="292">
        <v>11</v>
      </c>
      <c r="D21" s="292">
        <v>2021</v>
      </c>
      <c r="E21" s="301">
        <f>(IF('Section Load'!F24&gt;0,'Section Load'!F24,0))</f>
        <v>3684.0000000000146</v>
      </c>
      <c r="F21" s="301">
        <f>(IF('Section Load'!G24&gt;0,'Section Load'!G24,0))</f>
        <v>1650.3099999999977</v>
      </c>
      <c r="G21" s="301">
        <f>(IF('Section Load'!H24&gt;0,'Section Load'!H24,0))</f>
        <v>1897.070000000007</v>
      </c>
      <c r="H21" s="301">
        <f>(IF('Section Load'!I24&gt;0,'Section Load'!I24,0))</f>
        <v>2942.6000000000349</v>
      </c>
      <c r="I21" s="301">
        <f>(IF('Section Load'!J24&gt;0,'Section Load'!J24,0))</f>
        <v>8670.2199999999721</v>
      </c>
      <c r="J21" s="301">
        <f>(IF('Section Load'!K24&gt;0,'Section Load'!K24,0))</f>
        <v>2977.0999999998603</v>
      </c>
      <c r="K21" s="301">
        <f>(IF('Section Load'!L24&gt;0,'Section Load'!L24,0))</f>
        <v>1214.9599999999627</v>
      </c>
      <c r="L21" s="301">
        <f>(IF('Section Load'!M24&gt;0,'Section Load'!M24,0))</f>
        <v>1243.5899999999965</v>
      </c>
      <c r="M21" s="301">
        <f>(IF('Section Load'!N24&gt;0,'Section Load'!N24,0))</f>
        <v>46</v>
      </c>
      <c r="N21" s="301">
        <f>(IF('Section Load'!O24&gt;0,'Section Load'!O24,0))</f>
        <v>1</v>
      </c>
      <c r="O21" s="301">
        <f>(IF('Section Load'!P24&gt;0,'Section Load'!P24,0))</f>
        <v>1</v>
      </c>
      <c r="P21" s="301">
        <f>(IF('Section Load'!Q24&gt;0,'Section Load'!Q24,0))</f>
        <v>205.97999999999593</v>
      </c>
      <c r="Q21" s="301">
        <f>(IF('Section Load'!R24&gt;0,'Section Load'!R24,0))</f>
        <v>17.590000000000146</v>
      </c>
      <c r="R21" s="301">
        <f>(IF('Section Load'!S24&gt;0,'Section Load'!S24,0))</f>
        <v>47.389999999999873</v>
      </c>
      <c r="S21" s="301">
        <f>(IF('Section Load'!T24&gt;0,'Section Load'!T24,0))</f>
        <v>463</v>
      </c>
      <c r="T21" s="301">
        <f>(IF('Section Load'!U24&gt;0,'Section Load'!U24,0))</f>
        <v>231</v>
      </c>
      <c r="U21" s="301">
        <f>(IF('Section Load'!V24&gt;0,'Section Load'!V24,0))</f>
        <v>424.76000000000931</v>
      </c>
      <c r="V21" s="301">
        <f>(IF('Section Load'!W24&gt;0,'Section Load'!W24,0))</f>
        <v>337.08000000007451</v>
      </c>
      <c r="W21" s="301">
        <f>(IF('Section Load'!X24&gt;0,'Section Load'!X24,0))</f>
        <v>29.529999999999973</v>
      </c>
      <c r="X21" s="301">
        <f>(IF('Section Load'!Y24&gt;0,'Section Load'!Y24,0))</f>
        <v>215.19999999999709</v>
      </c>
      <c r="Y21" s="301">
        <f>(IF('Section Load'!Z24&gt;0,'Section Load'!Z24,0))</f>
        <v>261</v>
      </c>
      <c r="Z21" s="301">
        <f>(IF('Section Load'!AA24&gt;0,'Section Load'!AA24,0))</f>
        <v>18.840000000025611</v>
      </c>
      <c r="AA21" s="301">
        <f>(IF('Section Load'!AB24&gt;0,'Section Load'!AB24,0))</f>
        <v>27.19999999999709</v>
      </c>
      <c r="AB21" s="301">
        <f>(IF('Section Load'!AC24&gt;0,'Section Load'!AC24,0))</f>
        <v>10.049999999999272</v>
      </c>
      <c r="AC21" s="301">
        <f>(IF('Section Load'!AD24&gt;0,'Section Load'!AD24,0))</f>
        <v>114.80000000000564</v>
      </c>
      <c r="AD21" s="301">
        <f>(IF('Section Load'!AE24&gt;0,'Section Load'!AE24,0))</f>
        <v>0</v>
      </c>
      <c r="AE21" s="301">
        <f>(IF('Section Load'!AF24&gt;0,'Section Load'!AF24,0))</f>
        <v>20.629999999999882</v>
      </c>
      <c r="AF21" s="301">
        <f>(IF('Section Load'!AG24&gt;0,'Section Load'!AG24,0))</f>
        <v>366.63999999998487</v>
      </c>
      <c r="AG21" s="301">
        <f>(IF('Section Load'!AH24&gt;0,'Section Load'!AH24,0))</f>
        <v>442.98000000001048</v>
      </c>
      <c r="AH21" s="301">
        <f>(IF('Section Load'!AI24&gt;0,'Section Load'!AI24,0))</f>
        <v>441.89999999999964</v>
      </c>
      <c r="AI21" s="301">
        <f>(IF('Section Load'!AJ24&gt;0,'Section Load'!AJ24,0))</f>
        <v>761.34999999997672</v>
      </c>
      <c r="AJ21" s="301">
        <f>(IF('Section Load'!AK24&gt;0,'Section Load'!AK24,0))</f>
        <v>320.06000000001222</v>
      </c>
      <c r="AK21" s="301">
        <f>(IF('Section Load'!AL24&gt;0,'Section Load'!AL24,0))</f>
        <v>283.07000000000698</v>
      </c>
      <c r="AL21" s="301">
        <f>(IF('Section Load'!AM24&gt;0,'Section Load'!AM24,0))</f>
        <v>854.41000000000349</v>
      </c>
      <c r="AM21" s="302">
        <f>(IF('Water Report'!$W$7&gt;0,'Water Report'!$W$7,0))</f>
        <v>120</v>
      </c>
      <c r="AN21" s="302">
        <f>(IF('Water Report'!$W$8&gt;0,'Water Report'!$W$8,0))</f>
        <v>95</v>
      </c>
      <c r="AO21" s="302">
        <f>(IF('Water Report'!$W$9&gt;0,'Water Report'!$W$9,0))</f>
        <v>102</v>
      </c>
      <c r="AP21" s="302">
        <f>(IF('Water Report'!$W$10&gt;0,'Water Report'!$W$10,0))</f>
        <v>15</v>
      </c>
      <c r="AQ21" s="302">
        <f>(IF('Water Report'!$W$11&gt;0,'Water Report'!$W$11,0))</f>
        <v>31</v>
      </c>
      <c r="AR21" s="302">
        <f>(IF('Water Report'!$W$13&gt;0,'Water Report'!$W$13,0))</f>
        <v>20</v>
      </c>
      <c r="AS21" s="302">
        <f>(IF('Water Report'!$W$14&gt;0,'Water Report'!$W$14,0))</f>
        <v>16</v>
      </c>
      <c r="AT21" s="302">
        <f>(IF('Water Report'!$W$15&gt;0,'Water Report'!$W$15,0))</f>
        <v>14</v>
      </c>
      <c r="AU21" s="302">
        <f>(IF('Water Report'!$W$17&gt;0,'Water Report'!$W$17,0))</f>
        <v>0</v>
      </c>
      <c r="AV21" s="302">
        <f>(IF('Water Report'!$W$18&gt;0,'Water Report'!$W$18,0))</f>
        <v>16</v>
      </c>
      <c r="AW21" s="302">
        <f>(IF('Water Report'!$W$19&gt;0,'Water Report'!$W$19,0))</f>
        <v>12</v>
      </c>
      <c r="AX21" s="308">
        <f>(IF('Water Report'!$W$21&gt;0,'Water Report'!$W$21,0))</f>
        <v>85</v>
      </c>
      <c r="AY21" s="308">
        <f>(IF('Water Report'!$W$22&gt;0,'Water Report'!$W$22,0))</f>
        <v>0</v>
      </c>
      <c r="AZ21" s="308">
        <f>(IF('Water Report'!$W$23&gt;0,'Water Report'!$W$23,0))</f>
        <v>15</v>
      </c>
      <c r="BA21" s="308">
        <f>(IF('Water Report'!$W$14&gt;0,'Water Report'!$W$14,0))</f>
        <v>16</v>
      </c>
      <c r="BB21" s="308">
        <f>(IF('Water Report'!$W$15&gt;0,'Water Report'!$W$15,0))</f>
        <v>14</v>
      </c>
      <c r="BC21" s="308">
        <f>(IF('Water Report'!$W$13&gt;0,'Water Report'!$W$13,0))</f>
        <v>20</v>
      </c>
      <c r="BD21" s="308">
        <f>(IF('Water Report'!$W$24&gt;0,'Water Report'!$W$24,0))</f>
        <v>271</v>
      </c>
      <c r="BE21" s="308">
        <f>(IF('Water Report'!$W$25&gt;0,'Water Report'!$W$25,0))</f>
        <v>178</v>
      </c>
      <c r="BF21" s="308">
        <f>(IF('Water Report'!$W$27&gt;0,'Water Report'!$W$27,0))</f>
        <v>120</v>
      </c>
      <c r="BG21" s="303">
        <f>(IF('Section Load'!AN24&gt;0,'Section Load'!AN24,0))</f>
        <v>1135.2800000000279</v>
      </c>
      <c r="BH21" s="303">
        <f>(IF('Section Load'!AO24&gt;0,'Section Load'!AO24,0))</f>
        <v>284.36999999999534</v>
      </c>
      <c r="BI21" s="303">
        <f>(IF('Section Load'!AP24&gt;0,'Section Load'!AP24,0))</f>
        <v>0</v>
      </c>
      <c r="BJ21" s="303">
        <f>(IF('Section Load'!AQ24&gt;0,'Section Load'!AQ24,0))</f>
        <v>126.82000000000698</v>
      </c>
      <c r="BK21" s="303">
        <f>(IF('Section Load'!AR24&gt;0,'Section Load'!AR24,0))</f>
        <v>65.19999999999709</v>
      </c>
      <c r="BL21" s="303">
        <f>(IF('Section Load'!AS24&gt;0,'Section Load'!AS24,0))</f>
        <v>5.6000000000003638</v>
      </c>
      <c r="BM21" s="303">
        <f>(IF('Section Load'!AT24&gt;0,'Section Load'!AT24,0))</f>
        <v>653.29000000002816</v>
      </c>
    </row>
    <row r="22" spans="1:65">
      <c r="A22" s="291" t="s">
        <v>268</v>
      </c>
      <c r="B22" s="292">
        <f t="shared" si="0"/>
        <v>21</v>
      </c>
      <c r="C22" s="292">
        <v>11</v>
      </c>
      <c r="D22" s="292">
        <v>2021</v>
      </c>
      <c r="E22" s="301">
        <f>(IF('Section Load'!F25&gt;0,'Section Load'!F25,0))</f>
        <v>3680.5800000000017</v>
      </c>
      <c r="F22" s="301">
        <f>(IF('Section Load'!G25&gt;0,'Section Load'!G25,0))</f>
        <v>1626.5800000000017</v>
      </c>
      <c r="G22" s="301">
        <f>(IF('Section Load'!H25&gt;0,'Section Load'!H25,0))</f>
        <v>1956.1399999999849</v>
      </c>
      <c r="H22" s="301">
        <f>(IF('Section Load'!I25&gt;0,'Section Load'!I25,0))</f>
        <v>2957.140000000014</v>
      </c>
      <c r="I22" s="301">
        <f>(IF('Section Load'!J25&gt;0,'Section Load'!J25,0))</f>
        <v>8485.4599999999919</v>
      </c>
      <c r="J22" s="301">
        <f>(IF('Section Load'!K25&gt;0,'Section Load'!K25,0))</f>
        <v>3011.8000000000466</v>
      </c>
      <c r="K22" s="301">
        <f>(IF('Section Load'!L25&gt;0,'Section Load'!L25,0))</f>
        <v>1735.0400000000373</v>
      </c>
      <c r="L22" s="301">
        <f>(IF('Section Load'!M25&gt;0,'Section Load'!M25,0))</f>
        <v>1542.0899999999965</v>
      </c>
      <c r="M22" s="301">
        <f>(IF('Section Load'!N25&gt;0,'Section Load'!N25,0))</f>
        <v>63</v>
      </c>
      <c r="N22" s="301">
        <f>(IF('Section Load'!O25&gt;0,'Section Load'!O25,0))</f>
        <v>22</v>
      </c>
      <c r="O22" s="301">
        <f>(IF('Section Load'!P25&gt;0,'Section Load'!P25,0))</f>
        <v>1.3999999999941792</v>
      </c>
      <c r="P22" s="301">
        <f>(IF('Section Load'!Q25&gt;0,'Section Load'!Q25,0))</f>
        <v>200.04000000000087</v>
      </c>
      <c r="Q22" s="301">
        <f>(IF('Section Load'!R25&gt;0,'Section Load'!R25,0))</f>
        <v>15.600000000002183</v>
      </c>
      <c r="R22" s="301">
        <f>(IF('Section Load'!S25&gt;0,'Section Load'!S25,0))</f>
        <v>41.740000000000236</v>
      </c>
      <c r="S22" s="301">
        <f>(IF('Section Load'!T25&gt;0,'Section Load'!T25,0))</f>
        <v>465</v>
      </c>
      <c r="T22" s="301">
        <f>(IF('Section Load'!U25&gt;0,'Section Load'!U25,0))</f>
        <v>242</v>
      </c>
      <c r="U22" s="301">
        <f>(IF('Section Load'!V25&gt;0,'Section Load'!V25,0))</f>
        <v>509.64000000001397</v>
      </c>
      <c r="V22" s="301">
        <f>(IF('Section Load'!W25&gt;0,'Section Load'!W25,0))</f>
        <v>481.95999999996275</v>
      </c>
      <c r="W22" s="301">
        <f>(IF('Section Load'!X25&gt;0,'Section Load'!X25,0))</f>
        <v>28.009999999999991</v>
      </c>
      <c r="X22" s="301">
        <f>(IF('Section Load'!Y25&gt;0,'Section Load'!Y25,0))</f>
        <v>192.86000000000058</v>
      </c>
      <c r="Y22" s="301">
        <f>(IF('Section Load'!Z25&gt;0,'Section Load'!Z25,0))</f>
        <v>287</v>
      </c>
      <c r="Z22" s="301">
        <f>(IF('Section Load'!AA25&gt;0,'Section Load'!AA25,0))</f>
        <v>19.669999999983702</v>
      </c>
      <c r="AA22" s="301">
        <f>(IF('Section Load'!AB25&gt;0,'Section Load'!AB25,0))</f>
        <v>19.19999999999709</v>
      </c>
      <c r="AB22" s="301">
        <f>(IF('Section Load'!AC25&gt;0,'Section Load'!AC25,0))</f>
        <v>8.9599999999991269</v>
      </c>
      <c r="AC22" s="301">
        <f>(IF('Section Load'!AD25&gt;0,'Section Load'!AD25,0))</f>
        <v>111.099999999994</v>
      </c>
      <c r="AD22" s="301">
        <f>(IF('Section Load'!AE25&gt;0,'Section Load'!AE25,0))</f>
        <v>0</v>
      </c>
      <c r="AE22" s="301">
        <f>(IF('Section Load'!AF25&gt;0,'Section Load'!AF25,0))</f>
        <v>19.960000000000036</v>
      </c>
      <c r="AF22" s="301">
        <f>(IF('Section Load'!AG25&gt;0,'Section Load'!AG25,0))</f>
        <v>343.20000000001164</v>
      </c>
      <c r="AG22" s="301">
        <f>(IF('Section Load'!AH25&gt;0,'Section Load'!AH25,0))</f>
        <v>419.29999999998836</v>
      </c>
      <c r="AH22" s="301">
        <f>(IF('Section Load'!AI25&gt;0,'Section Load'!AI25,0))</f>
        <v>412.3700000000008</v>
      </c>
      <c r="AI22" s="301">
        <f>(IF('Section Load'!AJ25&gt;0,'Section Load'!AJ25,0))</f>
        <v>756.24000000004889</v>
      </c>
      <c r="AJ22" s="301">
        <f>(IF('Section Load'!AK25&gt;0,'Section Load'!AK25,0))</f>
        <v>321.20999999999185</v>
      </c>
      <c r="AK22" s="301">
        <f>(IF('Section Load'!AL25&gt;0,'Section Load'!AL25,0))</f>
        <v>288.95000000001164</v>
      </c>
      <c r="AL22" s="301">
        <f>(IF('Section Load'!AM25&gt;0,'Section Load'!AM25,0))</f>
        <v>916.51000000000204</v>
      </c>
      <c r="AM22" s="302">
        <f>(IF('Water Report'!$X$7&gt;0,'Water Report'!$X$7,0))</f>
        <v>139</v>
      </c>
      <c r="AN22" s="302">
        <f>(IF('Water Report'!$X$8&gt;0,'Water Report'!$X$8,0))</f>
        <v>134</v>
      </c>
      <c r="AO22" s="302">
        <f>(IF('Water Report'!$X$9&gt;0,'Water Report'!$X$9,0))</f>
        <v>109</v>
      </c>
      <c r="AP22" s="302">
        <f>(IF('Water Report'!$X$10&gt;0,'Water Report'!$X$10,0))</f>
        <v>25</v>
      </c>
      <c r="AQ22" s="302">
        <f>(IF('Water Report'!$X$11&gt;0,'Water Report'!$X$11,0))</f>
        <v>42</v>
      </c>
      <c r="AR22" s="302">
        <f>(IF('Water Report'!$X$13&gt;0,'Water Report'!$X$13,0))</f>
        <v>18</v>
      </c>
      <c r="AS22" s="302">
        <f>(IF('Water Report'!$X$14&gt;0,'Water Report'!$X$14,0))</f>
        <v>13</v>
      </c>
      <c r="AT22" s="302">
        <f>(IF('Water Report'!$X$15&gt;0,'Water Report'!$X$15,0))</f>
        <v>21</v>
      </c>
      <c r="AU22" s="302">
        <f>(IF('Water Report'!$X$17&gt;0,'Water Report'!$X$17,0))</f>
        <v>0</v>
      </c>
      <c r="AV22" s="302">
        <f>(IF('Water Report'!$X$18&gt;0,'Water Report'!$X$18,0))</f>
        <v>14</v>
      </c>
      <c r="AW22" s="302">
        <f>(IF('Water Report'!$X$19&gt;0,'Water Report'!$X$19,0))</f>
        <v>9</v>
      </c>
      <c r="AX22" s="308">
        <f>(IF('Water Report'!$X$21&gt;0,'Water Report'!$X$21,0))</f>
        <v>107</v>
      </c>
      <c r="AY22" s="308">
        <f>(IF('Water Report'!$X$22&gt;0,'Water Report'!$X$22,0))</f>
        <v>0</v>
      </c>
      <c r="AZ22" s="308">
        <f>(IF('Water Report'!$X$23&gt;0,'Water Report'!$X$23,0))</f>
        <v>3</v>
      </c>
      <c r="BA22" s="308">
        <f>(IF('Water Report'!$X$14&gt;0,'Water Report'!$X$14,0))</f>
        <v>13</v>
      </c>
      <c r="BB22" s="308">
        <f>(IF('Water Report'!$X$15&gt;0,'Water Report'!$X$15,0))</f>
        <v>21</v>
      </c>
      <c r="BC22" s="308">
        <f>(IF('Water Report'!$X$13&gt;0,'Water Report'!$X$13,0))</f>
        <v>18</v>
      </c>
      <c r="BD22" s="308">
        <f>(IF('Water Report'!$X$24&gt;0,'Water Report'!$X$24,0))</f>
        <v>276</v>
      </c>
      <c r="BE22" s="308">
        <f>(IF('Water Report'!$X$25&gt;0,'Water Report'!$X$25,0))</f>
        <v>210</v>
      </c>
      <c r="BF22" s="308">
        <f>(IF('Water Report'!$X$27&gt;0,'Water Report'!$X$27,0))</f>
        <v>128</v>
      </c>
      <c r="BG22" s="303">
        <f>(IF('Section Load'!AN25&gt;0,'Section Load'!AN25,0))</f>
        <v>1044.0400000000373</v>
      </c>
      <c r="BH22" s="303">
        <f>(IF('Section Load'!AO25&gt;0,'Section Load'!AO25,0))</f>
        <v>288.97999999998137</v>
      </c>
      <c r="BI22" s="303">
        <f>(IF('Section Load'!AP25&gt;0,'Section Load'!AP25,0))</f>
        <v>0</v>
      </c>
      <c r="BJ22" s="303">
        <f>(IF('Section Load'!AQ25&gt;0,'Section Load'!AQ25,0))</f>
        <v>113.67999999999302</v>
      </c>
      <c r="BK22" s="303">
        <f>(IF('Section Load'!AR25&gt;0,'Section Load'!AR25,0))</f>
        <v>48.099999999998545</v>
      </c>
      <c r="BL22" s="303">
        <f>(IF('Section Load'!AS25&gt;0,'Section Load'!AS25,0))</f>
        <v>2.6000000000003638</v>
      </c>
      <c r="BM22" s="303">
        <f>(IF('Section Load'!AT25&gt;0,'Section Load'!AT25,0))</f>
        <v>590.68000000006396</v>
      </c>
    </row>
    <row r="23" spans="1:65">
      <c r="A23" s="291" t="s">
        <v>268</v>
      </c>
      <c r="B23" s="292">
        <f t="shared" si="0"/>
        <v>22</v>
      </c>
      <c r="C23" s="292">
        <v>11</v>
      </c>
      <c r="D23" s="292">
        <v>2021</v>
      </c>
      <c r="E23" s="301">
        <f>(IF('Section Load'!F26&gt;0,'Section Load'!F26,0))</f>
        <v>3667.2199999999866</v>
      </c>
      <c r="F23" s="301">
        <f>(IF('Section Load'!G26&gt;0,'Section Load'!G26,0))</f>
        <v>1656.1300000000047</v>
      </c>
      <c r="G23" s="301">
        <f>(IF('Section Load'!H26&gt;0,'Section Load'!H26,0))</f>
        <v>1904.179999999993</v>
      </c>
      <c r="H23" s="301">
        <f>(IF('Section Load'!I26&gt;0,'Section Load'!I26,0))</f>
        <v>3001.5</v>
      </c>
      <c r="I23" s="301">
        <f>(IF('Section Load'!J26&gt;0,'Section Load'!J26,0))</f>
        <v>7664.8700000000536</v>
      </c>
      <c r="J23" s="301">
        <f>(IF('Section Load'!K26&gt;0,'Section Load'!K26,0))</f>
        <v>2913.1999999999534</v>
      </c>
      <c r="K23" s="301">
        <f>(IF('Section Load'!L26&gt;0,'Section Load'!L26,0))</f>
        <v>1158</v>
      </c>
      <c r="L23" s="301">
        <f>(IF('Section Load'!M26&gt;0,'Section Load'!M26,0))</f>
        <v>1392.4100000000035</v>
      </c>
      <c r="M23" s="301">
        <f>(IF('Section Load'!N26&gt;0,'Section Load'!N26,0))</f>
        <v>39</v>
      </c>
      <c r="N23" s="301">
        <f>(IF('Section Load'!O26&gt;0,'Section Load'!O26,0))</f>
        <v>0</v>
      </c>
      <c r="O23" s="301">
        <f>(IF('Section Load'!P26&gt;0,'Section Load'!P26,0))</f>
        <v>0.60000000000582077</v>
      </c>
      <c r="P23" s="301">
        <f>(IF('Section Load'!Q26&gt;0,'Section Load'!Q26,0))</f>
        <v>200.09000000000378</v>
      </c>
      <c r="Q23" s="301">
        <f>(IF('Section Load'!R26&gt;0,'Section Load'!R26,0))</f>
        <v>17.009999999998399</v>
      </c>
      <c r="R23" s="301">
        <f>(IF('Section Load'!S26&gt;0,'Section Load'!S26,0))</f>
        <v>45.5</v>
      </c>
      <c r="S23" s="301">
        <f>(IF('Section Load'!T26&gt;0,'Section Load'!T26,0))</f>
        <v>469</v>
      </c>
      <c r="T23" s="301">
        <f>(IF('Section Load'!U26&gt;0,'Section Load'!U26,0))</f>
        <v>247</v>
      </c>
      <c r="U23" s="301">
        <f>(IF('Section Load'!V26&gt;0,'Section Load'!V26,0))</f>
        <v>497</v>
      </c>
      <c r="V23" s="301">
        <f>(IF('Section Load'!W26&gt;0,'Section Load'!W26,0))</f>
        <v>444.8399999999674</v>
      </c>
      <c r="W23" s="301">
        <f>(IF('Section Load'!X26&gt;0,'Section Load'!X26,0))</f>
        <v>33.650000000000091</v>
      </c>
      <c r="X23" s="301">
        <f>(IF('Section Load'!Y26&gt;0,'Section Load'!Y26,0))</f>
        <v>210.05999999999767</v>
      </c>
      <c r="Y23" s="301">
        <f>(IF('Section Load'!Z26&gt;0,'Section Load'!Z26,0))</f>
        <v>275</v>
      </c>
      <c r="Z23" s="301">
        <f>(IF('Section Load'!AA26&gt;0,'Section Load'!AA26,0))</f>
        <v>30.809999999997672</v>
      </c>
      <c r="AA23" s="301">
        <f>(IF('Section Load'!AB26&gt;0,'Section Load'!AB26,0))</f>
        <v>34.30000000000291</v>
      </c>
      <c r="AB23" s="301">
        <f>(IF('Section Load'!AC26&gt;0,'Section Load'!AC26,0))</f>
        <v>8.930000000000291</v>
      </c>
      <c r="AC23" s="301">
        <f>(IF('Section Load'!AD26&gt;0,'Section Load'!AD26,0))</f>
        <v>188.00000000001182</v>
      </c>
      <c r="AD23" s="301">
        <f>(IF('Section Load'!AE26&gt;0,'Section Load'!AE26,0))</f>
        <v>0</v>
      </c>
      <c r="AE23" s="301">
        <f>(IF('Section Load'!AF26&gt;0,'Section Load'!AF26,0))</f>
        <v>19.799999999999955</v>
      </c>
      <c r="AF23" s="301">
        <f>(IF('Section Load'!AG26&gt;0,'Section Load'!AG26,0))</f>
        <v>413.27999999999884</v>
      </c>
      <c r="AG23" s="301">
        <f>(IF('Section Load'!AH26&gt;0,'Section Load'!AH26,0))</f>
        <v>420.77999999999884</v>
      </c>
      <c r="AH23" s="301">
        <f>(IF('Section Load'!AI26&gt;0,'Section Load'!AI26,0))</f>
        <v>425.32999999999993</v>
      </c>
      <c r="AI23" s="301">
        <f>(IF('Section Load'!AJ26&gt;0,'Section Load'!AJ26,0))</f>
        <v>777.15999999997439</v>
      </c>
      <c r="AJ23" s="301">
        <f>(IF('Section Load'!AK26&gt;0,'Section Load'!AK26,0))</f>
        <v>348.29000000000815</v>
      </c>
      <c r="AK23" s="301">
        <f>(IF('Section Load'!AL26&gt;0,'Section Load'!AL26,0))</f>
        <v>285.54999999998836</v>
      </c>
      <c r="AL23" s="301">
        <f>(IF('Section Load'!AM26&gt;0,'Section Load'!AM26,0))</f>
        <v>852.47999999999593</v>
      </c>
      <c r="AM23" s="302">
        <f>(IF('Water Report'!$Y$7&gt;0,'Water Report'!$Y$7,0))</f>
        <v>124</v>
      </c>
      <c r="AN23" s="302">
        <f>(IF('Water Report'!$Y$8&gt;0,'Water Report'!$Y$8,0))</f>
        <v>119</v>
      </c>
      <c r="AO23" s="302">
        <f>(IF('Water Report'!$Y$9&gt;0,'Water Report'!$Y$9,0))</f>
        <v>112</v>
      </c>
      <c r="AP23" s="302">
        <f>(IF('Water Report'!$Y$10&gt;0,'Water Report'!$Y$10,0))</f>
        <v>13</v>
      </c>
      <c r="AQ23" s="302">
        <f>(IF('Water Report'!$Y$11&gt;0,'Water Report'!$Y$11,0))</f>
        <v>28</v>
      </c>
      <c r="AR23" s="302">
        <f>(IF('Water Report'!$Y$13&gt;0,'Water Report'!$Y$13,0))</f>
        <v>17</v>
      </c>
      <c r="AS23" s="302">
        <f>(IF('Water Report'!$Y$14&gt;0,'Water Report'!$Y$14,0))</f>
        <v>14</v>
      </c>
      <c r="AT23" s="302">
        <f>(IF('Water Report'!$Y$15&gt;0,'Water Report'!$Y$15,0))</f>
        <v>7</v>
      </c>
      <c r="AU23" s="302">
        <f>(IF('Water Report'!$Y$17&gt;0,'Water Report'!$Y$17,0))</f>
        <v>0</v>
      </c>
      <c r="AV23" s="302">
        <f>(IF('Water Report'!$Y$18&gt;0,'Water Report'!$Y$18,0))</f>
        <v>14</v>
      </c>
      <c r="AW23" s="302">
        <f>(IF('Water Report'!$Y$19&gt;0,'Water Report'!$Y$19,0))</f>
        <v>11</v>
      </c>
      <c r="AX23" s="308">
        <f>(IF('Water Report'!$Y$21&gt;0,'Water Report'!$Y$21,0))</f>
        <v>84</v>
      </c>
      <c r="AY23" s="308">
        <f>(IF('Water Report'!$Y$22&gt;0,'Water Report'!$Y$22,0))</f>
        <v>0</v>
      </c>
      <c r="AZ23" s="308">
        <f>(IF('Water Report'!$Y$23&gt;0,'Water Report'!$Y$23,0))</f>
        <v>5</v>
      </c>
      <c r="BA23" s="308">
        <f>(IF('Water Report'!$Y$14&gt;0,'Water Report'!$Y$14,0))</f>
        <v>14</v>
      </c>
      <c r="BB23" s="308">
        <f>(IF('Water Report'!$Y$15&gt;0,'Water Report'!$Y$15,0))</f>
        <v>7</v>
      </c>
      <c r="BC23" s="308">
        <f>(IF('Water Report'!$Y$13&gt;0,'Water Report'!$Y$13,0))</f>
        <v>17</v>
      </c>
      <c r="BD23" s="308">
        <f>(IF('Water Report'!$Y$24&gt;0,'Water Report'!$Y$24,0))</f>
        <v>260</v>
      </c>
      <c r="BE23" s="308">
        <f>(IF('Water Report'!$Y$25&gt;0,'Water Report'!$Y$25,0))</f>
        <v>174</v>
      </c>
      <c r="BF23" s="308">
        <f>(IF('Water Report'!$Y$27&gt;0,'Water Report'!$Y$27,0))</f>
        <v>106</v>
      </c>
      <c r="BG23" s="303">
        <f>(IF('Section Load'!AN26&gt;0,'Section Load'!AN26,0))</f>
        <v>1044.0400000000373</v>
      </c>
      <c r="BH23" s="303">
        <f>(IF('Section Load'!AO26&gt;0,'Section Load'!AO26,0))</f>
        <v>297.27000000001863</v>
      </c>
      <c r="BI23" s="303">
        <f>(IF('Section Load'!AP26&gt;0,'Section Load'!AP26,0))</f>
        <v>0</v>
      </c>
      <c r="BJ23" s="303">
        <f>(IF('Section Load'!AQ26&gt;0,'Section Load'!AQ26,0))</f>
        <v>127.70000000001164</v>
      </c>
      <c r="BK23" s="303">
        <f>(IF('Section Load'!AR26&gt;0,'Section Load'!AR26,0))</f>
        <v>35.900000000001455</v>
      </c>
      <c r="BL23" s="303">
        <f>(IF('Section Load'!AS26&gt;0,'Section Load'!AS26,0))</f>
        <v>4</v>
      </c>
      <c r="BM23" s="303">
        <f>(IF('Section Load'!AT26&gt;0,'Section Load'!AT26,0))</f>
        <v>579.17000000000553</v>
      </c>
    </row>
    <row r="24" spans="1:65">
      <c r="A24" s="291" t="s">
        <v>268</v>
      </c>
      <c r="B24" s="292">
        <f t="shared" si="0"/>
        <v>23</v>
      </c>
      <c r="C24" s="292">
        <v>11</v>
      </c>
      <c r="D24" s="292">
        <v>2021</v>
      </c>
      <c r="E24" s="301">
        <f>(IF('Section Load'!F27&gt;0,'Section Load'!F27,0))</f>
        <v>3702.640000000014</v>
      </c>
      <c r="F24" s="301">
        <f>(IF('Section Load'!G27&gt;0,'Section Load'!G27,0))</f>
        <v>1625.3399999999965</v>
      </c>
      <c r="G24" s="301">
        <f>(IF('Section Load'!H27&gt;0,'Section Load'!H27,0))</f>
        <v>1918.3000000000175</v>
      </c>
      <c r="H24" s="301">
        <f>(IF('Section Load'!I27&gt;0,'Section Load'!I27,0))</f>
        <v>3091.3399999999674</v>
      </c>
      <c r="I24" s="301">
        <f>(IF('Section Load'!J27&gt;0,'Section Load'!J27,0))</f>
        <v>9030.9700000000012</v>
      </c>
      <c r="J24" s="301">
        <f>(IF('Section Load'!K27&gt;0,'Section Load'!K27,0))</f>
        <v>3055.6000000000931</v>
      </c>
      <c r="K24" s="301">
        <f>(IF('Section Load'!L27&gt;0,'Section Load'!L27,0))</f>
        <v>1756.8800000000047</v>
      </c>
      <c r="L24" s="301">
        <f>(IF('Section Load'!M27&gt;0,'Section Load'!M27,0))</f>
        <v>1366.8800000000047</v>
      </c>
      <c r="M24" s="301">
        <f>(IF('Section Load'!N27&gt;0,'Section Load'!N27,0))</f>
        <v>29</v>
      </c>
      <c r="N24" s="301">
        <f>(IF('Section Load'!O27&gt;0,'Section Load'!O27,0))</f>
        <v>0</v>
      </c>
      <c r="O24" s="301">
        <f>(IF('Section Load'!P27&gt;0,'Section Load'!P27,0))</f>
        <v>5.1000000000058208</v>
      </c>
      <c r="P24" s="301">
        <f>(IF('Section Load'!Q27&gt;0,'Section Load'!Q27,0))</f>
        <v>213.45999999999913</v>
      </c>
      <c r="Q24" s="301">
        <f>(IF('Section Load'!R27&gt;0,'Section Load'!R27,0))</f>
        <v>16.450000000000728</v>
      </c>
      <c r="R24" s="301">
        <f>(IF('Section Load'!S27&gt;0,'Section Load'!S27,0))</f>
        <v>48.099999999999909</v>
      </c>
      <c r="S24" s="301">
        <f>(IF('Section Load'!T27&gt;0,'Section Load'!T27,0))</f>
        <v>505</v>
      </c>
      <c r="T24" s="301">
        <f>(IF('Section Load'!U27&gt;0,'Section Load'!U27,0))</f>
        <v>238</v>
      </c>
      <c r="U24" s="301">
        <f>(IF('Section Load'!V27&gt;0,'Section Load'!V27,0))</f>
        <v>500</v>
      </c>
      <c r="V24" s="301">
        <f>(IF('Section Load'!W27&gt;0,'Section Load'!W27,0))</f>
        <v>534.88000000000466</v>
      </c>
      <c r="W24" s="301">
        <f>(IF('Section Load'!X27&gt;0,'Section Load'!X27,0))</f>
        <v>27.309999999999945</v>
      </c>
      <c r="X24" s="301">
        <f>(IF('Section Load'!Y27&gt;0,'Section Load'!Y27,0))</f>
        <v>209.01000000000931</v>
      </c>
      <c r="Y24" s="301">
        <f>(IF('Section Load'!Z27&gt;0,'Section Load'!Z27,0))</f>
        <v>298</v>
      </c>
      <c r="Z24" s="301">
        <f>(IF('Section Load'!AA27&gt;0,'Section Load'!AA27,0))</f>
        <v>319.0800000000163</v>
      </c>
      <c r="AA24" s="301">
        <f>(IF('Section Load'!AB27&gt;0,'Section Load'!AB27,0))</f>
        <v>36</v>
      </c>
      <c r="AB24" s="301">
        <f>(IF('Section Load'!AC27&gt;0,'Section Load'!AC27,0))</f>
        <v>1.8699999999989814</v>
      </c>
      <c r="AC24" s="301">
        <f>(IF('Section Load'!AD27&gt;0,'Section Load'!AD27,0))</f>
        <v>196.49999999999727</v>
      </c>
      <c r="AD24" s="301">
        <f>(IF('Section Load'!AE27&gt;0,'Section Load'!AE27,0))</f>
        <v>0</v>
      </c>
      <c r="AE24" s="301">
        <f>(IF('Section Load'!AF27&gt;0,'Section Load'!AF27,0))</f>
        <v>19.670000000000073</v>
      </c>
      <c r="AF24" s="301">
        <f>(IF('Section Load'!AG27&gt;0,'Section Load'!AG27,0))</f>
        <v>419.88000000000466</v>
      </c>
      <c r="AG24" s="301">
        <f>(IF('Section Load'!AH27&gt;0,'Section Load'!AH27,0))</f>
        <v>419.89999999999418</v>
      </c>
      <c r="AH24" s="301">
        <f>(IF('Section Load'!AI27&gt;0,'Section Load'!AI27,0))</f>
        <v>430.43999999999869</v>
      </c>
      <c r="AI24" s="301">
        <f>(IF('Section Load'!AJ27&gt;0,'Section Load'!AJ27,0))</f>
        <v>763.84000000002561</v>
      </c>
      <c r="AJ24" s="301">
        <f>(IF('Section Load'!AK27&gt;0,'Section Load'!AK27,0))</f>
        <v>343.67999999999302</v>
      </c>
      <c r="AK24" s="301">
        <f>(IF('Section Load'!AL27&gt;0,'Section Load'!AL27,0))</f>
        <v>274.61999999999534</v>
      </c>
      <c r="AL24" s="301">
        <f>(IF('Section Load'!AM27&gt;0,'Section Load'!AM27,0))</f>
        <v>890.36000000000058</v>
      </c>
      <c r="AM24" s="302">
        <f>(IF('Water Report'!$Z$7&gt;0,'Water Report'!$Z$7,0))</f>
        <v>113</v>
      </c>
      <c r="AN24" s="302">
        <f>(IF('Water Report'!$Z$8&gt;0,'Water Report'!$Z$8,0))</f>
        <v>109</v>
      </c>
      <c r="AO24" s="302">
        <f>(IF('Water Report'!$Z$9&gt;0,'Water Report'!$Z$9,0))</f>
        <v>111</v>
      </c>
      <c r="AP24" s="302">
        <f>(IF('Water Report'!$Z$10&gt;0,'Water Report'!$Z$10,0))</f>
        <v>19</v>
      </c>
      <c r="AQ24" s="302">
        <f>(IF('Water Report'!$Z$11&gt;0,'Water Report'!$Z$11,0))</f>
        <v>28</v>
      </c>
      <c r="AR24" s="302">
        <f>(IF('Water Report'!$Z$13&gt;0,'Water Report'!$Z$13,0))</f>
        <v>44</v>
      </c>
      <c r="AS24" s="302">
        <f>(IF('Water Report'!$Z$14&gt;0,'Water Report'!$Z$14,0))</f>
        <v>25</v>
      </c>
      <c r="AT24" s="302">
        <f>(IF('Water Report'!$Z$15&gt;0,'Water Report'!$Z$15,0))</f>
        <v>8</v>
      </c>
      <c r="AU24" s="302">
        <f>(IF('Water Report'!$Z$17&gt;0,'Water Report'!$Z$17,0))</f>
        <v>0</v>
      </c>
      <c r="AV24" s="302">
        <f>(IF('Water Report'!$Z$18&gt;0,'Water Report'!$Z$18,0))</f>
        <v>13</v>
      </c>
      <c r="AW24" s="302">
        <f>(IF('Water Report'!$Z$19&gt;0,'Water Report'!$Z$19,0))</f>
        <v>11</v>
      </c>
      <c r="AX24" s="308">
        <f>(IF('Water Report'!$Z$21&gt;0,'Water Report'!$Z$21,0))</f>
        <v>139</v>
      </c>
      <c r="AY24" s="308">
        <f>(IF('Water Report'!$Z$22&gt;0,'Water Report'!$Z$22,0))</f>
        <v>0</v>
      </c>
      <c r="AZ24" s="308">
        <f>(IF('Water Report'!$Z$23&gt;0,'Water Report'!$Z$23,0))</f>
        <v>7</v>
      </c>
      <c r="BA24" s="308">
        <f>(IF('Water Report'!$Z$14&gt;0,'Water Report'!$Z$14,0))</f>
        <v>25</v>
      </c>
      <c r="BB24" s="308">
        <f>(IF('Water Report'!$Z$15&gt;0,'Water Report'!$Z$15,0))</f>
        <v>8</v>
      </c>
      <c r="BC24" s="308">
        <f>(IF('Water Report'!$Z$13&gt;0,'Water Report'!$Z$13,0))</f>
        <v>44</v>
      </c>
      <c r="BD24" s="308">
        <f>(IF('Water Report'!$Z$24&gt;0,'Water Report'!$Z$24,0))</f>
        <v>233</v>
      </c>
      <c r="BE24" s="308">
        <f>(IF('Water Report'!$Z$25&gt;0,'Water Report'!$Z$25,0))</f>
        <v>191</v>
      </c>
      <c r="BF24" s="308">
        <f>(IF('Water Report'!$Z$27&gt;0,'Water Report'!$Z$27,0))</f>
        <v>190</v>
      </c>
      <c r="BG24" s="303">
        <f>(IF('Section Load'!AN27&gt;0,'Section Load'!AN27,0))</f>
        <v>1060.3199999998324</v>
      </c>
      <c r="BH24" s="303">
        <f>(IF('Section Load'!AO27&gt;0,'Section Load'!AO27,0))</f>
        <v>288.31999999994878</v>
      </c>
      <c r="BI24" s="303">
        <f>(IF('Section Load'!AP27&gt;0,'Section Load'!AP27,0))</f>
        <v>0</v>
      </c>
      <c r="BJ24" s="303">
        <f>(IF('Section Load'!AQ27&gt;0,'Section Load'!AQ27,0))</f>
        <v>120.10000000000582</v>
      </c>
      <c r="BK24" s="303">
        <f>(IF('Section Load'!AR27&gt;0,'Section Load'!AR27,0))</f>
        <v>51</v>
      </c>
      <c r="BL24" s="303">
        <f>(IF('Section Load'!AS27&gt;0,'Section Load'!AS27,0))</f>
        <v>2.1999999999989086</v>
      </c>
      <c r="BM24" s="303">
        <f>(IF('Section Load'!AT27&gt;0,'Section Load'!AT27,0))</f>
        <v>598.69999999987886</v>
      </c>
    </row>
    <row r="25" spans="1:65">
      <c r="A25" s="291" t="s">
        <v>268</v>
      </c>
      <c r="B25" s="292">
        <f t="shared" si="0"/>
        <v>24</v>
      </c>
      <c r="C25" s="292">
        <v>11</v>
      </c>
      <c r="D25" s="292">
        <v>2021</v>
      </c>
      <c r="E25" s="301">
        <f>(IF('Section Load'!F28&gt;0,'Section Load'!F28,0))</f>
        <v>3640.7899999999936</v>
      </c>
      <c r="F25" s="301">
        <f>(IF('Section Load'!G28&gt;0,'Section Load'!G28,0))</f>
        <v>1598.929999999993</v>
      </c>
      <c r="G25" s="301">
        <f>(IF('Section Load'!H28&gt;0,'Section Load'!H28,0))</f>
        <v>1926.4599999999919</v>
      </c>
      <c r="H25" s="301">
        <f>(IF('Section Load'!I28&gt;0,'Section Load'!I28,0))</f>
        <v>2994.5100000000093</v>
      </c>
      <c r="I25" s="301">
        <f>(IF('Section Load'!J28&gt;0,'Section Load'!J28,0))</f>
        <v>8544.2300000000105</v>
      </c>
      <c r="J25" s="301">
        <f>(IF('Section Load'!K28&gt;0,'Section Load'!K28,0))</f>
        <v>2995.6999999999534</v>
      </c>
      <c r="K25" s="301">
        <f>(IF('Section Load'!L28&gt;0,'Section Load'!L28,0))</f>
        <v>1395.1300000000047</v>
      </c>
      <c r="L25" s="301">
        <f>(IF('Section Load'!M28&gt;0,'Section Load'!M28,0))</f>
        <v>878.86999999999534</v>
      </c>
      <c r="M25" s="301">
        <f>(IF('Section Load'!N28&gt;0,'Section Load'!N28,0))</f>
        <v>57</v>
      </c>
      <c r="N25" s="301">
        <f>(IF('Section Load'!O28&gt;0,'Section Load'!O28,0))</f>
        <v>6</v>
      </c>
      <c r="O25" s="301">
        <f>(IF('Section Load'!P28&gt;0,'Section Load'!P28,0))</f>
        <v>0</v>
      </c>
      <c r="P25" s="301">
        <f>(IF('Section Load'!Q28&gt;0,'Section Load'!Q28,0))</f>
        <v>212.87999999999738</v>
      </c>
      <c r="Q25" s="301">
        <f>(IF('Section Load'!R28&gt;0,'Section Load'!R28,0))</f>
        <v>15.549999999999272</v>
      </c>
      <c r="R25" s="301">
        <f>(IF('Section Load'!S28&gt;0,'Section Load'!S28,0))</f>
        <v>44.269999999999982</v>
      </c>
      <c r="S25" s="301">
        <f>(IF('Section Load'!T28&gt;0,'Section Load'!T28,0))</f>
        <v>446</v>
      </c>
      <c r="T25" s="301">
        <f>(IF('Section Load'!U28&gt;0,'Section Load'!U28,0))</f>
        <v>229</v>
      </c>
      <c r="U25" s="301">
        <f>(IF('Section Load'!V28&gt;0,'Section Load'!V28,0))</f>
        <v>395.35999999998603</v>
      </c>
      <c r="V25" s="301">
        <f>(IF('Section Load'!W28&gt;0,'Section Load'!W28,0))</f>
        <v>237.28000000002794</v>
      </c>
      <c r="W25" s="301">
        <f>(IF('Section Load'!X28&gt;0,'Section Load'!X28,0))</f>
        <v>27.5</v>
      </c>
      <c r="X25" s="301">
        <f>(IF('Section Load'!Y28&gt;0,'Section Load'!Y28,0))</f>
        <v>209.67999999999302</v>
      </c>
      <c r="Y25" s="301">
        <f>(IF('Section Load'!Z28&gt;0,'Section Load'!Z28,0))</f>
        <v>285</v>
      </c>
      <c r="Z25" s="301">
        <f>(IF('Section Load'!AA28&gt;0,'Section Load'!AA28,0))</f>
        <v>221.55999999999767</v>
      </c>
      <c r="AA25" s="301">
        <f>(IF('Section Load'!AB28&gt;0,'Section Load'!AB28,0))</f>
        <v>41</v>
      </c>
      <c r="AB25" s="301">
        <f>(IF('Section Load'!AC28&gt;0,'Section Load'!AC28,0))</f>
        <v>0</v>
      </c>
      <c r="AC25" s="301">
        <f>(IF('Section Load'!AD28&gt;0,'Section Load'!AD28,0))</f>
        <v>155.19999999999709</v>
      </c>
      <c r="AD25" s="301">
        <f>(IF('Section Load'!AE28&gt;0,'Section Load'!AE28,0))</f>
        <v>0</v>
      </c>
      <c r="AE25" s="301">
        <f>(IF('Section Load'!AF28&gt;0,'Section Load'!AF28,0))</f>
        <v>20.309999999999945</v>
      </c>
      <c r="AF25" s="301">
        <f>(IF('Section Load'!AG28&gt;0,'Section Load'!AG28,0))</f>
        <v>381.20999999999185</v>
      </c>
      <c r="AG25" s="301">
        <f>(IF('Section Load'!AH28&gt;0,'Section Load'!AH28,0))</f>
        <v>390.07000000000698</v>
      </c>
      <c r="AH25" s="301">
        <f>(IF('Section Load'!AI28&gt;0,'Section Load'!AI28,0))</f>
        <v>426.95000000000073</v>
      </c>
      <c r="AI25" s="301">
        <f>(IF('Section Load'!AJ28&gt;0,'Section Load'!AJ28,0))</f>
        <v>786.40999999997439</v>
      </c>
      <c r="AJ25" s="301">
        <f>(IF('Section Load'!AK28&gt;0,'Section Load'!AK28,0))</f>
        <v>345.5</v>
      </c>
      <c r="AK25" s="301">
        <f>(IF('Section Load'!AL28&gt;0,'Section Load'!AL28,0))</f>
        <v>262.79000000000815</v>
      </c>
      <c r="AL25" s="301">
        <f>(IF('Section Load'!AM28&gt;0,'Section Load'!AM28,0))</f>
        <v>807.61000000000058</v>
      </c>
      <c r="AM25" s="302">
        <f>(IF('Water Report'!$AA$7&gt;0,'Water Report'!$AA$7,0))</f>
        <v>117</v>
      </c>
      <c r="AN25" s="302">
        <f>(IF('Water Report'!$AA$8&gt;0,'Water Report'!$AA$8,0))</f>
        <v>102</v>
      </c>
      <c r="AO25" s="302">
        <f>(IF('Water Report'!$AA$9&gt;0,'Water Report'!$AA$9,0))</f>
        <v>93</v>
      </c>
      <c r="AP25" s="302">
        <f>(IF('Water Report'!$AA$10&gt;0,'Water Report'!$AA$10,0))</f>
        <v>12</v>
      </c>
      <c r="AQ25" s="302">
        <f>(IF('Water Report'!$AA$11&gt;0,'Water Report'!$AA$11,0))</f>
        <v>24</v>
      </c>
      <c r="AR25" s="302">
        <f>(IF('Water Report'!$AA$13&gt;0,'Water Report'!$AA$13,0))</f>
        <v>29</v>
      </c>
      <c r="AS25" s="302">
        <f>(IF('Water Report'!$AA$14&gt;0,'Water Report'!$AA$14,0))</f>
        <v>10</v>
      </c>
      <c r="AT25" s="302">
        <f>(IF('Water Report'!$AA$15&gt;0,'Water Report'!$AA$15,0))</f>
        <v>13</v>
      </c>
      <c r="AU25" s="302">
        <f>(IF('Water Report'!$AA$17&gt;0,'Water Report'!$AA$17,0))</f>
        <v>57</v>
      </c>
      <c r="AV25" s="302">
        <f>(IF('Water Report'!$AA$18&gt;0,'Water Report'!$AA$18,0))</f>
        <v>16</v>
      </c>
      <c r="AW25" s="302">
        <f>(IF('Water Report'!$AA$19&gt;0,'Water Report'!$AA$19,0))</f>
        <v>11</v>
      </c>
      <c r="AX25" s="308">
        <f>(IF('Water Report'!$AA$21&gt;0,'Water Report'!$AA$21,0))</f>
        <v>111</v>
      </c>
      <c r="AY25" s="308">
        <f>(IF('Water Report'!$AA$22&gt;0,'Water Report'!$AA$22,0))</f>
        <v>0</v>
      </c>
      <c r="AZ25" s="308">
        <f>(IF('Water Report'!$AA$23&gt;0,'Water Report'!$AA$23,0))</f>
        <v>14</v>
      </c>
      <c r="BA25" s="308">
        <f>(IF('Water Report'!$AA$14&gt;0,'Water Report'!$AA$14,0))</f>
        <v>10</v>
      </c>
      <c r="BB25" s="308">
        <f>(IF('Water Report'!$AA$15&gt;0,'Water Report'!$AA$15,0))</f>
        <v>13</v>
      </c>
      <c r="BC25" s="308">
        <f>(IF('Water Report'!$AA$13&gt;0,'Water Report'!$AA$13,0))</f>
        <v>29</v>
      </c>
      <c r="BD25" s="308">
        <f>(IF('Water Report'!$AA$24&gt;0,'Water Report'!$AA$24,0))</f>
        <v>235</v>
      </c>
      <c r="BE25" s="308">
        <f>(IF('Water Report'!$AA$25&gt;0,'Water Report'!$AA$25,0))</f>
        <v>152</v>
      </c>
      <c r="BF25" s="308">
        <f>(IF('Water Report'!$AA$27&gt;0,'Water Report'!$AA$27,0))</f>
        <v>154</v>
      </c>
      <c r="BG25" s="303">
        <f>(IF('Section Load'!AN28&gt;0,'Section Load'!AN28,0))</f>
        <v>1071.6000000000931</v>
      </c>
      <c r="BH25" s="303">
        <f>(IF('Section Load'!AO28&gt;0,'Section Load'!AO28,0))</f>
        <v>281.29000000003725</v>
      </c>
      <c r="BI25" s="303">
        <f>(IF('Section Load'!AP28&gt;0,'Section Load'!AP28,0))</f>
        <v>0</v>
      </c>
      <c r="BJ25" s="303">
        <f>(IF('Section Load'!AQ28&gt;0,'Section Load'!AQ28,0))</f>
        <v>130.89999999999418</v>
      </c>
      <c r="BK25" s="303">
        <f>(IF('Section Load'!AR28&gt;0,'Section Load'!AR28,0))</f>
        <v>47</v>
      </c>
      <c r="BL25" s="303">
        <f>(IF('Section Load'!AS28&gt;0,'Section Load'!AS28,0))</f>
        <v>6.2000000000007276</v>
      </c>
      <c r="BM25" s="303">
        <f>(IF('Section Load'!AT28&gt;0,'Section Load'!AT28,0))</f>
        <v>606.21000000006097</v>
      </c>
    </row>
    <row r="26" spans="1:65">
      <c r="A26" s="291" t="s">
        <v>268</v>
      </c>
      <c r="B26" s="292">
        <f>B25+1</f>
        <v>25</v>
      </c>
      <c r="C26" s="292">
        <v>11</v>
      </c>
      <c r="D26" s="292">
        <v>2021</v>
      </c>
      <c r="E26" s="301">
        <f>(IF('Section Load'!F29&gt;0,'Section Load'!F29,0))</f>
        <v>3732</v>
      </c>
      <c r="F26" s="301">
        <f>(IF('Section Load'!G29&gt;0,'Section Load'!G29,0))</f>
        <v>1644</v>
      </c>
      <c r="G26" s="301">
        <f>(IF('Section Load'!H29&gt;0,'Section Load'!H29,0))</f>
        <v>1989</v>
      </c>
      <c r="H26" s="301">
        <f>(IF('Section Load'!I29&gt;0,'Section Load'!I29,0))</f>
        <v>3057</v>
      </c>
      <c r="I26" s="301">
        <f>(IF('Section Load'!J29&gt;0,'Section Load'!J29,0))</f>
        <v>8206</v>
      </c>
      <c r="J26" s="301">
        <f>(IF('Section Load'!K29&gt;0,'Section Load'!K29,0))</f>
        <v>3062</v>
      </c>
      <c r="K26" s="301">
        <f>(IF('Section Load'!L29&gt;0,'Section Load'!L29,0))</f>
        <v>1304</v>
      </c>
      <c r="L26" s="301">
        <f>(IF('Section Load'!M29&gt;0,'Section Load'!M29,0))</f>
        <v>1092</v>
      </c>
      <c r="M26" s="301">
        <f>(IF('Section Load'!N29&gt;0,'Section Load'!N29,0))</f>
        <v>67</v>
      </c>
      <c r="N26" s="301">
        <f>(IF('Section Load'!O29&gt;0,'Section Load'!O29,0))</f>
        <v>15</v>
      </c>
      <c r="O26" s="301">
        <f>(IF('Section Load'!P29&gt;0,'Section Load'!P29,0))</f>
        <v>0</v>
      </c>
      <c r="P26" s="301">
        <f>(IF('Section Load'!Q29&gt;0,'Section Load'!Q29,0))</f>
        <v>217</v>
      </c>
      <c r="Q26" s="301">
        <f>(IF('Section Load'!R29&gt;0,'Section Load'!R29,0))</f>
        <v>17</v>
      </c>
      <c r="R26" s="301">
        <f>(IF('Section Load'!S29&gt;0,'Section Load'!S29,0))</f>
        <v>48</v>
      </c>
      <c r="S26" s="301">
        <f>(IF('Section Load'!T29&gt;0,'Section Load'!T29,0))</f>
        <v>479</v>
      </c>
      <c r="T26" s="301">
        <f>(IF('Section Load'!U29&gt;0,'Section Load'!U29,0))</f>
        <v>235</v>
      </c>
      <c r="U26" s="301">
        <f>(IF('Section Load'!V29&gt;0,'Section Load'!V29,0))</f>
        <v>456</v>
      </c>
      <c r="V26" s="301">
        <f>(IF('Section Load'!W29&gt;0,'Section Load'!W29,0))</f>
        <v>304</v>
      </c>
      <c r="W26" s="301">
        <f>(IF('Section Load'!X29&gt;0,'Section Load'!X29,0))</f>
        <v>28</v>
      </c>
      <c r="X26" s="301">
        <f>(IF('Section Load'!Y29&gt;0,'Section Load'!Y29,0))</f>
        <v>196</v>
      </c>
      <c r="Y26" s="301">
        <f>(IF('Section Load'!Z29&gt;0,'Section Load'!Z29,0))</f>
        <v>275</v>
      </c>
      <c r="Z26" s="301">
        <f>(IF('Section Load'!AA29&gt;0,'Section Load'!AA29,0))</f>
        <v>121</v>
      </c>
      <c r="AA26" s="301">
        <f>(IF('Section Load'!AB29&gt;0,'Section Load'!AB29,0))</f>
        <v>39</v>
      </c>
      <c r="AB26" s="301">
        <f>(IF('Section Load'!AC29&gt;0,'Section Load'!AC29,0))</f>
        <v>0.31000000000130967</v>
      </c>
      <c r="AC26" s="301">
        <f>(IF('Section Load'!AD29&gt;0,'Section Load'!AD29,0))</f>
        <v>176.5</v>
      </c>
      <c r="AD26" s="301">
        <f>(IF('Section Load'!AE29&gt;0,'Section Load'!AE29,0))</f>
        <v>0</v>
      </c>
      <c r="AE26" s="301">
        <f>(IF('Section Load'!AF29&gt;0,'Section Load'!AF29,0))</f>
        <v>21</v>
      </c>
      <c r="AF26" s="301">
        <f>(IF('Section Load'!AG29&gt;0,'Section Load'!AG29,0))</f>
        <v>402</v>
      </c>
      <c r="AG26" s="301">
        <f>(IF('Section Load'!AH29&gt;0,'Section Load'!AH29,0))</f>
        <v>408</v>
      </c>
      <c r="AH26" s="301">
        <f>(IF('Section Load'!AI29&gt;0,'Section Load'!AI29,0))</f>
        <v>413</v>
      </c>
      <c r="AI26" s="301">
        <f>(IF('Section Load'!AJ29&gt;0,'Section Load'!AJ29,0))</f>
        <v>798</v>
      </c>
      <c r="AJ26" s="301">
        <f>(IF('Section Load'!AK29&gt;0,'Section Load'!AK29,0))</f>
        <v>335</v>
      </c>
      <c r="AK26" s="301">
        <f>(IF('Section Load'!AL29&gt;0,'Section Load'!AL29,0))</f>
        <v>271</v>
      </c>
      <c r="AL26" s="301">
        <f>(IF('Section Load'!AM29&gt;0,'Section Load'!AM29,0))</f>
        <v>710</v>
      </c>
      <c r="AM26" s="302">
        <f>(IF('Water Report'!$AB$7&gt;0,'Water Report'!$AB$7,0))</f>
        <v>166</v>
      </c>
      <c r="AN26" s="302">
        <f>(IF('Water Report'!$AB$8&gt;0,'Water Report'!$AB$8,0))</f>
        <v>150</v>
      </c>
      <c r="AO26" s="302">
        <f>(IF('Water Report'!$AB$9&gt;0,'Water Report'!$AB$9,0))</f>
        <v>157</v>
      </c>
      <c r="AP26" s="302">
        <f>(IF('Water Report'!$AB$10&gt;0,'Water Report'!$AB$10,0))</f>
        <v>17</v>
      </c>
      <c r="AQ26" s="302">
        <f>(IF('Water Report'!$AB$11&gt;0,'Water Report'!$AB$11,0))</f>
        <v>21</v>
      </c>
      <c r="AR26" s="302">
        <f>(IF('Water Report'!$AB$13&gt;0,'Water Report'!$AB$13,0))</f>
        <v>33</v>
      </c>
      <c r="AS26" s="302">
        <f>(IF('Water Report'!$AB$14&gt;0,'Water Report'!$AB$14,0))</f>
        <v>9</v>
      </c>
      <c r="AT26" s="302">
        <f>(IF('Water Report'!$AB$15&gt;0,'Water Report'!$AB$15,0))</f>
        <v>16</v>
      </c>
      <c r="AU26" s="302">
        <f>(IF('Water Report'!$AB$17&gt;0,'Water Report'!$AB$17,0))</f>
        <v>0</v>
      </c>
      <c r="AV26" s="302">
        <f>(IF('Water Report'!$AB$18&gt;0,'Water Report'!$AB$18,0))</f>
        <v>12</v>
      </c>
      <c r="AW26" s="302">
        <f>(IF('Water Report'!$AB$19&gt;0,'Water Report'!$AB$19,0))</f>
        <v>12</v>
      </c>
      <c r="AX26" s="308">
        <f>(IF('Water Report'!$AB$21&gt;0,'Water Report'!$AB$21,0))</f>
        <v>111</v>
      </c>
      <c r="AY26" s="308">
        <f>(IF('Water Report'!$AB$22&gt;0,'Water Report'!$AB$22,0))</f>
        <v>0</v>
      </c>
      <c r="AZ26" s="308">
        <f>(IF('Water Report'!$AB$23&gt;0,'Water Report'!$AB$23,0))</f>
        <v>0</v>
      </c>
      <c r="BA26" s="308">
        <f>(IF('Water Report'!$AB$14&gt;0,'Water Report'!$AB$14,0))</f>
        <v>9</v>
      </c>
      <c r="BB26" s="308">
        <f>(IF('Water Report'!$AB$15&gt;0,'Water Report'!$AB$15,0))</f>
        <v>16</v>
      </c>
      <c r="BC26" s="308">
        <f>(IF('Water Report'!$AB$13&gt;0,'Water Report'!$AB$13,0))</f>
        <v>33</v>
      </c>
      <c r="BD26" s="308">
        <f>(IF('Water Report'!$AB$24&gt;0,'Water Report'!$AB$24,0))</f>
        <v>295</v>
      </c>
      <c r="BE26" s="308">
        <f>(IF('Water Report'!$AB$25&gt;0,'Water Report'!$AB$25,0))</f>
        <v>220</v>
      </c>
      <c r="BF26" s="308">
        <f>(IF('Water Report'!$AB$27&gt;0,'Water Report'!$AB$27,0))</f>
        <v>144</v>
      </c>
      <c r="BG26" s="303">
        <f>(IF('Section Load'!AN29&gt;0,'Section Load'!AN29,0))</f>
        <v>1082</v>
      </c>
      <c r="BH26" s="303">
        <f>(IF('Section Load'!AO29&gt;0,'Section Load'!AO29,0))</f>
        <v>282</v>
      </c>
      <c r="BI26" s="303">
        <f>(IF('Section Load'!AP29&gt;0,'Section Load'!AP29,0))</f>
        <v>0</v>
      </c>
      <c r="BJ26" s="303">
        <f>(IF('Section Load'!AQ29&gt;0,'Section Load'!AQ29,0))</f>
        <v>133</v>
      </c>
      <c r="BK26" s="303">
        <f>(IF('Section Load'!AR29&gt;0,'Section Load'!AR29,0))</f>
        <v>51</v>
      </c>
      <c r="BL26" s="303">
        <f>(IF('Section Load'!AS29&gt;0,'Section Load'!AS29,0))</f>
        <v>5</v>
      </c>
      <c r="BM26" s="303">
        <f>(IF('Section Load'!AT29&gt;0,'Section Load'!AT29,0))</f>
        <v>611</v>
      </c>
    </row>
    <row r="27" spans="1:65">
      <c r="A27" s="291" t="s">
        <v>268</v>
      </c>
      <c r="B27" s="292">
        <f t="shared" si="0"/>
        <v>26</v>
      </c>
      <c r="C27" s="292">
        <v>11</v>
      </c>
      <c r="D27" s="292">
        <v>2021</v>
      </c>
      <c r="E27" s="301">
        <f>(IF('Section Load'!F30&gt;0,'Section Load'!F30,0))</f>
        <v>3642</v>
      </c>
      <c r="F27" s="301">
        <f>(IF('Section Load'!G30&gt;0,'Section Load'!G30,0))</f>
        <v>1634</v>
      </c>
      <c r="G27" s="301">
        <f>(IF('Section Load'!H30&gt;0,'Section Load'!H30,0))</f>
        <v>2002</v>
      </c>
      <c r="H27" s="301">
        <f>(IF('Section Load'!I30&gt;0,'Section Load'!I30,0))</f>
        <v>3148</v>
      </c>
      <c r="I27" s="301">
        <f>(IF('Section Load'!J30&gt;0,'Section Load'!J30,0))</f>
        <v>8442.2099999999627</v>
      </c>
      <c r="J27" s="301">
        <f>(IF('Section Load'!K30&gt;0,'Section Load'!K30,0))</f>
        <v>2986</v>
      </c>
      <c r="K27" s="301">
        <f>(IF('Section Load'!L30&gt;0,'Section Load'!L30,0))</f>
        <v>1626</v>
      </c>
      <c r="L27" s="301">
        <f>(IF('Section Load'!M30&gt;0,'Section Load'!M30,0))</f>
        <v>1225</v>
      </c>
      <c r="M27" s="301">
        <f>(IF('Section Load'!N30&gt;0,'Section Load'!N30,0))</f>
        <v>71</v>
      </c>
      <c r="N27" s="301">
        <f>(IF('Section Load'!O30&gt;0,'Section Load'!O30,0))</f>
        <v>9</v>
      </c>
      <c r="O27" s="301">
        <f>(IF('Section Load'!P30&gt;0,'Section Load'!P30,0))</f>
        <v>1</v>
      </c>
      <c r="P27" s="301">
        <f>(IF('Section Load'!Q30&gt;0,'Section Load'!Q30,0))</f>
        <v>203</v>
      </c>
      <c r="Q27" s="301">
        <f>(IF('Section Load'!R30&gt;0,'Section Load'!R30,0))</f>
        <v>16</v>
      </c>
      <c r="R27" s="301">
        <f>(IF('Section Load'!S30&gt;0,'Section Load'!S30,0))</f>
        <v>44</v>
      </c>
      <c r="S27" s="301">
        <f>(IF('Section Load'!T30&gt;0,'Section Load'!T30,0))</f>
        <v>478</v>
      </c>
      <c r="T27" s="301">
        <f>(IF('Section Load'!U30&gt;0,'Section Load'!U30,0))</f>
        <v>239</v>
      </c>
      <c r="U27" s="301">
        <f>(IF('Section Load'!V30&gt;0,'Section Load'!V30,0))</f>
        <v>486</v>
      </c>
      <c r="V27" s="301">
        <f>(IF('Section Load'!W30&gt;0,'Section Load'!W30,0))</f>
        <v>321</v>
      </c>
      <c r="W27" s="301">
        <f>(IF('Section Load'!X30&gt;0,'Section Load'!X30,0))</f>
        <v>35</v>
      </c>
      <c r="X27" s="301">
        <f>(IF('Section Load'!Y30&gt;0,'Section Load'!Y30,0))</f>
        <v>210</v>
      </c>
      <c r="Y27" s="301">
        <f>(IF('Section Load'!Z30&gt;0,'Section Load'!Z30,0))</f>
        <v>290</v>
      </c>
      <c r="Z27" s="301">
        <f>(IF('Section Load'!AA30&gt;0,'Section Load'!AA30,0))</f>
        <v>74</v>
      </c>
      <c r="AA27" s="301">
        <f>(IF('Section Load'!AB30&gt;0,'Section Load'!AB30,0))</f>
        <v>39</v>
      </c>
      <c r="AB27" s="301">
        <f>(IF('Section Load'!AC30&gt;0,'Section Load'!AC30,0))</f>
        <v>0</v>
      </c>
      <c r="AC27" s="301">
        <f>(IF('Section Load'!AD30&gt;0,'Section Load'!AD30,0))</f>
        <v>189.5</v>
      </c>
      <c r="AD27" s="301">
        <f>(IF('Section Load'!AE30&gt;0,'Section Load'!AE30,0))</f>
        <v>0</v>
      </c>
      <c r="AE27" s="301">
        <f>(IF('Section Load'!AF30&gt;0,'Section Load'!AF30,0))</f>
        <v>22</v>
      </c>
      <c r="AF27" s="301">
        <f>(IF('Section Load'!AG30&gt;0,'Section Load'!AG30,0))</f>
        <v>421</v>
      </c>
      <c r="AG27" s="301">
        <f>(IF('Section Load'!AH30&gt;0,'Section Load'!AH30,0))</f>
        <v>442</v>
      </c>
      <c r="AH27" s="301">
        <f>(IF('Section Load'!AI30&gt;0,'Section Load'!AI30,0))</f>
        <v>415</v>
      </c>
      <c r="AI27" s="301">
        <f>(IF('Section Load'!AJ30&gt;0,'Section Load'!AJ30,0))</f>
        <v>787</v>
      </c>
      <c r="AJ27" s="301">
        <f>(IF('Section Load'!AK30&gt;0,'Section Load'!AK30,0))</f>
        <v>321</v>
      </c>
      <c r="AK27" s="301">
        <f>(IF('Section Load'!AL30&gt;0,'Section Load'!AL30,0))</f>
        <v>285</v>
      </c>
      <c r="AL27" s="301">
        <f>(IF('Section Load'!AM30&gt;0,'Section Load'!AM30,0))</f>
        <v>778</v>
      </c>
      <c r="AM27" s="302">
        <f>(IF('Water Report'!$AC$7&gt;0,'Water Report'!$AC$7,0))</f>
        <v>127</v>
      </c>
      <c r="AN27" s="302">
        <f>(IF('Water Report'!$AC$8&gt;0,'Water Report'!$AC$8,0))</f>
        <v>136</v>
      </c>
      <c r="AO27" s="302">
        <f>(IF('Water Report'!$AC$9&gt;0,'Water Report'!$AC$9,0))</f>
        <v>120</v>
      </c>
      <c r="AP27" s="302">
        <f>(IF('Water Report'!$AC$10&gt;0,'Water Report'!$AC$10,0))</f>
        <v>18</v>
      </c>
      <c r="AQ27" s="302">
        <f>(IF('Water Report'!$AC$11&gt;0,'Water Report'!$AC$11,0))</f>
        <v>27</v>
      </c>
      <c r="AR27" s="302">
        <f>(IF('Water Report'!$AC$13&gt;0,'Water Report'!$AC$13,0))</f>
        <v>33</v>
      </c>
      <c r="AS27" s="302">
        <f>(IF('Water Report'!$AC$14&gt;0,'Water Report'!$AC$14,0))</f>
        <v>14</v>
      </c>
      <c r="AT27" s="302">
        <f>(IF('Water Report'!$AC$15&gt;0,'Water Report'!$AC$15,0))</f>
        <v>19</v>
      </c>
      <c r="AU27" s="302">
        <f>(IF('Water Report'!$AC$17&gt;0,'Water Report'!$AC$17,0))</f>
        <v>0</v>
      </c>
      <c r="AV27" s="302">
        <f>(IF('Water Report'!$AC$18&gt;0,'Water Report'!$AC$18,0))</f>
        <v>12</v>
      </c>
      <c r="AW27" s="302">
        <f>(IF('Water Report'!$AC$19&gt;0,'Water Report'!$AC$19,0))</f>
        <v>14</v>
      </c>
      <c r="AX27" s="308">
        <f>(IF('Water Report'!$AC$21&gt;0,'Water Report'!$AC$21,0))</f>
        <v>108</v>
      </c>
      <c r="AY27" s="308">
        <f>(IF('Water Report'!$AC$22&gt;0,'Water Report'!$AC$22,0))</f>
        <v>0</v>
      </c>
      <c r="AZ27" s="308">
        <f>(IF('Water Report'!$AC$23&gt;0,'Water Report'!$AC$23,0))</f>
        <v>7</v>
      </c>
      <c r="BA27" s="308">
        <f>(IF('Water Report'!$AC$14&gt;0,'Water Report'!$AC$14,0))</f>
        <v>14</v>
      </c>
      <c r="BB27" s="308">
        <f>(IF('Water Report'!$AC$15&gt;0,'Water Report'!$AC$15,0))</f>
        <v>19</v>
      </c>
      <c r="BC27" s="308">
        <f>(IF('Water Report'!$AC$13&gt;0,'Water Report'!$AC$13,0))</f>
        <v>33</v>
      </c>
      <c r="BD27" s="308">
        <f>(IF('Water Report'!$AC$24&gt;0,'Water Report'!$AC$24,0))</f>
        <v>291</v>
      </c>
      <c r="BE27" s="308">
        <f>(IF('Water Report'!$AC$25&gt;0,'Water Report'!$AC$25,0))</f>
        <v>198</v>
      </c>
      <c r="BF27" s="308">
        <f>(IF('Water Report'!$AC$27&gt;0,'Water Report'!$AC$27,0))</f>
        <v>148</v>
      </c>
      <c r="BG27" s="303">
        <f>(IF('Section Load'!AN30&gt;0,'Section Load'!AN30,0))</f>
        <v>1201</v>
      </c>
      <c r="BH27" s="303">
        <f>(IF('Section Load'!AO30&gt;0,'Section Load'!AO30,0))</f>
        <v>295</v>
      </c>
      <c r="BI27" s="303">
        <f>(IF('Section Load'!AP30&gt;0,'Section Load'!AP30,0))</f>
        <v>0</v>
      </c>
      <c r="BJ27" s="303">
        <f>(IF('Section Load'!AQ30&gt;0,'Section Load'!AQ30,0))</f>
        <v>142</v>
      </c>
      <c r="BK27" s="303">
        <f>(IF('Section Load'!AR30&gt;0,'Section Load'!AR30,0))</f>
        <v>69</v>
      </c>
      <c r="BL27" s="303">
        <f>(IF('Section Load'!AS30&gt;0,'Section Load'!AS30,0))</f>
        <v>6</v>
      </c>
      <c r="BM27" s="303">
        <f>(IF('Section Load'!AT30&gt;0,'Section Load'!AT30,0))</f>
        <v>689</v>
      </c>
    </row>
    <row r="28" spans="1:65">
      <c r="A28" s="291" t="s">
        <v>268</v>
      </c>
      <c r="B28" s="292">
        <f t="shared" si="0"/>
        <v>27</v>
      </c>
      <c r="C28" s="292">
        <v>11</v>
      </c>
      <c r="D28" s="292">
        <v>2021</v>
      </c>
      <c r="E28" s="301">
        <f>(IF('Section Load'!F31&gt;0,'Section Load'!F31,0))</f>
        <v>3812</v>
      </c>
      <c r="F28" s="301">
        <f>(IF('Section Load'!G31&gt;0,'Section Load'!G31,0))</f>
        <v>1693</v>
      </c>
      <c r="G28" s="301">
        <f>(IF('Section Load'!H31&gt;0,'Section Load'!H31,0))</f>
        <v>2000</v>
      </c>
      <c r="H28" s="301">
        <f>(IF('Section Load'!I31&gt;0,'Section Load'!I31,0))</f>
        <v>3060</v>
      </c>
      <c r="I28" s="301">
        <f>(IF('Section Load'!J31&gt;0,'Section Load'!J31,0))</f>
        <v>7520</v>
      </c>
      <c r="J28" s="301">
        <f>(IF('Section Load'!K31&gt;0,'Section Load'!K31,0))</f>
        <v>2866</v>
      </c>
      <c r="K28" s="301">
        <f>(IF('Section Load'!L31&gt;0,'Section Load'!L31,0))</f>
        <v>1525</v>
      </c>
      <c r="L28" s="301">
        <f>(IF('Section Load'!M31&gt;0,'Section Load'!M31,0))</f>
        <v>1050</v>
      </c>
      <c r="M28" s="301">
        <f>(IF('Section Load'!N31&gt;0,'Section Load'!N31,0))</f>
        <v>71</v>
      </c>
      <c r="N28" s="301">
        <f>(IF('Section Load'!O31&gt;0,'Section Load'!O31,0))</f>
        <v>1</v>
      </c>
      <c r="O28" s="301">
        <f>(IF('Section Load'!P31&gt;0,'Section Load'!P31,0))</f>
        <v>0</v>
      </c>
      <c r="P28" s="301">
        <f>(IF('Section Load'!Q31&gt;0,'Section Load'!Q31,0))</f>
        <v>209</v>
      </c>
      <c r="Q28" s="301">
        <f>(IF('Section Load'!R31&gt;0,'Section Load'!R31,0))</f>
        <v>21</v>
      </c>
      <c r="R28" s="301">
        <f>(IF('Section Load'!S31&gt;0,'Section Load'!S31,0))</f>
        <v>45</v>
      </c>
      <c r="S28" s="301">
        <f>(IF('Section Load'!T31&gt;0,'Section Load'!T31,0))</f>
        <v>364</v>
      </c>
      <c r="T28" s="301">
        <f>(IF('Section Load'!U31&gt;0,'Section Load'!U31,0))</f>
        <v>239</v>
      </c>
      <c r="U28" s="301">
        <f>(IF('Section Load'!V31&gt;0,'Section Load'!V31,0))</f>
        <v>478</v>
      </c>
      <c r="V28" s="301">
        <f>(IF('Section Load'!W31&gt;0,'Section Load'!W31,0))</f>
        <v>354</v>
      </c>
      <c r="W28" s="301">
        <f>(IF('Section Load'!X31&gt;0,'Section Load'!X31,0))</f>
        <v>32</v>
      </c>
      <c r="X28" s="301">
        <f>(IF('Section Load'!Y31&gt;0,'Section Load'!Y31,0))</f>
        <v>222</v>
      </c>
      <c r="Y28" s="301">
        <f>(IF('Section Load'!Z31&gt;0,'Section Load'!Z31,0))</f>
        <v>287</v>
      </c>
      <c r="Z28" s="301">
        <f>(IF('Section Load'!AA31&gt;0,'Section Load'!AA31,0))</f>
        <v>17</v>
      </c>
      <c r="AA28" s="301">
        <f>(IF('Section Load'!AB31&gt;0,'Section Load'!AB31,0))</f>
        <v>20</v>
      </c>
      <c r="AB28" s="301">
        <f>(IF('Section Load'!AC31&gt;0,'Section Load'!AC31,0))</f>
        <v>0</v>
      </c>
      <c r="AC28" s="301">
        <f>(IF('Section Load'!AD31&gt;0,'Section Load'!AD31,0))</f>
        <v>180.5</v>
      </c>
      <c r="AD28" s="301">
        <f>(IF('Section Load'!AE31&gt;0,'Section Load'!AE31,0))</f>
        <v>0</v>
      </c>
      <c r="AE28" s="301">
        <f>(IF('Section Load'!AF31&gt;0,'Section Load'!AF31,0))</f>
        <v>21</v>
      </c>
      <c r="AF28" s="301">
        <f>(IF('Section Load'!AG31&gt;0,'Section Load'!AG31,0))</f>
        <v>395</v>
      </c>
      <c r="AG28" s="301">
        <f>(IF('Section Load'!AH31&gt;0,'Section Load'!AH31,0))</f>
        <v>467</v>
      </c>
      <c r="AH28" s="301">
        <f>(IF('Section Load'!AI31&gt;0,'Section Load'!AI31,0))</f>
        <v>440</v>
      </c>
      <c r="AI28" s="301">
        <f>(IF('Section Load'!AJ31&gt;0,'Section Load'!AJ31,0))</f>
        <v>731</v>
      </c>
      <c r="AJ28" s="301">
        <f>(IF('Section Load'!AK31&gt;0,'Section Load'!AK31,0))</f>
        <v>331</v>
      </c>
      <c r="AK28" s="301">
        <f>(IF('Section Load'!AL31&gt;0,'Section Load'!AL31,0))</f>
        <v>295</v>
      </c>
      <c r="AL28" s="301">
        <f>(IF('Section Load'!AM31&gt;0,'Section Load'!AM31,0))</f>
        <v>859</v>
      </c>
      <c r="AM28" s="302">
        <f>(IF('Water Report'!$AD$7&gt;0,'Water Report'!$AD$7,0))</f>
        <v>133</v>
      </c>
      <c r="AN28" s="302">
        <f>(IF('Water Report'!$AD$8&gt;0,'Water Report'!$AD$8,0))</f>
        <v>143</v>
      </c>
      <c r="AO28" s="302">
        <f>(IF('Water Report'!$AD$9&gt;0,'Water Report'!$AD$9,0))</f>
        <v>100</v>
      </c>
      <c r="AP28" s="302">
        <f>(IF('Water Report'!$AD$10&gt;0,'Water Report'!AD$10,0))</f>
        <v>20</v>
      </c>
      <c r="AQ28" s="302">
        <f>(IF('Water Report'!$AD$11&gt;0,'Water Report'!AE$11,0))</f>
        <v>33</v>
      </c>
      <c r="AR28" s="302">
        <f>(IF('Water Report'!$AD$13&gt;0,'Water Report'!AF$13,0))</f>
        <v>32</v>
      </c>
      <c r="AS28" s="302">
        <f>(IF('Water Report'!$AD$14&gt;0,'Water Report'!AG$14,0))</f>
        <v>-392</v>
      </c>
      <c r="AT28" s="302">
        <f>(IF('Water Report'!$AD$15&gt;0,'Water Report'!AH$15,0))</f>
        <v>12</v>
      </c>
      <c r="AU28" s="302">
        <f>(IF('Water Report'!$AD$17&gt;0,'Water Report'!AI$17,0))</f>
        <v>0</v>
      </c>
      <c r="AV28" s="302">
        <f>(IF('Water Report'!$AD$18&gt;0,'Water Report'!AJ$18,0))</f>
        <v>0</v>
      </c>
      <c r="AW28" s="302">
        <f>(IF('Water Report'!$AD$19&gt;0,'Water Report'!AK$19,0))</f>
        <v>0</v>
      </c>
      <c r="AX28" s="308">
        <f>(IF('Water Report'!$AD$21&gt;0,'Water Report'!AL$21,0))</f>
        <v>0</v>
      </c>
      <c r="AY28" s="308">
        <f>(IF('Water Report'!$AD$22&gt;0,'Water Report'!AM$22,0))</f>
        <v>0</v>
      </c>
      <c r="AZ28" s="308">
        <f>(IF('Water Report'!$AD$23&gt;0,'Water Report'!AN$23,0))</f>
        <v>0</v>
      </c>
      <c r="BA28" s="308">
        <f>(IF('Water Report'!$AD$14&gt;0,'Water Report'!AO$14,0))</f>
        <v>0</v>
      </c>
      <c r="BB28" s="308">
        <f>(IF('Water Report'!$AD$15&gt;0,'Water Report'!AP$15,0))</f>
        <v>0</v>
      </c>
      <c r="BC28" s="308">
        <f>(IF('Water Report'!$AD$13&gt;0,'Water Report'!AQ$13,0))</f>
        <v>0</v>
      </c>
      <c r="BD28" s="308">
        <f>(IF('Water Report'!$AD$24&gt;0,'Water Report'!AR$24,0))</f>
        <v>0</v>
      </c>
      <c r="BE28" s="308">
        <f>(IF('Water Report'!$AD$25&gt;0,'Water Report'!AS$25,0))</f>
        <v>0</v>
      </c>
      <c r="BF28" s="308">
        <f>(IF('Water Report'!$AD$27&gt;0,'Water Report'!AT$27,0))</f>
        <v>0</v>
      </c>
      <c r="BG28" s="303">
        <f>(IF('Section Load'!AN31&gt;0,'Section Load'!AN31,0))</f>
        <v>1124</v>
      </c>
      <c r="BH28" s="303">
        <f>(IF('Section Load'!AO31&gt;0,'Section Load'!AO31,0))</f>
        <v>307</v>
      </c>
      <c r="BI28" s="303">
        <f>(IF('Section Load'!AP31&gt;0,'Section Load'!AP31,0))</f>
        <v>0</v>
      </c>
      <c r="BJ28" s="303">
        <f>(IF('Section Load'!AQ31&gt;0,'Section Load'!AQ31,0))</f>
        <v>126</v>
      </c>
      <c r="BK28" s="303">
        <f>(IF('Section Load'!AR31&gt;0,'Section Load'!AR31,0))</f>
        <v>44</v>
      </c>
      <c r="BL28" s="303">
        <f>(IF('Section Load'!AS31&gt;0,'Section Load'!AS31,0))</f>
        <v>4</v>
      </c>
      <c r="BM28" s="303">
        <f>(IF('Section Load'!AT31&gt;0,'Section Load'!AT31,0))</f>
        <v>643</v>
      </c>
    </row>
    <row r="29" spans="1:65">
      <c r="A29" s="291" t="s">
        <v>268</v>
      </c>
      <c r="B29" s="292">
        <f t="shared" si="0"/>
        <v>28</v>
      </c>
      <c r="C29" s="292">
        <v>11</v>
      </c>
      <c r="D29" s="292">
        <v>2021</v>
      </c>
      <c r="E29" s="301">
        <f>(IF('Section Load'!F32&gt;0,'Section Load'!F32,0))</f>
        <v>3729.5299999999988</v>
      </c>
      <c r="F29" s="301">
        <f>(IF('Section Load'!G32&gt;0,'Section Load'!G32,0))</f>
        <v>1582.0799999999872</v>
      </c>
      <c r="G29" s="301">
        <f>(IF('Section Load'!H32&gt;0,'Section Load'!H32,0))</f>
        <v>1899.7000000000116</v>
      </c>
      <c r="H29" s="301">
        <f>(IF('Section Load'!I32&gt;0,'Section Load'!I32,0))</f>
        <v>2863.9099999999744</v>
      </c>
      <c r="I29" s="301">
        <f>(IF('Section Load'!J32&gt;0,'Section Load'!J32,0))</f>
        <v>5833.9099999999453</v>
      </c>
      <c r="J29" s="301">
        <f>(IF('Section Load'!K32&gt;0,'Section Load'!K32,0))</f>
        <v>2462.3000000000466</v>
      </c>
      <c r="K29" s="301">
        <f>(IF('Section Load'!L32&gt;0,'Section Load'!L32,0))</f>
        <v>1558.0699999999488</v>
      </c>
      <c r="L29" s="301">
        <f>(IF('Section Load'!M32&gt;0,'Section Load'!M32,0))</f>
        <v>1019.3999999999942</v>
      </c>
      <c r="M29" s="301">
        <f>(IF('Section Load'!N32&gt;0,'Section Load'!N32,0))</f>
        <v>68</v>
      </c>
      <c r="N29" s="301">
        <f>(IF('Section Load'!O32&gt;0,'Section Load'!O32,0))</f>
        <v>0</v>
      </c>
      <c r="O29" s="301">
        <f>(IF('Section Load'!P32&gt;0,'Section Load'!P32,0))</f>
        <v>0</v>
      </c>
      <c r="P29" s="301">
        <f>(IF('Section Load'!Q32&gt;0,'Section Load'!Q32,0))</f>
        <v>196.44000000000233</v>
      </c>
      <c r="Q29" s="301">
        <f>(IF('Section Load'!R32&gt;0,'Section Load'!R32,0))</f>
        <v>15.900000000001455</v>
      </c>
      <c r="R29" s="301">
        <f>(IF('Section Load'!S32&gt;0,'Section Load'!S32,0))</f>
        <v>39.0300000000002</v>
      </c>
      <c r="S29" s="301">
        <f>(IF('Section Load'!T32&gt;0,'Section Load'!T32,0))</f>
        <v>405</v>
      </c>
      <c r="T29" s="301">
        <f>(IF('Section Load'!U32&gt;0,'Section Load'!U32,0))</f>
        <v>234</v>
      </c>
      <c r="U29" s="301">
        <f>(IF('Section Load'!V32&gt;0,'Section Load'!V32,0))</f>
        <v>457.23999999999069</v>
      </c>
      <c r="V29" s="301">
        <f>(IF('Section Load'!W32&gt;0,'Section Load'!W32,0))</f>
        <v>375.07999999995809</v>
      </c>
      <c r="W29" s="301">
        <f>(IF('Section Load'!X32&gt;0,'Section Load'!X32,0))</f>
        <v>28.260000000000218</v>
      </c>
      <c r="X29" s="301">
        <f>(IF('Section Load'!Y32&gt;0,'Section Load'!Y32,0))</f>
        <v>221.69999999999709</v>
      </c>
      <c r="Y29" s="301">
        <f>(IF('Section Load'!Z32&gt;0,'Section Load'!Z32,0))</f>
        <v>303</v>
      </c>
      <c r="Z29" s="301">
        <f>(IF('Section Load'!AA32&gt;0,'Section Load'!AA32,0))</f>
        <v>16.200000000011642</v>
      </c>
      <c r="AA29" s="301">
        <f>(IF('Section Load'!AB32&gt;0,'Section Load'!AB32,0))</f>
        <v>17.399999999994179</v>
      </c>
      <c r="AB29" s="301">
        <f>(IF('Section Load'!AC32&gt;0,'Section Load'!AC32,0))</f>
        <v>0</v>
      </c>
      <c r="AC29" s="301">
        <f>(IF('Section Load'!AD32&gt;0,'Section Load'!AD32,0))</f>
        <v>148.50999999999476</v>
      </c>
      <c r="AD29" s="301">
        <f>(IF('Section Load'!AE32&gt;0,'Section Load'!AE32,0))</f>
        <v>0</v>
      </c>
      <c r="AE29" s="301">
        <f>(IF('Section Load'!AF32&gt;0,'Section Load'!AF32,0))</f>
        <v>20.160000000000082</v>
      </c>
      <c r="AF29" s="301">
        <f>(IF('Section Load'!AG32&gt;0,'Section Load'!AG32,0))</f>
        <v>320.42999999999302</v>
      </c>
      <c r="AG29" s="301">
        <f>(IF('Section Load'!AH32&gt;0,'Section Load'!AH32,0))</f>
        <v>435.04999999998836</v>
      </c>
      <c r="AH29" s="301">
        <f>(IF('Section Load'!AI32&gt;0,'Section Load'!AI32,0))</f>
        <v>424.70000000000073</v>
      </c>
      <c r="AI29" s="301">
        <f>(IF('Section Load'!AJ32&gt;0,'Section Load'!AJ32,0))</f>
        <v>671.27000000001863</v>
      </c>
      <c r="AJ29" s="301">
        <f>(IF('Section Load'!AK32&gt;0,'Section Load'!AK32,0))</f>
        <v>310.89999999999418</v>
      </c>
      <c r="AK29" s="301">
        <f>(IF('Section Load'!AL32&gt;0,'Section Load'!AL32,0))</f>
        <v>275.23999999999069</v>
      </c>
      <c r="AL29" s="301">
        <f>(IF('Section Load'!AM32&gt;0,'Section Load'!AM32,0))</f>
        <v>832.7699999999968</v>
      </c>
      <c r="AM29" s="302">
        <f>(IF('Water Report'!$AE$7&gt;0,'Water Report'!$AE$7,0))</f>
        <v>137</v>
      </c>
      <c r="AN29" s="302">
        <f>(IF('Water Report'!$AE$8&gt;0,'Water Report'!$AE$8,0))</f>
        <v>92</v>
      </c>
      <c r="AO29" s="302">
        <f>(IF('Water Report'!$AE$9&gt;0,'Water Report'!$AE$9,0))</f>
        <v>112</v>
      </c>
      <c r="AP29" s="302">
        <f>(IF('Water Report'!$AE$10&gt;0,'Water Report'!$AE$10,0))</f>
        <v>19</v>
      </c>
      <c r="AQ29" s="302">
        <f>(IF('Water Report'!$AE$11&gt;0,'Water Report'!$AE$11,0))</f>
        <v>33</v>
      </c>
      <c r="AR29" s="302">
        <f>(IF('Water Report'!$AE$13&gt;0,'Water Report'!$AE$13,0))</f>
        <v>47</v>
      </c>
      <c r="AS29" s="302">
        <f>(IF('Water Report'!$AE$14&gt;0,'Water Report'!$AE$14,0))</f>
        <v>11</v>
      </c>
      <c r="AT29" s="302">
        <f>(IF('Water Report'!$AE$15&gt;0,'Water Report'!$AE$15,0))</f>
        <v>11</v>
      </c>
      <c r="AU29" s="302">
        <f>(IF('Water Report'!$AE$17&gt;0,'Water Report'!$AE$17,0))</f>
        <v>0</v>
      </c>
      <c r="AV29" s="302">
        <f>(IF('Water Report'!$AE$18&gt;0,'Water Report'!$AE$18,0))</f>
        <v>14</v>
      </c>
      <c r="AW29" s="302">
        <f>(IF('Water Report'!$AE$19&gt;0,'Water Report'!$AE$19,0))</f>
        <v>8</v>
      </c>
      <c r="AX29" s="308">
        <f>(IF('Water Report'!$AE$21&gt;0,'Water Report'!$AE$21,0))</f>
        <v>104</v>
      </c>
      <c r="AY29" s="308">
        <f>(IF('Water Report'!$AE$22&gt;0,'Water Report'!$AE$22,0))</f>
        <v>0</v>
      </c>
      <c r="AZ29" s="308">
        <f>(IF('Water Report'!$AE$23&gt;0,'Water Report'!$AE$23,0))</f>
        <v>1</v>
      </c>
      <c r="BA29" s="308">
        <f>(IF('Water Report'!$AE$14&gt;0,'Water Report'!$AE$14,0))</f>
        <v>11</v>
      </c>
      <c r="BB29" s="308">
        <f>(IF('Water Report'!$AE$15&gt;0,'Water Report'!$AE$15,0))</f>
        <v>11</v>
      </c>
      <c r="BC29" s="308">
        <f>(IF('Water Report'!$AE$13&gt;0,'Water Report'!$AE$13,0))</f>
        <v>47</v>
      </c>
      <c r="BD29" s="308">
        <f>(IF('Water Report'!$AE$24&gt;0,'Water Report'!$AE$24,0))</f>
        <v>294</v>
      </c>
      <c r="BE29" s="308">
        <f>(IF('Water Report'!$AE$25&gt;0,'Water Report'!$AE$25,0))</f>
        <v>186</v>
      </c>
      <c r="BF29" s="308">
        <f>(IF('Water Report'!$AE$27&gt;0,'Water Report'!$AE$27,0))</f>
        <v>152</v>
      </c>
      <c r="BG29" s="303">
        <f>(IF('Section Load'!AN32&gt;0,'Section Load'!AN32,0))</f>
        <v>1158.1200000001118</v>
      </c>
      <c r="BH29" s="303">
        <f>(IF('Section Load'!AO32&gt;0,'Section Load'!AO32,0))</f>
        <v>275.72999999998137</v>
      </c>
      <c r="BI29" s="303">
        <f>(IF('Section Load'!AP32&gt;0,'Section Load'!AP32,0))</f>
        <v>0</v>
      </c>
      <c r="BJ29" s="303">
        <f>(IF('Section Load'!AQ32&gt;0,'Section Load'!AQ32,0))</f>
        <v>136</v>
      </c>
      <c r="BK29" s="303">
        <f>(IF('Section Load'!AR32&gt;0,'Section Load'!AR32,0))</f>
        <v>56</v>
      </c>
      <c r="BL29" s="303">
        <f>(IF('Section Load'!AS32&gt;0,'Section Load'!AS32,0))</f>
        <v>3</v>
      </c>
      <c r="BM29" s="303">
        <f>(IF('Section Load'!AT32&gt;0,'Section Load'!AT32,0))</f>
        <v>687.59000000012747</v>
      </c>
    </row>
    <row r="30" spans="1:65">
      <c r="A30" s="291" t="s">
        <v>268</v>
      </c>
      <c r="B30" s="292">
        <f t="shared" si="0"/>
        <v>29</v>
      </c>
      <c r="C30" s="292">
        <v>11</v>
      </c>
      <c r="D30" s="292">
        <v>2021</v>
      </c>
      <c r="E30" s="301">
        <f>(IF('Section Load'!F33&gt;0,'Section Load'!F33,0))</f>
        <v>3959.1200000000099</v>
      </c>
      <c r="F30" s="301">
        <f>(IF('Section Load'!G33&gt;0,'Section Load'!G33,0))</f>
        <v>1712.3800000000047</v>
      </c>
      <c r="G30" s="301">
        <f>(IF('Section Load'!H33&gt;0,'Section Load'!H33,0))</f>
        <v>1936.2299999999814</v>
      </c>
      <c r="H30" s="301">
        <f>(IF('Section Load'!I33&gt;0,'Section Load'!I33,0))</f>
        <v>3082.2000000000116</v>
      </c>
      <c r="I30" s="301">
        <f>(IF('Section Load'!J33&gt;0,'Section Load'!J33,0))</f>
        <v>5545.3399999999965</v>
      </c>
      <c r="J30" s="301">
        <f>(IF('Section Load'!K33&gt;0,'Section Load'!K33,0))</f>
        <v>2522.0999999998603</v>
      </c>
      <c r="K30" s="301">
        <f>(IF('Section Load'!L33&gt;0,'Section Load'!L33,0))</f>
        <v>1267.0800000000745</v>
      </c>
      <c r="L30" s="301">
        <f>(IF('Section Load'!M33&gt;0,'Section Load'!M33,0))</f>
        <v>951.54000000000815</v>
      </c>
      <c r="M30" s="301">
        <f>(IF('Section Load'!N33&gt;0,'Section Load'!N33,0))</f>
        <v>67</v>
      </c>
      <c r="N30" s="301">
        <f>(IF('Section Load'!O33&gt;0,'Section Load'!O33,0))</f>
        <v>3</v>
      </c>
      <c r="O30" s="301">
        <f>(IF('Section Load'!P33&gt;0,'Section Load'!P33,0))</f>
        <v>0</v>
      </c>
      <c r="P30" s="301">
        <f>(IF('Section Load'!Q33&gt;0,'Section Load'!Q33,0))</f>
        <v>193.72999999999593</v>
      </c>
      <c r="Q30" s="301">
        <f>(IF('Section Load'!R33&gt;0,'Section Load'!R33,0))</f>
        <v>16.299999999999272</v>
      </c>
      <c r="R30" s="301">
        <f>(IF('Section Load'!S33&gt;0,'Section Load'!S33,0))</f>
        <v>45.909999999999854</v>
      </c>
      <c r="S30" s="301">
        <f>(IF('Section Load'!T33&gt;0,'Section Load'!T33,0))</f>
        <v>406</v>
      </c>
      <c r="T30" s="301">
        <f>(IF('Section Load'!U33&gt;0,'Section Load'!U33,0))</f>
        <v>228</v>
      </c>
      <c r="U30" s="301">
        <f>(IF('Section Load'!V33&gt;0,'Section Load'!V33,0))</f>
        <v>451.35999999998603</v>
      </c>
      <c r="V30" s="301">
        <f>(IF('Section Load'!W33&gt;0,'Section Load'!W33,0))</f>
        <v>292.72000000008848</v>
      </c>
      <c r="W30" s="301">
        <f>(IF('Section Load'!X33&gt;0,'Section Load'!X33,0))</f>
        <v>30.049999999999727</v>
      </c>
      <c r="X30" s="301">
        <f>(IF('Section Load'!Y33&gt;0,'Section Load'!Y33,0))</f>
        <v>252.08999999999651</v>
      </c>
      <c r="Y30" s="301">
        <f>(IF('Section Load'!Z33&gt;0,'Section Load'!Z33,0))</f>
        <v>269</v>
      </c>
      <c r="Z30" s="301">
        <f>(IF('Section Load'!AA33&gt;0,'Section Load'!AA33,0))</f>
        <v>16.679999999993015</v>
      </c>
      <c r="AA30" s="301">
        <f>(IF('Section Load'!AB33&gt;0,'Section Load'!AB33,0))</f>
        <v>34.30000000000291</v>
      </c>
      <c r="AB30" s="301">
        <f>(IF('Section Load'!AC33&gt;0,'Section Load'!AC33,0))</f>
        <v>10.25</v>
      </c>
      <c r="AC30" s="301">
        <f>(IF('Section Load'!AD33&gt;0,'Section Load'!AD33,0))</f>
        <v>215.48999999999933</v>
      </c>
      <c r="AD30" s="301">
        <f>(IF('Section Load'!AE33&gt;0,'Section Load'!AE33,0))</f>
        <v>0</v>
      </c>
      <c r="AE30" s="301">
        <f>(IF('Section Load'!AF33&gt;0,'Section Load'!AF33,0))</f>
        <v>21.25</v>
      </c>
      <c r="AF30" s="301">
        <f>(IF('Section Load'!AG33&gt;0,'Section Load'!AG33,0))</f>
        <v>434.48000000001048</v>
      </c>
      <c r="AG30" s="301">
        <f>(IF('Section Load'!AH33&gt;0,'Section Load'!AH33,0))</f>
        <v>454.42000000001281</v>
      </c>
      <c r="AH30" s="301">
        <f>(IF('Section Load'!AI33&gt;0,'Section Load'!AI33,0))</f>
        <v>465</v>
      </c>
      <c r="AI30" s="301">
        <f>(IF('Section Load'!AJ33&gt;0,'Section Load'!AJ33,0))</f>
        <v>728.51999999996042</v>
      </c>
      <c r="AJ30" s="301">
        <f>(IF('Section Load'!AK33&gt;0,'Section Load'!AK33,0))</f>
        <v>360.41000000000349</v>
      </c>
      <c r="AK30" s="301">
        <f>(IF('Section Load'!AL33&gt;0,'Section Load'!AL33,0))</f>
        <v>297.25</v>
      </c>
      <c r="AL30" s="301">
        <f>(IF('Section Load'!AM33&gt;0,'Section Load'!AM33,0))</f>
        <v>798.80000000000291</v>
      </c>
      <c r="AM30" s="302">
        <f>(IF('Water Report'!$AF$7&gt;0,'Water Report'!$AF$7,0))</f>
        <v>120</v>
      </c>
      <c r="AN30" s="302">
        <f>(IF('Water Report'!$AF$8&gt;0,'Water Report'!$AF$8,0))</f>
        <v>141</v>
      </c>
      <c r="AO30" s="302">
        <f>(IF('Water Report'!$AF$9&gt;0,'Water Report'!$AF$9,0))</f>
        <v>112</v>
      </c>
      <c r="AP30" s="302">
        <f>(IF('Water Report'!$AF$10&gt;0,'Water Report'!$AF$10,0))</f>
        <v>21</v>
      </c>
      <c r="AQ30" s="302">
        <f>(IF('Water Report'!$AF$11&gt;0,'Water Report'!$AF$11,0))</f>
        <v>29</v>
      </c>
      <c r="AR30" s="302">
        <f>(IF('Water Report'!$AF$13&gt;0,'Water Report'!$AF$13,0))</f>
        <v>32</v>
      </c>
      <c r="AS30" s="302">
        <f>(IF('Water Report'!$AF$14&gt;0,'Water Report'!$AF$14,0))</f>
        <v>9</v>
      </c>
      <c r="AT30" s="302">
        <f>(IF('Water Report'!$AF$15&gt;0,'Water Report'!$AF$15,0))</f>
        <v>9</v>
      </c>
      <c r="AU30" s="302">
        <f>(IF('Water Report'!$AF$17&gt;0,'Water Report'!$AF$17,0))</f>
        <v>0</v>
      </c>
      <c r="AV30" s="302">
        <f>(IF('Water Report'!$AF$18&gt;0,'Water Report'!$AF$18,0))</f>
        <v>21</v>
      </c>
      <c r="AW30" s="302">
        <f>(IF('Water Report'!$AF$19&gt;0,'Water Report'!$AF$19,0))</f>
        <v>13</v>
      </c>
      <c r="AX30" s="308">
        <f>(IF('Water Report'!$AF$21&gt;0,'Water Report'!$AF$21,0))</f>
        <v>97</v>
      </c>
      <c r="AY30" s="308">
        <f>(IF('Water Report'!$AF$22&gt;0,'Water Report'!$AF$22,0))</f>
        <v>0</v>
      </c>
      <c r="AZ30" s="308">
        <f>(IF('Water Report'!$AF$23&gt;0,'Water Report'!$AF$23,0))</f>
        <v>14</v>
      </c>
      <c r="BA30" s="308">
        <f>(IF('Water Report'!$AF$14&gt;0,'Water Report'!$AF$14,0))</f>
        <v>9</v>
      </c>
      <c r="BB30" s="308">
        <f>(IF('Water Report'!$AF$15&gt;0,'Water Report'!$AF$15,0))</f>
        <v>9</v>
      </c>
      <c r="BC30" s="308">
        <f>(IF('Water Report'!$AF$13&gt;0,'Water Report'!$AF$13,0))</f>
        <v>32</v>
      </c>
      <c r="BD30" s="308">
        <f>(IF('Water Report'!$AF$24&gt;0,'Water Report'!$AF$24,0))</f>
        <v>265</v>
      </c>
      <c r="BE30" s="308">
        <f>(IF('Water Report'!$AF$25&gt;0,'Water Report'!$AF$25,0))</f>
        <v>180</v>
      </c>
      <c r="BF30" s="308">
        <f>(IF('Water Report'!$AF$27&gt;0,'Water Report'!$AF$27,0))</f>
        <v>143</v>
      </c>
      <c r="BG30" s="303">
        <f>(IF('Section Load'!AN33&gt;0,'Section Load'!AN33,0))</f>
        <v>1085.0799999998417</v>
      </c>
      <c r="BH30" s="303">
        <f>(IF('Section Load'!AO33&gt;0,'Section Load'!AO33,0))</f>
        <v>316.28000000002794</v>
      </c>
      <c r="BI30" s="303">
        <f>(IF('Section Load'!AP33&gt;0,'Section Load'!AP33,0))</f>
        <v>0.19999999999708962</v>
      </c>
      <c r="BJ30" s="303">
        <f>(IF('Section Load'!AQ33&gt;0,'Section Load'!AQ33,0))</f>
        <v>99.279999999998836</v>
      </c>
      <c r="BK30" s="303">
        <f>(IF('Section Load'!AR33&gt;0,'Section Load'!AR33,0))</f>
        <v>34</v>
      </c>
      <c r="BL30" s="303">
        <f>(IF('Section Load'!AS33&gt;0,'Section Load'!AS33,0))</f>
        <v>3</v>
      </c>
      <c r="BM30" s="303">
        <f>(IF('Section Load'!AT33&gt;0,'Section Load'!AT33,0))</f>
        <v>632.31999999981781</v>
      </c>
    </row>
    <row r="31" spans="1:65">
      <c r="A31" s="291" t="s">
        <v>268</v>
      </c>
      <c r="B31" s="292">
        <f t="shared" si="0"/>
        <v>30</v>
      </c>
      <c r="C31" s="292">
        <v>11</v>
      </c>
      <c r="D31" s="292">
        <v>2021</v>
      </c>
      <c r="E31" s="301">
        <f>(IF('Section Load'!F34&gt;0,'Section Load'!F34,0))</f>
        <v>0</v>
      </c>
      <c r="F31" s="301">
        <f>(IF('Section Load'!G34&gt;0,'Section Load'!G34,0))</f>
        <v>0</v>
      </c>
      <c r="G31" s="301">
        <f>(IF('Section Load'!H34&gt;0,'Section Load'!H34,0))</f>
        <v>0</v>
      </c>
      <c r="H31" s="301">
        <f>(IF('Section Load'!I34&gt;0,'Section Load'!I34,0))</f>
        <v>0</v>
      </c>
      <c r="I31" s="301">
        <f>(IF('Section Load'!J34&gt;0,'Section Load'!J34,0))</f>
        <v>0</v>
      </c>
      <c r="J31" s="301">
        <f>(IF('Section Load'!K34&gt;0,'Section Load'!K34,0))</f>
        <v>0</v>
      </c>
      <c r="K31" s="301">
        <f>(IF('Section Load'!L34&gt;0,'Section Load'!L34,0))</f>
        <v>0</v>
      </c>
      <c r="L31" s="301">
        <f>(IF('Section Load'!M34&gt;0,'Section Load'!M34,0))</f>
        <v>0</v>
      </c>
      <c r="M31" s="301">
        <f>(IF('Section Load'!N34&gt;0,'Section Load'!N34,0))</f>
        <v>0</v>
      </c>
      <c r="N31" s="301">
        <f>(IF('Section Load'!O34&gt;0,'Section Load'!O34,0))</f>
        <v>0</v>
      </c>
      <c r="O31" s="301">
        <f>(IF('Section Load'!P34&gt;0,'Section Load'!P34,0))</f>
        <v>0</v>
      </c>
      <c r="P31" s="301">
        <f>(IF('Section Load'!Q34&gt;0,'Section Load'!Q34,0))</f>
        <v>0</v>
      </c>
      <c r="Q31" s="301">
        <f>(IF('Section Load'!R34&gt;0,'Section Load'!R34,0))</f>
        <v>0</v>
      </c>
      <c r="R31" s="301">
        <f>(IF('Section Load'!S34&gt;0,'Section Load'!S34,0))</f>
        <v>0</v>
      </c>
      <c r="S31" s="301">
        <f>(IF('Section Load'!T34&gt;0,'Section Load'!T34,0))</f>
        <v>0</v>
      </c>
      <c r="T31" s="301">
        <f>(IF('Section Load'!U34&gt;0,'Section Load'!U34,0))</f>
        <v>0</v>
      </c>
      <c r="U31" s="301">
        <f>(IF('Section Load'!V34&gt;0,'Section Load'!V34,0))</f>
        <v>0</v>
      </c>
      <c r="V31" s="301">
        <f>(IF('Section Load'!W34&gt;0,'Section Load'!W34,0))</f>
        <v>0</v>
      </c>
      <c r="W31" s="301">
        <f>(IF('Section Load'!X34&gt;0,'Section Load'!X34,0))</f>
        <v>0</v>
      </c>
      <c r="X31" s="301">
        <f>(IF('Section Load'!Y34&gt;0,'Section Load'!Y34,0))</f>
        <v>0</v>
      </c>
      <c r="Y31" s="301">
        <f>(IF('Section Load'!Z34&gt;0,'Section Load'!Z34,0))</f>
        <v>0</v>
      </c>
      <c r="Z31" s="301">
        <f>(IF('Section Load'!AA34&gt;0,'Section Load'!AA34,0))</f>
        <v>0</v>
      </c>
      <c r="AA31" s="301">
        <f>(IF('Section Load'!AB34&gt;0,'Section Load'!AB34,0))</f>
        <v>0</v>
      </c>
      <c r="AB31" s="301">
        <f>(IF('Section Load'!AC34&gt;0,'Section Load'!AC34,0))</f>
        <v>0</v>
      </c>
      <c r="AC31" s="301">
        <f>(IF('Section Load'!AD34&gt;0,'Section Load'!AD34,0))</f>
        <v>0</v>
      </c>
      <c r="AD31" s="301">
        <f>(IF('Section Load'!AE34&gt;0,'Section Load'!AE34,0))</f>
        <v>0</v>
      </c>
      <c r="AE31" s="301">
        <f>(IF('Section Load'!AF34&gt;0,'Section Load'!AF34,0))</f>
        <v>0</v>
      </c>
      <c r="AF31" s="301">
        <f>(IF('Section Load'!AG34&gt;0,'Section Load'!AG34,0))</f>
        <v>0</v>
      </c>
      <c r="AG31" s="301">
        <f>(IF('Section Load'!AH34&gt;0,'Section Load'!AH34,0))</f>
        <v>0</v>
      </c>
      <c r="AH31" s="301">
        <f>(IF('Section Load'!AI34&gt;0,'Section Load'!AI34,0))</f>
        <v>0</v>
      </c>
      <c r="AI31" s="301">
        <f>(IF('Section Load'!AJ34&gt;0,'Section Load'!AJ34,0))</f>
        <v>0</v>
      </c>
      <c r="AJ31" s="301">
        <f>(IF('Section Load'!AK34&gt;0,'Section Load'!AK34,0))</f>
        <v>0</v>
      </c>
      <c r="AK31" s="301">
        <f>(IF('Section Load'!AL34&gt;0,'Section Load'!AL34,0))</f>
        <v>0</v>
      </c>
      <c r="AL31" s="301">
        <f>(IF('Section Load'!AM34&gt;0,'Section Load'!AM34,0))</f>
        <v>0</v>
      </c>
      <c r="AM31" s="302">
        <f>(IF('Water Report'!$AG$7&gt;0,'Water Report'!$AG$7,0))</f>
        <v>0</v>
      </c>
      <c r="AN31" s="302">
        <f>(IF('Water Report'!$AG$8&gt;0,'Water Report'!$AG$8,0))</f>
        <v>0</v>
      </c>
      <c r="AO31" s="302">
        <f>(IF('Water Report'!$AG$9&gt;0,'Water Report'!$AG$9,0))</f>
        <v>0</v>
      </c>
      <c r="AP31" s="302">
        <f>(IF('Water Report'!$AG$10&gt;0,'Water Report'!$DAG$10,0))</f>
        <v>0</v>
      </c>
      <c r="AQ31" s="302">
        <f>(IF('Water Report'!$AG$11&gt;0,'Water Report'!$DAG$11,0))</f>
        <v>0</v>
      </c>
      <c r="AR31" s="302">
        <f>(IF('Water Report'!$AG$13&gt;0,'Water Report'!$DAG$13,0))</f>
        <v>0</v>
      </c>
      <c r="AS31" s="302">
        <f>(IF('Water Report'!$AG$14&gt;0,'Water Report'!$DAG$14,0))</f>
        <v>0</v>
      </c>
      <c r="AT31" s="302">
        <f>(IF('Water Report'!$AG$15&gt;0,'Water Report'!$DAG$15,0))</f>
        <v>0</v>
      </c>
      <c r="AU31" s="302">
        <f>(IF('Water Report'!$AG$17&gt;0,'Water Report'!$DAG$17,0))</f>
        <v>0</v>
      </c>
      <c r="AV31" s="302">
        <f>(IF('Water Report'!$AG$18&gt;0,'Water Report'!$DAG$18,0))</f>
        <v>0</v>
      </c>
      <c r="AW31" s="302">
        <f>(IF('Water Report'!$AG$19&gt;0,'Water Report'!$DAG$19,0))</f>
        <v>0</v>
      </c>
      <c r="AX31" s="308">
        <f>(IF('Water Report'!$AG$21&gt;0,'Water Report'!$DAG$21,0))</f>
        <v>0</v>
      </c>
      <c r="AY31" s="308">
        <f>(IF('Water Report'!$AG$22&gt;0,'Water Report'!$DAG$22,0))</f>
        <v>0</v>
      </c>
      <c r="AZ31" s="308">
        <f>(IF('Water Report'!$AG$23&gt;0,'Water Report'!$DAG$23,0))</f>
        <v>0</v>
      </c>
      <c r="BA31" s="308">
        <f>(IF('Water Report'!$AG$14&gt;0,'Water Report'!$DAG$14,0))</f>
        <v>0</v>
      </c>
      <c r="BB31" s="308">
        <f>(IF('Water Report'!$AG$15&gt;0,'Water Report'!$DAG$15,0))</f>
        <v>0</v>
      </c>
      <c r="BC31" s="308">
        <f>(IF('Water Report'!$AG$13&gt;0,'Water Report'!$DAG$13,0))</f>
        <v>0</v>
      </c>
      <c r="BD31" s="308">
        <f>(IF('Water Report'!$AG$24&gt;0,'Water Report'!$DAG$24,0))</f>
        <v>0</v>
      </c>
      <c r="BE31" s="308">
        <f>(IF('Water Report'!$AG$25&gt;0,'Water Report'!$DAG$25,0))</f>
        <v>0</v>
      </c>
      <c r="BF31" s="308">
        <f>(IF('Water Report'!$AG$27&gt;0,'Water Report'!$DAG$27,0))</f>
        <v>0</v>
      </c>
      <c r="BG31" s="303">
        <f>(IF('Section Load'!AN34&gt;0,'Section Load'!AN34,0))</f>
        <v>0</v>
      </c>
      <c r="BH31" s="303">
        <f>(IF('Section Load'!AO34&gt;0,'Section Load'!AO34,0))</f>
        <v>0</v>
      </c>
      <c r="BI31" s="303">
        <f>(IF('Section Load'!AP34&gt;0,'Section Load'!AP34,0))</f>
        <v>0</v>
      </c>
      <c r="BJ31" s="303">
        <f>(IF('Section Load'!AQ34&gt;0,'Section Load'!AQ34,0))</f>
        <v>0</v>
      </c>
      <c r="BK31" s="303">
        <f>(IF('Section Load'!AR34&gt;0,'Section Load'!AR34,0))</f>
        <v>0</v>
      </c>
      <c r="BL31" s="303">
        <f>(IF('Section Load'!AS34&gt;0,'Section Load'!AS34,0))</f>
        <v>0</v>
      </c>
      <c r="BM31" s="303">
        <f>(IF('Section Load'!AT34&gt;0,'Section Load'!AT34,0))</f>
        <v>0</v>
      </c>
    </row>
    <row r="32" spans="1:65">
      <c r="A32" s="291" t="s">
        <v>268</v>
      </c>
      <c r="B32" s="292">
        <f t="shared" si="0"/>
        <v>31</v>
      </c>
      <c r="C32" s="292">
        <v>11</v>
      </c>
      <c r="D32" s="292">
        <v>2021</v>
      </c>
      <c r="E32" s="301">
        <f>(IF('Section Load'!F35&gt;0,'Section Load'!F35,0))</f>
        <v>3463.0600000000122</v>
      </c>
      <c r="F32" s="301">
        <f>(IF('Section Load'!G35&gt;0,'Section Load'!G35,0))</f>
        <v>1594.8300000000017</v>
      </c>
      <c r="G32" s="301">
        <f>(IF('Section Load'!H35&gt;0,'Section Load'!H35,0))</f>
        <v>1838.0399999999936</v>
      </c>
      <c r="H32" s="301">
        <f>(IF('Section Load'!I35&gt;0,'Section Load'!I35,0))</f>
        <v>2988.0499999999884</v>
      </c>
      <c r="I32" s="301">
        <f>(IF('Section Load'!J35&gt;0,'Section Load'!J35,0))</f>
        <v>4806.7899999999427</v>
      </c>
      <c r="J32" s="301">
        <f>(IF('Section Load'!K35&gt;0,'Section Load'!K35,0))</f>
        <v>2606.3999999999069</v>
      </c>
      <c r="K32" s="301">
        <f>(IF('Section Load'!L35&gt;0,'Section Load'!L35,0))</f>
        <v>1308.3100000000559</v>
      </c>
      <c r="L32" s="301">
        <f>(IF('Section Load'!M35&gt;0,'Section Load'!M35,0))</f>
        <v>684.66999999999825</v>
      </c>
      <c r="M32" s="301">
        <f>(IF('Section Load'!N35&gt;0,'Section Load'!N35,0))</f>
        <v>64</v>
      </c>
      <c r="N32" s="301">
        <f>(IF('Section Load'!O35&gt;0,'Section Load'!O35,0))</f>
        <v>2</v>
      </c>
      <c r="O32" s="301">
        <f>(IF('Section Load'!P35&gt;0,'Section Load'!P35,0))</f>
        <v>8</v>
      </c>
      <c r="P32" s="301">
        <f>(IF('Section Load'!Q35&gt;0,'Section Load'!Q35,0))</f>
        <v>185.94999999999709</v>
      </c>
      <c r="Q32" s="301">
        <f>(IF('Section Load'!R35&gt;0,'Section Load'!R35,0))</f>
        <v>12.869999999998981</v>
      </c>
      <c r="R32" s="301">
        <f>(IF('Section Load'!S35&gt;0,'Section Load'!S35,0))</f>
        <v>33</v>
      </c>
      <c r="S32" s="301">
        <f>(IF('Section Load'!T35&gt;0,'Section Load'!T35,0))</f>
        <v>398</v>
      </c>
      <c r="T32" s="301">
        <f>(IF('Section Load'!U35&gt;0,'Section Load'!U35,0))</f>
        <v>201</v>
      </c>
      <c r="U32" s="301">
        <f>(IF('Section Load'!V35&gt;0,'Section Load'!V35,0))</f>
        <v>406.92000000004191</v>
      </c>
      <c r="V32" s="301">
        <f>(IF('Section Load'!W35&gt;0,'Section Load'!W35,0))</f>
        <v>251.11999999999534</v>
      </c>
      <c r="W32" s="301">
        <f>(IF('Section Load'!X35&gt;0,'Section Load'!X35,0))</f>
        <v>28.180000000000064</v>
      </c>
      <c r="X32" s="301">
        <f>(IF('Section Load'!Y35&gt;0,'Section Load'!Y35,0))</f>
        <v>209.89999999999418</v>
      </c>
      <c r="Y32" s="301">
        <f>(IF('Section Load'!Z35&gt;0,'Section Load'!Z35,0))</f>
        <v>267</v>
      </c>
      <c r="Z32" s="301">
        <f>(IF('Section Load'!AA35&gt;0,'Section Load'!AA35,0))</f>
        <v>255.03999999997905</v>
      </c>
      <c r="AA32" s="301">
        <f>(IF('Section Load'!AB35&gt;0,'Section Load'!AB35,0))</f>
        <v>18.600000000005821</v>
      </c>
      <c r="AB32" s="301">
        <f>(IF('Section Load'!AC35&gt;0,'Section Load'!AC35,0))</f>
        <v>0.38000000000101863</v>
      </c>
      <c r="AC32" s="301">
        <f>(IF('Section Load'!AD35&gt;0,'Section Load'!AD35,0))</f>
        <v>81.899999999994179</v>
      </c>
      <c r="AD32" s="301">
        <f>(IF('Section Load'!AE35&gt;0,'Section Load'!AE35,0))</f>
        <v>0</v>
      </c>
      <c r="AE32" s="301">
        <f>(IF('Section Load'!AF35&gt;0,'Section Load'!AF35,0))</f>
        <v>65.190000000000055</v>
      </c>
      <c r="AF32" s="301">
        <f>(IF('Section Load'!AG35&gt;0,'Section Load'!AG35,0))</f>
        <v>356.92999999999302</v>
      </c>
      <c r="AG32" s="301">
        <f>(IF('Section Load'!AH35&gt;0,'Section Load'!AH35,0))</f>
        <v>452.10999999998603</v>
      </c>
      <c r="AH32" s="301">
        <f>(IF('Section Load'!AI35&gt;0,'Section Load'!AI35,0))</f>
        <v>441.60000000000036</v>
      </c>
      <c r="AI32" s="301">
        <f>(IF('Section Load'!AJ35&gt;0,'Section Load'!AJ35,0))</f>
        <v>700.51000000000931</v>
      </c>
      <c r="AJ32" s="301">
        <f>(IF('Section Load'!AK35&gt;0,'Section Load'!AK35,0))</f>
        <v>308.88000000000466</v>
      </c>
      <c r="AK32" s="301">
        <f>(IF('Section Load'!AL35&gt;0,'Section Load'!AL35,0))</f>
        <v>304.75999999999476</v>
      </c>
      <c r="AL32" s="301">
        <f>(IF('Section Load'!AM35&gt;0,'Section Load'!AM35,0))</f>
        <v>761.29000000000087</v>
      </c>
      <c r="AM32" s="302">
        <f>(IF('Water Report'!$AH$7&gt;0,'Water Report'!$AH$7,0))</f>
        <v>125</v>
      </c>
      <c r="AN32" s="302">
        <f>(IF('Water Report'!$AH$8&gt;0,'Water Report'!$AH$8,0))</f>
        <v>149</v>
      </c>
      <c r="AO32" s="302">
        <f>(IF('Water Report'!$AH$9&gt;0,'Water Report'!$AH$9,0))</f>
        <v>112</v>
      </c>
      <c r="AP32" s="302">
        <f>(IF('Water Report'!$AH$10&gt;0,'Water Report'!$DAH$10,0))</f>
        <v>0</v>
      </c>
      <c r="AQ32" s="302">
        <f>(IF('Water Report'!$AH$11&gt;0,'Water Report'!$DAH$11,0))</f>
        <v>0</v>
      </c>
      <c r="AR32" s="302">
        <f>(IF('Water Report'!$AH$13&gt;0,'Water Report'!$DAH$13,0))</f>
        <v>0</v>
      </c>
      <c r="AS32" s="302">
        <f>(IF('Water Report'!$AH$14&gt;0,'Water Report'!$DAH$14,0))</f>
        <v>0</v>
      </c>
      <c r="AT32" s="302">
        <f>(IF('Water Report'!$AH$15&gt;0,'Water Report'!$DAH$15,0))</f>
        <v>0</v>
      </c>
      <c r="AU32" s="302">
        <f>(IF('Water Report'!$AH$17&gt;0,'Water Report'!$DAH$17,0))</f>
        <v>0</v>
      </c>
      <c r="AV32" s="302">
        <f>(IF('Water Report'!$AH$18&gt;0,'Water Report'!$DAH$18,0))</f>
        <v>0</v>
      </c>
      <c r="AW32" s="302">
        <f>(IF('Water Report'!$AH$19&gt;0,'Water Report'!$DAH$19,0))</f>
        <v>0</v>
      </c>
      <c r="AX32" s="308">
        <f>(IF('Water Report'!$AH$21&gt;0,'Water Report'!$DAH$21,0))</f>
        <v>0</v>
      </c>
      <c r="AY32" s="308">
        <f>(IF('Water Report'!$AH$22&gt;0,'Water Report'!$DAH$22,0))</f>
        <v>0</v>
      </c>
      <c r="AZ32" s="308">
        <f>(IF('Water Report'!$AH$23&gt;0,'Water Report'!$DAH$23,0))</f>
        <v>0</v>
      </c>
      <c r="BA32" s="308">
        <f>(IF('Water Report'!$AH$14&gt;0,'Water Report'!$DAH$14,0))</f>
        <v>0</v>
      </c>
      <c r="BB32" s="308">
        <f>(IF('Water Report'!$AH$15&gt;0,'Water Report'!$DAH$15,0))</f>
        <v>0</v>
      </c>
      <c r="BC32" s="308">
        <f>(IF('Water Report'!$AH$13&gt;0,'Water Report'!$DAH$13,0))</f>
        <v>0</v>
      </c>
      <c r="BD32" s="308">
        <f>(IF('Water Report'!$AH$24&gt;0,'Water Report'!$DAH$24,0))</f>
        <v>0</v>
      </c>
      <c r="BE32" s="308">
        <f>(IF('Water Report'!$AH$25&gt;0,'Water Report'!$DAH$25,0))</f>
        <v>0</v>
      </c>
      <c r="BF32" s="308">
        <f>(IF('Water Report'!$AH$27&gt;0,'Water Report'!$DAH$27,0))</f>
        <v>0</v>
      </c>
      <c r="BG32" s="303">
        <f>(IF('Section Load'!AN35&gt;0,'Section Load'!AN35,0))</f>
        <v>1024.9599999999627</v>
      </c>
      <c r="BH32" s="303">
        <f>(IF('Section Load'!AO35&gt;0,'Section Load'!AO35,0))</f>
        <v>292.23100000002887</v>
      </c>
      <c r="BI32" s="303">
        <f>(IF('Section Load'!AP35&gt;0,'Section Load'!AP35,0))</f>
        <v>0</v>
      </c>
      <c r="BJ32" s="303">
        <f>(IF('Section Load'!AQ35&gt;0,'Section Load'!AQ35,0))</f>
        <v>88.5</v>
      </c>
      <c r="BK32" s="303">
        <f>(IF('Section Load'!AR35&gt;0,'Section Load'!AR35,0))</f>
        <v>44.5</v>
      </c>
      <c r="BL32" s="303">
        <f>(IF('Section Load'!AS35&gt;0,'Section Load'!AS35,0))</f>
        <v>1.3999999999996362</v>
      </c>
      <c r="BM32" s="303">
        <f>(IF('Section Load'!AT35&gt;0,'Section Load'!AT35,0))</f>
        <v>598.32899999993424</v>
      </c>
    </row>
    <row r="35" spans="45:45">
      <c r="AS35" s="3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673"/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  <c r="Y1" s="673"/>
      <c r="Z1" s="673"/>
      <c r="AA1" s="673"/>
      <c r="AB1" s="673"/>
      <c r="AC1" s="673"/>
      <c r="AD1" s="673"/>
      <c r="AE1" s="673"/>
      <c r="AF1" s="673"/>
      <c r="AG1" s="673"/>
      <c r="AH1" s="673"/>
      <c r="AI1" s="673"/>
      <c r="AJ1" s="673"/>
      <c r="AK1" s="673"/>
      <c r="AL1" s="673"/>
      <c r="AM1" s="673"/>
      <c r="AN1" s="673"/>
      <c r="AO1" s="673"/>
      <c r="AP1" s="673"/>
      <c r="AQ1" s="673"/>
      <c r="AR1" s="673"/>
      <c r="AS1" s="673"/>
      <c r="AT1" s="673"/>
      <c r="AU1" s="673"/>
      <c r="AV1" s="673"/>
      <c r="AW1" s="673"/>
      <c r="AX1" s="673"/>
      <c r="AY1" s="673"/>
      <c r="AZ1" s="673"/>
      <c r="BA1" s="673"/>
      <c r="BB1" s="673"/>
      <c r="BC1" s="673"/>
      <c r="BD1" s="673"/>
      <c r="BE1" s="673"/>
      <c r="BF1" s="673"/>
      <c r="BG1" s="673"/>
      <c r="BH1" s="673"/>
      <c r="BI1" s="673"/>
      <c r="BJ1" s="673"/>
      <c r="BK1" s="673"/>
      <c r="BL1" s="673"/>
      <c r="BM1" s="673"/>
      <c r="BN1" s="673"/>
    </row>
    <row r="2" spans="1:69" ht="28.5" customHeight="1">
      <c r="A2" s="1" t="s">
        <v>0</v>
      </c>
      <c r="B2" s="1" t="s">
        <v>0</v>
      </c>
      <c r="C2" s="268" t="s">
        <v>1</v>
      </c>
      <c r="D2" s="2" t="s">
        <v>2</v>
      </c>
      <c r="E2" s="3" t="s">
        <v>3</v>
      </c>
      <c r="F2" s="84" t="s">
        <v>4</v>
      </c>
      <c r="G2" s="84"/>
      <c r="H2" s="674" t="s">
        <v>5</v>
      </c>
      <c r="I2" s="674"/>
      <c r="J2" s="674"/>
      <c r="K2" s="44"/>
      <c r="L2" s="675" t="s">
        <v>6</v>
      </c>
      <c r="M2" s="675"/>
      <c r="N2" s="675"/>
      <c r="O2" s="676" t="s">
        <v>7</v>
      </c>
      <c r="P2" s="676"/>
      <c r="Q2" s="676"/>
      <c r="R2" s="44" t="s">
        <v>8</v>
      </c>
      <c r="S2" s="677" t="s">
        <v>9</v>
      </c>
      <c r="T2" s="677"/>
      <c r="U2" s="677"/>
      <c r="V2" s="678" t="s">
        <v>10</v>
      </c>
      <c r="W2" s="679"/>
      <c r="X2" s="680"/>
      <c r="Y2" s="267"/>
      <c r="Z2" s="681" t="s">
        <v>11</v>
      </c>
      <c r="AA2" s="681"/>
      <c r="AB2" s="681"/>
      <c r="AC2" s="681"/>
      <c r="AD2" s="268"/>
      <c r="AE2" s="268" t="s">
        <v>12</v>
      </c>
      <c r="AF2" s="268" t="s">
        <v>13</v>
      </c>
      <c r="AG2" s="681" t="s">
        <v>14</v>
      </c>
      <c r="AH2" s="681"/>
      <c r="AI2" s="681"/>
      <c r="AJ2" s="268" t="s">
        <v>15</v>
      </c>
      <c r="AK2" s="681" t="s">
        <v>16</v>
      </c>
      <c r="AL2" s="681"/>
      <c r="AM2" s="681"/>
      <c r="AN2" s="268" t="s">
        <v>17</v>
      </c>
      <c r="AO2" s="5" t="s">
        <v>18</v>
      </c>
      <c r="AP2" s="682" t="s">
        <v>19</v>
      </c>
      <c r="AQ2" s="683"/>
      <c r="AR2" s="683"/>
      <c r="AS2" s="683"/>
      <c r="AT2" s="683"/>
      <c r="AU2" s="683"/>
      <c r="AV2" s="683"/>
      <c r="AW2" s="683"/>
      <c r="AX2" s="683"/>
      <c r="AY2" s="684"/>
      <c r="AZ2" s="682" t="s">
        <v>20</v>
      </c>
      <c r="BA2" s="683"/>
      <c r="BB2" s="683"/>
      <c r="BC2" s="683"/>
      <c r="BD2" s="683"/>
      <c r="BE2" s="683"/>
      <c r="BF2" s="683"/>
      <c r="BG2" s="683"/>
      <c r="BH2" s="683"/>
      <c r="BI2" s="85"/>
      <c r="BJ2" s="75"/>
      <c r="BK2" s="39"/>
      <c r="BL2" s="39"/>
      <c r="BM2" s="39"/>
      <c r="BN2" s="268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28</v>
      </c>
      <c r="E4" s="50">
        <f>'1'!D4</f>
        <v>0.9</v>
      </c>
      <c r="F4" s="50">
        <f>'1'!D2</f>
        <v>0.51</v>
      </c>
      <c r="G4" s="19">
        <f>'1'!G7</f>
        <v>21371.489999999991</v>
      </c>
      <c r="H4" s="19">
        <f>'1'!G8</f>
        <v>21808.969999999972</v>
      </c>
      <c r="I4" s="19">
        <v>9</v>
      </c>
      <c r="J4" s="49">
        <f>H4*I4</f>
        <v>196280.72999999975</v>
      </c>
      <c r="K4" s="45">
        <f>H4/202</f>
        <v>107.96519801980185</v>
      </c>
      <c r="L4" s="19">
        <f>'1'!G15</f>
        <v>1029.0300000000279</v>
      </c>
      <c r="M4" s="19">
        <v>56.2</v>
      </c>
      <c r="N4" s="45">
        <f>L4*M4</f>
        <v>57831.486000001576</v>
      </c>
      <c r="O4" s="19">
        <f>'1'!G20</f>
        <v>237</v>
      </c>
      <c r="P4" s="19">
        <v>108</v>
      </c>
      <c r="Q4" s="46">
        <f t="shared" ref="Q4:Q33" si="0">O4*P4</f>
        <v>25596</v>
      </c>
      <c r="R4" s="47">
        <f t="shared" ref="R4:R34" si="1">O4/(F4*202/100)</f>
        <v>230.05241700640653</v>
      </c>
      <c r="S4" s="19">
        <f>'1'!G24</f>
        <v>0</v>
      </c>
      <c r="T4" s="19">
        <v>69</v>
      </c>
      <c r="U4" s="48">
        <f>S4*T4</f>
        <v>0</v>
      </c>
      <c r="V4" s="22">
        <f>'1'!G65</f>
        <v>97</v>
      </c>
      <c r="W4" s="22">
        <f>'1'!G66</f>
        <v>23</v>
      </c>
      <c r="X4" s="22">
        <f>'1'!G67</f>
        <v>30</v>
      </c>
      <c r="Y4" s="22">
        <f>V4+W4+X4</f>
        <v>150</v>
      </c>
      <c r="Z4" s="19">
        <f>'1'!G84</f>
        <v>0</v>
      </c>
      <c r="AA4" s="19">
        <f>'1'!G85</f>
        <v>0</v>
      </c>
      <c r="AB4" s="19">
        <f>'1'!G86</f>
        <v>0.47000000000116415</v>
      </c>
      <c r="AC4" s="19">
        <f>'1'!G87</f>
        <v>24.309999999997672</v>
      </c>
      <c r="AD4" s="19">
        <f>Z4+AA4+AB4+AC4</f>
        <v>24.779999999998836</v>
      </c>
      <c r="AE4" s="23">
        <f t="shared" ref="AE4:AE33" si="2">AU4+AV4+BE4+BF4</f>
        <v>5549.160000000018</v>
      </c>
      <c r="AF4" s="23">
        <f>AE4/AD4</f>
        <v>223.93704600485387</v>
      </c>
      <c r="AG4" s="19">
        <f>'1'!G88</f>
        <v>9.6599999999998545</v>
      </c>
      <c r="AH4" s="19">
        <f>'1'!G89</f>
        <v>0</v>
      </c>
      <c r="AI4" s="19">
        <f>'1'!G90</f>
        <v>5.7799999999988358</v>
      </c>
      <c r="AJ4" s="19">
        <f>AG4+AH4+AI4</f>
        <v>15.43999999999869</v>
      </c>
      <c r="AK4" s="19">
        <f>'1'!G91</f>
        <v>0</v>
      </c>
      <c r="AL4" s="19">
        <f>'1'!G92</f>
        <v>10.3100000000004</v>
      </c>
      <c r="AM4" s="19"/>
      <c r="AN4" s="19">
        <f>AK4+AL4</f>
        <v>10.3100000000004</v>
      </c>
      <c r="AO4" s="52">
        <f>'1'!G74</f>
        <v>294.14899999997579</v>
      </c>
      <c r="AP4" s="55">
        <f>'1'!G35</f>
        <v>1772.9599999999991</v>
      </c>
      <c r="AQ4" s="19">
        <f>'1'!G37</f>
        <v>1604.9599999999919</v>
      </c>
      <c r="AR4" s="19">
        <f>'1'!G38</f>
        <v>1846.1399999999994</v>
      </c>
      <c r="AS4" s="19">
        <f>'1'!G39</f>
        <v>2900.0400000000081</v>
      </c>
      <c r="AT4" s="19">
        <f>'1'!G40</f>
        <v>2.9999999999997584E-2</v>
      </c>
      <c r="AU4" s="19">
        <f>'1'!G41</f>
        <v>0</v>
      </c>
      <c r="AV4" s="19">
        <f>'1'!G42</f>
        <v>-3.9999999979045242E-2</v>
      </c>
      <c r="AW4" s="19">
        <f>'1'!G43</f>
        <v>2600.9000000001397</v>
      </c>
      <c r="AX4" s="19">
        <f>'1'!G44</f>
        <v>0</v>
      </c>
      <c r="AY4" s="56">
        <f>'1'!G36</f>
        <v>683.27999999999884</v>
      </c>
      <c r="AZ4" s="55">
        <f>'1'!G49</f>
        <v>1420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4.5100000000002183</v>
      </c>
      <c r="BE4" s="19">
        <f>'1'!G55</f>
        <v>0</v>
      </c>
      <c r="BF4" s="19">
        <f>'1'!G56</f>
        <v>5549.1999999999971</v>
      </c>
      <c r="BG4" s="19">
        <f>'1'!G57</f>
        <v>0</v>
      </c>
      <c r="BH4" s="56">
        <f>'1'!G50</f>
        <v>1026.9599999999627</v>
      </c>
      <c r="BI4" s="60">
        <f>SUM(AU4,AV4,BE4,BF4)</f>
        <v>5549.160000000018</v>
      </c>
      <c r="BJ4" s="60">
        <f>'1'!G133</f>
        <v>604.29000000000087</v>
      </c>
      <c r="BK4" s="23">
        <f>SUM(AP4,AU4,AV4,AW4,AZ4,BE4,BF4,BG4)/H4%</f>
        <v>52.010801060298455</v>
      </c>
      <c r="BL4" s="23">
        <f>SUM(AS4,BC4)/H4%</f>
        <v>13.297464300239819</v>
      </c>
      <c r="BM4" s="24">
        <f>(AR4+BB4)/H4</f>
        <v>8.4650490142358939E-2</v>
      </c>
      <c r="BN4" s="25">
        <f>J4+N4+Q4+U4</f>
        <v>279708.2160000013</v>
      </c>
      <c r="BO4" s="38">
        <f>SUM(AU4,AV4,AW4,BE4,BF4,BG4,BJ4)</f>
        <v>8754.3500000001586</v>
      </c>
      <c r="BP4">
        <f>BO4/(AD4*280)</f>
        <v>1.261724605096358</v>
      </c>
      <c r="BQ4" s="38">
        <f>SUM(AU4,AV4,BE4,BF4)/(AD4*400)</f>
        <v>0.55984261501213461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0.9</v>
      </c>
      <c r="F5" s="50">
        <f>'2'!D2</f>
        <v>0.51</v>
      </c>
      <c r="G5" s="19">
        <f>'2'!G7</f>
        <v>22482.880000000005</v>
      </c>
      <c r="H5" s="19">
        <f>'2'!G8</f>
        <v>22954.079999999958</v>
      </c>
      <c r="I5" s="19">
        <v>9</v>
      </c>
      <c r="J5" s="49">
        <f t="shared" ref="J5:J34" si="3">H5*I5</f>
        <v>206586.71999999962</v>
      </c>
      <c r="K5" s="45">
        <f t="shared" ref="K5:K33" si="4">H5/202</f>
        <v>113.63405940594039</v>
      </c>
      <c r="L5" s="19">
        <f>'2'!G15</f>
        <v>946.85000000009313</v>
      </c>
      <c r="M5" s="19">
        <v>56.2</v>
      </c>
      <c r="N5" s="45">
        <f t="shared" ref="N5:N33" si="5">L5*M5</f>
        <v>53212.97000000524</v>
      </c>
      <c r="O5" s="19">
        <f>'2'!G20</f>
        <v>270</v>
      </c>
      <c r="P5" s="19">
        <v>108</v>
      </c>
      <c r="Q5" s="46">
        <f t="shared" si="0"/>
        <v>29160</v>
      </c>
      <c r="R5" s="47">
        <f t="shared" si="1"/>
        <v>262.085032032615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426411</v>
      </c>
      <c r="W5" s="22">
        <f>'2'!G66</f>
        <v>18</v>
      </c>
      <c r="X5" s="22">
        <f>'2'!G67</f>
        <v>24</v>
      </c>
      <c r="Y5" s="22">
        <f t="shared" ref="Y5:Y33" si="7">V5+W5+X5</f>
        <v>426453</v>
      </c>
      <c r="Z5" s="19">
        <f>'2'!G84</f>
        <v>3.4400000000023283</v>
      </c>
      <c r="AA5" s="19">
        <f>'2'!G85</f>
        <v>0</v>
      </c>
      <c r="AB5" s="19">
        <f>'2'!G86</f>
        <v>0</v>
      </c>
      <c r="AC5" s="19">
        <f>'2'!G87</f>
        <v>23.690000000002328</v>
      </c>
      <c r="AD5" s="19">
        <f t="shared" ref="AD5:AD33" si="8">Z5+AA5+AB5+AC5</f>
        <v>27.130000000004657</v>
      </c>
      <c r="AE5" s="23">
        <f t="shared" si="2"/>
        <v>6250.2900000000081</v>
      </c>
      <c r="AF5" s="23">
        <f t="shared" ref="AF5:AF33" si="9">AE5/AD5</f>
        <v>230.38297088090437</v>
      </c>
      <c r="AG5" s="19">
        <f>'2'!G88</f>
        <v>0</v>
      </c>
      <c r="AH5" s="19">
        <f>'2'!G89</f>
        <v>9.5599999999976717</v>
      </c>
      <c r="AI5" s="19">
        <f>'2'!G90</f>
        <v>3.6699999999982538</v>
      </c>
      <c r="AJ5" s="19">
        <f t="shared" ref="AJ5:AJ33" si="10">AG5+AH5+AI5</f>
        <v>13.229999999995925</v>
      </c>
      <c r="AK5" s="19">
        <f>'2'!G91</f>
        <v>0</v>
      </c>
      <c r="AL5" s="19">
        <f>'2'!G92</f>
        <v>10.289999999999964</v>
      </c>
      <c r="AM5" s="19"/>
      <c r="AN5" s="19">
        <f t="shared" ref="AN5:AN33" si="11">AK5+AL5</f>
        <v>10.289999999999964</v>
      </c>
      <c r="AO5" s="52">
        <f>'2'!G74</f>
        <v>292.80000000004657</v>
      </c>
      <c r="AP5" s="55">
        <f>'2'!G35</f>
        <v>1996.9700000000012</v>
      </c>
      <c r="AQ5" s="19">
        <f>'2'!G37</f>
        <v>1550.5200000000041</v>
      </c>
      <c r="AR5" s="19">
        <f>'2'!G38</f>
        <v>1770.9900000000052</v>
      </c>
      <c r="AS5" s="19">
        <f>'2'!G39</f>
        <v>2945.3999999999942</v>
      </c>
      <c r="AT5" s="19">
        <f>'2'!G40</f>
        <v>1.4000000000000021</v>
      </c>
      <c r="AU5" s="19">
        <f>'2'!G41</f>
        <v>687.88000000000466</v>
      </c>
      <c r="AV5" s="19">
        <f>'2'!G42</f>
        <v>0</v>
      </c>
      <c r="AW5" s="19">
        <f>'2'!G43</f>
        <v>2747.8000000000466</v>
      </c>
      <c r="AX5" s="19">
        <f>'2'!G44</f>
        <v>0</v>
      </c>
      <c r="AY5" s="56">
        <f>'2'!G36</f>
        <v>757.12000000000262</v>
      </c>
      <c r="AZ5" s="55">
        <f>'2'!G49</f>
        <v>1508.3999999999942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4.8899999999998727</v>
      </c>
      <c r="BE5" s="19">
        <f>'2'!G55</f>
        <v>0</v>
      </c>
      <c r="BF5" s="19">
        <f>'2'!G56</f>
        <v>5562.4100000000035</v>
      </c>
      <c r="BG5" s="19">
        <f>'2'!G57</f>
        <v>0</v>
      </c>
      <c r="BH5" s="56">
        <f>'2'!G50</f>
        <v>1026.4799999999814</v>
      </c>
      <c r="BI5" s="60">
        <f t="shared" ref="BI5:BI32" si="12">SUM(AU5,AV5,BE5,BF5)</f>
        <v>6250.2900000000081</v>
      </c>
      <c r="BJ5" s="60">
        <f>'2'!G133</f>
        <v>675.55999999999767</v>
      </c>
      <c r="BK5" s="23">
        <f t="shared" ref="BK5:BK33" si="13">SUM(AP5,AU5,AV5,AW5,AZ5,BE5,BF5,BG5)/H5%</f>
        <v>54.471623345392508</v>
      </c>
      <c r="BL5" s="23">
        <f t="shared" ref="BL5:BL33" si="14">SUM(AS5,BC5)/H5%</f>
        <v>12.831705735973733</v>
      </c>
      <c r="BM5" s="24">
        <f t="shared" ref="BM5:BM33" si="15">(AR5+BB5)/H5</f>
        <v>7.7153604065160031E-2</v>
      </c>
      <c r="BN5" s="25">
        <f t="shared" ref="BN5:BN33" si="16">J5+N5+Q5+U5</f>
        <v>288959.69000000483</v>
      </c>
      <c r="BO5" s="38">
        <f t="shared" ref="BO5:BO35" si="17">SUM(AU5,AV5,AW5,BE5,BF5,BG5,BJ5)</f>
        <v>9673.6500000000524</v>
      </c>
      <c r="BP5">
        <f t="shared" ref="BP5:BP35" si="18">BO5/(AD5*280)</f>
        <v>1.2734518982673888</v>
      </c>
    </row>
    <row r="6" spans="1:69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21968.679999999935</v>
      </c>
      <c r="H6" s="19">
        <f>'3'!G8</f>
        <v>22487.75</v>
      </c>
      <c r="I6" s="19">
        <v>9</v>
      </c>
      <c r="J6" s="49">
        <f t="shared" si="3"/>
        <v>202389.75</v>
      </c>
      <c r="K6" s="45">
        <f t="shared" si="4"/>
        <v>111.32549504950495</v>
      </c>
      <c r="L6" s="19">
        <f>'3'!G15</f>
        <v>955.48999999999069</v>
      </c>
      <c r="M6" s="19">
        <v>56.2</v>
      </c>
      <c r="N6" s="45">
        <f t="shared" si="5"/>
        <v>53698.537999999477</v>
      </c>
      <c r="O6" s="19">
        <f>'3'!G20</f>
        <v>279</v>
      </c>
      <c r="P6" s="19">
        <v>108</v>
      </c>
      <c r="Q6" s="46">
        <f t="shared" si="0"/>
        <v>30132</v>
      </c>
      <c r="R6" s="47">
        <f t="shared" si="1"/>
        <v>270.82119976703552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121</v>
      </c>
      <c r="W6" s="22">
        <f>'3'!G66</f>
        <v>17</v>
      </c>
      <c r="X6" s="22">
        <f>'3'!G67</f>
        <v>19</v>
      </c>
      <c r="Y6" s="22">
        <f>V6+W6+X6</f>
        <v>157</v>
      </c>
      <c r="Z6" s="19">
        <f>'3'!G84</f>
        <v>0</v>
      </c>
      <c r="AA6" s="19">
        <f>'3'!G85</f>
        <v>0</v>
      </c>
      <c r="AB6" s="19">
        <f>'3'!G86</f>
        <v>0</v>
      </c>
      <c r="AC6" s="19">
        <f>'3'!G87</f>
        <v>24</v>
      </c>
      <c r="AD6" s="19">
        <f t="shared" si="8"/>
        <v>24</v>
      </c>
      <c r="AE6" s="23">
        <f t="shared" si="2"/>
        <v>5371.2200000000084</v>
      </c>
      <c r="AF6" s="23">
        <f t="shared" si="9"/>
        <v>223.80083333333369</v>
      </c>
      <c r="AG6" s="19">
        <f>'3'!G88</f>
        <v>8.7900000000008731</v>
      </c>
      <c r="AH6" s="19">
        <f>'3'!G89</f>
        <v>0</v>
      </c>
      <c r="AI6" s="19">
        <f>'3'!G90</f>
        <v>2.75</v>
      </c>
      <c r="AJ6" s="19">
        <f t="shared" si="10"/>
        <v>11.540000000000873</v>
      </c>
      <c r="AK6" s="19">
        <f>'3'!G91</f>
        <v>0</v>
      </c>
      <c r="AL6" s="19">
        <f>'3'!G92</f>
        <v>10.25</v>
      </c>
      <c r="AM6" s="19"/>
      <c r="AN6" s="19">
        <f t="shared" si="11"/>
        <v>10.25</v>
      </c>
      <c r="AO6" s="52">
        <f>'3'!G74</f>
        <v>291.92599999997765</v>
      </c>
      <c r="AP6" s="55">
        <f>'3'!G35</f>
        <v>2088.510000000002</v>
      </c>
      <c r="AQ6" s="19">
        <f>'3'!G37</f>
        <v>1629.4600000000064</v>
      </c>
      <c r="AR6" s="19">
        <f>'3'!G38</f>
        <v>1944.7100000000064</v>
      </c>
      <c r="AS6" s="19">
        <f>'3'!G39</f>
        <v>2961.1600000000035</v>
      </c>
      <c r="AT6" s="19">
        <f>'3'!G40</f>
        <v>3.5999999999999979</v>
      </c>
      <c r="AU6" s="19">
        <f>'3'!G41</f>
        <v>0</v>
      </c>
      <c r="AV6" s="19">
        <f>'3'!G42</f>
        <v>0.20000000001164153</v>
      </c>
      <c r="AW6" s="19">
        <f>'3'!G43</f>
        <v>2695.3999999999069</v>
      </c>
      <c r="AX6" s="19">
        <f>'3'!G44</f>
        <v>0</v>
      </c>
      <c r="AY6" s="56">
        <f>'3'!G36</f>
        <v>684.48999999999796</v>
      </c>
      <c r="AZ6" s="55">
        <f>'3'!G49</f>
        <v>1685.7200000000012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4.8499999999999091</v>
      </c>
      <c r="BE6" s="19">
        <f>'3'!G55</f>
        <v>0</v>
      </c>
      <c r="BF6" s="19">
        <f>'3'!G56</f>
        <v>5371.0199999999968</v>
      </c>
      <c r="BG6" s="19">
        <f>'3'!G57</f>
        <v>0</v>
      </c>
      <c r="BH6" s="56">
        <f>'3'!G50</f>
        <v>960.1600000000326</v>
      </c>
      <c r="BI6" s="60">
        <f t="shared" si="12"/>
        <v>5371.2200000000084</v>
      </c>
      <c r="BJ6" s="60">
        <f>'3'!G133</f>
        <v>815.11000000000058</v>
      </c>
      <c r="BK6" s="23">
        <f t="shared" si="13"/>
        <v>52.654667541216526</v>
      </c>
      <c r="BL6" s="23">
        <f t="shared" si="14"/>
        <v>13.167880290380333</v>
      </c>
      <c r="BM6" s="24">
        <f t="shared" si="15"/>
        <v>8.6478638369779384E-2</v>
      </c>
      <c r="BN6" s="25">
        <f t="shared" si="16"/>
        <v>286220.28799999948</v>
      </c>
      <c r="BO6" s="38">
        <f t="shared" si="17"/>
        <v>8881.7299999999159</v>
      </c>
      <c r="BP6">
        <f t="shared" si="18"/>
        <v>1.3216860119047493</v>
      </c>
    </row>
    <row r="7" spans="1:69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0.68</v>
      </c>
      <c r="G7" s="19">
        <f>'4'!G7</f>
        <v>20341.479999999981</v>
      </c>
      <c r="H7" s="19">
        <f>'4'!G8</f>
        <v>20833.410000000033</v>
      </c>
      <c r="I7" s="19">
        <v>9</v>
      </c>
      <c r="J7" s="49">
        <f t="shared" si="3"/>
        <v>187500.69000000029</v>
      </c>
      <c r="K7" s="45">
        <f t="shared" si="4"/>
        <v>103.1356930693071</v>
      </c>
      <c r="L7" s="19">
        <f>'4'!G15</f>
        <v>914.75</v>
      </c>
      <c r="M7" s="19">
        <v>56.2</v>
      </c>
      <c r="N7" s="45">
        <f t="shared" si="5"/>
        <v>51408.950000000004</v>
      </c>
      <c r="O7" s="19">
        <f>'4'!G20</f>
        <v>239</v>
      </c>
      <c r="P7" s="19">
        <v>108</v>
      </c>
      <c r="Q7" s="46">
        <f t="shared" si="0"/>
        <v>25812</v>
      </c>
      <c r="R7" s="47">
        <f t="shared" si="1"/>
        <v>173.99534071054163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85</v>
      </c>
      <c r="W7" s="22">
        <f>'4'!G66</f>
        <v>17</v>
      </c>
      <c r="X7" s="22">
        <f>'4'!G67</f>
        <v>17</v>
      </c>
      <c r="Y7" s="22">
        <f t="shared" si="7"/>
        <v>119</v>
      </c>
      <c r="Z7" s="19">
        <f>'4'!G84</f>
        <v>0</v>
      </c>
      <c r="AA7" s="19">
        <f>'4'!G85</f>
        <v>0</v>
      </c>
      <c r="AB7" s="19">
        <f>'4'!G86</f>
        <v>0</v>
      </c>
      <c r="AC7" s="19">
        <f>'4'!G87</f>
        <v>24</v>
      </c>
      <c r="AD7" s="19">
        <f t="shared" si="8"/>
        <v>24</v>
      </c>
      <c r="AE7" s="23">
        <f t="shared" si="2"/>
        <v>5066.4999999999927</v>
      </c>
      <c r="AF7" s="23">
        <f t="shared" si="9"/>
        <v>211.10416666666637</v>
      </c>
      <c r="AG7" s="19">
        <f>'4'!G88</f>
        <v>9.2000000000007276</v>
      </c>
      <c r="AH7" s="19">
        <f>'4'!G89</f>
        <v>0</v>
      </c>
      <c r="AI7" s="19">
        <f>'4'!G90</f>
        <v>9.9999999947613105E-3</v>
      </c>
      <c r="AJ7" s="19">
        <f t="shared" si="10"/>
        <v>9.2099999999954889</v>
      </c>
      <c r="AK7" s="19">
        <f>'4'!G91</f>
        <v>0</v>
      </c>
      <c r="AL7" s="19">
        <f>'4'!G92</f>
        <v>9.8000000000001819</v>
      </c>
      <c r="AM7" s="19"/>
      <c r="AN7" s="19">
        <f t="shared" si="11"/>
        <v>9.8000000000001819</v>
      </c>
      <c r="AO7" s="52">
        <f>'4'!G74</f>
        <v>278.42399999999907</v>
      </c>
      <c r="AP7" s="55">
        <f>'4'!G35</f>
        <v>1971.489999999998</v>
      </c>
      <c r="AQ7" s="19">
        <f>'4'!G37</f>
        <v>1438.8999999999942</v>
      </c>
      <c r="AR7" s="19">
        <f>'4'!G38</f>
        <v>1642.6100000000006</v>
      </c>
      <c r="AS7" s="19">
        <f>'4'!G39</f>
        <v>2745.679999999993</v>
      </c>
      <c r="AT7" s="19">
        <f>'4'!G40</f>
        <v>4.1000000000000014</v>
      </c>
      <c r="AU7" s="19">
        <f>'4'!G41</f>
        <v>0</v>
      </c>
      <c r="AV7" s="19">
        <f>'4'!G42</f>
        <v>-0.20000000001164153</v>
      </c>
      <c r="AW7" s="19">
        <f>'4'!G43</f>
        <v>2524.1999999999534</v>
      </c>
      <c r="AX7" s="19">
        <f>'4'!G44</f>
        <v>0</v>
      </c>
      <c r="AY7" s="56">
        <f>'4'!G36</f>
        <v>640.12000000000262</v>
      </c>
      <c r="AZ7" s="55">
        <f>'4'!G49</f>
        <v>1643.0199999999895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4.6000000000003638</v>
      </c>
      <c r="BE7" s="19">
        <f>'4'!G55</f>
        <v>0</v>
      </c>
      <c r="BF7" s="19">
        <f>'4'!G56</f>
        <v>5066.7000000000044</v>
      </c>
      <c r="BG7" s="19">
        <f>'4'!G57</f>
        <v>0</v>
      </c>
      <c r="BH7" s="56">
        <f>'4'!G50</f>
        <v>884</v>
      </c>
      <c r="BI7" s="60">
        <f t="shared" si="12"/>
        <v>5066.4999999999927</v>
      </c>
      <c r="BJ7" s="60">
        <f>'3'!G133</f>
        <v>815.11000000000058</v>
      </c>
      <c r="BK7" s="23">
        <f t="shared" si="13"/>
        <v>53.784810071898534</v>
      </c>
      <c r="BL7" s="23">
        <f t="shared" si="14"/>
        <v>13.179215500486904</v>
      </c>
      <c r="BM7" s="24">
        <f t="shared" si="15"/>
        <v>7.8844989850437253E-2</v>
      </c>
      <c r="BN7" s="25">
        <f t="shared" si="16"/>
        <v>264721.64000000031</v>
      </c>
      <c r="BO7" s="38">
        <f t="shared" si="17"/>
        <v>8405.8099999999467</v>
      </c>
      <c r="BP7">
        <f t="shared" si="18"/>
        <v>1.2508645833333254</v>
      </c>
    </row>
    <row r="8" spans="1:69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0.38</v>
      </c>
      <c r="G8" s="19">
        <f>'5'!G7</f>
        <v>23751.170000000042</v>
      </c>
      <c r="H8" s="19">
        <f>'5'!G8</f>
        <v>24186.890000000014</v>
      </c>
      <c r="I8" s="19">
        <v>9</v>
      </c>
      <c r="J8" s="49">
        <f t="shared" si="3"/>
        <v>217682.01000000013</v>
      </c>
      <c r="K8" s="45">
        <f t="shared" si="4"/>
        <v>119.73707920792086</v>
      </c>
      <c r="L8" s="19">
        <f>'5'!G15</f>
        <v>889.91999999992549</v>
      </c>
      <c r="M8" s="19">
        <v>56.2</v>
      </c>
      <c r="N8" s="45">
        <f t="shared" si="5"/>
        <v>50013.503999995817</v>
      </c>
      <c r="O8" s="19">
        <f>'5'!G20</f>
        <v>159</v>
      </c>
      <c r="P8" s="19">
        <v>108</v>
      </c>
      <c r="Q8" s="46">
        <f t="shared" si="0"/>
        <v>17172</v>
      </c>
      <c r="R8" s="47">
        <f t="shared" si="1"/>
        <v>207.13913496612818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72</v>
      </c>
      <c r="W8" s="22">
        <f>'5'!G66</f>
        <v>13</v>
      </c>
      <c r="X8" s="22">
        <f>'5'!G67</f>
        <v>30</v>
      </c>
      <c r="Y8" s="22">
        <f t="shared" si="7"/>
        <v>115</v>
      </c>
      <c r="Z8" s="19">
        <f>'5'!G84</f>
        <v>0</v>
      </c>
      <c r="AA8" s="19">
        <f>'5'!G85</f>
        <v>9</v>
      </c>
      <c r="AB8" s="19">
        <f>'5'!G86</f>
        <v>0</v>
      </c>
      <c r="AC8" s="19">
        <f>'5'!G87</f>
        <v>24</v>
      </c>
      <c r="AD8" s="19">
        <f t="shared" si="8"/>
        <v>33</v>
      </c>
      <c r="AE8" s="23">
        <f t="shared" si="2"/>
        <v>6887.7499999999927</v>
      </c>
      <c r="AF8" s="23">
        <f t="shared" si="9"/>
        <v>208.71969696969674</v>
      </c>
      <c r="AG8" s="19">
        <f>'5'!G88</f>
        <v>7.3299999999981083</v>
      </c>
      <c r="AH8" s="19">
        <f>'5'!G89</f>
        <v>0</v>
      </c>
      <c r="AI8" s="19">
        <f>'5'!G90</f>
        <v>3.6699999999982538</v>
      </c>
      <c r="AJ8" s="19">
        <f t="shared" si="10"/>
        <v>10.999999999996362</v>
      </c>
      <c r="AK8" s="19">
        <f>'5'!G91</f>
        <v>0</v>
      </c>
      <c r="AL8" s="19">
        <f>'5'!G92</f>
        <v>10.159999999999854</v>
      </c>
      <c r="AM8" s="19"/>
      <c r="AN8" s="19">
        <f t="shared" si="11"/>
        <v>10.159999999999854</v>
      </c>
      <c r="AO8" s="52">
        <f>'5'!G74</f>
        <v>289.46999999997206</v>
      </c>
      <c r="AP8" s="55">
        <f>'5'!G35</f>
        <v>1911.4000000000015</v>
      </c>
      <c r="AQ8" s="19">
        <f>'5'!G37</f>
        <v>1602.3300000000017</v>
      </c>
      <c r="AR8" s="19">
        <f>'5'!G38</f>
        <v>1798.5099999999948</v>
      </c>
      <c r="AS8" s="19">
        <f>'5'!G39</f>
        <v>2856.6700000000128</v>
      </c>
      <c r="AT8" s="19">
        <f>'5'!G40</f>
        <v>3.5</v>
      </c>
      <c r="AU8" s="19">
        <f>'5'!G41</f>
        <v>0</v>
      </c>
      <c r="AV8" s="19">
        <f>'5'!G42</f>
        <v>1735.3699999999953</v>
      </c>
      <c r="AW8" s="19">
        <f>'5'!G43</f>
        <v>2973.3000000000466</v>
      </c>
      <c r="AX8" s="19">
        <f>'5'!G44</f>
        <v>0</v>
      </c>
      <c r="AY8" s="56">
        <f>'5'!G36</f>
        <v>903.31999999999971</v>
      </c>
      <c r="AZ8" s="55">
        <f>'5'!G49</f>
        <v>1686.4700000000012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4.6599999999998545</v>
      </c>
      <c r="BE8" s="19">
        <f>'5'!G55</f>
        <v>0</v>
      </c>
      <c r="BF8" s="19">
        <f>'5'!G56</f>
        <v>5152.3799999999974</v>
      </c>
      <c r="BG8" s="19">
        <f>'5'!G57</f>
        <v>0</v>
      </c>
      <c r="BH8" s="56">
        <f>'5'!G50</f>
        <v>1183.0899999999674</v>
      </c>
      <c r="BI8" s="60">
        <f t="shared" si="12"/>
        <v>6887.7499999999927</v>
      </c>
      <c r="BJ8" s="60">
        <f>'5'!G133</f>
        <v>815.58999999999651</v>
      </c>
      <c r="BK8" s="23">
        <f t="shared" si="13"/>
        <v>55.645517054900544</v>
      </c>
      <c r="BL8" s="23">
        <f t="shared" si="14"/>
        <v>11.810819828427761</v>
      </c>
      <c r="BM8" s="24">
        <f t="shared" si="15"/>
        <v>7.4358877887979555E-2</v>
      </c>
      <c r="BN8" s="25">
        <f t="shared" si="16"/>
        <v>284867.51399999595</v>
      </c>
      <c r="BO8" s="38">
        <f t="shared" si="17"/>
        <v>10676.640000000036</v>
      </c>
      <c r="BP8">
        <f t="shared" si="18"/>
        <v>1.1554805194805233</v>
      </c>
    </row>
    <row r="9" spans="1:69">
      <c r="A9" s="16">
        <v>6</v>
      </c>
      <c r="B9" s="17">
        <v>6</v>
      </c>
      <c r="C9" s="26"/>
      <c r="D9" s="19">
        <f>'6'!D3</f>
        <v>28</v>
      </c>
      <c r="E9" s="50">
        <f>'6'!D4</f>
        <v>0.79</v>
      </c>
      <c r="F9" s="50">
        <f>'6'!D2</f>
        <v>1</v>
      </c>
      <c r="G9" s="19">
        <f>'6'!G7</f>
        <v>22578.030000000028</v>
      </c>
      <c r="H9" s="19">
        <f>'6'!G8</f>
        <v>22837.550000000047</v>
      </c>
      <c r="I9" s="19">
        <v>9</v>
      </c>
      <c r="J9" s="49">
        <f t="shared" si="3"/>
        <v>205537.95000000042</v>
      </c>
      <c r="K9" s="45">
        <f t="shared" si="4"/>
        <v>113.05717821782201</v>
      </c>
      <c r="L9" s="19">
        <f>'6'!G15</f>
        <v>955.67999999993481</v>
      </c>
      <c r="M9" s="19">
        <v>56.2</v>
      </c>
      <c r="N9" s="45">
        <f t="shared" si="5"/>
        <v>53709.215999996341</v>
      </c>
      <c r="O9" s="19">
        <f>'6'!G20</f>
        <v>291</v>
      </c>
      <c r="P9" s="19">
        <v>108</v>
      </c>
      <c r="Q9" s="46">
        <f t="shared" si="0"/>
        <v>31428</v>
      </c>
      <c r="R9" s="47">
        <f t="shared" si="1"/>
        <v>144.05940594059405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110</v>
      </c>
      <c r="W9" s="22">
        <f>'6'!G66</f>
        <v>32</v>
      </c>
      <c r="X9" s="22">
        <f>'6'!G67</f>
        <v>41</v>
      </c>
      <c r="Y9" s="22">
        <f t="shared" si="7"/>
        <v>183</v>
      </c>
      <c r="Z9" s="19">
        <f>'6'!G84</f>
        <v>8.999999999650754E-2</v>
      </c>
      <c r="AA9" s="19">
        <f>'6'!G85</f>
        <v>3.5099999999999909</v>
      </c>
      <c r="AB9" s="19">
        <f>'6'!G86</f>
        <v>0</v>
      </c>
      <c r="AC9" s="19">
        <f>'6'!G87</f>
        <v>25.400000000001455</v>
      </c>
      <c r="AD9" s="19">
        <f t="shared" si="8"/>
        <v>28.999999999997954</v>
      </c>
      <c r="AE9" s="23">
        <f t="shared" si="2"/>
        <v>5959.0099999999948</v>
      </c>
      <c r="AF9" s="23">
        <f t="shared" si="9"/>
        <v>205.48310344829019</v>
      </c>
      <c r="AG9" s="19">
        <f>'6'!G88</f>
        <v>0</v>
      </c>
      <c r="AH9" s="19">
        <f>'6'!G89</f>
        <v>9.569999999999709</v>
      </c>
      <c r="AI9" s="19">
        <f>'6'!G90</f>
        <v>3.2300000000104774</v>
      </c>
      <c r="AJ9" s="19">
        <f t="shared" si="10"/>
        <v>12.800000000010186</v>
      </c>
      <c r="AK9" s="19">
        <f>'6'!G91</f>
        <v>0</v>
      </c>
      <c r="AL9" s="19">
        <f>'6'!G92</f>
        <v>10.909999999999854</v>
      </c>
      <c r="AM9" s="19"/>
      <c r="AN9" s="19">
        <f t="shared" si="11"/>
        <v>10.909999999999854</v>
      </c>
      <c r="AO9" s="52">
        <f>'6'!G74</f>
        <v>308.45999999996275</v>
      </c>
      <c r="AP9" s="55">
        <f>'6'!G35</f>
        <v>1950.9100000000035</v>
      </c>
      <c r="AQ9" s="19">
        <f>'6'!G37</f>
        <v>1653.7100000000064</v>
      </c>
      <c r="AR9" s="19">
        <f>'6'!G38</f>
        <v>1902.3000000000029</v>
      </c>
      <c r="AS9" s="19">
        <f>'6'!G39</f>
        <v>2809.5899999999965</v>
      </c>
      <c r="AT9" s="19">
        <f>'6'!G40</f>
        <v>0.82000000000000028</v>
      </c>
      <c r="AU9" s="19">
        <f>'6'!G41</f>
        <v>0</v>
      </c>
      <c r="AV9" s="19">
        <f>'6'!G42</f>
        <v>600.25</v>
      </c>
      <c r="AW9" s="19">
        <f>'6'!G43</f>
        <v>2754.6000000000931</v>
      </c>
      <c r="AX9" s="19">
        <f>'6'!G44</f>
        <v>0</v>
      </c>
      <c r="AY9" s="56">
        <f>'6'!G36</f>
        <v>875.9800000000032</v>
      </c>
      <c r="AZ9" s="55">
        <f>'6'!G49</f>
        <v>1659.6499999999942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5.8600000000001273</v>
      </c>
      <c r="BE9" s="19">
        <f>'6'!G55</f>
        <v>0</v>
      </c>
      <c r="BF9" s="19">
        <f>'6'!G56</f>
        <v>5358.7599999999948</v>
      </c>
      <c r="BG9" s="19">
        <f>'6'!G57</f>
        <v>0</v>
      </c>
      <c r="BH9" s="56">
        <f>'6'!G50</f>
        <v>1109.7099999999627</v>
      </c>
      <c r="BI9" s="60">
        <f t="shared" si="12"/>
        <v>5959.0099999999948</v>
      </c>
      <c r="BJ9" s="60">
        <f>'6'!G133</f>
        <v>804.88999999999942</v>
      </c>
      <c r="BK9" s="23">
        <f t="shared" si="13"/>
        <v>53.964501446083581</v>
      </c>
      <c r="BL9" s="23">
        <f t="shared" si="14"/>
        <v>12.3025018007623</v>
      </c>
      <c r="BM9" s="24">
        <f t="shared" si="15"/>
        <v>8.3297026169619731E-2</v>
      </c>
      <c r="BN9" s="25">
        <f t="shared" si="16"/>
        <v>290675.16599999677</v>
      </c>
      <c r="BO9" s="38">
        <f t="shared" si="17"/>
        <v>9518.5000000000873</v>
      </c>
      <c r="BP9">
        <f t="shared" si="18"/>
        <v>1.1722290640395023</v>
      </c>
    </row>
    <row r="10" spans="1:69">
      <c r="A10" s="16">
        <v>7</v>
      </c>
      <c r="B10" s="26">
        <v>7</v>
      </c>
      <c r="C10" s="27"/>
      <c r="D10" s="19">
        <f>'7'!D3</f>
        <v>28</v>
      </c>
      <c r="E10" s="50">
        <f>'7'!D4</f>
        <v>0.9</v>
      </c>
      <c r="F10" s="50">
        <f>'7'!D2</f>
        <v>0.98</v>
      </c>
      <c r="G10" s="19">
        <f>'7'!G7</f>
        <v>21692.319999999949</v>
      </c>
      <c r="H10" s="19">
        <f>'7'!G8</f>
        <v>21951.039999999921</v>
      </c>
      <c r="I10" s="19">
        <v>9</v>
      </c>
      <c r="J10" s="49">
        <f t="shared" si="3"/>
        <v>197559.35999999929</v>
      </c>
      <c r="K10" s="45">
        <f t="shared" si="4"/>
        <v>108.66851485148476</v>
      </c>
      <c r="L10" s="19">
        <f>'7'!G15</f>
        <v>962.48999999999069</v>
      </c>
      <c r="M10" s="19">
        <v>56.2</v>
      </c>
      <c r="N10" s="45">
        <f t="shared" si="5"/>
        <v>54091.937999999478</v>
      </c>
      <c r="O10" s="19">
        <f>'7'!G20</f>
        <v>259</v>
      </c>
      <c r="P10" s="19">
        <v>108</v>
      </c>
      <c r="Q10" s="46">
        <f t="shared" si="0"/>
        <v>27972</v>
      </c>
      <c r="R10" s="47">
        <f t="shared" si="1"/>
        <v>130.83451202263083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90</v>
      </c>
      <c r="W10" s="22">
        <f>'7'!G66</f>
        <v>31</v>
      </c>
      <c r="X10" s="22">
        <f>'7'!G67</f>
        <v>33</v>
      </c>
      <c r="Y10" s="22">
        <f t="shared" si="7"/>
        <v>154</v>
      </c>
      <c r="Z10" s="19">
        <f>'7'!G84</f>
        <v>0</v>
      </c>
      <c r="AA10" s="19">
        <f>'7'!G85</f>
        <v>0</v>
      </c>
      <c r="AB10" s="19">
        <f>'7'!G86</f>
        <v>0</v>
      </c>
      <c r="AC10" s="19">
        <f>'7'!G87</f>
        <v>24.089999999996508</v>
      </c>
      <c r="AD10" s="19">
        <f t="shared" si="8"/>
        <v>24.089999999996508</v>
      </c>
      <c r="AE10" s="23">
        <f t="shared" si="2"/>
        <v>5341.6399999999994</v>
      </c>
      <c r="AF10" s="23">
        <f t="shared" si="9"/>
        <v>221.73682025740032</v>
      </c>
      <c r="AG10" s="19">
        <f>'7'!G88</f>
        <v>0</v>
      </c>
      <c r="AH10" s="19">
        <f>'7'!G89</f>
        <v>10.360000000000582</v>
      </c>
      <c r="AI10" s="19">
        <f>'7'!G90</f>
        <v>3.8600000000005821</v>
      </c>
      <c r="AJ10" s="19">
        <f t="shared" si="10"/>
        <v>14.220000000001164</v>
      </c>
      <c r="AK10" s="19">
        <f>'7'!G91</f>
        <v>0</v>
      </c>
      <c r="AL10" s="19">
        <f>'7'!G92</f>
        <v>10.149999999999636</v>
      </c>
      <c r="AM10" s="19"/>
      <c r="AN10" s="19">
        <f t="shared" si="11"/>
        <v>10.149999999999636</v>
      </c>
      <c r="AO10" s="52">
        <f>'7'!G74</f>
        <v>288.83000000007451</v>
      </c>
      <c r="AP10" s="55">
        <f>'7'!G35</f>
        <v>1989.8999999999942</v>
      </c>
      <c r="AQ10" s="19">
        <f>'7'!G37</f>
        <v>1579.8199999999924</v>
      </c>
      <c r="AR10" s="19">
        <f>'7'!G38</f>
        <v>1893.2099999999919</v>
      </c>
      <c r="AS10" s="19">
        <f>'7'!G39</f>
        <v>2812.8600000000151</v>
      </c>
      <c r="AT10" s="19">
        <f>'7'!G40</f>
        <v>3.3999999999999986</v>
      </c>
      <c r="AU10" s="19">
        <f>'7'!G41</f>
        <v>0</v>
      </c>
      <c r="AV10" s="19">
        <f>'7'!G42</f>
        <v>0</v>
      </c>
      <c r="AW10" s="19">
        <f>'7'!G43</f>
        <v>2609.6999999999534</v>
      </c>
      <c r="AX10" s="19">
        <f>'7'!G44</f>
        <v>0</v>
      </c>
      <c r="AY10" s="56">
        <f>'7'!G36</f>
        <v>701.52999999999884</v>
      </c>
      <c r="AZ10" s="55">
        <f>'7'!G49</f>
        <v>1720.5599999999977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5.5199999999999818</v>
      </c>
      <c r="BE10" s="19">
        <f>'7'!G55</f>
        <v>0</v>
      </c>
      <c r="BF10" s="19">
        <f>'7'!G56</f>
        <v>5341.6399999999994</v>
      </c>
      <c r="BG10" s="19">
        <f>'7'!G57</f>
        <v>0</v>
      </c>
      <c r="BH10" s="56">
        <f>'7'!G50</f>
        <v>1148.8800000000047</v>
      </c>
      <c r="BI10" s="60">
        <f t="shared" si="12"/>
        <v>5341.6399999999994</v>
      </c>
      <c r="BJ10" s="60">
        <f>'7'!G133</f>
        <v>832.26000000000204</v>
      </c>
      <c r="BK10" s="23">
        <f t="shared" si="13"/>
        <v>53.126412233771099</v>
      </c>
      <c r="BL10" s="23">
        <f t="shared" si="14"/>
        <v>12.814244792046415</v>
      </c>
      <c r="BM10" s="24">
        <f t="shared" si="15"/>
        <v>8.6246938641631493E-2</v>
      </c>
      <c r="BN10" s="25">
        <f t="shared" si="16"/>
        <v>279623.29799999879</v>
      </c>
      <c r="BO10" s="38">
        <f t="shared" si="17"/>
        <v>8783.5999999999549</v>
      </c>
      <c r="BP10">
        <f t="shared" si="18"/>
        <v>1.3022000830221829</v>
      </c>
    </row>
    <row r="11" spans="1:69">
      <c r="A11" s="16">
        <v>8</v>
      </c>
      <c r="B11" s="26">
        <v>8</v>
      </c>
      <c r="C11" s="18"/>
      <c r="D11" s="19">
        <f>'8'!D3</f>
        <v>28</v>
      </c>
      <c r="E11" s="50">
        <f>'8'!D4</f>
        <v>0.9</v>
      </c>
      <c r="F11" s="50">
        <f>'8'!D2</f>
        <v>0.55000000000000004</v>
      </c>
      <c r="G11" s="19">
        <f>'8'!G7</f>
        <v>21652</v>
      </c>
      <c r="H11" s="19">
        <f>'8'!G8</f>
        <v>21972.239999999991</v>
      </c>
      <c r="I11" s="19">
        <v>9</v>
      </c>
      <c r="J11" s="49">
        <f t="shared" si="3"/>
        <v>197750.15999999992</v>
      </c>
      <c r="K11" s="45">
        <f t="shared" si="4"/>
        <v>108.77346534653461</v>
      </c>
      <c r="L11" s="19">
        <f>'8'!G15</f>
        <v>1009.75</v>
      </c>
      <c r="M11" s="19">
        <v>56.2</v>
      </c>
      <c r="N11" s="45">
        <f t="shared" si="5"/>
        <v>56747.950000000004</v>
      </c>
      <c r="O11" s="19">
        <f>'8'!G20</f>
        <v>258</v>
      </c>
      <c r="P11" s="19">
        <v>108</v>
      </c>
      <c r="Q11" s="46">
        <f t="shared" si="0"/>
        <v>27864</v>
      </c>
      <c r="R11" s="47">
        <f t="shared" si="1"/>
        <v>232.22322232223223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96</v>
      </c>
      <c r="W11" s="22">
        <f>'8'!G66</f>
        <v>27</v>
      </c>
      <c r="X11" s="22">
        <f>'8'!G67</f>
        <v>29</v>
      </c>
      <c r="Y11" s="22">
        <f t="shared" si="7"/>
        <v>152</v>
      </c>
      <c r="Z11" s="19">
        <f>'8'!G84</f>
        <v>0</v>
      </c>
      <c r="AA11" s="19">
        <f>'8'!G85</f>
        <v>0</v>
      </c>
      <c r="AB11" s="19">
        <f>'8'!G86</f>
        <v>0</v>
      </c>
      <c r="AC11" s="19">
        <f>'8'!G87</f>
        <v>24.060000000004948</v>
      </c>
      <c r="AD11" s="19">
        <f t="shared" si="8"/>
        <v>24.060000000004948</v>
      </c>
      <c r="AE11" s="23">
        <f t="shared" si="2"/>
        <v>5181.820000000007</v>
      </c>
      <c r="AF11" s="23">
        <f t="shared" si="9"/>
        <v>215.37073981707985</v>
      </c>
      <c r="AG11" s="19">
        <f>'8'!G88</f>
        <v>0</v>
      </c>
      <c r="AH11" s="19">
        <f>'8'!G89</f>
        <v>9.930000000000291</v>
      </c>
      <c r="AI11" s="19">
        <f>'8'!G90</f>
        <v>6.8300000000017462</v>
      </c>
      <c r="AJ11" s="19">
        <f t="shared" si="10"/>
        <v>16.760000000002037</v>
      </c>
      <c r="AK11" s="19">
        <f>'8'!G91</f>
        <v>0</v>
      </c>
      <c r="AL11" s="19">
        <f>'8'!G92</f>
        <v>10.070000000000618</v>
      </c>
      <c r="AM11" s="19"/>
      <c r="AN11" s="19">
        <f t="shared" si="11"/>
        <v>10.070000000000618</v>
      </c>
      <c r="AO11" s="52">
        <f>'8'!G74</f>
        <v>287.14999999990687</v>
      </c>
      <c r="AP11" s="55">
        <f>'8'!G35</f>
        <v>2125.9200000000055</v>
      </c>
      <c r="AQ11" s="19">
        <f>'8'!G37</f>
        <v>1589.1399999999994</v>
      </c>
      <c r="AR11" s="19">
        <f>'8'!G38</f>
        <v>1785.8700000000099</v>
      </c>
      <c r="AS11" s="19">
        <f>'8'!G39</f>
        <v>2891.2200000000012</v>
      </c>
      <c r="AT11" s="19">
        <f>'8'!G40</f>
        <v>16.600000000000001</v>
      </c>
      <c r="AU11" s="19">
        <f>'8'!G41</f>
        <v>0</v>
      </c>
      <c r="AV11" s="19">
        <f>'8'!G42</f>
        <v>0</v>
      </c>
      <c r="AW11" s="19">
        <f>'8'!G43</f>
        <v>2607.8000000000466</v>
      </c>
      <c r="AX11" s="23">
        <f>'8'!G44</f>
        <v>0</v>
      </c>
      <c r="AY11" s="56">
        <f>'8'!G36</f>
        <v>823.65999999999622</v>
      </c>
      <c r="AZ11" s="55">
        <f>'8'!G49</f>
        <v>1722.0200000000186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6.1900000000000546</v>
      </c>
      <c r="BE11" s="19">
        <f>'8'!G55</f>
        <v>0</v>
      </c>
      <c r="BF11" s="19">
        <f>'8'!G56</f>
        <v>5181.820000000007</v>
      </c>
      <c r="BG11" s="19">
        <f>'8'!G57</f>
        <v>0</v>
      </c>
      <c r="BH11" s="56">
        <f>'8'!G50</f>
        <v>1020.8000000000466</v>
      </c>
      <c r="BI11" s="60">
        <f t="shared" si="12"/>
        <v>5181.820000000007</v>
      </c>
      <c r="BJ11" s="60">
        <f>'8'!G133</f>
        <v>780.18999999999505</v>
      </c>
      <c r="BK11" s="23">
        <f t="shared" si="13"/>
        <v>52.96483198799978</v>
      </c>
      <c r="BL11" s="23">
        <f t="shared" si="14"/>
        <v>13.158512741532054</v>
      </c>
      <c r="BM11" s="24">
        <f t="shared" si="15"/>
        <v>8.1278467739293342E-2</v>
      </c>
      <c r="BN11" s="25">
        <f t="shared" si="16"/>
        <v>282362.10999999993</v>
      </c>
      <c r="BO11" s="38">
        <f t="shared" si="17"/>
        <v>8569.8100000000486</v>
      </c>
      <c r="BP11">
        <f t="shared" si="18"/>
        <v>1.2720891224317608</v>
      </c>
    </row>
    <row r="12" spans="1:69">
      <c r="A12" s="16">
        <v>9</v>
      </c>
      <c r="B12" s="27">
        <v>9</v>
      </c>
      <c r="C12" s="26"/>
      <c r="D12" s="19">
        <f>'9'!D3</f>
        <v>27</v>
      </c>
      <c r="E12" s="50">
        <f>'9'!D4</f>
        <v>0.7</v>
      </c>
      <c r="F12" s="50">
        <f>'9'!D2</f>
        <v>0.56000000000000005</v>
      </c>
      <c r="G12" s="19">
        <f>'9'!G7</f>
        <v>21575.650000000023</v>
      </c>
      <c r="H12" s="19">
        <f>'9'!G8</f>
        <v>21818.170000000042</v>
      </c>
      <c r="I12" s="19">
        <v>9</v>
      </c>
      <c r="J12" s="49">
        <f t="shared" si="3"/>
        <v>196363.53000000038</v>
      </c>
      <c r="K12" s="45">
        <f t="shared" si="4"/>
        <v>108.01074257425763</v>
      </c>
      <c r="L12" s="19">
        <f>'9'!G15</f>
        <v>1028.0800000000745</v>
      </c>
      <c r="M12" s="19">
        <v>56.2</v>
      </c>
      <c r="N12" s="45">
        <f t="shared" si="5"/>
        <v>57778.096000004189</v>
      </c>
      <c r="O12" s="19">
        <f>'9'!G20</f>
        <v>253</v>
      </c>
      <c r="P12" s="19">
        <v>108</v>
      </c>
      <c r="Q12" s="46">
        <f t="shared" si="0"/>
        <v>27324</v>
      </c>
      <c r="R12" s="47">
        <f t="shared" si="1"/>
        <v>223.65629420084866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106</v>
      </c>
      <c r="W12" s="22">
        <f>'9'!G66</f>
        <v>25</v>
      </c>
      <c r="X12" s="22">
        <f>'9'!G67</f>
        <v>23</v>
      </c>
      <c r="Y12" s="22">
        <f t="shared" si="7"/>
        <v>154</v>
      </c>
      <c r="Z12" s="19">
        <f>'9'!G84</f>
        <v>0</v>
      </c>
      <c r="AA12" s="19">
        <f>'9'!G85</f>
        <v>0</v>
      </c>
      <c r="AB12" s="19">
        <f>'9'!G86</f>
        <v>0</v>
      </c>
      <c r="AC12" s="19">
        <f>'9'!G87</f>
        <v>24.44999999999709</v>
      </c>
      <c r="AD12" s="19">
        <f t="shared" si="8"/>
        <v>24.44999999999709</v>
      </c>
      <c r="AE12" s="23">
        <f t="shared" si="2"/>
        <v>5158.5299999999988</v>
      </c>
      <c r="AF12" s="23">
        <f t="shared" si="9"/>
        <v>210.98282208591465</v>
      </c>
      <c r="AG12" s="19">
        <f>'9'!G88</f>
        <v>4.9700000000011642</v>
      </c>
      <c r="AH12" s="19">
        <f>'9'!G89</f>
        <v>4.7400000000016007</v>
      </c>
      <c r="AI12" s="19">
        <f>'9'!G90</f>
        <v>8.7399999999906868</v>
      </c>
      <c r="AJ12" s="19">
        <f t="shared" si="10"/>
        <v>18.449999999993452</v>
      </c>
      <c r="AK12" s="19">
        <f>'9'!G91</f>
        <v>0</v>
      </c>
      <c r="AL12" s="19">
        <f>'9'!G92</f>
        <v>9.1799999999993815</v>
      </c>
      <c r="AM12" s="19"/>
      <c r="AN12" s="19">
        <f t="shared" si="11"/>
        <v>9.1799999999993815</v>
      </c>
      <c r="AO12" s="52">
        <f>'9'!G74</f>
        <v>261.56000000005588</v>
      </c>
      <c r="AP12" s="55">
        <f>'9'!G35</f>
        <v>2039.2699999999968</v>
      </c>
      <c r="AQ12" s="19">
        <f>'9'!G37</f>
        <v>1570.3300000000017</v>
      </c>
      <c r="AR12" s="19">
        <f>'9'!G38</f>
        <v>1768.6199999999953</v>
      </c>
      <c r="AS12" s="19">
        <f>'9'!G39</f>
        <v>2928.3299999999872</v>
      </c>
      <c r="AT12" s="19">
        <f>'9'!G40</f>
        <v>7.18</v>
      </c>
      <c r="AU12" s="19">
        <f>'9'!G41</f>
        <v>0</v>
      </c>
      <c r="AV12" s="19">
        <f>'9'!G42</f>
        <v>-0.25</v>
      </c>
      <c r="AW12" s="19">
        <f>'9'!G43</f>
        <v>2590.8999999999069</v>
      </c>
      <c r="AX12" s="23">
        <f>'9'!G44</f>
        <v>0</v>
      </c>
      <c r="AY12" s="56">
        <f>'9'!G36</f>
        <v>999.83000000000175</v>
      </c>
      <c r="AZ12" s="55">
        <f>'9'!G49</f>
        <v>1417.7699999999895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5.4299999999998363</v>
      </c>
      <c r="BE12" s="19">
        <f>'9'!G55</f>
        <v>0</v>
      </c>
      <c r="BF12" s="19">
        <f>'9'!G56</f>
        <v>5158.7799999999988</v>
      </c>
      <c r="BG12" s="19">
        <f>'9'!G57</f>
        <v>0</v>
      </c>
      <c r="BH12" s="56">
        <f>'9'!G50</f>
        <v>1069.609999999986</v>
      </c>
      <c r="BI12" s="60">
        <f t="shared" si="12"/>
        <v>5158.5299999999988</v>
      </c>
      <c r="BJ12" s="60">
        <f>'8'!G133</f>
        <v>780.18999999999505</v>
      </c>
      <c r="BK12" s="23">
        <f t="shared" si="13"/>
        <v>51.363015321632702</v>
      </c>
      <c r="BL12" s="23">
        <f t="shared" si="14"/>
        <v>13.421519769989789</v>
      </c>
      <c r="BM12" s="24">
        <f t="shared" si="15"/>
        <v>8.1061793908471333E-2</v>
      </c>
      <c r="BN12" s="25">
        <f t="shared" si="16"/>
        <v>281465.62600000459</v>
      </c>
      <c r="BO12" s="38">
        <f t="shared" si="17"/>
        <v>8529.6199999999008</v>
      </c>
      <c r="BP12">
        <f t="shared" si="18"/>
        <v>1.2459275489338177</v>
      </c>
    </row>
    <row r="13" spans="1:69">
      <c r="A13" s="16">
        <v>10</v>
      </c>
      <c r="B13" s="27">
        <v>10</v>
      </c>
      <c r="C13" s="26"/>
      <c r="D13" s="19">
        <f>'10'!D3</f>
        <v>27</v>
      </c>
      <c r="E13" s="50">
        <f>'10'!D4</f>
        <v>0.7</v>
      </c>
      <c r="F13" s="50">
        <f>'10'!D2</f>
        <v>0.68</v>
      </c>
      <c r="G13" s="19">
        <f>'10'!G7</f>
        <v>20815</v>
      </c>
      <c r="H13" s="19">
        <f>'10'!G8</f>
        <v>21010</v>
      </c>
      <c r="I13" s="19">
        <v>9</v>
      </c>
      <c r="J13" s="49">
        <f t="shared" si="3"/>
        <v>189090</v>
      </c>
      <c r="K13" s="45">
        <f t="shared" si="4"/>
        <v>104.00990099009901</v>
      </c>
      <c r="L13" s="19">
        <f>'10'!G15</f>
        <v>1016</v>
      </c>
      <c r="M13" s="19">
        <v>56.2</v>
      </c>
      <c r="N13" s="45">
        <f t="shared" si="5"/>
        <v>57099.200000000004</v>
      </c>
      <c r="O13" s="19">
        <f>'10'!G20</f>
        <v>225</v>
      </c>
      <c r="P13" s="19">
        <v>108</v>
      </c>
      <c r="Q13" s="46">
        <f t="shared" si="0"/>
        <v>24300</v>
      </c>
      <c r="R13" s="47">
        <f t="shared" si="1"/>
        <v>163.80314502038436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95</v>
      </c>
      <c r="W13" s="22">
        <f>'10'!G66</f>
        <v>20</v>
      </c>
      <c r="X13" s="22">
        <f>'10'!G67</f>
        <v>23</v>
      </c>
      <c r="Y13" s="22">
        <f t="shared" si="7"/>
        <v>138</v>
      </c>
      <c r="Z13" s="19">
        <f>'10'!G84</f>
        <v>0</v>
      </c>
      <c r="AA13" s="19">
        <f>'10'!G85</f>
        <v>0</v>
      </c>
      <c r="AB13" s="19">
        <f>'10'!G86</f>
        <v>0</v>
      </c>
      <c r="AC13" s="19">
        <f>'10'!G87</f>
        <v>24</v>
      </c>
      <c r="AD13" s="19">
        <f t="shared" si="8"/>
        <v>24</v>
      </c>
      <c r="AE13" s="23">
        <f t="shared" si="2"/>
        <v>4843</v>
      </c>
      <c r="AF13" s="23">
        <f t="shared" si="9"/>
        <v>201.79166666666666</v>
      </c>
      <c r="AG13" s="19">
        <f>'10'!G88</f>
        <v>0</v>
      </c>
      <c r="AH13" s="19">
        <f>'10'!G89</f>
        <v>9.3799999999973807</v>
      </c>
      <c r="AI13" s="19">
        <f>'10'!G90</f>
        <v>6.3300000000017462</v>
      </c>
      <c r="AJ13" s="19">
        <f t="shared" si="10"/>
        <v>15.709999999999127</v>
      </c>
      <c r="AK13" s="19">
        <f>'10'!G91</f>
        <v>0</v>
      </c>
      <c r="AL13" s="19">
        <f>'10'!G92</f>
        <v>10.490000000000691</v>
      </c>
      <c r="AM13" s="19"/>
      <c r="AN13" s="19">
        <f t="shared" si="11"/>
        <v>10.490000000000691</v>
      </c>
      <c r="AO13" s="52">
        <f>'10'!G74</f>
        <v>299</v>
      </c>
      <c r="AP13" s="55">
        <f>'10'!G35</f>
        <v>2009</v>
      </c>
      <c r="AQ13" s="19">
        <f>'10'!G37</f>
        <v>1588</v>
      </c>
      <c r="AR13" s="19">
        <f>'10'!G38</f>
        <v>1767</v>
      </c>
      <c r="AS13" s="19">
        <f>'10'!G39</f>
        <v>2884</v>
      </c>
      <c r="AT13" s="19">
        <f>'10'!G40</f>
        <v>2</v>
      </c>
      <c r="AU13" s="19">
        <f>'10'!G41</f>
        <v>0</v>
      </c>
      <c r="AV13" s="19">
        <f>'10'!G42</f>
        <v>0</v>
      </c>
      <c r="AW13" s="19">
        <f>'10'!G43</f>
        <v>2516</v>
      </c>
      <c r="AX13" s="23">
        <f>'10'!G44</f>
        <v>0</v>
      </c>
      <c r="AY13" s="56">
        <f>'10'!G36</f>
        <v>882</v>
      </c>
      <c r="AZ13" s="55">
        <f>'10'!G49</f>
        <v>1218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</v>
      </c>
      <c r="BE13" s="19">
        <f>'10'!G55</f>
        <v>0</v>
      </c>
      <c r="BF13" s="19">
        <f>'10'!G56</f>
        <v>4843</v>
      </c>
      <c r="BG13" s="19">
        <f>'10'!G57</f>
        <v>0</v>
      </c>
      <c r="BH13" s="56">
        <f>'10'!G50</f>
        <v>1089</v>
      </c>
      <c r="BI13" s="60">
        <f t="shared" si="12"/>
        <v>4843</v>
      </c>
      <c r="BJ13" s="60">
        <f>'8'!G133</f>
        <v>780.18999999999505</v>
      </c>
      <c r="BK13" s="23">
        <f t="shared" si="13"/>
        <v>50.385530699666823</v>
      </c>
      <c r="BL13" s="23">
        <f t="shared" si="14"/>
        <v>13.726796763445979</v>
      </c>
      <c r="BM13" s="24">
        <f t="shared" si="15"/>
        <v>8.4102808186577824E-2</v>
      </c>
      <c r="BN13" s="25">
        <f t="shared" si="16"/>
        <v>270489.2</v>
      </c>
      <c r="BO13" s="38">
        <f t="shared" si="17"/>
        <v>8139.1899999999951</v>
      </c>
      <c r="BP13">
        <f t="shared" si="18"/>
        <v>1.2111889880952373</v>
      </c>
    </row>
    <row r="14" spans="1:69">
      <c r="A14" s="16">
        <v>11</v>
      </c>
      <c r="B14" s="17">
        <v>11</v>
      </c>
      <c r="C14" s="27"/>
      <c r="D14" s="19">
        <f>'11'!D3</f>
        <v>27</v>
      </c>
      <c r="E14" s="50">
        <f>'11'!D4</f>
        <v>0.55000000000000004</v>
      </c>
      <c r="F14" s="50">
        <f>'11'!D2</f>
        <v>0.76</v>
      </c>
      <c r="G14" s="19">
        <f>'11'!G7</f>
        <v>20414</v>
      </c>
      <c r="H14" s="19">
        <f>'11'!G8</f>
        <v>20585</v>
      </c>
      <c r="I14" s="19">
        <v>9</v>
      </c>
      <c r="J14" s="49">
        <f t="shared" si="3"/>
        <v>185265</v>
      </c>
      <c r="K14" s="45">
        <f t="shared" si="4"/>
        <v>101.9059405940594</v>
      </c>
      <c r="L14" s="19">
        <f>'11'!G15</f>
        <v>1046</v>
      </c>
      <c r="M14" s="19">
        <v>56.2</v>
      </c>
      <c r="N14" s="45">
        <f t="shared" si="5"/>
        <v>58785.200000000004</v>
      </c>
      <c r="O14" s="19">
        <f>'11'!G20</f>
        <v>233</v>
      </c>
      <c r="P14" s="19">
        <v>108</v>
      </c>
      <c r="Q14" s="46">
        <f t="shared" si="0"/>
        <v>25164</v>
      </c>
      <c r="R14" s="47">
        <f t="shared" si="1"/>
        <v>151.77175612298072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95</v>
      </c>
      <c r="W14" s="22">
        <f>'11'!G66</f>
        <v>17</v>
      </c>
      <c r="X14" s="22">
        <f>'11'!G67</f>
        <v>24</v>
      </c>
      <c r="Y14" s="22">
        <f t="shared" si="7"/>
        <v>136</v>
      </c>
      <c r="Z14" s="19">
        <f>'11'!G84</f>
        <v>0</v>
      </c>
      <c r="AA14" s="19">
        <f>'11'!G85</f>
        <v>0</v>
      </c>
      <c r="AB14" s="19">
        <f>'11'!G86</f>
        <v>0</v>
      </c>
      <c r="AC14" s="19">
        <f>'11'!G87</f>
        <v>24</v>
      </c>
      <c r="AD14" s="19">
        <f t="shared" si="8"/>
        <v>24</v>
      </c>
      <c r="AE14" s="23">
        <f t="shared" si="2"/>
        <v>4864</v>
      </c>
      <c r="AF14" s="23">
        <f t="shared" si="9"/>
        <v>202.66666666666666</v>
      </c>
      <c r="AG14" s="19">
        <f>'11'!G88</f>
        <v>4.9999999999272404E-2</v>
      </c>
      <c r="AH14" s="19">
        <f>'11'!G89</f>
        <v>10.230000000003201</v>
      </c>
      <c r="AI14" s="19">
        <f>'11'!G90</f>
        <v>6.2200000000011642</v>
      </c>
      <c r="AJ14" s="19">
        <f t="shared" si="10"/>
        <v>16.500000000003638</v>
      </c>
      <c r="AK14" s="19">
        <f>'11'!G91</f>
        <v>0</v>
      </c>
      <c r="AL14" s="19">
        <f>'11'!G92</f>
        <v>10.289999999999964</v>
      </c>
      <c r="AM14" s="19"/>
      <c r="AN14" s="19">
        <f t="shared" si="11"/>
        <v>10.289999999999964</v>
      </c>
      <c r="AO14" s="52">
        <f>'11'!G74</f>
        <v>293</v>
      </c>
      <c r="AP14" s="55">
        <f>'11'!G35</f>
        <v>2071</v>
      </c>
      <c r="AQ14" s="19">
        <f>'11'!G37</f>
        <v>1567</v>
      </c>
      <c r="AR14" s="19">
        <f>'11'!G38</f>
        <v>1740</v>
      </c>
      <c r="AS14" s="19">
        <f>'11'!G39</f>
        <v>2887</v>
      </c>
      <c r="AT14" s="19">
        <f>'11'!G40</f>
        <v>1</v>
      </c>
      <c r="AU14" s="19">
        <f>'11'!G41</f>
        <v>0</v>
      </c>
      <c r="AV14" s="19">
        <f>'11'!G42</f>
        <v>400</v>
      </c>
      <c r="AW14" s="19">
        <f>'11'!G43</f>
        <v>2425</v>
      </c>
      <c r="AX14" s="23">
        <f>'11'!G44</f>
        <v>0</v>
      </c>
      <c r="AY14" s="56">
        <f>'11'!G36</f>
        <v>874</v>
      </c>
      <c r="AZ14" s="55">
        <f>'11'!G49</f>
        <v>1256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</v>
      </c>
      <c r="BE14" s="19">
        <f>'11'!G55</f>
        <v>0</v>
      </c>
      <c r="BF14" s="19">
        <f>'11'!G56</f>
        <v>4464</v>
      </c>
      <c r="BG14" s="19">
        <f>'11'!G57</f>
        <v>0</v>
      </c>
      <c r="BH14" s="56">
        <f>'11'!G50</f>
        <v>1114</v>
      </c>
      <c r="BI14" s="60">
        <f t="shared" si="12"/>
        <v>4864</v>
      </c>
      <c r="BJ14" s="60">
        <f>'11'!G133</f>
        <v>490</v>
      </c>
      <c r="BK14" s="23">
        <f t="shared" si="13"/>
        <v>51.571532669419483</v>
      </c>
      <c r="BL14" s="23">
        <f t="shared" si="14"/>
        <v>14.024775321836289</v>
      </c>
      <c r="BM14" s="24">
        <f t="shared" si="15"/>
        <v>8.452756861792568E-2</v>
      </c>
      <c r="BN14" s="25">
        <f t="shared" si="16"/>
        <v>269214.2</v>
      </c>
      <c r="BO14" s="38">
        <f t="shared" si="17"/>
        <v>7779</v>
      </c>
      <c r="BP14">
        <f t="shared" si="18"/>
        <v>1.1575892857142858</v>
      </c>
    </row>
    <row r="15" spans="1:69">
      <c r="A15" s="16">
        <v>12</v>
      </c>
      <c r="B15" s="26">
        <v>12</v>
      </c>
      <c r="C15" s="27"/>
      <c r="D15" s="19">
        <f>'12'!D3</f>
        <v>27</v>
      </c>
      <c r="E15" s="50">
        <f>'12'!D4</f>
        <v>0.55000000000000004</v>
      </c>
      <c r="F15" s="50">
        <f>'12'!D2</f>
        <v>0.78</v>
      </c>
      <c r="G15" s="19">
        <f>'12'!G7</f>
        <v>22257</v>
      </c>
      <c r="H15" s="19">
        <f>'12'!G8</f>
        <v>22424</v>
      </c>
      <c r="I15" s="19">
        <v>9</v>
      </c>
      <c r="J15" s="49">
        <f t="shared" si="3"/>
        <v>201816</v>
      </c>
      <c r="K15" s="45">
        <f t="shared" si="4"/>
        <v>111.00990099009901</v>
      </c>
      <c r="L15" s="19">
        <f>'12'!G15</f>
        <v>1060</v>
      </c>
      <c r="M15" s="19">
        <v>56.2</v>
      </c>
      <c r="N15" s="41">
        <f t="shared" si="5"/>
        <v>59572</v>
      </c>
      <c r="O15" s="19">
        <f>'12'!G20</f>
        <v>278</v>
      </c>
      <c r="P15" s="19">
        <v>108</v>
      </c>
      <c r="Q15" s="46">
        <f t="shared" si="0"/>
        <v>30024</v>
      </c>
      <c r="R15" s="47">
        <f t="shared" si="1"/>
        <v>176.44072099517643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112</v>
      </c>
      <c r="W15" s="22">
        <f>'12'!G66</f>
        <v>21</v>
      </c>
      <c r="X15" s="22">
        <f>'12'!G67</f>
        <v>29</v>
      </c>
      <c r="Y15" s="22">
        <f t="shared" si="7"/>
        <v>162</v>
      </c>
      <c r="Z15" s="19">
        <f>'12'!G84</f>
        <v>5.9100000000034925</v>
      </c>
      <c r="AA15" s="19">
        <f>'12'!G85</f>
        <v>0</v>
      </c>
      <c r="AB15" s="19">
        <f>'12'!G86</f>
        <v>0</v>
      </c>
      <c r="AC15" s="19">
        <f>'12'!G87</f>
        <v>24</v>
      </c>
      <c r="AD15" s="19">
        <f t="shared" si="8"/>
        <v>29.910000000003492</v>
      </c>
      <c r="AE15" s="23">
        <f t="shared" si="2"/>
        <v>5360.2900000000373</v>
      </c>
      <c r="AF15" s="23">
        <f t="shared" si="9"/>
        <v>179.21397525909097</v>
      </c>
      <c r="AG15" s="19">
        <f>'12'!G88</f>
        <v>2.1899999999986903</v>
      </c>
      <c r="AH15" s="19">
        <f>'12'!G89</f>
        <v>7.4699999999975262</v>
      </c>
      <c r="AI15" s="19">
        <f>'12'!G90</f>
        <v>6.6199999999953434</v>
      </c>
      <c r="AJ15" s="19">
        <f t="shared" si="10"/>
        <v>16.27999999999156</v>
      </c>
      <c r="AK15" s="19">
        <f>'12'!G91</f>
        <v>0</v>
      </c>
      <c r="AL15" s="19">
        <f>'12'!G92</f>
        <v>10.789999999999964</v>
      </c>
      <c r="AM15" s="19"/>
      <c r="AN15" s="19">
        <f t="shared" si="11"/>
        <v>10.789999999999964</v>
      </c>
      <c r="AO15" s="52">
        <f>'12'!G74</f>
        <v>305</v>
      </c>
      <c r="AP15" s="55">
        <f>'12'!G35</f>
        <v>2041</v>
      </c>
      <c r="AQ15" s="19">
        <f>'12'!G37</f>
        <v>1617</v>
      </c>
      <c r="AR15" s="19">
        <f>'12'!G38</f>
        <v>1852</v>
      </c>
      <c r="AS15" s="19">
        <f>'12'!G39</f>
        <v>2962</v>
      </c>
      <c r="AT15" s="19">
        <f>'12'!G40</f>
        <v>0</v>
      </c>
      <c r="AU15" s="19">
        <f>'12'!G41</f>
        <v>1200.2900000000373</v>
      </c>
      <c r="AV15" s="19">
        <f>'12'!G42</f>
        <v>0</v>
      </c>
      <c r="AW15" s="19">
        <f>'12'!G43</f>
        <v>2719</v>
      </c>
      <c r="AX15" s="23">
        <f>'12'!G44</f>
        <v>0</v>
      </c>
      <c r="AY15" s="56">
        <f>'12'!G36</f>
        <v>986</v>
      </c>
      <c r="AZ15" s="55">
        <f>'12'!G49</f>
        <v>1372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6</v>
      </c>
      <c r="BE15" s="19">
        <f>'12'!G55</f>
        <v>0</v>
      </c>
      <c r="BF15" s="19">
        <f>'12'!G56</f>
        <v>4160</v>
      </c>
      <c r="BG15" s="19">
        <f>'12'!G57</f>
        <v>0</v>
      </c>
      <c r="BH15" s="56">
        <f>'12'!G50</f>
        <v>1311</v>
      </c>
      <c r="BI15" s="60">
        <f t="shared" si="12"/>
        <v>5360.2900000000373</v>
      </c>
      <c r="BJ15" s="60">
        <f>'12'!G133</f>
        <v>576</v>
      </c>
      <c r="BK15" s="23">
        <f t="shared" si="13"/>
        <v>51.249955404923462</v>
      </c>
      <c r="BL15" s="23">
        <f t="shared" si="14"/>
        <v>13.209061719586158</v>
      </c>
      <c r="BM15" s="24">
        <f t="shared" si="15"/>
        <v>8.259008205494113E-2</v>
      </c>
      <c r="BN15" s="25">
        <f t="shared" si="16"/>
        <v>291412</v>
      </c>
      <c r="BO15" s="38">
        <f t="shared" si="17"/>
        <v>8655.2900000000373</v>
      </c>
      <c r="BP15">
        <f t="shared" si="18"/>
        <v>1.0334921430958384</v>
      </c>
    </row>
    <row r="16" spans="1:69">
      <c r="A16" s="16">
        <v>13</v>
      </c>
      <c r="B16" s="26">
        <v>13</v>
      </c>
      <c r="C16" s="26"/>
      <c r="D16" s="19">
        <f>'13'!D3</f>
        <v>27</v>
      </c>
      <c r="E16" s="50">
        <f>'13'!D4</f>
        <v>0.55000000000000004</v>
      </c>
      <c r="F16" s="50">
        <f>'13'!D2</f>
        <v>0.69</v>
      </c>
      <c r="G16" s="19">
        <f>'13'!G7</f>
        <v>24226</v>
      </c>
      <c r="H16" s="19">
        <f>'13'!G8</f>
        <v>24350</v>
      </c>
      <c r="I16" s="19">
        <v>9</v>
      </c>
      <c r="J16" s="49">
        <f t="shared" si="3"/>
        <v>219150</v>
      </c>
      <c r="K16" s="45">
        <f t="shared" si="4"/>
        <v>120.54455445544555</v>
      </c>
      <c r="L16" s="19">
        <f>'13'!G15</f>
        <v>1071</v>
      </c>
      <c r="M16" s="19">
        <v>56.2</v>
      </c>
      <c r="N16" s="41">
        <f t="shared" si="5"/>
        <v>60190.200000000004</v>
      </c>
      <c r="O16" s="19">
        <f>'13'!G20</f>
        <v>256</v>
      </c>
      <c r="P16" s="19">
        <v>108</v>
      </c>
      <c r="Q16" s="46">
        <f t="shared" si="0"/>
        <v>27648</v>
      </c>
      <c r="R16" s="47">
        <f t="shared" si="1"/>
        <v>183.6705409671402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110</v>
      </c>
      <c r="W16" s="22">
        <f>'13'!G66</f>
        <v>20</v>
      </c>
      <c r="X16" s="22">
        <f>'13'!G67</f>
        <v>33</v>
      </c>
      <c r="Y16" s="22">
        <f t="shared" si="7"/>
        <v>163</v>
      </c>
      <c r="Z16" s="19">
        <f>'13'!G84</f>
        <v>11</v>
      </c>
      <c r="AA16" s="19">
        <f>'13'!G85</f>
        <v>0</v>
      </c>
      <c r="AB16" s="19">
        <f>'13'!G86</f>
        <v>0</v>
      </c>
      <c r="AC16" s="19">
        <f>'13'!G87</f>
        <v>21</v>
      </c>
      <c r="AD16" s="19">
        <f t="shared" si="8"/>
        <v>32</v>
      </c>
      <c r="AE16" s="23">
        <f t="shared" si="2"/>
        <v>6131</v>
      </c>
      <c r="AF16" s="23">
        <f t="shared" si="9"/>
        <v>191.59375</v>
      </c>
      <c r="AG16" s="19">
        <f>'13'!G88</f>
        <v>2.8300000000017462</v>
      </c>
      <c r="AH16" s="19">
        <f>'13'!G89</f>
        <v>11.610000000000582</v>
      </c>
      <c r="AI16" s="19">
        <f>'13'!G90</f>
        <v>1.6900000000023283</v>
      </c>
      <c r="AJ16" s="19">
        <f t="shared" si="10"/>
        <v>16.130000000004657</v>
      </c>
      <c r="AK16" s="19">
        <f>'13'!G91</f>
        <v>0</v>
      </c>
      <c r="AL16" s="19">
        <f>'13'!G92</f>
        <v>10.639999999999418</v>
      </c>
      <c r="AM16" s="19"/>
      <c r="AN16" s="19">
        <f t="shared" si="11"/>
        <v>10.639999999999418</v>
      </c>
      <c r="AO16" s="52">
        <f>'13'!G74</f>
        <v>303</v>
      </c>
      <c r="AP16" s="55">
        <f>'13'!G35</f>
        <v>2144</v>
      </c>
      <c r="AQ16" s="19">
        <f>'13'!G37</f>
        <v>1651</v>
      </c>
      <c r="AR16" s="19">
        <f>'13'!G38</f>
        <v>1898</v>
      </c>
      <c r="AS16" s="19">
        <f>'13'!G39</f>
        <v>3040</v>
      </c>
      <c r="AT16" s="19">
        <f>'13'!G40</f>
        <v>0</v>
      </c>
      <c r="AU16" s="19">
        <f>'13'!G41</f>
        <v>1945</v>
      </c>
      <c r="AV16" s="19">
        <f>'13'!G42</f>
        <v>0</v>
      </c>
      <c r="AW16" s="19">
        <f>'13'!G43</f>
        <v>2775</v>
      </c>
      <c r="AX16" s="23">
        <f>'13'!G44</f>
        <v>0</v>
      </c>
      <c r="AY16" s="56">
        <f>'13'!G36</f>
        <v>1288</v>
      </c>
      <c r="AZ16" s="55">
        <f>'13'!G49</f>
        <v>1681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</v>
      </c>
      <c r="BE16" s="19">
        <f>'13'!G55</f>
        <v>0</v>
      </c>
      <c r="BF16" s="19">
        <f>'13'!G56</f>
        <v>4186</v>
      </c>
      <c r="BG16" s="19">
        <f>'13'!G57</f>
        <v>0</v>
      </c>
      <c r="BH16" s="56">
        <f>'13'!G50</f>
        <v>1833</v>
      </c>
      <c r="BI16" s="60">
        <f t="shared" si="12"/>
        <v>6131</v>
      </c>
      <c r="BJ16" s="60">
        <f>'13'!G133</f>
        <v>783</v>
      </c>
      <c r="BK16" s="23">
        <f t="shared" si="13"/>
        <v>52.283367556468171</v>
      </c>
      <c r="BL16" s="23">
        <f t="shared" si="14"/>
        <v>12.484599589322382</v>
      </c>
      <c r="BM16" s="24">
        <f t="shared" si="15"/>
        <v>7.7946611909650923E-2</v>
      </c>
      <c r="BN16" s="25">
        <f t="shared" si="16"/>
        <v>306988.2</v>
      </c>
      <c r="BO16" s="38">
        <f t="shared" si="17"/>
        <v>9689</v>
      </c>
      <c r="BP16">
        <f t="shared" si="18"/>
        <v>1.0813616071428571</v>
      </c>
    </row>
    <row r="17" spans="1:68">
      <c r="A17" s="16">
        <v>14</v>
      </c>
      <c r="B17" s="17">
        <v>14</v>
      </c>
      <c r="C17" s="27"/>
      <c r="D17" s="19">
        <f>'14'!D3</f>
        <v>27</v>
      </c>
      <c r="E17" s="50">
        <f>'14'!D4</f>
        <v>0.65</v>
      </c>
      <c r="F17" s="50">
        <f>'14'!D2</f>
        <v>0.51</v>
      </c>
      <c r="G17" s="19">
        <f>'14'!G7</f>
        <v>22252</v>
      </c>
      <c r="H17" s="19">
        <f>'14'!G8</f>
        <v>22382</v>
      </c>
      <c r="I17" s="19">
        <v>9</v>
      </c>
      <c r="J17" s="49">
        <f t="shared" si="3"/>
        <v>201438</v>
      </c>
      <c r="K17" s="45">
        <f t="shared" si="4"/>
        <v>110.80198019801981</v>
      </c>
      <c r="L17" s="19">
        <f>'14'!G15</f>
        <v>1139.97</v>
      </c>
      <c r="M17" s="19">
        <v>56.2</v>
      </c>
      <c r="N17" s="41">
        <f t="shared" si="5"/>
        <v>64066.314000000006</v>
      </c>
      <c r="O17" s="19">
        <f>'14'!G20</f>
        <v>293</v>
      </c>
      <c r="P17" s="19">
        <v>108</v>
      </c>
      <c r="Q17" s="46">
        <f t="shared" si="0"/>
        <v>31644</v>
      </c>
      <c r="R17" s="47">
        <f t="shared" si="1"/>
        <v>284.41079402057852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101</v>
      </c>
      <c r="W17" s="22">
        <f>'14'!G66</f>
        <v>26</v>
      </c>
      <c r="X17" s="22">
        <f>'14'!G67</f>
        <v>24</v>
      </c>
      <c r="Y17" s="22">
        <f>V17+W17+X17</f>
        <v>151</v>
      </c>
      <c r="Z17" s="19">
        <f>'14'!G84</f>
        <v>19</v>
      </c>
      <c r="AA17" s="19">
        <f>'14'!G85</f>
        <v>0</v>
      </c>
      <c r="AB17" s="19">
        <f>'14'!G86</f>
        <v>0</v>
      </c>
      <c r="AC17" s="19">
        <f>'14'!G87</f>
        <v>10</v>
      </c>
      <c r="AD17" s="19">
        <f t="shared" si="8"/>
        <v>29</v>
      </c>
      <c r="AE17" s="23">
        <f t="shared" si="2"/>
        <v>6179</v>
      </c>
      <c r="AF17" s="23">
        <f t="shared" si="9"/>
        <v>213.06896551724137</v>
      </c>
      <c r="AG17" s="19">
        <f>'14'!G88</f>
        <v>0</v>
      </c>
      <c r="AH17" s="19">
        <f>'14'!G89</f>
        <v>10.270000000000437</v>
      </c>
      <c r="AI17" s="19">
        <f>'14'!G90</f>
        <v>7.1399999999994179</v>
      </c>
      <c r="AJ17" s="19">
        <f t="shared" si="10"/>
        <v>17.409999999999854</v>
      </c>
      <c r="AK17" s="19">
        <f>'14'!G91</f>
        <v>0</v>
      </c>
      <c r="AL17" s="19">
        <f>'14'!G92</f>
        <v>9.7899999999999636</v>
      </c>
      <c r="AM17" s="19"/>
      <c r="AN17" s="19">
        <f t="shared" si="11"/>
        <v>9.7899999999999636</v>
      </c>
      <c r="AO17" s="52">
        <f>'14'!G44</f>
        <v>0</v>
      </c>
      <c r="AP17" s="55">
        <f>'14'!G35</f>
        <v>1792</v>
      </c>
      <c r="AQ17" s="19">
        <f>'14'!G37</f>
        <v>1518</v>
      </c>
      <c r="AR17" s="19">
        <f>'14'!G38</f>
        <v>1821</v>
      </c>
      <c r="AS17" s="19">
        <f>'14'!G39</f>
        <v>2824</v>
      </c>
      <c r="AT17" s="19">
        <f>'14'!G40</f>
        <v>0</v>
      </c>
      <c r="AU17" s="19">
        <f>'14'!G41</f>
        <v>4191</v>
      </c>
      <c r="AV17" s="19">
        <f>'14'!G42</f>
        <v>0</v>
      </c>
      <c r="AW17" s="19">
        <f>'14'!G43</f>
        <v>2571</v>
      </c>
      <c r="AX17" s="23">
        <f>'14'!G44</f>
        <v>0</v>
      </c>
      <c r="AY17" s="56">
        <f>'14'!G36</f>
        <v>875</v>
      </c>
      <c r="AZ17" s="55">
        <f>'14'!G49</f>
        <v>1648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6</v>
      </c>
      <c r="BE17" s="19">
        <f>'14'!G55</f>
        <v>0</v>
      </c>
      <c r="BF17" s="19">
        <f>'14'!G56</f>
        <v>1988</v>
      </c>
      <c r="BG17" s="19">
        <f>'14'!G57</f>
        <v>0</v>
      </c>
      <c r="BH17" s="56">
        <f>'14'!G50</f>
        <v>1194</v>
      </c>
      <c r="BI17" s="60">
        <f t="shared" si="12"/>
        <v>6179</v>
      </c>
      <c r="BJ17" s="60">
        <f>'14'!G133</f>
        <v>769</v>
      </c>
      <c r="BK17" s="23">
        <f t="shared" si="13"/>
        <v>54.463408095791266</v>
      </c>
      <c r="BL17" s="23">
        <f t="shared" si="14"/>
        <v>12.617281744258779</v>
      </c>
      <c r="BM17" s="24">
        <f t="shared" si="15"/>
        <v>8.1360021445804662E-2</v>
      </c>
      <c r="BN17" s="25">
        <f t="shared" si="16"/>
        <v>297148.31400000001</v>
      </c>
      <c r="BO17" s="38">
        <f t="shared" si="17"/>
        <v>9519</v>
      </c>
      <c r="BP17">
        <f t="shared" si="18"/>
        <v>1.1722906403940887</v>
      </c>
    </row>
    <row r="18" spans="1:68">
      <c r="A18" s="16">
        <v>15</v>
      </c>
      <c r="B18" s="26">
        <v>15</v>
      </c>
      <c r="C18" s="18"/>
      <c r="D18" s="19">
        <f>'15'!D3</f>
        <v>29</v>
      </c>
      <c r="E18" s="50">
        <f>'15'!D4</f>
        <v>0.84</v>
      </c>
      <c r="F18" s="50">
        <f>'15'!D2</f>
        <v>0.7</v>
      </c>
      <c r="G18" s="19">
        <f>'15'!G7</f>
        <v>24122.819999999949</v>
      </c>
      <c r="H18" s="19">
        <f>'15'!G8</f>
        <v>24876.320000000065</v>
      </c>
      <c r="I18" s="19">
        <v>9</v>
      </c>
      <c r="J18" s="49">
        <f t="shared" si="3"/>
        <v>223886.88000000059</v>
      </c>
      <c r="K18" s="45">
        <f t="shared" si="4"/>
        <v>123.15009900990131</v>
      </c>
      <c r="L18" s="19">
        <f>'15'!G15</f>
        <v>911.19999999995343</v>
      </c>
      <c r="M18" s="19">
        <v>56.2</v>
      </c>
      <c r="N18" s="41">
        <f t="shared" si="5"/>
        <v>51209.439999997383</v>
      </c>
      <c r="O18" s="19">
        <f>'15'!G20</f>
        <v>236</v>
      </c>
      <c r="P18" s="19">
        <v>108</v>
      </c>
      <c r="Q18" s="46">
        <f t="shared" si="0"/>
        <v>25488</v>
      </c>
      <c r="R18" s="47">
        <f t="shared" si="1"/>
        <v>166.90240452616695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116</v>
      </c>
      <c r="W18" s="22">
        <f>'15'!G66</f>
        <v>21</v>
      </c>
      <c r="X18" s="22">
        <f>'15'!G67</f>
        <v>20</v>
      </c>
      <c r="Y18" s="22">
        <f t="shared" si="7"/>
        <v>157</v>
      </c>
      <c r="Z18" s="19">
        <f>'15'!G84</f>
        <v>0</v>
      </c>
      <c r="AA18" s="19">
        <f>'15'!G85</f>
        <v>11.519999999999982</v>
      </c>
      <c r="AB18" s="19">
        <f>'15'!G86</f>
        <v>0</v>
      </c>
      <c r="AC18" s="19">
        <f>'15'!G87</f>
        <v>24.169999999998254</v>
      </c>
      <c r="AD18" s="19">
        <f t="shared" si="8"/>
        <v>35.689999999998236</v>
      </c>
      <c r="AE18" s="23">
        <f t="shared" si="2"/>
        <v>7030.5100000000093</v>
      </c>
      <c r="AF18" s="23">
        <f t="shared" si="9"/>
        <v>196.98823199776848</v>
      </c>
      <c r="AG18" s="19">
        <f>'15'!G88</f>
        <v>-2.9999999998835847E-2</v>
      </c>
      <c r="AH18" s="19">
        <f>'15'!G89</f>
        <v>10.180000000000291</v>
      </c>
      <c r="AI18" s="19">
        <f>'15'!G90</f>
        <v>4.1200000000098953</v>
      </c>
      <c r="AJ18" s="19">
        <f t="shared" si="10"/>
        <v>14.27000000001135</v>
      </c>
      <c r="AK18" s="19">
        <f>'15'!G91</f>
        <v>0</v>
      </c>
      <c r="AL18" s="19">
        <f>'15'!G92</f>
        <v>8.8800000000001091</v>
      </c>
      <c r="AM18" s="19"/>
      <c r="AN18" s="19">
        <f t="shared" si="11"/>
        <v>8.8800000000001091</v>
      </c>
      <c r="AO18" s="52">
        <f>'15'!G74</f>
        <v>252.48999999999069</v>
      </c>
      <c r="AP18" s="55">
        <f>'15'!G35</f>
        <v>1985.3700000000026</v>
      </c>
      <c r="AQ18" s="19">
        <f>'15'!G37</f>
        <v>1554.8800000000047</v>
      </c>
      <c r="AR18" s="19">
        <f>'15'!G38</f>
        <v>1735.5599999999977</v>
      </c>
      <c r="AS18" s="19">
        <f>'15'!G39</f>
        <v>2954.210000000021</v>
      </c>
      <c r="AT18" s="19">
        <f>'15'!G40</f>
        <v>0.71</v>
      </c>
      <c r="AU18" s="19">
        <f>'15'!G41</f>
        <v>0.10999999998603016</v>
      </c>
      <c r="AV18" s="19">
        <f>'15'!G42</f>
        <v>1965.5900000000256</v>
      </c>
      <c r="AW18" s="19">
        <f>'15'!G43</f>
        <v>2788.5</v>
      </c>
      <c r="AX18" s="23">
        <f>'15'!G44</f>
        <v>0</v>
      </c>
      <c r="AY18" s="56">
        <f>'15'!G36</f>
        <v>840.69999999999709</v>
      </c>
      <c r="AZ18" s="55">
        <f>'15'!G49</f>
        <v>1618.3299999999872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5.4299999999998363</v>
      </c>
      <c r="BE18" s="19">
        <f>'15'!G55</f>
        <v>0</v>
      </c>
      <c r="BF18" s="19">
        <f>'15'!G56</f>
        <v>5064.8099999999977</v>
      </c>
      <c r="BG18" s="19">
        <f>'15'!G57</f>
        <v>0</v>
      </c>
      <c r="BH18" s="56">
        <f>'15'!G50</f>
        <v>1115.4699999999721</v>
      </c>
      <c r="BI18" s="60">
        <f t="shared" si="12"/>
        <v>7030.5100000000093</v>
      </c>
      <c r="BJ18" s="60">
        <f>'15'!G133</f>
        <v>740.9800000000032</v>
      </c>
      <c r="BK18" s="23">
        <f t="shared" si="13"/>
        <v>53.957779928863928</v>
      </c>
      <c r="BL18" s="23">
        <f t="shared" si="14"/>
        <v>11.875590923416377</v>
      </c>
      <c r="BM18" s="24">
        <f t="shared" si="15"/>
        <v>6.9767554043363045E-2</v>
      </c>
      <c r="BN18" s="25">
        <f t="shared" si="16"/>
        <v>300584.31999999797</v>
      </c>
      <c r="BO18" s="38">
        <f t="shared" si="17"/>
        <v>10559.990000000013</v>
      </c>
      <c r="BP18">
        <f t="shared" si="18"/>
        <v>1.0567175679462568</v>
      </c>
    </row>
    <row r="19" spans="1:68">
      <c r="A19" s="16">
        <v>16</v>
      </c>
      <c r="B19" s="26">
        <v>16</v>
      </c>
      <c r="C19" s="26"/>
      <c r="D19" s="19">
        <f>'16'!D3</f>
        <v>28</v>
      </c>
      <c r="E19" s="50">
        <f>'16'!D4</f>
        <v>0.62</v>
      </c>
      <c r="F19" s="50">
        <f>'16'!D2</f>
        <v>0.57420000000000004</v>
      </c>
      <c r="G19" s="19">
        <f>'16'!G7</f>
        <v>25079.879999999997</v>
      </c>
      <c r="H19" s="19">
        <f>'16'!G8</f>
        <v>25405.379999999997</v>
      </c>
      <c r="I19" s="19">
        <v>9</v>
      </c>
      <c r="J19" s="49">
        <f t="shared" si="3"/>
        <v>228648.41999999998</v>
      </c>
      <c r="K19" s="45">
        <f t="shared" si="4"/>
        <v>125.76920792079207</v>
      </c>
      <c r="L19" s="19">
        <f>'16'!G15</f>
        <v>794.9000000001397</v>
      </c>
      <c r="M19" s="19">
        <v>56.2</v>
      </c>
      <c r="N19" s="41">
        <f t="shared" si="5"/>
        <v>44673.380000007855</v>
      </c>
      <c r="O19" s="19">
        <f>'16'!G20</f>
        <v>251</v>
      </c>
      <c r="P19" s="19">
        <v>108</v>
      </c>
      <c r="Q19" s="46">
        <f t="shared" si="0"/>
        <v>27108</v>
      </c>
      <c r="R19" s="47">
        <f t="shared" si="1"/>
        <v>216.40095043987154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102</v>
      </c>
      <c r="W19" s="22">
        <f>'16'!G66</f>
        <v>20</v>
      </c>
      <c r="X19" s="22">
        <f>'16'!G67</f>
        <v>22</v>
      </c>
      <c r="Y19" s="22">
        <f t="shared" si="7"/>
        <v>144</v>
      </c>
      <c r="Z19" s="19">
        <f>'16'!G84</f>
        <v>0</v>
      </c>
      <c r="AA19" s="19">
        <f>'16'!G85</f>
        <v>11.470000000000027</v>
      </c>
      <c r="AB19" s="19">
        <f>'16'!G86</f>
        <v>0</v>
      </c>
      <c r="AC19" s="19">
        <f>'16'!G87</f>
        <v>22.139999999999418</v>
      </c>
      <c r="AD19" s="19">
        <f t="shared" si="8"/>
        <v>33.609999999999445</v>
      </c>
      <c r="AE19" s="23">
        <f t="shared" si="2"/>
        <v>7803.9999999999709</v>
      </c>
      <c r="AF19" s="23">
        <f t="shared" si="9"/>
        <v>232.19279976197856</v>
      </c>
      <c r="AG19" s="19">
        <f>'16'!G88</f>
        <v>4.7899999999972351</v>
      </c>
      <c r="AH19" s="19">
        <f>'16'!G89</f>
        <v>5.1300000000010186</v>
      </c>
      <c r="AI19" s="19">
        <f>'16'!G90</f>
        <v>6.9199999999982538</v>
      </c>
      <c r="AJ19" s="19">
        <f t="shared" si="10"/>
        <v>16.839999999996508</v>
      </c>
      <c r="AK19" s="19">
        <f>'16'!G91</f>
        <v>0</v>
      </c>
      <c r="AL19" s="19">
        <f>'16'!G92</f>
        <v>9</v>
      </c>
      <c r="AM19" s="19"/>
      <c r="AN19" s="19">
        <f t="shared" si="11"/>
        <v>9</v>
      </c>
      <c r="AO19" s="52">
        <f>'16'!G74</f>
        <v>283.47999999998137</v>
      </c>
      <c r="AP19" s="55">
        <f>'16'!G35</f>
        <v>2096.1399999999994</v>
      </c>
      <c r="AQ19" s="19">
        <f>'16'!G37</f>
        <v>1596.4400000000023</v>
      </c>
      <c r="AR19" s="19">
        <f>'16'!G38</f>
        <v>1865.8300000000163</v>
      </c>
      <c r="AS19" s="19">
        <f>'16'!G39</f>
        <v>2997.2799999999697</v>
      </c>
      <c r="AT19" s="19">
        <f>'16'!G40</f>
        <v>70.290000000000006</v>
      </c>
      <c r="AU19" s="19">
        <f>'16'!G41</f>
        <v>0</v>
      </c>
      <c r="AV19" s="19">
        <f>'16'!G42</f>
        <v>2585.7199999999721</v>
      </c>
      <c r="AW19" s="19">
        <f>'16'!G43</f>
        <v>2788.8999999999069</v>
      </c>
      <c r="AX19" s="23">
        <f>'16'!G44</f>
        <v>0</v>
      </c>
      <c r="AY19" s="56">
        <f>'16'!G36</f>
        <v>905.24000000000524</v>
      </c>
      <c r="AZ19" s="55">
        <f>'16'!G49</f>
        <v>1528.7200000000012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5.430000000000291</v>
      </c>
      <c r="BE19" s="19">
        <f>'16'!G55</f>
        <v>0</v>
      </c>
      <c r="BF19" s="19">
        <f>'16'!G56</f>
        <v>5218.2799999999988</v>
      </c>
      <c r="BG19" s="19">
        <f>'16'!G57</f>
        <v>0</v>
      </c>
      <c r="BH19" s="56">
        <f>'16'!G50</f>
        <v>1347.9200000000419</v>
      </c>
      <c r="BI19" s="60">
        <f t="shared" si="12"/>
        <v>7803.9999999999709</v>
      </c>
      <c r="BJ19" s="60">
        <f>'16'!G133</f>
        <v>645.71999999999389</v>
      </c>
      <c r="BK19" s="23">
        <f t="shared" si="13"/>
        <v>55.963579367834214</v>
      </c>
      <c r="BL19" s="23">
        <f t="shared" si="14"/>
        <v>11.797816053135085</v>
      </c>
      <c r="BM19" s="24">
        <f t="shared" si="15"/>
        <v>7.3442318123169842E-2</v>
      </c>
      <c r="BN19" s="25">
        <f t="shared" si="16"/>
        <v>300429.80000000785</v>
      </c>
      <c r="BO19" s="38">
        <f t="shared" si="17"/>
        <v>11238.619999999872</v>
      </c>
      <c r="BP19">
        <f t="shared" si="18"/>
        <v>1.1942257831427783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27041.900000000009</v>
      </c>
      <c r="H20" s="19">
        <f>'17'!G8</f>
        <v>27478.199999999997</v>
      </c>
      <c r="I20" s="19">
        <v>9</v>
      </c>
      <c r="J20" s="49">
        <f t="shared" si="3"/>
        <v>247303.8</v>
      </c>
      <c r="K20" s="45">
        <f t="shared" si="4"/>
        <v>136.03069306930692</v>
      </c>
      <c r="L20" s="19">
        <f>'17'!G15</f>
        <v>824.39999999990687</v>
      </c>
      <c r="M20" s="19">
        <v>56.2</v>
      </c>
      <c r="N20" s="41">
        <f t="shared" si="5"/>
        <v>46331.279999994767</v>
      </c>
      <c r="O20" s="19">
        <f>'17'!G20</f>
        <v>255</v>
      </c>
      <c r="P20" s="19">
        <v>108</v>
      </c>
      <c r="Q20" s="46">
        <f t="shared" si="0"/>
        <v>27540</v>
      </c>
      <c r="R20" s="47">
        <f t="shared" si="1"/>
        <v>247.52475247524751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109</v>
      </c>
      <c r="W20" s="22">
        <f>'17'!G66</f>
        <v>23</v>
      </c>
      <c r="X20" s="22">
        <f>'17'!G67</f>
        <v>35</v>
      </c>
      <c r="Y20" s="22">
        <f t="shared" si="7"/>
        <v>167</v>
      </c>
      <c r="Z20" s="19">
        <f>'17'!G84</f>
        <v>0</v>
      </c>
      <c r="AA20" s="19">
        <f>'17'!G85</f>
        <v>13.5</v>
      </c>
      <c r="AB20" s="19">
        <f>'17'!G86</f>
        <v>0</v>
      </c>
      <c r="AC20" s="19">
        <f>'17'!G87</f>
        <v>23.690000000002328</v>
      </c>
      <c r="AD20" s="19">
        <f t="shared" si="8"/>
        <v>37.190000000002328</v>
      </c>
      <c r="AE20" s="23">
        <f t="shared" si="2"/>
        <v>8791.7599999999948</v>
      </c>
      <c r="AF20" s="23">
        <f t="shared" si="9"/>
        <v>236.40118311372532</v>
      </c>
      <c r="AG20" s="19">
        <f>'17'!G88</f>
        <v>9.5500000000029104</v>
      </c>
      <c r="AH20" s="19">
        <f>'17'!G89</f>
        <v>0</v>
      </c>
      <c r="AI20" s="19">
        <f>'17'!G90</f>
        <v>9.6899999999877764</v>
      </c>
      <c r="AJ20" s="19">
        <f t="shared" si="10"/>
        <v>19.239999999990687</v>
      </c>
      <c r="AK20" s="19">
        <f>'17'!G91</f>
        <v>0</v>
      </c>
      <c r="AL20" s="19">
        <f>'17'!G92</f>
        <v>10.800000000000182</v>
      </c>
      <c r="AM20" s="19"/>
      <c r="AN20" s="19">
        <f t="shared" si="11"/>
        <v>10.800000000000182</v>
      </c>
      <c r="AO20" s="52">
        <f>'17'!G74</f>
        <v>281.27000000001863</v>
      </c>
      <c r="AP20" s="55">
        <f>'17'!G35</f>
        <v>2120.4399999999951</v>
      </c>
      <c r="AQ20" s="19">
        <f>'17'!G37</f>
        <v>1696.0799999999872</v>
      </c>
      <c r="AR20" s="19">
        <f>'17'!G38</f>
        <v>1917.6999999999825</v>
      </c>
      <c r="AS20" s="19">
        <f>'17'!G39</f>
        <v>2980.359999999986</v>
      </c>
      <c r="AT20" s="19">
        <f>'17'!G40</f>
        <v>0.20000000000000284</v>
      </c>
      <c r="AU20" s="19">
        <f>'17'!G41</f>
        <v>0</v>
      </c>
      <c r="AV20" s="19">
        <f>'17'!G42</f>
        <v>4972.679999999993</v>
      </c>
      <c r="AW20" s="19">
        <f>'17'!G43</f>
        <v>3015.6000000000931</v>
      </c>
      <c r="AX20" s="23">
        <f>'17'!G44</f>
        <v>0</v>
      </c>
      <c r="AY20" s="56">
        <f>'17'!G36</f>
        <v>1258.3600000000006</v>
      </c>
      <c r="AZ20" s="55">
        <f>'17'!G49</f>
        <v>1709.4400000000023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5.6399999999998727</v>
      </c>
      <c r="BE20" s="19">
        <f>'17'!G55</f>
        <v>0</v>
      </c>
      <c r="BF20" s="19">
        <f>'17'!G56</f>
        <v>3819.0800000000017</v>
      </c>
      <c r="BG20" s="19">
        <f>'17'!G57</f>
        <v>0</v>
      </c>
      <c r="BH20" s="56">
        <f>'17'!G50</f>
        <v>1503.2800000000279</v>
      </c>
      <c r="BI20" s="60">
        <f t="shared" si="12"/>
        <v>8791.7599999999948</v>
      </c>
      <c r="BJ20" s="60">
        <f>'17'!G133</f>
        <v>804.85000000000582</v>
      </c>
      <c r="BK20" s="23">
        <f t="shared" si="13"/>
        <v>56.907803276779724</v>
      </c>
      <c r="BL20" s="23">
        <f t="shared" si="14"/>
        <v>10.846270861992366</v>
      </c>
      <c r="BM20" s="24">
        <f t="shared" si="15"/>
        <v>6.9789869787685616E-2</v>
      </c>
      <c r="BN20" s="25">
        <f t="shared" si="16"/>
        <v>321175.07999999478</v>
      </c>
      <c r="BO20" s="38">
        <f t="shared" si="17"/>
        <v>12612.210000000094</v>
      </c>
      <c r="BP20">
        <f t="shared" si="18"/>
        <v>1.2111752391195121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26420.209999999992</v>
      </c>
      <c r="H21" s="19">
        <f>'18 '!G8</f>
        <v>26897.630000000005</v>
      </c>
      <c r="I21" s="19">
        <v>9</v>
      </c>
      <c r="J21" s="49">
        <f t="shared" si="3"/>
        <v>242078.67000000004</v>
      </c>
      <c r="K21" s="45">
        <f t="shared" si="4"/>
        <v>133.15658415841585</v>
      </c>
      <c r="L21" s="19">
        <f>'18 '!G15</f>
        <v>783.80000000004657</v>
      </c>
      <c r="M21" s="19">
        <v>56.2</v>
      </c>
      <c r="N21" s="41">
        <f t="shared" si="5"/>
        <v>44049.560000002617</v>
      </c>
      <c r="O21" s="19">
        <f>'18 '!G20</f>
        <v>337</v>
      </c>
      <c r="P21" s="19">
        <v>108</v>
      </c>
      <c r="Q21" s="46">
        <f t="shared" si="0"/>
        <v>36396</v>
      </c>
      <c r="R21" s="47">
        <f t="shared" si="1"/>
        <v>327.12094738885651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106</v>
      </c>
      <c r="W21" s="22">
        <f>'18 '!G66</f>
        <v>43</v>
      </c>
      <c r="X21" s="22">
        <f>'18 '!G67</f>
        <v>25</v>
      </c>
      <c r="Y21" s="22">
        <f t="shared" si="7"/>
        <v>174</v>
      </c>
      <c r="Z21" s="19">
        <f>'18 '!G84</f>
        <v>0.30999999999767169</v>
      </c>
      <c r="AA21" s="19">
        <f>'18 '!G85</f>
        <v>20.3599999999999</v>
      </c>
      <c r="AB21" s="19">
        <f>'18 '!G86</f>
        <v>0</v>
      </c>
      <c r="AC21" s="19">
        <f>'18 '!G87</f>
        <v>16.099999999998545</v>
      </c>
      <c r="AD21" s="19">
        <f t="shared" si="8"/>
        <v>36.769999999996116</v>
      </c>
      <c r="AE21" s="23">
        <f t="shared" si="2"/>
        <v>8645.3099999999831</v>
      </c>
      <c r="AF21" s="23">
        <f t="shared" si="9"/>
        <v>235.11857492523515</v>
      </c>
      <c r="AG21" s="19">
        <f>'18 '!G88</f>
        <v>8.8899999999994179</v>
      </c>
      <c r="AH21" s="19">
        <f>'18 '!G89</f>
        <v>0</v>
      </c>
      <c r="AI21" s="19">
        <f>'18 '!G90</f>
        <v>7.7800000000133878</v>
      </c>
      <c r="AJ21" s="19">
        <f t="shared" si="10"/>
        <v>16.670000000012806</v>
      </c>
      <c r="AK21" s="19">
        <f>'18 '!G91</f>
        <v>0</v>
      </c>
      <c r="AL21" s="19">
        <f>'18 '!G92</f>
        <v>10.390000000000327</v>
      </c>
      <c r="AM21" s="19"/>
      <c r="AN21" s="19">
        <f t="shared" si="11"/>
        <v>10.390000000000327</v>
      </c>
      <c r="AO21" s="52">
        <f>'18 '!G74</f>
        <v>296.51000000000931</v>
      </c>
      <c r="AP21" s="55">
        <f>'18 '!G35</f>
        <v>13.220000000001164</v>
      </c>
      <c r="AQ21" s="19">
        <f>'18 '!G37</f>
        <v>1804.6800000000076</v>
      </c>
      <c r="AR21" s="19">
        <f>'18 '!G38</f>
        <v>1865.9700000000012</v>
      </c>
      <c r="AS21" s="19">
        <f>'18 '!G39</f>
        <v>2891.1600000000326</v>
      </c>
      <c r="AT21" s="19">
        <f>'18 '!G40</f>
        <v>1.0699999999999932</v>
      </c>
      <c r="AU21" s="19">
        <f>'18 '!G41</f>
        <v>0</v>
      </c>
      <c r="AV21" s="19">
        <f>'18 '!G42</f>
        <v>2732.9799999999814</v>
      </c>
      <c r="AW21" s="19">
        <f>'18 '!G43</f>
        <v>2870.3999999999069</v>
      </c>
      <c r="AX21" s="23">
        <f>'18 '!G44</f>
        <v>0</v>
      </c>
      <c r="AY21" s="56">
        <f>'18 '!G36</f>
        <v>1112.4400000000023</v>
      </c>
      <c r="AZ21" s="55">
        <f>'18 '!G49</f>
        <v>1684.0599999999977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5.4699999999997999</v>
      </c>
      <c r="BE21" s="19">
        <f>'18 '!G55</f>
        <v>0</v>
      </c>
      <c r="BF21" s="19">
        <f>'18 '!G56</f>
        <v>5912.3300000000017</v>
      </c>
      <c r="BG21" s="19">
        <f>'18 '!G57</f>
        <v>0</v>
      </c>
      <c r="BH21" s="56">
        <f>'18 '!G50</f>
        <v>1613.2799999999115</v>
      </c>
      <c r="BI21" s="60">
        <f t="shared" si="12"/>
        <v>8645.3099999999831</v>
      </c>
      <c r="BJ21" s="60">
        <f>'18 '!G133</f>
        <v>778.93000000000029</v>
      </c>
      <c r="BK21" s="23">
        <f t="shared" si="13"/>
        <v>49.123249892276334</v>
      </c>
      <c r="BL21" s="23">
        <f t="shared" si="14"/>
        <v>10.748753700604968</v>
      </c>
      <c r="BM21" s="24">
        <f t="shared" si="15"/>
        <v>6.9373026545461472E-2</v>
      </c>
      <c r="BN21" s="25">
        <f t="shared" si="16"/>
        <v>322524.23000000266</v>
      </c>
      <c r="BO21" s="38">
        <f t="shared" si="17"/>
        <v>12294.63999999989</v>
      </c>
      <c r="BP21">
        <f t="shared" si="18"/>
        <v>1.1941644974553391</v>
      </c>
    </row>
    <row r="22" spans="1:68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25465.64</v>
      </c>
      <c r="H22" s="19">
        <f>'19'!G8</f>
        <v>25802.360000000015</v>
      </c>
      <c r="I22" s="19">
        <v>9</v>
      </c>
      <c r="J22" s="49">
        <f t="shared" si="3"/>
        <v>232221.24000000014</v>
      </c>
      <c r="K22" s="45">
        <f t="shared" si="4"/>
        <v>127.73445544554463</v>
      </c>
      <c r="L22" s="19">
        <f>'19'!G15</f>
        <v>785.5999999998603</v>
      </c>
      <c r="M22" s="19">
        <v>56.2</v>
      </c>
      <c r="N22" s="41">
        <f t="shared" si="5"/>
        <v>44150.71999999215</v>
      </c>
      <c r="O22" s="19">
        <f>'19'!G20</f>
        <v>325</v>
      </c>
      <c r="P22" s="19">
        <v>108</v>
      </c>
      <c r="Q22" s="46">
        <f t="shared" si="0"/>
        <v>35100</v>
      </c>
      <c r="R22" s="47">
        <f t="shared" si="1"/>
        <v>173.03838364047206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95</v>
      </c>
      <c r="W22" s="22">
        <f>'19'!G66</f>
        <v>23</v>
      </c>
      <c r="X22" s="22">
        <f>'19'!G67</f>
        <v>33</v>
      </c>
      <c r="Y22" s="22">
        <f t="shared" si="7"/>
        <v>151</v>
      </c>
      <c r="Z22" s="19">
        <f>'19'!G84</f>
        <v>0</v>
      </c>
      <c r="AA22" s="19">
        <f>'19'!G85</f>
        <v>9.1300000000001091</v>
      </c>
      <c r="AB22" s="19">
        <f>'19'!G86</f>
        <v>0</v>
      </c>
      <c r="AC22" s="19">
        <f>'19'!G87</f>
        <v>24.020000000004075</v>
      </c>
      <c r="AD22" s="19">
        <f t="shared" si="8"/>
        <v>33.150000000004184</v>
      </c>
      <c r="AE22" s="23">
        <f t="shared" si="2"/>
        <v>7972.4600000000501</v>
      </c>
      <c r="AF22" s="23">
        <f t="shared" si="9"/>
        <v>240.49653092003149</v>
      </c>
      <c r="AG22" s="19">
        <f>'19'!G88</f>
        <v>9.0000000000145519E-2</v>
      </c>
      <c r="AH22" s="19">
        <f>'19'!G89</f>
        <v>10.549999999999272</v>
      </c>
      <c r="AI22" s="19">
        <f>'19'!G90</f>
        <v>6.5399999999935972</v>
      </c>
      <c r="AJ22" s="19">
        <f t="shared" si="10"/>
        <v>17.179999999993015</v>
      </c>
      <c r="AK22" s="19">
        <f>'19'!G91</f>
        <v>0</v>
      </c>
      <c r="AL22" s="19">
        <f>'19'!G92</f>
        <v>9.9799999999995634</v>
      </c>
      <c r="AM22" s="19"/>
      <c r="AN22" s="19">
        <f t="shared" si="11"/>
        <v>9.9799999999995634</v>
      </c>
      <c r="AO22" s="52">
        <f>'19'!G74</f>
        <v>286.02000000001863</v>
      </c>
      <c r="AP22" s="55">
        <f>'19'!G35</f>
        <v>4103.2700000000041</v>
      </c>
      <c r="AQ22" s="19">
        <f>'19'!G37</f>
        <v>1586.6300000000047</v>
      </c>
      <c r="AR22" s="19">
        <f>'19'!G38</f>
        <v>1808.7900000000081</v>
      </c>
      <c r="AS22" s="19">
        <f>'19'!G39</f>
        <v>2926.8999999999651</v>
      </c>
      <c r="AT22" s="19">
        <f>'19'!G40</f>
        <v>3.5300000000000011</v>
      </c>
      <c r="AU22" s="19">
        <f>'19'!G41</f>
        <v>0</v>
      </c>
      <c r="AV22" s="19">
        <f>'19'!G42</f>
        <v>2143.1800000000512</v>
      </c>
      <c r="AW22" s="19">
        <f>'19'!G43</f>
        <v>2801.2000000001863</v>
      </c>
      <c r="AX22" s="23">
        <f>'19'!G44</f>
        <v>0</v>
      </c>
      <c r="AY22" s="56">
        <f>'19'!G36</f>
        <v>807.41999999999825</v>
      </c>
      <c r="AZ22" s="55">
        <f>'19'!G49</f>
        <v>1516.7799999999988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5.4600000000000364</v>
      </c>
      <c r="BE22" s="19">
        <f>'19'!G55</f>
        <v>0</v>
      </c>
      <c r="BF22" s="19">
        <f>'19'!G56</f>
        <v>5829.2799999999988</v>
      </c>
      <c r="BG22" s="19">
        <f>'19'!G57</f>
        <v>0</v>
      </c>
      <c r="BH22" s="56">
        <f>'19'!G50</f>
        <v>1761.0400000000373</v>
      </c>
      <c r="BI22" s="60">
        <f t="shared" si="12"/>
        <v>7972.4600000000501</v>
      </c>
      <c r="BJ22" s="60">
        <f>'19'!G133</f>
        <v>793.14999999999418</v>
      </c>
      <c r="BK22" s="23">
        <f t="shared" si="13"/>
        <v>63.535699835209762</v>
      </c>
      <c r="BL22" s="23">
        <f t="shared" si="14"/>
        <v>11.343536017635454</v>
      </c>
      <c r="BM22" s="24">
        <f t="shared" si="15"/>
        <v>7.0101727128836555E-2</v>
      </c>
      <c r="BN22" s="25">
        <f t="shared" si="16"/>
        <v>311471.95999999228</v>
      </c>
      <c r="BO22" s="38">
        <f t="shared" si="17"/>
        <v>11566.810000000231</v>
      </c>
      <c r="BP22">
        <f t="shared" si="18"/>
        <v>1.2461549235077323</v>
      </c>
    </row>
    <row r="23" spans="1:68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26409.039999999994</v>
      </c>
      <c r="H23" s="19">
        <f>'20'!G8</f>
        <v>26883.199999999983</v>
      </c>
      <c r="I23" s="19">
        <v>9</v>
      </c>
      <c r="J23" s="49">
        <f t="shared" si="3"/>
        <v>241948.79999999984</v>
      </c>
      <c r="K23" s="45">
        <f t="shared" si="4"/>
        <v>133.0851485148514</v>
      </c>
      <c r="L23" s="19">
        <f>'20'!G15</f>
        <v>1135.2800000000279</v>
      </c>
      <c r="M23" s="19">
        <v>56.2</v>
      </c>
      <c r="N23" s="41">
        <f t="shared" si="5"/>
        <v>63802.736000001576</v>
      </c>
      <c r="O23" s="19">
        <f>'20'!G20</f>
        <v>271</v>
      </c>
      <c r="P23" s="19">
        <v>108</v>
      </c>
      <c r="Q23" s="46">
        <f t="shared" si="0"/>
        <v>29268</v>
      </c>
      <c r="R23" s="47">
        <f t="shared" si="1"/>
        <v>134.15841584158414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102</v>
      </c>
      <c r="W23" s="22">
        <f>'20'!G66</f>
        <v>15</v>
      </c>
      <c r="X23" s="22">
        <f>'20'!G67</f>
        <v>31</v>
      </c>
      <c r="Y23" s="22">
        <f t="shared" si="7"/>
        <v>148</v>
      </c>
      <c r="Z23" s="19">
        <f>'20'!G84</f>
        <v>0</v>
      </c>
      <c r="AA23" s="19">
        <f>'20'!G85</f>
        <v>11.960000000000036</v>
      </c>
      <c r="AB23" s="19">
        <f>'20'!G86</f>
        <v>0</v>
      </c>
      <c r="AC23" s="19">
        <f>'20'!G87</f>
        <v>24.409999999996217</v>
      </c>
      <c r="AD23" s="19">
        <f t="shared" si="8"/>
        <v>36.369999999996253</v>
      </c>
      <c r="AE23" s="23">
        <f t="shared" si="2"/>
        <v>8670.2199999999721</v>
      </c>
      <c r="AF23" s="23">
        <f t="shared" si="9"/>
        <v>238.38933186694709</v>
      </c>
      <c r="AG23" s="19">
        <f>'20'!G88</f>
        <v>10.049999999999272</v>
      </c>
      <c r="AH23" s="19">
        <f>'20'!G89</f>
        <v>0</v>
      </c>
      <c r="AI23" s="19">
        <f>'20'!G90</f>
        <v>7.7899999999935972</v>
      </c>
      <c r="AJ23" s="19">
        <f t="shared" si="10"/>
        <v>17.83999999999287</v>
      </c>
      <c r="AK23" s="19">
        <f>'20'!G91</f>
        <v>0</v>
      </c>
      <c r="AL23" s="19">
        <f>'20'!G92</f>
        <v>9.930000000000291</v>
      </c>
      <c r="AM23" s="19"/>
      <c r="AN23" s="19">
        <f t="shared" si="11"/>
        <v>9.930000000000291</v>
      </c>
      <c r="AO23" s="52">
        <f>'20'!G74</f>
        <v>284.36999999999534</v>
      </c>
      <c r="AP23" s="55">
        <f>'20'!G35</f>
        <v>2089.1999999999971</v>
      </c>
      <c r="AQ23" s="19">
        <f>'20'!G37</f>
        <v>1650.3099999999977</v>
      </c>
      <c r="AR23" s="19">
        <f>'20'!G38</f>
        <v>1897.070000000007</v>
      </c>
      <c r="AS23" s="19">
        <f>'20'!G39</f>
        <v>2942.6000000000349</v>
      </c>
      <c r="AT23" s="19">
        <f>'20'!G40</f>
        <v>3.3900000000000006</v>
      </c>
      <c r="AU23" s="19">
        <f>'20'!G41</f>
        <v>0</v>
      </c>
      <c r="AV23" s="19">
        <f>'20'!G42</f>
        <v>2711.5799999999581</v>
      </c>
      <c r="AW23" s="19">
        <f>'20'!G43</f>
        <v>2977.0999999998603</v>
      </c>
      <c r="AX23" s="23">
        <f>'20'!G44</f>
        <v>0</v>
      </c>
      <c r="AY23" s="56">
        <f>'20'!G36</f>
        <v>1243.5899999999965</v>
      </c>
      <c r="AZ23" s="55">
        <f>'20'!G49</f>
        <v>1594.8000000000175</v>
      </c>
      <c r="BA23" s="19">
        <f>'20'!G51</f>
        <v>0</v>
      </c>
      <c r="BB23" s="19">
        <f>'20'!G52</f>
        <v>0</v>
      </c>
      <c r="BC23" s="19">
        <f>'20'!G585</f>
        <v>0</v>
      </c>
      <c r="BD23" s="19">
        <f>'20'!G54</f>
        <v>5.8099999999999454</v>
      </c>
      <c r="BE23" s="19">
        <f>'20'!G55</f>
        <v>0</v>
      </c>
      <c r="BF23" s="19">
        <f>'20'!G56</f>
        <v>5958.640000000014</v>
      </c>
      <c r="BG23" s="19">
        <f>'20'!G57</f>
        <v>0</v>
      </c>
      <c r="BH23" s="56">
        <f>'20'!G50</f>
        <v>1214.9599999999627</v>
      </c>
      <c r="BI23" s="60">
        <f t="shared" si="12"/>
        <v>8670.2199999999721</v>
      </c>
      <c r="BJ23" s="60">
        <f>'20'!G133</f>
        <v>854.41000000000349</v>
      </c>
      <c r="BK23" s="23">
        <f t="shared" si="13"/>
        <v>57.029371503391921</v>
      </c>
      <c r="BL23" s="23">
        <f t="shared" si="14"/>
        <v>10.945869539340691</v>
      </c>
      <c r="BM23" s="24">
        <f t="shared" si="15"/>
        <v>7.0567119985716298E-2</v>
      </c>
      <c r="BN23" s="25">
        <f t="shared" si="16"/>
        <v>335019.53600000142</v>
      </c>
      <c r="BO23" s="38">
        <f t="shared" si="17"/>
        <v>12501.729999999836</v>
      </c>
      <c r="BP23">
        <f t="shared" si="18"/>
        <v>1.2276336462548729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0.8</v>
      </c>
      <c r="G24" s="19">
        <f>'21'!G7</f>
        <v>27181.660000000003</v>
      </c>
      <c r="H24" s="19">
        <f>'21'!G8</f>
        <v>27602.040000000008</v>
      </c>
      <c r="I24" s="19">
        <v>9</v>
      </c>
      <c r="J24" s="49">
        <f t="shared" si="3"/>
        <v>248418.36000000007</v>
      </c>
      <c r="K24" s="45">
        <f t="shared" si="4"/>
        <v>136.64376237623767</v>
      </c>
      <c r="L24" s="19">
        <f>'21'!G15</f>
        <v>1044.0400000000373</v>
      </c>
      <c r="M24" s="19">
        <v>56.2</v>
      </c>
      <c r="N24" s="41">
        <f t="shared" si="5"/>
        <v>58675.048000002098</v>
      </c>
      <c r="O24" s="19">
        <f>'21'!G20</f>
        <v>276</v>
      </c>
      <c r="P24" s="19">
        <v>108</v>
      </c>
      <c r="Q24" s="46">
        <f t="shared" si="0"/>
        <v>29808</v>
      </c>
      <c r="R24" s="47">
        <f t="shared" si="1"/>
        <v>170.79207920792075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109</v>
      </c>
      <c r="W24" s="22">
        <f>'21'!G66</f>
        <v>25</v>
      </c>
      <c r="X24" s="22">
        <f>'21'!G67</f>
        <v>42</v>
      </c>
      <c r="Y24" s="22">
        <f t="shared" si="7"/>
        <v>176</v>
      </c>
      <c r="Z24" s="19">
        <f>'21'!G84</f>
        <v>0</v>
      </c>
      <c r="AA24" s="19">
        <f>'21'!G85</f>
        <v>13.980000000000018</v>
      </c>
      <c r="AB24" s="19">
        <f>'21'!G86</f>
        <v>0</v>
      </c>
      <c r="AC24" s="19">
        <f>'21'!G87</f>
        <v>24.360000000000582</v>
      </c>
      <c r="AD24" s="19">
        <f t="shared" si="8"/>
        <v>38.3400000000006</v>
      </c>
      <c r="AE24" s="23">
        <f t="shared" si="2"/>
        <v>8485.4599999999919</v>
      </c>
      <c r="AF24" s="23">
        <f t="shared" si="9"/>
        <v>221.32133541992329</v>
      </c>
      <c r="AG24" s="19">
        <f>'21'!G88</f>
        <v>8.9599999999991269</v>
      </c>
      <c r="AH24" s="19">
        <f>'21'!G89</f>
        <v>0</v>
      </c>
      <c r="AI24" s="19">
        <f>'21'!G90</f>
        <v>5.9800000000104774</v>
      </c>
      <c r="AJ24" s="19">
        <f t="shared" si="10"/>
        <v>14.940000000009604</v>
      </c>
      <c r="AK24" s="19">
        <f>'21'!G91</f>
        <v>0</v>
      </c>
      <c r="AL24" s="19">
        <f>'21'!G92</f>
        <v>10.109999999999673</v>
      </c>
      <c r="AM24" s="19"/>
      <c r="AN24" s="19">
        <f t="shared" si="11"/>
        <v>10.109999999999673</v>
      </c>
      <c r="AO24" s="52">
        <f>'21'!G74</f>
        <v>288.97999999998137</v>
      </c>
      <c r="AP24" s="55">
        <f>'21'!G35</f>
        <v>2011.9600000000064</v>
      </c>
      <c r="AQ24" s="19">
        <f>'21'!G37</f>
        <v>1626.5800000000017</v>
      </c>
      <c r="AR24" s="19">
        <f>'21'!G38</f>
        <v>1956.1399999999849</v>
      </c>
      <c r="AS24" s="19">
        <f>'21'!G39</f>
        <v>2957.140000000014</v>
      </c>
      <c r="AT24" s="19">
        <f>'21'!G40</f>
        <v>6.7600000000000051</v>
      </c>
      <c r="AU24" s="19">
        <f>'21'!G41</f>
        <v>0</v>
      </c>
      <c r="AV24" s="19">
        <f>'21'!G42</f>
        <v>3016.0800000000163</v>
      </c>
      <c r="AW24" s="19">
        <f>'21'!G43</f>
        <v>3011.8000000000466</v>
      </c>
      <c r="AX24" s="23">
        <f>'21'!G44</f>
        <v>0</v>
      </c>
      <c r="AY24" s="56">
        <f>'21'!G36</f>
        <v>1542.0899999999965</v>
      </c>
      <c r="AZ24" s="55">
        <f>'21'!G49</f>
        <v>1668.6199999999953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5.5700000000001637</v>
      </c>
      <c r="BE24" s="19">
        <f>'21'!G55</f>
        <v>0</v>
      </c>
      <c r="BF24" s="19">
        <f>'21'!G56</f>
        <v>5469.3799999999756</v>
      </c>
      <c r="BG24" s="19">
        <f>'21'!G57</f>
        <v>0</v>
      </c>
      <c r="BH24" s="56">
        <f>'21'!G50</f>
        <v>1735.0400000000373</v>
      </c>
      <c r="BI24" s="60">
        <f t="shared" si="12"/>
        <v>8485.4599999999919</v>
      </c>
      <c r="BJ24" s="60">
        <f>'21'!G133</f>
        <v>916.51000000000204</v>
      </c>
      <c r="BK24" s="23">
        <f t="shared" si="13"/>
        <v>54.988109574509835</v>
      </c>
      <c r="BL24" s="23">
        <f t="shared" si="14"/>
        <v>10.713483496147433</v>
      </c>
      <c r="BM24" s="24">
        <f t="shared" si="15"/>
        <v>7.0869399508151729E-2</v>
      </c>
      <c r="BN24" s="25">
        <f t="shared" si="16"/>
        <v>336901.40800000215</v>
      </c>
      <c r="BO24" s="38">
        <f t="shared" si="17"/>
        <v>12413.77000000004</v>
      </c>
      <c r="BP24">
        <f t="shared" si="18"/>
        <v>1.1563613160444004</v>
      </c>
    </row>
    <row r="25" spans="1:68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25478.459999999992</v>
      </c>
      <c r="H25" s="19">
        <f>'22'!G8</f>
        <v>25787.660000000003</v>
      </c>
      <c r="I25" s="19">
        <v>9</v>
      </c>
      <c r="J25" s="49">
        <f t="shared" si="3"/>
        <v>232088.94000000003</v>
      </c>
      <c r="K25" s="45">
        <f t="shared" si="4"/>
        <v>127.66168316831686</v>
      </c>
      <c r="L25" s="19">
        <f>'22'!G15</f>
        <v>1044.0400000000373</v>
      </c>
      <c r="M25" s="19">
        <v>56.2</v>
      </c>
      <c r="N25" s="41">
        <f t="shared" si="5"/>
        <v>58675.048000002098</v>
      </c>
      <c r="O25" s="19">
        <f>'22'!G20</f>
        <v>260</v>
      </c>
      <c r="P25" s="19">
        <v>108</v>
      </c>
      <c r="Q25" s="46">
        <f t="shared" si="0"/>
        <v>28080</v>
      </c>
      <c r="R25" s="47">
        <f t="shared" si="1"/>
        <v>132.69368173930795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112</v>
      </c>
      <c r="W25" s="22">
        <f>'22'!G66</f>
        <v>13</v>
      </c>
      <c r="X25" s="22">
        <f>'22'!G67</f>
        <v>28</v>
      </c>
      <c r="Y25" s="22">
        <f t="shared" si="7"/>
        <v>153</v>
      </c>
      <c r="Z25" s="19">
        <f>'22'!G84</f>
        <v>0</v>
      </c>
      <c r="AA25" s="19">
        <f>'22'!G85</f>
        <v>23.619999999999891</v>
      </c>
      <c r="AB25" s="19">
        <f>'22'!G86</f>
        <v>0</v>
      </c>
      <c r="AC25" s="19">
        <f>'22'!G87</f>
        <v>14.319999999999709</v>
      </c>
      <c r="AD25" s="19">
        <f t="shared" si="8"/>
        <v>37.9399999999996</v>
      </c>
      <c r="AE25" s="23">
        <f t="shared" si="2"/>
        <v>7664.8700000000536</v>
      </c>
      <c r="AF25" s="23">
        <f t="shared" si="9"/>
        <v>202.02609383237044</v>
      </c>
      <c r="AG25" s="19">
        <f>'22'!G88</f>
        <v>8.930000000000291</v>
      </c>
      <c r="AH25" s="19">
        <f>'22'!G89</f>
        <v>0</v>
      </c>
      <c r="AI25" s="19">
        <f>'22'!G90</f>
        <v>6.3799999999901047</v>
      </c>
      <c r="AJ25" s="19">
        <f t="shared" si="10"/>
        <v>15.309999999990396</v>
      </c>
      <c r="AK25" s="19">
        <f>'22'!G91</f>
        <v>0</v>
      </c>
      <c r="AL25" s="19">
        <f>'22'!G92</f>
        <v>10.480000000000473</v>
      </c>
      <c r="AM25" s="19"/>
      <c r="AN25" s="19">
        <f t="shared" si="11"/>
        <v>10.480000000000473</v>
      </c>
      <c r="AO25" s="52">
        <f>'22'!G74</f>
        <v>297.27000000001863</v>
      </c>
      <c r="AP25" s="55">
        <f>'22'!G35</f>
        <v>2019.5999999999913</v>
      </c>
      <c r="AQ25" s="19">
        <f>'22'!G37</f>
        <v>1656.1300000000047</v>
      </c>
      <c r="AR25" s="19">
        <f>'22'!G38</f>
        <v>1904.179999999993</v>
      </c>
      <c r="AS25" s="19">
        <f>'22'!G39</f>
        <v>3001.5</v>
      </c>
      <c r="AT25" s="19">
        <f>'22'!G40</f>
        <v>0.20000000000000284</v>
      </c>
      <c r="AU25" s="19">
        <f>'22'!G41</f>
        <v>-0.31999999994877726</v>
      </c>
      <c r="AV25" s="19">
        <f>'22'!G42</f>
        <v>4884.9400000000023</v>
      </c>
      <c r="AW25" s="19">
        <f>'22'!G43</f>
        <v>2913.1999999999534</v>
      </c>
      <c r="AX25" s="23">
        <f>'22'!G44</f>
        <v>0</v>
      </c>
      <c r="AY25" s="56">
        <f>'22'!G36</f>
        <v>1392.4100000000035</v>
      </c>
      <c r="AZ25" s="55">
        <f>'22'!G49</f>
        <v>1647.6199999999953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5.6799999999998363</v>
      </c>
      <c r="BE25" s="19">
        <f>'22'!G55</f>
        <v>0</v>
      </c>
      <c r="BF25" s="19">
        <f>'22'!G56</f>
        <v>2780.25</v>
      </c>
      <c r="BG25" s="19">
        <f>'22'!G57</f>
        <v>0</v>
      </c>
      <c r="BH25" s="56">
        <f>'22'!G50</f>
        <v>1158</v>
      </c>
      <c r="BI25" s="60">
        <f t="shared" si="12"/>
        <v>7664.8700000000536</v>
      </c>
      <c r="BJ25" s="60">
        <f>'22'!G133</f>
        <v>852.47999999999593</v>
      </c>
      <c r="BK25" s="23">
        <f t="shared" si="13"/>
        <v>55.240723663953965</v>
      </c>
      <c r="BL25" s="23">
        <f t="shared" si="14"/>
        <v>11.639287938494611</v>
      </c>
      <c r="BM25" s="24">
        <f t="shared" si="15"/>
        <v>7.3840743983750082E-2</v>
      </c>
      <c r="BN25" s="25">
        <f t="shared" si="16"/>
        <v>318843.98800000211</v>
      </c>
      <c r="BO25" s="38">
        <f t="shared" si="17"/>
        <v>11430.550000000003</v>
      </c>
      <c r="BP25">
        <f t="shared" si="18"/>
        <v>1.0759987574365655</v>
      </c>
    </row>
    <row r="26" spans="1:68">
      <c r="A26" s="16">
        <v>23</v>
      </c>
      <c r="B26" s="27">
        <v>23</v>
      </c>
      <c r="C26" s="28"/>
      <c r="D26" s="19">
        <f>'23'!D3</f>
        <v>28</v>
      </c>
      <c r="E26" s="50">
        <f>'23'!D4</f>
        <v>0.9</v>
      </c>
      <c r="F26" s="50">
        <f>'23'!D2</f>
        <v>0.9</v>
      </c>
      <c r="G26" s="19">
        <f>'23'!G7</f>
        <v>27714.300000000017</v>
      </c>
      <c r="H26" s="19">
        <f>'23'!G8</f>
        <v>28205.540000000008</v>
      </c>
      <c r="I26" s="19">
        <v>9</v>
      </c>
      <c r="J26" s="49">
        <f t="shared" si="3"/>
        <v>253849.86000000007</v>
      </c>
      <c r="K26" s="45">
        <f t="shared" si="4"/>
        <v>139.63138613861389</v>
      </c>
      <c r="L26" s="19">
        <f>'23'!G15</f>
        <v>1060.3199999998324</v>
      </c>
      <c r="M26" s="19">
        <v>56.2</v>
      </c>
      <c r="N26" s="41">
        <f t="shared" si="5"/>
        <v>59589.983999990582</v>
      </c>
      <c r="O26" s="19">
        <f>'23'!G20</f>
        <v>233</v>
      </c>
      <c r="P26" s="19">
        <v>108</v>
      </c>
      <c r="Q26" s="46">
        <f t="shared" si="0"/>
        <v>25164</v>
      </c>
      <c r="R26" s="47">
        <f t="shared" si="1"/>
        <v>128.16281628162815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111</v>
      </c>
      <c r="W26" s="22">
        <f>'23'!G66</f>
        <v>19</v>
      </c>
      <c r="X26" s="22">
        <f>'23'!G67</f>
        <v>28</v>
      </c>
      <c r="Y26" s="22">
        <f t="shared" si="7"/>
        <v>158</v>
      </c>
      <c r="Z26" s="19">
        <f>'23'!G84</f>
        <v>0</v>
      </c>
      <c r="AA26" s="19">
        <f>'23'!G85</f>
        <v>15.5</v>
      </c>
      <c r="AB26" s="19">
        <f>'23'!G86</f>
        <v>0</v>
      </c>
      <c r="AC26" s="19">
        <f>'23'!G87</f>
        <v>24.129999999997381</v>
      </c>
      <c r="AD26" s="19">
        <f t="shared" si="8"/>
        <v>39.629999999997381</v>
      </c>
      <c r="AE26" s="23">
        <f t="shared" si="2"/>
        <v>9030.9700000000012</v>
      </c>
      <c r="AF26" s="23">
        <f t="shared" si="9"/>
        <v>227.88215997982837</v>
      </c>
      <c r="AG26" s="19">
        <f>'23'!G88</f>
        <v>1.8699999999989814</v>
      </c>
      <c r="AH26" s="19">
        <f>'23'!G89</f>
        <v>8.3899999999994179</v>
      </c>
      <c r="AI26" s="19">
        <f>'23'!G90</f>
        <v>5.4700000000011642</v>
      </c>
      <c r="AJ26" s="19">
        <f t="shared" si="10"/>
        <v>15.729999999999563</v>
      </c>
      <c r="AK26" s="19">
        <f>'23'!G91</f>
        <v>0</v>
      </c>
      <c r="AL26" s="19">
        <f>'23'!G92</f>
        <v>10.159999999999854</v>
      </c>
      <c r="AM26" s="19"/>
      <c r="AN26" s="19">
        <f t="shared" si="11"/>
        <v>10.159999999999854</v>
      </c>
      <c r="AO26" s="52">
        <f>'23'!G74</f>
        <v>288.31999999994878</v>
      </c>
      <c r="AP26" s="55">
        <f>'23'!G35</f>
        <v>1993.8399999999965</v>
      </c>
      <c r="AQ26" s="19">
        <f>'23'!G37</f>
        <v>1625.3399999999965</v>
      </c>
      <c r="AR26" s="19">
        <f>'23'!G38</f>
        <v>1918.3000000000175</v>
      </c>
      <c r="AS26" s="19">
        <f>'23'!G39</f>
        <v>3091.3399999999674</v>
      </c>
      <c r="AT26" s="19">
        <f>'23'!G40</f>
        <v>3.9799999999999898</v>
      </c>
      <c r="AU26" s="19">
        <f>'23'!G41</f>
        <v>0</v>
      </c>
      <c r="AV26" s="19">
        <f>'23'!G42</f>
        <v>3489.9400000000023</v>
      </c>
      <c r="AW26" s="19">
        <f>'23'!G43</f>
        <v>3055.6000000000931</v>
      </c>
      <c r="AX26" s="23">
        <f>'23'!G44</f>
        <v>0</v>
      </c>
      <c r="AY26" s="56">
        <f>'23'!G36</f>
        <v>1366.8800000000047</v>
      </c>
      <c r="AZ26" s="55">
        <f>'23'!G49</f>
        <v>1708.8000000000175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5.6200000000003456</v>
      </c>
      <c r="BE26" s="19">
        <f>'23'!G55</f>
        <v>0</v>
      </c>
      <c r="BF26" s="19">
        <f>'23'!G56</f>
        <v>5541.0299999999988</v>
      </c>
      <c r="BG26" s="19">
        <f>'23'!G57</f>
        <v>0</v>
      </c>
      <c r="BH26" s="56">
        <f>'23'!G50</f>
        <v>1756.8800000000047</v>
      </c>
      <c r="BI26" s="60">
        <f t="shared" si="12"/>
        <v>9030.9700000000012</v>
      </c>
      <c r="BJ26" s="60">
        <f>'23'!G133</f>
        <v>890.36000000000058</v>
      </c>
      <c r="BK26" s="23">
        <f t="shared" si="13"/>
        <v>55.979109068644327</v>
      </c>
      <c r="BL26" s="23">
        <f t="shared" si="14"/>
        <v>10.960045437881943</v>
      </c>
      <c r="BM26" s="24">
        <f t="shared" si="15"/>
        <v>6.8011461578116106E-2</v>
      </c>
      <c r="BN26" s="25">
        <f t="shared" si="16"/>
        <v>338603.84399999067</v>
      </c>
      <c r="BO26" s="38">
        <f t="shared" si="17"/>
        <v>12976.930000000095</v>
      </c>
      <c r="BP26">
        <f t="shared" si="18"/>
        <v>1.1694720810353765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0.82</v>
      </c>
      <c r="G27" s="19">
        <f>'24'!G7</f>
        <v>26164.089999999997</v>
      </c>
      <c r="H27" s="19">
        <f>'24'!G8</f>
        <v>26510.669999999984</v>
      </c>
      <c r="I27" s="19">
        <v>9</v>
      </c>
      <c r="J27" s="49">
        <f t="shared" si="3"/>
        <v>238596.02999999985</v>
      </c>
      <c r="K27" s="45">
        <f t="shared" si="4"/>
        <v>131.24094059405934</v>
      </c>
      <c r="L27" s="19">
        <f>'24'!G15</f>
        <v>1071.6000000000931</v>
      </c>
      <c r="M27" s="19">
        <v>56.2</v>
      </c>
      <c r="N27" s="41">
        <f t="shared" si="5"/>
        <v>60223.920000005237</v>
      </c>
      <c r="O27" s="19">
        <f>'24'!G20</f>
        <v>235</v>
      </c>
      <c r="P27" s="19">
        <v>108</v>
      </c>
      <c r="Q27" s="46">
        <f t="shared" si="0"/>
        <v>25380</v>
      </c>
      <c r="R27" s="47">
        <f t="shared" si="1"/>
        <v>141.87394349191018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93</v>
      </c>
      <c r="W27" s="22">
        <f>'24'!G66</f>
        <v>12</v>
      </c>
      <c r="X27" s="22">
        <f>'24'!G67</f>
        <v>24</v>
      </c>
      <c r="Y27" s="22">
        <f t="shared" si="7"/>
        <v>129</v>
      </c>
      <c r="Z27" s="19">
        <f>'24'!G84</f>
        <v>0</v>
      </c>
      <c r="AA27" s="19">
        <f>'24'!G85</f>
        <v>12.960000000000036</v>
      </c>
      <c r="AB27" s="19">
        <f>'24'!G86</f>
        <v>0</v>
      </c>
      <c r="AC27" s="19">
        <f>'24'!G87</f>
        <v>23.660000000003492</v>
      </c>
      <c r="AD27" s="19">
        <f t="shared" si="8"/>
        <v>36.620000000003529</v>
      </c>
      <c r="AE27" s="23">
        <f t="shared" si="2"/>
        <v>8544.2300000000105</v>
      </c>
      <c r="AF27" s="23">
        <f t="shared" si="9"/>
        <v>233.3214090660619</v>
      </c>
      <c r="AG27" s="19">
        <f>'24'!G88</f>
        <v>0</v>
      </c>
      <c r="AH27" s="19">
        <f>'24'!G89</f>
        <v>10.25</v>
      </c>
      <c r="AI27" s="19">
        <f>'24'!G90</f>
        <v>5.3800000000046566</v>
      </c>
      <c r="AJ27" s="19">
        <f t="shared" si="10"/>
        <v>15.630000000004657</v>
      </c>
      <c r="AK27" s="19">
        <f>'24'!G91</f>
        <v>0</v>
      </c>
      <c r="AL27" s="19">
        <f>'24'!G92</f>
        <v>9.8299999999999272</v>
      </c>
      <c r="AM27" s="19"/>
      <c r="AN27" s="19">
        <f t="shared" si="11"/>
        <v>9.8299999999999272</v>
      </c>
      <c r="AO27" s="52">
        <f>'24'!G74</f>
        <v>281.29000000003725</v>
      </c>
      <c r="AP27" s="55">
        <f>'24'!G35</f>
        <v>1981.9600000000064</v>
      </c>
      <c r="AQ27" s="19">
        <f>'24'!G37</f>
        <v>1598.929999999993</v>
      </c>
      <c r="AR27" s="19">
        <f>'24'!G38</f>
        <v>1926.4599999999919</v>
      </c>
      <c r="AS27" s="19">
        <f>'24'!G39</f>
        <v>2994.5100000000093</v>
      </c>
      <c r="AT27" s="19">
        <f>'24'!G40</f>
        <v>11.870000000000005</v>
      </c>
      <c r="AU27" s="19">
        <f>'24'!G41</f>
        <v>0</v>
      </c>
      <c r="AV27" s="19">
        <f>'24'!G42</f>
        <v>2891.3099999999977</v>
      </c>
      <c r="AW27" s="19">
        <f>'24'!G43</f>
        <v>2995.6999999999534</v>
      </c>
      <c r="AX27" s="23">
        <f>'24'!G44</f>
        <v>0</v>
      </c>
      <c r="AY27" s="56">
        <f>'24'!G36</f>
        <v>878.86999999999534</v>
      </c>
      <c r="AZ27" s="55">
        <f>'24'!G49</f>
        <v>1658.8299999999872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4.8899999999998727</v>
      </c>
      <c r="BE27" s="19">
        <f>'24'!G55</f>
        <v>0</v>
      </c>
      <c r="BF27" s="19">
        <f>'24'!G56</f>
        <v>5652.9200000000128</v>
      </c>
      <c r="BG27" s="19">
        <f>'24'!G57</f>
        <v>0</v>
      </c>
      <c r="BH27" s="56">
        <f>'24'!G50</f>
        <v>1395.1300000000047</v>
      </c>
      <c r="BI27" s="60">
        <f t="shared" si="12"/>
        <v>8544.2300000000105</v>
      </c>
      <c r="BJ27" s="60">
        <f>'24'!G133</f>
        <v>807.61000000000058</v>
      </c>
      <c r="BK27" s="23">
        <f t="shared" si="13"/>
        <v>57.26267951734139</v>
      </c>
      <c r="BL27" s="23">
        <f t="shared" si="14"/>
        <v>11.295489702825359</v>
      </c>
      <c r="BM27" s="24">
        <f t="shared" si="15"/>
        <v>7.2667344884153925E-2</v>
      </c>
      <c r="BN27" s="25">
        <f t="shared" si="16"/>
        <v>324199.95000000508</v>
      </c>
      <c r="BO27" s="38">
        <f t="shared" si="17"/>
        <v>12347.539999999964</v>
      </c>
      <c r="BP27">
        <f t="shared" si="18"/>
        <v>1.2042151049386338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0.77</v>
      </c>
      <c r="G28" s="19">
        <f>'25'!G7</f>
        <v>26252</v>
      </c>
      <c r="H28" s="19">
        <f>'25'!G8</f>
        <v>26645</v>
      </c>
      <c r="I28" s="19">
        <v>9</v>
      </c>
      <c r="J28" s="49">
        <f t="shared" si="3"/>
        <v>239805</v>
      </c>
      <c r="K28" s="45">
        <f t="shared" si="4"/>
        <v>131.90594059405942</v>
      </c>
      <c r="L28" s="19">
        <f>'25'!G15</f>
        <v>1082</v>
      </c>
      <c r="M28" s="19">
        <v>56.2</v>
      </c>
      <c r="N28" s="41">
        <f t="shared" si="5"/>
        <v>60808.4</v>
      </c>
      <c r="O28" s="19">
        <f>'25'!G20</f>
        <v>295</v>
      </c>
      <c r="P28" s="19">
        <v>108</v>
      </c>
      <c r="Q28" s="46">
        <f t="shared" si="0"/>
        <v>31860</v>
      </c>
      <c r="R28" s="47">
        <f t="shared" si="1"/>
        <v>189.66182332518969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157</v>
      </c>
      <c r="W28" s="22">
        <f>'25'!G66</f>
        <v>17</v>
      </c>
      <c r="X28" s="22">
        <f>'25'!G67</f>
        <v>21</v>
      </c>
      <c r="Y28" s="22">
        <f t="shared" si="7"/>
        <v>195</v>
      </c>
      <c r="Z28" s="19">
        <f>'25'!G84</f>
        <v>0</v>
      </c>
      <c r="AA28" s="19">
        <f>'25'!G85</f>
        <v>13.490000000000009</v>
      </c>
      <c r="AB28" s="19">
        <f>'25'!G86</f>
        <v>0</v>
      </c>
      <c r="AC28" s="19">
        <f>'25'!G87</f>
        <v>24</v>
      </c>
      <c r="AD28" s="19">
        <f t="shared" si="8"/>
        <v>37.490000000000009</v>
      </c>
      <c r="AE28" s="23">
        <f t="shared" si="2"/>
        <v>5449</v>
      </c>
      <c r="AF28" s="23">
        <f t="shared" si="9"/>
        <v>145.34542544678578</v>
      </c>
      <c r="AG28" s="19">
        <f>'25'!G88</f>
        <v>0.31000000000130967</v>
      </c>
      <c r="AH28" s="19">
        <f>'25'!G89</f>
        <v>11</v>
      </c>
      <c r="AI28" s="19">
        <f>'25'!G90</f>
        <v>7</v>
      </c>
      <c r="AJ28" s="19">
        <f t="shared" si="10"/>
        <v>18.31000000000131</v>
      </c>
      <c r="AK28" s="19">
        <f>'25'!G91</f>
        <v>-0.32000000000016371</v>
      </c>
      <c r="AL28" s="19">
        <f>'25'!G92</f>
        <v>9.5</v>
      </c>
      <c r="AM28" s="19"/>
      <c r="AN28" s="19">
        <f t="shared" si="11"/>
        <v>9.1799999999998363</v>
      </c>
      <c r="AO28" s="52">
        <f>'25'!G74</f>
        <v>282</v>
      </c>
      <c r="AP28" s="55">
        <f>'25'!G35</f>
        <v>2192</v>
      </c>
      <c r="AQ28" s="19">
        <f>'25'!G37</f>
        <v>1644</v>
      </c>
      <c r="AR28" s="19">
        <f>'25'!G38</f>
        <v>1989</v>
      </c>
      <c r="AS28" s="19">
        <f>'25'!G39</f>
        <v>3057</v>
      </c>
      <c r="AT28" s="19">
        <f>'25'!G40</f>
        <v>2</v>
      </c>
      <c r="AU28" s="19">
        <f>'25'!G41</f>
        <v>0</v>
      </c>
      <c r="AV28" s="19"/>
      <c r="AW28" s="19">
        <f>'25'!G43</f>
        <v>3062</v>
      </c>
      <c r="AX28" s="23">
        <f>'25'!G44</f>
        <v>0</v>
      </c>
      <c r="AY28" s="56">
        <f>'25'!G36</f>
        <v>1092</v>
      </c>
      <c r="AZ28" s="55">
        <f>'25'!G49</f>
        <v>1540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4.8899999999998727</v>
      </c>
      <c r="BE28" s="19">
        <f>'25'!G55</f>
        <v>0</v>
      </c>
      <c r="BF28" s="19">
        <f>'25'!G56</f>
        <v>5449</v>
      </c>
      <c r="BG28" s="19">
        <f>'25'!G57</f>
        <v>0</v>
      </c>
      <c r="BH28" s="56">
        <f>'25'!G50</f>
        <v>1304</v>
      </c>
      <c r="BI28" s="60">
        <f t="shared" si="12"/>
        <v>5449</v>
      </c>
      <c r="BJ28" s="60">
        <f>'25'!G133</f>
        <v>710</v>
      </c>
      <c r="BK28" s="23">
        <f t="shared" si="13"/>
        <v>45.948583223869399</v>
      </c>
      <c r="BL28" s="23">
        <f t="shared" si="14"/>
        <v>11.473071870895103</v>
      </c>
      <c r="BM28" s="24">
        <f t="shared" si="15"/>
        <v>7.464815162319384E-2</v>
      </c>
      <c r="BN28" s="25">
        <f t="shared" si="16"/>
        <v>332473.40000000002</v>
      </c>
      <c r="BO28" s="38">
        <f t="shared" si="17"/>
        <v>9221</v>
      </c>
      <c r="BP28">
        <f t="shared" si="18"/>
        <v>0.87842472278321815</v>
      </c>
    </row>
    <row r="29" spans="1:68">
      <c r="A29" s="16">
        <v>26</v>
      </c>
      <c r="B29" s="26">
        <v>26</v>
      </c>
      <c r="C29" s="29"/>
      <c r="D29" s="19">
        <f>'26'!D3</f>
        <v>29</v>
      </c>
      <c r="E29" s="50">
        <f>'26'!D4</f>
        <v>0.6</v>
      </c>
      <c r="F29" s="50">
        <f>'26'!D2</f>
        <v>0.71</v>
      </c>
      <c r="G29" s="19">
        <f>'26'!G7</f>
        <v>26994</v>
      </c>
      <c r="H29" s="19">
        <f>'26'!G8</f>
        <v>27268</v>
      </c>
      <c r="I29" s="19">
        <v>9</v>
      </c>
      <c r="J29" s="49">
        <f t="shared" si="3"/>
        <v>245412</v>
      </c>
      <c r="K29" s="45">
        <f t="shared" si="4"/>
        <v>134.990099009901</v>
      </c>
      <c r="L29" s="19">
        <f>'26'!G15</f>
        <v>1201</v>
      </c>
      <c r="M29" s="19">
        <v>56.2</v>
      </c>
      <c r="N29" s="41">
        <f t="shared" si="5"/>
        <v>67496.2</v>
      </c>
      <c r="O29" s="19">
        <f>'26'!G20</f>
        <v>291</v>
      </c>
      <c r="P29" s="19">
        <v>108</v>
      </c>
      <c r="Q29" s="46">
        <f t="shared" si="0"/>
        <v>31428</v>
      </c>
      <c r="R29" s="47">
        <f t="shared" si="1"/>
        <v>202.90057174731558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120</v>
      </c>
      <c r="W29" s="22">
        <f>'26'!G66</f>
        <v>18</v>
      </c>
      <c r="X29" s="22">
        <f>'26'!G67</f>
        <v>27</v>
      </c>
      <c r="Y29" s="22">
        <f t="shared" si="7"/>
        <v>165</v>
      </c>
      <c r="Z29" s="19">
        <f>'26'!G84</f>
        <v>0</v>
      </c>
      <c r="AA29" s="19">
        <f>'26'!G85</f>
        <v>13</v>
      </c>
      <c r="AB29" s="19">
        <f>'26'!G86</f>
        <v>0</v>
      </c>
      <c r="AC29" s="19">
        <f>'26'!G87</f>
        <v>24</v>
      </c>
      <c r="AD29" s="19">
        <f t="shared" si="8"/>
        <v>37</v>
      </c>
      <c r="AE29" s="23">
        <f t="shared" si="2"/>
        <v>8442.2099999999627</v>
      </c>
      <c r="AF29" s="23">
        <f t="shared" si="9"/>
        <v>228.16783783783683</v>
      </c>
      <c r="AG29" s="19">
        <f>'26'!G88</f>
        <v>-0.31000000000130967</v>
      </c>
      <c r="AH29" s="19">
        <f>'26'!G89</f>
        <v>11.56000000000131</v>
      </c>
      <c r="AI29" s="19">
        <f>'26'!G90</f>
        <v>6.0800000000017462</v>
      </c>
      <c r="AJ29" s="19">
        <f t="shared" si="10"/>
        <v>17.330000000001746</v>
      </c>
      <c r="AK29" s="19">
        <f>'26'!G91</f>
        <v>0</v>
      </c>
      <c r="AL29" s="19">
        <f>'26'!G92</f>
        <v>10.699999999999818</v>
      </c>
      <c r="AM29" s="19"/>
      <c r="AN29" s="19">
        <f t="shared" si="11"/>
        <v>10.699999999999818</v>
      </c>
      <c r="AO29" s="52">
        <f>'26'!G74</f>
        <v>295</v>
      </c>
      <c r="AP29" s="55">
        <f>'26'!G35</f>
        <v>2079</v>
      </c>
      <c r="AQ29" s="19">
        <f>'26'!G37</f>
        <v>1634</v>
      </c>
      <c r="AR29" s="19">
        <f>'26'!G38</f>
        <v>2002</v>
      </c>
      <c r="AS29" s="19">
        <f>'26'!G39</f>
        <v>3148</v>
      </c>
      <c r="AT29" s="19">
        <f>'26'!G40</f>
        <v>2</v>
      </c>
      <c r="AU29" s="19">
        <f>'26'!G41</f>
        <v>0.2099999999627471</v>
      </c>
      <c r="AV29" s="19">
        <f>'26'!G42</f>
        <v>2968</v>
      </c>
      <c r="AW29" s="19">
        <f>'26'!G43</f>
        <v>2986</v>
      </c>
      <c r="AX29" s="23">
        <f>'26'!G44</f>
        <v>0</v>
      </c>
      <c r="AY29" s="56">
        <f>'26'!G36</f>
        <v>1225</v>
      </c>
      <c r="AZ29" s="55">
        <f>'26'!G49</f>
        <v>1563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</v>
      </c>
      <c r="BE29" s="19">
        <f>'26'!G55</f>
        <v>0</v>
      </c>
      <c r="BF29" s="19">
        <f>'26'!G56</f>
        <v>5474</v>
      </c>
      <c r="BG29" s="19">
        <f>'26'!G57</f>
        <v>0</v>
      </c>
      <c r="BH29" s="56">
        <f>'26'!G50</f>
        <v>1626</v>
      </c>
      <c r="BI29" s="60">
        <f t="shared" si="12"/>
        <v>8442.2099999999627</v>
      </c>
      <c r="BJ29" s="60">
        <f>'26'!G133</f>
        <v>778</v>
      </c>
      <c r="BK29" s="23">
        <f t="shared" si="13"/>
        <v>55.267016282822219</v>
      </c>
      <c r="BL29" s="23">
        <f t="shared" si="14"/>
        <v>11.544667742408684</v>
      </c>
      <c r="BM29" s="24">
        <f t="shared" si="15"/>
        <v>7.3419392694733757E-2</v>
      </c>
      <c r="BN29" s="25">
        <f t="shared" si="16"/>
        <v>344336.2</v>
      </c>
      <c r="BO29" s="38">
        <f t="shared" si="17"/>
        <v>12206.209999999963</v>
      </c>
      <c r="BP29">
        <f t="shared" si="18"/>
        <v>1.1782055984555948</v>
      </c>
    </row>
    <row r="30" spans="1:68">
      <c r="A30" s="16">
        <v>27</v>
      </c>
      <c r="B30" s="17">
        <v>27</v>
      </c>
      <c r="C30" s="28"/>
      <c r="D30" s="19">
        <f>'27'!D3</f>
        <v>29</v>
      </c>
      <c r="E30" s="50">
        <f>'27'!D4</f>
        <v>0.65</v>
      </c>
      <c r="F30" s="50">
        <f>'27'!D2</f>
        <v>0.46</v>
      </c>
      <c r="G30" s="19">
        <f>'27'!G7</f>
        <v>25445</v>
      </c>
      <c r="H30" s="19">
        <f>'27'!G8</f>
        <v>25666</v>
      </c>
      <c r="I30" s="19">
        <v>9</v>
      </c>
      <c r="J30" s="49">
        <f t="shared" si="3"/>
        <v>230994</v>
      </c>
      <c r="K30" s="45">
        <f t="shared" si="4"/>
        <v>127.05940594059406</v>
      </c>
      <c r="L30" s="19">
        <f>'27'!G15</f>
        <v>1124</v>
      </c>
      <c r="M30" s="19">
        <v>56.2</v>
      </c>
      <c r="N30" s="41">
        <f t="shared" si="5"/>
        <v>63168.800000000003</v>
      </c>
      <c r="O30" s="19">
        <f>'27'!G20</f>
        <v>272</v>
      </c>
      <c r="P30" s="19">
        <v>108</v>
      </c>
      <c r="Q30" s="46">
        <f t="shared" si="0"/>
        <v>29376</v>
      </c>
      <c r="R30" s="47">
        <f t="shared" si="1"/>
        <v>292.72492466637965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100</v>
      </c>
      <c r="W30" s="22">
        <f>'27'!G66</f>
        <v>20</v>
      </c>
      <c r="X30" s="22">
        <f>'27'!G67</f>
        <v>25</v>
      </c>
      <c r="Y30" s="22">
        <f t="shared" si="7"/>
        <v>145</v>
      </c>
      <c r="Z30" s="19">
        <f>'27'!G84</f>
        <v>0</v>
      </c>
      <c r="AA30" s="19">
        <f>'27'!G85</f>
        <v>24</v>
      </c>
      <c r="AB30" s="19">
        <f>'27'!G86</f>
        <v>0</v>
      </c>
      <c r="AC30" s="19">
        <f>'27'!G87</f>
        <v>11</v>
      </c>
      <c r="AD30" s="19">
        <f t="shared" si="8"/>
        <v>35</v>
      </c>
      <c r="AE30" s="23">
        <f t="shared" si="2"/>
        <v>7520</v>
      </c>
      <c r="AF30" s="23">
        <f t="shared" si="9"/>
        <v>214.85714285714286</v>
      </c>
      <c r="AG30" s="19">
        <f>'27'!G88</f>
        <v>0</v>
      </c>
      <c r="AH30" s="19">
        <f>'27'!G89</f>
        <v>10.43999999999869</v>
      </c>
      <c r="AI30" s="19">
        <f>'27'!G90</f>
        <v>8.4599999999918509</v>
      </c>
      <c r="AJ30" s="19">
        <f t="shared" si="10"/>
        <v>18.899999999990541</v>
      </c>
      <c r="AK30" s="19">
        <f>'27'!G91</f>
        <v>0</v>
      </c>
      <c r="AL30" s="19">
        <f>'27'!G92</f>
        <v>10.75</v>
      </c>
      <c r="AM30" s="19"/>
      <c r="AN30" s="19">
        <f t="shared" si="11"/>
        <v>10.75</v>
      </c>
      <c r="AO30" s="52">
        <f>'27'!G74</f>
        <v>307</v>
      </c>
      <c r="AP30" s="55">
        <f>'27'!G35</f>
        <v>2134</v>
      </c>
      <c r="AQ30" s="19">
        <f>'27'!G37</f>
        <v>1693</v>
      </c>
      <c r="AR30" s="19">
        <f>'27'!G38</f>
        <v>2000</v>
      </c>
      <c r="AS30" s="19">
        <f>'27'!G39</f>
        <v>3060</v>
      </c>
      <c r="AT30" s="19">
        <f>'27'!G40</f>
        <v>0</v>
      </c>
      <c r="AU30" s="19">
        <f>'27'!G41</f>
        <v>0</v>
      </c>
      <c r="AV30" s="19">
        <f>'27'!G42</f>
        <v>5230</v>
      </c>
      <c r="AW30" s="19">
        <f>'27'!G43</f>
        <v>2866</v>
      </c>
      <c r="AX30" s="23">
        <f>'27'!G44</f>
        <v>0</v>
      </c>
      <c r="AY30" s="56">
        <f>'27'!G36</f>
        <v>1050</v>
      </c>
      <c r="AZ30" s="55">
        <f>'27'!G49</f>
        <v>1678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6</v>
      </c>
      <c r="BE30" s="19">
        <f>'27'!G55</f>
        <v>0</v>
      </c>
      <c r="BF30" s="19">
        <f>'27'!G56</f>
        <v>2290</v>
      </c>
      <c r="BG30" s="19">
        <f>'27'!G57</f>
        <v>0</v>
      </c>
      <c r="BH30" s="56">
        <f>'27'!G50</f>
        <v>1525</v>
      </c>
      <c r="BI30" s="60">
        <f t="shared" si="12"/>
        <v>7520</v>
      </c>
      <c r="BJ30" s="60">
        <f>'27'!G133</f>
        <v>859</v>
      </c>
      <c r="BK30" s="23">
        <f t="shared" si="13"/>
        <v>55.318319956362501</v>
      </c>
      <c r="BL30" s="23">
        <f t="shared" si="14"/>
        <v>11.922387594482972</v>
      </c>
      <c r="BM30" s="24">
        <f t="shared" si="15"/>
        <v>7.792410192472532E-2</v>
      </c>
      <c r="BN30" s="25">
        <f t="shared" si="16"/>
        <v>323538.8</v>
      </c>
      <c r="BO30" s="38">
        <f t="shared" si="17"/>
        <v>11245</v>
      </c>
      <c r="BP30">
        <f t="shared" si="18"/>
        <v>1.1474489795918368</v>
      </c>
    </row>
    <row r="31" spans="1:68">
      <c r="A31" s="16">
        <v>28</v>
      </c>
      <c r="B31" s="26">
        <v>28</v>
      </c>
      <c r="C31" s="28"/>
      <c r="D31" s="19">
        <f>'28'!D3</f>
        <v>28</v>
      </c>
      <c r="E31" s="50">
        <f>'28'!D4</f>
        <v>0.78</v>
      </c>
      <c r="F31" s="50">
        <f>'28'!D2</f>
        <v>0.92</v>
      </c>
      <c r="G31" s="19">
        <f>'28'!G7</f>
        <v>23176</v>
      </c>
      <c r="H31" s="19">
        <f>'28'!G8</f>
        <v>23556</v>
      </c>
      <c r="I31" s="19">
        <v>9</v>
      </c>
      <c r="J31" s="49">
        <f t="shared" si="3"/>
        <v>212004</v>
      </c>
      <c r="K31" s="45">
        <f t="shared" si="4"/>
        <v>116.61386138613861</v>
      </c>
      <c r="L31" s="19">
        <f>'28'!G15</f>
        <v>1158.1200000001118</v>
      </c>
      <c r="M31" s="19">
        <v>56.2</v>
      </c>
      <c r="N31" s="41">
        <f t="shared" si="5"/>
        <v>65086.344000006284</v>
      </c>
      <c r="O31" s="19">
        <f>'28'!G20</f>
        <v>294</v>
      </c>
      <c r="P31" s="19">
        <v>108</v>
      </c>
      <c r="Q31" s="46">
        <f t="shared" si="0"/>
        <v>31752</v>
      </c>
      <c r="R31" s="47">
        <f t="shared" si="1"/>
        <v>158.20060266896255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112</v>
      </c>
      <c r="W31" s="22">
        <f>'28'!G66</f>
        <v>19</v>
      </c>
      <c r="X31" s="22">
        <f>'28'!G67</f>
        <v>33</v>
      </c>
      <c r="Y31" s="22">
        <f t="shared" si="7"/>
        <v>164</v>
      </c>
      <c r="Z31" s="19">
        <f>'28'!G84</f>
        <v>3.25</v>
      </c>
      <c r="AA31" s="19">
        <f>'28'!G85</f>
        <v>-8.4400000000000546</v>
      </c>
      <c r="AB31" s="19">
        <f>'28'!G86</f>
        <v>-0.47000000000116415</v>
      </c>
      <c r="AC31" s="19">
        <f>'28'!G87</f>
        <v>23.5</v>
      </c>
      <c r="AD31" s="19">
        <f t="shared" si="8"/>
        <v>17.839999999998781</v>
      </c>
      <c r="AE31" s="23">
        <f t="shared" si="2"/>
        <v>5833.9099999999453</v>
      </c>
      <c r="AF31" s="23">
        <f t="shared" si="9"/>
        <v>327.0128923767009</v>
      </c>
      <c r="AG31" s="19">
        <f>'28'!G88</f>
        <v>0</v>
      </c>
      <c r="AH31" s="19">
        <f>'28'!G89</f>
        <v>11.490000000001601</v>
      </c>
      <c r="AI31" s="19">
        <f>'28'!G90</f>
        <v>7.0900000000110595</v>
      </c>
      <c r="AJ31" s="19">
        <f t="shared" si="10"/>
        <v>18.58000000001266</v>
      </c>
      <c r="AK31" s="19">
        <f>'28'!G91</f>
        <v>0</v>
      </c>
      <c r="AL31" s="19">
        <f>'28'!G92</f>
        <v>9.6100000000005821</v>
      </c>
      <c r="AM31" s="19"/>
      <c r="AN31" s="19">
        <f t="shared" si="11"/>
        <v>9.6100000000005821</v>
      </c>
      <c r="AO31" s="52">
        <f>'28'!G74</f>
        <v>275.72999999998137</v>
      </c>
      <c r="AP31" s="55">
        <f>'28'!G35</f>
        <v>2069.1600000000035</v>
      </c>
      <c r="AQ31" s="19">
        <f>'28'!G37</f>
        <v>1582.0799999999872</v>
      </c>
      <c r="AR31" s="19">
        <f>'28'!G38</f>
        <v>1899.7000000000116</v>
      </c>
      <c r="AS31" s="19">
        <f>'28'!G39</f>
        <v>2863.9099999999744</v>
      </c>
      <c r="AT31" s="19">
        <f>'28'!G40</f>
        <v>-0.20000000000000284</v>
      </c>
      <c r="AU31" s="19">
        <f>'28'!G41</f>
        <v>630.70999999996275</v>
      </c>
      <c r="AV31" s="19">
        <f>'28'!G42</f>
        <v>-1.0000000009313226E-2</v>
      </c>
      <c r="AW31" s="86">
        <f>'28'!G43</f>
        <v>2462.3000000000466</v>
      </c>
      <c r="AX31" s="23">
        <f>'28'!G44</f>
        <v>0</v>
      </c>
      <c r="AY31" s="56">
        <f>'28'!G36</f>
        <v>1019.3999999999942</v>
      </c>
      <c r="AZ31" s="55">
        <f>'28'!G49</f>
        <v>1660.3699999999953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6.1999999999998181</v>
      </c>
      <c r="BE31" s="19">
        <f>'28'!G55</f>
        <v>0</v>
      </c>
      <c r="BF31" s="19">
        <f>'28'!G56</f>
        <v>5203.2099999999919</v>
      </c>
      <c r="BG31" s="19">
        <f>'28'!G57</f>
        <v>0</v>
      </c>
      <c r="BH31" s="56">
        <f>'28'!G50</f>
        <v>1558.0699999999488</v>
      </c>
      <c r="BI31" s="60">
        <f t="shared" si="12"/>
        <v>5833.9099999999453</v>
      </c>
      <c r="BJ31" s="60">
        <f>'28'!G133</f>
        <v>832.7699999999968</v>
      </c>
      <c r="BK31" s="23">
        <f>SUM(AP31,AU31,AV31,AW31,AZ31,BE31,BF31,BG31)/H31%</f>
        <v>51.05170657157408</v>
      </c>
      <c r="BL31" s="23">
        <f t="shared" si="14"/>
        <v>12.157879096620709</v>
      </c>
      <c r="BM31" s="24">
        <f t="shared" si="15"/>
        <v>8.0646119884530978E-2</v>
      </c>
      <c r="BN31" s="25">
        <f t="shared" si="16"/>
        <v>308842.34400000627</v>
      </c>
      <c r="BO31" s="38">
        <f t="shared" si="17"/>
        <v>9128.9799999999886</v>
      </c>
      <c r="BP31">
        <f t="shared" si="18"/>
        <v>1.8275504484306158</v>
      </c>
    </row>
    <row r="32" spans="1:68">
      <c r="A32" s="16">
        <v>29</v>
      </c>
      <c r="B32" s="26">
        <v>29</v>
      </c>
      <c r="C32" s="28"/>
      <c r="D32" s="19">
        <f>'29'!D3</f>
        <v>28</v>
      </c>
      <c r="E32" s="50">
        <f>'29'!D4</f>
        <v>0.8</v>
      </c>
      <c r="F32" s="50">
        <f>'29'!D2</f>
        <v>0.95</v>
      </c>
      <c r="G32" s="19">
        <f>'29'!G7</f>
        <v>23147</v>
      </c>
      <c r="H32" s="19">
        <f>'29'!G8</f>
        <v>23471.349999999977</v>
      </c>
      <c r="I32" s="19">
        <v>9</v>
      </c>
      <c r="J32" s="49">
        <f t="shared" si="3"/>
        <v>211242.14999999979</v>
      </c>
      <c r="K32" s="45">
        <f t="shared" si="4"/>
        <v>116.19480198019791</v>
      </c>
      <c r="L32" s="19">
        <f>'29'!G15</f>
        <v>1085.0799999998417</v>
      </c>
      <c r="M32" s="19">
        <v>56.2</v>
      </c>
      <c r="N32" s="41">
        <f t="shared" si="5"/>
        <v>60981.495999991108</v>
      </c>
      <c r="O32" s="19">
        <f>'29'!G20</f>
        <v>265</v>
      </c>
      <c r="P32" s="19">
        <v>108</v>
      </c>
      <c r="Q32" s="46">
        <f t="shared" si="0"/>
        <v>28620</v>
      </c>
      <c r="R32" s="47">
        <f t="shared" si="1"/>
        <v>138.09275664408548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112</v>
      </c>
      <c r="W32" s="22">
        <f>'29'!G66</f>
        <v>21</v>
      </c>
      <c r="X32" s="22">
        <f>'29'!G67</f>
        <v>29</v>
      </c>
      <c r="Y32" s="22">
        <f t="shared" si="7"/>
        <v>162</v>
      </c>
      <c r="Z32" s="19">
        <f>'29'!G84</f>
        <v>0</v>
      </c>
      <c r="AA32" s="19">
        <f>'29'!G85</f>
        <v>0</v>
      </c>
      <c r="AB32" s="19">
        <f>'29'!G86</f>
        <v>0</v>
      </c>
      <c r="AC32" s="19">
        <f>'29'!G87</f>
        <v>23.5</v>
      </c>
      <c r="AD32" s="19">
        <f t="shared" si="8"/>
        <v>23.5</v>
      </c>
      <c r="AE32" s="23">
        <f t="shared" si="2"/>
        <v>5545.3399999999965</v>
      </c>
      <c r="AF32" s="23">
        <f t="shared" si="9"/>
        <v>235.97191489361688</v>
      </c>
      <c r="AG32" s="19">
        <f>'29'!G88</f>
        <v>10.25</v>
      </c>
      <c r="AH32" s="19">
        <f>'29'!G89</f>
        <v>0</v>
      </c>
      <c r="AI32" s="19">
        <f>'29'!G90</f>
        <v>6.9899999999906868</v>
      </c>
      <c r="AJ32" s="19">
        <f t="shared" si="10"/>
        <v>17.239999999990687</v>
      </c>
      <c r="AK32" s="19">
        <f>'29'!G91</f>
        <v>0</v>
      </c>
      <c r="AL32" s="19">
        <f>'29'!G92</f>
        <v>11.069999999999709</v>
      </c>
      <c r="AM32" s="19"/>
      <c r="AN32" s="19">
        <f t="shared" si="11"/>
        <v>11.069999999999709</v>
      </c>
      <c r="AO32" s="52">
        <f>'29'!G74</f>
        <v>316.28000000002794</v>
      </c>
      <c r="AP32" s="55">
        <f>'29'!G35</f>
        <v>2281.3000000000029</v>
      </c>
      <c r="AQ32" s="19">
        <f>'29'!G37</f>
        <v>1712.3800000000047</v>
      </c>
      <c r="AR32" s="19">
        <f>'29'!G38</f>
        <v>1936.2299999999814</v>
      </c>
      <c r="AS32" s="19">
        <f>'29'!G39</f>
        <v>3082.2000000000116</v>
      </c>
      <c r="AT32" s="19">
        <f>'29'!G40</f>
        <v>3.8200000000000074</v>
      </c>
      <c r="AU32" s="19">
        <f>'29'!G41</f>
        <v>0</v>
      </c>
      <c r="AV32" s="19">
        <f>'29'!G42</f>
        <v>0</v>
      </c>
      <c r="AW32" s="19">
        <f>'29'!G43</f>
        <v>2522.0999999998603</v>
      </c>
      <c r="AX32" s="23">
        <f>'29'!G44</f>
        <v>0</v>
      </c>
      <c r="AY32" s="56">
        <f>'29'!G36</f>
        <v>951.54000000000815</v>
      </c>
      <c r="AZ32" s="55">
        <f>'29'!G49</f>
        <v>1677.820000000007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5.930000000000291</v>
      </c>
      <c r="BE32" s="19">
        <f>'29'!G55</f>
        <v>0</v>
      </c>
      <c r="BF32" s="19">
        <f>'29'!G56</f>
        <v>5545.3399999999965</v>
      </c>
      <c r="BG32" s="19">
        <f>'29'!G57</f>
        <v>0</v>
      </c>
      <c r="BH32" s="56">
        <f>'29'!G50</f>
        <v>1267.0800000000745</v>
      </c>
      <c r="BI32" s="60">
        <f t="shared" si="12"/>
        <v>5545.3399999999965</v>
      </c>
      <c r="BJ32" s="60">
        <f>'29'!G133</f>
        <v>798.80000000000291</v>
      </c>
      <c r="BK32" s="23">
        <f t="shared" si="13"/>
        <v>51.239319425597074</v>
      </c>
      <c r="BL32" s="23">
        <f t="shared" si="14"/>
        <v>13.131754245069052</v>
      </c>
      <c r="BM32" s="24">
        <f t="shared" si="15"/>
        <v>8.2493337622249391E-2</v>
      </c>
      <c r="BN32" s="25">
        <f t="shared" si="16"/>
        <v>300843.64599999087</v>
      </c>
      <c r="BO32" s="38">
        <f t="shared" si="17"/>
        <v>8866.2399999998597</v>
      </c>
      <c r="BP32">
        <f t="shared" si="18"/>
        <v>1.3474528875379725</v>
      </c>
    </row>
    <row r="33" spans="1:68">
      <c r="A33" s="16">
        <v>30</v>
      </c>
      <c r="B33" s="27">
        <v>30</v>
      </c>
      <c r="C33" s="28"/>
      <c r="D33" s="19">
        <f>'30'!D3</f>
        <v>28</v>
      </c>
      <c r="E33" s="50">
        <f>'30'!D4</f>
        <v>0.8</v>
      </c>
      <c r="F33" s="50">
        <f>'30'!D2</f>
        <v>0.98</v>
      </c>
      <c r="G33" s="19">
        <f>'30'!G7</f>
        <v>21500</v>
      </c>
      <c r="H33" s="19">
        <f>'30'!G8</f>
        <v>21500</v>
      </c>
      <c r="I33" s="19">
        <v>9</v>
      </c>
      <c r="J33" s="49">
        <f t="shared" si="3"/>
        <v>193500</v>
      </c>
      <c r="K33" s="45">
        <f t="shared" si="4"/>
        <v>106.43564356435644</v>
      </c>
      <c r="L33" s="19">
        <f>'30'!G15</f>
        <v>-27419.199999999953</v>
      </c>
      <c r="M33" s="19">
        <v>56.2</v>
      </c>
      <c r="N33" s="41">
        <f t="shared" si="5"/>
        <v>-1540959.0399999975</v>
      </c>
      <c r="O33" s="19">
        <f>'30'!G20</f>
        <v>-1505</v>
      </c>
      <c r="P33" s="19">
        <v>108</v>
      </c>
      <c r="Q33" s="46">
        <f t="shared" si="0"/>
        <v>-162540</v>
      </c>
      <c r="R33" s="47">
        <f t="shared" si="1"/>
        <v>-760.25459688826027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-3167</v>
      </c>
      <c r="W33" s="22">
        <f>'30'!G66</f>
        <v>-640</v>
      </c>
      <c r="X33" s="22">
        <f>'30'!G67</f>
        <v>-834</v>
      </c>
      <c r="Y33" s="22">
        <f t="shared" si="7"/>
        <v>-4641</v>
      </c>
      <c r="Z33" s="19">
        <f>'30'!G84</f>
        <v>-43</v>
      </c>
      <c r="AA33" s="19">
        <f>'30'!G85</f>
        <v>-198.55999999999995</v>
      </c>
      <c r="AB33" s="19">
        <f>'30'!G86</f>
        <v>0</v>
      </c>
      <c r="AC33" s="19">
        <f>'30'!G87</f>
        <v>-672</v>
      </c>
      <c r="AD33" s="19">
        <f t="shared" si="8"/>
        <v>-913.56</v>
      </c>
      <c r="AE33" s="23">
        <f t="shared" si="2"/>
        <v>-201137.24999999994</v>
      </c>
      <c r="AF33" s="23">
        <f t="shared" si="9"/>
        <v>220.16862603441476</v>
      </c>
      <c r="AG33" s="19">
        <f>'30'!G88</f>
        <v>-116.93999999999869</v>
      </c>
      <c r="AH33" s="19">
        <f>'30'!G89</f>
        <v>-182.4900000000016</v>
      </c>
      <c r="AI33" s="19">
        <f>'30'!G90</f>
        <v>-177.61999999999534</v>
      </c>
      <c r="AJ33" s="19">
        <f t="shared" si="10"/>
        <v>-477.04999999999563</v>
      </c>
      <c r="AK33" s="19">
        <f>'30'!G91</f>
        <v>0</v>
      </c>
      <c r="AL33" s="19">
        <f>'30'!G92</f>
        <v>-304.13000000000011</v>
      </c>
      <c r="AM33" s="19"/>
      <c r="AN33" s="19">
        <f t="shared" si="11"/>
        <v>-304.13000000000011</v>
      </c>
      <c r="AO33" s="52">
        <f>'30'!G74</f>
        <v>-8681.0100000000093</v>
      </c>
      <c r="AP33" s="55">
        <f>'30'!G35</f>
        <v>-61006.460000000006</v>
      </c>
      <c r="AQ33" s="19">
        <f>'30'!G37</f>
        <v>-48416.459999999992</v>
      </c>
      <c r="AR33" s="19">
        <f>'30'!G38</f>
        <v>-55891.929999999993</v>
      </c>
      <c r="AS33" s="19">
        <f>'30'!G39</f>
        <v>-88384.109999999986</v>
      </c>
      <c r="AT33" s="19">
        <f>'30'!G40</f>
        <v>-85.62</v>
      </c>
      <c r="AU33" s="19">
        <f>'30'!G41</f>
        <v>-8655.7099999999627</v>
      </c>
      <c r="AV33" s="19">
        <f>'30'!G42</f>
        <v>-45083.989999999991</v>
      </c>
      <c r="AW33" s="19">
        <f>'30'!G43</f>
        <v>-82833.399999999907</v>
      </c>
      <c r="AX33" s="23">
        <f>'30'!G44</f>
        <v>0</v>
      </c>
      <c r="AY33" s="56">
        <f>'30'!G36</f>
        <v>-29344.940000000002</v>
      </c>
      <c r="AZ33" s="55">
        <f>'30'!G49</f>
        <v>-47625.19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-162.13000000000011</v>
      </c>
      <c r="BE33" s="19">
        <f>'30'!G55</f>
        <v>0</v>
      </c>
      <c r="BF33" s="19">
        <f>'30'!G56</f>
        <v>-147397.54999999999</v>
      </c>
      <c r="BG33" s="19">
        <f>'30'!G57</f>
        <v>0</v>
      </c>
      <c r="BH33" s="56">
        <f>'30'!G50</f>
        <v>-39160.150000000023</v>
      </c>
      <c r="BI33" s="60">
        <f t="shared" ref="BI33" si="19">SUM(AU33,AV33,BE33,BF33)</f>
        <v>-201137.24999999994</v>
      </c>
      <c r="BJ33" s="60">
        <f>'30'!G133</f>
        <v>-22572.57</v>
      </c>
      <c r="BK33" s="23">
        <f t="shared" si="13"/>
        <v>-1826.057209302325</v>
      </c>
      <c r="BL33" s="23">
        <f t="shared" si="14"/>
        <v>-411.08888372093014</v>
      </c>
      <c r="BM33" s="24">
        <f t="shared" si="15"/>
        <v>-2.5996246511627903</v>
      </c>
      <c r="BN33" s="25">
        <f t="shared" si="16"/>
        <v>-1509999.0399999975</v>
      </c>
      <c r="BO33" s="38">
        <f t="shared" si="17"/>
        <v>-306543.21999999986</v>
      </c>
      <c r="BP33">
        <f t="shared" si="18"/>
        <v>1.1983856717519525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21500</v>
      </c>
      <c r="H34" s="19">
        <f>'31'!G8</f>
        <v>21500</v>
      </c>
      <c r="I34" s="19">
        <v>9</v>
      </c>
      <c r="J34" s="49">
        <f t="shared" si="3"/>
        <v>193500</v>
      </c>
      <c r="K34" s="45">
        <f t="shared" ref="K34" si="20">H34/202</f>
        <v>106.43564356435644</v>
      </c>
      <c r="L34" s="19">
        <f>'31'!G15</f>
        <v>1024.9599999999627</v>
      </c>
      <c r="M34" s="19">
        <v>56.2</v>
      </c>
      <c r="N34" s="41">
        <f t="shared" ref="N34" si="21">L34*M34</f>
        <v>57602.751999997912</v>
      </c>
      <c r="O34" s="19">
        <f>'31'!G20</f>
        <v>269</v>
      </c>
      <c r="P34" s="19">
        <v>108</v>
      </c>
      <c r="Q34" s="46">
        <f t="shared" ref="Q34" si="22">O34*P34</f>
        <v>29052</v>
      </c>
      <c r="R34" s="47">
        <f t="shared" si="1"/>
        <v>4.7560113154172559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112</v>
      </c>
      <c r="W34" s="22">
        <f>'31'!G66</f>
        <v>24</v>
      </c>
      <c r="X34" s="22">
        <f>'31'!G67</f>
        <v>32</v>
      </c>
      <c r="Y34" s="22">
        <f t="shared" ref="Y34" si="24">V34+W34+X34</f>
        <v>168</v>
      </c>
      <c r="Z34" s="19">
        <f>'31'!G84</f>
        <v>0</v>
      </c>
      <c r="AA34" s="19">
        <f>'31'!G85</f>
        <v>0</v>
      </c>
      <c r="AB34" s="19">
        <f>'31'!G86</f>
        <v>0</v>
      </c>
      <c r="AC34" s="19">
        <f>'31'!G87</f>
        <v>24</v>
      </c>
      <c r="AD34" s="19">
        <f t="shared" ref="AD34" si="25">Z34+AA34+AB34+AC34</f>
        <v>24</v>
      </c>
      <c r="AE34" s="23">
        <f t="shared" ref="AE34" si="26">AU34+AV34+BE34+BF34</f>
        <v>4806.7899999999427</v>
      </c>
      <c r="AF34" s="23">
        <f t="shared" ref="AF34" si="27">AE34/AD34</f>
        <v>200.28291666666428</v>
      </c>
      <c r="AG34" s="19">
        <f>'31'!G88</f>
        <v>8.569999999999709</v>
      </c>
      <c r="AH34" s="19">
        <f>'31'!G89</f>
        <v>0.38000000000101863</v>
      </c>
      <c r="AI34" s="19">
        <f>'31'!G90</f>
        <v>9.4100000000034925</v>
      </c>
      <c r="AJ34" s="19">
        <f t="shared" ref="AJ34" si="28">AG34+AH34+AI34</f>
        <v>18.36000000000422</v>
      </c>
      <c r="AK34" s="19">
        <f>'31'!G91</f>
        <v>0.32000000000016371</v>
      </c>
      <c r="AL34" s="19">
        <f>'31'!G92</f>
        <v>9.819999999999709</v>
      </c>
      <c r="AM34" s="19"/>
      <c r="AN34" s="19">
        <f t="shared" ref="AN34" si="29">AK34+AL34</f>
        <v>10.139999999999873</v>
      </c>
      <c r="AO34" s="52">
        <f>'31'!G74</f>
        <v>292.23100000002887</v>
      </c>
      <c r="AP34" s="55">
        <f>'31'!G35</f>
        <v>1931.6699999999983</v>
      </c>
      <c r="AQ34" s="19">
        <f>'31'!G37</f>
        <v>1594.8300000000017</v>
      </c>
      <c r="AR34" s="19">
        <f>'31'!G38</f>
        <v>1838.0399999999936</v>
      </c>
      <c r="AS34" s="19">
        <f>'31'!G39</f>
        <v>2988.0499999999884</v>
      </c>
      <c r="AT34" s="19">
        <f>'31'!G40</f>
        <v>1.370000000000001</v>
      </c>
      <c r="AU34" s="19">
        <f>'31'!G41</f>
        <v>0.82999999995809048</v>
      </c>
      <c r="AV34" s="19">
        <f>'31'!G42</f>
        <v>-0.33000000001629815</v>
      </c>
      <c r="AW34" s="19">
        <f>'31'!G43</f>
        <v>2606.3999999999069</v>
      </c>
      <c r="AX34" s="23">
        <f>'31'!G44</f>
        <v>0</v>
      </c>
      <c r="AY34" s="56">
        <f>'31'!G36</f>
        <v>684.66999999999825</v>
      </c>
      <c r="AZ34" s="55">
        <f>'31'!G49</f>
        <v>1531.390000000014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4.4899999999997817</v>
      </c>
      <c r="BE34" s="19">
        <f>'31'!G55</f>
        <v>0</v>
      </c>
      <c r="BF34" s="19">
        <f>'31'!G56</f>
        <v>4806.2900000000009</v>
      </c>
      <c r="BG34" s="19">
        <f>'31'!G57</f>
        <v>0</v>
      </c>
      <c r="BH34" s="56">
        <f>'31'!G50</f>
        <v>1308.3100000000559</v>
      </c>
      <c r="BI34" s="60">
        <f t="shared" ref="BI34" si="30">SUM(AU34,AV34,BE34,BF34)</f>
        <v>4806.7899999999427</v>
      </c>
      <c r="BJ34" s="60">
        <f>'31'!G133</f>
        <v>761.29000000000087</v>
      </c>
      <c r="BK34" s="23">
        <f t="shared" ref="BK34" si="31">SUM(AP34,AU34,AV34,AW34,AZ34,BE34,BF34,BG34)/H34%</f>
        <v>50.587209302324936</v>
      </c>
      <c r="BL34" s="23">
        <f t="shared" ref="BL34" si="32">SUM(AS34,BC34)/H34%</f>
        <v>13.897906976744132</v>
      </c>
      <c r="BM34" s="24">
        <f t="shared" ref="BM34" si="33">(AR34+BB34)/H34</f>
        <v>8.5490232558139242E-2</v>
      </c>
      <c r="BN34" s="25">
        <f t="shared" ref="BN34" si="34">J34+N34+Q34+U34</f>
        <v>280154.75199999788</v>
      </c>
      <c r="BO34" s="38">
        <f t="shared" ref="BO34" si="35">SUM(AU34,AV34,AW34,BE34,BF34,BG34,BJ34)</f>
        <v>8174.4799999998504</v>
      </c>
      <c r="BP34">
        <f t="shared" ref="BP34" si="36">BO34/(AD34*280)</f>
        <v>1.2164404761904539</v>
      </c>
    </row>
    <row r="35" spans="1:68">
      <c r="A35" s="16" t="s">
        <v>196</v>
      </c>
      <c r="B35" s="30"/>
      <c r="C35" s="31"/>
      <c r="D35" s="32">
        <f>AVERAGE(D4:D34)</f>
        <v>27.806451612903224</v>
      </c>
      <c r="E35" s="33"/>
      <c r="F35" s="73">
        <f>AVERAGE(F4:F34)</f>
        <v>1.6001290322580646</v>
      </c>
      <c r="G35" s="34">
        <f>SUM(G4:G34)</f>
        <v>736469.69999999984</v>
      </c>
      <c r="H35" s="34">
        <f t="shared" ref="H35:BN35" si="37">SUM(H4:H34)</f>
        <v>746656.45000000007</v>
      </c>
      <c r="I35" s="19">
        <v>9</v>
      </c>
      <c r="J35" s="34">
        <f t="shared" si="37"/>
        <v>6719908.0500000007</v>
      </c>
      <c r="K35" s="34">
        <f t="shared" si="37"/>
        <v>3696.3190594059397</v>
      </c>
      <c r="L35" s="34">
        <f t="shared" si="37"/>
        <v>2736.149999999936</v>
      </c>
      <c r="M35" s="34">
        <f t="shared" si="37"/>
        <v>1742.200000000001</v>
      </c>
      <c r="N35" s="34">
        <f t="shared" si="37"/>
        <v>153771.62999999631</v>
      </c>
      <c r="O35" s="34">
        <f t="shared" si="37"/>
        <v>6390</v>
      </c>
      <c r="P35" s="34">
        <f t="shared" si="37"/>
        <v>3348</v>
      </c>
      <c r="Q35" s="34">
        <f t="shared" si="37"/>
        <v>690120</v>
      </c>
      <c r="R35" s="34">
        <f t="shared" si="37"/>
        <v>4899.7139846073469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426302</v>
      </c>
      <c r="W35" s="34">
        <f t="shared" si="37"/>
        <v>0</v>
      </c>
      <c r="X35" s="34">
        <f t="shared" si="37"/>
        <v>0</v>
      </c>
      <c r="Y35" s="34">
        <f t="shared" si="37"/>
        <v>426302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-2757.0000000000073</v>
      </c>
      <c r="AF35" s="34">
        <f t="shared" si="37"/>
        <v>6775.7976305708389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-280</v>
      </c>
      <c r="AP35" s="34">
        <f t="shared" si="37"/>
        <v>0</v>
      </c>
      <c r="AQ35" s="34">
        <f t="shared" si="37"/>
        <v>0</v>
      </c>
      <c r="AR35" s="34">
        <f t="shared" si="37"/>
        <v>0</v>
      </c>
      <c r="AS35" s="34">
        <f t="shared" si="37"/>
        <v>0</v>
      </c>
      <c r="AT35" s="34">
        <f t="shared" si="37"/>
        <v>69</v>
      </c>
      <c r="AU35" s="34">
        <f t="shared" si="37"/>
        <v>0</v>
      </c>
      <c r="AV35" s="34">
        <f t="shared" si="37"/>
        <v>-2757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0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-1.1100000000001273</v>
      </c>
      <c r="BE35" s="34">
        <f t="shared" si="37"/>
        <v>0</v>
      </c>
      <c r="BF35" s="34">
        <f t="shared" si="37"/>
        <v>-7.2759576141834259E-12</v>
      </c>
      <c r="BG35" s="34">
        <f t="shared" si="37"/>
        <v>0</v>
      </c>
      <c r="BH35" s="34">
        <f t="shared" si="37"/>
        <v>0</v>
      </c>
      <c r="BI35" s="34">
        <f t="shared" si="37"/>
        <v>-2757.0000000000073</v>
      </c>
      <c r="BJ35" s="34">
        <f t="shared" si="37"/>
        <v>573.6699999999837</v>
      </c>
      <c r="BK35" s="34">
        <f t="shared" si="37"/>
        <v>-216.71697442150617</v>
      </c>
      <c r="BL35" s="34">
        <f t="shared" si="37"/>
        <v>-42.748692624946507</v>
      </c>
      <c r="BM35" s="34">
        <f t="shared" si="37"/>
        <v>-0.27267483029718176</v>
      </c>
      <c r="BN35" s="34">
        <f t="shared" si="37"/>
        <v>7563799.6799999969</v>
      </c>
      <c r="BO35" s="38">
        <f t="shared" si="17"/>
        <v>-2183.3300000000236</v>
      </c>
      <c r="BP35" t="e">
        <f t="shared" si="18"/>
        <v>#DIV/0!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2</v>
      </c>
      <c r="E36" s="35">
        <f t="shared" si="38"/>
        <v>0.18999999999999995</v>
      </c>
      <c r="F36" s="35">
        <f t="shared" si="38"/>
        <v>0.18999999999999995</v>
      </c>
      <c r="G36" s="35"/>
      <c r="H36" s="35">
        <f t="shared" ref="H36:AN36" si="39">H18-H17</f>
        <v>2494.3200000000652</v>
      </c>
      <c r="I36" s="35">
        <f t="shared" si="39"/>
        <v>0</v>
      </c>
      <c r="J36" s="42">
        <f t="shared" si="39"/>
        <v>22448.880000000587</v>
      </c>
      <c r="K36" s="42">
        <f t="shared" si="39"/>
        <v>12.348118811881506</v>
      </c>
      <c r="L36" s="35">
        <f t="shared" si="39"/>
        <v>-228.77000000004659</v>
      </c>
      <c r="M36" s="35">
        <f t="shared" si="39"/>
        <v>0</v>
      </c>
      <c r="N36" s="42">
        <f t="shared" si="39"/>
        <v>-12856.874000002623</v>
      </c>
      <c r="O36" s="35">
        <f t="shared" si="39"/>
        <v>-57</v>
      </c>
      <c r="P36" s="35">
        <f t="shared" si="39"/>
        <v>0</v>
      </c>
      <c r="Q36" s="42">
        <f t="shared" si="39"/>
        <v>-6156</v>
      </c>
      <c r="R36" s="42">
        <f t="shared" si="39"/>
        <v>-117.50838949441157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15</v>
      </c>
      <c r="W36" s="35">
        <f t="shared" si="39"/>
        <v>-5</v>
      </c>
      <c r="X36" s="35">
        <f t="shared" si="39"/>
        <v>-4</v>
      </c>
      <c r="Y36" s="35">
        <f t="shared" si="39"/>
        <v>6</v>
      </c>
      <c r="Z36" s="35">
        <f t="shared" si="39"/>
        <v>-19</v>
      </c>
      <c r="AA36" s="35">
        <f t="shared" si="39"/>
        <v>11.519999999999982</v>
      </c>
      <c r="AB36" s="35">
        <f t="shared" si="39"/>
        <v>0</v>
      </c>
      <c r="AC36" s="35">
        <f t="shared" si="39"/>
        <v>14.169999999998254</v>
      </c>
      <c r="AD36" s="35">
        <f t="shared" si="39"/>
        <v>6.6899999999982356</v>
      </c>
      <c r="AE36" s="35">
        <f t="shared" si="39"/>
        <v>851.51000000000931</v>
      </c>
      <c r="AF36" s="35">
        <f t="shared" si="39"/>
        <v>-16.080733519472886</v>
      </c>
      <c r="AG36" s="35">
        <f t="shared" si="39"/>
        <v>-2.9999999998835847E-2</v>
      </c>
      <c r="AH36" s="35">
        <f t="shared" si="39"/>
        <v>-9.0000000000145519E-2</v>
      </c>
      <c r="AI36" s="35">
        <f t="shared" si="39"/>
        <v>-3.0199999999895226</v>
      </c>
      <c r="AJ36" s="35">
        <f t="shared" si="39"/>
        <v>-3.139999999988504</v>
      </c>
      <c r="AK36" s="35">
        <f t="shared" si="39"/>
        <v>0</v>
      </c>
      <c r="AL36" s="35">
        <f t="shared" si="39"/>
        <v>-0.90999999999985448</v>
      </c>
      <c r="AM36" s="35">
        <f t="shared" si="39"/>
        <v>0</v>
      </c>
      <c r="AN36" s="35">
        <f t="shared" si="39"/>
        <v>-0.90999999999985448</v>
      </c>
      <c r="AO36" s="35"/>
      <c r="AP36" s="35">
        <f t="shared" ref="AP36:AW36" si="40">AP18-AP17</f>
        <v>193.37000000000262</v>
      </c>
      <c r="AQ36" s="35">
        <f t="shared" si="40"/>
        <v>36.880000000004657</v>
      </c>
      <c r="AR36" s="35">
        <f t="shared" si="40"/>
        <v>-85.440000000002328</v>
      </c>
      <c r="AS36" s="35">
        <f t="shared" si="40"/>
        <v>130.21000000002095</v>
      </c>
      <c r="AT36" s="35">
        <f t="shared" si="40"/>
        <v>0.71</v>
      </c>
      <c r="AU36" s="35">
        <f t="shared" si="40"/>
        <v>-4190.890000000014</v>
      </c>
      <c r="AV36" s="35">
        <f t="shared" si="40"/>
        <v>1965.5900000000256</v>
      </c>
      <c r="AW36" s="35">
        <f t="shared" si="40"/>
        <v>217.5</v>
      </c>
      <c r="AX36" s="35"/>
      <c r="AY36" s="35"/>
      <c r="AZ36" s="35">
        <f t="shared" ref="AZ36:BG36" si="41">AZ18-AZ17</f>
        <v>-29.670000000012806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-0.57000000000016371</v>
      </c>
      <c r="BE36" s="35">
        <f t="shared" si="41"/>
        <v>0</v>
      </c>
      <c r="BF36" s="35">
        <f t="shared" si="41"/>
        <v>3076.8099999999977</v>
      </c>
      <c r="BG36" s="35">
        <f t="shared" si="41"/>
        <v>0</v>
      </c>
      <c r="BH36" s="35"/>
      <c r="BI36" s="35"/>
      <c r="BJ36" s="35"/>
      <c r="BK36" s="35">
        <f>BK18-BK17</f>
        <v>-0.50562816692733747</v>
      </c>
      <c r="BL36" s="35">
        <f>BL18-BL17</f>
        <v>-0.74169082084240223</v>
      </c>
      <c r="BM36" s="35"/>
      <c r="BN36" s="35">
        <f>BN18-BN17</f>
        <v>3436.0059999979567</v>
      </c>
      <c r="BO36" s="35">
        <f>BO18-BO17</f>
        <v>1040.9900000000125</v>
      </c>
    </row>
    <row r="37" spans="1:68">
      <c r="F37" s="38">
        <f>AVERAGE(F4:F35)</f>
        <v>1.6001290322580646</v>
      </c>
      <c r="G37" s="38"/>
      <c r="H37" s="38">
        <f>AVERAGE(H4:H35)</f>
        <v>46666.028125000004</v>
      </c>
    </row>
    <row r="38" spans="1:68">
      <c r="B38" s="36" t="s">
        <v>66</v>
      </c>
      <c r="F38" s="72">
        <f>AVERAGE(F4:F35)</f>
        <v>1.6001290322580646</v>
      </c>
      <c r="G38" s="72"/>
    </row>
    <row r="41" spans="1:68">
      <c r="BI41">
        <f>(BI31+BJ31)/400</f>
        <v>16.666699999999857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3"/>
  <sheetViews>
    <sheetView topLeftCell="A7" workbookViewId="0">
      <selection activeCell="J27" sqref="J27"/>
    </sheetView>
  </sheetViews>
  <sheetFormatPr defaultRowHeight="15.75"/>
  <cols>
    <col min="2" max="2" width="8.5546875" style="279" customWidth="1"/>
    <col min="3" max="3" width="6.6640625" style="279" customWidth="1"/>
    <col min="4" max="4" width="7.5546875" style="279" customWidth="1"/>
    <col min="5" max="5" width="7.88671875" style="279" customWidth="1"/>
    <col min="6" max="6" width="7.109375" style="279" customWidth="1"/>
    <col min="8" max="8" width="7.5546875" customWidth="1"/>
  </cols>
  <sheetData>
    <row r="1" spans="1:17" ht="47.25">
      <c r="A1" s="249"/>
      <c r="B1" s="284" t="s">
        <v>313</v>
      </c>
      <c r="C1" s="284" t="s">
        <v>271</v>
      </c>
      <c r="D1" s="284" t="s">
        <v>272</v>
      </c>
      <c r="E1" s="284" t="s">
        <v>274</v>
      </c>
      <c r="F1" s="284" t="s">
        <v>273</v>
      </c>
      <c r="G1" s="287" t="s">
        <v>275</v>
      </c>
      <c r="H1" s="316" t="s">
        <v>310</v>
      </c>
      <c r="J1" s="526" t="s">
        <v>355</v>
      </c>
    </row>
    <row r="2" spans="1:17">
      <c r="A2" s="249">
        <v>1</v>
      </c>
      <c r="B2" s="527">
        <f>C2/202%</f>
        <v>59.405940594059409</v>
      </c>
      <c r="C2" s="527">
        <v>120</v>
      </c>
      <c r="D2" s="527">
        <v>7</v>
      </c>
      <c r="E2" s="527">
        <f>SUM(C2:D2)/202%</f>
        <v>62.871287128712872</v>
      </c>
      <c r="F2" s="528">
        <v>514</v>
      </c>
      <c r="G2" s="528">
        <f>C2+D2</f>
        <v>127</v>
      </c>
      <c r="H2" s="529">
        <f>C2/202%</f>
        <v>59.405940594059409</v>
      </c>
      <c r="I2" s="530"/>
      <c r="J2" s="529">
        <f>'Section Load'!C5/G2</f>
        <v>171.72417322834625</v>
      </c>
      <c r="K2">
        <f>10/202</f>
        <v>4.9504950495049507E-2</v>
      </c>
    </row>
    <row r="3" spans="1:17">
      <c r="A3" s="249">
        <v>2</v>
      </c>
      <c r="B3" s="527">
        <f t="shared" ref="B3:B32" si="0">C3/202%</f>
        <v>50.495049504950494</v>
      </c>
      <c r="C3" s="527">
        <v>102</v>
      </c>
      <c r="D3" s="527">
        <v>7</v>
      </c>
      <c r="E3" s="527">
        <f t="shared" ref="E3:E5" si="1">SUM(C3:D3)/202%</f>
        <v>53.960396039603957</v>
      </c>
      <c r="F3" s="528">
        <v>502</v>
      </c>
      <c r="G3" s="528">
        <f t="shared" ref="G3:G31" si="2">C3+D3</f>
        <v>109</v>
      </c>
      <c r="H3" s="529">
        <f t="shared" ref="H3:H32" si="3">C3/202%</f>
        <v>50.495049504950494</v>
      </c>
      <c r="I3" s="530"/>
      <c r="J3" s="529">
        <f>'Section Load'!C6/G3</f>
        <v>210.5878899082565</v>
      </c>
    </row>
    <row r="4" spans="1:17">
      <c r="A4" s="249">
        <v>3</v>
      </c>
      <c r="B4" s="527">
        <f t="shared" si="0"/>
        <v>41.584158415841586</v>
      </c>
      <c r="C4" s="527">
        <v>84</v>
      </c>
      <c r="D4" s="527">
        <v>7</v>
      </c>
      <c r="E4" s="527">
        <f t="shared" si="1"/>
        <v>45.049504950495049</v>
      </c>
      <c r="F4" s="528">
        <v>363</v>
      </c>
      <c r="G4" s="528">
        <f t="shared" si="2"/>
        <v>91</v>
      </c>
      <c r="H4" s="529">
        <f t="shared" si="3"/>
        <v>41.584158415841586</v>
      </c>
      <c r="I4" s="530"/>
      <c r="J4" s="529">
        <f>'Section Load'!C7/G4</f>
        <v>247.11813186813185</v>
      </c>
      <c r="Q4" s="549">
        <f>C2/202</f>
        <v>0.59405940594059403</v>
      </c>
    </row>
    <row r="5" spans="1:17">
      <c r="A5" s="249">
        <v>4</v>
      </c>
      <c r="B5" s="527">
        <f t="shared" si="0"/>
        <v>38.118811881188115</v>
      </c>
      <c r="C5" s="527">
        <v>77</v>
      </c>
      <c r="D5" s="527">
        <v>7</v>
      </c>
      <c r="E5" s="527">
        <f t="shared" si="1"/>
        <v>41.584158415841586</v>
      </c>
      <c r="F5" s="528">
        <v>386</v>
      </c>
      <c r="G5" s="528">
        <f t="shared" si="2"/>
        <v>84</v>
      </c>
      <c r="H5" s="529">
        <f t="shared" si="3"/>
        <v>38.118811881188115</v>
      </c>
      <c r="I5" s="530"/>
      <c r="J5" s="529">
        <f>'Section Load'!C8/G5</f>
        <v>248.0167857142861</v>
      </c>
    </row>
    <row r="6" spans="1:17">
      <c r="A6" s="249">
        <v>5</v>
      </c>
      <c r="B6" s="527">
        <f t="shared" si="0"/>
        <v>77.722772277227719</v>
      </c>
      <c r="C6" s="527">
        <v>157</v>
      </c>
      <c r="D6" s="527">
        <v>8</v>
      </c>
      <c r="E6" s="527">
        <f t="shared" ref="E6:E31" si="4">SUM(C6:D6)/202%</f>
        <v>81.683168316831683</v>
      </c>
      <c r="F6" s="528">
        <v>675</v>
      </c>
      <c r="G6" s="528">
        <f t="shared" si="2"/>
        <v>165</v>
      </c>
      <c r="H6" s="529">
        <f t="shared" si="3"/>
        <v>77.722772277227719</v>
      </c>
      <c r="I6" s="530"/>
      <c r="J6" s="529">
        <f>'Section Load'!C9/G6</f>
        <v>146.58721212121222</v>
      </c>
    </row>
    <row r="7" spans="1:17">
      <c r="A7" s="249">
        <v>6</v>
      </c>
      <c r="B7" s="527">
        <f t="shared" si="0"/>
        <v>87.128712871287135</v>
      </c>
      <c r="C7" s="527">
        <v>176</v>
      </c>
      <c r="D7" s="527">
        <v>8</v>
      </c>
      <c r="E7" s="527">
        <f t="shared" si="4"/>
        <v>91.089108910891085</v>
      </c>
      <c r="F7" s="528">
        <v>588</v>
      </c>
      <c r="G7" s="528">
        <f t="shared" si="2"/>
        <v>184</v>
      </c>
      <c r="H7" s="529">
        <f t="shared" si="3"/>
        <v>87.128712871287135</v>
      </c>
      <c r="I7" s="530"/>
      <c r="J7" s="529">
        <f>'Section Load'!C10/G7</f>
        <v>124.11711956521765</v>
      </c>
    </row>
    <row r="8" spans="1:17">
      <c r="A8" s="249">
        <v>7</v>
      </c>
      <c r="B8" s="527">
        <f t="shared" si="0"/>
        <v>74.752475247524757</v>
      </c>
      <c r="C8" s="527">
        <v>151</v>
      </c>
      <c r="D8" s="527">
        <v>8</v>
      </c>
      <c r="E8" s="527">
        <f t="shared" si="4"/>
        <v>78.712871287128706</v>
      </c>
      <c r="F8" s="528">
        <v>525</v>
      </c>
      <c r="G8" s="528">
        <f t="shared" si="2"/>
        <v>159</v>
      </c>
      <c r="H8" s="529">
        <f t="shared" si="3"/>
        <v>74.752475247524757</v>
      </c>
      <c r="I8" s="530"/>
      <c r="J8" s="529">
        <f>'Section Load'!C11/G8</f>
        <v>138.05685534591146</v>
      </c>
    </row>
    <row r="9" spans="1:17">
      <c r="A9" s="249">
        <v>8</v>
      </c>
      <c r="B9" s="527">
        <f t="shared" si="0"/>
        <v>53.465346534653463</v>
      </c>
      <c r="C9" s="527">
        <v>108</v>
      </c>
      <c r="D9" s="527">
        <v>9</v>
      </c>
      <c r="E9" s="527">
        <f t="shared" si="4"/>
        <v>57.920792079207921</v>
      </c>
      <c r="F9" s="528">
        <v>464</v>
      </c>
      <c r="G9" s="528">
        <f t="shared" si="2"/>
        <v>117</v>
      </c>
      <c r="H9" s="529">
        <f t="shared" si="3"/>
        <v>53.465346534653463</v>
      </c>
      <c r="I9" s="530"/>
      <c r="J9" s="529">
        <f>'Section Load'!C12/G9</f>
        <v>187.79692307692301</v>
      </c>
    </row>
    <row r="10" spans="1:17">
      <c r="A10" s="249">
        <v>9</v>
      </c>
      <c r="B10" s="527">
        <f t="shared" si="0"/>
        <v>55.940594059405939</v>
      </c>
      <c r="C10" s="527">
        <v>113</v>
      </c>
      <c r="D10" s="527">
        <v>15</v>
      </c>
      <c r="E10" s="527">
        <f t="shared" si="4"/>
        <v>63.366336633663366</v>
      </c>
      <c r="F10" s="528">
        <v>385</v>
      </c>
      <c r="G10" s="528">
        <f t="shared" si="2"/>
        <v>128</v>
      </c>
      <c r="H10" s="529">
        <f t="shared" si="3"/>
        <v>55.940594059405939</v>
      </c>
      <c r="I10" s="530"/>
      <c r="J10" s="529">
        <f>'Section Load'!C13/G10</f>
        <v>170.45445312500033</v>
      </c>
    </row>
    <row r="11" spans="1:17">
      <c r="A11" s="249">
        <v>10</v>
      </c>
      <c r="B11" s="527">
        <f t="shared" si="0"/>
        <v>67.821782178217816</v>
      </c>
      <c r="C11" s="527">
        <v>137</v>
      </c>
      <c r="D11" s="527">
        <v>14</v>
      </c>
      <c r="E11" s="527">
        <f t="shared" si="4"/>
        <v>74.752475247524757</v>
      </c>
      <c r="F11" s="528">
        <v>503</v>
      </c>
      <c r="G11" s="528">
        <f t="shared" si="2"/>
        <v>151</v>
      </c>
      <c r="H11" s="529">
        <f t="shared" si="3"/>
        <v>67.821782178217816</v>
      </c>
      <c r="I11" s="530"/>
      <c r="J11" s="529">
        <f>'Section Load'!C14/G11</f>
        <v>139.13907284768212</v>
      </c>
    </row>
    <row r="12" spans="1:17">
      <c r="A12" s="249">
        <v>11</v>
      </c>
      <c r="B12" s="527">
        <f t="shared" si="0"/>
        <v>75.742574257425744</v>
      </c>
      <c r="C12" s="527">
        <v>153</v>
      </c>
      <c r="D12" s="527">
        <v>13</v>
      </c>
      <c r="E12" s="527">
        <f t="shared" si="4"/>
        <v>82.178217821782184</v>
      </c>
      <c r="F12" s="528">
        <v>521</v>
      </c>
      <c r="G12" s="528">
        <f t="shared" si="2"/>
        <v>166</v>
      </c>
      <c r="H12" s="529">
        <f t="shared" si="3"/>
        <v>75.742574257425744</v>
      </c>
      <c r="I12" s="530"/>
      <c r="J12" s="529">
        <f>'Section Load'!C15/G12</f>
        <v>124.00602409638554</v>
      </c>
    </row>
    <row r="13" spans="1:17">
      <c r="A13" s="249">
        <v>12</v>
      </c>
      <c r="B13" s="527">
        <f t="shared" si="0"/>
        <v>78.21782178217822</v>
      </c>
      <c r="C13" s="527">
        <v>158</v>
      </c>
      <c r="D13" s="527">
        <v>8</v>
      </c>
      <c r="E13" s="527">
        <f t="shared" si="4"/>
        <v>82.178217821782184</v>
      </c>
      <c r="F13" s="527">
        <v>684</v>
      </c>
      <c r="G13" s="528">
        <f t="shared" si="2"/>
        <v>166</v>
      </c>
      <c r="H13" s="529">
        <f t="shared" si="3"/>
        <v>78.21782178217822</v>
      </c>
      <c r="I13" s="530"/>
      <c r="J13" s="529">
        <f>'Section Load'!C16/G13</f>
        <v>135.0843373493976</v>
      </c>
    </row>
    <row r="14" spans="1:17">
      <c r="A14" s="249">
        <v>13</v>
      </c>
      <c r="B14" s="527">
        <f t="shared" si="0"/>
        <v>68.811881188118818</v>
      </c>
      <c r="C14" s="527">
        <v>139</v>
      </c>
      <c r="D14" s="527">
        <v>9</v>
      </c>
      <c r="E14" s="527">
        <f t="shared" si="4"/>
        <v>73.267326732673268</v>
      </c>
      <c r="F14" s="527">
        <v>756</v>
      </c>
      <c r="G14" s="528">
        <f t="shared" si="2"/>
        <v>148</v>
      </c>
      <c r="H14" s="529">
        <f t="shared" si="3"/>
        <v>68.811881188118818</v>
      </c>
      <c r="I14" s="530"/>
      <c r="J14" s="529">
        <f>'Section Load'!C17/G14</f>
        <v>164.52702702702703</v>
      </c>
    </row>
    <row r="15" spans="1:17">
      <c r="A15" s="249">
        <v>14</v>
      </c>
      <c r="B15" s="527">
        <f t="shared" si="0"/>
        <v>60.396039603960396</v>
      </c>
      <c r="C15" s="527">
        <v>122</v>
      </c>
      <c r="D15" s="527">
        <v>9</v>
      </c>
      <c r="E15" s="527">
        <f t="shared" si="4"/>
        <v>64.851485148514854</v>
      </c>
      <c r="F15" s="527">
        <v>709</v>
      </c>
      <c r="G15" s="528">
        <f t="shared" si="2"/>
        <v>131</v>
      </c>
      <c r="H15" s="529">
        <f t="shared" si="3"/>
        <v>60.396039603960396</v>
      </c>
      <c r="I15" s="530"/>
      <c r="J15" s="529">
        <f>'Section Load'!C18/G15</f>
        <v>170.85496183206106</v>
      </c>
    </row>
    <row r="16" spans="1:17">
      <c r="A16" s="249">
        <v>15</v>
      </c>
      <c r="B16" s="527">
        <f t="shared" si="0"/>
        <v>67.32673267326733</v>
      </c>
      <c r="C16" s="527">
        <v>136</v>
      </c>
      <c r="D16" s="527">
        <v>9</v>
      </c>
      <c r="E16" s="527">
        <f t="shared" si="4"/>
        <v>71.78217821782178</v>
      </c>
      <c r="F16" s="527">
        <v>491</v>
      </c>
      <c r="G16" s="528">
        <f t="shared" si="2"/>
        <v>145</v>
      </c>
      <c r="H16" s="529">
        <f t="shared" si="3"/>
        <v>67.32673267326733</v>
      </c>
      <c r="I16" s="530"/>
      <c r="J16" s="529">
        <f>'Section Load'!C19/G16</f>
        <v>171.56082758620735</v>
      </c>
    </row>
    <row r="17" spans="1:10">
      <c r="A17" s="249">
        <v>16</v>
      </c>
      <c r="B17" s="527">
        <f t="shared" si="0"/>
        <v>79.207920792079207</v>
      </c>
      <c r="C17" s="527">
        <v>160</v>
      </c>
      <c r="D17" s="527">
        <v>10</v>
      </c>
      <c r="E17" s="527">
        <f>SUM(C17:D17)/202%</f>
        <v>84.158415841584159</v>
      </c>
      <c r="F17" s="527">
        <v>627</v>
      </c>
      <c r="G17" s="528">
        <f t="shared" si="2"/>
        <v>170</v>
      </c>
      <c r="H17" s="529">
        <f t="shared" si="3"/>
        <v>79.207920792079207</v>
      </c>
      <c r="I17" s="530"/>
      <c r="J17" s="529">
        <f>'Section Load'!C20/G17</f>
        <v>149.44341176470587</v>
      </c>
    </row>
    <row r="18" spans="1:10">
      <c r="A18" s="249">
        <v>17</v>
      </c>
      <c r="B18" s="527">
        <f t="shared" si="0"/>
        <v>81.188118811881182</v>
      </c>
      <c r="C18" s="527">
        <v>164</v>
      </c>
      <c r="D18" s="527">
        <v>9</v>
      </c>
      <c r="E18" s="527">
        <f t="shared" si="4"/>
        <v>85.643564356435647</v>
      </c>
      <c r="F18" s="527">
        <v>646</v>
      </c>
      <c r="G18" s="528">
        <f t="shared" si="2"/>
        <v>173</v>
      </c>
      <c r="H18" s="529">
        <f t="shared" si="3"/>
        <v>81.188118811881182</v>
      </c>
      <c r="I18" s="530"/>
      <c r="J18" s="529">
        <f>'Section Load'!C21/G18</f>
        <v>158.83352601156068</v>
      </c>
    </row>
    <row r="19" spans="1:10">
      <c r="A19" s="249">
        <v>18</v>
      </c>
      <c r="B19" s="527">
        <f t="shared" si="0"/>
        <v>67.32673267326733</v>
      </c>
      <c r="C19" s="531">
        <v>136</v>
      </c>
      <c r="D19" s="531">
        <v>9</v>
      </c>
      <c r="E19" s="527">
        <f t="shared" si="4"/>
        <v>71.78217821782178</v>
      </c>
      <c r="F19" s="531">
        <v>810</v>
      </c>
      <c r="G19" s="528">
        <f t="shared" si="2"/>
        <v>145</v>
      </c>
      <c r="H19" s="529">
        <f t="shared" si="3"/>
        <v>67.32673267326733</v>
      </c>
      <c r="I19" s="530"/>
      <c r="J19" s="529">
        <f>'Section Load'!C22/G19</f>
        <v>185.50089655172417</v>
      </c>
    </row>
    <row r="20" spans="1:10">
      <c r="A20" s="249">
        <v>19</v>
      </c>
      <c r="B20" s="527">
        <f t="shared" si="0"/>
        <v>63.861386138613859</v>
      </c>
      <c r="C20" s="527">
        <v>129</v>
      </c>
      <c r="D20" s="527">
        <v>8</v>
      </c>
      <c r="E20" s="527">
        <f t="shared" si="4"/>
        <v>67.821782178217816</v>
      </c>
      <c r="F20" s="527">
        <v>656</v>
      </c>
      <c r="G20" s="528">
        <f t="shared" si="2"/>
        <v>137</v>
      </c>
      <c r="H20" s="529">
        <f t="shared" si="3"/>
        <v>63.861386138613859</v>
      </c>
      <c r="I20" s="530"/>
      <c r="J20" s="529">
        <f>'Section Load'!C23/G20</f>
        <v>188.33839416058404</v>
      </c>
    </row>
    <row r="21" spans="1:10">
      <c r="A21" s="249">
        <v>20</v>
      </c>
      <c r="B21" s="527">
        <f t="shared" si="0"/>
        <v>84.653465346534659</v>
      </c>
      <c r="C21" s="527">
        <v>171</v>
      </c>
      <c r="D21" s="527">
        <v>8</v>
      </c>
      <c r="E21" s="527">
        <f t="shared" si="4"/>
        <v>88.613861386138609</v>
      </c>
      <c r="F21" s="527">
        <v>694</v>
      </c>
      <c r="G21" s="528">
        <f t="shared" si="2"/>
        <v>179</v>
      </c>
      <c r="H21" s="529">
        <f t="shared" si="3"/>
        <v>84.653465346534659</v>
      </c>
      <c r="I21" s="530"/>
      <c r="J21" s="529">
        <f>'Section Load'!C24/G21</f>
        <v>150.18547486033509</v>
      </c>
    </row>
    <row r="22" spans="1:10">
      <c r="A22" s="249">
        <v>21</v>
      </c>
      <c r="B22" s="527">
        <f t="shared" si="0"/>
        <v>67.821782178217816</v>
      </c>
      <c r="C22" s="527">
        <v>137</v>
      </c>
      <c r="D22" s="527">
        <v>9</v>
      </c>
      <c r="E22" s="527">
        <f t="shared" si="4"/>
        <v>72.277227722772281</v>
      </c>
      <c r="F22" s="527">
        <v>1163</v>
      </c>
      <c r="G22" s="528">
        <f t="shared" si="2"/>
        <v>146</v>
      </c>
      <c r="H22" s="529">
        <f t="shared" si="3"/>
        <v>67.821782178217816</v>
      </c>
      <c r="I22" s="530"/>
      <c r="J22" s="529">
        <f>'Section Load'!C25/G22</f>
        <v>189.05506849315074</v>
      </c>
    </row>
    <row r="23" spans="1:10">
      <c r="A23" s="249">
        <v>22</v>
      </c>
      <c r="B23" s="527">
        <v>83</v>
      </c>
      <c r="C23" s="527">
        <v>155</v>
      </c>
      <c r="D23" s="527">
        <v>10</v>
      </c>
      <c r="E23" s="527">
        <f t="shared" si="4"/>
        <v>81.683168316831683</v>
      </c>
      <c r="F23" s="527">
        <v>1847</v>
      </c>
      <c r="G23" s="528">
        <f t="shared" si="2"/>
        <v>165</v>
      </c>
      <c r="H23" s="529">
        <f t="shared" si="3"/>
        <v>76.732673267326732</v>
      </c>
      <c r="I23" s="530"/>
      <c r="J23" s="529">
        <f>'Section Load'!C26/G23</f>
        <v>156.2888484848485</v>
      </c>
    </row>
    <row r="24" spans="1:10">
      <c r="A24" s="249">
        <v>23</v>
      </c>
      <c r="B24" s="527">
        <v>98</v>
      </c>
      <c r="C24" s="527">
        <v>146</v>
      </c>
      <c r="D24" s="527">
        <v>8</v>
      </c>
      <c r="E24" s="527">
        <f t="shared" si="4"/>
        <v>76.237623762376231</v>
      </c>
      <c r="F24" s="527">
        <v>737</v>
      </c>
      <c r="G24" s="528">
        <f t="shared" si="2"/>
        <v>154</v>
      </c>
      <c r="H24" s="529">
        <f t="shared" si="3"/>
        <v>72.277227722772281</v>
      </c>
      <c r="I24" s="530"/>
      <c r="J24" s="529">
        <f>'Section Load'!C27/G24</f>
        <v>183.15285714285719</v>
      </c>
    </row>
    <row r="25" spans="1:10">
      <c r="A25" s="249">
        <v>24</v>
      </c>
      <c r="B25" s="527">
        <f t="shared" si="0"/>
        <v>62.871287128712872</v>
      </c>
      <c r="C25" s="527">
        <v>127</v>
      </c>
      <c r="D25" s="527">
        <v>8</v>
      </c>
      <c r="E25" s="527">
        <f t="shared" si="4"/>
        <v>66.831683168316829</v>
      </c>
      <c r="F25" s="527">
        <v>995</v>
      </c>
      <c r="G25" s="528">
        <f t="shared" si="2"/>
        <v>135</v>
      </c>
      <c r="H25" s="529">
        <f t="shared" si="3"/>
        <v>62.871287128712872</v>
      </c>
      <c r="I25" s="530"/>
      <c r="J25" s="529">
        <f>'Section Load'!C28/G25</f>
        <v>196.3753333333332</v>
      </c>
    </row>
    <row r="26" spans="1:10">
      <c r="A26" s="249">
        <v>25</v>
      </c>
      <c r="B26" s="527">
        <f t="shared" si="0"/>
        <v>61.881188118811878</v>
      </c>
      <c r="C26" s="527">
        <v>125</v>
      </c>
      <c r="D26" s="527">
        <v>9</v>
      </c>
      <c r="E26" s="527">
        <f t="shared" si="4"/>
        <v>66.336633663366342</v>
      </c>
      <c r="F26" s="527">
        <v>1320</v>
      </c>
      <c r="G26" s="528">
        <f t="shared" si="2"/>
        <v>134</v>
      </c>
      <c r="H26" s="529">
        <f t="shared" si="3"/>
        <v>61.881188118811878</v>
      </c>
      <c r="I26" s="530"/>
      <c r="J26" s="529">
        <f>'Section Load'!C29/G26</f>
        <v>198.84328358208955</v>
      </c>
    </row>
    <row r="27" spans="1:10">
      <c r="A27" s="249">
        <v>26</v>
      </c>
      <c r="B27" s="527">
        <f t="shared" si="0"/>
        <v>70.792079207920793</v>
      </c>
      <c r="C27" s="527">
        <v>143</v>
      </c>
      <c r="D27" s="527">
        <v>8</v>
      </c>
      <c r="E27" s="527">
        <f t="shared" si="4"/>
        <v>74.752475247524757</v>
      </c>
      <c r="F27" s="527">
        <v>1444</v>
      </c>
      <c r="G27" s="528">
        <f t="shared" si="2"/>
        <v>151</v>
      </c>
      <c r="H27" s="529">
        <f t="shared" si="3"/>
        <v>70.792079207920793</v>
      </c>
      <c r="I27" s="530"/>
      <c r="J27" s="529">
        <f>'Section Load'!C30/G27</f>
        <v>180.58278145695365</v>
      </c>
    </row>
    <row r="28" spans="1:10">
      <c r="A28" s="249">
        <v>27</v>
      </c>
      <c r="B28" s="527">
        <f t="shared" si="0"/>
        <v>0</v>
      </c>
      <c r="C28" s="527"/>
      <c r="D28" s="527"/>
      <c r="E28" s="527">
        <f t="shared" si="4"/>
        <v>0</v>
      </c>
      <c r="F28" s="527"/>
      <c r="G28" s="528">
        <f t="shared" si="2"/>
        <v>0</v>
      </c>
      <c r="H28" s="529">
        <f t="shared" si="3"/>
        <v>0</v>
      </c>
      <c r="I28" s="530"/>
      <c r="J28" s="529" t="e">
        <f>'Section Load'!C31/G28</f>
        <v>#DIV/0!</v>
      </c>
    </row>
    <row r="29" spans="1:10">
      <c r="A29" s="249">
        <v>28</v>
      </c>
      <c r="B29" s="527">
        <f t="shared" si="0"/>
        <v>0</v>
      </c>
      <c r="C29" s="527"/>
      <c r="D29" s="527"/>
      <c r="E29" s="527">
        <f t="shared" si="4"/>
        <v>0</v>
      </c>
      <c r="F29" s="527"/>
      <c r="G29" s="528">
        <f t="shared" si="2"/>
        <v>0</v>
      </c>
      <c r="H29" s="529">
        <f t="shared" si="3"/>
        <v>0</v>
      </c>
      <c r="I29" s="530"/>
      <c r="J29" s="529" t="e">
        <f>'Section Load'!C32/G29</f>
        <v>#DIV/0!</v>
      </c>
    </row>
    <row r="30" spans="1:10">
      <c r="A30" s="249">
        <v>29</v>
      </c>
      <c r="B30" s="527">
        <f>C30/202%</f>
        <v>0</v>
      </c>
      <c r="C30" s="527"/>
      <c r="D30" s="527"/>
      <c r="E30" s="527">
        <f t="shared" si="4"/>
        <v>0</v>
      </c>
      <c r="F30" s="527"/>
      <c r="G30" s="528">
        <f t="shared" si="2"/>
        <v>0</v>
      </c>
      <c r="H30" s="529">
        <f>C30/202%</f>
        <v>0</v>
      </c>
      <c r="I30" s="530"/>
      <c r="J30" s="529" t="e">
        <f>'Section Load'!C33/G30</f>
        <v>#DIV/0!</v>
      </c>
    </row>
    <row r="31" spans="1:10">
      <c r="A31" s="249">
        <v>30</v>
      </c>
      <c r="B31" s="527">
        <f t="shared" si="0"/>
        <v>0</v>
      </c>
      <c r="C31" s="527"/>
      <c r="D31" s="527"/>
      <c r="E31" s="527">
        <f t="shared" si="4"/>
        <v>0</v>
      </c>
      <c r="F31" s="527"/>
      <c r="G31" s="532">
        <f t="shared" si="2"/>
        <v>0</v>
      </c>
      <c r="H31" s="529">
        <f t="shared" si="3"/>
        <v>0</v>
      </c>
      <c r="I31" s="530"/>
      <c r="J31" s="529" t="e">
        <f>'Section Load'!C34/G31</f>
        <v>#DIV/0!</v>
      </c>
    </row>
    <row r="32" spans="1:10">
      <c r="A32" s="249">
        <v>31</v>
      </c>
      <c r="B32" s="527">
        <f t="shared" si="0"/>
        <v>0</v>
      </c>
      <c r="C32" s="527"/>
      <c r="D32" s="527"/>
      <c r="E32" s="527"/>
      <c r="F32" s="527"/>
      <c r="G32" s="532"/>
      <c r="H32" s="529">
        <f t="shared" si="3"/>
        <v>0</v>
      </c>
      <c r="I32" s="530"/>
      <c r="J32" s="529" t="e">
        <f>'Section Load'!C35/G32</f>
        <v>#DIV/0!</v>
      </c>
    </row>
    <row r="33" spans="1:8">
      <c r="A33" t="s">
        <v>316</v>
      </c>
      <c r="B33" s="279">
        <f>AVERAGE(B2:B31)</f>
        <v>59.251155115511544</v>
      </c>
      <c r="C33" s="279">
        <f t="shared" ref="C33:H33" si="5">AVERAGE(C2:C31)</f>
        <v>135.61538461538461</v>
      </c>
      <c r="D33" s="279">
        <f t="shared" si="5"/>
        <v>9</v>
      </c>
      <c r="E33" s="279">
        <f t="shared" si="5"/>
        <v>62.046204620462035</v>
      </c>
      <c r="F33" s="279">
        <f t="shared" si="5"/>
        <v>730.96153846153845</v>
      </c>
      <c r="G33" s="279">
        <f t="shared" si="5"/>
        <v>125.33333333333333</v>
      </c>
      <c r="H33" s="279">
        <f t="shared" si="5"/>
        <v>58.184818481848183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AA31" sqref="AA31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>
      <c r="B3" s="262"/>
      <c r="C3" s="263" t="s">
        <v>0</v>
      </c>
      <c r="D3" s="251">
        <v>1</v>
      </c>
      <c r="E3" s="251">
        <v>2</v>
      </c>
      <c r="F3" s="251">
        <v>3</v>
      </c>
      <c r="G3" s="251">
        <v>4</v>
      </c>
      <c r="H3" s="251">
        <v>5</v>
      </c>
      <c r="I3" s="251">
        <v>6</v>
      </c>
      <c r="J3" s="251">
        <v>7</v>
      </c>
      <c r="K3" s="251">
        <v>8</v>
      </c>
      <c r="L3" s="251">
        <v>9</v>
      </c>
      <c r="M3" s="251">
        <v>10</v>
      </c>
      <c r="N3" s="251">
        <v>11</v>
      </c>
      <c r="O3" s="251">
        <v>12</v>
      </c>
      <c r="P3" s="251">
        <v>13</v>
      </c>
      <c r="Q3" s="251">
        <v>14</v>
      </c>
      <c r="R3" s="263">
        <v>15</v>
      </c>
      <c r="S3" s="263">
        <v>16</v>
      </c>
      <c r="T3" s="263">
        <v>17</v>
      </c>
      <c r="U3" s="263">
        <v>18</v>
      </c>
      <c r="V3" s="263">
        <v>19</v>
      </c>
      <c r="W3" s="263">
        <v>20</v>
      </c>
      <c r="X3" s="263">
        <v>21</v>
      </c>
      <c r="Y3" s="263">
        <v>22</v>
      </c>
      <c r="Z3" s="263">
        <v>23</v>
      </c>
      <c r="AA3" s="263">
        <v>24</v>
      </c>
      <c r="AB3" s="263">
        <v>25</v>
      </c>
      <c r="AC3" s="263">
        <v>26</v>
      </c>
      <c r="AD3" s="263">
        <v>27</v>
      </c>
      <c r="AE3" s="263">
        <v>28</v>
      </c>
      <c r="AF3" s="263">
        <v>29</v>
      </c>
      <c r="AG3" s="263">
        <v>30</v>
      </c>
      <c r="AH3" s="263">
        <v>31</v>
      </c>
      <c r="AI3" s="263"/>
    </row>
    <row r="4" spans="2:35">
      <c r="B4" s="93"/>
      <c r="C4" s="90" t="s">
        <v>67</v>
      </c>
      <c r="D4" s="91">
        <f>Occupancy!B2</f>
        <v>59.405940594059409</v>
      </c>
      <c r="E4" s="91">
        <f>Occupancy!B3</f>
        <v>50.495049504950494</v>
      </c>
      <c r="F4" s="91">
        <f>Occupancy!C3</f>
        <v>102</v>
      </c>
      <c r="G4" s="91">
        <f>Occupancy!D3</f>
        <v>7</v>
      </c>
      <c r="H4" s="91">
        <f>Occupancy!E3</f>
        <v>53.960396039603957</v>
      </c>
      <c r="I4" s="91">
        <f>Occupancy!F3</f>
        <v>502</v>
      </c>
      <c r="J4" s="91">
        <f>Occupancy!G3</f>
        <v>109</v>
      </c>
      <c r="K4" s="91">
        <f>Occupancy!H3</f>
        <v>50.495049504950494</v>
      </c>
      <c r="L4" s="91">
        <f>Occupancy!I3</f>
        <v>0</v>
      </c>
      <c r="M4" s="91">
        <f>Occupancy!J3</f>
        <v>210.5878899082565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180</v>
      </c>
      <c r="E5" s="91">
        <f>'2'!G18</f>
        <v>210</v>
      </c>
      <c r="F5" s="91">
        <f>'3'!G18</f>
        <v>220</v>
      </c>
      <c r="G5" s="91">
        <f>'4'!G18</f>
        <v>180</v>
      </c>
      <c r="H5" s="91">
        <f>'5'!G18</f>
        <v>100</v>
      </c>
      <c r="I5" s="91">
        <f>'6'!G18</f>
        <v>240</v>
      </c>
      <c r="J5" s="91">
        <f>'7'!G18</f>
        <v>200</v>
      </c>
      <c r="K5" s="91">
        <f>'8'!G18</f>
        <v>200</v>
      </c>
      <c r="L5" s="91">
        <f>'9'!G18</f>
        <v>200</v>
      </c>
      <c r="M5" s="91">
        <f>'10'!G18</f>
        <v>160</v>
      </c>
      <c r="N5" s="91">
        <f>'11'!G18</f>
        <v>180</v>
      </c>
      <c r="O5" s="91">
        <f>'12'!G18</f>
        <v>220</v>
      </c>
      <c r="P5" s="91">
        <f>'13'!G18</f>
        <v>200</v>
      </c>
      <c r="Q5" s="91">
        <f>'14'!G18</f>
        <v>240</v>
      </c>
      <c r="R5" s="91">
        <f>'15'!G18</f>
        <v>180</v>
      </c>
      <c r="S5" s="91">
        <f>'16'!G18</f>
        <v>200</v>
      </c>
      <c r="T5" s="91">
        <f>'17'!G18</f>
        <v>200</v>
      </c>
      <c r="U5" s="91">
        <f>'18 '!G18</f>
        <v>280</v>
      </c>
      <c r="V5" s="91">
        <f>'19'!G18</f>
        <v>270</v>
      </c>
      <c r="W5" s="91">
        <f>'20'!G18</f>
        <v>220</v>
      </c>
      <c r="X5" s="91">
        <f>'21'!G18</f>
        <v>220</v>
      </c>
      <c r="Y5" s="91">
        <f>'22'!G18</f>
        <v>200</v>
      </c>
      <c r="Z5" s="91">
        <f>'23'!G18</f>
        <v>180</v>
      </c>
      <c r="AA5" s="91">
        <f>'24'!G18</f>
        <v>180</v>
      </c>
      <c r="AB5" s="91">
        <f>'25'!G18</f>
        <v>240</v>
      </c>
      <c r="AC5" s="91">
        <f>'26'!G18</f>
        <v>240</v>
      </c>
      <c r="AD5" s="91">
        <f>'27'!G18</f>
        <v>220</v>
      </c>
      <c r="AE5" s="91">
        <f>'28'!G18</f>
        <v>240</v>
      </c>
      <c r="AF5" s="91">
        <f>'29'!G18</f>
        <v>210</v>
      </c>
      <c r="AG5" s="91">
        <f>'30'!G18</f>
        <v>180</v>
      </c>
      <c r="AH5" s="91">
        <f>'31'!G18</f>
        <v>200</v>
      </c>
      <c r="AI5" s="90"/>
    </row>
    <row r="6" spans="2:35">
      <c r="B6" s="93"/>
      <c r="C6" s="90" t="s">
        <v>69</v>
      </c>
      <c r="D6" s="91">
        <f>'1'!G19</f>
        <v>57</v>
      </c>
      <c r="E6" s="91">
        <f>'2'!G19</f>
        <v>60</v>
      </c>
      <c r="F6" s="91">
        <f>'3'!G19</f>
        <v>59</v>
      </c>
      <c r="G6" s="91">
        <f>'4'!G19</f>
        <v>59</v>
      </c>
      <c r="H6" s="91">
        <f>'5'!G19</f>
        <v>59</v>
      </c>
      <c r="I6" s="91">
        <f>'6'!G19</f>
        <v>51</v>
      </c>
      <c r="J6" s="91">
        <f>'7'!G19</f>
        <v>59</v>
      </c>
      <c r="K6" s="91">
        <f>'8'!G19</f>
        <v>58</v>
      </c>
      <c r="L6" s="91">
        <f>'9'!G19</f>
        <v>53</v>
      </c>
      <c r="M6" s="91">
        <f>'10'!G19</f>
        <v>65</v>
      </c>
      <c r="N6" s="91">
        <f>'11'!G19</f>
        <v>53</v>
      </c>
      <c r="O6" s="91">
        <f>'12'!G19</f>
        <v>58</v>
      </c>
      <c r="P6" s="91">
        <f>'13'!G19</f>
        <v>56</v>
      </c>
      <c r="Q6" s="91">
        <f>'14'!G19</f>
        <v>53</v>
      </c>
      <c r="R6" s="91">
        <f>'15'!G19</f>
        <v>56</v>
      </c>
      <c r="S6" s="91">
        <f>'16'!G19</f>
        <v>51</v>
      </c>
      <c r="T6" s="91">
        <f>'17'!G19</f>
        <v>55</v>
      </c>
      <c r="U6" s="91">
        <f>'18 '!G19</f>
        <v>57</v>
      </c>
      <c r="V6" s="91">
        <f>'19'!G19</f>
        <v>55</v>
      </c>
      <c r="W6" s="91">
        <f>'20'!G19</f>
        <v>51</v>
      </c>
      <c r="X6" s="91">
        <f>'21'!G19</f>
        <v>56</v>
      </c>
      <c r="Y6" s="91">
        <f>'22'!G19</f>
        <v>60</v>
      </c>
      <c r="Z6" s="91">
        <f>'23'!G19</f>
        <v>53</v>
      </c>
      <c r="AA6" s="91">
        <f>'24'!G19</f>
        <v>55</v>
      </c>
      <c r="AB6" s="91">
        <f>'25'!G19</f>
        <v>55</v>
      </c>
      <c r="AC6" s="91">
        <f>'26'!G19</f>
        <v>51</v>
      </c>
      <c r="AD6" s="91">
        <f>'27'!G19</f>
        <v>52</v>
      </c>
      <c r="AE6" s="91">
        <f>'28'!G19</f>
        <v>54</v>
      </c>
      <c r="AF6" s="91">
        <f>'29'!G19</f>
        <v>55</v>
      </c>
      <c r="AG6" s="91">
        <f>'30'!G19</f>
        <v>-1685</v>
      </c>
      <c r="AH6" s="91">
        <f>'31'!G19</f>
        <v>69</v>
      </c>
      <c r="AI6" s="90"/>
    </row>
    <row r="7" spans="2:35">
      <c r="B7" s="93"/>
      <c r="C7" s="90" t="s">
        <v>70</v>
      </c>
      <c r="D7" s="91">
        <f>'1'!G62</f>
        <v>118</v>
      </c>
      <c r="E7" s="91">
        <f>'2'!G62</f>
        <v>108</v>
      </c>
      <c r="F7" s="91">
        <f>'3'!G62</f>
        <v>128</v>
      </c>
      <c r="G7" s="91">
        <f>'4'!G62</f>
        <v>94</v>
      </c>
      <c r="H7" s="91">
        <f>'5'!G62</f>
        <v>67</v>
      </c>
      <c r="I7" s="91">
        <f>'6'!G62</f>
        <v>144</v>
      </c>
      <c r="J7" s="91">
        <f>'7'!G62</f>
        <v>133</v>
      </c>
      <c r="K7" s="91">
        <f>'8'!G62</f>
        <v>118</v>
      </c>
      <c r="L7" s="91">
        <f>'9'!G62</f>
        <v>112</v>
      </c>
      <c r="M7" s="91">
        <f>'10'!G62</f>
        <v>100</v>
      </c>
      <c r="N7" s="91">
        <f>'11'!G62</f>
        <v>103</v>
      </c>
      <c r="O7" s="91">
        <f>'12'!G62</f>
        <v>120</v>
      </c>
      <c r="P7" s="91">
        <f>'13'!G62</f>
        <v>131</v>
      </c>
      <c r="Q7" s="91">
        <f>'14'!G62</f>
        <v>141</v>
      </c>
      <c r="R7" s="91">
        <f>'15'!G62</f>
        <v>107</v>
      </c>
      <c r="S7" s="91">
        <f>'16'!G62</f>
        <v>119</v>
      </c>
      <c r="T7" s="91">
        <f>'17'!G62</f>
        <v>120</v>
      </c>
      <c r="U7" s="91">
        <f>'18 '!G62</f>
        <v>146</v>
      </c>
      <c r="V7" s="91">
        <f>'19'!G62</f>
        <v>122</v>
      </c>
      <c r="W7" s="91">
        <f>'20'!G62</f>
        <v>120</v>
      </c>
      <c r="X7" s="91">
        <f>'21'!G62</f>
        <v>139</v>
      </c>
      <c r="Y7" s="91">
        <f>'22'!G62</f>
        <v>124</v>
      </c>
      <c r="Z7" s="91">
        <f>'23'!G62</f>
        <v>113</v>
      </c>
      <c r="AA7" s="91">
        <f>'24'!G62</f>
        <v>117</v>
      </c>
      <c r="AB7" s="91">
        <f>'25'!G62</f>
        <v>166</v>
      </c>
      <c r="AC7" s="91">
        <f>'26'!G62</f>
        <v>127</v>
      </c>
      <c r="AD7" s="91">
        <f>'27'!G62</f>
        <v>133</v>
      </c>
      <c r="AE7" s="91">
        <f>'28'!G62</f>
        <v>137</v>
      </c>
      <c r="AF7" s="91">
        <f>'29'!G62</f>
        <v>120</v>
      </c>
      <c r="AG7" s="91">
        <f>'30'!G62</f>
        <v>-3652</v>
      </c>
      <c r="AH7" s="91">
        <f>'31'!G62</f>
        <v>125</v>
      </c>
      <c r="AI7" s="90"/>
    </row>
    <row r="8" spans="2:35">
      <c r="B8" s="93"/>
      <c r="C8" s="90" t="s">
        <v>299</v>
      </c>
      <c r="D8" s="91">
        <f>'1'!G63</f>
        <v>80</v>
      </c>
      <c r="E8" s="91">
        <f>'2'!G63</f>
        <v>89</v>
      </c>
      <c r="F8" s="91">
        <f>'3'!G63</f>
        <v>113</v>
      </c>
      <c r="G8" s="91">
        <f>'4'!G63</f>
        <v>115</v>
      </c>
      <c r="H8" s="91">
        <f>'5'!G63</f>
        <v>95</v>
      </c>
      <c r="I8" s="91">
        <f>'6'!G63</f>
        <v>100</v>
      </c>
      <c r="J8" s="91">
        <f>'7'!G63</f>
        <v>126</v>
      </c>
      <c r="K8" s="91">
        <f>'8'!G63</f>
        <v>107</v>
      </c>
      <c r="L8" s="91">
        <f>'9'!G63</f>
        <v>75</v>
      </c>
      <c r="M8" s="91">
        <f>'10'!G63</f>
        <v>96</v>
      </c>
      <c r="N8" s="91">
        <f>'11'!G63</f>
        <v>93</v>
      </c>
      <c r="O8" s="91">
        <f>'12'!G63</f>
        <v>90</v>
      </c>
      <c r="P8" s="91">
        <f>'13'!G63</f>
        <v>107</v>
      </c>
      <c r="Q8" s="91">
        <f>'14'!G63</f>
        <v>117</v>
      </c>
      <c r="R8" s="91">
        <f>'15'!G63</f>
        <v>95</v>
      </c>
      <c r="S8" s="91">
        <f>'16'!G63</f>
        <v>117</v>
      </c>
      <c r="T8" s="91">
        <f>'17'!G63</f>
        <v>78</v>
      </c>
      <c r="U8" s="91">
        <f>'18 '!G63</f>
        <v>0</v>
      </c>
      <c r="V8" s="91">
        <f>'19'!G63</f>
        <v>76</v>
      </c>
      <c r="W8" s="91">
        <f>'20'!G63</f>
        <v>95</v>
      </c>
      <c r="X8" s="91">
        <f>'21'!G63</f>
        <v>134</v>
      </c>
      <c r="Y8" s="91">
        <f>'22'!G63</f>
        <v>119</v>
      </c>
      <c r="Z8" s="91">
        <f>'23'!G63</f>
        <v>109</v>
      </c>
      <c r="AA8" s="91">
        <f>'24'!G63</f>
        <v>102</v>
      </c>
      <c r="AB8" s="91">
        <f>'25'!G63</f>
        <v>150</v>
      </c>
      <c r="AC8" s="91">
        <f>'26'!G63</f>
        <v>136</v>
      </c>
      <c r="AD8" s="91">
        <f>'27'!G63</f>
        <v>143</v>
      </c>
      <c r="AE8" s="91">
        <f>'28'!G63</f>
        <v>92</v>
      </c>
      <c r="AF8" s="91">
        <f>'29'!G63</f>
        <v>141</v>
      </c>
      <c r="AG8" s="91">
        <f>'30'!G63</f>
        <v>-3139</v>
      </c>
      <c r="AH8" s="91">
        <f>'31'!G63</f>
        <v>149</v>
      </c>
      <c r="AI8" s="90"/>
    </row>
    <row r="9" spans="2:35">
      <c r="B9" s="685" t="s">
        <v>71</v>
      </c>
      <c r="C9" s="90" t="s">
        <v>31</v>
      </c>
      <c r="D9" s="91">
        <f>'1'!G65</f>
        <v>97</v>
      </c>
      <c r="E9" s="91">
        <f>'2'!G65</f>
        <v>109</v>
      </c>
      <c r="F9" s="91">
        <f>'3'!G65</f>
        <v>121</v>
      </c>
      <c r="G9" s="91">
        <f>'4'!G65</f>
        <v>85</v>
      </c>
      <c r="H9" s="91">
        <f>'5'!G65</f>
        <v>72</v>
      </c>
      <c r="I9" s="91">
        <f>'6'!G65</f>
        <v>110</v>
      </c>
      <c r="J9" s="91">
        <f>'7'!G65</f>
        <v>90</v>
      </c>
      <c r="K9" s="91">
        <f>'8'!G65</f>
        <v>96</v>
      </c>
      <c r="L9" s="91">
        <f>'9'!G65</f>
        <v>106</v>
      </c>
      <c r="M9" s="91">
        <f>'10'!G65</f>
        <v>95</v>
      </c>
      <c r="N9" s="91">
        <f>'11'!G65</f>
        <v>95</v>
      </c>
      <c r="O9" s="91">
        <f>'12'!G65</f>
        <v>112</v>
      </c>
      <c r="P9" s="91">
        <f>'13'!G65</f>
        <v>110</v>
      </c>
      <c r="Q9" s="91">
        <f>'14'!G65</f>
        <v>101</v>
      </c>
      <c r="R9" s="91">
        <f>'15'!G65</f>
        <v>116</v>
      </c>
      <c r="S9" s="91">
        <f>'16'!G65</f>
        <v>102</v>
      </c>
      <c r="T9" s="91">
        <f>'17'!G65</f>
        <v>109</v>
      </c>
      <c r="U9" s="91">
        <f>'18 '!G65</f>
        <v>106</v>
      </c>
      <c r="V9" s="91">
        <f>'19'!G65</f>
        <v>95</v>
      </c>
      <c r="W9" s="91">
        <f>'20'!G65</f>
        <v>102</v>
      </c>
      <c r="X9" s="91">
        <f>'21'!G65</f>
        <v>109</v>
      </c>
      <c r="Y9" s="91">
        <f>'22'!G65</f>
        <v>112</v>
      </c>
      <c r="Z9" s="91">
        <f>'23'!G65</f>
        <v>111</v>
      </c>
      <c r="AA9" s="91">
        <f>'24'!G65</f>
        <v>93</v>
      </c>
      <c r="AB9" s="91">
        <f>'25'!G65</f>
        <v>157</v>
      </c>
      <c r="AC9" s="91">
        <f>'26'!G65</f>
        <v>120</v>
      </c>
      <c r="AD9" s="91">
        <f>'27'!G65</f>
        <v>100</v>
      </c>
      <c r="AE9" s="91">
        <f>'28'!G65</f>
        <v>112</v>
      </c>
      <c r="AF9" s="91">
        <f>'29'!G65</f>
        <v>112</v>
      </c>
      <c r="AG9" s="91">
        <f>'30'!G65</f>
        <v>-3167</v>
      </c>
      <c r="AH9" s="91">
        <f>'31'!G65</f>
        <v>112</v>
      </c>
      <c r="AI9" s="90"/>
    </row>
    <row r="10" spans="2:35">
      <c r="B10" s="685"/>
      <c r="C10" s="90" t="s">
        <v>32</v>
      </c>
      <c r="D10" s="91">
        <f>'1'!G66</f>
        <v>23</v>
      </c>
      <c r="E10" s="91">
        <f>'2'!G66</f>
        <v>18</v>
      </c>
      <c r="F10" s="91">
        <f>'3'!G66</f>
        <v>17</v>
      </c>
      <c r="G10" s="91">
        <f>'4'!G66</f>
        <v>17</v>
      </c>
      <c r="H10" s="91">
        <f>'5'!G66</f>
        <v>13</v>
      </c>
      <c r="I10" s="91">
        <f>'6'!G66</f>
        <v>32</v>
      </c>
      <c r="J10" s="91">
        <f>'7'!G66</f>
        <v>31</v>
      </c>
      <c r="K10" s="91">
        <f>'8'!G66</f>
        <v>27</v>
      </c>
      <c r="L10" s="91">
        <f>'9'!G66</f>
        <v>25</v>
      </c>
      <c r="M10" s="91">
        <f>'10'!G66</f>
        <v>20</v>
      </c>
      <c r="N10" s="91">
        <f>'11'!G66</f>
        <v>17</v>
      </c>
      <c r="O10" s="91">
        <f>'12'!G66</f>
        <v>21</v>
      </c>
      <c r="P10" s="91">
        <f>'13'!G66</f>
        <v>20</v>
      </c>
      <c r="Q10" s="91">
        <f>'14'!G66</f>
        <v>26</v>
      </c>
      <c r="R10" s="91">
        <f>'15'!G66</f>
        <v>21</v>
      </c>
      <c r="S10" s="91">
        <f>'16'!G66</f>
        <v>20</v>
      </c>
      <c r="T10" s="91">
        <f>'17'!G66</f>
        <v>23</v>
      </c>
      <c r="U10" s="91">
        <f>'18 '!G66</f>
        <v>43</v>
      </c>
      <c r="V10" s="91">
        <f>'19'!G66</f>
        <v>23</v>
      </c>
      <c r="W10" s="91">
        <f>'20'!G66</f>
        <v>15</v>
      </c>
      <c r="X10" s="91">
        <f>'21'!G66</f>
        <v>25</v>
      </c>
      <c r="Y10" s="91">
        <f>'22'!G66</f>
        <v>13</v>
      </c>
      <c r="Z10" s="91">
        <f>'23'!G66</f>
        <v>19</v>
      </c>
      <c r="AA10" s="91">
        <f>'24'!G66</f>
        <v>12</v>
      </c>
      <c r="AB10" s="91">
        <f>'25'!G66</f>
        <v>17</v>
      </c>
      <c r="AC10" s="91">
        <f>'26'!G66</f>
        <v>18</v>
      </c>
      <c r="AD10" s="91">
        <f>'27'!G66</f>
        <v>20</v>
      </c>
      <c r="AE10" s="91">
        <f>'28'!G66</f>
        <v>19</v>
      </c>
      <c r="AF10" s="91">
        <f>'29'!G66</f>
        <v>21</v>
      </c>
      <c r="AG10" s="91">
        <f>'30'!G66</f>
        <v>-640</v>
      </c>
      <c r="AH10" s="91">
        <f>'31'!G66</f>
        <v>24</v>
      </c>
      <c r="AI10" s="90"/>
    </row>
    <row r="11" spans="2:35">
      <c r="B11" s="685"/>
      <c r="C11" s="90" t="s">
        <v>33</v>
      </c>
      <c r="D11" s="91">
        <f>'1'!G67</f>
        <v>30</v>
      </c>
      <c r="E11" s="91">
        <f>'2'!G67</f>
        <v>24</v>
      </c>
      <c r="F11" s="91">
        <f>'3'!G67</f>
        <v>19</v>
      </c>
      <c r="G11" s="91">
        <f>'4'!G67</f>
        <v>17</v>
      </c>
      <c r="H11" s="91">
        <f>'5'!G67</f>
        <v>30</v>
      </c>
      <c r="I11" s="91">
        <f>'6'!G67</f>
        <v>41</v>
      </c>
      <c r="J11" s="91">
        <f>'7'!G67</f>
        <v>33</v>
      </c>
      <c r="K11" s="91">
        <f>'8'!G67</f>
        <v>29</v>
      </c>
      <c r="L11" s="91">
        <f>'9'!G67</f>
        <v>23</v>
      </c>
      <c r="M11" s="91">
        <f>'10'!G67</f>
        <v>23</v>
      </c>
      <c r="N11" s="91">
        <f>'11'!G67</f>
        <v>24</v>
      </c>
      <c r="O11" s="91">
        <f>'12'!G67</f>
        <v>29</v>
      </c>
      <c r="P11" s="91">
        <f>'13'!G67</f>
        <v>33</v>
      </c>
      <c r="Q11" s="91">
        <f>'14'!G67</f>
        <v>24</v>
      </c>
      <c r="R11" s="91">
        <f>'15'!G67</f>
        <v>20</v>
      </c>
      <c r="S11" s="91">
        <f>'16'!G67</f>
        <v>22</v>
      </c>
      <c r="T11" s="91">
        <f>'17'!G67</f>
        <v>35</v>
      </c>
      <c r="U11" s="91">
        <f>'18 '!G67</f>
        <v>25</v>
      </c>
      <c r="V11" s="91">
        <f>'19'!G67</f>
        <v>33</v>
      </c>
      <c r="W11" s="91">
        <f>'20'!G67</f>
        <v>31</v>
      </c>
      <c r="X11" s="91">
        <f>'21'!G67</f>
        <v>42</v>
      </c>
      <c r="Y11" s="91">
        <f>'22'!G67</f>
        <v>28</v>
      </c>
      <c r="Z11" s="91">
        <f>'23'!G67</f>
        <v>28</v>
      </c>
      <c r="AA11" s="91">
        <f>'24'!G67</f>
        <v>24</v>
      </c>
      <c r="AB11" s="91">
        <f>'25'!G67</f>
        <v>21</v>
      </c>
      <c r="AC11" s="91">
        <f>'26'!G67</f>
        <v>27</v>
      </c>
      <c r="AD11" s="91">
        <f>'27'!G67</f>
        <v>25</v>
      </c>
      <c r="AE11" s="91">
        <f>'28'!G67</f>
        <v>33</v>
      </c>
      <c r="AF11" s="91">
        <f>'29'!G67</f>
        <v>29</v>
      </c>
      <c r="AG11" s="91">
        <f>'30'!G67</f>
        <v>-834</v>
      </c>
      <c r="AH11" s="91">
        <f>'31'!G67</f>
        <v>32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685" t="s">
        <v>72</v>
      </c>
      <c r="C13" s="90" t="s">
        <v>31</v>
      </c>
      <c r="D13" s="91">
        <f>'1'!G68</f>
        <v>41</v>
      </c>
      <c r="E13" s="91">
        <f>'2'!G68</f>
        <v>26</v>
      </c>
      <c r="F13" s="91">
        <f>'3'!G68</f>
        <v>35</v>
      </c>
      <c r="G13" s="91">
        <f>'4'!G68</f>
        <v>40</v>
      </c>
      <c r="H13" s="91">
        <f>'5'!G68</f>
        <v>28</v>
      </c>
      <c r="I13" s="91">
        <f>'6'!G68</f>
        <v>14</v>
      </c>
      <c r="J13" s="91">
        <f>'7'!G68</f>
        <v>25</v>
      </c>
      <c r="K13" s="91">
        <f>'8'!G68</f>
        <v>30</v>
      </c>
      <c r="L13" s="91">
        <f>'9'!G68</f>
        <v>22</v>
      </c>
      <c r="M13" s="91">
        <f>'10'!G68</f>
        <v>36</v>
      </c>
      <c r="N13" s="91">
        <f>'11'!G68</f>
        <v>38</v>
      </c>
      <c r="O13" s="91">
        <f>'12'!G68</f>
        <v>47</v>
      </c>
      <c r="P13" s="91">
        <f>'13'!G68</f>
        <v>41</v>
      </c>
      <c r="Q13" s="91">
        <f>'14'!G68</f>
        <v>23</v>
      </c>
      <c r="R13" s="91">
        <f>'15'!G68</f>
        <v>28</v>
      </c>
      <c r="S13" s="91">
        <f>'16'!G68</f>
        <v>37</v>
      </c>
      <c r="T13" s="91">
        <f>'17'!G68</f>
        <v>30</v>
      </c>
      <c r="U13" s="91">
        <f>'18 '!G68</f>
        <v>37</v>
      </c>
      <c r="V13" s="91">
        <f>'19'!G68</f>
        <v>22</v>
      </c>
      <c r="W13" s="91">
        <f>'20'!G68</f>
        <v>20</v>
      </c>
      <c r="X13" s="91">
        <f>'21'!G68</f>
        <v>18</v>
      </c>
      <c r="Y13" s="91">
        <f>'22'!G68</f>
        <v>17</v>
      </c>
      <c r="Z13" s="91">
        <f>'23'!G68</f>
        <v>44</v>
      </c>
      <c r="AA13" s="570">
        <f>'24'!G68</f>
        <v>29</v>
      </c>
      <c r="AB13" s="91">
        <f>'25'!G68</f>
        <v>33</v>
      </c>
      <c r="AC13" s="91">
        <f>'26'!G68</f>
        <v>33</v>
      </c>
      <c r="AD13" s="91">
        <f>'27'!G68</f>
        <v>29</v>
      </c>
      <c r="AE13" s="91">
        <f>'28'!G68</f>
        <v>47</v>
      </c>
      <c r="AF13" s="91">
        <f>'29'!G68</f>
        <v>32</v>
      </c>
      <c r="AG13" s="91">
        <f>'30'!G68</f>
        <v>-935</v>
      </c>
      <c r="AH13" s="91">
        <f>'31'!G68</f>
        <v>33</v>
      </c>
      <c r="AI13" s="90"/>
    </row>
    <row r="14" spans="2:35">
      <c r="B14" s="685"/>
      <c r="C14" s="90" t="s">
        <v>32</v>
      </c>
      <c r="D14" s="91">
        <f>'1'!G69</f>
        <v>9</v>
      </c>
      <c r="E14" s="91">
        <f>'2'!G69</f>
        <v>6</v>
      </c>
      <c r="F14" s="91">
        <f>'3'!G69</f>
        <v>30</v>
      </c>
      <c r="G14" s="91">
        <f>'4'!G69</f>
        <v>7</v>
      </c>
      <c r="H14" s="91">
        <f>'5'!G69</f>
        <v>9</v>
      </c>
      <c r="I14" s="91">
        <f>'6'!G69</f>
        <v>22</v>
      </c>
      <c r="J14" s="91">
        <f>'7'!G69</f>
        <v>17</v>
      </c>
      <c r="K14" s="91">
        <f>'8'!G69</f>
        <v>12</v>
      </c>
      <c r="L14" s="91">
        <f>'9'!G69</f>
        <v>8</v>
      </c>
      <c r="M14" s="91">
        <f>'10'!G69</f>
        <v>11</v>
      </c>
      <c r="N14" s="91">
        <f>'11'!G69</f>
        <v>9</v>
      </c>
      <c r="O14" s="91">
        <f>'12'!G69</f>
        <v>12</v>
      </c>
      <c r="P14" s="91">
        <f>'13'!G69</f>
        <v>19</v>
      </c>
      <c r="Q14" s="91">
        <f>'14'!G69</f>
        <v>10</v>
      </c>
      <c r="R14" s="91">
        <f>'15'!G69</f>
        <v>9</v>
      </c>
      <c r="S14" s="91">
        <f>'16'!G69</f>
        <v>19</v>
      </c>
      <c r="T14" s="91">
        <f>'17'!G69</f>
        <v>4</v>
      </c>
      <c r="U14" s="91">
        <f>'18 '!G69</f>
        <v>9</v>
      </c>
      <c r="V14" s="91">
        <f>'19'!G69</f>
        <v>12</v>
      </c>
      <c r="W14" s="91">
        <f>'20'!G69</f>
        <v>16</v>
      </c>
      <c r="X14" s="91">
        <f>'21'!G69</f>
        <v>13</v>
      </c>
      <c r="Y14" s="91">
        <f>'22'!G69</f>
        <v>14</v>
      </c>
      <c r="Z14" s="91">
        <f>'23'!G69</f>
        <v>25</v>
      </c>
      <c r="AA14" s="91">
        <f>'24'!G69</f>
        <v>10</v>
      </c>
      <c r="AB14" s="91">
        <f>'25'!G69</f>
        <v>9</v>
      </c>
      <c r="AC14" s="91">
        <f>'26'!G69</f>
        <v>14</v>
      </c>
      <c r="AD14" s="91">
        <f>'27'!G69</f>
        <v>17</v>
      </c>
      <c r="AE14" s="91">
        <f>'28'!G69</f>
        <v>11</v>
      </c>
      <c r="AF14" s="91">
        <f>'29'!G69</f>
        <v>9</v>
      </c>
      <c r="AG14" s="91">
        <f>'30'!G69</f>
        <v>-392</v>
      </c>
      <c r="AH14" s="91">
        <f>'31'!G69</f>
        <v>20</v>
      </c>
      <c r="AI14" s="90"/>
    </row>
    <row r="15" spans="2:35">
      <c r="B15" s="685"/>
      <c r="C15" s="90" t="s">
        <v>33</v>
      </c>
      <c r="D15" s="91">
        <f>'1'!G70</f>
        <v>7</v>
      </c>
      <c r="E15" s="91">
        <f>'2'!G70</f>
        <v>10</v>
      </c>
      <c r="F15" s="91">
        <f>'3'!G70</f>
        <v>15</v>
      </c>
      <c r="G15" s="91">
        <f>'4'!G70</f>
        <v>13</v>
      </c>
      <c r="H15" s="91">
        <f>'5'!G70</f>
        <v>10</v>
      </c>
      <c r="I15" s="91">
        <f>'6'!G70</f>
        <v>17</v>
      </c>
      <c r="J15" s="91">
        <f>'7'!G70</f>
        <v>11</v>
      </c>
      <c r="K15" s="91">
        <f>'8'!G70</f>
        <v>8</v>
      </c>
      <c r="L15" s="91">
        <f>'9'!G70</f>
        <v>9</v>
      </c>
      <c r="M15" s="91">
        <f>'10'!G70</f>
        <v>12</v>
      </c>
      <c r="N15" s="91">
        <f>'11'!G70</f>
        <v>11</v>
      </c>
      <c r="O15" s="91">
        <f>'12'!G70</f>
        <v>18</v>
      </c>
      <c r="P15" s="91">
        <f>'13'!G70</f>
        <v>10</v>
      </c>
      <c r="Q15" s="91">
        <f>'14'!G70</f>
        <v>9</v>
      </c>
      <c r="R15" s="91">
        <f>'15'!G70</f>
        <v>8</v>
      </c>
      <c r="S15" s="91">
        <f>'16'!G70</f>
        <v>8</v>
      </c>
      <c r="T15" s="91">
        <f>'17'!G70</f>
        <v>7</v>
      </c>
      <c r="U15" s="91">
        <f>'18 '!G70</f>
        <v>11</v>
      </c>
      <c r="V15" s="91">
        <f>'19'!G70</f>
        <v>8</v>
      </c>
      <c r="W15" s="91">
        <f>'20'!G70</f>
        <v>14</v>
      </c>
      <c r="X15" s="91">
        <f>'21'!G70</f>
        <v>21</v>
      </c>
      <c r="Y15" s="91">
        <f>'22'!G70</f>
        <v>7</v>
      </c>
      <c r="Z15" s="91">
        <f>'23'!G70</f>
        <v>8</v>
      </c>
      <c r="AA15" s="91">
        <f>'24'!G70</f>
        <v>13</v>
      </c>
      <c r="AB15" s="91">
        <f>'25'!G70</f>
        <v>16</v>
      </c>
      <c r="AC15" s="91">
        <f>'26'!G70</f>
        <v>19</v>
      </c>
      <c r="AD15" s="91">
        <f>'27'!G70</f>
        <v>7</v>
      </c>
      <c r="AE15" s="91">
        <f>'28'!G70</f>
        <v>11</v>
      </c>
      <c r="AF15" s="91">
        <f>'29'!G70</f>
        <v>9</v>
      </c>
      <c r="AG15" s="91">
        <f>'30'!G70</f>
        <v>-339</v>
      </c>
      <c r="AH15" s="91">
        <f>'31'!G70</f>
        <v>12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685" t="s">
        <v>73</v>
      </c>
      <c r="C17" s="90" t="s">
        <v>74</v>
      </c>
      <c r="D17" s="90">
        <f>'1'!G170</f>
        <v>0</v>
      </c>
      <c r="E17" s="91">
        <f>'2'!G170</f>
        <v>0</v>
      </c>
      <c r="F17" s="91">
        <f>'3'!G170</f>
        <v>0</v>
      </c>
      <c r="G17" s="91">
        <f>'4'!G170</f>
        <v>0</v>
      </c>
      <c r="H17" s="91">
        <f>'5'!G170</f>
        <v>0</v>
      </c>
      <c r="I17" s="91">
        <f>'6'!G170</f>
        <v>23</v>
      </c>
      <c r="J17" s="91">
        <f>'7'!G170</f>
        <v>0</v>
      </c>
      <c r="K17" s="91">
        <f>'8'!G170</f>
        <v>0</v>
      </c>
      <c r="L17" s="91">
        <f>'9'!G170</f>
        <v>0</v>
      </c>
      <c r="M17" s="91">
        <f>'10'!G170</f>
        <v>0</v>
      </c>
      <c r="N17" s="91">
        <f>'11'!G170</f>
        <v>0</v>
      </c>
      <c r="O17" s="91">
        <f>'12'!G170</f>
        <v>0</v>
      </c>
      <c r="P17" s="91">
        <f>'13'!G170</f>
        <v>0</v>
      </c>
      <c r="Q17" s="91">
        <f>'14'!G170</f>
        <v>0</v>
      </c>
      <c r="R17" s="91">
        <f>'15'!G170</f>
        <v>0</v>
      </c>
      <c r="S17" s="91">
        <f>'16'!G170</f>
        <v>29</v>
      </c>
      <c r="T17" s="91">
        <f>'17'!G170</f>
        <v>0</v>
      </c>
      <c r="U17" s="91">
        <f>'18 '!G170</f>
        <v>0</v>
      </c>
      <c r="V17" s="91">
        <f>'19'!G170</f>
        <v>0</v>
      </c>
      <c r="W17" s="91">
        <f>'20'!G170</f>
        <v>0</v>
      </c>
      <c r="X17" s="91">
        <f>'21'!G170</f>
        <v>0</v>
      </c>
      <c r="Y17" s="91">
        <f>'22'!G170</f>
        <v>0</v>
      </c>
      <c r="Z17" s="91">
        <f>'23'!G170</f>
        <v>0</v>
      </c>
      <c r="AA17" s="91">
        <f>'24'!G170</f>
        <v>57</v>
      </c>
      <c r="AB17" s="91">
        <f>'25'!G170</f>
        <v>0</v>
      </c>
      <c r="AC17" s="91">
        <f>'26'!G170</f>
        <v>0</v>
      </c>
      <c r="AD17" s="91">
        <f>'27'!G170</f>
        <v>0</v>
      </c>
      <c r="AE17" s="91">
        <f>'28'!G170</f>
        <v>0</v>
      </c>
      <c r="AF17" s="91">
        <f>'29'!G170</f>
        <v>0</v>
      </c>
      <c r="AG17" s="91">
        <f>'30'!G170</f>
        <v>-109</v>
      </c>
      <c r="AH17" s="91">
        <f>'31'!G170</f>
        <v>0</v>
      </c>
      <c r="AI17" s="90"/>
    </row>
    <row r="18" spans="2:35">
      <c r="B18" s="685"/>
      <c r="C18" s="90" t="s">
        <v>75</v>
      </c>
      <c r="D18" s="90">
        <f>'1'!G171</f>
        <v>16</v>
      </c>
      <c r="E18" s="91">
        <f>'2'!G171</f>
        <v>12</v>
      </c>
      <c r="F18" s="91">
        <f>'3'!G171</f>
        <v>14</v>
      </c>
      <c r="G18" s="91">
        <f>'4'!G171</f>
        <v>9</v>
      </c>
      <c r="H18" s="91">
        <f>'5'!G171</f>
        <v>8</v>
      </c>
      <c r="I18" s="91">
        <f>'6'!G171</f>
        <v>10</v>
      </c>
      <c r="J18" s="91">
        <f>'7'!G171</f>
        <v>13</v>
      </c>
      <c r="K18" s="91">
        <f>'8'!G171</f>
        <v>14</v>
      </c>
      <c r="L18" s="91">
        <f>'9'!G171</f>
        <v>21</v>
      </c>
      <c r="M18" s="91">
        <f>'10'!G171</f>
        <v>11</v>
      </c>
      <c r="N18" s="91">
        <f>'11'!G171</f>
        <v>13</v>
      </c>
      <c r="O18" s="91">
        <f>'12'!G171</f>
        <v>13</v>
      </c>
      <c r="P18" s="91">
        <f>'13'!G171</f>
        <v>18</v>
      </c>
      <c r="Q18" s="91">
        <f>'14'!G171</f>
        <v>13</v>
      </c>
      <c r="R18" s="91">
        <f>'15'!G171</f>
        <v>14</v>
      </c>
      <c r="S18" s="91">
        <f>'16'!G171</f>
        <v>10</v>
      </c>
      <c r="T18" s="91">
        <f>'17'!G171</f>
        <v>30</v>
      </c>
      <c r="U18" s="91">
        <f>'18 '!G171</f>
        <v>14</v>
      </c>
      <c r="V18" s="91">
        <f>'19'!G171</f>
        <v>16</v>
      </c>
      <c r="W18" s="91">
        <f>'20'!G171</f>
        <v>16</v>
      </c>
      <c r="X18" s="91">
        <f>'21'!G171</f>
        <v>14</v>
      </c>
      <c r="Y18" s="91">
        <f>'22'!G171</f>
        <v>14</v>
      </c>
      <c r="Z18" s="91">
        <f>'23'!G171</f>
        <v>13</v>
      </c>
      <c r="AA18" s="91">
        <f>'24'!G171</f>
        <v>16</v>
      </c>
      <c r="AB18" s="91">
        <f>'25'!G171</f>
        <v>12</v>
      </c>
      <c r="AC18" s="91">
        <f>'26'!G171</f>
        <v>12</v>
      </c>
      <c r="AD18" s="91">
        <f>'27'!G171</f>
        <v>13</v>
      </c>
      <c r="AE18" s="91">
        <f>'28'!G171</f>
        <v>14</v>
      </c>
      <c r="AF18" s="91">
        <f>'29'!G171</f>
        <v>21</v>
      </c>
      <c r="AG18" s="91">
        <f>'30'!G171</f>
        <v>-429</v>
      </c>
      <c r="AH18" s="91">
        <f>'31'!G171</f>
        <v>15</v>
      </c>
      <c r="AI18" s="90"/>
    </row>
    <row r="19" spans="2:35">
      <c r="B19" s="685"/>
      <c r="C19" s="90" t="s">
        <v>76</v>
      </c>
      <c r="D19" s="90">
        <f>'1'!G172</f>
        <v>11</v>
      </c>
      <c r="E19" s="91">
        <f>'2'!G172</f>
        <v>10</v>
      </c>
      <c r="F19" s="91">
        <f>'3'!G172</f>
        <v>8</v>
      </c>
      <c r="G19" s="91">
        <f>'4'!G172</f>
        <v>10</v>
      </c>
      <c r="H19" s="91">
        <f>'5'!G172</f>
        <v>8</v>
      </c>
      <c r="I19" s="91">
        <f>'6'!G172</f>
        <v>9</v>
      </c>
      <c r="J19" s="91">
        <f>'7'!G172</f>
        <v>13</v>
      </c>
      <c r="K19" s="91">
        <f>'8'!G172</f>
        <v>14</v>
      </c>
      <c r="L19" s="91">
        <f>'9'!G172</f>
        <v>14</v>
      </c>
      <c r="M19" s="91">
        <f>'10'!G172</f>
        <v>10</v>
      </c>
      <c r="N19" s="91">
        <f>'11'!G172</f>
        <v>14</v>
      </c>
      <c r="O19" s="91">
        <f>'12'!G172</f>
        <v>16</v>
      </c>
      <c r="P19" s="91">
        <f>'13'!G172</f>
        <v>17</v>
      </c>
      <c r="Q19" s="91">
        <f>'14'!G172</f>
        <v>11</v>
      </c>
      <c r="R19" s="91">
        <f>'15'!G172</f>
        <v>11</v>
      </c>
      <c r="S19" s="91">
        <f>'16'!G172</f>
        <v>13</v>
      </c>
      <c r="T19" s="91">
        <f>'17'!G172</f>
        <v>11</v>
      </c>
      <c r="U19" s="91">
        <f>'18 '!G172</f>
        <v>11</v>
      </c>
      <c r="V19" s="91">
        <f>'19'!G172</f>
        <v>12</v>
      </c>
      <c r="W19" s="91">
        <f>'20'!G172</f>
        <v>12</v>
      </c>
      <c r="X19" s="91">
        <f>'21'!G172</f>
        <v>9</v>
      </c>
      <c r="Y19" s="91">
        <f>'22'!G172</f>
        <v>11</v>
      </c>
      <c r="Z19" s="91">
        <f>'23'!G172</f>
        <v>11</v>
      </c>
      <c r="AA19" s="91">
        <f>'24'!G172</f>
        <v>11</v>
      </c>
      <c r="AB19" s="91">
        <f>'25'!G172</f>
        <v>12</v>
      </c>
      <c r="AC19" s="91">
        <f>'26'!G172</f>
        <v>14</v>
      </c>
      <c r="AD19" s="91">
        <f>'27'!G172</f>
        <v>15</v>
      </c>
      <c r="AE19" s="91">
        <f>'28'!G172</f>
        <v>8</v>
      </c>
      <c r="AF19" s="91">
        <f>'29'!G172</f>
        <v>13</v>
      </c>
      <c r="AG19" s="91">
        <f>'30'!G172</f>
        <v>-349</v>
      </c>
      <c r="AH19" s="91">
        <f>'31'!G172</f>
        <v>10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685" t="s">
        <v>77</v>
      </c>
      <c r="C21" s="90" t="s">
        <v>78</v>
      </c>
      <c r="D21" s="90">
        <f>'1'!G175</f>
        <v>68</v>
      </c>
      <c r="E21" s="91">
        <f>'2'!G175</f>
        <v>57</v>
      </c>
      <c r="F21" s="91">
        <f>'3'!G175</f>
        <v>60</v>
      </c>
      <c r="G21" s="91">
        <f>'4'!G175</f>
        <v>65</v>
      </c>
      <c r="H21" s="91">
        <f>'5'!G175</f>
        <v>122</v>
      </c>
      <c r="I21" s="91">
        <f>'6'!G175</f>
        <v>129</v>
      </c>
      <c r="J21" s="91">
        <f>'7'!G175</f>
        <v>89</v>
      </c>
      <c r="K21" s="91">
        <f>'8'!G175</f>
        <v>50</v>
      </c>
      <c r="L21" s="91">
        <f>'9'!G175</f>
        <v>62</v>
      </c>
      <c r="M21" s="91">
        <f>'10'!G175</f>
        <v>78</v>
      </c>
      <c r="N21" s="91">
        <f>'11'!G175</f>
        <v>63</v>
      </c>
      <c r="O21" s="91">
        <f>'12'!G175</f>
        <v>84</v>
      </c>
      <c r="P21" s="91">
        <f>'13'!G175</f>
        <v>63</v>
      </c>
      <c r="Q21" s="91">
        <f>'14'!G175</f>
        <v>111</v>
      </c>
      <c r="R21" s="91">
        <f>'15'!G175</f>
        <v>77</v>
      </c>
      <c r="S21" s="91">
        <f>'16'!G175</f>
        <v>116</v>
      </c>
      <c r="T21" s="91">
        <f>'17'!G175</f>
        <v>136</v>
      </c>
      <c r="U21" s="91">
        <f>'18 '!G175</f>
        <v>108</v>
      </c>
      <c r="V21" s="91">
        <f>'19'!G175</f>
        <v>84</v>
      </c>
      <c r="W21" s="91">
        <f>'20'!G175</f>
        <v>85</v>
      </c>
      <c r="X21" s="91">
        <f>'21'!G175</f>
        <v>107</v>
      </c>
      <c r="Y21" s="91">
        <f>'22'!G175</f>
        <v>84</v>
      </c>
      <c r="Z21" s="91">
        <f>'23'!G175</f>
        <v>139</v>
      </c>
      <c r="AA21" s="91">
        <f>'24'!G175</f>
        <v>111</v>
      </c>
      <c r="AB21" s="91">
        <f>'25'!G175</f>
        <v>111</v>
      </c>
      <c r="AC21" s="91">
        <f>'26'!G175</f>
        <v>108</v>
      </c>
      <c r="AD21" s="91">
        <f>'27'!G175</f>
        <v>109</v>
      </c>
      <c r="AE21" s="91">
        <f>'28'!G175</f>
        <v>104</v>
      </c>
      <c r="AF21" s="91">
        <f>'29'!G175</f>
        <v>97</v>
      </c>
      <c r="AG21" s="91">
        <f>'30'!G175</f>
        <v>-2791</v>
      </c>
      <c r="AH21" s="91">
        <f>'31'!G175</f>
        <v>114</v>
      </c>
      <c r="AI21" s="90"/>
    </row>
    <row r="22" spans="2:35">
      <c r="B22" s="685"/>
      <c r="C22" s="90" t="s">
        <v>79</v>
      </c>
      <c r="D22" s="90">
        <f>'1'!G176</f>
        <v>0</v>
      </c>
      <c r="E22" s="91">
        <f>'2'!G176</f>
        <v>0</v>
      </c>
      <c r="F22" s="91">
        <f>'3'!G176</f>
        <v>0</v>
      </c>
      <c r="G22" s="91">
        <f>'4'!G176</f>
        <v>0</v>
      </c>
      <c r="H22" s="91">
        <f>'5'!G176</f>
        <v>0</v>
      </c>
      <c r="I22" s="91">
        <f>'6'!G176</f>
        <v>0</v>
      </c>
      <c r="J22" s="91">
        <f>'7'!G176</f>
        <v>0</v>
      </c>
      <c r="K22" s="91">
        <f>'8'!G176</f>
        <v>0</v>
      </c>
      <c r="L22" s="91">
        <f>'9'!G176</f>
        <v>0</v>
      </c>
      <c r="M22" s="91">
        <f>'10'!G176</f>
        <v>0</v>
      </c>
      <c r="N22" s="91">
        <f>'11'!G176</f>
        <v>0</v>
      </c>
      <c r="O22" s="91">
        <f>'12'!G176</f>
        <v>0</v>
      </c>
      <c r="P22" s="91">
        <f>'13'!G176</f>
        <v>0</v>
      </c>
      <c r="Q22" s="91">
        <f>'14'!G176</f>
        <v>0</v>
      </c>
      <c r="R22" s="91">
        <f>'15'!G176</f>
        <v>0</v>
      </c>
      <c r="S22" s="91">
        <f>'16'!G176</f>
        <v>0</v>
      </c>
      <c r="T22" s="91">
        <f>'17'!G176</f>
        <v>0</v>
      </c>
      <c r="U22" s="91">
        <f>'18 '!G176</f>
        <v>0</v>
      </c>
      <c r="V22" s="91">
        <f>'19'!G176</f>
        <v>0</v>
      </c>
      <c r="W22" s="91">
        <f>'20'!G176</f>
        <v>0</v>
      </c>
      <c r="X22" s="91">
        <f>'21'!G176</f>
        <v>0</v>
      </c>
      <c r="Y22" s="91">
        <f>'22'!G176</f>
        <v>0</v>
      </c>
      <c r="Z22" s="91">
        <f>'23'!G176</f>
        <v>0</v>
      </c>
      <c r="AA22" s="91">
        <f>'24'!G176</f>
        <v>0</v>
      </c>
      <c r="AB22" s="91">
        <f>'25'!G176</f>
        <v>0</v>
      </c>
      <c r="AC22" s="91">
        <f>'26'!G176</f>
        <v>0</v>
      </c>
      <c r="AD22" s="91">
        <f>'27'!G176</f>
        <v>0</v>
      </c>
      <c r="AE22" s="91">
        <f>'28'!G176</f>
        <v>0</v>
      </c>
      <c r="AF22" s="91">
        <f>'29'!G176</f>
        <v>0</v>
      </c>
      <c r="AG22" s="91">
        <f>'30'!G176</f>
        <v>0</v>
      </c>
      <c r="AH22" s="91">
        <f>'31'!G176</f>
        <v>0</v>
      </c>
      <c r="AI22" s="90"/>
    </row>
    <row r="23" spans="2:35">
      <c r="B23" s="685"/>
      <c r="C23" s="90" t="s">
        <v>80</v>
      </c>
      <c r="D23" s="90">
        <f>'1'!G177</f>
        <v>0</v>
      </c>
      <c r="E23" s="91">
        <f>'2'!G177</f>
        <v>19</v>
      </c>
      <c r="F23" s="91">
        <f>'3'!G177</f>
        <v>14</v>
      </c>
      <c r="G23" s="91">
        <f>'4'!G177</f>
        <v>1</v>
      </c>
      <c r="H23" s="91">
        <f>'5'!G177</f>
        <v>2</v>
      </c>
      <c r="I23" s="91">
        <f>'6'!G177</f>
        <v>15</v>
      </c>
      <c r="J23" s="91">
        <f>'7'!G177</f>
        <v>2</v>
      </c>
      <c r="K23" s="91">
        <f>'8'!G177</f>
        <v>11</v>
      </c>
      <c r="L23" s="91">
        <f>'9'!G177</f>
        <v>1</v>
      </c>
      <c r="M23" s="91">
        <f>'10'!G177</f>
        <v>14</v>
      </c>
      <c r="N23" s="91">
        <f>'11'!G177</f>
        <v>10</v>
      </c>
      <c r="O23" s="91">
        <f>'12'!G177</f>
        <v>0</v>
      </c>
      <c r="P23" s="91">
        <f>'13'!G177</f>
        <v>24</v>
      </c>
      <c r="Q23" s="91">
        <f>'14'!G177</f>
        <v>4</v>
      </c>
      <c r="R23" s="91">
        <f>'15'!G177</f>
        <v>9</v>
      </c>
      <c r="S23" s="91">
        <f>'16'!G177</f>
        <v>2768</v>
      </c>
      <c r="T23" s="91">
        <f>'17'!G177</f>
        <v>0</v>
      </c>
      <c r="U23" s="91">
        <f>'18 '!G177</f>
        <v>0</v>
      </c>
      <c r="V23" s="91">
        <f>'19'!G177</f>
        <v>0</v>
      </c>
      <c r="W23" s="91">
        <f>'20'!G177</f>
        <v>15</v>
      </c>
      <c r="X23" s="91">
        <f>'21'!G177</f>
        <v>3</v>
      </c>
      <c r="Y23" s="91">
        <f>'22'!G177</f>
        <v>5</v>
      </c>
      <c r="Z23" s="91">
        <f>'23'!G177</f>
        <v>7</v>
      </c>
      <c r="AA23" s="91">
        <f>'24'!G177</f>
        <v>14</v>
      </c>
      <c r="AB23" s="91">
        <f>'25'!G177</f>
        <v>0</v>
      </c>
      <c r="AC23" s="91">
        <f>'26'!G177</f>
        <v>7</v>
      </c>
      <c r="AD23" s="91">
        <f>'27'!G177</f>
        <v>19</v>
      </c>
      <c r="AE23" s="91">
        <f>'28'!G177</f>
        <v>1</v>
      </c>
      <c r="AF23" s="91">
        <f>'29'!G177</f>
        <v>14</v>
      </c>
      <c r="AG23" s="91">
        <f>'30'!G177</f>
        <v>-228</v>
      </c>
      <c r="AH23" s="91">
        <f>'31'!G177</f>
        <v>1</v>
      </c>
      <c r="AI23" s="90"/>
    </row>
    <row r="24" spans="2:35" ht="30">
      <c r="B24" s="93" t="s">
        <v>301</v>
      </c>
      <c r="C24" s="90"/>
      <c r="D24" s="91">
        <f>SUM(D5:D6)</f>
        <v>237</v>
      </c>
      <c r="E24" s="91">
        <f t="shared" ref="E24:AH24" si="0">SUM(E5:E6)</f>
        <v>270</v>
      </c>
      <c r="F24" s="91">
        <f t="shared" si="0"/>
        <v>279</v>
      </c>
      <c r="G24" s="91">
        <f t="shared" si="0"/>
        <v>239</v>
      </c>
      <c r="H24" s="91">
        <f t="shared" si="0"/>
        <v>159</v>
      </c>
      <c r="I24" s="91">
        <f t="shared" si="0"/>
        <v>291</v>
      </c>
      <c r="J24" s="91">
        <f t="shared" si="0"/>
        <v>259</v>
      </c>
      <c r="K24" s="91">
        <f t="shared" si="0"/>
        <v>258</v>
      </c>
      <c r="L24" s="91">
        <f t="shared" si="0"/>
        <v>253</v>
      </c>
      <c r="M24" s="91">
        <f t="shared" si="0"/>
        <v>225</v>
      </c>
      <c r="N24" s="91">
        <f t="shared" si="0"/>
        <v>233</v>
      </c>
      <c r="O24" s="91">
        <f t="shared" si="0"/>
        <v>278</v>
      </c>
      <c r="P24" s="91">
        <f t="shared" si="0"/>
        <v>256</v>
      </c>
      <c r="Q24" s="91">
        <f t="shared" si="0"/>
        <v>293</v>
      </c>
      <c r="R24" s="91">
        <f t="shared" si="0"/>
        <v>236</v>
      </c>
      <c r="S24" s="91">
        <f t="shared" si="0"/>
        <v>251</v>
      </c>
      <c r="T24" s="91">
        <f t="shared" si="0"/>
        <v>255</v>
      </c>
      <c r="U24" s="91">
        <f t="shared" si="0"/>
        <v>337</v>
      </c>
      <c r="V24" s="91">
        <f t="shared" si="0"/>
        <v>325</v>
      </c>
      <c r="W24" s="91">
        <f t="shared" si="0"/>
        <v>271</v>
      </c>
      <c r="X24" s="91">
        <f t="shared" si="0"/>
        <v>276</v>
      </c>
      <c r="Y24" s="91">
        <f t="shared" si="0"/>
        <v>260</v>
      </c>
      <c r="Z24" s="91">
        <f t="shared" si="0"/>
        <v>233</v>
      </c>
      <c r="AA24" s="91">
        <f>SUM(AA5:AA6)</f>
        <v>235</v>
      </c>
      <c r="AB24" s="91">
        <f t="shared" si="0"/>
        <v>295</v>
      </c>
      <c r="AC24" s="91">
        <f t="shared" si="0"/>
        <v>291</v>
      </c>
      <c r="AD24" s="91">
        <f t="shared" si="0"/>
        <v>272</v>
      </c>
      <c r="AE24" s="91">
        <f t="shared" si="0"/>
        <v>294</v>
      </c>
      <c r="AF24" s="91">
        <f t="shared" si="0"/>
        <v>265</v>
      </c>
      <c r="AG24" s="91">
        <f t="shared" si="0"/>
        <v>-1505</v>
      </c>
      <c r="AH24" s="91">
        <f t="shared" si="0"/>
        <v>269</v>
      </c>
      <c r="AI24" s="90"/>
    </row>
    <row r="25" spans="2:35" ht="30">
      <c r="B25" s="93" t="s">
        <v>81</v>
      </c>
      <c r="C25" s="90"/>
      <c r="D25" s="91">
        <f>SUM(D9:D11,D14:D15,)</f>
        <v>166</v>
      </c>
      <c r="E25" s="91">
        <f t="shared" ref="E25:AI25" si="1">SUM(E9:E11,E14:E15,)</f>
        <v>167</v>
      </c>
      <c r="F25" s="91">
        <f t="shared" si="1"/>
        <v>202</v>
      </c>
      <c r="G25" s="91">
        <f t="shared" si="1"/>
        <v>139</v>
      </c>
      <c r="H25" s="91">
        <f t="shared" si="1"/>
        <v>134</v>
      </c>
      <c r="I25" s="91">
        <f t="shared" si="1"/>
        <v>222</v>
      </c>
      <c r="J25" s="91">
        <f t="shared" si="1"/>
        <v>182</v>
      </c>
      <c r="K25" s="91">
        <f>SUM(K9:K11,K14:K15,)</f>
        <v>172</v>
      </c>
      <c r="L25" s="91">
        <f t="shared" si="1"/>
        <v>171</v>
      </c>
      <c r="M25" s="91">
        <f t="shared" si="1"/>
        <v>161</v>
      </c>
      <c r="N25" s="91">
        <f t="shared" si="1"/>
        <v>156</v>
      </c>
      <c r="O25" s="91">
        <f t="shared" si="1"/>
        <v>192</v>
      </c>
      <c r="P25" s="91">
        <f t="shared" si="1"/>
        <v>192</v>
      </c>
      <c r="Q25" s="91">
        <f t="shared" si="1"/>
        <v>170</v>
      </c>
      <c r="R25" s="91">
        <f t="shared" si="1"/>
        <v>174</v>
      </c>
      <c r="S25" s="91">
        <f t="shared" si="1"/>
        <v>171</v>
      </c>
      <c r="T25" s="91">
        <f>SUM(T9:T11,T14:T15,)</f>
        <v>178</v>
      </c>
      <c r="U25" s="91">
        <f t="shared" si="1"/>
        <v>194</v>
      </c>
      <c r="V25" s="91">
        <f t="shared" si="1"/>
        <v>171</v>
      </c>
      <c r="W25" s="91">
        <f t="shared" si="1"/>
        <v>178</v>
      </c>
      <c r="X25" s="91">
        <f t="shared" si="1"/>
        <v>210</v>
      </c>
      <c r="Y25" s="91">
        <f t="shared" si="1"/>
        <v>174</v>
      </c>
      <c r="Z25" s="91">
        <f t="shared" si="1"/>
        <v>191</v>
      </c>
      <c r="AA25" s="91">
        <f t="shared" si="1"/>
        <v>152</v>
      </c>
      <c r="AB25" s="91">
        <f t="shared" si="1"/>
        <v>220</v>
      </c>
      <c r="AC25" s="91">
        <f t="shared" si="1"/>
        <v>198</v>
      </c>
      <c r="AD25" s="91">
        <f t="shared" si="1"/>
        <v>169</v>
      </c>
      <c r="AE25" s="91">
        <f t="shared" si="1"/>
        <v>186</v>
      </c>
      <c r="AF25" s="91">
        <f t="shared" si="1"/>
        <v>180</v>
      </c>
      <c r="AG25" s="91">
        <f t="shared" si="1"/>
        <v>-5372</v>
      </c>
      <c r="AH25" s="91">
        <f t="shared" si="1"/>
        <v>200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109</v>
      </c>
      <c r="E27" s="91">
        <f t="shared" ref="E27:AH27" si="2">SUM(E13,E21,E23)</f>
        <v>102</v>
      </c>
      <c r="F27" s="91">
        <f>SUM(F13,F21,F23)</f>
        <v>109</v>
      </c>
      <c r="G27" s="91">
        <f t="shared" si="2"/>
        <v>106</v>
      </c>
      <c r="H27" s="91">
        <f t="shared" si="2"/>
        <v>152</v>
      </c>
      <c r="I27" s="91">
        <f t="shared" si="2"/>
        <v>158</v>
      </c>
      <c r="J27" s="91">
        <f t="shared" si="2"/>
        <v>116</v>
      </c>
      <c r="K27" s="91">
        <f t="shared" si="2"/>
        <v>91</v>
      </c>
      <c r="L27" s="91">
        <f t="shared" si="2"/>
        <v>85</v>
      </c>
      <c r="M27" s="91">
        <f t="shared" si="2"/>
        <v>128</v>
      </c>
      <c r="N27" s="91">
        <f t="shared" si="2"/>
        <v>111</v>
      </c>
      <c r="O27" s="91">
        <f t="shared" si="2"/>
        <v>131</v>
      </c>
      <c r="P27" s="91">
        <f t="shared" si="2"/>
        <v>128</v>
      </c>
      <c r="Q27" s="91">
        <f t="shared" si="2"/>
        <v>138</v>
      </c>
      <c r="R27" s="91">
        <f t="shared" si="2"/>
        <v>114</v>
      </c>
      <c r="S27" s="91">
        <f t="shared" si="2"/>
        <v>2921</v>
      </c>
      <c r="T27" s="91">
        <f t="shared" si="2"/>
        <v>166</v>
      </c>
      <c r="U27" s="91">
        <f t="shared" si="2"/>
        <v>145</v>
      </c>
      <c r="V27" s="91">
        <f t="shared" si="2"/>
        <v>106</v>
      </c>
      <c r="W27" s="91">
        <f t="shared" si="2"/>
        <v>120</v>
      </c>
      <c r="X27" s="91">
        <f t="shared" si="2"/>
        <v>128</v>
      </c>
      <c r="Y27" s="91">
        <f t="shared" si="2"/>
        <v>106</v>
      </c>
      <c r="Z27" s="91">
        <f t="shared" si="2"/>
        <v>190</v>
      </c>
      <c r="AA27" s="91">
        <f t="shared" si="2"/>
        <v>154</v>
      </c>
      <c r="AB27" s="91">
        <f t="shared" si="2"/>
        <v>144</v>
      </c>
      <c r="AC27" s="91">
        <f t="shared" si="2"/>
        <v>148</v>
      </c>
      <c r="AD27" s="91">
        <f t="shared" si="2"/>
        <v>157</v>
      </c>
      <c r="AE27" s="91">
        <f t="shared" si="2"/>
        <v>152</v>
      </c>
      <c r="AF27" s="91">
        <f t="shared" si="2"/>
        <v>143</v>
      </c>
      <c r="AG27" s="91">
        <f t="shared" si="2"/>
        <v>-3954</v>
      </c>
      <c r="AH27" s="91">
        <f t="shared" si="2"/>
        <v>148</v>
      </c>
      <c r="AI27" s="91">
        <f t="shared" ref="AI27" si="3">SUM(AI13)</f>
        <v>0</v>
      </c>
    </row>
    <row r="28" spans="2:35">
      <c r="B28" s="248"/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49"/>
      <c r="AH28" s="249"/>
      <c r="AI28" s="249"/>
    </row>
    <row r="29" spans="2:35">
      <c r="B29" s="248" t="s">
        <v>83</v>
      </c>
      <c r="C29" s="249"/>
      <c r="D29" s="250">
        <f>D9</f>
        <v>97</v>
      </c>
      <c r="E29" s="250">
        <f t="shared" ref="E29:AH29" si="4">E9</f>
        <v>109</v>
      </c>
      <c r="F29" s="250">
        <f t="shared" si="4"/>
        <v>121</v>
      </c>
      <c r="G29" s="250">
        <f t="shared" si="4"/>
        <v>85</v>
      </c>
      <c r="H29" s="250">
        <f t="shared" si="4"/>
        <v>72</v>
      </c>
      <c r="I29" s="250">
        <f t="shared" si="4"/>
        <v>110</v>
      </c>
      <c r="J29" s="250">
        <f t="shared" si="4"/>
        <v>90</v>
      </c>
      <c r="K29" s="250">
        <f t="shared" si="4"/>
        <v>96</v>
      </c>
      <c r="L29" s="250">
        <f t="shared" si="4"/>
        <v>106</v>
      </c>
      <c r="M29" s="250">
        <f t="shared" si="4"/>
        <v>95</v>
      </c>
      <c r="N29" s="250">
        <f t="shared" si="4"/>
        <v>95</v>
      </c>
      <c r="O29" s="250">
        <f t="shared" si="4"/>
        <v>112</v>
      </c>
      <c r="P29" s="250">
        <f t="shared" si="4"/>
        <v>110</v>
      </c>
      <c r="Q29" s="250">
        <f t="shared" si="4"/>
        <v>101</v>
      </c>
      <c r="R29" s="250">
        <f t="shared" si="4"/>
        <v>116</v>
      </c>
      <c r="S29" s="250">
        <f t="shared" si="4"/>
        <v>102</v>
      </c>
      <c r="T29" s="250">
        <f t="shared" si="4"/>
        <v>109</v>
      </c>
      <c r="U29" s="250">
        <f t="shared" si="4"/>
        <v>106</v>
      </c>
      <c r="V29" s="250">
        <f t="shared" si="4"/>
        <v>95</v>
      </c>
      <c r="W29" s="250">
        <f t="shared" si="4"/>
        <v>102</v>
      </c>
      <c r="X29" s="250">
        <f t="shared" si="4"/>
        <v>109</v>
      </c>
      <c r="Y29" s="250">
        <f t="shared" si="4"/>
        <v>112</v>
      </c>
      <c r="Z29" s="250">
        <f t="shared" si="4"/>
        <v>111</v>
      </c>
      <c r="AA29" s="250">
        <f t="shared" si="4"/>
        <v>93</v>
      </c>
      <c r="AB29" s="250">
        <f t="shared" si="4"/>
        <v>157</v>
      </c>
      <c r="AC29" s="250">
        <f t="shared" si="4"/>
        <v>120</v>
      </c>
      <c r="AD29" s="250">
        <f t="shared" si="4"/>
        <v>100</v>
      </c>
      <c r="AE29" s="250">
        <f t="shared" si="4"/>
        <v>112</v>
      </c>
      <c r="AF29" s="250">
        <f t="shared" si="4"/>
        <v>112</v>
      </c>
      <c r="AG29" s="250">
        <f t="shared" si="4"/>
        <v>-3167</v>
      </c>
      <c r="AH29" s="250">
        <f t="shared" si="4"/>
        <v>112</v>
      </c>
      <c r="AI29" s="249"/>
    </row>
    <row r="30" spans="2:35">
      <c r="B30" s="248" t="s">
        <v>84</v>
      </c>
      <c r="C30" s="249"/>
      <c r="D30" s="250">
        <f>SUM(D10:D11,D14:D15)</f>
        <v>69</v>
      </c>
      <c r="E30" s="250">
        <f t="shared" ref="E30:AH30" si="5">SUM(E10:E11,E14:E15)</f>
        <v>58</v>
      </c>
      <c r="F30" s="250">
        <f t="shared" si="5"/>
        <v>81</v>
      </c>
      <c r="G30" s="250">
        <f t="shared" si="5"/>
        <v>54</v>
      </c>
      <c r="H30" s="250">
        <f t="shared" si="5"/>
        <v>62</v>
      </c>
      <c r="I30" s="250">
        <f t="shared" si="5"/>
        <v>112</v>
      </c>
      <c r="J30" s="250">
        <f t="shared" si="5"/>
        <v>92</v>
      </c>
      <c r="K30" s="250">
        <f t="shared" si="5"/>
        <v>76</v>
      </c>
      <c r="L30" s="250">
        <f t="shared" si="5"/>
        <v>65</v>
      </c>
      <c r="M30" s="250">
        <f t="shared" si="5"/>
        <v>66</v>
      </c>
      <c r="N30" s="250">
        <f t="shared" si="5"/>
        <v>61</v>
      </c>
      <c r="O30" s="250">
        <f t="shared" si="5"/>
        <v>80</v>
      </c>
      <c r="P30" s="250">
        <f t="shared" si="5"/>
        <v>82</v>
      </c>
      <c r="Q30" s="250">
        <f t="shared" si="5"/>
        <v>69</v>
      </c>
      <c r="R30" s="250">
        <f t="shared" si="5"/>
        <v>58</v>
      </c>
      <c r="S30" s="250">
        <f t="shared" si="5"/>
        <v>69</v>
      </c>
      <c r="T30" s="250">
        <f t="shared" si="5"/>
        <v>69</v>
      </c>
      <c r="U30" s="250">
        <f t="shared" si="5"/>
        <v>88</v>
      </c>
      <c r="V30" s="250">
        <f t="shared" si="5"/>
        <v>76</v>
      </c>
      <c r="W30" s="250">
        <f t="shared" si="5"/>
        <v>76</v>
      </c>
      <c r="X30" s="250">
        <f t="shared" si="5"/>
        <v>101</v>
      </c>
      <c r="Y30" s="250">
        <f t="shared" si="5"/>
        <v>62</v>
      </c>
      <c r="Z30" s="250">
        <f t="shared" si="5"/>
        <v>80</v>
      </c>
      <c r="AA30" s="250">
        <f t="shared" si="5"/>
        <v>59</v>
      </c>
      <c r="AB30" s="250">
        <f t="shared" si="5"/>
        <v>63</v>
      </c>
      <c r="AC30" s="250">
        <f t="shared" si="5"/>
        <v>78</v>
      </c>
      <c r="AD30" s="250">
        <f t="shared" si="5"/>
        <v>69</v>
      </c>
      <c r="AE30" s="250">
        <f t="shared" si="5"/>
        <v>74</v>
      </c>
      <c r="AF30" s="250">
        <f t="shared" si="5"/>
        <v>68</v>
      </c>
      <c r="AG30" s="250">
        <f t="shared" si="5"/>
        <v>-2205</v>
      </c>
      <c r="AH30" s="250">
        <f t="shared" si="5"/>
        <v>88</v>
      </c>
      <c r="AI30" s="249"/>
    </row>
    <row r="31" spans="2:35">
      <c r="B31" s="248" t="s">
        <v>85</v>
      </c>
      <c r="C31" s="249"/>
      <c r="D31" s="249">
        <f>D30/SUM(D29:D30)%</f>
        <v>41.566265060240966</v>
      </c>
      <c r="E31" s="249">
        <f t="shared" ref="E31:AH31" si="6">E30/SUM(E29:E30)%</f>
        <v>34.730538922155688</v>
      </c>
      <c r="F31" s="249">
        <f t="shared" si="6"/>
        <v>40.099009900990097</v>
      </c>
      <c r="G31" s="249">
        <f t="shared" si="6"/>
        <v>38.848920863309353</v>
      </c>
      <c r="H31" s="249">
        <f t="shared" si="6"/>
        <v>46.268656716417908</v>
      </c>
      <c r="I31" s="249">
        <f t="shared" si="6"/>
        <v>50.450450450450447</v>
      </c>
      <c r="J31" s="249">
        <f t="shared" si="6"/>
        <v>50.549450549450547</v>
      </c>
      <c r="K31" s="249">
        <f t="shared" si="6"/>
        <v>44.186046511627907</v>
      </c>
      <c r="L31" s="249">
        <f t="shared" si="6"/>
        <v>38.011695906432749</v>
      </c>
      <c r="M31" s="249">
        <f t="shared" si="6"/>
        <v>40.993788819875775</v>
      </c>
      <c r="N31" s="249">
        <f t="shared" si="6"/>
        <v>39.102564102564102</v>
      </c>
      <c r="O31" s="249">
        <f t="shared" si="6"/>
        <v>41.666666666666671</v>
      </c>
      <c r="P31" s="249">
        <f t="shared" si="6"/>
        <v>42.708333333333336</v>
      </c>
      <c r="Q31" s="249">
        <f t="shared" si="6"/>
        <v>40.588235294117645</v>
      </c>
      <c r="R31" s="249">
        <f t="shared" si="6"/>
        <v>33.333333333333336</v>
      </c>
      <c r="S31" s="249">
        <f t="shared" si="6"/>
        <v>40.350877192982459</v>
      </c>
      <c r="T31" s="249">
        <f t="shared" si="6"/>
        <v>38.764044943820224</v>
      </c>
      <c r="U31" s="249">
        <f t="shared" si="6"/>
        <v>45.360824742268044</v>
      </c>
      <c r="V31" s="249">
        <f t="shared" si="6"/>
        <v>44.444444444444443</v>
      </c>
      <c r="W31" s="249">
        <f t="shared" si="6"/>
        <v>42.696629213483142</v>
      </c>
      <c r="X31" s="249">
        <f t="shared" si="6"/>
        <v>48.095238095238095</v>
      </c>
      <c r="Y31" s="249">
        <f t="shared" si="6"/>
        <v>35.632183908045974</v>
      </c>
      <c r="Z31" s="249">
        <f t="shared" si="6"/>
        <v>41.884816753926707</v>
      </c>
      <c r="AA31" s="249">
        <f t="shared" si="6"/>
        <v>38.815789473684212</v>
      </c>
      <c r="AB31" s="249">
        <f t="shared" si="6"/>
        <v>28.636363636363633</v>
      </c>
      <c r="AC31" s="249">
        <f t="shared" si="6"/>
        <v>39.393939393939391</v>
      </c>
      <c r="AD31" s="249">
        <f t="shared" si="6"/>
        <v>40.828402366863905</v>
      </c>
      <c r="AE31" s="249">
        <f t="shared" si="6"/>
        <v>39.784946236559136</v>
      </c>
      <c r="AF31" s="249">
        <f t="shared" si="6"/>
        <v>37.777777777777779</v>
      </c>
      <c r="AG31" s="249">
        <f t="shared" si="6"/>
        <v>41.046165301563661</v>
      </c>
      <c r="AH31" s="249">
        <f t="shared" si="6"/>
        <v>44</v>
      </c>
      <c r="AI31" s="249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F37" sqref="F37"/>
    </sheetView>
  </sheetViews>
  <sheetFormatPr defaultRowHeight="15"/>
  <cols>
    <col min="1" max="5" width="8.88671875" style="321"/>
    <col min="6" max="6" width="8.109375" style="337" bestFit="1" customWidth="1"/>
    <col min="7" max="7" width="6.44140625" style="337" customWidth="1"/>
    <col min="8" max="8" width="7.5546875" style="337" bestFit="1" customWidth="1"/>
    <col min="9" max="9" width="7.77734375" style="337" bestFit="1" customWidth="1"/>
    <col min="10" max="10" width="8.109375" style="337" bestFit="1" customWidth="1"/>
    <col min="11" max="11" width="8.21875" style="337" bestFit="1" customWidth="1"/>
    <col min="12" max="13" width="7.109375" style="337" customWidth="1"/>
    <col min="14" max="32" width="7.33203125" style="321" customWidth="1"/>
    <col min="33" max="51" width="7" style="321" customWidth="1"/>
    <col min="52" max="53" width="8.88671875" style="321"/>
    <col min="54" max="54" width="11.21875" style="321" bestFit="1" customWidth="1"/>
    <col min="55" max="55" width="9.109375" style="321" bestFit="1" customWidth="1"/>
    <col min="56" max="16384" width="8.88671875" style="321"/>
  </cols>
  <sheetData>
    <row r="1" spans="1:55" ht="15.75" thickBot="1">
      <c r="F1" s="321"/>
      <c r="G1" s="321"/>
      <c r="H1" s="321"/>
      <c r="I1" s="321"/>
      <c r="J1" s="321"/>
      <c r="K1" s="321"/>
      <c r="L1" s="321"/>
      <c r="M1" s="321"/>
    </row>
    <row r="2" spans="1:55">
      <c r="F2" s="689" t="s">
        <v>308</v>
      </c>
      <c r="G2" s="690"/>
      <c r="H2" s="690"/>
      <c r="I2" s="690"/>
      <c r="J2" s="690"/>
      <c r="K2" s="690"/>
      <c r="L2" s="690"/>
      <c r="M2" s="691"/>
      <c r="N2" s="688" t="s">
        <v>86</v>
      </c>
      <c r="O2" s="688"/>
      <c r="P2" s="688"/>
      <c r="Q2" s="688"/>
      <c r="R2" s="688"/>
      <c r="S2" s="688"/>
      <c r="T2" s="688"/>
      <c r="U2" s="688"/>
      <c r="V2" s="688"/>
      <c r="W2" s="688"/>
      <c r="X2" s="688"/>
      <c r="Y2" s="688"/>
      <c r="Z2" s="688"/>
      <c r="AA2" s="688"/>
      <c r="AB2" s="688"/>
      <c r="AC2" s="688"/>
      <c r="AD2" s="688"/>
      <c r="AE2" s="688"/>
      <c r="AF2" s="688"/>
      <c r="AG2" s="688"/>
      <c r="AH2" s="688"/>
      <c r="AI2" s="688"/>
      <c r="AJ2" s="688"/>
      <c r="AK2" s="688"/>
      <c r="AL2" s="688"/>
      <c r="AM2" s="688"/>
      <c r="AN2" s="687"/>
      <c r="AO2" s="687"/>
      <c r="AP2" s="687"/>
      <c r="AQ2" s="687"/>
      <c r="AR2" s="687"/>
      <c r="AS2" s="687"/>
      <c r="AT2" s="687"/>
      <c r="AU2" s="322"/>
      <c r="AV2" s="686" t="s">
        <v>87</v>
      </c>
      <c r="AW2" s="686"/>
      <c r="AX2" s="686"/>
      <c r="AY2" s="686"/>
      <c r="BB2" s="336" t="s">
        <v>334</v>
      </c>
      <c r="BC2" s="336" t="s">
        <v>335</v>
      </c>
    </row>
    <row r="3" spans="1:55">
      <c r="F3" s="323"/>
      <c r="G3" s="324"/>
      <c r="H3" s="324"/>
      <c r="I3" s="324"/>
      <c r="J3" s="324"/>
      <c r="K3" s="324"/>
      <c r="L3" s="324"/>
      <c r="M3" s="325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6"/>
      <c r="AN3" s="692" t="s">
        <v>138</v>
      </c>
      <c r="AO3" s="692"/>
      <c r="AP3" s="692"/>
      <c r="AQ3" s="692"/>
      <c r="AR3" s="692"/>
      <c r="AS3" s="692"/>
      <c r="AT3" s="692"/>
      <c r="AU3" s="693" t="s">
        <v>283</v>
      </c>
      <c r="AV3" s="693"/>
      <c r="AW3" s="693"/>
      <c r="AX3" s="693"/>
      <c r="AY3" s="693"/>
      <c r="BB3" s="336"/>
      <c r="BC3" s="336"/>
    </row>
    <row r="4" spans="1:55" ht="39.75" customHeight="1">
      <c r="A4" s="253" t="s">
        <v>0</v>
      </c>
      <c r="B4" s="310" t="s">
        <v>304</v>
      </c>
      <c r="C4" s="310" t="s">
        <v>305</v>
      </c>
      <c r="D4" s="310" t="s">
        <v>307</v>
      </c>
      <c r="E4" s="310" t="s">
        <v>306</v>
      </c>
      <c r="F4" s="295" t="s">
        <v>284</v>
      </c>
      <c r="G4" s="296" t="s">
        <v>285</v>
      </c>
      <c r="H4" s="296" t="s">
        <v>286</v>
      </c>
      <c r="I4" s="296" t="s">
        <v>287</v>
      </c>
      <c r="J4" s="296" t="s">
        <v>282</v>
      </c>
      <c r="K4" s="296" t="s">
        <v>51</v>
      </c>
      <c r="L4" s="297" t="s">
        <v>60</v>
      </c>
      <c r="M4" s="297" t="s">
        <v>53</v>
      </c>
      <c r="N4" s="253" t="s">
        <v>88</v>
      </c>
      <c r="O4" s="253" t="s">
        <v>89</v>
      </c>
      <c r="P4" s="253" t="s">
        <v>104</v>
      </c>
      <c r="Q4" s="253" t="s">
        <v>288</v>
      </c>
      <c r="R4" s="253" t="s">
        <v>289</v>
      </c>
      <c r="S4" s="253" t="s">
        <v>290</v>
      </c>
      <c r="T4" s="253" t="s">
        <v>291</v>
      </c>
      <c r="U4" s="253" t="s">
        <v>90</v>
      </c>
      <c r="V4" s="253" t="s">
        <v>292</v>
      </c>
      <c r="W4" s="253" t="s">
        <v>293</v>
      </c>
      <c r="X4" s="253" t="s">
        <v>278</v>
      </c>
      <c r="Y4" s="253" t="s">
        <v>75</v>
      </c>
      <c r="Z4" s="253" t="s">
        <v>294</v>
      </c>
      <c r="AA4" s="254" t="s">
        <v>295</v>
      </c>
      <c r="AB4" s="254" t="s">
        <v>100</v>
      </c>
      <c r="AC4" s="254" t="s">
        <v>94</v>
      </c>
      <c r="AD4" s="254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3" t="s">
        <v>195</v>
      </c>
      <c r="AN4" s="253" t="s">
        <v>297</v>
      </c>
      <c r="AO4" s="253" t="s">
        <v>103</v>
      </c>
      <c r="AP4" s="253" t="s">
        <v>104</v>
      </c>
      <c r="AQ4" s="253" t="s">
        <v>105</v>
      </c>
      <c r="AR4" s="253" t="s">
        <v>106</v>
      </c>
      <c r="AS4" s="253" t="s">
        <v>107</v>
      </c>
      <c r="AT4" s="253" t="s">
        <v>298</v>
      </c>
      <c r="AU4" s="253" t="s">
        <v>103</v>
      </c>
      <c r="AV4" s="253" t="s">
        <v>39</v>
      </c>
      <c r="AW4" s="253" t="s">
        <v>40</v>
      </c>
      <c r="AX4" s="253" t="s">
        <v>276</v>
      </c>
      <c r="AY4" s="253" t="s">
        <v>108</v>
      </c>
      <c r="BB4" s="336"/>
      <c r="BC4" s="336"/>
    </row>
    <row r="5" spans="1:55">
      <c r="A5" s="379">
        <v>1</v>
      </c>
      <c r="B5" s="55">
        <f>'1'!G7</f>
        <v>21371.489999999991</v>
      </c>
      <c r="C5" s="55">
        <f>'1'!G8</f>
        <v>21808.969999999972</v>
      </c>
      <c r="D5" s="55">
        <f>'1'!G15</f>
        <v>1029.0300000000279</v>
      </c>
      <c r="E5" s="55">
        <f>'1'!G20</f>
        <v>237</v>
      </c>
      <c r="F5" s="55">
        <f>SUM('1'!G35,'1'!G49)</f>
        <v>3192.9599999999991</v>
      </c>
      <c r="G5" s="55">
        <f>SUM('1'!H37,'1'!H51)</f>
        <v>1604.9599999999919</v>
      </c>
      <c r="H5" s="55">
        <f>SUM('1'!G38,'1'!G52)</f>
        <v>1846.1399999999994</v>
      </c>
      <c r="I5" s="55">
        <f>SUM('1'!G39,'1'!G53)</f>
        <v>2900.0400000000081</v>
      </c>
      <c r="J5" s="55">
        <f>SUM('1'!G41,'1'!G42,'1'!G55,'1'!G56)</f>
        <v>5549.160000000018</v>
      </c>
      <c r="K5" s="55">
        <f>SUM('1'!G43,'1'!G57)</f>
        <v>2600.9000000001397</v>
      </c>
      <c r="L5" s="255">
        <f>'1'!G50</f>
        <v>1026.9599999999627</v>
      </c>
      <c r="M5" s="255">
        <f>'1'!G36</f>
        <v>683.27999999999884</v>
      </c>
      <c r="N5" s="255">
        <f>'1'!G138</f>
        <v>59</v>
      </c>
      <c r="O5" s="255">
        <f>'1'!G139</f>
        <v>0</v>
      </c>
      <c r="P5" s="255">
        <f>'1'!G140</f>
        <v>0</v>
      </c>
      <c r="Q5" s="255">
        <f>'1'!G141</f>
        <v>193.4800000000032</v>
      </c>
      <c r="R5" s="255">
        <f>'1'!G142</f>
        <v>15.680000000000291</v>
      </c>
      <c r="S5" s="255">
        <f>'1'!$G$145</f>
        <v>33.25</v>
      </c>
      <c r="T5" s="255">
        <f>'1'!$G$146</f>
        <v>352</v>
      </c>
      <c r="U5" s="255">
        <f>'1'!$G$144</f>
        <v>223</v>
      </c>
      <c r="V5" s="255">
        <f>'1'!$G$147</f>
        <v>388.64000000001397</v>
      </c>
      <c r="W5" s="255">
        <f>'1'!$G$148</f>
        <v>211.52000000001863</v>
      </c>
      <c r="X5" s="255">
        <f>'1'!$G$143</f>
        <v>23.720000000000027</v>
      </c>
      <c r="Y5" s="255">
        <f>'1'!$G$58</f>
        <v>205.38000000000466</v>
      </c>
      <c r="Z5" s="255">
        <f>'1'!$G$151</f>
        <v>255</v>
      </c>
      <c r="AA5" s="255">
        <f>'1'!G158</f>
        <v>76.200000000011642</v>
      </c>
      <c r="AB5" s="255">
        <f>'1'!G159</f>
        <v>30.19999999999709</v>
      </c>
      <c r="AC5" s="255"/>
      <c r="AD5" s="255">
        <f>'1'!G160+'1'!G161</f>
        <v>86.400000000002819</v>
      </c>
      <c r="AE5" s="255">
        <f>'1'!$G$116</f>
        <v>0</v>
      </c>
      <c r="AF5" s="255">
        <f>'1'!$G$117</f>
        <v>79.009999999999991</v>
      </c>
      <c r="AG5" s="255">
        <f>'1'!$G$118</f>
        <v>353.16000000000349</v>
      </c>
      <c r="AH5" s="255">
        <f>'1'!$G$119</f>
        <v>441.80000000001746</v>
      </c>
      <c r="AI5" s="255">
        <f>'1'!$G$120</f>
        <v>451.44999999999982</v>
      </c>
      <c r="AJ5" s="255">
        <f>'1'!$G$121</f>
        <v>689.65999999997439</v>
      </c>
      <c r="AK5" s="255">
        <f>'1'!$G$122</f>
        <v>318.90999999998894</v>
      </c>
      <c r="AL5" s="255">
        <f>'1'!$G$123</f>
        <v>294.02000000000407</v>
      </c>
      <c r="AM5" s="255">
        <f>'1'!$G$133</f>
        <v>604.29000000000087</v>
      </c>
      <c r="AN5" s="255">
        <f>'1'!$G$15</f>
        <v>1029.0300000000279</v>
      </c>
      <c r="AO5" s="255">
        <f>'1'!$G$74</f>
        <v>294.14899999997579</v>
      </c>
      <c r="AP5" s="255">
        <f>'1'!$G$75</f>
        <v>0</v>
      </c>
      <c r="AQ5" s="255">
        <f>'1'!$G$76</f>
        <v>94.869999999995343</v>
      </c>
      <c r="AR5" s="255">
        <f>'1'!$G$77</f>
        <v>35.400000000001455</v>
      </c>
      <c r="AS5" s="255">
        <f>'1'!$G$78</f>
        <v>2</v>
      </c>
      <c r="AT5" s="255">
        <f>AN5-SUM(AO5:AS5)</f>
        <v>602.61100000005536</v>
      </c>
      <c r="AU5" s="255">
        <f>SUM('1'!G91:G92)</f>
        <v>10.3100000000004</v>
      </c>
      <c r="AV5" s="255">
        <f>'1'!$G$88</f>
        <v>9.6599999999998545</v>
      </c>
      <c r="AW5" s="255">
        <f>'1'!$G$89</f>
        <v>0</v>
      </c>
      <c r="AX5" s="255">
        <f>'1'!$G$90</f>
        <v>5.7799999999988358</v>
      </c>
      <c r="AY5" s="253">
        <f>SUM(AV5:AX5)</f>
        <v>15.43999999999869</v>
      </c>
      <c r="AZ5" s="321">
        <f>AO5/AU5</f>
        <v>28.530455868085777</v>
      </c>
      <c r="BB5" s="371">
        <f>C5-SUM(F5:K5,Y5)</f>
        <v>3909.4299999998111</v>
      </c>
      <c r="BC5" s="371">
        <f>BB5/B5%</f>
        <v>18.292734853769264</v>
      </c>
    </row>
    <row r="6" spans="1:55">
      <c r="A6" s="379">
        <v>2</v>
      </c>
      <c r="B6" s="55">
        <f>'2'!G7</f>
        <v>22482.880000000005</v>
      </c>
      <c r="C6" s="55">
        <f>'2'!G8</f>
        <v>22954.079999999958</v>
      </c>
      <c r="D6" s="55">
        <f>'2'!G15</f>
        <v>946.85000000009313</v>
      </c>
      <c r="E6" s="55">
        <f>'2'!G20</f>
        <v>270</v>
      </c>
      <c r="F6" s="55">
        <f>SUM('2'!G35,'2'!G49)</f>
        <v>3505.3699999999953</v>
      </c>
      <c r="G6" s="55">
        <f>SUM('2'!G37,'2'!G51)</f>
        <v>1550.5200000000041</v>
      </c>
      <c r="H6" s="55">
        <f>SUM('2'!G38,'2'!G52)</f>
        <v>1770.9900000000052</v>
      </c>
      <c r="I6" s="55">
        <f>SUM('2'!G39,'2'!G53)</f>
        <v>2945.3999999999942</v>
      </c>
      <c r="J6" s="55">
        <f>SUM('2'!G41,'2'!G42,'2'!G55,'2'!G56)</f>
        <v>6250.2900000000081</v>
      </c>
      <c r="K6" s="55">
        <f>SUM('2'!G43,'2'!G57)</f>
        <v>2747.8000000000466</v>
      </c>
      <c r="L6" s="255">
        <f>'2'!G50</f>
        <v>1026.4799999999814</v>
      </c>
      <c r="M6" s="255">
        <f>'2'!G36</f>
        <v>757.12000000000262</v>
      </c>
      <c r="N6" s="255">
        <f>'2'!G138</f>
        <v>62</v>
      </c>
      <c r="O6" s="255">
        <f>'2'!$G$139</f>
        <v>1</v>
      </c>
      <c r="P6" s="255">
        <f>'2'!$G$140</f>
        <v>0</v>
      </c>
      <c r="Q6" s="255">
        <f>'2'!$G$141</f>
        <v>169.47000000000116</v>
      </c>
      <c r="R6" s="255">
        <f>'2'!$G$142</f>
        <v>16.950000000000728</v>
      </c>
      <c r="S6" s="255">
        <f>'2'!$G$145</f>
        <v>35.570000000000164</v>
      </c>
      <c r="T6" s="255">
        <f>'2'!$G$146</f>
        <v>412</v>
      </c>
      <c r="U6" s="255">
        <f>'2'!$G$144</f>
        <v>224</v>
      </c>
      <c r="V6" s="255">
        <f>'2'!$G$147</f>
        <v>397.35999999998603</v>
      </c>
      <c r="W6" s="252">
        <f>'2'!$G$148</f>
        <v>222.40000000002328</v>
      </c>
      <c r="X6" s="252">
        <f>'2'!$G$143</f>
        <v>25.629999999999882</v>
      </c>
      <c r="Y6" s="252">
        <f>'2'!$G$58</f>
        <v>181.72000000000116</v>
      </c>
      <c r="Z6" s="252">
        <f>'2'!$G$151</f>
        <v>220</v>
      </c>
      <c r="AA6" s="252">
        <f>'2'!G158</f>
        <v>92.200000000011642</v>
      </c>
      <c r="AB6" s="255">
        <f>'2'!G159</f>
        <v>35.099999999991269</v>
      </c>
      <c r="AC6" s="255"/>
      <c r="AD6" s="255">
        <f>'2'!G160+'2'!G161</f>
        <v>81.19999999999709</v>
      </c>
      <c r="AE6" s="255">
        <f>'2'!$G$116</f>
        <v>0</v>
      </c>
      <c r="AF6" s="255">
        <f>'2'!$G$117</f>
        <v>85.639999999999873</v>
      </c>
      <c r="AG6" s="255">
        <f>'2'!$G$118</f>
        <v>352.26000000000931</v>
      </c>
      <c r="AH6" s="255">
        <f>'2'!$G$119</f>
        <v>434.72000000000116</v>
      </c>
      <c r="AI6" s="255">
        <f>'2'!$G$120</f>
        <v>436.65999999999985</v>
      </c>
      <c r="AJ6" s="255">
        <f>'2'!$G$121</f>
        <v>736.07000000000698</v>
      </c>
      <c r="AK6" s="255">
        <f>'2'!$G$122</f>
        <v>303.90000000000873</v>
      </c>
      <c r="AL6" s="255">
        <f>'2'!$G$123</f>
        <v>293.16000000000349</v>
      </c>
      <c r="AM6" s="255">
        <f>'2'!$G$133</f>
        <v>675.55999999999767</v>
      </c>
      <c r="AN6" s="255">
        <f>'2'!$G$15</f>
        <v>946.85000000009313</v>
      </c>
      <c r="AO6" s="255">
        <f>'2'!$G$74</f>
        <v>292.80000000004657</v>
      </c>
      <c r="AP6" s="255">
        <f>'2'!$G$75</f>
        <v>0</v>
      </c>
      <c r="AQ6" s="255">
        <f>'2'!$G$76</f>
        <v>96.839999999996508</v>
      </c>
      <c r="AR6" s="255">
        <f>'2'!$G$77</f>
        <v>37.5</v>
      </c>
      <c r="AS6" s="255">
        <f>'2'!$G$78</f>
        <v>2.8999999999996362</v>
      </c>
      <c r="AT6" s="255">
        <f t="shared" ref="AT6:AT34" si="0">AN6-SUM(AO6:AS6)</f>
        <v>516.81000000005042</v>
      </c>
      <c r="AU6" s="255">
        <f>SUM('2'!G91:G92)</f>
        <v>10.289999999999964</v>
      </c>
      <c r="AV6" s="255">
        <f>'2'!$G$88</f>
        <v>0</v>
      </c>
      <c r="AW6" s="255">
        <f>'2'!$G$89</f>
        <v>9.5599999999976717</v>
      </c>
      <c r="AX6" s="255">
        <f>'2'!$G$90</f>
        <v>3.6699999999982538</v>
      </c>
      <c r="AY6" s="253">
        <f t="shared" ref="AY6:AY34" si="1">SUM(AV6:AX6)</f>
        <v>13.229999999995925</v>
      </c>
      <c r="AZ6" s="321">
        <f t="shared" ref="AZ6:AZ8" si="2">AO6/AU6</f>
        <v>28.454810495631449</v>
      </c>
      <c r="BB6" s="371">
        <f t="shared" ref="BB6:BB35" si="3">C6-SUM(F6:K6,Y6)</f>
        <v>4001.9899999999034</v>
      </c>
      <c r="BC6" s="371">
        <f t="shared" ref="BC6:BC35" si="4">BB6/B6%</f>
        <v>17.800166170881589</v>
      </c>
    </row>
    <row r="7" spans="1:55" s="328" customFormat="1">
      <c r="A7" s="379">
        <v>3</v>
      </c>
      <c r="B7" s="55">
        <f>'3'!G7</f>
        <v>21968.679999999935</v>
      </c>
      <c r="C7" s="55">
        <f>'3'!G8</f>
        <v>22487.75</v>
      </c>
      <c r="D7" s="55">
        <f>'3'!G15</f>
        <v>955.48999999999069</v>
      </c>
      <c r="E7" s="55">
        <f>'3'!G20</f>
        <v>279</v>
      </c>
      <c r="F7" s="55">
        <f>SUM('3'!G35,'3'!G49)</f>
        <v>3774.2300000000032</v>
      </c>
      <c r="G7" s="55">
        <f>SUM('3'!G37,'3'!G51)</f>
        <v>1629.4600000000064</v>
      </c>
      <c r="H7" s="55">
        <f>SUM('3'!G38,'3'!G52)</f>
        <v>1944.7100000000064</v>
      </c>
      <c r="I7" s="55">
        <f>SUM('3'!G39,'3'!G53)</f>
        <v>2961.1600000000035</v>
      </c>
      <c r="J7" s="55">
        <f>SUM('3'!G41,'3'!G42,'3'!G55,'3'!G56)</f>
        <v>5371.2200000000084</v>
      </c>
      <c r="K7" s="55">
        <f>SUM('3'!G43,'3'!G57)</f>
        <v>2695.3999999999069</v>
      </c>
      <c r="L7" s="252">
        <f>'3'!G50</f>
        <v>960.1600000000326</v>
      </c>
      <c r="M7" s="252">
        <f>'3'!G36</f>
        <v>684.48999999999796</v>
      </c>
      <c r="N7" s="252">
        <f>'3'!G138</f>
        <v>65</v>
      </c>
      <c r="O7" s="252">
        <f>'3'!$G$139</f>
        <v>1</v>
      </c>
      <c r="P7" s="252">
        <f>'3'!$G$140</f>
        <v>0</v>
      </c>
      <c r="Q7" s="252">
        <f>'3'!$G$141</f>
        <v>177.51000000000204</v>
      </c>
      <c r="R7" s="252">
        <f>'3'!$G$142</f>
        <v>15.720000000001164</v>
      </c>
      <c r="S7" s="252">
        <f>'3'!$G$145</f>
        <v>36.569999999999709</v>
      </c>
      <c r="T7" s="252">
        <f>'3'!$G$146</f>
        <v>276</v>
      </c>
      <c r="U7" s="252">
        <f>'3'!$G$144</f>
        <v>228</v>
      </c>
      <c r="V7" s="252">
        <f>'3'!$G$147</f>
        <v>392.71999999997206</v>
      </c>
      <c r="W7" s="252">
        <f>'3'!$G$148</f>
        <v>210.59999999997672</v>
      </c>
      <c r="X7" s="252">
        <f>'3'!$G$143</f>
        <v>24.200000000000045</v>
      </c>
      <c r="Y7" s="252">
        <f>'3'!$G$58</f>
        <v>194.82000000000698</v>
      </c>
      <c r="Z7" s="252">
        <f>'3'!$G$151</f>
        <v>291</v>
      </c>
      <c r="AA7" s="255">
        <f>'3'!G158</f>
        <v>6.6799999999930151</v>
      </c>
      <c r="AB7" s="255">
        <f>'3'!G159</f>
        <v>37.80000000000291</v>
      </c>
      <c r="AC7" s="255"/>
      <c r="AD7" s="255">
        <f>'3'!G160+'3'!G161</f>
        <v>62</v>
      </c>
      <c r="AE7" s="252">
        <f>'3'!$G$116</f>
        <v>0</v>
      </c>
      <c r="AF7" s="252">
        <f>'3'!$G$117</f>
        <v>50.019999999999982</v>
      </c>
      <c r="AG7" s="252">
        <f>'3'!$G$118</f>
        <v>336.57999999998719</v>
      </c>
      <c r="AH7" s="252">
        <f>'3'!$G$119</f>
        <v>445.72000000000116</v>
      </c>
      <c r="AI7" s="252">
        <f>'3'!$G$120</f>
        <v>456.89000000000033</v>
      </c>
      <c r="AJ7" s="245">
        <f>'3'!$G$121</f>
        <v>754.8300000000163</v>
      </c>
      <c r="AK7" s="245">
        <f>'3'!$G$122</f>
        <v>291.36999999999534</v>
      </c>
      <c r="AL7" s="252">
        <f>'3'!$G$123</f>
        <v>304.97999999999593</v>
      </c>
      <c r="AM7" s="252">
        <f>'3'!$G$133</f>
        <v>815.11000000000058</v>
      </c>
      <c r="AN7" s="252">
        <f>'3'!$G$15</f>
        <v>955.48999999999069</v>
      </c>
      <c r="AO7" s="252">
        <f>'3'!$G$74</f>
        <v>291.92599999997765</v>
      </c>
      <c r="AP7" s="252">
        <f>'3'!$G$75</f>
        <v>0</v>
      </c>
      <c r="AQ7" s="252">
        <f>'3'!$G$76</f>
        <v>114.23000000001048</v>
      </c>
      <c r="AR7" s="252">
        <f>'3'!$G$77</f>
        <v>36.099999999998545</v>
      </c>
      <c r="AS7" s="252">
        <f>'3'!$G$78</f>
        <v>1</v>
      </c>
      <c r="AT7" s="252">
        <f t="shared" si="0"/>
        <v>512.23400000000402</v>
      </c>
      <c r="AU7" s="255">
        <f>SUM('3'!G91:G92)</f>
        <v>10.25</v>
      </c>
      <c r="AV7" s="252">
        <f>'3'!$G$88</f>
        <v>8.7900000000008731</v>
      </c>
      <c r="AW7" s="252">
        <f>'3'!$G$89</f>
        <v>0</v>
      </c>
      <c r="AX7" s="252">
        <f>'3'!$G$90</f>
        <v>2.75</v>
      </c>
      <c r="AY7" s="256">
        <f t="shared" si="1"/>
        <v>11.540000000000873</v>
      </c>
      <c r="AZ7" s="321">
        <f t="shared" si="2"/>
        <v>28.480585365851478</v>
      </c>
      <c r="BB7" s="371">
        <f t="shared" si="3"/>
        <v>3916.7500000000582</v>
      </c>
      <c r="BC7" s="371">
        <f t="shared" si="4"/>
        <v>17.82879080582024</v>
      </c>
    </row>
    <row r="8" spans="1:55">
      <c r="A8" s="379">
        <v>4</v>
      </c>
      <c r="B8" s="55">
        <f>'4'!G7</f>
        <v>20341.479999999981</v>
      </c>
      <c r="C8" s="55">
        <f>'4'!G8</f>
        <v>20833.410000000033</v>
      </c>
      <c r="D8" s="55">
        <f>'4'!G15</f>
        <v>914.75</v>
      </c>
      <c r="E8" s="55">
        <f>'4'!G20</f>
        <v>239</v>
      </c>
      <c r="F8" s="55">
        <f>SUM('4'!G35,'4'!G49)</f>
        <v>3614.5099999999875</v>
      </c>
      <c r="G8" s="55">
        <f>SUM('4'!G37,'4'!G51)</f>
        <v>1438.8999999999942</v>
      </c>
      <c r="H8" s="55">
        <f>SUM('4'!G38,'4'!G52)</f>
        <v>1642.6100000000006</v>
      </c>
      <c r="I8" s="55">
        <f>SUM('4'!G39,'4'!G53)</f>
        <v>2745.679999999993</v>
      </c>
      <c r="J8" s="55">
        <f>SUM('4'!G41,'4'!G42,'4'!G55,'4'!G56)</f>
        <v>5066.4999999999927</v>
      </c>
      <c r="K8" s="55">
        <f>SUM('4'!G43,'4'!G57)</f>
        <v>2524.1999999999534</v>
      </c>
      <c r="L8" s="255">
        <f>'4'!G50</f>
        <v>884</v>
      </c>
      <c r="M8" s="255">
        <f>'4'!G36</f>
        <v>640.12000000000262</v>
      </c>
      <c r="N8" s="255">
        <f>'4'!G138</f>
        <v>37</v>
      </c>
      <c r="O8" s="255">
        <f>'4'!$G$139</f>
        <v>1</v>
      </c>
      <c r="P8" s="255">
        <f>'4'!$G$140</f>
        <v>4.8000000000029104</v>
      </c>
      <c r="Q8" s="255">
        <f>'4'!$G$141</f>
        <v>185.40999999999622</v>
      </c>
      <c r="R8" s="255">
        <f>'4'!$G$142</f>
        <v>14.69999999999709</v>
      </c>
      <c r="S8" s="255">
        <f>'4'!$G$145</f>
        <v>32.760000000000218</v>
      </c>
      <c r="T8" s="255">
        <f>'4'!$G$146</f>
        <v>270</v>
      </c>
      <c r="U8" s="255">
        <f>'4'!$G$144</f>
        <v>227</v>
      </c>
      <c r="V8" s="252">
        <f>'4'!$G$147</f>
        <v>357.79999999993015</v>
      </c>
      <c r="W8" s="252">
        <f>'4'!$G$148</f>
        <v>209</v>
      </c>
      <c r="X8" s="255">
        <f>'4'!$G$143</f>
        <v>24.670000000000073</v>
      </c>
      <c r="Y8" s="255">
        <f>'4'!$G$58</f>
        <v>198.71999999998661</v>
      </c>
      <c r="Z8" s="255">
        <f>'4'!$G$151</f>
        <v>212</v>
      </c>
      <c r="AA8" s="255">
        <f>'4'!G158</f>
        <v>5.8800000000046566</v>
      </c>
      <c r="AB8" s="255">
        <f>'4'!G159</f>
        <v>19.69999999999709</v>
      </c>
      <c r="AC8" s="255"/>
      <c r="AD8" s="255">
        <f>'4'!G160+'4'!G161</f>
        <v>36.400000000006003</v>
      </c>
      <c r="AE8" s="255">
        <f>'4'!$G$116</f>
        <v>0</v>
      </c>
      <c r="AF8" s="255">
        <f>'4'!$G$117</f>
        <v>22.259999999999991</v>
      </c>
      <c r="AG8" s="255">
        <f>'4'!$G$118</f>
        <v>295.39999999999418</v>
      </c>
      <c r="AH8" s="255">
        <f>'4'!$G$119</f>
        <v>411.66000000000349</v>
      </c>
      <c r="AI8" s="255">
        <f>'4'!$G$120</f>
        <v>433.71999999999935</v>
      </c>
      <c r="AJ8" s="255">
        <f>'4'!$G$121</f>
        <v>710.8399999999674</v>
      </c>
      <c r="AK8" s="255">
        <f>'4'!$G$122</f>
        <v>263.83000000000175</v>
      </c>
      <c r="AL8" s="255">
        <f>'4'!$G$123</f>
        <v>282.94000000000233</v>
      </c>
      <c r="AM8" s="255">
        <f>'4'!$G$133</f>
        <v>752.16000000000349</v>
      </c>
      <c r="AN8" s="255">
        <f>'4'!$G$15</f>
        <v>914.75</v>
      </c>
      <c r="AO8" s="255">
        <f>'4'!$G$74</f>
        <v>278.42399999999907</v>
      </c>
      <c r="AP8" s="255">
        <f>'4'!$G$75</f>
        <v>0</v>
      </c>
      <c r="AQ8" s="255">
        <f>'4'!$G$76</f>
        <v>85.559999999997672</v>
      </c>
      <c r="AR8" s="255">
        <f>'4'!$G$77</f>
        <v>44.5</v>
      </c>
      <c r="AS8" s="255">
        <f>'4'!$G$78</f>
        <v>3.6000000000003638</v>
      </c>
      <c r="AT8" s="255">
        <f t="shared" si="0"/>
        <v>502.6660000000029</v>
      </c>
      <c r="AU8" s="255">
        <f>SUM('4'!G91:G92)</f>
        <v>9.8000000000001819</v>
      </c>
      <c r="AV8" s="255">
        <f>'4'!$G$88</f>
        <v>9.2000000000007276</v>
      </c>
      <c r="AW8" s="255">
        <f>'4'!$G$89</f>
        <v>0</v>
      </c>
      <c r="AX8" s="255">
        <f>'4'!$G$90</f>
        <v>9.9999999947613105E-3</v>
      </c>
      <c r="AY8" s="253">
        <f t="shared" si="1"/>
        <v>9.2099999999954889</v>
      </c>
      <c r="AZ8" s="321">
        <f t="shared" si="2"/>
        <v>28.410612244897337</v>
      </c>
      <c r="BB8" s="371">
        <f t="shared" si="3"/>
        <v>3602.2900000001246</v>
      </c>
      <c r="BC8" s="371">
        <f t="shared" si="4"/>
        <v>17.709085081322144</v>
      </c>
    </row>
    <row r="9" spans="1:55">
      <c r="A9" s="379">
        <v>5</v>
      </c>
      <c r="B9" s="55">
        <f>'5'!G7</f>
        <v>23751.170000000042</v>
      </c>
      <c r="C9" s="55">
        <f>'5'!G8</f>
        <v>24186.890000000014</v>
      </c>
      <c r="D9" s="55">
        <f>'5'!G15</f>
        <v>889.91999999992549</v>
      </c>
      <c r="E9" s="55">
        <f>'5'!G20</f>
        <v>159</v>
      </c>
      <c r="F9" s="55">
        <f>SUM('5'!G35,'5'!G49)</f>
        <v>3597.8700000000026</v>
      </c>
      <c r="G9" s="55">
        <f>SUM('5'!G37,'5'!G51)</f>
        <v>1602.3300000000017</v>
      </c>
      <c r="H9" s="55">
        <f>SUM('5'!G38,'5'!G52)</f>
        <v>1798.5099999999948</v>
      </c>
      <c r="I9" s="55">
        <f>SUM('5'!G39,'5'!G53)</f>
        <v>2856.6700000000128</v>
      </c>
      <c r="J9" s="55">
        <f>SUM('5'!G41,'5'!G42,'5'!G55,'5'!G56)</f>
        <v>6887.7499999999927</v>
      </c>
      <c r="K9" s="55">
        <f>SUM('5'!G43,'5'!G57)</f>
        <v>2973.3000000000466</v>
      </c>
      <c r="L9" s="255">
        <f>'5'!G50</f>
        <v>1183.0899999999674</v>
      </c>
      <c r="M9" s="255">
        <f>'5'!G36</f>
        <v>903.31999999999971</v>
      </c>
      <c r="N9" s="255">
        <f>'5'!G138</f>
        <v>68</v>
      </c>
      <c r="O9" s="255">
        <f>'5'!$G$139</f>
        <v>0</v>
      </c>
      <c r="P9" s="255">
        <f>'5'!$G$140</f>
        <v>1.1999999999970896</v>
      </c>
      <c r="Q9" s="260">
        <f>'5'!$G$141</f>
        <v>221.18000000000029</v>
      </c>
      <c r="R9" s="255">
        <f>'5'!$G$142</f>
        <v>17.080000000001746</v>
      </c>
      <c r="S9" s="252">
        <f>'5'!$G$145</f>
        <v>36.849999999999909</v>
      </c>
      <c r="T9" s="259">
        <f>'5'!$G$146</f>
        <v>564</v>
      </c>
      <c r="U9" s="259">
        <f>'5'!$G$144</f>
        <v>227</v>
      </c>
      <c r="V9" s="257">
        <f>'5'!$G$147</f>
        <v>397.56000000005588</v>
      </c>
      <c r="W9" s="259">
        <f>'5'!$G$148</f>
        <v>248.35999999998603</v>
      </c>
      <c r="X9" s="255">
        <f>'5'!$G$143</f>
        <v>23.599999999999909</v>
      </c>
      <c r="Y9" s="255">
        <f>'5'!$G$58</f>
        <v>171.4600000000064</v>
      </c>
      <c r="Z9" s="255">
        <f>'5'!$G$151</f>
        <v>228</v>
      </c>
      <c r="AA9" s="259">
        <f>'5'!G158</f>
        <v>7</v>
      </c>
      <c r="AB9" s="255">
        <f>'5'!G159</f>
        <v>15.600000000005821</v>
      </c>
      <c r="AC9" s="255"/>
      <c r="AD9" s="255">
        <f>'5'!G160+'5'!G161</f>
        <v>40.599999999999909</v>
      </c>
      <c r="AE9" s="255">
        <f>'5'!$G$116</f>
        <v>0</v>
      </c>
      <c r="AF9" s="255">
        <f>'5'!$G$117</f>
        <v>22.880000000000109</v>
      </c>
      <c r="AG9" s="255">
        <f>'5'!$G$118</f>
        <v>321.67000000001281</v>
      </c>
      <c r="AH9" s="255">
        <f>'5'!$G$119</f>
        <v>421.98999999999069</v>
      </c>
      <c r="AI9" s="255">
        <f>'5'!$G$120</f>
        <v>449.68000000000029</v>
      </c>
      <c r="AJ9" s="255">
        <f>'5'!$G$121</f>
        <v>733.09000000002561</v>
      </c>
      <c r="AK9" s="255">
        <f>'5'!$G$122</f>
        <v>275.11000000000058</v>
      </c>
      <c r="AL9" s="255">
        <f>'5'!$G$123</f>
        <v>300.13999999999942</v>
      </c>
      <c r="AM9" s="255">
        <f>'5'!$G$133</f>
        <v>815.58999999999651</v>
      </c>
      <c r="AN9" s="259">
        <f>'5'!$G$15</f>
        <v>889.91999999992549</v>
      </c>
      <c r="AO9" s="257">
        <f>'5'!$G$74</f>
        <v>289.46999999997206</v>
      </c>
      <c r="AP9" s="257">
        <f>'5'!$G$75</f>
        <v>0</v>
      </c>
      <c r="AQ9" s="257">
        <f>'5'!$G$76</f>
        <v>87</v>
      </c>
      <c r="AR9" s="257">
        <f>'5'!$G$77</f>
        <v>47</v>
      </c>
      <c r="AS9" s="257">
        <f>'5'!$G$78</f>
        <v>2.1000000000003638</v>
      </c>
      <c r="AT9" s="257">
        <f t="shared" si="0"/>
        <v>464.34999999995307</v>
      </c>
      <c r="AU9" s="255">
        <f>SUM('5'!G91:G92)</f>
        <v>10.159999999999854</v>
      </c>
      <c r="AV9" s="255">
        <f>'5'!$G$88</f>
        <v>7.3299999999981083</v>
      </c>
      <c r="AW9" s="255">
        <f>'5'!$G$89</f>
        <v>0</v>
      </c>
      <c r="AX9" s="255">
        <f>'5'!$G$90</f>
        <v>3.6699999999982538</v>
      </c>
      <c r="AY9" s="253">
        <f t="shared" si="1"/>
        <v>10.999999999996362</v>
      </c>
      <c r="AZ9" s="321">
        <f>AO9/AU9</f>
        <v>28.491141732281122</v>
      </c>
      <c r="BB9" s="371">
        <f t="shared" si="3"/>
        <v>4298.9999999999563</v>
      </c>
      <c r="BC9" s="371">
        <f t="shared" si="4"/>
        <v>18.100160960491415</v>
      </c>
    </row>
    <row r="10" spans="1:55">
      <c r="A10" s="379">
        <v>6</v>
      </c>
      <c r="B10" s="55">
        <f>'6'!G7</f>
        <v>22578.030000000028</v>
      </c>
      <c r="C10" s="55">
        <f>'6'!G8</f>
        <v>22837.550000000047</v>
      </c>
      <c r="D10" s="55">
        <f>'6'!G15</f>
        <v>955.67999999993481</v>
      </c>
      <c r="E10" s="55">
        <f>'6'!G20</f>
        <v>291</v>
      </c>
      <c r="F10" s="55">
        <f>SUM('6'!G35,'6'!G49)</f>
        <v>3610.5599999999977</v>
      </c>
      <c r="G10" s="55">
        <f>SUM('6'!G37,'6'!G51)</f>
        <v>1653.7100000000064</v>
      </c>
      <c r="H10" s="55">
        <f>SUM('6'!G38,'6'!G52)</f>
        <v>1902.3000000000029</v>
      </c>
      <c r="I10" s="55">
        <f>SUM('6'!G39,'6'!G53)</f>
        <v>2809.5899999999965</v>
      </c>
      <c r="J10" s="55">
        <f>SUM('6'!G41,'6'!G42,'6'!G55,'6'!G56)</f>
        <v>5959.0099999999948</v>
      </c>
      <c r="K10" s="55">
        <f>SUM('6'!G43,'6'!G57)</f>
        <v>2754.6000000000931</v>
      </c>
      <c r="L10" s="255">
        <f>'6'!G50</f>
        <v>1109.7099999999627</v>
      </c>
      <c r="M10" s="255">
        <f>'6'!G36</f>
        <v>875.9800000000032</v>
      </c>
      <c r="N10" s="255">
        <f>'6'!G138</f>
        <v>55</v>
      </c>
      <c r="O10" s="255">
        <f>'6'!$G$139</f>
        <v>1</v>
      </c>
      <c r="P10" s="255">
        <f>'6'!$G$140</f>
        <v>1.1999999999970896</v>
      </c>
      <c r="Q10" s="255">
        <f>'6'!$G$141</f>
        <v>195.97000000000116</v>
      </c>
      <c r="R10" s="255">
        <f>'6'!$G$142</f>
        <v>17.369999999998981</v>
      </c>
      <c r="S10" s="255">
        <f>'6'!$G$145</f>
        <v>40.449999999999818</v>
      </c>
      <c r="T10" s="252">
        <f>'6'!$G$146</f>
        <v>365</v>
      </c>
      <c r="U10" s="252">
        <f>'6'!$G$144</f>
        <v>224</v>
      </c>
      <c r="V10" s="252">
        <f>'6'!$G$147</f>
        <v>392</v>
      </c>
      <c r="W10" s="252">
        <f>'6'!$G$148</f>
        <v>264</v>
      </c>
      <c r="X10" s="252">
        <f>'6'!$G$143</f>
        <v>22.210000000000036</v>
      </c>
      <c r="Y10" s="252">
        <f>'6'!$G$58</f>
        <v>200.58000000000175</v>
      </c>
      <c r="Z10" s="252">
        <f>'6'!$G$151</f>
        <v>277</v>
      </c>
      <c r="AA10" s="252">
        <f>'6'!G158</f>
        <v>6.1599999999743886</v>
      </c>
      <c r="AB10" s="252">
        <f>'6'!G159</f>
        <v>17.399999999994179</v>
      </c>
      <c r="AC10" s="252"/>
      <c r="AD10" s="252">
        <f>'6'!G160+'6'!G161</f>
        <v>37.300000000000182</v>
      </c>
      <c r="AE10" s="255">
        <f>'6'!$G$116</f>
        <v>0</v>
      </c>
      <c r="AF10" s="255">
        <f>'6'!$G$117</f>
        <v>25.470000000000027</v>
      </c>
      <c r="AG10" s="255">
        <f>'6'!$G$118</f>
        <v>319.23000000001048</v>
      </c>
      <c r="AH10" s="255">
        <f>'6'!$G$119</f>
        <v>435.36999999999534</v>
      </c>
      <c r="AI10" s="255">
        <f>'6'!$G$120</f>
        <v>431.03999999999996</v>
      </c>
      <c r="AJ10" s="255">
        <f>'6'!$G$121</f>
        <v>679.92999999999302</v>
      </c>
      <c r="AK10" s="255">
        <f>'6'!$G$122</f>
        <v>295.38000000000466</v>
      </c>
      <c r="AL10" s="255">
        <f>'6'!$G$123</f>
        <v>302.52999999999884</v>
      </c>
      <c r="AM10" s="255">
        <f>'6'!$G$133</f>
        <v>804.88999999999942</v>
      </c>
      <c r="AN10" s="255">
        <f>'6'!$G$15</f>
        <v>955.67999999993481</v>
      </c>
      <c r="AO10" s="257">
        <f>'6'!$G$74</f>
        <v>308.45999999996275</v>
      </c>
      <c r="AP10" s="257">
        <f>'6'!$G$75</f>
        <v>3.4000000000087311</v>
      </c>
      <c r="AQ10" s="257">
        <f>'6'!$G$76</f>
        <v>88.75</v>
      </c>
      <c r="AR10" s="257">
        <f>'6'!$G$77</f>
        <v>47</v>
      </c>
      <c r="AS10" s="257">
        <f>'6'!$G$78</f>
        <v>3</v>
      </c>
      <c r="AT10" s="257">
        <f t="shared" si="0"/>
        <v>505.06999999996333</v>
      </c>
      <c r="AU10" s="255">
        <f>SUM('6'!G91:G92)</f>
        <v>10.909999999999854</v>
      </c>
      <c r="AV10" s="255">
        <f>'6'!$G$88</f>
        <v>0</v>
      </c>
      <c r="AW10" s="255">
        <f>'6'!$G$89</f>
        <v>9.569999999999709</v>
      </c>
      <c r="AX10" s="255">
        <f>'6'!$G$90</f>
        <v>3.2300000000104774</v>
      </c>
      <c r="AY10" s="253">
        <f t="shared" si="1"/>
        <v>12.800000000010186</v>
      </c>
      <c r="AZ10" s="321">
        <f t="shared" ref="AZ10:AZ11" si="5">AO10/AU10</f>
        <v>28.273143904671574</v>
      </c>
      <c r="BB10" s="371">
        <f t="shared" si="3"/>
        <v>3947.1999999999534</v>
      </c>
      <c r="BC10" s="371">
        <f t="shared" si="4"/>
        <v>17.482481864006509</v>
      </c>
    </row>
    <row r="11" spans="1:55">
      <c r="A11" s="379">
        <v>7</v>
      </c>
      <c r="B11" s="55">
        <f>'7'!G7</f>
        <v>21692.319999999949</v>
      </c>
      <c r="C11" s="55">
        <f>'7'!G8</f>
        <v>21951.039999999921</v>
      </c>
      <c r="D11" s="55">
        <f>'7'!G15</f>
        <v>962.48999999999069</v>
      </c>
      <c r="E11" s="55">
        <f>'7'!G20</f>
        <v>259</v>
      </c>
      <c r="F11" s="55">
        <f>SUM('7'!G35,'7'!G49)</f>
        <v>3710.4599999999919</v>
      </c>
      <c r="G11" s="55">
        <f>SUM('7'!G37,'7'!G51)</f>
        <v>1579.8199999999924</v>
      </c>
      <c r="H11" s="55">
        <f>SUM('7'!G38,'7'!G52)</f>
        <v>1893.2099999999919</v>
      </c>
      <c r="I11" s="55">
        <f>SUM('7'!G39,'7'!G53)</f>
        <v>2812.8600000000151</v>
      </c>
      <c r="J11" s="55">
        <f>SUM('7'!G41,'7'!G42,'7'!G55,'7'!G56)</f>
        <v>5341.6399999999994</v>
      </c>
      <c r="K11" s="55">
        <f>SUM('7'!G43,'7'!G57)</f>
        <v>2609.6999999999534</v>
      </c>
      <c r="L11" s="255">
        <f>'7'!G50</f>
        <v>1148.8800000000047</v>
      </c>
      <c r="M11" s="255">
        <f>'7'!G36</f>
        <v>701.52999999999884</v>
      </c>
      <c r="N11" s="255">
        <f>'7'!G138</f>
        <v>45</v>
      </c>
      <c r="O11" s="255">
        <f>'7'!$G$139</f>
        <v>1</v>
      </c>
      <c r="P11" s="255">
        <f>'7'!$G$140</f>
        <v>1.1999999999970896</v>
      </c>
      <c r="Q11" s="255">
        <f>'7'!$G$141</f>
        <v>198.90000000000146</v>
      </c>
      <c r="R11" s="255">
        <f>'7'!$G$142</f>
        <v>16.650000000001455</v>
      </c>
      <c r="S11" s="255">
        <f>'7'!$G$145</f>
        <v>37.269999999999982</v>
      </c>
      <c r="T11" s="252">
        <f>'7'!$G$146</f>
        <v>401</v>
      </c>
      <c r="U11" s="252">
        <f>'7'!$G$144</f>
        <v>233</v>
      </c>
      <c r="V11" s="252">
        <f>'7'!$G$147</f>
        <v>417</v>
      </c>
      <c r="W11" s="252">
        <f>'7'!$G$148</f>
        <v>254.52000000001863</v>
      </c>
      <c r="X11" s="252">
        <f>'7'!$G$143</f>
        <v>19.099999999999909</v>
      </c>
      <c r="Y11" s="252">
        <f>'7'!$G$58</f>
        <v>211.55000000000291</v>
      </c>
      <c r="Z11" s="257">
        <f>'7'!$G$151</f>
        <v>259</v>
      </c>
      <c r="AA11" s="261">
        <f>'7'!G158</f>
        <v>6.4000000000232831</v>
      </c>
      <c r="AB11" s="252">
        <f>'7'!G159</f>
        <v>6.2000000000116415</v>
      </c>
      <c r="AC11" s="252"/>
      <c r="AD11" s="252">
        <f>'7'!G160+'7'!G161</f>
        <v>39</v>
      </c>
      <c r="AE11" s="255">
        <f>'7'!$G$116</f>
        <v>0</v>
      </c>
      <c r="AF11" s="255">
        <f>'7'!$G$117</f>
        <v>21.6099999999999</v>
      </c>
      <c r="AG11" s="255">
        <f>'7'!$G$118</f>
        <v>306.31999999997788</v>
      </c>
      <c r="AH11" s="255">
        <f>'7'!$G$119</f>
        <v>422.73999999999069</v>
      </c>
      <c r="AI11" s="255">
        <f>'7'!$G$120</f>
        <v>420.22000000000025</v>
      </c>
      <c r="AJ11" s="255">
        <f>'7'!$G$121</f>
        <v>693.5800000000163</v>
      </c>
      <c r="AK11" s="257">
        <f>'7'!$G$122</f>
        <v>307.88999999999942</v>
      </c>
      <c r="AL11" s="255">
        <f>'7'!$G$123</f>
        <v>294.25999999999476</v>
      </c>
      <c r="AM11" s="255">
        <f>'7'!$G$133</f>
        <v>832.26000000000204</v>
      </c>
      <c r="AN11" s="255">
        <f>'7'!$G$15</f>
        <v>962.48999999999069</v>
      </c>
      <c r="AO11" s="257">
        <f>'7'!$G$74</f>
        <v>288.83000000007451</v>
      </c>
      <c r="AP11" s="257">
        <f>'7'!$G$75</f>
        <v>0</v>
      </c>
      <c r="AQ11" s="257">
        <f>'7'!$G$76</f>
        <v>86.230000000010477</v>
      </c>
      <c r="AR11" s="257">
        <f>'7'!$G$77</f>
        <v>37</v>
      </c>
      <c r="AS11" s="257">
        <f>'7'!$G$78</f>
        <v>1.2999999999992724</v>
      </c>
      <c r="AT11" s="257">
        <f t="shared" si="0"/>
        <v>549.12999999990643</v>
      </c>
      <c r="AU11" s="255">
        <f>SUM('7'!G91:G92)</f>
        <v>10.149999999999636</v>
      </c>
      <c r="AV11" s="255">
        <f>'7'!$G$88</f>
        <v>0</v>
      </c>
      <c r="AW11" s="255">
        <f>'7'!$G$89</f>
        <v>10.360000000000582</v>
      </c>
      <c r="AX11" s="255">
        <f>'7'!$G$90</f>
        <v>3.8600000000005821</v>
      </c>
      <c r="AY11" s="253">
        <f t="shared" si="1"/>
        <v>14.220000000001164</v>
      </c>
      <c r="AZ11" s="321">
        <f t="shared" si="5"/>
        <v>28.456157635476341</v>
      </c>
      <c r="BB11" s="371">
        <f t="shared" si="3"/>
        <v>3791.7999999999738</v>
      </c>
      <c r="BC11" s="371">
        <f t="shared" si="4"/>
        <v>17.479919160329473</v>
      </c>
    </row>
    <row r="12" spans="1:55">
      <c r="A12" s="379">
        <v>8</v>
      </c>
      <c r="B12" s="55">
        <f>'8'!G7</f>
        <v>21652</v>
      </c>
      <c r="C12" s="55">
        <f>'8'!G8</f>
        <v>21972.239999999991</v>
      </c>
      <c r="D12" s="55">
        <f>'8'!G15</f>
        <v>1009.75</v>
      </c>
      <c r="E12" s="55">
        <f>'8'!G20</f>
        <v>258</v>
      </c>
      <c r="F12" s="55">
        <f>SUM('8'!G35,'8'!G49)</f>
        <v>3847.9400000000242</v>
      </c>
      <c r="G12" s="55">
        <f>SUM('8'!G37,'8'!G51)</f>
        <v>1589.1399999999994</v>
      </c>
      <c r="H12" s="55">
        <f>SUM('8'!G38,'8'!G52)</f>
        <v>1785.8700000000099</v>
      </c>
      <c r="I12" s="55">
        <f>SUM('8'!G39,'8'!G53)</f>
        <v>2891.2200000000012</v>
      </c>
      <c r="J12" s="55">
        <f>SUM('8'!G41,'8'!G42,'8'!G55,'8'!G56)</f>
        <v>5181.820000000007</v>
      </c>
      <c r="K12" s="55">
        <f>SUM('8'!G43,'8'!G57)</f>
        <v>2607.8000000000466</v>
      </c>
      <c r="L12" s="255">
        <f>'8'!G50</f>
        <v>1020.8000000000466</v>
      </c>
      <c r="M12" s="255">
        <f>'8'!G36</f>
        <v>823.65999999999622</v>
      </c>
      <c r="N12" s="255">
        <f>'8'!G138</f>
        <v>32</v>
      </c>
      <c r="O12" s="255">
        <f>'8'!$G$139</f>
        <v>1</v>
      </c>
      <c r="P12" s="255">
        <f>'8'!$G$140</f>
        <v>1.1000000000058208</v>
      </c>
      <c r="Q12" s="255">
        <f>'8'!$G$141</f>
        <v>163.47999999999593</v>
      </c>
      <c r="R12" s="255">
        <f>'8'!$G$142</f>
        <v>15.590000000000146</v>
      </c>
      <c r="S12" s="255">
        <f>'8'!$G$145</f>
        <v>39.010000000000218</v>
      </c>
      <c r="T12" s="252">
        <f>'8'!$G$146</f>
        <v>389</v>
      </c>
      <c r="U12" s="252">
        <f>'8'!$G$144</f>
        <v>226</v>
      </c>
      <c r="V12" s="252">
        <f>'8'!$G$147</f>
        <v>403.56000000005588</v>
      </c>
      <c r="W12" s="252">
        <f>'8'!$G$148</f>
        <v>241.11999999999534</v>
      </c>
      <c r="X12" s="252">
        <f>'8'!$G$143</f>
        <v>27.820000000000164</v>
      </c>
      <c r="Y12" s="252">
        <f>'8'!$G$58</f>
        <v>205.3799999999901</v>
      </c>
      <c r="Z12" s="252">
        <f>'8'!$G$151</f>
        <v>235</v>
      </c>
      <c r="AA12" s="252">
        <f>'8'!G158</f>
        <v>6.4000000000232831</v>
      </c>
      <c r="AB12" s="252">
        <f>'8'!G159</f>
        <v>31.69999999999709</v>
      </c>
      <c r="AC12" s="252"/>
      <c r="AD12" s="252">
        <f>'8'!G160+'8'!G161</f>
        <v>67.000000000002728</v>
      </c>
      <c r="AE12" s="255">
        <f>'8'!$G$116</f>
        <v>0</v>
      </c>
      <c r="AF12" s="255">
        <f>'8'!$G$117</f>
        <v>21.789999999999964</v>
      </c>
      <c r="AG12" s="255">
        <f>'8'!$G$118</f>
        <v>353.34000000002561</v>
      </c>
      <c r="AH12" s="255">
        <f>'8'!$G$119</f>
        <v>410.44000000000233</v>
      </c>
      <c r="AI12" s="255">
        <f>'8'!$G$120</f>
        <v>427.1899999999996</v>
      </c>
      <c r="AJ12" s="255">
        <f>'8'!$G$121</f>
        <v>717.64000000001397</v>
      </c>
      <c r="AK12" s="255">
        <f>'8'!$G$122</f>
        <v>323.09999999999127</v>
      </c>
      <c r="AL12" s="255">
        <f>'8'!$G$123</f>
        <v>296.68000000000757</v>
      </c>
      <c r="AM12" s="255">
        <f>'8'!$G$133</f>
        <v>780.18999999999505</v>
      </c>
      <c r="AN12" s="255">
        <f>'8'!$G$15</f>
        <v>1009.75</v>
      </c>
      <c r="AO12" s="257">
        <f>'8'!$G$74</f>
        <v>287.14999999990687</v>
      </c>
      <c r="AP12" s="257">
        <f>'8'!$G$75</f>
        <v>0</v>
      </c>
      <c r="AQ12" s="257">
        <f>'8'!$G$76</f>
        <v>92.419999999983702</v>
      </c>
      <c r="AR12" s="257">
        <f>'8'!$G$77</f>
        <v>41</v>
      </c>
      <c r="AS12" s="257">
        <f>'8'!$G$78</f>
        <v>1.4000000000014552</v>
      </c>
      <c r="AT12" s="257">
        <f t="shared" si="0"/>
        <v>587.78000000010798</v>
      </c>
      <c r="AU12" s="255">
        <f>SUM('8'!G91:G92)</f>
        <v>10.070000000000618</v>
      </c>
      <c r="AV12" s="255">
        <f>'8'!$G$88</f>
        <v>0</v>
      </c>
      <c r="AW12" s="255">
        <f>'8'!$G$89</f>
        <v>9.930000000000291</v>
      </c>
      <c r="AX12" s="255">
        <f>'8'!$G$90</f>
        <v>6.8300000000017462</v>
      </c>
      <c r="AY12" s="253">
        <f t="shared" si="1"/>
        <v>16.760000000002037</v>
      </c>
      <c r="BB12" s="371">
        <f t="shared" si="3"/>
        <v>3863.0699999999124</v>
      </c>
      <c r="BC12" s="371">
        <f t="shared" si="4"/>
        <v>17.841631258081989</v>
      </c>
    </row>
    <row r="13" spans="1:55">
      <c r="A13" s="379">
        <v>9</v>
      </c>
      <c r="B13" s="55">
        <f>'9'!G7</f>
        <v>21575.650000000023</v>
      </c>
      <c r="C13" s="55">
        <f>'9'!G8</f>
        <v>21818.170000000042</v>
      </c>
      <c r="D13" s="55">
        <f>'9'!G15</f>
        <v>1028.0800000000745</v>
      </c>
      <c r="E13" s="55">
        <f>'9'!G20</f>
        <v>253</v>
      </c>
      <c r="F13" s="55">
        <f>SUM('9'!G35,'9'!G49)</f>
        <v>3457.0399999999863</v>
      </c>
      <c r="G13" s="55">
        <f>SUM('9'!G37,'9'!G51)</f>
        <v>1570.3300000000017</v>
      </c>
      <c r="H13" s="55">
        <f>SUM('9'!G38,'9'!G52)</f>
        <v>1768.6199999999953</v>
      </c>
      <c r="I13" s="55">
        <f>SUM('9'!G39,'9'!G53)</f>
        <v>2928.3299999999872</v>
      </c>
      <c r="J13" s="55">
        <f>SUM('9'!G41,'9'!G42,'9'!G55,'9'!G56)</f>
        <v>5158.5299999999988</v>
      </c>
      <c r="K13" s="55">
        <f>SUM('9'!G43,'9'!G57)</f>
        <v>2590.8999999999069</v>
      </c>
      <c r="L13" s="255">
        <f>'9'!G50</f>
        <v>1069.609999999986</v>
      </c>
      <c r="M13" s="255">
        <f>'9'!G36</f>
        <v>999.83000000000175</v>
      </c>
      <c r="N13" s="255">
        <f>'9'!G138</f>
        <v>42</v>
      </c>
      <c r="O13" s="255">
        <f>'9'!$G$139</f>
        <v>1</v>
      </c>
      <c r="P13" s="255">
        <f>'9'!$G$140</f>
        <v>1.5</v>
      </c>
      <c r="Q13" s="255">
        <f>'9'!$G$141</f>
        <v>179.65000000000146</v>
      </c>
      <c r="R13" s="255">
        <f>'9'!$G$142</f>
        <v>14.389999999999418</v>
      </c>
      <c r="S13" s="255">
        <f>'9'!$G$145</f>
        <v>38.269999999999982</v>
      </c>
      <c r="T13" s="252">
        <f>'9'!$G$146</f>
        <v>447</v>
      </c>
      <c r="U13" s="252">
        <f>'9'!$G$144</f>
        <v>237</v>
      </c>
      <c r="V13" s="252">
        <f>'9'!$G$147</f>
        <v>410.43999999994412</v>
      </c>
      <c r="W13" s="252">
        <f>'9'!$G$148</f>
        <v>257.35999999998603</v>
      </c>
      <c r="X13" s="252">
        <f>'9'!$G$143</f>
        <v>27.869999999999891</v>
      </c>
      <c r="Y13" s="252">
        <f>'9'!$G$58</f>
        <v>230.49000000000524</v>
      </c>
      <c r="Z13" s="252">
        <f>'9'!$G$151</f>
        <v>207</v>
      </c>
      <c r="AA13" s="252">
        <f>'9'!G158</f>
        <v>36.039999999979045</v>
      </c>
      <c r="AB13" s="252">
        <f>'9'!G159</f>
        <v>37.69999999999709</v>
      </c>
      <c r="AC13" s="252"/>
      <c r="AD13" s="252">
        <f>'9'!G160+'9'!H161</f>
        <v>92.19999999999709</v>
      </c>
      <c r="AE13" s="255">
        <f>'9'!$G$116</f>
        <v>0</v>
      </c>
      <c r="AF13" s="255">
        <f>'9'!$G$117</f>
        <v>21.130000000000109</v>
      </c>
      <c r="AG13" s="255">
        <f>'9'!$G$118</f>
        <v>360.10999999998603</v>
      </c>
      <c r="AH13" s="259">
        <f>'9'!$G$119</f>
        <v>397.45000000001164</v>
      </c>
      <c r="AI13" s="259">
        <f>'9'!$G$120</f>
        <v>435.55000000000018</v>
      </c>
      <c r="AJ13" s="255">
        <f>'9'!$G$121</f>
        <v>722.84999999997672</v>
      </c>
      <c r="AK13" s="255">
        <f>'9'!$G$122</f>
        <v>316.63000000000466</v>
      </c>
      <c r="AL13" s="255">
        <f>'9'!$G$123</f>
        <v>292.52999999999884</v>
      </c>
      <c r="AM13" s="255">
        <f>'9'!$G$133</f>
        <v>557.66000000000349</v>
      </c>
      <c r="AN13" s="255">
        <f>'9'!$G$15</f>
        <v>1028.0800000000745</v>
      </c>
      <c r="AO13" s="257">
        <f>'9'!$G$74</f>
        <v>261.56000000005588</v>
      </c>
      <c r="AP13" s="257">
        <f>'9'!$G$75</f>
        <v>0</v>
      </c>
      <c r="AQ13" s="257">
        <f>'9'!$G$76</f>
        <v>94.600000000005821</v>
      </c>
      <c r="AR13" s="257">
        <f>'9'!$G$77</f>
        <v>34</v>
      </c>
      <c r="AS13" s="257">
        <f>'9'!$G$78</f>
        <v>2.2999999999992724</v>
      </c>
      <c r="AT13" s="257">
        <f t="shared" si="0"/>
        <v>635.62000000001353</v>
      </c>
      <c r="AU13" s="255">
        <f>SUM('9'!G91:G92)</f>
        <v>9.1799999999993815</v>
      </c>
      <c r="AV13" s="255">
        <f>'9'!$G$88</f>
        <v>4.9700000000011642</v>
      </c>
      <c r="AW13" s="255">
        <f>'9'!$G$89</f>
        <v>4.7400000000016007</v>
      </c>
      <c r="AX13" s="255">
        <f>'9'!$G$90</f>
        <v>8.7399999999906868</v>
      </c>
      <c r="AY13" s="253">
        <f t="shared" si="1"/>
        <v>18.449999999993452</v>
      </c>
      <c r="BB13" s="371">
        <f t="shared" si="3"/>
        <v>4113.9300000001604</v>
      </c>
      <c r="BC13" s="371">
        <f t="shared" si="4"/>
        <v>19.067467260546753</v>
      </c>
    </row>
    <row r="14" spans="1:55">
      <c r="A14" s="379">
        <v>10</v>
      </c>
      <c r="B14" s="55">
        <f>'10'!G7</f>
        <v>20815</v>
      </c>
      <c r="C14" s="55">
        <f>'10'!G8</f>
        <v>21010</v>
      </c>
      <c r="D14" s="55">
        <f>'10'!G15</f>
        <v>1016</v>
      </c>
      <c r="E14" s="55">
        <f>'10'!G20</f>
        <v>225</v>
      </c>
      <c r="F14" s="55">
        <f>SUM('10'!G35,'10'!G49)</f>
        <v>3227</v>
      </c>
      <c r="G14" s="55">
        <f>SUM('10'!G37,'10'!G51)</f>
        <v>1588</v>
      </c>
      <c r="H14" s="55">
        <f>SUM('10'!G38,'10'!G52)</f>
        <v>1767</v>
      </c>
      <c r="I14" s="55">
        <f>SUM('10'!G39,'10'!G53)</f>
        <v>2884</v>
      </c>
      <c r="J14" s="55">
        <f>SUM('10'!G41,'10'!G42,'10'!G55,'10'!G56)</f>
        <v>4843</v>
      </c>
      <c r="K14" s="55">
        <f>SUM('10'!G43,'10'!G57)</f>
        <v>2516</v>
      </c>
      <c r="L14" s="255">
        <f>'10'!G50</f>
        <v>1089</v>
      </c>
      <c r="M14" s="255">
        <f>'10'!G36</f>
        <v>882</v>
      </c>
      <c r="N14" s="255">
        <f>'10'!G138</f>
        <v>70</v>
      </c>
      <c r="O14" s="255">
        <f>'10'!$G$139</f>
        <v>0</v>
      </c>
      <c r="P14" s="255">
        <f>'10'!$G$140</f>
        <v>1</v>
      </c>
      <c r="Q14" s="255">
        <f>'10'!$G$141</f>
        <v>170</v>
      </c>
      <c r="R14" s="255">
        <f>'10'!$G$142</f>
        <v>16</v>
      </c>
      <c r="S14" s="255">
        <f>'10'!$G$145</f>
        <v>38</v>
      </c>
      <c r="T14" s="252">
        <f>'10'!$G$146</f>
        <v>420</v>
      </c>
      <c r="U14" s="252">
        <f>'10'!$G$144</f>
        <v>228</v>
      </c>
      <c r="V14" s="258">
        <f>'10'!$G$147</f>
        <v>378</v>
      </c>
      <c r="W14" s="258">
        <f>'10'!$G$148</f>
        <v>239</v>
      </c>
      <c r="X14" s="252">
        <f>'10'!$G$143</f>
        <v>22</v>
      </c>
      <c r="Y14" s="252">
        <f>'10'!$G$58</f>
        <v>191</v>
      </c>
      <c r="Z14" s="252">
        <f>'10'!$G$151</f>
        <v>259</v>
      </c>
      <c r="AA14" s="252">
        <f>'10'!G158</f>
        <v>51</v>
      </c>
      <c r="AB14" s="252">
        <f>'10'!G159</f>
        <v>42</v>
      </c>
      <c r="AC14" s="252"/>
      <c r="AD14" s="252">
        <f>'10'!G160+'10'!H161</f>
        <v>100.5</v>
      </c>
      <c r="AE14" s="255">
        <f>'10'!$G$116</f>
        <v>0</v>
      </c>
      <c r="AF14" s="255">
        <f>'10'!$G$117</f>
        <v>21</v>
      </c>
      <c r="AG14" s="255">
        <f>'10'!$G$118</f>
        <v>375</v>
      </c>
      <c r="AH14" s="255">
        <f>'10'!$G$119</f>
        <v>443</v>
      </c>
      <c r="AI14" s="255">
        <f>'10'!$G$120</f>
        <v>411</v>
      </c>
      <c r="AJ14" s="255">
        <f>'10'!$G$121</f>
        <v>723</v>
      </c>
      <c r="AK14" s="255">
        <f>'10'!$G$122</f>
        <v>327</v>
      </c>
      <c r="AL14" s="255">
        <f>'10'!$G$123</f>
        <v>291</v>
      </c>
      <c r="AM14" s="255">
        <f>'10'!$G$133</f>
        <v>492</v>
      </c>
      <c r="AN14" s="255">
        <f>'10'!$G$15</f>
        <v>1016</v>
      </c>
      <c r="AO14" s="257">
        <f>'10'!$G$74</f>
        <v>299</v>
      </c>
      <c r="AP14" s="257">
        <f>'10'!$G$75</f>
        <v>0</v>
      </c>
      <c r="AQ14" s="257">
        <f>'10'!$G$76</f>
        <v>113</v>
      </c>
      <c r="AR14" s="257">
        <f>'10'!$G$77</f>
        <v>35</v>
      </c>
      <c r="AS14" s="257">
        <f>'10'!$G$78</f>
        <v>1</v>
      </c>
      <c r="AT14" s="257">
        <f t="shared" si="0"/>
        <v>568</v>
      </c>
      <c r="AU14" s="255">
        <f>SUM('10'!G91:G92)</f>
        <v>10.490000000000691</v>
      </c>
      <c r="AV14" s="255">
        <f>'10'!$G$88</f>
        <v>0</v>
      </c>
      <c r="AW14" s="255">
        <f>'10'!$G$89</f>
        <v>9.3799999999973807</v>
      </c>
      <c r="AX14" s="255">
        <f>'10'!$G$90</f>
        <v>6.3300000000017462</v>
      </c>
      <c r="AY14" s="253">
        <f t="shared" si="1"/>
        <v>15.709999999999127</v>
      </c>
      <c r="BB14" s="371">
        <f t="shared" si="3"/>
        <v>3994</v>
      </c>
      <c r="BC14" s="371">
        <f t="shared" si="4"/>
        <v>19.188085515253423</v>
      </c>
    </row>
    <row r="15" spans="1:55">
      <c r="A15" s="379">
        <v>11</v>
      </c>
      <c r="B15" s="55">
        <f>'11'!G7</f>
        <v>20414</v>
      </c>
      <c r="C15" s="55">
        <f>'11'!G8</f>
        <v>20585</v>
      </c>
      <c r="D15" s="55">
        <f>'11'!G15</f>
        <v>1046</v>
      </c>
      <c r="E15" s="55">
        <f>'11'!G20</f>
        <v>233</v>
      </c>
      <c r="F15" s="55">
        <f>SUM('11'!G35,'11'!G49)</f>
        <v>3327</v>
      </c>
      <c r="G15" s="55">
        <f>SUM('11'!G37,'11'!G51)</f>
        <v>1567</v>
      </c>
      <c r="H15" s="55">
        <f>SUM('11'!G38,'11'!G52)</f>
        <v>1740</v>
      </c>
      <c r="I15" s="55">
        <f>SUM('11'!G39,'11'!G53)</f>
        <v>2887</v>
      </c>
      <c r="J15" s="55">
        <f>SUM('11'!G41,'11'!G42,'11'!G55,'11'!G56)</f>
        <v>4864</v>
      </c>
      <c r="K15" s="55">
        <f>SUM('11'!G43,'11'!G57)</f>
        <v>2425</v>
      </c>
      <c r="L15" s="255">
        <f>'11'!G50</f>
        <v>1114</v>
      </c>
      <c r="M15" s="255">
        <f>'11'!G36</f>
        <v>874</v>
      </c>
      <c r="N15" s="255">
        <f>'11'!G138</f>
        <v>63</v>
      </c>
      <c r="O15" s="255">
        <f>'11'!$G$139</f>
        <v>1</v>
      </c>
      <c r="P15" s="255">
        <f>'11'!$G$140</f>
        <v>1</v>
      </c>
      <c r="Q15" s="255">
        <f>'11'!$G$141</f>
        <v>187</v>
      </c>
      <c r="R15" s="255">
        <f>'11'!$G$142</f>
        <v>16</v>
      </c>
      <c r="S15" s="255">
        <f>'11'!$G$145</f>
        <v>37</v>
      </c>
      <c r="T15" s="252">
        <f>'11'!$G$146</f>
        <v>417</v>
      </c>
      <c r="U15" s="252">
        <f>'11'!$G$144</f>
        <v>235</v>
      </c>
      <c r="V15" s="252">
        <f>'11'!$G$147</f>
        <v>343</v>
      </c>
      <c r="W15" s="252">
        <f>'11'!$G$148</f>
        <v>251</v>
      </c>
      <c r="X15" s="252">
        <f>'11'!$G$143</f>
        <v>26</v>
      </c>
      <c r="Y15" s="252">
        <f>'11'!$G$58</f>
        <v>204</v>
      </c>
      <c r="Z15" s="252">
        <f>'11'!$G$151</f>
        <v>214</v>
      </c>
      <c r="AA15" s="252">
        <f>'11'!G158</f>
        <v>0</v>
      </c>
      <c r="AB15" s="252">
        <f>'11'!G159</f>
        <v>46</v>
      </c>
      <c r="AC15" s="252">
        <f>'11'!G88</f>
        <v>4.9999999999272404E-2</v>
      </c>
      <c r="AD15" s="252">
        <f>'11'!G160+'11'!H161</f>
        <v>92.5</v>
      </c>
      <c r="AE15" s="255">
        <f>'11'!$G$116</f>
        <v>0</v>
      </c>
      <c r="AF15" s="255">
        <f>'11'!$G$117</f>
        <v>22</v>
      </c>
      <c r="AG15" s="255">
        <f>'11'!$G$118</f>
        <v>362</v>
      </c>
      <c r="AH15" s="255">
        <f>'11'!$G$119</f>
        <v>414</v>
      </c>
      <c r="AI15" s="255">
        <f>'11'!$G$120</f>
        <v>404</v>
      </c>
      <c r="AJ15" s="255">
        <f>'11'!$G$121</f>
        <v>723</v>
      </c>
      <c r="AK15" s="255">
        <f>'11'!$G$122</f>
        <v>306</v>
      </c>
      <c r="AL15" s="255">
        <f>'11'!$G$123</f>
        <v>295</v>
      </c>
      <c r="AM15" s="255">
        <f>'11'!$G$133</f>
        <v>490</v>
      </c>
      <c r="AN15" s="255">
        <f>'11'!$G$15</f>
        <v>1046</v>
      </c>
      <c r="AO15" s="257">
        <f>'11'!$G$74</f>
        <v>293</v>
      </c>
      <c r="AP15" s="257">
        <f>'11'!$G$75</f>
        <v>0</v>
      </c>
      <c r="AQ15" s="257">
        <f>'11'!$G$76</f>
        <v>118</v>
      </c>
      <c r="AR15" s="257">
        <f>'11'!$G$77</f>
        <v>39</v>
      </c>
      <c r="AS15" s="257">
        <f>'11'!$G$78</f>
        <v>2</v>
      </c>
      <c r="AT15" s="257">
        <f t="shared" si="0"/>
        <v>594</v>
      </c>
      <c r="AU15" s="255">
        <f>SUM('11'!G91:G92)</f>
        <v>10.289999999999964</v>
      </c>
      <c r="AV15" s="255">
        <f>'11'!$G$88</f>
        <v>4.9999999999272404E-2</v>
      </c>
      <c r="AW15" s="255">
        <f>'11'!$G$89</f>
        <v>10.230000000003201</v>
      </c>
      <c r="AX15" s="255">
        <f>'11'!$G$90</f>
        <v>6.2200000000011642</v>
      </c>
      <c r="AY15" s="253">
        <f t="shared" si="1"/>
        <v>16.500000000003638</v>
      </c>
      <c r="BB15" s="371">
        <f t="shared" si="3"/>
        <v>3571</v>
      </c>
      <c r="BC15" s="371">
        <f t="shared" si="4"/>
        <v>17.492897031449008</v>
      </c>
    </row>
    <row r="16" spans="1:55">
      <c r="A16" s="379">
        <v>12</v>
      </c>
      <c r="B16" s="55">
        <f>'12'!G7</f>
        <v>22257</v>
      </c>
      <c r="C16" s="55">
        <f>'12'!G8</f>
        <v>22424</v>
      </c>
      <c r="D16" s="55">
        <f>'12'!G15</f>
        <v>1060</v>
      </c>
      <c r="E16" s="55">
        <f>'12'!G20</f>
        <v>278</v>
      </c>
      <c r="F16" s="55">
        <f>SUM('12'!G35,'12'!G49)</f>
        <v>3413</v>
      </c>
      <c r="G16" s="55">
        <f>SUM('12'!G37,'12'!G51)</f>
        <v>1617</v>
      </c>
      <c r="H16" s="55">
        <f>SUM('12'!G38,'12'!G52)</f>
        <v>1852</v>
      </c>
      <c r="I16" s="55">
        <f>SUM('12'!G39,'12'!G53)</f>
        <v>2962</v>
      </c>
      <c r="J16" s="55">
        <f>SUM('12'!G41,'12'!G42,'12'!G55,'12'!G56)</f>
        <v>5360.2900000000373</v>
      </c>
      <c r="K16" s="55">
        <f>SUM('12'!G43,'12'!G57)</f>
        <v>2719</v>
      </c>
      <c r="L16" s="255">
        <f>'12'!G50</f>
        <v>1311</v>
      </c>
      <c r="M16" s="255">
        <f>'12'!G36</f>
        <v>986</v>
      </c>
      <c r="N16" s="255">
        <f>'12'!G138</f>
        <v>48</v>
      </c>
      <c r="O16" s="255">
        <f>'12'!$G$139</f>
        <v>19</v>
      </c>
      <c r="P16" s="255">
        <f>'12'!$G$140</f>
        <v>0</v>
      </c>
      <c r="Q16" s="255">
        <f>'12'!$G$141</f>
        <v>213</v>
      </c>
      <c r="R16" s="255">
        <f>'12'!$G$142</f>
        <v>19</v>
      </c>
      <c r="S16" s="255">
        <f>'12'!$G$145</f>
        <v>36</v>
      </c>
      <c r="T16" s="252">
        <f>'12'!$G$146</f>
        <v>412</v>
      </c>
      <c r="U16" s="252">
        <f>'12'!$G$144</f>
        <v>233</v>
      </c>
      <c r="V16" s="252">
        <f>'12'!$G$147</f>
        <v>520</v>
      </c>
      <c r="W16" s="252">
        <f>'12'!$G$148</f>
        <v>258</v>
      </c>
      <c r="X16" s="252">
        <f>'12'!$G$143</f>
        <v>27</v>
      </c>
      <c r="Y16" s="252">
        <f>'12'!$G$58</f>
        <v>218</v>
      </c>
      <c r="Z16" s="252">
        <f>'12'!$G$151</f>
        <v>239</v>
      </c>
      <c r="AA16" s="252">
        <f>'12'!G158</f>
        <v>0</v>
      </c>
      <c r="AB16" s="252">
        <f>'12'!G159</f>
        <v>53</v>
      </c>
      <c r="AC16" s="252">
        <f>'12'!G88</f>
        <v>2.1899999999986903</v>
      </c>
      <c r="AD16" s="252">
        <f>'12'!G160+'12'!H161</f>
        <v>89.5</v>
      </c>
      <c r="AE16" s="255">
        <f>'12'!$G$116</f>
        <v>0</v>
      </c>
      <c r="AF16" s="255">
        <f>'12'!$G$117</f>
        <v>21</v>
      </c>
      <c r="AG16" s="255">
        <f>'12'!$G$118</f>
        <v>348</v>
      </c>
      <c r="AH16" s="255">
        <f>'12'!$G$119</f>
        <v>424</v>
      </c>
      <c r="AI16" s="255">
        <f>'12'!$G$120</f>
        <v>407</v>
      </c>
      <c r="AJ16" s="255">
        <f>'12'!$G$121</f>
        <v>714</v>
      </c>
      <c r="AK16" s="255">
        <f>'12'!$G$122</f>
        <v>306</v>
      </c>
      <c r="AL16" s="255">
        <f>'12'!$G$123</f>
        <v>289</v>
      </c>
      <c r="AM16" s="255">
        <f>'12'!$G$133</f>
        <v>576</v>
      </c>
      <c r="AN16" s="255">
        <f>'12'!$G$15</f>
        <v>1060</v>
      </c>
      <c r="AO16" s="257">
        <f>'12'!$G$74</f>
        <v>305</v>
      </c>
      <c r="AP16" s="257">
        <f>'12'!$G$75</f>
        <v>0</v>
      </c>
      <c r="AQ16" s="261">
        <f>'12'!$G$76</f>
        <v>120</v>
      </c>
      <c r="AR16" s="257">
        <f>'12'!$G$77</f>
        <v>50</v>
      </c>
      <c r="AS16" s="257">
        <f>'12'!$G$78</f>
        <v>4</v>
      </c>
      <c r="AT16" s="257">
        <f t="shared" si="0"/>
        <v>581</v>
      </c>
      <c r="AU16" s="255">
        <f>SUM('12'!G91:G92)</f>
        <v>10.789999999999964</v>
      </c>
      <c r="AV16" s="255">
        <f>'12'!$G$88</f>
        <v>2.1899999999986903</v>
      </c>
      <c r="AW16" s="255">
        <f>'12'!$G$89</f>
        <v>7.4699999999975262</v>
      </c>
      <c r="AX16" s="255">
        <f>'12'!$G$90</f>
        <v>6.6199999999953434</v>
      </c>
      <c r="AY16" s="253">
        <f t="shared" si="1"/>
        <v>16.27999999999156</v>
      </c>
      <c r="BA16" s="329">
        <f>AO16-AQ16</f>
        <v>185</v>
      </c>
      <c r="BB16" s="371">
        <f t="shared" si="3"/>
        <v>4282.7099999999627</v>
      </c>
      <c r="BC16" s="371">
        <f t="shared" si="4"/>
        <v>19.242081143011021</v>
      </c>
    </row>
    <row r="17" spans="1:55">
      <c r="A17" s="379">
        <v>13</v>
      </c>
      <c r="B17" s="55">
        <f>'13'!G7</f>
        <v>24226</v>
      </c>
      <c r="C17" s="55">
        <f>'13'!G8</f>
        <v>24350</v>
      </c>
      <c r="D17" s="55">
        <f>'13'!G15</f>
        <v>1071</v>
      </c>
      <c r="E17" s="55">
        <f>'13'!G20</f>
        <v>256</v>
      </c>
      <c r="F17" s="55">
        <f>SUM('13'!G35,'13'!G49)</f>
        <v>3825</v>
      </c>
      <c r="G17" s="55">
        <f>SUM('13'!G37,'13'!G51)</f>
        <v>1651</v>
      </c>
      <c r="H17" s="55">
        <f>SUM('13'!G38,'13'!G52)</f>
        <v>1898</v>
      </c>
      <c r="I17" s="55">
        <f>SUM('13'!G39,'13'!G53)</f>
        <v>3040</v>
      </c>
      <c r="J17" s="55">
        <f>SUM('13'!G41,'13'!G42,'13'!G55,'13'!G56)</f>
        <v>6131</v>
      </c>
      <c r="K17" s="55">
        <f>SUM('13'!G43,'13'!G57)</f>
        <v>2775</v>
      </c>
      <c r="L17" s="255">
        <f>'13'!G50</f>
        <v>1833</v>
      </c>
      <c r="M17" s="255">
        <f>'13'!G36</f>
        <v>1288</v>
      </c>
      <c r="N17" s="255">
        <f>'13'!G138</f>
        <v>52</v>
      </c>
      <c r="O17" s="255">
        <f>'13'!$G$139</f>
        <v>1</v>
      </c>
      <c r="P17" s="255">
        <f>'13'!$G$140</f>
        <v>0</v>
      </c>
      <c r="Q17" s="255">
        <f>'13'!$G$141</f>
        <v>193</v>
      </c>
      <c r="R17" s="255">
        <f>'13'!$G$142</f>
        <v>18</v>
      </c>
      <c r="S17" s="255">
        <f>'13'!$G$145</f>
        <v>38</v>
      </c>
      <c r="T17" s="252">
        <f>'13'!$G$146</f>
        <v>397</v>
      </c>
      <c r="U17" s="252">
        <f>'13'!$G$144</f>
        <v>236</v>
      </c>
      <c r="V17" s="252">
        <f>'13'!$G$147</f>
        <v>453</v>
      </c>
      <c r="W17" s="252">
        <f>'13'!$G$148</f>
        <v>336</v>
      </c>
      <c r="X17" s="252">
        <f>'13'!$G$143</f>
        <v>33</v>
      </c>
      <c r="Y17" s="252">
        <f>'13'!$G$58</f>
        <v>216</v>
      </c>
      <c r="Z17" s="252">
        <f>'13'!$G$151</f>
        <v>243</v>
      </c>
      <c r="AA17" s="252">
        <f>'13'!G158</f>
        <v>0</v>
      </c>
      <c r="AB17" s="252">
        <f>'13'!G159</f>
        <v>12</v>
      </c>
      <c r="AC17" s="252">
        <f>'13'!G88</f>
        <v>2.8300000000017462</v>
      </c>
      <c r="AD17" s="252">
        <f>'13'!G160+'13'!H161</f>
        <v>84.5</v>
      </c>
      <c r="AE17" s="255">
        <f>'13'!$G$116</f>
        <v>0</v>
      </c>
      <c r="AF17" s="255">
        <f>'13'!$G$117</f>
        <v>23</v>
      </c>
      <c r="AG17" s="255">
        <f>'13'!$G$118</f>
        <v>337</v>
      </c>
      <c r="AH17" s="255">
        <f>'13'!$G$119</f>
        <v>443</v>
      </c>
      <c r="AI17" s="255">
        <f>'13'!$G$120</f>
        <v>412</v>
      </c>
      <c r="AJ17" s="255">
        <f>'13'!$G$121</f>
        <v>725</v>
      </c>
      <c r="AK17" s="255">
        <f>'13'!$G$122</f>
        <v>304</v>
      </c>
      <c r="AL17" s="255">
        <f>'13'!$G$123</f>
        <v>297</v>
      </c>
      <c r="AM17" s="255">
        <f>'13'!$G$133</f>
        <v>783</v>
      </c>
      <c r="AN17" s="255">
        <f>'13'!$G$15</f>
        <v>1071</v>
      </c>
      <c r="AO17" s="257">
        <f>'13'!$G$74</f>
        <v>303</v>
      </c>
      <c r="AP17" s="257">
        <f>'13'!$G$75</f>
        <v>0</v>
      </c>
      <c r="AQ17" s="257">
        <f>'13'!$G$76</f>
        <v>119</v>
      </c>
      <c r="AR17" s="257">
        <f>'13'!$G$77</f>
        <v>45</v>
      </c>
      <c r="AS17" s="257">
        <f>'13'!$G$78</f>
        <v>3</v>
      </c>
      <c r="AT17" s="257">
        <f t="shared" si="0"/>
        <v>601</v>
      </c>
      <c r="AU17" s="255">
        <f>SUM('13'!G91:G92)</f>
        <v>10.639999999999418</v>
      </c>
      <c r="AV17" s="255">
        <f>'13'!$G$88</f>
        <v>2.8300000000017462</v>
      </c>
      <c r="AW17" s="255">
        <f>'13'!$G$89</f>
        <v>11.610000000000582</v>
      </c>
      <c r="AX17" s="255">
        <f>'13'!$G$90</f>
        <v>1.6900000000023283</v>
      </c>
      <c r="AY17" s="253">
        <f t="shared" si="1"/>
        <v>16.130000000004657</v>
      </c>
      <c r="BA17" s="329">
        <f t="shared" ref="BA17:BA34" si="6">AO17-AT17</f>
        <v>-298</v>
      </c>
      <c r="BB17" s="371">
        <f t="shared" si="3"/>
        <v>4814</v>
      </c>
      <c r="BC17" s="371">
        <f t="shared" si="4"/>
        <v>19.871212746635848</v>
      </c>
    </row>
    <row r="18" spans="1:55">
      <c r="A18" s="379">
        <v>14</v>
      </c>
      <c r="B18" s="55">
        <f>'14'!G7</f>
        <v>22252</v>
      </c>
      <c r="C18" s="55">
        <f>'14'!G8</f>
        <v>22382</v>
      </c>
      <c r="D18" s="55">
        <f>'14'!G15</f>
        <v>1139.97</v>
      </c>
      <c r="E18" s="55">
        <f>'14'!G20</f>
        <v>293</v>
      </c>
      <c r="F18" s="55">
        <f>SUM('14'!G35,'14'!G49)</f>
        <v>3440</v>
      </c>
      <c r="G18" s="55">
        <f>SUM('14'!G37,'14'!G51)</f>
        <v>1518</v>
      </c>
      <c r="H18" s="55">
        <f>SUM('14'!G38,'14'!G52)</f>
        <v>1821</v>
      </c>
      <c r="I18" s="55">
        <f>SUM('14'!G39,'14'!G53)</f>
        <v>2824</v>
      </c>
      <c r="J18" s="55">
        <f>SUM('14'!G41,'14'!G42,'14'!G55,'14'!G56)</f>
        <v>6179</v>
      </c>
      <c r="K18" s="55">
        <f>SUM('14'!G43,'14'!G57)</f>
        <v>2571</v>
      </c>
      <c r="L18" s="255">
        <f>'14'!G50</f>
        <v>1194</v>
      </c>
      <c r="M18" s="255">
        <f>'14'!G36</f>
        <v>875</v>
      </c>
      <c r="N18" s="255">
        <f>'14'!G138</f>
        <v>71</v>
      </c>
      <c r="O18" s="255">
        <f>'14'!$G$139</f>
        <v>1</v>
      </c>
      <c r="P18" s="255">
        <f>'14'!$G$140</f>
        <v>0</v>
      </c>
      <c r="Q18" s="255">
        <f>'14'!$G$141</f>
        <v>193</v>
      </c>
      <c r="R18" s="255">
        <f>'14'!$G$142</f>
        <v>17</v>
      </c>
      <c r="S18" s="255">
        <f>'14'!$G$145</f>
        <v>44</v>
      </c>
      <c r="T18" s="252">
        <f>'14'!$G$146</f>
        <v>468</v>
      </c>
      <c r="U18" s="252">
        <f>'14'!$G$144</f>
        <v>241</v>
      </c>
      <c r="V18" s="252">
        <f>'14'!$G$147</f>
        <v>441</v>
      </c>
      <c r="W18" s="252">
        <f>'14'!$G$148</f>
        <v>283</v>
      </c>
      <c r="X18" s="252">
        <f>'14'!$G$143</f>
        <v>26</v>
      </c>
      <c r="Y18" s="252">
        <f>'14'!$G$58</f>
        <v>203</v>
      </c>
      <c r="Z18" s="252">
        <f>'14'!$G$151</f>
        <v>253</v>
      </c>
      <c r="AA18" s="252">
        <f>'14'!G158</f>
        <v>0</v>
      </c>
      <c r="AB18" s="252">
        <f>'14'!G159</f>
        <v>14</v>
      </c>
      <c r="AC18" s="252">
        <f>'14'!G88</f>
        <v>0</v>
      </c>
      <c r="AD18" s="252">
        <f>'14'!G160+'14'!H161</f>
        <v>74.5</v>
      </c>
      <c r="AE18" s="255">
        <f>'14'!$G$116</f>
        <v>0</v>
      </c>
      <c r="AF18" s="255">
        <f>'14'!$G$117</f>
        <v>21</v>
      </c>
      <c r="AG18" s="255">
        <f>'14'!$G$118</f>
        <v>323</v>
      </c>
      <c r="AH18" s="255">
        <f>'14'!$G$119</f>
        <v>429</v>
      </c>
      <c r="AI18" s="255">
        <f>'14'!$G$120</f>
        <v>422</v>
      </c>
      <c r="AJ18" s="255">
        <f>'14'!$G$121</f>
        <v>719</v>
      </c>
      <c r="AK18" s="255">
        <f>'14'!$G$122</f>
        <v>276</v>
      </c>
      <c r="AL18" s="255">
        <f>'14'!$G$123</f>
        <v>287</v>
      </c>
      <c r="AM18" s="255">
        <f>'14'!$G$133</f>
        <v>769</v>
      </c>
      <c r="AN18" s="255">
        <f>'14'!$G$15</f>
        <v>1139.97</v>
      </c>
      <c r="AO18" s="257">
        <f>'14'!$G$74</f>
        <v>280</v>
      </c>
      <c r="AP18" s="257">
        <f>'14'!$G$75</f>
        <v>0</v>
      </c>
      <c r="AQ18" s="257">
        <f>'14'!$G$76</f>
        <v>128</v>
      </c>
      <c r="AR18" s="257">
        <f>'14'!$G$77</f>
        <v>41</v>
      </c>
      <c r="AS18" s="257">
        <f>'14'!$G$78</f>
        <v>1</v>
      </c>
      <c r="AT18" s="257">
        <f t="shared" si="0"/>
        <v>689.97</v>
      </c>
      <c r="AU18" s="255">
        <f>SUM('14'!G91:G92)</f>
        <v>9.7899999999999636</v>
      </c>
      <c r="AV18" s="255">
        <f>'14'!$G$88</f>
        <v>0</v>
      </c>
      <c r="AW18" s="255">
        <f>'14'!$G$89</f>
        <v>10.270000000000437</v>
      </c>
      <c r="AX18" s="255">
        <f>'14'!$G$90</f>
        <v>7.1399999999994179</v>
      </c>
      <c r="AY18" s="253">
        <f t="shared" si="1"/>
        <v>17.409999999999854</v>
      </c>
      <c r="BA18" s="329">
        <f>AO18-AT18</f>
        <v>-409.97</v>
      </c>
      <c r="BB18" s="371">
        <f t="shared" si="3"/>
        <v>3826</v>
      </c>
      <c r="BC18" s="371">
        <f t="shared" si="4"/>
        <v>17.193960093474743</v>
      </c>
    </row>
    <row r="19" spans="1:55">
      <c r="A19" s="379">
        <v>15</v>
      </c>
      <c r="B19" s="55">
        <f>'15'!G7</f>
        <v>24122.819999999949</v>
      </c>
      <c r="C19" s="55">
        <f>'15'!G8</f>
        <v>24876.320000000065</v>
      </c>
      <c r="D19" s="311">
        <f>'15'!G15</f>
        <v>911.19999999995343</v>
      </c>
      <c r="E19" s="55">
        <f>'15'!G20</f>
        <v>236</v>
      </c>
      <c r="F19" s="311">
        <f>SUM('15'!G35,'15'!G49)</f>
        <v>3603.6999999999898</v>
      </c>
      <c r="G19" s="311">
        <f>SUM('15'!G37,'15'!G51)</f>
        <v>1554.8800000000047</v>
      </c>
      <c r="H19" s="311">
        <f>SUM('15'!G38,'15'!G52)</f>
        <v>1735.5599999999977</v>
      </c>
      <c r="I19" s="311">
        <f>SUM('15'!G39,'15'!G53)</f>
        <v>2954.210000000021</v>
      </c>
      <c r="J19" s="311">
        <f>SUM('15'!G41,'15'!G42,'15'!G55,'15'!G56)</f>
        <v>7030.5100000000093</v>
      </c>
      <c r="K19" s="55">
        <f>SUM('15'!G43,'15'!G57)</f>
        <v>2788.5</v>
      </c>
      <c r="L19" s="312">
        <f>'15'!G50</f>
        <v>1115.4699999999721</v>
      </c>
      <c r="M19" s="255">
        <f>'15'!G36</f>
        <v>840.69999999999709</v>
      </c>
      <c r="N19" s="255">
        <f>'15'!G138</f>
        <v>42</v>
      </c>
      <c r="O19" s="255">
        <f>'15'!$G$139</f>
        <v>4</v>
      </c>
      <c r="P19" s="255">
        <f>'15'!$G$140</f>
        <v>0</v>
      </c>
      <c r="Q19" s="255">
        <f>'15'!$G$141</f>
        <v>186.45999999999913</v>
      </c>
      <c r="R19" s="255">
        <f>'15'!$G$142</f>
        <v>17.220000000001164</v>
      </c>
      <c r="S19" s="255">
        <f>'15'!$G$145</f>
        <v>31.150000000000091</v>
      </c>
      <c r="T19" s="252">
        <f>'15'!$G$146</f>
        <v>427</v>
      </c>
      <c r="U19" s="252">
        <f>'15'!$G$144</f>
        <v>240</v>
      </c>
      <c r="V19" s="252">
        <f>'15'!$G$147</f>
        <v>450.64000000001397</v>
      </c>
      <c r="W19" s="252">
        <f>'15'!$G$148</f>
        <v>266.52000000001863</v>
      </c>
      <c r="X19" s="252">
        <f>'15'!$G$143</f>
        <v>27.880000000000109</v>
      </c>
      <c r="Y19" s="252">
        <f>'15'!$G$58</f>
        <v>228.66300000000047</v>
      </c>
      <c r="Z19" s="252">
        <f>'15'!$G$151</f>
        <v>214</v>
      </c>
      <c r="AA19" s="252">
        <f>'15'!G158</f>
        <v>34</v>
      </c>
      <c r="AB19" s="252">
        <f>'15'!G159</f>
        <v>33.600000000005821</v>
      </c>
      <c r="AC19" s="252">
        <f>'15'!G88</f>
        <v>-2.9999999998835847E-2</v>
      </c>
      <c r="AD19" s="252">
        <f>'15'!G160+'15'!H161</f>
        <v>102.80000000000018</v>
      </c>
      <c r="AE19" s="255">
        <f>'15'!$G$116</f>
        <v>0</v>
      </c>
      <c r="AF19" s="255">
        <f>'15'!$G$117</f>
        <v>21.420000000000073</v>
      </c>
      <c r="AG19" s="255">
        <f>'15'!$G$118</f>
        <v>345.25</v>
      </c>
      <c r="AH19" s="255">
        <f>'15'!$G$119</f>
        <v>414.45000000001164</v>
      </c>
      <c r="AI19" s="255">
        <f>'15'!$G$120</f>
        <v>417.22999999999956</v>
      </c>
      <c r="AJ19" s="255">
        <f>'15'!$G$121</f>
        <v>715.59000000002561</v>
      </c>
      <c r="AK19" s="255">
        <f>'15'!$G$122</f>
        <v>312.27999999999884</v>
      </c>
      <c r="AL19" s="255">
        <f>'15'!$G$123</f>
        <v>284.08999999999651</v>
      </c>
      <c r="AM19" s="255">
        <f>'15'!$G$133</f>
        <v>740.9800000000032</v>
      </c>
      <c r="AN19" s="255">
        <f>'15'!$G$15</f>
        <v>911.19999999995343</v>
      </c>
      <c r="AO19" s="257">
        <f>'15'!$G$74</f>
        <v>252.48999999999069</v>
      </c>
      <c r="AP19" s="257">
        <f>'15'!$G$75</f>
        <v>0</v>
      </c>
      <c r="AQ19" s="257">
        <f>'15'!$G$76</f>
        <v>110.79999999998836</v>
      </c>
      <c r="AR19" s="257">
        <f>'15'!$G$77</f>
        <v>46</v>
      </c>
      <c r="AS19" s="257">
        <f>'15'!$G$78</f>
        <v>1.7999999999992724</v>
      </c>
      <c r="AT19" s="257">
        <f t="shared" si="0"/>
        <v>500.10999999997512</v>
      </c>
      <c r="AU19" s="255">
        <f>SUM('15'!G91:G92)</f>
        <v>8.8800000000001091</v>
      </c>
      <c r="AV19" s="255">
        <f>'15'!$G$88</f>
        <v>-2.9999999998835847E-2</v>
      </c>
      <c r="AW19" s="255">
        <f>'15'!$G$89</f>
        <v>10.180000000000291</v>
      </c>
      <c r="AX19" s="255">
        <f>'15'!$G$90</f>
        <v>4.1200000000098953</v>
      </c>
      <c r="AY19" s="253">
        <f t="shared" si="1"/>
        <v>14.27000000001135</v>
      </c>
      <c r="BA19" s="329">
        <f t="shared" si="6"/>
        <v>-247.61999999998443</v>
      </c>
      <c r="BB19" s="371">
        <f t="shared" si="3"/>
        <v>4980.2970000000423</v>
      </c>
      <c r="BC19" s="371">
        <f t="shared" si="4"/>
        <v>20.64558372528607</v>
      </c>
    </row>
    <row r="20" spans="1:55">
      <c r="A20" s="379">
        <v>16</v>
      </c>
      <c r="B20" s="55">
        <f>'16'!G7</f>
        <v>25079.879999999997</v>
      </c>
      <c r="C20" s="55">
        <f>'16'!G8</f>
        <v>25405.379999999997</v>
      </c>
      <c r="D20" s="55">
        <f>'16'!G15</f>
        <v>794.9000000001397</v>
      </c>
      <c r="E20" s="55">
        <f>'16'!G20</f>
        <v>251</v>
      </c>
      <c r="F20" s="55">
        <f>SUM('16'!G35,'16'!G49)</f>
        <v>3624.8600000000006</v>
      </c>
      <c r="G20" s="55">
        <f>SUM('16'!G37,'16'!G51)</f>
        <v>1596.4400000000023</v>
      </c>
      <c r="H20" s="55">
        <f>SUM('16'!G38,'16'!G52)</f>
        <v>1865.8300000000163</v>
      </c>
      <c r="I20" s="55">
        <f>SUM('16'!G39,'16'!G53)</f>
        <v>2997.2799999999697</v>
      </c>
      <c r="J20" s="55">
        <f>SUM('16'!G41,'16'!G42,'16'!G55,'16'!G56)</f>
        <v>7803.9999999999709</v>
      </c>
      <c r="K20" s="55">
        <f>SUM('16'!G43,'16'!G57)</f>
        <v>2788.8999999999069</v>
      </c>
      <c r="L20" s="255">
        <f>'16'!G50</f>
        <v>1347.9200000000419</v>
      </c>
      <c r="M20" s="255">
        <f>'16'!G36</f>
        <v>905.24000000000524</v>
      </c>
      <c r="N20" s="255">
        <f>'16'!G138</f>
        <v>57</v>
      </c>
      <c r="O20" s="255">
        <f>'16'!$G$139</f>
        <v>1</v>
      </c>
      <c r="P20" s="255">
        <f>'16'!$G$140</f>
        <v>0</v>
      </c>
      <c r="Q20" s="255">
        <f>'16'!$G$141</f>
        <v>195.23999999999796</v>
      </c>
      <c r="R20" s="255">
        <f>'16'!$G$142</f>
        <v>17.069999999999709</v>
      </c>
      <c r="S20" s="255">
        <f>'16'!$G$145</f>
        <v>39.559999999999945</v>
      </c>
      <c r="T20" s="252">
        <f>'16'!$G$146</f>
        <v>416</v>
      </c>
      <c r="U20" s="252">
        <f>'16'!$G$144</f>
        <v>249</v>
      </c>
      <c r="V20" s="252">
        <f>'16'!$G$147</f>
        <v>458.1600000000326</v>
      </c>
      <c r="W20" s="252">
        <f>'16'!$G$148</f>
        <v>252.91999999992549</v>
      </c>
      <c r="X20" s="252">
        <f>'16'!$G$143</f>
        <v>31.889999999999873</v>
      </c>
      <c r="Y20" s="252">
        <f>'16'!$G$58</f>
        <v>234.20699999999488</v>
      </c>
      <c r="Z20" s="252">
        <f>'16'!$G$151</f>
        <v>278</v>
      </c>
      <c r="AA20" s="252">
        <f>'16'!G158</f>
        <v>28.71999999997206</v>
      </c>
      <c r="AB20" s="252">
        <f>'16'!G159</f>
        <v>40.5</v>
      </c>
      <c r="AC20" s="252">
        <f>'16'!G88</f>
        <v>4.7899999999972351</v>
      </c>
      <c r="AD20" s="252">
        <f>'16'!G160+'16'!H161</f>
        <v>143.69999999999709</v>
      </c>
      <c r="AE20" s="255">
        <f>'16'!$G$116</f>
        <v>0</v>
      </c>
      <c r="AF20" s="255">
        <f>'16'!$G$117</f>
        <v>19.819999999999936</v>
      </c>
      <c r="AG20" s="255">
        <f>'16'!$G$118</f>
        <v>375.23999999999069</v>
      </c>
      <c r="AH20" s="255">
        <f>'16'!$G$119</f>
        <v>431.55999999999767</v>
      </c>
      <c r="AI20" s="255">
        <f>'16'!$G$120</f>
        <v>422.63000000000102</v>
      </c>
      <c r="AJ20" s="255">
        <f>'16'!$G$121</f>
        <v>721.10999999998603</v>
      </c>
      <c r="AK20" s="255">
        <f>'16'!$G$122</f>
        <v>320.52000000000407</v>
      </c>
      <c r="AL20" s="255">
        <f>'16'!$G$123</f>
        <v>283.91000000000349</v>
      </c>
      <c r="AM20" s="255">
        <f>'16'!$G$133</f>
        <v>645.71999999999389</v>
      </c>
      <c r="AN20" s="255">
        <f>'16'!$G$15</f>
        <v>794.9000000001397</v>
      </c>
      <c r="AO20" s="257">
        <f>'16'!$G$74</f>
        <v>283.47999999998137</v>
      </c>
      <c r="AP20" s="257">
        <f>'16'!$G$75</f>
        <v>0</v>
      </c>
      <c r="AQ20" s="257">
        <f>'16'!$G$76</f>
        <v>123.5</v>
      </c>
      <c r="AR20" s="257">
        <f>'16'!$G$77</f>
        <v>37</v>
      </c>
      <c r="AS20" s="257">
        <f>'16'!$G$78</f>
        <v>0.6000000000003638</v>
      </c>
      <c r="AT20" s="257">
        <f t="shared" si="0"/>
        <v>350.32000000015796</v>
      </c>
      <c r="AU20" s="255">
        <f>SUM('16'!G91:G92)</f>
        <v>9</v>
      </c>
      <c r="AV20" s="255">
        <f>'16'!$G$88</f>
        <v>4.7899999999972351</v>
      </c>
      <c r="AW20" s="255">
        <f>'16'!$G$89</f>
        <v>5.1300000000010186</v>
      </c>
      <c r="AX20" s="255">
        <f>'16'!$G$90</f>
        <v>6.9199999999982538</v>
      </c>
      <c r="AY20" s="253">
        <f t="shared" si="1"/>
        <v>16.839999999996508</v>
      </c>
      <c r="BA20" s="329">
        <f t="shared" si="6"/>
        <v>-66.840000000176587</v>
      </c>
      <c r="BB20" s="371">
        <f t="shared" si="3"/>
        <v>4493.8630000001358</v>
      </c>
      <c r="BC20" s="371">
        <f t="shared" si="4"/>
        <v>17.918199768101509</v>
      </c>
    </row>
    <row r="21" spans="1:55">
      <c r="A21" s="379">
        <v>17</v>
      </c>
      <c r="B21" s="55">
        <f>'17'!G7</f>
        <v>27041.900000000009</v>
      </c>
      <c r="C21" s="55">
        <f>'17'!G8</f>
        <v>27478.199999999997</v>
      </c>
      <c r="D21" s="55">
        <f>'17'!G15</f>
        <v>824.39999999990687</v>
      </c>
      <c r="E21" s="55">
        <f>'17'!G20</f>
        <v>255</v>
      </c>
      <c r="F21" s="55">
        <f>SUM('17'!G35,'17'!G49)</f>
        <v>3829.8799999999974</v>
      </c>
      <c r="G21" s="55">
        <f>SUM('17'!G37,'17'!G51)</f>
        <v>1696.0799999999872</v>
      </c>
      <c r="H21" s="55">
        <f>SUM('17'!G38,'17'!G52)</f>
        <v>1917.6999999999825</v>
      </c>
      <c r="I21" s="55">
        <f>SUM('17'!G39,'17'!G53)</f>
        <v>2980.359999999986</v>
      </c>
      <c r="J21" s="55">
        <f>SUM('17'!G41,'17'!G42,'17'!G55,'17'!G56)</f>
        <v>8791.7599999999948</v>
      </c>
      <c r="K21" s="55">
        <f>SUM('17'!G43,'17'!G57)</f>
        <v>3015.6000000000931</v>
      </c>
      <c r="L21" s="255">
        <f>'17'!G50</f>
        <v>1503.2800000000279</v>
      </c>
      <c r="M21" s="255">
        <f>'17'!G36</f>
        <v>1258.3600000000006</v>
      </c>
      <c r="N21" s="255">
        <f>'18 '!G138</f>
        <v>52</v>
      </c>
      <c r="O21" s="255">
        <f>'17'!$G$139</f>
        <v>1</v>
      </c>
      <c r="P21" s="255">
        <f>'17'!$G$140</f>
        <v>0</v>
      </c>
      <c r="Q21" s="255">
        <f>'17'!$G$141</f>
        <v>192.80000000000291</v>
      </c>
      <c r="R21" s="255">
        <f>'17'!$G$142</f>
        <v>16.430000000000291</v>
      </c>
      <c r="S21" s="255">
        <f>'17'!$G$145</f>
        <v>40.509999999999764</v>
      </c>
      <c r="T21" s="252">
        <f>'17'!$G$146</f>
        <v>309</v>
      </c>
      <c r="U21" s="252">
        <f>'17'!$G$144</f>
        <v>235</v>
      </c>
      <c r="V21" s="252">
        <f>'17'!$G$147</f>
        <v>460</v>
      </c>
      <c r="W21" s="252">
        <f>'17'!$G$148</f>
        <v>284.20000000006985</v>
      </c>
      <c r="X21" s="252">
        <f>'17'!$G$143</f>
        <v>29.230000000000018</v>
      </c>
      <c r="Y21" s="252">
        <f>'17'!$G$58</f>
        <v>214.57000000000698</v>
      </c>
      <c r="Z21" s="252">
        <f>'17'!$G$151</f>
        <v>280</v>
      </c>
      <c r="AA21" s="252">
        <f>'17'!G158</f>
        <v>30.92000000004191</v>
      </c>
      <c r="AB21" s="252">
        <f>'17'!G159</f>
        <v>37.799999999988358</v>
      </c>
      <c r="AC21" s="252">
        <f>'17'!G88</f>
        <v>9.5500000000029104</v>
      </c>
      <c r="AD21" s="252">
        <f>'17'!G160+'17'!H161</f>
        <v>171.19999999999709</v>
      </c>
      <c r="AE21" s="255">
        <f>'17'!$G$116</f>
        <v>0</v>
      </c>
      <c r="AF21" s="255">
        <f>'17'!$G$117</f>
        <v>18.759999999999991</v>
      </c>
      <c r="AG21" s="255">
        <f>'17'!$G$118</f>
        <v>420.82000000000698</v>
      </c>
      <c r="AH21" s="255">
        <f>'17'!$G$119</f>
        <v>460.81999999997788</v>
      </c>
      <c r="AI21" s="255">
        <f>'17'!$G$120</f>
        <v>437.1299999999992</v>
      </c>
      <c r="AJ21" s="255">
        <f>'17'!$G$121</f>
        <v>663.40999999997439</v>
      </c>
      <c r="AK21" s="255">
        <f>'17'!$G$122</f>
        <v>307.02999999999884</v>
      </c>
      <c r="AL21" s="255">
        <f>'17'!$G$123</f>
        <v>288.55999999999767</v>
      </c>
      <c r="AM21" s="255">
        <f>'17'!$G$133</f>
        <v>804.85000000000582</v>
      </c>
      <c r="AN21" s="255">
        <f>'17'!$G$15</f>
        <v>824.39999999990687</v>
      </c>
      <c r="AO21" s="257">
        <f>'17'!$G$74</f>
        <v>281.27000000001863</v>
      </c>
      <c r="AP21" s="257">
        <f>'17'!$G$75</f>
        <v>0</v>
      </c>
      <c r="AQ21" s="257">
        <f>'17'!$G$76</f>
        <v>131.60000000000582</v>
      </c>
      <c r="AR21" s="257">
        <f>'17'!$G$77</f>
        <v>41.599999999998545</v>
      </c>
      <c r="AS21" s="257">
        <f>'17'!$G$78</f>
        <v>2.3000000000010914</v>
      </c>
      <c r="AT21" s="257">
        <f t="shared" si="0"/>
        <v>367.62999999988278</v>
      </c>
      <c r="AU21" s="255">
        <f>SUM('17'!G91:G92)</f>
        <v>10.800000000000182</v>
      </c>
      <c r="AV21" s="255">
        <f>'17'!$G$88</f>
        <v>9.5500000000029104</v>
      </c>
      <c r="AW21" s="255">
        <f>'17'!$G$89</f>
        <v>0</v>
      </c>
      <c r="AX21" s="255">
        <f>'17'!$G$90</f>
        <v>9.6899999999877764</v>
      </c>
      <c r="AY21" s="253">
        <f t="shared" si="1"/>
        <v>19.239999999990687</v>
      </c>
      <c r="BA21" s="329">
        <f t="shared" si="6"/>
        <v>-86.359999999864158</v>
      </c>
      <c r="BB21" s="371">
        <f t="shared" si="3"/>
        <v>5032.2499999999491</v>
      </c>
      <c r="BC21" s="371">
        <f t="shared" si="4"/>
        <v>18.609084420843015</v>
      </c>
    </row>
    <row r="22" spans="1:55">
      <c r="A22" s="379">
        <v>18</v>
      </c>
      <c r="B22" s="55">
        <f>'18 '!G7</f>
        <v>26420.209999999992</v>
      </c>
      <c r="C22" s="55">
        <f>'18 '!G8</f>
        <v>26897.630000000005</v>
      </c>
      <c r="D22" s="55">
        <f>'18 '!G15</f>
        <v>783.80000000004657</v>
      </c>
      <c r="E22" s="55">
        <f>'18 '!G20</f>
        <v>337</v>
      </c>
      <c r="F22" s="55">
        <f>SUM('18 '!G35,'18 '!G49)</f>
        <v>1697.2799999999988</v>
      </c>
      <c r="G22" s="55">
        <f>SUM('18 '!G37,'18 '!G51)</f>
        <v>1804.6800000000076</v>
      </c>
      <c r="H22" s="55">
        <f>SUM('18 '!G38,'18 '!G52)</f>
        <v>1865.9700000000012</v>
      </c>
      <c r="I22" s="55">
        <f>SUM('18 '!G39,'18 '!G53)</f>
        <v>2891.1600000000326</v>
      </c>
      <c r="J22" s="55">
        <f>SUM('18 '!G41,'18 '!G42,'18 '!G55,'18 '!G56)</f>
        <v>8645.3099999999831</v>
      </c>
      <c r="K22" s="55">
        <f>SUM('18 '!G43,'18 '!G57)</f>
        <v>2870.3999999999069</v>
      </c>
      <c r="L22" s="255">
        <f>'18 '!G50</f>
        <v>1613.2799999999115</v>
      </c>
      <c r="M22" s="255">
        <f>'18 '!G36</f>
        <v>1112.4400000000023</v>
      </c>
      <c r="N22" s="255">
        <f>'18 '!G138</f>
        <v>52</v>
      </c>
      <c r="O22" s="255">
        <f>'18 '!$G$139</f>
        <v>0</v>
      </c>
      <c r="P22" s="255">
        <f>'18 '!$G$140</f>
        <v>8.6999999999970896</v>
      </c>
      <c r="Q22" s="255">
        <f>'18 '!$G$141</f>
        <v>190.76000000000204</v>
      </c>
      <c r="R22" s="255">
        <f>'18 '!$G$142</f>
        <v>16.610000000000582</v>
      </c>
      <c r="S22" s="255">
        <f>'18 '!$G$145</f>
        <v>39.630000000000109</v>
      </c>
      <c r="T22" s="252">
        <f>'18 '!$G$146</f>
        <v>346</v>
      </c>
      <c r="U22" s="252">
        <f>'18 '!$G$144</f>
        <v>247</v>
      </c>
      <c r="V22" s="257">
        <f>'18 '!$G$147</f>
        <v>468.8399999999674</v>
      </c>
      <c r="W22" s="257">
        <f>'18 '!$G$148</f>
        <v>244.1600000000326</v>
      </c>
      <c r="X22" s="257">
        <f>'18 '!$G$143</f>
        <v>22.759999999999991</v>
      </c>
      <c r="Y22" s="257">
        <f>'18 '!$G$58</f>
        <v>204.91000000000349</v>
      </c>
      <c r="Z22" s="257">
        <f>'18 '!$G$151</f>
        <v>258</v>
      </c>
      <c r="AA22" s="257">
        <f>'18 '!G158</f>
        <v>12.799999999988358</v>
      </c>
      <c r="AB22" s="252">
        <f>'18 '!G159</f>
        <v>40.100000000005821</v>
      </c>
      <c r="AC22" s="252">
        <f>'18 '!G88</f>
        <v>8.8899999999994179</v>
      </c>
      <c r="AD22" s="252">
        <f>'18 '!G160+'18 '!H161</f>
        <v>187.6200000000058</v>
      </c>
      <c r="AE22" s="255">
        <f>'18 '!$G$116</f>
        <v>0</v>
      </c>
      <c r="AF22" s="255">
        <f>'18 '!$G$117</f>
        <v>17.730000000000018</v>
      </c>
      <c r="AG22" s="255">
        <f>'18 '!$G$118</f>
        <v>408</v>
      </c>
      <c r="AH22" s="255">
        <f>'18 '!$G$119</f>
        <v>449.80000000001746</v>
      </c>
      <c r="AI22" s="255">
        <f>'18 '!$G$120</f>
        <v>423.0580000000009</v>
      </c>
      <c r="AJ22" s="255">
        <f>'18 '!$G$121</f>
        <v>672.0800000000163</v>
      </c>
      <c r="AK22" s="255">
        <f>'18 '!$G$122</f>
        <v>300.89999999999418</v>
      </c>
      <c r="AL22" s="255">
        <f>'18 '!$G$123</f>
        <v>276.72000000000116</v>
      </c>
      <c r="AM22" s="255">
        <f>'18 '!$G$133</f>
        <v>778.93000000000029</v>
      </c>
      <c r="AN22" s="255">
        <f>'18 '!$G$15</f>
        <v>783.80000000004657</v>
      </c>
      <c r="AO22" s="257">
        <f>'18 '!$G$74</f>
        <v>296.51000000000931</v>
      </c>
      <c r="AP22" s="257">
        <f>'18 '!$G$75</f>
        <v>-0.40000000000873115</v>
      </c>
      <c r="AQ22" s="257">
        <f>'18 '!$G$76</f>
        <v>106.20000000001164</v>
      </c>
      <c r="AR22" s="257">
        <f>'18 '!$G$77</f>
        <v>38.30000000000291</v>
      </c>
      <c r="AS22" s="257">
        <f>'18 '!$G$78</f>
        <v>2.0999999999985448</v>
      </c>
      <c r="AT22" s="257">
        <f t="shared" si="0"/>
        <v>341.09000000003289</v>
      </c>
      <c r="AU22" s="255">
        <f>SUM('18 '!G91:G92)</f>
        <v>10.390000000000327</v>
      </c>
      <c r="AV22" s="255">
        <f>'18 '!$G$88</f>
        <v>8.8899999999994179</v>
      </c>
      <c r="AW22" s="255">
        <f>'18 '!$G$89</f>
        <v>0</v>
      </c>
      <c r="AX22" s="255">
        <f>'18 '!$G$90</f>
        <v>7.7800000000133878</v>
      </c>
      <c r="AY22" s="253">
        <f t="shared" si="1"/>
        <v>16.670000000012806</v>
      </c>
      <c r="BA22" s="329">
        <f t="shared" si="6"/>
        <v>-44.580000000023574</v>
      </c>
      <c r="BB22" s="371">
        <f t="shared" si="3"/>
        <v>6917.920000000071</v>
      </c>
      <c r="BC22" s="371">
        <f t="shared" si="4"/>
        <v>26.184197627498317</v>
      </c>
    </row>
    <row r="23" spans="1:55" s="328" customFormat="1">
      <c r="A23" s="379">
        <v>19</v>
      </c>
      <c r="B23" s="55">
        <f>'19'!G7</f>
        <v>25465.64</v>
      </c>
      <c r="C23" s="55">
        <f>'19'!G8</f>
        <v>25802.360000000015</v>
      </c>
      <c r="D23" s="55">
        <f>'19'!G15</f>
        <v>785.5999999998603</v>
      </c>
      <c r="E23" s="55">
        <f>'19'!G20</f>
        <v>325</v>
      </c>
      <c r="F23" s="55">
        <f>SUM('19'!G35,'19'!G49)</f>
        <v>5620.0500000000029</v>
      </c>
      <c r="G23" s="55">
        <f>SUM('19'!G37,'19'!G51)</f>
        <v>1586.6300000000047</v>
      </c>
      <c r="H23" s="55">
        <f>SUM('19'!G38,'19'!G52)</f>
        <v>1808.7900000000081</v>
      </c>
      <c r="I23" s="55">
        <f>SUM('19'!G39,'19'!G53)</f>
        <v>2926.8999999999651</v>
      </c>
      <c r="J23" s="55">
        <f>SUM('19'!G41,'19'!G42,'19'!G55,'19'!G56)</f>
        <v>7972.4600000000501</v>
      </c>
      <c r="K23" s="55">
        <f>SUM('19'!G43,'19'!G57)</f>
        <v>2801.2000000001863</v>
      </c>
      <c r="L23" s="252">
        <f>'19'!G50</f>
        <v>1761.0400000000373</v>
      </c>
      <c r="M23" s="252">
        <f>'19'!G36</f>
        <v>807.41999999999825</v>
      </c>
      <c r="N23" s="252">
        <f>'19'!G138</f>
        <v>45</v>
      </c>
      <c r="O23" s="252">
        <f>'19'!$G$139</f>
        <v>2</v>
      </c>
      <c r="P23" s="252">
        <f>'19'!$G$140</f>
        <v>1.3000000000029104</v>
      </c>
      <c r="Q23" s="252">
        <f>'19'!$G$141</f>
        <v>200.29000000000087</v>
      </c>
      <c r="R23" s="255">
        <f>'19'!G142</f>
        <v>17.469999999997526</v>
      </c>
      <c r="S23" s="252">
        <f>'19'!$G$145</f>
        <v>46.150000000000091</v>
      </c>
      <c r="T23" s="252">
        <f>'19'!$G$146</f>
        <v>392</v>
      </c>
      <c r="U23" s="252">
        <f>'19'!$G$144</f>
        <v>237</v>
      </c>
      <c r="V23" s="252">
        <f>'19'!$G$147</f>
        <v>469.59999999997672</v>
      </c>
      <c r="W23" s="252">
        <f>'19'!$G$148</f>
        <v>256.15999999991618</v>
      </c>
      <c r="X23" s="252">
        <f>'19'!$G$143</f>
        <v>27.240000000000009</v>
      </c>
      <c r="Y23" s="252">
        <f>'19'!$G$58</f>
        <v>211.83999999999651</v>
      </c>
      <c r="Z23" s="252">
        <f>'19'!$G$151</f>
        <v>224</v>
      </c>
      <c r="AA23" s="252">
        <f>'19'!G158</f>
        <v>175.59999999997672</v>
      </c>
      <c r="AB23" s="252">
        <f>'19'!G159</f>
        <v>38.30000000000291</v>
      </c>
      <c r="AC23" s="252">
        <f>'19'!G88</f>
        <v>9.0000000000145519E-2</v>
      </c>
      <c r="AD23" s="252">
        <f>'19'!G160+'19'!H161</f>
        <v>175.69999999999436</v>
      </c>
      <c r="AE23" s="252">
        <f>'19'!$G$116</f>
        <v>0</v>
      </c>
      <c r="AF23" s="252">
        <f>'19'!$G$117</f>
        <v>20.900000000000091</v>
      </c>
      <c r="AG23" s="252">
        <f>'19'!$G$118</f>
        <v>399.48000000001048</v>
      </c>
      <c r="AH23" s="252">
        <f>'19'!$G$119</f>
        <v>429.33999999999651</v>
      </c>
      <c r="AI23" s="252">
        <f>'19'!$G$120</f>
        <v>435.96199999999953</v>
      </c>
      <c r="AJ23" s="252">
        <f>'19'!$G$121</f>
        <v>752.80999999999767</v>
      </c>
      <c r="AK23" s="252">
        <f>'19'!$G$122</f>
        <v>305.52999999999884</v>
      </c>
      <c r="AL23" s="252">
        <f>'19'!$G$123</f>
        <v>262.73999999999069</v>
      </c>
      <c r="AM23" s="252">
        <f>'19'!$G$133</f>
        <v>793.14999999999418</v>
      </c>
      <c r="AN23" s="252">
        <f>'19'!$G$15</f>
        <v>785.5999999998603</v>
      </c>
      <c r="AO23" s="257">
        <f>'19'!$G$74</f>
        <v>286.02000000001863</v>
      </c>
      <c r="AP23" s="257">
        <f>'19'!$G$75</f>
        <v>0.40000000000873115</v>
      </c>
      <c r="AQ23" s="257">
        <f>'19'!$G$76</f>
        <v>125.69999999998254</v>
      </c>
      <c r="AR23" s="257">
        <f>'19'!$G$77</f>
        <v>39.900000000001455</v>
      </c>
      <c r="AS23" s="257">
        <f>'19'!$G$78</f>
        <v>1.6000000000003638</v>
      </c>
      <c r="AT23" s="257">
        <f t="shared" si="0"/>
        <v>331.97999999984859</v>
      </c>
      <c r="AU23" s="252">
        <f>SUM('19'!G91:G92)</f>
        <v>9.9799999999995634</v>
      </c>
      <c r="AV23" s="252">
        <f>'19'!$G$88</f>
        <v>9.0000000000145519E-2</v>
      </c>
      <c r="AW23" s="252">
        <f>'19'!$G$89</f>
        <v>10.549999999999272</v>
      </c>
      <c r="AX23" s="252">
        <f>'19'!$G$90</f>
        <v>6.5399999999935972</v>
      </c>
      <c r="AY23" s="256">
        <f t="shared" si="1"/>
        <v>17.179999999993015</v>
      </c>
      <c r="BA23" s="330">
        <f t="shared" si="6"/>
        <v>-45.959999999829961</v>
      </c>
      <c r="BB23" s="371">
        <f t="shared" si="3"/>
        <v>2874.4899999998015</v>
      </c>
      <c r="BC23" s="371">
        <f t="shared" si="4"/>
        <v>11.28771945256354</v>
      </c>
    </row>
    <row r="24" spans="1:55">
      <c r="A24" s="379">
        <v>20</v>
      </c>
      <c r="B24" s="55">
        <f>'20'!G7</f>
        <v>26409.039999999994</v>
      </c>
      <c r="C24" s="55">
        <f>'20'!G8</f>
        <v>26883.199999999983</v>
      </c>
      <c r="D24" s="55">
        <f>'20'!G15</f>
        <v>1135.2800000000279</v>
      </c>
      <c r="E24" s="55">
        <f>'20'!G20</f>
        <v>271</v>
      </c>
      <c r="F24" s="55">
        <f>SUM('20'!G35,'20'!G49)</f>
        <v>3684.0000000000146</v>
      </c>
      <c r="G24" s="55">
        <f>SUM('20'!G37,'20'!G51)</f>
        <v>1650.3099999999977</v>
      </c>
      <c r="H24" s="55">
        <f>SUM('20'!G38,'20'!G52)</f>
        <v>1897.070000000007</v>
      </c>
      <c r="I24" s="55">
        <f>SUM('20'!G39,'20'!G53)</f>
        <v>2942.6000000000349</v>
      </c>
      <c r="J24" s="55">
        <f>SUM('20'!G41,'20'!G42,'20'!G55,'20'!G56)</f>
        <v>8670.2199999999721</v>
      </c>
      <c r="K24" s="55">
        <f>SUM('20'!G43,'20'!G57)</f>
        <v>2977.0999999998603</v>
      </c>
      <c r="L24" s="255">
        <f>'20'!G50</f>
        <v>1214.9599999999627</v>
      </c>
      <c r="M24" s="255">
        <f>'20'!G36</f>
        <v>1243.5899999999965</v>
      </c>
      <c r="N24" s="255">
        <f>'20'!G138</f>
        <v>46</v>
      </c>
      <c r="O24" s="255">
        <f>'20'!$G$139</f>
        <v>1</v>
      </c>
      <c r="P24" s="255">
        <f>'20'!$G$140</f>
        <v>1</v>
      </c>
      <c r="Q24" s="255">
        <f>'20'!$G$141</f>
        <v>205.97999999999593</v>
      </c>
      <c r="R24" s="255">
        <f>'20'!$G$142</f>
        <v>17.590000000000146</v>
      </c>
      <c r="S24" s="255">
        <f>'20'!$G$145</f>
        <v>47.389999999999873</v>
      </c>
      <c r="T24" s="252">
        <f>'20'!$G$146</f>
        <v>463</v>
      </c>
      <c r="U24" s="252">
        <f>'20'!$G$144</f>
        <v>231</v>
      </c>
      <c r="V24" s="252">
        <f>'20'!$G$147</f>
        <v>424.76000000000931</v>
      </c>
      <c r="W24" s="252">
        <f>'20'!$G$148</f>
        <v>337.08000000007451</v>
      </c>
      <c r="X24" s="252">
        <f>'20'!$G$143</f>
        <v>29.529999999999973</v>
      </c>
      <c r="Y24" s="252">
        <f>'20'!$G$58</f>
        <v>215.19999999999709</v>
      </c>
      <c r="Z24" s="252">
        <f>'20'!$G$151</f>
        <v>261</v>
      </c>
      <c r="AA24" s="252">
        <f>'20'!G158</f>
        <v>18.840000000025611</v>
      </c>
      <c r="AB24" s="252">
        <f>'20'!G159</f>
        <v>27.19999999999709</v>
      </c>
      <c r="AC24" s="252">
        <f>'20'!G88</f>
        <v>10.049999999999272</v>
      </c>
      <c r="AD24" s="252">
        <f>'20'!G160+'20'!H161</f>
        <v>114.80000000000564</v>
      </c>
      <c r="AE24" s="255">
        <f>'20'!$G$116</f>
        <v>0</v>
      </c>
      <c r="AF24" s="255">
        <f>'20'!$G$117</f>
        <v>20.629999999999882</v>
      </c>
      <c r="AG24" s="255">
        <f>'20'!$G$118</f>
        <v>366.63999999998487</v>
      </c>
      <c r="AH24" s="255">
        <f>'20'!$G$119</f>
        <v>442.98000000001048</v>
      </c>
      <c r="AI24" s="255">
        <f>'20'!$G$120</f>
        <v>441.89999999999964</v>
      </c>
      <c r="AJ24" s="255">
        <f>'20'!$G$121</f>
        <v>761.34999999997672</v>
      </c>
      <c r="AK24" s="255">
        <f>'20'!$G$122</f>
        <v>320.06000000001222</v>
      </c>
      <c r="AL24" s="255">
        <f>'20'!$G$123</f>
        <v>283.07000000000698</v>
      </c>
      <c r="AM24" s="255">
        <f>'20'!$G$133</f>
        <v>854.41000000000349</v>
      </c>
      <c r="AN24" s="255">
        <f>'20'!$G$15</f>
        <v>1135.2800000000279</v>
      </c>
      <c r="AO24" s="257">
        <f>'20'!$G$74</f>
        <v>284.36999999999534</v>
      </c>
      <c r="AP24" s="257">
        <f>'20'!$G$75</f>
        <v>0</v>
      </c>
      <c r="AQ24" s="257">
        <f>'20'!$G$76</f>
        <v>126.82000000000698</v>
      </c>
      <c r="AR24" s="257">
        <f>'20'!$G$77</f>
        <v>65.19999999999709</v>
      </c>
      <c r="AS24" s="257">
        <f>'20'!$G$78</f>
        <v>5.6000000000003638</v>
      </c>
      <c r="AT24" s="257">
        <f t="shared" si="0"/>
        <v>653.29000000002816</v>
      </c>
      <c r="AU24" s="255">
        <f>SUM('20'!G91:G92)</f>
        <v>9.930000000000291</v>
      </c>
      <c r="AV24" s="255">
        <f>'20'!$G$88</f>
        <v>10.049999999999272</v>
      </c>
      <c r="AW24" s="255">
        <f>'20'!$G$89</f>
        <v>0</v>
      </c>
      <c r="AX24" s="255">
        <f>'20'!$G$90</f>
        <v>7.7899999999935972</v>
      </c>
      <c r="AY24" s="253">
        <f t="shared" si="1"/>
        <v>17.83999999999287</v>
      </c>
      <c r="BA24" s="329">
        <f t="shared" si="6"/>
        <v>-368.92000000003281</v>
      </c>
      <c r="BB24" s="371">
        <f t="shared" si="3"/>
        <v>4846.700000000099</v>
      </c>
      <c r="BC24" s="371">
        <f t="shared" si="4"/>
        <v>18.352427805024721</v>
      </c>
    </row>
    <row r="25" spans="1:55">
      <c r="A25" s="379">
        <v>21</v>
      </c>
      <c r="B25" s="55">
        <f>'21'!G7</f>
        <v>27181.660000000003</v>
      </c>
      <c r="C25" s="55">
        <f>'21'!G8</f>
        <v>27602.040000000008</v>
      </c>
      <c r="D25" s="55">
        <f>'21'!G15</f>
        <v>1044.0400000000373</v>
      </c>
      <c r="E25" s="55">
        <f>'21'!G20</f>
        <v>276</v>
      </c>
      <c r="F25" s="55">
        <f>SUM('21'!G35,'21'!G49)</f>
        <v>3680.5800000000017</v>
      </c>
      <c r="G25" s="55">
        <f>SUM('21'!G37,'21'!G51)</f>
        <v>1626.5800000000017</v>
      </c>
      <c r="H25" s="55">
        <f>SUM('21'!G38,'21'!G52)</f>
        <v>1956.1399999999849</v>
      </c>
      <c r="I25" s="55">
        <f>SUM('21'!G39,'21'!G53)</f>
        <v>2957.140000000014</v>
      </c>
      <c r="J25" s="55">
        <f>SUM('21'!G41,'21'!G42,'21'!G55,'21'!G56)</f>
        <v>8485.4599999999919</v>
      </c>
      <c r="K25" s="55">
        <f>SUM('21'!G43,'21'!G57)</f>
        <v>3011.8000000000466</v>
      </c>
      <c r="L25" s="255">
        <f>'21'!G50</f>
        <v>1735.0400000000373</v>
      </c>
      <c r="M25" s="255">
        <f>'21'!G36</f>
        <v>1542.0899999999965</v>
      </c>
      <c r="N25" s="255">
        <f>'21'!G138</f>
        <v>63</v>
      </c>
      <c r="O25" s="255">
        <f>'21'!$G$139</f>
        <v>22</v>
      </c>
      <c r="P25" s="255">
        <f>'21'!$G$140</f>
        <v>1.3999999999941792</v>
      </c>
      <c r="Q25" s="255">
        <f>'21'!$G$141</f>
        <v>200.04000000000087</v>
      </c>
      <c r="R25" s="255">
        <f>'21'!$G$142</f>
        <v>15.600000000002183</v>
      </c>
      <c r="S25" s="255">
        <f>'21'!$G$145</f>
        <v>41.740000000000236</v>
      </c>
      <c r="T25" s="252">
        <f>'21'!$G$146</f>
        <v>465</v>
      </c>
      <c r="U25" s="252">
        <f>'21'!$G$144</f>
        <v>242</v>
      </c>
      <c r="V25" s="252">
        <f>'21'!$G$147</f>
        <v>509.64000000001397</v>
      </c>
      <c r="W25" s="252">
        <f>'21'!$G$148</f>
        <v>481.95999999996275</v>
      </c>
      <c r="X25" s="252">
        <f>'21'!$G$143</f>
        <v>28.009999999999991</v>
      </c>
      <c r="Y25" s="252">
        <f>'21'!$G$58</f>
        <v>192.86000000000058</v>
      </c>
      <c r="Z25" s="252">
        <f>'21'!$G$151</f>
        <v>287</v>
      </c>
      <c r="AA25" s="252">
        <f>'21'!G158</f>
        <v>19.669999999983702</v>
      </c>
      <c r="AB25" s="252">
        <f>'21'!G159</f>
        <v>19.19999999999709</v>
      </c>
      <c r="AC25" s="252">
        <f>'21'!G88</f>
        <v>8.9599999999991269</v>
      </c>
      <c r="AD25" s="252">
        <f>'21'!G160+'21'!H161</f>
        <v>111.099999999994</v>
      </c>
      <c r="AE25" s="255">
        <f>'21'!$G$116</f>
        <v>0</v>
      </c>
      <c r="AF25" s="255">
        <f>'21'!$G$117</f>
        <v>19.960000000000036</v>
      </c>
      <c r="AG25" s="255">
        <f>'21'!$G$118</f>
        <v>343.20000000001164</v>
      </c>
      <c r="AH25" s="255">
        <f>'21'!$G$119</f>
        <v>419.29999999998836</v>
      </c>
      <c r="AI25" s="255">
        <f>'21'!$G$120</f>
        <v>412.3700000000008</v>
      </c>
      <c r="AJ25" s="255">
        <f>'21'!$G$121</f>
        <v>756.24000000004889</v>
      </c>
      <c r="AK25" s="255">
        <f>'21'!$G$122</f>
        <v>321.20999999999185</v>
      </c>
      <c r="AL25" s="255">
        <f>'21'!$G$123</f>
        <v>288.95000000001164</v>
      </c>
      <c r="AM25" s="255">
        <f>'21'!$G$133</f>
        <v>916.51000000000204</v>
      </c>
      <c r="AN25" s="255">
        <f>'21'!$G$15</f>
        <v>1044.0400000000373</v>
      </c>
      <c r="AO25" s="257">
        <f>'21'!$G$74</f>
        <v>288.97999999998137</v>
      </c>
      <c r="AP25" s="257">
        <f>'21'!$G$75</f>
        <v>0</v>
      </c>
      <c r="AQ25" s="257">
        <f>'21'!$G$76</f>
        <v>113.67999999999302</v>
      </c>
      <c r="AR25" s="257">
        <f>'21'!$G$77</f>
        <v>48.099999999998545</v>
      </c>
      <c r="AS25" s="257">
        <f>'21'!$G$78</f>
        <v>2.6000000000003638</v>
      </c>
      <c r="AT25" s="257">
        <f t="shared" si="0"/>
        <v>590.68000000006396</v>
      </c>
      <c r="AU25" s="255">
        <f>SUM('21'!G91:G92)</f>
        <v>10.109999999999673</v>
      </c>
      <c r="AV25" s="255">
        <f>'21'!$G$88</f>
        <v>8.9599999999991269</v>
      </c>
      <c r="AW25" s="255">
        <f>'21'!$G$89</f>
        <v>0</v>
      </c>
      <c r="AX25" s="255">
        <f>'21'!$G$90</f>
        <v>5.9800000000104774</v>
      </c>
      <c r="AY25" s="253">
        <f t="shared" si="1"/>
        <v>14.940000000009604</v>
      </c>
      <c r="BA25" s="329">
        <f t="shared" si="6"/>
        <v>-301.70000000008258</v>
      </c>
      <c r="BB25" s="371">
        <f t="shared" si="3"/>
        <v>5691.4799999999668</v>
      </c>
      <c r="BC25" s="371">
        <f t="shared" si="4"/>
        <v>20.938677034441479</v>
      </c>
    </row>
    <row r="26" spans="1:55">
      <c r="A26" s="379">
        <v>22</v>
      </c>
      <c r="B26" s="55">
        <f>'22'!G7</f>
        <v>25478.459999999992</v>
      </c>
      <c r="C26" s="55">
        <f>'22'!G8</f>
        <v>25787.660000000003</v>
      </c>
      <c r="D26" s="55">
        <f>'22'!G15</f>
        <v>1044.0400000000373</v>
      </c>
      <c r="E26" s="55">
        <f>'22'!G20</f>
        <v>260</v>
      </c>
      <c r="F26" s="55">
        <f>SUM('22'!G35,'22'!G49)</f>
        <v>3667.2199999999866</v>
      </c>
      <c r="G26" s="55">
        <f>SUM('22'!G37,'22'!G51)</f>
        <v>1656.1300000000047</v>
      </c>
      <c r="H26" s="55">
        <f>SUM('22'!G38,'22'!G52)</f>
        <v>1904.179999999993</v>
      </c>
      <c r="I26" s="55">
        <f>SUM('22'!G39,'22'!G53)</f>
        <v>3001.5</v>
      </c>
      <c r="J26" s="55">
        <f>SUM('22'!G41,'22'!G42,'22'!G55,'22'!G56)</f>
        <v>7664.8700000000536</v>
      </c>
      <c r="K26" s="55">
        <f>SUM('22'!G43,'22'!G57)</f>
        <v>2913.1999999999534</v>
      </c>
      <c r="L26" s="255">
        <f>'22'!G50</f>
        <v>1158</v>
      </c>
      <c r="M26" s="255">
        <f>'22'!G36</f>
        <v>1392.4100000000035</v>
      </c>
      <c r="N26" s="255">
        <f>'22'!G138</f>
        <v>39</v>
      </c>
      <c r="O26" s="255">
        <f>'22'!$G$139</f>
        <v>0</v>
      </c>
      <c r="P26" s="255">
        <f>'22'!$G$140</f>
        <v>0.60000000000582077</v>
      </c>
      <c r="Q26" s="255">
        <f>'22'!$G$141</f>
        <v>200.09000000000378</v>
      </c>
      <c r="R26" s="255">
        <f>'22'!$G$142</f>
        <v>17.009999999998399</v>
      </c>
      <c r="S26" s="255">
        <f>'22'!$G$145</f>
        <v>45.5</v>
      </c>
      <c r="T26" s="252">
        <f>'22'!$G$146</f>
        <v>469</v>
      </c>
      <c r="U26" s="252">
        <f>'22'!$G$144</f>
        <v>247</v>
      </c>
      <c r="V26" s="252">
        <f>'22'!$G$147</f>
        <v>497</v>
      </c>
      <c r="W26" s="252">
        <f>'22'!$G$148</f>
        <v>444.8399999999674</v>
      </c>
      <c r="X26" s="252">
        <f>'22'!$G$143</f>
        <v>33.650000000000091</v>
      </c>
      <c r="Y26" s="252">
        <f>'22'!$G$58</f>
        <v>210.05999999999767</v>
      </c>
      <c r="Z26" s="252">
        <f>'22'!$G$151</f>
        <v>275</v>
      </c>
      <c r="AA26" s="252">
        <f>'22'!G158</f>
        <v>30.809999999997672</v>
      </c>
      <c r="AB26" s="252">
        <f>'22'!G159</f>
        <v>34.30000000000291</v>
      </c>
      <c r="AC26" s="252">
        <f>'22'!G88</f>
        <v>8.930000000000291</v>
      </c>
      <c r="AD26" s="252">
        <f>'22'!G160+'22'!H161</f>
        <v>188.00000000001182</v>
      </c>
      <c r="AE26" s="255">
        <f>'22'!$G$116</f>
        <v>0</v>
      </c>
      <c r="AF26" s="255">
        <f>'22'!$G$117</f>
        <v>19.799999999999955</v>
      </c>
      <c r="AG26" s="255">
        <f>'22'!$G$118</f>
        <v>413.27999999999884</v>
      </c>
      <c r="AH26" s="255">
        <f>'22'!$G$119</f>
        <v>420.77999999999884</v>
      </c>
      <c r="AI26" s="255">
        <f>'22'!$G$120</f>
        <v>425.32999999999993</v>
      </c>
      <c r="AJ26" s="255">
        <f>'22'!$G$121</f>
        <v>777.15999999997439</v>
      </c>
      <c r="AK26" s="255">
        <f>'22'!$G$122</f>
        <v>348.29000000000815</v>
      </c>
      <c r="AL26" s="255">
        <f>'22'!$G$123</f>
        <v>285.54999999998836</v>
      </c>
      <c r="AM26" s="255">
        <f>'22'!$G$133</f>
        <v>852.47999999999593</v>
      </c>
      <c r="AN26" s="255">
        <f>'22'!$G$15</f>
        <v>1044.0400000000373</v>
      </c>
      <c r="AO26" s="257">
        <f>'22'!$G$74</f>
        <v>297.27000000001863</v>
      </c>
      <c r="AP26" s="257">
        <f>'22'!$G$75</f>
        <v>0</v>
      </c>
      <c r="AQ26" s="257">
        <f>'22'!$G$76</f>
        <v>127.70000000001164</v>
      </c>
      <c r="AR26" s="257">
        <f>'22'!$G$77</f>
        <v>35.900000000001455</v>
      </c>
      <c r="AS26" s="257">
        <f>'22'!$G$78</f>
        <v>4</v>
      </c>
      <c r="AT26" s="257">
        <f t="shared" si="0"/>
        <v>579.17000000000553</v>
      </c>
      <c r="AU26" s="255">
        <f>SUM('22'!G91:G92)</f>
        <v>10.480000000000473</v>
      </c>
      <c r="AV26" s="255">
        <f>'22'!$G$88</f>
        <v>8.930000000000291</v>
      </c>
      <c r="AW26" s="255">
        <f>'22'!$G$89</f>
        <v>0</v>
      </c>
      <c r="AX26" s="255">
        <f>'22'!$G$90</f>
        <v>6.3799999999901047</v>
      </c>
      <c r="AY26" s="253">
        <f t="shared" si="1"/>
        <v>15.309999999990396</v>
      </c>
      <c r="BA26" s="329">
        <f t="shared" si="6"/>
        <v>-281.8999999999869</v>
      </c>
      <c r="BB26" s="371">
        <f t="shared" si="3"/>
        <v>4770.5000000000146</v>
      </c>
      <c r="BC26" s="371">
        <f t="shared" si="4"/>
        <v>18.723659122254706</v>
      </c>
    </row>
    <row r="27" spans="1:55">
      <c r="A27" s="379">
        <v>23</v>
      </c>
      <c r="B27" s="55">
        <f>'23'!G7</f>
        <v>27714.300000000017</v>
      </c>
      <c r="C27" s="55">
        <f>'23'!G8</f>
        <v>28205.540000000008</v>
      </c>
      <c r="D27" s="55">
        <f>'23'!G15</f>
        <v>1060.3199999998324</v>
      </c>
      <c r="E27" s="55">
        <f>'23'!G20</f>
        <v>233</v>
      </c>
      <c r="F27" s="55">
        <f>SUM('23'!G35,'23'!G49)</f>
        <v>3702.640000000014</v>
      </c>
      <c r="G27" s="55">
        <f>SUM('23'!G37,'23'!G51)</f>
        <v>1625.3399999999965</v>
      </c>
      <c r="H27" s="55">
        <f>SUM('23'!G38,'23'!G52)</f>
        <v>1918.3000000000175</v>
      </c>
      <c r="I27" s="55">
        <f>SUM('23'!G39,'23'!G53)</f>
        <v>3091.3399999999674</v>
      </c>
      <c r="J27" s="55">
        <f>SUM('23'!G41,'23'!G42,'23'!G55,'23'!G56)</f>
        <v>9030.9700000000012</v>
      </c>
      <c r="K27" s="55">
        <f>SUM('23'!G43,'23'!G57)</f>
        <v>3055.6000000000931</v>
      </c>
      <c r="L27" s="255">
        <f>'23'!G50</f>
        <v>1756.8800000000047</v>
      </c>
      <c r="M27" s="255">
        <f>'23'!G36</f>
        <v>1366.8800000000047</v>
      </c>
      <c r="N27" s="255">
        <f>'23'!G138</f>
        <v>29</v>
      </c>
      <c r="O27" s="255">
        <f>'23'!G139</f>
        <v>0</v>
      </c>
      <c r="P27" s="255">
        <f>'23'!$G$140</f>
        <v>5.1000000000058208</v>
      </c>
      <c r="Q27" s="255">
        <f>'23'!$G$141</f>
        <v>213.45999999999913</v>
      </c>
      <c r="R27" s="255">
        <f>'23'!$G$142</f>
        <v>16.450000000000728</v>
      </c>
      <c r="S27" s="255">
        <f>'23'!$G$145</f>
        <v>48.099999999999909</v>
      </c>
      <c r="T27" s="252">
        <f>'23'!$G$146</f>
        <v>505</v>
      </c>
      <c r="U27" s="252">
        <f>'23'!$G$144</f>
        <v>238</v>
      </c>
      <c r="V27" s="252">
        <f>'23'!$G$147</f>
        <v>500</v>
      </c>
      <c r="W27" s="252">
        <f>'23'!$G$148</f>
        <v>534.88000000000466</v>
      </c>
      <c r="X27" s="252">
        <f>'23'!$G$143</f>
        <v>27.309999999999945</v>
      </c>
      <c r="Y27" s="252">
        <f>'23'!$G$58</f>
        <v>209.01000000000931</v>
      </c>
      <c r="Z27" s="264">
        <f>'23'!$G$151</f>
        <v>298</v>
      </c>
      <c r="AA27" s="252">
        <f>'23'!$G$158</f>
        <v>319.0800000000163</v>
      </c>
      <c r="AB27" s="252">
        <f>'23'!G159</f>
        <v>36</v>
      </c>
      <c r="AC27" s="252">
        <f>'23'!G88</f>
        <v>1.8699999999989814</v>
      </c>
      <c r="AD27" s="252">
        <f>'23'!G160+'23'!H161</f>
        <v>196.49999999999727</v>
      </c>
      <c r="AE27" s="255">
        <f>'23'!$G$116</f>
        <v>0</v>
      </c>
      <c r="AF27" s="255">
        <f>'23'!$G$117</f>
        <v>19.670000000000073</v>
      </c>
      <c r="AG27" s="255">
        <f>'23'!$G$118</f>
        <v>419.88000000000466</v>
      </c>
      <c r="AH27" s="255">
        <f>'23'!$G$119</f>
        <v>419.89999999999418</v>
      </c>
      <c r="AI27" s="255">
        <f>'23'!$G$120</f>
        <v>430.43999999999869</v>
      </c>
      <c r="AJ27" s="255">
        <f>'23'!$G$121</f>
        <v>763.84000000002561</v>
      </c>
      <c r="AK27" s="255">
        <f>'23'!$G$122</f>
        <v>343.67999999999302</v>
      </c>
      <c r="AL27" s="255">
        <f>'23'!$G$123</f>
        <v>274.61999999999534</v>
      </c>
      <c r="AM27" s="255">
        <f>'23'!$G$133</f>
        <v>890.36000000000058</v>
      </c>
      <c r="AN27" s="255">
        <f>'23'!$G$15</f>
        <v>1060.3199999998324</v>
      </c>
      <c r="AO27" s="257">
        <f>'23'!$G$74</f>
        <v>288.31999999994878</v>
      </c>
      <c r="AP27" s="257">
        <f>'23'!$G$75</f>
        <v>0</v>
      </c>
      <c r="AQ27" s="257">
        <f>'23'!$G$76</f>
        <v>120.10000000000582</v>
      </c>
      <c r="AR27" s="257">
        <f>'23'!$G$77</f>
        <v>51</v>
      </c>
      <c r="AS27" s="257">
        <f>'23'!$G$78</f>
        <v>2.1999999999989086</v>
      </c>
      <c r="AT27" s="257">
        <f t="shared" si="0"/>
        <v>598.69999999987886</v>
      </c>
      <c r="AU27" s="255">
        <f>SUM('23'!G91:G92)</f>
        <v>10.159999999999854</v>
      </c>
      <c r="AV27" s="255">
        <f>'23'!$G$88</f>
        <v>1.8699999999989814</v>
      </c>
      <c r="AW27" s="255">
        <f>'23'!$G$89</f>
        <v>8.3899999999994179</v>
      </c>
      <c r="AX27" s="255">
        <f>'23'!$G$90</f>
        <v>5.4700000000011642</v>
      </c>
      <c r="AY27" s="253">
        <f t="shared" si="1"/>
        <v>15.729999999999563</v>
      </c>
      <c r="BA27" s="329">
        <f t="shared" si="6"/>
        <v>-310.37999999993008</v>
      </c>
      <c r="BB27" s="371">
        <f t="shared" si="3"/>
        <v>5572.3399999999092</v>
      </c>
      <c r="BC27" s="371">
        <f t="shared" si="4"/>
        <v>20.106371079189824</v>
      </c>
    </row>
    <row r="28" spans="1:55" s="331" customFormat="1">
      <c r="A28" s="379">
        <v>24</v>
      </c>
      <c r="B28" s="55">
        <f>'24'!G7</f>
        <v>26164.089999999997</v>
      </c>
      <c r="C28" s="55">
        <f>'24'!G8</f>
        <v>26510.669999999984</v>
      </c>
      <c r="D28" s="55">
        <f>'24'!G15</f>
        <v>1071.6000000000931</v>
      </c>
      <c r="E28" s="55">
        <f>'24'!G20</f>
        <v>235</v>
      </c>
      <c r="F28" s="55">
        <f>SUM('24'!G35,'24'!G49)</f>
        <v>3640.7899999999936</v>
      </c>
      <c r="G28" s="55">
        <f>SUM('24'!G37,'24'!G51)</f>
        <v>1598.929999999993</v>
      </c>
      <c r="H28" s="55">
        <f>SUM('24'!G38,'24'!G52)</f>
        <v>1926.4599999999919</v>
      </c>
      <c r="I28" s="55">
        <f>SUM('24'!G39,'24'!G53)</f>
        <v>2994.5100000000093</v>
      </c>
      <c r="J28" s="55">
        <f>SUM('24'!G41,'24'!G42,'24'!G55,'24'!G56)</f>
        <v>8544.2300000000105</v>
      </c>
      <c r="K28" s="55">
        <f>SUM('24'!G43,'24'!G57)</f>
        <v>2995.6999999999534</v>
      </c>
      <c r="L28" s="255">
        <f>'24'!G50</f>
        <v>1395.1300000000047</v>
      </c>
      <c r="M28" s="252">
        <f>'24'!G36</f>
        <v>878.86999999999534</v>
      </c>
      <c r="N28" s="252">
        <f>'24'!G138</f>
        <v>57</v>
      </c>
      <c r="O28" s="252">
        <f>'24'!G139</f>
        <v>6</v>
      </c>
      <c r="P28" s="252">
        <f>'24'!$G$140</f>
        <v>-0.10000000000582077</v>
      </c>
      <c r="Q28" s="252">
        <f>'24'!$G$141</f>
        <v>212.87999999999738</v>
      </c>
      <c r="R28" s="252">
        <f>'24'!$G$142</f>
        <v>15.549999999999272</v>
      </c>
      <c r="S28" s="252">
        <f>'24'!$G$145</f>
        <v>44.269999999999982</v>
      </c>
      <c r="T28" s="252">
        <f>'24'!$G$146</f>
        <v>446</v>
      </c>
      <c r="U28" s="252">
        <f>'24'!$G$144</f>
        <v>229</v>
      </c>
      <c r="V28" s="252">
        <f>'24'!$G$147</f>
        <v>395.35999999998603</v>
      </c>
      <c r="W28" s="252">
        <f>'24'!$G$148</f>
        <v>237.28000000002794</v>
      </c>
      <c r="X28" s="252">
        <f>'24'!$G$143</f>
        <v>27.5</v>
      </c>
      <c r="Y28" s="252">
        <f>'24'!$G$58</f>
        <v>209.67999999999302</v>
      </c>
      <c r="Z28" s="252">
        <f>'24'!$G$151</f>
        <v>285</v>
      </c>
      <c r="AA28" s="252">
        <f>'24'!G158</f>
        <v>221.55999999999767</v>
      </c>
      <c r="AB28" s="252">
        <f>'24'!G159</f>
        <v>41</v>
      </c>
      <c r="AC28" s="252">
        <f>'24'!G88</f>
        <v>0</v>
      </c>
      <c r="AD28" s="252">
        <f>'24'!G160+'24'!H161</f>
        <v>155.19999999999709</v>
      </c>
      <c r="AE28" s="252">
        <f>'24'!$G$116</f>
        <v>0</v>
      </c>
      <c r="AF28" s="252">
        <f>'24'!$G$117</f>
        <v>20.309999999999945</v>
      </c>
      <c r="AG28" s="252">
        <f>'24'!$G$118</f>
        <v>381.20999999999185</v>
      </c>
      <c r="AH28" s="252">
        <f>'24'!$G$119</f>
        <v>390.07000000000698</v>
      </c>
      <c r="AI28" s="252">
        <f>'24'!$G$120</f>
        <v>426.95000000000073</v>
      </c>
      <c r="AJ28" s="252">
        <f>'24'!$G$121</f>
        <v>786.40999999997439</v>
      </c>
      <c r="AK28" s="252">
        <f>'24'!$G$122</f>
        <v>345.5</v>
      </c>
      <c r="AL28" s="252">
        <f>'24'!$G$123</f>
        <v>262.79000000000815</v>
      </c>
      <c r="AM28" s="252">
        <f>'24'!$G$133</f>
        <v>807.61000000000058</v>
      </c>
      <c r="AN28" s="252">
        <f>'24'!$G$15</f>
        <v>1071.6000000000931</v>
      </c>
      <c r="AO28" s="257">
        <f>'24'!$G$74</f>
        <v>281.29000000003725</v>
      </c>
      <c r="AP28" s="257">
        <f>'24'!$G$75</f>
        <v>0</v>
      </c>
      <c r="AQ28" s="257">
        <f>'24'!$G$76</f>
        <v>130.89999999999418</v>
      </c>
      <c r="AR28" s="257">
        <f>'24'!$G$77</f>
        <v>47</v>
      </c>
      <c r="AS28" s="257">
        <f>'24'!$G$78</f>
        <v>6.2000000000007276</v>
      </c>
      <c r="AT28" s="257">
        <f>AN28-SUM(AO28:AS28)</f>
        <v>606.21000000006097</v>
      </c>
      <c r="AU28" s="252">
        <f>SUM('24'!G91:G92)</f>
        <v>9.8299999999999272</v>
      </c>
      <c r="AV28" s="252">
        <f>'24'!$G$88</f>
        <v>0</v>
      </c>
      <c r="AW28" s="252">
        <f>'24'!$G$89</f>
        <v>10.25</v>
      </c>
      <c r="AX28" s="252">
        <f>'24'!$G$90</f>
        <v>5.3800000000046566</v>
      </c>
      <c r="AY28" s="256">
        <f t="shared" si="1"/>
        <v>15.630000000004657</v>
      </c>
      <c r="BA28" s="332">
        <f t="shared" si="6"/>
        <v>-324.92000000002372</v>
      </c>
      <c r="BB28" s="371">
        <f t="shared" si="3"/>
        <v>4600.370000000039</v>
      </c>
      <c r="BC28" s="371">
        <f t="shared" si="4"/>
        <v>17.582763245349025</v>
      </c>
    </row>
    <row r="29" spans="1:55">
      <c r="A29" s="379">
        <v>25</v>
      </c>
      <c r="B29" s="55">
        <f>'25'!G7</f>
        <v>26252</v>
      </c>
      <c r="C29" s="55">
        <f>'25'!G8</f>
        <v>26645</v>
      </c>
      <c r="D29" s="55">
        <f>'25'!G15</f>
        <v>1082</v>
      </c>
      <c r="E29" s="55">
        <f>'25'!G20</f>
        <v>295</v>
      </c>
      <c r="F29" s="55">
        <f>SUM('25'!G35,'25'!G49)</f>
        <v>3732</v>
      </c>
      <c r="G29" s="55">
        <f>SUM('25'!G37,'25'!G51)</f>
        <v>1644</v>
      </c>
      <c r="H29" s="55">
        <f>SUM('25'!G38,'25'!G52)</f>
        <v>1989</v>
      </c>
      <c r="I29" s="55">
        <f>SUM('25'!G39,'25'!G53)</f>
        <v>3057</v>
      </c>
      <c r="J29" s="55">
        <f>SUM('25'!G41,'25'!G42,'25'!G55,'25'!G56)</f>
        <v>8206</v>
      </c>
      <c r="K29" s="55">
        <f>SUM('25'!G43,'25'!G57)</f>
        <v>3062</v>
      </c>
      <c r="L29" s="255">
        <f>'25'!G50</f>
        <v>1304</v>
      </c>
      <c r="M29" s="255">
        <f>'25'!G36</f>
        <v>1092</v>
      </c>
      <c r="N29" s="255">
        <f>'25'!G138</f>
        <v>67</v>
      </c>
      <c r="O29" s="255">
        <f>'25'!$G$139</f>
        <v>15</v>
      </c>
      <c r="P29" s="255">
        <f>'25'!$G$140</f>
        <v>0</v>
      </c>
      <c r="Q29" s="255">
        <f>'25'!$G$141</f>
        <v>217</v>
      </c>
      <c r="R29" s="255">
        <f>'25'!$G$142</f>
        <v>17</v>
      </c>
      <c r="S29" s="255">
        <f>'25'!$G$145</f>
        <v>48</v>
      </c>
      <c r="T29" s="252">
        <f>'25'!$G$146</f>
        <v>479</v>
      </c>
      <c r="U29" s="252">
        <f>'25'!$G$144</f>
        <v>235</v>
      </c>
      <c r="V29" s="252">
        <f>'25'!$G$147</f>
        <v>456</v>
      </c>
      <c r="W29" s="252">
        <f>'25'!$G$148</f>
        <v>304</v>
      </c>
      <c r="X29" s="252">
        <f>'25'!$G$143</f>
        <v>28</v>
      </c>
      <c r="Y29" s="252">
        <f>'25'!$G$58</f>
        <v>196</v>
      </c>
      <c r="Z29" s="252">
        <f>'25'!$G$151</f>
        <v>275</v>
      </c>
      <c r="AA29" s="252">
        <f>'25'!G158</f>
        <v>121</v>
      </c>
      <c r="AB29" s="252">
        <f>'25'!G159</f>
        <v>39</v>
      </c>
      <c r="AC29" s="252">
        <f>'25'!G88</f>
        <v>0.31000000000130967</v>
      </c>
      <c r="AD29" s="252">
        <f>'25'!G160+'25'!H161</f>
        <v>176.5</v>
      </c>
      <c r="AE29" s="255">
        <f>'25'!$G$116</f>
        <v>0</v>
      </c>
      <c r="AF29" s="255">
        <f>'25'!$G$117</f>
        <v>21</v>
      </c>
      <c r="AG29" s="255">
        <f>'25'!$G$118</f>
        <v>402</v>
      </c>
      <c r="AH29" s="255">
        <f>'25'!$G$119</f>
        <v>408</v>
      </c>
      <c r="AI29" s="255">
        <f>'25'!$G$120</f>
        <v>413</v>
      </c>
      <c r="AJ29" s="255">
        <f>'25'!$G$121</f>
        <v>798</v>
      </c>
      <c r="AK29" s="255">
        <f>'25'!$G$122</f>
        <v>335</v>
      </c>
      <c r="AL29" s="255">
        <f>'25'!$G$123</f>
        <v>271</v>
      </c>
      <c r="AM29" s="255">
        <f>'25'!$G$133</f>
        <v>710</v>
      </c>
      <c r="AN29" s="255">
        <f>'25'!$G$15</f>
        <v>1082</v>
      </c>
      <c r="AO29" s="257">
        <f>'25'!$G$74</f>
        <v>282</v>
      </c>
      <c r="AP29" s="257">
        <f>'25'!$G$75</f>
        <v>0</v>
      </c>
      <c r="AQ29" s="257">
        <f>'25'!$G$76</f>
        <v>133</v>
      </c>
      <c r="AR29" s="257">
        <f>'25'!$G$77</f>
        <v>51</v>
      </c>
      <c r="AS29" s="257">
        <f>'25'!$G$78</f>
        <v>5</v>
      </c>
      <c r="AT29" s="257">
        <f t="shared" si="0"/>
        <v>611</v>
      </c>
      <c r="AU29" s="255">
        <f>SUM('25'!G91:G92)</f>
        <v>9.1799999999998363</v>
      </c>
      <c r="AV29" s="255">
        <f>'25'!$G$88</f>
        <v>0.31000000000130967</v>
      </c>
      <c r="AW29" s="255">
        <f>'25'!$G$89</f>
        <v>11</v>
      </c>
      <c r="AX29" s="255">
        <f>'25'!$G$90</f>
        <v>7</v>
      </c>
      <c r="AY29" s="253">
        <f t="shared" si="1"/>
        <v>18.31000000000131</v>
      </c>
      <c r="BA29" s="329">
        <f t="shared" si="6"/>
        <v>-329</v>
      </c>
      <c r="BB29" s="371">
        <f t="shared" si="3"/>
        <v>4759</v>
      </c>
      <c r="BC29" s="371">
        <f t="shared" si="4"/>
        <v>18.128142617705318</v>
      </c>
    </row>
    <row r="30" spans="1:55">
      <c r="A30" s="379">
        <v>26</v>
      </c>
      <c r="B30" s="55">
        <f>'26'!G7</f>
        <v>26994</v>
      </c>
      <c r="C30" s="55">
        <f>'26'!G8</f>
        <v>27268</v>
      </c>
      <c r="D30" s="55">
        <f>'26'!G15</f>
        <v>1201</v>
      </c>
      <c r="E30" s="55">
        <f>'26'!G20</f>
        <v>291</v>
      </c>
      <c r="F30" s="55">
        <f>SUM('26'!G35,'26'!G49)</f>
        <v>3642</v>
      </c>
      <c r="G30" s="55">
        <f>SUM('26'!G37,'26'!G51)</f>
        <v>1634</v>
      </c>
      <c r="H30" s="55">
        <f>SUM('26'!G38,'26'!G52)</f>
        <v>2002</v>
      </c>
      <c r="I30" s="55">
        <f>SUM('26'!G39,'26'!G53)</f>
        <v>3148</v>
      </c>
      <c r="J30" s="55">
        <f>SUM('26'!G41,'26'!G42,'26'!G55,'26'!G56)</f>
        <v>8442.2099999999627</v>
      </c>
      <c r="K30" s="55">
        <f>SUM('26'!G43,'26'!G57)</f>
        <v>2986</v>
      </c>
      <c r="L30" s="255">
        <f>'26'!G50</f>
        <v>1626</v>
      </c>
      <c r="M30" s="255">
        <f>'26'!G36</f>
        <v>1225</v>
      </c>
      <c r="N30" s="255">
        <f>'26'!G138</f>
        <v>71</v>
      </c>
      <c r="O30" s="255">
        <f>'26'!$G$139</f>
        <v>9</v>
      </c>
      <c r="P30" s="255">
        <f>'26'!$G$140</f>
        <v>1</v>
      </c>
      <c r="Q30" s="255">
        <f>'26'!$G$141</f>
        <v>203</v>
      </c>
      <c r="R30" s="255">
        <f>'26'!$G$142</f>
        <v>16</v>
      </c>
      <c r="S30" s="255">
        <f>'26'!$G$145</f>
        <v>44</v>
      </c>
      <c r="T30" s="252">
        <f>'26'!$G$146</f>
        <v>478</v>
      </c>
      <c r="U30" s="252">
        <f>'26'!$G$144</f>
        <v>239</v>
      </c>
      <c r="V30" s="252">
        <f>'26'!$G$147</f>
        <v>486</v>
      </c>
      <c r="W30" s="252">
        <f>'26'!$G$148</f>
        <v>321</v>
      </c>
      <c r="X30" s="252">
        <f>'26'!$G$143</f>
        <v>35</v>
      </c>
      <c r="Y30" s="252">
        <f>'26'!$G$58</f>
        <v>210</v>
      </c>
      <c r="Z30" s="252">
        <f>'26'!$G$151</f>
        <v>290</v>
      </c>
      <c r="AA30" s="252">
        <f>'26'!G158</f>
        <v>74</v>
      </c>
      <c r="AB30" s="252">
        <f>'26'!G159</f>
        <v>39</v>
      </c>
      <c r="AC30" s="252">
        <f>'26'!G88</f>
        <v>-0.31000000000130967</v>
      </c>
      <c r="AD30" s="252">
        <f>'26'!G160+'26'!H161</f>
        <v>189.5</v>
      </c>
      <c r="AE30" s="255">
        <f>'26'!$G$116</f>
        <v>0</v>
      </c>
      <c r="AF30" s="255">
        <f>'26'!$G$117</f>
        <v>22</v>
      </c>
      <c r="AG30" s="255">
        <f>'26'!$G$118</f>
        <v>421</v>
      </c>
      <c r="AH30" s="255">
        <f>'26'!$G$119</f>
        <v>442</v>
      </c>
      <c r="AI30" s="255">
        <f>'26'!$G$120</f>
        <v>415</v>
      </c>
      <c r="AJ30" s="255">
        <f>'26'!$G$121</f>
        <v>787</v>
      </c>
      <c r="AK30" s="255">
        <f>'26'!$G$122</f>
        <v>321</v>
      </c>
      <c r="AL30" s="255">
        <f>'26'!$G$123</f>
        <v>285</v>
      </c>
      <c r="AM30" s="255">
        <f>'26'!$G$133</f>
        <v>778</v>
      </c>
      <c r="AN30" s="255">
        <f>'26'!$G$15</f>
        <v>1201</v>
      </c>
      <c r="AO30" s="257">
        <f>'26'!$G$74</f>
        <v>295</v>
      </c>
      <c r="AP30" s="257">
        <f>'26'!$G$75</f>
        <v>0</v>
      </c>
      <c r="AQ30" s="257">
        <f>'26'!$G$76</f>
        <v>142</v>
      </c>
      <c r="AR30" s="257">
        <f>'26'!$G$77</f>
        <v>69</v>
      </c>
      <c r="AS30" s="257">
        <f>'26'!$G$78</f>
        <v>6</v>
      </c>
      <c r="AT30" s="257">
        <f t="shared" si="0"/>
        <v>689</v>
      </c>
      <c r="AU30" s="255">
        <f>SUM('26'!G91:G92)</f>
        <v>10.699999999999818</v>
      </c>
      <c r="AV30" s="255">
        <f>'26'!$G$88</f>
        <v>-0.31000000000130967</v>
      </c>
      <c r="AW30" s="255">
        <f>'26'!$G$89</f>
        <v>11.56000000000131</v>
      </c>
      <c r="AX30" s="255">
        <f>'26'!$G$90</f>
        <v>6.0800000000017462</v>
      </c>
      <c r="AY30" s="253">
        <f t="shared" si="1"/>
        <v>17.330000000001746</v>
      </c>
      <c r="BA30" s="329">
        <f t="shared" si="6"/>
        <v>-394</v>
      </c>
      <c r="BB30" s="371">
        <f t="shared" si="3"/>
        <v>5203.7900000000373</v>
      </c>
      <c r="BC30" s="371">
        <f t="shared" si="4"/>
        <v>19.277580203008213</v>
      </c>
    </row>
    <row r="31" spans="1:55">
      <c r="A31" s="379">
        <v>27</v>
      </c>
      <c r="B31" s="55">
        <f>'27'!G7</f>
        <v>25445</v>
      </c>
      <c r="C31" s="55">
        <f>'27'!G8</f>
        <v>25666</v>
      </c>
      <c r="D31" s="55">
        <f>'27'!G15</f>
        <v>1124</v>
      </c>
      <c r="E31" s="55">
        <f>'27'!G20</f>
        <v>272</v>
      </c>
      <c r="F31" s="55">
        <f>SUM('27'!G35,'27'!G49)</f>
        <v>3812</v>
      </c>
      <c r="G31" s="55">
        <f>SUM('27'!G37,'27'!G51)</f>
        <v>1693</v>
      </c>
      <c r="H31" s="55">
        <f>SUM('27'!G38,'27'!G52)</f>
        <v>2000</v>
      </c>
      <c r="I31" s="55">
        <f>SUM('27'!G39,'27'!G53)</f>
        <v>3060</v>
      </c>
      <c r="J31" s="55">
        <f>SUM('27'!G41,'27'!G42,'27'!G55,'27'!G56)</f>
        <v>7520</v>
      </c>
      <c r="K31" s="55">
        <f>SUM('27'!G43,'27'!G57)</f>
        <v>2866</v>
      </c>
      <c r="L31" s="255">
        <f>'27'!G50</f>
        <v>1525</v>
      </c>
      <c r="M31" s="255">
        <f>'27'!G36</f>
        <v>1050</v>
      </c>
      <c r="N31" s="255">
        <f>'27'!G138</f>
        <v>71</v>
      </c>
      <c r="O31" s="255">
        <f>'27'!$G$139</f>
        <v>1</v>
      </c>
      <c r="P31" s="255">
        <f>'27'!$G$140</f>
        <v>0</v>
      </c>
      <c r="Q31" s="255">
        <f>'27'!$G$141</f>
        <v>209</v>
      </c>
      <c r="R31" s="255">
        <f>'27'!$G$142</f>
        <v>21</v>
      </c>
      <c r="S31" s="255">
        <f>'27'!$G$145</f>
        <v>45</v>
      </c>
      <c r="T31" s="252">
        <f>'27'!$G$146</f>
        <v>364</v>
      </c>
      <c r="U31" s="252">
        <f>'27'!$G$144</f>
        <v>239</v>
      </c>
      <c r="V31" s="252">
        <f>'27'!$G$147</f>
        <v>478</v>
      </c>
      <c r="W31" s="252">
        <f>'27'!$G$148</f>
        <v>354</v>
      </c>
      <c r="X31" s="252">
        <f>'27'!$G$143</f>
        <v>32</v>
      </c>
      <c r="Y31" s="252">
        <f>'27'!$G$58</f>
        <v>222</v>
      </c>
      <c r="Z31" s="252">
        <f>'27'!$G$151</f>
        <v>287</v>
      </c>
      <c r="AA31" s="252">
        <f>'27'!G158</f>
        <v>17</v>
      </c>
      <c r="AB31" s="252">
        <f>'27'!G159</f>
        <v>20</v>
      </c>
      <c r="AC31" s="252">
        <f>'27'!G88</f>
        <v>0</v>
      </c>
      <c r="AD31" s="252">
        <f>'27'!G160+'27'!H161</f>
        <v>180.5</v>
      </c>
      <c r="AE31" s="255">
        <f>'27'!$G$116</f>
        <v>0</v>
      </c>
      <c r="AF31" s="255">
        <f>'27'!$G$117</f>
        <v>21</v>
      </c>
      <c r="AG31" s="255">
        <f>'27'!$G$118</f>
        <v>395</v>
      </c>
      <c r="AH31" s="255">
        <f>'27'!$G$119</f>
        <v>467</v>
      </c>
      <c r="AI31" s="255">
        <f>'27'!$G$120</f>
        <v>440</v>
      </c>
      <c r="AJ31" s="255">
        <f>'27'!$G$121</f>
        <v>731</v>
      </c>
      <c r="AK31" s="255">
        <f>'27'!$G$122</f>
        <v>331</v>
      </c>
      <c r="AL31" s="255">
        <f>'27'!$G$123</f>
        <v>295</v>
      </c>
      <c r="AM31" s="255">
        <f>'27'!$G$133</f>
        <v>859</v>
      </c>
      <c r="AN31" s="255">
        <f>'27'!$G$15</f>
        <v>1124</v>
      </c>
      <c r="AO31" s="255">
        <f>'27'!$G$74</f>
        <v>307</v>
      </c>
      <c r="AP31" s="255">
        <f>'27'!$G$75</f>
        <v>0</v>
      </c>
      <c r="AQ31" s="255">
        <f>'27'!$G$76</f>
        <v>126</v>
      </c>
      <c r="AR31" s="255">
        <f>'27'!$G$77</f>
        <v>44</v>
      </c>
      <c r="AS31" s="255">
        <f>'27'!$G$78</f>
        <v>4</v>
      </c>
      <c r="AT31" s="255">
        <f t="shared" si="0"/>
        <v>643</v>
      </c>
      <c r="AU31" s="255">
        <f>SUM('27'!G91:G92)</f>
        <v>10.75</v>
      </c>
      <c r="AV31" s="255">
        <f>'27'!$G$88</f>
        <v>0</v>
      </c>
      <c r="AW31" s="255">
        <f>'27'!$G$89</f>
        <v>10.43999999999869</v>
      </c>
      <c r="AX31" s="255">
        <f>'27'!$G$90</f>
        <v>8.4599999999918509</v>
      </c>
      <c r="AY31" s="253">
        <f t="shared" si="1"/>
        <v>18.899999999990541</v>
      </c>
      <c r="BA31" s="329">
        <f t="shared" si="6"/>
        <v>-336</v>
      </c>
      <c r="BB31" s="371">
        <f t="shared" si="3"/>
        <v>4493</v>
      </c>
      <c r="BC31" s="371">
        <f t="shared" si="4"/>
        <v>17.65769306347023</v>
      </c>
    </row>
    <row r="32" spans="1:55">
      <c r="A32" s="379">
        <v>28</v>
      </c>
      <c r="B32" s="55">
        <f>'28'!G7</f>
        <v>23176</v>
      </c>
      <c r="C32" s="55">
        <f>'28'!G8</f>
        <v>23556</v>
      </c>
      <c r="D32" s="55">
        <f>'28'!G15</f>
        <v>1158.1200000001118</v>
      </c>
      <c r="E32" s="55">
        <f>'28'!G20</f>
        <v>294</v>
      </c>
      <c r="F32" s="55">
        <f>SUM('28'!G35,'28'!G49)</f>
        <v>3729.5299999999988</v>
      </c>
      <c r="G32" s="55">
        <f>SUM('28'!G37,'28'!G51)</f>
        <v>1582.0799999999872</v>
      </c>
      <c r="H32" s="55">
        <f>SUM('28'!G38,'28'!G52)</f>
        <v>1899.7000000000116</v>
      </c>
      <c r="I32" s="55">
        <f>SUM('28'!G39,'28'!G53)</f>
        <v>2863.9099999999744</v>
      </c>
      <c r="J32" s="55">
        <f>SUM('28'!G41,'28'!G42,'28'!G55,'28'!G56)</f>
        <v>5833.9099999999453</v>
      </c>
      <c r="K32" s="55">
        <f>SUM('28'!G43,'28'!G57)</f>
        <v>2462.3000000000466</v>
      </c>
      <c r="L32" s="255">
        <f>'28'!G50</f>
        <v>1558.0699999999488</v>
      </c>
      <c r="M32" s="255">
        <f>'28'!G36</f>
        <v>1019.3999999999942</v>
      </c>
      <c r="N32" s="255">
        <f>'28'!G138</f>
        <v>68</v>
      </c>
      <c r="O32" s="255">
        <f>'28'!$G$139</f>
        <v>0</v>
      </c>
      <c r="P32" s="255">
        <f>'28'!$G$140</f>
        <v>0</v>
      </c>
      <c r="Q32" s="255">
        <f>'28'!$G$141</f>
        <v>196.44000000000233</v>
      </c>
      <c r="R32" s="255">
        <f>'28'!$G$142</f>
        <v>15.900000000001455</v>
      </c>
      <c r="S32" s="255">
        <f>'28'!$G$145</f>
        <v>39.0300000000002</v>
      </c>
      <c r="T32" s="252">
        <f>'28'!$G$146</f>
        <v>405</v>
      </c>
      <c r="U32" s="252">
        <f>'28'!$G$144</f>
        <v>234</v>
      </c>
      <c r="V32" s="252">
        <f>'28'!$G$147</f>
        <v>457.23999999999069</v>
      </c>
      <c r="W32" s="252">
        <f>'28'!$G$148</f>
        <v>375.07999999995809</v>
      </c>
      <c r="X32" s="252">
        <f>'28'!$G$143</f>
        <v>28.260000000000218</v>
      </c>
      <c r="Y32" s="252">
        <f>'28'!$G$58</f>
        <v>221.69999999999709</v>
      </c>
      <c r="Z32" s="252">
        <f>'28'!$G$151</f>
        <v>303</v>
      </c>
      <c r="AA32" s="252">
        <f>'28'!G158</f>
        <v>16.200000000011642</v>
      </c>
      <c r="AB32" s="252">
        <f>'28'!G159</f>
        <v>17.399999999994179</v>
      </c>
      <c r="AC32" s="252">
        <f>'28'!G88</f>
        <v>0</v>
      </c>
      <c r="AD32" s="252">
        <f>'28'!G160+'28'!H161</f>
        <v>148.50999999999476</v>
      </c>
      <c r="AE32" s="255">
        <f>'28'!$G$116</f>
        <v>0</v>
      </c>
      <c r="AF32" s="255">
        <f>'28'!$G$117</f>
        <v>20.160000000000082</v>
      </c>
      <c r="AG32" s="255">
        <f>'28'!$G$118</f>
        <v>320.42999999999302</v>
      </c>
      <c r="AH32" s="255">
        <f>'28'!$G$119</f>
        <v>435.04999999998836</v>
      </c>
      <c r="AI32" s="255">
        <f>'28'!$G$120</f>
        <v>424.70000000000073</v>
      </c>
      <c r="AJ32" s="255">
        <f>'28'!$G$121</f>
        <v>671.27000000001863</v>
      </c>
      <c r="AK32" s="255">
        <f>'28'!$G$122</f>
        <v>310.89999999999418</v>
      </c>
      <c r="AL32" s="255">
        <f>'28'!$G$123</f>
        <v>275.23999999999069</v>
      </c>
      <c r="AM32" s="255">
        <f>'28'!$G$133</f>
        <v>832.7699999999968</v>
      </c>
      <c r="AN32" s="255">
        <f>'28'!$G$15</f>
        <v>1158.1200000001118</v>
      </c>
      <c r="AO32" s="255">
        <f>'28'!$G$74</f>
        <v>275.72999999998137</v>
      </c>
      <c r="AP32" s="255">
        <f>'28'!$G$75</f>
        <v>-0.19999999999708962</v>
      </c>
      <c r="AQ32" s="255">
        <f>'28'!$G$76</f>
        <v>136</v>
      </c>
      <c r="AR32" s="255">
        <f>'28'!$G$77</f>
        <v>56</v>
      </c>
      <c r="AS32" s="255">
        <f>'28'!$G$78</f>
        <v>3</v>
      </c>
      <c r="AT32" s="255">
        <f t="shared" si="0"/>
        <v>687.59000000012747</v>
      </c>
      <c r="AU32" s="255">
        <f>SUM('28'!G91:G92)</f>
        <v>9.6100000000005821</v>
      </c>
      <c r="AV32" s="255">
        <f>'28'!$G$88</f>
        <v>0</v>
      </c>
      <c r="AW32" s="255">
        <f>'28'!$G$89</f>
        <v>11.490000000001601</v>
      </c>
      <c r="AX32" s="255">
        <f>'28'!$G$90</f>
        <v>7.0900000000110595</v>
      </c>
      <c r="AY32" s="253">
        <f t="shared" si="1"/>
        <v>18.58000000001266</v>
      </c>
      <c r="BA32" s="329">
        <f t="shared" si="6"/>
        <v>-411.8600000001461</v>
      </c>
      <c r="BB32" s="371">
        <f t="shared" si="3"/>
        <v>4962.870000000039</v>
      </c>
      <c r="BC32" s="371">
        <f t="shared" si="4"/>
        <v>21.413833275802723</v>
      </c>
    </row>
    <row r="33" spans="1:55">
      <c r="A33" s="379">
        <v>29</v>
      </c>
      <c r="B33" s="55">
        <f>'29'!G7</f>
        <v>23147</v>
      </c>
      <c r="C33" s="55">
        <f>'29'!G8</f>
        <v>23471.349999999977</v>
      </c>
      <c r="D33" s="55">
        <f>'29'!G15</f>
        <v>1085.0799999998417</v>
      </c>
      <c r="E33" s="55">
        <f>'29'!G20</f>
        <v>265</v>
      </c>
      <c r="F33" s="55">
        <f>SUM('29'!G35,'29'!G49)</f>
        <v>3959.1200000000099</v>
      </c>
      <c r="G33" s="55">
        <f>SUM('29'!G37,'29'!G51)</f>
        <v>1712.3800000000047</v>
      </c>
      <c r="H33" s="55">
        <f>SUM('29'!G38,'29'!G52)</f>
        <v>1936.2299999999814</v>
      </c>
      <c r="I33" s="55">
        <f>SUM('29'!G39,'29'!G53)</f>
        <v>3082.2000000000116</v>
      </c>
      <c r="J33" s="55">
        <f>SUM('29'!G41,'29'!G42,'29'!G55,'29'!G56)</f>
        <v>5545.3399999999965</v>
      </c>
      <c r="K33" s="55">
        <f>SUM('29'!G43,'29'!G57)</f>
        <v>2522.0999999998603</v>
      </c>
      <c r="L33" s="255">
        <f>'29'!G50</f>
        <v>1267.0800000000745</v>
      </c>
      <c r="M33" s="255">
        <f>'29'!G36</f>
        <v>951.54000000000815</v>
      </c>
      <c r="N33" s="255">
        <f>'29'!G138</f>
        <v>67</v>
      </c>
      <c r="O33" s="255">
        <f>'29'!$G$139</f>
        <v>3</v>
      </c>
      <c r="P33" s="255">
        <f>'29'!$G$140</f>
        <v>0</v>
      </c>
      <c r="Q33" s="255">
        <f>'29'!$G$141</f>
        <v>193.72999999999593</v>
      </c>
      <c r="R33" s="255">
        <f>'29'!$G$142</f>
        <v>16.299999999999272</v>
      </c>
      <c r="S33" s="255">
        <f>'29'!$G$145</f>
        <v>45.909999999999854</v>
      </c>
      <c r="T33" s="255">
        <f>'29'!$G$146</f>
        <v>406</v>
      </c>
      <c r="U33" s="255">
        <f>'29'!$G$144</f>
        <v>228</v>
      </c>
      <c r="V33" s="255">
        <f>'29'!$G$147</f>
        <v>451.35999999998603</v>
      </c>
      <c r="W33" s="255">
        <f>'29'!$G$148</f>
        <v>292.72000000008848</v>
      </c>
      <c r="X33" s="255">
        <f>'29'!$G$143</f>
        <v>30.049999999999727</v>
      </c>
      <c r="Y33" s="255">
        <f>'29'!$G$58</f>
        <v>252.08999999999651</v>
      </c>
      <c r="Z33" s="255">
        <f>'29'!$G$151</f>
        <v>269</v>
      </c>
      <c r="AA33" s="255">
        <f>'29'!G158</f>
        <v>16.679999999993015</v>
      </c>
      <c r="AB33" s="255">
        <f>'29'!G159</f>
        <v>34.30000000000291</v>
      </c>
      <c r="AC33" s="255">
        <f>'29'!G88</f>
        <v>10.25</v>
      </c>
      <c r="AD33" s="255">
        <f>'29'!G160+'29'!H161</f>
        <v>215.48999999999933</v>
      </c>
      <c r="AE33" s="255">
        <f>'29'!$G$116</f>
        <v>0</v>
      </c>
      <c r="AF33" s="255">
        <f>'29'!$G$117</f>
        <v>21.25</v>
      </c>
      <c r="AG33" s="255">
        <f>'29'!$G$118</f>
        <v>434.48000000001048</v>
      </c>
      <c r="AH33" s="255">
        <f>'29'!$G$119</f>
        <v>454.42000000001281</v>
      </c>
      <c r="AI33" s="255">
        <f>'29'!$G$120</f>
        <v>465</v>
      </c>
      <c r="AJ33" s="255">
        <f>'29'!$G$121</f>
        <v>728.51999999996042</v>
      </c>
      <c r="AK33" s="255">
        <f>'29'!$G$122</f>
        <v>360.41000000000349</v>
      </c>
      <c r="AL33" s="255">
        <f>'29'!$G$123</f>
        <v>297.25</v>
      </c>
      <c r="AM33" s="255">
        <f>'29'!$G$133</f>
        <v>798.80000000000291</v>
      </c>
      <c r="AN33" s="255">
        <f>'29'!$G$15</f>
        <v>1085.0799999998417</v>
      </c>
      <c r="AO33" s="255">
        <f>'29'!$G$74</f>
        <v>316.28000000002794</v>
      </c>
      <c r="AP33" s="255">
        <f>'29'!$G$75</f>
        <v>0.19999999999708962</v>
      </c>
      <c r="AQ33" s="255">
        <f>'29'!$G$76</f>
        <v>99.279999999998836</v>
      </c>
      <c r="AR33" s="255">
        <f>'29'!$G$77</f>
        <v>34</v>
      </c>
      <c r="AS33" s="255">
        <f>'29'!$G$78</f>
        <v>3</v>
      </c>
      <c r="AT33" s="255">
        <f t="shared" si="0"/>
        <v>632.31999999981781</v>
      </c>
      <c r="AU33" s="255">
        <f>SUM('29'!G91:G92)</f>
        <v>11.069999999999709</v>
      </c>
      <c r="AV33" s="255">
        <f>'29'!$G$88</f>
        <v>10.25</v>
      </c>
      <c r="AW33" s="255">
        <f>'29'!$G$89</f>
        <v>0</v>
      </c>
      <c r="AX33" s="255">
        <f>'29'!$G$90</f>
        <v>6.9899999999906868</v>
      </c>
      <c r="AY33" s="253">
        <f t="shared" si="1"/>
        <v>17.239999999990687</v>
      </c>
      <c r="BA33" s="329">
        <f t="shared" si="6"/>
        <v>-316.03999999978987</v>
      </c>
      <c r="BB33" s="371">
        <f t="shared" si="3"/>
        <v>4461.8900000001158</v>
      </c>
      <c r="BC33" s="371">
        <f t="shared" si="4"/>
        <v>19.276320905517416</v>
      </c>
    </row>
    <row r="34" spans="1:55" s="328" customFormat="1">
      <c r="A34" s="379">
        <v>30</v>
      </c>
      <c r="B34" s="55">
        <f>'30'!G7</f>
        <v>21500</v>
      </c>
      <c r="C34" s="55">
        <f>'30'!G8</f>
        <v>21500</v>
      </c>
      <c r="D34" s="55">
        <f>'30'!G15</f>
        <v>-27419.199999999953</v>
      </c>
      <c r="E34" s="55">
        <f>'30'!G20</f>
        <v>-1505</v>
      </c>
      <c r="F34" s="315">
        <f>SUM('30'!G35,'30'!G49)</f>
        <v>-108631.65000000001</v>
      </c>
      <c r="G34" s="315">
        <f>SUM('30'!G37,'30'!G51)</f>
        <v>-48416.459999999992</v>
      </c>
      <c r="H34" s="315">
        <f>SUM('30'!G38,'30'!G52)</f>
        <v>-55891.929999999993</v>
      </c>
      <c r="I34" s="55">
        <f>SUM('30'!G39,'30'!G53)</f>
        <v>-88384.109999999986</v>
      </c>
      <c r="J34" s="315">
        <f>SUM('30'!G41,'30'!G42,'30'!G55,'30'!G56)</f>
        <v>-201137.24999999994</v>
      </c>
      <c r="K34" s="315">
        <f>SUM('30'!G43,'30'!G57)</f>
        <v>-82833.399999999907</v>
      </c>
      <c r="L34" s="245">
        <f>'30'!G50</f>
        <v>-39160.150000000023</v>
      </c>
      <c r="M34" s="245">
        <f>'30'!G36</f>
        <v>-29344.940000000002</v>
      </c>
      <c r="N34" s="252">
        <f>'30'!G138</f>
        <v>-1644</v>
      </c>
      <c r="O34" s="252">
        <f>'30'!$G$139</f>
        <v>-96</v>
      </c>
      <c r="P34" s="252">
        <f>'30'!$G$140</f>
        <v>-40</v>
      </c>
      <c r="Q34" s="252">
        <f>'30'!$G$141</f>
        <v>-5844.1699999999983</v>
      </c>
      <c r="R34" s="252">
        <f>'30'!$G$142</f>
        <v>-496.20000000000073</v>
      </c>
      <c r="S34" s="252">
        <f>'30'!$G$145</f>
        <v>-1201.94</v>
      </c>
      <c r="T34" s="252">
        <f>'30'!$G$146</f>
        <v>-12358</v>
      </c>
      <c r="U34" s="252">
        <f>'30'!$G$144</f>
        <v>-6993</v>
      </c>
      <c r="V34" s="252">
        <f>'30'!$G$147</f>
        <v>-13061.599999999977</v>
      </c>
      <c r="W34" s="252">
        <f>'30'!$G$148</f>
        <v>-8723.8000000000466</v>
      </c>
      <c r="X34" s="252">
        <f>'30'!$G$143</f>
        <v>-819.31</v>
      </c>
      <c r="Y34" s="252">
        <f>'30'!$G$58</f>
        <v>-6274.7899999999936</v>
      </c>
      <c r="Z34" s="252">
        <f>'30'!$G$151</f>
        <v>-7743</v>
      </c>
      <c r="AA34" s="252">
        <f>'30'!G158</f>
        <v>-1685.8800000000047</v>
      </c>
      <c r="AB34" s="252">
        <f>'30'!G159</f>
        <v>-914.69999999999709</v>
      </c>
      <c r="AC34" s="252">
        <f>'30'!G88</f>
        <v>-116.93999999999869</v>
      </c>
      <c r="AD34" s="252">
        <f>'30'!G160+'30'!H161</f>
        <v>-2116.8999999999942</v>
      </c>
      <c r="AE34" s="252">
        <f>'30'!$G$116</f>
        <v>0</v>
      </c>
      <c r="AF34" s="252">
        <f>'30'!$G$117</f>
        <v>-827.41000000000008</v>
      </c>
      <c r="AG34" s="252">
        <f>'30'!$G$118</f>
        <v>-10945.910000000003</v>
      </c>
      <c r="AH34" s="252">
        <f>'30'!$G$119</f>
        <v>-12912.470000000001</v>
      </c>
      <c r="AI34" s="252">
        <f>'30'!$G$120</f>
        <v>-12870.7</v>
      </c>
      <c r="AJ34" s="252">
        <f>'30'!$G$121</f>
        <v>-21828.789999999979</v>
      </c>
      <c r="AK34" s="252">
        <f>'30'!$G$122</f>
        <v>-9407.3099999999977</v>
      </c>
      <c r="AL34" s="252">
        <f>'30'!$G$123</f>
        <v>-8639.4899999999907</v>
      </c>
      <c r="AM34" s="252">
        <f>'30'!$G$133</f>
        <v>-22572.57</v>
      </c>
      <c r="AN34" s="252">
        <f>'30'!$G$15</f>
        <v>-27419.199999999953</v>
      </c>
      <c r="AO34" s="252">
        <f>'30'!$G$74</f>
        <v>-8681.0100000000093</v>
      </c>
      <c r="AP34" s="252">
        <f>'30'!$G$75</f>
        <v>-3.4000000000087311</v>
      </c>
      <c r="AQ34" s="252">
        <f>'30'!$G$76</f>
        <v>-3380.2799999999988</v>
      </c>
      <c r="AR34" s="252">
        <f>'30'!$G$77</f>
        <v>-1318</v>
      </c>
      <c r="AS34" s="252">
        <f>'30'!$G$78</f>
        <v>-82</v>
      </c>
      <c r="AT34" s="252">
        <f t="shared" si="0"/>
        <v>-13954.509999999937</v>
      </c>
      <c r="AU34" s="252">
        <f>SUM('30'!G91:G92)</f>
        <v>-304.13000000000011</v>
      </c>
      <c r="AV34" s="252">
        <f>'30'!$G$88</f>
        <v>-116.93999999999869</v>
      </c>
      <c r="AW34" s="252">
        <f>'30'!$G$89</f>
        <v>-182.4900000000016</v>
      </c>
      <c r="AX34" s="252">
        <f>'30'!$G$90</f>
        <v>-177.61999999999534</v>
      </c>
      <c r="AY34" s="256">
        <f t="shared" si="1"/>
        <v>-477.04999999999563</v>
      </c>
      <c r="BA34" s="330">
        <f t="shared" si="6"/>
        <v>5273.4999999999272</v>
      </c>
      <c r="BB34" s="371">
        <f t="shared" si="3"/>
        <v>613069.58999999985</v>
      </c>
      <c r="BC34" s="371">
        <f t="shared" si="4"/>
        <v>2851.4864651162784</v>
      </c>
    </row>
    <row r="35" spans="1:55">
      <c r="A35" s="379">
        <v>31</v>
      </c>
      <c r="B35" s="55">
        <f>'31'!G7</f>
        <v>21500</v>
      </c>
      <c r="C35" s="55">
        <f>'31'!G8</f>
        <v>21500</v>
      </c>
      <c r="D35" s="55">
        <f>'31'!G15</f>
        <v>1024.9599999999627</v>
      </c>
      <c r="E35" s="55">
        <f>'31'!G20</f>
        <v>269</v>
      </c>
      <c r="F35" s="315">
        <f>SUM('31'!G35,'31'!G49)</f>
        <v>3463.0600000000122</v>
      </c>
      <c r="G35" s="315">
        <f>SUM('31'!G37,'31'!G51)</f>
        <v>1594.8300000000017</v>
      </c>
      <c r="H35" s="315">
        <f>SUM('31'!G38,'31'!G52)</f>
        <v>1838.0399999999936</v>
      </c>
      <c r="I35" s="55">
        <f>SUM('31'!G39,'31'!G53)</f>
        <v>2988.0499999999884</v>
      </c>
      <c r="J35" s="315">
        <f>SUM('31'!G41,'31'!G42,'31'!G55,'31'!G56)</f>
        <v>4806.7899999999427</v>
      </c>
      <c r="K35" s="315">
        <f>SUM('31'!G43,'31'!G57)</f>
        <v>2606.3999999999069</v>
      </c>
      <c r="L35" s="245">
        <f>'31'!G50</f>
        <v>1308.3100000000559</v>
      </c>
      <c r="M35" s="245">
        <f>'31'!G36</f>
        <v>684.66999999999825</v>
      </c>
      <c r="N35" s="252">
        <f>'31'!G138</f>
        <v>64</v>
      </c>
      <c r="O35" s="252">
        <f>'31'!$G$139</f>
        <v>2</v>
      </c>
      <c r="P35" s="252">
        <f>'31'!$G$140</f>
        <v>8</v>
      </c>
      <c r="Q35" s="252">
        <f>'31'!$G$141</f>
        <v>185.94999999999709</v>
      </c>
      <c r="R35" s="252">
        <f>'31'!$G$142</f>
        <v>12.869999999998981</v>
      </c>
      <c r="S35" s="252">
        <f>'31'!$G$145</f>
        <v>33</v>
      </c>
      <c r="T35" s="252">
        <f>'31'!$G$146</f>
        <v>398</v>
      </c>
      <c r="U35" s="252">
        <f>'31'!$G$144</f>
        <v>201</v>
      </c>
      <c r="V35" s="252">
        <f>'31'!$G$147</f>
        <v>406.92000000004191</v>
      </c>
      <c r="W35" s="252">
        <f>'31'!$G$148</f>
        <v>251.11999999999534</v>
      </c>
      <c r="X35" s="252">
        <f>'31'!$G$143</f>
        <v>28.180000000000064</v>
      </c>
      <c r="Y35" s="252">
        <f>'31'!$G$58</f>
        <v>209.89999999999418</v>
      </c>
      <c r="Z35" s="252">
        <f>'31'!$G$151</f>
        <v>267</v>
      </c>
      <c r="AA35" s="252">
        <f>'31'!G158</f>
        <v>255.03999999997905</v>
      </c>
      <c r="AB35" s="252">
        <f>'31'!G159</f>
        <v>18.600000000005821</v>
      </c>
      <c r="AC35" s="252">
        <f>'31'!G89</f>
        <v>0.38000000000101863</v>
      </c>
      <c r="AD35" s="252">
        <f>'31'!G160+'31'!H161</f>
        <v>81.899999999994179</v>
      </c>
      <c r="AE35" s="252">
        <f>'31'!$G$116</f>
        <v>0</v>
      </c>
      <c r="AF35" s="252">
        <f>'31'!$G$117</f>
        <v>65.190000000000055</v>
      </c>
      <c r="AG35" s="252">
        <f>'31'!$G$118</f>
        <v>356.92999999999302</v>
      </c>
      <c r="AH35" s="252">
        <f>'31'!$G$119</f>
        <v>452.10999999998603</v>
      </c>
      <c r="AI35" s="252">
        <f>'31'!$G$120</f>
        <v>441.60000000000036</v>
      </c>
      <c r="AJ35" s="252">
        <f>'31'!$G$121</f>
        <v>700.51000000000931</v>
      </c>
      <c r="AK35" s="252">
        <f>'31'!$G$122</f>
        <v>308.88000000000466</v>
      </c>
      <c r="AL35" s="252">
        <f>'31'!$G$123</f>
        <v>304.75999999999476</v>
      </c>
      <c r="AM35" s="252">
        <f>'31'!$G$133</f>
        <v>761.29000000000087</v>
      </c>
      <c r="AN35" s="252">
        <f>'31'!$G$15</f>
        <v>1024.9599999999627</v>
      </c>
      <c r="AO35" s="252">
        <f>'31'!$G$74</f>
        <v>292.23100000002887</v>
      </c>
      <c r="AP35" s="252">
        <f>'31'!$G$75</f>
        <v>0</v>
      </c>
      <c r="AQ35" s="252">
        <f>'31'!$G$76</f>
        <v>88.5</v>
      </c>
      <c r="AR35" s="252">
        <f>'31'!$G$77</f>
        <v>44.5</v>
      </c>
      <c r="AS35" s="252">
        <f>'31'!$G$78</f>
        <v>1.3999999999996362</v>
      </c>
      <c r="AT35" s="252">
        <f t="shared" ref="AT35" si="7">AN35-SUM(AO35:AS35)</f>
        <v>598.32899999993424</v>
      </c>
      <c r="AU35" s="252">
        <f>SUM('31'!G92:G142)</f>
        <v>36749.667216278947</v>
      </c>
      <c r="AV35" s="252">
        <f>'31'!$G$88</f>
        <v>8.569999999999709</v>
      </c>
      <c r="AW35" s="252">
        <f>'31'!$G$89</f>
        <v>0.38000000000101863</v>
      </c>
      <c r="AX35" s="252">
        <f>'30'!$G$90</f>
        <v>-177.61999999999534</v>
      </c>
      <c r="AY35" s="256">
        <f t="shared" ref="AY35" si="8">SUM(AV35:AX35)</f>
        <v>-168.66999999999462</v>
      </c>
      <c r="BA35" s="329"/>
      <c r="BB35" s="371">
        <f t="shared" si="3"/>
        <v>3992.9300000001604</v>
      </c>
      <c r="BC35" s="371">
        <f t="shared" si="4"/>
        <v>18.571767441861212</v>
      </c>
    </row>
    <row r="36" spans="1:55" s="333" customFormat="1">
      <c r="A36" s="313" t="s">
        <v>359</v>
      </c>
      <c r="B36" s="314">
        <f>AVERAGE(B5:B35)</f>
        <v>23757.087096774187</v>
      </c>
      <c r="C36" s="314">
        <f t="shared" ref="C36:BC36" si="9">AVERAGE(C5:C35)</f>
        <v>24085.691935483872</v>
      </c>
      <c r="D36" s="314">
        <f t="shared" si="9"/>
        <v>88.262903225804379</v>
      </c>
      <c r="E36" s="314">
        <f t="shared" si="9"/>
        <v>206.12903225806451</v>
      </c>
      <c r="F36" s="314">
        <f t="shared" si="9"/>
        <v>0</v>
      </c>
      <c r="G36" s="314">
        <f t="shared" si="9"/>
        <v>0</v>
      </c>
      <c r="H36" s="314">
        <f t="shared" si="9"/>
        <v>0</v>
      </c>
      <c r="I36" s="314">
        <f t="shared" si="9"/>
        <v>0</v>
      </c>
      <c r="J36" s="314">
        <f t="shared" si="9"/>
        <v>-2.3470831013494922E-13</v>
      </c>
      <c r="K36" s="314">
        <f t="shared" si="9"/>
        <v>0</v>
      </c>
      <c r="L36" s="314">
        <f t="shared" si="9"/>
        <v>0</v>
      </c>
      <c r="M36" s="314">
        <f t="shared" si="9"/>
        <v>0</v>
      </c>
      <c r="N36" s="314">
        <f t="shared" si="9"/>
        <v>0.4838709677419355</v>
      </c>
      <c r="O36" s="314">
        <f t="shared" si="9"/>
        <v>0</v>
      </c>
      <c r="P36" s="314">
        <f t="shared" si="9"/>
        <v>0</v>
      </c>
      <c r="Q36" s="314">
        <f t="shared" si="9"/>
        <v>0</v>
      </c>
      <c r="R36" s="314">
        <f t="shared" si="9"/>
        <v>0</v>
      </c>
      <c r="S36" s="314">
        <f t="shared" si="9"/>
        <v>0</v>
      </c>
      <c r="T36" s="314">
        <f t="shared" si="9"/>
        <v>0</v>
      </c>
      <c r="U36" s="314">
        <f t="shared" si="9"/>
        <v>0</v>
      </c>
      <c r="V36" s="314">
        <f t="shared" si="9"/>
        <v>0</v>
      </c>
      <c r="W36" s="314">
        <f t="shared" si="9"/>
        <v>0</v>
      </c>
      <c r="X36" s="314">
        <f t="shared" si="9"/>
        <v>0</v>
      </c>
      <c r="Y36" s="314">
        <f t="shared" si="9"/>
        <v>0</v>
      </c>
      <c r="Z36" s="314">
        <f t="shared" si="9"/>
        <v>0</v>
      </c>
      <c r="AA36" s="314">
        <f t="shared" si="9"/>
        <v>0</v>
      </c>
      <c r="AB36" s="314">
        <f t="shared" si="9"/>
        <v>0</v>
      </c>
      <c r="AC36" s="314">
        <f t="shared" si="9"/>
        <v>-2.2923809523809249</v>
      </c>
      <c r="AD36" s="314">
        <f t="shared" si="9"/>
        <v>45.345806451612908</v>
      </c>
      <c r="AE36" s="314">
        <f t="shared" si="9"/>
        <v>0</v>
      </c>
      <c r="AF36" s="314">
        <f t="shared" si="9"/>
        <v>0</v>
      </c>
      <c r="AG36" s="314">
        <f t="shared" si="9"/>
        <v>0</v>
      </c>
      <c r="AH36" s="314">
        <f t="shared" si="9"/>
        <v>0</v>
      </c>
      <c r="AI36" s="314">
        <f t="shared" si="9"/>
        <v>0</v>
      </c>
      <c r="AJ36" s="314">
        <f t="shared" si="9"/>
        <v>0</v>
      </c>
      <c r="AK36" s="314">
        <f t="shared" si="9"/>
        <v>0</v>
      </c>
      <c r="AL36" s="314">
        <f t="shared" si="9"/>
        <v>0</v>
      </c>
      <c r="AM36" s="314">
        <f t="shared" si="9"/>
        <v>0</v>
      </c>
      <c r="AN36" s="314">
        <f t="shared" si="9"/>
        <v>88.262903225804379</v>
      </c>
      <c r="AO36" s="314">
        <f t="shared" si="9"/>
        <v>0</v>
      </c>
      <c r="AP36" s="314">
        <f t="shared" si="9"/>
        <v>0</v>
      </c>
      <c r="AQ36" s="314">
        <f t="shared" si="9"/>
        <v>0</v>
      </c>
      <c r="AR36" s="314">
        <f t="shared" si="9"/>
        <v>0</v>
      </c>
      <c r="AS36" s="314">
        <f t="shared" si="9"/>
        <v>0</v>
      </c>
      <c r="AT36" s="314">
        <f t="shared" si="9"/>
        <v>88.262903225804322</v>
      </c>
      <c r="AU36" s="314">
        <f t="shared" si="9"/>
        <v>1185.1460392348047</v>
      </c>
      <c r="AV36" s="314">
        <f t="shared" si="9"/>
        <v>0</v>
      </c>
      <c r="AW36" s="314">
        <f t="shared" si="9"/>
        <v>0</v>
      </c>
      <c r="AX36" s="314">
        <f t="shared" si="9"/>
        <v>-6.0332258064515756</v>
      </c>
      <c r="AY36" s="314">
        <f t="shared" si="9"/>
        <v>-6.0332258064515756</v>
      </c>
      <c r="AZ36" s="314">
        <f t="shared" si="9"/>
        <v>28.44241532098501</v>
      </c>
      <c r="BA36" s="314">
        <f t="shared" si="9"/>
        <v>46.55000000000296</v>
      </c>
      <c r="BB36" s="314">
        <f t="shared" si="9"/>
        <v>24085.691935483872</v>
      </c>
      <c r="BC36" s="314">
        <f t="shared" si="9"/>
        <v>110.02423096287966</v>
      </c>
    </row>
    <row r="37" spans="1:55">
      <c r="A37" s="265" t="s">
        <v>196</v>
      </c>
      <c r="B37" s="314">
        <f>SUM(B5:B35)</f>
        <v>736469.69999999984</v>
      </c>
      <c r="C37" s="314">
        <f t="shared" ref="C37:BC37" si="10">SUM(C5:C35)</f>
        <v>746656.45000000007</v>
      </c>
      <c r="D37" s="314">
        <f t="shared" si="10"/>
        <v>2736.149999999936</v>
      </c>
      <c r="E37" s="314">
        <f t="shared" si="10"/>
        <v>6390</v>
      </c>
      <c r="F37" s="314">
        <f>SUM(F5:F35)</f>
        <v>0</v>
      </c>
      <c r="G37" s="314">
        <f t="shared" si="10"/>
        <v>0</v>
      </c>
      <c r="H37" s="314">
        <f t="shared" si="10"/>
        <v>0</v>
      </c>
      <c r="I37" s="314">
        <f t="shared" si="10"/>
        <v>0</v>
      </c>
      <c r="J37" s="314">
        <f t="shared" si="10"/>
        <v>-7.2759576141834259E-12</v>
      </c>
      <c r="K37" s="314">
        <f t="shared" si="10"/>
        <v>0</v>
      </c>
      <c r="L37" s="314">
        <f t="shared" si="10"/>
        <v>0</v>
      </c>
      <c r="M37" s="314">
        <f t="shared" si="10"/>
        <v>0</v>
      </c>
      <c r="N37" s="314">
        <f t="shared" si="10"/>
        <v>15</v>
      </c>
      <c r="O37" s="314">
        <f t="shared" si="10"/>
        <v>0</v>
      </c>
      <c r="P37" s="314">
        <f t="shared" si="10"/>
        <v>0</v>
      </c>
      <c r="Q37" s="314">
        <f t="shared" si="10"/>
        <v>0</v>
      </c>
      <c r="R37" s="314">
        <f t="shared" si="10"/>
        <v>0</v>
      </c>
      <c r="S37" s="314">
        <f t="shared" si="10"/>
        <v>0</v>
      </c>
      <c r="T37" s="314">
        <f t="shared" si="10"/>
        <v>0</v>
      </c>
      <c r="U37" s="314">
        <f t="shared" si="10"/>
        <v>0</v>
      </c>
      <c r="V37" s="314">
        <f t="shared" si="10"/>
        <v>0</v>
      </c>
      <c r="W37" s="314">
        <f t="shared" si="10"/>
        <v>0</v>
      </c>
      <c r="X37" s="314">
        <f t="shared" si="10"/>
        <v>0</v>
      </c>
      <c r="Y37" s="314">
        <f t="shared" si="10"/>
        <v>0</v>
      </c>
      <c r="Z37" s="314">
        <f t="shared" si="10"/>
        <v>0</v>
      </c>
      <c r="AA37" s="314">
        <f t="shared" si="10"/>
        <v>0</v>
      </c>
      <c r="AB37" s="314">
        <f t="shared" si="10"/>
        <v>0</v>
      </c>
      <c r="AC37" s="314">
        <f t="shared" si="10"/>
        <v>-48.139999999999418</v>
      </c>
      <c r="AD37" s="314">
        <f t="shared" si="10"/>
        <v>1405.7200000000003</v>
      </c>
      <c r="AE37" s="314">
        <f t="shared" si="10"/>
        <v>0</v>
      </c>
      <c r="AF37" s="314">
        <f t="shared" si="10"/>
        <v>0</v>
      </c>
      <c r="AG37" s="314">
        <f t="shared" si="10"/>
        <v>0</v>
      </c>
      <c r="AH37" s="314">
        <f t="shared" si="10"/>
        <v>0</v>
      </c>
      <c r="AI37" s="314">
        <f t="shared" si="10"/>
        <v>0</v>
      </c>
      <c r="AJ37" s="314">
        <f t="shared" si="10"/>
        <v>0</v>
      </c>
      <c r="AK37" s="314">
        <f t="shared" si="10"/>
        <v>0</v>
      </c>
      <c r="AL37" s="314">
        <f t="shared" si="10"/>
        <v>0</v>
      </c>
      <c r="AM37" s="314">
        <f t="shared" si="10"/>
        <v>0</v>
      </c>
      <c r="AN37" s="314">
        <f t="shared" si="10"/>
        <v>2736.149999999936</v>
      </c>
      <c r="AO37" s="314">
        <f t="shared" si="10"/>
        <v>0</v>
      </c>
      <c r="AP37" s="314">
        <f t="shared" si="10"/>
        <v>0</v>
      </c>
      <c r="AQ37" s="314">
        <f t="shared" si="10"/>
        <v>0</v>
      </c>
      <c r="AR37" s="314">
        <f t="shared" si="10"/>
        <v>0</v>
      </c>
      <c r="AS37" s="314">
        <f t="shared" si="10"/>
        <v>0</v>
      </c>
      <c r="AT37" s="314">
        <f t="shared" si="10"/>
        <v>2736.1499999999342</v>
      </c>
      <c r="AU37" s="314">
        <f t="shared" si="10"/>
        <v>36739.527216278948</v>
      </c>
      <c r="AV37" s="314">
        <f t="shared" si="10"/>
        <v>0</v>
      </c>
      <c r="AW37" s="314">
        <f t="shared" si="10"/>
        <v>0</v>
      </c>
      <c r="AX37" s="314">
        <f t="shared" si="10"/>
        <v>-187.02999999999884</v>
      </c>
      <c r="AY37" s="314">
        <f t="shared" si="10"/>
        <v>-187.02999999999884</v>
      </c>
      <c r="AZ37" s="314">
        <f t="shared" si="10"/>
        <v>199.09690724689506</v>
      </c>
      <c r="BA37" s="314">
        <f t="shared" si="10"/>
        <v>884.45000000005621</v>
      </c>
      <c r="BB37" s="314">
        <f t="shared" si="10"/>
        <v>746656.45000000007</v>
      </c>
      <c r="BC37" s="314">
        <f t="shared" si="10"/>
        <v>3410.7511598492692</v>
      </c>
    </row>
    <row r="38" spans="1:55" s="333" customFormat="1">
      <c r="A38" s="313"/>
      <c r="B38" s="314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  <c r="AK38" s="313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BB38" s="370"/>
      <c r="BC38" s="370"/>
    </row>
    <row r="39" spans="1:55">
      <c r="A39" s="265"/>
      <c r="B39" s="265"/>
      <c r="C39" s="265"/>
      <c r="D39" s="265"/>
      <c r="E39" s="265"/>
      <c r="F39" s="334">
        <f t="shared" ref="F39:K39" si="11">F19-F18</f>
        <v>163.69999999998981</v>
      </c>
      <c r="G39" s="334">
        <f t="shared" si="11"/>
        <v>36.880000000004657</v>
      </c>
      <c r="H39" s="334">
        <f t="shared" si="11"/>
        <v>-85.440000000002328</v>
      </c>
      <c r="I39" s="334">
        <f t="shared" si="11"/>
        <v>130.21000000002095</v>
      </c>
      <c r="J39" s="334">
        <f t="shared" si="11"/>
        <v>851.51000000000931</v>
      </c>
      <c r="K39" s="334">
        <f t="shared" si="11"/>
        <v>217.5</v>
      </c>
      <c r="L39" s="334"/>
      <c r="M39" s="334"/>
      <c r="AO39" s="335" t="s">
        <v>109</v>
      </c>
      <c r="AP39" s="336">
        <v>191</v>
      </c>
      <c r="AQ39" s="336"/>
      <c r="AR39" s="336"/>
    </row>
    <row r="40" spans="1:55">
      <c r="A40" s="265"/>
      <c r="B40" s="265"/>
      <c r="C40" s="265"/>
      <c r="D40" s="265"/>
      <c r="E40" s="265"/>
      <c r="AO40" s="336"/>
      <c r="AP40" s="336">
        <v>88</v>
      </c>
      <c r="AQ40" s="336"/>
      <c r="AR40" s="336"/>
    </row>
    <row r="41" spans="1:55">
      <c r="A41" s="265"/>
      <c r="B41" s="265"/>
      <c r="C41" s="265"/>
      <c r="D41" s="265"/>
      <c r="E41" s="265"/>
      <c r="AO41" s="336"/>
      <c r="AP41" s="338">
        <f>SUM(AP39:AP40)</f>
        <v>279</v>
      </c>
      <c r="AQ41" s="339" t="s">
        <v>110</v>
      </c>
      <c r="AR41" s="339">
        <v>335</v>
      </c>
    </row>
    <row r="42" spans="1:55">
      <c r="A42" s="265"/>
      <c r="B42" s="265"/>
      <c r="C42" s="265"/>
      <c r="D42" s="265"/>
      <c r="E42" s="265"/>
      <c r="AO42" s="336"/>
      <c r="AP42" s="336"/>
      <c r="AQ42" s="336"/>
      <c r="AR42" s="336"/>
    </row>
    <row r="43" spans="1:55">
      <c r="A43" s="265"/>
      <c r="B43" s="265"/>
      <c r="C43" s="265"/>
      <c r="D43" s="265"/>
      <c r="E43" s="265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  <c r="AA43" s="329"/>
      <c r="AB43" s="329"/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N43" s="329"/>
      <c r="AO43" s="335" t="s">
        <v>111</v>
      </c>
      <c r="AP43" s="338">
        <v>168</v>
      </c>
      <c r="AQ43" s="336"/>
      <c r="AR43" s="336"/>
    </row>
    <row r="44" spans="1:55">
      <c r="A44" s="265"/>
      <c r="B44" s="265"/>
      <c r="C44" s="265"/>
      <c r="D44" s="265"/>
      <c r="E44" s="265"/>
      <c r="AO44" s="336"/>
      <c r="AP44" s="336"/>
      <c r="AQ44" s="339" t="s">
        <v>112</v>
      </c>
      <c r="AR44" s="336"/>
    </row>
    <row r="45" spans="1:55">
      <c r="A45" s="265"/>
      <c r="B45" s="265"/>
      <c r="C45" s="265"/>
      <c r="D45" s="265"/>
      <c r="E45" s="265"/>
      <c r="AO45" s="336" t="s">
        <v>113</v>
      </c>
      <c r="AP45" s="336">
        <f>20*38.68</f>
        <v>773.6</v>
      </c>
      <c r="AQ45" s="336" t="s">
        <v>114</v>
      </c>
      <c r="AR45" s="336"/>
    </row>
    <row r="46" spans="1:55">
      <c r="A46" s="265"/>
      <c r="B46" s="265"/>
      <c r="C46" s="265"/>
      <c r="D46" s="265"/>
      <c r="E46" s="265"/>
    </row>
    <row r="47" spans="1:55">
      <c r="A47" s="265"/>
      <c r="B47" s="265"/>
      <c r="C47" s="265"/>
      <c r="D47" s="265"/>
      <c r="E47" s="265"/>
    </row>
    <row r="48" spans="1:55">
      <c r="A48" s="265"/>
      <c r="B48" s="265"/>
      <c r="C48" s="265"/>
      <c r="D48" s="265"/>
      <c r="E48" s="265"/>
    </row>
    <row r="49" spans="1:5">
      <c r="A49" s="265"/>
      <c r="B49" s="265"/>
      <c r="C49" s="265"/>
      <c r="D49" s="265"/>
      <c r="E49" s="265"/>
    </row>
    <row r="50" spans="1:5">
      <c r="A50" s="265"/>
      <c r="B50" s="265"/>
      <c r="C50" s="265"/>
      <c r="D50" s="265"/>
      <c r="E50" s="265"/>
    </row>
    <row r="51" spans="1:5">
      <c r="A51" s="265"/>
      <c r="B51" s="265"/>
      <c r="C51" s="265"/>
      <c r="D51" s="265"/>
      <c r="E51" s="265"/>
    </row>
    <row r="52" spans="1:5">
      <c r="A52" s="265"/>
      <c r="B52" s="265"/>
      <c r="C52" s="265"/>
      <c r="D52" s="265"/>
      <c r="E52" s="265"/>
    </row>
    <row r="53" spans="1:5">
      <c r="A53" s="265"/>
      <c r="B53" s="265"/>
      <c r="C53" s="265"/>
      <c r="D53" s="265"/>
      <c r="E53" s="265"/>
    </row>
    <row r="54" spans="1:5">
      <c r="A54" s="265"/>
      <c r="B54" s="265"/>
      <c r="C54" s="265"/>
      <c r="D54" s="265"/>
      <c r="E54" s="265"/>
    </row>
    <row r="55" spans="1:5">
      <c r="A55" s="265"/>
      <c r="B55" s="265"/>
      <c r="C55" s="265"/>
      <c r="D55" s="265"/>
      <c r="E55" s="265"/>
    </row>
    <row r="56" spans="1:5">
      <c r="A56" s="265"/>
      <c r="B56" s="265"/>
      <c r="C56" s="265"/>
      <c r="D56" s="265"/>
      <c r="E56" s="265"/>
    </row>
    <row r="57" spans="1:5">
      <c r="A57" s="265"/>
      <c r="B57" s="265"/>
      <c r="C57" s="265"/>
      <c r="D57" s="265"/>
      <c r="E57" s="265"/>
    </row>
    <row r="58" spans="1:5">
      <c r="A58" s="265"/>
      <c r="B58" s="265"/>
      <c r="C58" s="265"/>
      <c r="D58" s="265"/>
      <c r="E58" s="265"/>
    </row>
    <row r="59" spans="1:5">
      <c r="A59" s="265"/>
      <c r="B59" s="265"/>
      <c r="C59" s="265"/>
      <c r="D59" s="265"/>
      <c r="E59" s="265"/>
    </row>
    <row r="60" spans="1:5">
      <c r="A60" s="265"/>
      <c r="B60" s="265"/>
      <c r="C60" s="265"/>
      <c r="D60" s="265"/>
      <c r="E60" s="265"/>
    </row>
    <row r="61" spans="1:5">
      <c r="A61" s="265"/>
      <c r="B61" s="265"/>
      <c r="C61" s="265"/>
      <c r="D61" s="265"/>
      <c r="E61" s="265"/>
    </row>
    <row r="62" spans="1:5">
      <c r="A62" s="265"/>
      <c r="B62" s="265"/>
      <c r="C62" s="265"/>
      <c r="D62" s="265"/>
      <c r="E62" s="265"/>
    </row>
    <row r="63" spans="1:5">
      <c r="A63" s="265"/>
      <c r="B63" s="265"/>
      <c r="C63" s="265"/>
      <c r="D63" s="265"/>
      <c r="E63" s="265"/>
    </row>
    <row r="64" spans="1:5">
      <c r="A64" s="265"/>
      <c r="B64" s="265"/>
      <c r="C64" s="265"/>
      <c r="D64" s="265"/>
      <c r="E64" s="265"/>
    </row>
    <row r="65" spans="1:5">
      <c r="A65" s="265"/>
      <c r="B65" s="265"/>
      <c r="C65" s="265"/>
      <c r="D65" s="265"/>
      <c r="E65" s="265"/>
    </row>
    <row r="66" spans="1:5">
      <c r="A66" s="265"/>
      <c r="B66" s="265"/>
      <c r="C66" s="265"/>
      <c r="D66" s="265"/>
      <c r="E66" s="265"/>
    </row>
    <row r="67" spans="1:5">
      <c r="A67" s="265"/>
      <c r="B67" s="265"/>
      <c r="C67" s="265"/>
      <c r="D67" s="265"/>
      <c r="E67" s="265"/>
    </row>
    <row r="68" spans="1:5">
      <c r="A68" s="265"/>
      <c r="B68" s="265"/>
      <c r="C68" s="265"/>
      <c r="D68" s="265"/>
      <c r="E68" s="265"/>
    </row>
    <row r="69" spans="1:5">
      <c r="A69" s="265"/>
      <c r="B69" s="265"/>
      <c r="C69" s="265"/>
      <c r="D69" s="265"/>
      <c r="E69" s="265"/>
    </row>
    <row r="70" spans="1:5">
      <c r="A70" s="265"/>
      <c r="B70" s="265"/>
      <c r="C70" s="265"/>
      <c r="D70" s="265"/>
      <c r="E70" s="265"/>
    </row>
    <row r="71" spans="1:5">
      <c r="A71" s="265"/>
      <c r="B71" s="265"/>
      <c r="C71" s="265"/>
      <c r="D71" s="265"/>
      <c r="E71" s="265"/>
    </row>
    <row r="72" spans="1:5">
      <c r="A72" s="265"/>
      <c r="B72" s="265"/>
      <c r="C72" s="265"/>
      <c r="D72" s="265"/>
      <c r="E72" s="265"/>
    </row>
    <row r="73" spans="1:5">
      <c r="A73" s="265"/>
      <c r="B73" s="265"/>
      <c r="C73" s="265"/>
      <c r="D73" s="265"/>
      <c r="E73" s="265"/>
    </row>
    <row r="74" spans="1:5">
      <c r="A74" s="265"/>
      <c r="B74" s="265"/>
      <c r="C74" s="265"/>
      <c r="D74" s="265"/>
      <c r="E74" s="265"/>
    </row>
    <row r="75" spans="1:5">
      <c r="A75" s="265"/>
      <c r="B75" s="265"/>
      <c r="C75" s="265"/>
      <c r="D75" s="265"/>
      <c r="E75" s="265"/>
    </row>
    <row r="76" spans="1:5">
      <c r="A76" s="265"/>
      <c r="B76" s="265"/>
      <c r="C76" s="265"/>
      <c r="D76" s="265"/>
      <c r="E76" s="265"/>
    </row>
    <row r="77" spans="1:5">
      <c r="A77" s="265"/>
      <c r="B77" s="265"/>
      <c r="C77" s="265"/>
      <c r="D77" s="265"/>
      <c r="E77" s="265"/>
    </row>
    <row r="78" spans="1:5">
      <c r="A78" s="265"/>
      <c r="B78" s="265"/>
      <c r="C78" s="265"/>
      <c r="D78" s="265"/>
      <c r="E78" s="265"/>
    </row>
    <row r="79" spans="1:5">
      <c r="A79" s="265"/>
      <c r="B79" s="265"/>
      <c r="C79" s="265"/>
      <c r="D79" s="265"/>
      <c r="E79" s="265"/>
    </row>
    <row r="80" spans="1:5">
      <c r="A80" s="265"/>
      <c r="B80" s="265"/>
      <c r="C80" s="265"/>
      <c r="D80" s="265"/>
      <c r="E80" s="265"/>
    </row>
    <row r="81" spans="1:5">
      <c r="A81" s="265"/>
      <c r="B81" s="265"/>
      <c r="C81" s="265"/>
      <c r="D81" s="265"/>
      <c r="E81" s="265"/>
    </row>
    <row r="82" spans="1:5">
      <c r="A82" s="265"/>
      <c r="B82" s="265"/>
      <c r="C82" s="265"/>
      <c r="D82" s="265"/>
      <c r="E82" s="265"/>
    </row>
    <row r="83" spans="1:5">
      <c r="A83" s="265"/>
      <c r="B83" s="265"/>
      <c r="C83" s="265"/>
      <c r="D83" s="265"/>
      <c r="E83" s="265"/>
    </row>
    <row r="84" spans="1:5">
      <c r="A84" s="265"/>
      <c r="B84" s="265"/>
      <c r="C84" s="265"/>
      <c r="D84" s="265"/>
      <c r="E84" s="265"/>
    </row>
    <row r="85" spans="1:5">
      <c r="A85" s="265"/>
      <c r="B85" s="265"/>
      <c r="C85" s="265"/>
      <c r="D85" s="265"/>
      <c r="E85" s="265"/>
    </row>
    <row r="86" spans="1:5">
      <c r="A86" s="265"/>
      <c r="B86" s="265"/>
      <c r="C86" s="265"/>
      <c r="D86" s="265"/>
      <c r="E86" s="265"/>
    </row>
    <row r="87" spans="1:5">
      <c r="A87" s="265"/>
      <c r="B87" s="265"/>
      <c r="C87" s="265"/>
      <c r="D87" s="265"/>
      <c r="E87" s="265"/>
    </row>
    <row r="88" spans="1:5">
      <c r="A88" s="265"/>
      <c r="B88" s="265"/>
      <c r="C88" s="265"/>
      <c r="D88" s="265"/>
      <c r="E88" s="265"/>
    </row>
    <row r="89" spans="1:5">
      <c r="A89" s="340"/>
      <c r="B89" s="340"/>
      <c r="C89" s="340"/>
      <c r="D89" s="340"/>
      <c r="E89" s="340"/>
    </row>
    <row r="90" spans="1:5">
      <c r="A90" s="340"/>
      <c r="B90" s="340"/>
      <c r="C90" s="340"/>
      <c r="D90" s="340"/>
      <c r="E90" s="340"/>
    </row>
    <row r="91" spans="1:5">
      <c r="A91" s="340"/>
      <c r="B91" s="340"/>
      <c r="C91" s="340"/>
      <c r="D91" s="340"/>
      <c r="E91" s="340"/>
    </row>
    <row r="92" spans="1:5">
      <c r="A92" s="340"/>
      <c r="B92" s="340"/>
      <c r="C92" s="340"/>
      <c r="D92" s="340"/>
      <c r="E92" s="34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67"/>
  <sheetViews>
    <sheetView view="pageBreakPreview" topLeftCell="A115" zoomScale="60" zoomScaleNormal="61" zoomScalePageLayoutView="70" workbookViewId="0">
      <selection activeCell="I153" sqref="I153"/>
    </sheetView>
  </sheetViews>
  <sheetFormatPr defaultColWidth="22.33203125" defaultRowHeight="21.95" customHeight="1"/>
  <cols>
    <col min="1" max="1" width="54.33203125" style="160" bestFit="1" customWidth="1"/>
    <col min="2" max="2" width="24.88671875" style="169" customWidth="1"/>
    <col min="3" max="3" width="15.88671875" style="169" customWidth="1"/>
    <col min="4" max="4" width="13.6640625" style="169" customWidth="1"/>
    <col min="5" max="5" width="14.6640625" style="559" bestFit="1" customWidth="1"/>
    <col min="6" max="6" width="19.44140625" style="169" customWidth="1"/>
    <col min="7" max="7" width="28.88671875" style="169" customWidth="1"/>
    <col min="8" max="8" width="24.6640625" style="170" customWidth="1"/>
    <col min="9" max="9" width="23.5546875" style="169" customWidth="1"/>
    <col min="10" max="10" width="24" style="171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>
      <c r="A1" s="746" t="s">
        <v>115</v>
      </c>
      <c r="B1" s="747"/>
      <c r="C1" s="747"/>
      <c r="D1" s="747"/>
      <c r="E1" s="747"/>
      <c r="F1" s="747"/>
      <c r="G1" s="747"/>
      <c r="H1" s="747"/>
      <c r="I1" s="747"/>
      <c r="J1" s="748"/>
    </row>
    <row r="2" spans="1:15" ht="27">
      <c r="A2" s="578" t="s">
        <v>350</v>
      </c>
      <c r="B2" s="604">
        <v>44501</v>
      </c>
      <c r="C2" s="398" t="s">
        <v>67</v>
      </c>
      <c r="D2" s="399">
        <v>0.51</v>
      </c>
      <c r="E2" s="573"/>
      <c r="F2" s="400"/>
      <c r="G2" s="400" t="s">
        <v>116</v>
      </c>
      <c r="H2" s="400" t="s">
        <v>5</v>
      </c>
      <c r="I2" s="400" t="s">
        <v>7</v>
      </c>
      <c r="J2" s="401" t="s">
        <v>117</v>
      </c>
    </row>
    <row r="3" spans="1:15" ht="22.5">
      <c r="A3" s="579"/>
      <c r="B3" s="402"/>
      <c r="C3" s="398" t="s">
        <v>118</v>
      </c>
      <c r="D3" s="403">
        <v>28</v>
      </c>
      <c r="E3" s="758" t="s">
        <v>119</v>
      </c>
      <c r="F3" s="759"/>
      <c r="G3" s="404"/>
      <c r="H3" s="405"/>
      <c r="I3" s="405"/>
      <c r="J3" s="406"/>
      <c r="K3" s="605"/>
      <c r="L3" s="483"/>
    </row>
    <row r="4" spans="1:15" ht="27">
      <c r="A4" s="580"/>
      <c r="B4" s="407"/>
      <c r="C4" s="398" t="s">
        <v>120</v>
      </c>
      <c r="D4" s="399">
        <v>0.9</v>
      </c>
      <c r="E4" s="574"/>
      <c r="F4" s="408"/>
      <c r="G4" s="408"/>
      <c r="H4" s="408"/>
      <c r="I4" s="409"/>
      <c r="J4" s="406"/>
      <c r="K4" s="606"/>
      <c r="L4" s="483"/>
    </row>
    <row r="5" spans="1:15" ht="22.5">
      <c r="A5" s="581" t="s">
        <v>121</v>
      </c>
      <c r="B5" s="410"/>
      <c r="C5" s="410"/>
      <c r="D5" s="410" t="s">
        <v>122</v>
      </c>
      <c r="E5" s="411" t="s">
        <v>110</v>
      </c>
      <c r="F5" s="411" t="s">
        <v>110</v>
      </c>
      <c r="G5" s="412" t="s">
        <v>124</v>
      </c>
      <c r="H5" s="413" t="s">
        <v>125</v>
      </c>
      <c r="I5" s="414" t="s">
        <v>126</v>
      </c>
      <c r="J5" s="415" t="s">
        <v>127</v>
      </c>
      <c r="K5" s="607"/>
      <c r="L5" s="483"/>
    </row>
    <row r="6" spans="1:15" ht="22.5">
      <c r="A6" s="749" t="s">
        <v>128</v>
      </c>
      <c r="B6" s="750"/>
      <c r="C6" s="751"/>
      <c r="D6" s="416"/>
      <c r="E6" s="416"/>
      <c r="F6" s="416"/>
      <c r="G6" s="416"/>
      <c r="H6" s="417"/>
      <c r="I6" s="417"/>
      <c r="J6" s="418"/>
      <c r="K6" s="608"/>
      <c r="L6" s="483"/>
    </row>
    <row r="7" spans="1:15" ht="23.25" thickBot="1">
      <c r="A7" s="582" t="s">
        <v>129</v>
      </c>
      <c r="B7" s="419"/>
      <c r="C7" s="419"/>
      <c r="D7" s="420" t="s">
        <v>130</v>
      </c>
      <c r="E7" s="421">
        <v>686263.3</v>
      </c>
      <c r="F7" s="421">
        <v>707634.79</v>
      </c>
      <c r="G7" s="422">
        <f>F7-E7</f>
        <v>21371.489999999991</v>
      </c>
      <c r="H7" s="423">
        <f>G7</f>
        <v>21371.489999999991</v>
      </c>
      <c r="I7" s="424">
        <v>12000</v>
      </c>
      <c r="J7" s="425">
        <f>H7/DAY(B2)</f>
        <v>21371.489999999991</v>
      </c>
      <c r="K7" s="609">
        <v>1375467</v>
      </c>
      <c r="L7" s="483"/>
      <c r="N7" s="610"/>
      <c r="O7" s="171"/>
    </row>
    <row r="8" spans="1:15" ht="23.25" thickBot="1">
      <c r="A8" s="583" t="s">
        <v>131</v>
      </c>
      <c r="B8" s="426"/>
      <c r="C8" s="427"/>
      <c r="D8" s="428" t="s">
        <v>24</v>
      </c>
      <c r="E8" s="429">
        <v>713163.9</v>
      </c>
      <c r="F8" s="429">
        <v>734972.87</v>
      </c>
      <c r="G8" s="422">
        <f>F8-E8</f>
        <v>21808.969999999972</v>
      </c>
      <c r="H8" s="423">
        <f>G8</f>
        <v>21808.969999999972</v>
      </c>
      <c r="I8" s="430">
        <v>12000</v>
      </c>
      <c r="J8" s="425">
        <f>H8/DAY(B2)</f>
        <v>21808.969999999972</v>
      </c>
      <c r="K8" s="609">
        <v>1715917</v>
      </c>
      <c r="L8" s="421">
        <v>1728480</v>
      </c>
      <c r="M8" s="610">
        <f>L8-K8</f>
        <v>12563</v>
      </c>
      <c r="N8" s="610"/>
      <c r="O8" s="171"/>
    </row>
    <row r="9" spans="1:15" ht="22.5">
      <c r="A9" s="584" t="s">
        <v>132</v>
      </c>
      <c r="B9" s="431"/>
      <c r="C9" s="431"/>
      <c r="D9" s="420" t="s">
        <v>130</v>
      </c>
      <c r="E9" s="432">
        <v>1261278.5</v>
      </c>
      <c r="F9" s="432">
        <v>1273980.5</v>
      </c>
      <c r="G9" s="422">
        <f>F9-E9</f>
        <v>12702</v>
      </c>
      <c r="H9" s="423">
        <f t="shared" ref="H9:H13" si="0">G9</f>
        <v>12702</v>
      </c>
      <c r="I9" s="433">
        <f>I8-J8</f>
        <v>-9808.9699999999721</v>
      </c>
      <c r="J9" s="425">
        <f>H9/DAY(B2)</f>
        <v>12702</v>
      </c>
      <c r="K9" s="611">
        <f>K8-100</f>
        <v>1715817</v>
      </c>
      <c r="L9" s="483"/>
      <c r="N9" s="610"/>
      <c r="O9" s="171"/>
    </row>
    <row r="10" spans="1:15" ht="22.5">
      <c r="A10" s="582" t="s">
        <v>133</v>
      </c>
      <c r="B10" s="419"/>
      <c r="C10" s="419"/>
      <c r="D10" s="420" t="s">
        <v>130</v>
      </c>
      <c r="E10" s="432">
        <v>168383.93</v>
      </c>
      <c r="F10" s="432">
        <v>176488.39</v>
      </c>
      <c r="G10" s="422">
        <f t="shared" ref="G10:G11" si="1">F10-E10</f>
        <v>8104.460000000021</v>
      </c>
      <c r="H10" s="423">
        <f t="shared" si="0"/>
        <v>8104.460000000021</v>
      </c>
      <c r="I10" s="434"/>
      <c r="J10" s="425">
        <f>H10/DAY(B2)</f>
        <v>8104.460000000021</v>
      </c>
      <c r="K10" s="611"/>
      <c r="L10" s="483"/>
      <c r="N10" s="610"/>
      <c r="O10" s="171"/>
    </row>
    <row r="11" spans="1:15" ht="22.5">
      <c r="A11" s="582" t="s">
        <v>134</v>
      </c>
      <c r="B11" s="419"/>
      <c r="C11" s="419"/>
      <c r="D11" s="420" t="s">
        <v>130</v>
      </c>
      <c r="E11" s="421">
        <v>37000</v>
      </c>
      <c r="F11" s="421">
        <v>37000</v>
      </c>
      <c r="G11" s="422">
        <f t="shared" si="1"/>
        <v>0</v>
      </c>
      <c r="H11" s="423">
        <f t="shared" si="0"/>
        <v>0</v>
      </c>
      <c r="I11" s="434"/>
      <c r="J11" s="425">
        <f>H11/DAY(B2)</f>
        <v>0</v>
      </c>
      <c r="K11" s="611"/>
      <c r="L11" s="483"/>
      <c r="N11" s="610"/>
      <c r="O11" s="171">
        <f>142-18</f>
        <v>124</v>
      </c>
    </row>
    <row r="12" spans="1:15" ht="22.5">
      <c r="A12" s="582" t="s">
        <v>135</v>
      </c>
      <c r="B12" s="419"/>
      <c r="C12" s="419"/>
      <c r="D12" s="420" t="s">
        <v>130</v>
      </c>
      <c r="E12" s="432">
        <v>40010</v>
      </c>
      <c r="F12" s="432">
        <v>40010</v>
      </c>
      <c r="G12" s="422">
        <f>F12-E12</f>
        <v>0</v>
      </c>
      <c r="H12" s="423">
        <f t="shared" si="0"/>
        <v>0</v>
      </c>
      <c r="I12" s="434"/>
      <c r="J12" s="425">
        <f>H12/DAY(B2)</f>
        <v>0</v>
      </c>
      <c r="K12" s="611"/>
      <c r="L12" s="483"/>
      <c r="N12" s="610"/>
      <c r="O12" s="171"/>
    </row>
    <row r="13" spans="1:15" ht="22.5">
      <c r="A13" s="585" t="s">
        <v>136</v>
      </c>
      <c r="B13" s="435"/>
      <c r="C13" s="435"/>
      <c r="D13" s="420"/>
      <c r="E13" s="421"/>
      <c r="F13" s="421"/>
      <c r="G13" s="422">
        <f>F13-E13</f>
        <v>0</v>
      </c>
      <c r="H13" s="423">
        <f t="shared" si="0"/>
        <v>0</v>
      </c>
      <c r="I13" s="436">
        <f>G7-G13</f>
        <v>21371.489999999991</v>
      </c>
      <c r="J13" s="425">
        <f>H13/DAY(B2)</f>
        <v>0</v>
      </c>
      <c r="K13" s="611"/>
      <c r="L13" s="483"/>
      <c r="N13" s="610"/>
      <c r="O13" s="171"/>
    </row>
    <row r="14" spans="1:15" ht="22.5">
      <c r="A14" s="752" t="s">
        <v>137</v>
      </c>
      <c r="B14" s="753"/>
      <c r="C14" s="754"/>
      <c r="D14" s="417"/>
      <c r="E14" s="417"/>
      <c r="F14" s="417"/>
      <c r="G14" s="437"/>
      <c r="H14" s="417"/>
      <c r="I14" s="417"/>
      <c r="J14" s="418"/>
      <c r="K14" s="612"/>
      <c r="L14" s="483"/>
      <c r="N14" s="610"/>
      <c r="O14" s="171"/>
    </row>
    <row r="15" spans="1:15" ht="22.5">
      <c r="A15" s="586" t="s">
        <v>138</v>
      </c>
      <c r="B15" s="438"/>
      <c r="C15" s="438"/>
      <c r="D15" s="420" t="s">
        <v>139</v>
      </c>
      <c r="E15" s="439">
        <v>1815666.96</v>
      </c>
      <c r="F15" s="440">
        <v>1816695.99</v>
      </c>
      <c r="G15" s="441">
        <f>(F15-E15)</f>
        <v>1029.0300000000279</v>
      </c>
      <c r="H15" s="433">
        <f>G15</f>
        <v>1029.0300000000279</v>
      </c>
      <c r="I15" s="424">
        <v>800</v>
      </c>
      <c r="J15" s="425">
        <f>H15/DAY(B2)</f>
        <v>1029.0300000000279</v>
      </c>
      <c r="K15" s="611"/>
      <c r="L15" s="483"/>
      <c r="N15" s="610"/>
      <c r="O15" s="171"/>
    </row>
    <row r="16" spans="1:15" ht="22.5">
      <c r="A16" s="587"/>
      <c r="B16" s="442"/>
      <c r="C16" s="442"/>
      <c r="D16" s="443"/>
      <c r="E16" s="439"/>
      <c r="F16" s="439"/>
      <c r="G16" s="422"/>
      <c r="H16" s="433"/>
      <c r="I16" s="436">
        <f>I15-J15</f>
        <v>-229.03000000002794</v>
      </c>
      <c r="J16" s="444"/>
      <c r="K16" s="611"/>
      <c r="L16" s="483"/>
      <c r="N16" s="610"/>
      <c r="O16" s="171"/>
    </row>
    <row r="17" spans="1:15" ht="22.5">
      <c r="A17" s="752" t="s">
        <v>140</v>
      </c>
      <c r="B17" s="753"/>
      <c r="C17" s="754"/>
      <c r="D17" s="417"/>
      <c r="E17" s="417"/>
      <c r="F17" s="417"/>
      <c r="G17" s="445"/>
      <c r="H17" s="417"/>
      <c r="I17" s="417"/>
      <c r="J17" s="418"/>
      <c r="K17" s="611"/>
      <c r="L17" s="483"/>
      <c r="N17" s="610"/>
      <c r="O17" s="171"/>
    </row>
    <row r="18" spans="1:15" ht="22.5">
      <c r="A18" s="720" t="s">
        <v>141</v>
      </c>
      <c r="B18" s="721"/>
      <c r="C18" s="722"/>
      <c r="D18" s="420" t="s">
        <v>142</v>
      </c>
      <c r="E18" s="446">
        <v>20</v>
      </c>
      <c r="F18" s="446">
        <v>18</v>
      </c>
      <c r="G18" s="447">
        <f>F18*10</f>
        <v>180</v>
      </c>
      <c r="H18" s="423">
        <f>G18</f>
        <v>180</v>
      </c>
      <c r="I18" s="424">
        <v>65</v>
      </c>
      <c r="J18" s="425">
        <f>H18/DAY(B2)</f>
        <v>180</v>
      </c>
      <c r="K18" s="611"/>
      <c r="L18" s="483"/>
      <c r="N18" s="610"/>
      <c r="O18" s="171"/>
    </row>
    <row r="19" spans="1:15" ht="22.5">
      <c r="A19" s="720" t="s">
        <v>69</v>
      </c>
      <c r="B19" s="721"/>
      <c r="C19" s="722"/>
      <c r="D19" s="420" t="s">
        <v>142</v>
      </c>
      <c r="E19" s="446">
        <v>148917</v>
      </c>
      <c r="F19" s="446">
        <v>148974</v>
      </c>
      <c r="G19" s="422">
        <f t="shared" ref="G19" si="2">F19-E19</f>
        <v>57</v>
      </c>
      <c r="H19" s="423">
        <f t="shared" ref="H19" si="3">G19</f>
        <v>57</v>
      </c>
      <c r="I19" s="448"/>
      <c r="J19" s="425">
        <f>H19/DAY(B2)</f>
        <v>57</v>
      </c>
      <c r="K19" s="611"/>
      <c r="L19" s="483"/>
      <c r="N19" s="610"/>
      <c r="O19" s="171"/>
    </row>
    <row r="20" spans="1:15" ht="22.5">
      <c r="A20" s="585" t="s">
        <v>143</v>
      </c>
      <c r="B20" s="435"/>
      <c r="C20" s="435"/>
      <c r="D20" s="449"/>
      <c r="E20" s="449"/>
      <c r="F20" s="449"/>
      <c r="G20" s="450">
        <f>G18+G19</f>
        <v>237</v>
      </c>
      <c r="H20" s="423">
        <f>G20</f>
        <v>237</v>
      </c>
      <c r="I20" s="451">
        <f>I18-J20</f>
        <v>-172</v>
      </c>
      <c r="J20" s="425">
        <f>H20/DAY(B2)</f>
        <v>237</v>
      </c>
      <c r="K20" s="611"/>
      <c r="L20" s="483"/>
      <c r="N20" s="610"/>
      <c r="O20" s="171"/>
    </row>
    <row r="21" spans="1:15" ht="22.5">
      <c r="A21" s="752" t="s">
        <v>144</v>
      </c>
      <c r="B21" s="753"/>
      <c r="C21" s="754"/>
      <c r="D21" s="417"/>
      <c r="E21" s="417"/>
      <c r="F21" s="417"/>
      <c r="G21" s="437"/>
      <c r="H21" s="417"/>
      <c r="I21" s="417"/>
      <c r="J21" s="418"/>
      <c r="K21" s="611"/>
      <c r="L21" s="483"/>
      <c r="N21" s="610"/>
      <c r="O21" s="171"/>
    </row>
    <row r="22" spans="1:15" ht="22.5">
      <c r="A22" s="586" t="s">
        <v>145</v>
      </c>
      <c r="B22" s="438"/>
      <c r="C22" s="438"/>
      <c r="D22" s="420" t="s">
        <v>146</v>
      </c>
      <c r="E22" s="446">
        <v>2970</v>
      </c>
      <c r="F22" s="446">
        <v>2970</v>
      </c>
      <c r="G22" s="447">
        <f>(F22-E22)</f>
        <v>0</v>
      </c>
      <c r="H22" s="423">
        <f>G22</f>
        <v>0</v>
      </c>
      <c r="I22" s="434"/>
      <c r="J22" s="425">
        <f>H22/DAY(B2)</f>
        <v>0</v>
      </c>
      <c r="K22" s="611"/>
      <c r="L22" s="483"/>
      <c r="N22" s="610"/>
      <c r="O22" s="171"/>
    </row>
    <row r="23" spans="1:15" ht="22.5">
      <c r="A23" s="586" t="s">
        <v>147</v>
      </c>
      <c r="B23" s="438"/>
      <c r="C23" s="438"/>
      <c r="D23" s="420" t="s">
        <v>146</v>
      </c>
      <c r="E23" s="446">
        <v>2000</v>
      </c>
      <c r="F23" s="446">
        <v>2000</v>
      </c>
      <c r="G23" s="447">
        <f t="shared" ref="G23" si="4">(F23-E23)</f>
        <v>0</v>
      </c>
      <c r="H23" s="423">
        <f t="shared" ref="H23:H24" si="5">G23</f>
        <v>0</v>
      </c>
      <c r="I23" s="434"/>
      <c r="J23" s="425">
        <f>H23/DAY(B2)</f>
        <v>0</v>
      </c>
      <c r="K23" s="611"/>
      <c r="L23" s="483"/>
      <c r="N23" s="610"/>
      <c r="O23" s="171"/>
    </row>
    <row r="24" spans="1:15" ht="22.5">
      <c r="A24" s="588" t="s">
        <v>148</v>
      </c>
      <c r="B24" s="452"/>
      <c r="C24" s="452"/>
      <c r="D24" s="410" t="s">
        <v>146</v>
      </c>
      <c r="E24" s="453">
        <v>4970</v>
      </c>
      <c r="F24" s="453"/>
      <c r="G24" s="447">
        <f>SUM(G22:G23)</f>
        <v>0</v>
      </c>
      <c r="H24" s="423">
        <f t="shared" si="5"/>
        <v>0</v>
      </c>
      <c r="I24" s="434"/>
      <c r="J24" s="425">
        <f>H24/DAY(B2)</f>
        <v>0</v>
      </c>
      <c r="K24" s="611"/>
      <c r="L24" s="483"/>
      <c r="N24" s="610"/>
      <c r="O24" s="171"/>
    </row>
    <row r="25" spans="1:15" ht="22.5">
      <c r="A25" s="749" t="s">
        <v>149</v>
      </c>
      <c r="B25" s="750"/>
      <c r="C25" s="751"/>
      <c r="D25" s="416"/>
      <c r="E25" s="416"/>
      <c r="F25" s="416"/>
      <c r="G25" s="454"/>
      <c r="H25" s="455"/>
      <c r="I25" s="456"/>
      <c r="J25" s="457"/>
      <c r="K25" s="611"/>
      <c r="L25" s="483"/>
      <c r="N25" s="610"/>
      <c r="O25" s="171"/>
    </row>
    <row r="26" spans="1:15" ht="22.5">
      <c r="A26" s="589" t="s">
        <v>150</v>
      </c>
      <c r="B26" s="458"/>
      <c r="C26" s="459"/>
      <c r="D26" s="460" t="s">
        <v>151</v>
      </c>
      <c r="E26" s="461"/>
      <c r="F26" s="461"/>
      <c r="G26" s="462"/>
      <c r="H26" s="423"/>
      <c r="I26" s="463"/>
      <c r="J26" s="425"/>
      <c r="K26" s="612"/>
      <c r="L26" s="483"/>
      <c r="N26" s="610"/>
      <c r="O26" s="171"/>
    </row>
    <row r="27" spans="1:15" ht="22.5">
      <c r="A27" s="589" t="s">
        <v>5</v>
      </c>
      <c r="B27" s="458"/>
      <c r="C27" s="459"/>
      <c r="D27" s="464" t="s">
        <v>24</v>
      </c>
      <c r="E27" s="465">
        <f>G8</f>
        <v>21808.969999999972</v>
      </c>
      <c r="F27" s="465">
        <v>9</v>
      </c>
      <c r="G27" s="466">
        <f>E27*F27</f>
        <v>196280.72999999975</v>
      </c>
      <c r="H27" s="423">
        <f t="shared" ref="H27:H32" si="6">G27</f>
        <v>196280.72999999975</v>
      </c>
      <c r="I27" s="467"/>
      <c r="J27" s="425">
        <f>H27/DAY(B2)</f>
        <v>196280.72999999975</v>
      </c>
      <c r="K27" s="611"/>
      <c r="L27" s="483"/>
      <c r="N27" s="610"/>
      <c r="O27" s="171"/>
    </row>
    <row r="28" spans="1:15" ht="22.5">
      <c r="A28" s="589" t="s">
        <v>152</v>
      </c>
      <c r="B28" s="458"/>
      <c r="C28" s="459"/>
      <c r="D28" s="464" t="s">
        <v>153</v>
      </c>
      <c r="E28" s="465">
        <f>G15</f>
        <v>1029.0300000000279</v>
      </c>
      <c r="F28" s="465">
        <v>52</v>
      </c>
      <c r="G28" s="466">
        <f>E28*F28</f>
        <v>53509.560000001453</v>
      </c>
      <c r="H28" s="423">
        <f t="shared" si="6"/>
        <v>53509.560000001453</v>
      </c>
      <c r="I28" s="468"/>
      <c r="J28" s="425">
        <f>H28/DAY(B2)</f>
        <v>53509.560000001453</v>
      </c>
      <c r="K28" s="611"/>
      <c r="L28" s="483"/>
      <c r="N28" s="610"/>
      <c r="O28" s="171"/>
    </row>
    <row r="29" spans="1:15" ht="22.5">
      <c r="A29" s="589" t="s">
        <v>154</v>
      </c>
      <c r="B29" s="458"/>
      <c r="C29" s="459"/>
      <c r="D29" s="464" t="s">
        <v>155</v>
      </c>
      <c r="E29" s="465">
        <f>G24</f>
        <v>0</v>
      </c>
      <c r="F29" s="465">
        <v>69</v>
      </c>
      <c r="G29" s="466">
        <f>E29*F29</f>
        <v>0</v>
      </c>
      <c r="H29" s="423">
        <f t="shared" si="6"/>
        <v>0</v>
      </c>
      <c r="I29" s="468"/>
      <c r="J29" s="425">
        <f>H29/DAY(B2)</f>
        <v>0</v>
      </c>
      <c r="K29" s="611"/>
      <c r="L29" s="483"/>
      <c r="N29" s="610"/>
      <c r="O29" s="171"/>
    </row>
    <row r="30" spans="1:15" ht="22.5">
      <c r="A30" s="589" t="s">
        <v>156</v>
      </c>
      <c r="B30" s="458"/>
      <c r="C30" s="459"/>
      <c r="D30" s="464" t="s">
        <v>157</v>
      </c>
      <c r="E30" s="465">
        <f>G19</f>
        <v>57</v>
      </c>
      <c r="F30" s="465">
        <v>146</v>
      </c>
      <c r="G30" s="466">
        <f>E30*F30</f>
        <v>8322</v>
      </c>
      <c r="H30" s="423">
        <f t="shared" si="6"/>
        <v>8322</v>
      </c>
      <c r="I30" s="468"/>
      <c r="J30" s="425">
        <f>H30/DAY(B2)</f>
        <v>8322</v>
      </c>
      <c r="K30" s="611"/>
      <c r="L30" s="483"/>
      <c r="N30" s="610"/>
      <c r="O30" s="171"/>
    </row>
    <row r="31" spans="1:15" ht="22.5">
      <c r="A31" s="589" t="s">
        <v>158</v>
      </c>
      <c r="B31" s="458"/>
      <c r="C31" s="459"/>
      <c r="D31" s="464" t="s">
        <v>142</v>
      </c>
      <c r="E31" s="465">
        <f>G18</f>
        <v>180</v>
      </c>
      <c r="F31" s="465">
        <v>80</v>
      </c>
      <c r="G31" s="466">
        <f>E31*F31</f>
        <v>14400</v>
      </c>
      <c r="H31" s="423">
        <f t="shared" si="6"/>
        <v>14400</v>
      </c>
      <c r="I31" s="468"/>
      <c r="J31" s="425">
        <f>H31/DAY(B2)</f>
        <v>14400</v>
      </c>
      <c r="K31" s="611"/>
      <c r="L31" s="483"/>
      <c r="N31" s="610"/>
      <c r="O31" s="171"/>
    </row>
    <row r="32" spans="1:15" ht="22.5">
      <c r="A32" s="590" t="s">
        <v>159</v>
      </c>
      <c r="B32" s="469"/>
      <c r="C32" s="470"/>
      <c r="D32" s="471"/>
      <c r="E32" s="471"/>
      <c r="F32" s="471"/>
      <c r="G32" s="472">
        <f>G27+G28+G29+G30+G31</f>
        <v>272512.2900000012</v>
      </c>
      <c r="H32" s="423">
        <f t="shared" si="6"/>
        <v>272512.2900000012</v>
      </c>
      <c r="I32" s="473"/>
      <c r="J32" s="425">
        <f>H32/DAY(B2)</f>
        <v>272512.2900000012</v>
      </c>
      <c r="K32" s="611"/>
      <c r="L32" s="483"/>
      <c r="N32" s="610"/>
      <c r="O32" s="171"/>
    </row>
    <row r="33" spans="1:15" ht="25.5" customHeight="1">
      <c r="A33" s="760" t="s">
        <v>331</v>
      </c>
      <c r="B33" s="761"/>
      <c r="C33" s="761"/>
      <c r="D33" s="613"/>
      <c r="E33" s="614"/>
      <c r="F33" s="613"/>
      <c r="G33" s="613"/>
      <c r="H33" s="613"/>
      <c r="I33" s="613"/>
      <c r="J33" s="615"/>
      <c r="K33" s="611"/>
      <c r="L33" s="483"/>
      <c r="N33" s="610"/>
      <c r="O33" s="171"/>
    </row>
    <row r="34" spans="1:15" ht="22.5">
      <c r="A34" s="591" t="s">
        <v>160</v>
      </c>
      <c r="B34" s="474"/>
      <c r="C34" s="474"/>
      <c r="D34" s="417"/>
      <c r="E34" s="416"/>
      <c r="F34" s="416"/>
      <c r="G34" s="417"/>
      <c r="H34" s="417"/>
      <c r="I34" s="417"/>
      <c r="J34" s="418"/>
      <c r="K34" s="611"/>
      <c r="L34" s="483"/>
      <c r="N34" s="610"/>
      <c r="O34" s="171"/>
    </row>
    <row r="35" spans="1:15" ht="22.5">
      <c r="A35" s="582" t="s">
        <v>161</v>
      </c>
      <c r="B35" s="419"/>
      <c r="C35" s="419"/>
      <c r="D35" s="420" t="s">
        <v>130</v>
      </c>
      <c r="E35" s="475">
        <v>32474.67</v>
      </c>
      <c r="F35" s="475">
        <v>34247.629999999997</v>
      </c>
      <c r="G35" s="422">
        <f t="shared" ref="G35:G46" si="7">F35-E35</f>
        <v>1772.9599999999991</v>
      </c>
      <c r="H35" s="423">
        <f t="shared" ref="H35:H47" si="8">G35</f>
        <v>1772.9599999999991</v>
      </c>
      <c r="I35" s="421"/>
      <c r="J35" s="425">
        <f>H35/DAY(B2)</f>
        <v>1772.9599999999991</v>
      </c>
      <c r="K35" s="611"/>
      <c r="L35" s="483"/>
      <c r="N35" s="610"/>
      <c r="O35" s="171"/>
    </row>
    <row r="36" spans="1:15" ht="22.5">
      <c r="A36" s="582" t="s">
        <v>162</v>
      </c>
      <c r="B36" s="419"/>
      <c r="C36" s="419"/>
      <c r="D36" s="420" t="s">
        <v>130</v>
      </c>
      <c r="E36" s="475">
        <v>49939.67</v>
      </c>
      <c r="F36" s="475">
        <v>50622.95</v>
      </c>
      <c r="G36" s="422">
        <f t="shared" si="7"/>
        <v>683.27999999999884</v>
      </c>
      <c r="H36" s="423">
        <f t="shared" si="8"/>
        <v>683.27999999999884</v>
      </c>
      <c r="I36" s="421"/>
      <c r="J36" s="425">
        <f>H36/DAY(B2)</f>
        <v>683.27999999999884</v>
      </c>
      <c r="K36" s="611"/>
      <c r="L36" s="483"/>
      <c r="N36" s="610"/>
      <c r="O36" s="616"/>
    </row>
    <row r="37" spans="1:15" ht="22.5">
      <c r="A37" s="582" t="s">
        <v>163</v>
      </c>
      <c r="B37" s="419"/>
      <c r="C37" s="419"/>
      <c r="D37" s="420" t="s">
        <v>130</v>
      </c>
      <c r="E37" s="475">
        <v>97053.83</v>
      </c>
      <c r="F37" s="475">
        <v>98658.79</v>
      </c>
      <c r="G37" s="422">
        <f t="shared" si="7"/>
        <v>1604.9599999999919</v>
      </c>
      <c r="H37" s="423">
        <f t="shared" si="8"/>
        <v>1604.9599999999919</v>
      </c>
      <c r="I37" s="421"/>
      <c r="J37" s="425">
        <f>H37/DAY(B2)</f>
        <v>1604.9599999999919</v>
      </c>
      <c r="K37" s="611"/>
      <c r="L37" s="483"/>
      <c r="N37" s="610"/>
      <c r="O37" s="617"/>
    </row>
    <row r="38" spans="1:15" ht="22.5">
      <c r="A38" s="582" t="s">
        <v>164</v>
      </c>
      <c r="B38" s="419"/>
      <c r="C38" s="419"/>
      <c r="D38" s="420" t="s">
        <v>130</v>
      </c>
      <c r="E38" s="413">
        <v>115223.03999999999</v>
      </c>
      <c r="F38" s="413">
        <v>117069.18</v>
      </c>
      <c r="G38" s="422">
        <f t="shared" si="7"/>
        <v>1846.1399999999994</v>
      </c>
      <c r="H38" s="423">
        <f t="shared" si="8"/>
        <v>1846.1399999999994</v>
      </c>
      <c r="I38" s="421"/>
      <c r="J38" s="425">
        <f>H38/DAY(B2)</f>
        <v>1846.1399999999994</v>
      </c>
      <c r="K38" s="611"/>
      <c r="L38" s="483"/>
      <c r="N38" s="610"/>
      <c r="O38" s="171"/>
    </row>
    <row r="39" spans="1:15" ht="22.5">
      <c r="A39" s="582" t="s">
        <v>165</v>
      </c>
      <c r="B39" s="419"/>
      <c r="C39" s="419"/>
      <c r="D39" s="420" t="s">
        <v>130</v>
      </c>
      <c r="E39" s="475">
        <v>233381.05</v>
      </c>
      <c r="F39" s="475">
        <v>236281.09</v>
      </c>
      <c r="G39" s="422">
        <f t="shared" si="7"/>
        <v>2900.0400000000081</v>
      </c>
      <c r="H39" s="423">
        <f t="shared" si="8"/>
        <v>2900.0400000000081</v>
      </c>
      <c r="I39" s="421"/>
      <c r="J39" s="425">
        <f>H39/DAY(B2)</f>
        <v>2900.0400000000081</v>
      </c>
      <c r="K39" s="611"/>
      <c r="L39" s="483"/>
      <c r="N39" s="610"/>
      <c r="O39" s="171"/>
    </row>
    <row r="40" spans="1:15" ht="22.5">
      <c r="A40" s="592" t="s">
        <v>166</v>
      </c>
      <c r="B40" s="476"/>
      <c r="C40" s="476"/>
      <c r="D40" s="420" t="s">
        <v>130</v>
      </c>
      <c r="E40" s="475">
        <v>25.37</v>
      </c>
      <c r="F40" s="475">
        <v>25.4</v>
      </c>
      <c r="G40" s="422">
        <f t="shared" si="7"/>
        <v>2.9999999999997584E-2</v>
      </c>
      <c r="H40" s="423">
        <f t="shared" si="8"/>
        <v>2.9999999999997584E-2</v>
      </c>
      <c r="I40" s="421"/>
      <c r="J40" s="425">
        <f>H40/DAY(B2)</f>
        <v>2.9999999999997584E-2</v>
      </c>
      <c r="K40" s="612"/>
      <c r="L40" s="483"/>
      <c r="N40" s="610"/>
      <c r="O40" s="171"/>
    </row>
    <row r="41" spans="1:15" ht="22.5">
      <c r="A41" s="582" t="s">
        <v>167</v>
      </c>
      <c r="B41" s="419"/>
      <c r="C41" s="419"/>
      <c r="D41" s="420" t="s">
        <v>130</v>
      </c>
      <c r="E41" s="475">
        <v>581858.82999999996</v>
      </c>
      <c r="F41" s="475">
        <v>581858.82999999996</v>
      </c>
      <c r="G41" s="422">
        <f t="shared" si="7"/>
        <v>0</v>
      </c>
      <c r="H41" s="423">
        <f t="shared" si="8"/>
        <v>0</v>
      </c>
      <c r="I41" s="421"/>
      <c r="J41" s="425">
        <f>H41/DAY(B2)</f>
        <v>0</v>
      </c>
      <c r="K41" s="611"/>
      <c r="L41" s="483"/>
      <c r="N41" s="610"/>
      <c r="O41" s="171"/>
    </row>
    <row r="42" spans="1:15" ht="22.5">
      <c r="A42" s="582" t="s">
        <v>168</v>
      </c>
      <c r="B42" s="419"/>
      <c r="C42" s="419"/>
      <c r="D42" s="420" t="s">
        <v>130</v>
      </c>
      <c r="E42" s="475">
        <v>270969.67</v>
      </c>
      <c r="F42" s="475">
        <v>270969.63</v>
      </c>
      <c r="G42" s="422">
        <f t="shared" si="7"/>
        <v>-3.9999999979045242E-2</v>
      </c>
      <c r="H42" s="423">
        <f t="shared" si="8"/>
        <v>-3.9999999979045242E-2</v>
      </c>
      <c r="I42" s="421"/>
      <c r="J42" s="425">
        <f>H42/DAY(B2)</f>
        <v>-3.9999999979045242E-2</v>
      </c>
      <c r="K42" s="611"/>
      <c r="L42" s="483"/>
      <c r="N42" s="610"/>
      <c r="O42" s="171"/>
    </row>
    <row r="43" spans="1:15" ht="22.5">
      <c r="A43" s="582" t="s">
        <v>169</v>
      </c>
      <c r="B43" s="419"/>
      <c r="C43" s="419"/>
      <c r="D43" s="420" t="s">
        <v>130</v>
      </c>
      <c r="E43" s="475">
        <v>1446087.4</v>
      </c>
      <c r="F43" s="475">
        <v>1448688.3</v>
      </c>
      <c r="G43" s="422">
        <f t="shared" si="7"/>
        <v>2600.9000000001397</v>
      </c>
      <c r="H43" s="423">
        <f t="shared" si="8"/>
        <v>2600.9000000001397</v>
      </c>
      <c r="I43" s="421"/>
      <c r="J43" s="425">
        <f>H43/DAY(B2)</f>
        <v>2600.9000000001397</v>
      </c>
      <c r="K43" s="611"/>
      <c r="L43" s="483"/>
      <c r="N43" s="610"/>
      <c r="O43" s="171"/>
    </row>
    <row r="44" spans="1:15" ht="22.5">
      <c r="A44" s="582" t="s">
        <v>170</v>
      </c>
      <c r="B44" s="419"/>
      <c r="C44" s="419"/>
      <c r="D44" s="420" t="s">
        <v>130</v>
      </c>
      <c r="E44" s="475">
        <v>0</v>
      </c>
      <c r="F44" s="475">
        <v>0</v>
      </c>
      <c r="G44" s="422">
        <f t="shared" si="7"/>
        <v>0</v>
      </c>
      <c r="H44" s="423">
        <f t="shared" si="8"/>
        <v>0</v>
      </c>
      <c r="I44" s="421"/>
      <c r="J44" s="425">
        <f>H44/DAY(B2)</f>
        <v>0</v>
      </c>
      <c r="K44" s="611"/>
      <c r="L44" s="483"/>
      <c r="N44" s="610"/>
      <c r="O44" s="171"/>
    </row>
    <row r="45" spans="1:15" ht="22.5">
      <c r="A45" s="582" t="s">
        <v>171</v>
      </c>
      <c r="B45" s="419"/>
      <c r="C45" s="419"/>
      <c r="D45" s="420" t="s">
        <v>130</v>
      </c>
      <c r="E45" s="475">
        <v>0</v>
      </c>
      <c r="F45" s="475">
        <v>0</v>
      </c>
      <c r="G45" s="422">
        <f t="shared" si="7"/>
        <v>0</v>
      </c>
      <c r="H45" s="423">
        <f t="shared" si="8"/>
        <v>0</v>
      </c>
      <c r="I45" s="421"/>
      <c r="J45" s="425">
        <f>H45/DAY(B2)</f>
        <v>0</v>
      </c>
      <c r="K45" s="611"/>
      <c r="L45" s="483"/>
      <c r="N45" s="610"/>
      <c r="O45" s="171"/>
    </row>
    <row r="46" spans="1:15" ht="22.5">
      <c r="A46" s="582" t="s">
        <v>172</v>
      </c>
      <c r="B46" s="419"/>
      <c r="C46" s="419"/>
      <c r="D46" s="420" t="s">
        <v>130</v>
      </c>
      <c r="E46" s="475">
        <v>0</v>
      </c>
      <c r="F46" s="475">
        <v>0</v>
      </c>
      <c r="G46" s="422">
        <f t="shared" si="7"/>
        <v>0</v>
      </c>
      <c r="H46" s="423">
        <f t="shared" si="8"/>
        <v>0</v>
      </c>
      <c r="I46" s="421"/>
      <c r="J46" s="425">
        <f>H46/DAY(B2)</f>
        <v>0</v>
      </c>
      <c r="K46" s="611"/>
      <c r="L46" s="483"/>
      <c r="N46" s="610"/>
      <c r="O46" s="171"/>
    </row>
    <row r="47" spans="1:15" ht="22.5">
      <c r="A47" s="585" t="s">
        <v>173</v>
      </c>
      <c r="B47" s="435"/>
      <c r="C47" s="435"/>
      <c r="D47" s="414"/>
      <c r="E47" s="410"/>
      <c r="F47" s="410"/>
      <c r="G47" s="447">
        <f>G35+G36+G37+G38+G39+G40+G41+G42+G43+G44+G45+G46</f>
        <v>11408.270000000159</v>
      </c>
      <c r="H47" s="423">
        <f t="shared" si="8"/>
        <v>11408.270000000159</v>
      </c>
      <c r="I47" s="421"/>
      <c r="J47" s="425">
        <f>H47/DAY(B2)</f>
        <v>11408.270000000159</v>
      </c>
      <c r="K47" s="611"/>
      <c r="L47" s="483"/>
      <c r="N47" s="610"/>
      <c r="O47" s="171"/>
    </row>
    <row r="48" spans="1:15" ht="22.5">
      <c r="A48" s="591" t="s">
        <v>174</v>
      </c>
      <c r="B48" s="474"/>
      <c r="C48" s="474"/>
      <c r="D48" s="417"/>
      <c r="E48" s="416"/>
      <c r="F48" s="416"/>
      <c r="G48" s="417"/>
      <c r="H48" s="417"/>
      <c r="I48" s="417"/>
      <c r="J48" s="418"/>
      <c r="K48" s="611"/>
      <c r="L48" s="483"/>
      <c r="N48" s="610"/>
      <c r="O48" s="171"/>
    </row>
    <row r="49" spans="1:15" ht="22.5">
      <c r="A49" s="582" t="s">
        <v>161</v>
      </c>
      <c r="B49" s="477"/>
      <c r="C49" s="477"/>
      <c r="D49" s="420" t="s">
        <v>130</v>
      </c>
      <c r="E49" s="475">
        <v>172730.39</v>
      </c>
      <c r="F49" s="475">
        <v>174150.39</v>
      </c>
      <c r="G49" s="422">
        <f t="shared" ref="G49:G58" si="9">F49-E49</f>
        <v>1420</v>
      </c>
      <c r="H49" s="423">
        <f t="shared" ref="H49:H60" si="10">G49</f>
        <v>1420</v>
      </c>
      <c r="I49" s="421"/>
      <c r="J49" s="425">
        <f>H49/DAY(B2)</f>
        <v>1420</v>
      </c>
      <c r="K49" s="611"/>
      <c r="L49" s="483"/>
      <c r="N49" s="610"/>
      <c r="O49" s="171"/>
    </row>
    <row r="50" spans="1:15" ht="22.5">
      <c r="A50" s="582" t="s">
        <v>175</v>
      </c>
      <c r="B50" s="477"/>
      <c r="C50" s="477"/>
      <c r="D50" s="420" t="s">
        <v>130</v>
      </c>
      <c r="E50" s="475">
        <v>684362.31</v>
      </c>
      <c r="F50" s="475">
        <v>685389.27</v>
      </c>
      <c r="G50" s="422">
        <f t="shared" si="9"/>
        <v>1026.9599999999627</v>
      </c>
      <c r="H50" s="423">
        <f t="shared" si="10"/>
        <v>1026.9599999999627</v>
      </c>
      <c r="I50" s="421"/>
      <c r="J50" s="425">
        <f>H50/DAY(B2)</f>
        <v>1026.9599999999627</v>
      </c>
      <c r="K50" s="611"/>
      <c r="L50" s="483"/>
      <c r="N50" s="610"/>
      <c r="O50" s="171"/>
    </row>
    <row r="51" spans="1:15" ht="22.5">
      <c r="A51" s="582" t="s">
        <v>163</v>
      </c>
      <c r="B51" s="477"/>
      <c r="C51" s="477"/>
      <c r="D51" s="420" t="s">
        <v>130</v>
      </c>
      <c r="E51" s="475">
        <v>0</v>
      </c>
      <c r="F51" s="475">
        <v>0</v>
      </c>
      <c r="G51" s="422">
        <f t="shared" si="9"/>
        <v>0</v>
      </c>
      <c r="H51" s="423">
        <f t="shared" si="10"/>
        <v>0</v>
      </c>
      <c r="I51" s="421"/>
      <c r="J51" s="425">
        <f>H51/DAY(B2)</f>
        <v>0</v>
      </c>
      <c r="K51" s="611"/>
      <c r="L51" s="483"/>
      <c r="N51" s="610"/>
      <c r="O51" s="171"/>
    </row>
    <row r="52" spans="1:15" ht="22.5">
      <c r="A52" s="582" t="s">
        <v>176</v>
      </c>
      <c r="B52" s="477"/>
      <c r="C52" s="477"/>
      <c r="D52" s="420" t="s">
        <v>130</v>
      </c>
      <c r="E52" s="475">
        <v>0</v>
      </c>
      <c r="F52" s="475">
        <v>0</v>
      </c>
      <c r="G52" s="422">
        <f t="shared" si="9"/>
        <v>0</v>
      </c>
      <c r="H52" s="423">
        <f t="shared" si="10"/>
        <v>0</v>
      </c>
      <c r="I52" s="421"/>
      <c r="J52" s="425">
        <f>H52/DAY(B2)</f>
        <v>0</v>
      </c>
      <c r="K52" s="611"/>
      <c r="L52" s="483"/>
      <c r="N52" s="610"/>
      <c r="O52" s="171"/>
    </row>
    <row r="53" spans="1:15" ht="22.5">
      <c r="A53" s="582" t="s">
        <v>165</v>
      </c>
      <c r="B53" s="477"/>
      <c r="C53" s="477"/>
      <c r="D53" s="420" t="s">
        <v>130</v>
      </c>
      <c r="E53" s="475">
        <v>0</v>
      </c>
      <c r="F53" s="475">
        <v>0</v>
      </c>
      <c r="G53" s="422">
        <f t="shared" si="9"/>
        <v>0</v>
      </c>
      <c r="H53" s="423">
        <f t="shared" si="10"/>
        <v>0</v>
      </c>
      <c r="I53" s="421"/>
      <c r="J53" s="425">
        <f>H53/DAY(B2)</f>
        <v>0</v>
      </c>
      <c r="K53" s="611"/>
      <c r="L53" s="483"/>
      <c r="N53" s="610"/>
      <c r="O53" s="171"/>
    </row>
    <row r="54" spans="1:15" ht="22.5">
      <c r="A54" s="582" t="s">
        <v>177</v>
      </c>
      <c r="B54" s="477"/>
      <c r="C54" s="477"/>
      <c r="D54" s="420" t="s">
        <v>130</v>
      </c>
      <c r="E54" s="475">
        <v>2867.49</v>
      </c>
      <c r="F54" s="475">
        <v>2872</v>
      </c>
      <c r="G54" s="422">
        <f t="shared" si="9"/>
        <v>4.5100000000002183</v>
      </c>
      <c r="H54" s="423">
        <f t="shared" si="10"/>
        <v>4.5100000000002183</v>
      </c>
      <c r="I54" s="421"/>
      <c r="J54" s="425">
        <f>H54/DAY(B2)</f>
        <v>4.5100000000002183</v>
      </c>
      <c r="K54" s="611"/>
      <c r="L54" s="483"/>
      <c r="N54" s="610"/>
      <c r="O54" s="171"/>
    </row>
    <row r="55" spans="1:15" ht="22.5">
      <c r="A55" s="582" t="s">
        <v>178</v>
      </c>
      <c r="B55" s="477"/>
      <c r="C55" s="477"/>
      <c r="D55" s="420" t="s">
        <v>130</v>
      </c>
      <c r="E55" s="475">
        <v>0</v>
      </c>
      <c r="F55" s="475">
        <v>0</v>
      </c>
      <c r="G55" s="422">
        <f t="shared" si="9"/>
        <v>0</v>
      </c>
      <c r="H55" s="423">
        <f t="shared" si="10"/>
        <v>0</v>
      </c>
      <c r="I55" s="421"/>
      <c r="J55" s="425">
        <f>H55/DAY(B2)</f>
        <v>0</v>
      </c>
      <c r="K55" s="611"/>
      <c r="L55" s="483"/>
      <c r="N55" s="610"/>
      <c r="O55" s="171"/>
    </row>
    <row r="56" spans="1:15" ht="22.5">
      <c r="A56" s="582" t="s">
        <v>179</v>
      </c>
      <c r="B56" s="477"/>
      <c r="C56" s="477"/>
      <c r="D56" s="420" t="s">
        <v>180</v>
      </c>
      <c r="E56" s="475">
        <v>42840.29</v>
      </c>
      <c r="F56" s="475">
        <v>48389.49</v>
      </c>
      <c r="G56" s="422">
        <f t="shared" si="9"/>
        <v>5549.1999999999971</v>
      </c>
      <c r="H56" s="423">
        <f t="shared" si="10"/>
        <v>5549.1999999999971</v>
      </c>
      <c r="I56" s="421"/>
      <c r="J56" s="425">
        <f>H56/DAY(B2)</f>
        <v>5549.1999999999971</v>
      </c>
      <c r="K56" s="608"/>
      <c r="L56" s="483"/>
      <c r="N56" s="610"/>
      <c r="O56" s="171"/>
    </row>
    <row r="57" spans="1:15" ht="22.5">
      <c r="A57" s="582" t="s">
        <v>169</v>
      </c>
      <c r="B57" s="477"/>
      <c r="C57" s="477"/>
      <c r="D57" s="420" t="s">
        <v>130</v>
      </c>
      <c r="E57" s="475">
        <v>0</v>
      </c>
      <c r="F57" s="475">
        <v>0</v>
      </c>
      <c r="G57" s="422">
        <f t="shared" si="9"/>
        <v>0</v>
      </c>
      <c r="H57" s="423">
        <f t="shared" si="10"/>
        <v>0</v>
      </c>
      <c r="I57" s="421"/>
      <c r="J57" s="425">
        <f>H57/DAY(B2)</f>
        <v>0</v>
      </c>
      <c r="K57" s="611"/>
      <c r="L57" s="483"/>
      <c r="N57" s="610"/>
      <c r="O57" s="171"/>
    </row>
    <row r="58" spans="1:15" ht="22.5">
      <c r="A58" s="582" t="s">
        <v>181</v>
      </c>
      <c r="B58" s="477"/>
      <c r="C58" s="477"/>
      <c r="D58" s="420" t="s">
        <v>130</v>
      </c>
      <c r="E58" s="475">
        <v>79019.899999999994</v>
      </c>
      <c r="F58" s="475">
        <v>79225.279999999999</v>
      </c>
      <c r="G58" s="422">
        <f t="shared" si="9"/>
        <v>205.38000000000466</v>
      </c>
      <c r="H58" s="423">
        <f t="shared" si="10"/>
        <v>205.38000000000466</v>
      </c>
      <c r="I58" s="421"/>
      <c r="J58" s="425">
        <f>H58/DAY(B2)</f>
        <v>205.38000000000466</v>
      </c>
      <c r="K58" s="611"/>
      <c r="L58" s="483"/>
      <c r="N58" s="610"/>
      <c r="O58" s="171"/>
    </row>
    <row r="59" spans="1:15" ht="22.5">
      <c r="A59" s="585" t="s">
        <v>173</v>
      </c>
      <c r="B59" s="435"/>
      <c r="C59" s="435"/>
      <c r="D59" s="410"/>
      <c r="E59" s="410"/>
      <c r="F59" s="410"/>
      <c r="G59" s="447">
        <f>G49+G50+G51+G52+G53+G54+G55+G56+G57+G58</f>
        <v>8206.0499999999647</v>
      </c>
      <c r="H59" s="423">
        <f t="shared" si="10"/>
        <v>8206.0499999999647</v>
      </c>
      <c r="I59" s="421">
        <f>G7-G60</f>
        <v>1757.1699999998673</v>
      </c>
      <c r="J59" s="425">
        <f>H59/DAY(B2)</f>
        <v>8206.0499999999647</v>
      </c>
      <c r="K59" s="611"/>
      <c r="L59" s="483"/>
      <c r="N59" s="610"/>
      <c r="O59" s="171"/>
    </row>
    <row r="60" spans="1:15" ht="22.5">
      <c r="A60" s="582"/>
      <c r="B60" s="419"/>
      <c r="C60" s="419"/>
      <c r="D60" s="410" t="s">
        <v>182</v>
      </c>
      <c r="E60" s="410"/>
      <c r="F60" s="410"/>
      <c r="G60" s="447">
        <f>G47+G59</f>
        <v>19614.320000000123</v>
      </c>
      <c r="H60" s="423">
        <f t="shared" si="10"/>
        <v>19614.320000000123</v>
      </c>
      <c r="I60" s="421">
        <f>G13-G60</f>
        <v>-19614.320000000123</v>
      </c>
      <c r="J60" s="425">
        <f>H60/DAY(B2)</f>
        <v>19614.320000000123</v>
      </c>
      <c r="K60" s="611"/>
      <c r="L60" s="483"/>
      <c r="N60" s="610"/>
      <c r="O60" s="171"/>
    </row>
    <row r="61" spans="1:15" s="620" customFormat="1" ht="22.5">
      <c r="A61" s="740" t="s">
        <v>332</v>
      </c>
      <c r="B61" s="741"/>
      <c r="C61" s="742"/>
      <c r="D61" s="478"/>
      <c r="E61" s="478"/>
      <c r="F61" s="478"/>
      <c r="G61" s="479"/>
      <c r="H61" s="478"/>
      <c r="I61" s="478"/>
      <c r="J61" s="480"/>
      <c r="K61" s="618"/>
      <c r="L61" s="619"/>
      <c r="N61" s="610"/>
      <c r="O61" s="171"/>
    </row>
    <row r="62" spans="1:15" ht="22.5">
      <c r="A62" s="720" t="s">
        <v>198</v>
      </c>
      <c r="B62" s="721"/>
      <c r="C62" s="722"/>
      <c r="D62" s="420" t="s">
        <v>142</v>
      </c>
      <c r="E62" s="446">
        <v>259818</v>
      </c>
      <c r="F62" s="446">
        <v>259936</v>
      </c>
      <c r="G62" s="422">
        <f t="shared" ref="G62:G63" si="11">F62-E62</f>
        <v>118</v>
      </c>
      <c r="H62" s="423">
        <f t="shared" ref="H62:H71" si="12">G62</f>
        <v>118</v>
      </c>
      <c r="I62" s="434"/>
      <c r="J62" s="425">
        <f>H62/DAY(B2)</f>
        <v>118</v>
      </c>
      <c r="K62" s="612"/>
      <c r="L62" s="483"/>
      <c r="N62" s="610"/>
      <c r="O62" s="171"/>
    </row>
    <row r="63" spans="1:15" ht="22.5">
      <c r="A63" s="720" t="s">
        <v>199</v>
      </c>
      <c r="B63" s="721"/>
      <c r="C63" s="722"/>
      <c r="D63" s="420" t="s">
        <v>142</v>
      </c>
      <c r="E63" s="446">
        <v>206270</v>
      </c>
      <c r="F63" s="446">
        <v>206350</v>
      </c>
      <c r="G63" s="422">
        <f t="shared" si="11"/>
        <v>80</v>
      </c>
      <c r="H63" s="423">
        <f t="shared" si="12"/>
        <v>80</v>
      </c>
      <c r="I63" s="434"/>
      <c r="J63" s="425">
        <f>H63/DAY(B2)</f>
        <v>80</v>
      </c>
      <c r="K63" s="618"/>
      <c r="L63" s="483"/>
      <c r="N63" s="610"/>
      <c r="O63" s="171"/>
    </row>
    <row r="64" spans="1:15" ht="22.5">
      <c r="A64" s="714" t="s">
        <v>200</v>
      </c>
      <c r="B64" s="715"/>
      <c r="C64" s="716"/>
      <c r="D64" s="420"/>
      <c r="E64" s="446"/>
      <c r="F64" s="446"/>
      <c r="G64" s="422">
        <f>G62+G63</f>
        <v>198</v>
      </c>
      <c r="H64" s="423">
        <f t="shared" si="12"/>
        <v>198</v>
      </c>
      <c r="I64" s="434"/>
      <c r="J64" s="425">
        <f>H64/DAY(B2)</f>
        <v>198</v>
      </c>
      <c r="K64" s="618"/>
      <c r="L64" s="483"/>
      <c r="N64" s="610"/>
      <c r="O64" s="171"/>
    </row>
    <row r="65" spans="1:15" ht="22.5">
      <c r="A65" s="755" t="s">
        <v>201</v>
      </c>
      <c r="B65" s="756"/>
      <c r="C65" s="757"/>
      <c r="D65" s="420" t="s">
        <v>142</v>
      </c>
      <c r="E65" s="446">
        <v>426205</v>
      </c>
      <c r="F65" s="446">
        <v>426302</v>
      </c>
      <c r="G65" s="422">
        <f t="shared" ref="G65:G70" si="13">F65-E65</f>
        <v>97</v>
      </c>
      <c r="H65" s="423">
        <f t="shared" si="12"/>
        <v>97</v>
      </c>
      <c r="I65" s="434"/>
      <c r="J65" s="425">
        <f>H65/DAY(B2)</f>
        <v>97</v>
      </c>
      <c r="K65" s="618"/>
      <c r="L65" s="483"/>
      <c r="N65" s="610"/>
      <c r="O65" s="171"/>
    </row>
    <row r="66" spans="1:15" ht="22.5">
      <c r="A66" s="586" t="s">
        <v>202</v>
      </c>
      <c r="B66" s="438"/>
      <c r="C66" s="438"/>
      <c r="D66" s="420" t="s">
        <v>142</v>
      </c>
      <c r="E66" s="446">
        <v>105970</v>
      </c>
      <c r="F66" s="446">
        <v>105993</v>
      </c>
      <c r="G66" s="422">
        <f t="shared" si="13"/>
        <v>23</v>
      </c>
      <c r="H66" s="423">
        <f t="shared" si="12"/>
        <v>23</v>
      </c>
      <c r="I66" s="434"/>
      <c r="J66" s="425">
        <f>H66/DAY(B2)</f>
        <v>23</v>
      </c>
      <c r="K66" s="608"/>
      <c r="L66" s="483"/>
      <c r="N66" s="610"/>
      <c r="O66" s="171"/>
    </row>
    <row r="67" spans="1:15" ht="22.5">
      <c r="A67" s="586" t="s">
        <v>203</v>
      </c>
      <c r="B67" s="438"/>
      <c r="C67" s="438"/>
      <c r="D67" s="420" t="s">
        <v>142</v>
      </c>
      <c r="E67" s="446">
        <v>102171</v>
      </c>
      <c r="F67" s="446">
        <v>102201</v>
      </c>
      <c r="G67" s="422">
        <f t="shared" si="13"/>
        <v>30</v>
      </c>
      <c r="H67" s="423">
        <f t="shared" si="12"/>
        <v>30</v>
      </c>
      <c r="I67" s="434"/>
      <c r="J67" s="425">
        <f>H67/DAY(B2)</f>
        <v>30</v>
      </c>
      <c r="K67" s="621"/>
      <c r="L67" s="483"/>
      <c r="N67" s="610"/>
      <c r="O67" s="171"/>
    </row>
    <row r="68" spans="1:15" ht="22.5">
      <c r="A68" s="586" t="s">
        <v>204</v>
      </c>
      <c r="B68" s="438"/>
      <c r="C68" s="438"/>
      <c r="D68" s="420" t="s">
        <v>142</v>
      </c>
      <c r="E68" s="446">
        <v>154496</v>
      </c>
      <c r="F68" s="446">
        <v>154537</v>
      </c>
      <c r="G68" s="422">
        <f t="shared" si="13"/>
        <v>41</v>
      </c>
      <c r="H68" s="423">
        <f t="shared" si="12"/>
        <v>41</v>
      </c>
      <c r="I68" s="434"/>
      <c r="J68" s="425">
        <f>H68/DAY(B2)</f>
        <v>41</v>
      </c>
      <c r="K68" s="618"/>
      <c r="L68" s="483"/>
      <c r="N68" s="610"/>
      <c r="O68" s="171"/>
    </row>
    <row r="69" spans="1:15" ht="22.5">
      <c r="A69" s="586" t="s">
        <v>205</v>
      </c>
      <c r="B69" s="438"/>
      <c r="C69" s="438"/>
      <c r="D69" s="420" t="s">
        <v>142</v>
      </c>
      <c r="E69" s="446">
        <v>9465</v>
      </c>
      <c r="F69" s="446">
        <v>9474</v>
      </c>
      <c r="G69" s="422">
        <f t="shared" si="13"/>
        <v>9</v>
      </c>
      <c r="H69" s="423">
        <f t="shared" si="12"/>
        <v>9</v>
      </c>
      <c r="I69" s="434"/>
      <c r="J69" s="425">
        <f>H69/DAY(B2)</f>
        <v>9</v>
      </c>
      <c r="K69" s="618"/>
      <c r="L69" s="483"/>
      <c r="N69" s="610"/>
      <c r="O69" s="171"/>
    </row>
    <row r="70" spans="1:15" ht="22.5">
      <c r="A70" s="586" t="s">
        <v>206</v>
      </c>
      <c r="B70" s="438"/>
      <c r="C70" s="438"/>
      <c r="D70" s="420" t="s">
        <v>142</v>
      </c>
      <c r="E70" s="446">
        <v>7203</v>
      </c>
      <c r="F70" s="446">
        <v>7210</v>
      </c>
      <c r="G70" s="422">
        <f t="shared" si="13"/>
        <v>7</v>
      </c>
      <c r="H70" s="423">
        <f t="shared" si="12"/>
        <v>7</v>
      </c>
      <c r="I70" s="434"/>
      <c r="J70" s="425">
        <f>H70/DAY(B2)</f>
        <v>7</v>
      </c>
      <c r="K70" s="618"/>
      <c r="L70" s="483"/>
      <c r="N70" s="610"/>
      <c r="O70" s="171"/>
    </row>
    <row r="71" spans="1:15" ht="22.5">
      <c r="A71" s="714" t="s">
        <v>208</v>
      </c>
      <c r="B71" s="715"/>
      <c r="C71" s="716"/>
      <c r="D71" s="443"/>
      <c r="E71" s="443"/>
      <c r="F71" s="443"/>
      <c r="G71" s="481">
        <f>SUM(G65:G70)</f>
        <v>207</v>
      </c>
      <c r="H71" s="423">
        <f t="shared" si="12"/>
        <v>207</v>
      </c>
      <c r="I71" s="482"/>
      <c r="J71" s="425">
        <f>H71/DAY(B2)</f>
        <v>207</v>
      </c>
      <c r="K71" s="618"/>
      <c r="L71" s="483"/>
      <c r="N71" s="610"/>
      <c r="O71" s="171"/>
    </row>
    <row r="72" spans="1:15" ht="22.5">
      <c r="A72" s="762"/>
      <c r="B72" s="710"/>
      <c r="C72" s="571"/>
      <c r="D72" s="483"/>
      <c r="E72" s="577"/>
      <c r="F72" s="483"/>
      <c r="G72" s="483"/>
      <c r="H72" s="484"/>
      <c r="I72" s="483"/>
      <c r="J72" s="485"/>
      <c r="N72" s="610"/>
      <c r="O72" s="171"/>
    </row>
    <row r="73" spans="1:15" ht="22.5">
      <c r="A73" s="740" t="s">
        <v>333</v>
      </c>
      <c r="B73" s="741"/>
      <c r="C73" s="742"/>
      <c r="D73" s="478"/>
      <c r="E73" s="478"/>
      <c r="F73" s="478"/>
      <c r="G73" s="486"/>
      <c r="H73" s="486"/>
      <c r="I73" s="486"/>
      <c r="J73" s="487"/>
      <c r="K73" s="618"/>
      <c r="L73" s="483"/>
      <c r="N73" s="610"/>
      <c r="O73" s="171"/>
    </row>
    <row r="74" spans="1:15" ht="22.5">
      <c r="A74" s="720" t="s">
        <v>220</v>
      </c>
      <c r="B74" s="721"/>
      <c r="C74" s="722"/>
      <c r="D74" s="420" t="s">
        <v>139</v>
      </c>
      <c r="E74" s="439">
        <v>873585.23100000003</v>
      </c>
      <c r="F74" s="439">
        <v>873879.38</v>
      </c>
      <c r="G74" s="422">
        <f t="shared" ref="G74:G78" si="14">F74-E74</f>
        <v>294.14899999997579</v>
      </c>
      <c r="H74" s="423">
        <f t="shared" ref="H74:H79" si="15">G74</f>
        <v>294.14899999997579</v>
      </c>
      <c r="I74" s="482"/>
      <c r="J74" s="425">
        <f>H74/DAY(B2)</f>
        <v>294.14899999997579</v>
      </c>
      <c r="K74" s="618"/>
      <c r="L74" s="483"/>
      <c r="N74" s="610"/>
      <c r="O74" s="171"/>
    </row>
    <row r="75" spans="1:15" ht="22.5">
      <c r="A75" s="720" t="s">
        <v>221</v>
      </c>
      <c r="B75" s="721"/>
      <c r="C75" s="722"/>
      <c r="D75" s="420" t="s">
        <v>139</v>
      </c>
      <c r="E75" s="439">
        <v>73583.399999999994</v>
      </c>
      <c r="F75" s="439">
        <v>73583.399999999994</v>
      </c>
      <c r="G75" s="422">
        <f t="shared" si="14"/>
        <v>0</v>
      </c>
      <c r="H75" s="423">
        <f t="shared" si="15"/>
        <v>0</v>
      </c>
      <c r="I75" s="482"/>
      <c r="J75" s="425">
        <f>H75/DAY(B2)</f>
        <v>0</v>
      </c>
      <c r="K75" s="618"/>
      <c r="L75" s="483"/>
      <c r="N75" s="610"/>
      <c r="O75" s="171"/>
    </row>
    <row r="76" spans="1:15" ht="22.5">
      <c r="A76" s="743" t="s">
        <v>222</v>
      </c>
      <c r="B76" s="744"/>
      <c r="C76" s="745"/>
      <c r="D76" s="420" t="s">
        <v>139</v>
      </c>
      <c r="E76" s="439">
        <v>159985.5</v>
      </c>
      <c r="F76" s="439">
        <v>160080.37</v>
      </c>
      <c r="G76" s="422">
        <f t="shared" si="14"/>
        <v>94.869999999995343</v>
      </c>
      <c r="H76" s="423">
        <f t="shared" si="15"/>
        <v>94.869999999995343</v>
      </c>
      <c r="I76" s="482"/>
      <c r="J76" s="425">
        <f>H76/DAY(B2)</f>
        <v>94.869999999995343</v>
      </c>
      <c r="K76" s="618"/>
      <c r="L76" s="483"/>
      <c r="N76" s="610"/>
      <c r="O76" s="171"/>
    </row>
    <row r="77" spans="1:15" ht="22.5">
      <c r="A77" s="743" t="s">
        <v>223</v>
      </c>
      <c r="B77" s="744"/>
      <c r="C77" s="745"/>
      <c r="D77" s="420" t="s">
        <v>139</v>
      </c>
      <c r="E77" s="575">
        <v>37497.5</v>
      </c>
      <c r="F77" s="439">
        <v>37532.9</v>
      </c>
      <c r="G77" s="422">
        <f t="shared" si="14"/>
        <v>35.400000000001455</v>
      </c>
      <c r="H77" s="423">
        <f t="shared" si="15"/>
        <v>35.400000000001455</v>
      </c>
      <c r="I77" s="482"/>
      <c r="J77" s="425">
        <f>H77/DAY(B2)</f>
        <v>35.400000000001455</v>
      </c>
      <c r="K77" s="618"/>
      <c r="L77" s="483"/>
      <c r="N77" s="610"/>
      <c r="O77" s="171"/>
    </row>
    <row r="78" spans="1:15" ht="22.5">
      <c r="A78" s="743" t="s">
        <v>224</v>
      </c>
      <c r="B78" s="744"/>
      <c r="C78" s="745"/>
      <c r="D78" s="420" t="s">
        <v>139</v>
      </c>
      <c r="E78" s="439">
        <v>9329.4</v>
      </c>
      <c r="F78" s="439">
        <v>9331.4</v>
      </c>
      <c r="G78" s="422">
        <f t="shared" si="14"/>
        <v>2</v>
      </c>
      <c r="H78" s="423">
        <f t="shared" si="15"/>
        <v>2</v>
      </c>
      <c r="I78" s="434"/>
      <c r="J78" s="425">
        <f>H78/DAY(B2)</f>
        <v>2</v>
      </c>
      <c r="K78" s="618"/>
      <c r="L78" s="483"/>
      <c r="N78" s="610"/>
      <c r="O78" s="171"/>
    </row>
    <row r="79" spans="1:15" ht="22.5">
      <c r="A79" s="743" t="s">
        <v>225</v>
      </c>
      <c r="B79" s="744"/>
      <c r="C79" s="745"/>
      <c r="D79" s="420"/>
      <c r="E79" s="439"/>
      <c r="F79" s="439"/>
      <c r="G79" s="422">
        <f>G15-SUM(G74:G78)</f>
        <v>602.61100000005536</v>
      </c>
      <c r="H79" s="423">
        <f t="shared" si="15"/>
        <v>602.61100000005536</v>
      </c>
      <c r="I79" s="434"/>
      <c r="J79" s="425"/>
      <c r="K79" s="618"/>
      <c r="L79" s="483"/>
      <c r="N79" s="610"/>
      <c r="O79" s="171"/>
    </row>
    <row r="80" spans="1:15" ht="22.5">
      <c r="A80" s="714" t="s">
        <v>329</v>
      </c>
      <c r="B80" s="715"/>
      <c r="C80" s="716"/>
      <c r="D80" s="420"/>
      <c r="E80" s="432"/>
      <c r="F80" s="432"/>
      <c r="G80" s="422">
        <f>SUM(G74:G79)</f>
        <v>1029.0300000000279</v>
      </c>
      <c r="H80" s="423"/>
      <c r="I80" s="434"/>
      <c r="J80" s="425"/>
      <c r="K80" s="618"/>
      <c r="L80" s="483"/>
      <c r="N80" s="610"/>
      <c r="O80" s="171"/>
    </row>
    <row r="81" spans="1:15" ht="22.5">
      <c r="A81" s="734" t="s">
        <v>226</v>
      </c>
      <c r="B81" s="735"/>
      <c r="C81" s="736"/>
      <c r="D81" s="416"/>
      <c r="E81" s="416"/>
      <c r="F81" s="416"/>
      <c r="G81" s="488"/>
      <c r="H81" s="488"/>
      <c r="I81" s="488"/>
      <c r="J81" s="489"/>
      <c r="O81" s="171"/>
    </row>
    <row r="82" spans="1:15" ht="22.5">
      <c r="A82" s="586" t="s">
        <v>227</v>
      </c>
      <c r="B82" s="438"/>
      <c r="C82" s="438"/>
      <c r="D82" s="420" t="s">
        <v>228</v>
      </c>
      <c r="E82" s="446"/>
      <c r="F82" s="446">
        <v>0</v>
      </c>
      <c r="G82" s="422">
        <f t="shared" ref="G82:G92" si="16">F82-E82</f>
        <v>0</v>
      </c>
      <c r="H82" s="423">
        <f t="shared" ref="H82:H92" si="17">G82</f>
        <v>0</v>
      </c>
      <c r="I82" s="434"/>
      <c r="J82" s="425">
        <f>H82/DAY(B2)</f>
        <v>0</v>
      </c>
      <c r="O82" s="171"/>
    </row>
    <row r="83" spans="1:15" ht="22.5">
      <c r="A83" s="586" t="s">
        <v>229</v>
      </c>
      <c r="B83" s="438"/>
      <c r="C83" s="438"/>
      <c r="D83" s="420" t="s">
        <v>228</v>
      </c>
      <c r="E83" s="446"/>
      <c r="F83" s="446">
        <v>0</v>
      </c>
      <c r="G83" s="422">
        <f t="shared" si="16"/>
        <v>0</v>
      </c>
      <c r="H83" s="423">
        <f t="shared" si="17"/>
        <v>0</v>
      </c>
      <c r="I83" s="434"/>
      <c r="J83" s="425">
        <f>H83/DAY(B2)</f>
        <v>0</v>
      </c>
      <c r="O83" s="171"/>
    </row>
    <row r="84" spans="1:15" ht="22.5">
      <c r="A84" s="586" t="s">
        <v>230</v>
      </c>
      <c r="B84" s="438"/>
      <c r="C84" s="438"/>
      <c r="D84" s="420" t="s">
        <v>228</v>
      </c>
      <c r="E84" s="490">
        <v>41585.56</v>
      </c>
      <c r="F84" s="490">
        <v>41585.56</v>
      </c>
      <c r="G84" s="422">
        <f t="shared" si="16"/>
        <v>0</v>
      </c>
      <c r="H84" s="423">
        <f t="shared" si="17"/>
        <v>0</v>
      </c>
      <c r="I84" s="434"/>
      <c r="J84" s="425">
        <f>H84/DAY(B2)</f>
        <v>0</v>
      </c>
      <c r="O84" s="171"/>
    </row>
    <row r="85" spans="1:15" ht="22.5">
      <c r="A85" s="586" t="s">
        <v>231</v>
      </c>
      <c r="B85" s="438"/>
      <c r="C85" s="438"/>
      <c r="D85" s="420" t="s">
        <v>228</v>
      </c>
      <c r="E85" s="490">
        <v>1305</v>
      </c>
      <c r="F85" s="490">
        <v>1305</v>
      </c>
      <c r="G85" s="422">
        <f t="shared" si="16"/>
        <v>0</v>
      </c>
      <c r="H85" s="423">
        <f t="shared" si="17"/>
        <v>0</v>
      </c>
      <c r="I85" s="434">
        <f>G82+G83+G84+G85</f>
        <v>0</v>
      </c>
      <c r="J85" s="425">
        <f>H85/DAY(B2)</f>
        <v>0</v>
      </c>
      <c r="O85" s="171"/>
    </row>
    <row r="86" spans="1:15" ht="22.5">
      <c r="A86" s="586" t="s">
        <v>232</v>
      </c>
      <c r="B86" s="438"/>
      <c r="C86" s="438"/>
      <c r="D86" s="420" t="s">
        <v>228</v>
      </c>
      <c r="E86" s="490">
        <v>42826</v>
      </c>
      <c r="F86" s="490">
        <v>42826.47</v>
      </c>
      <c r="G86" s="422">
        <f t="shared" si="16"/>
        <v>0.47000000000116415</v>
      </c>
      <c r="H86" s="423">
        <f t="shared" si="17"/>
        <v>0.47000000000116415</v>
      </c>
      <c r="I86" s="434"/>
      <c r="J86" s="425">
        <f>H86/DAY(B2)</f>
        <v>0.47000000000116415</v>
      </c>
      <c r="O86" s="171"/>
    </row>
    <row r="87" spans="1:15" ht="22.5">
      <c r="A87" s="586" t="s">
        <v>233</v>
      </c>
      <c r="B87" s="438"/>
      <c r="C87" s="438"/>
      <c r="D87" s="420" t="s">
        <v>228</v>
      </c>
      <c r="E87" s="490">
        <v>33748</v>
      </c>
      <c r="F87" s="490">
        <v>33772.31</v>
      </c>
      <c r="G87" s="422">
        <f t="shared" si="16"/>
        <v>24.309999999997672</v>
      </c>
      <c r="H87" s="423">
        <f t="shared" si="17"/>
        <v>24.309999999997672</v>
      </c>
      <c r="I87" s="434"/>
      <c r="J87" s="425">
        <f>H87/DAY(B2)</f>
        <v>24.309999999997672</v>
      </c>
      <c r="O87" s="171"/>
    </row>
    <row r="88" spans="1:15" ht="22.5">
      <c r="A88" s="586" t="s">
        <v>234</v>
      </c>
      <c r="B88" s="438"/>
      <c r="C88" s="438"/>
      <c r="D88" s="420" t="s">
        <v>228</v>
      </c>
      <c r="E88" s="490">
        <v>23833.57</v>
      </c>
      <c r="F88" s="490">
        <v>23843.23</v>
      </c>
      <c r="G88" s="422">
        <f t="shared" si="16"/>
        <v>9.6599999999998545</v>
      </c>
      <c r="H88" s="423">
        <f t="shared" si="17"/>
        <v>9.6599999999998545</v>
      </c>
      <c r="I88" s="434">
        <f>G86+G87+G88</f>
        <v>34.43999999999869</v>
      </c>
      <c r="J88" s="425">
        <f>H88/DAY(B2)</f>
        <v>9.6599999999998545</v>
      </c>
      <c r="O88" s="171"/>
    </row>
    <row r="89" spans="1:15" ht="22.5">
      <c r="A89" s="586" t="s">
        <v>235</v>
      </c>
      <c r="B89" s="438"/>
      <c r="C89" s="438"/>
      <c r="D89" s="420" t="s">
        <v>228</v>
      </c>
      <c r="E89" s="490">
        <v>25245.38</v>
      </c>
      <c r="F89" s="490">
        <v>25245.38</v>
      </c>
      <c r="G89" s="422">
        <f t="shared" si="16"/>
        <v>0</v>
      </c>
      <c r="H89" s="423">
        <f t="shared" si="17"/>
        <v>0</v>
      </c>
      <c r="I89" s="434"/>
      <c r="J89" s="425">
        <f>H89/DAY(B2)</f>
        <v>0</v>
      </c>
      <c r="O89" s="171"/>
    </row>
    <row r="90" spans="1:15" ht="22.5">
      <c r="A90" s="586" t="s">
        <v>236</v>
      </c>
      <c r="B90" s="438"/>
      <c r="C90" s="438"/>
      <c r="D90" s="420" t="s">
        <v>228</v>
      </c>
      <c r="E90" s="490">
        <v>70655.41</v>
      </c>
      <c r="F90" s="490">
        <v>70661.19</v>
      </c>
      <c r="G90" s="422">
        <f t="shared" si="16"/>
        <v>5.7799999999988358</v>
      </c>
      <c r="H90" s="423">
        <f t="shared" si="17"/>
        <v>5.7799999999988358</v>
      </c>
      <c r="I90" s="434">
        <f>G89+G90</f>
        <v>5.7799999999988358</v>
      </c>
      <c r="J90" s="425">
        <f>H90/DAY(B2)</f>
        <v>5.7799999999988358</v>
      </c>
      <c r="O90" s="171"/>
    </row>
    <row r="91" spans="1:15" ht="22.5">
      <c r="A91" s="586" t="s">
        <v>237</v>
      </c>
      <c r="B91" s="438"/>
      <c r="C91" s="438"/>
      <c r="D91" s="420" t="s">
        <v>228</v>
      </c>
      <c r="E91" s="446">
        <v>3226.32</v>
      </c>
      <c r="F91" s="446">
        <v>3226.32</v>
      </c>
      <c r="G91" s="422">
        <f t="shared" si="16"/>
        <v>0</v>
      </c>
      <c r="H91" s="423">
        <f t="shared" si="17"/>
        <v>0</v>
      </c>
      <c r="I91" s="491"/>
      <c r="J91" s="425">
        <f>H91/DAY(B2)</f>
        <v>0</v>
      </c>
      <c r="O91" s="171"/>
    </row>
    <row r="92" spans="1:15" ht="22.5">
      <c r="A92" s="586" t="s">
        <v>238</v>
      </c>
      <c r="B92" s="438"/>
      <c r="C92" s="438"/>
      <c r="D92" s="420" t="s">
        <v>228</v>
      </c>
      <c r="E92" s="446">
        <v>4791.82</v>
      </c>
      <c r="F92" s="446">
        <v>4802.13</v>
      </c>
      <c r="G92" s="422">
        <f t="shared" si="16"/>
        <v>10.3100000000004</v>
      </c>
      <c r="H92" s="423">
        <f t="shared" si="17"/>
        <v>10.3100000000004</v>
      </c>
      <c r="I92" s="491"/>
      <c r="J92" s="425">
        <f>H92/DAY(B2)</f>
        <v>10.3100000000004</v>
      </c>
      <c r="O92" s="171"/>
    </row>
    <row r="93" spans="1:15" ht="22.5">
      <c r="A93" s="737" t="s">
        <v>239</v>
      </c>
      <c r="B93" s="738"/>
      <c r="C93" s="739"/>
      <c r="D93" s="417"/>
      <c r="E93" s="417"/>
      <c r="F93" s="417"/>
      <c r="G93" s="437"/>
      <c r="H93" s="437"/>
      <c r="I93" s="437"/>
      <c r="J93" s="492"/>
      <c r="K93" s="618"/>
      <c r="L93" s="483"/>
      <c r="O93" s="171"/>
    </row>
    <row r="94" spans="1:15" ht="22.5">
      <c r="A94" s="720" t="s">
        <v>240</v>
      </c>
      <c r="B94" s="721"/>
      <c r="C94" s="722"/>
      <c r="D94" s="420" t="s">
        <v>130</v>
      </c>
      <c r="E94" s="420"/>
      <c r="F94" s="420"/>
      <c r="G94" s="423">
        <f>G35+G43+G49+G57</f>
        <v>5793.8600000001388</v>
      </c>
      <c r="H94" s="423">
        <f t="shared" ref="H94:H105" si="18">G94</f>
        <v>5793.8600000001388</v>
      </c>
      <c r="I94" s="434"/>
      <c r="J94" s="425">
        <f>H94/DAY(B2)</f>
        <v>5793.8600000001388</v>
      </c>
      <c r="K94" s="618"/>
      <c r="L94" s="483"/>
      <c r="O94" s="171"/>
    </row>
    <row r="95" spans="1:15" ht="22.5">
      <c r="A95" s="720" t="s">
        <v>241</v>
      </c>
      <c r="B95" s="721"/>
      <c r="C95" s="722"/>
      <c r="D95" s="420" t="s">
        <v>23</v>
      </c>
      <c r="E95" s="410"/>
      <c r="F95" s="410"/>
      <c r="G95" s="493">
        <f>G94/G7</f>
        <v>0.27110229562843496</v>
      </c>
      <c r="H95" s="423">
        <f t="shared" si="18"/>
        <v>0.27110229562843496</v>
      </c>
      <c r="I95" s="494"/>
      <c r="J95" s="425">
        <f>H95/DAY(B2)</f>
        <v>0.27110229562843496</v>
      </c>
      <c r="K95" s="618"/>
      <c r="L95" s="483"/>
      <c r="O95" s="171"/>
    </row>
    <row r="96" spans="1:15" ht="22.5">
      <c r="A96" s="720" t="s">
        <v>242</v>
      </c>
      <c r="B96" s="721"/>
      <c r="C96" s="722"/>
      <c r="D96" s="420" t="s">
        <v>130</v>
      </c>
      <c r="E96" s="421"/>
      <c r="F96" s="421"/>
      <c r="G96" s="423">
        <f>G41+G42+G55+G56</f>
        <v>5549.160000000018</v>
      </c>
      <c r="H96" s="423">
        <f t="shared" si="18"/>
        <v>5549.160000000018</v>
      </c>
      <c r="I96" s="434"/>
      <c r="J96" s="425">
        <f>H96/DAY(B2)</f>
        <v>5549.160000000018</v>
      </c>
      <c r="K96" s="618"/>
      <c r="L96" s="483"/>
      <c r="O96" s="171"/>
    </row>
    <row r="97" spans="1:15" ht="22.5">
      <c r="A97" s="720" t="s">
        <v>243</v>
      </c>
      <c r="B97" s="721"/>
      <c r="C97" s="722"/>
      <c r="D97" s="420" t="s">
        <v>23</v>
      </c>
      <c r="E97" s="421"/>
      <c r="F97" s="421"/>
      <c r="G97" s="493">
        <f>G96/G7</f>
        <v>0.25965246222888627</v>
      </c>
      <c r="H97" s="423">
        <f t="shared" si="18"/>
        <v>0.25965246222888627</v>
      </c>
      <c r="I97" s="494"/>
      <c r="J97" s="425">
        <f>H97/DAY(B2)</f>
        <v>0.25965246222888627</v>
      </c>
      <c r="K97" s="618"/>
      <c r="L97" s="483"/>
      <c r="O97" s="171"/>
    </row>
    <row r="98" spans="1:15" ht="22.5">
      <c r="A98" s="720" t="s">
        <v>244</v>
      </c>
      <c r="B98" s="721"/>
      <c r="C98" s="722"/>
      <c r="D98" s="420" t="s">
        <v>130</v>
      </c>
      <c r="E98" s="421"/>
      <c r="F98" s="421"/>
      <c r="G98" s="423">
        <f>G39+G53</f>
        <v>2900.0400000000081</v>
      </c>
      <c r="H98" s="423">
        <f t="shared" si="18"/>
        <v>2900.0400000000081</v>
      </c>
      <c r="I98" s="495"/>
      <c r="J98" s="425">
        <f>H98/DAY(B2)</f>
        <v>2900.0400000000081</v>
      </c>
      <c r="K98" s="618"/>
      <c r="L98" s="483"/>
      <c r="O98" s="171"/>
    </row>
    <row r="99" spans="1:15" ht="22.5">
      <c r="A99" s="720" t="s">
        <v>245</v>
      </c>
      <c r="B99" s="721"/>
      <c r="C99" s="722"/>
      <c r="D99" s="420" t="s">
        <v>23</v>
      </c>
      <c r="E99" s="421"/>
      <c r="F99" s="421"/>
      <c r="G99" s="493">
        <f>G98/G7</f>
        <v>0.13569666878631342</v>
      </c>
      <c r="H99" s="423">
        <f t="shared" si="18"/>
        <v>0.13569666878631342</v>
      </c>
      <c r="I99" s="495"/>
      <c r="J99" s="425">
        <f>H99/DAY(B2)</f>
        <v>0.13569666878631342</v>
      </c>
      <c r="O99" s="171"/>
    </row>
    <row r="100" spans="1:15" ht="22.5">
      <c r="A100" s="720" t="s">
        <v>246</v>
      </c>
      <c r="B100" s="721"/>
      <c r="C100" s="722"/>
      <c r="D100" s="420" t="s">
        <v>180</v>
      </c>
      <c r="E100" s="421"/>
      <c r="F100" s="421"/>
      <c r="G100" s="423">
        <f>G38+G52</f>
        <v>1846.1399999999994</v>
      </c>
      <c r="H100" s="423">
        <f t="shared" si="18"/>
        <v>1846.1399999999994</v>
      </c>
      <c r="I100" s="434"/>
      <c r="J100" s="425">
        <f>H100/DAY(B2)</f>
        <v>1846.1399999999994</v>
      </c>
      <c r="K100" s="622"/>
      <c r="O100" s="171"/>
    </row>
    <row r="101" spans="1:15" ht="22.5">
      <c r="A101" s="720" t="s">
        <v>247</v>
      </c>
      <c r="B101" s="721"/>
      <c r="C101" s="722"/>
      <c r="D101" s="420" t="s">
        <v>23</v>
      </c>
      <c r="E101" s="421"/>
      <c r="F101" s="421"/>
      <c r="G101" s="493">
        <f>G100/G7</f>
        <v>8.6383307855465399E-2</v>
      </c>
      <c r="H101" s="423">
        <f t="shared" si="18"/>
        <v>8.6383307855465399E-2</v>
      </c>
      <c r="I101" s="495"/>
      <c r="J101" s="425">
        <f>H101/DAY(B2)</f>
        <v>8.6383307855465399E-2</v>
      </c>
      <c r="O101" s="171"/>
    </row>
    <row r="102" spans="1:15" ht="22.5">
      <c r="A102" s="720" t="s">
        <v>248</v>
      </c>
      <c r="B102" s="721"/>
      <c r="C102" s="722"/>
      <c r="D102" s="420" t="s">
        <v>180</v>
      </c>
      <c r="E102" s="421"/>
      <c r="F102" s="421"/>
      <c r="G102" s="423">
        <f>G36+G50</f>
        <v>1710.2399999999616</v>
      </c>
      <c r="H102" s="423">
        <f t="shared" si="18"/>
        <v>1710.2399999999616</v>
      </c>
      <c r="I102" s="495"/>
      <c r="J102" s="425">
        <f>H102/DAY(B2)</f>
        <v>1710.2399999999616</v>
      </c>
      <c r="O102" s="171"/>
    </row>
    <row r="103" spans="1:15" ht="22.5">
      <c r="A103" s="720" t="s">
        <v>249</v>
      </c>
      <c r="B103" s="721"/>
      <c r="C103" s="722"/>
      <c r="D103" s="420" t="s">
        <v>23</v>
      </c>
      <c r="E103" s="421"/>
      <c r="F103" s="421"/>
      <c r="G103" s="493">
        <f>G102/G7</f>
        <v>8.0024368913911112E-2</v>
      </c>
      <c r="H103" s="423">
        <f t="shared" si="18"/>
        <v>8.0024368913911112E-2</v>
      </c>
      <c r="I103" s="434"/>
      <c r="J103" s="425">
        <f>H103/DAY(B2)</f>
        <v>8.0024368913911112E-2</v>
      </c>
      <c r="O103" s="171"/>
    </row>
    <row r="104" spans="1:15" ht="22.5">
      <c r="A104" s="720" t="s">
        <v>250</v>
      </c>
      <c r="B104" s="721"/>
      <c r="C104" s="722"/>
      <c r="D104" s="420" t="s">
        <v>180</v>
      </c>
      <c r="E104" s="421"/>
      <c r="F104" s="421"/>
      <c r="G104" s="423">
        <f>G37+G51</f>
        <v>1604.9599999999919</v>
      </c>
      <c r="H104" s="423">
        <f t="shared" si="18"/>
        <v>1604.9599999999919</v>
      </c>
      <c r="I104" s="434"/>
      <c r="J104" s="425">
        <f>H104/DAY(B2)</f>
        <v>1604.9599999999919</v>
      </c>
      <c r="O104" s="171"/>
    </row>
    <row r="105" spans="1:15" ht="23.25" thickBot="1">
      <c r="A105" s="727" t="s">
        <v>251</v>
      </c>
      <c r="B105" s="728"/>
      <c r="C105" s="729"/>
      <c r="D105" s="496" t="s">
        <v>23</v>
      </c>
      <c r="E105" s="497"/>
      <c r="F105" s="497"/>
      <c r="G105" s="498">
        <f>G104/G7</f>
        <v>7.5098179864856993E-2</v>
      </c>
      <c r="H105" s="423">
        <f t="shared" si="18"/>
        <v>7.5098179864856993E-2</v>
      </c>
      <c r="I105" s="499"/>
      <c r="J105" s="500">
        <f>H105/DAY(B2)</f>
        <v>7.5098179864856993E-2</v>
      </c>
      <c r="O105" s="171"/>
    </row>
    <row r="106" spans="1:15" ht="22.5">
      <c r="O106" s="171"/>
    </row>
    <row r="107" spans="1:15" ht="22.5"/>
    <row r="108" spans="1:15" ht="22.5">
      <c r="A108" s="730" t="s">
        <v>324</v>
      </c>
      <c r="B108" s="730"/>
      <c r="C108" s="730"/>
      <c r="D108" s="730"/>
      <c r="E108" s="730"/>
      <c r="F108" s="730"/>
      <c r="G108" s="730"/>
      <c r="H108" s="730"/>
      <c r="I108" s="730"/>
      <c r="J108" s="730"/>
    </row>
    <row r="109" spans="1:15" ht="22.5">
      <c r="A109" s="723"/>
      <c r="B109" s="723"/>
    </row>
    <row r="110" spans="1:15" ht="22.5">
      <c r="A110" s="731" t="s">
        <v>165</v>
      </c>
      <c r="B110" s="732"/>
      <c r="C110" s="732"/>
      <c r="D110" s="732"/>
      <c r="E110" s="732"/>
      <c r="F110" s="732"/>
      <c r="G110" s="732"/>
      <c r="H110" s="732"/>
      <c r="I110" s="732"/>
      <c r="J110" s="733"/>
    </row>
    <row r="111" spans="1:15" ht="22.5">
      <c r="A111" s="717"/>
      <c r="B111" s="718"/>
      <c r="C111" s="719"/>
      <c r="D111" s="491"/>
      <c r="E111" s="505"/>
      <c r="F111" s="491"/>
      <c r="G111" s="491"/>
      <c r="H111" s="501"/>
      <c r="I111" s="491"/>
      <c r="J111" s="502"/>
    </row>
    <row r="112" spans="1:15" ht="22.5">
      <c r="A112" s="709" t="s">
        <v>252</v>
      </c>
      <c r="B112" s="712"/>
      <c r="C112" s="710"/>
      <c r="D112" s="410" t="s">
        <v>183</v>
      </c>
      <c r="E112" s="503">
        <v>50889.08</v>
      </c>
      <c r="F112" s="503">
        <v>50972.76</v>
      </c>
      <c r="G112" s="422">
        <f t="shared" ref="G112:G123" si="19">F112-E112</f>
        <v>83.680000000000291</v>
      </c>
      <c r="H112" s="423">
        <f t="shared" ref="H112:H123" si="20">G112</f>
        <v>83.680000000000291</v>
      </c>
      <c r="I112" s="491"/>
      <c r="J112" s="504">
        <f>H112/DAY(B2)</f>
        <v>83.680000000000291</v>
      </c>
    </row>
    <row r="113" spans="1:18" ht="29.25" customHeight="1">
      <c r="A113" s="709" t="s">
        <v>253</v>
      </c>
      <c r="B113" s="712"/>
      <c r="C113" s="710"/>
      <c r="D113" s="410" t="s">
        <v>183</v>
      </c>
      <c r="E113" s="503">
        <v>4505.6499999999996</v>
      </c>
      <c r="F113" s="503">
        <v>4923.53</v>
      </c>
      <c r="G113" s="422">
        <f t="shared" si="19"/>
        <v>417.88000000000011</v>
      </c>
      <c r="H113" s="423">
        <f t="shared" si="20"/>
        <v>417.88000000000011</v>
      </c>
      <c r="I113" s="491"/>
      <c r="J113" s="504">
        <f>H113/DAY(B2)</f>
        <v>417.88000000000011</v>
      </c>
    </row>
    <row r="114" spans="1:18" ht="29.25" customHeight="1">
      <c r="A114" s="709" t="s">
        <v>254</v>
      </c>
      <c r="B114" s="712"/>
      <c r="C114" s="710"/>
      <c r="D114" s="410" t="s">
        <v>183</v>
      </c>
      <c r="E114" s="503">
        <v>4577.93</v>
      </c>
      <c r="F114" s="503">
        <v>4840.1099999999997</v>
      </c>
      <c r="G114" s="422">
        <f t="shared" si="19"/>
        <v>262.17999999999938</v>
      </c>
      <c r="H114" s="423">
        <f t="shared" si="20"/>
        <v>262.17999999999938</v>
      </c>
      <c r="I114" s="491"/>
      <c r="J114" s="504">
        <f>H114/DAY(B2)</f>
        <v>262.17999999999938</v>
      </c>
    </row>
    <row r="115" spans="1:18" ht="29.25" customHeight="1">
      <c r="A115" s="709" t="s">
        <v>255</v>
      </c>
      <c r="B115" s="712"/>
      <c r="C115" s="710"/>
      <c r="D115" s="410" t="s">
        <v>183</v>
      </c>
      <c r="E115" s="503">
        <v>8077.41</v>
      </c>
      <c r="F115" s="503">
        <v>8087.54</v>
      </c>
      <c r="G115" s="422">
        <f t="shared" si="19"/>
        <v>10.130000000000109</v>
      </c>
      <c r="H115" s="423">
        <f t="shared" si="20"/>
        <v>10.130000000000109</v>
      </c>
      <c r="I115" s="491"/>
      <c r="J115" s="504">
        <f>H115/DAY(B2)</f>
        <v>10.130000000000109</v>
      </c>
    </row>
    <row r="116" spans="1:18" ht="29.25" customHeight="1">
      <c r="A116" s="724" t="s">
        <v>96</v>
      </c>
      <c r="B116" s="725"/>
      <c r="C116" s="726"/>
      <c r="D116" s="410" t="s">
        <v>183</v>
      </c>
      <c r="E116" s="503">
        <v>0</v>
      </c>
      <c r="F116" s="503">
        <v>0</v>
      </c>
      <c r="G116" s="422">
        <f t="shared" si="19"/>
        <v>0</v>
      </c>
      <c r="H116" s="423">
        <f t="shared" si="20"/>
        <v>0</v>
      </c>
      <c r="I116" s="491"/>
      <c r="J116" s="504">
        <f>H116/DAY(B2)</f>
        <v>0</v>
      </c>
      <c r="Q116" s="709"/>
      <c r="R116" s="710"/>
    </row>
    <row r="117" spans="1:18" ht="29.25" customHeight="1">
      <c r="A117" s="724" t="s">
        <v>184</v>
      </c>
      <c r="B117" s="725"/>
      <c r="C117" s="726"/>
      <c r="D117" s="410" t="s">
        <v>183</v>
      </c>
      <c r="E117" s="503">
        <v>1158.19</v>
      </c>
      <c r="F117" s="503">
        <v>1237.2</v>
      </c>
      <c r="G117" s="422">
        <f t="shared" si="19"/>
        <v>79.009999999999991</v>
      </c>
      <c r="H117" s="423">
        <f t="shared" si="20"/>
        <v>79.009999999999991</v>
      </c>
      <c r="I117" s="491"/>
      <c r="J117" s="504">
        <f>H117/DAY(B2)</f>
        <v>79.009999999999991</v>
      </c>
      <c r="Q117" s="709"/>
      <c r="R117" s="710"/>
    </row>
    <row r="118" spans="1:18" ht="22.5">
      <c r="A118" s="708" t="s">
        <v>97</v>
      </c>
      <c r="B118" s="708"/>
      <c r="C118" s="708"/>
      <c r="D118" s="420" t="s">
        <v>183</v>
      </c>
      <c r="E118" s="503">
        <v>218851.93</v>
      </c>
      <c r="F118" s="503">
        <v>219205.09</v>
      </c>
      <c r="G118" s="422">
        <f t="shared" si="19"/>
        <v>353.16000000000349</v>
      </c>
      <c r="H118" s="423">
        <f t="shared" si="20"/>
        <v>353.16000000000349</v>
      </c>
      <c r="I118" s="491"/>
      <c r="J118" s="504">
        <f>H118/DAY(B2)</f>
        <v>353.16000000000349</v>
      </c>
      <c r="Q118" s="709"/>
      <c r="R118" s="710"/>
    </row>
    <row r="119" spans="1:18" ht="22.5">
      <c r="A119" s="708" t="s">
        <v>98</v>
      </c>
      <c r="B119" s="708"/>
      <c r="C119" s="708"/>
      <c r="D119" s="420" t="s">
        <v>183</v>
      </c>
      <c r="E119" s="503">
        <v>218811.11</v>
      </c>
      <c r="F119" s="503">
        <v>219252.91</v>
      </c>
      <c r="G119" s="422">
        <f t="shared" si="19"/>
        <v>441.80000000001746</v>
      </c>
      <c r="H119" s="423">
        <f t="shared" si="20"/>
        <v>441.80000000001746</v>
      </c>
      <c r="I119" s="491"/>
      <c r="J119" s="504">
        <f>H119/DAY(B2)</f>
        <v>441.80000000001746</v>
      </c>
    </row>
    <row r="120" spans="1:18" ht="22.5">
      <c r="A120" s="708" t="s">
        <v>99</v>
      </c>
      <c r="B120" s="708"/>
      <c r="C120" s="708"/>
      <c r="D120" s="420" t="s">
        <v>183</v>
      </c>
      <c r="E120" s="503">
        <v>4307.6000000000004</v>
      </c>
      <c r="F120" s="503">
        <v>4759.05</v>
      </c>
      <c r="G120" s="422">
        <f t="shared" si="19"/>
        <v>451.44999999999982</v>
      </c>
      <c r="H120" s="423">
        <f t="shared" si="20"/>
        <v>451.44999999999982</v>
      </c>
      <c r="I120" s="491"/>
      <c r="J120" s="504">
        <f>H120/DAY(B2)</f>
        <v>451.44999999999982</v>
      </c>
    </row>
    <row r="121" spans="1:18" ht="22.5">
      <c r="A121" s="708" t="s">
        <v>100</v>
      </c>
      <c r="B121" s="708"/>
      <c r="C121" s="708"/>
      <c r="D121" s="420" t="s">
        <v>183</v>
      </c>
      <c r="E121" s="503">
        <v>331237.51</v>
      </c>
      <c r="F121" s="503">
        <v>331927.17</v>
      </c>
      <c r="G121" s="422">
        <f t="shared" si="19"/>
        <v>689.65999999997439</v>
      </c>
      <c r="H121" s="423">
        <f t="shared" si="20"/>
        <v>689.65999999997439</v>
      </c>
      <c r="I121" s="491"/>
      <c r="J121" s="504">
        <f>H121/DAY(B2)</f>
        <v>689.65999999997439</v>
      </c>
    </row>
    <row r="122" spans="1:18" ht="22.5">
      <c r="A122" s="708" t="s">
        <v>101</v>
      </c>
      <c r="B122" s="708"/>
      <c r="C122" s="708"/>
      <c r="D122" s="420" t="s">
        <v>183</v>
      </c>
      <c r="E122" s="503">
        <v>101608.88</v>
      </c>
      <c r="F122" s="503">
        <v>101927.79</v>
      </c>
      <c r="G122" s="422">
        <f t="shared" si="19"/>
        <v>318.90999999998894</v>
      </c>
      <c r="H122" s="423">
        <f t="shared" si="20"/>
        <v>318.90999999998894</v>
      </c>
      <c r="I122" s="491"/>
      <c r="J122" s="504">
        <f>H122/DAY(B2)</f>
        <v>318.90999999998894</v>
      </c>
    </row>
    <row r="123" spans="1:18" ht="22.5">
      <c r="A123" s="708" t="s">
        <v>102</v>
      </c>
      <c r="B123" s="708"/>
      <c r="C123" s="708"/>
      <c r="D123" s="420" t="s">
        <v>183</v>
      </c>
      <c r="E123" s="503">
        <v>125747.76</v>
      </c>
      <c r="F123" s="503">
        <v>126041.78</v>
      </c>
      <c r="G123" s="422">
        <f t="shared" si="19"/>
        <v>294.02000000000407</v>
      </c>
      <c r="H123" s="423">
        <f t="shared" si="20"/>
        <v>294.02000000000407</v>
      </c>
      <c r="I123" s="491"/>
      <c r="J123" s="504">
        <f>H123/DAY(B2)</f>
        <v>294.02000000000407</v>
      </c>
    </row>
    <row r="124" spans="1:18" ht="29.25" customHeight="1">
      <c r="A124" s="717"/>
      <c r="B124" s="718"/>
      <c r="C124" s="719"/>
      <c r="D124" s="491"/>
      <c r="E124" s="505"/>
      <c r="F124" s="491"/>
      <c r="G124" s="502"/>
      <c r="H124" s="501"/>
      <c r="I124" s="491"/>
      <c r="J124" s="502"/>
    </row>
    <row r="125" spans="1:18" ht="27">
      <c r="A125" s="714" t="s">
        <v>196</v>
      </c>
      <c r="B125" s="715"/>
      <c r="C125" s="716"/>
      <c r="D125" s="420"/>
      <c r="E125" s="576"/>
      <c r="F125" s="505"/>
      <c r="G125" s="422">
        <f>SUM(G112:G124)</f>
        <v>3401.8799999999883</v>
      </c>
      <c r="H125" s="501"/>
      <c r="I125" s="347">
        <f>G125-(G39+G53)</f>
        <v>501.83999999998014</v>
      </c>
      <c r="J125" s="502"/>
    </row>
    <row r="126" spans="1:18" ht="22.5">
      <c r="A126" s="702" t="s">
        <v>317</v>
      </c>
      <c r="B126" s="702"/>
      <c r="C126" s="702"/>
      <c r="D126" s="702"/>
      <c r="E126" s="702"/>
      <c r="F126" s="702"/>
      <c r="G126" s="702"/>
      <c r="H126" s="702"/>
      <c r="I126" s="702"/>
      <c r="J126" s="702"/>
    </row>
    <row r="127" spans="1:18" ht="27">
      <c r="A127" s="703"/>
      <c r="B127" s="703"/>
      <c r="C127" s="491"/>
      <c r="D127" s="420"/>
      <c r="E127" s="576"/>
      <c r="F127" s="505"/>
      <c r="G127" s="422"/>
      <c r="H127" s="423">
        <f t="shared" ref="H127:H135" si="21">G127</f>
        <v>0</v>
      </c>
      <c r="I127" s="491"/>
      <c r="J127" s="504">
        <f>H127/DAY(B2)</f>
        <v>0</v>
      </c>
    </row>
    <row r="128" spans="1:18" ht="29.25" customHeight="1">
      <c r="A128" s="709" t="s">
        <v>318</v>
      </c>
      <c r="B128" s="712"/>
      <c r="C128" s="710"/>
      <c r="D128" s="420" t="s">
        <v>183</v>
      </c>
      <c r="E128" s="505">
        <v>18023.72</v>
      </c>
      <c r="F128" s="491">
        <v>18370.79</v>
      </c>
      <c r="G128" s="422">
        <f t="shared" ref="G128:G133" si="22">F128-E128</f>
        <v>347.06999999999971</v>
      </c>
      <c r="H128" s="423">
        <f t="shared" si="21"/>
        <v>347.06999999999971</v>
      </c>
      <c r="I128" s="491"/>
      <c r="J128" s="504">
        <f>H128/DAY(B2)</f>
        <v>347.06999999999971</v>
      </c>
    </row>
    <row r="129" spans="1:15" ht="22.5">
      <c r="A129" s="593" t="s">
        <v>319</v>
      </c>
      <c r="B129" s="506"/>
      <c r="C129" s="507"/>
      <c r="D129" s="420" t="s">
        <v>183</v>
      </c>
      <c r="E129" s="505">
        <v>6595.71</v>
      </c>
      <c r="F129" s="491">
        <v>6776.63</v>
      </c>
      <c r="G129" s="422">
        <f t="shared" si="22"/>
        <v>180.92000000000007</v>
      </c>
      <c r="H129" s="423">
        <f t="shared" si="21"/>
        <v>180.92000000000007</v>
      </c>
      <c r="I129" s="491"/>
      <c r="J129" s="504">
        <f>H129/DAY(B2)</f>
        <v>180.92000000000007</v>
      </c>
      <c r="N129" s="623"/>
      <c r="O129" s="559"/>
    </row>
    <row r="130" spans="1:15" ht="22.5">
      <c r="A130" s="593" t="s">
        <v>320</v>
      </c>
      <c r="B130" s="506"/>
      <c r="C130" s="507"/>
      <c r="D130" s="420" t="s">
        <v>183</v>
      </c>
      <c r="E130" s="505">
        <v>26468.03</v>
      </c>
      <c r="F130" s="491">
        <v>28514.62</v>
      </c>
      <c r="G130" s="422">
        <f t="shared" si="22"/>
        <v>2046.5900000000001</v>
      </c>
      <c r="H130" s="423">
        <f t="shared" si="21"/>
        <v>2046.5900000000001</v>
      </c>
      <c r="I130" s="491"/>
      <c r="J130" s="504">
        <f>H130/DAY(B2)</f>
        <v>2046.5900000000001</v>
      </c>
      <c r="N130" s="623"/>
      <c r="O130" s="559"/>
    </row>
    <row r="131" spans="1:15" ht="22.5">
      <c r="A131" s="709" t="s">
        <v>321</v>
      </c>
      <c r="B131" s="712"/>
      <c r="C131" s="710"/>
      <c r="D131" s="420" t="s">
        <v>183</v>
      </c>
      <c r="E131" s="521">
        <v>4146.47</v>
      </c>
      <c r="F131" s="525">
        <v>4251.68</v>
      </c>
      <c r="G131" s="517">
        <f t="shared" si="22"/>
        <v>105.21000000000004</v>
      </c>
      <c r="H131" s="423">
        <f t="shared" si="21"/>
        <v>105.21000000000004</v>
      </c>
      <c r="I131" s="491"/>
      <c r="J131" s="504">
        <f>H131/DAY(B2)</f>
        <v>105.21000000000004</v>
      </c>
      <c r="N131" s="623"/>
      <c r="O131" s="559"/>
    </row>
    <row r="132" spans="1:15" ht="22.5">
      <c r="A132" s="709" t="s">
        <v>322</v>
      </c>
      <c r="B132" s="712"/>
      <c r="C132" s="710"/>
      <c r="D132" s="420" t="s">
        <v>183</v>
      </c>
      <c r="E132" s="521">
        <v>11537.72</v>
      </c>
      <c r="F132" s="525">
        <v>11967.72</v>
      </c>
      <c r="G132" s="517">
        <f t="shared" si="22"/>
        <v>430</v>
      </c>
      <c r="H132" s="423">
        <f t="shared" si="21"/>
        <v>430</v>
      </c>
      <c r="I132" s="491"/>
      <c r="J132" s="504">
        <f>H132/DAY(B2)</f>
        <v>430</v>
      </c>
    </row>
    <row r="133" spans="1:15" ht="22.5">
      <c r="A133" s="709" t="s">
        <v>342</v>
      </c>
      <c r="B133" s="712"/>
      <c r="C133" s="710"/>
      <c r="D133" s="420" t="s">
        <v>183</v>
      </c>
      <c r="E133" s="521">
        <v>40849.29</v>
      </c>
      <c r="F133" s="525">
        <v>41453.58</v>
      </c>
      <c r="G133" s="517">
        <f t="shared" si="22"/>
        <v>604.29000000000087</v>
      </c>
      <c r="H133" s="423">
        <f t="shared" si="21"/>
        <v>604.29000000000087</v>
      </c>
      <c r="I133" s="491"/>
      <c r="J133" s="504">
        <f>H133/DAY(B2)</f>
        <v>604.29000000000087</v>
      </c>
    </row>
    <row r="134" spans="1:15" ht="22.5">
      <c r="A134" s="713" t="s">
        <v>340</v>
      </c>
      <c r="B134" s="707"/>
      <c r="C134" s="697"/>
      <c r="D134" s="420" t="s">
        <v>183</v>
      </c>
      <c r="E134" s="521">
        <v>632231</v>
      </c>
      <c r="F134" s="525">
        <v>632838</v>
      </c>
      <c r="G134" s="517">
        <f>F134-E134</f>
        <v>607</v>
      </c>
      <c r="H134" s="423">
        <f t="shared" ref="H134" si="23">G134</f>
        <v>607</v>
      </c>
      <c r="I134" s="491"/>
      <c r="J134" s="504">
        <f>H134/DAY(B2)</f>
        <v>607</v>
      </c>
    </row>
    <row r="135" spans="1:15" ht="22.5">
      <c r="A135" s="714" t="s">
        <v>196</v>
      </c>
      <c r="B135" s="715"/>
      <c r="C135" s="716"/>
      <c r="D135" s="420"/>
      <c r="E135" s="505"/>
      <c r="F135" s="491"/>
      <c r="G135" s="422">
        <f>SUM(G128:G134)</f>
        <v>4321.0800000000008</v>
      </c>
      <c r="H135" s="423">
        <f t="shared" si="21"/>
        <v>4321.0800000000008</v>
      </c>
      <c r="I135" s="347">
        <f>G135-(G35+G49)</f>
        <v>1128.1200000000017</v>
      </c>
      <c r="J135" s="504">
        <f>H135/DAY(B2)</f>
        <v>4321.0800000000008</v>
      </c>
    </row>
    <row r="136" spans="1:15" ht="22.5">
      <c r="A136" s="702" t="s">
        <v>325</v>
      </c>
      <c r="B136" s="702"/>
      <c r="C136" s="702"/>
      <c r="D136" s="702"/>
      <c r="E136" s="702"/>
      <c r="F136" s="702"/>
      <c r="G136" s="702"/>
      <c r="H136" s="702"/>
      <c r="I136" s="702"/>
      <c r="J136" s="702"/>
    </row>
    <row r="137" spans="1:15" ht="22.5">
      <c r="A137" s="165"/>
      <c r="B137" s="491"/>
      <c r="C137" s="491"/>
      <c r="D137" s="491"/>
      <c r="E137" s="505"/>
      <c r="F137" s="491"/>
      <c r="G137" s="491"/>
      <c r="H137" s="501"/>
      <c r="I137" s="491"/>
      <c r="J137" s="502"/>
    </row>
    <row r="138" spans="1:15" ht="22.5">
      <c r="A138" s="708" t="s">
        <v>185</v>
      </c>
      <c r="B138" s="708"/>
      <c r="C138" s="708"/>
      <c r="D138" s="420" t="s">
        <v>183</v>
      </c>
      <c r="E138" s="508">
        <v>859647</v>
      </c>
      <c r="F138" s="508">
        <v>859706</v>
      </c>
      <c r="G138" s="422">
        <f t="shared" ref="G138:G150" si="24">F138-E138</f>
        <v>59</v>
      </c>
      <c r="H138" s="423">
        <f t="shared" ref="H138:H150" si="25">G138</f>
        <v>59</v>
      </c>
      <c r="I138" s="434"/>
      <c r="J138" s="504">
        <f>H138/DAY(B2)</f>
        <v>59</v>
      </c>
    </row>
    <row r="139" spans="1:15" ht="22.5">
      <c r="A139" s="708" t="s">
        <v>186</v>
      </c>
      <c r="B139" s="708"/>
      <c r="C139" s="708"/>
      <c r="D139" s="420" t="s">
        <v>183</v>
      </c>
      <c r="E139" s="509">
        <v>886102</v>
      </c>
      <c r="F139" s="509">
        <v>886102</v>
      </c>
      <c r="G139" s="422">
        <f t="shared" si="24"/>
        <v>0</v>
      </c>
      <c r="H139" s="423">
        <f t="shared" si="25"/>
        <v>0</v>
      </c>
      <c r="I139" s="434"/>
      <c r="J139" s="504">
        <f>H139/DAY(B2)</f>
        <v>0</v>
      </c>
    </row>
    <row r="140" spans="1:15" ht="22.5">
      <c r="A140" s="708" t="s">
        <v>187</v>
      </c>
      <c r="B140" s="708"/>
      <c r="C140" s="708"/>
      <c r="D140" s="420" t="s">
        <v>183</v>
      </c>
      <c r="E140" s="510">
        <v>88817</v>
      </c>
      <c r="F140" s="510">
        <v>88817</v>
      </c>
      <c r="G140" s="422">
        <f t="shared" si="24"/>
        <v>0</v>
      </c>
      <c r="H140" s="423">
        <f t="shared" si="25"/>
        <v>0</v>
      </c>
      <c r="I140" s="434"/>
      <c r="J140" s="504">
        <f>H140/DAY(B2)</f>
        <v>0</v>
      </c>
    </row>
    <row r="141" spans="1:15" ht="22.5">
      <c r="A141" s="711" t="s">
        <v>188</v>
      </c>
      <c r="B141" s="711"/>
      <c r="C141" s="711"/>
      <c r="D141" s="511" t="s">
        <v>183</v>
      </c>
      <c r="E141" s="509">
        <v>37287.949999999997</v>
      </c>
      <c r="F141" s="509">
        <v>37481.43</v>
      </c>
      <c r="G141" s="517">
        <f t="shared" si="24"/>
        <v>193.4800000000032</v>
      </c>
      <c r="H141" s="516">
        <f t="shared" si="25"/>
        <v>193.4800000000032</v>
      </c>
      <c r="I141" s="595"/>
      <c r="J141" s="596">
        <f>H141/DAY(B2)</f>
        <v>193.4800000000032</v>
      </c>
    </row>
    <row r="142" spans="1:15" ht="22.5">
      <c r="A142" s="711" t="s">
        <v>189</v>
      </c>
      <c r="B142" s="711"/>
      <c r="C142" s="711"/>
      <c r="D142" s="511" t="s">
        <v>183</v>
      </c>
      <c r="E142" s="509">
        <v>16961.87</v>
      </c>
      <c r="F142" s="509">
        <v>16977.55</v>
      </c>
      <c r="G142" s="517">
        <f t="shared" si="24"/>
        <v>15.680000000000291</v>
      </c>
      <c r="H142" s="516">
        <f t="shared" si="25"/>
        <v>15.680000000000291</v>
      </c>
      <c r="I142" s="597"/>
      <c r="J142" s="596">
        <f>H142/DAY(B2)</f>
        <v>15.680000000000291</v>
      </c>
    </row>
    <row r="143" spans="1:15" ht="22.5">
      <c r="A143" s="767" t="s">
        <v>91</v>
      </c>
      <c r="B143" s="767"/>
      <c r="C143" s="767"/>
      <c r="D143" s="511" t="s">
        <v>183</v>
      </c>
      <c r="E143" s="509">
        <v>1383.18</v>
      </c>
      <c r="F143" s="509">
        <v>1406.9</v>
      </c>
      <c r="G143" s="517">
        <f t="shared" si="24"/>
        <v>23.720000000000027</v>
      </c>
      <c r="H143" s="516">
        <f t="shared" si="25"/>
        <v>23.720000000000027</v>
      </c>
      <c r="I143" s="597"/>
      <c r="J143" s="596">
        <f>H143/DAY(B2)</f>
        <v>23.720000000000027</v>
      </c>
    </row>
    <row r="144" spans="1:15" ht="22.5">
      <c r="A144" s="711" t="s">
        <v>90</v>
      </c>
      <c r="B144" s="711"/>
      <c r="C144" s="711"/>
      <c r="D144" s="511" t="s">
        <v>183</v>
      </c>
      <c r="E144" s="509">
        <v>855369</v>
      </c>
      <c r="F144" s="509">
        <v>855592</v>
      </c>
      <c r="G144" s="517">
        <f t="shared" si="24"/>
        <v>223</v>
      </c>
      <c r="H144" s="516">
        <f t="shared" si="25"/>
        <v>223</v>
      </c>
      <c r="I144" s="597"/>
      <c r="J144" s="596">
        <f>H144/DAY(B2)</f>
        <v>223</v>
      </c>
    </row>
    <row r="145" spans="1:10" ht="22.5">
      <c r="A145" s="767" t="s">
        <v>190</v>
      </c>
      <c r="B145" s="767"/>
      <c r="C145" s="767"/>
      <c r="D145" s="511" t="s">
        <v>183</v>
      </c>
      <c r="E145" s="509">
        <v>2213</v>
      </c>
      <c r="F145" s="509">
        <v>2246.25</v>
      </c>
      <c r="G145" s="517">
        <f t="shared" si="24"/>
        <v>33.25</v>
      </c>
      <c r="H145" s="516">
        <f t="shared" si="25"/>
        <v>33.25</v>
      </c>
      <c r="I145" s="597"/>
      <c r="J145" s="596">
        <f>H145/DAY(B2)</f>
        <v>33.25</v>
      </c>
    </row>
    <row r="146" spans="1:10" ht="22.5">
      <c r="A146" s="768" t="s">
        <v>191</v>
      </c>
      <c r="B146" s="769"/>
      <c r="C146" s="770"/>
      <c r="D146" s="511" t="s">
        <v>183</v>
      </c>
      <c r="E146" s="509">
        <v>698519</v>
      </c>
      <c r="F146" s="509">
        <v>698871</v>
      </c>
      <c r="G146" s="517">
        <f t="shared" si="24"/>
        <v>352</v>
      </c>
      <c r="H146" s="516">
        <f t="shared" si="25"/>
        <v>352</v>
      </c>
      <c r="I146" s="597"/>
      <c r="J146" s="596">
        <f>H146/DAY(B2)</f>
        <v>352</v>
      </c>
    </row>
    <row r="147" spans="1:10" ht="22.5">
      <c r="A147" s="711" t="s">
        <v>192</v>
      </c>
      <c r="B147" s="711"/>
      <c r="C147" s="711"/>
      <c r="D147" s="511" t="s">
        <v>183</v>
      </c>
      <c r="E147" s="509">
        <v>588910.92000000004</v>
      </c>
      <c r="F147" s="509">
        <v>589299.56000000006</v>
      </c>
      <c r="G147" s="517">
        <f t="shared" si="24"/>
        <v>388.64000000001397</v>
      </c>
      <c r="H147" s="516">
        <f t="shared" si="25"/>
        <v>388.64000000001397</v>
      </c>
      <c r="I147" s="597"/>
      <c r="J147" s="596">
        <f>H147/DAY(B2)</f>
        <v>388.64000000001397</v>
      </c>
    </row>
    <row r="148" spans="1:10" ht="22.5">
      <c r="A148" s="763" t="s">
        <v>193</v>
      </c>
      <c r="B148" s="764"/>
      <c r="C148" s="765"/>
      <c r="D148" s="575" t="s">
        <v>130</v>
      </c>
      <c r="E148" s="490">
        <v>665108.12</v>
      </c>
      <c r="F148" s="490">
        <v>665319.64</v>
      </c>
      <c r="G148" s="517">
        <f t="shared" si="24"/>
        <v>211.52000000001863</v>
      </c>
      <c r="H148" s="516">
        <f t="shared" si="25"/>
        <v>211.52000000001863</v>
      </c>
      <c r="I148" s="516"/>
      <c r="J148" s="596">
        <f>H148/DAY(B2)</f>
        <v>211.52000000001863</v>
      </c>
    </row>
    <row r="149" spans="1:10" ht="22.5">
      <c r="A149" s="763" t="s">
        <v>336</v>
      </c>
      <c r="B149" s="764"/>
      <c r="C149" s="765"/>
      <c r="D149" s="598" t="s">
        <v>130</v>
      </c>
      <c r="E149" s="598">
        <v>84747</v>
      </c>
      <c r="F149" s="598">
        <v>85102</v>
      </c>
      <c r="G149" s="517">
        <f t="shared" si="24"/>
        <v>355</v>
      </c>
      <c r="H149" s="516">
        <f t="shared" si="25"/>
        <v>355</v>
      </c>
      <c r="I149" s="517"/>
      <c r="J149" s="596">
        <f>H149/DAY(B2)</f>
        <v>355</v>
      </c>
    </row>
    <row r="150" spans="1:10" ht="22.5">
      <c r="A150" s="763" t="s">
        <v>337</v>
      </c>
      <c r="B150" s="764"/>
      <c r="C150" s="765"/>
      <c r="D150" s="575" t="s">
        <v>130</v>
      </c>
      <c r="E150" s="511">
        <v>7167232</v>
      </c>
      <c r="F150" s="511">
        <v>7167232</v>
      </c>
      <c r="G150" s="517">
        <f t="shared" si="24"/>
        <v>0</v>
      </c>
      <c r="H150" s="516">
        <f t="shared" si="25"/>
        <v>0</v>
      </c>
      <c r="I150" s="517"/>
      <c r="J150" s="596">
        <f>H150/DAY(B2)</f>
        <v>0</v>
      </c>
    </row>
    <row r="151" spans="1:10" ht="22.5">
      <c r="A151" s="763" t="s">
        <v>338</v>
      </c>
      <c r="B151" s="764"/>
      <c r="C151" s="765"/>
      <c r="D151" s="599"/>
      <c r="E151" s="511">
        <v>63010</v>
      </c>
      <c r="F151" s="511">
        <v>63265</v>
      </c>
      <c r="G151" s="517">
        <f t="shared" ref="G151:G152" si="26">F151-E151</f>
        <v>255</v>
      </c>
      <c r="H151" s="516">
        <f t="shared" ref="H151:H153" si="27">G151</f>
        <v>255</v>
      </c>
      <c r="I151" s="517"/>
      <c r="J151" s="596">
        <f>H151/DAY(B2)</f>
        <v>255</v>
      </c>
    </row>
    <row r="152" spans="1:10" ht="22.5">
      <c r="A152" s="763" t="s">
        <v>339</v>
      </c>
      <c r="B152" s="764"/>
      <c r="C152" s="765"/>
      <c r="D152" s="599"/>
      <c r="E152" s="511"/>
      <c r="F152" s="511"/>
      <c r="G152" s="517">
        <f t="shared" si="26"/>
        <v>0</v>
      </c>
      <c r="H152" s="516">
        <f t="shared" si="27"/>
        <v>0</v>
      </c>
      <c r="I152" s="517"/>
      <c r="J152" s="596">
        <f>H152/DAY(B2)</f>
        <v>0</v>
      </c>
    </row>
    <row r="153" spans="1:10" ht="22.5">
      <c r="A153" s="714" t="s">
        <v>196</v>
      </c>
      <c r="B153" s="715"/>
      <c r="C153" s="716"/>
      <c r="D153" s="599"/>
      <c r="E153" s="512"/>
      <c r="F153" s="512"/>
      <c r="G153" s="600">
        <f>SUM(G138:G152)</f>
        <v>2110.2900000000363</v>
      </c>
      <c r="H153" s="601">
        <f t="shared" si="27"/>
        <v>2110.2900000000363</v>
      </c>
      <c r="I153" s="119">
        <f>G153-(G38+G52)</f>
        <v>264.15000000003693</v>
      </c>
      <c r="J153" s="602"/>
    </row>
    <row r="154" spans="1:10" ht="22.5">
      <c r="A154" s="766" t="s">
        <v>344</v>
      </c>
      <c r="B154" s="766"/>
      <c r="C154" s="766"/>
      <c r="D154" s="766"/>
      <c r="E154" s="766"/>
      <c r="F154" s="766"/>
      <c r="G154" s="766"/>
      <c r="H154" s="766"/>
      <c r="I154" s="766"/>
      <c r="J154" s="766"/>
    </row>
    <row r="155" spans="1:10" ht="27">
      <c r="A155" s="711" t="s">
        <v>345</v>
      </c>
      <c r="B155" s="711"/>
      <c r="C155" s="711"/>
      <c r="D155" s="521"/>
      <c r="E155" s="603">
        <v>77266.7</v>
      </c>
      <c r="F155" s="521">
        <v>77274.600000000006</v>
      </c>
      <c r="G155" s="517">
        <f t="shared" ref="G155:G156" si="28">F155-E155</f>
        <v>7.9000000000087311</v>
      </c>
      <c r="H155" s="521"/>
      <c r="I155" s="521"/>
      <c r="J155" s="596">
        <f>H155/DAY(B2)</f>
        <v>0</v>
      </c>
    </row>
    <row r="156" spans="1:10" ht="29.25" customHeight="1">
      <c r="A156" s="711" t="s">
        <v>349</v>
      </c>
      <c r="B156" s="711"/>
      <c r="C156" s="711"/>
      <c r="D156" s="525"/>
      <c r="E156" s="521">
        <v>0</v>
      </c>
      <c r="F156" s="525">
        <v>0</v>
      </c>
      <c r="G156" s="517">
        <f t="shared" si="28"/>
        <v>0</v>
      </c>
      <c r="H156" s="524"/>
      <c r="I156" s="525"/>
      <c r="J156" s="596">
        <f>H156/DAY(B2)</f>
        <v>0</v>
      </c>
    </row>
    <row r="157" spans="1:10" ht="22.5">
      <c r="A157" s="702" t="s">
        <v>326</v>
      </c>
      <c r="B157" s="702"/>
      <c r="C157" s="702"/>
      <c r="D157" s="702"/>
      <c r="E157" s="702"/>
      <c r="F157" s="702"/>
      <c r="G157" s="702"/>
      <c r="H157" s="702"/>
      <c r="I157" s="702"/>
      <c r="J157" s="702"/>
    </row>
    <row r="158" spans="1:10" ht="22.5">
      <c r="A158" s="594" t="s">
        <v>92</v>
      </c>
      <c r="B158" s="513"/>
      <c r="C158" s="513"/>
      <c r="D158" s="514" t="s">
        <v>180</v>
      </c>
      <c r="E158" s="515">
        <v>469529.04</v>
      </c>
      <c r="F158" s="515">
        <v>469605.24</v>
      </c>
      <c r="G158" s="516">
        <f t="shared" ref="G158:G165" si="29">F158-E158</f>
        <v>76.200000000011642</v>
      </c>
      <c r="H158" s="423">
        <f t="shared" ref="H158:H165" si="30">G158</f>
        <v>76.200000000011642</v>
      </c>
      <c r="I158" s="517"/>
      <c r="J158" s="518">
        <f>H158/DAY(B2)</f>
        <v>76.200000000011642</v>
      </c>
    </row>
    <row r="159" spans="1:10" ht="22.5">
      <c r="A159" s="594" t="s">
        <v>93</v>
      </c>
      <c r="B159" s="513"/>
      <c r="C159" s="513"/>
      <c r="D159" s="514" t="s">
        <v>180</v>
      </c>
      <c r="E159" s="515">
        <v>85705.600000000006</v>
      </c>
      <c r="F159" s="515">
        <v>85735.8</v>
      </c>
      <c r="G159" s="516">
        <f t="shared" si="29"/>
        <v>30.19999999999709</v>
      </c>
      <c r="H159" s="423">
        <f t="shared" si="30"/>
        <v>30.19999999999709</v>
      </c>
      <c r="I159" s="517"/>
      <c r="J159" s="518">
        <f>H159/DAY(B2)</f>
        <v>30.19999999999709</v>
      </c>
    </row>
    <row r="160" spans="1:10" ht="22.5">
      <c r="A160" s="594" t="s">
        <v>197</v>
      </c>
      <c r="B160" s="513"/>
      <c r="C160" s="513"/>
      <c r="D160" s="514" t="s">
        <v>180</v>
      </c>
      <c r="E160" s="515">
        <v>73336.899999999994</v>
      </c>
      <c r="F160" s="515">
        <v>73423.199999999997</v>
      </c>
      <c r="G160" s="516">
        <f t="shared" si="29"/>
        <v>86.30000000000291</v>
      </c>
      <c r="H160" s="423">
        <f t="shared" si="30"/>
        <v>86.30000000000291</v>
      </c>
      <c r="I160" s="517"/>
      <c r="J160" s="518">
        <f>H160/DAY(B2)</f>
        <v>86.30000000000291</v>
      </c>
    </row>
    <row r="161" spans="1:10" ht="22.5">
      <c r="A161" s="594" t="s">
        <v>197</v>
      </c>
      <c r="B161" s="513"/>
      <c r="C161" s="513"/>
      <c r="D161" s="514" t="s">
        <v>180</v>
      </c>
      <c r="E161" s="515">
        <v>3973.5</v>
      </c>
      <c r="F161" s="515">
        <v>3973.6</v>
      </c>
      <c r="G161" s="516">
        <f t="shared" si="29"/>
        <v>9.9999999999909051E-2</v>
      </c>
      <c r="H161" s="423">
        <f t="shared" si="30"/>
        <v>9.9999999999909051E-2</v>
      </c>
      <c r="I161" s="517"/>
      <c r="J161" s="518">
        <f>H161/DAY(B2)</f>
        <v>9.9999999999909051E-2</v>
      </c>
    </row>
    <row r="162" spans="1:10" ht="22.5">
      <c r="A162" s="594" t="s">
        <v>309</v>
      </c>
      <c r="B162" s="513"/>
      <c r="C162" s="513"/>
      <c r="D162" s="514" t="s">
        <v>180</v>
      </c>
      <c r="E162" s="515">
        <v>29198.14</v>
      </c>
      <c r="F162" s="515">
        <v>29209.3</v>
      </c>
      <c r="G162" s="516">
        <f t="shared" si="29"/>
        <v>11.159999999999854</v>
      </c>
      <c r="H162" s="423">
        <f t="shared" si="30"/>
        <v>11.159999999999854</v>
      </c>
      <c r="I162" s="517"/>
      <c r="J162" s="518">
        <f>H162/DAY(B2)</f>
        <v>11.159999999999854</v>
      </c>
    </row>
    <row r="163" spans="1:10" ht="22.5">
      <c r="A163" s="703"/>
      <c r="B163" s="703"/>
      <c r="C163" s="491"/>
      <c r="D163" s="514" t="s">
        <v>180</v>
      </c>
      <c r="E163" s="505"/>
      <c r="F163" s="491"/>
      <c r="G163" s="516">
        <f t="shared" si="29"/>
        <v>0</v>
      </c>
      <c r="H163" s="423">
        <f t="shared" si="30"/>
        <v>0</v>
      </c>
      <c r="I163" s="491"/>
      <c r="J163" s="502"/>
    </row>
    <row r="164" spans="1:10" ht="22.5">
      <c r="A164" s="703"/>
      <c r="B164" s="703"/>
      <c r="C164" s="491"/>
      <c r="D164" s="514" t="s">
        <v>180</v>
      </c>
      <c r="E164" s="505"/>
      <c r="F164" s="491"/>
      <c r="G164" s="516">
        <f t="shared" si="29"/>
        <v>0</v>
      </c>
      <c r="H164" s="423">
        <f t="shared" si="30"/>
        <v>0</v>
      </c>
      <c r="I164" s="491"/>
      <c r="J164" s="502"/>
    </row>
    <row r="165" spans="1:10" ht="22.5">
      <c r="A165" s="703"/>
      <c r="B165" s="703"/>
      <c r="C165" s="491"/>
      <c r="D165" s="514" t="s">
        <v>180</v>
      </c>
      <c r="E165" s="505"/>
      <c r="F165" s="491"/>
      <c r="G165" s="516">
        <f t="shared" si="29"/>
        <v>0</v>
      </c>
      <c r="H165" s="423">
        <f t="shared" si="30"/>
        <v>0</v>
      </c>
      <c r="I165" s="491"/>
      <c r="J165" s="502"/>
    </row>
    <row r="166" spans="1:10" ht="22.5"/>
    <row r="167" spans="1:10" ht="22.5"/>
    <row r="168" spans="1:10" ht="22.5">
      <c r="A168" s="704" t="s">
        <v>330</v>
      </c>
      <c r="B168" s="705"/>
      <c r="C168" s="705"/>
      <c r="D168" s="705"/>
      <c r="E168" s="705"/>
      <c r="F168" s="705"/>
      <c r="G168" s="705"/>
      <c r="H168" s="705"/>
      <c r="I168" s="705"/>
      <c r="J168" s="706"/>
    </row>
    <row r="169" spans="1:10" ht="22.5">
      <c r="A169" s="700"/>
      <c r="B169" s="701"/>
      <c r="C169" s="519"/>
      <c r="D169" s="572"/>
      <c r="E169" s="505"/>
      <c r="F169" s="505"/>
      <c r="G169" s="505"/>
      <c r="H169" s="501"/>
      <c r="I169" s="505"/>
      <c r="J169" s="520">
        <f>H169/DAY(B2)</f>
        <v>0</v>
      </c>
    </row>
    <row r="170" spans="1:10" ht="22.5">
      <c r="A170" s="696" t="s">
        <v>209</v>
      </c>
      <c r="B170" s="697"/>
      <c r="C170" s="397"/>
      <c r="D170" s="572" t="s">
        <v>142</v>
      </c>
      <c r="E170" s="505">
        <v>7998</v>
      </c>
      <c r="F170" s="505">
        <v>7998</v>
      </c>
      <c r="G170" s="505">
        <f>F170-E170</f>
        <v>0</v>
      </c>
      <c r="H170" s="423">
        <f t="shared" ref="H170:H186" si="31">G170</f>
        <v>0</v>
      </c>
      <c r="I170" s="505"/>
      <c r="J170" s="520">
        <f>H170/DAY(B2)</f>
        <v>0</v>
      </c>
    </row>
    <row r="171" spans="1:10" ht="22.5">
      <c r="A171" s="696" t="s">
        <v>75</v>
      </c>
      <c r="B171" s="697"/>
      <c r="C171" s="397"/>
      <c r="D171" s="572" t="s">
        <v>142</v>
      </c>
      <c r="E171" s="521">
        <v>37383</v>
      </c>
      <c r="F171" s="521">
        <v>37399</v>
      </c>
      <c r="G171" s="505">
        <f t="shared" ref="G171:G172" si="32">F171-E171</f>
        <v>16</v>
      </c>
      <c r="H171" s="423">
        <f t="shared" si="31"/>
        <v>16</v>
      </c>
      <c r="I171" s="505"/>
      <c r="J171" s="520">
        <f>H171/DAY(B2)</f>
        <v>16</v>
      </c>
    </row>
    <row r="172" spans="1:10" ht="22.5">
      <c r="A172" s="696" t="s">
        <v>76</v>
      </c>
      <c r="B172" s="707"/>
      <c r="C172" s="697"/>
      <c r="D172" s="572" t="s">
        <v>142</v>
      </c>
      <c r="E172" s="505">
        <v>20788</v>
      </c>
      <c r="F172" s="505">
        <v>20799</v>
      </c>
      <c r="G172" s="505">
        <f t="shared" si="32"/>
        <v>11</v>
      </c>
      <c r="H172" s="423">
        <f t="shared" si="31"/>
        <v>11</v>
      </c>
      <c r="I172" s="505"/>
      <c r="J172" s="520"/>
    </row>
    <row r="173" spans="1:10" ht="22.5">
      <c r="A173" s="694" t="s">
        <v>196</v>
      </c>
      <c r="B173" s="695"/>
      <c r="C173" s="397"/>
      <c r="D173" s="572"/>
      <c r="E173" s="505"/>
      <c r="F173" s="505"/>
      <c r="G173" s="505">
        <f>SUM(G170:G172)</f>
        <v>27</v>
      </c>
      <c r="H173" s="423">
        <f t="shared" si="31"/>
        <v>27</v>
      </c>
      <c r="I173" s="505"/>
      <c r="J173" s="520">
        <f>H173/DAY(B2)</f>
        <v>27</v>
      </c>
    </row>
    <row r="174" spans="1:10" ht="22.5">
      <c r="A174" s="696" t="s">
        <v>77</v>
      </c>
      <c r="B174" s="697"/>
      <c r="C174" s="397"/>
      <c r="D174" s="572" t="s">
        <v>142</v>
      </c>
      <c r="E174" s="505"/>
      <c r="F174" s="505"/>
      <c r="G174" s="505"/>
      <c r="H174" s="423">
        <f t="shared" si="31"/>
        <v>0</v>
      </c>
      <c r="I174" s="505"/>
      <c r="J174" s="520">
        <f>H174/DAY(B2)</f>
        <v>0</v>
      </c>
    </row>
    <row r="175" spans="1:10" ht="22.5">
      <c r="A175" s="696" t="s">
        <v>210</v>
      </c>
      <c r="B175" s="697"/>
      <c r="C175" s="397"/>
      <c r="D175" s="572" t="s">
        <v>142</v>
      </c>
      <c r="E175" s="505">
        <v>74619</v>
      </c>
      <c r="F175" s="505">
        <v>74687</v>
      </c>
      <c r="G175" s="505">
        <f>F175-E175</f>
        <v>68</v>
      </c>
      <c r="H175" s="423">
        <f t="shared" si="31"/>
        <v>68</v>
      </c>
      <c r="I175" s="505"/>
      <c r="J175" s="520">
        <f>H175/DAY(B2)</f>
        <v>68</v>
      </c>
    </row>
    <row r="176" spans="1:10" ht="22.5">
      <c r="A176" s="696" t="s">
        <v>211</v>
      </c>
      <c r="B176" s="697"/>
      <c r="C176" s="397"/>
      <c r="D176" s="572" t="s">
        <v>142</v>
      </c>
      <c r="E176" s="505">
        <v>33886</v>
      </c>
      <c r="F176" s="505">
        <v>33886</v>
      </c>
      <c r="G176" s="505">
        <f t="shared" ref="G176:G177" si="33">F176-E176</f>
        <v>0</v>
      </c>
      <c r="H176" s="423">
        <f t="shared" si="31"/>
        <v>0</v>
      </c>
      <c r="I176" s="505"/>
      <c r="J176" s="520">
        <f>H176/DAY(B2)</f>
        <v>0</v>
      </c>
    </row>
    <row r="177" spans="1:10" ht="22.5">
      <c r="A177" s="696" t="s">
        <v>212</v>
      </c>
      <c r="B177" s="697"/>
      <c r="C177" s="397"/>
      <c r="D177" s="572" t="s">
        <v>142</v>
      </c>
      <c r="E177" s="505">
        <v>5041</v>
      </c>
      <c r="F177" s="505">
        <v>5041</v>
      </c>
      <c r="G177" s="505">
        <f t="shared" si="33"/>
        <v>0</v>
      </c>
      <c r="H177" s="423">
        <f t="shared" si="31"/>
        <v>0</v>
      </c>
      <c r="I177" s="505"/>
      <c r="J177" s="520">
        <f>H177/DAY(B2)</f>
        <v>0</v>
      </c>
    </row>
    <row r="178" spans="1:10" ht="22.5">
      <c r="A178" s="694" t="s">
        <v>108</v>
      </c>
      <c r="B178" s="695"/>
      <c r="C178" s="397"/>
      <c r="D178" s="572"/>
      <c r="E178" s="505"/>
      <c r="F178" s="505"/>
      <c r="G178" s="505">
        <f>SUM(G175:G177)</f>
        <v>68</v>
      </c>
      <c r="H178" s="423">
        <f t="shared" si="31"/>
        <v>68</v>
      </c>
      <c r="I178" s="505"/>
      <c r="J178" s="520">
        <f>H178/DAY(B2)</f>
        <v>68</v>
      </c>
    </row>
    <row r="179" spans="1:10" ht="21.95" customHeight="1">
      <c r="A179" s="696" t="s">
        <v>213</v>
      </c>
      <c r="B179" s="697"/>
      <c r="C179" s="397"/>
      <c r="D179" s="572"/>
      <c r="E179" s="505"/>
      <c r="F179" s="505"/>
      <c r="G179" s="505"/>
      <c r="H179" s="423">
        <f t="shared" si="31"/>
        <v>0</v>
      </c>
      <c r="I179" s="505"/>
      <c r="J179" s="520">
        <f>H179/DAY(B2)</f>
        <v>0</v>
      </c>
    </row>
    <row r="180" spans="1:10" ht="21.95" customHeight="1">
      <c r="A180" s="696" t="s">
        <v>214</v>
      </c>
      <c r="B180" s="697"/>
      <c r="C180" s="397"/>
      <c r="D180" s="572" t="s">
        <v>142</v>
      </c>
      <c r="E180" s="521">
        <v>14031</v>
      </c>
      <c r="F180" s="521">
        <v>14042</v>
      </c>
      <c r="G180" s="521">
        <f>F180-E180</f>
        <v>11</v>
      </c>
      <c r="H180" s="423">
        <f t="shared" si="31"/>
        <v>11</v>
      </c>
      <c r="I180" s="505"/>
      <c r="J180" s="520">
        <f>H180/DAY(B2)</f>
        <v>11</v>
      </c>
    </row>
    <row r="181" spans="1:10" ht="21.95" customHeight="1">
      <c r="A181" s="696" t="s">
        <v>215</v>
      </c>
      <c r="B181" s="697"/>
      <c r="C181" s="397"/>
      <c r="D181" s="572" t="s">
        <v>142</v>
      </c>
      <c r="E181" s="521">
        <v>9754</v>
      </c>
      <c r="F181" s="521">
        <v>9760</v>
      </c>
      <c r="G181" s="521">
        <f t="shared" ref="G181:G182" si="34">F181-E181</f>
        <v>6</v>
      </c>
      <c r="H181" s="423">
        <f t="shared" si="31"/>
        <v>6</v>
      </c>
      <c r="I181" s="505"/>
      <c r="J181" s="520">
        <f>H181/DAY(B2)</f>
        <v>6</v>
      </c>
    </row>
    <row r="182" spans="1:10" ht="22.5">
      <c r="A182" s="696" t="s">
        <v>216</v>
      </c>
      <c r="B182" s="697"/>
      <c r="C182" s="397"/>
      <c r="D182" s="572" t="s">
        <v>142</v>
      </c>
      <c r="E182" s="521"/>
      <c r="F182" s="521"/>
      <c r="G182" s="521">
        <f t="shared" si="34"/>
        <v>0</v>
      </c>
      <c r="H182" s="423">
        <f t="shared" si="31"/>
        <v>0</v>
      </c>
      <c r="I182" s="505"/>
      <c r="J182" s="522">
        <f>H182/DAY(B2)</f>
        <v>0</v>
      </c>
    </row>
    <row r="183" spans="1:10" ht="22.5">
      <c r="A183" s="694" t="s">
        <v>196</v>
      </c>
      <c r="B183" s="695"/>
      <c r="C183" s="397"/>
      <c r="D183" s="229"/>
      <c r="E183" s="521"/>
      <c r="F183" s="521"/>
      <c r="G183" s="521">
        <f>SUM(G180:G182)</f>
        <v>17</v>
      </c>
      <c r="H183" s="423">
        <f t="shared" si="31"/>
        <v>17</v>
      </c>
      <c r="I183" s="521"/>
      <c r="J183" s="522">
        <f>H183/DAY(B2)</f>
        <v>17</v>
      </c>
    </row>
    <row r="184" spans="1:10" ht="22.5">
      <c r="A184" s="696" t="s">
        <v>217</v>
      </c>
      <c r="B184" s="697"/>
      <c r="C184" s="397"/>
      <c r="D184" s="523" t="s">
        <v>142</v>
      </c>
      <c r="E184" s="524"/>
      <c r="F184" s="524"/>
      <c r="G184" s="524">
        <f>G62+G19</f>
        <v>175</v>
      </c>
      <c r="H184" s="423">
        <f t="shared" si="31"/>
        <v>175</v>
      </c>
      <c r="I184" s="525"/>
      <c r="J184" s="522">
        <f>H184/DAY(B2)</f>
        <v>175</v>
      </c>
    </row>
    <row r="185" spans="1:10" ht="22.5">
      <c r="A185" s="696" t="s">
        <v>218</v>
      </c>
      <c r="B185" s="697"/>
      <c r="C185" s="397"/>
      <c r="D185" s="523" t="s">
        <v>142</v>
      </c>
      <c r="E185" s="524"/>
      <c r="F185" s="524"/>
      <c r="G185" s="524">
        <f>G65+G66+G67+G69+G70</f>
        <v>166</v>
      </c>
      <c r="H185" s="423">
        <f t="shared" si="31"/>
        <v>166</v>
      </c>
      <c r="I185" s="525"/>
      <c r="J185" s="485"/>
    </row>
    <row r="186" spans="1:10" ht="22.5">
      <c r="A186" s="696" t="s">
        <v>219</v>
      </c>
      <c r="B186" s="697"/>
      <c r="C186" s="397"/>
      <c r="D186" s="523" t="s">
        <v>142</v>
      </c>
      <c r="E186" s="521"/>
      <c r="F186" s="521"/>
      <c r="G186" s="521">
        <f>G178</f>
        <v>68</v>
      </c>
      <c r="H186" s="423">
        <f t="shared" si="31"/>
        <v>68</v>
      </c>
      <c r="I186" s="525"/>
      <c r="J186" s="518">
        <f>H186/DAY(B2)</f>
        <v>68</v>
      </c>
    </row>
    <row r="187" spans="1:10" ht="22.5">
      <c r="A187" s="698" t="s">
        <v>207</v>
      </c>
      <c r="B187" s="698"/>
      <c r="C187" s="698"/>
      <c r="D187" s="698"/>
      <c r="E187" s="698"/>
      <c r="F187" s="698"/>
      <c r="G187" s="698"/>
      <c r="H187" s="698"/>
      <c r="I187" s="698"/>
      <c r="J187" s="699"/>
    </row>
    <row r="188" spans="1:10" ht="22.5">
      <c r="A188" s="696"/>
      <c r="B188" s="697"/>
    </row>
    <row r="189" spans="1:10" ht="22.5"/>
    <row r="190" spans="1:10" ht="22.5"/>
    <row r="191" spans="1:10" ht="22.5"/>
    <row r="192" spans="1:10" ht="22.5"/>
    <row r="193" ht="22.5"/>
    <row r="194" ht="22.5"/>
    <row r="195" ht="22.5"/>
    <row r="196" ht="22.5"/>
    <row r="197" ht="22.5"/>
    <row r="198" ht="22.5"/>
    <row r="199" ht="22.5"/>
    <row r="200" ht="22.5"/>
    <row r="201" ht="22.5"/>
    <row r="202" ht="22.5"/>
    <row r="203" ht="22.5"/>
    <row r="204" ht="22.5"/>
    <row r="205" ht="22.5"/>
    <row r="206" ht="22.5"/>
    <row r="207" ht="22.5"/>
    <row r="208" ht="22.5"/>
    <row r="209" ht="22.5"/>
    <row r="210" ht="22.5"/>
    <row r="211" ht="22.5"/>
    <row r="212" ht="22.5"/>
    <row r="213" ht="22.5"/>
    <row r="214" ht="22.5"/>
    <row r="215" ht="22.5"/>
    <row r="216" ht="22.5"/>
    <row r="217" ht="22.5"/>
    <row r="218" ht="22.5"/>
    <row r="219" ht="22.5"/>
    <row r="220" ht="22.5"/>
    <row r="221" ht="22.5"/>
    <row r="222" ht="22.5"/>
    <row r="223" ht="22.5"/>
    <row r="224" ht="22.5"/>
    <row r="225" ht="22.5"/>
    <row r="226" ht="22.5"/>
    <row r="227" ht="22.5"/>
    <row r="228" ht="22.5"/>
    <row r="229" ht="22.5"/>
    <row r="230" ht="22.5"/>
    <row r="231" ht="22.5"/>
    <row r="232" ht="22.5"/>
    <row r="233" ht="22.5"/>
    <row r="234" ht="22.5"/>
    <row r="235" ht="22.5"/>
    <row r="236" ht="22.5"/>
    <row r="237" ht="22.5"/>
    <row r="238" ht="22.5"/>
    <row r="239" ht="22.5"/>
    <row r="240" ht="22.5"/>
    <row r="241" ht="22.5"/>
    <row r="242" ht="22.5"/>
    <row r="243" ht="22.5"/>
    <row r="244" ht="22.5"/>
    <row r="245" ht="22.5"/>
    <row r="246" ht="22.5"/>
    <row r="247" ht="22.5"/>
    <row r="248" ht="22.5"/>
    <row r="249" ht="22.5"/>
    <row r="250" ht="22.5"/>
    <row r="251" ht="22.5"/>
    <row r="252" ht="22.5"/>
    <row r="253" ht="22.5"/>
    <row r="254" ht="22.5"/>
    <row r="255" ht="22.5"/>
    <row r="256" ht="22.5"/>
    <row r="257" ht="22.5"/>
    <row r="258" ht="22.5"/>
    <row r="259" ht="22.5"/>
    <row r="260" ht="22.5"/>
    <row r="261" ht="22.5"/>
    <row r="262" ht="22.5"/>
    <row r="263" ht="22.5"/>
    <row r="264" ht="22.5"/>
    <row r="265" ht="22.5"/>
    <row r="266" ht="22.5"/>
    <row r="267" ht="22.5"/>
  </sheetData>
  <mergeCells count="113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31:C131"/>
    <mergeCell ref="A169:B169"/>
    <mergeCell ref="A170:B170"/>
    <mergeCell ref="A171:B171"/>
    <mergeCell ref="A173:B173"/>
    <mergeCell ref="A174:B174"/>
    <mergeCell ref="A157:J157"/>
    <mergeCell ref="A163:B163"/>
    <mergeCell ref="A164:B164"/>
    <mergeCell ref="A165:B165"/>
    <mergeCell ref="A168:J168"/>
    <mergeCell ref="A172:C172"/>
    <mergeCell ref="A183:B183"/>
    <mergeCell ref="A184:B184"/>
    <mergeCell ref="A185:B185"/>
    <mergeCell ref="A186:B186"/>
    <mergeCell ref="A188:B188"/>
    <mergeCell ref="A175:B175"/>
    <mergeCell ref="A176:B176"/>
    <mergeCell ref="A177:B177"/>
    <mergeCell ref="A178:B178"/>
    <mergeCell ref="A182:B182"/>
    <mergeCell ref="A179:B179"/>
    <mergeCell ref="A180:B180"/>
    <mergeCell ref="A181:B181"/>
    <mergeCell ref="A187:J187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67"/>
  <sheetViews>
    <sheetView view="pageBreakPreview" zoomScale="55" zoomScaleSheetLayoutView="55" workbookViewId="0">
      <selection activeCell="I153" sqref="I153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6" s="57" customFormat="1" ht="27">
      <c r="A2" s="191" t="s">
        <v>350</v>
      </c>
      <c r="B2" s="266">
        <v>44502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6" s="57" customFormat="1" ht="27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f>'1'!F7</f>
        <v>707634.79</v>
      </c>
      <c r="F7" s="95">
        <v>730117.67</v>
      </c>
      <c r="G7" s="112">
        <f>F7-E7</f>
        <v>22482.880000000005</v>
      </c>
      <c r="H7" s="99">
        <f>G7+'1'!H7</f>
        <v>43854.369999999995</v>
      </c>
      <c r="I7" s="113">
        <f>'[1]1'!I7</f>
        <v>12000</v>
      </c>
      <c r="J7" s="175">
        <f>H7/DAY(B2)</f>
        <v>21927.184999999998</v>
      </c>
      <c r="K7" s="172">
        <v>1375467</v>
      </c>
      <c r="L7" s="66"/>
      <c r="N7" s="87"/>
      <c r="O7" s="393">
        <v>26905.200000000001</v>
      </c>
      <c r="P7" s="57" t="s">
        <v>351</v>
      </c>
    </row>
    <row r="8" spans="1:16" ht="27.75" thickBot="1">
      <c r="A8" s="196" t="s">
        <v>131</v>
      </c>
      <c r="B8" s="197"/>
      <c r="C8" s="198"/>
      <c r="D8" s="224" t="s">
        <v>24</v>
      </c>
      <c r="E8" s="95">
        <f>'1'!F8</f>
        <v>734972.87</v>
      </c>
      <c r="F8" s="114">
        <v>757926.95</v>
      </c>
      <c r="G8" s="115">
        <f>F8-E8</f>
        <v>22954.079999999958</v>
      </c>
      <c r="H8" s="99">
        <f>G8+'1'!H8</f>
        <v>44763.04999999993</v>
      </c>
      <c r="I8" s="116">
        <v>12000</v>
      </c>
      <c r="J8" s="175">
        <f>H8/DAY(B2)</f>
        <v>22381.524999999965</v>
      </c>
      <c r="K8" s="172">
        <v>1715917</v>
      </c>
      <c r="L8" s="76">
        <v>1728480</v>
      </c>
      <c r="M8" s="87">
        <f>L8-K8</f>
        <v>12563</v>
      </c>
      <c r="N8" s="87"/>
      <c r="O8" s="393">
        <v>12182.6</v>
      </c>
      <c r="P8" s="57" t="s">
        <v>130</v>
      </c>
    </row>
    <row r="9" spans="1:16" ht="29.25">
      <c r="A9" s="199" t="s">
        <v>132</v>
      </c>
      <c r="B9" s="200"/>
      <c r="C9" s="200"/>
      <c r="D9" s="151" t="s">
        <v>130</v>
      </c>
      <c r="E9" s="95">
        <f>'1'!F9</f>
        <v>1273980.5</v>
      </c>
      <c r="F9" s="373">
        <v>1287692</v>
      </c>
      <c r="G9" s="112">
        <f t="shared" ref="G9:G11" si="0">F9-E9</f>
        <v>13711.5</v>
      </c>
      <c r="H9" s="99">
        <f>G9+'1'!H9</f>
        <v>26413.5</v>
      </c>
      <c r="I9" s="124">
        <f>I8-J8</f>
        <v>-10381.524999999965</v>
      </c>
      <c r="J9" s="175">
        <f>H9/DAY(B2)</f>
        <v>13206.75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'1'!F10</f>
        <v>176488.39</v>
      </c>
      <c r="F10" s="117">
        <v>184656.63</v>
      </c>
      <c r="G10" s="112">
        <f t="shared" si="0"/>
        <v>8168.2399999999907</v>
      </c>
      <c r="H10" s="99">
        <f>G10+'1'!H10</f>
        <v>16272.700000000012</v>
      </c>
      <c r="I10" s="118"/>
      <c r="J10" s="175">
        <f>H10/DAY(B2)</f>
        <v>8136.3500000000058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21879.739999999991</v>
      </c>
      <c r="H13" s="99">
        <f>G13+'1'!H13</f>
        <v>21879.739999999991</v>
      </c>
      <c r="I13" s="120">
        <f>G7-G13</f>
        <v>603.14000000001397</v>
      </c>
      <c r="J13" s="175">
        <f>H13/DAY(B2)</f>
        <v>10939.869999999995</v>
      </c>
      <c r="K13" s="79"/>
      <c r="L13" s="66"/>
      <c r="N13" s="87"/>
      <c r="O13" s="71"/>
      <c r="P13" s="65">
        <v>822</v>
      </c>
    </row>
    <row r="14" spans="1:16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65" t="s">
        <v>138</v>
      </c>
      <c r="B15" s="205"/>
      <c r="C15" s="205"/>
      <c r="D15" s="151" t="s">
        <v>139</v>
      </c>
      <c r="E15" s="95">
        <f>'1'!F15</f>
        <v>1816695.99</v>
      </c>
      <c r="F15" s="372">
        <v>1817642.84</v>
      </c>
      <c r="G15" s="376">
        <f>(F15-E15)</f>
        <v>946.85000000009313</v>
      </c>
      <c r="H15" s="99">
        <f>G15+'1'!H15</f>
        <v>1975.8800000001211</v>
      </c>
      <c r="I15" s="113">
        <v>800</v>
      </c>
      <c r="J15" s="175">
        <f>H15/DAY(B2)</f>
        <v>987.94000000006054</v>
      </c>
      <c r="K15" s="79"/>
      <c r="L15" s="66"/>
      <c r="N15" s="87"/>
      <c r="O15" s="71"/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-187.94000000006054</v>
      </c>
      <c r="J16" s="176"/>
      <c r="K16" s="79"/>
      <c r="L16" s="66"/>
      <c r="N16" s="87"/>
      <c r="O16" s="71"/>
      <c r="P16" s="71">
        <f>G9+P12</f>
        <v>14409.5</v>
      </c>
    </row>
    <row r="17" spans="1:16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14533.5</v>
      </c>
    </row>
    <row r="18" spans="1:16" ht="27.75">
      <c r="A18" s="814" t="s">
        <v>141</v>
      </c>
      <c r="B18" s="815"/>
      <c r="C18" s="816"/>
      <c r="D18" s="151" t="s">
        <v>142</v>
      </c>
      <c r="E18" s="95">
        <f>'1'!F18</f>
        <v>18</v>
      </c>
      <c r="F18" s="117">
        <v>21</v>
      </c>
      <c r="G18" s="119">
        <f>F18*10</f>
        <v>210</v>
      </c>
      <c r="H18" s="99">
        <f>G18+'1'!H18</f>
        <v>390</v>
      </c>
      <c r="I18" s="113">
        <f>'[1]1'!I18</f>
        <v>65</v>
      </c>
      <c r="J18" s="175">
        <f>H18/DAY(B2)</f>
        <v>195</v>
      </c>
      <c r="K18" s="79"/>
      <c r="L18" s="66"/>
      <c r="N18" s="87"/>
      <c r="O18" s="71"/>
    </row>
    <row r="19" spans="1:16" ht="27.75">
      <c r="A19" s="814" t="s">
        <v>69</v>
      </c>
      <c r="B19" s="815"/>
      <c r="C19" s="816"/>
      <c r="D19" s="151" t="s">
        <v>142</v>
      </c>
      <c r="E19" s="95">
        <f>'1'!F19</f>
        <v>148974</v>
      </c>
      <c r="F19" s="373">
        <v>149034</v>
      </c>
      <c r="G19" s="112">
        <f>F19-E19</f>
        <v>60</v>
      </c>
      <c r="H19" s="99">
        <f>G19+'1'!H19</f>
        <v>117</v>
      </c>
      <c r="I19" s="374"/>
      <c r="J19" s="175">
        <f>H19/DAY(B2)</f>
        <v>58.5</v>
      </c>
      <c r="K19" s="79"/>
      <c r="L19" s="66"/>
      <c r="N19" s="87"/>
      <c r="O19" s="71"/>
    </row>
    <row r="20" spans="1:16" ht="29.25">
      <c r="A20" s="201" t="s">
        <v>143</v>
      </c>
      <c r="B20" s="202"/>
      <c r="C20" s="202"/>
      <c r="D20" s="126"/>
      <c r="E20" s="126"/>
      <c r="F20" s="151"/>
      <c r="G20" s="375">
        <f>G18+G19</f>
        <v>270</v>
      </c>
      <c r="H20" s="99">
        <f>G20+'1'!H20</f>
        <v>507</v>
      </c>
      <c r="I20" s="356">
        <f>I18-J20</f>
        <v>-188.5</v>
      </c>
      <c r="J20" s="175">
        <f>H20/DAY(B2)</f>
        <v>253.5</v>
      </c>
      <c r="K20" s="79"/>
      <c r="L20" s="66"/>
      <c r="N20" s="87"/>
      <c r="O20" s="71"/>
    </row>
    <row r="21" spans="1:16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>
      <c r="A22" s="36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>
      <c r="A23" s="36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>
      <c r="A27" s="208" t="s">
        <v>5</v>
      </c>
      <c r="B27" s="209"/>
      <c r="C27" s="210"/>
      <c r="D27" s="226" t="s">
        <v>24</v>
      </c>
      <c r="E27" s="135">
        <f>G8</f>
        <v>22954.079999999958</v>
      </c>
      <c r="F27" s="136">
        <v>9</v>
      </c>
      <c r="G27" s="137">
        <f>E27*F27</f>
        <v>206586.71999999962</v>
      </c>
      <c r="H27" s="99">
        <f>G27+'1'!H27</f>
        <v>402867.44999999937</v>
      </c>
      <c r="I27" s="138"/>
      <c r="J27" s="175">
        <f>H27/DAY(B2)</f>
        <v>201433.72499999969</v>
      </c>
      <c r="K27" s="63"/>
      <c r="L27" s="89"/>
      <c r="N27" s="87"/>
      <c r="O27" s="71"/>
    </row>
    <row r="28" spans="1:16" s="88" customFormat="1" ht="27.75">
      <c r="A28" s="208" t="s">
        <v>152</v>
      </c>
      <c r="B28" s="209"/>
      <c r="C28" s="210"/>
      <c r="D28" s="226" t="s">
        <v>153</v>
      </c>
      <c r="E28" s="139">
        <f>G15</f>
        <v>946.85000000009313</v>
      </c>
      <c r="F28" s="136">
        <v>52</v>
      </c>
      <c r="G28" s="137">
        <f t="shared" ref="G28:G31" si="2">E28*F28</f>
        <v>49236.200000004843</v>
      </c>
      <c r="H28" s="99">
        <f>G28+'1'!H28</f>
        <v>102745.7600000063</v>
      </c>
      <c r="I28" s="140"/>
      <c r="J28" s="175">
        <f>H28/DAY(B2)</f>
        <v>51372.880000003148</v>
      </c>
      <c r="K28" s="63"/>
      <c r="L28" s="89"/>
      <c r="N28" s="87"/>
      <c r="O28" s="71"/>
    </row>
    <row r="29" spans="1:16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 t="shared" si="2"/>
        <v>8760</v>
      </c>
      <c r="H30" s="99">
        <f>G30+'1'!H30</f>
        <v>17082</v>
      </c>
      <c r="I30" s="140"/>
      <c r="J30" s="175">
        <f>H30/DAY(B2)</f>
        <v>8541</v>
      </c>
      <c r="K30" s="63"/>
      <c r="L30" s="89"/>
      <c r="N30" s="87"/>
      <c r="O30" s="71"/>
    </row>
    <row r="31" spans="1:16" s="88" customFormat="1" ht="27.7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 t="shared" si="2"/>
        <v>16800</v>
      </c>
      <c r="H31" s="99">
        <f>G31+'1'!H31</f>
        <v>31200</v>
      </c>
      <c r="I31" s="140"/>
      <c r="J31" s="175">
        <f>H31/DAY(B2)</f>
        <v>15600</v>
      </c>
      <c r="K31" s="63"/>
      <c r="L31" s="89"/>
      <c r="N31" s="87"/>
      <c r="O31" s="71"/>
    </row>
    <row r="32" spans="1:16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281382.92000000447</v>
      </c>
      <c r="H32" s="99">
        <f>G32+'1'!H32</f>
        <v>553895.21000000567</v>
      </c>
      <c r="I32" s="144"/>
      <c r="J32" s="175">
        <f>H32/DAY(B2)</f>
        <v>276947.60500000283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'1'!F35</f>
        <v>34247.629999999997</v>
      </c>
      <c r="F35" s="145">
        <v>36244.6</v>
      </c>
      <c r="G35" s="112">
        <f t="shared" ref="G35:G46" si="3">F35-E35</f>
        <v>1996.9700000000012</v>
      </c>
      <c r="H35" s="99">
        <f>G35+'1'!H35</f>
        <v>3769.9300000000003</v>
      </c>
      <c r="I35" s="95"/>
      <c r="J35" s="175">
        <f>H35/DAY(B2)</f>
        <v>1884.9650000000001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'1'!F36</f>
        <v>50622.95</v>
      </c>
      <c r="F36" s="145">
        <v>51380.07</v>
      </c>
      <c r="G36" s="112">
        <f t="shared" si="3"/>
        <v>757.12000000000262</v>
      </c>
      <c r="H36" s="99">
        <f>G36+'1'!H36</f>
        <v>1440.4000000000015</v>
      </c>
      <c r="I36" s="95"/>
      <c r="J36" s="175">
        <f>H36/DAY(B2)</f>
        <v>720.20000000000073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'1'!F37</f>
        <v>98658.79</v>
      </c>
      <c r="F37" s="145">
        <v>100209.31</v>
      </c>
      <c r="G37" s="112">
        <f t="shared" si="3"/>
        <v>1550.5200000000041</v>
      </c>
      <c r="H37" s="99">
        <f>G37+'1'!H37</f>
        <v>3155.4799999999959</v>
      </c>
      <c r="I37" s="95"/>
      <c r="J37" s="175">
        <f>H37/DAY(B2)</f>
        <v>1577.739999999998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'1'!F38</f>
        <v>117069.18</v>
      </c>
      <c r="F38" s="108">
        <v>118840.17</v>
      </c>
      <c r="G38" s="112">
        <f t="shared" si="3"/>
        <v>1770.9900000000052</v>
      </c>
      <c r="H38" s="99">
        <f>G38+'1'!H38</f>
        <v>3617.1300000000047</v>
      </c>
      <c r="I38" s="95"/>
      <c r="J38" s="175">
        <f>H38/DAY(B2)</f>
        <v>1808.5650000000023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'1'!F39</f>
        <v>236281.09</v>
      </c>
      <c r="F39" s="145">
        <v>239226.49</v>
      </c>
      <c r="G39" s="112">
        <f t="shared" si="3"/>
        <v>2945.3999999999942</v>
      </c>
      <c r="H39" s="99">
        <f>G39+'1'!H39</f>
        <v>5845.4400000000023</v>
      </c>
      <c r="I39" s="95"/>
      <c r="J39" s="175">
        <f>H39/DAY(B2)</f>
        <v>2922.7200000000012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'1'!F40</f>
        <v>25.4</v>
      </c>
      <c r="F40" s="145">
        <v>26.8</v>
      </c>
      <c r="G40" s="112">
        <f t="shared" si="3"/>
        <v>1.4000000000000021</v>
      </c>
      <c r="H40" s="99">
        <f>G40+'1'!H40</f>
        <v>1.4299999999999997</v>
      </c>
      <c r="I40" s="95"/>
      <c r="J40" s="175">
        <f>H40/DAY(B2)</f>
        <v>0.71499999999999986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'1'!F41</f>
        <v>581858.82999999996</v>
      </c>
      <c r="F41" s="145">
        <v>582546.71</v>
      </c>
      <c r="G41" s="112">
        <f t="shared" si="3"/>
        <v>687.88000000000466</v>
      </c>
      <c r="H41" s="99">
        <f>G41+'1'!H41</f>
        <v>687.88000000000466</v>
      </c>
      <c r="I41" s="95"/>
      <c r="J41" s="175">
        <f>H41/DAY(B2)</f>
        <v>343.94000000000233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'1'!F42</f>
        <v>270969.63</v>
      </c>
      <c r="F42" s="145">
        <v>270969.63</v>
      </c>
      <c r="G42" s="112">
        <f t="shared" si="3"/>
        <v>0</v>
      </c>
      <c r="H42" s="99">
        <f>G42+'1'!H42</f>
        <v>-3.9999999979045242E-2</v>
      </c>
      <c r="I42" s="95"/>
      <c r="J42" s="175">
        <f>H42/DAY(B2)</f>
        <v>-1.9999999989522621E-2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'1'!F43</f>
        <v>1448688.3</v>
      </c>
      <c r="F43" s="145">
        <v>1451436.1</v>
      </c>
      <c r="G43" s="112">
        <f t="shared" si="3"/>
        <v>2747.8000000000466</v>
      </c>
      <c r="H43" s="99">
        <f>G43+'1'!H43</f>
        <v>5348.7000000001863</v>
      </c>
      <c r="I43" s="95"/>
      <c r="J43" s="175">
        <f>H43/DAY(B2)</f>
        <v>2674.3500000000931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12458.080000000058</v>
      </c>
      <c r="H47" s="99">
        <f>G47+'1'!H47</f>
        <v>23866.350000000217</v>
      </c>
      <c r="I47" s="95"/>
      <c r="J47" s="175">
        <f>H47/DAY(B2)</f>
        <v>11933.175000000108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'1'!F49</f>
        <v>174150.39</v>
      </c>
      <c r="F49" s="145">
        <v>175658.79</v>
      </c>
      <c r="G49" s="112">
        <f t="shared" ref="G49:G58" si="4">F49-E49</f>
        <v>1508.3999999999942</v>
      </c>
      <c r="H49" s="99">
        <f>G49+'1'!H49</f>
        <v>2928.3999999999942</v>
      </c>
      <c r="I49" s="95"/>
      <c r="J49" s="175">
        <f>H49/DAY(B2)</f>
        <v>1464.1999999999971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'1'!F50</f>
        <v>685389.27</v>
      </c>
      <c r="F50" s="145">
        <v>686415.75</v>
      </c>
      <c r="G50" s="112">
        <f t="shared" si="4"/>
        <v>1026.4799999999814</v>
      </c>
      <c r="H50" s="99">
        <f>G50+'1'!H50</f>
        <v>2053.4399999999441</v>
      </c>
      <c r="I50" s="95"/>
      <c r="J50" s="175">
        <f>H50/DAY(B2)</f>
        <v>1026.7199999999721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'1'!F54</f>
        <v>2872</v>
      </c>
      <c r="F54" s="145">
        <v>2876.89</v>
      </c>
      <c r="G54" s="112">
        <f t="shared" si="4"/>
        <v>4.8899999999998727</v>
      </c>
      <c r="H54" s="99">
        <f>G54+'1'!H54</f>
        <v>9.4000000000000909</v>
      </c>
      <c r="I54" s="95"/>
      <c r="J54" s="175">
        <f>H54/DAY(B2)</f>
        <v>4.7000000000000455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'1'!F55</f>
        <v>0</v>
      </c>
      <c r="F55" s="145">
        <v>0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'1'!F56</f>
        <v>48389.49</v>
      </c>
      <c r="F56" s="145">
        <v>53951.9</v>
      </c>
      <c r="G56" s="112">
        <f t="shared" si="4"/>
        <v>5562.4100000000035</v>
      </c>
      <c r="H56" s="99">
        <f>G56+'1'!H56</f>
        <v>11111.61</v>
      </c>
      <c r="I56" s="95"/>
      <c r="J56" s="175">
        <f>H56/DAY(B2)</f>
        <v>5555.8050000000003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'1'!F58</f>
        <v>79225.279999999999</v>
      </c>
      <c r="F58" s="145">
        <v>79407</v>
      </c>
      <c r="G58" s="112">
        <f t="shared" si="4"/>
        <v>181.72000000000116</v>
      </c>
      <c r="H58" s="99">
        <f>G58+'1'!H58</f>
        <v>387.10000000000582</v>
      </c>
      <c r="I58" s="95"/>
      <c r="J58" s="175">
        <f>H58/DAY(B2)</f>
        <v>193.55000000000291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8283.8999999999796</v>
      </c>
      <c r="H59" s="99">
        <f>G59+'1'!H59</f>
        <v>16489.949999999946</v>
      </c>
      <c r="I59" s="95">
        <f>G7-G60</f>
        <v>1740.8999999999651</v>
      </c>
      <c r="J59" s="175">
        <f>H59/DAY(B2)</f>
        <v>8244.9749999999731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20741.98000000004</v>
      </c>
      <c r="H60" s="99">
        <f>G60+'1'!H60</f>
        <v>40356.300000000163</v>
      </c>
      <c r="I60" s="95">
        <f>G13-G60</f>
        <v>1137.7599999999511</v>
      </c>
      <c r="J60" s="175">
        <f>H60/DAY(B2)</f>
        <v>20178.150000000081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'1'!F62</f>
        <v>259936</v>
      </c>
      <c r="F62" s="122">
        <v>260044</v>
      </c>
      <c r="G62" s="112">
        <f t="shared" ref="G62:G63" si="5">F62-E62</f>
        <v>108</v>
      </c>
      <c r="H62" s="99">
        <f>G62+'1'!H62</f>
        <v>226</v>
      </c>
      <c r="I62" s="118"/>
      <c r="J62" s="175">
        <f>H62/DAY(B2)</f>
        <v>113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'1'!F63</f>
        <v>206350</v>
      </c>
      <c r="F63" s="122">
        <v>206439</v>
      </c>
      <c r="G63" s="112">
        <f t="shared" si="5"/>
        <v>89</v>
      </c>
      <c r="H63" s="99">
        <f>G63+'1'!H63</f>
        <v>169</v>
      </c>
      <c r="I63" s="118"/>
      <c r="J63" s="175">
        <f>H63/DAY(B2)</f>
        <v>84.5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'1'!F64</f>
        <v>0</v>
      </c>
      <c r="F64" s="122"/>
      <c r="G64" s="112">
        <f>G62+G63</f>
        <v>197</v>
      </c>
      <c r="H64" s="99">
        <f>G64+'1'!H64</f>
        <v>395</v>
      </c>
      <c r="I64" s="118"/>
      <c r="J64" s="175">
        <f>H64/DAY(B2)</f>
        <v>197.5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'1'!F65</f>
        <v>426302</v>
      </c>
      <c r="F65" s="122">
        <v>426411</v>
      </c>
      <c r="G65" s="112">
        <f t="shared" ref="G65:G70" si="6">F65-E65</f>
        <v>109</v>
      </c>
      <c r="H65" s="99">
        <f>G65+'1'!H65</f>
        <v>206</v>
      </c>
      <c r="I65" s="118"/>
      <c r="J65" s="175">
        <f>H65/DAY(B2)</f>
        <v>103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'1'!F66</f>
        <v>105993</v>
      </c>
      <c r="F66" s="122">
        <v>106011</v>
      </c>
      <c r="G66" s="112">
        <f t="shared" si="6"/>
        <v>18</v>
      </c>
      <c r="H66" s="99">
        <f>G66+'1'!H66</f>
        <v>41</v>
      </c>
      <c r="I66" s="118"/>
      <c r="J66" s="175">
        <f>H66/DAY(B2)</f>
        <v>20.5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'1'!F67</f>
        <v>102201</v>
      </c>
      <c r="F67" s="122">
        <v>102225</v>
      </c>
      <c r="G67" s="112">
        <f t="shared" si="6"/>
        <v>24</v>
      </c>
      <c r="H67" s="99">
        <f>G67+'1'!H67</f>
        <v>54</v>
      </c>
      <c r="I67" s="118"/>
      <c r="J67" s="175">
        <f>H67/DAY(B2)</f>
        <v>27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'1'!F68</f>
        <v>154537</v>
      </c>
      <c r="F68" s="122">
        <v>154563</v>
      </c>
      <c r="G68" s="112">
        <f t="shared" si="6"/>
        <v>26</v>
      </c>
      <c r="H68" s="99">
        <f>G68+'1'!H68</f>
        <v>67</v>
      </c>
      <c r="I68" s="118"/>
      <c r="J68" s="175">
        <f>H68/DAY(B2)</f>
        <v>33.5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'1'!F69</f>
        <v>9474</v>
      </c>
      <c r="F69" s="122">
        <v>9480</v>
      </c>
      <c r="G69" s="625">
        <f t="shared" si="6"/>
        <v>6</v>
      </c>
      <c r="H69" s="99">
        <f>G69+'1'!H69</f>
        <v>15</v>
      </c>
      <c r="I69" s="118"/>
      <c r="J69" s="175">
        <f>H69/DAY(B2)</f>
        <v>7.5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'1'!F70</f>
        <v>7210</v>
      </c>
      <c r="F70" s="122">
        <v>7220</v>
      </c>
      <c r="G70" s="112">
        <f t="shared" si="6"/>
        <v>10</v>
      </c>
      <c r="H70" s="99">
        <f>G70+'1'!H70</f>
        <v>17</v>
      </c>
      <c r="I70" s="118"/>
      <c r="J70" s="175">
        <f>H70/DAY(B2)</f>
        <v>8.5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193</v>
      </c>
      <c r="H71" s="99">
        <f>G71+'1'!H71</f>
        <v>400</v>
      </c>
      <c r="I71" s="154"/>
      <c r="J71" s="175">
        <f>H71/DAY(B2)</f>
        <v>200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'1'!F74</f>
        <v>873879.38</v>
      </c>
      <c r="F74" s="123">
        <v>874172.18</v>
      </c>
      <c r="G74" s="112">
        <f t="shared" ref="G74:G78" si="7">F74-E74</f>
        <v>292.80000000004657</v>
      </c>
      <c r="H74" s="99">
        <f>G74+'1'!H74</f>
        <v>586.94900000002235</v>
      </c>
      <c r="I74" s="154"/>
      <c r="J74" s="175">
        <f>H74/DAY(B2)</f>
        <v>293.47450000001118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'1'!F75</f>
        <v>73583.399999999994</v>
      </c>
      <c r="F75" s="123">
        <v>73583.399999999994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'1'!F76</f>
        <v>160080.37</v>
      </c>
      <c r="F76" s="123">
        <v>160177.21</v>
      </c>
      <c r="G76" s="112">
        <f t="shared" si="7"/>
        <v>96.839999999996508</v>
      </c>
      <c r="H76" s="99">
        <f>G76+'1'!H76</f>
        <v>191.70999999999185</v>
      </c>
      <c r="I76" s="154"/>
      <c r="J76" s="175">
        <f>H76/DAY(B2)</f>
        <v>95.854999999995925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'1'!F77</f>
        <v>37532.9</v>
      </c>
      <c r="F77" s="123">
        <v>37570.400000000001</v>
      </c>
      <c r="G77" s="112">
        <f t="shared" si="7"/>
        <v>37.5</v>
      </c>
      <c r="H77" s="99">
        <f>G77+'1'!H77</f>
        <v>72.900000000001455</v>
      </c>
      <c r="I77" s="154"/>
      <c r="J77" s="175">
        <f>H77/DAY(B2)</f>
        <v>36.450000000000728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'1'!F78</f>
        <v>9331.4</v>
      </c>
      <c r="F78" s="123">
        <v>9334.2999999999993</v>
      </c>
      <c r="G78" s="112">
        <f t="shared" si="7"/>
        <v>2.8999999999996362</v>
      </c>
      <c r="H78" s="99">
        <f>G78+'1'!H78</f>
        <v>4.8999999999996362</v>
      </c>
      <c r="I78" s="118"/>
      <c r="J78" s="175">
        <f>H78/DAY(B2)</f>
        <v>2.4499999999998181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'1'!F79</f>
        <v>0</v>
      </c>
      <c r="F79" s="123"/>
      <c r="G79" s="112">
        <f>G15-SUM(G74:G78)</f>
        <v>516.81000000005042</v>
      </c>
      <c r="H79" s="99">
        <f>G79+'1'!H79</f>
        <v>1119.4210000001058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946.85000000009313</v>
      </c>
      <c r="H80" s="99">
        <f>G80+'1'!H80</f>
        <v>946.85000000009313</v>
      </c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'1'!F84</f>
        <v>41585.56</v>
      </c>
      <c r="F84" s="164">
        <v>41589</v>
      </c>
      <c r="G84" s="112">
        <f t="shared" si="8"/>
        <v>3.4400000000023283</v>
      </c>
      <c r="H84" s="99">
        <f>G84+'1'!H84</f>
        <v>3.4400000000023283</v>
      </c>
      <c r="I84" s="118"/>
      <c r="J84" s="175">
        <f>H84/DAY(B2)</f>
        <v>1.7200000000011642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'1'!F85</f>
        <v>1305</v>
      </c>
      <c r="F85" s="164">
        <v>1305</v>
      </c>
      <c r="G85" s="112">
        <f t="shared" si="8"/>
        <v>0</v>
      </c>
      <c r="H85" s="99">
        <f>G85+'1'!H85</f>
        <v>0</v>
      </c>
      <c r="I85" s="118">
        <f>G82+G83+G84+G85</f>
        <v>3.4400000000023283</v>
      </c>
      <c r="J85" s="175">
        <f>H85/DAY(B2)</f>
        <v>0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'1'!F86</f>
        <v>42826.47</v>
      </c>
      <c r="F86" s="164">
        <v>42826.47</v>
      </c>
      <c r="G86" s="112">
        <f t="shared" si="8"/>
        <v>0</v>
      </c>
      <c r="H86" s="99">
        <f>G86+'1'!H86</f>
        <v>0.47000000000116415</v>
      </c>
      <c r="I86" s="118"/>
      <c r="J86" s="175">
        <f>H86/DAY(B2)</f>
        <v>0.23500000000058208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'1'!F87</f>
        <v>33772.31</v>
      </c>
      <c r="F87" s="164">
        <v>33796</v>
      </c>
      <c r="G87" s="112">
        <f t="shared" si="8"/>
        <v>23.690000000002328</v>
      </c>
      <c r="H87" s="99">
        <f>G87+'1'!H87</f>
        <v>48</v>
      </c>
      <c r="I87" s="118"/>
      <c r="J87" s="175">
        <f>H87/DAY(B2)</f>
        <v>24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'1'!F88</f>
        <v>23843.23</v>
      </c>
      <c r="F88" s="164">
        <v>23843.23</v>
      </c>
      <c r="G88" s="112">
        <f t="shared" si="8"/>
        <v>0</v>
      </c>
      <c r="H88" s="99">
        <f>G88+'1'!H88</f>
        <v>9.6599999999998545</v>
      </c>
      <c r="I88" s="118">
        <f>G86+G87+G88</f>
        <v>23.690000000002328</v>
      </c>
      <c r="J88" s="175">
        <f>H88/DAY(B2)</f>
        <v>4.8299999999999272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'1'!F89</f>
        <v>25245.38</v>
      </c>
      <c r="F89" s="164">
        <v>25254.94</v>
      </c>
      <c r="G89" s="112">
        <f t="shared" si="8"/>
        <v>9.5599999999976717</v>
      </c>
      <c r="H89" s="99">
        <f>G89+'1'!H89</f>
        <v>9.5599999999976717</v>
      </c>
      <c r="I89" s="118"/>
      <c r="J89" s="175">
        <f>H89/DAY(B2)</f>
        <v>4.7799999999988358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'1'!F90</f>
        <v>70661.19</v>
      </c>
      <c r="F90" s="164">
        <v>70664.86</v>
      </c>
      <c r="G90" s="112">
        <f t="shared" si="8"/>
        <v>3.6699999999982538</v>
      </c>
      <c r="H90" s="99">
        <f>G90+'1'!H90</f>
        <v>9.4499999999970896</v>
      </c>
      <c r="I90" s="118">
        <f>G89+G90</f>
        <v>13.229999999995925</v>
      </c>
      <c r="J90" s="175">
        <f>H90/DAY(B2)</f>
        <v>4.7249999999985448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'1'!F91</f>
        <v>3226.32</v>
      </c>
      <c r="F91" s="122">
        <v>3226.32</v>
      </c>
      <c r="G91" s="112">
        <f t="shared" si="8"/>
        <v>0</v>
      </c>
      <c r="H91" s="99">
        <f>G91+'1'!H91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'1'!F92</f>
        <v>4802.13</v>
      </c>
      <c r="F92" s="122">
        <v>4812.42</v>
      </c>
      <c r="G92" s="112">
        <f t="shared" si="8"/>
        <v>10.289999999999964</v>
      </c>
      <c r="H92" s="99">
        <f>G92+'1'!H92</f>
        <v>20.600000000000364</v>
      </c>
      <c r="I92" s="165"/>
      <c r="J92" s="175">
        <f>H92/DAY(B2)</f>
        <v>10.300000000000182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6253.1700000000419</v>
      </c>
      <c r="H94" s="99">
        <f>G94+'1'!H94</f>
        <v>12047.030000000181</v>
      </c>
      <c r="I94" s="118"/>
      <c r="J94" s="175">
        <f>H94/DAY(B2)</f>
        <v>6023.5150000000904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0.27813029291621183</v>
      </c>
      <c r="H95" s="99">
        <f>G95+'1'!H95</f>
        <v>0.54923258854464674</v>
      </c>
      <c r="I95" s="167"/>
      <c r="J95" s="175">
        <f>H95/DAY(B2)</f>
        <v>0.27461629427232337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6250.2900000000081</v>
      </c>
      <c r="H96" s="99">
        <f>G96+'1'!H96</f>
        <v>11799.450000000026</v>
      </c>
      <c r="I96" s="118"/>
      <c r="J96" s="175">
        <f>H96/DAY(B2)</f>
        <v>5899.7250000000131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0.27800219544827026</v>
      </c>
      <c r="H97" s="99">
        <f>G97+'1'!H97</f>
        <v>0.53765465767715659</v>
      </c>
      <c r="I97" s="167"/>
      <c r="J97" s="175">
        <f>H97/DAY(B2)</f>
        <v>0.26882732883857829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2945.3999999999942</v>
      </c>
      <c r="H98" s="99">
        <f>G98+'1'!H98</f>
        <v>5845.4400000000023</v>
      </c>
      <c r="I98" s="168"/>
      <c r="J98" s="175">
        <f>H98/DAY(B2)</f>
        <v>2922.7200000000012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0.13100634794118873</v>
      </c>
      <c r="H99" s="99">
        <f>G99+'1'!H99</f>
        <v>0.26670301672750218</v>
      </c>
      <c r="I99" s="168"/>
      <c r="J99" s="175">
        <f>H99/DAY(B2)</f>
        <v>0.13335150836375109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1770.9900000000052</v>
      </c>
      <c r="H100" s="99">
        <f>G100+'1'!H100</f>
        <v>3617.1300000000047</v>
      </c>
      <c r="I100" s="118"/>
      <c r="J100" s="175">
        <f>H100/DAY(B2)</f>
        <v>1808.5650000000023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7.8770602342760579E-2</v>
      </c>
      <c r="H101" s="99">
        <f>G101+'1'!H101</f>
        <v>0.16515391019822598</v>
      </c>
      <c r="I101" s="168"/>
      <c r="J101" s="175">
        <f>H101/DAY(B2)</f>
        <v>8.2576955099112989E-2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1783.599999999984</v>
      </c>
      <c r="H102" s="99">
        <f>G102+'1'!H102</f>
        <v>3493.8399999999456</v>
      </c>
      <c r="I102" s="168"/>
      <c r="J102" s="175">
        <f>H102/DAY(B2)</f>
        <v>1746.9199999999728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7.9331473547872136E-2</v>
      </c>
      <c r="H103" s="99">
        <f>G103+'1'!H103</f>
        <v>0.15935584246178325</v>
      </c>
      <c r="I103" s="118"/>
      <c r="J103" s="175">
        <f>H103/DAY(B2)</f>
        <v>7.9677921230891624E-2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1550.5200000000041</v>
      </c>
      <c r="H104" s="99">
        <f>G104+'1'!H104</f>
        <v>3155.4799999999959</v>
      </c>
      <c r="I104" s="118"/>
      <c r="J104" s="175">
        <f>H104/DAY(B2)</f>
        <v>1577.739999999998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6.8964474302224799E-2</v>
      </c>
      <c r="H105" s="99">
        <f>G105+'1'!H105</f>
        <v>0.14406265416708181</v>
      </c>
      <c r="I105" s="187"/>
      <c r="J105" s="188">
        <f>H105/DAY(B2)</f>
        <v>7.2031327083540903E-2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'1'!F112</f>
        <v>50972.76</v>
      </c>
      <c r="F112" s="237">
        <v>51056.91</v>
      </c>
      <c r="G112" s="112">
        <f t="shared" ref="G112:G123" si="9">F112-E112</f>
        <v>84.150000000001455</v>
      </c>
      <c r="H112" s="99">
        <f>G112+'1'!H112</f>
        <v>167.83000000000175</v>
      </c>
      <c r="I112" s="165"/>
      <c r="J112" s="348">
        <f>H112/DAY(B2)</f>
        <v>83.915000000000873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'1'!F113</f>
        <v>4923.53</v>
      </c>
      <c r="F113" s="237">
        <v>5340.83</v>
      </c>
      <c r="G113" s="112">
        <f t="shared" si="9"/>
        <v>417.30000000000018</v>
      </c>
      <c r="H113" s="99">
        <f>G113+'1'!H113</f>
        <v>835.18000000000029</v>
      </c>
      <c r="I113" s="165"/>
      <c r="J113" s="348">
        <f>H113/DAY(B2)</f>
        <v>417.59000000000015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'1'!F114</f>
        <v>4840.1099999999997</v>
      </c>
      <c r="F114" s="237">
        <v>5100.3999999999996</v>
      </c>
      <c r="G114" s="112">
        <f t="shared" si="9"/>
        <v>260.28999999999996</v>
      </c>
      <c r="H114" s="99">
        <f>G114+'1'!H114</f>
        <v>522.46999999999935</v>
      </c>
      <c r="I114" s="165"/>
      <c r="J114" s="348">
        <f>H114/DAY(B2)</f>
        <v>261.23499999999967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'1'!F115</f>
        <v>8087.54</v>
      </c>
      <c r="F115" s="237">
        <v>8096.86</v>
      </c>
      <c r="G115" s="112">
        <f t="shared" si="9"/>
        <v>9.319999999999709</v>
      </c>
      <c r="H115" s="99">
        <f>G115+'1'!H115</f>
        <v>19.449999999999818</v>
      </c>
      <c r="I115" s="165"/>
      <c r="J115" s="348">
        <f>H115/DAY(B2)</f>
        <v>9.7249999999999091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48">
        <f>H116/DAY(B2)</f>
        <v>0</v>
      </c>
      <c r="Q116" s="793"/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'1'!F117</f>
        <v>1237.2</v>
      </c>
      <c r="F117" s="237">
        <v>1322.84</v>
      </c>
      <c r="G117" s="112">
        <f t="shared" si="9"/>
        <v>85.639999999999873</v>
      </c>
      <c r="H117" s="99">
        <f>G117+'1'!H117</f>
        <v>164.64999999999986</v>
      </c>
      <c r="I117" s="165"/>
      <c r="J117" s="348">
        <f>H117/DAY(B2)</f>
        <v>82.324999999999932</v>
      </c>
      <c r="Q117" s="793"/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'1'!F118</f>
        <v>219205.09</v>
      </c>
      <c r="F118" s="237">
        <v>219557.35</v>
      </c>
      <c r="G118" s="112">
        <f t="shared" si="9"/>
        <v>352.26000000000931</v>
      </c>
      <c r="H118" s="99">
        <f>G118+'1'!H118</f>
        <v>705.42000000001281</v>
      </c>
      <c r="I118" s="165"/>
      <c r="J118" s="348">
        <f>H118/DAY(B2)</f>
        <v>352.7100000000064</v>
      </c>
      <c r="Q118" s="793"/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'1'!F119</f>
        <v>219252.91</v>
      </c>
      <c r="F119" s="237">
        <v>219687.63</v>
      </c>
      <c r="G119" s="112">
        <f t="shared" si="9"/>
        <v>434.72000000000116</v>
      </c>
      <c r="H119" s="99">
        <f>G119+'1'!H119</f>
        <v>876.52000000001863</v>
      </c>
      <c r="I119" s="165"/>
      <c r="J119" s="348">
        <f>H119/DAY(B2)</f>
        <v>438.26000000000931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'1'!F120</f>
        <v>4759.05</v>
      </c>
      <c r="F120" s="237">
        <v>5195.71</v>
      </c>
      <c r="G120" s="112">
        <f t="shared" si="9"/>
        <v>436.65999999999985</v>
      </c>
      <c r="H120" s="99">
        <f>G120+'1'!H120</f>
        <v>888.10999999999967</v>
      </c>
      <c r="I120" s="165"/>
      <c r="J120" s="348">
        <f>H120/DAY(B2)</f>
        <v>444.05499999999984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'1'!F121</f>
        <v>331927.17</v>
      </c>
      <c r="F121" s="237">
        <v>332663.24</v>
      </c>
      <c r="G121" s="112">
        <f t="shared" si="9"/>
        <v>736.07000000000698</v>
      </c>
      <c r="H121" s="99">
        <f>G121+'1'!H121</f>
        <v>1425.7299999999814</v>
      </c>
      <c r="I121" s="165"/>
      <c r="J121" s="348">
        <f>H121/DAY(B2)</f>
        <v>712.86499999999069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'1'!F122</f>
        <v>101927.79</v>
      </c>
      <c r="F122" s="237">
        <v>102231.69</v>
      </c>
      <c r="G122" s="112">
        <f t="shared" si="9"/>
        <v>303.90000000000873</v>
      </c>
      <c r="H122" s="99">
        <f>G122+'1'!H122</f>
        <v>622.80999999999767</v>
      </c>
      <c r="I122" s="165"/>
      <c r="J122" s="348">
        <f>H122/DAY(B2)</f>
        <v>311.40499999999884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'1'!F123</f>
        <v>126041.78</v>
      </c>
      <c r="F123" s="237">
        <v>126334.94</v>
      </c>
      <c r="G123" s="112">
        <f t="shared" si="9"/>
        <v>293.16000000000349</v>
      </c>
      <c r="H123" s="99">
        <f>G123+'1'!H123</f>
        <v>587.18000000000757</v>
      </c>
      <c r="I123" s="165"/>
      <c r="J123" s="348">
        <f>H123/DAY(B2)</f>
        <v>293.59000000000378</v>
      </c>
    </row>
    <row r="124" spans="1:18" ht="29.25" customHeight="1">
      <c r="A124" s="797"/>
      <c r="B124" s="798"/>
      <c r="C124" s="799"/>
      <c r="D124" s="165"/>
      <c r="E124" s="165"/>
      <c r="F124" s="165"/>
      <c r="G124" s="347"/>
      <c r="H124" s="156"/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3413.4700000000307</v>
      </c>
      <c r="H125" s="156"/>
      <c r="I125" s="347">
        <f>G125-(G39+G53)</f>
        <v>468.07000000003654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G127+'1'!H127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'1'!F128</f>
        <v>18370.79</v>
      </c>
      <c r="F128" s="165">
        <v>18725.45</v>
      </c>
      <c r="G128" s="112">
        <f t="shared" ref="G128:G133" si="10">F128-E128</f>
        <v>354.65999999999985</v>
      </c>
      <c r="H128" s="99">
        <f>G128+'1'!H128</f>
        <v>701.72999999999956</v>
      </c>
      <c r="I128" s="165"/>
      <c r="J128" s="348">
        <f>H128/DAY(B2)</f>
        <v>350.86499999999978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'1'!F129</f>
        <v>6776.63</v>
      </c>
      <c r="F129" s="165">
        <v>6958.78</v>
      </c>
      <c r="G129" s="112">
        <f t="shared" si="10"/>
        <v>182.14999999999964</v>
      </c>
      <c r="H129" s="99">
        <f>G129+'1'!H129</f>
        <v>363.06999999999971</v>
      </c>
      <c r="I129" s="165"/>
      <c r="J129" s="348">
        <f>H129/DAY(B2)</f>
        <v>181.53499999999985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'1'!F130</f>
        <v>28514.62</v>
      </c>
      <c r="F130" s="165">
        <v>31220.82</v>
      </c>
      <c r="G130" s="112">
        <f t="shared" si="10"/>
        <v>2706.2000000000007</v>
      </c>
      <c r="H130" s="99">
        <f>G130+'1'!H130</f>
        <v>4752.7900000000009</v>
      </c>
      <c r="I130" s="165"/>
      <c r="J130" s="348">
        <f>H130/DAY(B2)</f>
        <v>2376.3950000000004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'1'!F131</f>
        <v>4251.68</v>
      </c>
      <c r="F131" s="165">
        <v>4370.29</v>
      </c>
      <c r="G131" s="112">
        <f t="shared" si="10"/>
        <v>118.60999999999967</v>
      </c>
      <c r="H131" s="99">
        <f>G131+'1'!H131</f>
        <v>223.81999999999971</v>
      </c>
      <c r="I131" s="165"/>
      <c r="J131" s="348">
        <f>H131/DAY(B2)</f>
        <v>111.90999999999985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'1'!F132</f>
        <v>11967.72</v>
      </c>
      <c r="F132" s="165">
        <v>12512.9</v>
      </c>
      <c r="G132" s="112">
        <f t="shared" si="10"/>
        <v>545.18000000000029</v>
      </c>
      <c r="H132" s="99">
        <f>G132+'1'!H132</f>
        <v>975.18000000000029</v>
      </c>
      <c r="I132" s="165"/>
      <c r="J132" s="348">
        <f>H132/DAY(B2)</f>
        <v>487.59000000000015</v>
      </c>
    </row>
    <row r="133" spans="1:15" ht="27.75">
      <c r="A133" s="793" t="s">
        <v>342</v>
      </c>
      <c r="B133" s="794"/>
      <c r="C133" s="795"/>
      <c r="D133" s="151" t="s">
        <v>183</v>
      </c>
      <c r="E133" s="95">
        <f>'1'!F133</f>
        <v>41453.58</v>
      </c>
      <c r="F133" s="165">
        <v>42129.14</v>
      </c>
      <c r="G133" s="112">
        <f t="shared" si="10"/>
        <v>675.55999999999767</v>
      </c>
      <c r="H133" s="99">
        <f>G133+'1'!H133</f>
        <v>1279.8499999999985</v>
      </c>
      <c r="I133" s="165"/>
      <c r="J133" s="348">
        <f>H133/DAY(B2)</f>
        <v>639.92499999999927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'1'!F134</f>
        <v>632838</v>
      </c>
      <c r="F134" s="165">
        <v>633479</v>
      </c>
      <c r="G134" s="112">
        <f>F134-E134</f>
        <v>641</v>
      </c>
      <c r="H134" s="99">
        <f>G134+'1'!H134</f>
        <v>1248</v>
      </c>
      <c r="I134" s="165"/>
      <c r="J134" s="348">
        <f>H134/DAY(B2)</f>
        <v>624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SUM(G128:G134)</f>
        <v>5223.3599999999979</v>
      </c>
      <c r="H135" s="99">
        <f>G135+'1'!H135</f>
        <v>9544.4399999999987</v>
      </c>
      <c r="I135" s="347">
        <f>G135-(G35+G49)</f>
        <v>1717.9900000000025</v>
      </c>
      <c r="J135" s="348">
        <f>H135/DAY(B2)</f>
        <v>4772.2199999999993</v>
      </c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'1'!F138</f>
        <v>859706</v>
      </c>
      <c r="F138" s="147">
        <v>859768</v>
      </c>
      <c r="G138" s="112">
        <f t="shared" ref="G138:G152" si="11">F138-E138</f>
        <v>62</v>
      </c>
      <c r="H138" s="99">
        <f>G138+'1'!H138</f>
        <v>121</v>
      </c>
      <c r="I138" s="118"/>
      <c r="J138" s="348">
        <f>H138/DAY(B2)</f>
        <v>60.5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'1'!F139</f>
        <v>886102</v>
      </c>
      <c r="F139" s="148">
        <v>886103</v>
      </c>
      <c r="G139" s="112">
        <f t="shared" si="11"/>
        <v>1</v>
      </c>
      <c r="H139" s="99">
        <f>G139+'1'!H139</f>
        <v>1</v>
      </c>
      <c r="I139" s="118"/>
      <c r="J139" s="348">
        <f>H139/DAY(B2)</f>
        <v>0.5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'1'!F140</f>
        <v>88817</v>
      </c>
      <c r="F140" s="149">
        <v>88817</v>
      </c>
      <c r="G140" s="112">
        <f t="shared" si="11"/>
        <v>0</v>
      </c>
      <c r="H140" s="99">
        <f>G140+'1'!H140</f>
        <v>0</v>
      </c>
      <c r="I140" s="118"/>
      <c r="J140" s="348">
        <f>H140/DAY(B2)</f>
        <v>0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'1'!F141</f>
        <v>37481.43</v>
      </c>
      <c r="F141" s="149">
        <v>37650.9</v>
      </c>
      <c r="G141" s="112">
        <f t="shared" si="11"/>
        <v>169.47000000000116</v>
      </c>
      <c r="H141" s="99">
        <f>G141+'1'!H141</f>
        <v>362.95000000000437</v>
      </c>
      <c r="I141" s="118"/>
      <c r="J141" s="348">
        <f>H141/DAY(B2)</f>
        <v>181.47500000000218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'1'!F142</f>
        <v>16977.55</v>
      </c>
      <c r="F142" s="148">
        <v>16994.5</v>
      </c>
      <c r="G142" s="112">
        <f t="shared" si="11"/>
        <v>16.950000000000728</v>
      </c>
      <c r="H142" s="99">
        <f>G142+'1'!H142</f>
        <v>32.630000000001019</v>
      </c>
      <c r="I142" s="140"/>
      <c r="J142" s="348">
        <f>H142/DAY(B2)</f>
        <v>16.315000000000509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'1'!F143</f>
        <v>1406.9</v>
      </c>
      <c r="F143" s="149">
        <v>1432.53</v>
      </c>
      <c r="G143" s="112">
        <f t="shared" si="11"/>
        <v>25.629999999999882</v>
      </c>
      <c r="H143" s="99">
        <f>G143+'1'!H143</f>
        <v>49.349999999999909</v>
      </c>
      <c r="I143" s="140"/>
      <c r="J143" s="348">
        <f>H143/DAY(B2)</f>
        <v>24.674999999999955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'1'!F144</f>
        <v>855592</v>
      </c>
      <c r="F144" s="149">
        <v>855816</v>
      </c>
      <c r="G144" s="112">
        <f t="shared" si="11"/>
        <v>224</v>
      </c>
      <c r="H144" s="99">
        <f>G144+'1'!H144</f>
        <v>447</v>
      </c>
      <c r="I144" s="140"/>
      <c r="J144" s="348">
        <f>H144/DAY(B2)</f>
        <v>223.5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'1'!F145</f>
        <v>2246.25</v>
      </c>
      <c r="F145" s="149">
        <v>2281.8200000000002</v>
      </c>
      <c r="G145" s="112">
        <f t="shared" si="11"/>
        <v>35.570000000000164</v>
      </c>
      <c r="H145" s="99">
        <f>G145+'1'!H145</f>
        <v>68.820000000000164</v>
      </c>
      <c r="I145" s="140"/>
      <c r="J145" s="348">
        <f>H145/DAY(B2)</f>
        <v>34.410000000000082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'1'!F146</f>
        <v>698871</v>
      </c>
      <c r="F146" s="148">
        <v>699283</v>
      </c>
      <c r="G146" s="112">
        <f t="shared" si="11"/>
        <v>412</v>
      </c>
      <c r="H146" s="99">
        <f>G146+'1'!H146</f>
        <v>764</v>
      </c>
      <c r="I146" s="140"/>
      <c r="J146" s="348">
        <f>H146/DAY(B2)</f>
        <v>382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'1'!F147</f>
        <v>589299.56000000006</v>
      </c>
      <c r="F147" s="148">
        <v>589696.92000000004</v>
      </c>
      <c r="G147" s="112">
        <f t="shared" si="11"/>
        <v>397.35999999998603</v>
      </c>
      <c r="H147" s="99">
        <f>G147+'1'!H147</f>
        <v>786</v>
      </c>
      <c r="I147" s="140"/>
      <c r="J147" s="348">
        <f>H147/DAY(B2)</f>
        <v>393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'1'!F148</f>
        <v>665319.64</v>
      </c>
      <c r="F148" s="150">
        <v>665542.04</v>
      </c>
      <c r="G148" s="112">
        <f t="shared" si="11"/>
        <v>222.40000000002328</v>
      </c>
      <c r="H148" s="99">
        <f>G148+'1'!H148</f>
        <v>433.92000000004191</v>
      </c>
      <c r="I148" s="124"/>
      <c r="J148" s="348">
        <f>H148/DAY(B2)</f>
        <v>216.96000000002095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'1'!F149</f>
        <v>85102</v>
      </c>
      <c r="F149" s="146">
        <v>85433</v>
      </c>
      <c r="G149" s="112">
        <f t="shared" si="11"/>
        <v>331</v>
      </c>
      <c r="H149" s="99">
        <f>G149+'1'!H149</f>
        <v>686</v>
      </c>
      <c r="I149" s="119"/>
      <c r="J149" s="348">
        <f>H149/DAY(B2)</f>
        <v>343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'1'!F150</f>
        <v>7167232</v>
      </c>
      <c r="F150" s="233">
        <v>7167232</v>
      </c>
      <c r="G150" s="112">
        <f t="shared" si="11"/>
        <v>0</v>
      </c>
      <c r="H150" s="99">
        <f>G150+'1'!H150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'1'!F151</f>
        <v>63265</v>
      </c>
      <c r="F151" s="233">
        <v>63485</v>
      </c>
      <c r="G151" s="112">
        <f t="shared" si="11"/>
        <v>220</v>
      </c>
      <c r="H151" s="99">
        <f>G151+'1'!H151</f>
        <v>475</v>
      </c>
      <c r="I151" s="119"/>
      <c r="J151" s="348">
        <f>H151/DAY(B2)</f>
        <v>237.5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'1'!F152</f>
        <v>0</v>
      </c>
      <c r="F152" s="233"/>
      <c r="G152" s="112">
        <f t="shared" si="11"/>
        <v>0</v>
      </c>
      <c r="H152" s="99">
        <f>G152+'1'!H152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2117.380000000011</v>
      </c>
      <c r="H153" s="383"/>
      <c r="I153" s="119">
        <f>G153-(G38+G52)</f>
        <v>346.39000000000578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'1'!F155</f>
        <v>77274.600000000006</v>
      </c>
      <c r="F155" s="624">
        <v>77282.600000000006</v>
      </c>
      <c r="G155" s="112">
        <f t="shared" ref="G155:G156" si="12">F155-E155</f>
        <v>8</v>
      </c>
      <c r="H155" s="99">
        <f>G155+'1'!H155</f>
        <v>8</v>
      </c>
      <c r="I155" s="384"/>
      <c r="J155" s="348">
        <f>H155/DAY(B2)</f>
        <v>4</v>
      </c>
    </row>
    <row r="156" spans="1:10" ht="27.75">
      <c r="A156" s="771" t="s">
        <v>346</v>
      </c>
      <c r="B156" s="771"/>
      <c r="C156" s="771"/>
      <c r="D156" s="117" t="s">
        <v>130</v>
      </c>
      <c r="E156" s="95">
        <f>'1'!F156</f>
        <v>0</v>
      </c>
      <c r="F156" s="165"/>
      <c r="G156" s="112">
        <f t="shared" si="12"/>
        <v>0</v>
      </c>
      <c r="H156" s="99">
        <f>G156+'1'!H156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'1'!F158</f>
        <v>469605.24</v>
      </c>
      <c r="F158" s="235">
        <v>469697.44</v>
      </c>
      <c r="G158" s="238">
        <f t="shared" ref="G158:G162" si="13">F158-E158</f>
        <v>92.200000000011642</v>
      </c>
      <c r="H158" s="99">
        <f>G158+'1'!H158</f>
        <v>168.40000000002328</v>
      </c>
      <c r="I158" s="236"/>
      <c r="J158" s="239">
        <f>H158/DAY(B2)</f>
        <v>84.200000000011642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'1'!F159</f>
        <v>85735.8</v>
      </c>
      <c r="F159" s="235">
        <v>85770.9</v>
      </c>
      <c r="G159" s="238">
        <f t="shared" si="13"/>
        <v>35.099999999991269</v>
      </c>
      <c r="H159" s="99">
        <f>G159+'1'!H159</f>
        <v>65.299999999988358</v>
      </c>
      <c r="I159" s="236"/>
      <c r="J159" s="239">
        <f>H159/DAY(B2)</f>
        <v>32.649999999994179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'1'!F160</f>
        <v>73423.199999999997</v>
      </c>
      <c r="F160" s="235">
        <v>73504.399999999994</v>
      </c>
      <c r="G160" s="238">
        <f t="shared" si="13"/>
        <v>81.19999999999709</v>
      </c>
      <c r="H160" s="99">
        <f>G160+'1'!H160</f>
        <v>167.5</v>
      </c>
      <c r="I160" s="236"/>
      <c r="J160" s="239">
        <f>H160/DAY(B2)</f>
        <v>83.75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'1'!F161</f>
        <v>3973.6</v>
      </c>
      <c r="F161" s="235">
        <v>3973.6</v>
      </c>
      <c r="G161" s="238">
        <f t="shared" si="13"/>
        <v>0</v>
      </c>
      <c r="H161" s="99">
        <f>G161+'1'!H161</f>
        <v>9.9999999999909051E-2</v>
      </c>
      <c r="I161" s="236"/>
      <c r="J161" s="239">
        <f>H161/DAY(B2)</f>
        <v>4.9999999999954525E-2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'1'!F162</f>
        <v>29209.3</v>
      </c>
      <c r="F162" s="235">
        <v>29219.94</v>
      </c>
      <c r="G162" s="238">
        <f t="shared" si="13"/>
        <v>10.639999999999418</v>
      </c>
      <c r="H162" s="99">
        <f>G162+'1'!H162</f>
        <v>21.799999999999272</v>
      </c>
      <c r="I162" s="236"/>
      <c r="J162" s="239">
        <f>H162/DAY(B2)</f>
        <v>10.899999999999636</v>
      </c>
    </row>
    <row r="163" spans="1:10" ht="29.25" customHeight="1">
      <c r="A163" s="780"/>
      <c r="B163" s="780"/>
      <c r="C163" s="247"/>
      <c r="D163" s="244" t="s">
        <v>180</v>
      </c>
      <c r="E163" s="95">
        <f>'1'!F163</f>
        <v>0</v>
      </c>
      <c r="F163" s="165"/>
      <c r="G163" s="165"/>
      <c r="H163" s="99">
        <f>G163+'1'!H163</f>
        <v>0</v>
      </c>
      <c r="I163" s="165"/>
      <c r="J163" s="347"/>
    </row>
    <row r="164" spans="1:10" ht="29.25">
      <c r="A164" s="780"/>
      <c r="B164" s="780"/>
      <c r="C164" s="247"/>
      <c r="D164" s="244" t="s">
        <v>180</v>
      </c>
      <c r="E164" s="95">
        <f>'1'!F164</f>
        <v>0</v>
      </c>
      <c r="F164" s="165"/>
      <c r="G164" s="165"/>
      <c r="H164" s="99">
        <f>G164+'1'!H164</f>
        <v>0</v>
      </c>
      <c r="I164" s="165"/>
      <c r="J164" s="347"/>
    </row>
    <row r="165" spans="1:10" ht="29.25">
      <c r="A165" s="780"/>
      <c r="B165" s="780"/>
      <c r="C165" s="247"/>
      <c r="D165" s="244" t="s">
        <v>180</v>
      </c>
      <c r="E165" s="95">
        <f>'1'!F165</f>
        <v>0</v>
      </c>
      <c r="F165" s="165"/>
      <c r="G165" s="165"/>
      <c r="H165" s="99">
        <f>G165+'1'!H165</f>
        <v>0</v>
      </c>
      <c r="I165" s="165"/>
      <c r="J165" s="347"/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35.25" customHeight="1">
      <c r="A170" s="786" t="s">
        <v>209</v>
      </c>
      <c r="B170" s="787"/>
      <c r="C170" s="353"/>
      <c r="D170" s="228" t="s">
        <v>142</v>
      </c>
      <c r="E170" s="95">
        <f>'1'!F170</f>
        <v>7998</v>
      </c>
      <c r="F170" s="155">
        <v>7998</v>
      </c>
      <c r="G170" s="155">
        <f>F170-E170</f>
        <v>0</v>
      </c>
      <c r="H170" s="99">
        <f>G170+'1'!H170</f>
        <v>0</v>
      </c>
      <c r="I170" s="155"/>
      <c r="J170" s="178">
        <f>H170/DAY(B2)</f>
        <v>0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'1'!F171</f>
        <v>37399</v>
      </c>
      <c r="F171" s="157">
        <v>37411</v>
      </c>
      <c r="G171" s="155">
        <f t="shared" ref="G171:G172" si="14">F171-E171</f>
        <v>12</v>
      </c>
      <c r="H171" s="99">
        <f>G171+'1'!H171</f>
        <v>28</v>
      </c>
      <c r="I171" s="155"/>
      <c r="J171" s="178">
        <f>H171/DAY(B2)</f>
        <v>14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'1'!F172</f>
        <v>20799</v>
      </c>
      <c r="F172" s="155">
        <v>20809</v>
      </c>
      <c r="G172" s="155">
        <f t="shared" si="14"/>
        <v>10</v>
      </c>
      <c r="H172" s="99">
        <f>G172+'1'!H172</f>
        <v>21</v>
      </c>
      <c r="I172" s="155"/>
      <c r="J172" s="178">
        <f>H172/DAY(B2)</f>
        <v>10.5</v>
      </c>
    </row>
    <row r="173" spans="1:10" ht="27.75">
      <c r="A173" s="775" t="s">
        <v>196</v>
      </c>
      <c r="B173" s="776"/>
      <c r="C173" s="547"/>
      <c r="D173" s="228"/>
      <c r="E173" s="95"/>
      <c r="F173" s="155"/>
      <c r="G173" s="155">
        <f>SUM(G170:G172)</f>
        <v>22</v>
      </c>
      <c r="H173" s="99">
        <f>G173+'1'!H173</f>
        <v>49</v>
      </c>
      <c r="I173" s="155"/>
      <c r="J173" s="178">
        <f>H173/DAY(B2)</f>
        <v>24.5</v>
      </c>
    </row>
    <row r="174" spans="1:10" ht="27.75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G174+'1'!H174</f>
        <v>0</v>
      </c>
      <c r="I174" s="155"/>
      <c r="J174" s="178"/>
    </row>
    <row r="175" spans="1:10" ht="27.75">
      <c r="A175" s="786" t="s">
        <v>210</v>
      </c>
      <c r="B175" s="787"/>
      <c r="C175" s="353"/>
      <c r="D175" s="228" t="s">
        <v>142</v>
      </c>
      <c r="E175" s="95">
        <f>'1'!F175</f>
        <v>74687</v>
      </c>
      <c r="F175" s="155">
        <v>74744</v>
      </c>
      <c r="G175" s="155">
        <f>F175-E175</f>
        <v>57</v>
      </c>
      <c r="H175" s="99">
        <f>G175+'1'!H175</f>
        <v>125</v>
      </c>
      <c r="I175" s="155"/>
      <c r="J175" s="178">
        <f>H175/DAY(B2)</f>
        <v>62.5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'1'!F176</f>
        <v>33886</v>
      </c>
      <c r="F176" s="155">
        <v>33886</v>
      </c>
      <c r="G176" s="155">
        <f t="shared" ref="G176:G177" si="15">F176-E176</f>
        <v>0</v>
      </c>
      <c r="H176" s="99">
        <f>G176+'1'!H176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'1'!F177</f>
        <v>5041</v>
      </c>
      <c r="F177" s="155">
        <v>5060</v>
      </c>
      <c r="G177" s="155">
        <f t="shared" si="15"/>
        <v>19</v>
      </c>
      <c r="H177" s="99">
        <f>G177+'1'!H177</f>
        <v>19</v>
      </c>
      <c r="I177" s="155"/>
      <c r="J177" s="178">
        <f>H177/DAY(B2)</f>
        <v>9.5</v>
      </c>
    </row>
    <row r="178" spans="1:10" ht="27.75">
      <c r="A178" s="788" t="s">
        <v>108</v>
      </c>
      <c r="B178" s="789"/>
      <c r="C178" s="547"/>
      <c r="D178" s="228"/>
      <c r="E178" s="95"/>
      <c r="F178" s="155"/>
      <c r="G178" s="155">
        <f>SUM(G175:G177)</f>
        <v>76</v>
      </c>
      <c r="H178" s="99">
        <f>G178+'1'!H178</f>
        <v>144</v>
      </c>
      <c r="I178" s="155"/>
      <c r="J178" s="178">
        <f>H178/DAY(B2)</f>
        <v>72</v>
      </c>
    </row>
    <row r="179" spans="1:10" ht="31.5" customHeight="1">
      <c r="A179" s="786" t="s">
        <v>213</v>
      </c>
      <c r="B179" s="787"/>
      <c r="C179" s="353"/>
      <c r="D179" s="228"/>
      <c r="E179" s="95"/>
      <c r="F179" s="155"/>
      <c r="G179" s="155"/>
      <c r="H179" s="99">
        <f>G179+'1'!H179</f>
        <v>0</v>
      </c>
      <c r="I179" s="155"/>
      <c r="J179" s="178">
        <f>H179/DAY(B2)</f>
        <v>0</v>
      </c>
    </row>
    <row r="180" spans="1:10" ht="29.25" customHeight="1">
      <c r="A180" s="786" t="s">
        <v>214</v>
      </c>
      <c r="B180" s="787"/>
      <c r="C180" s="354"/>
      <c r="D180" s="228" t="s">
        <v>142</v>
      </c>
      <c r="E180" s="95">
        <f>'1'!F180</f>
        <v>14042</v>
      </c>
      <c r="F180" s="157">
        <v>14061</v>
      </c>
      <c r="G180" s="157">
        <f>F180-E180</f>
        <v>19</v>
      </c>
      <c r="H180" s="99">
        <f>G180+'1'!H180</f>
        <v>30</v>
      </c>
      <c r="I180" s="155"/>
      <c r="J180" s="178">
        <f>H180/DAY(B2)</f>
        <v>15</v>
      </c>
    </row>
    <row r="181" spans="1:10" ht="27.75" customHeight="1">
      <c r="A181" s="786" t="s">
        <v>215</v>
      </c>
      <c r="B181" s="787"/>
      <c r="C181" s="354"/>
      <c r="D181" s="228" t="s">
        <v>142</v>
      </c>
      <c r="E181" s="95">
        <f>'1'!F181</f>
        <v>9760</v>
      </c>
      <c r="F181" s="157">
        <v>9767</v>
      </c>
      <c r="G181" s="157">
        <f t="shared" ref="G181:G182" si="16">F181-E181</f>
        <v>7</v>
      </c>
      <c r="H181" s="99">
        <f>G181+'1'!H181</f>
        <v>13</v>
      </c>
      <c r="I181" s="155"/>
      <c r="J181" s="178">
        <f>H181/DAY(B2)</f>
        <v>6.5</v>
      </c>
    </row>
    <row r="182" spans="1:10" ht="24.75" customHeight="1">
      <c r="A182" s="786" t="s">
        <v>216</v>
      </c>
      <c r="B182" s="787"/>
      <c r="C182" s="354"/>
      <c r="D182" s="228" t="s">
        <v>142</v>
      </c>
      <c r="E182" s="95">
        <f>'1'!F182</f>
        <v>0</v>
      </c>
      <c r="F182" s="157"/>
      <c r="G182" s="157">
        <f t="shared" si="16"/>
        <v>0</v>
      </c>
      <c r="H182" s="99">
        <f>G182+'1'!H182</f>
        <v>0</v>
      </c>
      <c r="I182" s="155"/>
      <c r="J182" s="178">
        <f>H182/DAY(B2)</f>
        <v>0</v>
      </c>
    </row>
    <row r="183" spans="1:10" ht="33.75" customHeight="1">
      <c r="A183" s="775" t="s">
        <v>196</v>
      </c>
      <c r="B183" s="776"/>
      <c r="C183" s="546"/>
      <c r="D183" s="229"/>
      <c r="E183" s="95"/>
      <c r="F183" s="157"/>
      <c r="G183" s="157">
        <f>SUM(G180:G182)</f>
        <v>26</v>
      </c>
      <c r="H183" s="99">
        <f>G183+'1'!H183</f>
        <v>43</v>
      </c>
      <c r="I183" s="157"/>
      <c r="J183" s="178">
        <f>H183/DAY(B2)</f>
        <v>21.5</v>
      </c>
    </row>
    <row r="184" spans="1:10" ht="28.5" customHeight="1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168</v>
      </c>
      <c r="H184" s="99">
        <f>G184+'1'!H184</f>
        <v>343</v>
      </c>
      <c r="I184" s="158"/>
      <c r="J184" s="179">
        <f>H184/DAY(B2)</f>
        <v>171.5</v>
      </c>
    </row>
    <row r="185" spans="1:10" ht="24" customHeight="1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167</v>
      </c>
      <c r="H185" s="99">
        <f>G185+'1'!H185</f>
        <v>333</v>
      </c>
      <c r="I185" s="158"/>
      <c r="J185" s="179">
        <f>H185/DAY(B2)</f>
        <v>166.5</v>
      </c>
    </row>
    <row r="186" spans="1:10" ht="24.75" customHeight="1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76</v>
      </c>
      <c r="H186" s="99">
        <f>G186+'1'!H186</f>
        <v>144</v>
      </c>
      <c r="I186" s="158"/>
      <c r="J186" s="179">
        <f>H186/DAY(B2)</f>
        <v>72</v>
      </c>
    </row>
    <row r="187" spans="1:10" ht="27.75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</sheetData>
  <mergeCells count="112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79:B179"/>
    <mergeCell ref="A180:B180"/>
    <mergeCell ref="A181:B181"/>
    <mergeCell ref="A149:C149"/>
    <mergeCell ref="A172:C172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87:B187"/>
    <mergeCell ref="A175:B175"/>
    <mergeCell ref="A176:B176"/>
    <mergeCell ref="A177:B177"/>
    <mergeCell ref="A178:B178"/>
    <mergeCell ref="A182:B182"/>
    <mergeCell ref="A169:B169"/>
    <mergeCell ref="A170:B170"/>
    <mergeCell ref="A171:B171"/>
    <mergeCell ref="A173:B173"/>
    <mergeCell ref="A174:B174"/>
    <mergeCell ref="A155:C155"/>
    <mergeCell ref="A156:C156"/>
    <mergeCell ref="A150:C150"/>
    <mergeCell ref="A151:C151"/>
    <mergeCell ref="A152:C152"/>
    <mergeCell ref="A183:B183"/>
    <mergeCell ref="A184:B184"/>
    <mergeCell ref="A185:B185"/>
    <mergeCell ref="A186:B186"/>
    <mergeCell ref="A157:J157"/>
    <mergeCell ref="A163:B163"/>
    <mergeCell ref="A164:B164"/>
    <mergeCell ref="A165:B165"/>
    <mergeCell ref="A168:J168"/>
    <mergeCell ref="A154:J154"/>
    <mergeCell ref="A153:B153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R267"/>
  <sheetViews>
    <sheetView view="pageBreakPreview" zoomScale="55" zoomScaleSheetLayoutView="55" workbookViewId="0">
      <selection activeCell="I153" sqref="I15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6" s="57" customFormat="1" ht="27">
      <c r="A2" s="191" t="s">
        <v>350</v>
      </c>
      <c r="B2" s="395">
        <v>44503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f>'2'!F7</f>
        <v>730117.67</v>
      </c>
      <c r="F7" s="95">
        <v>752086.35</v>
      </c>
      <c r="G7" s="112">
        <f>F7-E7</f>
        <v>21968.679999999935</v>
      </c>
      <c r="H7" s="99">
        <f>G7+'2'!H7</f>
        <v>65823.04999999993</v>
      </c>
      <c r="I7" s="113">
        <f>'1'!I7</f>
        <v>12000</v>
      </c>
      <c r="J7" s="175">
        <f>H7/DAY(B2)</f>
        <v>21941.016666666645</v>
      </c>
      <c r="K7" s="172">
        <v>1375467</v>
      </c>
      <c r="L7" s="66"/>
      <c r="N7" s="87"/>
      <c r="O7" s="71"/>
    </row>
    <row r="8" spans="1:16" ht="27.75" thickBot="1">
      <c r="A8" s="196" t="s">
        <v>131</v>
      </c>
      <c r="B8" s="197"/>
      <c r="C8" s="198"/>
      <c r="D8" s="224" t="s">
        <v>24</v>
      </c>
      <c r="E8" s="95">
        <f>'2'!F8</f>
        <v>757926.95</v>
      </c>
      <c r="F8" s="114">
        <v>780414.7</v>
      </c>
      <c r="G8" s="115">
        <f>F8-E8</f>
        <v>22487.75</v>
      </c>
      <c r="H8" s="99">
        <f>G8+'2'!H8</f>
        <v>67250.79999999993</v>
      </c>
      <c r="I8" s="116"/>
      <c r="J8" s="175">
        <f>H8/DAY(B2)</f>
        <v>22416.933333333309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>
      <c r="A9" s="199" t="s">
        <v>132</v>
      </c>
      <c r="B9" s="200"/>
      <c r="C9" s="200"/>
      <c r="D9" s="151" t="s">
        <v>130</v>
      </c>
      <c r="E9" s="95">
        <f>'2'!F9</f>
        <v>1287692</v>
      </c>
      <c r="F9" s="117">
        <v>1300991.8999999999</v>
      </c>
      <c r="G9" s="112">
        <f>F9-E9</f>
        <v>13299.899999999907</v>
      </c>
      <c r="H9" s="99">
        <f>G9+'2'!H9</f>
        <v>39713.399999999907</v>
      </c>
      <c r="I9" s="124">
        <f>I7-J7</f>
        <v>-9941.0166666666446</v>
      </c>
      <c r="J9" s="175">
        <f>H9/DAY(B2)</f>
        <v>13237.799999999968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'2'!F10</f>
        <v>184656.63</v>
      </c>
      <c r="F10" s="117">
        <v>192735.25</v>
      </c>
      <c r="G10" s="112">
        <f t="shared" ref="G10:G12" si="0">F10-E10</f>
        <v>8078.6199999999953</v>
      </c>
      <c r="H10" s="99">
        <f>G10+'2'!H10</f>
        <v>24351.320000000007</v>
      </c>
      <c r="I10" s="286"/>
      <c r="J10" s="175">
        <f>H10/DAY(B2)</f>
        <v>8117.1066666666693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21378.519999999902</v>
      </c>
      <c r="H13" s="99">
        <f>G13+'2'!H13</f>
        <v>43258.259999999893</v>
      </c>
      <c r="I13" s="120">
        <f>G7-G13</f>
        <v>590.1600000000326</v>
      </c>
      <c r="J13" s="175">
        <f>H13/DAY(B2)</f>
        <v>14419.419999999964</v>
      </c>
      <c r="K13" s="79"/>
      <c r="L13" s="66"/>
      <c r="N13" s="87"/>
      <c r="O13" s="71"/>
    </row>
    <row r="14" spans="1:16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65" t="s">
        <v>138</v>
      </c>
      <c r="B15" s="205"/>
      <c r="C15" s="205"/>
      <c r="D15" s="151" t="s">
        <v>139</v>
      </c>
      <c r="E15" s="95">
        <f>'2'!F15</f>
        <v>1817642.84</v>
      </c>
      <c r="F15" s="123">
        <v>1818598.33</v>
      </c>
      <c r="G15" s="112">
        <f>(F15-E15)</f>
        <v>955.48999999999069</v>
      </c>
      <c r="H15" s="99">
        <f>G15+'2'!H15</f>
        <v>2931.3700000001118</v>
      </c>
      <c r="I15" s="113">
        <f>'1'!I15</f>
        <v>800</v>
      </c>
      <c r="J15" s="175">
        <f>H15/DAY(B2)</f>
        <v>977.12333333337062</v>
      </c>
      <c r="K15" s="79"/>
      <c r="L15" s="66"/>
      <c r="N15" s="87"/>
      <c r="O15" s="71"/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-177.12333333337062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'2'!F18</f>
        <v>21</v>
      </c>
      <c r="F18" s="122">
        <v>22</v>
      </c>
      <c r="G18" s="119">
        <f>F18*10</f>
        <v>220</v>
      </c>
      <c r="H18" s="99">
        <f>G18+'2'!H18</f>
        <v>610</v>
      </c>
      <c r="I18" s="113">
        <f>'1'!I18</f>
        <v>65</v>
      </c>
      <c r="J18" s="175">
        <f>H18/DAY(B2)</f>
        <v>203.33333333333334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'2'!F19</f>
        <v>149034</v>
      </c>
      <c r="F19" s="122">
        <v>149093</v>
      </c>
      <c r="G19" s="112">
        <f t="shared" ref="G19" si="1">F19-E19</f>
        <v>59</v>
      </c>
      <c r="H19" s="99">
        <f>G19+'2'!H19</f>
        <v>176</v>
      </c>
      <c r="I19" s="355"/>
      <c r="J19" s="175">
        <f>H19/DAY(B2)</f>
        <v>58.666666666666664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279</v>
      </c>
      <c r="H20" s="99">
        <f>G20+'2'!H20</f>
        <v>786</v>
      </c>
      <c r="I20" s="356">
        <f>I18-J20</f>
        <v>-197</v>
      </c>
      <c r="J20" s="175">
        <f>H20/DAY(B2)</f>
        <v>262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'2'!F23</f>
        <v>2000</v>
      </c>
      <c r="F23" s="122">
        <v>2000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22487.75</v>
      </c>
      <c r="F27" s="136">
        <v>9</v>
      </c>
      <c r="G27" s="137">
        <f>E27*F27</f>
        <v>202389.75</v>
      </c>
      <c r="H27" s="99">
        <f>G27+'2'!H27</f>
        <v>605257.19999999937</v>
      </c>
      <c r="I27" s="138"/>
      <c r="J27" s="175">
        <f>H27/DAY(B2)</f>
        <v>201752.39999999979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955.48999999999069</v>
      </c>
      <c r="F28" s="136">
        <v>52</v>
      </c>
      <c r="G28" s="137">
        <f>E28*F28</f>
        <v>49685.479999999516</v>
      </c>
      <c r="H28" s="99">
        <f>G28+'2'!H28</f>
        <v>152431.24000000581</v>
      </c>
      <c r="I28" s="140"/>
      <c r="J28" s="175">
        <f>H28/DAY(B2)</f>
        <v>50810.413333335273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G30+'2'!H30</f>
        <v>25696</v>
      </c>
      <c r="I30" s="140"/>
      <c r="J30" s="175">
        <f>H30/DAY(B2)</f>
        <v>8565.3333333333339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G31+'2'!H31</f>
        <v>48800</v>
      </c>
      <c r="I31" s="140"/>
      <c r="J31" s="175">
        <f>H31/DAY(B2)</f>
        <v>16266.666666666666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278289.22999999952</v>
      </c>
      <c r="H32" s="99">
        <f>G32+'2'!H32</f>
        <v>832184.44000000518</v>
      </c>
      <c r="I32" s="144"/>
      <c r="J32" s="175">
        <f>H32/DAY(B2)</f>
        <v>277394.81333333504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'2'!F35</f>
        <v>36244.6</v>
      </c>
      <c r="F35" s="145">
        <v>38333.11</v>
      </c>
      <c r="G35" s="112">
        <f t="shared" ref="G35:G46" si="3">F35-E35</f>
        <v>2088.510000000002</v>
      </c>
      <c r="H35" s="99">
        <f>G35+'2'!H35</f>
        <v>5858.4400000000023</v>
      </c>
      <c r="I35" s="95"/>
      <c r="J35" s="175">
        <f>H35/DAY(B2)</f>
        <v>1952.8133333333342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'2'!F36</f>
        <v>51380.07</v>
      </c>
      <c r="F36" s="145">
        <v>52064.56</v>
      </c>
      <c r="G36" s="112">
        <f t="shared" si="3"/>
        <v>684.48999999999796</v>
      </c>
      <c r="H36" s="99">
        <f>G36+'2'!H36</f>
        <v>2124.8899999999994</v>
      </c>
      <c r="I36" s="95"/>
      <c r="J36" s="175">
        <f>H36/DAY(B2)</f>
        <v>708.29666666666651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'2'!F37</f>
        <v>100209.31</v>
      </c>
      <c r="F37" s="145">
        <v>101838.77</v>
      </c>
      <c r="G37" s="112">
        <f t="shared" si="3"/>
        <v>1629.4600000000064</v>
      </c>
      <c r="H37" s="99">
        <f>G37+'2'!H37</f>
        <v>4784.9400000000023</v>
      </c>
      <c r="I37" s="95"/>
      <c r="J37" s="175">
        <f>H37/DAY(B2)</f>
        <v>1594.9800000000007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'2'!F38</f>
        <v>118840.17</v>
      </c>
      <c r="F38" s="108">
        <v>120784.88</v>
      </c>
      <c r="G38" s="112">
        <f t="shared" si="3"/>
        <v>1944.7100000000064</v>
      </c>
      <c r="H38" s="99">
        <f>G38+'2'!H38</f>
        <v>5561.8400000000111</v>
      </c>
      <c r="I38" s="95"/>
      <c r="J38" s="175">
        <f>H38/DAY(B2)</f>
        <v>1853.9466666666704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'2'!F39</f>
        <v>239226.49</v>
      </c>
      <c r="F39" s="145">
        <v>242187.65</v>
      </c>
      <c r="G39" s="112">
        <f t="shared" si="3"/>
        <v>2961.1600000000035</v>
      </c>
      <c r="H39" s="99">
        <f>G39+'2'!H39</f>
        <v>8806.6000000000058</v>
      </c>
      <c r="I39" s="95"/>
      <c r="J39" s="175">
        <f>H39/DAY(B2)</f>
        <v>2935.5333333333351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'2'!F40</f>
        <v>26.8</v>
      </c>
      <c r="F40" s="145">
        <v>30.4</v>
      </c>
      <c r="G40" s="112">
        <f t="shared" si="3"/>
        <v>3.5999999999999979</v>
      </c>
      <c r="H40" s="99">
        <f>G40+'2'!H40</f>
        <v>5.0299999999999976</v>
      </c>
      <c r="I40" s="95"/>
      <c r="J40" s="175">
        <f>H40/DAY(B2)</f>
        <v>1.6766666666666659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'2'!F41</f>
        <v>582546.71</v>
      </c>
      <c r="F41" s="145">
        <v>582546.71</v>
      </c>
      <c r="G41" s="112">
        <f t="shared" si="3"/>
        <v>0</v>
      </c>
      <c r="H41" s="99">
        <f>G41+'2'!H41</f>
        <v>687.88000000000466</v>
      </c>
      <c r="I41" s="95"/>
      <c r="J41" s="175">
        <f>H41/DAY(B2)</f>
        <v>229.29333333333489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'2'!F42</f>
        <v>270969.63</v>
      </c>
      <c r="F42" s="145">
        <v>270969.83</v>
      </c>
      <c r="G42" s="112">
        <f t="shared" si="3"/>
        <v>0.20000000001164153</v>
      </c>
      <c r="H42" s="99">
        <f>G42+'2'!H42</f>
        <v>0.16000000003259629</v>
      </c>
      <c r="I42" s="95"/>
      <c r="J42" s="175">
        <f>H42/DAY(B2)</f>
        <v>5.3333333344198763E-2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'2'!F43</f>
        <v>1451436.1</v>
      </c>
      <c r="F43" s="145">
        <v>1454131.5</v>
      </c>
      <c r="G43" s="112">
        <f t="shared" si="3"/>
        <v>2695.3999999999069</v>
      </c>
      <c r="H43" s="99">
        <f>G43+'2'!H43</f>
        <v>8044.1000000000931</v>
      </c>
      <c r="I43" s="95"/>
      <c r="J43" s="175">
        <f>H43/DAY(B2)</f>
        <v>2681.3666666666977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12007.529999999935</v>
      </c>
      <c r="H47" s="99">
        <f>G47+'2'!H47</f>
        <v>35873.88000000015</v>
      </c>
      <c r="I47" s="95"/>
      <c r="J47" s="175">
        <f>H47/DAY(B2)</f>
        <v>11957.96000000005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'2'!F49</f>
        <v>175658.79</v>
      </c>
      <c r="F49" s="145">
        <v>177344.51</v>
      </c>
      <c r="G49" s="112">
        <f t="shared" ref="G49:G58" si="4">F49-E49</f>
        <v>1685.7200000000012</v>
      </c>
      <c r="H49" s="99">
        <f>G49+'2'!H49</f>
        <v>4614.1199999999953</v>
      </c>
      <c r="I49" s="95"/>
      <c r="J49" s="175">
        <f>H49/DAY(B2)</f>
        <v>1538.0399999999984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'2'!F50</f>
        <v>686415.75</v>
      </c>
      <c r="F50" s="145">
        <v>687375.91</v>
      </c>
      <c r="G50" s="112">
        <f t="shared" si="4"/>
        <v>960.1600000000326</v>
      </c>
      <c r="H50" s="99">
        <f>G50+'2'!H50</f>
        <v>3013.5999999999767</v>
      </c>
      <c r="I50" s="95"/>
      <c r="J50" s="175">
        <f>H50/DAY(B2)</f>
        <v>1004.5333333333256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'2'!F54</f>
        <v>2876.89</v>
      </c>
      <c r="F54" s="145">
        <v>2881.74</v>
      </c>
      <c r="G54" s="112">
        <f t="shared" si="4"/>
        <v>4.8499999999999091</v>
      </c>
      <c r="H54" s="99">
        <f>G54+'2'!H54</f>
        <v>14.25</v>
      </c>
      <c r="I54" s="95"/>
      <c r="J54" s="175">
        <f>H54/DAY(B2)</f>
        <v>4.75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'2'!F55</f>
        <v>0</v>
      </c>
      <c r="F55" s="145">
        <v>0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'2'!F56</f>
        <v>53951.9</v>
      </c>
      <c r="F56" s="145">
        <v>59322.92</v>
      </c>
      <c r="G56" s="112">
        <f t="shared" si="4"/>
        <v>5371.0199999999968</v>
      </c>
      <c r="H56" s="99">
        <f>G56+'2'!H56</f>
        <v>16482.629999999997</v>
      </c>
      <c r="I56" s="95"/>
      <c r="J56" s="175">
        <f>H56/DAY(B2)</f>
        <v>5494.2099999999991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'2'!F58</f>
        <v>79407</v>
      </c>
      <c r="F58" s="145">
        <v>79601.820000000007</v>
      </c>
      <c r="G58" s="112">
        <f t="shared" si="4"/>
        <v>194.82000000000698</v>
      </c>
      <c r="H58" s="99">
        <f>G58+'2'!H58</f>
        <v>581.92000000001281</v>
      </c>
      <c r="I58" s="95"/>
      <c r="J58" s="175">
        <f>H58/DAY(B2)</f>
        <v>193.97333333333759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8216.5700000000379</v>
      </c>
      <c r="H59" s="99">
        <f>G59+'2'!H59</f>
        <v>24706.519999999982</v>
      </c>
      <c r="I59" s="95">
        <f>G7-G60</f>
        <v>1744.5799999999617</v>
      </c>
      <c r="J59" s="175">
        <f>H59/DAY(B2)</f>
        <v>8235.5066666666607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20224.099999999973</v>
      </c>
      <c r="H60" s="99">
        <f>G60+'2'!H60</f>
        <v>60580.40000000014</v>
      </c>
      <c r="I60" s="95">
        <f>G13-G60</f>
        <v>1154.4199999999291</v>
      </c>
      <c r="J60" s="175">
        <f>H60/DAY(B2)</f>
        <v>20193.466666666714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'2'!F62</f>
        <v>260044</v>
      </c>
      <c r="F62" s="122">
        <v>260172</v>
      </c>
      <c r="G62" s="112">
        <f t="shared" ref="G62:G63" si="5">F62-E62</f>
        <v>128</v>
      </c>
      <c r="H62" s="99">
        <f>G62+'2'!H62</f>
        <v>354</v>
      </c>
      <c r="I62" s="118"/>
      <c r="J62" s="175">
        <f>H62/DAY(B2)</f>
        <v>118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'2'!F63</f>
        <v>206439</v>
      </c>
      <c r="F63" s="122">
        <v>206552</v>
      </c>
      <c r="G63" s="112">
        <f t="shared" si="5"/>
        <v>113</v>
      </c>
      <c r="H63" s="99">
        <f>G63+'2'!H63</f>
        <v>282</v>
      </c>
      <c r="I63" s="118"/>
      <c r="J63" s="175">
        <f>H63/DAY(B2)</f>
        <v>94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'2'!F64</f>
        <v>0</v>
      </c>
      <c r="F64" s="122"/>
      <c r="G64" s="112">
        <f>G62+G63</f>
        <v>241</v>
      </c>
      <c r="H64" s="99">
        <f>G64+'2'!H64</f>
        <v>636</v>
      </c>
      <c r="I64" s="118"/>
      <c r="J64" s="175">
        <f>H64/DAY(B2)</f>
        <v>212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'2'!F65</f>
        <v>426411</v>
      </c>
      <c r="F65" s="122">
        <v>426532</v>
      </c>
      <c r="G65" s="112">
        <f t="shared" ref="G65:G70" si="6">F65-E65</f>
        <v>121</v>
      </c>
      <c r="H65" s="99">
        <f>G65+'2'!H65</f>
        <v>327</v>
      </c>
      <c r="I65" s="118"/>
      <c r="J65" s="175">
        <f>H65/DAY(B2)</f>
        <v>109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'2'!F66</f>
        <v>106011</v>
      </c>
      <c r="F66" s="122">
        <v>106028</v>
      </c>
      <c r="G66" s="112">
        <f t="shared" si="6"/>
        <v>17</v>
      </c>
      <c r="H66" s="99">
        <f>G66+'2'!H66</f>
        <v>58</v>
      </c>
      <c r="I66" s="118"/>
      <c r="J66" s="175">
        <f>H66/DAY(B2)</f>
        <v>19.333333333333332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'2'!F67</f>
        <v>102225</v>
      </c>
      <c r="F67" s="122">
        <v>102244</v>
      </c>
      <c r="G67" s="112">
        <f t="shared" si="6"/>
        <v>19</v>
      </c>
      <c r="H67" s="99">
        <f>G67+'2'!H67</f>
        <v>73</v>
      </c>
      <c r="I67" s="118"/>
      <c r="J67" s="175">
        <f>H67/DAY(B2)</f>
        <v>24.333333333333332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'2'!F68</f>
        <v>154563</v>
      </c>
      <c r="F68" s="122">
        <v>154598</v>
      </c>
      <c r="G68" s="112">
        <f t="shared" si="6"/>
        <v>35</v>
      </c>
      <c r="H68" s="99">
        <f>G68+'2'!H68</f>
        <v>102</v>
      </c>
      <c r="I68" s="118"/>
      <c r="J68" s="175">
        <f>H68/DAY(B2)</f>
        <v>34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'2'!F69</f>
        <v>9480</v>
      </c>
      <c r="F69" s="122">
        <v>9510</v>
      </c>
      <c r="G69" s="112">
        <f t="shared" si="6"/>
        <v>30</v>
      </c>
      <c r="H69" s="99">
        <f>G69+'2'!H69</f>
        <v>45</v>
      </c>
      <c r="I69" s="118"/>
      <c r="J69" s="175">
        <f>H69/DAY(B2)</f>
        <v>15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'2'!F70</f>
        <v>7220</v>
      </c>
      <c r="F70" s="122">
        <v>7235</v>
      </c>
      <c r="G70" s="112">
        <f t="shared" si="6"/>
        <v>15</v>
      </c>
      <c r="H70" s="99">
        <f>G70+'2'!H70</f>
        <v>32</v>
      </c>
      <c r="I70" s="118"/>
      <c r="J70" s="175">
        <f>H70/DAY(B2)</f>
        <v>10.666666666666666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237</v>
      </c>
      <c r="H71" s="99">
        <f>G71+'2'!H71</f>
        <v>637</v>
      </c>
      <c r="I71" s="154"/>
      <c r="J71" s="175">
        <f>H71/DAY(B2)</f>
        <v>212.33333333333334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'2'!F74</f>
        <v>874172.18</v>
      </c>
      <c r="F74" s="117">
        <v>874464.10600000003</v>
      </c>
      <c r="G74" s="112">
        <f t="shared" ref="G74:G78" si="7">F74-E74</f>
        <v>291.92599999997765</v>
      </c>
      <c r="H74" s="99">
        <f>G74+'2'!H74</f>
        <v>878.875</v>
      </c>
      <c r="I74" s="154"/>
      <c r="J74" s="175">
        <f>H74/DAY(B2)</f>
        <v>292.95833333333331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'2'!F75</f>
        <v>73583.399999999994</v>
      </c>
      <c r="F75" s="123">
        <v>73583.399999999994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'2'!F76</f>
        <v>160177.21</v>
      </c>
      <c r="F76" s="123">
        <v>160291.44</v>
      </c>
      <c r="G76" s="112">
        <f t="shared" si="7"/>
        <v>114.23000000001048</v>
      </c>
      <c r="H76" s="99">
        <f>G76+'2'!H76</f>
        <v>305.94000000000233</v>
      </c>
      <c r="I76" s="154"/>
      <c r="J76" s="175">
        <f>H76/DAY(B2)</f>
        <v>101.98000000000077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'2'!F77</f>
        <v>37570.400000000001</v>
      </c>
      <c r="F77" s="123">
        <v>37606.5</v>
      </c>
      <c r="G77" s="112">
        <f t="shared" si="7"/>
        <v>36.099999999998545</v>
      </c>
      <c r="H77" s="99">
        <f>G77+'2'!H77</f>
        <v>109</v>
      </c>
      <c r="I77" s="154"/>
      <c r="J77" s="175">
        <f>H77/DAY(B2)</f>
        <v>36.333333333333336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'2'!F78</f>
        <v>9334.2999999999993</v>
      </c>
      <c r="F78" s="123">
        <v>9335.2999999999993</v>
      </c>
      <c r="G78" s="112">
        <f t="shared" si="7"/>
        <v>1</v>
      </c>
      <c r="H78" s="99">
        <f>G78+'2'!H78</f>
        <v>5.8999999999996362</v>
      </c>
      <c r="I78" s="118"/>
      <c r="J78" s="175">
        <f>H78/DAY(B2)</f>
        <v>1.9666666666665453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'2'!F79</f>
        <v>0</v>
      </c>
      <c r="F79" s="117"/>
      <c r="G79" s="112">
        <f>G15-SUM(G74:G78)</f>
        <v>512.23400000000402</v>
      </c>
      <c r="H79" s="99">
        <f>G79+'2'!H79</f>
        <v>1631.6550000001098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955.48999999999069</v>
      </c>
      <c r="H80" s="99">
        <f>G80+'2'!H80</f>
        <v>1902.3400000000838</v>
      </c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'2'!F84</f>
        <v>41589</v>
      </c>
      <c r="F84" s="164">
        <v>41589</v>
      </c>
      <c r="G84" s="112">
        <f t="shared" si="8"/>
        <v>0</v>
      </c>
      <c r="H84" s="99">
        <f>G84+'2'!H84</f>
        <v>3.4400000000023283</v>
      </c>
      <c r="I84" s="118"/>
      <c r="J84" s="175">
        <f>H84/DAY(B2)</f>
        <v>1.1466666666674428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'2'!F85</f>
        <v>1305</v>
      </c>
      <c r="F85" s="164">
        <v>1305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'2'!F86</f>
        <v>42826.47</v>
      </c>
      <c r="F86" s="164">
        <v>42826.47</v>
      </c>
      <c r="G86" s="112">
        <f t="shared" si="8"/>
        <v>0</v>
      </c>
      <c r="H86" s="99">
        <f>G86+'2'!H86</f>
        <v>0.47000000000116415</v>
      </c>
      <c r="I86" s="118"/>
      <c r="J86" s="175">
        <f>H86/DAY(B2)</f>
        <v>0.15666666666705473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'2'!F87</f>
        <v>33796</v>
      </c>
      <c r="F87" s="164">
        <f>33796+24</f>
        <v>33820</v>
      </c>
      <c r="G87" s="112">
        <f t="shared" si="8"/>
        <v>24</v>
      </c>
      <c r="H87" s="99">
        <f>G87+'2'!H87</f>
        <v>72</v>
      </c>
      <c r="I87" s="118"/>
      <c r="J87" s="175">
        <f>H87/DAY(B2)</f>
        <v>24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'2'!F88</f>
        <v>23843.23</v>
      </c>
      <c r="F88" s="164">
        <v>23852.02</v>
      </c>
      <c r="G88" s="112">
        <f t="shared" si="8"/>
        <v>8.7900000000008731</v>
      </c>
      <c r="H88" s="99">
        <f>G88+'2'!H88</f>
        <v>18.450000000000728</v>
      </c>
      <c r="I88" s="118">
        <f>G86+G87+G88</f>
        <v>32.790000000000873</v>
      </c>
      <c r="J88" s="175">
        <f>H88/DAY(B2)</f>
        <v>6.1500000000002428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'2'!F89</f>
        <v>25254.94</v>
      </c>
      <c r="F89" s="164">
        <v>25254.94</v>
      </c>
      <c r="G89" s="112">
        <f t="shared" si="8"/>
        <v>0</v>
      </c>
      <c r="H89" s="99">
        <f>G89+'2'!H89</f>
        <v>9.5599999999976717</v>
      </c>
      <c r="I89" s="118"/>
      <c r="J89" s="175">
        <f>H89/DAY(B2)</f>
        <v>3.1866666666658907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'2'!F90</f>
        <v>70664.86</v>
      </c>
      <c r="F90" s="164">
        <v>70667.61</v>
      </c>
      <c r="G90" s="112">
        <f t="shared" si="8"/>
        <v>2.75</v>
      </c>
      <c r="H90" s="99">
        <f>G90+'2'!H90</f>
        <v>12.19999999999709</v>
      </c>
      <c r="I90" s="118">
        <f>G89+G90</f>
        <v>2.75</v>
      </c>
      <c r="J90" s="175">
        <f>H90/DAY(B2)</f>
        <v>4.0666666666656965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'2'!F91</f>
        <v>3226.32</v>
      </c>
      <c r="F91" s="122">
        <v>3226.32</v>
      </c>
      <c r="G91" s="112">
        <f t="shared" si="8"/>
        <v>0</v>
      </c>
      <c r="H91" s="99">
        <f>G91+'2'!H91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'2'!F92</f>
        <v>4812.42</v>
      </c>
      <c r="F92" s="122">
        <v>4822.67</v>
      </c>
      <c r="G92" s="112">
        <f t="shared" si="8"/>
        <v>10.25</v>
      </c>
      <c r="H92" s="99">
        <f>G92+'2'!H92</f>
        <v>30.850000000000364</v>
      </c>
      <c r="I92" s="165"/>
      <c r="J92" s="175">
        <f>H92/DAY(B2)</f>
        <v>10.283333333333454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6469.6299999999101</v>
      </c>
      <c r="H94" s="99">
        <f>G94+'2'!H94</f>
        <v>18516.660000000091</v>
      </c>
      <c r="I94" s="118"/>
      <c r="J94" s="175">
        <f>H94/DAY(B2)</f>
        <v>6172.2200000000303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0.29449334234009183</v>
      </c>
      <c r="H95" s="99">
        <f>G95+'2'!H95</f>
        <v>0.84372593088473857</v>
      </c>
      <c r="I95" s="167"/>
      <c r="J95" s="175">
        <f>H95/DAY(B2)</f>
        <v>0.28124197696157954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5371.2200000000084</v>
      </c>
      <c r="H96" s="99">
        <f>G96+'2'!H96</f>
        <v>17170.670000000035</v>
      </c>
      <c r="I96" s="118"/>
      <c r="J96" s="175">
        <f>H96/DAY(B2)</f>
        <v>5723.5566666666782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0.24449443480445909</v>
      </c>
      <c r="H97" s="99">
        <f>G97+'2'!H97</f>
        <v>0.78214909248161568</v>
      </c>
      <c r="I97" s="167"/>
      <c r="J97" s="175">
        <f>H97/DAY(B2)</f>
        <v>0.26071636416053856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2961.1600000000035</v>
      </c>
      <c r="H98" s="99">
        <f>G98+'2'!H98</f>
        <v>8806.6000000000058</v>
      </c>
      <c r="I98" s="168"/>
      <c r="J98" s="175">
        <f>H98/DAY(B2)</f>
        <v>2935.5333333333351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0.13479007386879924</v>
      </c>
      <c r="H99" s="99">
        <f>G99+'2'!H99</f>
        <v>0.40149309059630145</v>
      </c>
      <c r="I99" s="168"/>
      <c r="J99" s="175">
        <f>H99/DAY(B2)</f>
        <v>0.13383103019876716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1944.7100000000064</v>
      </c>
      <c r="H100" s="99">
        <f>G100+'2'!H100</f>
        <v>5561.8400000000111</v>
      </c>
      <c r="I100" s="118"/>
      <c r="J100" s="175">
        <f>H100/DAY(B2)</f>
        <v>1853.9466666666704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8.852193213247278E-2</v>
      </c>
      <c r="H101" s="99">
        <f>G101+'2'!H101</f>
        <v>0.25367584233069873</v>
      </c>
      <c r="I101" s="168"/>
      <c r="J101" s="175">
        <f>H101/DAY(B2)</f>
        <v>8.455861411023291E-2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1644.6500000000306</v>
      </c>
      <c r="H102" s="99">
        <f>G102+'2'!H102</f>
        <v>5138.4899999999761</v>
      </c>
      <c r="I102" s="168"/>
      <c r="J102" s="175">
        <f>H102/DAY(B2)</f>
        <v>1712.829999999992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7.48633964352904E-2</v>
      </c>
      <c r="H103" s="99">
        <f>G103+'2'!H103</f>
        <v>0.23421923889707363</v>
      </c>
      <c r="I103" s="118"/>
      <c r="J103" s="175">
        <f>H103/DAY(B2)</f>
        <v>7.8073079632357878E-2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1629.4600000000064</v>
      </c>
      <c r="H104" s="99">
        <f>G104+'2'!H104</f>
        <v>4784.9400000000023</v>
      </c>
      <c r="I104" s="118"/>
      <c r="J104" s="175">
        <f>H104/DAY(B2)</f>
        <v>1594.9800000000007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7.4171957532269184E-2</v>
      </c>
      <c r="H105" s="99">
        <f>G105+'2'!H105</f>
        <v>0.21823461169935099</v>
      </c>
      <c r="I105" s="187"/>
      <c r="J105" s="188">
        <f>H105/DAY(B2)</f>
        <v>7.2744870566450334E-2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'2'!F112</f>
        <v>51056.91</v>
      </c>
      <c r="F112" s="237">
        <v>51140.85</v>
      </c>
      <c r="G112" s="112">
        <f t="shared" ref="G112:G123" si="9">F112-E112</f>
        <v>83.939999999995052</v>
      </c>
      <c r="H112" s="99">
        <f>G112+'2'!H112</f>
        <v>251.7699999999968</v>
      </c>
      <c r="I112" s="165"/>
      <c r="J112" s="348">
        <f>H112/DAY(B2)</f>
        <v>83.923333333332266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'2'!F113</f>
        <v>5340.83</v>
      </c>
      <c r="F113" s="237">
        <v>5777.52</v>
      </c>
      <c r="G113" s="112">
        <f t="shared" si="9"/>
        <v>436.69000000000051</v>
      </c>
      <c r="H113" s="99">
        <f>G113+'2'!H113</f>
        <v>1271.8700000000008</v>
      </c>
      <c r="I113" s="165"/>
      <c r="J113" s="348">
        <f>H113/DAY(B2)</f>
        <v>423.95666666666693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'2'!F114</f>
        <v>5100.3999999999996</v>
      </c>
      <c r="F114" s="237">
        <v>5370.46</v>
      </c>
      <c r="G114" s="112">
        <f t="shared" si="9"/>
        <v>270.0600000000004</v>
      </c>
      <c r="H114" s="99">
        <f>G114+'2'!H114</f>
        <v>792.52999999999975</v>
      </c>
      <c r="I114" s="165"/>
      <c r="J114" s="348">
        <f>H114/DAY(B2)</f>
        <v>264.17666666666656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'2'!F115</f>
        <v>8096.86</v>
      </c>
      <c r="F115" s="237">
        <v>8106.12</v>
      </c>
      <c r="G115" s="112">
        <f t="shared" si="9"/>
        <v>9.2600000000002183</v>
      </c>
      <c r="H115" s="99">
        <f>G115+'2'!H115</f>
        <v>28.710000000000036</v>
      </c>
      <c r="I115" s="165"/>
      <c r="J115" s="348">
        <f>H115/DAY(B2)</f>
        <v>9.5700000000000127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48">
        <f>H116/DAY(B2)</f>
        <v>0</v>
      </c>
      <c r="Q116" s="793"/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'2'!F117</f>
        <v>1322.84</v>
      </c>
      <c r="F117" s="237">
        <v>1372.86</v>
      </c>
      <c r="G117" s="112">
        <f t="shared" si="9"/>
        <v>50.019999999999982</v>
      </c>
      <c r="H117" s="99">
        <f>G117+'2'!H117</f>
        <v>214.66999999999985</v>
      </c>
      <c r="I117" s="165"/>
      <c r="J117" s="348">
        <f>H117/DAY(B2)</f>
        <v>71.556666666666615</v>
      </c>
      <c r="Q117" s="793"/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'2'!F118</f>
        <v>219557.35</v>
      </c>
      <c r="F118" s="237">
        <v>219893.93</v>
      </c>
      <c r="G118" s="112">
        <f t="shared" si="9"/>
        <v>336.57999999998719</v>
      </c>
      <c r="H118" s="99">
        <f>G118+'2'!H118</f>
        <v>1042</v>
      </c>
      <c r="I118" s="165"/>
      <c r="J118" s="348">
        <f>H118/DAY(B2)</f>
        <v>347.33333333333331</v>
      </c>
      <c r="Q118" s="793"/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'2'!F119</f>
        <v>219687.63</v>
      </c>
      <c r="F119" s="237">
        <v>220133.35</v>
      </c>
      <c r="G119" s="112">
        <f t="shared" si="9"/>
        <v>445.72000000000116</v>
      </c>
      <c r="H119" s="99">
        <f>G119+'2'!H119</f>
        <v>1322.2400000000198</v>
      </c>
      <c r="I119" s="165"/>
      <c r="J119" s="348">
        <f>H119/DAY(B2)</f>
        <v>440.74666666667326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'2'!F120</f>
        <v>5195.71</v>
      </c>
      <c r="F120" s="237">
        <v>5652.6</v>
      </c>
      <c r="G120" s="112">
        <f t="shared" si="9"/>
        <v>456.89000000000033</v>
      </c>
      <c r="H120" s="99">
        <f>G120+'2'!H120</f>
        <v>1345</v>
      </c>
      <c r="I120" s="165"/>
      <c r="J120" s="348">
        <f>H120/DAY(B2)</f>
        <v>448.33333333333331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'2'!F121</f>
        <v>332663.24</v>
      </c>
      <c r="F121" s="237">
        <v>333418.07</v>
      </c>
      <c r="G121" s="112">
        <f t="shared" si="9"/>
        <v>754.8300000000163</v>
      </c>
      <c r="H121" s="99">
        <f>G121+'2'!H121</f>
        <v>2180.5599999999977</v>
      </c>
      <c r="I121" s="165"/>
      <c r="J121" s="348">
        <f>H121/DAY(B2)</f>
        <v>726.85333333333256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'2'!F122</f>
        <v>102231.69</v>
      </c>
      <c r="F122" s="237">
        <v>102523.06</v>
      </c>
      <c r="G122" s="112">
        <f t="shared" si="9"/>
        <v>291.36999999999534</v>
      </c>
      <c r="H122" s="99">
        <f>G122+'2'!H122</f>
        <v>914.17999999999302</v>
      </c>
      <c r="I122" s="165"/>
      <c r="J122" s="348">
        <f>H122/DAY(B2)</f>
        <v>304.72666666666436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'2'!F123</f>
        <v>126334.94</v>
      </c>
      <c r="F123" s="237">
        <v>126639.92</v>
      </c>
      <c r="G123" s="112">
        <f t="shared" si="9"/>
        <v>304.97999999999593</v>
      </c>
      <c r="H123" s="99">
        <f>G123+'2'!H123</f>
        <v>892.16000000000349</v>
      </c>
      <c r="I123" s="165"/>
      <c r="J123" s="348">
        <f>H123/DAY(B2)</f>
        <v>297.38666666666785</v>
      </c>
    </row>
    <row r="124" spans="1:18" ht="29.25" customHeight="1">
      <c r="A124" s="797"/>
      <c r="B124" s="798"/>
      <c r="C124" s="799"/>
      <c r="D124" s="165"/>
      <c r="E124" s="165"/>
      <c r="F124" s="165"/>
      <c r="G124" s="347"/>
      <c r="H124" s="156"/>
      <c r="I124" s="165"/>
      <c r="J124" s="347"/>
    </row>
    <row r="125" spans="1:18" ht="29.25">
      <c r="A125" s="823" t="s">
        <v>196</v>
      </c>
      <c r="B125" s="824"/>
      <c r="C125" s="825"/>
      <c r="D125" s="317"/>
      <c r="E125" s="318"/>
      <c r="F125" s="318"/>
      <c r="G125" s="319">
        <f>SUM(G112:G124)</f>
        <v>3440.3399999999924</v>
      </c>
      <c r="H125" s="156"/>
      <c r="I125" s="347">
        <f>G125-(G39+G53)</f>
        <v>479.17999999998892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95"/>
      <c r="F127" s="318"/>
      <c r="G127" s="319"/>
      <c r="H127" s="99">
        <f>G127+'2'!H127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'2'!F128</f>
        <v>18725.45</v>
      </c>
      <c r="F128" s="165">
        <v>19062.89</v>
      </c>
      <c r="G128" s="112">
        <f t="shared" ref="G128:G134" si="10">F128-E128</f>
        <v>337.43999999999869</v>
      </c>
      <c r="H128" s="99">
        <f>G128+'2'!H128</f>
        <v>1039.1699999999983</v>
      </c>
      <c r="I128" s="165"/>
      <c r="J128" s="348">
        <f>H128/DAY(B2)</f>
        <v>346.38999999999942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'2'!F129</f>
        <v>6958.78</v>
      </c>
      <c r="F129" s="165">
        <v>7145.45</v>
      </c>
      <c r="G129" s="112">
        <f t="shared" si="10"/>
        <v>186.67000000000007</v>
      </c>
      <c r="H129" s="99">
        <f>G129+'2'!H129</f>
        <v>549.73999999999978</v>
      </c>
      <c r="I129" s="165"/>
      <c r="J129" s="348">
        <f>H129/DAY(B2)</f>
        <v>183.24666666666658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'2'!F130</f>
        <v>31220.82</v>
      </c>
      <c r="F130" s="165">
        <v>33874.25</v>
      </c>
      <c r="G130" s="112">
        <f t="shared" si="10"/>
        <v>2653.4300000000003</v>
      </c>
      <c r="H130" s="99">
        <f>G130+'2'!H130</f>
        <v>7406.2200000000012</v>
      </c>
      <c r="I130" s="165"/>
      <c r="J130" s="348">
        <f>H130/DAY(B2)</f>
        <v>2468.7400000000002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'2'!F131</f>
        <v>4370.29</v>
      </c>
      <c r="F131" s="165">
        <v>4481.7700000000004</v>
      </c>
      <c r="G131" s="112">
        <f t="shared" si="10"/>
        <v>111.48000000000047</v>
      </c>
      <c r="H131" s="99">
        <f>G131+'2'!H131</f>
        <v>335.30000000000018</v>
      </c>
      <c r="I131" s="165"/>
      <c r="J131" s="348">
        <f>H131/DAY(B2)</f>
        <v>111.76666666666672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'2'!F132</f>
        <v>12512.9</v>
      </c>
      <c r="F132" s="165">
        <v>13016.89</v>
      </c>
      <c r="G132" s="112">
        <f t="shared" si="10"/>
        <v>503.98999999999978</v>
      </c>
      <c r="H132" s="99">
        <f>G132+'2'!H132</f>
        <v>1479.17</v>
      </c>
      <c r="I132" s="165"/>
      <c r="J132" s="348">
        <f>H132/DAY(B2)</f>
        <v>493.05666666666667</v>
      </c>
    </row>
    <row r="133" spans="1:15" ht="27.75">
      <c r="A133" s="793" t="s">
        <v>342</v>
      </c>
      <c r="B133" s="794"/>
      <c r="C133" s="795"/>
      <c r="D133" s="151" t="s">
        <v>183</v>
      </c>
      <c r="E133" s="95">
        <f>'2'!F133</f>
        <v>42129.14</v>
      </c>
      <c r="F133" s="165">
        <v>42944.25</v>
      </c>
      <c r="G133" s="112">
        <f t="shared" si="10"/>
        <v>815.11000000000058</v>
      </c>
      <c r="H133" s="99">
        <f>G133+'2'!H133</f>
        <v>2094.9599999999991</v>
      </c>
      <c r="I133" s="165"/>
      <c r="J133" s="348">
        <f>H133/DAY(B2)</f>
        <v>698.31999999999971</v>
      </c>
    </row>
    <row r="134" spans="1:15" ht="27.75">
      <c r="A134" s="855" t="s">
        <v>340</v>
      </c>
      <c r="B134" s="856"/>
      <c r="C134" s="778"/>
      <c r="D134" s="151" t="s">
        <v>183</v>
      </c>
      <c r="E134" s="95">
        <v>614415</v>
      </c>
      <c r="F134" s="165">
        <v>615055</v>
      </c>
      <c r="G134" s="112">
        <f t="shared" si="10"/>
        <v>640</v>
      </c>
      <c r="H134" s="99">
        <f>G134+'2'!H134</f>
        <v>1888</v>
      </c>
      <c r="I134" s="165"/>
      <c r="J134" s="348">
        <f>H134/DAY(B2)</f>
        <v>629.33333333333337</v>
      </c>
    </row>
    <row r="135" spans="1:15" ht="29.25">
      <c r="A135" s="823" t="s">
        <v>196</v>
      </c>
      <c r="B135" s="824"/>
      <c r="C135" s="825"/>
      <c r="D135" s="151"/>
      <c r="E135" s="95"/>
      <c r="F135" s="165"/>
      <c r="G135" s="112">
        <f>SUM(G128:G134)</f>
        <v>5248.12</v>
      </c>
      <c r="H135" s="99">
        <f>G135+'2'!H135</f>
        <v>14792.559999999998</v>
      </c>
      <c r="I135" s="347">
        <f>G135-(G35+G49)</f>
        <v>1473.8899999999967</v>
      </c>
      <c r="J135" s="348">
        <f>H135/DAY(B2)</f>
        <v>4930.8533333333326</v>
      </c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'2'!F138</f>
        <v>859768</v>
      </c>
      <c r="F138" s="147">
        <v>859833</v>
      </c>
      <c r="G138" s="112">
        <f t="shared" ref="G138:G152" si="11">F138-E138</f>
        <v>65</v>
      </c>
      <c r="H138" s="99">
        <f>G138+'2'!H138</f>
        <v>186</v>
      </c>
      <c r="I138" s="118"/>
      <c r="J138" s="348">
        <f>H138/DAY(B2)</f>
        <v>62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'2'!F139</f>
        <v>886103</v>
      </c>
      <c r="F139" s="148">
        <v>886104</v>
      </c>
      <c r="G139" s="112">
        <f t="shared" si="11"/>
        <v>1</v>
      </c>
      <c r="H139" s="99">
        <f>G139+'2'!H139</f>
        <v>2</v>
      </c>
      <c r="I139" s="118"/>
      <c r="J139" s="348">
        <f>H139/DAY(B2)</f>
        <v>0.66666666666666663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'2'!F140</f>
        <v>88817</v>
      </c>
      <c r="F140" s="149">
        <v>88817</v>
      </c>
      <c r="G140" s="112">
        <f t="shared" si="11"/>
        <v>0</v>
      </c>
      <c r="H140" s="99">
        <f>G140+'2'!H140</f>
        <v>0</v>
      </c>
      <c r="I140" s="118"/>
      <c r="J140" s="348">
        <f>H140/DAY(B2)</f>
        <v>0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'2'!F141</f>
        <v>37650.9</v>
      </c>
      <c r="F141" s="149">
        <v>37828.410000000003</v>
      </c>
      <c r="G141" s="112">
        <f t="shared" si="11"/>
        <v>177.51000000000204</v>
      </c>
      <c r="H141" s="99">
        <f>G141+'2'!H141</f>
        <v>540.4600000000064</v>
      </c>
      <c r="I141" s="118"/>
      <c r="J141" s="348">
        <f>H141/DAY(B2)</f>
        <v>180.15333333333547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'2'!F142</f>
        <v>16994.5</v>
      </c>
      <c r="F142" s="148">
        <v>17010.22</v>
      </c>
      <c r="G142" s="112">
        <f t="shared" si="11"/>
        <v>15.720000000001164</v>
      </c>
      <c r="H142" s="99">
        <f>G142+'2'!H142</f>
        <v>48.350000000002183</v>
      </c>
      <c r="I142" s="140"/>
      <c r="J142" s="348">
        <f>H142/DAY(B2)</f>
        <v>16.116666666667395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'2'!F143</f>
        <v>1432.53</v>
      </c>
      <c r="F143" s="149">
        <v>1456.73</v>
      </c>
      <c r="G143" s="112">
        <f t="shared" si="11"/>
        <v>24.200000000000045</v>
      </c>
      <c r="H143" s="99">
        <f>G143+'2'!H143</f>
        <v>73.549999999999955</v>
      </c>
      <c r="I143" s="140"/>
      <c r="J143" s="348">
        <f>H143/DAY(B2)</f>
        <v>24.516666666666652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'2'!F144</f>
        <v>855816</v>
      </c>
      <c r="F144" s="149">
        <v>856044</v>
      </c>
      <c r="G144" s="112">
        <f t="shared" si="11"/>
        <v>228</v>
      </c>
      <c r="H144" s="99">
        <f>G144+'2'!H144</f>
        <v>675</v>
      </c>
      <c r="I144" s="140"/>
      <c r="J144" s="348">
        <f>H144/DAY(B2)</f>
        <v>225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'2'!F145</f>
        <v>2281.8200000000002</v>
      </c>
      <c r="F145" s="149">
        <v>2318.39</v>
      </c>
      <c r="G145" s="112">
        <f t="shared" si="11"/>
        <v>36.569999999999709</v>
      </c>
      <c r="H145" s="99">
        <f>G145+'2'!H145</f>
        <v>105.38999999999987</v>
      </c>
      <c r="I145" s="140"/>
      <c r="J145" s="348">
        <f>H145/DAY(B2)</f>
        <v>35.12999999999996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'2'!F146</f>
        <v>699283</v>
      </c>
      <c r="F146" s="147">
        <v>699559</v>
      </c>
      <c r="G146" s="112">
        <f t="shared" si="11"/>
        <v>276</v>
      </c>
      <c r="H146" s="99">
        <f>G146+'2'!H146</f>
        <v>1040</v>
      </c>
      <c r="I146" s="140"/>
      <c r="J146" s="348">
        <f>H146/DAY(B2)</f>
        <v>346.66666666666669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'2'!F147</f>
        <v>589696.92000000004</v>
      </c>
      <c r="F147" s="148">
        <v>590089.64</v>
      </c>
      <c r="G147" s="112">
        <f t="shared" si="11"/>
        <v>392.71999999997206</v>
      </c>
      <c r="H147" s="99">
        <f>G147+'2'!H147</f>
        <v>1178.7199999999721</v>
      </c>
      <c r="I147" s="140"/>
      <c r="J147" s="348">
        <f>H147/DAY(B2)</f>
        <v>392.90666666665737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'2'!F148</f>
        <v>665542.04</v>
      </c>
      <c r="F148" s="150">
        <v>665752.64</v>
      </c>
      <c r="G148" s="112">
        <f t="shared" si="11"/>
        <v>210.59999999997672</v>
      </c>
      <c r="H148" s="99">
        <f>G148+'2'!H148</f>
        <v>644.52000000001863</v>
      </c>
      <c r="I148" s="124"/>
      <c r="J148" s="348">
        <f>H148/DAY(B2)</f>
        <v>214.8400000000062</v>
      </c>
    </row>
    <row r="149" spans="1:10" ht="27.75">
      <c r="A149" s="851" t="s">
        <v>336</v>
      </c>
      <c r="B149" s="852"/>
      <c r="C149" s="853"/>
      <c r="D149" s="227" t="s">
        <v>130</v>
      </c>
      <c r="E149" s="95">
        <f>'2'!F149</f>
        <v>85433</v>
      </c>
      <c r="F149" s="146">
        <v>85795</v>
      </c>
      <c r="G149" s="112">
        <f t="shared" si="11"/>
        <v>362</v>
      </c>
      <c r="H149" s="99">
        <f>G149+'2'!H149</f>
        <v>1048</v>
      </c>
      <c r="I149" s="119"/>
      <c r="J149" s="348">
        <f>H149/DAY(B2)</f>
        <v>349.33333333333331</v>
      </c>
    </row>
    <row r="150" spans="1:10" ht="27.75">
      <c r="A150" s="851" t="s">
        <v>337</v>
      </c>
      <c r="B150" s="852"/>
      <c r="C150" s="853"/>
      <c r="D150" s="117" t="s">
        <v>130</v>
      </c>
      <c r="E150" s="95">
        <f>'2'!F150</f>
        <v>7167232</v>
      </c>
      <c r="F150" s="233">
        <v>7167232</v>
      </c>
      <c r="G150" s="112">
        <f t="shared" si="11"/>
        <v>0</v>
      </c>
      <c r="H150" s="99">
        <f>G150+'2'!H150</f>
        <v>0</v>
      </c>
      <c r="I150" s="119"/>
      <c r="J150" s="348">
        <f>H150/DAY(B2)</f>
        <v>0</v>
      </c>
    </row>
    <row r="151" spans="1:10" ht="29.25" customHeight="1">
      <c r="A151" s="851" t="s">
        <v>338</v>
      </c>
      <c r="B151" s="852"/>
      <c r="C151" s="853"/>
      <c r="D151" s="117" t="s">
        <v>130</v>
      </c>
      <c r="E151" s="95">
        <f>'2'!F151</f>
        <v>63485</v>
      </c>
      <c r="F151" s="233">
        <v>63776</v>
      </c>
      <c r="G151" s="112">
        <f t="shared" si="11"/>
        <v>291</v>
      </c>
      <c r="H151" s="99">
        <f>G151+'2'!H151</f>
        <v>766</v>
      </c>
      <c r="I151" s="119"/>
      <c r="J151" s="348">
        <f>H151/DAY(B2)</f>
        <v>255.33333333333334</v>
      </c>
    </row>
    <row r="152" spans="1:10" ht="29.25" customHeight="1">
      <c r="A152" s="851" t="s">
        <v>339</v>
      </c>
      <c r="B152" s="852"/>
      <c r="C152" s="853"/>
      <c r="D152" s="117" t="s">
        <v>130</v>
      </c>
      <c r="E152" s="95">
        <f>'2'!F152</f>
        <v>0</v>
      </c>
      <c r="F152" s="233">
        <v>0</v>
      </c>
      <c r="G152" s="112">
        <f t="shared" si="11"/>
        <v>0</v>
      </c>
      <c r="H152" s="99">
        <f>G152+'2'!H152</f>
        <v>0</v>
      </c>
      <c r="I152" s="119"/>
      <c r="J152" s="348">
        <f>H152/DAY(B2)</f>
        <v>0</v>
      </c>
    </row>
    <row r="153" spans="1:10" ht="29.25" customHeight="1">
      <c r="A153" s="823" t="s">
        <v>196</v>
      </c>
      <c r="B153" s="824"/>
      <c r="C153" s="825"/>
      <c r="D153" s="387"/>
      <c r="E153" s="388"/>
      <c r="F153" s="389"/>
      <c r="G153" s="390">
        <f>SUM(G138:G152)</f>
        <v>2080.3199999999515</v>
      </c>
      <c r="H153" s="391"/>
      <c r="I153" s="119">
        <f>G153-(G38+G52)</f>
        <v>135.6099999999451</v>
      </c>
      <c r="J153" s="392"/>
    </row>
    <row r="154" spans="1:10" ht="29.25" customHeight="1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29.25" customHeight="1">
      <c r="A155" s="771" t="s">
        <v>345</v>
      </c>
      <c r="B155" s="771"/>
      <c r="C155" s="771"/>
      <c r="D155" s="117" t="s">
        <v>130</v>
      </c>
      <c r="E155" s="95">
        <f>'2'!F155</f>
        <v>77282.600000000006</v>
      </c>
      <c r="F155" s="384">
        <v>77290.5</v>
      </c>
      <c r="G155" s="112">
        <f t="shared" ref="G155:G156" si="12">F155-E155</f>
        <v>7.8999999999941792</v>
      </c>
      <c r="H155" s="99">
        <f>G155+'2'!H155</f>
        <v>15.899999999994179</v>
      </c>
      <c r="I155" s="384"/>
      <c r="J155" s="348">
        <f>H155/DAY(B2)</f>
        <v>5.29999999999806</v>
      </c>
    </row>
    <row r="156" spans="1:10" ht="29.25" customHeight="1">
      <c r="A156" s="854" t="s">
        <v>346</v>
      </c>
      <c r="B156" s="854"/>
      <c r="C156" s="854"/>
      <c r="D156" s="117" t="s">
        <v>130</v>
      </c>
      <c r="E156" s="95">
        <f>'2'!F156</f>
        <v>0</v>
      </c>
      <c r="F156" s="165"/>
      <c r="G156" s="112">
        <f t="shared" si="12"/>
        <v>0</v>
      </c>
      <c r="H156" s="99">
        <f>G156+'2'!H156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'2'!F158</f>
        <v>469697.44</v>
      </c>
      <c r="F158" s="235">
        <v>469704.12</v>
      </c>
      <c r="G158" s="238">
        <f t="shared" ref="G158:G162" si="13">F158-E158</f>
        <v>6.6799999999930151</v>
      </c>
      <c r="H158" s="99">
        <f>G158+'2'!H158</f>
        <v>175.0800000000163</v>
      </c>
      <c r="I158" s="236"/>
      <c r="J158" s="239">
        <f>H158/DAY(B2)</f>
        <v>58.360000000005435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'2'!F159</f>
        <v>85770.9</v>
      </c>
      <c r="F159" s="235">
        <v>85808.7</v>
      </c>
      <c r="G159" s="238">
        <f t="shared" si="13"/>
        <v>37.80000000000291</v>
      </c>
      <c r="H159" s="99">
        <f>G159+'2'!H159</f>
        <v>103.09999999999127</v>
      </c>
      <c r="I159" s="236"/>
      <c r="J159" s="239">
        <f>H159/DAY(B2)</f>
        <v>34.366666666663754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'2'!F160</f>
        <v>73504.399999999994</v>
      </c>
      <c r="F160" s="235">
        <v>73566.399999999994</v>
      </c>
      <c r="G160" s="238">
        <f t="shared" si="13"/>
        <v>62</v>
      </c>
      <c r="H160" s="99">
        <f>G160+'2'!H160</f>
        <v>229.5</v>
      </c>
      <c r="I160" s="236"/>
      <c r="J160" s="239">
        <f>H160/DAY(B2)</f>
        <v>76.5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'2'!F161</f>
        <v>3973.6</v>
      </c>
      <c r="F161" s="235">
        <v>3973.6</v>
      </c>
      <c r="G161" s="238">
        <f t="shared" si="13"/>
        <v>0</v>
      </c>
      <c r="H161" s="99">
        <f>G161+'2'!H161</f>
        <v>9.9999999999909051E-2</v>
      </c>
      <c r="I161" s="236"/>
      <c r="J161" s="239">
        <f>H161/DAY(B2)</f>
        <v>3.3333333333303017E-2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'2'!F162</f>
        <v>29219.94</v>
      </c>
      <c r="F162" s="235">
        <v>29228.89</v>
      </c>
      <c r="G162" s="238">
        <f t="shared" si="13"/>
        <v>8.9500000000007276</v>
      </c>
      <c r="H162" s="99">
        <f>G162+'2'!H162</f>
        <v>30.75</v>
      </c>
      <c r="I162" s="236"/>
      <c r="J162" s="239">
        <f>H162/DAY(B2)</f>
        <v>10.25</v>
      </c>
    </row>
    <row r="163" spans="1:10" ht="29.25">
      <c r="A163" s="780"/>
      <c r="B163" s="780"/>
      <c r="C163" s="247"/>
      <c r="D163" s="244" t="s">
        <v>180</v>
      </c>
      <c r="E163" s="95">
        <f>'2'!F163</f>
        <v>0</v>
      </c>
      <c r="F163" s="165"/>
      <c r="G163" s="165"/>
      <c r="H163" s="99">
        <f>G163+'2'!H163</f>
        <v>0</v>
      </c>
      <c r="I163" s="165"/>
      <c r="J163" s="347"/>
    </row>
    <row r="164" spans="1:10" ht="29.25">
      <c r="A164" s="780"/>
      <c r="B164" s="780"/>
      <c r="C164" s="247"/>
      <c r="D164" s="244" t="s">
        <v>180</v>
      </c>
      <c r="E164" s="95">
        <f>'2'!F164</f>
        <v>0</v>
      </c>
      <c r="F164" s="165"/>
      <c r="G164" s="165"/>
      <c r="H164" s="99">
        <f>G164+'2'!H164</f>
        <v>0</v>
      </c>
      <c r="I164" s="165"/>
      <c r="J164" s="347"/>
    </row>
    <row r="165" spans="1:10" ht="29.25">
      <c r="A165" s="780"/>
      <c r="B165" s="780"/>
      <c r="C165" s="247"/>
      <c r="D165" s="244" t="s">
        <v>180</v>
      </c>
      <c r="E165" s="95">
        <f>'2'!F165</f>
        <v>0</v>
      </c>
      <c r="F165" s="165"/>
      <c r="G165" s="165"/>
      <c r="H165" s="99">
        <f>G165+'2'!H165</f>
        <v>0</v>
      </c>
      <c r="I165" s="165"/>
      <c r="J165" s="347"/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'2'!F170</f>
        <v>7998</v>
      </c>
      <c r="F170" s="155">
        <v>7998</v>
      </c>
      <c r="G170" s="155">
        <f>F170-E170</f>
        <v>0</v>
      </c>
      <c r="H170" s="99">
        <f>G170+'2'!H170</f>
        <v>0</v>
      </c>
      <c r="I170" s="155"/>
      <c r="J170" s="178">
        <f>H170/DAY(B2)</f>
        <v>0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'2'!F171</f>
        <v>37411</v>
      </c>
      <c r="F171" s="157">
        <v>37425</v>
      </c>
      <c r="G171" s="155">
        <f t="shared" ref="G171:G172" si="14">F171-E171</f>
        <v>14</v>
      </c>
      <c r="H171" s="99">
        <f>G171+'2'!H171</f>
        <v>42</v>
      </c>
      <c r="I171" s="155"/>
      <c r="J171" s="178">
        <f>H171/DAY(B2)</f>
        <v>14</v>
      </c>
    </row>
    <row r="172" spans="1:10" ht="21.75" customHeight="1">
      <c r="A172" s="786" t="s">
        <v>76</v>
      </c>
      <c r="B172" s="826"/>
      <c r="C172" s="787"/>
      <c r="D172" s="228" t="s">
        <v>142</v>
      </c>
      <c r="E172" s="95">
        <f>'2'!F172</f>
        <v>20809</v>
      </c>
      <c r="F172" s="155">
        <v>20817</v>
      </c>
      <c r="G172" s="155">
        <f t="shared" si="14"/>
        <v>8</v>
      </c>
      <c r="H172" s="99">
        <f>G172+'2'!H172</f>
        <v>29</v>
      </c>
      <c r="I172" s="155"/>
      <c r="J172" s="178">
        <f>H172/DAY(B2)</f>
        <v>9.6666666666666661</v>
      </c>
    </row>
    <row r="173" spans="1:10" ht="21.75" customHeight="1">
      <c r="A173" s="823" t="s">
        <v>196</v>
      </c>
      <c r="B173" s="824"/>
      <c r="C173" s="825"/>
      <c r="D173" s="228"/>
      <c r="E173" s="95"/>
      <c r="F173" s="155"/>
      <c r="G173" s="155">
        <f>SUM(G170:G172)</f>
        <v>22</v>
      </c>
      <c r="H173" s="99">
        <f>G173+'2'!H173</f>
        <v>71</v>
      </c>
      <c r="I173" s="155"/>
      <c r="J173" s="178">
        <f>H173/DAY(B2)</f>
        <v>23.666666666666668</v>
      </c>
    </row>
    <row r="174" spans="1:10" ht="21.75" customHeight="1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G174+'2'!H174</f>
        <v>0</v>
      </c>
      <c r="I174" s="155"/>
      <c r="J174" s="178">
        <f>H174/DAY(B2)</f>
        <v>0</v>
      </c>
    </row>
    <row r="175" spans="1:10" ht="27.75" customHeight="1">
      <c r="A175" s="786" t="s">
        <v>210</v>
      </c>
      <c r="B175" s="787"/>
      <c r="C175" s="353"/>
      <c r="D175" s="228" t="s">
        <v>142</v>
      </c>
      <c r="E175" s="95">
        <f>'2'!F175</f>
        <v>74744</v>
      </c>
      <c r="F175" s="155">
        <v>74804</v>
      </c>
      <c r="G175" s="155">
        <f>F175-E175</f>
        <v>60</v>
      </c>
      <c r="H175" s="99">
        <f>G175+'2'!H175</f>
        <v>185</v>
      </c>
      <c r="I175" s="155"/>
      <c r="J175" s="178">
        <f>H175/DAY(B2)</f>
        <v>61.666666666666664</v>
      </c>
    </row>
    <row r="176" spans="1:10" ht="24" customHeight="1">
      <c r="A176" s="786" t="s">
        <v>211</v>
      </c>
      <c r="B176" s="787"/>
      <c r="C176" s="353"/>
      <c r="D176" s="228" t="s">
        <v>142</v>
      </c>
      <c r="E176" s="95">
        <f>'2'!F176</f>
        <v>33886</v>
      </c>
      <c r="F176" s="155">
        <v>33886</v>
      </c>
      <c r="G176" s="155">
        <f t="shared" ref="G176:G177" si="15">F176-E176</f>
        <v>0</v>
      </c>
      <c r="H176" s="99">
        <f>G176+'2'!H176</f>
        <v>0</v>
      </c>
      <c r="I176" s="155"/>
      <c r="J176" s="178">
        <f>H176/DAY(B2)</f>
        <v>0</v>
      </c>
    </row>
    <row r="177" spans="1:10" ht="22.5" customHeight="1">
      <c r="A177" s="786" t="s">
        <v>212</v>
      </c>
      <c r="B177" s="787"/>
      <c r="C177" s="353"/>
      <c r="D177" s="228" t="s">
        <v>142</v>
      </c>
      <c r="E177" s="95">
        <f>'2'!F177</f>
        <v>5060</v>
      </c>
      <c r="F177" s="155">
        <v>5074</v>
      </c>
      <c r="G177" s="155">
        <f t="shared" si="15"/>
        <v>14</v>
      </c>
      <c r="H177" s="99">
        <f>G177+'2'!H177</f>
        <v>33</v>
      </c>
      <c r="I177" s="155"/>
      <c r="J177" s="178">
        <f>H177/DAY(B2)</f>
        <v>11</v>
      </c>
    </row>
    <row r="178" spans="1:10" ht="29.25">
      <c r="A178" s="823" t="s">
        <v>196</v>
      </c>
      <c r="B178" s="824"/>
      <c r="C178" s="825"/>
      <c r="D178" s="228"/>
      <c r="E178" s="95"/>
      <c r="F178" s="155"/>
      <c r="G178" s="155">
        <f>SUM(G175:G177)</f>
        <v>74</v>
      </c>
      <c r="H178" s="99">
        <f>G178+'2'!H178</f>
        <v>218</v>
      </c>
      <c r="I178" s="155"/>
      <c r="J178" s="178">
        <f>H178/DAY(B2)</f>
        <v>72.666666666666671</v>
      </c>
    </row>
    <row r="179" spans="1:10" ht="27" customHeight="1">
      <c r="A179" s="786" t="s">
        <v>213</v>
      </c>
      <c r="B179" s="787"/>
      <c r="C179" s="353"/>
      <c r="D179" s="228"/>
      <c r="E179" s="95"/>
      <c r="F179" s="155"/>
      <c r="G179" s="155"/>
      <c r="H179" s="99">
        <f>G179+'2'!H179</f>
        <v>0</v>
      </c>
      <c r="I179" s="155"/>
      <c r="J179" s="178">
        <f>H179/DAY(B2)</f>
        <v>0</v>
      </c>
    </row>
    <row r="180" spans="1:10" ht="27" customHeight="1">
      <c r="A180" s="786" t="s">
        <v>214</v>
      </c>
      <c r="B180" s="787"/>
      <c r="C180" s="354"/>
      <c r="D180" s="228" t="s">
        <v>142</v>
      </c>
      <c r="E180" s="95">
        <f>'2'!F180</f>
        <v>14061</v>
      </c>
      <c r="F180" s="157">
        <v>14084</v>
      </c>
      <c r="G180" s="157">
        <f>F180-E180</f>
        <v>23</v>
      </c>
      <c r="H180" s="99">
        <f>G180+'2'!H180</f>
        <v>53</v>
      </c>
      <c r="I180" s="155"/>
      <c r="J180" s="178">
        <f>H180/DAY(B2)</f>
        <v>17.666666666666668</v>
      </c>
    </row>
    <row r="181" spans="1:10" ht="25.5" customHeight="1">
      <c r="A181" s="786" t="s">
        <v>215</v>
      </c>
      <c r="B181" s="787"/>
      <c r="C181" s="354"/>
      <c r="D181" s="228" t="s">
        <v>142</v>
      </c>
      <c r="E181" s="95">
        <f>'2'!F181</f>
        <v>9767</v>
      </c>
      <c r="F181" s="157">
        <v>9775</v>
      </c>
      <c r="G181" s="157">
        <f t="shared" ref="G181:G182" si="16">F181-E181</f>
        <v>8</v>
      </c>
      <c r="H181" s="99">
        <f>G181+'2'!H181</f>
        <v>21</v>
      </c>
      <c r="I181" s="155"/>
      <c r="J181" s="178">
        <f>H181/DAY(B2)</f>
        <v>7</v>
      </c>
    </row>
    <row r="182" spans="1:10" ht="27.75">
      <c r="A182" s="786" t="s">
        <v>216</v>
      </c>
      <c r="B182" s="787"/>
      <c r="C182" s="354"/>
      <c r="D182" s="228" t="s">
        <v>142</v>
      </c>
      <c r="E182" s="95">
        <f>'2'!F182</f>
        <v>0</v>
      </c>
      <c r="F182" s="157"/>
      <c r="G182" s="157">
        <f t="shared" si="16"/>
        <v>0</v>
      </c>
      <c r="H182" s="99">
        <f>G182+'2'!H182</f>
        <v>0</v>
      </c>
      <c r="I182" s="155"/>
      <c r="J182" s="178">
        <f>H182/DAY(B2)</f>
        <v>0</v>
      </c>
    </row>
    <row r="183" spans="1:10" ht="29.25">
      <c r="A183" s="823" t="s">
        <v>196</v>
      </c>
      <c r="B183" s="824"/>
      <c r="C183" s="825"/>
      <c r="D183" s="229"/>
      <c r="E183" s="95"/>
      <c r="F183" s="157"/>
      <c r="G183" s="157">
        <f>SUM(G180:G182)</f>
        <v>31</v>
      </c>
      <c r="H183" s="99">
        <f>G183+'2'!H183</f>
        <v>74</v>
      </c>
      <c r="I183" s="157"/>
      <c r="J183" s="178">
        <f>H183/DAY(B2)</f>
        <v>24.666666666666668</v>
      </c>
    </row>
    <row r="184" spans="1:10" ht="27.75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187</v>
      </c>
      <c r="H184" s="99">
        <f>G184+'2'!H184</f>
        <v>530</v>
      </c>
      <c r="I184" s="158"/>
      <c r="J184" s="179">
        <f>H184/DAY(B2)</f>
        <v>176.66666666666666</v>
      </c>
    </row>
    <row r="185" spans="1:10" ht="18.75" customHeight="1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202</v>
      </c>
      <c r="H185" s="99">
        <f>G185+'2'!H185</f>
        <v>535</v>
      </c>
      <c r="I185" s="158"/>
      <c r="J185" s="179">
        <f>H185/DAY(B2)</f>
        <v>178.33333333333334</v>
      </c>
    </row>
    <row r="186" spans="1:10" ht="27.75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74</v>
      </c>
      <c r="H186" s="99">
        <f>G186+'2'!H186</f>
        <v>218</v>
      </c>
      <c r="I186" s="158"/>
      <c r="J186" s="179">
        <f>H186/DAY(B2)</f>
        <v>72.666666666666671</v>
      </c>
    </row>
    <row r="187" spans="1:10" ht="27.75">
      <c r="A187" s="777"/>
      <c r="B187" s="778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/>
    <row r="189" spans="1:10" ht="29.25"/>
    <row r="190" spans="1:10" ht="29.25"/>
    <row r="191" spans="1:10" ht="29.25"/>
    <row r="192" spans="1:10" ht="29.25"/>
    <row r="193" ht="29.25" customHeight="1"/>
    <row r="194" ht="29.25" customHeight="1"/>
    <row r="195" ht="29.25" customHeight="1"/>
    <row r="196" ht="29.25" customHeight="1"/>
    <row r="197" ht="29.25" customHeight="1"/>
    <row r="198" ht="29.25" customHeight="1"/>
    <row r="199" ht="29.25" customHeight="1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</sheetData>
  <mergeCells count="112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57:J157"/>
    <mergeCell ref="A133:C133"/>
    <mergeCell ref="A134:C134"/>
    <mergeCell ref="A135:C135"/>
    <mergeCell ref="A136:J136"/>
    <mergeCell ref="A138:C138"/>
    <mergeCell ref="A184:B184"/>
    <mergeCell ref="A168:J168"/>
    <mergeCell ref="A169:B169"/>
    <mergeCell ref="A170:B170"/>
    <mergeCell ref="A171:B171"/>
    <mergeCell ref="A174:B174"/>
    <mergeCell ref="A144:C144"/>
    <mergeCell ref="A145:C145"/>
    <mergeCell ref="A146:C146"/>
    <mergeCell ref="A147:C147"/>
    <mergeCell ref="A148:C148"/>
    <mergeCell ref="A143:C143"/>
    <mergeCell ref="A149:C149"/>
    <mergeCell ref="A172:C172"/>
    <mergeCell ref="A163:B163"/>
    <mergeCell ref="A150:C150"/>
    <mergeCell ref="A151:C151"/>
    <mergeCell ref="A152:C152"/>
    <mergeCell ref="A185:B185"/>
    <mergeCell ref="A186:B186"/>
    <mergeCell ref="A187:B187"/>
    <mergeCell ref="A175:B175"/>
    <mergeCell ref="A176:B176"/>
    <mergeCell ref="A177:B177"/>
    <mergeCell ref="A182:B182"/>
    <mergeCell ref="A179:B179"/>
    <mergeCell ref="A180:B180"/>
    <mergeCell ref="A181:B181"/>
    <mergeCell ref="A164:B164"/>
    <mergeCell ref="A165:B165"/>
    <mergeCell ref="A154:J154"/>
    <mergeCell ref="A155:C155"/>
    <mergeCell ref="A156:C156"/>
    <mergeCell ref="A153:C153"/>
    <mergeCell ref="A173:C173"/>
    <mergeCell ref="A178:C178"/>
    <mergeCell ref="A183:C183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67"/>
  <sheetViews>
    <sheetView view="pageBreakPreview" topLeftCell="A121" zoomScale="55" zoomScaleNormal="48" zoomScaleSheetLayoutView="55" workbookViewId="0">
      <selection activeCell="I153" sqref="I15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350</v>
      </c>
      <c r="B2" s="266">
        <v>44473</v>
      </c>
      <c r="C2" s="36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>
      <c r="A7" s="194" t="s">
        <v>129</v>
      </c>
      <c r="B7" s="195"/>
      <c r="C7" s="195"/>
      <c r="D7" s="151" t="s">
        <v>130</v>
      </c>
      <c r="E7" s="95">
        <f>'3'!F7</f>
        <v>752086.35</v>
      </c>
      <c r="F7" s="95">
        <v>772427.83</v>
      </c>
      <c r="G7" s="112">
        <f>F7-E7</f>
        <v>20341.479999999981</v>
      </c>
      <c r="H7" s="99">
        <f>G7+'3'!H7</f>
        <v>86164.529999999912</v>
      </c>
      <c r="I7" s="113">
        <f>'1'!I7</f>
        <v>12000</v>
      </c>
      <c r="J7" s="175">
        <f>H7/DAY(B2)</f>
        <v>21541.132499999978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'3'!F8</f>
        <v>780414.7</v>
      </c>
      <c r="F8" s="114">
        <v>801248.11</v>
      </c>
      <c r="G8" s="115">
        <f>F8-E8</f>
        <v>20833.410000000033</v>
      </c>
      <c r="H8" s="99">
        <f>G8+'3'!H8</f>
        <v>88084.209999999963</v>
      </c>
      <c r="I8" s="116"/>
      <c r="J8" s="175">
        <f>H8/DAY(B2)</f>
        <v>22021.052499999991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'3'!F9</f>
        <v>1300991.8999999999</v>
      </c>
      <c r="F9" s="117">
        <v>1313129.2</v>
      </c>
      <c r="G9" s="112">
        <f>F9-E9</f>
        <v>12137.300000000047</v>
      </c>
      <c r="H9" s="99">
        <f>G9+'3'!H9</f>
        <v>51850.699999999953</v>
      </c>
      <c r="I9" s="124">
        <f>I7-J7</f>
        <v>-9541.1324999999779</v>
      </c>
      <c r="J9" s="175">
        <f>H9/DAY(B2)</f>
        <v>12962.674999999988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'3'!F10</f>
        <v>192735.25</v>
      </c>
      <c r="F10" s="117">
        <v>200397.71</v>
      </c>
      <c r="G10" s="112">
        <f t="shared" ref="G10:G12" si="0">F10-E10</f>
        <v>7662.4599999999919</v>
      </c>
      <c r="H10" s="99">
        <f>G10+'3'!H10</f>
        <v>32013.78</v>
      </c>
      <c r="I10" s="286"/>
      <c r="J10" s="175">
        <f>H10/DAY(B2)</f>
        <v>8003.4449999999997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19799.760000000038</v>
      </c>
      <c r="H13" s="99">
        <f>G13+'3'!H13</f>
        <v>63058.019999999931</v>
      </c>
      <c r="I13" s="120">
        <f>G7-G13</f>
        <v>541.71999999994296</v>
      </c>
      <c r="J13" s="175">
        <f>H13/DAY(B2)</f>
        <v>15764.504999999983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'3'!F15</f>
        <v>1818598.33</v>
      </c>
      <c r="F15" s="123">
        <v>1819513.08</v>
      </c>
      <c r="G15" s="112">
        <f>(F15-E15)</f>
        <v>914.75</v>
      </c>
      <c r="H15" s="99">
        <f>G15+'3'!H15</f>
        <v>3846.1200000001118</v>
      </c>
      <c r="I15" s="113">
        <f>'1'!I15</f>
        <v>800</v>
      </c>
      <c r="J15" s="175">
        <f>H15/DAY(B2)</f>
        <v>961.53000000002794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-161.53000000002794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'3'!F18</f>
        <v>22</v>
      </c>
      <c r="F18" s="122">
        <v>18</v>
      </c>
      <c r="G18" s="119">
        <f>F18*10</f>
        <v>180</v>
      </c>
      <c r="H18" s="99">
        <f>G18+'3'!H18</f>
        <v>790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'3'!F19</f>
        <v>149093</v>
      </c>
      <c r="F19" s="122">
        <v>149152</v>
      </c>
      <c r="G19" s="112">
        <f t="shared" ref="G19" si="1">F19-E19</f>
        <v>59</v>
      </c>
      <c r="H19" s="99">
        <f>G19+'3'!H19</f>
        <v>235</v>
      </c>
      <c r="I19" s="355"/>
      <c r="J19" s="175">
        <f>H19/DAY(B2)</f>
        <v>58.75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239</v>
      </c>
      <c r="H20" s="99">
        <f>G20+'3'!H20</f>
        <v>1025</v>
      </c>
      <c r="I20" s="356">
        <f>I18-J20</f>
        <v>-191.25</v>
      </c>
      <c r="J20" s="175">
        <f>H20/DAY(B2)</f>
        <v>256.25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'3'!F23</f>
        <v>2000</v>
      </c>
      <c r="F23" s="122">
        <v>2000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20833.410000000033</v>
      </c>
      <c r="F27" s="136">
        <v>9</v>
      </c>
      <c r="G27" s="137">
        <f>E27*F27</f>
        <v>187500.69000000029</v>
      </c>
      <c r="H27" s="99">
        <f>G27+'3'!H27</f>
        <v>792757.88999999966</v>
      </c>
      <c r="I27" s="138"/>
      <c r="J27" s="175">
        <f>H27/DAY(B2)</f>
        <v>198189.47249999992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914.75</v>
      </c>
      <c r="F28" s="136">
        <v>52</v>
      </c>
      <c r="G28" s="137">
        <f>E28*F28</f>
        <v>47567</v>
      </c>
      <c r="H28" s="99">
        <f>G28+'3'!H28</f>
        <v>199998.24000000581</v>
      </c>
      <c r="I28" s="140"/>
      <c r="J28" s="175">
        <f>H28/DAY(B2)</f>
        <v>49999.560000001453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G30+'3'!H30</f>
        <v>34310</v>
      </c>
      <c r="I30" s="140"/>
      <c r="J30" s="175">
        <f>H30/DAY(B2)</f>
        <v>8577.5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G31+'3'!H31</f>
        <v>63200</v>
      </c>
      <c r="I31" s="140"/>
      <c r="J31" s="175">
        <f>H31/DAY(B2)</f>
        <v>15800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258081.69000000029</v>
      </c>
      <c r="H32" s="99">
        <f>G32+'3'!H32</f>
        <v>1090266.1300000055</v>
      </c>
      <c r="I32" s="144"/>
      <c r="J32" s="175">
        <f>H32/DAY(B2)</f>
        <v>272566.53250000137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'3'!F35</f>
        <v>38333.11</v>
      </c>
      <c r="F35" s="145">
        <v>40304.6</v>
      </c>
      <c r="G35" s="112">
        <f t="shared" ref="G35:G46" si="3">F35-E35</f>
        <v>1971.489999999998</v>
      </c>
      <c r="H35" s="99">
        <f>G35+'3'!H35</f>
        <v>7829.93</v>
      </c>
      <c r="I35" s="95"/>
      <c r="J35" s="175">
        <f>H35/DAY(B2)</f>
        <v>1957.4825000000001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'3'!F36</f>
        <v>52064.56</v>
      </c>
      <c r="F36" s="145">
        <v>52704.68</v>
      </c>
      <c r="G36" s="112">
        <f t="shared" si="3"/>
        <v>640.12000000000262</v>
      </c>
      <c r="H36" s="99">
        <f>G36+'3'!H36</f>
        <v>2765.010000000002</v>
      </c>
      <c r="I36" s="95"/>
      <c r="J36" s="175">
        <f>H36/DAY(B2)</f>
        <v>691.25250000000051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'3'!F37</f>
        <v>101838.77</v>
      </c>
      <c r="F37" s="145">
        <v>103277.67</v>
      </c>
      <c r="G37" s="112">
        <f t="shared" si="3"/>
        <v>1438.8999999999942</v>
      </c>
      <c r="H37" s="99">
        <f>G37+'3'!H37</f>
        <v>6223.8399999999965</v>
      </c>
      <c r="I37" s="95"/>
      <c r="J37" s="175">
        <f>H37/DAY(B2)</f>
        <v>1555.9599999999991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'3'!F38</f>
        <v>120784.88</v>
      </c>
      <c r="F38" s="108">
        <v>122427.49</v>
      </c>
      <c r="G38" s="112">
        <f t="shared" si="3"/>
        <v>1642.6100000000006</v>
      </c>
      <c r="H38" s="99">
        <f>G38+'3'!H38</f>
        <v>7204.4500000000116</v>
      </c>
      <c r="I38" s="95"/>
      <c r="J38" s="175">
        <f>H38/DAY(B2)</f>
        <v>1801.1125000000029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'3'!F39</f>
        <v>242187.65</v>
      </c>
      <c r="F39" s="145">
        <v>244933.33</v>
      </c>
      <c r="G39" s="112">
        <f t="shared" si="3"/>
        <v>2745.679999999993</v>
      </c>
      <c r="H39" s="99">
        <f>G39+'3'!H39</f>
        <v>11552.279999999999</v>
      </c>
      <c r="I39" s="95"/>
      <c r="J39" s="175">
        <f>H39/DAY(B2)</f>
        <v>2888.0699999999997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'3'!F40</f>
        <v>30.4</v>
      </c>
      <c r="F40" s="145">
        <v>34.5</v>
      </c>
      <c r="G40" s="112">
        <f t="shared" si="3"/>
        <v>4.1000000000000014</v>
      </c>
      <c r="H40" s="99">
        <f>G40+'3'!H40</f>
        <v>9.129999999999999</v>
      </c>
      <c r="I40" s="95"/>
      <c r="J40" s="175">
        <f>H40/DAY(B2)</f>
        <v>2.2824999999999998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'3'!F41</f>
        <v>582546.71</v>
      </c>
      <c r="F41" s="145">
        <v>582546.71</v>
      </c>
      <c r="G41" s="112">
        <f t="shared" si="3"/>
        <v>0</v>
      </c>
      <c r="H41" s="99">
        <f>G41+'3'!H41</f>
        <v>687.88000000000466</v>
      </c>
      <c r="I41" s="95"/>
      <c r="J41" s="175">
        <f>H41/DAY(B2)</f>
        <v>171.97000000000116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'3'!F42</f>
        <v>270969.83</v>
      </c>
      <c r="F42" s="145">
        <v>270969.63</v>
      </c>
      <c r="G42" s="112">
        <f t="shared" si="3"/>
        <v>-0.20000000001164153</v>
      </c>
      <c r="H42" s="99">
        <f>G42+'3'!H42</f>
        <v>-3.9999999979045242E-2</v>
      </c>
      <c r="I42" s="95"/>
      <c r="J42" s="175">
        <f>H42/DAY(B2)</f>
        <v>-9.9999999947613105E-3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'3'!F43</f>
        <v>1454131.5</v>
      </c>
      <c r="F43" s="145">
        <v>1456655.7</v>
      </c>
      <c r="G43" s="112">
        <f t="shared" si="3"/>
        <v>2524.1999999999534</v>
      </c>
      <c r="H43" s="99">
        <f>G43+'3'!H43</f>
        <v>10568.300000000047</v>
      </c>
      <c r="I43" s="95"/>
      <c r="J43" s="175">
        <f>H43/DAY(B2)</f>
        <v>2642.0750000000116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10966.899999999931</v>
      </c>
      <c r="H47" s="99">
        <f>G47+'3'!H47</f>
        <v>46840.780000000079</v>
      </c>
      <c r="I47" s="95"/>
      <c r="J47" s="175">
        <f>H47/DAY(B2)</f>
        <v>11710.19500000002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'3'!F49</f>
        <v>177344.51</v>
      </c>
      <c r="F49" s="626">
        <v>178987.53</v>
      </c>
      <c r="G49" s="112">
        <f t="shared" ref="G49:G58" si="4">F49-E49</f>
        <v>1643.0199999999895</v>
      </c>
      <c r="H49" s="99">
        <f>G49+'3'!H49</f>
        <v>6257.1399999999849</v>
      </c>
      <c r="I49" s="95"/>
      <c r="J49" s="175">
        <f>H49/DAY(B2)</f>
        <v>1564.2849999999962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'3'!F50</f>
        <v>687375.91</v>
      </c>
      <c r="F50" s="145">
        <v>688259.91</v>
      </c>
      <c r="G50" s="112">
        <f t="shared" si="4"/>
        <v>884</v>
      </c>
      <c r="H50" s="99">
        <f>G50+'3'!H50</f>
        <v>3897.5999999999767</v>
      </c>
      <c r="I50" s="95"/>
      <c r="J50" s="175">
        <f>H50/DAY(B2)</f>
        <v>974.39999999999418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'3'!F54</f>
        <v>2881.74</v>
      </c>
      <c r="F54" s="145">
        <v>2886.34</v>
      </c>
      <c r="G54" s="112">
        <f t="shared" si="4"/>
        <v>4.6000000000003638</v>
      </c>
      <c r="H54" s="99">
        <f>G54+'3'!H54</f>
        <v>18.850000000000364</v>
      </c>
      <c r="I54" s="95"/>
      <c r="J54" s="175">
        <f>H54/DAY(B2)</f>
        <v>4.7125000000000909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'3'!F55</f>
        <v>0</v>
      </c>
      <c r="F55" s="145">
        <v>0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'3'!F56</f>
        <v>59322.92</v>
      </c>
      <c r="F56" s="145">
        <v>64389.62</v>
      </c>
      <c r="G56" s="112">
        <f t="shared" si="4"/>
        <v>5066.7000000000044</v>
      </c>
      <c r="H56" s="99">
        <f>G56+'3'!H56</f>
        <v>21549.33</v>
      </c>
      <c r="I56" s="95"/>
      <c r="J56" s="175">
        <f>H56/DAY(B2)</f>
        <v>5387.3325000000004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'3'!F58</f>
        <v>79601.820000000007</v>
      </c>
      <c r="F58" s="145">
        <v>79800.539999999994</v>
      </c>
      <c r="G58" s="112">
        <f t="shared" si="4"/>
        <v>198.71999999998661</v>
      </c>
      <c r="H58" s="99">
        <f>G58+'3'!H58</f>
        <v>780.63999999999942</v>
      </c>
      <c r="I58" s="95"/>
      <c r="J58" s="175">
        <f>H58/DAY(B2)</f>
        <v>195.15999999999985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7797.0399999999809</v>
      </c>
      <c r="H59" s="99">
        <f>G59+'3'!H59</f>
        <v>32503.559999999961</v>
      </c>
      <c r="I59" s="95">
        <f>G7-G60</f>
        <v>1577.54000000007</v>
      </c>
      <c r="J59" s="175">
        <f>H59/DAY(B2)</f>
        <v>8125.8899999999903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18763.939999999911</v>
      </c>
      <c r="H60" s="99">
        <f>G60+'3'!H60</f>
        <v>79344.340000000055</v>
      </c>
      <c r="I60" s="95">
        <f>G13-G60</f>
        <v>1035.820000000127</v>
      </c>
      <c r="J60" s="175">
        <f>H60/DAY(B2)</f>
        <v>19836.085000000014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'3'!F62</f>
        <v>260172</v>
      </c>
      <c r="F62" s="122">
        <v>260266</v>
      </c>
      <c r="G62" s="112">
        <f t="shared" ref="G62:G63" si="5">F62-E62</f>
        <v>94</v>
      </c>
      <c r="H62" s="99">
        <f>G62+'3'!H62</f>
        <v>448</v>
      </c>
      <c r="I62" s="118"/>
      <c r="J62" s="175">
        <f>H62/DAY(B2)</f>
        <v>112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'3'!F63</f>
        <v>206552</v>
      </c>
      <c r="F63" s="122">
        <v>206667</v>
      </c>
      <c r="G63" s="112">
        <f t="shared" si="5"/>
        <v>115</v>
      </c>
      <c r="H63" s="99">
        <f>G63+'3'!H63</f>
        <v>397</v>
      </c>
      <c r="I63" s="118"/>
      <c r="J63" s="175">
        <f>H63/DAY(B2)</f>
        <v>99.25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122"/>
      <c r="F64" s="122"/>
      <c r="G64" s="112">
        <f>G62+G63</f>
        <v>209</v>
      </c>
      <c r="H64" s="99">
        <f>G64+'3'!H64</f>
        <v>845</v>
      </c>
      <c r="I64" s="118"/>
      <c r="J64" s="175">
        <f>H64/DAY(B2)</f>
        <v>211.25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'3'!F65</f>
        <v>426532</v>
      </c>
      <c r="F65" s="122">
        <v>426617</v>
      </c>
      <c r="G65" s="112">
        <f t="shared" ref="G65:G70" si="6">F65-E65</f>
        <v>85</v>
      </c>
      <c r="H65" s="99">
        <f>G65+'3'!H65</f>
        <v>412</v>
      </c>
      <c r="I65" s="118"/>
      <c r="J65" s="175">
        <f>H65/DAY(B2)</f>
        <v>103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'3'!F66</f>
        <v>106028</v>
      </c>
      <c r="F66" s="122">
        <v>106045</v>
      </c>
      <c r="G66" s="112">
        <f t="shared" si="6"/>
        <v>17</v>
      </c>
      <c r="H66" s="99">
        <f>G66+'3'!H66</f>
        <v>75</v>
      </c>
      <c r="I66" s="118"/>
      <c r="J66" s="175">
        <f>H66/DAY(B2)</f>
        <v>18.75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'3'!F67</f>
        <v>102244</v>
      </c>
      <c r="F67" s="122">
        <v>102261</v>
      </c>
      <c r="G67" s="112">
        <f t="shared" si="6"/>
        <v>17</v>
      </c>
      <c r="H67" s="99">
        <f>G67+'3'!H67</f>
        <v>90</v>
      </c>
      <c r="I67" s="118"/>
      <c r="J67" s="175">
        <f>H67/DAY(B2)</f>
        <v>22.5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'3'!F68</f>
        <v>154598</v>
      </c>
      <c r="F68" s="122">
        <v>154638</v>
      </c>
      <c r="G68" s="112">
        <f t="shared" si="6"/>
        <v>40</v>
      </c>
      <c r="H68" s="99">
        <f>G68+'3'!H68</f>
        <v>142</v>
      </c>
      <c r="I68" s="118"/>
      <c r="J68" s="175">
        <f>H68/DAY(B2)</f>
        <v>35.5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'3'!F69</f>
        <v>9510</v>
      </c>
      <c r="F69" s="122">
        <v>9517</v>
      </c>
      <c r="G69" s="112">
        <f t="shared" si="6"/>
        <v>7</v>
      </c>
      <c r="H69" s="99">
        <f>G69+'3'!H69</f>
        <v>52</v>
      </c>
      <c r="I69" s="118"/>
      <c r="J69" s="175">
        <f>H69/DAY(B2)</f>
        <v>13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'3'!F70</f>
        <v>7235</v>
      </c>
      <c r="F70" s="122">
        <v>7248</v>
      </c>
      <c r="G70" s="112">
        <f t="shared" si="6"/>
        <v>13</v>
      </c>
      <c r="H70" s="99">
        <f>G70+'3'!H70</f>
        <v>45</v>
      </c>
      <c r="I70" s="118"/>
      <c r="J70" s="175">
        <f>H70/DAY(B2)</f>
        <v>11.25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179</v>
      </c>
      <c r="H71" s="99">
        <f>G71+'3'!H71</f>
        <v>816</v>
      </c>
      <c r="I71" s="154"/>
      <c r="J71" s="175">
        <f>H71/DAY(B2)</f>
        <v>204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'3'!F74</f>
        <v>874464.10600000003</v>
      </c>
      <c r="F74" s="117">
        <v>874742.53</v>
      </c>
      <c r="G74" s="112">
        <f t="shared" ref="G74:G78" si="7">F74-E74</f>
        <v>278.42399999999907</v>
      </c>
      <c r="H74" s="99">
        <f>G74+'3'!H74</f>
        <v>1157.2989999999991</v>
      </c>
      <c r="I74" s="154"/>
      <c r="J74" s="175">
        <f>H74/DAY(B2)</f>
        <v>289.32474999999977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'3'!F75</f>
        <v>73583.399999999994</v>
      </c>
      <c r="F75" s="123">
        <v>73583.399999999994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'3'!F76</f>
        <v>160291.44</v>
      </c>
      <c r="F76" s="123">
        <v>160377</v>
      </c>
      <c r="G76" s="112">
        <f t="shared" si="7"/>
        <v>85.559999999997672</v>
      </c>
      <c r="H76" s="99">
        <f>G76+'3'!H76</f>
        <v>391.5</v>
      </c>
      <c r="I76" s="154"/>
      <c r="J76" s="175">
        <f>H76/DAY(B2)</f>
        <v>97.875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'3'!F77</f>
        <v>37606.5</v>
      </c>
      <c r="F77" s="123">
        <v>37651</v>
      </c>
      <c r="G77" s="112">
        <f t="shared" si="7"/>
        <v>44.5</v>
      </c>
      <c r="H77" s="99">
        <f>G77+'3'!H77</f>
        <v>153.5</v>
      </c>
      <c r="I77" s="154"/>
      <c r="J77" s="175">
        <f>H77/DAY(B2)</f>
        <v>38.375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'3'!F78</f>
        <v>9335.2999999999993</v>
      </c>
      <c r="F78" s="123">
        <v>9338.9</v>
      </c>
      <c r="G78" s="112">
        <f t="shared" si="7"/>
        <v>3.6000000000003638</v>
      </c>
      <c r="H78" s="99">
        <f>G78+'3'!H78</f>
        <v>9.5</v>
      </c>
      <c r="I78" s="118"/>
      <c r="J78" s="175">
        <f>H78/DAY(B2)</f>
        <v>2.375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'3'!F79</f>
        <v>0</v>
      </c>
      <c r="F79" s="117"/>
      <c r="G79" s="112">
        <f>G15-SUM(G74:G78)</f>
        <v>502.6660000000029</v>
      </c>
      <c r="H79" s="99">
        <f>G79+'3'!H79</f>
        <v>2134.3210000001127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914.75</v>
      </c>
      <c r="H80" s="99">
        <f>G80+'3'!H80</f>
        <v>2817.0900000000838</v>
      </c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'3'!F84</f>
        <v>41589</v>
      </c>
      <c r="F84" s="164">
        <v>41589</v>
      </c>
      <c r="G84" s="236">
        <f t="shared" si="8"/>
        <v>0</v>
      </c>
      <c r="H84" s="99">
        <f>G84+'3'!H84</f>
        <v>3.4400000000023283</v>
      </c>
      <c r="I84" s="118"/>
      <c r="J84" s="175">
        <f>H84/DAY(B2)</f>
        <v>0.86000000000058208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'3'!F85</f>
        <v>1305</v>
      </c>
      <c r="F85" s="164">
        <v>1305</v>
      </c>
      <c r="G85" s="236">
        <f t="shared" si="8"/>
        <v>0</v>
      </c>
      <c r="H85" s="99">
        <f>G85+'3'!H85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'3'!F86</f>
        <v>42826.47</v>
      </c>
      <c r="F86" s="164">
        <v>42826.47</v>
      </c>
      <c r="G86" s="112">
        <f t="shared" si="8"/>
        <v>0</v>
      </c>
      <c r="H86" s="99">
        <f>G86+'3'!H86</f>
        <v>0.47000000000116415</v>
      </c>
      <c r="I86" s="118"/>
      <c r="J86" s="175">
        <f>H86/DAY(B2)</f>
        <v>0.11750000000029104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'3'!F87</f>
        <v>33820</v>
      </c>
      <c r="F87" s="164">
        <v>33844</v>
      </c>
      <c r="G87" s="112">
        <f t="shared" si="8"/>
        <v>24</v>
      </c>
      <c r="H87" s="99">
        <f>G87+'3'!H87</f>
        <v>96</v>
      </c>
      <c r="I87" s="118"/>
      <c r="J87" s="175">
        <f>H87/DAY(B2)</f>
        <v>24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'3'!F88</f>
        <v>23852.02</v>
      </c>
      <c r="F88" s="164">
        <v>23861.22</v>
      </c>
      <c r="G88" s="112">
        <f t="shared" si="8"/>
        <v>9.2000000000007276</v>
      </c>
      <c r="H88" s="99">
        <f>G88+'3'!H88</f>
        <v>27.650000000001455</v>
      </c>
      <c r="I88" s="118">
        <f>G86+G87+G88</f>
        <v>33.200000000000728</v>
      </c>
      <c r="J88" s="175">
        <f>H88/DAY(B2)</f>
        <v>6.9125000000003638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'3'!F89</f>
        <v>25254.94</v>
      </c>
      <c r="F89" s="164">
        <v>25254.94</v>
      </c>
      <c r="G89" s="112">
        <f t="shared" si="8"/>
        <v>0</v>
      </c>
      <c r="H89" s="99">
        <f>G89+'3'!H89</f>
        <v>9.5599999999976717</v>
      </c>
      <c r="I89" s="118"/>
      <c r="J89" s="175">
        <f>H89/DAY(B2)</f>
        <v>2.3899999999994179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'3'!F90</f>
        <v>70667.61</v>
      </c>
      <c r="F90" s="164">
        <v>70667.62</v>
      </c>
      <c r="G90" s="112">
        <f t="shared" si="8"/>
        <v>9.9999999947613105E-3</v>
      </c>
      <c r="H90" s="99">
        <f>G90+'3'!H90</f>
        <v>12.209999999991851</v>
      </c>
      <c r="I90" s="118">
        <f>G89+G90</f>
        <v>9.9999999947613105E-3</v>
      </c>
      <c r="J90" s="175">
        <f>H90/DAY(B2)</f>
        <v>3.0524999999979627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'3'!F92</f>
        <v>4822.67</v>
      </c>
      <c r="F92" s="122">
        <v>4832.47</v>
      </c>
      <c r="G92" s="112">
        <f t="shared" si="8"/>
        <v>9.8000000000001819</v>
      </c>
      <c r="H92" s="99">
        <f>G92+'3'!H92</f>
        <v>40.650000000000546</v>
      </c>
      <c r="I92" s="165"/>
      <c r="J92" s="175">
        <f>H92/DAY(B2)</f>
        <v>10.162500000000136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6138.7099999999409</v>
      </c>
      <c r="H94" s="99">
        <f>G94+'3'!H94</f>
        <v>24655.370000000032</v>
      </c>
      <c r="I94" s="118"/>
      <c r="J94" s="175">
        <f>H94/DAY(B2)</f>
        <v>6163.8425000000079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0.30178285945761796</v>
      </c>
      <c r="H95" s="99">
        <f>G95+'3'!H95</f>
        <v>1.1455087903423564</v>
      </c>
      <c r="I95" s="167"/>
      <c r="J95" s="175">
        <f>H95/DAY(B2)</f>
        <v>0.2863771975855891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5066.4999999999927</v>
      </c>
      <c r="H96" s="99">
        <f>G96+'3'!H96</f>
        <v>22237.170000000027</v>
      </c>
      <c r="I96" s="118"/>
      <c r="J96" s="175">
        <f>H96/DAY(B2)</f>
        <v>5559.2925000000068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0.24907233888586264</v>
      </c>
      <c r="H97" s="99">
        <f>G97+'3'!H97</f>
        <v>1.0312214313674783</v>
      </c>
      <c r="I97" s="167"/>
      <c r="J97" s="175">
        <f>H97/DAY(B2)</f>
        <v>0.25780535784186959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2745.679999999993</v>
      </c>
      <c r="H98" s="99">
        <f>G98+'3'!H98</f>
        <v>11552.279999999999</v>
      </c>
      <c r="I98" s="168"/>
      <c r="J98" s="175">
        <f>H98/DAY(B2)</f>
        <v>2888.0699999999997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0.13497936236694652</v>
      </c>
      <c r="H99" s="99">
        <f>G99+'3'!H99</f>
        <v>0.53647245296324797</v>
      </c>
      <c r="I99" s="168"/>
      <c r="J99" s="175">
        <f>H99/DAY(B2)</f>
        <v>0.13411811324081199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1642.6100000000006</v>
      </c>
      <c r="H100" s="99">
        <f>G100+'3'!H100</f>
        <v>7204.4500000000116</v>
      </c>
      <c r="I100" s="118"/>
      <c r="J100" s="175">
        <f>H100/DAY(B2)</f>
        <v>1801.1125000000029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8.0751744710807774E-2</v>
      </c>
      <c r="H101" s="99">
        <f>G101+'3'!H101</f>
        <v>0.33442758704150649</v>
      </c>
      <c r="I101" s="168"/>
      <c r="J101" s="175">
        <f>H101/DAY(B2)</f>
        <v>8.3606896760376623E-2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1524.1200000000026</v>
      </c>
      <c r="H102" s="99">
        <f>G102+'3'!H102</f>
        <v>6662.6099999999788</v>
      </c>
      <c r="I102" s="168"/>
      <c r="J102" s="175">
        <f>H102/DAY(B2)</f>
        <v>1665.6524999999947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7.4926701498612885E-2</v>
      </c>
      <c r="H103" s="99">
        <f>G103+'3'!H103</f>
        <v>0.30914594039568655</v>
      </c>
      <c r="I103" s="118"/>
      <c r="J103" s="175">
        <f>H103/DAY(B2)</f>
        <v>7.7286485098921637E-2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1438.8999999999942</v>
      </c>
      <c r="H104" s="99">
        <f>G104+'3'!H104</f>
        <v>6223.8399999999965</v>
      </c>
      <c r="I104" s="118"/>
      <c r="J104" s="175">
        <f>H104/DAY(B2)</f>
        <v>1555.9599999999991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7.0737232492424126E-2</v>
      </c>
      <c r="H105" s="99">
        <f>G105+'3'!H105</f>
        <v>0.28897184419177513</v>
      </c>
      <c r="I105" s="187"/>
      <c r="J105" s="188">
        <f>H105/DAY(B2)</f>
        <v>7.2242961047943782E-2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'3'!F112</f>
        <v>51140.85</v>
      </c>
      <c r="F112" s="237">
        <v>51219.59</v>
      </c>
      <c r="G112" s="112">
        <f t="shared" ref="G112:G123" si="9">F112-E112</f>
        <v>78.739999999997963</v>
      </c>
      <c r="H112" s="99">
        <f>G112+'3'!H112</f>
        <v>330.50999999999476</v>
      </c>
      <c r="I112" s="165"/>
      <c r="J112" s="348">
        <f>H112/DAY(B2)</f>
        <v>82.62749999999869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'3'!F113</f>
        <v>5777.52</v>
      </c>
      <c r="F113" s="237">
        <v>6165.34</v>
      </c>
      <c r="G113" s="112">
        <f t="shared" si="9"/>
        <v>387.81999999999971</v>
      </c>
      <c r="H113" s="99">
        <f>G113+'3'!H113</f>
        <v>1659.6900000000005</v>
      </c>
      <c r="I113" s="165"/>
      <c r="J113" s="348">
        <f>H113/DAY(B2)</f>
        <v>414.92250000000013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'3'!F114</f>
        <v>5370.46</v>
      </c>
      <c r="F114" s="237">
        <v>5614.5</v>
      </c>
      <c r="G114" s="112">
        <f t="shared" si="9"/>
        <v>244.03999999999996</v>
      </c>
      <c r="H114" s="99">
        <f>G114+'3'!H114</f>
        <v>1036.5699999999997</v>
      </c>
      <c r="I114" s="165"/>
      <c r="J114" s="348">
        <f>H114/DAY(B2)</f>
        <v>259.14249999999993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'3'!F115</f>
        <v>8106.12</v>
      </c>
      <c r="F115" s="237">
        <v>8116.13</v>
      </c>
      <c r="G115" s="112">
        <f t="shared" si="9"/>
        <v>10.010000000000218</v>
      </c>
      <c r="H115" s="99">
        <f>G115+'3'!H115</f>
        <v>38.720000000000255</v>
      </c>
      <c r="I115" s="165"/>
      <c r="J115" s="348">
        <f>H115/DAY(B2)</f>
        <v>9.6800000000000637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'3'!F117</f>
        <v>1372.86</v>
      </c>
      <c r="F117" s="237">
        <v>1395.12</v>
      </c>
      <c r="G117" s="112">
        <f t="shared" si="9"/>
        <v>22.259999999999991</v>
      </c>
      <c r="H117" s="99">
        <f>G117+'3'!H117</f>
        <v>236.92999999999984</v>
      </c>
      <c r="I117" s="165"/>
      <c r="J117" s="348">
        <f>H117/DAY(B2)</f>
        <v>59.232499999999959</v>
      </c>
      <c r="Q117" s="793" t="s">
        <v>312</v>
      </c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'3'!F118</f>
        <v>219893.93</v>
      </c>
      <c r="F118" s="237">
        <v>220189.33</v>
      </c>
      <c r="G118" s="112">
        <f t="shared" si="9"/>
        <v>295.39999999999418</v>
      </c>
      <c r="H118" s="99">
        <f>G118+'3'!H118</f>
        <v>1337.3999999999942</v>
      </c>
      <c r="I118" s="165"/>
      <c r="J118" s="348">
        <f>H118/DAY(B2)</f>
        <v>334.34999999999854</v>
      </c>
      <c r="Q118" s="793" t="s">
        <v>311</v>
      </c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'3'!F119</f>
        <v>220133.35</v>
      </c>
      <c r="F119" s="237">
        <v>220545.01</v>
      </c>
      <c r="G119" s="112">
        <f t="shared" si="9"/>
        <v>411.66000000000349</v>
      </c>
      <c r="H119" s="99">
        <f>G119+'3'!H119</f>
        <v>1733.9000000000233</v>
      </c>
      <c r="I119" s="165"/>
      <c r="J119" s="348">
        <f>H119/DAY(B2)</f>
        <v>433.47500000000582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'3'!F120</f>
        <v>5652.6</v>
      </c>
      <c r="F120" s="237">
        <v>6086.32</v>
      </c>
      <c r="G120" s="112">
        <f t="shared" si="9"/>
        <v>433.71999999999935</v>
      </c>
      <c r="H120" s="99">
        <f>G120+'3'!H120</f>
        <v>1778.7199999999993</v>
      </c>
      <c r="I120" s="165"/>
      <c r="J120" s="348">
        <f>H120/DAY(B2)</f>
        <v>444.67999999999984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'3'!F121</f>
        <v>333418.07</v>
      </c>
      <c r="F121" s="237">
        <v>334128.90999999997</v>
      </c>
      <c r="G121" s="112">
        <f t="shared" si="9"/>
        <v>710.8399999999674</v>
      </c>
      <c r="H121" s="99">
        <f>G121+'3'!H121</f>
        <v>2891.3999999999651</v>
      </c>
      <c r="I121" s="165"/>
      <c r="J121" s="348">
        <f>H121/DAY(B2)</f>
        <v>722.84999999999127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'3'!F122</f>
        <v>102523.06</v>
      </c>
      <c r="F122" s="237">
        <v>102786.89</v>
      </c>
      <c r="G122" s="112">
        <f t="shared" si="9"/>
        <v>263.83000000000175</v>
      </c>
      <c r="H122" s="99">
        <f>G122+'3'!H122</f>
        <v>1178.0099999999948</v>
      </c>
      <c r="I122" s="165"/>
      <c r="J122" s="348">
        <f>H122/DAY(B2)</f>
        <v>294.50249999999869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'3'!F123</f>
        <v>126639.92</v>
      </c>
      <c r="F123" s="237">
        <v>126922.86</v>
      </c>
      <c r="G123" s="112">
        <f t="shared" si="9"/>
        <v>282.94000000000233</v>
      </c>
      <c r="H123" s="99">
        <f>G123+'3'!H123</f>
        <v>1175.1000000000058</v>
      </c>
      <c r="I123" s="165"/>
      <c r="J123" s="348">
        <f>H123/DAY(B2)</f>
        <v>293.77500000000146</v>
      </c>
    </row>
    <row r="124" spans="1:18" ht="29.25" customHeight="1">
      <c r="A124" s="797"/>
      <c r="B124" s="798"/>
      <c r="C124" s="799"/>
      <c r="D124" s="165"/>
      <c r="E124" s="165"/>
      <c r="F124" s="165"/>
      <c r="G124" s="347"/>
      <c r="H124" s="99">
        <f>G124+'3'!H124</f>
        <v>0</v>
      </c>
      <c r="I124" s="165"/>
      <c r="J124" s="347"/>
    </row>
    <row r="125" spans="1:18" ht="29.25">
      <c r="A125" s="666" t="s">
        <v>196</v>
      </c>
      <c r="B125" s="667"/>
      <c r="C125" s="668"/>
      <c r="D125" s="317"/>
      <c r="E125" s="318"/>
      <c r="F125" s="318"/>
      <c r="G125" s="319">
        <f>SUM(G112:G124)</f>
        <v>3141.2599999999666</v>
      </c>
      <c r="H125" s="156"/>
      <c r="I125" s="347">
        <f>G125-(G39+G53)</f>
        <v>395.57999999997355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G127+'3'!H127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'3'!F128</f>
        <v>19062.89</v>
      </c>
      <c r="F128" s="165">
        <v>19381.419999999998</v>
      </c>
      <c r="G128" s="112">
        <f t="shared" ref="G128:G134" si="10">F128-E128</f>
        <v>318.52999999999884</v>
      </c>
      <c r="H128" s="99">
        <f>G128+'3'!H128</f>
        <v>1357.6999999999971</v>
      </c>
      <c r="I128" s="165"/>
      <c r="J128" s="348">
        <f>H128/DAY(B2)</f>
        <v>339.42499999999927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'3'!F129</f>
        <v>7145.45</v>
      </c>
      <c r="F129" s="165">
        <v>7392.46</v>
      </c>
      <c r="G129" s="112">
        <f t="shared" si="10"/>
        <v>247.01000000000022</v>
      </c>
      <c r="H129" s="99">
        <f>G129+'3'!H129</f>
        <v>796.75</v>
      </c>
      <c r="I129" s="165"/>
      <c r="J129" s="348">
        <f>H129/DAY(B2)</f>
        <v>199.1875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'3'!F130</f>
        <v>33874.25</v>
      </c>
      <c r="F130" s="165">
        <v>36586.6</v>
      </c>
      <c r="G130" s="112">
        <f t="shared" si="10"/>
        <v>2712.3499999999985</v>
      </c>
      <c r="H130" s="99">
        <f>G130+'3'!H130</f>
        <v>10118.57</v>
      </c>
      <c r="I130" s="165"/>
      <c r="J130" s="348">
        <f>H130/DAY(B2)</f>
        <v>2529.6424999999999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'3'!F131</f>
        <v>4481.7700000000004</v>
      </c>
      <c r="F131" s="165">
        <v>4589.82</v>
      </c>
      <c r="G131" s="112">
        <f t="shared" si="10"/>
        <v>108.04999999999927</v>
      </c>
      <c r="H131" s="99">
        <f>G131+'3'!H131</f>
        <v>443.34999999999945</v>
      </c>
      <c r="I131" s="165"/>
      <c r="J131" s="348">
        <f>H131/DAY(B2)</f>
        <v>110.83749999999986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'3'!F132</f>
        <v>13016.89</v>
      </c>
      <c r="F132" s="165">
        <v>13487.14</v>
      </c>
      <c r="G132" s="112">
        <f t="shared" si="10"/>
        <v>470.25</v>
      </c>
      <c r="H132" s="99">
        <f>G132+'3'!H132</f>
        <v>1949.42</v>
      </c>
      <c r="I132" s="165"/>
      <c r="J132" s="348">
        <f>H132/DAY(B2)</f>
        <v>487.35500000000002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'3'!F133</f>
        <v>42944.25</v>
      </c>
      <c r="F133" s="165">
        <v>43696.41</v>
      </c>
      <c r="G133" s="112">
        <f t="shared" si="10"/>
        <v>752.16000000000349</v>
      </c>
      <c r="H133" s="99">
        <f>G133+'3'!H133</f>
        <v>2847.1200000000026</v>
      </c>
      <c r="I133" s="165"/>
      <c r="J133" s="348">
        <f>H133/DAY(B2)</f>
        <v>711.78000000000065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'3'!F134</f>
        <v>615055</v>
      </c>
      <c r="F134" s="165">
        <v>615694</v>
      </c>
      <c r="G134" s="112">
        <f t="shared" si="10"/>
        <v>639</v>
      </c>
      <c r="H134" s="99">
        <f>G134+'3'!H134</f>
        <v>2527</v>
      </c>
      <c r="I134" s="165"/>
      <c r="J134" s="348">
        <f>H134/DAY(B2)</f>
        <v>631.75</v>
      </c>
    </row>
    <row r="135" spans="1:15" ht="29.25">
      <c r="A135" s="823" t="s">
        <v>196</v>
      </c>
      <c r="B135" s="824"/>
      <c r="C135" s="825"/>
      <c r="D135" s="151"/>
      <c r="E135" s="95"/>
      <c r="F135" s="165"/>
      <c r="G135" s="112">
        <f>SUM(G128:G134)</f>
        <v>5247.35</v>
      </c>
      <c r="H135" s="99">
        <f>G135+'3'!H135</f>
        <v>20039.909999999996</v>
      </c>
      <c r="I135" s="347">
        <f>G135-(G35+G49)</f>
        <v>1632.8400000000129</v>
      </c>
      <c r="J135" s="348">
        <f>H135/DAY(B2)</f>
        <v>5009.9774999999991</v>
      </c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'3'!F138</f>
        <v>859833</v>
      </c>
      <c r="F138" s="147">
        <v>859870</v>
      </c>
      <c r="G138" s="112">
        <f t="shared" ref="G138:G152" si="11">F138-E138</f>
        <v>37</v>
      </c>
      <c r="H138" s="99">
        <f>G138+'3'!H138</f>
        <v>223</v>
      </c>
      <c r="I138" s="118"/>
      <c r="J138" s="348">
        <f>H138/DAY(B2)</f>
        <v>55.75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'3'!F139</f>
        <v>886104</v>
      </c>
      <c r="F139" s="148">
        <v>886105</v>
      </c>
      <c r="G139" s="112">
        <f t="shared" si="11"/>
        <v>1</v>
      </c>
      <c r="H139" s="99">
        <f>G139+'3'!H139</f>
        <v>3</v>
      </c>
      <c r="I139" s="118"/>
      <c r="J139" s="348">
        <f>H139/DAY(B2)</f>
        <v>0.75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'3'!F140</f>
        <v>88817</v>
      </c>
      <c r="F140" s="149">
        <v>88821.8</v>
      </c>
      <c r="G140" s="112">
        <f t="shared" si="11"/>
        <v>4.8000000000029104</v>
      </c>
      <c r="H140" s="99">
        <f>G140+'3'!H140</f>
        <v>4.8000000000029104</v>
      </c>
      <c r="I140" s="118"/>
      <c r="J140" s="348">
        <f>H140/DAY(B2)</f>
        <v>1.2000000000007276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'3'!F141</f>
        <v>37828.410000000003</v>
      </c>
      <c r="F141" s="149">
        <v>38013.82</v>
      </c>
      <c r="G141" s="112">
        <f t="shared" si="11"/>
        <v>185.40999999999622</v>
      </c>
      <c r="H141" s="99">
        <f>G141+'3'!H141</f>
        <v>725.87000000000262</v>
      </c>
      <c r="I141" s="118"/>
      <c r="J141" s="348">
        <f>H141/DAY(B2)</f>
        <v>181.46750000000065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'3'!F142</f>
        <v>17010.22</v>
      </c>
      <c r="F142" s="148">
        <v>17024.919999999998</v>
      </c>
      <c r="G142" s="112">
        <f t="shared" si="11"/>
        <v>14.69999999999709</v>
      </c>
      <c r="H142" s="99">
        <f>G142+'3'!H142</f>
        <v>63.049999999999272</v>
      </c>
      <c r="I142" s="140"/>
      <c r="J142" s="348">
        <f>H142/DAY(B2)</f>
        <v>15.762499999999818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'3'!F143</f>
        <v>1456.73</v>
      </c>
      <c r="F143" s="149">
        <v>1481.4</v>
      </c>
      <c r="G143" s="112">
        <f t="shared" si="11"/>
        <v>24.670000000000073</v>
      </c>
      <c r="H143" s="99">
        <f>G143+'3'!H143</f>
        <v>98.220000000000027</v>
      </c>
      <c r="I143" s="140"/>
      <c r="J143" s="348">
        <f>H143/DAY(B2)</f>
        <v>24.555000000000007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'3'!F144</f>
        <v>856044</v>
      </c>
      <c r="F144" s="149">
        <v>856271</v>
      </c>
      <c r="G144" s="112">
        <f t="shared" si="11"/>
        <v>227</v>
      </c>
      <c r="H144" s="99">
        <f>G144+'3'!H144</f>
        <v>902</v>
      </c>
      <c r="I144" s="140"/>
      <c r="J144" s="348">
        <f>H144/DAY(B2)</f>
        <v>225.5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'3'!F145</f>
        <v>2318.39</v>
      </c>
      <c r="F145" s="149">
        <v>2351.15</v>
      </c>
      <c r="G145" s="112">
        <f t="shared" si="11"/>
        <v>32.760000000000218</v>
      </c>
      <c r="H145" s="99">
        <f>G145+'3'!H145</f>
        <v>138.15000000000009</v>
      </c>
      <c r="I145" s="140"/>
      <c r="J145" s="348">
        <f>H145/DAY(B2)</f>
        <v>34.537500000000023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'3'!F146</f>
        <v>699559</v>
      </c>
      <c r="F146" s="148">
        <v>699829</v>
      </c>
      <c r="G146" s="112">
        <f t="shared" si="11"/>
        <v>270</v>
      </c>
      <c r="H146" s="99">
        <f>G146+'3'!H146</f>
        <v>1310</v>
      </c>
      <c r="I146" s="140"/>
      <c r="J146" s="348">
        <f>H146/DAY(B2)</f>
        <v>327.5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'3'!F147</f>
        <v>590089.64</v>
      </c>
      <c r="F147" s="148">
        <v>590447.43999999994</v>
      </c>
      <c r="G147" s="112">
        <f t="shared" si="11"/>
        <v>357.79999999993015</v>
      </c>
      <c r="H147" s="99">
        <f>G147+'3'!H147</f>
        <v>1536.5199999999022</v>
      </c>
      <c r="I147" s="140"/>
      <c r="J147" s="348">
        <f>H147/DAY(B2)</f>
        <v>384.12999999997555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'3'!F148</f>
        <v>665752.64</v>
      </c>
      <c r="F148" s="150">
        <v>665961.64</v>
      </c>
      <c r="G148" s="112">
        <f t="shared" si="11"/>
        <v>209</v>
      </c>
      <c r="H148" s="99">
        <f>G148+'3'!H148</f>
        <v>853.52000000001863</v>
      </c>
      <c r="I148" s="124"/>
      <c r="J148" s="348">
        <f>H148/DAY(B2)</f>
        <v>213.38000000000466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'3'!F149</f>
        <v>85795</v>
      </c>
      <c r="F149" s="146">
        <v>86084</v>
      </c>
      <c r="G149" s="112">
        <f t="shared" si="11"/>
        <v>289</v>
      </c>
      <c r="H149" s="99">
        <f>G149+'3'!H149</f>
        <v>1337</v>
      </c>
      <c r="I149" s="119"/>
      <c r="J149" s="348">
        <f>H149/DAY(B2)</f>
        <v>334.25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'3'!F150</f>
        <v>7167232</v>
      </c>
      <c r="F150" s="233">
        <v>7167232</v>
      </c>
      <c r="G150" s="112">
        <f t="shared" si="11"/>
        <v>0</v>
      </c>
      <c r="H150" s="99">
        <f>G150+'3'!H150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'3'!F151</f>
        <v>63776</v>
      </c>
      <c r="F151" s="233">
        <v>63988</v>
      </c>
      <c r="G151" s="112">
        <f t="shared" si="11"/>
        <v>212</v>
      </c>
      <c r="H151" s="99">
        <f>G151+'3'!H151</f>
        <v>978</v>
      </c>
      <c r="I151" s="119"/>
      <c r="J151" s="348">
        <f>H151/DAY(B2)</f>
        <v>244.5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'3'!F152</f>
        <v>0</v>
      </c>
      <c r="F152" s="233"/>
      <c r="G152" s="112">
        <f t="shared" si="11"/>
        <v>0</v>
      </c>
      <c r="H152" s="99">
        <f>G152+'3'!H152</f>
        <v>0</v>
      </c>
      <c r="I152" s="119"/>
      <c r="J152" s="348">
        <f>H152/DAY(B2)</f>
        <v>0</v>
      </c>
    </row>
    <row r="153" spans="1:10" ht="29.25">
      <c r="A153" s="823" t="s">
        <v>196</v>
      </c>
      <c r="B153" s="824"/>
      <c r="C153" s="825"/>
      <c r="D153" s="378"/>
      <c r="E153" s="380"/>
      <c r="F153" s="381"/>
      <c r="G153" s="382">
        <f>SUM(G138:G152)</f>
        <v>1865.1399999999267</v>
      </c>
      <c r="H153" s="383"/>
      <c r="I153" s="119">
        <f>G153-(G38+G52)</f>
        <v>222.52999999992608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'3'!F155</f>
        <v>77290.5</v>
      </c>
      <c r="F155" s="384">
        <v>77298</v>
      </c>
      <c r="G155" s="112">
        <f t="shared" ref="G155:G156" si="12">F155-E155</f>
        <v>7.5</v>
      </c>
      <c r="H155" s="99">
        <f>G155+'3'!H155</f>
        <v>23.399999999994179</v>
      </c>
      <c r="I155" s="384"/>
      <c r="J155" s="348">
        <f>H155/DAY(B2)</f>
        <v>5.8499999999985448</v>
      </c>
    </row>
    <row r="156" spans="1:10" ht="27.75">
      <c r="A156" s="771" t="s">
        <v>346</v>
      </c>
      <c r="B156" s="771"/>
      <c r="C156" s="771"/>
      <c r="D156" s="117" t="s">
        <v>130</v>
      </c>
      <c r="E156" s="95">
        <f>'3'!F156</f>
        <v>0</v>
      </c>
      <c r="F156" s="165"/>
      <c r="G156" s="112">
        <f t="shared" si="12"/>
        <v>0</v>
      </c>
      <c r="H156" s="99">
        <f>G156+'3'!H156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'3'!F158</f>
        <v>469704.12</v>
      </c>
      <c r="F158" s="235">
        <v>469710</v>
      </c>
      <c r="G158" s="238">
        <f t="shared" ref="G158:G165" si="13">F158-E158</f>
        <v>5.8800000000046566</v>
      </c>
      <c r="H158" s="99">
        <f>G158+'3'!H158</f>
        <v>180.96000000002095</v>
      </c>
      <c r="I158" s="236"/>
      <c r="J158" s="239">
        <f>H158/DAY(B2)</f>
        <v>45.240000000005239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'3'!F159</f>
        <v>85808.7</v>
      </c>
      <c r="F159" s="235">
        <v>85828.4</v>
      </c>
      <c r="G159" s="238">
        <f t="shared" si="13"/>
        <v>19.69999999999709</v>
      </c>
      <c r="H159" s="99">
        <f>G159+'3'!H159</f>
        <v>122.79999999998836</v>
      </c>
      <c r="I159" s="236"/>
      <c r="J159" s="239">
        <f>H159/DAY(B2)</f>
        <v>30.69999999999709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'3'!F160</f>
        <v>73566.399999999994</v>
      </c>
      <c r="F160" s="235">
        <v>73602.5</v>
      </c>
      <c r="G160" s="238">
        <f t="shared" si="13"/>
        <v>36.100000000005821</v>
      </c>
      <c r="H160" s="99">
        <f>G160+'3'!H160</f>
        <v>265.60000000000582</v>
      </c>
      <c r="I160" s="236"/>
      <c r="J160" s="239">
        <f>H160/DAY(B2)</f>
        <v>66.400000000001455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'3'!F161</f>
        <v>3973.6</v>
      </c>
      <c r="F161" s="235">
        <v>3973.9</v>
      </c>
      <c r="G161" s="238">
        <f t="shared" si="13"/>
        <v>0.3000000000001819</v>
      </c>
      <c r="H161" s="99">
        <f>G161+'3'!H161</f>
        <v>0.40000000000009095</v>
      </c>
      <c r="I161" s="236"/>
      <c r="J161" s="239">
        <f>H161/DAY(B2)</f>
        <v>0.10000000000002274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'3'!F162</f>
        <v>29228.89</v>
      </c>
      <c r="F162" s="235">
        <v>29235.17</v>
      </c>
      <c r="G162" s="238">
        <f t="shared" si="13"/>
        <v>6.2799999999988358</v>
      </c>
      <c r="H162" s="99">
        <f>G162+'3'!H162</f>
        <v>37.029999999998836</v>
      </c>
      <c r="I162" s="236"/>
      <c r="J162" s="239">
        <f>H162/DAY(B2)</f>
        <v>9.257499999999709</v>
      </c>
    </row>
    <row r="163" spans="1:10" ht="29.25">
      <c r="A163" s="780"/>
      <c r="B163" s="780"/>
      <c r="C163" s="247"/>
      <c r="D163" s="244" t="s">
        <v>180</v>
      </c>
      <c r="E163" s="95">
        <f>'3'!F163</f>
        <v>0</v>
      </c>
      <c r="F163" s="165"/>
      <c r="G163" s="238">
        <f t="shared" si="13"/>
        <v>0</v>
      </c>
      <c r="H163" s="99">
        <f>G163+'3'!H163</f>
        <v>0</v>
      </c>
      <c r="I163" s="165"/>
      <c r="J163" s="347"/>
    </row>
    <row r="164" spans="1:10" ht="29.25">
      <c r="A164" s="780"/>
      <c r="B164" s="780"/>
      <c r="C164" s="247"/>
      <c r="D164" s="244" t="s">
        <v>180</v>
      </c>
      <c r="E164" s="95">
        <f>'3'!F164</f>
        <v>0</v>
      </c>
      <c r="F164" s="165"/>
      <c r="G164" s="238">
        <f t="shared" si="13"/>
        <v>0</v>
      </c>
      <c r="H164" s="99">
        <f>G164+'3'!H164</f>
        <v>0</v>
      </c>
      <c r="I164" s="165"/>
      <c r="J164" s="347"/>
    </row>
    <row r="165" spans="1:10" ht="29.25">
      <c r="A165" s="780"/>
      <c r="B165" s="780"/>
      <c r="C165" s="247"/>
      <c r="D165" s="244" t="s">
        <v>180</v>
      </c>
      <c r="E165" s="95">
        <f>'3'!F165</f>
        <v>0</v>
      </c>
      <c r="F165" s="165"/>
      <c r="G165" s="238">
        <f t="shared" si="13"/>
        <v>0</v>
      </c>
      <c r="H165" s="99">
        <f>G165+'3'!H165</f>
        <v>0</v>
      </c>
      <c r="I165" s="165"/>
      <c r="J165" s="347"/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'3'!F170</f>
        <v>7998</v>
      </c>
      <c r="F170" s="155">
        <v>7998</v>
      </c>
      <c r="G170" s="155">
        <f>F170-E170</f>
        <v>0</v>
      </c>
      <c r="H170" s="99">
        <f>G170+'3'!H170</f>
        <v>0</v>
      </c>
      <c r="I170" s="155"/>
      <c r="J170" s="178">
        <f>H170/DAY(B2)</f>
        <v>0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'3'!F171</f>
        <v>37425</v>
      </c>
      <c r="F171" s="157">
        <v>37434</v>
      </c>
      <c r="G171" s="155">
        <f t="shared" ref="G171:G172" si="14">F171-E171</f>
        <v>9</v>
      </c>
      <c r="H171" s="99">
        <f>G171+'3'!H171</f>
        <v>51</v>
      </c>
      <c r="I171" s="155"/>
      <c r="J171" s="178">
        <f>H171/DAY(B2)</f>
        <v>12.75</v>
      </c>
    </row>
    <row r="172" spans="1:10" ht="25.5" customHeight="1">
      <c r="A172" s="786" t="s">
        <v>76</v>
      </c>
      <c r="B172" s="826"/>
      <c r="C172" s="787"/>
      <c r="D172" s="228" t="s">
        <v>142</v>
      </c>
      <c r="E172" s="95">
        <f>'3'!F172</f>
        <v>20817</v>
      </c>
      <c r="F172" s="155">
        <v>20827</v>
      </c>
      <c r="G172" s="155">
        <f t="shared" si="14"/>
        <v>10</v>
      </c>
      <c r="H172" s="99">
        <f>G172+'3'!H172</f>
        <v>39</v>
      </c>
      <c r="I172" s="155"/>
      <c r="J172" s="178">
        <f>H172/DAY(B2)</f>
        <v>9.75</v>
      </c>
    </row>
    <row r="173" spans="1:10" ht="24.75" customHeight="1">
      <c r="A173" s="823" t="s">
        <v>196</v>
      </c>
      <c r="B173" s="824"/>
      <c r="C173" s="825"/>
      <c r="D173" s="228"/>
      <c r="E173" s="95"/>
      <c r="F173" s="155"/>
      <c r="G173" s="155">
        <f>SUM(G170:G172)</f>
        <v>19</v>
      </c>
      <c r="H173" s="99">
        <f>G173+'3'!H173</f>
        <v>90</v>
      </c>
      <c r="I173" s="155"/>
      <c r="J173" s="178">
        <f>H173/DAY(B2)</f>
        <v>22.5</v>
      </c>
    </row>
    <row r="174" spans="1:10" ht="28.5" customHeight="1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G174+'3'!H174</f>
        <v>0</v>
      </c>
      <c r="I174" s="155"/>
      <c r="J174" s="178">
        <f>H174/DAY(B2)</f>
        <v>0</v>
      </c>
    </row>
    <row r="175" spans="1:10" ht="24.75" customHeight="1">
      <c r="A175" s="786" t="s">
        <v>210</v>
      </c>
      <c r="B175" s="787"/>
      <c r="C175" s="353"/>
      <c r="D175" s="228" t="s">
        <v>142</v>
      </c>
      <c r="E175" s="95">
        <f>'3'!F175</f>
        <v>74804</v>
      </c>
      <c r="F175" s="157">
        <v>74869</v>
      </c>
      <c r="G175" s="155">
        <f>F175-E175</f>
        <v>65</v>
      </c>
      <c r="H175" s="99">
        <f>G175+'3'!H175</f>
        <v>250</v>
      </c>
      <c r="I175" s="155"/>
      <c r="J175" s="178">
        <f>H175/DAY(B2)</f>
        <v>62.5</v>
      </c>
    </row>
    <row r="176" spans="1:10" ht="24" customHeight="1">
      <c r="A176" s="786" t="s">
        <v>211</v>
      </c>
      <c r="B176" s="787"/>
      <c r="C176" s="353"/>
      <c r="D176" s="228" t="s">
        <v>142</v>
      </c>
      <c r="E176" s="95">
        <f>'3'!F176</f>
        <v>33886</v>
      </c>
      <c r="F176" s="155">
        <v>33886</v>
      </c>
      <c r="G176" s="155">
        <f t="shared" ref="G176:G177" si="15">F176-E176</f>
        <v>0</v>
      </c>
      <c r="H176" s="99">
        <f>G176+'3'!H176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'3'!F177</f>
        <v>5074</v>
      </c>
      <c r="F177" s="155">
        <v>5075</v>
      </c>
      <c r="G177" s="155">
        <f t="shared" si="15"/>
        <v>1</v>
      </c>
      <c r="H177" s="99">
        <f>G177+'3'!H177</f>
        <v>34</v>
      </c>
      <c r="I177" s="155"/>
      <c r="J177" s="178">
        <f>H177/DAY(B2)</f>
        <v>8.5</v>
      </c>
    </row>
    <row r="178" spans="1:10" ht="21.95" customHeight="1">
      <c r="A178" s="823" t="s">
        <v>196</v>
      </c>
      <c r="B178" s="824"/>
      <c r="C178" s="825"/>
      <c r="D178" s="228"/>
      <c r="E178" s="95"/>
      <c r="F178" s="155"/>
      <c r="G178" s="155">
        <f>SUM(G175:G177)</f>
        <v>66</v>
      </c>
      <c r="H178" s="99">
        <f>G178+'3'!H178</f>
        <v>284</v>
      </c>
      <c r="I178" s="155"/>
      <c r="J178" s="178">
        <f>H178/DAY(B2)</f>
        <v>71</v>
      </c>
    </row>
    <row r="179" spans="1:10" ht="21.95" customHeight="1">
      <c r="A179" s="786" t="s">
        <v>213</v>
      </c>
      <c r="B179" s="787"/>
      <c r="C179" s="353"/>
      <c r="D179" s="228"/>
      <c r="E179" s="95"/>
      <c r="F179" s="155"/>
      <c r="G179" s="155"/>
      <c r="H179" s="99">
        <f>G179+'3'!H179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'3'!F180</f>
        <v>14084</v>
      </c>
      <c r="F180" s="157">
        <v>14094</v>
      </c>
      <c r="G180" s="157">
        <f>F180-E180</f>
        <v>10</v>
      </c>
      <c r="H180" s="99">
        <f>G180+'3'!H180</f>
        <v>63</v>
      </c>
      <c r="I180" s="155"/>
      <c r="J180" s="178">
        <f>H180/DAY(B2)</f>
        <v>15.75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'3'!F181</f>
        <v>9775</v>
      </c>
      <c r="F181" s="157">
        <v>9792</v>
      </c>
      <c r="G181" s="157">
        <f t="shared" ref="G181:G182" si="16">F181-E181</f>
        <v>17</v>
      </c>
      <c r="H181" s="99">
        <f>G181+'3'!H181</f>
        <v>38</v>
      </c>
      <c r="I181" s="155"/>
      <c r="J181" s="178">
        <f>H181/DAY(B2)</f>
        <v>9.5</v>
      </c>
    </row>
    <row r="182" spans="1:10" ht="27.75">
      <c r="A182" s="786" t="s">
        <v>216</v>
      </c>
      <c r="B182" s="787"/>
      <c r="C182" s="354"/>
      <c r="D182" s="228" t="s">
        <v>142</v>
      </c>
      <c r="E182" s="95">
        <f>'3'!F182</f>
        <v>0</v>
      </c>
      <c r="F182" s="157"/>
      <c r="G182" s="157">
        <f t="shared" si="16"/>
        <v>0</v>
      </c>
      <c r="H182" s="99">
        <f>G182+'3'!H182</f>
        <v>0</v>
      </c>
      <c r="I182" s="155"/>
      <c r="J182" s="178">
        <f>H182/DAY(B2)</f>
        <v>0</v>
      </c>
    </row>
    <row r="183" spans="1:10" ht="29.25">
      <c r="A183" s="823" t="s">
        <v>196</v>
      </c>
      <c r="B183" s="824"/>
      <c r="C183" s="825"/>
      <c r="D183" s="229"/>
      <c r="E183" s="95"/>
      <c r="F183" s="157"/>
      <c r="G183" s="157">
        <f>SUM(G180:G182)</f>
        <v>27</v>
      </c>
      <c r="H183" s="99">
        <f>G183+'3'!H183</f>
        <v>101</v>
      </c>
      <c r="I183" s="157"/>
      <c r="J183" s="178">
        <f>H183/DAY(B2)</f>
        <v>25.25</v>
      </c>
    </row>
    <row r="184" spans="1:10" ht="25.5" customHeight="1">
      <c r="A184" s="777" t="s">
        <v>217</v>
      </c>
      <c r="B184" s="778"/>
      <c r="C184" s="353"/>
      <c r="D184" s="230" t="s">
        <v>142</v>
      </c>
      <c r="E184" s="95"/>
      <c r="F184" s="99"/>
      <c r="G184" s="524">
        <f>G62+G19</f>
        <v>153</v>
      </c>
      <c r="H184" s="99">
        <f>G184+'3'!H184</f>
        <v>683</v>
      </c>
      <c r="I184" s="158"/>
      <c r="J184" s="179">
        <f>H184/DAY(B2)</f>
        <v>170.75</v>
      </c>
    </row>
    <row r="185" spans="1:10" ht="27.75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139</v>
      </c>
      <c r="H185" s="99">
        <f>G185+'3'!H185</f>
        <v>674</v>
      </c>
      <c r="I185" s="158"/>
      <c r="J185" s="179">
        <f>H185/DAY(B2)</f>
        <v>168.5</v>
      </c>
    </row>
    <row r="186" spans="1:10" ht="27.75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66</v>
      </c>
      <c r="H186" s="99">
        <f>G186+'3'!H186</f>
        <v>284</v>
      </c>
      <c r="I186" s="158"/>
      <c r="J186" s="179">
        <f>H186/DAY(B2)</f>
        <v>71</v>
      </c>
    </row>
    <row r="187" spans="1:10" ht="27.75">
      <c r="A187" s="777"/>
      <c r="B187" s="778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/>
    <row r="189" spans="1:10" ht="29.25"/>
    <row r="190" spans="1:10" ht="29.25"/>
    <row r="191" spans="1:10" ht="29.25"/>
    <row r="192" spans="1:10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</sheetData>
  <mergeCells count="111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87:B187"/>
    <mergeCell ref="A181:B181"/>
    <mergeCell ref="A182:B182"/>
    <mergeCell ref="A184:B184"/>
    <mergeCell ref="A185:B185"/>
    <mergeCell ref="A157:J157"/>
    <mergeCell ref="A163:B163"/>
    <mergeCell ref="A164:B164"/>
    <mergeCell ref="A165:B165"/>
    <mergeCell ref="A168:J168"/>
    <mergeCell ref="A174:B174"/>
    <mergeCell ref="A175:B175"/>
    <mergeCell ref="A180:B180"/>
    <mergeCell ref="A179:B179"/>
    <mergeCell ref="A176:B176"/>
    <mergeCell ref="A177:B177"/>
    <mergeCell ref="A172:C172"/>
    <mergeCell ref="A169:B169"/>
    <mergeCell ref="A170:B170"/>
    <mergeCell ref="A171:B171"/>
    <mergeCell ref="A173:C173"/>
    <mergeCell ref="A149:C149"/>
    <mergeCell ref="A143:C143"/>
    <mergeCell ref="A144:C144"/>
    <mergeCell ref="A186:B186"/>
    <mergeCell ref="A155:C155"/>
    <mergeCell ref="A156:C156"/>
    <mergeCell ref="A150:C150"/>
    <mergeCell ref="A151:C151"/>
    <mergeCell ref="A152:C152"/>
    <mergeCell ref="A154:J154"/>
    <mergeCell ref="A153:C153"/>
    <mergeCell ref="A178:C178"/>
    <mergeCell ref="A183:C18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67"/>
  <sheetViews>
    <sheetView view="pageBreakPreview" zoomScale="53" zoomScaleNormal="48" zoomScaleSheetLayoutView="53" workbookViewId="0">
      <selection activeCell="I153" sqref="I15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303</v>
      </c>
      <c r="B2" s="266">
        <v>44505</v>
      </c>
      <c r="C2" s="368" t="s">
        <v>67</v>
      </c>
      <c r="D2" s="218">
        <v>0.38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29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'4'!F7</f>
        <v>772427.83</v>
      </c>
      <c r="F7" s="95">
        <v>796179</v>
      </c>
      <c r="G7" s="112">
        <f>F7-E7</f>
        <v>23751.170000000042</v>
      </c>
      <c r="H7" s="99">
        <f>G7+'4'!H7</f>
        <v>109915.69999999995</v>
      </c>
      <c r="I7" s="113">
        <f>'1'!I7</f>
        <v>12000</v>
      </c>
      <c r="J7" s="175">
        <f>H7/DAY(B2)</f>
        <v>21983.139999999992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'4'!F8</f>
        <v>801248.11</v>
      </c>
      <c r="F8" s="114">
        <v>825435</v>
      </c>
      <c r="G8" s="115">
        <f>F8-E8</f>
        <v>24186.890000000014</v>
      </c>
      <c r="H8" s="99">
        <f>G8+'4'!H8</f>
        <v>112271.09999999998</v>
      </c>
      <c r="I8" s="116"/>
      <c r="J8" s="175">
        <f>H8/DAY(B2)</f>
        <v>22454.219999999994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'4'!F9</f>
        <v>1313129.2</v>
      </c>
      <c r="F9" s="117">
        <v>1328139</v>
      </c>
      <c r="G9" s="112">
        <f>F9-E9</f>
        <v>15009.800000000047</v>
      </c>
      <c r="H9" s="99">
        <f>G9+'4'!H9</f>
        <v>66860.5</v>
      </c>
      <c r="I9" s="124">
        <f>I7-J7</f>
        <v>-9983.1399999999921</v>
      </c>
      <c r="J9" s="175">
        <f>H9/DAY(B2)</f>
        <v>13372.1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'4'!F10</f>
        <v>200397.71</v>
      </c>
      <c r="F10" s="117">
        <v>208510</v>
      </c>
      <c r="G10" s="112">
        <f t="shared" ref="G10:G12" si="0">F10-E10</f>
        <v>8112.2900000000081</v>
      </c>
      <c r="H10" s="99">
        <f>G10+'4'!H10</f>
        <v>40126.070000000007</v>
      </c>
      <c r="I10" s="286"/>
      <c r="J10" s="175">
        <f>H10/DAY(B2)</f>
        <v>8025.2140000000018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23122.090000000055</v>
      </c>
      <c r="H13" s="99">
        <f>G13+'4'!H13</f>
        <v>86180.109999999986</v>
      </c>
      <c r="I13" s="120">
        <f>G7-G13</f>
        <v>629.07999999998719</v>
      </c>
      <c r="J13" s="175">
        <f>H13/DAY(B2)</f>
        <v>17236.021999999997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'4'!F15</f>
        <v>1819513.08</v>
      </c>
      <c r="F15" s="123">
        <v>1820403</v>
      </c>
      <c r="G15" s="112">
        <f>(F15-E15)</f>
        <v>889.91999999992549</v>
      </c>
      <c r="H15" s="99">
        <f>G15+'4'!H15</f>
        <v>4736.0400000000373</v>
      </c>
      <c r="I15" s="113">
        <f>'1'!I15</f>
        <v>800</v>
      </c>
      <c r="J15" s="175">
        <f>H15/DAY(B2)</f>
        <v>947.20800000000747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-147.20800000000747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'4'!F18</f>
        <v>18</v>
      </c>
      <c r="F18" s="122">
        <v>10</v>
      </c>
      <c r="G18" s="119">
        <f>F18*10</f>
        <v>100</v>
      </c>
      <c r="H18" s="99">
        <f>G18+'4'!H18</f>
        <v>890</v>
      </c>
      <c r="I18" s="113">
        <f>'1'!I18</f>
        <v>65</v>
      </c>
      <c r="J18" s="175">
        <f>H18/DAY(B2)</f>
        <v>178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'4'!F19</f>
        <v>149152</v>
      </c>
      <c r="F19" s="122">
        <v>149211</v>
      </c>
      <c r="G19" s="112">
        <f t="shared" ref="G19" si="1">F19-E19</f>
        <v>59</v>
      </c>
      <c r="H19" s="99">
        <f>G19+'4'!H19</f>
        <v>294</v>
      </c>
      <c r="I19" s="355"/>
      <c r="J19" s="175">
        <f>H19/DAY(B2)</f>
        <v>58.8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159</v>
      </c>
      <c r="H20" s="99">
        <f>G20+'4'!H20</f>
        <v>1184</v>
      </c>
      <c r="I20" s="356">
        <f>I18-J20</f>
        <v>-171.8</v>
      </c>
      <c r="J20" s="175">
        <f>H20/DAY(B2)</f>
        <v>236.8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'4'!F23</f>
        <v>2000</v>
      </c>
      <c r="F23" s="122">
        <v>2000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24186.890000000014</v>
      </c>
      <c r="F27" s="136">
        <v>9</v>
      </c>
      <c r="G27" s="137">
        <f>E27*F27</f>
        <v>217682.01000000013</v>
      </c>
      <c r="H27" s="99">
        <f>G27+'4'!H27</f>
        <v>1010439.8999999998</v>
      </c>
      <c r="I27" s="138"/>
      <c r="J27" s="175">
        <f>H27/DAY(B2)</f>
        <v>202087.97999999995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889.91999999992549</v>
      </c>
      <c r="F28" s="136">
        <v>52</v>
      </c>
      <c r="G28" s="137">
        <f>E28*F28</f>
        <v>46275.839999996126</v>
      </c>
      <c r="H28" s="99">
        <f>G28+'4'!H28</f>
        <v>246274.08000000194</v>
      </c>
      <c r="I28" s="140"/>
      <c r="J28" s="175">
        <f>H28/DAY(B2)</f>
        <v>49254.816000000385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G30+'4'!H30</f>
        <v>42924</v>
      </c>
      <c r="I30" s="140"/>
      <c r="J30" s="175">
        <f>H30/DAY(B2)</f>
        <v>8584.7999999999993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G31+'4'!H31</f>
        <v>71200</v>
      </c>
      <c r="I31" s="140"/>
      <c r="J31" s="175">
        <f>H31/DAY(B2)</f>
        <v>14240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280571.84999999625</v>
      </c>
      <c r="H32" s="99">
        <f>G32+'4'!H32</f>
        <v>1370837.9800000018</v>
      </c>
      <c r="I32" s="144"/>
      <c r="J32" s="175">
        <f>H32/DAY(B2)</f>
        <v>274167.59600000037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'4'!F35</f>
        <v>40304.6</v>
      </c>
      <c r="F35" s="145">
        <v>42216</v>
      </c>
      <c r="G35" s="112">
        <f t="shared" ref="G35:G46" si="3">F35-E35</f>
        <v>1911.4000000000015</v>
      </c>
      <c r="H35" s="99">
        <f>G35+'4'!H35</f>
        <v>9741.3300000000017</v>
      </c>
      <c r="I35" s="95"/>
      <c r="J35" s="175">
        <f>H35/DAY(B2)</f>
        <v>1948.2660000000003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'4'!F36</f>
        <v>52704.68</v>
      </c>
      <c r="F36" s="145">
        <v>53608</v>
      </c>
      <c r="G36" s="112">
        <f t="shared" si="3"/>
        <v>903.31999999999971</v>
      </c>
      <c r="H36" s="99">
        <f>G36+'4'!H36</f>
        <v>3668.3300000000017</v>
      </c>
      <c r="I36" s="95"/>
      <c r="J36" s="175">
        <f>H36/DAY(B2)</f>
        <v>733.66600000000039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'4'!F37</f>
        <v>103277.67</v>
      </c>
      <c r="F37" s="145">
        <v>104880</v>
      </c>
      <c r="G37" s="112">
        <f t="shared" si="3"/>
        <v>1602.3300000000017</v>
      </c>
      <c r="H37" s="99">
        <f>G37+'4'!H37</f>
        <v>7826.1699999999983</v>
      </c>
      <c r="I37" s="95"/>
      <c r="J37" s="175">
        <f>H37/DAY(B2)</f>
        <v>1565.2339999999997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'4'!F38</f>
        <v>122427.49</v>
      </c>
      <c r="F38" s="108">
        <v>124226</v>
      </c>
      <c r="G38" s="112">
        <f t="shared" si="3"/>
        <v>1798.5099999999948</v>
      </c>
      <c r="H38" s="99">
        <f>G38+'4'!H38</f>
        <v>9002.9600000000064</v>
      </c>
      <c r="I38" s="95"/>
      <c r="J38" s="175">
        <f>H38/DAY(B2)</f>
        <v>1800.5920000000012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'4'!F39</f>
        <v>244933.33</v>
      </c>
      <c r="F39" s="145">
        <v>247790</v>
      </c>
      <c r="G39" s="112">
        <f t="shared" si="3"/>
        <v>2856.6700000000128</v>
      </c>
      <c r="H39" s="99">
        <f>G39+'4'!H39</f>
        <v>14408.950000000012</v>
      </c>
      <c r="I39" s="95"/>
      <c r="J39" s="175">
        <f>H39/DAY(B2)</f>
        <v>2881.7900000000022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'4'!F40</f>
        <v>34.5</v>
      </c>
      <c r="F40" s="145">
        <v>38</v>
      </c>
      <c r="G40" s="112">
        <f t="shared" si="3"/>
        <v>3.5</v>
      </c>
      <c r="H40" s="99">
        <f>G40+'4'!H40</f>
        <v>12.629999999999999</v>
      </c>
      <c r="I40" s="95"/>
      <c r="J40" s="175">
        <f>H40/DAY(B2)</f>
        <v>2.5259999999999998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'4'!F41</f>
        <v>582546.71</v>
      </c>
      <c r="F41" s="145">
        <v>582546.71</v>
      </c>
      <c r="G41" s="112">
        <f t="shared" si="3"/>
        <v>0</v>
      </c>
      <c r="H41" s="99">
        <f>G41+'4'!H41</f>
        <v>687.88000000000466</v>
      </c>
      <c r="I41" s="95"/>
      <c r="J41" s="175">
        <f>H41/DAY(B2)</f>
        <v>137.57600000000093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'4'!F42</f>
        <v>270969.63</v>
      </c>
      <c r="F42" s="145">
        <v>272705</v>
      </c>
      <c r="G42" s="112">
        <f t="shared" si="3"/>
        <v>1735.3699999999953</v>
      </c>
      <c r="H42" s="99">
        <f>G42+'4'!H42</f>
        <v>1735.3300000000163</v>
      </c>
      <c r="I42" s="95"/>
      <c r="J42" s="175">
        <f>H42/DAY(B2)</f>
        <v>347.06600000000327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'4'!F43</f>
        <v>1456655.7</v>
      </c>
      <c r="F43" s="145">
        <v>1459629</v>
      </c>
      <c r="G43" s="112">
        <f t="shared" si="3"/>
        <v>2973.3000000000466</v>
      </c>
      <c r="H43" s="99">
        <f>G43+'4'!H43</f>
        <v>13541.600000000093</v>
      </c>
      <c r="I43" s="95"/>
      <c r="J43" s="175">
        <f>H43/DAY(B2)</f>
        <v>2708.3200000000188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13784.400000000052</v>
      </c>
      <c r="H47" s="99">
        <f>G47+'4'!H47</f>
        <v>60625.180000000131</v>
      </c>
      <c r="I47" s="95"/>
      <c r="J47" s="175">
        <f>H47/DAY(B2)</f>
        <v>12125.036000000026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626">
        <v>178987.53</v>
      </c>
      <c r="F49" s="145">
        <v>180674</v>
      </c>
      <c r="G49" s="112">
        <f t="shared" ref="G49:G58" si="4">F49-E49</f>
        <v>1686.4700000000012</v>
      </c>
      <c r="H49" s="99">
        <f>G49+'4'!H49</f>
        <v>7943.609999999986</v>
      </c>
      <c r="I49" s="95"/>
      <c r="J49" s="175">
        <f>H49/DAY(B2)</f>
        <v>1588.7219999999973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'4'!F50</f>
        <v>688259.91</v>
      </c>
      <c r="F50" s="145">
        <v>689443</v>
      </c>
      <c r="G50" s="112">
        <f t="shared" si="4"/>
        <v>1183.0899999999674</v>
      </c>
      <c r="H50" s="99">
        <f>G50+'4'!H50</f>
        <v>5080.6899999999441</v>
      </c>
      <c r="I50" s="95"/>
      <c r="J50" s="175">
        <f>H50/DAY(B2)</f>
        <v>1016.1379999999888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'4'!F54</f>
        <v>2886.34</v>
      </c>
      <c r="F54" s="145">
        <v>2891</v>
      </c>
      <c r="G54" s="112">
        <f t="shared" si="4"/>
        <v>4.6599999999998545</v>
      </c>
      <c r="H54" s="99">
        <f>G54+'4'!H54</f>
        <v>23.510000000000218</v>
      </c>
      <c r="I54" s="95"/>
      <c r="J54" s="175">
        <f>H54/DAY(B2)</f>
        <v>4.7020000000000435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'4'!F55</f>
        <v>0</v>
      </c>
      <c r="F55" s="145">
        <v>0</v>
      </c>
      <c r="G55" s="112">
        <f t="shared" si="4"/>
        <v>0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'4'!F56</f>
        <v>64389.62</v>
      </c>
      <c r="F56" s="145">
        <v>69542</v>
      </c>
      <c r="G56" s="112">
        <f t="shared" si="4"/>
        <v>5152.3799999999974</v>
      </c>
      <c r="H56" s="99">
        <f>G56+'4'!H56</f>
        <v>26701.71</v>
      </c>
      <c r="I56" s="95"/>
      <c r="J56" s="175">
        <f>H56/DAY(B2)</f>
        <v>5340.3419999999996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'4'!F58</f>
        <v>79800.539999999994</v>
      </c>
      <c r="F58" s="145">
        <v>79972</v>
      </c>
      <c r="G58" s="112">
        <f t="shared" si="4"/>
        <v>171.4600000000064</v>
      </c>
      <c r="H58" s="99">
        <f>G58+'4'!H58</f>
        <v>952.10000000000582</v>
      </c>
      <c r="I58" s="95"/>
      <c r="J58" s="175">
        <f>H58/DAY(B2)</f>
        <v>190.42000000000115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8198.0599999999722</v>
      </c>
      <c r="H59" s="99">
        <f>G59+'4'!H59</f>
        <v>40701.619999999937</v>
      </c>
      <c r="I59" s="95">
        <f>G7-G60</f>
        <v>1768.7100000000173</v>
      </c>
      <c r="J59" s="175">
        <f>H59/DAY(B2)</f>
        <v>8140.3239999999878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21982.460000000025</v>
      </c>
      <c r="H60" s="99">
        <f>G60+'4'!H60</f>
        <v>101326.80000000008</v>
      </c>
      <c r="I60" s="95">
        <f>G13-G60</f>
        <v>1139.6300000000301</v>
      </c>
      <c r="J60" s="175">
        <f>H60/DAY(B2)</f>
        <v>20265.360000000015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'4'!F62</f>
        <v>260266</v>
      </c>
      <c r="F62" s="122">
        <v>260333</v>
      </c>
      <c r="G62" s="112">
        <f t="shared" ref="G62:G63" si="5">F62-E62</f>
        <v>67</v>
      </c>
      <c r="H62" s="99">
        <f>G62+'4'!H62</f>
        <v>515</v>
      </c>
      <c r="I62" s="118"/>
      <c r="J62" s="175">
        <f>H62/DAY(B2)</f>
        <v>103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'4'!F63</f>
        <v>206667</v>
      </c>
      <c r="F63" s="122">
        <v>206762</v>
      </c>
      <c r="G63" s="112">
        <f t="shared" si="5"/>
        <v>95</v>
      </c>
      <c r="H63" s="99">
        <f>G63+'4'!H63</f>
        <v>492</v>
      </c>
      <c r="I63" s="118"/>
      <c r="J63" s="175">
        <f>H63/DAY(B2)</f>
        <v>98.4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'4'!F64</f>
        <v>0</v>
      </c>
      <c r="F64" s="122"/>
      <c r="G64" s="112">
        <f>G62+G63</f>
        <v>162</v>
      </c>
      <c r="H64" s="99">
        <f>G64+'4'!H64</f>
        <v>1007</v>
      </c>
      <c r="I64" s="118"/>
      <c r="J64" s="175">
        <f>H64/DAY(B2)</f>
        <v>201.4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'4'!F65</f>
        <v>426617</v>
      </c>
      <c r="F65" s="122">
        <v>426689</v>
      </c>
      <c r="G65" s="112">
        <f t="shared" ref="G65:G70" si="6">F65-E65</f>
        <v>72</v>
      </c>
      <c r="H65" s="99">
        <f>G65+'4'!H65</f>
        <v>484</v>
      </c>
      <c r="I65" s="118"/>
      <c r="J65" s="175">
        <f>H65/DAY(B2)</f>
        <v>96.8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'4'!F66</f>
        <v>106045</v>
      </c>
      <c r="F66" s="122">
        <v>106058</v>
      </c>
      <c r="G66" s="112">
        <f t="shared" si="6"/>
        <v>13</v>
      </c>
      <c r="H66" s="99">
        <f>G66+'4'!H66</f>
        <v>88</v>
      </c>
      <c r="I66" s="118"/>
      <c r="J66" s="175">
        <f>H66/DAY(B2)</f>
        <v>17.600000000000001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'4'!F67</f>
        <v>102261</v>
      </c>
      <c r="F67" s="122">
        <v>102291</v>
      </c>
      <c r="G67" s="112">
        <f t="shared" si="6"/>
        <v>30</v>
      </c>
      <c r="H67" s="99">
        <f>G67+'4'!H67</f>
        <v>120</v>
      </c>
      <c r="I67" s="118"/>
      <c r="J67" s="175">
        <f>H67/DAY(B2)</f>
        <v>24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'4'!F68</f>
        <v>154638</v>
      </c>
      <c r="F68" s="122">
        <v>154666</v>
      </c>
      <c r="G68" s="112">
        <f t="shared" si="6"/>
        <v>28</v>
      </c>
      <c r="H68" s="99">
        <f>G68+'4'!H68</f>
        <v>170</v>
      </c>
      <c r="I68" s="118"/>
      <c r="J68" s="175">
        <f>H68/DAY(B2)</f>
        <v>34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'4'!F69</f>
        <v>9517</v>
      </c>
      <c r="F69" s="122">
        <v>9526</v>
      </c>
      <c r="G69" s="112">
        <f t="shared" si="6"/>
        <v>9</v>
      </c>
      <c r="H69" s="99">
        <f>G69+'4'!H69</f>
        <v>61</v>
      </c>
      <c r="I69" s="118"/>
      <c r="J69" s="175">
        <f>H69/DAY(B2)</f>
        <v>12.2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'4'!F70</f>
        <v>7248</v>
      </c>
      <c r="F70" s="122">
        <v>7258</v>
      </c>
      <c r="G70" s="112">
        <f t="shared" si="6"/>
        <v>10</v>
      </c>
      <c r="H70" s="99">
        <f>G70+'4'!H70</f>
        <v>55</v>
      </c>
      <c r="I70" s="118"/>
      <c r="J70" s="175">
        <f>H70/DAY(B2)</f>
        <v>11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162</v>
      </c>
      <c r="H71" s="99">
        <f>G71+'4'!H71</f>
        <v>978</v>
      </c>
      <c r="I71" s="154"/>
      <c r="J71" s="175">
        <f>H71/DAY(B2)</f>
        <v>195.6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'4'!F74</f>
        <v>874742.53</v>
      </c>
      <c r="F74" s="123">
        <v>875032</v>
      </c>
      <c r="G74" s="112">
        <f t="shared" ref="G74:G78" si="7">F74-E74</f>
        <v>289.46999999997206</v>
      </c>
      <c r="H74" s="99">
        <f>G74+'4'!H74</f>
        <v>1446.7689999999711</v>
      </c>
      <c r="I74" s="154"/>
      <c r="J74" s="175">
        <f>H74/DAY(B2)</f>
        <v>289.35379999999424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'4'!F75</f>
        <v>73583.399999999994</v>
      </c>
      <c r="F75" s="123">
        <v>73583.399999999994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'4'!F76</f>
        <v>160377</v>
      </c>
      <c r="F76" s="123">
        <v>160464</v>
      </c>
      <c r="G76" s="112">
        <f t="shared" si="7"/>
        <v>87</v>
      </c>
      <c r="H76" s="99">
        <f>G76+'4'!H76</f>
        <v>478.5</v>
      </c>
      <c r="I76" s="154"/>
      <c r="J76" s="175">
        <f>H76/DAY(B2)</f>
        <v>95.7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'4'!F77</f>
        <v>37651</v>
      </c>
      <c r="F77" s="123">
        <v>37698</v>
      </c>
      <c r="G77" s="112">
        <f t="shared" si="7"/>
        <v>47</v>
      </c>
      <c r="H77" s="99">
        <f>G77+'4'!H77</f>
        <v>200.5</v>
      </c>
      <c r="I77" s="154"/>
      <c r="J77" s="175">
        <f>H77/DAY(B2)</f>
        <v>40.1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'4'!F78</f>
        <v>9338.9</v>
      </c>
      <c r="F78" s="123">
        <v>9341</v>
      </c>
      <c r="G78" s="112">
        <f t="shared" si="7"/>
        <v>2.1000000000003638</v>
      </c>
      <c r="H78" s="99">
        <f>G78+'4'!H78</f>
        <v>11.600000000000364</v>
      </c>
      <c r="I78" s="118"/>
      <c r="J78" s="175">
        <f>H78/DAY(B2)</f>
        <v>2.3200000000000727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117"/>
      <c r="F79" s="117">
        <v>9263</v>
      </c>
      <c r="G79" s="112">
        <f>G15-SUM(G74:G78)</f>
        <v>464.34999999995307</v>
      </c>
      <c r="H79" s="99">
        <f>G79+'4'!H79</f>
        <v>2598.6710000000658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889.91999999992549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'4'!F82</f>
        <v>0</v>
      </c>
      <c r="F82" s="122"/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'4'!F83</f>
        <v>0</v>
      </c>
      <c r="F83" s="122"/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'4'!F84</f>
        <v>41589</v>
      </c>
      <c r="F84" s="164">
        <v>41589</v>
      </c>
      <c r="G84" s="112">
        <f t="shared" si="8"/>
        <v>0</v>
      </c>
      <c r="H84" s="99">
        <f>G84+'4'!H84</f>
        <v>3.4400000000023283</v>
      </c>
      <c r="I84" s="118"/>
      <c r="J84" s="175">
        <f>H84/DAY(B2)</f>
        <v>0.68800000000046568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'4'!F85</f>
        <v>1305</v>
      </c>
      <c r="F85" s="164">
        <v>1314</v>
      </c>
      <c r="G85" s="112">
        <f t="shared" si="8"/>
        <v>9</v>
      </c>
      <c r="H85" s="99">
        <f>G85+'4'!H85</f>
        <v>9</v>
      </c>
      <c r="I85" s="118">
        <f>G82+G83+G84+G85</f>
        <v>9</v>
      </c>
      <c r="J85" s="175">
        <f>H85/DAY(B2)</f>
        <v>1.8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'4'!F86</f>
        <v>42826.47</v>
      </c>
      <c r="F86" s="164">
        <v>42826.47</v>
      </c>
      <c r="G86" s="112">
        <f t="shared" si="8"/>
        <v>0</v>
      </c>
      <c r="H86" s="99">
        <f>G86+'4'!H86</f>
        <v>0.47000000000116415</v>
      </c>
      <c r="I86" s="118"/>
      <c r="J86" s="175">
        <f>H86/DAY(B2)</f>
        <v>9.4000000000232828E-2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'4'!F87</f>
        <v>33844</v>
      </c>
      <c r="F87" s="164">
        <v>33868</v>
      </c>
      <c r="G87" s="112">
        <f t="shared" si="8"/>
        <v>24</v>
      </c>
      <c r="H87" s="99">
        <f>G87+'4'!H87</f>
        <v>120</v>
      </c>
      <c r="I87" s="118"/>
      <c r="J87" s="175">
        <f>H87/DAY(B2)</f>
        <v>24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'4'!F88</f>
        <v>23861.22</v>
      </c>
      <c r="F88" s="164">
        <v>23868.55</v>
      </c>
      <c r="G88" s="112">
        <f t="shared" si="8"/>
        <v>7.3299999999981083</v>
      </c>
      <c r="H88" s="99">
        <f>G88+'4'!H88</f>
        <v>34.979999999999563</v>
      </c>
      <c r="I88" s="118">
        <f>G86+G87+G88</f>
        <v>31.329999999998108</v>
      </c>
      <c r="J88" s="175">
        <f>H88/DAY(B2)</f>
        <v>6.9959999999999125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'4'!F89</f>
        <v>25254.94</v>
      </c>
      <c r="F89" s="164">
        <v>25254.94</v>
      </c>
      <c r="G89" s="112">
        <f t="shared" si="8"/>
        <v>0</v>
      </c>
      <c r="H89" s="99">
        <f>G89+'4'!H89</f>
        <v>9.5599999999976717</v>
      </c>
      <c r="I89" s="118"/>
      <c r="J89" s="175">
        <f>H89/DAY(B2)</f>
        <v>1.9119999999995343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'4'!F90</f>
        <v>70667.62</v>
      </c>
      <c r="F90" s="164">
        <v>70671.289999999994</v>
      </c>
      <c r="G90" s="112">
        <f t="shared" si="8"/>
        <v>3.6699999999982538</v>
      </c>
      <c r="H90" s="99">
        <f>G90+'4'!H90</f>
        <v>15.879999999990105</v>
      </c>
      <c r="I90" s="118">
        <f>G89+G90</f>
        <v>3.6699999999982538</v>
      </c>
      <c r="J90" s="175">
        <f>H90/DAY(B2)</f>
        <v>3.1759999999980209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'4'!F92</f>
        <v>4832.47</v>
      </c>
      <c r="F92" s="122">
        <v>4842.63</v>
      </c>
      <c r="G92" s="112">
        <f t="shared" si="8"/>
        <v>10.159999999999854</v>
      </c>
      <c r="H92" s="99">
        <f>G92+'4'!H92</f>
        <v>50.8100000000004</v>
      </c>
      <c r="I92" s="165"/>
      <c r="J92" s="175">
        <f>H92/DAY(B2)</f>
        <v>10.162000000000081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6571.1700000000492</v>
      </c>
      <c r="H94" s="99">
        <f>G94+'4'!H94</f>
        <v>31226.540000000081</v>
      </c>
      <c r="I94" s="118"/>
      <c r="J94" s="175">
        <f>H94/DAY(B2)</f>
        <v>6245.3080000000164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0.27666721260468591</v>
      </c>
      <c r="H95" s="99">
        <f>G95+'4'!H95</f>
        <v>1.4221760029470423</v>
      </c>
      <c r="I95" s="167"/>
      <c r="J95" s="175">
        <f>H95/DAY(B2)</f>
        <v>0.28443520058940847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6887.7499999999927</v>
      </c>
      <c r="H96" s="99">
        <f>G96+'4'!H96</f>
        <v>29124.92000000002</v>
      </c>
      <c r="I96" s="118"/>
      <c r="J96" s="175">
        <f>H96/DAY(B2)</f>
        <v>5824.984000000004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0.28999624018521952</v>
      </c>
      <c r="H97" s="99">
        <f>G97+'4'!H97</f>
        <v>1.3212176715526978</v>
      </c>
      <c r="I97" s="167"/>
      <c r="J97" s="175">
        <f>H97/DAY(B2)</f>
        <v>0.26424353431053954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2856.6700000000128</v>
      </c>
      <c r="H98" s="99">
        <f>G98+'4'!H98</f>
        <v>14408.950000000012</v>
      </c>
      <c r="I98" s="168"/>
      <c r="J98" s="175">
        <f>H98/DAY(B2)</f>
        <v>2881.7900000000022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0.12027491698303737</v>
      </c>
      <c r="H99" s="99">
        <f>G99+'4'!H99</f>
        <v>0.65674736994628535</v>
      </c>
      <c r="I99" s="168"/>
      <c r="J99" s="175">
        <f>H99/DAY(B2)</f>
        <v>0.13134947398925706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1798.5099999999948</v>
      </c>
      <c r="H100" s="99">
        <f>G100+'4'!H100</f>
        <v>9002.9600000000064</v>
      </c>
      <c r="I100" s="118"/>
      <c r="J100" s="175">
        <f>H100/DAY(B2)</f>
        <v>1800.5920000000012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7.5723006487680045E-2</v>
      </c>
      <c r="H101" s="99">
        <f>G101+'4'!H101</f>
        <v>0.41015059352918654</v>
      </c>
      <c r="I101" s="168"/>
      <c r="J101" s="175">
        <f>H101/DAY(B2)</f>
        <v>8.2030118705837304E-2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2086.4099999999671</v>
      </c>
      <c r="H102" s="99">
        <f>G102+'4'!H102</f>
        <v>8749.0199999999459</v>
      </c>
      <c r="I102" s="168"/>
      <c r="J102" s="175">
        <f>H102/DAY(B2)</f>
        <v>1749.8039999999892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8.7844514607068339E-2</v>
      </c>
      <c r="H103" s="99">
        <f>G103+'4'!H103</f>
        <v>0.39699045500275487</v>
      </c>
      <c r="I103" s="118"/>
      <c r="J103" s="175">
        <f>H103/DAY(B2)</f>
        <v>7.939809100055098E-2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1602.3300000000017</v>
      </c>
      <c r="H104" s="99">
        <f>G104+'4'!H104</f>
        <v>7826.1699999999983</v>
      </c>
      <c r="I104" s="118"/>
      <c r="J104" s="175">
        <f>H104/DAY(B2)</f>
        <v>1565.2339999999997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6.7463202865374591E-2</v>
      </c>
      <c r="H105" s="99">
        <f>G105+'4'!H105</f>
        <v>0.35643504705714973</v>
      </c>
      <c r="I105" s="187"/>
      <c r="J105" s="188">
        <f>H105/DAY(B2)</f>
        <v>7.1287009411429944E-2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'4'!F112</f>
        <v>51219.59</v>
      </c>
      <c r="F112" s="237">
        <v>51303</v>
      </c>
      <c r="G112" s="112">
        <f t="shared" ref="G112:G123" si="9">F112-E112</f>
        <v>83.410000000003492</v>
      </c>
      <c r="H112" s="99">
        <f>G112+'4'!H112</f>
        <v>413.91999999999825</v>
      </c>
      <c r="I112" s="165"/>
      <c r="J112" s="348">
        <f>H112/DAY(B2)</f>
        <v>82.783999999999651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'4'!F113</f>
        <v>6165.34</v>
      </c>
      <c r="F113" s="237">
        <v>6603</v>
      </c>
      <c r="G113" s="112">
        <f t="shared" si="9"/>
        <v>437.65999999999985</v>
      </c>
      <c r="H113" s="99">
        <f>G113+'4'!H113</f>
        <v>2097.3500000000004</v>
      </c>
      <c r="I113" s="165"/>
      <c r="J113" s="348">
        <f>H113/DAY(B2)</f>
        <v>419.47000000000008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'4'!F114</f>
        <v>5614.5</v>
      </c>
      <c r="F114" s="237">
        <v>5679</v>
      </c>
      <c r="G114" s="112">
        <f t="shared" si="9"/>
        <v>64.5</v>
      </c>
      <c r="H114" s="99">
        <f>G114+'4'!H114</f>
        <v>1101.0699999999997</v>
      </c>
      <c r="I114" s="165"/>
      <c r="J114" s="348">
        <f>H114/DAY(B2)</f>
        <v>220.21399999999994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'4'!F115</f>
        <v>8116.13</v>
      </c>
      <c r="F115" s="237">
        <v>8125</v>
      </c>
      <c r="G115" s="112">
        <f t="shared" si="9"/>
        <v>8.8699999999998909</v>
      </c>
      <c r="H115" s="99">
        <f>G115+'4'!H115</f>
        <v>47.590000000000146</v>
      </c>
      <c r="I115" s="165"/>
      <c r="J115" s="348">
        <f>H115/DAY(B2)</f>
        <v>9.5180000000000291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48">
        <f>H116/DAY(B2)</f>
        <v>0</v>
      </c>
      <c r="Q116" s="863"/>
      <c r="R116" s="863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'4'!F117</f>
        <v>1395.12</v>
      </c>
      <c r="F117" s="237">
        <v>1418</v>
      </c>
      <c r="G117" s="112">
        <f t="shared" si="9"/>
        <v>22.880000000000109</v>
      </c>
      <c r="H117" s="99">
        <f>G117+'4'!H117</f>
        <v>259.80999999999995</v>
      </c>
      <c r="I117" s="165"/>
      <c r="J117" s="348">
        <f>H117/DAY(B2)</f>
        <v>51.961999999999989</v>
      </c>
      <c r="Q117" s="863"/>
      <c r="R117" s="863"/>
    </row>
    <row r="118" spans="1:18" ht="27.75">
      <c r="A118" s="792" t="s">
        <v>97</v>
      </c>
      <c r="B118" s="792"/>
      <c r="C118" s="792"/>
      <c r="D118" s="151" t="s">
        <v>183</v>
      </c>
      <c r="E118" s="95">
        <f>'4'!F118</f>
        <v>220189.33</v>
      </c>
      <c r="F118" s="237">
        <v>220511</v>
      </c>
      <c r="G118" s="112">
        <f t="shared" si="9"/>
        <v>321.67000000001281</v>
      </c>
      <c r="H118" s="99">
        <f>G118+'4'!H118</f>
        <v>1659.070000000007</v>
      </c>
      <c r="I118" s="165"/>
      <c r="J118" s="348">
        <f>H118/DAY(B2)</f>
        <v>331.81400000000139</v>
      </c>
      <c r="Q118" s="863"/>
      <c r="R118" s="863"/>
    </row>
    <row r="119" spans="1:18" ht="27.75">
      <c r="A119" s="792" t="s">
        <v>98</v>
      </c>
      <c r="B119" s="792"/>
      <c r="C119" s="792"/>
      <c r="D119" s="151" t="s">
        <v>183</v>
      </c>
      <c r="E119" s="95">
        <f>'4'!F119</f>
        <v>220545.01</v>
      </c>
      <c r="F119" s="237">
        <v>220967</v>
      </c>
      <c r="G119" s="112">
        <f t="shared" si="9"/>
        <v>421.98999999999069</v>
      </c>
      <c r="H119" s="99">
        <f>G119+'4'!H119</f>
        <v>2155.890000000014</v>
      </c>
      <c r="I119" s="165"/>
      <c r="J119" s="348">
        <f>H119/DAY(B2)</f>
        <v>431.17800000000278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'4'!F120</f>
        <v>6086.32</v>
      </c>
      <c r="F120" s="237">
        <v>6536</v>
      </c>
      <c r="G120" s="112">
        <f t="shared" si="9"/>
        <v>449.68000000000029</v>
      </c>
      <c r="H120" s="99">
        <f>G120+'4'!H120</f>
        <v>2228.3999999999996</v>
      </c>
      <c r="I120" s="165"/>
      <c r="J120" s="348">
        <f>H120/DAY(B2)</f>
        <v>445.67999999999995</v>
      </c>
    </row>
    <row r="121" spans="1:18" ht="27.75">
      <c r="A121" s="792" t="s">
        <v>100</v>
      </c>
      <c r="B121" s="792"/>
      <c r="C121" s="792"/>
      <c r="D121" s="151" t="s">
        <v>183</v>
      </c>
      <c r="E121" s="237">
        <v>334128.90999999997</v>
      </c>
      <c r="F121" s="237">
        <v>334862</v>
      </c>
      <c r="G121" s="112">
        <f t="shared" si="9"/>
        <v>733.09000000002561</v>
      </c>
      <c r="H121" s="99">
        <f>G121+'4'!H121</f>
        <v>3624.4899999999907</v>
      </c>
      <c r="I121" s="165"/>
      <c r="J121" s="348">
        <f>H121/DAY(B2)</f>
        <v>724.89799999999809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'4'!F122</f>
        <v>102786.89</v>
      </c>
      <c r="F122" s="237">
        <v>103062</v>
      </c>
      <c r="G122" s="112">
        <f t="shared" si="9"/>
        <v>275.11000000000058</v>
      </c>
      <c r="H122" s="99">
        <f>G122+'4'!H122</f>
        <v>1453.1199999999953</v>
      </c>
      <c r="I122" s="165"/>
      <c r="J122" s="348">
        <f>H122/DAY(B2)</f>
        <v>290.62399999999906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'4'!F123</f>
        <v>126922.86</v>
      </c>
      <c r="F123" s="237">
        <v>127223</v>
      </c>
      <c r="G123" s="112">
        <f t="shared" si="9"/>
        <v>300.13999999999942</v>
      </c>
      <c r="H123" s="99">
        <f>G123+'4'!H123</f>
        <v>1475.2400000000052</v>
      </c>
      <c r="I123" s="165"/>
      <c r="J123" s="348">
        <f>H123/DAY(B2)</f>
        <v>295.04800000000103</v>
      </c>
    </row>
    <row r="124" spans="1:18" ht="29.25" customHeight="1">
      <c r="A124" s="797"/>
      <c r="B124" s="798"/>
      <c r="C124" s="799"/>
      <c r="D124" s="165"/>
      <c r="E124" s="165"/>
      <c r="F124" s="165"/>
      <c r="G124" s="347"/>
      <c r="H124" s="156"/>
      <c r="I124" s="165"/>
      <c r="J124" s="347"/>
    </row>
    <row r="125" spans="1:18" ht="27.75">
      <c r="A125" s="858" t="s">
        <v>196</v>
      </c>
      <c r="B125" s="858"/>
      <c r="C125" s="246"/>
      <c r="D125" s="317"/>
      <c r="E125" s="318"/>
      <c r="F125" s="318"/>
      <c r="G125" s="319">
        <f>SUM(G112:G124)</f>
        <v>3119.0000000000327</v>
      </c>
      <c r="H125" s="156"/>
      <c r="I125" s="347">
        <f>G125-(G39+G53)</f>
        <v>262.33000000001994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533"/>
      <c r="G127" s="319"/>
      <c r="H127" s="99">
        <f>G127+'4'!H127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'4'!F128</f>
        <v>19381.419999999998</v>
      </c>
      <c r="F128" s="534">
        <v>19714</v>
      </c>
      <c r="G128" s="112">
        <f t="shared" ref="G128:G134" si="10">F128-E128</f>
        <v>332.58000000000175</v>
      </c>
      <c r="H128" s="99">
        <f>G128+'4'!H128</f>
        <v>1690.2799999999988</v>
      </c>
      <c r="I128" s="165"/>
      <c r="J128" s="348">
        <f>H128/DAY(B2)</f>
        <v>338.05599999999976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'4'!F129</f>
        <v>7392.46</v>
      </c>
      <c r="F129" s="534">
        <v>7655</v>
      </c>
      <c r="G129" s="112">
        <f t="shared" si="10"/>
        <v>262.53999999999996</v>
      </c>
      <c r="H129" s="99">
        <f>G129+'4'!H129</f>
        <v>1059.29</v>
      </c>
      <c r="I129" s="165"/>
      <c r="J129" s="348">
        <f>H129/DAY(B2)</f>
        <v>211.858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'4'!F130</f>
        <v>36586.6</v>
      </c>
      <c r="F130" s="534">
        <v>38785</v>
      </c>
      <c r="G130" s="112">
        <f t="shared" si="10"/>
        <v>2198.4000000000015</v>
      </c>
      <c r="H130" s="99">
        <f>G130+'4'!H130</f>
        <v>12316.970000000001</v>
      </c>
      <c r="I130" s="165"/>
      <c r="J130" s="348">
        <f>H130/DAY(B2)</f>
        <v>2463.3940000000002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'4'!F131</f>
        <v>4589.82</v>
      </c>
      <c r="F131" s="534">
        <v>4703</v>
      </c>
      <c r="G131" s="112">
        <f t="shared" si="10"/>
        <v>113.18000000000029</v>
      </c>
      <c r="H131" s="99">
        <f>G131+'4'!H131</f>
        <v>556.52999999999975</v>
      </c>
      <c r="I131" s="165"/>
      <c r="J131" s="348">
        <f>H131/DAY(B2)</f>
        <v>111.30599999999995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'4'!F132</f>
        <v>13487.14</v>
      </c>
      <c r="F132" s="534">
        <v>13979</v>
      </c>
      <c r="G132" s="112">
        <f t="shared" si="10"/>
        <v>491.86000000000058</v>
      </c>
      <c r="H132" s="99">
        <f>G132+'4'!H132</f>
        <v>2441.2800000000007</v>
      </c>
      <c r="I132" s="165"/>
      <c r="J132" s="348">
        <f>H132/DAY(B2)</f>
        <v>488.25600000000014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'4'!F133</f>
        <v>43696.41</v>
      </c>
      <c r="F133" s="534">
        <v>44512</v>
      </c>
      <c r="G133" s="112">
        <f t="shared" si="10"/>
        <v>815.58999999999651</v>
      </c>
      <c r="H133" s="99">
        <f>G133+'4'!H133</f>
        <v>3662.7099999999991</v>
      </c>
      <c r="I133" s="165"/>
      <c r="J133" s="348">
        <f>H133/DAY(B2)</f>
        <v>732.5419999999998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'4'!F134</f>
        <v>615694</v>
      </c>
      <c r="F134" s="534">
        <v>616323</v>
      </c>
      <c r="G134" s="112">
        <f t="shared" si="10"/>
        <v>629</v>
      </c>
      <c r="H134" s="99">
        <f>G134+'4'!H134</f>
        <v>3156</v>
      </c>
      <c r="I134" s="165"/>
      <c r="J134" s="348">
        <f>H134/DAY(B2)</f>
        <v>631.20000000000005</v>
      </c>
    </row>
    <row r="135" spans="1:15" ht="27.75">
      <c r="A135" s="858" t="s">
        <v>196</v>
      </c>
      <c r="B135" s="858"/>
      <c r="C135" s="351"/>
      <c r="D135" s="151"/>
      <c r="E135" s="95"/>
      <c r="F135" s="165"/>
      <c r="G135" s="112">
        <f>SUM(G128:G134)</f>
        <v>4843.1500000000005</v>
      </c>
      <c r="H135" s="99">
        <f>G135+'4'!H135</f>
        <v>24883.059999999998</v>
      </c>
      <c r="I135" s="347">
        <f>G135-(G35+G49)</f>
        <v>1245.2799999999979</v>
      </c>
      <c r="J135" s="348">
        <f>H135/DAY(B2)</f>
        <v>4976.6119999999992</v>
      </c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'4'!F138</f>
        <v>859870</v>
      </c>
      <c r="F138" s="147">
        <v>859938</v>
      </c>
      <c r="G138" s="112">
        <f t="shared" ref="G138:G152" si="11">F138-E138</f>
        <v>68</v>
      </c>
      <c r="H138" s="99">
        <f>G138+'4'!H138</f>
        <v>291</v>
      </c>
      <c r="I138" s="118"/>
      <c r="J138" s="348">
        <f>H138/DAY(B2)</f>
        <v>58.2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'4'!F139</f>
        <v>886105</v>
      </c>
      <c r="F139" s="148">
        <v>886105</v>
      </c>
      <c r="G139" s="112">
        <f t="shared" si="11"/>
        <v>0</v>
      </c>
      <c r="H139" s="99">
        <f>G139+'4'!H139</f>
        <v>3</v>
      </c>
      <c r="I139" s="118"/>
      <c r="J139" s="348">
        <f>H139/DAY(B2)</f>
        <v>0.6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'4'!F140</f>
        <v>88821.8</v>
      </c>
      <c r="F140" s="149">
        <v>88823</v>
      </c>
      <c r="G140" s="112">
        <f t="shared" si="11"/>
        <v>1.1999999999970896</v>
      </c>
      <c r="H140" s="99">
        <f>G140+'4'!H140</f>
        <v>6</v>
      </c>
      <c r="I140" s="118"/>
      <c r="J140" s="348">
        <f>H140/DAY(B2)</f>
        <v>1.2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'4'!F141</f>
        <v>38013.82</v>
      </c>
      <c r="F141" s="149">
        <v>38235</v>
      </c>
      <c r="G141" s="112">
        <f t="shared" si="11"/>
        <v>221.18000000000029</v>
      </c>
      <c r="H141" s="99">
        <f>G141+'4'!H141</f>
        <v>947.05000000000291</v>
      </c>
      <c r="I141" s="118"/>
      <c r="J141" s="348">
        <f>H141/DAY(B2)</f>
        <v>189.41000000000059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'4'!F142</f>
        <v>17024.919999999998</v>
      </c>
      <c r="F142" s="148">
        <v>17042</v>
      </c>
      <c r="G142" s="112">
        <f t="shared" si="11"/>
        <v>17.080000000001746</v>
      </c>
      <c r="H142" s="99">
        <f>G142+'4'!H142</f>
        <v>80.130000000001019</v>
      </c>
      <c r="I142" s="140"/>
      <c r="J142" s="348">
        <f>H142/DAY(B2)</f>
        <v>16.026000000000202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'4'!F143</f>
        <v>1481.4</v>
      </c>
      <c r="F143" s="149">
        <v>1505</v>
      </c>
      <c r="G143" s="112">
        <f t="shared" si="11"/>
        <v>23.599999999999909</v>
      </c>
      <c r="H143" s="99">
        <f>G143+'4'!H143</f>
        <v>121.81999999999994</v>
      </c>
      <c r="I143" s="140"/>
      <c r="J143" s="348">
        <f>H143/DAY(B2)</f>
        <v>24.363999999999987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'4'!F144</f>
        <v>856271</v>
      </c>
      <c r="F144" s="149">
        <v>856498</v>
      </c>
      <c r="G144" s="112">
        <f t="shared" si="11"/>
        <v>227</v>
      </c>
      <c r="H144" s="99">
        <f>G144+'4'!H144</f>
        <v>1129</v>
      </c>
      <c r="I144" s="140"/>
      <c r="J144" s="348">
        <f>H144/DAY(B2)</f>
        <v>225.8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'4'!F145</f>
        <v>2351.15</v>
      </c>
      <c r="F145" s="149">
        <v>2388</v>
      </c>
      <c r="G145" s="112">
        <f t="shared" si="11"/>
        <v>36.849999999999909</v>
      </c>
      <c r="H145" s="99">
        <f>G145+'4'!H145</f>
        <v>175</v>
      </c>
      <c r="I145" s="140"/>
      <c r="J145" s="348">
        <f>H145/DAY(B2)</f>
        <v>35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'4'!F146</f>
        <v>699829</v>
      </c>
      <c r="F146" s="148">
        <v>700393</v>
      </c>
      <c r="G146" s="112">
        <f t="shared" si="11"/>
        <v>564</v>
      </c>
      <c r="H146" s="99">
        <f>G146+'4'!H146</f>
        <v>1874</v>
      </c>
      <c r="I146" s="140"/>
      <c r="J146" s="348">
        <f>H146/DAY(B2)</f>
        <v>374.8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'4'!F147</f>
        <v>590447.43999999994</v>
      </c>
      <c r="F147" s="148">
        <v>590845</v>
      </c>
      <c r="G147" s="112">
        <f t="shared" si="11"/>
        <v>397.56000000005588</v>
      </c>
      <c r="H147" s="99">
        <f>G147+'4'!H147</f>
        <v>1934.0799999999581</v>
      </c>
      <c r="I147" s="140"/>
      <c r="J147" s="348">
        <f>H147/DAY(B2)</f>
        <v>386.81599999999162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'4'!F148</f>
        <v>665961.64</v>
      </c>
      <c r="F148" s="150">
        <v>666210</v>
      </c>
      <c r="G148" s="112">
        <f t="shared" si="11"/>
        <v>248.35999999998603</v>
      </c>
      <c r="H148" s="99">
        <f>G148+'4'!H148</f>
        <v>1101.8800000000047</v>
      </c>
      <c r="I148" s="124"/>
      <c r="J148" s="348">
        <f>H148/DAY(B2)</f>
        <v>220.37600000000094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'4'!F149</f>
        <v>86084</v>
      </c>
      <c r="F149" s="146">
        <v>86412</v>
      </c>
      <c r="G149" s="112">
        <f t="shared" si="11"/>
        <v>328</v>
      </c>
      <c r="H149" s="99">
        <f>G149+'4'!H149</f>
        <v>1665</v>
      </c>
      <c r="I149" s="119"/>
      <c r="J149" s="348">
        <f>H149/DAY(B2)</f>
        <v>333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'4'!F150</f>
        <v>7167232</v>
      </c>
      <c r="F150" s="233">
        <v>7167232</v>
      </c>
      <c r="G150" s="112">
        <f t="shared" si="11"/>
        <v>0</v>
      </c>
      <c r="H150" s="99">
        <f>G150+'4'!H150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'4'!F151</f>
        <v>63988</v>
      </c>
      <c r="F151" s="233">
        <v>64216</v>
      </c>
      <c r="G151" s="112">
        <f t="shared" si="11"/>
        <v>228</v>
      </c>
      <c r="H151" s="99">
        <f>G151+'4'!H151</f>
        <v>1206</v>
      </c>
      <c r="I151" s="119"/>
      <c r="J151" s="348">
        <f>H151/DAY(B2)</f>
        <v>241.2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'4'!F152</f>
        <v>0</v>
      </c>
      <c r="F152" s="233">
        <v>0</v>
      </c>
      <c r="G152" s="112">
        <f t="shared" si="11"/>
        <v>0</v>
      </c>
      <c r="H152" s="99">
        <f>G152+'4'!H152</f>
        <v>0</v>
      </c>
      <c r="I152" s="119"/>
      <c r="J152" s="348">
        <f>H152/DAY(B2)</f>
        <v>0</v>
      </c>
    </row>
    <row r="153" spans="1:10" ht="27.75">
      <c r="A153" s="858" t="s">
        <v>196</v>
      </c>
      <c r="B153" s="858"/>
      <c r="C153" s="385"/>
      <c r="D153" s="378"/>
      <c r="E153" s="380"/>
      <c r="F153" s="381"/>
      <c r="G153" s="382">
        <f>SUM(G138:G152)</f>
        <v>2360.8300000000409</v>
      </c>
      <c r="H153" s="383"/>
      <c r="I153" s="119">
        <f>G153-(G38+G52)</f>
        <v>562.32000000004609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'4'!F155</f>
        <v>77298</v>
      </c>
      <c r="F155" s="535">
        <v>77305</v>
      </c>
      <c r="G155" s="112">
        <f t="shared" ref="G155:G156" si="12">F155-E155</f>
        <v>7</v>
      </c>
      <c r="H155" s="99">
        <f>G155+'4'!H155</f>
        <v>30.399999999994179</v>
      </c>
      <c r="I155" s="384"/>
      <c r="J155" s="348">
        <f>H155/DAY(B2)</f>
        <v>6.0799999999988357</v>
      </c>
    </row>
    <row r="156" spans="1:10" ht="27.75">
      <c r="A156" s="771" t="s">
        <v>346</v>
      </c>
      <c r="B156" s="771"/>
      <c r="C156" s="771"/>
      <c r="D156" s="117" t="s">
        <v>130</v>
      </c>
      <c r="E156" s="95">
        <f>'4'!F156</f>
        <v>0</v>
      </c>
      <c r="F156" s="165">
        <v>0</v>
      </c>
      <c r="G156" s="112">
        <f t="shared" si="12"/>
        <v>0</v>
      </c>
      <c r="H156" s="99">
        <f>G156+'4'!H156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'4'!F158</f>
        <v>469710</v>
      </c>
      <c r="F158" s="235">
        <v>469717</v>
      </c>
      <c r="G158" s="238">
        <f t="shared" ref="G158:G162" si="13">F158-E158</f>
        <v>7</v>
      </c>
      <c r="H158" s="99">
        <f>G158+'4'!H158</f>
        <v>187.96000000002095</v>
      </c>
      <c r="I158" s="236"/>
      <c r="J158" s="239">
        <f>H158/DAY(B2)</f>
        <v>37.592000000004191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'4'!F159</f>
        <v>85828.4</v>
      </c>
      <c r="F159" s="235">
        <v>85844</v>
      </c>
      <c r="G159" s="238">
        <f t="shared" si="13"/>
        <v>15.600000000005821</v>
      </c>
      <c r="H159" s="99">
        <f>G159+'4'!H159</f>
        <v>138.39999999999418</v>
      </c>
      <c r="I159" s="236"/>
      <c r="J159" s="239">
        <f>H159/DAY(B2)</f>
        <v>27.679999999998834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'4'!F160</f>
        <v>73602.5</v>
      </c>
      <c r="F160" s="235">
        <v>73642</v>
      </c>
      <c r="G160" s="238">
        <f t="shared" si="13"/>
        <v>39.5</v>
      </c>
      <c r="H160" s="99">
        <f>G160+'4'!H160</f>
        <v>305.10000000000582</v>
      </c>
      <c r="I160" s="236"/>
      <c r="J160" s="239">
        <f>H160/DAY(B2)</f>
        <v>61.020000000001161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'4'!F161</f>
        <v>3973.9</v>
      </c>
      <c r="F161" s="235">
        <v>3975</v>
      </c>
      <c r="G161" s="238">
        <f t="shared" si="13"/>
        <v>1.0999999999999091</v>
      </c>
      <c r="H161" s="99">
        <f>G161+'4'!H161</f>
        <v>1.5</v>
      </c>
      <c r="I161" s="236"/>
      <c r="J161" s="239">
        <f>H161/DAY(B2)</f>
        <v>0.3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'4'!F162</f>
        <v>29235.17</v>
      </c>
      <c r="F162" s="235">
        <v>29242</v>
      </c>
      <c r="G162" s="238">
        <f t="shared" si="13"/>
        <v>6.8300000000017462</v>
      </c>
      <c r="H162" s="99">
        <f>G162+'4'!H162</f>
        <v>43.860000000000582</v>
      </c>
      <c r="I162" s="236"/>
      <c r="J162" s="239">
        <f>H162/DAY(B2)</f>
        <v>8.7720000000001157</v>
      </c>
    </row>
    <row r="163" spans="1:10" ht="29.25">
      <c r="A163" s="780"/>
      <c r="B163" s="780"/>
      <c r="C163" s="247"/>
      <c r="D163" s="244" t="s">
        <v>180</v>
      </c>
      <c r="E163" s="95">
        <f>'4'!F163</f>
        <v>0</v>
      </c>
      <c r="F163" s="165"/>
      <c r="G163" s="165"/>
      <c r="H163" s="99">
        <f>G163+'4'!H163</f>
        <v>0</v>
      </c>
      <c r="I163" s="165"/>
      <c r="J163" s="347"/>
    </row>
    <row r="164" spans="1:10" ht="29.25">
      <c r="A164" s="780"/>
      <c r="B164" s="780"/>
      <c r="C164" s="247"/>
      <c r="D164" s="244" t="s">
        <v>180</v>
      </c>
      <c r="E164" s="95">
        <f>'4'!F164</f>
        <v>0</v>
      </c>
      <c r="F164" s="165"/>
      <c r="G164" s="165"/>
      <c r="H164" s="99">
        <f>G164+'4'!H164</f>
        <v>0</v>
      </c>
      <c r="I164" s="165"/>
      <c r="J164" s="347"/>
    </row>
    <row r="165" spans="1:10" ht="29.25">
      <c r="A165" s="780"/>
      <c r="B165" s="780"/>
      <c r="C165" s="247"/>
      <c r="D165" s="244" t="s">
        <v>180</v>
      </c>
      <c r="E165" s="95">
        <f>'4'!F165</f>
        <v>0</v>
      </c>
      <c r="F165" s="165"/>
      <c r="G165" s="165"/>
      <c r="H165" s="99">
        <f>G165+'4'!H165</f>
        <v>0</v>
      </c>
      <c r="I165" s="165"/>
      <c r="J165" s="347"/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859"/>
      <c r="B169" s="859"/>
      <c r="C169" s="536"/>
      <c r="D169" s="155"/>
      <c r="E169" s="155"/>
      <c r="F169" s="155"/>
      <c r="G169" s="155"/>
      <c r="H169" s="156"/>
      <c r="I169" s="155"/>
      <c r="J169" s="156"/>
    </row>
    <row r="170" spans="1:10" ht="27.75">
      <c r="A170" s="857" t="s">
        <v>209</v>
      </c>
      <c r="B170" s="857"/>
      <c r="C170" s="353"/>
      <c r="D170" s="155" t="s">
        <v>142</v>
      </c>
      <c r="E170" s="95">
        <f>'4'!F170</f>
        <v>7998</v>
      </c>
      <c r="F170" s="155">
        <v>7998</v>
      </c>
      <c r="G170" s="155">
        <f>F170-E170</f>
        <v>0</v>
      </c>
      <c r="H170" s="99">
        <f>G170+'4'!H170</f>
        <v>0</v>
      </c>
      <c r="I170" s="155"/>
      <c r="J170" s="156">
        <f>H170/DAY(B2)</f>
        <v>0</v>
      </c>
    </row>
    <row r="171" spans="1:10" ht="27.75">
      <c r="A171" s="857" t="s">
        <v>75</v>
      </c>
      <c r="B171" s="857"/>
      <c r="C171" s="353"/>
      <c r="D171" s="155" t="s">
        <v>142</v>
      </c>
      <c r="E171" s="95">
        <f>'4'!F171</f>
        <v>37434</v>
      </c>
      <c r="F171" s="157">
        <v>37442</v>
      </c>
      <c r="G171" s="155">
        <f t="shared" ref="G171:G172" si="14">F171-E171</f>
        <v>8</v>
      </c>
      <c r="H171" s="99">
        <f>G171+'4'!H171</f>
        <v>59</v>
      </c>
      <c r="I171" s="155"/>
      <c r="J171" s="156">
        <f>H171/DAY(B2)</f>
        <v>11.8</v>
      </c>
    </row>
    <row r="172" spans="1:10" ht="27.75">
      <c r="A172" s="857" t="s">
        <v>76</v>
      </c>
      <c r="B172" s="857"/>
      <c r="C172" s="857"/>
      <c r="D172" s="155" t="s">
        <v>142</v>
      </c>
      <c r="E172" s="95">
        <f>'4'!F172</f>
        <v>20827</v>
      </c>
      <c r="F172" s="155">
        <v>20835</v>
      </c>
      <c r="G172" s="155">
        <f t="shared" si="14"/>
        <v>8</v>
      </c>
      <c r="H172" s="99">
        <f>G172+'4'!H172</f>
        <v>47</v>
      </c>
      <c r="I172" s="155"/>
      <c r="J172" s="156">
        <f>H172/DAY(B2)</f>
        <v>9.4</v>
      </c>
    </row>
    <row r="173" spans="1:10" ht="27.75">
      <c r="A173" s="858" t="s">
        <v>196</v>
      </c>
      <c r="B173" s="858"/>
      <c r="C173" s="353"/>
      <c r="D173" s="155"/>
      <c r="E173" s="95">
        <f>'4'!F173</f>
        <v>0</v>
      </c>
      <c r="F173" s="155"/>
      <c r="G173" s="155">
        <f>SUM(G170:G172)</f>
        <v>16</v>
      </c>
      <c r="H173" s="99">
        <f>G173+'4'!H173</f>
        <v>106</v>
      </c>
      <c r="I173" s="155"/>
      <c r="J173" s="156">
        <f>H173/DAY(B2)</f>
        <v>21.2</v>
      </c>
    </row>
    <row r="174" spans="1:10" ht="27.75">
      <c r="A174" s="857" t="s">
        <v>77</v>
      </c>
      <c r="B174" s="857"/>
      <c r="C174" s="353"/>
      <c r="D174" s="155" t="s">
        <v>142</v>
      </c>
      <c r="E174" s="95">
        <f>'4'!F174</f>
        <v>0</v>
      </c>
      <c r="F174" s="155"/>
      <c r="G174" s="155"/>
      <c r="H174" s="99">
        <f>G174+'4'!H174</f>
        <v>0</v>
      </c>
      <c r="I174" s="155"/>
      <c r="J174" s="156">
        <f>H174/DAY(B2)</f>
        <v>0</v>
      </c>
    </row>
    <row r="175" spans="1:10" ht="27.75">
      <c r="A175" s="857" t="s">
        <v>210</v>
      </c>
      <c r="B175" s="857"/>
      <c r="C175" s="353"/>
      <c r="D175" s="155" t="s">
        <v>142</v>
      </c>
      <c r="E175" s="95">
        <f>'4'!F175</f>
        <v>74869</v>
      </c>
      <c r="F175" s="155">
        <v>74991</v>
      </c>
      <c r="G175" s="155">
        <f>F175-E175</f>
        <v>122</v>
      </c>
      <c r="H175" s="99">
        <f>G175+'4'!H175</f>
        <v>372</v>
      </c>
      <c r="I175" s="155"/>
      <c r="J175" s="156">
        <f>H175/DAY(B2)</f>
        <v>74.400000000000006</v>
      </c>
    </row>
    <row r="176" spans="1:10" ht="27.75">
      <c r="A176" s="857" t="s">
        <v>211</v>
      </c>
      <c r="B176" s="857"/>
      <c r="C176" s="353"/>
      <c r="D176" s="155" t="s">
        <v>142</v>
      </c>
      <c r="E176" s="95">
        <f>'4'!F176</f>
        <v>33886</v>
      </c>
      <c r="F176" s="155">
        <v>33886</v>
      </c>
      <c r="G176" s="155">
        <f t="shared" ref="G176:G177" si="15">F176-E176</f>
        <v>0</v>
      </c>
      <c r="H176" s="99">
        <f>G176+'4'!H176</f>
        <v>0</v>
      </c>
      <c r="I176" s="155"/>
      <c r="J176" s="156">
        <f>H176/DAY(B2)</f>
        <v>0</v>
      </c>
    </row>
    <row r="177" spans="1:10" ht="27.75">
      <c r="A177" s="857" t="s">
        <v>212</v>
      </c>
      <c r="B177" s="857"/>
      <c r="C177" s="353"/>
      <c r="D177" s="155" t="s">
        <v>142</v>
      </c>
      <c r="E177" s="95">
        <f>'4'!F177</f>
        <v>5075</v>
      </c>
      <c r="F177" s="155">
        <v>5077</v>
      </c>
      <c r="G177" s="155">
        <f t="shared" si="15"/>
        <v>2</v>
      </c>
      <c r="H177" s="99">
        <f>G177+'4'!H177</f>
        <v>36</v>
      </c>
      <c r="I177" s="155"/>
      <c r="J177" s="156">
        <f>H177/DAY(B2)</f>
        <v>7.2</v>
      </c>
    </row>
    <row r="178" spans="1:10" ht="27.75">
      <c r="A178" s="862" t="s">
        <v>108</v>
      </c>
      <c r="B178" s="862"/>
      <c r="C178" s="353"/>
      <c r="D178" s="155"/>
      <c r="E178" s="95">
        <f>'4'!F178</f>
        <v>0</v>
      </c>
      <c r="F178" s="155"/>
      <c r="G178" s="155">
        <f>SUM(G175:G177)</f>
        <v>124</v>
      </c>
      <c r="H178" s="99">
        <f>G178+'4'!H178</f>
        <v>408</v>
      </c>
      <c r="I178" s="155"/>
      <c r="J178" s="156">
        <f>H178/DAY(B2)</f>
        <v>81.599999999999994</v>
      </c>
    </row>
    <row r="179" spans="1:10" ht="27.75">
      <c r="A179" s="857" t="s">
        <v>213</v>
      </c>
      <c r="B179" s="857"/>
      <c r="C179" s="353"/>
      <c r="D179" s="155"/>
      <c r="E179" s="95">
        <f>'4'!F179</f>
        <v>0</v>
      </c>
      <c r="F179" s="155"/>
      <c r="G179" s="155"/>
      <c r="H179" s="99">
        <f>G179+'4'!H179</f>
        <v>0</v>
      </c>
      <c r="I179" s="155"/>
      <c r="J179" s="156">
        <f>H179/DAY(B2)</f>
        <v>0</v>
      </c>
    </row>
    <row r="180" spans="1:10" ht="27.75">
      <c r="A180" s="857" t="s">
        <v>214</v>
      </c>
      <c r="B180" s="857"/>
      <c r="C180" s="354"/>
      <c r="D180" s="155" t="s">
        <v>142</v>
      </c>
      <c r="E180" s="95">
        <f>'4'!F180</f>
        <v>14094</v>
      </c>
      <c r="F180" s="157">
        <v>14105</v>
      </c>
      <c r="G180" s="157">
        <f>F180-E180</f>
        <v>11</v>
      </c>
      <c r="H180" s="99">
        <f>G180+'4'!H180</f>
        <v>74</v>
      </c>
      <c r="I180" s="155"/>
      <c r="J180" s="156">
        <f>H180/DAY(B2)</f>
        <v>14.8</v>
      </c>
    </row>
    <row r="181" spans="1:10" ht="27.75">
      <c r="A181" s="857" t="s">
        <v>215</v>
      </c>
      <c r="B181" s="857"/>
      <c r="C181" s="354"/>
      <c r="D181" s="155" t="s">
        <v>142</v>
      </c>
      <c r="E181" s="95">
        <f>'4'!F181</f>
        <v>9792</v>
      </c>
      <c r="F181" s="157">
        <v>9795</v>
      </c>
      <c r="G181" s="157">
        <f t="shared" ref="G181:G182" si="16">F181-E181</f>
        <v>3</v>
      </c>
      <c r="H181" s="99">
        <f>G181+'4'!H181</f>
        <v>41</v>
      </c>
      <c r="I181" s="155"/>
      <c r="J181" s="156">
        <f>H181/DAY(B2)</f>
        <v>8.1999999999999993</v>
      </c>
    </row>
    <row r="182" spans="1:10" ht="29.25" customHeight="1">
      <c r="A182" s="857" t="s">
        <v>216</v>
      </c>
      <c r="B182" s="857"/>
      <c r="C182" s="354"/>
      <c r="D182" s="155" t="s">
        <v>142</v>
      </c>
      <c r="E182" s="95">
        <f>'4'!F182</f>
        <v>0</v>
      </c>
      <c r="F182" s="157">
        <v>0</v>
      </c>
      <c r="G182" s="157">
        <f t="shared" si="16"/>
        <v>0</v>
      </c>
      <c r="H182" s="99">
        <f>G182+'4'!H182</f>
        <v>0</v>
      </c>
      <c r="I182" s="155"/>
      <c r="J182" s="156">
        <f>H182/DAY(B2)</f>
        <v>0</v>
      </c>
    </row>
    <row r="183" spans="1:10" ht="27.75">
      <c r="A183" s="858" t="s">
        <v>196</v>
      </c>
      <c r="B183" s="858"/>
      <c r="C183" s="354"/>
      <c r="D183" s="525"/>
      <c r="E183" s="95"/>
      <c r="F183" s="157"/>
      <c r="G183" s="157">
        <f>SUM(G180:G182)</f>
        <v>14</v>
      </c>
      <c r="H183" s="99">
        <f>G183+'4'!H183</f>
        <v>115</v>
      </c>
      <c r="I183" s="157"/>
      <c r="J183" s="156">
        <f>H183/DAY(B2)</f>
        <v>23</v>
      </c>
    </row>
    <row r="184" spans="1:10" ht="27.75">
      <c r="A184" s="861" t="s">
        <v>217</v>
      </c>
      <c r="B184" s="861"/>
      <c r="C184" s="353"/>
      <c r="D184" s="157" t="s">
        <v>142</v>
      </c>
      <c r="E184" s="95"/>
      <c r="F184" s="159"/>
      <c r="G184" s="524">
        <f>G62+G19</f>
        <v>126</v>
      </c>
      <c r="H184" s="99">
        <f>G184+'4'!H184</f>
        <v>809</v>
      </c>
      <c r="I184" s="158"/>
      <c r="J184" s="159">
        <f>H184/DAY(B2)</f>
        <v>161.80000000000001</v>
      </c>
    </row>
    <row r="185" spans="1:10" ht="27.75">
      <c r="A185" s="861" t="s">
        <v>218</v>
      </c>
      <c r="B185" s="861"/>
      <c r="C185" s="353"/>
      <c r="D185" s="157" t="s">
        <v>142</v>
      </c>
      <c r="E185" s="95"/>
      <c r="F185" s="159"/>
      <c r="G185" s="524">
        <f>G65+G66+G67+G69+G70</f>
        <v>134</v>
      </c>
      <c r="H185" s="99">
        <f>G185+'4'!H185</f>
        <v>808</v>
      </c>
      <c r="I185" s="158"/>
      <c r="J185" s="159">
        <f>H185/DAY(B2)</f>
        <v>161.6</v>
      </c>
    </row>
    <row r="186" spans="1:10" ht="27.75">
      <c r="A186" s="861" t="s">
        <v>219</v>
      </c>
      <c r="B186" s="861"/>
      <c r="C186" s="353"/>
      <c r="D186" s="157" t="s">
        <v>142</v>
      </c>
      <c r="E186" s="95"/>
      <c r="F186" s="157"/>
      <c r="G186" s="521">
        <f>G178</f>
        <v>124</v>
      </c>
      <c r="H186" s="99">
        <f>G186+'4'!H186</f>
        <v>408</v>
      </c>
      <c r="I186" s="158"/>
      <c r="J186" s="159">
        <f>H186/DAY(B2)</f>
        <v>81.599999999999994</v>
      </c>
    </row>
    <row r="187" spans="1:10" ht="27.75">
      <c r="A187" s="860"/>
      <c r="B187" s="860"/>
      <c r="C187" s="537"/>
      <c r="D187" s="538"/>
      <c r="E187" s="539"/>
      <c r="F187" s="538"/>
      <c r="G187" s="538"/>
      <c r="H187" s="540"/>
      <c r="I187" s="538"/>
      <c r="J187" s="541"/>
    </row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</sheetData>
  <mergeCells count="112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4:B174"/>
    <mergeCell ref="A172:C172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4:B164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87:B187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80:B180"/>
    <mergeCell ref="A181:B181"/>
    <mergeCell ref="A179:B179"/>
    <mergeCell ref="A178:B178"/>
    <mergeCell ref="A146:C146"/>
    <mergeCell ref="A147:C147"/>
    <mergeCell ref="A148:C148"/>
    <mergeCell ref="A149:C149"/>
    <mergeCell ref="A143:C143"/>
    <mergeCell ref="A144:C144"/>
    <mergeCell ref="A168:J168"/>
    <mergeCell ref="A169:B169"/>
    <mergeCell ref="A170:B170"/>
    <mergeCell ref="A171:B171"/>
    <mergeCell ref="A173:B173"/>
    <mergeCell ref="A154:J154"/>
    <mergeCell ref="A155:C155"/>
    <mergeCell ref="A156:C156"/>
    <mergeCell ref="A150:C150"/>
    <mergeCell ref="A151:C151"/>
    <mergeCell ref="A152:C152"/>
    <mergeCell ref="A163:B163"/>
    <mergeCell ref="A165:B165"/>
    <mergeCell ref="A157:J157"/>
    <mergeCell ref="A153:B153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67"/>
  <sheetViews>
    <sheetView view="pageBreakPreview" topLeftCell="A127" zoomScale="60" workbookViewId="0">
      <selection activeCell="I153" sqref="I15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360</v>
      </c>
      <c r="B2" s="266">
        <v>44506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'5'!F7</f>
        <v>796179</v>
      </c>
      <c r="F7" s="95">
        <v>818757.03</v>
      </c>
      <c r="G7" s="112">
        <f>F7-E7</f>
        <v>22578.030000000028</v>
      </c>
      <c r="H7" s="99">
        <f>G7+'5'!H7</f>
        <v>132493.72999999998</v>
      </c>
      <c r="I7" s="113">
        <f>'1'!I7</f>
        <v>12000</v>
      </c>
      <c r="J7" s="175">
        <f>H7/DAY(B2)</f>
        <v>22082.28833333333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'5'!F8</f>
        <v>825435</v>
      </c>
      <c r="F8" s="114">
        <v>848272.55</v>
      </c>
      <c r="G8" s="115">
        <f>F8-E8</f>
        <v>22837.550000000047</v>
      </c>
      <c r="H8" s="99">
        <f>G8+'5'!H8</f>
        <v>135108.65000000002</v>
      </c>
      <c r="I8" s="116"/>
      <c r="J8" s="175">
        <f>H8/DAY(B2)</f>
        <v>22518.108333333337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'5'!F9</f>
        <v>1328139</v>
      </c>
      <c r="F9" s="117">
        <v>1341918.51</v>
      </c>
      <c r="G9" s="112">
        <f>F9-E9</f>
        <v>13779.510000000009</v>
      </c>
      <c r="H9" s="99">
        <f>G9+'5'!H9</f>
        <v>80640.010000000009</v>
      </c>
      <c r="I9" s="124">
        <f>I7-J7</f>
        <v>-10082.28833333333</v>
      </c>
      <c r="J9" s="175">
        <f>H9/DAY(B2)</f>
        <v>13440.001666666669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'5'!F10</f>
        <v>208510</v>
      </c>
      <c r="F10" s="117">
        <v>216718.71</v>
      </c>
      <c r="G10" s="112">
        <f t="shared" ref="G10:G12" si="0">F10-E10</f>
        <v>8208.7099999999919</v>
      </c>
      <c r="H10" s="99">
        <f>G10+'5'!H10</f>
        <v>48334.78</v>
      </c>
      <c r="I10" s="286"/>
      <c r="J10" s="175">
        <f>H10/DAY(B2)</f>
        <v>8055.7966666666662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21988.22</v>
      </c>
      <c r="H13" s="99">
        <f>G13+'5'!H13</f>
        <v>108168.32999999999</v>
      </c>
      <c r="I13" s="120">
        <f>G7-G13</f>
        <v>589.81000000002678</v>
      </c>
      <c r="J13" s="175">
        <f>H13/DAY(B2)</f>
        <v>18028.054999999997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'5'!F15</f>
        <v>1820403</v>
      </c>
      <c r="F15" s="123">
        <v>1821358.68</v>
      </c>
      <c r="G15" s="112">
        <f>(F15-E15)</f>
        <v>955.67999999993481</v>
      </c>
      <c r="H15" s="99">
        <f>G15+'5'!H15</f>
        <v>5691.7199999999721</v>
      </c>
      <c r="I15" s="113">
        <f>'1'!I15</f>
        <v>800</v>
      </c>
      <c r="J15" s="175">
        <f>H15/DAY(B2)</f>
        <v>948.61999999999534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-148.61999999999534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'5'!F18</f>
        <v>10</v>
      </c>
      <c r="F18" s="122">
        <v>24</v>
      </c>
      <c r="G18" s="119">
        <f>F18*10</f>
        <v>240</v>
      </c>
      <c r="H18" s="99">
        <f>G18+'5'!H18</f>
        <v>1130</v>
      </c>
      <c r="I18" s="113">
        <f>'1'!I18</f>
        <v>65</v>
      </c>
      <c r="J18" s="175">
        <f>H18/DAY(B2)</f>
        <v>188.33333333333334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'5'!F19</f>
        <v>149211</v>
      </c>
      <c r="F19" s="122">
        <v>149262</v>
      </c>
      <c r="G19" s="112">
        <f t="shared" ref="G19" si="1">F19-E19</f>
        <v>51</v>
      </c>
      <c r="H19" s="99">
        <f>G19+'5'!H19</f>
        <v>345</v>
      </c>
      <c r="I19" s="355"/>
      <c r="J19" s="175">
        <f>H19/DAY(B2)</f>
        <v>57.5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291</v>
      </c>
      <c r="H20" s="99">
        <f>G20+'5'!H20</f>
        <v>1475</v>
      </c>
      <c r="I20" s="356">
        <f>I18-J20</f>
        <v>-180.83333333333334</v>
      </c>
      <c r="J20" s="175">
        <f>H20/DAY(B2)</f>
        <v>245.83333333333334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'5'!F23</f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22837.550000000047</v>
      </c>
      <c r="F27" s="136">
        <v>9</v>
      </c>
      <c r="G27" s="137">
        <f>E27*F27</f>
        <v>205537.95000000042</v>
      </c>
      <c r="H27" s="99">
        <f>G27+'5'!H27</f>
        <v>1215977.8500000001</v>
      </c>
      <c r="I27" s="138"/>
      <c r="J27" s="175">
        <f>H27/DAY(B2)</f>
        <v>202662.97500000001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955.67999999993481</v>
      </c>
      <c r="F28" s="136">
        <v>52</v>
      </c>
      <c r="G28" s="137">
        <f>E28*F28</f>
        <v>49695.35999999661</v>
      </c>
      <c r="H28" s="99">
        <f>G28+'5'!H28</f>
        <v>295969.43999999855</v>
      </c>
      <c r="I28" s="140"/>
      <c r="J28" s="175">
        <f>H28/DAY(B2)</f>
        <v>49328.239999999758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G30+'5'!H30</f>
        <v>50370</v>
      </c>
      <c r="I30" s="140"/>
      <c r="J30" s="175">
        <f>H30/DAY(B2)</f>
        <v>8395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G31+'5'!H31</f>
        <v>90400</v>
      </c>
      <c r="I31" s="140"/>
      <c r="J31" s="175">
        <f>H31/DAY(B2)</f>
        <v>15066.666666666666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281879.30999999703</v>
      </c>
      <c r="H32" s="99">
        <f>G32+'5'!H32</f>
        <v>1652717.2899999989</v>
      </c>
      <c r="I32" s="144"/>
      <c r="J32" s="175">
        <f>H32/DAY(B2)</f>
        <v>275452.88166666648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'5'!F35</f>
        <v>42216</v>
      </c>
      <c r="F35" s="145">
        <v>44166.91</v>
      </c>
      <c r="G35" s="112">
        <f t="shared" ref="G35:G46" si="3">F35-E35</f>
        <v>1950.9100000000035</v>
      </c>
      <c r="H35" s="99">
        <f>G35+'5'!H35</f>
        <v>11692.240000000005</v>
      </c>
      <c r="I35" s="95"/>
      <c r="J35" s="175">
        <f>H35/DAY(B2)</f>
        <v>1948.7066666666676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'5'!F36</f>
        <v>53608</v>
      </c>
      <c r="F36" s="145">
        <v>54483.98</v>
      </c>
      <c r="G36" s="112">
        <f t="shared" si="3"/>
        <v>875.9800000000032</v>
      </c>
      <c r="H36" s="99">
        <f>G36+'5'!H36</f>
        <v>4544.3100000000049</v>
      </c>
      <c r="I36" s="95"/>
      <c r="J36" s="175">
        <f>H36/DAY(B2)</f>
        <v>757.38500000000079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'5'!F37</f>
        <v>104880</v>
      </c>
      <c r="F37" s="145">
        <v>106533.71</v>
      </c>
      <c r="G37" s="112">
        <f t="shared" si="3"/>
        <v>1653.7100000000064</v>
      </c>
      <c r="H37" s="99">
        <f>G37+'5'!H37</f>
        <v>9479.8800000000047</v>
      </c>
      <c r="I37" s="95"/>
      <c r="J37" s="175">
        <f>H37/DAY(B2)</f>
        <v>1579.9800000000007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'5'!F38</f>
        <v>124226</v>
      </c>
      <c r="F38" s="108">
        <v>126128.3</v>
      </c>
      <c r="G38" s="112">
        <f t="shared" si="3"/>
        <v>1902.3000000000029</v>
      </c>
      <c r="H38" s="99">
        <f>G38+'5'!H38</f>
        <v>10905.260000000009</v>
      </c>
      <c r="I38" s="95"/>
      <c r="J38" s="175">
        <f>H38/DAY(B2)</f>
        <v>1817.5433333333349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'5'!F39</f>
        <v>247790</v>
      </c>
      <c r="F39" s="145">
        <v>250599.59</v>
      </c>
      <c r="G39" s="112">
        <f t="shared" si="3"/>
        <v>2809.5899999999965</v>
      </c>
      <c r="H39" s="99">
        <f>G39+'5'!H39</f>
        <v>17218.540000000008</v>
      </c>
      <c r="I39" s="95"/>
      <c r="J39" s="175">
        <f>H39/DAY(B2)</f>
        <v>2869.756666666668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'5'!F40</f>
        <v>38</v>
      </c>
      <c r="F40" s="145">
        <v>38.82</v>
      </c>
      <c r="G40" s="112">
        <f t="shared" si="3"/>
        <v>0.82000000000000028</v>
      </c>
      <c r="H40" s="99">
        <f>G40+'5'!H40</f>
        <v>13.45</v>
      </c>
      <c r="I40" s="95"/>
      <c r="J40" s="175">
        <f>H40/DAY(B2)</f>
        <v>2.2416666666666667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'5'!F41</f>
        <v>582546.71</v>
      </c>
      <c r="F41" s="145">
        <v>582546.71</v>
      </c>
      <c r="G41" s="112">
        <f t="shared" si="3"/>
        <v>0</v>
      </c>
      <c r="H41" s="99">
        <f>G41+'5'!H41</f>
        <v>687.88000000000466</v>
      </c>
      <c r="I41" s="95"/>
      <c r="J41" s="175">
        <f>H41/DAY(B2)</f>
        <v>114.64666666666744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'5'!F42</f>
        <v>272705</v>
      </c>
      <c r="F42" s="145">
        <v>273305.25</v>
      </c>
      <c r="G42" s="112">
        <f t="shared" si="3"/>
        <v>600.25</v>
      </c>
      <c r="H42" s="99">
        <f>G42+'5'!H42</f>
        <v>2335.5800000000163</v>
      </c>
      <c r="I42" s="95"/>
      <c r="J42" s="175">
        <f>H42/DAY(B2)</f>
        <v>389.26333333333605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'5'!F43</f>
        <v>1459629</v>
      </c>
      <c r="F43" s="145">
        <v>1462383.6</v>
      </c>
      <c r="G43" s="112">
        <f t="shared" si="3"/>
        <v>2754.6000000000931</v>
      </c>
      <c r="H43" s="99">
        <f>G43+'5'!H43</f>
        <v>16296.200000000186</v>
      </c>
      <c r="I43" s="95"/>
      <c r="J43" s="175">
        <f>H43/DAY(B2)</f>
        <v>2716.0333333333642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12548.160000000105</v>
      </c>
      <c r="H47" s="99">
        <f>G47+'5'!H47</f>
        <v>73173.340000000229</v>
      </c>
      <c r="I47" s="95"/>
      <c r="J47" s="175">
        <f>H47/DAY(B2)</f>
        <v>12195.556666666705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'5'!F49</f>
        <v>180674</v>
      </c>
      <c r="F49" s="145">
        <v>182333.65</v>
      </c>
      <c r="G49" s="112">
        <f t="shared" ref="G49:G58" si="4">F49-E49</f>
        <v>1659.6499999999942</v>
      </c>
      <c r="H49" s="99">
        <f>G49+'5'!H49</f>
        <v>9603.2599999999802</v>
      </c>
      <c r="I49" s="95"/>
      <c r="J49" s="175">
        <f>H49/DAY(B2)</f>
        <v>1600.5433333333301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'5'!F50</f>
        <v>689443</v>
      </c>
      <c r="F50" s="145">
        <v>690552.71</v>
      </c>
      <c r="G50" s="112">
        <f t="shared" si="4"/>
        <v>1109.7099999999627</v>
      </c>
      <c r="H50" s="99">
        <f>G50+'5'!H50</f>
        <v>6190.3999999999069</v>
      </c>
      <c r="I50" s="95"/>
      <c r="J50" s="175">
        <f>H50/DAY(B2)</f>
        <v>1031.7333333333179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'5'!F54</f>
        <v>2891</v>
      </c>
      <c r="F54" s="145">
        <v>2896.86</v>
      </c>
      <c r="G54" s="112">
        <f t="shared" si="4"/>
        <v>5.8600000000001273</v>
      </c>
      <c r="H54" s="99">
        <f>G54+'5'!H54</f>
        <v>29.370000000000346</v>
      </c>
      <c r="I54" s="95"/>
      <c r="J54" s="175">
        <f>H54/DAY(B2)</f>
        <v>4.8950000000000573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'5'!F55</f>
        <v>0</v>
      </c>
      <c r="F55" s="145">
        <v>0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'5'!F56</f>
        <v>69542</v>
      </c>
      <c r="F56" s="145">
        <v>74900.759999999995</v>
      </c>
      <c r="G56" s="112">
        <f t="shared" si="4"/>
        <v>5358.7599999999948</v>
      </c>
      <c r="H56" s="99">
        <f>G56+'5'!H56</f>
        <v>32060.469999999994</v>
      </c>
      <c r="I56" s="95"/>
      <c r="J56" s="175">
        <f>H56/DAY(B2)</f>
        <v>5343.411666666666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'5'!F58</f>
        <v>79972</v>
      </c>
      <c r="F58" s="145">
        <v>80172.58</v>
      </c>
      <c r="G58" s="112">
        <f t="shared" si="4"/>
        <v>200.58000000000175</v>
      </c>
      <c r="H58" s="99">
        <f>G58+'5'!H58</f>
        <v>1152.6800000000076</v>
      </c>
      <c r="I58" s="95"/>
      <c r="J58" s="175">
        <f>H58/DAY(B2)</f>
        <v>192.11333333333459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8334.559999999954</v>
      </c>
      <c r="H59" s="99">
        <f>G59+'5'!H59</f>
        <v>49036.179999999891</v>
      </c>
      <c r="I59" s="95">
        <f>G7-G60</f>
        <v>1695.3099999999686</v>
      </c>
      <c r="J59" s="175">
        <f>H59/DAY(B2)</f>
        <v>8172.6966666666485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20882.720000000059</v>
      </c>
      <c r="H60" s="99">
        <f>G60+'5'!H60</f>
        <v>122209.52000000014</v>
      </c>
      <c r="I60" s="95">
        <f>G13-G60</f>
        <v>1105.4999999999418</v>
      </c>
      <c r="J60" s="175">
        <f>H60/DAY(B2)</f>
        <v>20368.253333333356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'5'!F62</f>
        <v>260333</v>
      </c>
      <c r="F62" s="122">
        <v>260477</v>
      </c>
      <c r="G62" s="112">
        <f t="shared" ref="G62:G63" si="5">F62-E62</f>
        <v>144</v>
      </c>
      <c r="H62" s="99">
        <f>G62+'5'!H62</f>
        <v>659</v>
      </c>
      <c r="I62" s="118"/>
      <c r="J62" s="175">
        <f>H62/DAY(B2)</f>
        <v>109.83333333333333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'5'!F63</f>
        <v>206762</v>
      </c>
      <c r="F63" s="122">
        <v>206862</v>
      </c>
      <c r="G63" s="112">
        <f t="shared" si="5"/>
        <v>100</v>
      </c>
      <c r="H63" s="99">
        <f>G63+'5'!H63</f>
        <v>592</v>
      </c>
      <c r="I63" s="118"/>
      <c r="J63" s="175">
        <f>H63/DAY(B2)</f>
        <v>98.666666666666671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'5'!F64</f>
        <v>0</v>
      </c>
      <c r="F64" s="122"/>
      <c r="G64" s="112">
        <f>G62+G63</f>
        <v>244</v>
      </c>
      <c r="H64" s="99">
        <f>G64+'5'!H64</f>
        <v>1251</v>
      </c>
      <c r="I64" s="118"/>
      <c r="J64" s="175">
        <f>H64/DAY(B2)</f>
        <v>208.5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'5'!F65</f>
        <v>426689</v>
      </c>
      <c r="F65" s="122">
        <v>426799</v>
      </c>
      <c r="G65" s="112">
        <f t="shared" ref="G65:G70" si="6">F65-E65</f>
        <v>110</v>
      </c>
      <c r="H65" s="99">
        <f>G65+'5'!H65</f>
        <v>594</v>
      </c>
      <c r="I65" s="118"/>
      <c r="J65" s="175">
        <f>H65/DAY(B2)</f>
        <v>99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'5'!F66</f>
        <v>106058</v>
      </c>
      <c r="F66" s="122">
        <v>106090</v>
      </c>
      <c r="G66" s="112">
        <f t="shared" si="6"/>
        <v>32</v>
      </c>
      <c r="H66" s="99">
        <f>G66+'5'!H66</f>
        <v>120</v>
      </c>
      <c r="I66" s="118"/>
      <c r="J66" s="175">
        <f>H66/DAY(B2)</f>
        <v>20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'5'!F67</f>
        <v>102291</v>
      </c>
      <c r="F67" s="122">
        <v>102332</v>
      </c>
      <c r="G67" s="112">
        <f t="shared" si="6"/>
        <v>41</v>
      </c>
      <c r="H67" s="99">
        <f>G67+'5'!H67</f>
        <v>161</v>
      </c>
      <c r="I67" s="118"/>
      <c r="J67" s="175">
        <f>H67/DAY(B2)</f>
        <v>26.833333333333332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'5'!F68</f>
        <v>154666</v>
      </c>
      <c r="F68" s="122">
        <v>154680</v>
      </c>
      <c r="G68" s="112">
        <f t="shared" si="6"/>
        <v>14</v>
      </c>
      <c r="H68" s="99">
        <f>G68+'5'!H68</f>
        <v>184</v>
      </c>
      <c r="I68" s="118"/>
      <c r="J68" s="175">
        <f>H68/DAY(B2)</f>
        <v>30.666666666666668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'5'!F69</f>
        <v>9526</v>
      </c>
      <c r="F69" s="122">
        <v>9548</v>
      </c>
      <c r="G69" s="112">
        <f t="shared" si="6"/>
        <v>22</v>
      </c>
      <c r="H69" s="99">
        <f>G69+'5'!H69</f>
        <v>83</v>
      </c>
      <c r="I69" s="118"/>
      <c r="J69" s="175">
        <f>H69/DAY(B2)</f>
        <v>13.833333333333334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'5'!F70</f>
        <v>7258</v>
      </c>
      <c r="F70" s="122">
        <v>7275</v>
      </c>
      <c r="G70" s="112">
        <f t="shared" si="6"/>
        <v>17</v>
      </c>
      <c r="H70" s="99">
        <f>G70+'5'!H70</f>
        <v>72</v>
      </c>
      <c r="I70" s="118"/>
      <c r="J70" s="175">
        <f>H70/DAY(B2)</f>
        <v>12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236</v>
      </c>
      <c r="H71" s="99">
        <f>G71+'5'!H71</f>
        <v>1214</v>
      </c>
      <c r="I71" s="154"/>
      <c r="J71" s="175">
        <f>H71/DAY(B2)</f>
        <v>202.33333333333334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'5'!F74</f>
        <v>875032</v>
      </c>
      <c r="F74" s="123">
        <v>875340.46</v>
      </c>
      <c r="G74" s="112">
        <f t="shared" ref="G74:G78" si="7">F74-E74</f>
        <v>308.45999999996275</v>
      </c>
      <c r="H74" s="99">
        <f>G74+'5'!H74</f>
        <v>1755.2289999999339</v>
      </c>
      <c r="I74" s="154"/>
      <c r="J74" s="175">
        <f>H74/DAY(B2)</f>
        <v>292.53816666665563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'5'!F75</f>
        <v>73583.399999999994</v>
      </c>
      <c r="F75" s="123">
        <v>73586.8</v>
      </c>
      <c r="G75" s="112">
        <f t="shared" si="7"/>
        <v>3.4000000000087311</v>
      </c>
      <c r="H75" s="99">
        <f>G75+'5'!H75</f>
        <v>3.4000000000087311</v>
      </c>
      <c r="I75" s="154"/>
      <c r="J75" s="175">
        <f>H75/DAY(B2)</f>
        <v>0.56666666666812182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'5'!F76</f>
        <v>160464</v>
      </c>
      <c r="F76" s="123">
        <v>160552.75</v>
      </c>
      <c r="G76" s="112">
        <f t="shared" si="7"/>
        <v>88.75</v>
      </c>
      <c r="H76" s="99">
        <f>G76+'5'!H76</f>
        <v>567.25</v>
      </c>
      <c r="I76" s="154"/>
      <c r="J76" s="175">
        <f>H76/DAY(B2)</f>
        <v>94.541666666666671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'5'!F77</f>
        <v>37698</v>
      </c>
      <c r="F77" s="123">
        <v>37745</v>
      </c>
      <c r="G77" s="112">
        <f t="shared" si="7"/>
        <v>47</v>
      </c>
      <c r="H77" s="99">
        <f>G77+'5'!H77</f>
        <v>247.5</v>
      </c>
      <c r="I77" s="154"/>
      <c r="J77" s="175">
        <f>H77/DAY(B2)</f>
        <v>41.25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'5'!F78</f>
        <v>9341</v>
      </c>
      <c r="F78" s="123">
        <v>9344</v>
      </c>
      <c r="G78" s="112">
        <f t="shared" si="7"/>
        <v>3</v>
      </c>
      <c r="H78" s="99">
        <f>G78+'5'!H78</f>
        <v>14.600000000000364</v>
      </c>
      <c r="I78" s="118"/>
      <c r="J78" s="175">
        <f>H78/DAY(B2)</f>
        <v>2.433333333333394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117"/>
      <c r="F79" s="117"/>
      <c r="G79" s="112">
        <f>G15-SUM(G74:G78)</f>
        <v>505.06999999996333</v>
      </c>
      <c r="H79" s="99">
        <f>G79+'5'!H79</f>
        <v>3103.7410000000291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955.67999999993481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'5'!F82</f>
        <v>0</v>
      </c>
      <c r="F82" s="122"/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'5'!F83</f>
        <v>0</v>
      </c>
      <c r="F83" s="122"/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'5'!F84</f>
        <v>41589</v>
      </c>
      <c r="F84" s="164">
        <v>41589.089999999997</v>
      </c>
      <c r="G84" s="112">
        <f t="shared" si="8"/>
        <v>8.999999999650754E-2</v>
      </c>
      <c r="H84" s="99">
        <f>G84+'5'!H84</f>
        <v>3.5299999999988358</v>
      </c>
      <c r="I84" s="118"/>
      <c r="J84" s="175">
        <f>H84/DAY(B2)</f>
        <v>0.58833333333313931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'5'!F85</f>
        <v>1314</v>
      </c>
      <c r="F85" s="164">
        <v>1317.51</v>
      </c>
      <c r="G85" s="112">
        <f t="shared" si="8"/>
        <v>3.5099999999999909</v>
      </c>
      <c r="H85" s="99">
        <f>G85+'5'!H85</f>
        <v>12.509999999999991</v>
      </c>
      <c r="I85" s="118">
        <f>G82+G83+G84+G85</f>
        <v>3.5999999999964984</v>
      </c>
      <c r="J85" s="175">
        <f>H85/DAY(B2)</f>
        <v>2.0849999999999986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'5'!F86</f>
        <v>42826.47</v>
      </c>
      <c r="F86" s="164">
        <v>42826.47</v>
      </c>
      <c r="G86" s="112">
        <f t="shared" si="8"/>
        <v>0</v>
      </c>
      <c r="H86" s="99">
        <f>G86+'5'!H86</f>
        <v>0.47000000000116415</v>
      </c>
      <c r="I86" s="118"/>
      <c r="J86" s="175">
        <f>H86/DAY(B2)</f>
        <v>7.8333333333527363E-2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'5'!F87</f>
        <v>33868</v>
      </c>
      <c r="F87" s="164">
        <v>33893.4</v>
      </c>
      <c r="G87" s="112">
        <f t="shared" si="8"/>
        <v>25.400000000001455</v>
      </c>
      <c r="H87" s="99">
        <f>G87+'5'!H87</f>
        <v>145.40000000000146</v>
      </c>
      <c r="I87" s="118"/>
      <c r="J87" s="175">
        <f>H87/DAY(B2)</f>
        <v>24.233333333333576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'5'!F88</f>
        <v>23868.55</v>
      </c>
      <c r="F88" s="164">
        <v>23868.55</v>
      </c>
      <c r="G88" s="112">
        <f t="shared" si="8"/>
        <v>0</v>
      </c>
      <c r="H88" s="99">
        <f>G88+'5'!H88</f>
        <v>34.979999999999563</v>
      </c>
      <c r="I88" s="118">
        <f>G86+G87+G88</f>
        <v>25.400000000001455</v>
      </c>
      <c r="J88" s="175">
        <f>H88/DAY(B2)</f>
        <v>5.8299999999999272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'5'!F89</f>
        <v>25254.94</v>
      </c>
      <c r="F89" s="164">
        <v>25264.51</v>
      </c>
      <c r="G89" s="112">
        <f t="shared" si="8"/>
        <v>9.569999999999709</v>
      </c>
      <c r="H89" s="99">
        <f>G89+'5'!H89</f>
        <v>19.129999999997381</v>
      </c>
      <c r="I89" s="118"/>
      <c r="J89" s="175">
        <f>H89/DAY(B2)</f>
        <v>3.1883333333328969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'5'!F90</f>
        <v>70671.289999999994</v>
      </c>
      <c r="F90" s="164">
        <v>70674.52</v>
      </c>
      <c r="G90" s="112">
        <f t="shared" si="8"/>
        <v>3.2300000000104774</v>
      </c>
      <c r="H90" s="99">
        <f>G90+'5'!H90</f>
        <v>19.110000000000582</v>
      </c>
      <c r="I90" s="118">
        <f>G89+G90</f>
        <v>12.800000000010186</v>
      </c>
      <c r="J90" s="175">
        <f>H90/DAY(B2)</f>
        <v>3.1850000000000969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'5'!F92</f>
        <v>4842.63</v>
      </c>
      <c r="F92" s="122">
        <v>4853.54</v>
      </c>
      <c r="G92" s="112">
        <f t="shared" si="8"/>
        <v>10.909999999999854</v>
      </c>
      <c r="H92" s="99">
        <f>G92+'5'!H92</f>
        <v>61.720000000000255</v>
      </c>
      <c r="I92" s="165"/>
      <c r="J92" s="175">
        <f>H92/DAY(B2)</f>
        <v>10.28666666666671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6365.1600000000908</v>
      </c>
      <c r="H94" s="99">
        <f>G94+'5'!H94</f>
        <v>37591.700000000172</v>
      </c>
      <c r="I94" s="118"/>
      <c r="J94" s="175">
        <f>H94/DAY(B2)</f>
        <v>6265.283333333362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0.28191830731025175</v>
      </c>
      <c r="H95" s="99">
        <f>G95+'5'!H95</f>
        <v>1.7040943102572941</v>
      </c>
      <c r="I95" s="167"/>
      <c r="J95" s="175">
        <f>H95/DAY(B2)</f>
        <v>0.2840157183762157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5959.0099999999948</v>
      </c>
      <c r="H96" s="99">
        <f>G96+'5'!H96</f>
        <v>35083.930000000015</v>
      </c>
      <c r="I96" s="118"/>
      <c r="J96" s="175">
        <f>H96/DAY(B2)</f>
        <v>5847.3216666666694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0.2639295811016279</v>
      </c>
      <c r="H97" s="99">
        <f>G97+'5'!H97</f>
        <v>1.5851472526543255</v>
      </c>
      <c r="I97" s="167"/>
      <c r="J97" s="175">
        <f>H97/DAY(B2)</f>
        <v>0.26419120877572094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2809.5899999999965</v>
      </c>
      <c r="H98" s="99">
        <f>G98+'5'!H98</f>
        <v>17218.540000000008</v>
      </c>
      <c r="I98" s="168"/>
      <c r="J98" s="175">
        <f>H98/DAY(B2)</f>
        <v>2869.756666666668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0.12443911182685084</v>
      </c>
      <c r="H99" s="99">
        <f>G99+'5'!H99</f>
        <v>0.78118648177313621</v>
      </c>
      <c r="I99" s="168"/>
      <c r="J99" s="175">
        <f>H99/DAY(B2)</f>
        <v>0.13019774696218936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1902.3000000000029</v>
      </c>
      <c r="H100" s="99">
        <f>G100+'5'!H100</f>
        <v>10905.260000000009</v>
      </c>
      <c r="I100" s="118"/>
      <c r="J100" s="175">
        <f>H100/DAY(B2)</f>
        <v>1817.5433333333349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8.4254472157225438E-2</v>
      </c>
      <c r="H101" s="99">
        <f>G101+'5'!H101</f>
        <v>0.49440506568641196</v>
      </c>
      <c r="I101" s="168"/>
      <c r="J101" s="175">
        <f>H101/DAY(B2)</f>
        <v>8.2400844281068655E-2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1985.6899999999659</v>
      </c>
      <c r="H102" s="99">
        <f>G102+'5'!H102</f>
        <v>10734.709999999912</v>
      </c>
      <c r="I102" s="168"/>
      <c r="J102" s="175">
        <f>H102/DAY(B2)</f>
        <v>1789.1183333333186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8.794788562155173E-2</v>
      </c>
      <c r="H103" s="99">
        <f>G103+'5'!H103</f>
        <v>0.48493834062430663</v>
      </c>
      <c r="I103" s="118"/>
      <c r="J103" s="175">
        <f>H103/DAY(B2)</f>
        <v>8.0823056770717772E-2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1653.7100000000064</v>
      </c>
      <c r="H104" s="99">
        <f>G104+'5'!H104</f>
        <v>9479.8800000000047</v>
      </c>
      <c r="I104" s="118"/>
      <c r="J104" s="175">
        <f>H104/DAY(B2)</f>
        <v>1579.9800000000007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7.3244211297442879E-2</v>
      </c>
      <c r="H105" s="99">
        <f>G105+'5'!H105</f>
        <v>0.42967925835459264</v>
      </c>
      <c r="I105" s="187"/>
      <c r="J105" s="188">
        <f>H105/DAY(B2)</f>
        <v>7.1613209725765445E-2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'5'!F112</f>
        <v>51303</v>
      </c>
      <c r="F112" s="237">
        <v>51384.08</v>
      </c>
      <c r="G112" s="112">
        <f t="shared" ref="G112:G123" si="9">F112-E112</f>
        <v>81.080000000001746</v>
      </c>
      <c r="H112" s="99">
        <f>G112+'5'!H112</f>
        <v>495</v>
      </c>
      <c r="I112" s="165"/>
      <c r="J112" s="348">
        <f>H112/DAY(B2)</f>
        <v>82.5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'5'!F113</f>
        <v>6603</v>
      </c>
      <c r="F113" s="237">
        <v>7059.59</v>
      </c>
      <c r="G113" s="112">
        <f t="shared" si="9"/>
        <v>456.59000000000015</v>
      </c>
      <c r="H113" s="99">
        <f>G113+'5'!H113</f>
        <v>2553.9400000000005</v>
      </c>
      <c r="I113" s="165"/>
      <c r="J113" s="348">
        <f>H113/DAY(B2)</f>
        <v>425.65666666666675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'5'!F114</f>
        <v>5679</v>
      </c>
      <c r="F114" s="237">
        <v>6139.58</v>
      </c>
      <c r="G114" s="112">
        <f t="shared" si="9"/>
        <v>460.57999999999993</v>
      </c>
      <c r="H114" s="99">
        <f>G114+'5'!H114</f>
        <v>1561.6499999999996</v>
      </c>
      <c r="I114" s="165"/>
      <c r="J114" s="348">
        <f>H114/DAY(B2)</f>
        <v>260.27499999999992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'5'!F115</f>
        <v>8125</v>
      </c>
      <c r="F115" s="237">
        <v>8136.99</v>
      </c>
      <c r="G115" s="112">
        <f t="shared" si="9"/>
        <v>11.989999999999782</v>
      </c>
      <c r="H115" s="99">
        <f>G115+'5'!H115</f>
        <v>59.579999999999927</v>
      </c>
      <c r="I115" s="165"/>
      <c r="J115" s="348">
        <f>H115/DAY(B2)</f>
        <v>9.9299999999999873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'5'!F117</f>
        <v>1418</v>
      </c>
      <c r="F117" s="237">
        <v>1443.47</v>
      </c>
      <c r="G117" s="112">
        <f t="shared" si="9"/>
        <v>25.470000000000027</v>
      </c>
      <c r="H117" s="99">
        <f>G117+'5'!H117</f>
        <v>285.27999999999997</v>
      </c>
      <c r="I117" s="165"/>
      <c r="J117" s="348">
        <f>H117/DAY(B2)</f>
        <v>47.54666666666666</v>
      </c>
      <c r="Q117" s="793" t="s">
        <v>312</v>
      </c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'5'!F118</f>
        <v>220511</v>
      </c>
      <c r="F118" s="237">
        <v>220830.23</v>
      </c>
      <c r="G118" s="112">
        <f t="shared" si="9"/>
        <v>319.23000000001048</v>
      </c>
      <c r="H118" s="99">
        <f>G118+'5'!H118</f>
        <v>1978.3000000000175</v>
      </c>
      <c r="I118" s="165"/>
      <c r="J118" s="348">
        <f>H118/DAY(B2)</f>
        <v>329.7166666666696</v>
      </c>
      <c r="Q118" s="793" t="s">
        <v>311</v>
      </c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'5'!F119</f>
        <v>220967</v>
      </c>
      <c r="F119" s="237">
        <v>221402.37</v>
      </c>
      <c r="G119" s="112">
        <f t="shared" si="9"/>
        <v>435.36999999999534</v>
      </c>
      <c r="H119" s="99">
        <f>G119+'5'!H119</f>
        <v>2591.2600000000093</v>
      </c>
      <c r="I119" s="165"/>
      <c r="J119" s="348">
        <f>H119/DAY(B2)</f>
        <v>431.8766666666682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'5'!F120</f>
        <v>6536</v>
      </c>
      <c r="F120" s="237">
        <v>6967.04</v>
      </c>
      <c r="G120" s="112">
        <f t="shared" si="9"/>
        <v>431.03999999999996</v>
      </c>
      <c r="H120" s="99">
        <f>G120+'5'!H120</f>
        <v>2659.4399999999996</v>
      </c>
      <c r="I120" s="165"/>
      <c r="J120" s="348">
        <f>H120/DAY(B2)</f>
        <v>443.23999999999995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'5'!F121</f>
        <v>334862</v>
      </c>
      <c r="F121" s="237">
        <v>335541.93</v>
      </c>
      <c r="G121" s="112">
        <f t="shared" si="9"/>
        <v>679.92999999999302</v>
      </c>
      <c r="H121" s="99">
        <f>G121+'5'!H121</f>
        <v>4304.4199999999837</v>
      </c>
      <c r="I121" s="165"/>
      <c r="J121" s="348">
        <f>H121/DAY(B2)</f>
        <v>717.40333333333058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'5'!F122</f>
        <v>103062</v>
      </c>
      <c r="F122" s="237">
        <v>103357.38</v>
      </c>
      <c r="G122" s="112">
        <f t="shared" si="9"/>
        <v>295.38000000000466</v>
      </c>
      <c r="H122" s="99">
        <f>G122+'5'!H122</f>
        <v>1748.5</v>
      </c>
      <c r="I122" s="165"/>
      <c r="J122" s="348">
        <f>H122/DAY(B2)</f>
        <v>291.41666666666669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'5'!F123</f>
        <v>127223</v>
      </c>
      <c r="F123" s="237">
        <v>127525.53</v>
      </c>
      <c r="G123" s="112">
        <f t="shared" si="9"/>
        <v>302.52999999999884</v>
      </c>
      <c r="H123" s="99">
        <f>G123+'5'!H123</f>
        <v>1777.7700000000041</v>
      </c>
      <c r="I123" s="165"/>
      <c r="J123" s="348">
        <f>H123/DAY(B2)</f>
        <v>296.2950000000007</v>
      </c>
    </row>
    <row r="124" spans="1:18" ht="29.25" customHeight="1">
      <c r="A124" s="797"/>
      <c r="B124" s="798"/>
      <c r="C124" s="799"/>
      <c r="D124" s="165"/>
      <c r="E124" s="95">
        <f>'5'!F124</f>
        <v>0</v>
      </c>
      <c r="F124" s="165"/>
      <c r="G124" s="347"/>
      <c r="H124" s="156"/>
      <c r="I124" s="165"/>
      <c r="J124" s="348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3499.1900000000041</v>
      </c>
      <c r="H125" s="156"/>
      <c r="I125" s="347">
        <f>G125-(G39+G53)</f>
        <v>689.60000000000764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G127+'5'!H127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'5'!F128</f>
        <v>19714</v>
      </c>
      <c r="F128" s="165">
        <v>20000.41</v>
      </c>
      <c r="G128" s="112">
        <f t="shared" ref="G128:G134" si="10">F128-E128</f>
        <v>286.40999999999985</v>
      </c>
      <c r="H128" s="99">
        <f>G128+'5'!H128</f>
        <v>1976.6899999999987</v>
      </c>
      <c r="I128" s="165"/>
      <c r="J128" s="348">
        <f>H128/DAY(B2)</f>
        <v>329.4483333333331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'5'!F129</f>
        <v>7655</v>
      </c>
      <c r="F129" s="165">
        <v>7853.58</v>
      </c>
      <c r="G129" s="112">
        <f t="shared" si="10"/>
        <v>198.57999999999993</v>
      </c>
      <c r="H129" s="99">
        <f>G129+'5'!H129</f>
        <v>1257.8699999999999</v>
      </c>
      <c r="I129" s="165"/>
      <c r="J129" s="348">
        <f>H129/DAY(B2)</f>
        <v>209.64499999999998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'5'!F130</f>
        <v>38785</v>
      </c>
      <c r="F130" s="165">
        <v>41376.58</v>
      </c>
      <c r="G130" s="112">
        <f t="shared" si="10"/>
        <v>2591.5800000000017</v>
      </c>
      <c r="H130" s="99">
        <f>G130+'5'!H130</f>
        <v>14908.550000000003</v>
      </c>
      <c r="I130" s="165"/>
      <c r="J130" s="348">
        <f>H130/DAY(B2)</f>
        <v>2484.7583333333337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'5'!F131</f>
        <v>4703</v>
      </c>
      <c r="F131" s="165">
        <v>4815.3100000000004</v>
      </c>
      <c r="G131" s="112">
        <f t="shared" si="10"/>
        <v>112.3100000000004</v>
      </c>
      <c r="H131" s="99">
        <f>G131+'5'!H131</f>
        <v>668.84000000000015</v>
      </c>
      <c r="I131" s="165"/>
      <c r="J131" s="348">
        <f>H131/DAY(B2)</f>
        <v>111.47333333333336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'5'!F132</f>
        <v>13979</v>
      </c>
      <c r="F132" s="165">
        <v>14475.55</v>
      </c>
      <c r="G132" s="112">
        <f t="shared" si="10"/>
        <v>496.54999999999927</v>
      </c>
      <c r="H132" s="99">
        <f>G132+'5'!H132</f>
        <v>2937.83</v>
      </c>
      <c r="I132" s="165"/>
      <c r="J132" s="348">
        <f>H132/DAY(B2)</f>
        <v>489.63833333333332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'5'!F133</f>
        <v>44512</v>
      </c>
      <c r="F133" s="165">
        <v>45316.89</v>
      </c>
      <c r="G133" s="112">
        <f t="shared" si="10"/>
        <v>804.88999999999942</v>
      </c>
      <c r="H133" s="99">
        <f>G133+'5'!H133</f>
        <v>4467.5999999999985</v>
      </c>
      <c r="I133" s="165"/>
      <c r="J133" s="348">
        <f>H133/DAY(B2)</f>
        <v>744.5999999999998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'5'!F134</f>
        <v>616323</v>
      </c>
      <c r="F134" s="165">
        <v>616963</v>
      </c>
      <c r="G134" s="112">
        <f t="shared" si="10"/>
        <v>640</v>
      </c>
      <c r="H134" s="99">
        <f>G134+'5'!H134</f>
        <v>3796</v>
      </c>
      <c r="I134" s="165"/>
      <c r="J134" s="348">
        <f>H134/DAY(B2)</f>
        <v>632.66666666666663</v>
      </c>
    </row>
    <row r="135" spans="1:15" ht="27.75">
      <c r="A135" s="775" t="s">
        <v>196</v>
      </c>
      <c r="B135" s="776"/>
      <c r="C135" s="351"/>
      <c r="D135" s="151"/>
      <c r="E135" s="95"/>
      <c r="F135" s="112"/>
      <c r="G135" s="112">
        <f>SUM(G128:G134)</f>
        <v>5130.3200000000006</v>
      </c>
      <c r="H135" s="99">
        <f>G135+'5'!H135</f>
        <v>30013.379999999997</v>
      </c>
      <c r="I135" s="347">
        <f>G135-(G35+G49)</f>
        <v>1519.7600000000029</v>
      </c>
      <c r="J135" s="348">
        <f>H135/DAY(B2)</f>
        <v>5002.2299999999996</v>
      </c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'5'!F138</f>
        <v>859938</v>
      </c>
      <c r="F138" s="147">
        <v>859993</v>
      </c>
      <c r="G138" s="112">
        <f t="shared" ref="G138:G152" si="11">F138-E138</f>
        <v>55</v>
      </c>
      <c r="H138" s="99">
        <f>G138+'5'!H138</f>
        <v>346</v>
      </c>
      <c r="I138" s="118"/>
      <c r="J138" s="348">
        <f>H138/DAY(B2)</f>
        <v>57.666666666666664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'5'!F139</f>
        <v>886105</v>
      </c>
      <c r="F139" s="148">
        <v>886106</v>
      </c>
      <c r="G139" s="112">
        <f t="shared" si="11"/>
        <v>1</v>
      </c>
      <c r="H139" s="99">
        <f>G139+'5'!H139</f>
        <v>4</v>
      </c>
      <c r="I139" s="118"/>
      <c r="J139" s="348">
        <f>H139/DAY(B2)</f>
        <v>0.66666666666666663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'5'!F140</f>
        <v>88823</v>
      </c>
      <c r="F140" s="149">
        <v>88824.2</v>
      </c>
      <c r="G140" s="112">
        <f t="shared" si="11"/>
        <v>1.1999999999970896</v>
      </c>
      <c r="H140" s="99">
        <f>G140+'5'!H140</f>
        <v>7.1999999999970896</v>
      </c>
      <c r="I140" s="118"/>
      <c r="J140" s="348">
        <f>H140/DAY(B2)</f>
        <v>1.199999999999515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'5'!F141</f>
        <v>38235</v>
      </c>
      <c r="F141" s="149">
        <v>38430.97</v>
      </c>
      <c r="G141" s="112">
        <f t="shared" si="11"/>
        <v>195.97000000000116</v>
      </c>
      <c r="H141" s="99">
        <f>G141+'5'!H141</f>
        <v>1143.0200000000041</v>
      </c>
      <c r="I141" s="118"/>
      <c r="J141" s="348">
        <f>H141/DAY(B2)</f>
        <v>190.50333333333401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'5'!F142</f>
        <v>17042</v>
      </c>
      <c r="F142" s="148">
        <v>17059.37</v>
      </c>
      <c r="G142" s="112">
        <f t="shared" si="11"/>
        <v>17.369999999998981</v>
      </c>
      <c r="H142" s="99">
        <f>G142+'5'!H142</f>
        <v>97.5</v>
      </c>
      <c r="I142" s="140"/>
      <c r="J142" s="348">
        <f>H142/DAY(B2)</f>
        <v>16.25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'5'!F143</f>
        <v>1505</v>
      </c>
      <c r="F143" s="149">
        <v>1527.21</v>
      </c>
      <c r="G143" s="112">
        <f t="shared" si="11"/>
        <v>22.210000000000036</v>
      </c>
      <c r="H143" s="99">
        <f>G143+'5'!H143</f>
        <v>144.02999999999997</v>
      </c>
      <c r="I143" s="140"/>
      <c r="J143" s="348">
        <f>H143/DAY(B2)</f>
        <v>24.004999999999995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'5'!F144</f>
        <v>856498</v>
      </c>
      <c r="F144" s="149">
        <v>856722</v>
      </c>
      <c r="G144" s="112">
        <f t="shared" si="11"/>
        <v>224</v>
      </c>
      <c r="H144" s="99">
        <f>G144+'5'!H144</f>
        <v>1353</v>
      </c>
      <c r="I144" s="140"/>
      <c r="J144" s="348">
        <f>H144/DAY(B2)</f>
        <v>225.5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'5'!F145</f>
        <v>2388</v>
      </c>
      <c r="F145" s="149">
        <v>2428.4499999999998</v>
      </c>
      <c r="G145" s="112">
        <f t="shared" si="11"/>
        <v>40.449999999999818</v>
      </c>
      <c r="H145" s="99">
        <f>G145+'5'!H145</f>
        <v>215.44999999999982</v>
      </c>
      <c r="I145" s="140"/>
      <c r="J145" s="348">
        <f>H145/DAY(B2)</f>
        <v>35.908333333333303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'5'!F146</f>
        <v>700393</v>
      </c>
      <c r="F146" s="148">
        <v>700758</v>
      </c>
      <c r="G146" s="112">
        <f t="shared" si="11"/>
        <v>365</v>
      </c>
      <c r="H146" s="99">
        <f>G146+'5'!H146</f>
        <v>2239</v>
      </c>
      <c r="I146" s="140"/>
      <c r="J146" s="348">
        <f>H146/DAY(B2)</f>
        <v>373.16666666666669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'5'!F147</f>
        <v>590845</v>
      </c>
      <c r="F147" s="148">
        <v>591237</v>
      </c>
      <c r="G147" s="112">
        <f t="shared" si="11"/>
        <v>392</v>
      </c>
      <c r="H147" s="99">
        <f>G147+'5'!H147</f>
        <v>2326.0799999999581</v>
      </c>
      <c r="I147" s="140"/>
      <c r="J147" s="348">
        <f>H147/DAY(B2)</f>
        <v>387.67999999999302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'5'!F148</f>
        <v>666210</v>
      </c>
      <c r="F148" s="150">
        <v>666474</v>
      </c>
      <c r="G148" s="112">
        <f t="shared" si="11"/>
        <v>264</v>
      </c>
      <c r="H148" s="99">
        <f>G148+'5'!H148</f>
        <v>1365.8800000000047</v>
      </c>
      <c r="I148" s="124"/>
      <c r="J148" s="348">
        <f>H148/DAY(B2)</f>
        <v>227.64666666666744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'5'!F149</f>
        <v>86412</v>
      </c>
      <c r="F149" s="146">
        <v>86750</v>
      </c>
      <c r="G149" s="112">
        <f t="shared" si="11"/>
        <v>338</v>
      </c>
      <c r="H149" s="99">
        <f>G149+'5'!H149</f>
        <v>2003</v>
      </c>
      <c r="I149" s="119"/>
      <c r="J149" s="348">
        <f>H149/DAY(B2)</f>
        <v>333.83333333333331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'5'!F150</f>
        <v>7167232</v>
      </c>
      <c r="F150" s="233">
        <v>7167232</v>
      </c>
      <c r="G150" s="112">
        <f t="shared" si="11"/>
        <v>0</v>
      </c>
      <c r="H150" s="99">
        <f>G150+'5'!H150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'5'!F151</f>
        <v>64216</v>
      </c>
      <c r="F151" s="233">
        <v>64493</v>
      </c>
      <c r="G151" s="112">
        <f t="shared" si="11"/>
        <v>277</v>
      </c>
      <c r="H151" s="99">
        <f>G151+'5'!H151</f>
        <v>1483</v>
      </c>
      <c r="I151" s="119"/>
      <c r="J151" s="348">
        <f>H151/DAY(B2)</f>
        <v>247.16666666666666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'5'!F152</f>
        <v>0</v>
      </c>
      <c r="F152" s="233">
        <v>0</v>
      </c>
      <c r="G152" s="112">
        <f t="shared" si="11"/>
        <v>0</v>
      </c>
      <c r="H152" s="99">
        <f>G152+'5'!H152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2193.1999999999971</v>
      </c>
      <c r="H153" s="383"/>
      <c r="I153" s="119">
        <f>G153-(G38+G52)</f>
        <v>290.89999999999418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'5'!F155</f>
        <v>77305</v>
      </c>
      <c r="F155" s="394">
        <v>77312.7</v>
      </c>
      <c r="G155" s="112">
        <f t="shared" ref="G155:G156" si="12">F155-E155</f>
        <v>7.6999999999970896</v>
      </c>
      <c r="H155" s="99">
        <f>G155+'5'!H155</f>
        <v>38.099999999991269</v>
      </c>
      <c r="I155" s="384"/>
      <c r="J155" s="348">
        <f>H155/DAY(B2)</f>
        <v>6.3499999999985448</v>
      </c>
    </row>
    <row r="156" spans="1:10" ht="27.75">
      <c r="A156" s="771" t="s">
        <v>346</v>
      </c>
      <c r="B156" s="771"/>
      <c r="C156" s="771"/>
      <c r="D156" s="117" t="s">
        <v>130</v>
      </c>
      <c r="E156" s="95">
        <f>'5'!F156</f>
        <v>0</v>
      </c>
      <c r="F156" s="155">
        <v>0</v>
      </c>
      <c r="G156" s="112">
        <f t="shared" si="12"/>
        <v>0</v>
      </c>
      <c r="H156" s="99">
        <f>G156+'5'!H156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'5'!F158</f>
        <v>469717</v>
      </c>
      <c r="F158" s="235">
        <v>469723.16</v>
      </c>
      <c r="G158" s="238">
        <f t="shared" ref="G158:G162" si="13">F158-E158</f>
        <v>6.1599999999743886</v>
      </c>
      <c r="H158" s="99">
        <f>G158+'5'!H158</f>
        <v>194.11999999999534</v>
      </c>
      <c r="I158" s="236"/>
      <c r="J158" s="239">
        <f>H158/DAY(B2)</f>
        <v>32.353333333332557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'5'!F159</f>
        <v>85844</v>
      </c>
      <c r="F159" s="235">
        <v>85861.4</v>
      </c>
      <c r="G159" s="238">
        <f t="shared" si="13"/>
        <v>17.399999999994179</v>
      </c>
      <c r="H159" s="99">
        <f>G159+'5'!H159</f>
        <v>155.79999999998836</v>
      </c>
      <c r="I159" s="236"/>
      <c r="J159" s="239">
        <f>H159/DAY(B2)</f>
        <v>25.966666666664725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'5'!F160</f>
        <v>73642</v>
      </c>
      <c r="F160" s="235">
        <v>73679.5</v>
      </c>
      <c r="G160" s="238">
        <f t="shared" si="13"/>
        <v>37.5</v>
      </c>
      <c r="H160" s="99">
        <f>G160+'5'!H160</f>
        <v>342.60000000000582</v>
      </c>
      <c r="I160" s="236"/>
      <c r="J160" s="239">
        <f>H160/DAY(B2)</f>
        <v>57.100000000000968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'5'!F161</f>
        <v>3975</v>
      </c>
      <c r="F161" s="235">
        <v>3974.8</v>
      </c>
      <c r="G161" s="238">
        <f t="shared" si="13"/>
        <v>-0.1999999999998181</v>
      </c>
      <c r="H161" s="99">
        <f>G161+'5'!H161</f>
        <v>1.3000000000001819</v>
      </c>
      <c r="I161" s="236"/>
      <c r="J161" s="239">
        <f>H161/DAY(B2)</f>
        <v>0.21666666666669698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'5'!F162</f>
        <v>29242</v>
      </c>
      <c r="F162" s="235">
        <v>29249.13</v>
      </c>
      <c r="G162" s="238">
        <f t="shared" si="13"/>
        <v>7.1300000000010186</v>
      </c>
      <c r="H162" s="99">
        <f>G162+'5'!H162</f>
        <v>50.990000000001601</v>
      </c>
      <c r="I162" s="236"/>
      <c r="J162" s="239">
        <f>H162/DAY(B2)</f>
        <v>8.4983333333335995</v>
      </c>
    </row>
    <row r="163" spans="1:10" ht="29.25">
      <c r="A163" s="780"/>
      <c r="B163" s="780"/>
      <c r="C163" s="247"/>
      <c r="D163" s="244" t="s">
        <v>180</v>
      </c>
      <c r="E163" s="95">
        <f>'5'!F163</f>
        <v>0</v>
      </c>
      <c r="F163" s="165"/>
      <c r="G163" s="165"/>
      <c r="H163" s="99">
        <f>G163+'5'!H163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'5'!F164</f>
        <v>0</v>
      </c>
      <c r="F164" s="165"/>
      <c r="G164" s="165"/>
      <c r="H164" s="99">
        <f>G164+'5'!H164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'5'!F165</f>
        <v>0</v>
      </c>
      <c r="F165" s="165"/>
      <c r="G165" s="165"/>
      <c r="H165" s="99">
        <f>G165+'5'!H165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'5'!F170</f>
        <v>7998</v>
      </c>
      <c r="F170" s="155">
        <v>8021</v>
      </c>
      <c r="G170" s="155">
        <f>F170-E170</f>
        <v>23</v>
      </c>
      <c r="H170" s="99">
        <f>G170+'5'!H170</f>
        <v>23</v>
      </c>
      <c r="I170" s="155"/>
      <c r="J170" s="178">
        <f>H170/DAY(B2)</f>
        <v>3.8333333333333335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'5'!F171</f>
        <v>37442</v>
      </c>
      <c r="F171" s="157">
        <v>37452</v>
      </c>
      <c r="G171" s="155">
        <f t="shared" ref="G171:G172" si="14">F171-E171</f>
        <v>10</v>
      </c>
      <c r="H171" s="99">
        <f>G171+'5'!H171</f>
        <v>69</v>
      </c>
      <c r="I171" s="155"/>
      <c r="J171" s="178">
        <f>H171/DAY(B2)</f>
        <v>11.5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'5'!F172</f>
        <v>20835</v>
      </c>
      <c r="F172" s="155">
        <v>20844</v>
      </c>
      <c r="G172" s="155">
        <f t="shared" si="14"/>
        <v>9</v>
      </c>
      <c r="H172" s="99">
        <f>G172+'5'!H172</f>
        <v>56</v>
      </c>
      <c r="I172" s="155"/>
      <c r="J172" s="178">
        <f>H172/DAY(B2)</f>
        <v>9.3333333333333339</v>
      </c>
    </row>
    <row r="173" spans="1:10" ht="27.75">
      <c r="A173" s="669" t="s">
        <v>196</v>
      </c>
      <c r="B173" s="670"/>
      <c r="C173" s="353"/>
      <c r="D173" s="228"/>
      <c r="E173" s="95">
        <f>'5'!F173</f>
        <v>0</v>
      </c>
      <c r="F173" s="155"/>
      <c r="G173" s="155">
        <f>SUM(G170:G172)</f>
        <v>42</v>
      </c>
      <c r="H173" s="99">
        <f>G173+'5'!H173</f>
        <v>148</v>
      </c>
      <c r="I173" s="155"/>
      <c r="J173" s="178">
        <f>H173/DAY(B2)</f>
        <v>24.666666666666668</v>
      </c>
    </row>
    <row r="174" spans="1:10" ht="27.75">
      <c r="A174" s="786" t="s">
        <v>77</v>
      </c>
      <c r="B174" s="787"/>
      <c r="C174" s="353"/>
      <c r="D174" s="228" t="s">
        <v>142</v>
      </c>
      <c r="E174" s="95">
        <f>'5'!F174</f>
        <v>0</v>
      </c>
      <c r="F174" s="155"/>
      <c r="G174" s="155"/>
      <c r="H174" s="99">
        <f>G174+'5'!H174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'5'!F175</f>
        <v>74991</v>
      </c>
      <c r="F175" s="155">
        <v>75120</v>
      </c>
      <c r="G175" s="155">
        <f>F175-E175</f>
        <v>129</v>
      </c>
      <c r="H175" s="99">
        <f>G175+'5'!H175</f>
        <v>501</v>
      </c>
      <c r="I175" s="155"/>
      <c r="J175" s="178">
        <f>H175/DAY(B2)</f>
        <v>83.5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'5'!F176</f>
        <v>33886</v>
      </c>
      <c r="F176" s="155">
        <v>33886</v>
      </c>
      <c r="G176" s="155">
        <f t="shared" ref="G176:G177" si="15">F176-E176</f>
        <v>0</v>
      </c>
      <c r="H176" s="99">
        <f>G176+'5'!H176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'5'!F177</f>
        <v>5077</v>
      </c>
      <c r="F177" s="155">
        <v>5092</v>
      </c>
      <c r="G177" s="155">
        <f t="shared" si="15"/>
        <v>15</v>
      </c>
      <c r="H177" s="99">
        <f>G177+'5'!H177</f>
        <v>51</v>
      </c>
      <c r="I177" s="155"/>
      <c r="J177" s="178">
        <f>H177/DAY(B2)</f>
        <v>8.5</v>
      </c>
    </row>
    <row r="178" spans="1:10" ht="27.75">
      <c r="A178" s="788" t="s">
        <v>108</v>
      </c>
      <c r="B178" s="789"/>
      <c r="C178" s="353"/>
      <c r="D178" s="228"/>
      <c r="E178" s="95">
        <f>'5'!F178</f>
        <v>0</v>
      </c>
      <c r="F178" s="155"/>
      <c r="G178" s="155">
        <f>SUM(G175:G177)</f>
        <v>144</v>
      </c>
      <c r="H178" s="99">
        <f>G178+'5'!H178</f>
        <v>552</v>
      </c>
      <c r="I178" s="155"/>
      <c r="J178" s="178">
        <f>H178/DAY(B2)</f>
        <v>92</v>
      </c>
    </row>
    <row r="179" spans="1:10" ht="27.75">
      <c r="A179" s="786" t="s">
        <v>213</v>
      </c>
      <c r="B179" s="787"/>
      <c r="C179" s="353"/>
      <c r="D179" s="228"/>
      <c r="E179" s="95">
        <f>'5'!F179</f>
        <v>0</v>
      </c>
      <c r="F179" s="155"/>
      <c r="G179" s="155"/>
      <c r="H179" s="99">
        <f>G179+'5'!H179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'5'!F180</f>
        <v>14105</v>
      </c>
      <c r="F180" s="157">
        <v>14130</v>
      </c>
      <c r="G180" s="157">
        <f>F180-E180</f>
        <v>25</v>
      </c>
      <c r="H180" s="99">
        <f>G180+'5'!H180</f>
        <v>99</v>
      </c>
      <c r="I180" s="155"/>
      <c r="J180" s="178">
        <f>H180/DAY(B2)</f>
        <v>16.5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'5'!F181</f>
        <v>9795</v>
      </c>
      <c r="F181" s="157">
        <v>9810</v>
      </c>
      <c r="G181" s="157">
        <f t="shared" ref="G181:G182" si="16">F181-E181</f>
        <v>15</v>
      </c>
      <c r="H181" s="99">
        <f>G181+'5'!H181</f>
        <v>56</v>
      </c>
      <c r="I181" s="155"/>
      <c r="J181" s="178">
        <f>H181/DAY(B2)</f>
        <v>9.3333333333333339</v>
      </c>
    </row>
    <row r="182" spans="1:10" ht="27.75">
      <c r="A182" s="786" t="s">
        <v>216</v>
      </c>
      <c r="B182" s="787"/>
      <c r="C182" s="354"/>
      <c r="D182" s="228" t="s">
        <v>142</v>
      </c>
      <c r="E182" s="95">
        <f>'5'!F182</f>
        <v>0</v>
      </c>
      <c r="F182" s="157"/>
      <c r="G182" s="157">
        <f t="shared" si="16"/>
        <v>0</v>
      </c>
      <c r="H182" s="99">
        <f>G182+'5'!H182</f>
        <v>0</v>
      </c>
      <c r="I182" s="155"/>
      <c r="J182" s="178">
        <f>H182/DAY(B2)</f>
        <v>0</v>
      </c>
    </row>
    <row r="183" spans="1:10" ht="27.75">
      <c r="A183" s="775" t="s">
        <v>196</v>
      </c>
      <c r="B183" s="776"/>
      <c r="C183" s="354"/>
      <c r="D183" s="229"/>
      <c r="E183" s="95"/>
      <c r="F183" s="157"/>
      <c r="G183" s="157">
        <f>SUM(G180:G182)</f>
        <v>40</v>
      </c>
      <c r="H183" s="99">
        <f>G183+'5'!H183</f>
        <v>155</v>
      </c>
      <c r="I183" s="157"/>
      <c r="J183" s="178">
        <f>H183/DAY(B2)</f>
        <v>25.833333333333332</v>
      </c>
    </row>
    <row r="184" spans="1:10" ht="27.75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195</v>
      </c>
      <c r="H184" s="99">
        <f>G184+'5'!H184</f>
        <v>1004</v>
      </c>
      <c r="I184" s="158"/>
      <c r="J184" s="179">
        <f>H184/DAY(B2)</f>
        <v>167.33333333333334</v>
      </c>
    </row>
    <row r="185" spans="1:10" ht="27.75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222</v>
      </c>
      <c r="H185" s="99">
        <f>G185+'5'!H185</f>
        <v>1030</v>
      </c>
      <c r="I185" s="158"/>
      <c r="J185" s="179">
        <f>H185/DAY(B2)</f>
        <v>171.66666666666666</v>
      </c>
    </row>
    <row r="186" spans="1:10" ht="27.75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144</v>
      </c>
      <c r="H186" s="99">
        <f>G186+'5'!H186</f>
        <v>552</v>
      </c>
      <c r="I186" s="158"/>
      <c r="J186" s="179">
        <f>H186/DAY(B2)</f>
        <v>92</v>
      </c>
    </row>
    <row r="187" spans="1:10" ht="27.75">
      <c r="A187" s="784"/>
      <c r="B187" s="785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</sheetData>
  <mergeCells count="111">
    <mergeCell ref="A135:B135"/>
    <mergeCell ref="A172:C172"/>
    <mergeCell ref="A178:B178"/>
    <mergeCell ref="A165:B165"/>
    <mergeCell ref="A168:J168"/>
    <mergeCell ref="A169:B169"/>
    <mergeCell ref="A170:B170"/>
    <mergeCell ref="A171:B171"/>
    <mergeCell ref="A174:B174"/>
    <mergeCell ref="A141:C141"/>
    <mergeCell ref="A142:C142"/>
    <mergeCell ref="A157:J157"/>
    <mergeCell ref="A163:B163"/>
    <mergeCell ref="A164:B164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80:B180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R267"/>
  <sheetViews>
    <sheetView view="pageBreakPreview" topLeftCell="A121" zoomScale="60" zoomScaleNormal="77" workbookViewId="0">
      <selection activeCell="I153" sqref="I15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356</v>
      </c>
      <c r="B2" s="266">
        <v>44507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'6'!F7</f>
        <v>818757.03</v>
      </c>
      <c r="F7" s="95">
        <v>840449.35</v>
      </c>
      <c r="G7" s="112">
        <f>F7-E7</f>
        <v>21692.319999999949</v>
      </c>
      <c r="H7" s="99">
        <f>G7+'6'!H7</f>
        <v>154186.04999999993</v>
      </c>
      <c r="I7" s="113">
        <f>'1'!I7</f>
        <v>12000</v>
      </c>
      <c r="J7" s="175">
        <f>H7/DAY(B2)</f>
        <v>22026.578571428563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'6'!F8</f>
        <v>848272.55</v>
      </c>
      <c r="F8" s="114">
        <v>870223.59</v>
      </c>
      <c r="G8" s="115">
        <f>F8-E8</f>
        <v>21951.039999999921</v>
      </c>
      <c r="H8" s="99">
        <f>G8+'6'!H8</f>
        <v>157059.68999999994</v>
      </c>
      <c r="I8" s="116"/>
      <c r="J8" s="175">
        <f>H8/DAY(B2)</f>
        <v>22437.098571428563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'6'!F9</f>
        <v>1341918.51</v>
      </c>
      <c r="F9" s="117">
        <v>1354715.2</v>
      </c>
      <c r="G9" s="112">
        <f>F9-E9</f>
        <v>12796.689999999944</v>
      </c>
      <c r="H9" s="99">
        <f>G9+'6'!H9</f>
        <v>93436.699999999953</v>
      </c>
      <c r="I9" s="124">
        <f>I7-J7</f>
        <v>-10026.578571428563</v>
      </c>
      <c r="J9" s="175">
        <f>H9/DAY(B2)</f>
        <v>13348.099999999993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'6'!F10</f>
        <v>216718.71</v>
      </c>
      <c r="F10" s="117">
        <v>225030.21</v>
      </c>
      <c r="G10" s="112">
        <f t="shared" ref="G10:G12" si="0">F10-E10</f>
        <v>8311.5</v>
      </c>
      <c r="H10" s="99">
        <f>G10+'6'!H10</f>
        <v>56646.28</v>
      </c>
      <c r="I10" s="286"/>
      <c r="J10" s="175">
        <f>H10/DAY(B2)</f>
        <v>8092.3257142857137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21108.189999999944</v>
      </c>
      <c r="H13" s="99">
        <f>G13+'6'!H13</f>
        <v>129276.51999999993</v>
      </c>
      <c r="I13" s="120">
        <f>G7-G13</f>
        <v>584.13000000000466</v>
      </c>
      <c r="J13" s="175">
        <f>H13/DAY(B2)</f>
        <v>18468.074285714276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'6'!F15</f>
        <v>1821358.68</v>
      </c>
      <c r="F15" s="123">
        <v>1822321.17</v>
      </c>
      <c r="G15" s="112">
        <f>(F15-E15)</f>
        <v>962.48999999999069</v>
      </c>
      <c r="H15" s="99">
        <f>G15+'6'!H15</f>
        <v>6654.2099999999627</v>
      </c>
      <c r="I15" s="113">
        <f>'1'!I15</f>
        <v>800</v>
      </c>
      <c r="J15" s="175">
        <f>H15/DAY(B2)</f>
        <v>950.6014285714233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-150.6014285714233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'6'!F18</f>
        <v>24</v>
      </c>
      <c r="F18" s="122">
        <v>20</v>
      </c>
      <c r="G18" s="119">
        <f>F18*10</f>
        <v>200</v>
      </c>
      <c r="H18" s="99">
        <f>G18+'6'!H18</f>
        <v>1330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'6'!F19</f>
        <v>149262</v>
      </c>
      <c r="F19" s="122">
        <v>149321</v>
      </c>
      <c r="G19" s="112">
        <f t="shared" ref="G19" si="1">F19-E19</f>
        <v>59</v>
      </c>
      <c r="H19" s="99">
        <f>G19+'6'!H19</f>
        <v>404</v>
      </c>
      <c r="I19" s="355"/>
      <c r="J19" s="175">
        <f>H19/DAY(B2)</f>
        <v>57.714285714285715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259</v>
      </c>
      <c r="H20" s="99">
        <f>G20+'6'!H20</f>
        <v>1734</v>
      </c>
      <c r="I20" s="356">
        <f>I18-J20</f>
        <v>-182.71428571428572</v>
      </c>
      <c r="J20" s="175">
        <f>H20/DAY(B2)</f>
        <v>247.71428571428572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21951.039999999921</v>
      </c>
      <c r="F27" s="136">
        <v>9</v>
      </c>
      <c r="G27" s="137">
        <f>E27*F27</f>
        <v>197559.35999999929</v>
      </c>
      <c r="H27" s="99">
        <f>G27+'6'!H27</f>
        <v>1413537.2099999995</v>
      </c>
      <c r="I27" s="138"/>
      <c r="J27" s="175">
        <f>H27/DAY(B2)</f>
        <v>201933.88714285707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962.48999999999069</v>
      </c>
      <c r="F28" s="136">
        <v>52</v>
      </c>
      <c r="G28" s="137">
        <f>E28*F28</f>
        <v>50049.479999999516</v>
      </c>
      <c r="H28" s="99">
        <f>G28+'6'!H28</f>
        <v>346018.91999999806</v>
      </c>
      <c r="I28" s="140"/>
      <c r="J28" s="175">
        <f>H28/DAY(B2)</f>
        <v>49431.274285714011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G30+'6'!H30</f>
        <v>58984</v>
      </c>
      <c r="I30" s="140"/>
      <c r="J30" s="175">
        <f>H30/DAY(B2)</f>
        <v>8426.2857142857138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G31+'6'!H31</f>
        <v>106400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272222.8399999988</v>
      </c>
      <c r="H32" s="99">
        <f>G32+'6'!H32</f>
        <v>1924940.1299999976</v>
      </c>
      <c r="I32" s="144"/>
      <c r="J32" s="175">
        <f>H32/DAY(B2)</f>
        <v>274991.44714285678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'6'!F35</f>
        <v>44166.91</v>
      </c>
      <c r="F35" s="145">
        <v>46156.81</v>
      </c>
      <c r="G35" s="112">
        <f t="shared" ref="G35:G46" si="3">F35-E35</f>
        <v>1989.8999999999942</v>
      </c>
      <c r="H35" s="99">
        <f>G35+'6'!H35</f>
        <v>13682.14</v>
      </c>
      <c r="I35" s="95"/>
      <c r="J35" s="175">
        <f>H35/DAY(B2)</f>
        <v>1954.5914285714284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'6'!F36</f>
        <v>54483.98</v>
      </c>
      <c r="F36" s="145">
        <v>55185.51</v>
      </c>
      <c r="G36" s="112">
        <f t="shared" si="3"/>
        <v>701.52999999999884</v>
      </c>
      <c r="H36" s="99">
        <f>G36+'6'!H36</f>
        <v>5245.8400000000038</v>
      </c>
      <c r="I36" s="95"/>
      <c r="J36" s="175">
        <f>H36/DAY(B2)</f>
        <v>749.40571428571479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'6'!F37</f>
        <v>106533.71</v>
      </c>
      <c r="F37" s="145">
        <v>108113.53</v>
      </c>
      <c r="G37" s="112">
        <f t="shared" si="3"/>
        <v>1579.8199999999924</v>
      </c>
      <c r="H37" s="99">
        <f>G37+'6'!H37</f>
        <v>11059.699999999997</v>
      </c>
      <c r="I37" s="95"/>
      <c r="J37" s="175">
        <f>H37/DAY(B2)</f>
        <v>1579.9571428571423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'6'!F38</f>
        <v>126128.3</v>
      </c>
      <c r="F38" s="108">
        <v>128021.51</v>
      </c>
      <c r="G38" s="112">
        <f t="shared" si="3"/>
        <v>1893.2099999999919</v>
      </c>
      <c r="H38" s="99">
        <f>G38+'6'!H38</f>
        <v>12798.470000000001</v>
      </c>
      <c r="I38" s="95"/>
      <c r="J38" s="175">
        <f>H38/DAY(B2)</f>
        <v>1828.3528571428574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'6'!F39</f>
        <v>250599.59</v>
      </c>
      <c r="F39" s="145">
        <v>253412.45</v>
      </c>
      <c r="G39" s="112">
        <f t="shared" si="3"/>
        <v>2812.8600000000151</v>
      </c>
      <c r="H39" s="99">
        <f>G39+'6'!H39</f>
        <v>20031.400000000023</v>
      </c>
      <c r="I39" s="95"/>
      <c r="J39" s="175">
        <f>H39/DAY(B2)</f>
        <v>2861.6285714285746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'6'!F40</f>
        <v>38.82</v>
      </c>
      <c r="F40" s="145">
        <v>42.22</v>
      </c>
      <c r="G40" s="112">
        <f t="shared" si="3"/>
        <v>3.3999999999999986</v>
      </c>
      <c r="H40" s="99">
        <f>G40+'6'!H40</f>
        <v>16.849999999999998</v>
      </c>
      <c r="I40" s="95"/>
      <c r="J40" s="175">
        <f>H40/DAY(B2)</f>
        <v>2.407142857142857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'6'!F41</f>
        <v>582546.71</v>
      </c>
      <c r="F41" s="145">
        <v>582546.71</v>
      </c>
      <c r="G41" s="112">
        <f t="shared" si="3"/>
        <v>0</v>
      </c>
      <c r="H41" s="99">
        <f>G41+'6'!H41</f>
        <v>687.88000000000466</v>
      </c>
      <c r="I41" s="95"/>
      <c r="J41" s="175">
        <f>H41/DAY(B2)</f>
        <v>98.268571428572088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'6'!F42</f>
        <v>273305.25</v>
      </c>
      <c r="F42" s="145">
        <v>273305.25</v>
      </c>
      <c r="G42" s="112">
        <f t="shared" si="3"/>
        <v>0</v>
      </c>
      <c r="H42" s="99">
        <f>G42+'6'!H42</f>
        <v>2335.5800000000163</v>
      </c>
      <c r="I42" s="95"/>
      <c r="J42" s="175">
        <f>H42/DAY(B2)</f>
        <v>333.65428571428805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'6'!F43</f>
        <v>1462383.6</v>
      </c>
      <c r="F43" s="145">
        <v>1464993.3</v>
      </c>
      <c r="G43" s="112">
        <f t="shared" si="3"/>
        <v>2609.6999999999534</v>
      </c>
      <c r="H43" s="99">
        <f>G43+'6'!H43</f>
        <v>18905.90000000014</v>
      </c>
      <c r="I43" s="95"/>
      <c r="J43" s="175">
        <f>H43/DAY(B2)</f>
        <v>2700.8428571428772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11590.419999999946</v>
      </c>
      <c r="H47" s="99">
        <f>G47+'6'!H47</f>
        <v>84763.760000000169</v>
      </c>
      <c r="I47" s="95"/>
      <c r="J47" s="175">
        <f>H47/DAY(B2)</f>
        <v>12109.108571428596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'6'!F49</f>
        <v>182333.65</v>
      </c>
      <c r="F49" s="145">
        <v>184054.21</v>
      </c>
      <c r="G49" s="112">
        <f t="shared" ref="G49:G58" si="4">F49-E49</f>
        <v>1720.5599999999977</v>
      </c>
      <c r="H49" s="99">
        <f>G49+'6'!H49</f>
        <v>11323.819999999978</v>
      </c>
      <c r="I49" s="95"/>
      <c r="J49" s="175">
        <f>H49/DAY(B2)</f>
        <v>1617.6885714285684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'6'!F50</f>
        <v>690552.71</v>
      </c>
      <c r="F50" s="145">
        <v>691701.59</v>
      </c>
      <c r="G50" s="112">
        <f t="shared" si="4"/>
        <v>1148.8800000000047</v>
      </c>
      <c r="H50" s="99">
        <f>G50+'6'!H50</f>
        <v>7339.2799999999115</v>
      </c>
      <c r="I50" s="95"/>
      <c r="J50" s="175">
        <f>H50/DAY(B2)</f>
        <v>1048.4685714285588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'6'!F54</f>
        <v>2896.86</v>
      </c>
      <c r="F54" s="145">
        <v>2902.38</v>
      </c>
      <c r="G54" s="112">
        <f t="shared" si="4"/>
        <v>5.5199999999999818</v>
      </c>
      <c r="H54" s="99">
        <f>G54+'6'!H54</f>
        <v>34.890000000000327</v>
      </c>
      <c r="I54" s="95"/>
      <c r="J54" s="175">
        <f>H54/DAY(B2)</f>
        <v>4.9842857142857611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'6'!F55</f>
        <v>0</v>
      </c>
      <c r="F55" s="145">
        <v>0</v>
      </c>
      <c r="G55" s="112">
        <f t="shared" si="4"/>
        <v>0</v>
      </c>
      <c r="H55" s="99">
        <f>G55+'6'!H55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'6'!F56</f>
        <v>74900.759999999995</v>
      </c>
      <c r="F56" s="145">
        <v>80242.399999999994</v>
      </c>
      <c r="G56" s="112">
        <f t="shared" si="4"/>
        <v>5341.6399999999994</v>
      </c>
      <c r="H56" s="99">
        <f>G56+'6'!H56</f>
        <v>37402.109999999993</v>
      </c>
      <c r="I56" s="95"/>
      <c r="J56" s="175">
        <f>H56/DAY(B2)</f>
        <v>5343.1585714285702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'6'!F58</f>
        <v>80172.58</v>
      </c>
      <c r="F58" s="145">
        <v>80384.13</v>
      </c>
      <c r="G58" s="112">
        <f t="shared" si="4"/>
        <v>211.55000000000291</v>
      </c>
      <c r="H58" s="99">
        <f>G58+'6'!H58</f>
        <v>1364.2300000000105</v>
      </c>
      <c r="I58" s="95"/>
      <c r="J58" s="175">
        <f>H58/DAY(B2)</f>
        <v>194.89000000000149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8428.1500000000051</v>
      </c>
      <c r="H59" s="99">
        <f>G59+'6'!H59</f>
        <v>57464.3299999999</v>
      </c>
      <c r="I59" s="95">
        <f>G7-G60</f>
        <v>1673.75</v>
      </c>
      <c r="J59" s="175">
        <f>H59/DAY(B2)</f>
        <v>8209.189999999986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20018.569999999949</v>
      </c>
      <c r="H60" s="99">
        <f>G60+'6'!H60</f>
        <v>142228.09000000008</v>
      </c>
      <c r="I60" s="95">
        <f>G13-G60</f>
        <v>1089.6199999999953</v>
      </c>
      <c r="J60" s="175">
        <f>H60/DAY(B2)</f>
        <v>20318.298571428582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'6'!F62</f>
        <v>260477</v>
      </c>
      <c r="F62" s="122">
        <v>260610</v>
      </c>
      <c r="G62" s="112">
        <f t="shared" ref="G62:G63" si="5">F62-E62</f>
        <v>133</v>
      </c>
      <c r="H62" s="99">
        <f>G62+'6'!H62</f>
        <v>792</v>
      </c>
      <c r="I62" s="118"/>
      <c r="J62" s="175">
        <f>H62/DAY(B2)</f>
        <v>113.14285714285714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'6'!F63</f>
        <v>206862</v>
      </c>
      <c r="F63" s="122">
        <v>206988</v>
      </c>
      <c r="G63" s="112">
        <f t="shared" si="5"/>
        <v>126</v>
      </c>
      <c r="H63" s="99">
        <f>G63+'6'!H63</f>
        <v>718</v>
      </c>
      <c r="I63" s="118"/>
      <c r="J63" s="175">
        <f>H63/DAY(B2)</f>
        <v>102.57142857142857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'6'!F64</f>
        <v>0</v>
      </c>
      <c r="F64" s="122"/>
      <c r="G64" s="112">
        <f>G62+G63</f>
        <v>259</v>
      </c>
      <c r="H64" s="99">
        <f>G64+'6'!H64</f>
        <v>1510</v>
      </c>
      <c r="I64" s="118"/>
      <c r="J64" s="175">
        <f>H64/DAY(B2)</f>
        <v>215.71428571428572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'6'!F65</f>
        <v>426799</v>
      </c>
      <c r="F65" s="122">
        <v>426889</v>
      </c>
      <c r="G65" s="112">
        <f t="shared" ref="G65:G70" si="6">F65-E65</f>
        <v>90</v>
      </c>
      <c r="H65" s="99">
        <f>G65+'6'!H65</f>
        <v>684</v>
      </c>
      <c r="I65" s="118"/>
      <c r="J65" s="175">
        <f>H65/DAY(B2)</f>
        <v>97.714285714285708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'6'!F66</f>
        <v>106090</v>
      </c>
      <c r="F66" s="122">
        <v>106121</v>
      </c>
      <c r="G66" s="112">
        <f t="shared" si="6"/>
        <v>31</v>
      </c>
      <c r="H66" s="99">
        <f>G66+'6'!H66</f>
        <v>151</v>
      </c>
      <c r="I66" s="118"/>
      <c r="J66" s="175">
        <f>H66/DAY(B2)</f>
        <v>21.571428571428573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'6'!F67</f>
        <v>102332</v>
      </c>
      <c r="F67" s="122">
        <v>102365</v>
      </c>
      <c r="G67" s="112">
        <f t="shared" si="6"/>
        <v>33</v>
      </c>
      <c r="H67" s="99">
        <f>G67+'6'!H67</f>
        <v>194</v>
      </c>
      <c r="I67" s="118"/>
      <c r="J67" s="175">
        <f>H67/DAY(B2)</f>
        <v>27.714285714285715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'6'!F68</f>
        <v>154680</v>
      </c>
      <c r="F68" s="122">
        <v>154705</v>
      </c>
      <c r="G68" s="112">
        <f t="shared" si="6"/>
        <v>25</v>
      </c>
      <c r="H68" s="99">
        <f>G68+'6'!H68</f>
        <v>209</v>
      </c>
      <c r="I68" s="118"/>
      <c r="J68" s="175">
        <f>H68/DAY(B2)</f>
        <v>29.857142857142858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'6'!F69</f>
        <v>9548</v>
      </c>
      <c r="F69" s="122">
        <v>9565</v>
      </c>
      <c r="G69" s="112">
        <f t="shared" si="6"/>
        <v>17</v>
      </c>
      <c r="H69" s="99">
        <f>G69+'6'!H69</f>
        <v>100</v>
      </c>
      <c r="I69" s="118"/>
      <c r="J69" s="175">
        <f>H69/DAY(B2)</f>
        <v>14.285714285714286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'6'!F70</f>
        <v>7275</v>
      </c>
      <c r="F70" s="122">
        <v>7286</v>
      </c>
      <c r="G70" s="112">
        <f t="shared" si="6"/>
        <v>11</v>
      </c>
      <c r="H70" s="99">
        <f>G70+'6'!H70</f>
        <v>83</v>
      </c>
      <c r="I70" s="118"/>
      <c r="J70" s="175">
        <f>H70/DAY(B2)</f>
        <v>11.857142857142858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207</v>
      </c>
      <c r="H71" s="99">
        <f>G71+'6'!H71</f>
        <v>1421</v>
      </c>
      <c r="I71" s="154"/>
      <c r="J71" s="175">
        <f>H71/DAY(B2)</f>
        <v>203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'6'!F74</f>
        <v>875340.46</v>
      </c>
      <c r="F74" s="123">
        <v>875629.29</v>
      </c>
      <c r="G74" s="112">
        <f t="shared" ref="G74:G78" si="7">F74-E74</f>
        <v>288.83000000007451</v>
      </c>
      <c r="H74" s="99">
        <f>G74+'6'!H74</f>
        <v>2044.0590000000084</v>
      </c>
      <c r="I74" s="154"/>
      <c r="J74" s="175">
        <f>H74/DAY(B2)</f>
        <v>292.00842857142976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3.4000000000087311</v>
      </c>
      <c r="I75" s="154"/>
      <c r="J75" s="175">
        <f>H75/DAY(B2)</f>
        <v>0.48571428571553305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'6'!F76</f>
        <v>160552.75</v>
      </c>
      <c r="F76" s="123">
        <v>160638.98000000001</v>
      </c>
      <c r="G76" s="112">
        <f t="shared" si="7"/>
        <v>86.230000000010477</v>
      </c>
      <c r="H76" s="99">
        <f>G76+'6'!H76</f>
        <v>653.48000000001048</v>
      </c>
      <c r="I76" s="154"/>
      <c r="J76" s="175">
        <f>H76/DAY(B2)</f>
        <v>93.354285714287215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'6'!F77</f>
        <v>37745</v>
      </c>
      <c r="F77" s="123">
        <v>37782</v>
      </c>
      <c r="G77" s="112">
        <f t="shared" si="7"/>
        <v>37</v>
      </c>
      <c r="H77" s="99">
        <f>G77+'6'!H77</f>
        <v>284.5</v>
      </c>
      <c r="I77" s="154"/>
      <c r="J77" s="175">
        <f>H77/DAY(B2)</f>
        <v>40.642857142857146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'6'!F78</f>
        <v>9344</v>
      </c>
      <c r="F78" s="123">
        <v>9345.2999999999993</v>
      </c>
      <c r="G78" s="112">
        <f t="shared" si="7"/>
        <v>1.2999999999992724</v>
      </c>
      <c r="H78" s="99">
        <f>G78+'6'!H78</f>
        <v>15.899999999999636</v>
      </c>
      <c r="I78" s="118"/>
      <c r="J78" s="175">
        <f>H78/DAY(B2)</f>
        <v>2.2714285714285194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'6'!F79</f>
        <v>0</v>
      </c>
      <c r="F79" s="123"/>
      <c r="G79" s="112">
        <f>G15-SUM(G74:G78)</f>
        <v>549.12999999990643</v>
      </c>
      <c r="H79" s="99">
        <f>G79+'6'!H79</f>
        <v>3652.8709999999355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962.48999999999069</v>
      </c>
      <c r="H80" s="99">
        <f>G80+'6'!H80</f>
        <v>962.48999999999069</v>
      </c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'6'!F84</f>
        <v>41589.089999999997</v>
      </c>
      <c r="F84" s="164">
        <v>41589.089999999997</v>
      </c>
      <c r="G84" s="112">
        <f t="shared" si="8"/>
        <v>0</v>
      </c>
      <c r="H84" s="99">
        <f>G84+'6'!H84</f>
        <v>3.5299999999988358</v>
      </c>
      <c r="I84" s="118"/>
      <c r="J84" s="175">
        <f>H84/DAY(B2)</f>
        <v>0.50428571428554803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'6'!F85</f>
        <v>1317.51</v>
      </c>
      <c r="F85" s="164">
        <v>1317.51</v>
      </c>
      <c r="G85" s="112">
        <f t="shared" si="8"/>
        <v>0</v>
      </c>
      <c r="H85" s="99">
        <f>G85+'6'!H85</f>
        <v>12.509999999999991</v>
      </c>
      <c r="I85" s="118">
        <f>G82+G83+G84+G85</f>
        <v>0</v>
      </c>
      <c r="J85" s="175">
        <f>H85/DAY(B2)</f>
        <v>1.7871428571428558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'6'!F86</f>
        <v>42826.47</v>
      </c>
      <c r="F86" s="164">
        <v>42826.47</v>
      </c>
      <c r="G86" s="112">
        <f t="shared" si="8"/>
        <v>0</v>
      </c>
      <c r="H86" s="99">
        <f>G86+'6'!H86</f>
        <v>0.47000000000116415</v>
      </c>
      <c r="I86" s="118"/>
      <c r="J86" s="175">
        <f>H86/DAY(B2)</f>
        <v>6.7142857143023454E-2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'6'!F87</f>
        <v>33893.4</v>
      </c>
      <c r="F87" s="164">
        <v>33917.49</v>
      </c>
      <c r="G87" s="112">
        <f t="shared" si="8"/>
        <v>24.089999999996508</v>
      </c>
      <c r="H87" s="99">
        <f>G87+'6'!H87</f>
        <v>169.48999999999796</v>
      </c>
      <c r="I87" s="118"/>
      <c r="J87" s="175">
        <f>H87/DAY(B2)</f>
        <v>24.212857142856851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'6'!F88</f>
        <v>23868.55</v>
      </c>
      <c r="F88" s="164">
        <v>23868.55</v>
      </c>
      <c r="G88" s="112">
        <f t="shared" si="8"/>
        <v>0</v>
      </c>
      <c r="H88" s="99">
        <f>G88+'6'!H88</f>
        <v>34.979999999999563</v>
      </c>
      <c r="I88" s="118">
        <f>G86+G87+G88</f>
        <v>24.089999999996508</v>
      </c>
      <c r="J88" s="175">
        <f>H88/DAY(B2)</f>
        <v>4.9971428571427952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'6'!F89</f>
        <v>25264.51</v>
      </c>
      <c r="F89" s="164">
        <v>25274.87</v>
      </c>
      <c r="G89" s="112">
        <f t="shared" si="8"/>
        <v>10.360000000000582</v>
      </c>
      <c r="H89" s="99">
        <f>G89+'6'!H89</f>
        <v>29.489999999997963</v>
      </c>
      <c r="I89" s="118"/>
      <c r="J89" s="175">
        <f>H89/DAY(B2)</f>
        <v>4.2128571428568522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'6'!F90</f>
        <v>70674.52</v>
      </c>
      <c r="F90" s="164">
        <v>70678.38</v>
      </c>
      <c r="G90" s="112">
        <f t="shared" si="8"/>
        <v>3.8600000000005821</v>
      </c>
      <c r="H90" s="99">
        <f>G90+'6'!H90</f>
        <v>22.970000000001164</v>
      </c>
      <c r="I90" s="118">
        <f>G89+G90</f>
        <v>14.220000000001164</v>
      </c>
      <c r="J90" s="175">
        <f>H90/DAY(B2)</f>
        <v>3.2814285714287377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'6'!F92</f>
        <v>4853.54</v>
      </c>
      <c r="F92" s="122">
        <v>4863.6899999999996</v>
      </c>
      <c r="G92" s="112">
        <f t="shared" si="8"/>
        <v>10.149999999999636</v>
      </c>
      <c r="H92" s="99">
        <f>G92+'6'!H92</f>
        <v>71.869999999999891</v>
      </c>
      <c r="I92" s="165"/>
      <c r="J92" s="175">
        <f>H92/DAY(B2)</f>
        <v>10.267142857142842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6320.1599999999453</v>
      </c>
      <c r="H94" s="99">
        <f>G94+'6'!H94</f>
        <v>43911.860000000117</v>
      </c>
      <c r="I94" s="118"/>
      <c r="J94" s="175">
        <f>H94/DAY(B2)</f>
        <v>6273.1228571428737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0.2913547283093722</v>
      </c>
      <c r="H95" s="99">
        <f>G95+'6'!H95</f>
        <v>1.9954490385666663</v>
      </c>
      <c r="I95" s="167"/>
      <c r="J95" s="175">
        <f>H95/DAY(B2)</f>
        <v>0.2850641483666666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5341.6399999999994</v>
      </c>
      <c r="H96" s="99">
        <f>G96+'6'!H96</f>
        <v>40425.570000000014</v>
      </c>
      <c r="I96" s="118"/>
      <c r="J96" s="175">
        <f>H96/DAY(B2)</f>
        <v>5775.0814285714305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0.24624567588897878</v>
      </c>
      <c r="H97" s="99">
        <f>G97+'6'!H97</f>
        <v>1.8313929285433044</v>
      </c>
      <c r="I97" s="167"/>
      <c r="J97" s="175">
        <f>H97/DAY(B2)</f>
        <v>0.26162756122047204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2812.8600000000151</v>
      </c>
      <c r="H98" s="99">
        <f>G98+'6'!H98</f>
        <v>20031.400000000023</v>
      </c>
      <c r="I98" s="168"/>
      <c r="J98" s="175">
        <f>H98/DAY(B2)</f>
        <v>2861.6285714285746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0.12967077749175845</v>
      </c>
      <c r="H99" s="99">
        <f>G99+'6'!H99</f>
        <v>0.91085725926489469</v>
      </c>
      <c r="I99" s="168"/>
      <c r="J99" s="175">
        <f>H99/DAY(B2)</f>
        <v>0.13012246560927068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1893.2099999999919</v>
      </c>
      <c r="H100" s="99">
        <f>G100+'6'!H100</f>
        <v>12798.470000000001</v>
      </c>
      <c r="I100" s="118"/>
      <c r="J100" s="175">
        <f>H100/DAY(B2)</f>
        <v>1828.3528571428574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8.7275588779807609E-2</v>
      </c>
      <c r="H101" s="99">
        <f>G101+'6'!H101</f>
        <v>0.58168065446621953</v>
      </c>
      <c r="I101" s="168"/>
      <c r="J101" s="175">
        <f>H101/DAY(B2)</f>
        <v>8.3097236352317069E-2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1850.4100000000035</v>
      </c>
      <c r="H102" s="99">
        <f>G102+'6'!H102</f>
        <v>12585.119999999915</v>
      </c>
      <c r="I102" s="168"/>
      <c r="J102" s="175">
        <f>H102/DAY(B2)</f>
        <v>1797.8742857142736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8.5302540253878234E-2</v>
      </c>
      <c r="H103" s="99">
        <f>G103+'6'!H103</f>
        <v>0.57024088087818492</v>
      </c>
      <c r="I103" s="118"/>
      <c r="J103" s="175">
        <f>H103/DAY(B2)</f>
        <v>8.146298298259784E-2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1579.8199999999924</v>
      </c>
      <c r="H104" s="99">
        <f>G104+'6'!H104</f>
        <v>11059.699999999997</v>
      </c>
      <c r="I104" s="118"/>
      <c r="J104" s="175">
        <f>H104/DAY(B2)</f>
        <v>1579.9571428571423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7.2828540239125925E-2</v>
      </c>
      <c r="H105" s="99">
        <f>G105+'6'!H105</f>
        <v>0.50250779859371852</v>
      </c>
      <c r="I105" s="187"/>
      <c r="J105" s="188">
        <f>H105/DAY(B2)</f>
        <v>7.1786828370531214E-2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'6'!F112</f>
        <v>51384.08</v>
      </c>
      <c r="F112" s="237">
        <v>51465.59</v>
      </c>
      <c r="G112" s="112">
        <f t="shared" ref="G112:G123" si="9">F112-E112</f>
        <v>81.509999999994761</v>
      </c>
      <c r="H112" s="99">
        <f>G112+'6'!H112</f>
        <v>576.50999999999476</v>
      </c>
      <c r="I112" s="165"/>
      <c r="J112" s="348">
        <f>H112/DAY(B2)</f>
        <v>82.358571428570684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'6'!F113</f>
        <v>7059.59</v>
      </c>
      <c r="F113" s="237">
        <v>7506.26</v>
      </c>
      <c r="G113" s="112">
        <f t="shared" si="9"/>
        <v>446.67000000000007</v>
      </c>
      <c r="H113" s="99">
        <f>G113+'6'!H113</f>
        <v>3000.6100000000006</v>
      </c>
      <c r="I113" s="165"/>
      <c r="J113" s="348">
        <f>H113/DAY(B2)</f>
        <v>428.65857142857152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'6'!F114</f>
        <v>6139.58</v>
      </c>
      <c r="F114" s="237">
        <v>6400.21</v>
      </c>
      <c r="G114" s="112">
        <f t="shared" si="9"/>
        <v>260.63000000000011</v>
      </c>
      <c r="H114" s="99">
        <f>G114+'6'!H114</f>
        <v>1822.2799999999997</v>
      </c>
      <c r="I114" s="165"/>
      <c r="J114" s="348">
        <f>H114/DAY(B2)</f>
        <v>260.32571428571424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'6'!F115</f>
        <v>8136.99</v>
      </c>
      <c r="F115" s="237">
        <v>8145.03</v>
      </c>
      <c r="G115" s="112">
        <f t="shared" si="9"/>
        <v>8.0399999999999636</v>
      </c>
      <c r="H115" s="99">
        <f>G115+'6'!H115</f>
        <v>67.619999999999891</v>
      </c>
      <c r="I115" s="165"/>
      <c r="J115" s="348">
        <f>H115/DAY(B2)</f>
        <v>9.6599999999999842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'6'!F117</f>
        <v>1443.47</v>
      </c>
      <c r="F117" s="237">
        <v>1465.08</v>
      </c>
      <c r="G117" s="112">
        <f t="shared" si="9"/>
        <v>21.6099999999999</v>
      </c>
      <c r="H117" s="99">
        <f>G117+'6'!H117</f>
        <v>306.88999999999987</v>
      </c>
      <c r="I117" s="165"/>
      <c r="J117" s="348">
        <f>H117/DAY(B2)</f>
        <v>43.841428571428551</v>
      </c>
      <c r="Q117" s="793" t="s">
        <v>312</v>
      </c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'6'!F118</f>
        <v>220830.23</v>
      </c>
      <c r="F118" s="237">
        <v>221136.55</v>
      </c>
      <c r="G118" s="112">
        <f t="shared" si="9"/>
        <v>306.31999999997788</v>
      </c>
      <c r="H118" s="99">
        <f>G118+'6'!H118</f>
        <v>2284.6199999999953</v>
      </c>
      <c r="I118" s="165"/>
      <c r="J118" s="348">
        <f>H118/DAY(B2)</f>
        <v>326.37428571428507</v>
      </c>
      <c r="Q118" s="793" t="s">
        <v>311</v>
      </c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'6'!F119</f>
        <v>221402.37</v>
      </c>
      <c r="F119" s="237">
        <v>221825.11</v>
      </c>
      <c r="G119" s="112">
        <f t="shared" si="9"/>
        <v>422.73999999999069</v>
      </c>
      <c r="H119" s="99">
        <f>G119+'6'!H119</f>
        <v>3014</v>
      </c>
      <c r="I119" s="165"/>
      <c r="J119" s="348">
        <f>H119/DAY(B2)</f>
        <v>430.57142857142856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'6'!F120</f>
        <v>6967.04</v>
      </c>
      <c r="F120" s="237">
        <v>7387.26</v>
      </c>
      <c r="G120" s="112">
        <f t="shared" si="9"/>
        <v>420.22000000000025</v>
      </c>
      <c r="H120" s="99">
        <f>G120+'6'!H120</f>
        <v>3079.66</v>
      </c>
      <c r="I120" s="165"/>
      <c r="J120" s="348">
        <f>H120/DAY(B2)</f>
        <v>439.95142857142855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'6'!F121</f>
        <v>335541.93</v>
      </c>
      <c r="F121" s="237">
        <v>336235.51</v>
      </c>
      <c r="G121" s="112">
        <f t="shared" si="9"/>
        <v>693.5800000000163</v>
      </c>
      <c r="H121" s="99">
        <f>G121+'6'!H121</f>
        <v>4998</v>
      </c>
      <c r="I121" s="165"/>
      <c r="J121" s="348">
        <f>H121/DAY(B2)</f>
        <v>714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'6'!F122</f>
        <v>103357.38</v>
      </c>
      <c r="F122" s="237">
        <v>103665.27</v>
      </c>
      <c r="G122" s="112">
        <f t="shared" si="9"/>
        <v>307.88999999999942</v>
      </c>
      <c r="H122" s="99">
        <f>G122+'6'!H122</f>
        <v>2056.3899999999994</v>
      </c>
      <c r="I122" s="165"/>
      <c r="J122" s="348">
        <f>H122/DAY(B2)</f>
        <v>293.76999999999992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'6'!F123</f>
        <v>127525.53</v>
      </c>
      <c r="F123" s="237">
        <v>127819.79</v>
      </c>
      <c r="G123" s="112">
        <f t="shared" si="9"/>
        <v>294.25999999999476</v>
      </c>
      <c r="H123" s="99">
        <f>G123+'6'!H123</f>
        <v>2072.0299999999988</v>
      </c>
      <c r="I123" s="165"/>
      <c r="J123" s="348">
        <f>H123/DAY(B2)</f>
        <v>296.00428571428557</v>
      </c>
    </row>
    <row r="124" spans="1:18" ht="29.25" customHeight="1">
      <c r="A124" s="797"/>
      <c r="B124" s="798"/>
      <c r="C124" s="799"/>
      <c r="D124" s="165"/>
      <c r="E124" s="165"/>
      <c r="F124" s="165"/>
      <c r="G124" s="347"/>
      <c r="H124" s="156"/>
      <c r="I124" s="165"/>
      <c r="J124" s="348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3263.4699999999739</v>
      </c>
      <c r="H125" s="156"/>
      <c r="I125" s="347">
        <f>G125-(G39+G53)</f>
        <v>450.60999999995875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G127+'6'!H127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'6'!F128</f>
        <v>20000.41</v>
      </c>
      <c r="F128" s="165">
        <v>20320.59</v>
      </c>
      <c r="G128" s="112">
        <f t="shared" ref="G128:G134" si="10">F128-E128</f>
        <v>320.18000000000029</v>
      </c>
      <c r="H128" s="99">
        <f>G128+'6'!H128</f>
        <v>2296.869999999999</v>
      </c>
      <c r="I128" s="165"/>
      <c r="J128" s="348">
        <f>H128/DAY(B2)</f>
        <v>328.12428571428558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'6'!F129</f>
        <v>7853.58</v>
      </c>
      <c r="F129" s="165">
        <v>8055.54</v>
      </c>
      <c r="G129" s="112">
        <f t="shared" si="10"/>
        <v>201.96000000000004</v>
      </c>
      <c r="H129" s="99">
        <f>G129+'6'!H129</f>
        <v>1459.83</v>
      </c>
      <c r="I129" s="165"/>
      <c r="J129" s="348">
        <f>H129/DAY(B2)</f>
        <v>208.54714285714286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'6'!F130</f>
        <v>41376.58</v>
      </c>
      <c r="F130" s="165">
        <v>44014.79</v>
      </c>
      <c r="G130" s="112">
        <f t="shared" si="10"/>
        <v>2638.2099999999991</v>
      </c>
      <c r="H130" s="99">
        <f>G130+'6'!H130</f>
        <v>17546.760000000002</v>
      </c>
      <c r="I130" s="165"/>
      <c r="J130" s="348">
        <f>H130/DAY(B2)</f>
        <v>2506.6800000000003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'6'!F131</f>
        <v>4815.3100000000004</v>
      </c>
      <c r="F131" s="165">
        <v>4922.03</v>
      </c>
      <c r="G131" s="112">
        <f t="shared" si="10"/>
        <v>106.71999999999935</v>
      </c>
      <c r="H131" s="99">
        <f>G131+'6'!H131</f>
        <v>775.55999999999949</v>
      </c>
      <c r="I131" s="165"/>
      <c r="J131" s="348">
        <f>H131/DAY(B2)</f>
        <v>110.79428571428564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'6'!F132</f>
        <v>14475.55</v>
      </c>
      <c r="F132" s="165">
        <v>14998.16</v>
      </c>
      <c r="G132" s="112">
        <f t="shared" si="10"/>
        <v>522.61000000000058</v>
      </c>
      <c r="H132" s="99">
        <f>G132+'6'!H132</f>
        <v>3460.4400000000005</v>
      </c>
      <c r="I132" s="165"/>
      <c r="J132" s="348">
        <f>H132/DAY(B2)</f>
        <v>494.34857142857152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'6'!F133</f>
        <v>45316.89</v>
      </c>
      <c r="F133" s="165">
        <v>46149.15</v>
      </c>
      <c r="G133" s="112">
        <f t="shared" si="10"/>
        <v>832.26000000000204</v>
      </c>
      <c r="H133" s="99">
        <f>G133+'6'!H133</f>
        <v>5299.8600000000006</v>
      </c>
      <c r="I133" s="165"/>
      <c r="J133" s="348">
        <f>H133/DAY(B2)</f>
        <v>757.12285714285724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'6'!F134</f>
        <v>616963</v>
      </c>
      <c r="F134" s="165">
        <v>617583</v>
      </c>
      <c r="G134" s="112">
        <f t="shared" si="10"/>
        <v>620</v>
      </c>
      <c r="H134" s="99">
        <f>G134+'6'!H134</f>
        <v>4416</v>
      </c>
      <c r="I134" s="165"/>
      <c r="J134" s="348">
        <f>H134/DAY(B2)</f>
        <v>630.85714285714289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SUM(G128:G134)</f>
        <v>5241.9400000000014</v>
      </c>
      <c r="H135" s="99">
        <f>G135+'6'!H135</f>
        <v>35255.32</v>
      </c>
      <c r="I135" s="347">
        <f>G135-(G35+G49)</f>
        <v>1531.4800000000096</v>
      </c>
      <c r="J135" s="348" t="e">
        <f t="shared" ref="J135" si="11">H135/DAY(B54)</f>
        <v>#DIV/0!</v>
      </c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'6'!F138</f>
        <v>859993</v>
      </c>
      <c r="F138" s="147">
        <v>860038</v>
      </c>
      <c r="G138" s="112">
        <f t="shared" ref="G138:G152" si="12">F138-E138</f>
        <v>45</v>
      </c>
      <c r="H138" s="99">
        <f>G138+'6'!H138</f>
        <v>391</v>
      </c>
      <c r="I138" s="118"/>
      <c r="J138" s="348">
        <f>H138/DAY(B2)</f>
        <v>55.857142857142854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'6'!F139</f>
        <v>886106</v>
      </c>
      <c r="F139" s="148">
        <v>886107</v>
      </c>
      <c r="G139" s="112">
        <f t="shared" si="12"/>
        <v>1</v>
      </c>
      <c r="H139" s="99">
        <f>G139+'6'!H139</f>
        <v>5</v>
      </c>
      <c r="I139" s="118"/>
      <c r="J139" s="348">
        <f>H139/DAY(B2)</f>
        <v>0.7142857142857143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'6'!F140</f>
        <v>88824.2</v>
      </c>
      <c r="F140" s="149">
        <v>88825.4</v>
      </c>
      <c r="G140" s="112">
        <f t="shared" si="12"/>
        <v>1.1999999999970896</v>
      </c>
      <c r="H140" s="99">
        <f>G140+'6'!H140</f>
        <v>8.3999999999941792</v>
      </c>
      <c r="I140" s="118"/>
      <c r="J140" s="348">
        <f>H140/DAY(B2)</f>
        <v>1.1999999999991684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'6'!F141</f>
        <v>38430.97</v>
      </c>
      <c r="F141" s="149">
        <v>38629.870000000003</v>
      </c>
      <c r="G141" s="112">
        <f t="shared" si="12"/>
        <v>198.90000000000146</v>
      </c>
      <c r="H141" s="99">
        <f>G141+'6'!H141</f>
        <v>1341.9200000000055</v>
      </c>
      <c r="I141" s="118"/>
      <c r="J141" s="348">
        <f>H141/DAY(B2)</f>
        <v>191.70285714285794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'6'!F142</f>
        <v>17059.37</v>
      </c>
      <c r="F142" s="148">
        <v>17076.02</v>
      </c>
      <c r="G142" s="112">
        <f t="shared" si="12"/>
        <v>16.650000000001455</v>
      </c>
      <c r="H142" s="99">
        <f>G142+'6'!H142</f>
        <v>114.15000000000146</v>
      </c>
      <c r="I142" s="140"/>
      <c r="J142" s="348">
        <f>H142/DAY(B2)</f>
        <v>16.307142857143067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'6'!F143</f>
        <v>1527.21</v>
      </c>
      <c r="F143" s="149">
        <v>1546.31</v>
      </c>
      <c r="G143" s="112">
        <f t="shared" si="12"/>
        <v>19.099999999999909</v>
      </c>
      <c r="H143" s="99">
        <f>G143+'6'!H143</f>
        <v>163.12999999999988</v>
      </c>
      <c r="I143" s="140"/>
      <c r="J143" s="348">
        <f>H143/DAY(B2)</f>
        <v>23.304285714285697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'6'!F144</f>
        <v>856722</v>
      </c>
      <c r="F144" s="149">
        <v>856955</v>
      </c>
      <c r="G144" s="112">
        <f t="shared" si="12"/>
        <v>233</v>
      </c>
      <c r="H144" s="99">
        <f>G144+'6'!H144</f>
        <v>1586</v>
      </c>
      <c r="I144" s="140"/>
      <c r="J144" s="348">
        <f>H144/DAY(B2)</f>
        <v>226.57142857142858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'6'!F145</f>
        <v>2428.4499999999998</v>
      </c>
      <c r="F145" s="149">
        <v>2465.7199999999998</v>
      </c>
      <c r="G145" s="112">
        <f t="shared" si="12"/>
        <v>37.269999999999982</v>
      </c>
      <c r="H145" s="99">
        <f>G145+'6'!H145</f>
        <v>252.7199999999998</v>
      </c>
      <c r="I145" s="140"/>
      <c r="J145" s="348">
        <f>H145/DAY(B2)</f>
        <v>36.102857142857111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'6'!F146</f>
        <v>700758</v>
      </c>
      <c r="F146" s="148">
        <v>701159</v>
      </c>
      <c r="G146" s="112">
        <f t="shared" si="12"/>
        <v>401</v>
      </c>
      <c r="H146" s="99">
        <f>G146+'6'!H146</f>
        <v>2640</v>
      </c>
      <c r="I146" s="140"/>
      <c r="J146" s="348">
        <f>H146/DAY(B2)</f>
        <v>377.14285714285717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'6'!F147</f>
        <v>591237</v>
      </c>
      <c r="F147" s="148">
        <v>591654</v>
      </c>
      <c r="G147" s="112">
        <f t="shared" si="12"/>
        <v>417</v>
      </c>
      <c r="H147" s="99">
        <f>G147+'6'!H147</f>
        <v>2743.0799999999581</v>
      </c>
      <c r="I147" s="140"/>
      <c r="J147" s="348">
        <f>H147/DAY(B2)</f>
        <v>391.86857142856542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'6'!F148</f>
        <v>666474</v>
      </c>
      <c r="F148" s="150">
        <v>666728.52</v>
      </c>
      <c r="G148" s="112">
        <f t="shared" si="12"/>
        <v>254.52000000001863</v>
      </c>
      <c r="H148" s="99">
        <f>G148+'6'!H148</f>
        <v>1620.4000000000233</v>
      </c>
      <c r="I148" s="124"/>
      <c r="J148" s="348">
        <f>H148/DAY(B2)</f>
        <v>231.48571428571762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'6'!F149</f>
        <v>86750</v>
      </c>
      <c r="F149" s="146">
        <v>87124</v>
      </c>
      <c r="G149" s="112">
        <f t="shared" si="12"/>
        <v>374</v>
      </c>
      <c r="H149" s="99">
        <f>G149+'6'!H149</f>
        <v>2377</v>
      </c>
      <c r="I149" s="119"/>
      <c r="J149" s="348">
        <f>H149/DAY(B2)</f>
        <v>339.57142857142856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'6'!F150</f>
        <v>7167232</v>
      </c>
      <c r="F150" s="233">
        <v>7167232</v>
      </c>
      <c r="G150" s="112">
        <f t="shared" si="12"/>
        <v>0</v>
      </c>
      <c r="H150" s="99">
        <f>G150+'6'!H150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'6'!F151</f>
        <v>64493</v>
      </c>
      <c r="F151" s="233">
        <v>64752</v>
      </c>
      <c r="G151" s="112">
        <f t="shared" si="12"/>
        <v>259</v>
      </c>
      <c r="H151" s="99">
        <f>G151+'6'!H151</f>
        <v>1742</v>
      </c>
      <c r="I151" s="119"/>
      <c r="J151" s="348">
        <f>H151/DAY(B2)</f>
        <v>248.85714285714286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'6'!F152</f>
        <v>0</v>
      </c>
      <c r="F152" s="233">
        <v>0</v>
      </c>
      <c r="G152" s="112">
        <f t="shared" si="12"/>
        <v>0</v>
      </c>
      <c r="H152" s="99">
        <f>G152+'6'!H152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2257.6400000000185</v>
      </c>
      <c r="H153" s="383"/>
      <c r="I153" s="119">
        <f>G153-(G38+G52)</f>
        <v>364.43000000002667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'6'!F155</f>
        <v>77312.7</v>
      </c>
      <c r="F155" s="394">
        <v>77320.800000000003</v>
      </c>
      <c r="G155" s="112">
        <f t="shared" ref="G155:G156" si="13">F155-E155</f>
        <v>8.1000000000058208</v>
      </c>
      <c r="H155" s="99">
        <f>G155+'6'!H155</f>
        <v>46.19999999999709</v>
      </c>
      <c r="I155" s="384"/>
      <c r="J155" s="348">
        <f>H155/DAY(B2)</f>
        <v>6.599999999999584</v>
      </c>
    </row>
    <row r="156" spans="1:10" ht="27.75">
      <c r="A156" s="771" t="s">
        <v>346</v>
      </c>
      <c r="B156" s="771"/>
      <c r="C156" s="771"/>
      <c r="D156" s="117" t="s">
        <v>130</v>
      </c>
      <c r="E156" s="95">
        <f>'6'!F156</f>
        <v>0</v>
      </c>
      <c r="F156" s="165">
        <v>0</v>
      </c>
      <c r="G156" s="112">
        <f t="shared" si="13"/>
        <v>0</v>
      </c>
      <c r="H156" s="99">
        <f>G156+'6'!H156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'6'!F158</f>
        <v>469723.16</v>
      </c>
      <c r="F158" s="235">
        <v>469729.56</v>
      </c>
      <c r="G158" s="238">
        <f t="shared" ref="G158:G162" si="14">F158-E158</f>
        <v>6.4000000000232831</v>
      </c>
      <c r="H158" s="99">
        <f>G158+'6'!H158</f>
        <v>200.52000000001863</v>
      </c>
      <c r="I158" s="236"/>
      <c r="J158" s="239">
        <f>H158/DAY(B2)</f>
        <v>28.645714285716945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'6'!F159</f>
        <v>85861.4</v>
      </c>
      <c r="F159" s="235">
        <v>85867.6</v>
      </c>
      <c r="G159" s="238">
        <f t="shared" si="14"/>
        <v>6.2000000000116415</v>
      </c>
      <c r="H159" s="99">
        <f>G159+'6'!H159</f>
        <v>162</v>
      </c>
      <c r="I159" s="236"/>
      <c r="J159" s="239">
        <f>H159/DAY(B2)</f>
        <v>23.142857142857142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'6'!F160</f>
        <v>73679.5</v>
      </c>
      <c r="F160" s="235">
        <v>73718.5</v>
      </c>
      <c r="G160" s="238">
        <f t="shared" si="14"/>
        <v>39</v>
      </c>
      <c r="H160" s="99">
        <f>G160+'6'!H160</f>
        <v>381.60000000000582</v>
      </c>
      <c r="I160" s="236"/>
      <c r="J160" s="239">
        <f>H160/DAY(B2)</f>
        <v>54.514285714286544</v>
      </c>
    </row>
    <row r="161" spans="1:10" ht="30" customHeight="1">
      <c r="A161" s="242" t="s">
        <v>197</v>
      </c>
      <c r="B161" s="243"/>
      <c r="C161" s="243"/>
      <c r="D161" s="244" t="s">
        <v>180</v>
      </c>
      <c r="E161" s="95">
        <f>'6'!F161</f>
        <v>3974.8</v>
      </c>
      <c r="F161" s="235">
        <v>3974.8</v>
      </c>
      <c r="G161" s="238">
        <f t="shared" si="14"/>
        <v>0</v>
      </c>
      <c r="H161" s="99">
        <f>G161+'6'!H161</f>
        <v>1.3000000000001819</v>
      </c>
      <c r="I161" s="236"/>
      <c r="J161" s="239">
        <f>H161/DAY(B2)</f>
        <v>0.1857142857143117</v>
      </c>
    </row>
    <row r="162" spans="1:10" ht="28.5" customHeight="1">
      <c r="A162" s="242" t="s">
        <v>309</v>
      </c>
      <c r="B162" s="243"/>
      <c r="C162" s="243"/>
      <c r="D162" s="244" t="s">
        <v>180</v>
      </c>
      <c r="E162" s="95">
        <f>'6'!F162</f>
        <v>29249.13</v>
      </c>
      <c r="F162" s="235">
        <v>29249.599999999999</v>
      </c>
      <c r="G162" s="238">
        <f t="shared" si="14"/>
        <v>0.46999999999752617</v>
      </c>
      <c r="H162" s="99">
        <f>G162+'6'!H162</f>
        <v>51.459999999999127</v>
      </c>
      <c r="I162" s="236"/>
      <c r="J162" s="239">
        <f>H162/DAY(B2)</f>
        <v>7.3514285714284471</v>
      </c>
    </row>
    <row r="163" spans="1:10" ht="25.5" customHeight="1">
      <c r="A163" s="780"/>
      <c r="B163" s="780"/>
      <c r="C163" s="247"/>
      <c r="D163" s="244" t="s">
        <v>180</v>
      </c>
      <c r="E163" s="95">
        <f>'6'!F163</f>
        <v>0</v>
      </c>
      <c r="F163" s="165"/>
      <c r="G163" s="165"/>
      <c r="H163" s="99">
        <f>G163+'6'!H163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'6'!F164</f>
        <v>0</v>
      </c>
      <c r="F164" s="165"/>
      <c r="G164" s="165"/>
      <c r="H164" s="99">
        <f>G164+'6'!H164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'6'!F165</f>
        <v>0</v>
      </c>
      <c r="F165" s="165"/>
      <c r="G165" s="165"/>
      <c r="H165" s="99">
        <f>G165+'6'!H165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'6'!F170</f>
        <v>8021</v>
      </c>
      <c r="F170" s="155">
        <v>8021</v>
      </c>
      <c r="G170" s="155">
        <f>F170-E170</f>
        <v>0</v>
      </c>
      <c r="H170" s="99">
        <f>G170+'6'!H170</f>
        <v>23</v>
      </c>
      <c r="I170" s="155"/>
      <c r="J170" s="178">
        <f>H170/DAY(B2)</f>
        <v>3.2857142857142856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'6'!F171</f>
        <v>37452</v>
      </c>
      <c r="F171" s="157">
        <v>37465</v>
      </c>
      <c r="G171" s="155">
        <f t="shared" ref="G171:G172" si="15">F171-E171</f>
        <v>13</v>
      </c>
      <c r="H171" s="99">
        <f>G171+'6'!H171</f>
        <v>82</v>
      </c>
      <c r="I171" s="155"/>
      <c r="J171" s="178">
        <f>H171/DAY(B2)</f>
        <v>11.714285714285714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'6'!F172</f>
        <v>20844</v>
      </c>
      <c r="F172" s="155">
        <v>20857</v>
      </c>
      <c r="G172" s="155">
        <f t="shared" si="15"/>
        <v>13</v>
      </c>
      <c r="H172" s="99">
        <f>G172+'6'!H172</f>
        <v>69</v>
      </c>
      <c r="I172" s="155"/>
      <c r="J172" s="178">
        <f>H172/DAY(B2)</f>
        <v>9.8571428571428577</v>
      </c>
    </row>
    <row r="173" spans="1:10" ht="27.75">
      <c r="A173" s="669" t="s">
        <v>196</v>
      </c>
      <c r="B173" s="670"/>
      <c r="C173" s="353"/>
      <c r="D173" s="228" t="s">
        <v>142</v>
      </c>
      <c r="E173" s="95"/>
      <c r="F173" s="155"/>
      <c r="G173" s="155">
        <f>SUM(G170:G172)</f>
        <v>26</v>
      </c>
      <c r="H173" s="99">
        <f>G173+'6'!H173</f>
        <v>174</v>
      </c>
      <c r="I173" s="155"/>
      <c r="J173" s="178">
        <f>H173/DAY(B2)</f>
        <v>24.857142857142858</v>
      </c>
    </row>
    <row r="174" spans="1:10" ht="27.75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G174+'6'!H174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'6'!F175</f>
        <v>75120</v>
      </c>
      <c r="F175" s="155">
        <v>75209</v>
      </c>
      <c r="G175" s="155">
        <f>F175-E175</f>
        <v>89</v>
      </c>
      <c r="H175" s="99">
        <f>G175+'6'!H175</f>
        <v>590</v>
      </c>
      <c r="I175" s="155"/>
      <c r="J175" s="178">
        <f>H175/DAY(B2)</f>
        <v>84.285714285714292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'6'!F176</f>
        <v>33886</v>
      </c>
      <c r="F176" s="155">
        <v>33886</v>
      </c>
      <c r="G176" s="155">
        <f t="shared" ref="G176:G177" si="16">F176-E176</f>
        <v>0</v>
      </c>
      <c r="H176" s="99">
        <f>G176+'6'!H176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'6'!F177</f>
        <v>5092</v>
      </c>
      <c r="F177" s="155">
        <v>5094</v>
      </c>
      <c r="G177" s="155">
        <f t="shared" si="16"/>
        <v>2</v>
      </c>
      <c r="H177" s="99">
        <f>G177+'6'!H177</f>
        <v>53</v>
      </c>
      <c r="I177" s="155"/>
      <c r="J177" s="178">
        <f>H177/DAY(B2)</f>
        <v>7.5714285714285712</v>
      </c>
    </row>
    <row r="178" spans="1:10" ht="27.75">
      <c r="A178" s="788" t="s">
        <v>108</v>
      </c>
      <c r="B178" s="789"/>
      <c r="C178" s="353"/>
      <c r="D178" s="228" t="s">
        <v>142</v>
      </c>
      <c r="E178" s="95"/>
      <c r="F178" s="155"/>
      <c r="G178" s="155">
        <f>SUM(G175:G177)</f>
        <v>91</v>
      </c>
      <c r="H178" s="99">
        <f>G178+'6'!H178</f>
        <v>643</v>
      </c>
      <c r="I178" s="155"/>
      <c r="J178" s="178">
        <f>H178/DAY(B2)</f>
        <v>91.857142857142861</v>
      </c>
    </row>
    <row r="179" spans="1:10" ht="27.75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G179+'6'!H179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'6'!F180</f>
        <v>14130</v>
      </c>
      <c r="F180" s="157">
        <v>14151</v>
      </c>
      <c r="G180" s="157">
        <f>F180-E180</f>
        <v>21</v>
      </c>
      <c r="H180" s="99">
        <f>G180+'6'!H180</f>
        <v>120</v>
      </c>
      <c r="I180" s="155"/>
      <c r="J180" s="178">
        <f>H180/DAY(B2)</f>
        <v>17.142857142857142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'6'!F181</f>
        <v>9810</v>
      </c>
      <c r="F181" s="157">
        <v>9820</v>
      </c>
      <c r="G181" s="157">
        <f t="shared" ref="G181:G182" si="17">F181-E181</f>
        <v>10</v>
      </c>
      <c r="H181" s="99">
        <f>G181+'6'!H181</f>
        <v>66</v>
      </c>
      <c r="I181" s="155"/>
      <c r="J181" s="178">
        <f>H181/DAY(B2)</f>
        <v>9.4285714285714288</v>
      </c>
    </row>
    <row r="182" spans="1:10" ht="27.75">
      <c r="A182" s="786" t="s">
        <v>216</v>
      </c>
      <c r="B182" s="787"/>
      <c r="C182" s="354"/>
      <c r="D182" s="228" t="s">
        <v>142</v>
      </c>
      <c r="E182" s="95">
        <f>'6'!F182</f>
        <v>0</v>
      </c>
      <c r="F182" s="157"/>
      <c r="G182" s="157">
        <f t="shared" si="17"/>
        <v>0</v>
      </c>
      <c r="H182" s="99">
        <f>G182+'6'!H182</f>
        <v>0</v>
      </c>
      <c r="I182" s="155"/>
      <c r="J182" s="178">
        <f>H182/DAY(B2)</f>
        <v>0</v>
      </c>
    </row>
    <row r="183" spans="1:10" ht="27.75">
      <c r="A183" s="775" t="s">
        <v>196</v>
      </c>
      <c r="B183" s="776"/>
      <c r="C183" s="354"/>
      <c r="D183" s="228" t="s">
        <v>142</v>
      </c>
      <c r="E183" s="95"/>
      <c r="F183" s="157"/>
      <c r="G183" s="157">
        <f>SUM(G180:G182)</f>
        <v>31</v>
      </c>
      <c r="H183" s="99">
        <f>G183+'6'!H183</f>
        <v>186</v>
      </c>
      <c r="I183" s="157"/>
      <c r="J183" s="178">
        <f>H183/DAY(B2)</f>
        <v>26.571428571428573</v>
      </c>
    </row>
    <row r="184" spans="1:10" ht="27.75">
      <c r="A184" s="777" t="s">
        <v>217</v>
      </c>
      <c r="B184" s="778"/>
      <c r="C184" s="353"/>
      <c r="D184" s="228" t="s">
        <v>142</v>
      </c>
      <c r="E184" s="95"/>
      <c r="F184" s="159"/>
      <c r="G184" s="524">
        <f>G62+G19</f>
        <v>192</v>
      </c>
      <c r="H184" s="99">
        <f>G184+'6'!H184</f>
        <v>1196</v>
      </c>
      <c r="I184" s="158"/>
      <c r="J184" s="179">
        <f>H184/DAY(B2)</f>
        <v>170.85714285714286</v>
      </c>
    </row>
    <row r="185" spans="1:10" ht="27.75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182</v>
      </c>
      <c r="H185" s="99">
        <f>G185+'6'!H185</f>
        <v>1212</v>
      </c>
      <c r="I185" s="158"/>
      <c r="J185" s="179">
        <f>H185/DAY(B2)</f>
        <v>173.14285714285714</v>
      </c>
    </row>
    <row r="186" spans="1:10" ht="27.75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91</v>
      </c>
      <c r="H186" s="99">
        <f>G186+'6'!H186</f>
        <v>643</v>
      </c>
      <c r="I186" s="158"/>
      <c r="J186" s="179">
        <f>H186/DAY(B2)</f>
        <v>91.857142857142861</v>
      </c>
    </row>
    <row r="187" spans="1:10" ht="27.75">
      <c r="A187" s="784"/>
      <c r="B187" s="785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</sheetData>
  <mergeCells count="111">
    <mergeCell ref="A168:J168"/>
    <mergeCell ref="A169:B169"/>
    <mergeCell ref="A170:B170"/>
    <mergeCell ref="A171:B171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2:C172"/>
    <mergeCell ref="A178:B178"/>
    <mergeCell ref="A164:B164"/>
    <mergeCell ref="A165:B165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81:B181"/>
    <mergeCell ref="A180:B180"/>
    <mergeCell ref="A179:B179"/>
    <mergeCell ref="A150:C150"/>
    <mergeCell ref="A151:C151"/>
    <mergeCell ref="A152:C152"/>
    <mergeCell ref="A157:J157"/>
    <mergeCell ref="A163:B163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67"/>
  <sheetViews>
    <sheetView view="pageBreakPreview" zoomScale="55" zoomScaleSheetLayoutView="55" workbookViewId="0">
      <selection activeCell="I153" sqref="I15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356</v>
      </c>
      <c r="B2" s="266">
        <v>44508</v>
      </c>
      <c r="C2" s="36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'7'!F7</f>
        <v>840449.35</v>
      </c>
      <c r="F7" s="95">
        <v>862101.35</v>
      </c>
      <c r="G7" s="112">
        <f>F7-E7</f>
        <v>21652</v>
      </c>
      <c r="H7" s="99">
        <f>G7+'7'!H7</f>
        <v>175838.04999999993</v>
      </c>
      <c r="I7" s="113">
        <f>'1'!I7</f>
        <v>12000</v>
      </c>
      <c r="J7" s="175">
        <f>H7/DAY(B2)</f>
        <v>21979.756249999991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'7'!F8</f>
        <v>870223.59</v>
      </c>
      <c r="F8" s="114">
        <v>892195.83</v>
      </c>
      <c r="G8" s="115">
        <f>F8-E8</f>
        <v>21972.239999999991</v>
      </c>
      <c r="H8" s="99">
        <f>G8+'7'!H8</f>
        <v>179031.92999999993</v>
      </c>
      <c r="I8" s="116"/>
      <c r="J8" s="175">
        <f>H8/DAY(B2)</f>
        <v>22378.991249999992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'7'!F9</f>
        <v>1354715.2</v>
      </c>
      <c r="F9" s="117">
        <v>1367789.3</v>
      </c>
      <c r="G9" s="112">
        <f>F9-E9</f>
        <v>13074.100000000093</v>
      </c>
      <c r="H9" s="99">
        <f>G9+'7'!H9</f>
        <v>106510.80000000005</v>
      </c>
      <c r="I9" s="124">
        <f>I7-J7</f>
        <v>-9979.7562499999913</v>
      </c>
      <c r="J9" s="175">
        <f>H9/DAY(B2)</f>
        <v>13313.850000000006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'7'!F10</f>
        <v>225030.21</v>
      </c>
      <c r="F10" s="117">
        <v>233034.37</v>
      </c>
      <c r="G10" s="112">
        <f t="shared" ref="G10:G12" si="0">F10-E10</f>
        <v>8004.1600000000035</v>
      </c>
      <c r="H10" s="99">
        <f>G10+'7'!H10</f>
        <v>64650.44</v>
      </c>
      <c r="I10" s="286"/>
      <c r="J10" s="175">
        <f>H10/DAY(B2)</f>
        <v>8081.3050000000003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21078.260000000097</v>
      </c>
      <c r="H13" s="99">
        <f>G13+'7'!H13</f>
        <v>150354.78000000003</v>
      </c>
      <c r="I13" s="120">
        <f>G7-G13</f>
        <v>573.73999999990338</v>
      </c>
      <c r="J13" s="175">
        <f>H13/DAY(B2)</f>
        <v>18794.347500000003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'7'!F15</f>
        <v>1822321.17</v>
      </c>
      <c r="F15" s="123">
        <v>1823330.92</v>
      </c>
      <c r="G15" s="112">
        <f>(F15-E15)</f>
        <v>1009.75</v>
      </c>
      <c r="H15" s="99">
        <f>G15+'7'!H15</f>
        <v>7663.9599999999627</v>
      </c>
      <c r="I15" s="113">
        <f>'1'!I15</f>
        <v>800</v>
      </c>
      <c r="J15" s="175">
        <f>H15/DAY(B2)</f>
        <v>957.99499999999534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-157.99499999999534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'7'!F18</f>
        <v>20</v>
      </c>
      <c r="F18" s="122">
        <v>20</v>
      </c>
      <c r="G18" s="119">
        <f>F18*10</f>
        <v>200</v>
      </c>
      <c r="H18" s="99">
        <f>G18+'7'!H18</f>
        <v>1530</v>
      </c>
      <c r="I18" s="113">
        <f>'1'!I18</f>
        <v>65</v>
      </c>
      <c r="J18" s="175">
        <f>H18/DAY(B2)</f>
        <v>191.25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'7'!F19</f>
        <v>149321</v>
      </c>
      <c r="F19" s="122">
        <v>149379</v>
      </c>
      <c r="G19" s="112">
        <f t="shared" ref="G19" si="1">F19-E19</f>
        <v>58</v>
      </c>
      <c r="H19" s="99">
        <f>G19+'7'!H19</f>
        <v>462</v>
      </c>
      <c r="I19" s="355"/>
      <c r="J19" s="175">
        <f>H19/DAY(B2)</f>
        <v>57.75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G20+'7'!H20</f>
        <v>1992</v>
      </c>
      <c r="I20" s="356">
        <f>I18-J20</f>
        <v>-184</v>
      </c>
      <c r="J20" s="175">
        <f>H20/DAY(B2)</f>
        <v>249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21972.239999999991</v>
      </c>
      <c r="F27" s="136">
        <v>9</v>
      </c>
      <c r="G27" s="137">
        <f>E27*F27</f>
        <v>197750.15999999992</v>
      </c>
      <c r="H27" s="99">
        <f>G27+'7'!H27</f>
        <v>1611287.3699999994</v>
      </c>
      <c r="I27" s="138"/>
      <c r="J27" s="175">
        <f>H27/DAY(B2)</f>
        <v>201410.92124999993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1009.75</v>
      </c>
      <c r="F28" s="136">
        <v>52</v>
      </c>
      <c r="G28" s="137">
        <f>E28*F28</f>
        <v>52507</v>
      </c>
      <c r="H28" s="99">
        <f>G28+'7'!H28</f>
        <v>398525.91999999806</v>
      </c>
      <c r="I28" s="140"/>
      <c r="J28" s="175">
        <f>H28/DAY(B2)</f>
        <v>49815.739999999758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G30+'7'!H30</f>
        <v>67452</v>
      </c>
      <c r="I30" s="140"/>
      <c r="J30" s="175">
        <f>H30/DAY(B2)</f>
        <v>8431.5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G31+'7'!H31</f>
        <v>122400</v>
      </c>
      <c r="I31" s="140"/>
      <c r="J31" s="175">
        <f>H31/DAY(B2)</f>
        <v>15300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274725.15999999992</v>
      </c>
      <c r="H32" s="99">
        <f>G32+'7'!H32</f>
        <v>2199665.2899999972</v>
      </c>
      <c r="I32" s="144"/>
      <c r="J32" s="175">
        <f>H32/DAY(B2)</f>
        <v>274958.16124999966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'7'!F35</f>
        <v>46156.81</v>
      </c>
      <c r="F35" s="145">
        <v>48282.73</v>
      </c>
      <c r="G35" s="112">
        <f t="shared" ref="G35:G46" si="3">F35-E35</f>
        <v>2125.9200000000055</v>
      </c>
      <c r="H35" s="99">
        <f>G35+'7'!H35</f>
        <v>15808.060000000005</v>
      </c>
      <c r="I35" s="95"/>
      <c r="J35" s="175">
        <f>H35/DAY(B2)</f>
        <v>1976.0075000000006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'7'!F36</f>
        <v>55185.51</v>
      </c>
      <c r="F36" s="145">
        <v>56009.17</v>
      </c>
      <c r="G36" s="112">
        <f t="shared" si="3"/>
        <v>823.65999999999622</v>
      </c>
      <c r="H36" s="99">
        <f>G36+'7'!H36</f>
        <v>6069.5</v>
      </c>
      <c r="I36" s="95"/>
      <c r="J36" s="175">
        <f>H36/DAY(B2)</f>
        <v>758.6875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'7'!F37</f>
        <v>108113.53</v>
      </c>
      <c r="F37" s="145">
        <v>109702.67</v>
      </c>
      <c r="G37" s="112">
        <f t="shared" si="3"/>
        <v>1589.1399999999994</v>
      </c>
      <c r="H37" s="99">
        <f>G37+'7'!H37</f>
        <v>12648.839999999997</v>
      </c>
      <c r="I37" s="95"/>
      <c r="J37" s="175">
        <f>H37/DAY(B2)</f>
        <v>1581.1049999999996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'7'!F38</f>
        <v>128021.51</v>
      </c>
      <c r="F38" s="108">
        <v>129807.38</v>
      </c>
      <c r="G38" s="112">
        <f t="shared" si="3"/>
        <v>1785.8700000000099</v>
      </c>
      <c r="H38" s="99">
        <f>G38+'7'!H38</f>
        <v>14584.340000000011</v>
      </c>
      <c r="I38" s="95"/>
      <c r="J38" s="175">
        <f>H38/DAY(B2)</f>
        <v>1823.0425000000014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'7'!F39</f>
        <v>253412.45</v>
      </c>
      <c r="F39" s="145">
        <v>256303.67</v>
      </c>
      <c r="G39" s="112">
        <f t="shared" si="3"/>
        <v>2891.2200000000012</v>
      </c>
      <c r="H39" s="99">
        <f>G39+'7'!H39</f>
        <v>22922.620000000024</v>
      </c>
      <c r="I39" s="95"/>
      <c r="J39" s="175">
        <f>H39/DAY(B2)</f>
        <v>2865.3275000000031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'7'!F40</f>
        <v>42.22</v>
      </c>
      <c r="F40" s="145">
        <v>58.82</v>
      </c>
      <c r="G40" s="112">
        <f t="shared" si="3"/>
        <v>16.600000000000001</v>
      </c>
      <c r="H40" s="99">
        <f>G40+'7'!H40</f>
        <v>33.450000000000003</v>
      </c>
      <c r="I40" s="95"/>
      <c r="J40" s="175">
        <f>H40/DAY(B2)</f>
        <v>4.1812500000000004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'7'!F41</f>
        <v>582546.71</v>
      </c>
      <c r="F41" s="145">
        <v>582546.71</v>
      </c>
      <c r="G41" s="112">
        <f t="shared" si="3"/>
        <v>0</v>
      </c>
      <c r="H41" s="99">
        <f>G41+'7'!H41</f>
        <v>687.88000000000466</v>
      </c>
      <c r="I41" s="95"/>
      <c r="J41" s="175">
        <f>H41/DAY(B2)</f>
        <v>85.985000000000582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'7'!F42</f>
        <v>273305.25</v>
      </c>
      <c r="F42" s="145">
        <v>273305.25</v>
      </c>
      <c r="G42" s="112">
        <f t="shared" si="3"/>
        <v>0</v>
      </c>
      <c r="H42" s="99">
        <f>G42+'7'!H42</f>
        <v>2335.5800000000163</v>
      </c>
      <c r="I42" s="95"/>
      <c r="J42" s="175">
        <f>H42/DAY(B2)</f>
        <v>291.94750000000204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'7'!F43</f>
        <v>1464993.3</v>
      </c>
      <c r="F43" s="145">
        <v>1467601.1</v>
      </c>
      <c r="G43" s="112">
        <f t="shared" si="3"/>
        <v>2607.8000000000466</v>
      </c>
      <c r="H43" s="99">
        <f>G43+'7'!H43</f>
        <v>21513.700000000186</v>
      </c>
      <c r="I43" s="95"/>
      <c r="J43" s="175">
        <f>H43/DAY(B2)</f>
        <v>2689.2125000000233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11840.210000000059</v>
      </c>
      <c r="H47" s="99">
        <f>G47+'7'!H47</f>
        <v>96603.970000000234</v>
      </c>
      <c r="I47" s="95"/>
      <c r="J47" s="175">
        <f>H47/DAY(B2)</f>
        <v>12075.496250000029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'7'!F49</f>
        <v>184054.21</v>
      </c>
      <c r="F49" s="145">
        <v>185776.23</v>
      </c>
      <c r="G49" s="112">
        <f t="shared" ref="G49:G58" si="4">F49-E49</f>
        <v>1722.0200000000186</v>
      </c>
      <c r="H49" s="99">
        <f>G49+'7'!H49</f>
        <v>13045.839999999997</v>
      </c>
      <c r="I49" s="95"/>
      <c r="J49" s="175">
        <f>H49/DAY(B2)</f>
        <v>1630.7299999999996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'7'!F50</f>
        <v>691701.59</v>
      </c>
      <c r="F50" s="145">
        <v>692722.39</v>
      </c>
      <c r="G50" s="112">
        <f t="shared" si="4"/>
        <v>1020.8000000000466</v>
      </c>
      <c r="H50" s="99">
        <f>G50+'7'!H50</f>
        <v>8360.0799999999581</v>
      </c>
      <c r="I50" s="95"/>
      <c r="J50" s="175">
        <f>H50/DAY(B2)</f>
        <v>1045.0099999999948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'7'!F54</f>
        <v>2902.38</v>
      </c>
      <c r="F54" s="145">
        <v>2908.57</v>
      </c>
      <c r="G54" s="112">
        <f t="shared" si="4"/>
        <v>6.1900000000000546</v>
      </c>
      <c r="H54" s="99">
        <f>G54+'7'!H54</f>
        <v>41.080000000000382</v>
      </c>
      <c r="I54" s="95"/>
      <c r="J54" s="175">
        <f>H54/DAY(B2)</f>
        <v>5.1350000000000477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'7'!F55</f>
        <v>0</v>
      </c>
      <c r="F55" s="145">
        <v>0</v>
      </c>
      <c r="G55" s="112">
        <f t="shared" si="4"/>
        <v>0</v>
      </c>
      <c r="H55" s="99">
        <f>G55+'7'!H55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'7'!F56</f>
        <v>80242.399999999994</v>
      </c>
      <c r="F56" s="145">
        <v>85424.22</v>
      </c>
      <c r="G56" s="112">
        <f t="shared" si="4"/>
        <v>5181.820000000007</v>
      </c>
      <c r="H56" s="99">
        <f>G56+'7'!H56</f>
        <v>42583.93</v>
      </c>
      <c r="I56" s="95"/>
      <c r="J56" s="175">
        <f>H56/DAY(B2)</f>
        <v>5322.99125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'7'!F58</f>
        <v>80384.13</v>
      </c>
      <c r="F58" s="145">
        <v>80589.509999999995</v>
      </c>
      <c r="G58" s="112">
        <f t="shared" si="4"/>
        <v>205.3799999999901</v>
      </c>
      <c r="H58" s="99">
        <f>G58+'7'!H58</f>
        <v>1569.6100000000006</v>
      </c>
      <c r="I58" s="95"/>
      <c r="J58" s="175">
        <f>H58/DAY(B2)</f>
        <v>196.20125000000007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8136.2100000000628</v>
      </c>
      <c r="H59" s="99">
        <f>G59+'7'!H59</f>
        <v>65600.539999999964</v>
      </c>
      <c r="I59" s="95">
        <f>G7-G60</f>
        <v>1675.5799999998781</v>
      </c>
      <c r="J59" s="175">
        <f>H59/DAY(B2)</f>
        <v>8200.0674999999956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19976.420000000122</v>
      </c>
      <c r="H60" s="99">
        <f>G60+'7'!H60</f>
        <v>162204.51000000021</v>
      </c>
      <c r="I60" s="95">
        <f>G13-G60</f>
        <v>1101.8399999999747</v>
      </c>
      <c r="J60" s="175">
        <f>H60/DAY(B2)</f>
        <v>20275.563750000027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'7'!F62</f>
        <v>260610</v>
      </c>
      <c r="F62" s="122">
        <v>260728</v>
      </c>
      <c r="G62" s="112">
        <f t="shared" ref="G62:G63" si="5">F62-E62</f>
        <v>118</v>
      </c>
      <c r="H62" s="99">
        <f>G62+'7'!H62</f>
        <v>910</v>
      </c>
      <c r="I62" s="118"/>
      <c r="J62" s="175">
        <f>H62/DAY(B2)</f>
        <v>113.75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'7'!F63</f>
        <v>206988</v>
      </c>
      <c r="F63" s="122">
        <v>207095</v>
      </c>
      <c r="G63" s="112">
        <f t="shared" si="5"/>
        <v>107</v>
      </c>
      <c r="H63" s="99">
        <f>G63+'7'!H63</f>
        <v>825</v>
      </c>
      <c r="I63" s="118"/>
      <c r="J63" s="175">
        <f>H63/DAY(B2)</f>
        <v>103.125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'7'!F64</f>
        <v>0</v>
      </c>
      <c r="F64" s="122"/>
      <c r="G64" s="112">
        <f>G62+G63</f>
        <v>225</v>
      </c>
      <c r="H64" s="99">
        <f>G64+'7'!H64</f>
        <v>1735</v>
      </c>
      <c r="I64" s="118"/>
      <c r="J64" s="175">
        <f>H64/DAY(B2)</f>
        <v>216.875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'7'!F65</f>
        <v>426889</v>
      </c>
      <c r="F65" s="122">
        <v>426985</v>
      </c>
      <c r="G65" s="112">
        <f t="shared" ref="G65:G70" si="6">F65-E65</f>
        <v>96</v>
      </c>
      <c r="H65" s="99">
        <f>G65+'7'!H65</f>
        <v>780</v>
      </c>
      <c r="I65" s="118"/>
      <c r="J65" s="175">
        <f>H65/DAY(B2)</f>
        <v>97.5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'7'!F66</f>
        <v>106121</v>
      </c>
      <c r="F66" s="122">
        <v>106148</v>
      </c>
      <c r="G66" s="112">
        <f t="shared" si="6"/>
        <v>27</v>
      </c>
      <c r="H66" s="99">
        <f>G66+'7'!H66</f>
        <v>178</v>
      </c>
      <c r="I66" s="118"/>
      <c r="J66" s="175">
        <f>H66/DAY(B2)</f>
        <v>22.25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'7'!F67</f>
        <v>102365</v>
      </c>
      <c r="F67" s="122">
        <v>102394</v>
      </c>
      <c r="G67" s="112">
        <f t="shared" si="6"/>
        <v>29</v>
      </c>
      <c r="H67" s="99">
        <f>G67+'7'!H67</f>
        <v>223</v>
      </c>
      <c r="I67" s="118"/>
      <c r="J67" s="175">
        <f>H67/DAY(B2)</f>
        <v>27.875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'7'!F68</f>
        <v>154705</v>
      </c>
      <c r="F68" s="122">
        <v>154735</v>
      </c>
      <c r="G68" s="112">
        <f t="shared" si="6"/>
        <v>30</v>
      </c>
      <c r="H68" s="99">
        <f>G68+'7'!H68</f>
        <v>239</v>
      </c>
      <c r="I68" s="118"/>
      <c r="J68" s="175">
        <f>H68/DAY(B2)</f>
        <v>29.875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'7'!F69</f>
        <v>9565</v>
      </c>
      <c r="F69" s="122">
        <v>9577</v>
      </c>
      <c r="G69" s="112">
        <f t="shared" si="6"/>
        <v>12</v>
      </c>
      <c r="H69" s="99">
        <f>G69+'7'!H69</f>
        <v>112</v>
      </c>
      <c r="I69" s="118"/>
      <c r="J69" s="175">
        <f>H69/DAY(B2)</f>
        <v>14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'7'!F70</f>
        <v>7286</v>
      </c>
      <c r="F70" s="122">
        <v>7294</v>
      </c>
      <c r="G70" s="112">
        <f t="shared" si="6"/>
        <v>8</v>
      </c>
      <c r="H70" s="99">
        <f>G70+'7'!H70</f>
        <v>91</v>
      </c>
      <c r="I70" s="118"/>
      <c r="J70" s="175">
        <f>H70/DAY(B2)</f>
        <v>11.375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202</v>
      </c>
      <c r="H71" s="99">
        <f>G71+'7'!H71</f>
        <v>1623</v>
      </c>
      <c r="I71" s="154"/>
      <c r="J71" s="175">
        <f>H71/DAY(B2)</f>
        <v>202.875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'7'!F74</f>
        <v>875629.29</v>
      </c>
      <c r="F74" s="123">
        <v>875916.44</v>
      </c>
      <c r="G74" s="112">
        <f t="shared" ref="G74:G78" si="7">F74-E74</f>
        <v>287.14999999990687</v>
      </c>
      <c r="H74" s="99">
        <f>G74+'7'!H74</f>
        <v>2331.2089999999152</v>
      </c>
      <c r="I74" s="154"/>
      <c r="J74" s="175">
        <f>H74/DAY(B2)</f>
        <v>291.40112499998941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3.4000000000087311</v>
      </c>
      <c r="I75" s="154"/>
      <c r="J75" s="175">
        <f>H75/DAY(B2)</f>
        <v>0.42500000000109139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'7'!F76</f>
        <v>160638.98000000001</v>
      </c>
      <c r="F76" s="123">
        <v>160731.4</v>
      </c>
      <c r="G76" s="112">
        <f t="shared" si="7"/>
        <v>92.419999999983702</v>
      </c>
      <c r="H76" s="99">
        <f>G76+'7'!H76</f>
        <v>745.89999999999418</v>
      </c>
      <c r="I76" s="154"/>
      <c r="J76" s="175">
        <f>H76/DAY(B2)</f>
        <v>93.237499999999272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'7'!F77</f>
        <v>37782</v>
      </c>
      <c r="F77" s="123">
        <v>37823</v>
      </c>
      <c r="G77" s="112">
        <f t="shared" si="7"/>
        <v>41</v>
      </c>
      <c r="H77" s="99">
        <f>G77+'7'!H77</f>
        <v>325.5</v>
      </c>
      <c r="I77" s="154"/>
      <c r="J77" s="175">
        <f>H77/DAY(B2)</f>
        <v>40.6875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'7'!F78</f>
        <v>9345.2999999999993</v>
      </c>
      <c r="F78" s="123">
        <v>9346.7000000000007</v>
      </c>
      <c r="G78" s="112">
        <f t="shared" si="7"/>
        <v>1.4000000000014552</v>
      </c>
      <c r="H78" s="99">
        <f>G78+'7'!H78</f>
        <v>17.300000000001091</v>
      </c>
      <c r="I78" s="118"/>
      <c r="J78" s="175">
        <f>H78/DAY(B2)</f>
        <v>2.1625000000001364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'7'!F79</f>
        <v>0</v>
      </c>
      <c r="F79" s="117"/>
      <c r="G79" s="112">
        <f>G15-SUM(G74:G78)</f>
        <v>587.78000000010798</v>
      </c>
      <c r="H79" s="99">
        <f>G79+'7'!H79</f>
        <v>4240.6510000000435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1009.75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'7'!F84</f>
        <v>41589.089999999997</v>
      </c>
      <c r="F84" s="164">
        <v>41589.089999999997</v>
      </c>
      <c r="G84" s="112">
        <f t="shared" si="8"/>
        <v>0</v>
      </c>
      <c r="H84" s="99">
        <f>G84+'7'!H84</f>
        <v>3.5299999999988358</v>
      </c>
      <c r="I84" s="118"/>
      <c r="J84" s="175">
        <f>H84/DAY(B2)</f>
        <v>0.44124999999985448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'7'!F85</f>
        <v>1317.51</v>
      </c>
      <c r="F85" s="164">
        <v>1317.51</v>
      </c>
      <c r="G85" s="112">
        <f t="shared" si="8"/>
        <v>0</v>
      </c>
      <c r="H85" s="99">
        <f>G85+'7'!H85</f>
        <v>12.509999999999991</v>
      </c>
      <c r="I85" s="118">
        <f>G82+G83+G84+G85</f>
        <v>0</v>
      </c>
      <c r="J85" s="175">
        <f>H85/DAY(B2)</f>
        <v>1.5637499999999989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'7'!F86</f>
        <v>42826.47</v>
      </c>
      <c r="F86" s="164">
        <v>42826.47</v>
      </c>
      <c r="G86" s="112">
        <f t="shared" si="8"/>
        <v>0</v>
      </c>
      <c r="H86" s="99">
        <f>G86+'7'!H86</f>
        <v>0.47000000000116415</v>
      </c>
      <c r="I86" s="118"/>
      <c r="J86" s="175">
        <f>H86/DAY(B2)</f>
        <v>5.8750000000145519E-2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'7'!F87</f>
        <v>33917.49</v>
      </c>
      <c r="F87" s="164">
        <v>33941.550000000003</v>
      </c>
      <c r="G87" s="112">
        <f t="shared" si="8"/>
        <v>24.060000000004948</v>
      </c>
      <c r="H87" s="99">
        <f>G87+'7'!H87</f>
        <v>193.55000000000291</v>
      </c>
      <c r="I87" s="118"/>
      <c r="J87" s="175">
        <f>H87/DAY(B2)</f>
        <v>24.193750000000364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'7'!F88</f>
        <v>23868.55</v>
      </c>
      <c r="F88" s="164">
        <v>23868.55</v>
      </c>
      <c r="G88" s="112">
        <f t="shared" si="8"/>
        <v>0</v>
      </c>
      <c r="H88" s="99">
        <f>G88+'7'!H88</f>
        <v>34.979999999999563</v>
      </c>
      <c r="I88" s="118">
        <f>G86+G87+G88</f>
        <v>24.060000000004948</v>
      </c>
      <c r="J88" s="175">
        <f>H88/DAY(B2)</f>
        <v>4.3724999999999454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'7'!F89</f>
        <v>25274.87</v>
      </c>
      <c r="F89" s="164">
        <v>25284.799999999999</v>
      </c>
      <c r="G89" s="112">
        <f t="shared" si="8"/>
        <v>9.930000000000291</v>
      </c>
      <c r="H89" s="99">
        <f>G89+'7'!H89</f>
        <v>39.419999999998254</v>
      </c>
      <c r="I89" s="118"/>
      <c r="J89" s="175">
        <f>H89/DAY(B2)</f>
        <v>4.9274999999997817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'7'!F90</f>
        <v>70678.38</v>
      </c>
      <c r="F90" s="164">
        <v>70685.210000000006</v>
      </c>
      <c r="G90" s="112">
        <f t="shared" si="8"/>
        <v>6.8300000000017462</v>
      </c>
      <c r="H90" s="99">
        <f>G90+'7'!H90</f>
        <v>29.80000000000291</v>
      </c>
      <c r="I90" s="118">
        <f>G89+G90</f>
        <v>16.760000000002037</v>
      </c>
      <c r="J90" s="175">
        <f>H90/DAY(B2)</f>
        <v>3.7250000000003638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'7'!F92</f>
        <v>4863.6899999999996</v>
      </c>
      <c r="F92" s="122">
        <v>4873.76</v>
      </c>
      <c r="G92" s="112">
        <f t="shared" si="8"/>
        <v>10.070000000000618</v>
      </c>
      <c r="H92" s="99">
        <f>G92+'7'!H92</f>
        <v>81.940000000000509</v>
      </c>
      <c r="I92" s="165"/>
      <c r="J92" s="175">
        <f>H92/DAY(B2)</f>
        <v>10.242500000000064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6455.7400000000707</v>
      </c>
      <c r="H94" s="99">
        <f>G94+'7'!H94</f>
        <v>50367.600000000188</v>
      </c>
      <c r="I94" s="118"/>
      <c r="J94" s="175">
        <f>H94/DAY(B2)</f>
        <v>6295.9500000000235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0.29815906151856969</v>
      </c>
      <c r="H95" s="99">
        <f>G95+'7'!H95</f>
        <v>2.293608100085236</v>
      </c>
      <c r="I95" s="167"/>
      <c r="J95" s="175">
        <f>H95/DAY(B2)</f>
        <v>0.2867010125106545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5181.820000000007</v>
      </c>
      <c r="H96" s="99">
        <f>G96+'7'!H96</f>
        <v>45607.390000000021</v>
      </c>
      <c r="I96" s="118"/>
      <c r="J96" s="175">
        <f>H96/DAY(B2)</f>
        <v>5700.9237500000027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0.23932292628856489</v>
      </c>
      <c r="H97" s="99">
        <f>G97+'7'!H97</f>
        <v>2.0707158548318692</v>
      </c>
      <c r="I97" s="167"/>
      <c r="J97" s="175">
        <f>H97/DAY(B2)</f>
        <v>0.25883948185398364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2891.2200000000012</v>
      </c>
      <c r="H98" s="99">
        <f>G98+'7'!H98</f>
        <v>22922.620000000024</v>
      </c>
      <c r="I98" s="168"/>
      <c r="J98" s="175">
        <f>H98/DAY(B2)</f>
        <v>2865.3275000000031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0.13353131350452618</v>
      </c>
      <c r="H99" s="99">
        <f>G99+'7'!H99</f>
        <v>1.0443885727694209</v>
      </c>
      <c r="I99" s="168"/>
      <c r="J99" s="175">
        <f>H99/DAY(B2)</f>
        <v>0.13054857159617761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1785.8700000000099</v>
      </c>
      <c r="H100" s="99">
        <f>G100+'7'!H100</f>
        <v>14584.340000000011</v>
      </c>
      <c r="I100" s="118"/>
      <c r="J100" s="175">
        <f>H100/DAY(B2)</f>
        <v>1823.0425000000014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8.2480602253833815E-2</v>
      </c>
      <c r="H101" s="99">
        <f>G101+'7'!H101</f>
        <v>0.66416125672005333</v>
      </c>
      <c r="I101" s="168"/>
      <c r="J101" s="175">
        <f>H101/DAY(B2)</f>
        <v>8.3020157090006666E-2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1844.4600000000428</v>
      </c>
      <c r="H102" s="99">
        <f>G102+'7'!H102</f>
        <v>14429.579999999958</v>
      </c>
      <c r="I102" s="168"/>
      <c r="J102" s="175">
        <f>H102/DAY(B2)</f>
        <v>1803.6974999999948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8.5186587844081049E-2</v>
      </c>
      <c r="H103" s="99">
        <f>G103+'7'!H103</f>
        <v>0.65542746872226598</v>
      </c>
      <c r="I103" s="118"/>
      <c r="J103" s="175">
        <f>H103/DAY(B2)</f>
        <v>8.1928433590283248E-2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1589.1399999999994</v>
      </c>
      <c r="H104" s="99">
        <f>G104+'7'!H104</f>
        <v>12648.839999999997</v>
      </c>
      <c r="I104" s="118"/>
      <c r="J104" s="175">
        <f>H104/DAY(B2)</f>
        <v>1581.1049999999996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7.3394605579161248E-2</v>
      </c>
      <c r="H105" s="99">
        <f>G105+'7'!H105</f>
        <v>0.57590240417287974</v>
      </c>
      <c r="I105" s="187"/>
      <c r="J105" s="188">
        <f>H105/DAY(B2)</f>
        <v>7.1987800521609968E-2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'7'!F112</f>
        <v>51465.59</v>
      </c>
      <c r="F112" s="237">
        <v>51549.15</v>
      </c>
      <c r="G112" s="112">
        <f t="shared" ref="G112:G123" si="9">F112-E112</f>
        <v>83.560000000004948</v>
      </c>
      <c r="H112" s="99">
        <f>G112+'7'!H112</f>
        <v>660.06999999999971</v>
      </c>
      <c r="I112" s="165"/>
      <c r="J112" s="348">
        <f>H112/DAY(B2)</f>
        <v>82.508749999999964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'7'!F113</f>
        <v>7506.26</v>
      </c>
      <c r="F113" s="237">
        <v>7968.47</v>
      </c>
      <c r="G113" s="112">
        <f t="shared" si="9"/>
        <v>462.21000000000004</v>
      </c>
      <c r="H113" s="99">
        <f>G113+'7'!H113</f>
        <v>3462.8200000000006</v>
      </c>
      <c r="I113" s="165"/>
      <c r="J113" s="348">
        <f>H113/DAY(B2)</f>
        <v>432.85250000000008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'7'!F114</f>
        <v>6400.21</v>
      </c>
      <c r="F114" s="237">
        <v>6664.63</v>
      </c>
      <c r="G114" s="112">
        <f t="shared" si="9"/>
        <v>264.42000000000007</v>
      </c>
      <c r="H114" s="99">
        <f>G114+'7'!H114</f>
        <v>2086.6999999999998</v>
      </c>
      <c r="I114" s="165"/>
      <c r="J114" s="348">
        <f>H114/DAY(B2)</f>
        <v>260.83749999999998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'7'!F115</f>
        <v>8145.03</v>
      </c>
      <c r="F115" s="237">
        <v>8157.08</v>
      </c>
      <c r="G115" s="112">
        <f t="shared" si="9"/>
        <v>12.050000000000182</v>
      </c>
      <c r="H115" s="99">
        <f>G115+'7'!H115</f>
        <v>79.670000000000073</v>
      </c>
      <c r="I115" s="165"/>
      <c r="J115" s="348">
        <f>H115/DAY(B2)</f>
        <v>9.9587500000000091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'7'!F117</f>
        <v>1465.08</v>
      </c>
      <c r="F117" s="237">
        <v>1486.87</v>
      </c>
      <c r="G117" s="112">
        <f t="shared" si="9"/>
        <v>21.789999999999964</v>
      </c>
      <c r="H117" s="99">
        <f>G117+'7'!H117</f>
        <v>328.67999999999984</v>
      </c>
      <c r="I117" s="165"/>
      <c r="J117" s="348">
        <f>H117/DAY(B2)</f>
        <v>41.08499999999998</v>
      </c>
      <c r="Q117" s="793" t="s">
        <v>312</v>
      </c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'7'!F118</f>
        <v>221136.55</v>
      </c>
      <c r="F118" s="237">
        <v>221489.89</v>
      </c>
      <c r="G118" s="112">
        <f t="shared" si="9"/>
        <v>353.34000000002561</v>
      </c>
      <c r="H118" s="99">
        <f>G118+'7'!H118</f>
        <v>2637.960000000021</v>
      </c>
      <c r="I118" s="165"/>
      <c r="J118" s="348">
        <f>H118/DAY(B2)</f>
        <v>329.74500000000262</v>
      </c>
      <c r="Q118" s="793" t="s">
        <v>311</v>
      </c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'7'!F119</f>
        <v>221825.11</v>
      </c>
      <c r="F119" s="237">
        <v>222235.55</v>
      </c>
      <c r="G119" s="112">
        <f t="shared" si="9"/>
        <v>410.44000000000233</v>
      </c>
      <c r="H119" s="99">
        <f>G119+'7'!H119</f>
        <v>3424.4400000000023</v>
      </c>
      <c r="I119" s="165"/>
      <c r="J119" s="348">
        <f>H119/DAY(B2)</f>
        <v>428.05500000000029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'7'!F120</f>
        <v>7387.26</v>
      </c>
      <c r="F120" s="237">
        <v>7814.45</v>
      </c>
      <c r="G120" s="112">
        <f t="shared" si="9"/>
        <v>427.1899999999996</v>
      </c>
      <c r="H120" s="99">
        <f>G120+'7'!H120</f>
        <v>3506.8499999999995</v>
      </c>
      <c r="I120" s="165"/>
      <c r="J120" s="348">
        <f>H120/DAY(B2)</f>
        <v>438.35624999999993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'7'!F121</f>
        <v>336235.51</v>
      </c>
      <c r="F121" s="237">
        <v>336953.15</v>
      </c>
      <c r="G121" s="112">
        <f t="shared" si="9"/>
        <v>717.64000000001397</v>
      </c>
      <c r="H121" s="99">
        <f>G121+'7'!H121</f>
        <v>5715.640000000014</v>
      </c>
      <c r="I121" s="165"/>
      <c r="J121" s="348">
        <f>H121/DAY(B2)</f>
        <v>714.45500000000175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'7'!F122</f>
        <v>103665.27</v>
      </c>
      <c r="F122" s="237">
        <v>103988.37</v>
      </c>
      <c r="G122" s="112">
        <f t="shared" si="9"/>
        <v>323.09999999999127</v>
      </c>
      <c r="H122" s="99">
        <f>G122+'7'!H122</f>
        <v>2379.4899999999907</v>
      </c>
      <c r="I122" s="165"/>
      <c r="J122" s="348">
        <f>H122/DAY(B2)</f>
        <v>297.43624999999884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'7'!F123</f>
        <v>127819.79</v>
      </c>
      <c r="F123" s="237">
        <v>128116.47</v>
      </c>
      <c r="G123" s="112">
        <f t="shared" si="9"/>
        <v>296.68000000000757</v>
      </c>
      <c r="H123" s="99">
        <f>G123+'7'!H123</f>
        <v>2368.7100000000064</v>
      </c>
      <c r="I123" s="165"/>
      <c r="J123" s="348">
        <f>H123/DAY(B2)</f>
        <v>296.0887500000008</v>
      </c>
    </row>
    <row r="124" spans="1:18" ht="29.25" customHeight="1">
      <c r="A124" s="797"/>
      <c r="B124" s="798"/>
      <c r="C124" s="799"/>
      <c r="D124" s="165"/>
      <c r="E124" s="165"/>
      <c r="F124" s="165"/>
      <c r="G124" s="347"/>
      <c r="H124" s="156"/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3372.4200000000455</v>
      </c>
      <c r="H125" s="156"/>
      <c r="I125" s="347">
        <f>G125-(G39+G53)</f>
        <v>481.20000000004438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G127+'7'!H127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'7'!F128</f>
        <v>20320.59</v>
      </c>
      <c r="F128" s="165">
        <v>20651.55</v>
      </c>
      <c r="G128" s="112">
        <f t="shared" ref="G128:G134" si="10">F128-E128</f>
        <v>330.95999999999913</v>
      </c>
      <c r="H128" s="99">
        <f>G128+'7'!H128</f>
        <v>2627.8299999999981</v>
      </c>
      <c r="I128" s="165"/>
      <c r="J128" s="348">
        <f>H128/DAY(B2)</f>
        <v>328.47874999999976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'7'!F129</f>
        <v>8055.54</v>
      </c>
      <c r="F129" s="165">
        <v>8307.8700000000008</v>
      </c>
      <c r="G129" s="112">
        <f t="shared" si="10"/>
        <v>252.33000000000084</v>
      </c>
      <c r="H129" s="99">
        <f>G129+'7'!H129</f>
        <v>1712.1600000000008</v>
      </c>
      <c r="I129" s="165"/>
      <c r="J129" s="348">
        <f>H129/DAY(B2)</f>
        <v>214.0200000000001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'7'!F130</f>
        <v>44014.79</v>
      </c>
      <c r="F130" s="165">
        <v>46690.32</v>
      </c>
      <c r="G130" s="112">
        <f t="shared" si="10"/>
        <v>2675.5299999999988</v>
      </c>
      <c r="H130" s="99">
        <f>G130+'7'!H130</f>
        <v>20222.29</v>
      </c>
      <c r="I130" s="165"/>
      <c r="J130" s="348">
        <f>H130/DAY(B2)</f>
        <v>2527.7862500000001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'7'!F131</f>
        <v>4922.03</v>
      </c>
      <c r="F131" s="165">
        <v>5105.82</v>
      </c>
      <c r="G131" s="112">
        <f t="shared" si="10"/>
        <v>183.78999999999996</v>
      </c>
      <c r="H131" s="99">
        <f>G131+'7'!H131</f>
        <v>959.34999999999945</v>
      </c>
      <c r="I131" s="165"/>
      <c r="J131" s="348">
        <f>H131/DAY(B2)</f>
        <v>119.91874999999993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'7'!F132</f>
        <v>14998.16</v>
      </c>
      <c r="F132" s="165">
        <v>15514.42</v>
      </c>
      <c r="G132" s="112">
        <f t="shared" si="10"/>
        <v>516.26000000000022</v>
      </c>
      <c r="H132" s="99">
        <f>G132+'7'!H132</f>
        <v>3976.7000000000007</v>
      </c>
      <c r="I132" s="165"/>
      <c r="J132" s="348">
        <f>H132/DAY(B2)</f>
        <v>497.08750000000009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'7'!F133</f>
        <v>46149.15</v>
      </c>
      <c r="F133" s="165">
        <v>46929.34</v>
      </c>
      <c r="G133" s="112">
        <f t="shared" si="10"/>
        <v>780.18999999999505</v>
      </c>
      <c r="H133" s="99">
        <f>G133+'7'!H133</f>
        <v>6080.0499999999956</v>
      </c>
      <c r="I133" s="165"/>
      <c r="J133" s="348">
        <f>H133/DAY(B2)</f>
        <v>760.00624999999945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'7'!F134</f>
        <v>617583</v>
      </c>
      <c r="F134" s="165">
        <v>618203</v>
      </c>
      <c r="G134" s="112">
        <f t="shared" si="10"/>
        <v>620</v>
      </c>
      <c r="H134" s="99">
        <f>G134+'7'!H134</f>
        <v>5036</v>
      </c>
      <c r="I134" s="165"/>
      <c r="J134" s="348">
        <f>H134/DAY(B2)</f>
        <v>629.5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SUM(G128:G134)</f>
        <v>5359.059999999994</v>
      </c>
      <c r="H135" s="99">
        <f>G135+'7'!H135</f>
        <v>40614.37999999999</v>
      </c>
      <c r="I135" s="347">
        <f>G135-(G35+G49)</f>
        <v>1511.1199999999699</v>
      </c>
      <c r="J135" s="348" t="e">
        <f t="shared" ref="J135" si="11">H135/DAY(B54)</f>
        <v>#DIV/0!</v>
      </c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'7'!F138</f>
        <v>860038</v>
      </c>
      <c r="F138" s="147">
        <v>860070</v>
      </c>
      <c r="G138" s="112">
        <f t="shared" ref="G138:G152" si="12">F138-E138</f>
        <v>32</v>
      </c>
      <c r="H138" s="99">
        <f>G138+'7'!H138</f>
        <v>423</v>
      </c>
      <c r="I138" s="118"/>
      <c r="J138" s="348">
        <f>H138/DAY(B2)</f>
        <v>52.875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'7'!F139</f>
        <v>886107</v>
      </c>
      <c r="F139" s="148">
        <v>886108</v>
      </c>
      <c r="G139" s="112">
        <f t="shared" si="12"/>
        <v>1</v>
      </c>
      <c r="H139" s="99">
        <f>G139+'7'!H139</f>
        <v>6</v>
      </c>
      <c r="I139" s="118"/>
      <c r="J139" s="348">
        <f>H139/DAY(B2)</f>
        <v>0.75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'7'!F140</f>
        <v>88825.4</v>
      </c>
      <c r="F140" s="149">
        <v>88826.5</v>
      </c>
      <c r="G140" s="112">
        <f t="shared" si="12"/>
        <v>1.1000000000058208</v>
      </c>
      <c r="H140" s="99">
        <f>G140+'7'!H140</f>
        <v>9.5</v>
      </c>
      <c r="I140" s="118"/>
      <c r="J140" s="348">
        <f>H140/DAY(B2)</f>
        <v>1.1875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'7'!F141</f>
        <v>38629.870000000003</v>
      </c>
      <c r="F141" s="149">
        <v>38793.35</v>
      </c>
      <c r="G141" s="112">
        <f t="shared" si="12"/>
        <v>163.47999999999593</v>
      </c>
      <c r="H141" s="99">
        <f>G141+'7'!H141</f>
        <v>1505.4000000000015</v>
      </c>
      <c r="I141" s="118"/>
      <c r="J141" s="348">
        <f>H141/DAY(B2)</f>
        <v>188.17500000000018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'7'!F142</f>
        <v>17076.02</v>
      </c>
      <c r="F142" s="148">
        <v>17091.61</v>
      </c>
      <c r="G142" s="112">
        <f t="shared" si="12"/>
        <v>15.590000000000146</v>
      </c>
      <c r="H142" s="99">
        <f>G142+'7'!H142</f>
        <v>129.7400000000016</v>
      </c>
      <c r="I142" s="140"/>
      <c r="J142" s="348">
        <f>H142/DAY(B2)</f>
        <v>16.2175000000002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'7'!F143</f>
        <v>1546.31</v>
      </c>
      <c r="F143" s="149">
        <v>1574.13</v>
      </c>
      <c r="G143" s="112">
        <f t="shared" si="12"/>
        <v>27.820000000000164</v>
      </c>
      <c r="H143" s="99">
        <f>G143+'7'!H143</f>
        <v>190.95000000000005</v>
      </c>
      <c r="I143" s="140"/>
      <c r="J143" s="348">
        <f>H143/DAY(B2)</f>
        <v>23.868750000000006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'7'!F144</f>
        <v>856955</v>
      </c>
      <c r="F144" s="149">
        <v>857181</v>
      </c>
      <c r="G144" s="112">
        <f t="shared" si="12"/>
        <v>226</v>
      </c>
      <c r="H144" s="99">
        <f>G144+'7'!H144</f>
        <v>1812</v>
      </c>
      <c r="I144" s="140"/>
      <c r="J144" s="348">
        <f>H144/DAY(B2)</f>
        <v>226.5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'7'!F145</f>
        <v>2465.7199999999998</v>
      </c>
      <c r="F145" s="149">
        <v>2504.73</v>
      </c>
      <c r="G145" s="112">
        <f t="shared" si="12"/>
        <v>39.010000000000218</v>
      </c>
      <c r="H145" s="99">
        <f>G145+'7'!H145</f>
        <v>291.73</v>
      </c>
      <c r="I145" s="140"/>
      <c r="J145" s="348">
        <f>H145/DAY(B2)</f>
        <v>36.466250000000002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'7'!F146</f>
        <v>701159</v>
      </c>
      <c r="F146" s="148">
        <v>701548</v>
      </c>
      <c r="G146" s="112">
        <f t="shared" si="12"/>
        <v>389</v>
      </c>
      <c r="H146" s="99">
        <f>G146+'7'!H146</f>
        <v>3029</v>
      </c>
      <c r="I146" s="140"/>
      <c r="J146" s="348">
        <f>H146/DAY(B2)</f>
        <v>378.625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'7'!F147</f>
        <v>591654</v>
      </c>
      <c r="F147" s="148">
        <v>592057.56000000006</v>
      </c>
      <c r="G147" s="112">
        <f t="shared" si="12"/>
        <v>403.56000000005588</v>
      </c>
      <c r="H147" s="99">
        <f>G147+'7'!H147</f>
        <v>3146.640000000014</v>
      </c>
      <c r="I147" s="140"/>
      <c r="J147" s="348">
        <f>H147/DAY(B2)</f>
        <v>393.33000000000175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'7'!F148</f>
        <v>666728.52</v>
      </c>
      <c r="F148" s="150">
        <v>666969.64</v>
      </c>
      <c r="G148" s="112">
        <f t="shared" si="12"/>
        <v>241.11999999999534</v>
      </c>
      <c r="H148" s="99">
        <f>G148+'7'!H148</f>
        <v>1861.5200000000186</v>
      </c>
      <c r="I148" s="124"/>
      <c r="J148" s="348">
        <f>H148/DAY(B2)</f>
        <v>232.69000000000233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'7'!F149</f>
        <v>87124</v>
      </c>
      <c r="F149" s="146">
        <v>87487</v>
      </c>
      <c r="G149" s="112">
        <f t="shared" si="12"/>
        <v>363</v>
      </c>
      <c r="H149" s="99">
        <f>G149+'7'!H149</f>
        <v>2740</v>
      </c>
      <c r="I149" s="119"/>
      <c r="J149" s="348">
        <f>H149/DAY(B2)</f>
        <v>342.5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'7'!F150</f>
        <v>7167232</v>
      </c>
      <c r="F150" s="233">
        <v>7167232</v>
      </c>
      <c r="G150" s="112">
        <f t="shared" si="12"/>
        <v>0</v>
      </c>
      <c r="H150" s="99">
        <f>G150+'7'!H150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'7'!F151</f>
        <v>64752</v>
      </c>
      <c r="F151" s="233">
        <v>64987</v>
      </c>
      <c r="G151" s="112">
        <f t="shared" si="12"/>
        <v>235</v>
      </c>
      <c r="H151" s="99">
        <f>G151+'7'!H151</f>
        <v>1977</v>
      </c>
      <c r="I151" s="119"/>
      <c r="J151" s="348">
        <f>H151/DAY(B2)</f>
        <v>247.125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'7'!F152</f>
        <v>0</v>
      </c>
      <c r="F152" s="233">
        <v>0</v>
      </c>
      <c r="G152" s="112">
        <f t="shared" si="12"/>
        <v>0</v>
      </c>
      <c r="H152" s="99">
        <f>G152+'7'!H152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2137.6800000000535</v>
      </c>
      <c r="H153" s="383"/>
      <c r="I153" s="119">
        <f>G153-(G38+G52)</f>
        <v>351.8100000000436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'7'!F155</f>
        <v>77320.800000000003</v>
      </c>
      <c r="F155" s="394">
        <v>77328.7</v>
      </c>
      <c r="G155" s="112">
        <f t="shared" ref="G155:G156" si="13">F155-E155</f>
        <v>7.8999999999941792</v>
      </c>
      <c r="H155" s="99">
        <f>G155+'7'!H155</f>
        <v>54.099999999991269</v>
      </c>
      <c r="I155" s="384"/>
      <c r="J155" s="348">
        <f>H155/DAY(B2)</f>
        <v>6.7624999999989086</v>
      </c>
    </row>
    <row r="156" spans="1:10" ht="27.75">
      <c r="A156" s="771" t="s">
        <v>346</v>
      </c>
      <c r="B156" s="771"/>
      <c r="C156" s="771"/>
      <c r="D156" s="117" t="s">
        <v>130</v>
      </c>
      <c r="E156" s="95">
        <f>'7'!F156</f>
        <v>0</v>
      </c>
      <c r="F156" s="165">
        <v>0</v>
      </c>
      <c r="G156" s="112">
        <f t="shared" si="13"/>
        <v>0</v>
      </c>
      <c r="H156" s="99">
        <f>G156+'7'!H156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'7'!F158</f>
        <v>469729.56</v>
      </c>
      <c r="F158" s="235">
        <v>469735.96</v>
      </c>
      <c r="G158" s="238">
        <f t="shared" ref="G158:G162" si="14">F158-E158</f>
        <v>6.4000000000232831</v>
      </c>
      <c r="H158" s="99">
        <f>G158+'7'!H158</f>
        <v>206.92000000004191</v>
      </c>
      <c r="I158" s="236"/>
      <c r="J158" s="239">
        <f>H158/DAY(B2)</f>
        <v>25.865000000005239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'7'!F159</f>
        <v>85867.6</v>
      </c>
      <c r="F159" s="235">
        <v>85899.3</v>
      </c>
      <c r="G159" s="238">
        <f t="shared" si="14"/>
        <v>31.69999999999709</v>
      </c>
      <c r="H159" s="99">
        <f>G159+'7'!H159</f>
        <v>193.69999999999709</v>
      </c>
      <c r="I159" s="236"/>
      <c r="J159" s="239">
        <f>H159/DAY(B2)</f>
        <v>24.212499999999636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'7'!F160</f>
        <v>73718.5</v>
      </c>
      <c r="F160" s="235">
        <v>73779.3</v>
      </c>
      <c r="G160" s="238">
        <f t="shared" si="14"/>
        <v>60.80000000000291</v>
      </c>
      <c r="H160" s="99">
        <f>G160+'7'!H160</f>
        <v>442.40000000000873</v>
      </c>
      <c r="I160" s="236"/>
      <c r="J160" s="239">
        <f>H160/DAY(B2)</f>
        <v>55.300000000001091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'7'!F161</f>
        <v>3974.8</v>
      </c>
      <c r="F161" s="235">
        <v>3981</v>
      </c>
      <c r="G161" s="238">
        <f t="shared" si="14"/>
        <v>6.1999999999998181</v>
      </c>
      <c r="H161" s="99">
        <f>G161+'7'!H161</f>
        <v>7.5</v>
      </c>
      <c r="I161" s="236"/>
      <c r="J161" s="239">
        <f>H161/DAY(B2)</f>
        <v>0.9375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'7'!F162</f>
        <v>29249.599999999999</v>
      </c>
      <c r="F162" s="235">
        <v>29259</v>
      </c>
      <c r="G162" s="238">
        <f t="shared" si="14"/>
        <v>9.4000000000014552</v>
      </c>
      <c r="H162" s="99">
        <f>G162+'7'!H162</f>
        <v>60.860000000000582</v>
      </c>
      <c r="I162" s="236"/>
      <c r="J162" s="239">
        <f>H162/DAY(B2)</f>
        <v>7.6075000000000728</v>
      </c>
    </row>
    <row r="163" spans="1:10" ht="29.25">
      <c r="A163" s="780"/>
      <c r="B163" s="780"/>
      <c r="C163" s="247"/>
      <c r="D163" s="244" t="s">
        <v>180</v>
      </c>
      <c r="E163" s="95">
        <f>'7'!F163</f>
        <v>0</v>
      </c>
      <c r="F163" s="165"/>
      <c r="G163" s="165"/>
      <c r="H163" s="99">
        <f>G163+'7'!H163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'7'!F164</f>
        <v>0</v>
      </c>
      <c r="F164" s="165"/>
      <c r="G164" s="165"/>
      <c r="H164" s="99">
        <f>G164+'7'!H164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'7'!F165</f>
        <v>0</v>
      </c>
      <c r="F165" s="165"/>
      <c r="G165" s="165"/>
      <c r="H165" s="99">
        <f>G165+'7'!H165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'7'!F170</f>
        <v>8021</v>
      </c>
      <c r="F170" s="155">
        <v>8021</v>
      </c>
      <c r="G170" s="155">
        <f>F170-E170</f>
        <v>0</v>
      </c>
      <c r="H170" s="99">
        <f>G170+'7'!H170</f>
        <v>23</v>
      </c>
      <c r="I170" s="155"/>
      <c r="J170" s="178">
        <f>H170/DAY(B2)</f>
        <v>2.875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'7'!F171</f>
        <v>37465</v>
      </c>
      <c r="F171" s="157">
        <v>37479</v>
      </c>
      <c r="G171" s="155">
        <f t="shared" ref="G171:G172" si="15">F171-E171</f>
        <v>14</v>
      </c>
      <c r="H171" s="99">
        <f>G171+'7'!H171</f>
        <v>96</v>
      </c>
      <c r="I171" s="155"/>
      <c r="J171" s="178">
        <f>H171/DAY(B2)</f>
        <v>12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'7'!F172</f>
        <v>20857</v>
      </c>
      <c r="F172" s="155">
        <v>20871</v>
      </c>
      <c r="G172" s="155">
        <f t="shared" si="15"/>
        <v>14</v>
      </c>
      <c r="H172" s="99">
        <f>G172+'7'!H172</f>
        <v>83</v>
      </c>
      <c r="I172" s="155"/>
      <c r="J172" s="178">
        <f>H172/DAY(B2)</f>
        <v>10.375</v>
      </c>
    </row>
    <row r="173" spans="1:10" ht="27.75">
      <c r="A173" s="775" t="s">
        <v>196</v>
      </c>
      <c r="B173" s="776"/>
      <c r="C173" s="353"/>
      <c r="D173" s="228" t="s">
        <v>142</v>
      </c>
      <c r="E173" s="95"/>
      <c r="F173" s="155"/>
      <c r="G173" s="155">
        <f>SUM(G170:G172)</f>
        <v>28</v>
      </c>
      <c r="H173" s="99">
        <f>G173+'7'!H173</f>
        <v>202</v>
      </c>
      <c r="I173" s="155"/>
      <c r="J173" s="178">
        <f>H173/DAY(B2)</f>
        <v>25.25</v>
      </c>
    </row>
    <row r="174" spans="1:10" ht="27.75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G174+'7'!H174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'7'!F175</f>
        <v>75209</v>
      </c>
      <c r="F175" s="155">
        <v>75259</v>
      </c>
      <c r="G175" s="155">
        <f>F175-E175</f>
        <v>50</v>
      </c>
      <c r="H175" s="99">
        <f>G175+'7'!H175</f>
        <v>640</v>
      </c>
      <c r="I175" s="155"/>
      <c r="J175" s="178">
        <f>H175/DAY(B2)</f>
        <v>80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'7'!F176</f>
        <v>33886</v>
      </c>
      <c r="F176" s="155">
        <v>33886</v>
      </c>
      <c r="G176" s="155">
        <f t="shared" ref="G176:G177" si="16">F176-E176</f>
        <v>0</v>
      </c>
      <c r="H176" s="99">
        <f>G176+'7'!H176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'7'!F177</f>
        <v>5094</v>
      </c>
      <c r="F177" s="155">
        <v>5105</v>
      </c>
      <c r="G177" s="155">
        <f t="shared" si="16"/>
        <v>11</v>
      </c>
      <c r="H177" s="99">
        <f>G177+'7'!H177</f>
        <v>64</v>
      </c>
      <c r="I177" s="155"/>
      <c r="J177" s="178">
        <f>H177/DAY(B2)</f>
        <v>8</v>
      </c>
    </row>
    <row r="178" spans="1:10" ht="27.75">
      <c r="A178" s="788" t="s">
        <v>108</v>
      </c>
      <c r="B178" s="789"/>
      <c r="C178" s="353"/>
      <c r="D178" s="228" t="s">
        <v>142</v>
      </c>
      <c r="E178" s="95"/>
      <c r="F178" s="155"/>
      <c r="G178" s="155">
        <f>SUM(G175:G177)</f>
        <v>61</v>
      </c>
      <c r="H178" s="99">
        <f>G178+'7'!H178</f>
        <v>704</v>
      </c>
      <c r="I178" s="155"/>
      <c r="J178" s="178">
        <f>H178/DAY(B2)</f>
        <v>88</v>
      </c>
    </row>
    <row r="179" spans="1:10" ht="27.75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G179+'7'!H179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'7'!F180</f>
        <v>14151</v>
      </c>
      <c r="F180" s="157">
        <v>14165</v>
      </c>
      <c r="G180" s="157">
        <f>F180-E180</f>
        <v>14</v>
      </c>
      <c r="H180" s="99">
        <f>G180+'7'!H180</f>
        <v>134</v>
      </c>
      <c r="I180" s="155"/>
      <c r="J180" s="178">
        <f>H180/DAY(B2)</f>
        <v>16.75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'7'!F181</f>
        <v>9820</v>
      </c>
      <c r="F181" s="157">
        <v>9828</v>
      </c>
      <c r="G181" s="157">
        <f t="shared" ref="G181:G182" si="17">F181-E181</f>
        <v>8</v>
      </c>
      <c r="H181" s="99">
        <f>G181+'7'!H181</f>
        <v>74</v>
      </c>
      <c r="I181" s="155"/>
      <c r="J181" s="178">
        <f>H181/DAY(B2)</f>
        <v>9.25</v>
      </c>
    </row>
    <row r="182" spans="1:10" ht="27.75">
      <c r="A182" s="786" t="s">
        <v>216</v>
      </c>
      <c r="B182" s="787"/>
      <c r="C182" s="354"/>
      <c r="D182" s="228" t="s">
        <v>142</v>
      </c>
      <c r="E182" s="95">
        <f>'7'!F182</f>
        <v>0</v>
      </c>
      <c r="F182" s="157"/>
      <c r="G182" s="157">
        <f t="shared" si="17"/>
        <v>0</v>
      </c>
      <c r="H182" s="99">
        <f>G182+'7'!H182</f>
        <v>0</v>
      </c>
      <c r="I182" s="155"/>
      <c r="J182" s="178">
        <f>H182/DAY(B2)</f>
        <v>0</v>
      </c>
    </row>
    <row r="183" spans="1:10" ht="27" customHeight="1">
      <c r="A183" s="775" t="s">
        <v>196</v>
      </c>
      <c r="B183" s="776"/>
      <c r="C183" s="354"/>
      <c r="D183" s="228" t="s">
        <v>142</v>
      </c>
      <c r="E183" s="95"/>
      <c r="F183" s="157"/>
      <c r="G183" s="157">
        <f>SUM(G180:G182)</f>
        <v>22</v>
      </c>
      <c r="H183" s="99">
        <f>G183+'7'!H183</f>
        <v>208</v>
      </c>
      <c r="I183" s="157"/>
      <c r="J183" s="178">
        <f>H183/DAY(B2)</f>
        <v>26</v>
      </c>
    </row>
    <row r="184" spans="1:10" ht="27.75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176</v>
      </c>
      <c r="H184" s="99">
        <f>G184+'7'!H184</f>
        <v>1372</v>
      </c>
      <c r="I184" s="158"/>
      <c r="J184" s="179">
        <f>H184/DAY(B2)</f>
        <v>171.5</v>
      </c>
    </row>
    <row r="185" spans="1:10" ht="27.75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172</v>
      </c>
      <c r="H185" s="99">
        <f>G185+'7'!H185</f>
        <v>1384</v>
      </c>
      <c r="I185" s="158"/>
      <c r="J185" s="179">
        <f>H185/DAY(B2)</f>
        <v>173</v>
      </c>
    </row>
    <row r="186" spans="1:10" ht="27.75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61</v>
      </c>
      <c r="H186" s="99">
        <f>G186+'7'!H186</f>
        <v>704</v>
      </c>
      <c r="I186" s="158"/>
      <c r="J186" s="179">
        <f>H186/DAY(B2)</f>
        <v>88</v>
      </c>
    </row>
    <row r="187" spans="1:10" ht="27.75">
      <c r="A187" s="784"/>
      <c r="B187" s="785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  <row r="190" spans="1:10" ht="29.25"/>
    <row r="191" spans="1:10" ht="20.25" customHeight="1"/>
    <row r="192" spans="1:10" ht="20.25" customHeight="1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</sheetData>
  <mergeCells count="112"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4:B164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48:C148"/>
    <mergeCell ref="A149:C149"/>
    <mergeCell ref="A143:C143"/>
    <mergeCell ref="A144:C144"/>
    <mergeCell ref="A131:C131"/>
    <mergeCell ref="A132:C132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57:J157"/>
    <mergeCell ref="A163:B163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72:C172"/>
    <mergeCell ref="A179:B179"/>
    <mergeCell ref="A165:B165"/>
    <mergeCell ref="A168:J168"/>
    <mergeCell ref="A169:B169"/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78:B178"/>
    <mergeCell ref="A180:B180"/>
    <mergeCell ref="A170:B170"/>
    <mergeCell ref="A171:B171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67"/>
  <sheetViews>
    <sheetView view="pageBreakPreview" topLeftCell="A121" zoomScale="55" zoomScaleNormal="80" zoomScaleSheetLayoutView="55" workbookViewId="0">
      <selection activeCell="I153" sqref="I15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303</v>
      </c>
      <c r="B2" s="266">
        <v>44509</v>
      </c>
      <c r="C2" s="368" t="s">
        <v>67</v>
      </c>
      <c r="D2" s="218">
        <v>0.56000000000000005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27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'8'!F7</f>
        <v>862101.35</v>
      </c>
      <c r="F7" s="95">
        <v>883677</v>
      </c>
      <c r="G7" s="112">
        <f>F7-E7</f>
        <v>21575.650000000023</v>
      </c>
      <c r="H7" s="99">
        <f>G7+'8'!H7</f>
        <v>197413.69999999995</v>
      </c>
      <c r="I7" s="113">
        <f>'1'!I7</f>
        <v>12000</v>
      </c>
      <c r="J7" s="175">
        <f>H7/DAY(B2)</f>
        <v>21934.85555555555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'8'!F8</f>
        <v>892195.83</v>
      </c>
      <c r="F8" s="114">
        <v>914014</v>
      </c>
      <c r="G8" s="115">
        <f>F8-E8</f>
        <v>21818.170000000042</v>
      </c>
      <c r="H8" s="99">
        <f>G8+'8'!H8</f>
        <v>200850.09999999998</v>
      </c>
      <c r="I8" s="116"/>
      <c r="J8" s="175">
        <f>H8/DAY(B2)</f>
        <v>22316.677777777775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'8'!F9</f>
        <v>1367789.3</v>
      </c>
      <c r="F9" s="117">
        <v>1380952</v>
      </c>
      <c r="G9" s="112">
        <f>F9-E9</f>
        <v>13162.699999999953</v>
      </c>
      <c r="H9" s="99">
        <f>G9+'8'!H9</f>
        <v>119673.5</v>
      </c>
      <c r="I9" s="124">
        <f>I7-J7</f>
        <v>-9934.8555555555504</v>
      </c>
      <c r="J9" s="175">
        <f>H9/DAY(B2)</f>
        <v>13297.055555555555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'8'!F10</f>
        <v>233034.37</v>
      </c>
      <c r="F10" s="117">
        <v>240869</v>
      </c>
      <c r="G10" s="112">
        <f t="shared" ref="G10:G12" si="0">F10-E10</f>
        <v>7834.6300000000047</v>
      </c>
      <c r="H10" s="99">
        <f>G10+'8'!H10</f>
        <v>72485.070000000007</v>
      </c>
      <c r="I10" s="286"/>
      <c r="J10" s="175">
        <f>H10/DAY(B2)</f>
        <v>8053.8966666666674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20997.329999999958</v>
      </c>
      <c r="H13" s="99">
        <f>G13+'8'!H13</f>
        <v>171352.11</v>
      </c>
      <c r="I13" s="120">
        <f>G7-G13</f>
        <v>578.32000000006519</v>
      </c>
      <c r="J13" s="175">
        <f>H13/DAY(B2)</f>
        <v>19039.123333333333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'8'!F15</f>
        <v>1823330.92</v>
      </c>
      <c r="F15" s="123">
        <v>1824359</v>
      </c>
      <c r="G15" s="112">
        <f>(F15-E15)</f>
        <v>1028.0800000000745</v>
      </c>
      <c r="H15" s="99">
        <f>G15+'8'!H15</f>
        <v>8692.0400000000373</v>
      </c>
      <c r="I15" s="113">
        <f>'1'!I15</f>
        <v>800</v>
      </c>
      <c r="J15" s="175">
        <f>H15/DAY(B2)</f>
        <v>965.78222222222632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-165.78222222222632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'8'!F18</f>
        <v>20</v>
      </c>
      <c r="F18" s="122">
        <v>20</v>
      </c>
      <c r="G18" s="119">
        <f>F18*10</f>
        <v>200</v>
      </c>
      <c r="H18" s="99">
        <f>G18+'8'!H18</f>
        <v>1730</v>
      </c>
      <c r="I18" s="113">
        <f>'1'!I18</f>
        <v>65</v>
      </c>
      <c r="J18" s="175">
        <f>H18/DAY(B2)</f>
        <v>192.22222222222223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'8'!F19</f>
        <v>149379</v>
      </c>
      <c r="F19" s="122">
        <v>149432</v>
      </c>
      <c r="G19" s="112">
        <f t="shared" ref="G19" si="1">F19-E19</f>
        <v>53</v>
      </c>
      <c r="H19" s="99">
        <f>G19+'8'!H19</f>
        <v>515</v>
      </c>
      <c r="I19" s="355"/>
      <c r="J19" s="175">
        <f>H19/DAY(B2)</f>
        <v>57.222222222222221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253</v>
      </c>
      <c r="H20" s="99">
        <f>G20+'8'!H20</f>
        <v>2245</v>
      </c>
      <c r="I20" s="356">
        <f>I18-J20</f>
        <v>-184.44444444444446</v>
      </c>
      <c r="J20" s="175">
        <f>H20/DAY(B2)</f>
        <v>249.44444444444446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21818.170000000042</v>
      </c>
      <c r="F27" s="136">
        <v>9</v>
      </c>
      <c r="G27" s="137">
        <f>E27*F27</f>
        <v>196363.53000000038</v>
      </c>
      <c r="H27" s="99">
        <f>G27+'8'!H27</f>
        <v>1807650.9</v>
      </c>
      <c r="I27" s="138"/>
      <c r="J27" s="175">
        <f>H27/DAY(B2)</f>
        <v>200850.09999999998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1028.0800000000745</v>
      </c>
      <c r="F28" s="136">
        <v>52</v>
      </c>
      <c r="G28" s="137">
        <f>E28*F28</f>
        <v>53460.160000003874</v>
      </c>
      <c r="H28" s="99">
        <f>G28+'8'!H28</f>
        <v>451986.08000000194</v>
      </c>
      <c r="I28" s="140"/>
      <c r="J28" s="175">
        <f>H28/DAY(B2)</f>
        <v>50220.675555555768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G30+'8'!H30</f>
        <v>75190</v>
      </c>
      <c r="I30" s="140"/>
      <c r="J30" s="175">
        <f>H30/DAY(B2)</f>
        <v>8354.4444444444453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G31+'8'!H31</f>
        <v>138400</v>
      </c>
      <c r="I31" s="140"/>
      <c r="J31" s="175">
        <f>H31/DAY(B2)</f>
        <v>15377.777777777777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273561.69000000425</v>
      </c>
      <c r="H32" s="99">
        <f>G32+'8'!H32</f>
        <v>2473226.9800000014</v>
      </c>
      <c r="I32" s="144"/>
      <c r="J32" s="175">
        <f>H32/DAY(B2)</f>
        <v>274802.99777777796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'8'!F35</f>
        <v>48282.73</v>
      </c>
      <c r="F35" s="145">
        <v>50322</v>
      </c>
      <c r="G35" s="112">
        <f t="shared" ref="G35:G46" si="3">F35-E35</f>
        <v>2039.2699999999968</v>
      </c>
      <c r="H35" s="99">
        <f>G35+'8'!H35</f>
        <v>17847.330000000002</v>
      </c>
      <c r="I35" s="95"/>
      <c r="J35" s="175">
        <f>H35/DAY(B2)</f>
        <v>1983.0366666666669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'8'!F36</f>
        <v>56009.17</v>
      </c>
      <c r="F36" s="145">
        <v>57009</v>
      </c>
      <c r="G36" s="112">
        <f t="shared" si="3"/>
        <v>999.83000000000175</v>
      </c>
      <c r="H36" s="99">
        <f>G36+'8'!H36</f>
        <v>7069.3300000000017</v>
      </c>
      <c r="I36" s="95"/>
      <c r="J36" s="175">
        <f>H36/DAY(B2)</f>
        <v>785.48111111111132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'8'!F37</f>
        <v>109702.67</v>
      </c>
      <c r="F37" s="145">
        <v>111273</v>
      </c>
      <c r="G37" s="112">
        <f t="shared" si="3"/>
        <v>1570.3300000000017</v>
      </c>
      <c r="H37" s="99">
        <f>G37+'8'!H37</f>
        <v>14219.169999999998</v>
      </c>
      <c r="I37" s="95"/>
      <c r="J37" s="175">
        <f>H37/DAY(B2)</f>
        <v>1579.9077777777775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'8'!F38</f>
        <v>129807.38</v>
      </c>
      <c r="F38" s="108">
        <v>131576</v>
      </c>
      <c r="G38" s="112">
        <f t="shared" si="3"/>
        <v>1768.6199999999953</v>
      </c>
      <c r="H38" s="99">
        <f>G38+'8'!H38</f>
        <v>16352.960000000006</v>
      </c>
      <c r="I38" s="95"/>
      <c r="J38" s="175">
        <f>H38/DAY(B2)</f>
        <v>1816.9955555555562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'8'!F39</f>
        <v>256303.67</v>
      </c>
      <c r="F39" s="145">
        <v>259232</v>
      </c>
      <c r="G39" s="112">
        <f t="shared" si="3"/>
        <v>2928.3299999999872</v>
      </c>
      <c r="H39" s="99">
        <f>G39+'8'!H39</f>
        <v>25850.950000000012</v>
      </c>
      <c r="I39" s="95"/>
      <c r="J39" s="175">
        <f>H39/DAY(B2)</f>
        <v>2872.3277777777789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'8'!F40</f>
        <v>58.82</v>
      </c>
      <c r="F40" s="145">
        <v>66</v>
      </c>
      <c r="G40" s="112">
        <f t="shared" si="3"/>
        <v>7.18</v>
      </c>
      <c r="H40" s="99">
        <f>G40+'8'!H40</f>
        <v>40.630000000000003</v>
      </c>
      <c r="I40" s="95"/>
      <c r="J40" s="175">
        <f>H40/DAY(B2)</f>
        <v>4.5144444444444449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'8'!F41</f>
        <v>582546.71</v>
      </c>
      <c r="F41" s="145">
        <v>582546.71</v>
      </c>
      <c r="G41" s="112">
        <f t="shared" si="3"/>
        <v>0</v>
      </c>
      <c r="H41" s="99">
        <f>G41+'8'!H41</f>
        <v>687.88000000000466</v>
      </c>
      <c r="I41" s="95"/>
      <c r="J41" s="175">
        <f>H41/DAY(B2)</f>
        <v>76.431111111111633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'8'!F42</f>
        <v>273305.25</v>
      </c>
      <c r="F42" s="145">
        <v>273305</v>
      </c>
      <c r="G42" s="112">
        <f t="shared" si="3"/>
        <v>-0.25</v>
      </c>
      <c r="H42" s="99">
        <f>G42+'8'!H42</f>
        <v>2335.3300000000163</v>
      </c>
      <c r="I42" s="95"/>
      <c r="J42" s="175">
        <f>H42/DAY(B2)</f>
        <v>259.48111111111291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'8'!F43</f>
        <v>1467601.1</v>
      </c>
      <c r="F43" s="145">
        <v>1470192</v>
      </c>
      <c r="G43" s="112">
        <f t="shared" si="3"/>
        <v>2590.8999999999069</v>
      </c>
      <c r="H43" s="99">
        <f>G43+'8'!H43</f>
        <v>24104.600000000093</v>
      </c>
      <c r="I43" s="95"/>
      <c r="J43" s="175">
        <f>H43/DAY(B2)</f>
        <v>2678.2888888888992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11904.20999999989</v>
      </c>
      <c r="H47" s="99">
        <f>G47+'8'!H47</f>
        <v>108508.18000000012</v>
      </c>
      <c r="I47" s="95"/>
      <c r="J47" s="175">
        <f>H47/DAY(B2)</f>
        <v>12056.464444444458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'8'!F49</f>
        <v>185776.23</v>
      </c>
      <c r="F49" s="145">
        <v>187194</v>
      </c>
      <c r="G49" s="112">
        <f t="shared" ref="G49:G58" si="4">F49-E49</f>
        <v>1417.7699999999895</v>
      </c>
      <c r="H49" s="99">
        <f>G49+'8'!H49</f>
        <v>14463.609999999986</v>
      </c>
      <c r="I49" s="95"/>
      <c r="J49" s="175">
        <f>H49/DAY(B2)</f>
        <v>1607.0677777777762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'8'!F50</f>
        <v>692722.39</v>
      </c>
      <c r="F50" s="145">
        <v>693792</v>
      </c>
      <c r="G50" s="112">
        <f t="shared" si="4"/>
        <v>1069.609999999986</v>
      </c>
      <c r="H50" s="99">
        <f>G50+'8'!H50</f>
        <v>9429.6899999999441</v>
      </c>
      <c r="I50" s="95"/>
      <c r="J50" s="175">
        <f>H50/DAY(B2)</f>
        <v>1047.7433333333272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'8'!F54</f>
        <v>2908.57</v>
      </c>
      <c r="F54" s="145">
        <v>2914</v>
      </c>
      <c r="G54" s="112">
        <f t="shared" si="4"/>
        <v>5.4299999999998363</v>
      </c>
      <c r="H54" s="99">
        <f>G54+'8'!H54</f>
        <v>46.510000000000218</v>
      </c>
      <c r="I54" s="95"/>
      <c r="J54" s="175">
        <f>H54/DAY(B2)</f>
        <v>5.1677777777778022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'8'!F55</f>
        <v>0</v>
      </c>
      <c r="F55" s="145">
        <v>0</v>
      </c>
      <c r="G55" s="112">
        <f t="shared" si="4"/>
        <v>0</v>
      </c>
      <c r="H55" s="99">
        <f>G55+'8'!H55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'8'!F56</f>
        <v>85424.22</v>
      </c>
      <c r="F56" s="145">
        <v>90583</v>
      </c>
      <c r="G56" s="112">
        <f t="shared" si="4"/>
        <v>5158.7799999999988</v>
      </c>
      <c r="H56" s="99">
        <f>G56+'8'!H56</f>
        <v>47742.71</v>
      </c>
      <c r="I56" s="95"/>
      <c r="J56" s="175">
        <f>H56/DAY(B2)</f>
        <v>5304.7455555555553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'8'!F58</f>
        <v>80589.509999999995</v>
      </c>
      <c r="F58" s="145">
        <v>80820</v>
      </c>
      <c r="G58" s="112">
        <f t="shared" si="4"/>
        <v>230.49000000000524</v>
      </c>
      <c r="H58" s="99">
        <f>G58+'8'!H58</f>
        <v>1800.1000000000058</v>
      </c>
      <c r="I58" s="95"/>
      <c r="J58" s="175">
        <f>H58/DAY(B2)</f>
        <v>200.01111111111175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7882.0799999999799</v>
      </c>
      <c r="H59" s="99">
        <f>G59+'8'!H59</f>
        <v>73482.619999999937</v>
      </c>
      <c r="I59" s="95">
        <f>G7-G60</f>
        <v>1789.3600000001534</v>
      </c>
      <c r="J59" s="175">
        <f>H59/DAY(B2)</f>
        <v>8164.7355555555487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19786.28999999987</v>
      </c>
      <c r="H60" s="99">
        <f>G60+'8'!H60</f>
        <v>181990.80000000008</v>
      </c>
      <c r="I60" s="95">
        <f>G13-G60</f>
        <v>1211.0400000000882</v>
      </c>
      <c r="J60" s="175">
        <f>H60/DAY(B2)</f>
        <v>20221.200000000008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'8'!F62</f>
        <v>260728</v>
      </c>
      <c r="F62" s="122">
        <v>260840</v>
      </c>
      <c r="G62" s="112">
        <f t="shared" ref="G62:G63" si="5">F62-E62</f>
        <v>112</v>
      </c>
      <c r="H62" s="99">
        <f>G62+'8'!H62</f>
        <v>1022</v>
      </c>
      <c r="I62" s="118"/>
      <c r="J62" s="175">
        <f>H62/DAY(B2)</f>
        <v>113.55555555555556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'8'!F63</f>
        <v>207095</v>
      </c>
      <c r="F63" s="122">
        <v>207170</v>
      </c>
      <c r="G63" s="112">
        <f t="shared" si="5"/>
        <v>75</v>
      </c>
      <c r="H63" s="99">
        <f>G63+'8'!H63</f>
        <v>900</v>
      </c>
      <c r="I63" s="118"/>
      <c r="J63" s="175">
        <f>H63/DAY(B2)</f>
        <v>100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'8'!F64</f>
        <v>0</v>
      </c>
      <c r="F64" s="122"/>
      <c r="G64" s="112">
        <f>G62+G63</f>
        <v>187</v>
      </c>
      <c r="H64" s="99">
        <f>G64+'8'!H64</f>
        <v>1922</v>
      </c>
      <c r="I64" s="118"/>
      <c r="J64" s="175">
        <f>H64/DAY(B2)</f>
        <v>213.55555555555554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'8'!F65</f>
        <v>426985</v>
      </c>
      <c r="F65" s="122">
        <v>427091</v>
      </c>
      <c r="G65" s="112">
        <f t="shared" ref="G65:G70" si="6">F65-E65</f>
        <v>106</v>
      </c>
      <c r="H65" s="99">
        <f>G65+'8'!H65</f>
        <v>886</v>
      </c>
      <c r="I65" s="118"/>
      <c r="J65" s="175">
        <f>H65/DAY(B2)</f>
        <v>98.444444444444443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'8'!F66</f>
        <v>106148</v>
      </c>
      <c r="F66" s="122">
        <v>106173</v>
      </c>
      <c r="G66" s="112">
        <f t="shared" si="6"/>
        <v>25</v>
      </c>
      <c r="H66" s="99">
        <f>G66+'8'!H66</f>
        <v>203</v>
      </c>
      <c r="I66" s="118"/>
      <c r="J66" s="175">
        <f>H66/DAY(B2)</f>
        <v>22.555555555555557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'8'!F67</f>
        <v>102394</v>
      </c>
      <c r="F67" s="122">
        <v>102417</v>
      </c>
      <c r="G67" s="112">
        <f t="shared" si="6"/>
        <v>23</v>
      </c>
      <c r="H67" s="99">
        <f>G67+'8'!H67</f>
        <v>246</v>
      </c>
      <c r="I67" s="118"/>
      <c r="J67" s="175">
        <f>H67/DAY(B2)</f>
        <v>27.333333333333332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'8'!F68</f>
        <v>154735</v>
      </c>
      <c r="F68" s="122">
        <v>154757</v>
      </c>
      <c r="G68" s="112">
        <f t="shared" si="6"/>
        <v>22</v>
      </c>
      <c r="H68" s="99">
        <f>G68+'8'!H68</f>
        <v>261</v>
      </c>
      <c r="I68" s="118"/>
      <c r="J68" s="175">
        <f>H68/DAY(B2)</f>
        <v>29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'8'!F69</f>
        <v>9577</v>
      </c>
      <c r="F69" s="122">
        <v>9585</v>
      </c>
      <c r="G69" s="112">
        <f t="shared" si="6"/>
        <v>8</v>
      </c>
      <c r="H69" s="99">
        <f>G69+'8'!H69</f>
        <v>120</v>
      </c>
      <c r="I69" s="118"/>
      <c r="J69" s="175">
        <f>H69/DAY(B2)</f>
        <v>13.333333333333334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'8'!F70</f>
        <v>7294</v>
      </c>
      <c r="F70" s="122">
        <v>7303</v>
      </c>
      <c r="G70" s="112">
        <f t="shared" si="6"/>
        <v>9</v>
      </c>
      <c r="H70" s="99">
        <f>G70+'8'!H70</f>
        <v>100</v>
      </c>
      <c r="I70" s="118"/>
      <c r="J70" s="175">
        <f>H70/DAY(B2)</f>
        <v>11.111111111111111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193</v>
      </c>
      <c r="H71" s="99">
        <f>G71+'8'!H71</f>
        <v>1816</v>
      </c>
      <c r="I71" s="154"/>
      <c r="J71" s="175">
        <f>H71/DAY(B2)</f>
        <v>201.77777777777777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'8'!F74</f>
        <v>875916.44</v>
      </c>
      <c r="F74" s="117">
        <v>876178</v>
      </c>
      <c r="G74" s="112">
        <f t="shared" ref="G74:G78" si="7">F74-E74</f>
        <v>261.56000000005588</v>
      </c>
      <c r="H74" s="99">
        <f>G74+'8'!H74</f>
        <v>2592.7689999999711</v>
      </c>
      <c r="I74" s="154"/>
      <c r="J74" s="175">
        <f>H74/DAY(B2)</f>
        <v>288.08544444444124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3.4000000000087311</v>
      </c>
      <c r="I75" s="154"/>
      <c r="J75" s="175">
        <f>H75/DAY(B2)</f>
        <v>0.37777777777874788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'8'!F76</f>
        <v>160731.4</v>
      </c>
      <c r="F76" s="123">
        <v>160826</v>
      </c>
      <c r="G76" s="112">
        <f t="shared" si="7"/>
        <v>94.600000000005821</v>
      </c>
      <c r="H76" s="99">
        <f>G76+'8'!H76</f>
        <v>840.5</v>
      </c>
      <c r="I76" s="154"/>
      <c r="J76" s="175">
        <f>H76/DAY(B2)</f>
        <v>93.388888888888886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'8'!F77</f>
        <v>37823</v>
      </c>
      <c r="F77" s="123">
        <v>37857</v>
      </c>
      <c r="G77" s="112">
        <f t="shared" si="7"/>
        <v>34</v>
      </c>
      <c r="H77" s="99">
        <f>G77+'8'!H77</f>
        <v>359.5</v>
      </c>
      <c r="I77" s="154"/>
      <c r="J77" s="175">
        <f>H77/DAY(B2)</f>
        <v>39.944444444444443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'8'!F78</f>
        <v>9346.7000000000007</v>
      </c>
      <c r="F78" s="123">
        <v>9349</v>
      </c>
      <c r="G78" s="112">
        <f t="shared" si="7"/>
        <v>2.2999999999992724</v>
      </c>
      <c r="H78" s="99">
        <f>G78+'8'!H78</f>
        <v>19.600000000000364</v>
      </c>
      <c r="I78" s="118"/>
      <c r="J78" s="175">
        <f>H78/DAY(B2)</f>
        <v>2.177777777777818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'8'!F79</f>
        <v>0</v>
      </c>
      <c r="F79" s="117"/>
      <c r="G79" s="112">
        <f>G15-SUM(G74:G78)</f>
        <v>635.62000000001353</v>
      </c>
      <c r="H79" s="99">
        <f>G79+'8'!H79</f>
        <v>4876.271000000057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1028.0800000000745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'8'!F82</f>
        <v>0</v>
      </c>
      <c r="F82" s="122"/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'8'!F83</f>
        <v>0</v>
      </c>
      <c r="F83" s="122"/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'8'!F84</f>
        <v>41589.089999999997</v>
      </c>
      <c r="F84" s="164">
        <v>41589.089999999997</v>
      </c>
      <c r="G84" s="112">
        <f t="shared" si="8"/>
        <v>0</v>
      </c>
      <c r="H84" s="99">
        <f>G84+'8'!H84</f>
        <v>3.5299999999988358</v>
      </c>
      <c r="I84" s="118"/>
      <c r="J84" s="175">
        <f>H84/DAY(B2)</f>
        <v>0.39222222222209285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'8'!F85</f>
        <v>1317.51</v>
      </c>
      <c r="F85" s="164">
        <v>1317.51</v>
      </c>
      <c r="G85" s="112">
        <f t="shared" si="8"/>
        <v>0</v>
      </c>
      <c r="H85" s="99">
        <f>G85+'8'!H85</f>
        <v>12.509999999999991</v>
      </c>
      <c r="I85" s="118">
        <f>G82+G83+G84+G85</f>
        <v>0</v>
      </c>
      <c r="J85" s="175">
        <f>H85/DAY(B2)</f>
        <v>1.389999999999999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'8'!F86</f>
        <v>42826.47</v>
      </c>
      <c r="F86" s="164">
        <v>42826.47</v>
      </c>
      <c r="G86" s="112">
        <f t="shared" si="8"/>
        <v>0</v>
      </c>
      <c r="H86" s="99">
        <f>G86+'8'!H86</f>
        <v>0.47000000000116415</v>
      </c>
      <c r="I86" s="118"/>
      <c r="J86" s="175">
        <f>H86/DAY(B2)</f>
        <v>5.2222222222351573E-2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'8'!F87</f>
        <v>33941.550000000003</v>
      </c>
      <c r="F87" s="164">
        <v>33966</v>
      </c>
      <c r="G87" s="112">
        <f t="shared" si="8"/>
        <v>24.44999999999709</v>
      </c>
      <c r="H87" s="99">
        <f>G87+'8'!H87</f>
        <v>218</v>
      </c>
      <c r="I87" s="118"/>
      <c r="J87" s="175">
        <f>H87/DAY(B2)</f>
        <v>24.222222222222221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'8'!F88</f>
        <v>23868.55</v>
      </c>
      <c r="F88" s="164">
        <v>23873.52</v>
      </c>
      <c r="G88" s="112">
        <f t="shared" si="8"/>
        <v>4.9700000000011642</v>
      </c>
      <c r="H88" s="99">
        <f>G88+'8'!H88</f>
        <v>39.950000000000728</v>
      </c>
      <c r="I88" s="118">
        <f>G86+G87+G88</f>
        <v>29.419999999998254</v>
      </c>
      <c r="J88" s="175">
        <f>H88/DAY(B2)</f>
        <v>4.4388888888889699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'8'!F89</f>
        <v>25284.799999999999</v>
      </c>
      <c r="F89" s="164">
        <v>25289.54</v>
      </c>
      <c r="G89" s="112">
        <f t="shared" si="8"/>
        <v>4.7400000000016007</v>
      </c>
      <c r="H89" s="99">
        <f>G89+'8'!H89</f>
        <v>44.159999999999854</v>
      </c>
      <c r="I89" s="118"/>
      <c r="J89" s="175">
        <f>H89/DAY(B2)</f>
        <v>4.9066666666666503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'8'!F90</f>
        <v>70685.210000000006</v>
      </c>
      <c r="F90" s="164">
        <v>70693.95</v>
      </c>
      <c r="G90" s="112">
        <f t="shared" si="8"/>
        <v>8.7399999999906868</v>
      </c>
      <c r="H90" s="99">
        <f>G90+'8'!H90</f>
        <v>38.539999999993597</v>
      </c>
      <c r="I90" s="118">
        <f>G89+G90</f>
        <v>13.479999999992287</v>
      </c>
      <c r="J90" s="175">
        <f>H90/DAY(B2)</f>
        <v>4.2822222222215105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'8'!F92</f>
        <v>4873.76</v>
      </c>
      <c r="F92" s="122">
        <v>4882.9399999999996</v>
      </c>
      <c r="G92" s="112">
        <f t="shared" si="8"/>
        <v>9.1799999999993815</v>
      </c>
      <c r="H92" s="99">
        <f>G92+'8'!H92</f>
        <v>91.119999999999891</v>
      </c>
      <c r="I92" s="165"/>
      <c r="J92" s="175">
        <f>H92/DAY(B2)</f>
        <v>10.124444444444432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6047.9399999998932</v>
      </c>
      <c r="H94" s="99">
        <f>G94+'8'!H94</f>
        <v>56415.540000000081</v>
      </c>
      <c r="I94" s="118"/>
      <c r="J94" s="175">
        <f>H94/DAY(B2)</f>
        <v>6268.3933333333425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0.28031322347182525</v>
      </c>
      <c r="H95" s="99">
        <f>G95+'8'!H95</f>
        <v>2.573921323557061</v>
      </c>
      <c r="I95" s="167"/>
      <c r="J95" s="175">
        <f>H95/DAY(B2)</f>
        <v>0.2859912581730068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5158.5299999999988</v>
      </c>
      <c r="H96" s="99">
        <f>G96+'8'!H96</f>
        <v>50765.92000000002</v>
      </c>
      <c r="I96" s="118"/>
      <c r="J96" s="175">
        <f>H96/DAY(B2)</f>
        <v>5640.6577777777802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0.23909036344212078</v>
      </c>
      <c r="H97" s="99">
        <f>G97+'8'!H97</f>
        <v>2.30980621827399</v>
      </c>
      <c r="I97" s="167"/>
      <c r="J97" s="175">
        <f>H97/DAY(B2)</f>
        <v>0.25664513536377664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2928.3299999999872</v>
      </c>
      <c r="H98" s="99">
        <f>G98+'8'!H98</f>
        <v>25850.950000000012</v>
      </c>
      <c r="I98" s="168"/>
      <c r="J98" s="175">
        <f>H98/DAY(B2)</f>
        <v>2872.3277777777789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0.13572383682530928</v>
      </c>
      <c r="H99" s="99">
        <f>G99+'8'!H99</f>
        <v>1.1801124095947302</v>
      </c>
      <c r="I99" s="168"/>
      <c r="J99" s="175">
        <f>H99/DAY(B2)</f>
        <v>0.13112360106608112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1768.6199999999953</v>
      </c>
      <c r="H100" s="99">
        <f>G100+'8'!H100</f>
        <v>16352.960000000006</v>
      </c>
      <c r="I100" s="118"/>
      <c r="J100" s="175">
        <f>H100/DAY(B2)</f>
        <v>1816.9955555555562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8.1972964893293754E-2</v>
      </c>
      <c r="H101" s="99">
        <f>G101+'8'!H101</f>
        <v>0.74613422161334708</v>
      </c>
      <c r="I101" s="168"/>
      <c r="J101" s="175">
        <f>H101/DAY(B2)</f>
        <v>8.2903802401483012E-2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2069.4399999999878</v>
      </c>
      <c r="H102" s="99">
        <f>G102+'8'!H102</f>
        <v>16499.019999999946</v>
      </c>
      <c r="I102" s="168"/>
      <c r="J102" s="175">
        <f>H102/DAY(B2)</f>
        <v>1833.2244444444384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9.5915534410318373E-2</v>
      </c>
      <c r="H103" s="99">
        <f>G103+'8'!H103</f>
        <v>0.7513430031325844</v>
      </c>
      <c r="I103" s="118"/>
      <c r="J103" s="175">
        <f>H103/DAY(B2)</f>
        <v>8.3482555903620484E-2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1570.3300000000017</v>
      </c>
      <c r="H104" s="99">
        <f>G104+'8'!H104</f>
        <v>14219.169999999998</v>
      </c>
      <c r="I104" s="118"/>
      <c r="J104" s="175">
        <f>H104/DAY(B2)</f>
        <v>1579.9077777777775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7.2782511766737043E-2</v>
      </c>
      <c r="H105" s="99">
        <f>G105+'8'!H105</f>
        <v>0.64868491593961675</v>
      </c>
      <c r="I105" s="187"/>
      <c r="J105" s="188">
        <f>H105/DAY(B2)</f>
        <v>7.2076101771068532E-2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'8'!F112</f>
        <v>51549.15</v>
      </c>
      <c r="F112" s="237">
        <v>51631</v>
      </c>
      <c r="G112" s="112">
        <f t="shared" ref="G112:G123" si="9">F112-E112</f>
        <v>81.849999999998545</v>
      </c>
      <c r="H112" s="99">
        <f>G112+'8'!H112</f>
        <v>741.91999999999825</v>
      </c>
      <c r="I112" s="165"/>
      <c r="J112" s="348">
        <f>H112/DAY(B2)</f>
        <v>82.435555555555368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'8'!F113</f>
        <v>7968.47</v>
      </c>
      <c r="F113" s="237">
        <v>8406</v>
      </c>
      <c r="G113" s="112">
        <f t="shared" si="9"/>
        <v>437.52999999999975</v>
      </c>
      <c r="H113" s="99">
        <f>G113+'8'!H113</f>
        <v>3900.3500000000004</v>
      </c>
      <c r="I113" s="165"/>
      <c r="J113" s="348">
        <f>H113/DAY(B2)</f>
        <v>433.37222222222226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'8'!F114</f>
        <v>6664.63</v>
      </c>
      <c r="F114" s="237">
        <v>6935</v>
      </c>
      <c r="G114" s="112">
        <f t="shared" si="9"/>
        <v>270.36999999999989</v>
      </c>
      <c r="H114" s="99">
        <f>G114+'8'!H114</f>
        <v>2357.0699999999997</v>
      </c>
      <c r="I114" s="165"/>
      <c r="J114" s="348">
        <f>H114/DAY(B2)</f>
        <v>261.89666666666665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'8'!F115</f>
        <v>8157.08</v>
      </c>
      <c r="F115" s="237">
        <v>8169</v>
      </c>
      <c r="G115" s="112">
        <f t="shared" si="9"/>
        <v>11.920000000000073</v>
      </c>
      <c r="H115" s="99">
        <f>G115+'8'!H115</f>
        <v>91.590000000000146</v>
      </c>
      <c r="I115" s="165"/>
      <c r="J115" s="348">
        <f>H115/DAY(B2)</f>
        <v>10.176666666666684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48">
        <f>H116/DAY(B2)</f>
        <v>0</v>
      </c>
      <c r="Q116" s="793"/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'8'!F117</f>
        <v>1486.87</v>
      </c>
      <c r="F117" s="237">
        <v>1508</v>
      </c>
      <c r="G117" s="112">
        <f t="shared" si="9"/>
        <v>21.130000000000109</v>
      </c>
      <c r="H117" s="99">
        <f>G117+'8'!H117</f>
        <v>349.80999999999995</v>
      </c>
      <c r="I117" s="165"/>
      <c r="J117" s="348">
        <f>H117/DAY(B2)</f>
        <v>38.867777777777775</v>
      </c>
      <c r="Q117" s="793"/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'8'!F118</f>
        <v>221489.89</v>
      </c>
      <c r="F118" s="237">
        <v>221850</v>
      </c>
      <c r="G118" s="112">
        <f t="shared" si="9"/>
        <v>360.10999999998603</v>
      </c>
      <c r="H118" s="99">
        <f>G118+'8'!H118</f>
        <v>2998.070000000007</v>
      </c>
      <c r="I118" s="165"/>
      <c r="J118" s="348">
        <f>H118/DAY(B2)</f>
        <v>333.11888888888967</v>
      </c>
      <c r="Q118" s="793"/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'8'!F119</f>
        <v>222235.55</v>
      </c>
      <c r="F119" s="237">
        <v>222633</v>
      </c>
      <c r="G119" s="112">
        <f t="shared" si="9"/>
        <v>397.45000000001164</v>
      </c>
      <c r="H119" s="99">
        <f>G119+'8'!H119</f>
        <v>3821.890000000014</v>
      </c>
      <c r="I119" s="165"/>
      <c r="J119" s="348">
        <f>H119/DAY(B2)</f>
        <v>424.65444444444597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'8'!F120</f>
        <v>7814.45</v>
      </c>
      <c r="F120" s="237">
        <v>8250</v>
      </c>
      <c r="G120" s="112">
        <f t="shared" si="9"/>
        <v>435.55000000000018</v>
      </c>
      <c r="H120" s="99">
        <f>G120+'8'!H120</f>
        <v>3942.3999999999996</v>
      </c>
      <c r="I120" s="165"/>
      <c r="J120" s="348">
        <f>H120/DAY(B2)</f>
        <v>438.04444444444442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'8'!F121</f>
        <v>336953.15</v>
      </c>
      <c r="F121" s="237">
        <v>337676</v>
      </c>
      <c r="G121" s="112">
        <f t="shared" si="9"/>
        <v>722.84999999997672</v>
      </c>
      <c r="H121" s="99">
        <f>G121+'8'!H121</f>
        <v>6438.4899999999907</v>
      </c>
      <c r="I121" s="165"/>
      <c r="J121" s="348">
        <f>H121/DAY(B2)</f>
        <v>715.38777777777671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'8'!F122</f>
        <v>103988.37</v>
      </c>
      <c r="F122" s="237">
        <v>104305</v>
      </c>
      <c r="G122" s="112">
        <f t="shared" si="9"/>
        <v>316.63000000000466</v>
      </c>
      <c r="H122" s="99">
        <f>G122+'8'!H122</f>
        <v>2696.1199999999953</v>
      </c>
      <c r="I122" s="165"/>
      <c r="J122" s="348">
        <f>H122/DAY(B2)</f>
        <v>299.56888888888835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'8'!F123</f>
        <v>128116.47</v>
      </c>
      <c r="F123" s="237">
        <v>128409</v>
      </c>
      <c r="G123" s="112">
        <f t="shared" si="9"/>
        <v>292.52999999999884</v>
      </c>
      <c r="H123" s="99">
        <f>G123+'8'!H123</f>
        <v>2661.2400000000052</v>
      </c>
      <c r="I123" s="165"/>
      <c r="J123" s="348">
        <f>H123/DAY(B2)</f>
        <v>295.6933333333339</v>
      </c>
    </row>
    <row r="124" spans="1:18" ht="29.25" customHeight="1">
      <c r="A124" s="797"/>
      <c r="B124" s="798"/>
      <c r="C124" s="799"/>
      <c r="D124" s="165"/>
      <c r="E124" s="165"/>
      <c r="F124" s="165"/>
      <c r="G124" s="347"/>
      <c r="H124" s="156"/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3347.9199999999764</v>
      </c>
      <c r="H125" s="156"/>
      <c r="I125" s="347">
        <f>G125-(G39+G53)</f>
        <v>419.58999999998923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G127+'8'!H127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'8'!F128</f>
        <v>20651.55</v>
      </c>
      <c r="F128" s="155">
        <v>20950</v>
      </c>
      <c r="G128" s="112">
        <f t="shared" ref="G128:G134" si="10">F128-E128</f>
        <v>298.45000000000073</v>
      </c>
      <c r="H128" s="99">
        <f>G128+'8'!H128</f>
        <v>2926.2799999999988</v>
      </c>
      <c r="I128" s="165"/>
      <c r="J128" s="348">
        <f>H128/DAY(B2)</f>
        <v>325.14222222222207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'8'!F129</f>
        <v>8307.8700000000008</v>
      </c>
      <c r="F129" s="155">
        <v>8535</v>
      </c>
      <c r="G129" s="112">
        <f t="shared" si="10"/>
        <v>227.1299999999992</v>
      </c>
      <c r="H129" s="99">
        <f>G129+'8'!H129</f>
        <v>1939.29</v>
      </c>
      <c r="I129" s="165"/>
      <c r="J129" s="348">
        <f>H129/DAY(B2)</f>
        <v>215.47666666666666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'8'!F130</f>
        <v>46690.32</v>
      </c>
      <c r="F130" s="155">
        <v>49113</v>
      </c>
      <c r="G130" s="112">
        <f t="shared" si="10"/>
        <v>2422.6800000000003</v>
      </c>
      <c r="H130" s="99">
        <f>G130+'8'!H130</f>
        <v>22644.97</v>
      </c>
      <c r="I130" s="165"/>
      <c r="J130" s="348">
        <f>H130/DAY(B2)</f>
        <v>2516.1077777777778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'8'!F131</f>
        <v>5105.82</v>
      </c>
      <c r="F131" s="155">
        <v>5322</v>
      </c>
      <c r="G131" s="112">
        <f t="shared" si="10"/>
        <v>216.18000000000029</v>
      </c>
      <c r="H131" s="99">
        <f>G131+'8'!H131</f>
        <v>1175.5299999999997</v>
      </c>
      <c r="I131" s="165"/>
      <c r="J131" s="348">
        <f>H131/DAY(B2)</f>
        <v>130.61444444444442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'8'!F132</f>
        <v>15514.42</v>
      </c>
      <c r="F132" s="155">
        <v>16034</v>
      </c>
      <c r="G132" s="112">
        <f t="shared" si="10"/>
        <v>519.57999999999993</v>
      </c>
      <c r="H132" s="99">
        <f>G132+'8'!H132</f>
        <v>4496.2800000000007</v>
      </c>
      <c r="I132" s="165"/>
      <c r="J132" s="348">
        <f>H132/DAY(B2)</f>
        <v>499.58666666666676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'8'!F133</f>
        <v>46929.34</v>
      </c>
      <c r="F133" s="155">
        <v>47487</v>
      </c>
      <c r="G133" s="112">
        <f t="shared" si="10"/>
        <v>557.66000000000349</v>
      </c>
      <c r="H133" s="99">
        <f>G133+'8'!H133</f>
        <v>6637.7099999999991</v>
      </c>
      <c r="I133" s="165"/>
      <c r="J133" s="348">
        <f>H133/DAY(B2)</f>
        <v>737.5233333333332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'8'!F134</f>
        <v>618203</v>
      </c>
      <c r="F134" s="155">
        <v>618825</v>
      </c>
      <c r="G134" s="112">
        <f t="shared" si="10"/>
        <v>622</v>
      </c>
      <c r="H134" s="99">
        <f>G134+'8'!H134</f>
        <v>5658</v>
      </c>
      <c r="I134" s="165"/>
      <c r="J134" s="348">
        <f>H134/DAY(B2)</f>
        <v>628.66666666666663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SUM(G128:G134)</f>
        <v>4863.6800000000039</v>
      </c>
      <c r="H135" s="99">
        <f>G135+'8'!H135</f>
        <v>45478.06</v>
      </c>
      <c r="I135" s="347">
        <f>G135-(G35+G49)</f>
        <v>1406.6400000000176</v>
      </c>
      <c r="J135" s="348">
        <f>H135/DAY(B2)</f>
        <v>5053.1177777777775</v>
      </c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'8'!F138</f>
        <v>860070</v>
      </c>
      <c r="F138" s="147">
        <v>860112</v>
      </c>
      <c r="G138" s="112">
        <f t="shared" ref="G138:G152" si="11">F138-E138</f>
        <v>42</v>
      </c>
      <c r="H138" s="99">
        <f>G138+'8'!H138</f>
        <v>465</v>
      </c>
      <c r="I138" s="118"/>
      <c r="J138" s="348">
        <f>H138/DAY(B2)</f>
        <v>51.666666666666664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'8'!F139</f>
        <v>886108</v>
      </c>
      <c r="F139" s="148">
        <v>886109</v>
      </c>
      <c r="G139" s="112">
        <f t="shared" si="11"/>
        <v>1</v>
      </c>
      <c r="H139" s="99">
        <f>G139+'8'!H139</f>
        <v>7</v>
      </c>
      <c r="I139" s="118"/>
      <c r="J139" s="348">
        <f>H139/DAY(B2)</f>
        <v>0.77777777777777779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'8'!F140</f>
        <v>88826.5</v>
      </c>
      <c r="F140" s="149">
        <v>88828</v>
      </c>
      <c r="G140" s="112">
        <f t="shared" si="11"/>
        <v>1.5</v>
      </c>
      <c r="H140" s="99">
        <f>G140+'8'!H140</f>
        <v>11</v>
      </c>
      <c r="I140" s="118"/>
      <c r="J140" s="348">
        <f>H140/DAY(B2)</f>
        <v>1.2222222222222223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'8'!F141</f>
        <v>38793.35</v>
      </c>
      <c r="F141" s="149">
        <v>38973</v>
      </c>
      <c r="G141" s="112">
        <f t="shared" si="11"/>
        <v>179.65000000000146</v>
      </c>
      <c r="H141" s="99">
        <f>G141+'8'!H141</f>
        <v>1685.0500000000029</v>
      </c>
      <c r="I141" s="118"/>
      <c r="J141" s="348">
        <f>H141/DAY(B2)</f>
        <v>187.2277777777781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'8'!F142</f>
        <v>17091.61</v>
      </c>
      <c r="F142" s="148">
        <v>17106</v>
      </c>
      <c r="G142" s="112">
        <f t="shared" si="11"/>
        <v>14.389999999999418</v>
      </c>
      <c r="H142" s="99">
        <f>G142+'8'!H142</f>
        <v>144.13000000000102</v>
      </c>
      <c r="I142" s="140"/>
      <c r="J142" s="348">
        <f>H142/DAY(B2)</f>
        <v>16.014444444444557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'8'!F143</f>
        <v>1574.13</v>
      </c>
      <c r="F143" s="149">
        <v>1602</v>
      </c>
      <c r="G143" s="112">
        <f t="shared" si="11"/>
        <v>27.869999999999891</v>
      </c>
      <c r="H143" s="99">
        <f>G143+'8'!H143</f>
        <v>218.81999999999994</v>
      </c>
      <c r="I143" s="140"/>
      <c r="J143" s="348">
        <f>H143/DAY(B2)</f>
        <v>24.313333333333325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'8'!F144</f>
        <v>857181</v>
      </c>
      <c r="F144" s="149">
        <v>857418</v>
      </c>
      <c r="G144" s="112">
        <f t="shared" si="11"/>
        <v>237</v>
      </c>
      <c r="H144" s="99">
        <f>G144+'8'!H144</f>
        <v>2049</v>
      </c>
      <c r="I144" s="140"/>
      <c r="J144" s="348">
        <f>H144/DAY(B2)</f>
        <v>227.66666666666666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'8'!F145</f>
        <v>2504.73</v>
      </c>
      <c r="F145" s="149">
        <v>2543</v>
      </c>
      <c r="G145" s="112">
        <f t="shared" si="11"/>
        <v>38.269999999999982</v>
      </c>
      <c r="H145" s="99">
        <f>G145+'8'!H145</f>
        <v>330</v>
      </c>
      <c r="I145" s="140"/>
      <c r="J145" s="348">
        <f>H145/DAY(B2)</f>
        <v>36.666666666666664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'8'!F146</f>
        <v>701548</v>
      </c>
      <c r="F146" s="148">
        <v>701995</v>
      </c>
      <c r="G146" s="112">
        <f t="shared" si="11"/>
        <v>447</v>
      </c>
      <c r="H146" s="99">
        <f>G146+'8'!H146</f>
        <v>3476</v>
      </c>
      <c r="I146" s="140"/>
      <c r="J146" s="348">
        <f>H146/DAY(B2)</f>
        <v>386.22222222222223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'8'!F147</f>
        <v>592057.56000000006</v>
      </c>
      <c r="F147" s="148">
        <v>592468</v>
      </c>
      <c r="G147" s="112">
        <f t="shared" si="11"/>
        <v>410.43999999994412</v>
      </c>
      <c r="H147" s="99">
        <f>G147+'8'!H147</f>
        <v>3557.0799999999581</v>
      </c>
      <c r="I147" s="140"/>
      <c r="J147" s="348">
        <f>H147/DAY(B2)</f>
        <v>395.23111111110643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'8'!F148</f>
        <v>666969.64</v>
      </c>
      <c r="F148" s="150">
        <v>667227</v>
      </c>
      <c r="G148" s="112">
        <f t="shared" si="11"/>
        <v>257.35999999998603</v>
      </c>
      <c r="H148" s="99">
        <f>G148+'8'!H148</f>
        <v>2118.8800000000047</v>
      </c>
      <c r="I148" s="124"/>
      <c r="J148" s="348">
        <f>H148/DAY(B2)</f>
        <v>235.43111111111162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'8'!F149</f>
        <v>87487</v>
      </c>
      <c r="F149" s="146">
        <v>87815</v>
      </c>
      <c r="G149" s="112">
        <f t="shared" si="11"/>
        <v>328</v>
      </c>
      <c r="H149" s="99">
        <f>G149+'8'!H149</f>
        <v>3068</v>
      </c>
      <c r="I149" s="119"/>
      <c r="J149" s="348">
        <f>H149/DAY(B2)</f>
        <v>340.88888888888891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'8'!F150</f>
        <v>7167232</v>
      </c>
      <c r="F150" s="233">
        <v>7167232</v>
      </c>
      <c r="G150" s="112">
        <f t="shared" si="11"/>
        <v>0</v>
      </c>
      <c r="H150" s="99">
        <f>G150+'8'!H150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'8'!F151</f>
        <v>64987</v>
      </c>
      <c r="F151" s="233">
        <v>65194</v>
      </c>
      <c r="G151" s="112">
        <f t="shared" si="11"/>
        <v>207</v>
      </c>
      <c r="H151" s="99">
        <f>G151+'8'!H151</f>
        <v>2184</v>
      </c>
      <c r="I151" s="119"/>
      <c r="J151" s="348">
        <f>H151/DAY(B2)</f>
        <v>242.66666666666666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'8'!F152</f>
        <v>0</v>
      </c>
      <c r="F152" s="233">
        <v>0</v>
      </c>
      <c r="G152" s="112">
        <f t="shared" si="11"/>
        <v>0</v>
      </c>
      <c r="H152" s="99">
        <f>G152+'8'!H152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2191.4799999999309</v>
      </c>
      <c r="H153" s="383"/>
      <c r="I153" s="119">
        <f>G153-(G38+G52)</f>
        <v>422.85999999993555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'8'!F155</f>
        <v>77328.7</v>
      </c>
      <c r="F155" s="394">
        <v>77336</v>
      </c>
      <c r="G155" s="112">
        <f t="shared" ref="G155:G156" si="12">F155-E155</f>
        <v>7.3000000000029104</v>
      </c>
      <c r="H155" s="99">
        <f>G155+'8'!H155</f>
        <v>61.399999999994179</v>
      </c>
      <c r="I155" s="384"/>
      <c r="J155" s="348">
        <f>H155/DAY(B2)</f>
        <v>6.8222222222215754</v>
      </c>
    </row>
    <row r="156" spans="1:10" ht="27.75">
      <c r="A156" s="771" t="s">
        <v>346</v>
      </c>
      <c r="B156" s="771"/>
      <c r="C156" s="771"/>
      <c r="D156" s="117" t="s">
        <v>130</v>
      </c>
      <c r="E156" s="95">
        <f>'8'!F156</f>
        <v>0</v>
      </c>
      <c r="F156" s="155">
        <v>0</v>
      </c>
      <c r="G156" s="112">
        <f t="shared" si="12"/>
        <v>0</v>
      </c>
      <c r="H156" s="99">
        <f>G156+'8'!H156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'8'!F158</f>
        <v>469735.96</v>
      </c>
      <c r="F158" s="235">
        <v>469772</v>
      </c>
      <c r="G158" s="238">
        <f t="shared" ref="G158:G163" si="13">F158-E158</f>
        <v>36.039999999979045</v>
      </c>
      <c r="H158" s="99">
        <f>G158+'8'!H158</f>
        <v>242.96000000002095</v>
      </c>
      <c r="I158" s="236"/>
      <c r="J158" s="239">
        <f>H158/DAY(B2)</f>
        <v>26.995555555557885</v>
      </c>
    </row>
    <row r="159" spans="1:10" ht="27" customHeight="1">
      <c r="A159" s="242" t="s">
        <v>93</v>
      </c>
      <c r="B159" s="243"/>
      <c r="C159" s="243"/>
      <c r="D159" s="244" t="s">
        <v>180</v>
      </c>
      <c r="E159" s="95">
        <f>'8'!F159</f>
        <v>85899.3</v>
      </c>
      <c r="F159" s="235">
        <v>85937</v>
      </c>
      <c r="G159" s="238">
        <f t="shared" si="13"/>
        <v>37.69999999999709</v>
      </c>
      <c r="H159" s="99">
        <f>G159+'8'!H159</f>
        <v>231.39999999999418</v>
      </c>
      <c r="I159" s="236"/>
      <c r="J159" s="239">
        <f>H159/DAY(B2)</f>
        <v>25.711111111110466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'8'!F160</f>
        <v>73779.3</v>
      </c>
      <c r="F160" s="235">
        <v>73858</v>
      </c>
      <c r="G160" s="238">
        <f t="shared" si="13"/>
        <v>78.69999999999709</v>
      </c>
      <c r="H160" s="99">
        <f>G160+'8'!H160</f>
        <v>521.10000000000582</v>
      </c>
      <c r="I160" s="236"/>
      <c r="J160" s="239">
        <f>H160/DAY(B2)</f>
        <v>57.900000000000645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'8'!F161</f>
        <v>3981</v>
      </c>
      <c r="F161" s="235">
        <v>3987</v>
      </c>
      <c r="G161" s="238">
        <f t="shared" si="13"/>
        <v>6</v>
      </c>
      <c r="H161" s="99">
        <f>G161+'8'!H161</f>
        <v>13.5</v>
      </c>
      <c r="I161" s="236"/>
      <c r="J161" s="239">
        <f>H161/DAY(B2)</f>
        <v>1.5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'8'!F162</f>
        <v>29259</v>
      </c>
      <c r="F162" s="235">
        <v>29269</v>
      </c>
      <c r="G162" s="238">
        <f t="shared" si="13"/>
        <v>10</v>
      </c>
      <c r="H162" s="99">
        <f>G162+'8'!H162</f>
        <v>70.860000000000582</v>
      </c>
      <c r="I162" s="236"/>
      <c r="J162" s="239">
        <f>H162/DAY(B2)</f>
        <v>7.8733333333333979</v>
      </c>
    </row>
    <row r="163" spans="1:10" ht="29.25">
      <c r="A163" s="780"/>
      <c r="B163" s="780"/>
      <c r="C163" s="247"/>
      <c r="D163" s="244" t="s">
        <v>180</v>
      </c>
      <c r="E163" s="95">
        <f>'8'!F163</f>
        <v>0</v>
      </c>
      <c r="F163" s="165">
        <v>0</v>
      </c>
      <c r="G163" s="165">
        <f t="shared" si="13"/>
        <v>0</v>
      </c>
      <c r="H163" s="99">
        <f>G163+'8'!H163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'8'!F164</f>
        <v>0</v>
      </c>
      <c r="F164" s="165"/>
      <c r="G164" s="165"/>
      <c r="H164" s="99">
        <f>G164+'8'!H164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'8'!F165</f>
        <v>0</v>
      </c>
      <c r="F165" s="165"/>
      <c r="G165" s="165"/>
      <c r="H165" s="99">
        <f>G165+'8'!H165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'8'!F170</f>
        <v>8021</v>
      </c>
      <c r="F170" s="155">
        <v>8021</v>
      </c>
      <c r="G170" s="155">
        <f>F170-E170</f>
        <v>0</v>
      </c>
      <c r="H170" s="99">
        <f>G170+'8'!H170</f>
        <v>23</v>
      </c>
      <c r="I170" s="155"/>
      <c r="J170" s="178">
        <f>H170/DAY(B2)</f>
        <v>2.5555555555555554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'8'!F171</f>
        <v>37479</v>
      </c>
      <c r="F171" s="157">
        <v>37500</v>
      </c>
      <c r="G171" s="155">
        <f t="shared" ref="G171:G172" si="14">F171-E171</f>
        <v>21</v>
      </c>
      <c r="H171" s="99">
        <f>G171+'8'!H171</f>
        <v>117</v>
      </c>
      <c r="I171" s="155"/>
      <c r="J171" s="178">
        <f>H171/DAY(B2)</f>
        <v>13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'8'!F172</f>
        <v>20871</v>
      </c>
      <c r="F172" s="155">
        <v>20885</v>
      </c>
      <c r="G172" s="155">
        <f t="shared" si="14"/>
        <v>14</v>
      </c>
      <c r="H172" s="99">
        <f>G172+'8'!H172</f>
        <v>97</v>
      </c>
      <c r="I172" s="155"/>
      <c r="J172" s="178">
        <f>H172/DAY(B2)</f>
        <v>10.777777777777779</v>
      </c>
    </row>
    <row r="173" spans="1:10" ht="27.75">
      <c r="A173" s="775" t="s">
        <v>196</v>
      </c>
      <c r="B173" s="776"/>
      <c r="C173" s="353"/>
      <c r="D173" s="228" t="s">
        <v>142</v>
      </c>
      <c r="E173" s="95"/>
      <c r="F173" s="155"/>
      <c r="G173" s="155">
        <f>SUM(G170:G172)</f>
        <v>35</v>
      </c>
      <c r="H173" s="99">
        <f>G173+'8'!H173</f>
        <v>237</v>
      </c>
      <c r="I173" s="155"/>
      <c r="J173" s="178">
        <f>H173/DAY(B2)</f>
        <v>26.333333333333332</v>
      </c>
    </row>
    <row r="174" spans="1:10" ht="27.75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G174+'8'!H174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'8'!F175</f>
        <v>75259</v>
      </c>
      <c r="F175" s="155">
        <v>75321</v>
      </c>
      <c r="G175" s="155">
        <f>F175-E175</f>
        <v>62</v>
      </c>
      <c r="H175" s="99">
        <f>G175+'8'!H175</f>
        <v>702</v>
      </c>
      <c r="I175" s="155"/>
      <c r="J175" s="178">
        <f>H175/DAY(B2)</f>
        <v>78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'8'!F176</f>
        <v>33886</v>
      </c>
      <c r="F176" s="155">
        <v>33886</v>
      </c>
      <c r="G176" s="155">
        <f t="shared" ref="G176:G177" si="15">F176-E176</f>
        <v>0</v>
      </c>
      <c r="H176" s="99">
        <f>G176+'8'!H176</f>
        <v>0</v>
      </c>
      <c r="I176" s="155"/>
      <c r="J176" s="178">
        <f>H176/DAY(B2)</f>
        <v>0</v>
      </c>
    </row>
    <row r="177" spans="1:10" ht="31.5" customHeight="1">
      <c r="A177" s="786" t="s">
        <v>212</v>
      </c>
      <c r="B177" s="787"/>
      <c r="C177" s="353"/>
      <c r="D177" s="228" t="s">
        <v>142</v>
      </c>
      <c r="E177" s="95">
        <f>'8'!F177</f>
        <v>5105</v>
      </c>
      <c r="F177" s="155">
        <v>5106</v>
      </c>
      <c r="G177" s="155">
        <f t="shared" si="15"/>
        <v>1</v>
      </c>
      <c r="H177" s="99">
        <f>G177+'8'!H177</f>
        <v>65</v>
      </c>
      <c r="I177" s="155"/>
      <c r="J177" s="178">
        <f>H177/DAY(B2)</f>
        <v>7.2222222222222223</v>
      </c>
    </row>
    <row r="178" spans="1:10" ht="27.75">
      <c r="A178" s="788" t="s">
        <v>108</v>
      </c>
      <c r="B178" s="789"/>
      <c r="C178" s="353"/>
      <c r="D178" s="228" t="s">
        <v>142</v>
      </c>
      <c r="E178" s="95"/>
      <c r="F178" s="155"/>
      <c r="G178" s="155">
        <f>SUM(G175:G177)</f>
        <v>63</v>
      </c>
      <c r="H178" s="99">
        <f>G178+'8'!H178</f>
        <v>767</v>
      </c>
      <c r="I178" s="155"/>
      <c r="J178" s="178">
        <f>H178/DAY(B2)</f>
        <v>85.222222222222229</v>
      </c>
    </row>
    <row r="179" spans="1:10" ht="27.75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G179+'8'!H179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'8'!F180</f>
        <v>14165</v>
      </c>
      <c r="F180" s="157">
        <v>14176</v>
      </c>
      <c r="G180" s="157">
        <f>F180-E180</f>
        <v>11</v>
      </c>
      <c r="H180" s="99">
        <f>G180+'8'!H180</f>
        <v>145</v>
      </c>
      <c r="I180" s="155"/>
      <c r="J180" s="178">
        <f>H180/DAY(B2)</f>
        <v>16.111111111111111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'8'!F181</f>
        <v>9828</v>
      </c>
      <c r="F181" s="157">
        <v>9835</v>
      </c>
      <c r="G181" s="157">
        <f t="shared" ref="G181:G182" si="16">F181-E181</f>
        <v>7</v>
      </c>
      <c r="H181" s="99">
        <f>G181+'8'!H181</f>
        <v>81</v>
      </c>
      <c r="I181" s="155"/>
      <c r="J181" s="178">
        <f>H181/DAY(B2)</f>
        <v>9</v>
      </c>
    </row>
    <row r="182" spans="1:10" ht="35.25" customHeight="1">
      <c r="A182" s="786" t="s">
        <v>216</v>
      </c>
      <c r="B182" s="787"/>
      <c r="C182" s="354"/>
      <c r="D182" s="228" t="s">
        <v>142</v>
      </c>
      <c r="E182" s="95">
        <f>'8'!F182</f>
        <v>0</v>
      </c>
      <c r="F182" s="157">
        <v>0</v>
      </c>
      <c r="G182" s="157">
        <f t="shared" si="16"/>
        <v>0</v>
      </c>
      <c r="H182" s="99">
        <f>G182+'8'!H182</f>
        <v>0</v>
      </c>
      <c r="I182" s="155"/>
      <c r="J182" s="178">
        <f>H182/DAY(B2)</f>
        <v>0</v>
      </c>
    </row>
    <row r="183" spans="1:10" ht="27" customHeight="1">
      <c r="A183" s="775" t="s">
        <v>196</v>
      </c>
      <c r="B183" s="776"/>
      <c r="C183" s="354"/>
      <c r="D183" s="228" t="s">
        <v>142</v>
      </c>
      <c r="E183" s="95"/>
      <c r="F183" s="157"/>
      <c r="G183" s="157">
        <f>SUM(G180:G182)</f>
        <v>18</v>
      </c>
      <c r="H183" s="99">
        <f>G183+'8'!H183</f>
        <v>226</v>
      </c>
      <c r="I183" s="157"/>
      <c r="J183" s="178">
        <f>H183/DAY(B2)</f>
        <v>25.111111111111111</v>
      </c>
    </row>
    <row r="184" spans="1:10" ht="27.75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165</v>
      </c>
      <c r="H184" s="99">
        <f>G184+'8'!H184</f>
        <v>1537</v>
      </c>
      <c r="I184" s="158"/>
      <c r="J184" s="179">
        <f>H184/DAY(B2)</f>
        <v>170.77777777777777</v>
      </c>
    </row>
    <row r="185" spans="1:10" ht="27.75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171</v>
      </c>
      <c r="H185" s="99">
        <f>G185+'8'!H185</f>
        <v>1555</v>
      </c>
      <c r="I185" s="158"/>
      <c r="J185" s="179">
        <f>H185/DAY(B2)</f>
        <v>172.77777777777777</v>
      </c>
    </row>
    <row r="186" spans="1:10" ht="27.75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63</v>
      </c>
      <c r="H186" s="99">
        <f>G186+'8'!H186</f>
        <v>767</v>
      </c>
      <c r="I186" s="158"/>
      <c r="J186" s="179">
        <f>H186/DAY(B2)</f>
        <v>85.222222222222229</v>
      </c>
    </row>
    <row r="187" spans="1:10" ht="29.25" customHeight="1">
      <c r="A187" s="784"/>
      <c r="B187" s="785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  <row r="190" spans="1:10" ht="19.5" customHeight="1"/>
    <row r="191" spans="1:10" ht="19.5" customHeight="1"/>
    <row r="192" spans="1:10" ht="19.5" customHeight="1"/>
    <row r="193" ht="19.5" customHeight="1"/>
    <row r="194" ht="19.5" customHeight="1"/>
    <row r="195" ht="19.5" customHeight="1"/>
    <row r="196" ht="19.5" customHeight="1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</sheetData>
  <mergeCells count="112">
    <mergeCell ref="A122:C122"/>
    <mergeCell ref="A123:C123"/>
    <mergeCell ref="A124:C124"/>
    <mergeCell ref="A125:B125"/>
    <mergeCell ref="A126:J126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83:B183"/>
    <mergeCell ref="A180:B180"/>
    <mergeCell ref="A178:B178"/>
    <mergeCell ref="A179:B179"/>
    <mergeCell ref="A176:B176"/>
    <mergeCell ref="A177:B177"/>
    <mergeCell ref="A172:C172"/>
    <mergeCell ref="A165:B165"/>
    <mergeCell ref="A168:J168"/>
    <mergeCell ref="A169:B169"/>
    <mergeCell ref="A170:B170"/>
    <mergeCell ref="A171:B171"/>
    <mergeCell ref="A173:B173"/>
    <mergeCell ref="A174:B174"/>
    <mergeCell ref="A175:B175"/>
    <mergeCell ref="A121:C121"/>
    <mergeCell ref="A184:B184"/>
    <mergeCell ref="A185:B185"/>
    <mergeCell ref="A186:B186"/>
    <mergeCell ref="A187:B187"/>
    <mergeCell ref="A141:C141"/>
    <mergeCell ref="A142:C142"/>
    <mergeCell ref="A157:J157"/>
    <mergeCell ref="A163:B163"/>
    <mergeCell ref="A164:B164"/>
    <mergeCell ref="A181:B181"/>
    <mergeCell ref="A182:B182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</mergeCells>
  <pageMargins left="0.22" right="0.17" top="0.14000000000000001" bottom="0.2" header="0.2" footer="0.2"/>
  <pageSetup paperSize="5" scale="1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67"/>
  <sheetViews>
    <sheetView view="pageBreakPreview" topLeftCell="A118" zoomScale="50" zoomScaleNormal="55" zoomScaleSheetLayoutView="50" workbookViewId="0">
      <selection activeCell="I153" sqref="I15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303</v>
      </c>
      <c r="B2" s="266">
        <v>44479</v>
      </c>
      <c r="C2" s="36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27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'9'!F7</f>
        <v>883677</v>
      </c>
      <c r="F7" s="95">
        <v>904492</v>
      </c>
      <c r="G7" s="112">
        <f>F7-E7</f>
        <v>20815</v>
      </c>
      <c r="H7" s="99">
        <f>G7+'9'!H7</f>
        <v>218228.69999999995</v>
      </c>
      <c r="I7" s="113">
        <f>'1'!I7</f>
        <v>12000</v>
      </c>
      <c r="J7" s="175">
        <f>H7/DAY(B2)</f>
        <v>21822.869999999995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'9'!F8</f>
        <v>914014</v>
      </c>
      <c r="F8" s="114">
        <v>935024</v>
      </c>
      <c r="G8" s="115">
        <f>F8-E8</f>
        <v>21010</v>
      </c>
      <c r="H8" s="99">
        <f>G8+'9'!H8</f>
        <v>221860.09999999998</v>
      </c>
      <c r="I8" s="116"/>
      <c r="J8" s="175">
        <f>H8/DAY(B2)</f>
        <v>22186.01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'9'!F9</f>
        <v>1380952</v>
      </c>
      <c r="F9" s="117">
        <v>1393883</v>
      </c>
      <c r="G9" s="112">
        <f>F9-E9</f>
        <v>12931</v>
      </c>
      <c r="H9" s="99">
        <f>G9+'9'!H9</f>
        <v>132604.5</v>
      </c>
      <c r="I9" s="124">
        <f>I7-J7</f>
        <v>-9822.8699999999953</v>
      </c>
      <c r="J9" s="175">
        <f>H9/DAY(B2)</f>
        <v>13260.45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'9'!F10</f>
        <v>240869</v>
      </c>
      <c r="F10" s="117">
        <v>248199</v>
      </c>
      <c r="G10" s="112">
        <f t="shared" ref="G10:G12" si="0">F10-E10</f>
        <v>7330</v>
      </c>
      <c r="H10" s="99">
        <f>G10+'9'!H10</f>
        <v>79815.070000000007</v>
      </c>
      <c r="I10" s="286"/>
      <c r="J10" s="175">
        <f>H10/DAY(B2)</f>
        <v>7981.5070000000005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20261</v>
      </c>
      <c r="H13" s="99">
        <f>G13+'9'!H13</f>
        <v>191613.11</v>
      </c>
      <c r="I13" s="120">
        <f>G7-G13</f>
        <v>554</v>
      </c>
      <c r="J13" s="175">
        <f>H13/DAY(B2)</f>
        <v>19161.310999999998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'9'!F15</f>
        <v>1824359</v>
      </c>
      <c r="F15" s="123">
        <v>1825375</v>
      </c>
      <c r="G15" s="112">
        <f>(F15-E15)</f>
        <v>1016</v>
      </c>
      <c r="H15" s="99">
        <f>G15+'9'!H15</f>
        <v>9708.0400000000373</v>
      </c>
      <c r="I15" s="113">
        <f>'1'!I15</f>
        <v>800</v>
      </c>
      <c r="J15" s="175">
        <f>H15/DAY(B2)</f>
        <v>970.80400000000373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-170.80400000000373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'9'!F18</f>
        <v>20</v>
      </c>
      <c r="F18" s="122">
        <v>16</v>
      </c>
      <c r="G18" s="119">
        <f>F18*10</f>
        <v>160</v>
      </c>
      <c r="H18" s="99">
        <f>G18+'9'!H18</f>
        <v>1890</v>
      </c>
      <c r="I18" s="113">
        <f>'1'!I18</f>
        <v>65</v>
      </c>
      <c r="J18" s="175">
        <f>H18/DAY(B2)</f>
        <v>189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'9'!F19</f>
        <v>149432</v>
      </c>
      <c r="F19" s="122">
        <v>149497</v>
      </c>
      <c r="G19" s="112">
        <f t="shared" ref="G19" si="1">F19-E19</f>
        <v>65</v>
      </c>
      <c r="H19" s="99">
        <f>G19+'9'!H19</f>
        <v>580</v>
      </c>
      <c r="I19" s="355"/>
      <c r="J19" s="175">
        <f>H19/DAY(B2)</f>
        <v>58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225</v>
      </c>
      <c r="H20" s="99">
        <f>G20+'9'!H20</f>
        <v>2470</v>
      </c>
      <c r="I20" s="356">
        <f>I18-J20</f>
        <v>-182</v>
      </c>
      <c r="J20" s="175">
        <f>H20/DAY(B2)</f>
        <v>247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21010</v>
      </c>
      <c r="F27" s="136">
        <v>9</v>
      </c>
      <c r="G27" s="137">
        <f>E27*F27</f>
        <v>189090</v>
      </c>
      <c r="H27" s="99">
        <f>G27+'9'!H27</f>
        <v>1996740.9</v>
      </c>
      <c r="I27" s="138"/>
      <c r="J27" s="175">
        <f>H27/DAY(B2)</f>
        <v>199674.09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1016</v>
      </c>
      <c r="F28" s="136">
        <v>52</v>
      </c>
      <c r="G28" s="137">
        <f>E28*F28</f>
        <v>52832</v>
      </c>
      <c r="H28" s="99">
        <f>G28+'9'!H28</f>
        <v>504818.08000000194</v>
      </c>
      <c r="I28" s="140"/>
      <c r="J28" s="175">
        <f>H28/DAY(B2)</f>
        <v>50481.808000000194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65</v>
      </c>
      <c r="F30" s="136">
        <v>146</v>
      </c>
      <c r="G30" s="137">
        <f>E30*F30</f>
        <v>9490</v>
      </c>
      <c r="H30" s="99">
        <f>G30+'9'!H30</f>
        <v>84680</v>
      </c>
      <c r="I30" s="140"/>
      <c r="J30" s="175">
        <f>H30/DAY(B2)</f>
        <v>8468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G31+'9'!H31</f>
        <v>151200</v>
      </c>
      <c r="I31" s="140"/>
      <c r="J31" s="175">
        <f>H31/DAY(B2)</f>
        <v>15120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264212</v>
      </c>
      <c r="H32" s="99">
        <f>G32+'9'!H32</f>
        <v>2737438.9800000014</v>
      </c>
      <c r="I32" s="144"/>
      <c r="J32" s="175">
        <f>H32/DAY(B2)</f>
        <v>273743.89800000016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'9'!F35</f>
        <v>50322</v>
      </c>
      <c r="F35" s="145">
        <v>52331</v>
      </c>
      <c r="G35" s="112">
        <f t="shared" ref="G35:G46" si="3">F35-E35</f>
        <v>2009</v>
      </c>
      <c r="H35" s="99">
        <f>G35+'9'!H35</f>
        <v>19856.330000000002</v>
      </c>
      <c r="I35" s="95"/>
      <c r="J35" s="175">
        <f>H35/DAY(B2)</f>
        <v>1985.6330000000003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'9'!F36</f>
        <v>57009</v>
      </c>
      <c r="F36" s="145">
        <v>57891</v>
      </c>
      <c r="G36" s="112">
        <f t="shared" si="3"/>
        <v>882</v>
      </c>
      <c r="H36" s="99">
        <f>G36+'9'!H36</f>
        <v>7951.3300000000017</v>
      </c>
      <c r="I36" s="95"/>
      <c r="J36" s="175">
        <f>H36/DAY(B2)</f>
        <v>795.13300000000015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'9'!F37</f>
        <v>111273</v>
      </c>
      <c r="F37" s="145">
        <v>112861</v>
      </c>
      <c r="G37" s="112">
        <f t="shared" si="3"/>
        <v>1588</v>
      </c>
      <c r="H37" s="99">
        <f>G37+'9'!H37</f>
        <v>15807.169999999998</v>
      </c>
      <c r="I37" s="95"/>
      <c r="J37" s="175">
        <f>H37/DAY(B2)</f>
        <v>1580.7169999999999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'9'!F38</f>
        <v>131576</v>
      </c>
      <c r="F38" s="108">
        <v>133343</v>
      </c>
      <c r="G38" s="112">
        <f t="shared" si="3"/>
        <v>1767</v>
      </c>
      <c r="H38" s="99">
        <f>G38+'9'!H38</f>
        <v>18119.960000000006</v>
      </c>
      <c r="I38" s="95"/>
      <c r="J38" s="175">
        <f>H38/DAY(B2)</f>
        <v>1811.9960000000005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'9'!F39</f>
        <v>259232</v>
      </c>
      <c r="F39" s="145">
        <v>262116</v>
      </c>
      <c r="G39" s="112">
        <f t="shared" si="3"/>
        <v>2884</v>
      </c>
      <c r="H39" s="99">
        <f>G39+'9'!H39</f>
        <v>28734.950000000012</v>
      </c>
      <c r="I39" s="95"/>
      <c r="J39" s="175">
        <f>H39/DAY(B2)</f>
        <v>2873.4950000000013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'9'!F40</f>
        <v>66</v>
      </c>
      <c r="F40" s="145">
        <v>68</v>
      </c>
      <c r="G40" s="112">
        <f t="shared" si="3"/>
        <v>2</v>
      </c>
      <c r="H40" s="99">
        <f>G40+'9'!H40</f>
        <v>42.63</v>
      </c>
      <c r="I40" s="95"/>
      <c r="J40" s="175">
        <f>H40/DAY(B2)</f>
        <v>4.2629999999999999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'9'!F41</f>
        <v>582546.71</v>
      </c>
      <c r="F41" s="145">
        <v>582546.71</v>
      </c>
      <c r="G41" s="112">
        <f t="shared" si="3"/>
        <v>0</v>
      </c>
      <c r="H41" s="99">
        <f>G41+'9'!H41</f>
        <v>687.88000000000466</v>
      </c>
      <c r="I41" s="95"/>
      <c r="J41" s="175">
        <f>H41/DAY(B2)</f>
        <v>68.788000000000466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'9'!F42</f>
        <v>273305</v>
      </c>
      <c r="F42" s="145">
        <v>273305</v>
      </c>
      <c r="G42" s="112">
        <f t="shared" si="3"/>
        <v>0</v>
      </c>
      <c r="H42" s="99">
        <f>G42+'9'!H42</f>
        <v>2335.3300000000163</v>
      </c>
      <c r="I42" s="95"/>
      <c r="J42" s="175">
        <f>H42/DAY(B2)</f>
        <v>233.53300000000164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'9'!F43</f>
        <v>1470192</v>
      </c>
      <c r="F43" s="145">
        <v>1472708</v>
      </c>
      <c r="G43" s="112">
        <f t="shared" si="3"/>
        <v>2516</v>
      </c>
      <c r="H43" s="99">
        <f>G43+'9'!H43</f>
        <v>26620.600000000093</v>
      </c>
      <c r="I43" s="95"/>
      <c r="J43" s="175">
        <f>H43/DAY(B2)</f>
        <v>2662.0600000000095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11648</v>
      </c>
      <c r="H47" s="99">
        <f>G47+'9'!H47</f>
        <v>120156.18000000012</v>
      </c>
      <c r="I47" s="95"/>
      <c r="J47" s="175">
        <f>H47/DAY(B2)</f>
        <v>12015.618000000013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'9'!F49</f>
        <v>187194</v>
      </c>
      <c r="F49" s="145">
        <v>188412</v>
      </c>
      <c r="G49" s="112">
        <f t="shared" ref="G49:G58" si="4">F49-E49</f>
        <v>1218</v>
      </c>
      <c r="H49" s="99">
        <f>G49+'9'!H49</f>
        <v>15681.609999999986</v>
      </c>
      <c r="I49" s="95"/>
      <c r="J49" s="175">
        <f>H49/DAY(B2)</f>
        <v>1568.1609999999987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'9'!F50</f>
        <v>693792</v>
      </c>
      <c r="F50" s="145">
        <v>694881</v>
      </c>
      <c r="G50" s="112">
        <f t="shared" si="4"/>
        <v>1089</v>
      </c>
      <c r="H50" s="99">
        <f>G50+'9'!H50</f>
        <v>10518.689999999944</v>
      </c>
      <c r="I50" s="95"/>
      <c r="J50" s="175">
        <f>H50/DAY(B2)</f>
        <v>1051.8689999999945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'9'!F54</f>
        <v>2914</v>
      </c>
      <c r="F54" s="145">
        <v>2919</v>
      </c>
      <c r="G54" s="112">
        <f t="shared" si="4"/>
        <v>5</v>
      </c>
      <c r="H54" s="99">
        <f>G54+'9'!H54</f>
        <v>51.510000000000218</v>
      </c>
      <c r="I54" s="95"/>
      <c r="J54" s="175">
        <f>H54/DAY(B2)</f>
        <v>5.151000000000022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'9'!F55</f>
        <v>0</v>
      </c>
      <c r="F55" s="145">
        <v>0</v>
      </c>
      <c r="G55" s="112">
        <f t="shared" si="4"/>
        <v>0</v>
      </c>
      <c r="H55" s="99">
        <f>G55+'9'!H55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'9'!F56</f>
        <v>90583</v>
      </c>
      <c r="F56" s="145">
        <v>95426</v>
      </c>
      <c r="G56" s="112">
        <f t="shared" si="4"/>
        <v>4843</v>
      </c>
      <c r="H56" s="99">
        <f>G56+'9'!H56</f>
        <v>52585.71</v>
      </c>
      <c r="I56" s="95"/>
      <c r="J56" s="175">
        <f>H56/DAY(B2)</f>
        <v>5258.5709999999999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'9'!F58</f>
        <v>80820</v>
      </c>
      <c r="F58" s="145">
        <v>81011</v>
      </c>
      <c r="G58" s="112">
        <f t="shared" si="4"/>
        <v>191</v>
      </c>
      <c r="H58" s="99">
        <f>G58+'9'!H58</f>
        <v>1991.1000000000058</v>
      </c>
      <c r="I58" s="95"/>
      <c r="J58" s="175">
        <f>H58/DAY(B2)</f>
        <v>199.11000000000058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7346</v>
      </c>
      <c r="H59" s="99">
        <f>G59+'9'!H59</f>
        <v>80828.619999999937</v>
      </c>
      <c r="I59" s="95">
        <f>G7-G60</f>
        <v>1821</v>
      </c>
      <c r="J59" s="175">
        <f>H59/DAY(B2)</f>
        <v>8082.8619999999937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18994</v>
      </c>
      <c r="H60" s="99">
        <f>G60+'9'!H60</f>
        <v>200984.80000000008</v>
      </c>
      <c r="I60" s="95">
        <f>G13-G60</f>
        <v>1267</v>
      </c>
      <c r="J60" s="175">
        <f>H60/DAY(B2)</f>
        <v>20098.480000000007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'9'!F62</f>
        <v>260840</v>
      </c>
      <c r="F62" s="122">
        <v>260940</v>
      </c>
      <c r="G62" s="112">
        <f t="shared" ref="G62:G63" si="5">F62-E62</f>
        <v>100</v>
      </c>
      <c r="H62" s="99">
        <f>G62+'9'!H62</f>
        <v>1122</v>
      </c>
      <c r="I62" s="118"/>
      <c r="J62" s="175">
        <f>H62/DAY(B2)</f>
        <v>112.2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'9'!F63</f>
        <v>207170</v>
      </c>
      <c r="F63" s="122">
        <v>207266</v>
      </c>
      <c r="G63" s="112">
        <f t="shared" si="5"/>
        <v>96</v>
      </c>
      <c r="H63" s="99">
        <f>G63+'9'!H63</f>
        <v>996</v>
      </c>
      <c r="I63" s="118"/>
      <c r="J63" s="175">
        <f>H63/DAY(B2)</f>
        <v>99.6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'9'!F64</f>
        <v>0</v>
      </c>
      <c r="F64" s="122"/>
      <c r="G64" s="112">
        <f>G62+G63</f>
        <v>196</v>
      </c>
      <c r="H64" s="99">
        <f>G64+'9'!H64</f>
        <v>2118</v>
      </c>
      <c r="I64" s="118"/>
      <c r="J64" s="175">
        <f>H64/DAY(B2)</f>
        <v>211.8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'9'!F65</f>
        <v>427091</v>
      </c>
      <c r="F65" s="122">
        <v>427186</v>
      </c>
      <c r="G65" s="112">
        <f t="shared" ref="G65:G70" si="6">F65-E65</f>
        <v>95</v>
      </c>
      <c r="H65" s="99">
        <f>G65+'9'!H65</f>
        <v>981</v>
      </c>
      <c r="I65" s="118"/>
      <c r="J65" s="175">
        <f>H65/DAY(B2)</f>
        <v>98.1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'9'!F66</f>
        <v>106173</v>
      </c>
      <c r="F66" s="122">
        <v>106193</v>
      </c>
      <c r="G66" s="112">
        <f t="shared" si="6"/>
        <v>20</v>
      </c>
      <c r="H66" s="99">
        <f>G66+'9'!H66</f>
        <v>223</v>
      </c>
      <c r="I66" s="118"/>
      <c r="J66" s="175">
        <f>H66/DAY(B2)</f>
        <v>22.3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'9'!F67</f>
        <v>102417</v>
      </c>
      <c r="F67" s="122">
        <v>102440</v>
      </c>
      <c r="G67" s="112">
        <f t="shared" si="6"/>
        <v>23</v>
      </c>
      <c r="H67" s="99">
        <f>G67+'9'!H67</f>
        <v>269</v>
      </c>
      <c r="I67" s="118"/>
      <c r="J67" s="175">
        <f>H67/DAY(B2)</f>
        <v>26.9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'9'!F68</f>
        <v>154757</v>
      </c>
      <c r="F68" s="122">
        <v>154793</v>
      </c>
      <c r="G68" s="112">
        <f t="shared" si="6"/>
        <v>36</v>
      </c>
      <c r="H68" s="99">
        <f>G68+'9'!H68</f>
        <v>297</v>
      </c>
      <c r="I68" s="118"/>
      <c r="J68" s="175">
        <f>H68/DAY(B2)</f>
        <v>29.7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'9'!F69</f>
        <v>9585</v>
      </c>
      <c r="F69" s="122">
        <v>9596</v>
      </c>
      <c r="G69" s="112">
        <f t="shared" si="6"/>
        <v>11</v>
      </c>
      <c r="H69" s="99">
        <f>G69+'9'!H69</f>
        <v>131</v>
      </c>
      <c r="I69" s="118"/>
      <c r="J69" s="175">
        <f>H69/DAY(B2)</f>
        <v>13.1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'9'!F70</f>
        <v>7303</v>
      </c>
      <c r="F70" s="122">
        <v>7315</v>
      </c>
      <c r="G70" s="112">
        <f t="shared" si="6"/>
        <v>12</v>
      </c>
      <c r="H70" s="99">
        <f>G70+'9'!H70</f>
        <v>112</v>
      </c>
      <c r="I70" s="118"/>
      <c r="J70" s="175">
        <f>H70/DAY(B2)</f>
        <v>11.2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197</v>
      </c>
      <c r="H71" s="99">
        <f>G71+'9'!H71</f>
        <v>2013</v>
      </c>
      <c r="I71" s="154"/>
      <c r="J71" s="175">
        <f>H71/DAY(B2)</f>
        <v>201.3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'9'!F74</f>
        <v>876178</v>
      </c>
      <c r="F74" s="117">
        <v>876477</v>
      </c>
      <c r="G74" s="112">
        <f t="shared" ref="G74:G78" si="7">F74-E74</f>
        <v>299</v>
      </c>
      <c r="H74" s="99">
        <f>G74+'9'!H74</f>
        <v>2891.7689999999711</v>
      </c>
      <c r="I74" s="154"/>
      <c r="J74" s="175">
        <f>H74/DAY(B2)</f>
        <v>289.17689999999709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'9'!F75</f>
        <v>73586.8</v>
      </c>
      <c r="F75" s="123">
        <v>73586.8</v>
      </c>
      <c r="G75" s="112">
        <f t="shared" si="7"/>
        <v>0</v>
      </c>
      <c r="H75" s="99">
        <f>G75+'9'!H75</f>
        <v>3.4000000000087311</v>
      </c>
      <c r="I75" s="154"/>
      <c r="J75" s="175">
        <f>H75/DAY(B2)</f>
        <v>0.3400000000008731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'9'!F76</f>
        <v>160826</v>
      </c>
      <c r="F76" s="123">
        <v>160939</v>
      </c>
      <c r="G76" s="112">
        <f t="shared" si="7"/>
        <v>113</v>
      </c>
      <c r="H76" s="99">
        <f>G76+'9'!H76</f>
        <v>953.5</v>
      </c>
      <c r="I76" s="154"/>
      <c r="J76" s="175">
        <f>H76/DAY(B2)</f>
        <v>95.35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'9'!F77</f>
        <v>37857</v>
      </c>
      <c r="F77" s="123">
        <v>37892</v>
      </c>
      <c r="G77" s="112">
        <f t="shared" si="7"/>
        <v>35</v>
      </c>
      <c r="H77" s="99">
        <f>G77+'9'!H77</f>
        <v>394.5</v>
      </c>
      <c r="I77" s="154"/>
      <c r="J77" s="175">
        <f>H77/DAY(B2)</f>
        <v>39.450000000000003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'9'!F78</f>
        <v>9349</v>
      </c>
      <c r="F78" s="123">
        <v>9350</v>
      </c>
      <c r="G78" s="112">
        <f t="shared" si="7"/>
        <v>1</v>
      </c>
      <c r="H78" s="99">
        <f>G78+'9'!H78</f>
        <v>20.600000000000364</v>
      </c>
      <c r="I78" s="118"/>
      <c r="J78" s="175">
        <f>H78/DAY(B2)</f>
        <v>2.0600000000000365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'9'!F79</f>
        <v>0</v>
      </c>
      <c r="F79" s="117"/>
      <c r="G79" s="112">
        <f>G15-SUM(G74:G78)</f>
        <v>568</v>
      </c>
      <c r="H79" s="99">
        <f>G79+'9'!H79</f>
        <v>5444.271000000057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1016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'9'!F82</f>
        <v>0</v>
      </c>
      <c r="F82" s="122"/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'9'!F83</f>
        <v>0</v>
      </c>
      <c r="F83" s="122"/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'9'!F84</f>
        <v>41589.089999999997</v>
      </c>
      <c r="F84" s="164">
        <v>41589.089999999997</v>
      </c>
      <c r="G84" s="112">
        <f t="shared" si="8"/>
        <v>0</v>
      </c>
      <c r="H84" s="99">
        <f>G84+'9'!H84</f>
        <v>3.5299999999988358</v>
      </c>
      <c r="I84" s="118"/>
      <c r="J84" s="175">
        <f>H84/DAY(B2)</f>
        <v>0.35299999999988357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'9'!F85</f>
        <v>1317.51</v>
      </c>
      <c r="F85" s="164">
        <v>1317.51</v>
      </c>
      <c r="G85" s="112">
        <f t="shared" si="8"/>
        <v>0</v>
      </c>
      <c r="H85" s="99">
        <f>G85+'9'!H85</f>
        <v>12.509999999999991</v>
      </c>
      <c r="I85" s="118">
        <f>G82+G83+G84+G85</f>
        <v>0</v>
      </c>
      <c r="J85" s="175">
        <f>H85/DAY(B2)</f>
        <v>1.250999999999999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'9'!F86</f>
        <v>42826.47</v>
      </c>
      <c r="F86" s="164">
        <v>42826.47</v>
      </c>
      <c r="G86" s="112">
        <f t="shared" si="8"/>
        <v>0</v>
      </c>
      <c r="H86" s="99">
        <f>G86+'9'!H86</f>
        <v>0.47000000000116415</v>
      </c>
      <c r="I86" s="118"/>
      <c r="J86" s="175">
        <f>H86/DAY(B2)</f>
        <v>4.7000000000116414E-2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'9'!F87</f>
        <v>33966</v>
      </c>
      <c r="F87" s="164">
        <v>33990</v>
      </c>
      <c r="G87" s="112">
        <f t="shared" si="8"/>
        <v>24</v>
      </c>
      <c r="H87" s="99">
        <f>G87+'9'!H87</f>
        <v>242</v>
      </c>
      <c r="I87" s="118"/>
      <c r="J87" s="175">
        <f>H87/DAY(B2)</f>
        <v>24.2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'9'!F88</f>
        <v>23873.52</v>
      </c>
      <c r="F88" s="164">
        <v>23873.52</v>
      </c>
      <c r="G88" s="112">
        <f t="shared" si="8"/>
        <v>0</v>
      </c>
      <c r="H88" s="99">
        <f>G88+'9'!H88</f>
        <v>39.950000000000728</v>
      </c>
      <c r="I88" s="118">
        <f>G86+G87+G88</f>
        <v>24</v>
      </c>
      <c r="J88" s="175">
        <f>H88/DAY(B2)</f>
        <v>3.9950000000000729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'9'!F89</f>
        <v>25289.54</v>
      </c>
      <c r="F89" s="164">
        <v>25298.92</v>
      </c>
      <c r="G89" s="112">
        <f t="shared" si="8"/>
        <v>9.3799999999973807</v>
      </c>
      <c r="H89" s="99">
        <f>G89+'9'!H89</f>
        <v>53.539999999997235</v>
      </c>
      <c r="I89" s="118"/>
      <c r="J89" s="175">
        <f>H89/DAY(B2)</f>
        <v>5.3539999999997239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'9'!F90</f>
        <v>70693.95</v>
      </c>
      <c r="F90" s="164">
        <v>70700.28</v>
      </c>
      <c r="G90" s="112">
        <f t="shared" si="8"/>
        <v>6.3300000000017462</v>
      </c>
      <c r="H90" s="99">
        <f>G90+'9'!H90</f>
        <v>44.869999999995343</v>
      </c>
      <c r="I90" s="118">
        <f>G89+G90</f>
        <v>15.709999999999127</v>
      </c>
      <c r="J90" s="175">
        <f>H90/DAY(B2)</f>
        <v>4.4869999999995347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'9'!F92</f>
        <v>4882.9399999999996</v>
      </c>
      <c r="F92" s="122">
        <v>4893.43</v>
      </c>
      <c r="G92" s="112">
        <f t="shared" si="8"/>
        <v>10.490000000000691</v>
      </c>
      <c r="H92" s="99">
        <f>G92+'9'!H92</f>
        <v>101.61000000000058</v>
      </c>
      <c r="I92" s="165"/>
      <c r="J92" s="175">
        <f>H92/DAY(B2)</f>
        <v>10.161000000000058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5743</v>
      </c>
      <c r="H94" s="99">
        <f>G94+'9'!H94</f>
        <v>62158.540000000081</v>
      </c>
      <c r="I94" s="118"/>
      <c r="J94" s="175">
        <f>H94/DAY(B2)</f>
        <v>6215.8540000000085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0.27590679798222434</v>
      </c>
      <c r="H95" s="99">
        <f>G95+'9'!H95</f>
        <v>2.8498281215392853</v>
      </c>
      <c r="I95" s="167"/>
      <c r="J95" s="175">
        <f>H95/DAY(B2)</f>
        <v>0.28498281215392851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4843</v>
      </c>
      <c r="H96" s="99">
        <f>G96+'9'!H96</f>
        <v>55608.92000000002</v>
      </c>
      <c r="I96" s="118"/>
      <c r="J96" s="175">
        <f>H96/DAY(B2)</f>
        <v>5560.8920000000016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0.23266874849867883</v>
      </c>
      <c r="H97" s="99">
        <f>G97+'9'!H97</f>
        <v>2.5424749667726689</v>
      </c>
      <c r="I97" s="167"/>
      <c r="J97" s="175">
        <f>H97/DAY(B2)</f>
        <v>0.25424749667726687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2884</v>
      </c>
      <c r="H98" s="99">
        <f>G98+'9'!H98</f>
        <v>28734.950000000012</v>
      </c>
      <c r="I98" s="168"/>
      <c r="J98" s="175">
        <f>H98/DAY(B2)</f>
        <v>2873.4950000000013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0.13855392745616144</v>
      </c>
      <c r="H99" s="99">
        <f>G99+'9'!H99</f>
        <v>1.3186663370508915</v>
      </c>
      <c r="I99" s="168"/>
      <c r="J99" s="175">
        <f>H99/DAY(B2)</f>
        <v>0.13186663370508916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1767</v>
      </c>
      <c r="H100" s="99">
        <f>G100+'9'!H100</f>
        <v>18119.960000000006</v>
      </c>
      <c r="I100" s="118"/>
      <c r="J100" s="175">
        <f>H100/DAY(B2)</f>
        <v>1811.9960000000005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8.4890703819361035E-2</v>
      </c>
      <c r="H101" s="99">
        <f>G101+'9'!H101</f>
        <v>0.83102492543270812</v>
      </c>
      <c r="I101" s="168"/>
      <c r="J101" s="175">
        <f>H101/DAY(B2)</f>
        <v>8.3102492543270817E-2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1971</v>
      </c>
      <c r="H102" s="99">
        <f>G102+'9'!H102</f>
        <v>18470.019999999946</v>
      </c>
      <c r="I102" s="168"/>
      <c r="J102" s="175">
        <f>H102/DAY(B2)</f>
        <v>1847.0019999999945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9.4691328368964683E-2</v>
      </c>
      <c r="H103" s="99">
        <f>G103+'9'!H103</f>
        <v>0.84603433150154905</v>
      </c>
      <c r="I103" s="118"/>
      <c r="J103" s="175">
        <f>H103/DAY(B2)</f>
        <v>8.4603433150154908E-2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1588</v>
      </c>
      <c r="H104" s="99">
        <f>G104+'9'!H104</f>
        <v>15807.169999999998</v>
      </c>
      <c r="I104" s="118"/>
      <c r="J104" s="175">
        <f>H104/DAY(B2)</f>
        <v>1580.7169999999999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7.6291136199855877E-2</v>
      </c>
      <c r="H105" s="99">
        <f>G105+'9'!H105</f>
        <v>0.72497605213947258</v>
      </c>
      <c r="I105" s="187"/>
      <c r="J105" s="188">
        <f>H105/DAY(B2)</f>
        <v>7.2497605213947255E-2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'9'!F112</f>
        <v>51631</v>
      </c>
      <c r="F112" s="237">
        <v>51712</v>
      </c>
      <c r="G112" s="112">
        <f t="shared" ref="G112:G123" si="9">F112-E112</f>
        <v>81</v>
      </c>
      <c r="H112" s="99">
        <f>G112+'9'!H112</f>
        <v>822.91999999999825</v>
      </c>
      <c r="I112" s="165"/>
      <c r="J112" s="348">
        <f>H112/DAY(B2)</f>
        <v>82.291999999999831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'9'!F113</f>
        <v>8406</v>
      </c>
      <c r="F113" s="237">
        <v>8851</v>
      </c>
      <c r="G113" s="112">
        <f t="shared" si="9"/>
        <v>445</v>
      </c>
      <c r="H113" s="99">
        <f>G113+'9'!H113</f>
        <v>4345.3500000000004</v>
      </c>
      <c r="I113" s="165"/>
      <c r="J113" s="348">
        <f>H113/DAY(B2)</f>
        <v>434.53500000000003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'9'!F114</f>
        <v>6935</v>
      </c>
      <c r="F114" s="237">
        <v>7206</v>
      </c>
      <c r="G114" s="112">
        <f t="shared" si="9"/>
        <v>271</v>
      </c>
      <c r="H114" s="99">
        <f>G114+'9'!H114</f>
        <v>2628.0699999999997</v>
      </c>
      <c r="I114" s="165"/>
      <c r="J114" s="348">
        <f>H114/DAY(B2)</f>
        <v>262.80699999999996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'9'!F115</f>
        <v>8169</v>
      </c>
      <c r="F115" s="237">
        <v>8180</v>
      </c>
      <c r="G115" s="112">
        <f t="shared" si="9"/>
        <v>11</v>
      </c>
      <c r="H115" s="99">
        <f>G115+'9'!H115</f>
        <v>102.59000000000015</v>
      </c>
      <c r="I115" s="165"/>
      <c r="J115" s="348">
        <f>H115/DAY(B2)</f>
        <v>10.259000000000015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'9'!F117</f>
        <v>1508</v>
      </c>
      <c r="F117" s="237">
        <v>1529</v>
      </c>
      <c r="G117" s="112">
        <f t="shared" si="9"/>
        <v>21</v>
      </c>
      <c r="H117" s="99">
        <f>G117+'9'!H117</f>
        <v>370.80999999999995</v>
      </c>
      <c r="I117" s="165"/>
      <c r="J117" s="348">
        <f>H117/DAY(B2)</f>
        <v>37.080999999999996</v>
      </c>
      <c r="Q117" s="793" t="s">
        <v>312</v>
      </c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'9'!F118</f>
        <v>221850</v>
      </c>
      <c r="F118" s="237">
        <v>222225</v>
      </c>
      <c r="G118" s="112">
        <f t="shared" si="9"/>
        <v>375</v>
      </c>
      <c r="H118" s="99">
        <f>G118+'9'!H118</f>
        <v>3373.070000000007</v>
      </c>
      <c r="I118" s="165"/>
      <c r="J118" s="348">
        <f>H118/DAY(B2)</f>
        <v>337.3070000000007</v>
      </c>
      <c r="Q118" s="793" t="s">
        <v>311</v>
      </c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'9'!F119</f>
        <v>222633</v>
      </c>
      <c r="F119" s="237">
        <v>223076</v>
      </c>
      <c r="G119" s="112">
        <f t="shared" si="9"/>
        <v>443</v>
      </c>
      <c r="H119" s="99">
        <f>G119+'9'!H119</f>
        <v>4264.890000000014</v>
      </c>
      <c r="I119" s="165"/>
      <c r="J119" s="348">
        <f>H119/DAY(B2)</f>
        <v>426.4890000000014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'9'!F120</f>
        <v>8250</v>
      </c>
      <c r="F120" s="237">
        <v>8661</v>
      </c>
      <c r="G120" s="112">
        <f t="shared" si="9"/>
        <v>411</v>
      </c>
      <c r="H120" s="99">
        <f>G120+'9'!H120</f>
        <v>4353.3999999999996</v>
      </c>
      <c r="I120" s="165"/>
      <c r="J120" s="348">
        <f>H120/DAY(B2)</f>
        <v>435.34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'9'!F121</f>
        <v>337676</v>
      </c>
      <c r="F121" s="237">
        <v>338399</v>
      </c>
      <c r="G121" s="112">
        <f t="shared" si="9"/>
        <v>723</v>
      </c>
      <c r="H121" s="99">
        <f>G121+'9'!H121</f>
        <v>7161.4899999999907</v>
      </c>
      <c r="I121" s="165"/>
      <c r="J121" s="348">
        <f>H121/DAY(B2)</f>
        <v>716.14899999999909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'9'!F122</f>
        <v>104305</v>
      </c>
      <c r="F122" s="237">
        <v>104632</v>
      </c>
      <c r="G122" s="112">
        <f t="shared" si="9"/>
        <v>327</v>
      </c>
      <c r="H122" s="99">
        <f>G122+'9'!H122</f>
        <v>3023.1199999999953</v>
      </c>
      <c r="I122" s="165"/>
      <c r="J122" s="348">
        <f>H122/DAY(B2)</f>
        <v>302.31199999999956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'9'!F123</f>
        <v>128409</v>
      </c>
      <c r="F123" s="237">
        <v>128700</v>
      </c>
      <c r="G123" s="112">
        <f t="shared" si="9"/>
        <v>291</v>
      </c>
      <c r="H123" s="99">
        <f>G123+'9'!H123</f>
        <v>2952.2400000000052</v>
      </c>
      <c r="I123" s="165"/>
      <c r="J123" s="348">
        <f>H123/DAY(B2)</f>
        <v>295.2240000000005</v>
      </c>
    </row>
    <row r="124" spans="1:18" ht="29.25" customHeight="1">
      <c r="A124" s="797"/>
      <c r="B124" s="798"/>
      <c r="C124" s="799"/>
      <c r="D124" s="165"/>
      <c r="E124" s="95">
        <f>'9'!F124</f>
        <v>0</v>
      </c>
      <c r="F124" s="165"/>
      <c r="G124" s="347"/>
      <c r="H124" s="99">
        <f>G124+'9'!H124</f>
        <v>0</v>
      </c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3399</v>
      </c>
      <c r="H125" s="156"/>
      <c r="I125" s="347">
        <f>G125-(G39+G53)</f>
        <v>515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G127+'9'!H127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'9'!F128</f>
        <v>20950</v>
      </c>
      <c r="F128" s="155">
        <v>21267</v>
      </c>
      <c r="G128" s="112">
        <f t="shared" ref="G128:G134" si="10">F128-E128</f>
        <v>317</v>
      </c>
      <c r="H128" s="99">
        <f>G128+'9'!H128</f>
        <v>3243.2799999999988</v>
      </c>
      <c r="I128" s="165"/>
      <c r="J128" s="348">
        <f>H128/DAY(B2)</f>
        <v>324.32799999999986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'9'!F129</f>
        <v>8535</v>
      </c>
      <c r="F129" s="155">
        <v>8729</v>
      </c>
      <c r="G129" s="112">
        <f t="shared" si="10"/>
        <v>194</v>
      </c>
      <c r="H129" s="99">
        <f>G129+'9'!H129</f>
        <v>2133.29</v>
      </c>
      <c r="I129" s="165"/>
      <c r="J129" s="348">
        <f>H129/DAY(B2)</f>
        <v>213.32900000000001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'9'!F130</f>
        <v>49113</v>
      </c>
      <c r="F130" s="155">
        <v>51494</v>
      </c>
      <c r="G130" s="112">
        <f t="shared" si="10"/>
        <v>2381</v>
      </c>
      <c r="H130" s="99">
        <f>G130+'9'!H130</f>
        <v>25025.97</v>
      </c>
      <c r="I130" s="165"/>
      <c r="J130" s="348">
        <f>H130/DAY(B2)</f>
        <v>2502.5970000000002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'9'!F131</f>
        <v>5322</v>
      </c>
      <c r="F131" s="155">
        <v>5515</v>
      </c>
      <c r="G131" s="112">
        <f t="shared" si="10"/>
        <v>193</v>
      </c>
      <c r="H131" s="99">
        <f>G131+'9'!H131</f>
        <v>1368.5299999999997</v>
      </c>
      <c r="I131" s="165"/>
      <c r="J131" s="348">
        <f>H131/DAY(B2)</f>
        <v>136.85299999999998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'9'!F132</f>
        <v>16034</v>
      </c>
      <c r="F132" s="155">
        <v>16533</v>
      </c>
      <c r="G132" s="112">
        <f t="shared" si="10"/>
        <v>499</v>
      </c>
      <c r="H132" s="99">
        <f>G132+'9'!H132</f>
        <v>4995.2800000000007</v>
      </c>
      <c r="I132" s="165"/>
      <c r="J132" s="348">
        <f>H132/DAY(B2)</f>
        <v>499.52800000000008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'9'!F133</f>
        <v>47487</v>
      </c>
      <c r="F133" s="155">
        <v>47979</v>
      </c>
      <c r="G133" s="112">
        <f t="shared" si="10"/>
        <v>492</v>
      </c>
      <c r="H133" s="99">
        <f>G133+'9'!H133</f>
        <v>7129.7099999999991</v>
      </c>
      <c r="I133" s="165"/>
      <c r="J133" s="348">
        <f>H133/DAY(B2)</f>
        <v>712.97099999999989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v>637922</v>
      </c>
      <c r="F134" s="155">
        <v>638549</v>
      </c>
      <c r="G134" s="112">
        <f t="shared" si="10"/>
        <v>627</v>
      </c>
      <c r="H134" s="99">
        <f>G134+'9'!H134</f>
        <v>6285</v>
      </c>
      <c r="I134" s="165"/>
      <c r="J134" s="348">
        <f>H134/DAY(B2)</f>
        <v>628.5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SUM(G128:G134)</f>
        <v>4703</v>
      </c>
      <c r="H135" s="99">
        <f>G135+'9'!H135</f>
        <v>50181.06</v>
      </c>
      <c r="I135" s="347">
        <f>G135-(G35+G49)</f>
        <v>1476</v>
      </c>
      <c r="J135" s="348">
        <f>H135/DAY(B2)</f>
        <v>5018.1059999999998</v>
      </c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'9'!F138</f>
        <v>860112</v>
      </c>
      <c r="F138" s="147">
        <v>860182</v>
      </c>
      <c r="G138" s="112">
        <f t="shared" ref="G138:G152" si="11">F138-E138</f>
        <v>70</v>
      </c>
      <c r="H138" s="99">
        <f>G138+'9'!H138</f>
        <v>535</v>
      </c>
      <c r="I138" s="118"/>
      <c r="J138" s="348">
        <f>H138/DAY(B2)</f>
        <v>53.5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'9'!F139</f>
        <v>886109</v>
      </c>
      <c r="F139" s="148">
        <v>886109</v>
      </c>
      <c r="G139" s="112">
        <f t="shared" si="11"/>
        <v>0</v>
      </c>
      <c r="H139" s="99">
        <f>G139+'9'!H139</f>
        <v>7</v>
      </c>
      <c r="I139" s="118"/>
      <c r="J139" s="348">
        <f>H139/DAY(B2)</f>
        <v>0.7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'9'!F140</f>
        <v>88828</v>
      </c>
      <c r="F140" s="149">
        <v>88829</v>
      </c>
      <c r="G140" s="112">
        <f t="shared" si="11"/>
        <v>1</v>
      </c>
      <c r="H140" s="99">
        <f>G140+'9'!H140</f>
        <v>12</v>
      </c>
      <c r="I140" s="118"/>
      <c r="J140" s="348">
        <f>H140/DAY(B2)</f>
        <v>1.2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'9'!F141</f>
        <v>38973</v>
      </c>
      <c r="F141" s="149">
        <v>39143</v>
      </c>
      <c r="G141" s="112">
        <f t="shared" si="11"/>
        <v>170</v>
      </c>
      <c r="H141" s="99">
        <f>G141+'9'!H141</f>
        <v>1855.0500000000029</v>
      </c>
      <c r="I141" s="118"/>
      <c r="J141" s="348">
        <f>H141/DAY(B2)</f>
        <v>185.50500000000028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'9'!F142</f>
        <v>17106</v>
      </c>
      <c r="F142" s="148">
        <v>17122</v>
      </c>
      <c r="G142" s="112">
        <f t="shared" si="11"/>
        <v>16</v>
      </c>
      <c r="H142" s="99">
        <f>G142+'9'!H142</f>
        <v>160.13000000000102</v>
      </c>
      <c r="I142" s="140"/>
      <c r="J142" s="348">
        <f>H142/DAY(B2)</f>
        <v>16.013000000000101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'9'!F143</f>
        <v>1602</v>
      </c>
      <c r="F143" s="149">
        <v>1624</v>
      </c>
      <c r="G143" s="112">
        <f t="shared" si="11"/>
        <v>22</v>
      </c>
      <c r="H143" s="99">
        <f>G143+'9'!H143</f>
        <v>240.81999999999994</v>
      </c>
      <c r="I143" s="140"/>
      <c r="J143" s="348">
        <f>H143/DAY(B2)</f>
        <v>24.081999999999994</v>
      </c>
      <c r="O143" s="148">
        <v>582206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'9'!F144</f>
        <v>857418</v>
      </c>
      <c r="F144" s="149">
        <v>857646</v>
      </c>
      <c r="G144" s="112">
        <f t="shared" si="11"/>
        <v>228</v>
      </c>
      <c r="H144" s="99">
        <f>G144+'9'!H144</f>
        <v>2277</v>
      </c>
      <c r="I144" s="140"/>
      <c r="J144" s="348">
        <f>H144/DAY(B2)</f>
        <v>227.7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'9'!F145</f>
        <v>2543</v>
      </c>
      <c r="F145" s="149">
        <v>2581</v>
      </c>
      <c r="G145" s="112">
        <f t="shared" si="11"/>
        <v>38</v>
      </c>
      <c r="H145" s="99">
        <f>G145+'9'!H145</f>
        <v>368</v>
      </c>
      <c r="I145" s="140"/>
      <c r="J145" s="348">
        <f>H145/DAY(B2)</f>
        <v>36.799999999999997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'9'!F146</f>
        <v>701995</v>
      </c>
      <c r="F146" s="148">
        <v>702415</v>
      </c>
      <c r="G146" s="112">
        <f t="shared" si="11"/>
        <v>420</v>
      </c>
      <c r="H146" s="99">
        <f>G146+'9'!H146</f>
        <v>3896</v>
      </c>
      <c r="I146" s="140"/>
      <c r="J146" s="348">
        <f>H146/DAY(B2)</f>
        <v>389.6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'9'!F147</f>
        <v>592468</v>
      </c>
      <c r="F147" s="148">
        <v>592846</v>
      </c>
      <c r="G147" s="112">
        <f t="shared" si="11"/>
        <v>378</v>
      </c>
      <c r="H147" s="99">
        <f>G147+'9'!H147</f>
        <v>3935.0799999999581</v>
      </c>
      <c r="I147" s="140"/>
      <c r="J147" s="348">
        <f>H147/DAY(B2)</f>
        <v>393.50799999999583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'9'!F148</f>
        <v>667227</v>
      </c>
      <c r="F148" s="150">
        <v>667466</v>
      </c>
      <c r="G148" s="112">
        <f t="shared" si="11"/>
        <v>239</v>
      </c>
      <c r="H148" s="99">
        <f>G148+'9'!H148</f>
        <v>2357.8800000000047</v>
      </c>
      <c r="I148" s="124"/>
      <c r="J148" s="348">
        <f>H148/DAY(B2)</f>
        <v>235.78800000000047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'9'!F149</f>
        <v>87815</v>
      </c>
      <c r="F149" s="146">
        <v>88070</v>
      </c>
      <c r="G149" s="112">
        <f t="shared" si="11"/>
        <v>255</v>
      </c>
      <c r="H149" s="99">
        <f>G149+'9'!H149</f>
        <v>3323</v>
      </c>
      <c r="I149" s="119"/>
      <c r="J149" s="348">
        <f>H149/DAY(B2)</f>
        <v>332.3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'9'!F150</f>
        <v>7167232</v>
      </c>
      <c r="F150" s="233">
        <v>7167232</v>
      </c>
      <c r="G150" s="112">
        <f t="shared" si="11"/>
        <v>0</v>
      </c>
      <c r="H150" s="99">
        <f>G150+'9'!H150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'9'!F151</f>
        <v>65194</v>
      </c>
      <c r="F151" s="233">
        <v>65453</v>
      </c>
      <c r="G151" s="112">
        <f t="shared" si="11"/>
        <v>259</v>
      </c>
      <c r="H151" s="99">
        <f>G151+'9'!H151</f>
        <v>2443</v>
      </c>
      <c r="I151" s="119"/>
      <c r="J151" s="348">
        <f>H151/DAY(B2)</f>
        <v>244.3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'9'!F152</f>
        <v>0</v>
      </c>
      <c r="F152" s="233">
        <v>0</v>
      </c>
      <c r="G152" s="112">
        <f t="shared" si="11"/>
        <v>0</v>
      </c>
      <c r="H152" s="99">
        <f>G152+'9'!H152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2096</v>
      </c>
      <c r="H153" s="383"/>
      <c r="I153" s="119">
        <f>G153-(G38+G52)</f>
        <v>329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'9'!F155</f>
        <v>77336</v>
      </c>
      <c r="F155" s="394">
        <v>77344</v>
      </c>
      <c r="G155" s="112">
        <f t="shared" ref="G155:G156" si="12">F155-E155</f>
        <v>8</v>
      </c>
      <c r="H155" s="99">
        <f>G155+'9'!H155</f>
        <v>69.399999999994179</v>
      </c>
      <c r="I155" s="384"/>
      <c r="J155" s="348">
        <f>H155/DAY(B2)</f>
        <v>6.9399999999994177</v>
      </c>
    </row>
    <row r="156" spans="1:10" ht="27.75">
      <c r="A156" s="771" t="s">
        <v>346</v>
      </c>
      <c r="B156" s="771"/>
      <c r="C156" s="771"/>
      <c r="D156" s="117" t="s">
        <v>130</v>
      </c>
      <c r="E156" s="95">
        <f>'9'!F156</f>
        <v>0</v>
      </c>
      <c r="F156" s="155">
        <v>0</v>
      </c>
      <c r="G156" s="112">
        <f t="shared" si="12"/>
        <v>0</v>
      </c>
      <c r="H156" s="99">
        <f>G156+'9'!H156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'9'!F158</f>
        <v>469772</v>
      </c>
      <c r="F158" s="235">
        <v>469823</v>
      </c>
      <c r="G158" s="238">
        <f t="shared" ref="G158:G162" si="13">F158-E158</f>
        <v>51</v>
      </c>
      <c r="H158" s="99">
        <f>G158+'9'!H158</f>
        <v>293.96000000002095</v>
      </c>
      <c r="I158" s="236"/>
      <c r="J158" s="239">
        <f>H158/DAY(B2)</f>
        <v>29.396000000002097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'9'!F159</f>
        <v>85937</v>
      </c>
      <c r="F159" s="235">
        <v>85979</v>
      </c>
      <c r="G159" s="238">
        <f t="shared" si="13"/>
        <v>42</v>
      </c>
      <c r="H159" s="99">
        <f>G159+'9'!H159</f>
        <v>273.39999999999418</v>
      </c>
      <c r="I159" s="236"/>
      <c r="J159" s="239">
        <f>H159/DAY(B2)</f>
        <v>27.339999999999417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'9'!F160</f>
        <v>73858</v>
      </c>
      <c r="F160" s="235">
        <v>73939</v>
      </c>
      <c r="G160" s="238">
        <f t="shared" si="13"/>
        <v>81</v>
      </c>
      <c r="H160" s="99">
        <f>G160+'9'!H160</f>
        <v>602.10000000000582</v>
      </c>
      <c r="I160" s="236"/>
      <c r="J160" s="239">
        <f>H160/DAY(B2)</f>
        <v>60.210000000000583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'9'!F161</f>
        <v>3987</v>
      </c>
      <c r="F161" s="235">
        <v>3993</v>
      </c>
      <c r="G161" s="238">
        <f t="shared" si="13"/>
        <v>6</v>
      </c>
      <c r="H161" s="99">
        <f>G161+'9'!H161</f>
        <v>19.5</v>
      </c>
      <c r="I161" s="236"/>
      <c r="J161" s="239">
        <f>H161/DAY(B2)</f>
        <v>1.95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'9'!F162</f>
        <v>29269</v>
      </c>
      <c r="F162" s="235">
        <v>29279</v>
      </c>
      <c r="G162" s="238">
        <f t="shared" si="13"/>
        <v>10</v>
      </c>
      <c r="H162" s="99">
        <f>G162+'9'!H162</f>
        <v>80.860000000000582</v>
      </c>
      <c r="I162" s="236"/>
      <c r="J162" s="239">
        <f>H162/DAY(B2)</f>
        <v>8.0860000000000589</v>
      </c>
    </row>
    <row r="163" spans="1:10" ht="29.25">
      <c r="A163" s="780"/>
      <c r="B163" s="780"/>
      <c r="C163" s="247"/>
      <c r="D163" s="244" t="s">
        <v>180</v>
      </c>
      <c r="E163" s="95">
        <f>'9'!F163</f>
        <v>0</v>
      </c>
      <c r="F163" s="165"/>
      <c r="G163" s="165"/>
      <c r="H163" s="99">
        <f>G163+'9'!H163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'9'!F164</f>
        <v>0</v>
      </c>
      <c r="F164" s="165"/>
      <c r="G164" s="165"/>
      <c r="H164" s="99">
        <f>G164+'9'!H164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'9'!F165</f>
        <v>0</v>
      </c>
      <c r="F165" s="165"/>
      <c r="G165" s="165"/>
      <c r="H165" s="99">
        <f>G165+'9'!H165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'9'!F170</f>
        <v>8021</v>
      </c>
      <c r="F170" s="155">
        <v>8021</v>
      </c>
      <c r="G170" s="155">
        <f>F170-E170</f>
        <v>0</v>
      </c>
      <c r="H170" s="99">
        <f>G170+'9'!H170</f>
        <v>23</v>
      </c>
      <c r="I170" s="155"/>
      <c r="J170" s="178">
        <f>H170/DAY(B2)</f>
        <v>2.2999999999999998</v>
      </c>
    </row>
    <row r="171" spans="1:10" ht="34.5" customHeight="1">
      <c r="A171" s="786" t="s">
        <v>75</v>
      </c>
      <c r="B171" s="787"/>
      <c r="C171" s="353"/>
      <c r="D171" s="228" t="s">
        <v>142</v>
      </c>
      <c r="E171" s="95">
        <f>'9'!F171</f>
        <v>37500</v>
      </c>
      <c r="F171" s="157">
        <v>37511</v>
      </c>
      <c r="G171" s="155">
        <f t="shared" ref="G171:G172" si="14">F171-E171</f>
        <v>11</v>
      </c>
      <c r="H171" s="99">
        <f>G171+'9'!H171</f>
        <v>128</v>
      </c>
      <c r="I171" s="155"/>
      <c r="J171" s="178">
        <f>H171/DAY(B2)</f>
        <v>12.8</v>
      </c>
    </row>
    <row r="172" spans="1:10" ht="31.5" customHeight="1">
      <c r="A172" s="786" t="s">
        <v>76</v>
      </c>
      <c r="B172" s="826"/>
      <c r="C172" s="787"/>
      <c r="D172" s="228" t="s">
        <v>142</v>
      </c>
      <c r="E172" s="95">
        <f>'9'!F172</f>
        <v>20885</v>
      </c>
      <c r="F172" s="155">
        <v>20895</v>
      </c>
      <c r="G172" s="155">
        <f t="shared" si="14"/>
        <v>10</v>
      </c>
      <c r="H172" s="99">
        <f>G172+'9'!H172</f>
        <v>107</v>
      </c>
      <c r="I172" s="155"/>
      <c r="J172" s="178">
        <f>H172/DAY(B2)</f>
        <v>10.7</v>
      </c>
    </row>
    <row r="173" spans="1:10" ht="21.75" customHeight="1">
      <c r="A173" s="775" t="s">
        <v>196</v>
      </c>
      <c r="B173" s="776"/>
      <c r="C173" s="353"/>
      <c r="D173" s="228"/>
      <c r="E173" s="95"/>
      <c r="F173" s="155"/>
      <c r="G173" s="155">
        <f>SUM(G170:G172)</f>
        <v>21</v>
      </c>
      <c r="H173" s="99">
        <f>G173+'9'!H173</f>
        <v>258</v>
      </c>
      <c r="I173" s="155"/>
      <c r="J173" s="178">
        <f>H173/DAY(B2)</f>
        <v>25.8</v>
      </c>
    </row>
    <row r="174" spans="1:10" ht="27.75" customHeight="1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G174+'9'!H174</f>
        <v>0</v>
      </c>
      <c r="I174" s="155"/>
      <c r="J174" s="178">
        <f>H174/DAY(B2)</f>
        <v>0</v>
      </c>
    </row>
    <row r="175" spans="1:10" ht="21.75" customHeight="1">
      <c r="A175" s="786" t="s">
        <v>210</v>
      </c>
      <c r="B175" s="787"/>
      <c r="C175" s="353"/>
      <c r="D175" s="228" t="s">
        <v>142</v>
      </c>
      <c r="E175" s="95">
        <f>'9'!F175</f>
        <v>75321</v>
      </c>
      <c r="F175" s="155">
        <v>75399</v>
      </c>
      <c r="G175" s="155">
        <f>F175-E175</f>
        <v>78</v>
      </c>
      <c r="H175" s="99">
        <f>G175+'9'!H175</f>
        <v>780</v>
      </c>
      <c r="I175" s="155"/>
      <c r="J175" s="178">
        <f>H175/DAY(B2)</f>
        <v>78</v>
      </c>
    </row>
    <row r="176" spans="1:10" ht="27.75" customHeight="1">
      <c r="A176" s="786" t="s">
        <v>211</v>
      </c>
      <c r="B176" s="787"/>
      <c r="C176" s="353"/>
      <c r="D176" s="228" t="s">
        <v>142</v>
      </c>
      <c r="E176" s="95">
        <f>'9'!F176</f>
        <v>33886</v>
      </c>
      <c r="F176" s="155">
        <v>33886</v>
      </c>
      <c r="G176" s="155">
        <f t="shared" ref="G176:G177" si="15">F176-E176</f>
        <v>0</v>
      </c>
      <c r="H176" s="99">
        <f>G176+'9'!H176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'9'!F177</f>
        <v>5106</v>
      </c>
      <c r="F177" s="155">
        <v>5120</v>
      </c>
      <c r="G177" s="155">
        <f t="shared" si="15"/>
        <v>14</v>
      </c>
      <c r="H177" s="99">
        <f>G177+'9'!H177</f>
        <v>79</v>
      </c>
      <c r="I177" s="155"/>
      <c r="J177" s="178">
        <f>H177/DAY(B2)</f>
        <v>7.9</v>
      </c>
    </row>
    <row r="178" spans="1:10" ht="27.75">
      <c r="A178" s="788" t="s">
        <v>108</v>
      </c>
      <c r="B178" s="789"/>
      <c r="C178" s="353"/>
      <c r="D178" s="228"/>
      <c r="E178" s="95"/>
      <c r="F178" s="155"/>
      <c r="G178" s="155">
        <f>SUM(G175:G177)</f>
        <v>92</v>
      </c>
      <c r="H178" s="99">
        <f>G178+'9'!H178</f>
        <v>859</v>
      </c>
      <c r="I178" s="155"/>
      <c r="J178" s="178">
        <f>H178/DAY(B2)</f>
        <v>85.9</v>
      </c>
    </row>
    <row r="179" spans="1:10" ht="27.75">
      <c r="A179" s="786" t="s">
        <v>213</v>
      </c>
      <c r="B179" s="787"/>
      <c r="C179" s="353"/>
      <c r="D179" s="228"/>
      <c r="E179" s="95"/>
      <c r="F179" s="155"/>
      <c r="G179" s="155"/>
      <c r="H179" s="99">
        <f>G179+'9'!H179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'9'!F180</f>
        <v>14176</v>
      </c>
      <c r="F180" s="157">
        <v>14190</v>
      </c>
      <c r="G180" s="157">
        <f>F180-E180</f>
        <v>14</v>
      </c>
      <c r="H180" s="99">
        <f>G180+'9'!H180</f>
        <v>159</v>
      </c>
      <c r="I180" s="155"/>
      <c r="J180" s="178">
        <f>H180/DAY(B2)</f>
        <v>15.9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'9'!F181</f>
        <v>9835</v>
      </c>
      <c r="F181" s="157">
        <v>9844</v>
      </c>
      <c r="G181" s="157">
        <f t="shared" ref="G181:G182" si="16">F181-E181</f>
        <v>9</v>
      </c>
      <c r="H181" s="99">
        <f>G181+'9'!H181</f>
        <v>90</v>
      </c>
      <c r="I181" s="155"/>
      <c r="J181" s="178">
        <f>H181/DAY(B2)</f>
        <v>9</v>
      </c>
    </row>
    <row r="182" spans="1:10" ht="37.5" customHeight="1">
      <c r="A182" s="786" t="s">
        <v>216</v>
      </c>
      <c r="B182" s="787"/>
      <c r="C182" s="354"/>
      <c r="D182" s="228" t="s">
        <v>142</v>
      </c>
      <c r="E182" s="95">
        <f>'9'!F182</f>
        <v>0</v>
      </c>
      <c r="F182" s="157">
        <v>0</v>
      </c>
      <c r="G182" s="157">
        <f t="shared" si="16"/>
        <v>0</v>
      </c>
      <c r="H182" s="99">
        <f>G182+'9'!H182</f>
        <v>0</v>
      </c>
      <c r="I182" s="155"/>
      <c r="J182" s="178">
        <f>H182/DAY(B2)</f>
        <v>0</v>
      </c>
    </row>
    <row r="183" spans="1:10" ht="26.25" customHeight="1">
      <c r="A183" s="775" t="s">
        <v>196</v>
      </c>
      <c r="B183" s="776"/>
      <c r="C183" s="354"/>
      <c r="D183" s="229"/>
      <c r="E183" s="95"/>
      <c r="F183" s="157"/>
      <c r="G183" s="157">
        <f>SUM(G180:G182)</f>
        <v>23</v>
      </c>
      <c r="H183" s="99">
        <f>G183+'9'!H183</f>
        <v>249</v>
      </c>
      <c r="I183" s="157"/>
      <c r="J183" s="178">
        <f>H183/DAY(B2)</f>
        <v>24.9</v>
      </c>
    </row>
    <row r="184" spans="1:10" ht="21.75" customHeight="1">
      <c r="A184" s="777" t="s">
        <v>217</v>
      </c>
      <c r="B184" s="778"/>
      <c r="C184" s="353"/>
      <c r="D184" s="230" t="s">
        <v>142</v>
      </c>
      <c r="E184" s="95"/>
      <c r="F184" s="159"/>
      <c r="G184" s="627">
        <f>G62+G19</f>
        <v>165</v>
      </c>
      <c r="H184" s="99">
        <f>G184+'9'!H184</f>
        <v>1702</v>
      </c>
      <c r="I184" s="158"/>
      <c r="J184" s="179">
        <f>H184/DAY(B2)</f>
        <v>170.2</v>
      </c>
    </row>
    <row r="185" spans="1:10" ht="21.75" customHeight="1">
      <c r="A185" s="777" t="s">
        <v>218</v>
      </c>
      <c r="B185" s="778"/>
      <c r="C185" s="353"/>
      <c r="D185" s="230" t="s">
        <v>142</v>
      </c>
      <c r="E185" s="95"/>
      <c r="F185" s="159"/>
      <c r="G185" s="627">
        <f>G65+G66+G67+G69+G70</f>
        <v>161</v>
      </c>
      <c r="H185" s="99">
        <f>G185+'9'!H185</f>
        <v>1716</v>
      </c>
      <c r="I185" s="158"/>
      <c r="J185" s="179">
        <f>H185/DAY(B2)</f>
        <v>171.6</v>
      </c>
    </row>
    <row r="186" spans="1:10" ht="21.75" customHeight="1">
      <c r="A186" s="777" t="s">
        <v>219</v>
      </c>
      <c r="B186" s="778"/>
      <c r="C186" s="353"/>
      <c r="D186" s="230" t="s">
        <v>142</v>
      </c>
      <c r="E186" s="95"/>
      <c r="F186" s="157"/>
      <c r="G186" s="603">
        <f>G178</f>
        <v>92</v>
      </c>
      <c r="H186" s="99">
        <f>G186+'9'!H186</f>
        <v>859</v>
      </c>
      <c r="I186" s="158"/>
      <c r="J186" s="179">
        <f>H186/DAY(B2)</f>
        <v>85.9</v>
      </c>
    </row>
    <row r="187" spans="1:10" ht="27" customHeight="1">
      <c r="A187" s="784"/>
      <c r="B187" s="785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1.75" customHeight="1"/>
    <row r="189" spans="1:10" ht="21.75" customHeight="1"/>
    <row r="190" spans="1:10" ht="21.75" customHeight="1"/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36.75" customHeight="1"/>
    <row r="200" ht="29.25"/>
    <row r="201" ht="29.25"/>
    <row r="202" ht="29.25"/>
    <row r="203" ht="29.25"/>
    <row r="204" ht="29.25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</sheetData>
  <mergeCells count="112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110:J110"/>
    <mergeCell ref="A111:C111"/>
    <mergeCell ref="A112:C112"/>
    <mergeCell ref="A113:C113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72:C172"/>
    <mergeCell ref="A165:B165"/>
    <mergeCell ref="A168:J168"/>
    <mergeCell ref="A169:B169"/>
    <mergeCell ref="A170:B170"/>
    <mergeCell ref="A171:B171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27:B127"/>
    <mergeCell ref="A141:C141"/>
    <mergeCell ref="A142:C142"/>
    <mergeCell ref="A157:J157"/>
    <mergeCell ref="A163:B163"/>
    <mergeCell ref="A164:B164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80:B180"/>
    <mergeCell ref="A178:B178"/>
    <mergeCell ref="A179:B179"/>
  </mergeCells>
  <pageMargins left="0.22" right="0.17" top="0.14000000000000001" bottom="0.2" header="0.2" footer="0.2"/>
  <pageSetup paperSize="5" scale="1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87"/>
  <sheetViews>
    <sheetView topLeftCell="A127" zoomScale="55" zoomScaleNormal="55" workbookViewId="0">
      <selection activeCell="I153" sqref="I153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30.75" customHeight="1">
      <c r="A2" s="191" t="s">
        <v>303</v>
      </c>
      <c r="B2" s="266">
        <v>44511</v>
      </c>
      <c r="C2" s="36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68" t="s">
        <v>118</v>
      </c>
      <c r="D3" s="219">
        <v>27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68" t="s">
        <v>120</v>
      </c>
      <c r="D4" s="218">
        <v>0.55000000000000004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'10'!F7</f>
        <v>904492</v>
      </c>
      <c r="F7" s="95">
        <v>924906</v>
      </c>
      <c r="G7" s="112">
        <f>F7-E7</f>
        <v>20414</v>
      </c>
      <c r="H7" s="99">
        <f>G7+'10'!H7</f>
        <v>238642.69999999995</v>
      </c>
      <c r="I7" s="113">
        <f>'1'!I7</f>
        <v>12000</v>
      </c>
      <c r="J7" s="175">
        <f>H7/DAY(B2)</f>
        <v>21694.790909090905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'10'!F8</f>
        <v>935024</v>
      </c>
      <c r="F8" s="95">
        <v>955609</v>
      </c>
      <c r="G8" s="115">
        <f>F8-E8</f>
        <v>20585</v>
      </c>
      <c r="H8" s="99">
        <f>G8+'10'!H8</f>
        <v>242445.09999999998</v>
      </c>
      <c r="I8" s="116"/>
      <c r="J8" s="175">
        <f>H8/DAY(B2)</f>
        <v>22040.463636363635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'10'!F9</f>
        <v>1393883</v>
      </c>
      <c r="F9" s="373">
        <v>1406719</v>
      </c>
      <c r="G9" s="112">
        <f>F9-E9</f>
        <v>12836</v>
      </c>
      <c r="H9" s="99">
        <f>G9+'10'!H9</f>
        <v>145440.5</v>
      </c>
      <c r="I9" s="124">
        <f>I7-J7</f>
        <v>-9694.7909090909052</v>
      </c>
      <c r="J9" s="175">
        <f>H9/DAY(B2)</f>
        <v>13221.863636363636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'10'!F10</f>
        <v>248199</v>
      </c>
      <c r="F10" s="373">
        <v>255225</v>
      </c>
      <c r="G10" s="112">
        <f t="shared" ref="G10:G12" si="0">F10-E10</f>
        <v>7026</v>
      </c>
      <c r="H10" s="99">
        <f>G10+'10'!H10</f>
        <v>86841.07</v>
      </c>
      <c r="I10" s="286"/>
      <c r="J10" s="175">
        <f>H10/DAY(B2)</f>
        <v>7894.6427272727278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19862</v>
      </c>
      <c r="H13" s="99">
        <f>G13+'10'!H13</f>
        <v>211475.11</v>
      </c>
      <c r="I13" s="120">
        <f>G7-G13</f>
        <v>552</v>
      </c>
      <c r="J13" s="175">
        <f>H13/DAY(B2)</f>
        <v>19225.009999999998</v>
      </c>
      <c r="K13" s="79"/>
      <c r="L13" s="66"/>
      <c r="N13" s="87"/>
      <c r="O13" s="71"/>
    </row>
    <row r="14" spans="1:15" ht="30.75" customHeight="1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65" t="s">
        <v>138</v>
      </c>
      <c r="B15" s="205"/>
      <c r="C15" s="205"/>
      <c r="D15" s="151" t="s">
        <v>139</v>
      </c>
      <c r="E15" s="95">
        <f>'10'!F15</f>
        <v>1825375</v>
      </c>
      <c r="F15" s="123">
        <v>1826421</v>
      </c>
      <c r="G15" s="112">
        <f>(F15-E15)</f>
        <v>1046</v>
      </c>
      <c r="H15" s="99">
        <f>G15+'10'!H15</f>
        <v>10754.040000000037</v>
      </c>
      <c r="I15" s="113">
        <f>'1'!I15</f>
        <v>800</v>
      </c>
      <c r="J15" s="175">
        <f>H15/DAY(B2)</f>
        <v>977.6400000000034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-177.6400000000034</v>
      </c>
      <c r="J16" s="176"/>
      <c r="K16" s="79"/>
      <c r="L16" s="66"/>
      <c r="N16" s="87"/>
      <c r="O16" s="71"/>
    </row>
    <row r="17" spans="1:15" ht="30.75" customHeight="1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14" t="s">
        <v>141</v>
      </c>
      <c r="B18" s="815"/>
      <c r="C18" s="816"/>
      <c r="D18" s="151" t="s">
        <v>142</v>
      </c>
      <c r="E18" s="95">
        <f>'10'!F18</f>
        <v>16</v>
      </c>
      <c r="F18" s="122">
        <v>18</v>
      </c>
      <c r="G18" s="119">
        <f>F18*10</f>
        <v>180</v>
      </c>
      <c r="H18" s="99">
        <f>G18+'10'!H18</f>
        <v>2070</v>
      </c>
      <c r="I18" s="113">
        <f>'1'!I18</f>
        <v>65</v>
      </c>
      <c r="J18" s="175">
        <f>H18/DAY(B2)</f>
        <v>188.18181818181819</v>
      </c>
      <c r="K18" s="79"/>
      <c r="L18" s="66"/>
      <c r="N18" s="87"/>
      <c r="O18" s="71"/>
    </row>
    <row r="19" spans="1:15" ht="30.75" customHeight="1">
      <c r="A19" s="814" t="s">
        <v>69</v>
      </c>
      <c r="B19" s="815"/>
      <c r="C19" s="816"/>
      <c r="D19" s="151" t="s">
        <v>142</v>
      </c>
      <c r="E19" s="95">
        <f>'10'!F19</f>
        <v>149497</v>
      </c>
      <c r="F19" s="122">
        <v>149550</v>
      </c>
      <c r="G19" s="112">
        <f t="shared" ref="G19" si="1">F19-E19</f>
        <v>53</v>
      </c>
      <c r="H19" s="99">
        <f>G19+'10'!H19</f>
        <v>633</v>
      </c>
      <c r="I19" s="355"/>
      <c r="J19" s="175">
        <f>H19/DAY(B2)</f>
        <v>57.545454545454547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G20+'10'!H20</f>
        <v>2703</v>
      </c>
      <c r="I20" s="356">
        <f>I18-J20</f>
        <v>-180.72727272727272</v>
      </c>
      <c r="J20" s="175">
        <f>H20/DAY(B2)</f>
        <v>245.72727272727272</v>
      </c>
      <c r="K20" s="79"/>
      <c r="L20" s="66"/>
      <c r="N20" s="87"/>
      <c r="O20" s="71"/>
    </row>
    <row r="21" spans="1:15" ht="30.75" customHeight="1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6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6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20585</v>
      </c>
      <c r="F27" s="136">
        <v>9</v>
      </c>
      <c r="G27" s="137">
        <f>E27*F27</f>
        <v>185265</v>
      </c>
      <c r="H27" s="99">
        <f>G27+'10'!H27</f>
        <v>2182005.9</v>
      </c>
      <c r="I27" s="138"/>
      <c r="J27" s="175">
        <f>H27/DAY(B2)</f>
        <v>198364.17272727273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1046</v>
      </c>
      <c r="F28" s="136">
        <v>52</v>
      </c>
      <c r="G28" s="137">
        <f>E28*F28</f>
        <v>54392</v>
      </c>
      <c r="H28" s="99">
        <f>G28+'10'!H28</f>
        <v>559210.08000000194</v>
      </c>
      <c r="I28" s="140"/>
      <c r="J28" s="175">
        <f>H28/DAY(B2)</f>
        <v>50837.280000000173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G30+'10'!H30</f>
        <v>92418</v>
      </c>
      <c r="I30" s="140"/>
      <c r="J30" s="175">
        <f>H30/DAY(B2)</f>
        <v>8401.636363636364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G31+'10'!H31</f>
        <v>165600</v>
      </c>
      <c r="I31" s="140"/>
      <c r="J31" s="175">
        <f>H31/DAY(B2)</f>
        <v>15054.545454545454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261795</v>
      </c>
      <c r="H32" s="99">
        <f>G32+'10'!H32</f>
        <v>2999233.9800000014</v>
      </c>
      <c r="I32" s="144"/>
      <c r="J32" s="175">
        <f>H32/DAY(B2)</f>
        <v>272657.6345454547</v>
      </c>
      <c r="K32" s="63"/>
      <c r="L32" s="89"/>
      <c r="N32" s="87"/>
      <c r="O32" s="71"/>
    </row>
    <row r="33" spans="1:15" ht="30.7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52331</v>
      </c>
      <c r="F35" s="145">
        <v>54402</v>
      </c>
      <c r="G35" s="112">
        <f t="shared" ref="G35:G46" si="3">F35-E35</f>
        <v>2071</v>
      </c>
      <c r="H35" s="99">
        <f>G35+'10'!H35</f>
        <v>21927.33</v>
      </c>
      <c r="I35" s="95"/>
      <c r="J35" s="175">
        <f>H35/DAY(B2)</f>
        <v>1993.3936363636365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57891</v>
      </c>
      <c r="F36" s="145">
        <v>58765</v>
      </c>
      <c r="G36" s="112">
        <f t="shared" si="3"/>
        <v>874</v>
      </c>
      <c r="H36" s="99">
        <f>G36+'10'!H36</f>
        <v>8825.3300000000017</v>
      </c>
      <c r="I36" s="95"/>
      <c r="J36" s="175">
        <f>H36/DAY(B2)</f>
        <v>802.30272727272745</v>
      </c>
      <c r="K36" s="79"/>
      <c r="L36" s="66"/>
      <c r="N36" s="87"/>
      <c r="O36" s="36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112861</v>
      </c>
      <c r="F37" s="145">
        <v>114428</v>
      </c>
      <c r="G37" s="112">
        <f t="shared" si="3"/>
        <v>1567</v>
      </c>
      <c r="H37" s="99">
        <f>G37+'10'!H37</f>
        <v>17374.169999999998</v>
      </c>
      <c r="I37" s="95"/>
      <c r="J37" s="175">
        <f>H37/DAY(B2)</f>
        <v>1579.4699999999998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133343</v>
      </c>
      <c r="F38" s="108">
        <v>135083</v>
      </c>
      <c r="G38" s="112">
        <f t="shared" si="3"/>
        <v>1740</v>
      </c>
      <c r="H38" s="99">
        <f>G38+'10'!H38</f>
        <v>19859.960000000006</v>
      </c>
      <c r="I38" s="95"/>
      <c r="J38" s="175">
        <f>H38/DAY(B2)</f>
        <v>1805.4509090909096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262116</v>
      </c>
      <c r="F39" s="145">
        <v>265003</v>
      </c>
      <c r="G39" s="112">
        <f t="shared" si="3"/>
        <v>2887</v>
      </c>
      <c r="H39" s="99">
        <f>G39+'10'!H39</f>
        <v>31621.950000000012</v>
      </c>
      <c r="I39" s="95"/>
      <c r="J39" s="175">
        <f>H39/DAY(B2)</f>
        <v>2874.7227272727282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68</v>
      </c>
      <c r="F40" s="145">
        <v>69</v>
      </c>
      <c r="G40" s="112">
        <f t="shared" si="3"/>
        <v>1</v>
      </c>
      <c r="H40" s="99">
        <f>G40+'10'!H40</f>
        <v>43.63</v>
      </c>
      <c r="I40" s="95"/>
      <c r="J40" s="175">
        <f>H40/DAY(B2)</f>
        <v>3.9663636363636368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582546.71</v>
      </c>
      <c r="F41" s="145">
        <v>582546.71</v>
      </c>
      <c r="G41" s="112">
        <f t="shared" si="3"/>
        <v>0</v>
      </c>
      <c r="H41" s="99">
        <f>G41+'10'!H41</f>
        <v>687.88000000000466</v>
      </c>
      <c r="I41" s="95"/>
      <c r="J41" s="175">
        <f>H41/DAY(B2)</f>
        <v>62.534545454545878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273305</v>
      </c>
      <c r="F42" s="145">
        <v>273705</v>
      </c>
      <c r="G42" s="112">
        <f t="shared" si="3"/>
        <v>400</v>
      </c>
      <c r="H42" s="99">
        <f>G42+'10'!H42</f>
        <v>2735.3300000000163</v>
      </c>
      <c r="I42" s="95"/>
      <c r="J42" s="175">
        <f>H42/DAY(B2)</f>
        <v>248.66636363636511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1472708</v>
      </c>
      <c r="F43" s="145">
        <v>1475133</v>
      </c>
      <c r="G43" s="112">
        <f t="shared" si="3"/>
        <v>2425</v>
      </c>
      <c r="H43" s="99">
        <f>G43+'10'!H43</f>
        <v>29045.600000000093</v>
      </c>
      <c r="I43" s="95"/>
      <c r="J43" s="175">
        <f>H43/DAY(B2)</f>
        <v>2640.5090909090995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11965</v>
      </c>
      <c r="H47" s="99">
        <f>G47+'10'!H47</f>
        <v>132121.18000000011</v>
      </c>
      <c r="I47" s="95"/>
      <c r="J47" s="175">
        <f>H47/DAY(B2)</f>
        <v>12011.016363636374</v>
      </c>
      <c r="K47" s="79"/>
      <c r="L47" s="66"/>
      <c r="N47" s="87"/>
      <c r="O47" s="71"/>
    </row>
    <row r="48" spans="1:15" ht="30.75" customHeight="1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188412</v>
      </c>
      <c r="F49" s="145">
        <v>189668</v>
      </c>
      <c r="G49" s="112">
        <f t="shared" ref="G49:G58" si="4">F49-E49</f>
        <v>1256</v>
      </c>
      <c r="H49" s="99">
        <f>G49+'10'!H49</f>
        <v>16937.609999999986</v>
      </c>
      <c r="I49" s="95"/>
      <c r="J49" s="175">
        <f>H49/DAY(B2)</f>
        <v>1539.7827272727261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694881</v>
      </c>
      <c r="F50" s="145">
        <v>695995</v>
      </c>
      <c r="G50" s="112">
        <f t="shared" si="4"/>
        <v>1114</v>
      </c>
      <c r="H50" s="99">
        <f>G50+'10'!H50</f>
        <v>11632.689999999944</v>
      </c>
      <c r="I50" s="95"/>
      <c r="J50" s="175">
        <f>H50/DAY(B2)</f>
        <v>1057.5172727272677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2919</v>
      </c>
      <c r="F54" s="145">
        <v>2924</v>
      </c>
      <c r="G54" s="112">
        <f t="shared" si="4"/>
        <v>5</v>
      </c>
      <c r="H54" s="99">
        <f>G54+'10'!H54</f>
        <v>56.510000000000218</v>
      </c>
      <c r="I54" s="95"/>
      <c r="J54" s="175">
        <f>H54/DAY(B2)</f>
        <v>5.1372727272727472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0</v>
      </c>
      <c r="F55" s="145">
        <v>0</v>
      </c>
      <c r="G55" s="112">
        <f t="shared" si="4"/>
        <v>0</v>
      </c>
      <c r="H55" s="99">
        <f>G55+'10'!H55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95426</v>
      </c>
      <c r="F56" s="145">
        <v>99890</v>
      </c>
      <c r="G56" s="112">
        <f t="shared" si="4"/>
        <v>4464</v>
      </c>
      <c r="H56" s="99">
        <f>G56+'10'!H56</f>
        <v>57049.71</v>
      </c>
      <c r="I56" s="95"/>
      <c r="J56" s="175">
        <f>H56/DAY(B2)</f>
        <v>5186.3372727272726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81011</v>
      </c>
      <c r="F58" s="145">
        <v>81215</v>
      </c>
      <c r="G58" s="112">
        <f t="shared" si="4"/>
        <v>204</v>
      </c>
      <c r="H58" s="99">
        <f>G58+'10'!H58</f>
        <v>2195.1000000000058</v>
      </c>
      <c r="I58" s="95"/>
      <c r="J58" s="175">
        <f>H58/DAY(B2)</f>
        <v>199.55454545454597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7043</v>
      </c>
      <c r="H59" s="99">
        <f>G59+'10'!H59</f>
        <v>87871.619999999937</v>
      </c>
      <c r="I59" s="95">
        <f>G7-G60</f>
        <v>1406</v>
      </c>
      <c r="J59" s="175">
        <f>H59/DAY(B2)</f>
        <v>7988.3290909090856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19008</v>
      </c>
      <c r="H60" s="99">
        <f>G60+'10'!H60</f>
        <v>219992.80000000008</v>
      </c>
      <c r="I60" s="95">
        <f>G13-G60</f>
        <v>854</v>
      </c>
      <c r="J60" s="175">
        <f>H60/DAY(B2)</f>
        <v>19999.345454545462</v>
      </c>
      <c r="K60" s="79"/>
      <c r="L60" s="66"/>
      <c r="N60" s="87"/>
      <c r="O60" s="71"/>
    </row>
    <row r="61" spans="1:15" s="68" customFormat="1" ht="30.75" customHeight="1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>
      <c r="A62" s="814" t="s">
        <v>198</v>
      </c>
      <c r="B62" s="815"/>
      <c r="C62" s="816"/>
      <c r="D62" s="151" t="s">
        <v>142</v>
      </c>
      <c r="E62" s="95">
        <f>'10'!F62</f>
        <v>260940</v>
      </c>
      <c r="F62" s="122">
        <v>261043</v>
      </c>
      <c r="G62" s="112">
        <f t="shared" ref="G62:G63" si="5">F62-E62</f>
        <v>103</v>
      </c>
      <c r="H62" s="99">
        <f>G62+'10'!H62</f>
        <v>1225</v>
      </c>
      <c r="I62" s="118"/>
      <c r="J62" s="175">
        <f>H62/DAY(B2)</f>
        <v>111.36363636363636</v>
      </c>
      <c r="K62" s="80"/>
      <c r="L62" s="66"/>
      <c r="N62" s="87"/>
      <c r="O62" s="71"/>
    </row>
    <row r="63" spans="1:15" ht="30.75" customHeight="1">
      <c r="A63" s="814" t="s">
        <v>199</v>
      </c>
      <c r="B63" s="815"/>
      <c r="C63" s="816"/>
      <c r="D63" s="151" t="s">
        <v>142</v>
      </c>
      <c r="E63" s="95">
        <f>'10'!F63</f>
        <v>207266</v>
      </c>
      <c r="F63" s="550">
        <v>207359</v>
      </c>
      <c r="G63" s="112">
        <f t="shared" si="5"/>
        <v>93</v>
      </c>
      <c r="H63" s="99">
        <f>G63+'10'!H63</f>
        <v>1089</v>
      </c>
      <c r="I63" s="118"/>
      <c r="J63" s="175">
        <f>H63/DAY(B2)</f>
        <v>99</v>
      </c>
      <c r="K63" s="69"/>
      <c r="L63" s="66"/>
      <c r="N63" s="87"/>
      <c r="O63" s="71"/>
    </row>
    <row r="64" spans="1:15" ht="30.75" customHeight="1">
      <c r="A64" s="823" t="s">
        <v>200</v>
      </c>
      <c r="B64" s="824"/>
      <c r="C64" s="825"/>
      <c r="D64" s="151"/>
      <c r="E64" s="95">
        <f>'10'!F64</f>
        <v>0</v>
      </c>
      <c r="F64" s="122"/>
      <c r="G64" s="112">
        <f>G62+G63</f>
        <v>196</v>
      </c>
      <c r="H64" s="99">
        <f>G64+'10'!H64</f>
        <v>2314</v>
      </c>
      <c r="I64" s="118"/>
      <c r="J64" s="175">
        <f>H64/DAY(B2)</f>
        <v>210.36363636363637</v>
      </c>
      <c r="K64" s="69"/>
      <c r="L64" s="66"/>
      <c r="N64" s="87"/>
      <c r="O64" s="71"/>
    </row>
    <row r="65" spans="1:15" ht="30.75" customHeight="1">
      <c r="A65" s="814" t="s">
        <v>201</v>
      </c>
      <c r="B65" s="815"/>
      <c r="C65" s="816"/>
      <c r="D65" s="151" t="s">
        <v>142</v>
      </c>
      <c r="E65" s="95">
        <f>'10'!F65</f>
        <v>427186</v>
      </c>
      <c r="F65" s="122">
        <v>427281</v>
      </c>
      <c r="G65" s="112">
        <f t="shared" ref="G65:G70" si="6">F65-E65</f>
        <v>95</v>
      </c>
      <c r="H65" s="99">
        <f>G65+'10'!H65</f>
        <v>1076</v>
      </c>
      <c r="I65" s="118"/>
      <c r="J65" s="175">
        <f>H65/DAY(B2)</f>
        <v>97.818181818181813</v>
      </c>
      <c r="K65" s="69"/>
      <c r="L65" s="66"/>
      <c r="N65" s="87"/>
      <c r="O65" s="71"/>
    </row>
    <row r="66" spans="1:15" ht="30.75" customHeight="1">
      <c r="A66" s="365" t="s">
        <v>202</v>
      </c>
      <c r="B66" s="366"/>
      <c r="C66" s="366"/>
      <c r="D66" s="151" t="s">
        <v>142</v>
      </c>
      <c r="E66" s="95">
        <f>'10'!F66</f>
        <v>106193</v>
      </c>
      <c r="F66" s="122">
        <v>106210</v>
      </c>
      <c r="G66" s="112">
        <f t="shared" si="6"/>
        <v>17</v>
      </c>
      <c r="H66" s="99">
        <f>G66+'10'!H66</f>
        <v>240</v>
      </c>
      <c r="I66" s="118"/>
      <c r="J66" s="175">
        <f>H66/DAY(B2)</f>
        <v>21.818181818181817</v>
      </c>
      <c r="K66" s="78"/>
      <c r="L66" s="66"/>
      <c r="N66" s="87"/>
      <c r="O66" s="71"/>
    </row>
    <row r="67" spans="1:15" ht="30.75" customHeight="1">
      <c r="A67" s="365" t="s">
        <v>203</v>
      </c>
      <c r="B67" s="366"/>
      <c r="C67" s="366"/>
      <c r="D67" s="151" t="s">
        <v>142</v>
      </c>
      <c r="E67" s="95">
        <f>'10'!F67</f>
        <v>102440</v>
      </c>
      <c r="F67" s="122">
        <v>102464</v>
      </c>
      <c r="G67" s="112">
        <f t="shared" si="6"/>
        <v>24</v>
      </c>
      <c r="H67" s="99">
        <f>G67+'10'!H67</f>
        <v>293</v>
      </c>
      <c r="I67" s="118"/>
      <c r="J67" s="175">
        <f>H67/DAY(B2)</f>
        <v>26.636363636363637</v>
      </c>
      <c r="K67" s="81"/>
      <c r="L67" s="66"/>
      <c r="N67" s="87"/>
      <c r="O67" s="71"/>
    </row>
    <row r="68" spans="1:15" ht="30.75" customHeight="1">
      <c r="A68" s="365" t="s">
        <v>204</v>
      </c>
      <c r="B68" s="366"/>
      <c r="C68" s="366"/>
      <c r="D68" s="151" t="s">
        <v>142</v>
      </c>
      <c r="E68" s="95">
        <f>'10'!F68</f>
        <v>154793</v>
      </c>
      <c r="F68" s="122">
        <v>154831</v>
      </c>
      <c r="G68" s="112">
        <f t="shared" si="6"/>
        <v>38</v>
      </c>
      <c r="H68" s="99">
        <f>G68+'10'!H68</f>
        <v>335</v>
      </c>
      <c r="I68" s="118"/>
      <c r="J68" s="175">
        <f>H68/DAY(B2)</f>
        <v>30.454545454545453</v>
      </c>
      <c r="K68" s="69"/>
      <c r="L68" s="66"/>
      <c r="N68" s="87"/>
      <c r="O68" s="71"/>
    </row>
    <row r="69" spans="1:15" ht="30.75" customHeight="1">
      <c r="A69" s="365" t="s">
        <v>205</v>
      </c>
      <c r="B69" s="366"/>
      <c r="C69" s="366"/>
      <c r="D69" s="151" t="s">
        <v>142</v>
      </c>
      <c r="E69" s="95">
        <f>'10'!F69</f>
        <v>9596</v>
      </c>
      <c r="F69" s="122">
        <v>9605</v>
      </c>
      <c r="G69" s="112">
        <f t="shared" si="6"/>
        <v>9</v>
      </c>
      <c r="H69" s="99">
        <f>G69+'10'!H69</f>
        <v>140</v>
      </c>
      <c r="I69" s="118"/>
      <c r="J69" s="175">
        <f>H69/DAY(B2)</f>
        <v>12.727272727272727</v>
      </c>
      <c r="K69" s="69"/>
      <c r="L69" s="66"/>
      <c r="N69" s="87"/>
      <c r="O69" s="71"/>
    </row>
    <row r="70" spans="1:15" ht="30.75" customHeight="1">
      <c r="A70" s="365" t="s">
        <v>206</v>
      </c>
      <c r="B70" s="366"/>
      <c r="C70" s="366"/>
      <c r="D70" s="151" t="s">
        <v>142</v>
      </c>
      <c r="E70" s="95">
        <f>'10'!F70</f>
        <v>7315</v>
      </c>
      <c r="F70" s="122">
        <v>7326</v>
      </c>
      <c r="G70" s="112">
        <f t="shared" si="6"/>
        <v>11</v>
      </c>
      <c r="H70" s="99">
        <f>G70+'10'!H70</f>
        <v>123</v>
      </c>
      <c r="I70" s="118"/>
      <c r="J70" s="175">
        <f>H70/DAY(B2)</f>
        <v>11.181818181818182</v>
      </c>
      <c r="K70" s="69"/>
      <c r="L70" s="66"/>
      <c r="N70" s="87"/>
      <c r="O70" s="71"/>
    </row>
    <row r="71" spans="1:15" ht="30.75" customHeight="1">
      <c r="A71" s="823" t="s">
        <v>208</v>
      </c>
      <c r="B71" s="824"/>
      <c r="C71" s="825"/>
      <c r="D71" s="152"/>
      <c r="E71" s="152"/>
      <c r="F71" s="152"/>
      <c r="G71" s="153">
        <f>SUM(G65:G70)</f>
        <v>194</v>
      </c>
      <c r="H71" s="99">
        <f>G71+'10'!H71</f>
        <v>2207</v>
      </c>
      <c r="I71" s="154"/>
      <c r="J71" s="175">
        <f>H71/DAY(B2)</f>
        <v>200.63636363636363</v>
      </c>
      <c r="K71" s="69"/>
      <c r="L71" s="66"/>
      <c r="N71" s="87"/>
      <c r="O71" s="71"/>
    </row>
    <row r="72" spans="1:15" s="88" customFormat="1" ht="30.75" customHeight="1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>
      <c r="A74" s="814" t="s">
        <v>220</v>
      </c>
      <c r="B74" s="815"/>
      <c r="C74" s="816"/>
      <c r="D74" s="151" t="s">
        <v>139</v>
      </c>
      <c r="E74" s="95">
        <f>'10'!F74</f>
        <v>876477</v>
      </c>
      <c r="F74" s="117">
        <v>876770</v>
      </c>
      <c r="G74" s="112">
        <f t="shared" ref="G74:G78" si="7">F74-E74</f>
        <v>293</v>
      </c>
      <c r="H74" s="99">
        <f>G74+'10'!H74</f>
        <v>3184.7689999999711</v>
      </c>
      <c r="I74" s="154"/>
      <c r="J74" s="175">
        <f>H74/DAY(B2)</f>
        <v>289.52445454545193</v>
      </c>
      <c r="K74" s="69"/>
      <c r="L74" s="66"/>
      <c r="N74" s="87"/>
      <c r="O74" s="71"/>
    </row>
    <row r="75" spans="1:15" ht="30.75" customHeight="1">
      <c r="A75" s="814" t="s">
        <v>221</v>
      </c>
      <c r="B75" s="815"/>
      <c r="C75" s="816"/>
      <c r="D75" s="151" t="s">
        <v>139</v>
      </c>
      <c r="E75" s="95">
        <f>'10'!F75</f>
        <v>73586.8</v>
      </c>
      <c r="F75" s="123">
        <v>73586.8</v>
      </c>
      <c r="G75" s="112">
        <f t="shared" si="7"/>
        <v>0</v>
      </c>
      <c r="H75" s="99">
        <f>G75+'10'!H75</f>
        <v>3.4000000000087311</v>
      </c>
      <c r="I75" s="154"/>
      <c r="J75" s="175">
        <f>H75/DAY(B2)</f>
        <v>0.30909090909170284</v>
      </c>
      <c r="K75" s="69"/>
      <c r="L75" s="66"/>
      <c r="N75" s="87"/>
      <c r="O75" s="71"/>
    </row>
    <row r="76" spans="1:15" ht="30.75" customHeight="1">
      <c r="A76" s="811" t="s">
        <v>222</v>
      </c>
      <c r="B76" s="812"/>
      <c r="C76" s="813"/>
      <c r="D76" s="151" t="s">
        <v>139</v>
      </c>
      <c r="E76" s="95">
        <f>'10'!F76</f>
        <v>160939</v>
      </c>
      <c r="F76" s="123">
        <v>161057</v>
      </c>
      <c r="G76" s="112">
        <f t="shared" si="7"/>
        <v>118</v>
      </c>
      <c r="H76" s="99">
        <f>G76+'10'!H76</f>
        <v>1071.5</v>
      </c>
      <c r="I76" s="154"/>
      <c r="J76" s="175">
        <f>H76/DAY(B2)</f>
        <v>97.409090909090907</v>
      </c>
      <c r="K76" s="69"/>
      <c r="L76" s="66"/>
      <c r="N76" s="87"/>
      <c r="O76" s="71"/>
    </row>
    <row r="77" spans="1:15" ht="30.75" customHeight="1">
      <c r="A77" s="811" t="s">
        <v>223</v>
      </c>
      <c r="B77" s="812"/>
      <c r="C77" s="813"/>
      <c r="D77" s="151" t="s">
        <v>139</v>
      </c>
      <c r="E77" s="95">
        <f>'10'!F77</f>
        <v>37892</v>
      </c>
      <c r="F77" s="123">
        <v>37931</v>
      </c>
      <c r="G77" s="112">
        <f t="shared" si="7"/>
        <v>39</v>
      </c>
      <c r="H77" s="99">
        <f>G77+'10'!H77</f>
        <v>433.5</v>
      </c>
      <c r="I77" s="154"/>
      <c r="J77" s="175">
        <f>H77/DAY(B2)</f>
        <v>39.409090909090907</v>
      </c>
      <c r="K77" s="69"/>
      <c r="L77" s="66"/>
      <c r="N77" s="87"/>
      <c r="O77" s="71"/>
    </row>
    <row r="78" spans="1:15" ht="30.75" customHeight="1">
      <c r="A78" s="811" t="s">
        <v>224</v>
      </c>
      <c r="B78" s="812"/>
      <c r="C78" s="813"/>
      <c r="D78" s="151" t="s">
        <v>139</v>
      </c>
      <c r="E78" s="95">
        <f>'10'!F78</f>
        <v>9350</v>
      </c>
      <c r="F78" s="123">
        <v>9352</v>
      </c>
      <c r="G78" s="112">
        <f t="shared" si="7"/>
        <v>2</v>
      </c>
      <c r="H78" s="99">
        <f>G78+'10'!H78</f>
        <v>22.600000000000364</v>
      </c>
      <c r="I78" s="118"/>
      <c r="J78" s="175">
        <f>H78/DAY(B2)</f>
        <v>2.0545454545454875</v>
      </c>
      <c r="K78" s="69"/>
      <c r="L78" s="66"/>
      <c r="N78" s="87"/>
      <c r="O78" s="71"/>
    </row>
    <row r="79" spans="1:15" s="57" customFormat="1" ht="30.75" customHeight="1">
      <c r="A79" s="811" t="s">
        <v>225</v>
      </c>
      <c r="B79" s="812"/>
      <c r="C79" s="813"/>
      <c r="D79" s="151"/>
      <c r="E79" s="95">
        <f>'10'!F79</f>
        <v>0</v>
      </c>
      <c r="F79" s="117"/>
      <c r="G79" s="112">
        <f>G15-SUM(G74:G78)</f>
        <v>594</v>
      </c>
      <c r="H79" s="99">
        <f>G79+'10'!H79</f>
        <v>6038.271000000057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23" t="s">
        <v>329</v>
      </c>
      <c r="B80" s="824"/>
      <c r="C80" s="825"/>
      <c r="D80" s="151"/>
      <c r="E80" s="117"/>
      <c r="F80" s="117"/>
      <c r="G80" s="112">
        <f>SUM(G74:G79)</f>
        <v>1046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65" t="s">
        <v>227</v>
      </c>
      <c r="B82" s="366"/>
      <c r="C82" s="36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>
      <c r="A83" s="365" t="s">
        <v>229</v>
      </c>
      <c r="B83" s="366"/>
      <c r="C83" s="36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>
      <c r="A84" s="365" t="s">
        <v>230</v>
      </c>
      <c r="B84" s="366"/>
      <c r="C84" s="366"/>
      <c r="D84" s="151" t="s">
        <v>228</v>
      </c>
      <c r="E84" s="95">
        <f>'10'!F84</f>
        <v>41589.089999999997</v>
      </c>
      <c r="F84" s="164">
        <v>41589.089999999997</v>
      </c>
      <c r="G84" s="112">
        <f t="shared" si="8"/>
        <v>0</v>
      </c>
      <c r="H84" s="99">
        <f>G84+'10'!H84</f>
        <v>3.5299999999988358</v>
      </c>
      <c r="I84" s="118"/>
      <c r="J84" s="175">
        <f>H84/DAY(B2)</f>
        <v>0.32090909090898506</v>
      </c>
      <c r="O84" s="71"/>
    </row>
    <row r="85" spans="1:15" ht="30.75" customHeight="1">
      <c r="A85" s="365" t="s">
        <v>231</v>
      </c>
      <c r="B85" s="366"/>
      <c r="C85" s="366"/>
      <c r="D85" s="151" t="s">
        <v>228</v>
      </c>
      <c r="E85" s="95">
        <f>'10'!F85</f>
        <v>1317.51</v>
      </c>
      <c r="F85" s="164">
        <v>1317.51</v>
      </c>
      <c r="G85" s="112">
        <f t="shared" si="8"/>
        <v>0</v>
      </c>
      <c r="H85" s="99">
        <f>G85+'10'!H85</f>
        <v>12.509999999999991</v>
      </c>
      <c r="I85" s="118">
        <f>G82+G83+G84+G85</f>
        <v>0</v>
      </c>
      <c r="J85" s="175">
        <f>H85/DAY(B2)</f>
        <v>1.1372727272727265</v>
      </c>
      <c r="O85" s="71"/>
    </row>
    <row r="86" spans="1:15" ht="30.75" customHeight="1">
      <c r="A86" s="365" t="s">
        <v>232</v>
      </c>
      <c r="B86" s="366"/>
      <c r="C86" s="366"/>
      <c r="D86" s="151" t="s">
        <v>228</v>
      </c>
      <c r="E86" s="95">
        <f>'10'!F86</f>
        <v>42826.47</v>
      </c>
      <c r="F86" s="164">
        <v>42826.47</v>
      </c>
      <c r="G86" s="112">
        <f t="shared" si="8"/>
        <v>0</v>
      </c>
      <c r="H86" s="99">
        <f>G86+'10'!H86</f>
        <v>0.47000000000116415</v>
      </c>
      <c r="I86" s="118"/>
      <c r="J86" s="175">
        <f>H86/DAY(B2)</f>
        <v>4.2727272727378557E-2</v>
      </c>
      <c r="O86" s="71"/>
    </row>
    <row r="87" spans="1:15" ht="30.75" customHeight="1">
      <c r="A87" s="365" t="s">
        <v>233</v>
      </c>
      <c r="B87" s="366"/>
      <c r="C87" s="366"/>
      <c r="D87" s="151" t="s">
        <v>228</v>
      </c>
      <c r="E87" s="95">
        <f>'10'!F87</f>
        <v>33990</v>
      </c>
      <c r="F87" s="164">
        <v>34014</v>
      </c>
      <c r="G87" s="112">
        <f t="shared" si="8"/>
        <v>24</v>
      </c>
      <c r="H87" s="99">
        <f>G87+'10'!H87</f>
        <v>266</v>
      </c>
      <c r="I87" s="118"/>
      <c r="J87" s="175">
        <f>H87/DAY(B2)</f>
        <v>24.181818181818183</v>
      </c>
      <c r="O87" s="71"/>
    </row>
    <row r="88" spans="1:15" ht="30.75" customHeight="1">
      <c r="A88" s="365" t="s">
        <v>234</v>
      </c>
      <c r="B88" s="366"/>
      <c r="C88" s="366"/>
      <c r="D88" s="151" t="s">
        <v>228</v>
      </c>
      <c r="E88" s="95">
        <f>'10'!F88</f>
        <v>23873.52</v>
      </c>
      <c r="F88" s="164">
        <v>23873.57</v>
      </c>
      <c r="G88" s="112">
        <f t="shared" si="8"/>
        <v>4.9999999999272404E-2</v>
      </c>
      <c r="H88" s="99">
        <f>G88+'10'!H88</f>
        <v>40</v>
      </c>
      <c r="I88" s="118">
        <f>G86+G87+G88</f>
        <v>24.049999999999272</v>
      </c>
      <c r="J88" s="175">
        <f>H88/DAY(B2)</f>
        <v>3.6363636363636362</v>
      </c>
      <c r="O88" s="71"/>
    </row>
    <row r="89" spans="1:15" ht="30.75" customHeight="1">
      <c r="A89" s="365" t="s">
        <v>235</v>
      </c>
      <c r="B89" s="366"/>
      <c r="C89" s="366"/>
      <c r="D89" s="151" t="s">
        <v>228</v>
      </c>
      <c r="E89" s="95">
        <f>'10'!F89</f>
        <v>25298.92</v>
      </c>
      <c r="F89" s="164">
        <v>25309.15</v>
      </c>
      <c r="G89" s="112">
        <f t="shared" si="8"/>
        <v>10.230000000003201</v>
      </c>
      <c r="H89" s="99">
        <f>G89+'10'!H89</f>
        <v>63.770000000000437</v>
      </c>
      <c r="I89" s="118"/>
      <c r="J89" s="175">
        <f>H89/DAY(B2)</f>
        <v>5.7972727272727669</v>
      </c>
      <c r="O89" s="71"/>
    </row>
    <row r="90" spans="1:15" ht="30.75" customHeight="1">
      <c r="A90" s="365" t="s">
        <v>236</v>
      </c>
      <c r="B90" s="366"/>
      <c r="C90" s="366"/>
      <c r="D90" s="151" t="s">
        <v>228</v>
      </c>
      <c r="E90" s="95">
        <f>'10'!F90</f>
        <v>70700.28</v>
      </c>
      <c r="F90" s="164">
        <v>70706.5</v>
      </c>
      <c r="G90" s="112">
        <f t="shared" si="8"/>
        <v>6.2200000000011642</v>
      </c>
      <c r="H90" s="99">
        <f>G90+'10'!H90</f>
        <v>51.089999999996508</v>
      </c>
      <c r="I90" s="118">
        <f>G89+G90</f>
        <v>16.450000000004366</v>
      </c>
      <c r="J90" s="175">
        <f>H90/DAY(B2)</f>
        <v>4.6445454545451375</v>
      </c>
      <c r="O90" s="71"/>
    </row>
    <row r="91" spans="1:15" ht="30.75" customHeight="1">
      <c r="A91" s="365" t="s">
        <v>237</v>
      </c>
      <c r="B91" s="366"/>
      <c r="C91" s="366"/>
      <c r="D91" s="151" t="s">
        <v>228</v>
      </c>
      <c r="E91" s="95">
        <f>'10'!F91</f>
        <v>3226.32</v>
      </c>
      <c r="F91" s="122">
        <v>3226.32</v>
      </c>
      <c r="G91" s="112">
        <f t="shared" si="8"/>
        <v>0</v>
      </c>
      <c r="H91" s="99">
        <f>G91+'10'!H91</f>
        <v>0</v>
      </c>
      <c r="I91" s="165"/>
      <c r="J91" s="175">
        <f>H91/DAY(B2)</f>
        <v>0</v>
      </c>
      <c r="O91" s="71"/>
    </row>
    <row r="92" spans="1:15" ht="30.75" customHeight="1">
      <c r="A92" s="365" t="s">
        <v>238</v>
      </c>
      <c r="B92" s="366"/>
      <c r="C92" s="366"/>
      <c r="D92" s="151" t="s">
        <v>228</v>
      </c>
      <c r="E92" s="95">
        <f>'10'!F92</f>
        <v>4893.43</v>
      </c>
      <c r="F92" s="122">
        <v>4903.72</v>
      </c>
      <c r="G92" s="112">
        <f t="shared" si="8"/>
        <v>10.289999999999964</v>
      </c>
      <c r="H92" s="99">
        <f>G92+'10'!H92</f>
        <v>111.90000000000055</v>
      </c>
      <c r="I92" s="165"/>
      <c r="J92" s="175">
        <f>H92/DAY(B2)</f>
        <v>10.172727272727322</v>
      </c>
      <c r="O92" s="71"/>
    </row>
    <row r="93" spans="1:15" ht="30.75" customHeight="1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5752</v>
      </c>
      <c r="H94" s="99">
        <f>G94+'10'!H94</f>
        <v>67910.540000000081</v>
      </c>
      <c r="I94" s="118"/>
      <c r="J94" s="175">
        <f>H94/DAY(B2)</f>
        <v>6173.6854545454617</v>
      </c>
      <c r="K94" s="69"/>
      <c r="L94" s="66"/>
      <c r="O94" s="71"/>
    </row>
    <row r="95" spans="1:15" ht="30.75" customHeight="1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0.28176741451944742</v>
      </c>
      <c r="H95" s="99">
        <f>G95+'10'!H95</f>
        <v>3.1315955360587329</v>
      </c>
      <c r="I95" s="167"/>
      <c r="J95" s="175">
        <f>H95/DAY(B2)</f>
        <v>0.28469050327806661</v>
      </c>
      <c r="K95" s="69"/>
      <c r="L95" s="66"/>
      <c r="O95" s="71"/>
    </row>
    <row r="96" spans="1:15" ht="30.75" customHeight="1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4864</v>
      </c>
      <c r="H96" s="99">
        <f>G96+'10'!H96</f>
        <v>60472.92000000002</v>
      </c>
      <c r="I96" s="118"/>
      <c r="J96" s="175">
        <f>H96/DAY(B2)</f>
        <v>5497.5381818181841</v>
      </c>
      <c r="K96" s="69"/>
      <c r="L96" s="66"/>
      <c r="O96" s="71"/>
    </row>
    <row r="97" spans="1:15" ht="30.75" customHeight="1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0.23826785539335749</v>
      </c>
      <c r="H97" s="99">
        <f>G97+'10'!H97</f>
        <v>2.7807428221660264</v>
      </c>
      <c r="I97" s="167"/>
      <c r="J97" s="175">
        <f>H97/DAY(B2)</f>
        <v>0.2527948020150933</v>
      </c>
      <c r="K97" s="69"/>
      <c r="L97" s="66"/>
      <c r="O97" s="71"/>
    </row>
    <row r="98" spans="1:15" ht="30.75" customHeight="1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2887</v>
      </c>
      <c r="H98" s="99">
        <f>G98+'10'!H98</f>
        <v>31621.950000000012</v>
      </c>
      <c r="I98" s="168"/>
      <c r="J98" s="175">
        <f>H98/DAY(B2)</f>
        <v>2874.7227272727282</v>
      </c>
      <c r="K98" s="69"/>
      <c r="L98" s="66"/>
      <c r="O98" s="71"/>
    </row>
    <row r="99" spans="1:15" ht="30.75" customHeight="1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0.14142255314979915</v>
      </c>
      <c r="H99" s="99">
        <f>G99+'10'!H99</f>
        <v>1.4600888902006908</v>
      </c>
      <c r="I99" s="168"/>
      <c r="J99" s="175">
        <f>H99/DAY(B2)</f>
        <v>0.13273535365460826</v>
      </c>
      <c r="O99" s="71"/>
    </row>
    <row r="100" spans="1:15" ht="30.75" customHeight="1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1740</v>
      </c>
      <c r="H100" s="99">
        <f>G100+'10'!H100</f>
        <v>19859.960000000006</v>
      </c>
      <c r="I100" s="118"/>
      <c r="J100" s="175">
        <f>H100/DAY(B2)</f>
        <v>1805.4509090909096</v>
      </c>
      <c r="K100" s="70"/>
      <c r="O100" s="71"/>
    </row>
    <row r="101" spans="1:15" ht="30.75" customHeight="1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8.5235622611932987E-2</v>
      </c>
      <c r="H101" s="99">
        <f>G101+'10'!H101</f>
        <v>0.91626054804464108</v>
      </c>
      <c r="I101" s="168"/>
      <c r="J101" s="175">
        <f>H101/DAY(B2)</f>
        <v>8.3296413458603738E-2</v>
      </c>
      <c r="O101" s="71"/>
    </row>
    <row r="102" spans="1:15" ht="30.75" customHeight="1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1988</v>
      </c>
      <c r="H102" s="99">
        <f>G102+'10'!H102</f>
        <v>20458.019999999946</v>
      </c>
      <c r="I102" s="168"/>
      <c r="J102" s="175">
        <f>H102/DAY(B2)</f>
        <v>1859.8199999999952</v>
      </c>
      <c r="O102" s="71"/>
    </row>
    <row r="103" spans="1:15" ht="30.75" customHeight="1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9.7384148133633774E-2</v>
      </c>
      <c r="H103" s="99">
        <f>G103+'10'!H103</f>
        <v>0.94341847963518277</v>
      </c>
      <c r="I103" s="118"/>
      <c r="J103" s="175">
        <f>H103/DAY(B2)</f>
        <v>8.5765316330471159E-2</v>
      </c>
      <c r="O103" s="71"/>
    </row>
    <row r="104" spans="1:15" ht="30.75" customHeight="1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1567</v>
      </c>
      <c r="H104" s="99">
        <f>G104+'10'!H104</f>
        <v>17374.169999999998</v>
      </c>
      <c r="I104" s="118"/>
      <c r="J104" s="175">
        <f>H104/DAY(B2)</f>
        <v>1579.4699999999998</v>
      </c>
      <c r="O104" s="71"/>
    </row>
    <row r="105" spans="1:15" ht="30.75" customHeight="1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7.6761046340746542E-2</v>
      </c>
      <c r="H105" s="99">
        <f>G105+'10'!H105</f>
        <v>0.80173709848021912</v>
      </c>
      <c r="I105" s="187"/>
      <c r="J105" s="188">
        <f>H105/DAY(B2)</f>
        <v>7.2885190770929018E-2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30.75" customHeight="1">
      <c r="A109" s="831"/>
      <c r="B109" s="831"/>
    </row>
    <row r="110" spans="1:15" ht="30.75" customHeight="1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30.75" customHeight="1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30.75" customHeight="1">
      <c r="A112" s="793" t="s">
        <v>252</v>
      </c>
      <c r="B112" s="794"/>
      <c r="C112" s="795"/>
      <c r="D112" s="146" t="s">
        <v>183</v>
      </c>
      <c r="E112" s="95">
        <f>'10'!F112</f>
        <v>51712</v>
      </c>
      <c r="F112" s="237">
        <v>51793</v>
      </c>
      <c r="G112" s="112">
        <f t="shared" ref="G112:G123" si="9">F112-E112</f>
        <v>81</v>
      </c>
      <c r="H112" s="99">
        <f>G112+'10'!H112</f>
        <v>903.91999999999825</v>
      </c>
      <c r="I112" s="165"/>
      <c r="J112" s="348">
        <f>H112/DAY(B2)</f>
        <v>82.174545454545296</v>
      </c>
    </row>
    <row r="113" spans="1:18" ht="30.75" customHeight="1">
      <c r="A113" s="793" t="s">
        <v>253</v>
      </c>
      <c r="B113" s="794"/>
      <c r="C113" s="795"/>
      <c r="D113" s="146" t="s">
        <v>183</v>
      </c>
      <c r="E113" s="95">
        <f>'10'!F113</f>
        <v>8851</v>
      </c>
      <c r="F113" s="237">
        <v>9306</v>
      </c>
      <c r="G113" s="112">
        <f t="shared" si="9"/>
        <v>455</v>
      </c>
      <c r="H113" s="99">
        <f>G113+'10'!H113</f>
        <v>4800.3500000000004</v>
      </c>
      <c r="I113" s="165"/>
      <c r="J113" s="348">
        <f>H113/DAY(B2)</f>
        <v>436.39545454545458</v>
      </c>
    </row>
    <row r="114" spans="1:18" ht="30.75" customHeight="1">
      <c r="A114" s="793" t="s">
        <v>254</v>
      </c>
      <c r="B114" s="794"/>
      <c r="C114" s="795"/>
      <c r="D114" s="146" t="s">
        <v>183</v>
      </c>
      <c r="E114" s="95">
        <f>'10'!F114</f>
        <v>7206</v>
      </c>
      <c r="F114" s="237">
        <v>7479</v>
      </c>
      <c r="G114" s="112">
        <f t="shared" si="9"/>
        <v>273</v>
      </c>
      <c r="H114" s="99">
        <f>G114+'10'!H114</f>
        <v>2901.0699999999997</v>
      </c>
      <c r="I114" s="165"/>
      <c r="J114" s="348">
        <f>H114/DAY(B2)</f>
        <v>263.73363636363632</v>
      </c>
    </row>
    <row r="115" spans="1:18" ht="30.75" customHeight="1">
      <c r="A115" s="793" t="s">
        <v>255</v>
      </c>
      <c r="B115" s="794"/>
      <c r="C115" s="795"/>
      <c r="D115" s="146" t="s">
        <v>183</v>
      </c>
      <c r="E115" s="95">
        <f>'10'!F115</f>
        <v>8180</v>
      </c>
      <c r="F115" s="237">
        <v>8194</v>
      </c>
      <c r="G115" s="112">
        <f t="shared" si="9"/>
        <v>14</v>
      </c>
      <c r="H115" s="99">
        <f>G115+'10'!H115</f>
        <v>116.59000000000015</v>
      </c>
      <c r="I115" s="165"/>
      <c r="J115" s="348">
        <f>H115/DAY(B2)</f>
        <v>10.599090909090922</v>
      </c>
    </row>
    <row r="116" spans="1:18" ht="30.75" customHeight="1">
      <c r="A116" s="800" t="s">
        <v>96</v>
      </c>
      <c r="B116" s="801"/>
      <c r="C116" s="802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30.75" customHeight="1">
      <c r="A117" s="800" t="s">
        <v>184</v>
      </c>
      <c r="B117" s="801"/>
      <c r="C117" s="802"/>
      <c r="D117" s="146" t="s">
        <v>183</v>
      </c>
      <c r="E117" s="95">
        <f>'10'!F117</f>
        <v>1529</v>
      </c>
      <c r="F117" s="237">
        <v>1551</v>
      </c>
      <c r="G117" s="112">
        <f t="shared" si="9"/>
        <v>22</v>
      </c>
      <c r="H117" s="99">
        <f>G117+'10'!H117</f>
        <v>392.80999999999995</v>
      </c>
      <c r="I117" s="165"/>
      <c r="J117" s="348">
        <f>H117/DAY(B2)</f>
        <v>35.709999999999994</v>
      </c>
      <c r="Q117" s="793" t="s">
        <v>312</v>
      </c>
      <c r="R117" s="795"/>
    </row>
    <row r="118" spans="1:18" ht="30.75" customHeight="1">
      <c r="A118" s="792" t="s">
        <v>97</v>
      </c>
      <c r="B118" s="792"/>
      <c r="C118" s="792"/>
      <c r="D118" s="151" t="s">
        <v>183</v>
      </c>
      <c r="E118" s="95">
        <f>'10'!F118</f>
        <v>222225</v>
      </c>
      <c r="F118" s="237">
        <v>222587</v>
      </c>
      <c r="G118" s="112">
        <f t="shared" si="9"/>
        <v>362</v>
      </c>
      <c r="H118" s="99">
        <f>G118+'10'!H118</f>
        <v>3735.070000000007</v>
      </c>
      <c r="I118" s="165"/>
      <c r="J118" s="348">
        <f>H118/DAY(B2)</f>
        <v>339.55181818181882</v>
      </c>
      <c r="Q118" s="793" t="s">
        <v>311</v>
      </c>
      <c r="R118" s="795"/>
    </row>
    <row r="119" spans="1:18" ht="30.75" customHeight="1">
      <c r="A119" s="792" t="s">
        <v>98</v>
      </c>
      <c r="B119" s="792"/>
      <c r="C119" s="792"/>
      <c r="D119" s="151" t="s">
        <v>183</v>
      </c>
      <c r="E119" s="95">
        <f>'10'!F119</f>
        <v>223076</v>
      </c>
      <c r="F119" s="237">
        <v>223490</v>
      </c>
      <c r="G119" s="112">
        <f t="shared" si="9"/>
        <v>414</v>
      </c>
      <c r="H119" s="99">
        <f>G119+'10'!H119</f>
        <v>4678.890000000014</v>
      </c>
      <c r="I119" s="165"/>
      <c r="J119" s="348">
        <f>H119/DAY(B2)</f>
        <v>425.35363636363763</v>
      </c>
    </row>
    <row r="120" spans="1:18" ht="30.75" customHeight="1">
      <c r="A120" s="792" t="s">
        <v>99</v>
      </c>
      <c r="B120" s="792"/>
      <c r="C120" s="792"/>
      <c r="D120" s="151" t="s">
        <v>183</v>
      </c>
      <c r="E120" s="95">
        <f>'10'!F120</f>
        <v>8661</v>
      </c>
      <c r="F120" s="237">
        <v>9065</v>
      </c>
      <c r="G120" s="112">
        <f t="shared" si="9"/>
        <v>404</v>
      </c>
      <c r="H120" s="99">
        <f>G120+'10'!H120</f>
        <v>4757.3999999999996</v>
      </c>
      <c r="I120" s="165"/>
      <c r="J120" s="348">
        <f>H120/DAY(B2)</f>
        <v>432.49090909090904</v>
      </c>
    </row>
    <row r="121" spans="1:18" ht="30.75" customHeight="1">
      <c r="A121" s="792" t="s">
        <v>100</v>
      </c>
      <c r="B121" s="792"/>
      <c r="C121" s="792"/>
      <c r="D121" s="151" t="s">
        <v>183</v>
      </c>
      <c r="E121" s="95">
        <f>'10'!F121</f>
        <v>338399</v>
      </c>
      <c r="F121" s="237">
        <v>339122</v>
      </c>
      <c r="G121" s="112">
        <f t="shared" si="9"/>
        <v>723</v>
      </c>
      <c r="H121" s="99">
        <f>G121+'10'!H121</f>
        <v>7884.4899999999907</v>
      </c>
      <c r="I121" s="165"/>
      <c r="J121" s="348">
        <f>H121/DAY(B2)</f>
        <v>716.77181818181737</v>
      </c>
    </row>
    <row r="122" spans="1:18" ht="30.75" customHeight="1">
      <c r="A122" s="792" t="s">
        <v>101</v>
      </c>
      <c r="B122" s="792"/>
      <c r="C122" s="792"/>
      <c r="D122" s="151" t="s">
        <v>183</v>
      </c>
      <c r="E122" s="95">
        <f>'10'!F122</f>
        <v>104632</v>
      </c>
      <c r="F122" s="237">
        <v>104938</v>
      </c>
      <c r="G122" s="112">
        <f t="shared" si="9"/>
        <v>306</v>
      </c>
      <c r="H122" s="99">
        <f>G122+'10'!H122</f>
        <v>3329.1199999999953</v>
      </c>
      <c r="I122" s="165"/>
      <c r="J122" s="348">
        <f>H122/DAY(B2)</f>
        <v>302.64727272727231</v>
      </c>
    </row>
    <row r="123" spans="1:18" ht="30.75" customHeight="1">
      <c r="A123" s="792" t="s">
        <v>102</v>
      </c>
      <c r="B123" s="792"/>
      <c r="C123" s="792"/>
      <c r="D123" s="151" t="s">
        <v>183</v>
      </c>
      <c r="E123" s="95">
        <f>'10'!F123</f>
        <v>128700</v>
      </c>
      <c r="F123" s="237">
        <v>128995</v>
      </c>
      <c r="G123" s="112">
        <f t="shared" si="9"/>
        <v>295</v>
      </c>
      <c r="H123" s="99">
        <f>G123+'10'!H123</f>
        <v>3247.2400000000052</v>
      </c>
      <c r="I123" s="165"/>
      <c r="J123" s="348">
        <f>H123/DAY(B2)</f>
        <v>295.20363636363686</v>
      </c>
    </row>
    <row r="124" spans="1:18" ht="30.75" customHeight="1">
      <c r="A124" s="797"/>
      <c r="B124" s="798"/>
      <c r="C124" s="799"/>
      <c r="D124" s="165"/>
      <c r="E124" s="165"/>
      <c r="F124" s="165"/>
      <c r="G124" s="347"/>
      <c r="H124" s="156"/>
      <c r="I124" s="165"/>
      <c r="J124" s="347"/>
    </row>
    <row r="125" spans="1:18" ht="30.75" customHeight="1">
      <c r="A125" s="775" t="s">
        <v>196</v>
      </c>
      <c r="B125" s="776"/>
      <c r="C125" s="246"/>
      <c r="D125" s="317"/>
      <c r="E125" s="318"/>
      <c r="F125" s="318"/>
      <c r="G125" s="319">
        <f>SUM(G112:G124)</f>
        <v>3349</v>
      </c>
      <c r="H125" s="156"/>
      <c r="I125" s="347">
        <f>G125-(G39+G53)</f>
        <v>462</v>
      </c>
      <c r="J125" s="347"/>
    </row>
    <row r="126" spans="1:18" ht="30.75" customHeight="1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30.75" customHeight="1">
      <c r="A127" s="780"/>
      <c r="B127" s="780"/>
      <c r="C127" s="246"/>
      <c r="D127" s="317"/>
      <c r="E127" s="318"/>
      <c r="F127" s="318"/>
      <c r="G127" s="319"/>
      <c r="H127" s="99">
        <f>G127+'10'!H127</f>
        <v>0</v>
      </c>
      <c r="I127" s="165"/>
      <c r="J127" s="348">
        <f>H127/DAY(B2)</f>
        <v>0</v>
      </c>
    </row>
    <row r="128" spans="1:18" ht="30.75" customHeight="1">
      <c r="A128" s="793" t="s">
        <v>318</v>
      </c>
      <c r="B128" s="794"/>
      <c r="C128" s="795"/>
      <c r="D128" s="151" t="s">
        <v>183</v>
      </c>
      <c r="E128" s="95">
        <f>'10'!F128</f>
        <v>21267</v>
      </c>
      <c r="F128" s="155">
        <v>21601</v>
      </c>
      <c r="G128" s="112">
        <f t="shared" ref="G128:G134" si="10">F128-E128</f>
        <v>334</v>
      </c>
      <c r="H128" s="99">
        <f>G128+'10'!H128</f>
        <v>3577.2799999999988</v>
      </c>
      <c r="I128" s="165"/>
      <c r="J128" s="348">
        <f>H128/DAY(B2)</f>
        <v>325.2072727272726</v>
      </c>
    </row>
    <row r="129" spans="1:15" ht="30.75" customHeight="1">
      <c r="A129" s="349" t="s">
        <v>319</v>
      </c>
      <c r="B129" s="350"/>
      <c r="C129" s="351"/>
      <c r="D129" s="151" t="s">
        <v>183</v>
      </c>
      <c r="E129" s="95">
        <f>'10'!F129</f>
        <v>8729</v>
      </c>
      <c r="F129" s="155">
        <v>8908</v>
      </c>
      <c r="G129" s="112">
        <f t="shared" si="10"/>
        <v>179</v>
      </c>
      <c r="H129" s="99">
        <f>G129+'10'!H129</f>
        <v>2312.29</v>
      </c>
      <c r="I129" s="165"/>
      <c r="J129" s="348">
        <f>H129/DAY(B2)</f>
        <v>210.20818181818183</v>
      </c>
      <c r="N129" s="240"/>
      <c r="O129" s="241"/>
    </row>
    <row r="130" spans="1:15" ht="30.75" customHeight="1">
      <c r="A130" s="349" t="s">
        <v>320</v>
      </c>
      <c r="B130" s="350"/>
      <c r="C130" s="351"/>
      <c r="D130" s="151" t="s">
        <v>183</v>
      </c>
      <c r="E130" s="95">
        <f>'10'!F130</f>
        <v>51494</v>
      </c>
      <c r="F130" s="155">
        <v>53998</v>
      </c>
      <c r="G130" s="112">
        <f t="shared" si="10"/>
        <v>2504</v>
      </c>
      <c r="H130" s="99">
        <f>G130+'10'!H130</f>
        <v>27529.97</v>
      </c>
      <c r="I130" s="165"/>
      <c r="J130" s="348">
        <f>H130/DAY(B2)</f>
        <v>2502.7245454545455</v>
      </c>
      <c r="N130" s="240"/>
      <c r="O130" s="241"/>
    </row>
    <row r="131" spans="1:15" ht="30.75" customHeight="1">
      <c r="A131" s="793" t="s">
        <v>321</v>
      </c>
      <c r="B131" s="794"/>
      <c r="C131" s="795"/>
      <c r="D131" s="151" t="s">
        <v>183</v>
      </c>
      <c r="E131" s="95">
        <f>'10'!F131</f>
        <v>5515</v>
      </c>
      <c r="F131" s="155">
        <v>5709</v>
      </c>
      <c r="G131" s="112">
        <f t="shared" si="10"/>
        <v>194</v>
      </c>
      <c r="H131" s="99">
        <f>G131+'10'!H131</f>
        <v>1562.5299999999997</v>
      </c>
      <c r="I131" s="165"/>
      <c r="J131" s="348">
        <f>H131/DAY(B2)</f>
        <v>142.0481818181818</v>
      </c>
      <c r="N131" s="240"/>
      <c r="O131" s="241"/>
    </row>
    <row r="132" spans="1:15" ht="30.75" customHeight="1">
      <c r="A132" s="793" t="s">
        <v>322</v>
      </c>
      <c r="B132" s="794"/>
      <c r="C132" s="795"/>
      <c r="D132" s="151" t="s">
        <v>183</v>
      </c>
      <c r="E132" s="95">
        <f>'10'!F132</f>
        <v>16533</v>
      </c>
      <c r="F132" s="155">
        <v>17065</v>
      </c>
      <c r="G132" s="112">
        <f t="shared" si="10"/>
        <v>532</v>
      </c>
      <c r="H132" s="99">
        <f>G132+'10'!H132</f>
        <v>5527.2800000000007</v>
      </c>
      <c r="I132" s="165"/>
      <c r="J132" s="348">
        <f>H132/DAY(B2)</f>
        <v>502.48000000000008</v>
      </c>
    </row>
    <row r="133" spans="1:15" ht="30.75" customHeight="1">
      <c r="A133" s="793" t="s">
        <v>323</v>
      </c>
      <c r="B133" s="794"/>
      <c r="C133" s="795"/>
      <c r="D133" s="151" t="s">
        <v>183</v>
      </c>
      <c r="E133" s="95">
        <f>'10'!F133</f>
        <v>47979</v>
      </c>
      <c r="F133" s="155">
        <v>48469</v>
      </c>
      <c r="G133" s="112">
        <f t="shared" si="10"/>
        <v>490</v>
      </c>
      <c r="H133" s="99">
        <f>G133+'10'!H133</f>
        <v>7619.7099999999991</v>
      </c>
      <c r="I133" s="165"/>
      <c r="J133" s="348">
        <f>H133/DAY(B2)</f>
        <v>692.70090909090902</v>
      </c>
    </row>
    <row r="134" spans="1:15" ht="30.75" customHeight="1">
      <c r="A134" s="793" t="s">
        <v>340</v>
      </c>
      <c r="B134" s="794"/>
      <c r="C134" s="795"/>
      <c r="D134" s="151" t="s">
        <v>183</v>
      </c>
      <c r="E134" s="95">
        <f>'10'!F134</f>
        <v>638549</v>
      </c>
      <c r="F134" s="155">
        <v>639189</v>
      </c>
      <c r="G134" s="112">
        <f t="shared" si="10"/>
        <v>640</v>
      </c>
      <c r="H134" s="99">
        <f>G134+'10'!H134</f>
        <v>6925</v>
      </c>
      <c r="I134" s="165"/>
      <c r="J134" s="348">
        <f>H134/DAY(B2)</f>
        <v>629.5454545454545</v>
      </c>
    </row>
    <row r="135" spans="1:15" ht="30.75" customHeight="1">
      <c r="A135" s="775" t="s">
        <v>196</v>
      </c>
      <c r="B135" s="776"/>
      <c r="C135" s="351"/>
      <c r="D135" s="151"/>
      <c r="E135" s="95"/>
      <c r="F135" s="165"/>
      <c r="G135" s="112">
        <f>SUM(G128:G134)</f>
        <v>4873</v>
      </c>
      <c r="H135" s="99">
        <f>G135+'10'!H135</f>
        <v>55054.06</v>
      </c>
      <c r="I135" s="347">
        <f>G135-(G35+G49)</f>
        <v>1546</v>
      </c>
      <c r="J135" s="348">
        <f>H135/DAY(B2)</f>
        <v>5004.9145454545451</v>
      </c>
    </row>
    <row r="136" spans="1:15" ht="30.75" customHeight="1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30.75" customHeight="1">
      <c r="A137" s="246"/>
      <c r="B137" s="247"/>
      <c r="C137" s="247"/>
      <c r="D137" s="165"/>
      <c r="E137" s="165"/>
      <c r="F137" s="165" t="s">
        <v>358</v>
      </c>
      <c r="G137" s="165"/>
      <c r="H137" s="156"/>
      <c r="I137" s="165"/>
      <c r="J137" s="347"/>
    </row>
    <row r="138" spans="1:15" ht="30.75" customHeight="1">
      <c r="A138" s="792" t="s">
        <v>185</v>
      </c>
      <c r="B138" s="792"/>
      <c r="C138" s="792"/>
      <c r="D138" s="151" t="s">
        <v>183</v>
      </c>
      <c r="E138" s="95">
        <f>'10'!F138</f>
        <v>860182</v>
      </c>
      <c r="F138" s="147">
        <v>860245</v>
      </c>
      <c r="G138" s="112">
        <f t="shared" ref="G138:G152" si="11">F138-E138</f>
        <v>63</v>
      </c>
      <c r="H138" s="99">
        <f>G138+'10'!H138</f>
        <v>598</v>
      </c>
      <c r="I138" s="118"/>
      <c r="J138" s="348">
        <f>H138/DAY(B2)</f>
        <v>54.363636363636367</v>
      </c>
    </row>
    <row r="139" spans="1:15" ht="30.75" customHeight="1">
      <c r="A139" s="792" t="s">
        <v>186</v>
      </c>
      <c r="B139" s="792"/>
      <c r="C139" s="792"/>
      <c r="D139" s="151" t="s">
        <v>183</v>
      </c>
      <c r="E139" s="95">
        <f>'10'!F139</f>
        <v>886109</v>
      </c>
      <c r="F139" s="148">
        <v>886110</v>
      </c>
      <c r="G139" s="112">
        <f t="shared" si="11"/>
        <v>1</v>
      </c>
      <c r="H139" s="99">
        <f>G139+'10'!H139</f>
        <v>8</v>
      </c>
      <c r="I139" s="118"/>
      <c r="J139" s="348">
        <f>H139/DAY(B2)</f>
        <v>0.72727272727272729</v>
      </c>
    </row>
    <row r="140" spans="1:15" ht="30.75" customHeight="1">
      <c r="A140" s="792" t="s">
        <v>187</v>
      </c>
      <c r="B140" s="792"/>
      <c r="C140" s="792"/>
      <c r="D140" s="151" t="s">
        <v>183</v>
      </c>
      <c r="E140" s="95">
        <f>'10'!F140</f>
        <v>88829</v>
      </c>
      <c r="F140" s="149">
        <v>88830</v>
      </c>
      <c r="G140" s="112">
        <f t="shared" si="11"/>
        <v>1</v>
      </c>
      <c r="H140" s="99">
        <f>G140+'10'!H140</f>
        <v>13</v>
      </c>
      <c r="I140" s="118"/>
      <c r="J140" s="348">
        <f>H140/DAY(B2)</f>
        <v>1.1818181818181819</v>
      </c>
    </row>
    <row r="141" spans="1:15" ht="30.75" customHeight="1">
      <c r="A141" s="771" t="s">
        <v>188</v>
      </c>
      <c r="B141" s="771"/>
      <c r="C141" s="771"/>
      <c r="D141" s="151" t="s">
        <v>183</v>
      </c>
      <c r="E141" s="95">
        <f>'10'!F141</f>
        <v>39143</v>
      </c>
      <c r="F141" s="149">
        <v>39330</v>
      </c>
      <c r="G141" s="112">
        <f t="shared" si="11"/>
        <v>187</v>
      </c>
      <c r="H141" s="99">
        <f>G141+'10'!H141</f>
        <v>2042.0500000000029</v>
      </c>
      <c r="I141" s="118"/>
      <c r="J141" s="348">
        <f>H141/DAY(B2)</f>
        <v>185.64090909090936</v>
      </c>
    </row>
    <row r="142" spans="1:15" ht="30.75" customHeight="1">
      <c r="A142" s="771" t="s">
        <v>189</v>
      </c>
      <c r="B142" s="771"/>
      <c r="C142" s="771"/>
      <c r="D142" s="151" t="s">
        <v>183</v>
      </c>
      <c r="E142" s="95">
        <f>'10'!F142</f>
        <v>17122</v>
      </c>
      <c r="F142" s="148">
        <v>17138</v>
      </c>
      <c r="G142" s="112">
        <f t="shared" si="11"/>
        <v>16</v>
      </c>
      <c r="H142" s="99">
        <f>G142+'10'!H142</f>
        <v>176.13000000000102</v>
      </c>
      <c r="I142" s="140"/>
      <c r="J142" s="348">
        <f>H142/DAY(B2)</f>
        <v>16.011818181818274</v>
      </c>
    </row>
    <row r="143" spans="1:15" ht="30.75" customHeight="1">
      <c r="A143" s="792" t="s">
        <v>91</v>
      </c>
      <c r="B143" s="792"/>
      <c r="C143" s="792"/>
      <c r="D143" s="151" t="s">
        <v>183</v>
      </c>
      <c r="E143" s="95">
        <f>'10'!F143</f>
        <v>1624</v>
      </c>
      <c r="F143" s="149">
        <v>1650</v>
      </c>
      <c r="G143" s="112">
        <f t="shared" si="11"/>
        <v>26</v>
      </c>
      <c r="H143" s="99">
        <f>G143+'10'!H143</f>
        <v>266.81999999999994</v>
      </c>
      <c r="I143" s="140"/>
      <c r="J143" s="348">
        <f>H143/DAY(B2)</f>
        <v>24.256363636363631</v>
      </c>
    </row>
    <row r="144" spans="1:15" ht="30.75" customHeight="1">
      <c r="A144" s="771" t="s">
        <v>90</v>
      </c>
      <c r="B144" s="771"/>
      <c r="C144" s="771"/>
      <c r="D144" s="151" t="s">
        <v>183</v>
      </c>
      <c r="E144" s="95">
        <f>'10'!F144</f>
        <v>857646</v>
      </c>
      <c r="F144" s="149">
        <v>857881</v>
      </c>
      <c r="G144" s="112">
        <f t="shared" si="11"/>
        <v>235</v>
      </c>
      <c r="H144" s="99">
        <f>G144+'10'!H144</f>
        <v>2512</v>
      </c>
      <c r="I144" s="140"/>
      <c r="J144" s="348">
        <f>H144/DAY(B2)</f>
        <v>228.36363636363637</v>
      </c>
    </row>
    <row r="145" spans="1:10" ht="30.75" customHeight="1">
      <c r="A145" s="792" t="s">
        <v>190</v>
      </c>
      <c r="B145" s="792"/>
      <c r="C145" s="792"/>
      <c r="D145" s="152" t="s">
        <v>183</v>
      </c>
      <c r="E145" s="95">
        <f>'10'!F145</f>
        <v>2581</v>
      </c>
      <c r="F145" s="149">
        <v>2618</v>
      </c>
      <c r="G145" s="112">
        <f t="shared" si="11"/>
        <v>37</v>
      </c>
      <c r="H145" s="99">
        <f>G145+'10'!H145</f>
        <v>405</v>
      </c>
      <c r="I145" s="140"/>
      <c r="J145" s="348">
        <f>H145/DAY(B2)</f>
        <v>36.81818181818182</v>
      </c>
    </row>
    <row r="146" spans="1:10" ht="30.75" customHeight="1">
      <c r="A146" s="827" t="s">
        <v>191</v>
      </c>
      <c r="B146" s="812"/>
      <c r="C146" s="813"/>
      <c r="D146" s="152" t="s">
        <v>183</v>
      </c>
      <c r="E146" s="95">
        <f>'10'!F146</f>
        <v>702415</v>
      </c>
      <c r="F146" s="148">
        <v>702832</v>
      </c>
      <c r="G146" s="112">
        <f t="shared" si="11"/>
        <v>417</v>
      </c>
      <c r="H146" s="99">
        <f>G146+'10'!H146</f>
        <v>4313</v>
      </c>
      <c r="I146" s="140"/>
      <c r="J146" s="348">
        <f>H146/DAY(B2)</f>
        <v>392.09090909090907</v>
      </c>
    </row>
    <row r="147" spans="1:10" ht="30.75" customHeight="1">
      <c r="A147" s="771" t="s">
        <v>192</v>
      </c>
      <c r="B147" s="771"/>
      <c r="C147" s="771"/>
      <c r="D147" s="152" t="s">
        <v>183</v>
      </c>
      <c r="E147" s="95">
        <f>'10'!F147</f>
        <v>592846</v>
      </c>
      <c r="F147" s="148">
        <v>593189</v>
      </c>
      <c r="G147" s="112">
        <f t="shared" si="11"/>
        <v>343</v>
      </c>
      <c r="H147" s="99">
        <f>G147+'10'!H147</f>
        <v>4278.0799999999581</v>
      </c>
      <c r="I147" s="140"/>
      <c r="J147" s="348">
        <f>H147/DAY(B2)</f>
        <v>388.91636363635985</v>
      </c>
    </row>
    <row r="148" spans="1:10" ht="30.75" customHeight="1">
      <c r="A148" s="772" t="s">
        <v>193</v>
      </c>
      <c r="B148" s="773"/>
      <c r="C148" s="774"/>
      <c r="D148" s="123" t="s">
        <v>130</v>
      </c>
      <c r="E148" s="95">
        <f>'10'!F148</f>
        <v>667466</v>
      </c>
      <c r="F148" s="150">
        <v>667717</v>
      </c>
      <c r="G148" s="112">
        <f t="shared" si="11"/>
        <v>251</v>
      </c>
      <c r="H148" s="99">
        <f>G148+'10'!H148</f>
        <v>2608.8800000000047</v>
      </c>
      <c r="I148" s="124"/>
      <c r="J148" s="348">
        <f>H148/DAY(B2)</f>
        <v>237.1709090909095</v>
      </c>
    </row>
    <row r="149" spans="1:10" ht="30.75" customHeight="1">
      <c r="A149" s="772" t="s">
        <v>336</v>
      </c>
      <c r="B149" s="773"/>
      <c r="C149" s="774"/>
      <c r="D149" s="227" t="s">
        <v>130</v>
      </c>
      <c r="E149" s="95">
        <f>'10'!F149</f>
        <v>88070</v>
      </c>
      <c r="F149" s="146">
        <v>88345</v>
      </c>
      <c r="G149" s="112">
        <f t="shared" si="11"/>
        <v>275</v>
      </c>
      <c r="H149" s="99">
        <f>G149+'10'!H149</f>
        <v>3598</v>
      </c>
      <c r="I149" s="119"/>
      <c r="J149" s="348">
        <f>H149/DAY(B2)</f>
        <v>327.09090909090907</v>
      </c>
    </row>
    <row r="150" spans="1:10" ht="30.75" customHeight="1">
      <c r="A150" s="772" t="s">
        <v>337</v>
      </c>
      <c r="B150" s="773"/>
      <c r="C150" s="774"/>
      <c r="D150" s="117" t="s">
        <v>130</v>
      </c>
      <c r="E150" s="95">
        <f>'10'!F150</f>
        <v>7167232</v>
      </c>
      <c r="F150" s="233">
        <v>7167232</v>
      </c>
      <c r="G150" s="112">
        <f t="shared" si="11"/>
        <v>0</v>
      </c>
      <c r="H150" s="99">
        <f>G150+'10'!H150</f>
        <v>0</v>
      </c>
      <c r="I150" s="119"/>
      <c r="J150" s="348">
        <f>H150/DAY(B2)</f>
        <v>0</v>
      </c>
    </row>
    <row r="151" spans="1:10" ht="30.75" customHeight="1">
      <c r="A151" s="772" t="s">
        <v>338</v>
      </c>
      <c r="B151" s="773"/>
      <c r="C151" s="774"/>
      <c r="D151" s="117" t="s">
        <v>130</v>
      </c>
      <c r="E151" s="95">
        <f>'10'!F151</f>
        <v>65453</v>
      </c>
      <c r="F151" s="233">
        <v>65667</v>
      </c>
      <c r="G151" s="112">
        <f t="shared" si="11"/>
        <v>214</v>
      </c>
      <c r="H151" s="99">
        <f>G151+'10'!H151</f>
        <v>2657</v>
      </c>
      <c r="I151" s="119"/>
      <c r="J151" s="348">
        <f>H151/DAY(B2)</f>
        <v>241.54545454545453</v>
      </c>
    </row>
    <row r="152" spans="1:10" ht="30.75" customHeight="1">
      <c r="A152" s="772" t="s">
        <v>339</v>
      </c>
      <c r="B152" s="773"/>
      <c r="C152" s="774"/>
      <c r="D152" s="117" t="s">
        <v>130</v>
      </c>
      <c r="E152" s="95">
        <f>'10'!F152</f>
        <v>0</v>
      </c>
      <c r="F152" s="233">
        <v>0</v>
      </c>
      <c r="G152" s="112">
        <f t="shared" si="11"/>
        <v>0</v>
      </c>
      <c r="H152" s="99">
        <f>G152+'10'!H152</f>
        <v>0</v>
      </c>
      <c r="I152" s="119"/>
      <c r="J152" s="348">
        <f>H152/DAY(B2)</f>
        <v>0</v>
      </c>
    </row>
    <row r="153" spans="1:10" ht="30.75" customHeight="1">
      <c r="A153" s="775" t="s">
        <v>196</v>
      </c>
      <c r="B153" s="776"/>
      <c r="C153" s="385"/>
      <c r="D153" s="378"/>
      <c r="E153" s="380"/>
      <c r="F153" s="381"/>
      <c r="G153" s="382">
        <f>SUM(G138:G152)</f>
        <v>2066</v>
      </c>
      <c r="H153" s="383"/>
      <c r="I153" s="119">
        <f>G153-(G38+G52)</f>
        <v>326</v>
      </c>
      <c r="J153" s="386"/>
    </row>
    <row r="154" spans="1:10" ht="30.75" customHeight="1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0.75" customHeight="1">
      <c r="A155" s="771" t="s">
        <v>345</v>
      </c>
      <c r="B155" s="771"/>
      <c r="C155" s="771"/>
      <c r="D155" s="117" t="s">
        <v>130</v>
      </c>
      <c r="E155" s="95">
        <f>'10'!F155</f>
        <v>77344</v>
      </c>
      <c r="F155" s="628">
        <v>77352</v>
      </c>
      <c r="G155" s="112">
        <f t="shared" ref="G155:G156" si="12">F155-E155</f>
        <v>8</v>
      </c>
      <c r="H155" s="99">
        <f>G155+'10'!H155</f>
        <v>77.399999999994179</v>
      </c>
      <c r="I155" s="384"/>
      <c r="J155" s="348">
        <f>H155/DAY(B2)</f>
        <v>7.0363636363631068</v>
      </c>
    </row>
    <row r="156" spans="1:10" ht="30.75" customHeight="1">
      <c r="A156" s="771" t="s">
        <v>347</v>
      </c>
      <c r="B156" s="771"/>
      <c r="C156" s="771"/>
      <c r="D156" s="117" t="s">
        <v>130</v>
      </c>
      <c r="E156" s="95">
        <f>'10'!F156</f>
        <v>0</v>
      </c>
      <c r="F156" s="155">
        <v>0</v>
      </c>
      <c r="G156" s="112">
        <f t="shared" si="12"/>
        <v>0</v>
      </c>
      <c r="H156" s="99">
        <f>G156+'10'!H156</f>
        <v>0</v>
      </c>
      <c r="I156" s="165"/>
      <c r="J156" s="348">
        <f>H156/DAY(B2)</f>
        <v>0</v>
      </c>
    </row>
    <row r="157" spans="1:10" ht="30.75" customHeight="1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30.75" customHeight="1">
      <c r="A158" s="242" t="s">
        <v>92</v>
      </c>
      <c r="B158" s="243"/>
      <c r="C158" s="243"/>
      <c r="D158" s="244" t="s">
        <v>180</v>
      </c>
      <c r="E158" s="95">
        <f>'10'!F158</f>
        <v>469823</v>
      </c>
      <c r="F158" s="235">
        <v>469823</v>
      </c>
      <c r="G158" s="238">
        <f t="shared" ref="G158:G162" si="13">F158-E158</f>
        <v>0</v>
      </c>
      <c r="H158" s="99">
        <f>G158+'10'!H158</f>
        <v>293.96000000002095</v>
      </c>
      <c r="I158" s="236"/>
      <c r="J158" s="239">
        <f>H158/DAY(B2)</f>
        <v>26.723636363638267</v>
      </c>
    </row>
    <row r="159" spans="1:10" ht="30.75" customHeight="1">
      <c r="A159" s="242" t="s">
        <v>93</v>
      </c>
      <c r="B159" s="243"/>
      <c r="C159" s="243"/>
      <c r="D159" s="244" t="s">
        <v>180</v>
      </c>
      <c r="E159" s="95">
        <f>'10'!F159</f>
        <v>85979</v>
      </c>
      <c r="F159" s="235">
        <v>86025</v>
      </c>
      <c r="G159" s="238">
        <f t="shared" si="13"/>
        <v>46</v>
      </c>
      <c r="H159" s="99">
        <f>G159+'10'!H159</f>
        <v>319.39999999999418</v>
      </c>
      <c r="I159" s="236"/>
      <c r="J159" s="239">
        <f>H159/DAY(B2)</f>
        <v>29.036363636363106</v>
      </c>
    </row>
    <row r="160" spans="1:10" ht="30.75" customHeight="1">
      <c r="A160" s="242" t="s">
        <v>197</v>
      </c>
      <c r="B160" s="243"/>
      <c r="C160" s="243"/>
      <c r="D160" s="244" t="s">
        <v>180</v>
      </c>
      <c r="E160" s="95">
        <f>'10'!F160</f>
        <v>73939</v>
      </c>
      <c r="F160" s="235">
        <v>74005</v>
      </c>
      <c r="G160" s="238">
        <f t="shared" si="13"/>
        <v>66</v>
      </c>
      <c r="H160" s="99">
        <f>G160+'10'!H160</f>
        <v>668.10000000000582</v>
      </c>
      <c r="I160" s="236"/>
      <c r="J160" s="239">
        <f>H160/DAY(B2)</f>
        <v>60.736363636364167</v>
      </c>
    </row>
    <row r="161" spans="1:10" ht="30.75" customHeight="1">
      <c r="A161" s="242" t="s">
        <v>197</v>
      </c>
      <c r="B161" s="243"/>
      <c r="C161" s="243"/>
      <c r="D161" s="244" t="s">
        <v>180</v>
      </c>
      <c r="E161" s="95">
        <f>'10'!F161</f>
        <v>3993</v>
      </c>
      <c r="F161" s="235">
        <v>4000</v>
      </c>
      <c r="G161" s="238">
        <f t="shared" si="13"/>
        <v>7</v>
      </c>
      <c r="H161" s="99">
        <f>G161+'10'!H161</f>
        <v>26.5</v>
      </c>
      <c r="I161" s="236"/>
      <c r="J161" s="239">
        <f>H161/DAY(B2)</f>
        <v>2.4090909090909092</v>
      </c>
    </row>
    <row r="162" spans="1:10" ht="30.75" customHeight="1">
      <c r="A162" s="242" t="s">
        <v>309</v>
      </c>
      <c r="B162" s="243"/>
      <c r="C162" s="243"/>
      <c r="D162" s="244" t="s">
        <v>180</v>
      </c>
      <c r="E162" s="95">
        <f>'10'!F162</f>
        <v>29279</v>
      </c>
      <c r="F162" s="235">
        <v>29289</v>
      </c>
      <c r="G162" s="238">
        <f t="shared" si="13"/>
        <v>10</v>
      </c>
      <c r="H162" s="99">
        <f>G162+'10'!H162</f>
        <v>90.860000000000582</v>
      </c>
      <c r="I162" s="236"/>
      <c r="J162" s="239">
        <f>H162/DAY(B2)</f>
        <v>8.2600000000000531</v>
      </c>
    </row>
    <row r="163" spans="1:10" ht="30.75" customHeight="1">
      <c r="A163" s="780"/>
      <c r="B163" s="780"/>
      <c r="C163" s="247"/>
      <c r="D163" s="244" t="s">
        <v>180</v>
      </c>
      <c r="E163" s="95">
        <f>'10'!F163</f>
        <v>0</v>
      </c>
      <c r="F163" s="165" t="s">
        <v>207</v>
      </c>
      <c r="G163" s="165"/>
      <c r="H163" s="99">
        <f>G163+'10'!H163</f>
        <v>0</v>
      </c>
      <c r="I163" s="165"/>
      <c r="J163" s="239">
        <f>H163/DAY(B2)</f>
        <v>0</v>
      </c>
    </row>
    <row r="164" spans="1:10" ht="30.75" customHeight="1">
      <c r="A164" s="780"/>
      <c r="B164" s="780"/>
      <c r="C164" s="247"/>
      <c r="D164" s="244" t="s">
        <v>180</v>
      </c>
      <c r="E164" s="95">
        <f>'10'!F164</f>
        <v>0</v>
      </c>
      <c r="F164" s="165"/>
      <c r="G164" s="165"/>
      <c r="H164" s="99">
        <f>G164+'10'!H164</f>
        <v>0</v>
      </c>
      <c r="I164" s="165"/>
      <c r="J164" s="239">
        <f>H164/DAY(B2)</f>
        <v>0</v>
      </c>
    </row>
    <row r="165" spans="1:10" ht="30.75" customHeight="1">
      <c r="A165" s="780"/>
      <c r="B165" s="780"/>
      <c r="C165" s="247"/>
      <c r="D165" s="244" t="s">
        <v>180</v>
      </c>
      <c r="E165" s="95">
        <f>'10'!F165</f>
        <v>0</v>
      </c>
      <c r="F165" s="165"/>
      <c r="G165" s="165"/>
      <c r="H165" s="99">
        <f>G165+'10'!H165</f>
        <v>0</v>
      </c>
      <c r="I165" s="165"/>
      <c r="J165" s="239">
        <f>H165/DAY(B2)</f>
        <v>0</v>
      </c>
    </row>
    <row r="168" spans="1:10" ht="30.75" customHeight="1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30.75" customHeight="1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>
      <c r="A170" s="786" t="s">
        <v>209</v>
      </c>
      <c r="B170" s="787"/>
      <c r="C170" s="353"/>
      <c r="D170" s="228" t="s">
        <v>142</v>
      </c>
      <c r="E170" s="95">
        <f>'10'!F170</f>
        <v>8021</v>
      </c>
      <c r="F170" s="155">
        <v>8021</v>
      </c>
      <c r="G170" s="155">
        <f>F170-E170</f>
        <v>0</v>
      </c>
      <c r="H170" s="99">
        <f>G170+'10'!H170</f>
        <v>23</v>
      </c>
      <c r="I170" s="155"/>
      <c r="J170" s="178">
        <f>H170/DAY(B2)</f>
        <v>2.0909090909090908</v>
      </c>
    </row>
    <row r="171" spans="1:10" ht="30.75" customHeight="1">
      <c r="A171" s="786" t="s">
        <v>75</v>
      </c>
      <c r="B171" s="787"/>
      <c r="C171" s="353"/>
      <c r="D171" s="228" t="s">
        <v>142</v>
      </c>
      <c r="E171" s="95">
        <f>'10'!F171</f>
        <v>37511</v>
      </c>
      <c r="F171" s="157">
        <v>37524</v>
      </c>
      <c r="G171" s="155">
        <f t="shared" ref="G171:G172" si="14">F171-E171</f>
        <v>13</v>
      </c>
      <c r="H171" s="99">
        <f>G171+'10'!H171</f>
        <v>141</v>
      </c>
      <c r="I171" s="155"/>
      <c r="J171" s="178">
        <f>H171/DAY(B2)</f>
        <v>12.818181818181818</v>
      </c>
    </row>
    <row r="172" spans="1:10" ht="30.75" customHeight="1">
      <c r="A172" s="786" t="s">
        <v>76</v>
      </c>
      <c r="B172" s="826"/>
      <c r="C172" s="787"/>
      <c r="D172" s="228" t="s">
        <v>142</v>
      </c>
      <c r="E172" s="95">
        <f>'10'!F172</f>
        <v>20895</v>
      </c>
      <c r="F172" s="155">
        <v>20909</v>
      </c>
      <c r="G172" s="155">
        <f t="shared" si="14"/>
        <v>14</v>
      </c>
      <c r="H172" s="99">
        <f>G172+'10'!H172</f>
        <v>121</v>
      </c>
      <c r="I172" s="155"/>
      <c r="J172" s="178">
        <f>H172/DAY(B2)</f>
        <v>11</v>
      </c>
    </row>
    <row r="173" spans="1:10" ht="30.75" customHeight="1">
      <c r="A173" s="775" t="s">
        <v>196</v>
      </c>
      <c r="B173" s="776"/>
      <c r="C173" s="547"/>
      <c r="D173" s="228" t="s">
        <v>142</v>
      </c>
      <c r="E173" s="95"/>
      <c r="F173" s="155"/>
      <c r="G173" s="155">
        <f>SUM(G170:G172)</f>
        <v>27</v>
      </c>
      <c r="H173" s="99">
        <f>G173+'10'!H173</f>
        <v>285</v>
      </c>
      <c r="I173" s="155"/>
      <c r="J173" s="178">
        <f>H173/DAY(B2)</f>
        <v>25.90909090909091</v>
      </c>
    </row>
    <row r="174" spans="1:10" ht="30.75" customHeight="1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G174+'10'!H174</f>
        <v>0</v>
      </c>
      <c r="I174" s="155"/>
      <c r="J174" s="178">
        <f>H174/DAY(B2)</f>
        <v>0</v>
      </c>
    </row>
    <row r="175" spans="1:10" ht="30.75" customHeight="1">
      <c r="A175" s="786" t="s">
        <v>210</v>
      </c>
      <c r="B175" s="787"/>
      <c r="C175" s="353"/>
      <c r="D175" s="228" t="s">
        <v>142</v>
      </c>
      <c r="E175" s="95">
        <f>'10'!F175</f>
        <v>75399</v>
      </c>
      <c r="F175" s="155">
        <v>75462</v>
      </c>
      <c r="G175" s="155">
        <f>F175-E175</f>
        <v>63</v>
      </c>
      <c r="H175" s="99">
        <f>G175+'10'!H175</f>
        <v>843</v>
      </c>
      <c r="I175" s="155"/>
      <c r="J175" s="178">
        <f>H175/DAY(B2)</f>
        <v>76.63636363636364</v>
      </c>
    </row>
    <row r="176" spans="1:10" ht="30.75" customHeight="1">
      <c r="A176" s="786" t="s">
        <v>211</v>
      </c>
      <c r="B176" s="787"/>
      <c r="C176" s="353"/>
      <c r="D176" s="228" t="s">
        <v>142</v>
      </c>
      <c r="E176" s="95">
        <f>'10'!F176</f>
        <v>33886</v>
      </c>
      <c r="F176" s="155">
        <v>33886</v>
      </c>
      <c r="G176" s="155">
        <f t="shared" ref="G176:G177" si="15">F176-E176</f>
        <v>0</v>
      </c>
      <c r="H176" s="99">
        <f>G176+'10'!H176</f>
        <v>0</v>
      </c>
      <c r="I176" s="155"/>
      <c r="J176" s="178">
        <f>H176/DAY(B2)</f>
        <v>0</v>
      </c>
    </row>
    <row r="177" spans="1:10" ht="30.75" customHeight="1">
      <c r="A177" s="786" t="s">
        <v>212</v>
      </c>
      <c r="B177" s="787"/>
      <c r="C177" s="353"/>
      <c r="D177" s="228" t="s">
        <v>142</v>
      </c>
      <c r="E177" s="95">
        <f>'10'!F177</f>
        <v>5120</v>
      </c>
      <c r="F177" s="155">
        <v>5130</v>
      </c>
      <c r="G177" s="155">
        <f t="shared" si="15"/>
        <v>10</v>
      </c>
      <c r="H177" s="99">
        <f>G177+'10'!H177</f>
        <v>89</v>
      </c>
      <c r="I177" s="155"/>
      <c r="J177" s="178">
        <f>H177/DAY(B2)</f>
        <v>8.0909090909090917</v>
      </c>
    </row>
    <row r="178" spans="1:10" ht="30.75" customHeight="1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73</v>
      </c>
      <c r="H178" s="99">
        <f>G178+'10'!H178</f>
        <v>932</v>
      </c>
      <c r="I178" s="155"/>
      <c r="J178" s="178">
        <f>H178/DAY(B2)</f>
        <v>84.727272727272734</v>
      </c>
    </row>
    <row r="179" spans="1:10" ht="30.75" customHeight="1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786" t="s">
        <v>214</v>
      </c>
      <c r="B180" s="787"/>
      <c r="C180" s="354"/>
      <c r="D180" s="228" t="s">
        <v>142</v>
      </c>
      <c r="E180" s="95">
        <f>'10'!F180</f>
        <v>14190</v>
      </c>
      <c r="F180" s="157">
        <v>14201</v>
      </c>
      <c r="G180" s="157">
        <f>F180-E180</f>
        <v>11</v>
      </c>
      <c r="H180" s="99">
        <f>G180+'10'!H180</f>
        <v>170</v>
      </c>
      <c r="I180" s="155"/>
      <c r="J180" s="178">
        <f>H180/DAY(B2)</f>
        <v>15.454545454545455</v>
      </c>
    </row>
    <row r="181" spans="1:10" ht="30.75" customHeight="1">
      <c r="A181" s="786" t="s">
        <v>215</v>
      </c>
      <c r="B181" s="787"/>
      <c r="C181" s="354"/>
      <c r="D181" s="228" t="s">
        <v>142</v>
      </c>
      <c r="E181" s="95">
        <f>'10'!F181</f>
        <v>9844</v>
      </c>
      <c r="F181" s="157">
        <v>9854</v>
      </c>
      <c r="G181" s="157">
        <f t="shared" ref="G181:G182" si="16">F181-E181</f>
        <v>10</v>
      </c>
      <c r="H181" s="99">
        <f>G181+'10'!H181</f>
        <v>100</v>
      </c>
      <c r="I181" s="155"/>
      <c r="J181" s="178">
        <f>H181/DAY(B2)</f>
        <v>9.0909090909090917</v>
      </c>
    </row>
    <row r="182" spans="1:10" ht="30.75" customHeight="1">
      <c r="A182" s="786" t="s">
        <v>216</v>
      </c>
      <c r="B182" s="787"/>
      <c r="C182" s="354"/>
      <c r="D182" s="228" t="s">
        <v>142</v>
      </c>
      <c r="E182" s="95">
        <f>'10'!F182</f>
        <v>0</v>
      </c>
      <c r="F182" s="157">
        <v>0</v>
      </c>
      <c r="G182" s="157">
        <f t="shared" si="16"/>
        <v>0</v>
      </c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775" t="s">
        <v>196</v>
      </c>
      <c r="B183" s="776"/>
      <c r="C183" s="546"/>
      <c r="D183" s="228" t="s">
        <v>142</v>
      </c>
      <c r="E183" s="95"/>
      <c r="F183" s="157"/>
      <c r="G183" s="157">
        <f>SUM(G180:G182)</f>
        <v>21</v>
      </c>
      <c r="H183" s="99">
        <f>G183+'10'!H183</f>
        <v>270</v>
      </c>
      <c r="I183" s="157"/>
      <c r="J183" s="178">
        <f>H183/DAY(B2)</f>
        <v>24.545454545454547</v>
      </c>
    </row>
    <row r="184" spans="1:10" ht="30.75" customHeight="1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156</v>
      </c>
      <c r="H184" s="99">
        <f>G184+'10'!H184</f>
        <v>1858</v>
      </c>
      <c r="I184" s="158"/>
      <c r="J184" s="179">
        <f>H184/DAY(B2)</f>
        <v>168.90909090909091</v>
      </c>
    </row>
    <row r="185" spans="1:10" ht="30.75" customHeight="1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156</v>
      </c>
      <c r="H185" s="99">
        <f>G185+'10'!H185</f>
        <v>1872</v>
      </c>
      <c r="I185" s="158"/>
      <c r="J185" s="179">
        <f>H185/DAY(B2)</f>
        <v>170.18181818181819</v>
      </c>
    </row>
    <row r="186" spans="1:10" ht="30.75" customHeight="1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73</v>
      </c>
      <c r="H186" s="99">
        <f>G186+'10'!H186</f>
        <v>932</v>
      </c>
      <c r="I186" s="158"/>
      <c r="J186" s="179">
        <f>H186/DAY(B2)</f>
        <v>84.727272727272734</v>
      </c>
    </row>
    <row r="187" spans="1:10" ht="30.75" customHeight="1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78:B178"/>
    <mergeCell ref="A180:B180"/>
    <mergeCell ref="A172:C172"/>
    <mergeCell ref="A179:B179"/>
    <mergeCell ref="A175:B175"/>
    <mergeCell ref="A176:B176"/>
    <mergeCell ref="A177:B177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87"/>
  <sheetViews>
    <sheetView view="pageBreakPreview" topLeftCell="A127" zoomScale="50" zoomScaleNormal="75" zoomScaleSheetLayoutView="50" workbookViewId="0">
      <selection activeCell="I153" sqref="I153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32.25" customHeight="1">
      <c r="A2" s="191" t="s">
        <v>303</v>
      </c>
      <c r="B2" s="266">
        <v>44481</v>
      </c>
      <c r="C2" s="36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68" t="s">
        <v>118</v>
      </c>
      <c r="D3" s="219">
        <v>27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68" t="s">
        <v>120</v>
      </c>
      <c r="D4" s="218">
        <v>0.55000000000000004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924906</v>
      </c>
      <c r="F7" s="95">
        <v>947163</v>
      </c>
      <c r="G7" s="112">
        <f>F7-E7</f>
        <v>22257</v>
      </c>
      <c r="H7" s="99">
        <f>G7+'11'!H7</f>
        <v>260899.69999999995</v>
      </c>
      <c r="I7" s="113">
        <f>'1'!I7</f>
        <v>12000</v>
      </c>
      <c r="J7" s="175">
        <f>H7/DAY(B2)</f>
        <v>21741.641666666663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955609</v>
      </c>
      <c r="F8" s="95">
        <v>978033</v>
      </c>
      <c r="G8" s="115">
        <f>F8-E8</f>
        <v>22424</v>
      </c>
      <c r="H8" s="99">
        <f>G8+'11'!H8</f>
        <v>264869.09999999998</v>
      </c>
      <c r="I8" s="116"/>
      <c r="J8" s="175">
        <f>H8/DAY(B2)</f>
        <v>22072.424999999999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1406719</v>
      </c>
      <c r="F9" s="373">
        <v>1421369</v>
      </c>
      <c r="G9" s="112">
        <f>F9-E9</f>
        <v>14650</v>
      </c>
      <c r="H9" s="99">
        <f>G9+'11'!H9</f>
        <v>160090.5</v>
      </c>
      <c r="I9" s="124">
        <f>I7-J7</f>
        <v>-9741.6416666666628</v>
      </c>
      <c r="J9" s="175">
        <f>H9/DAY(B2)</f>
        <v>13340.875</v>
      </c>
      <c r="K9" s="79">
        <f>K8-100</f>
        <v>1715817</v>
      </c>
      <c r="L9" s="66"/>
      <c r="N9" s="87"/>
      <c r="O9" s="71"/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255225</v>
      </c>
      <c r="F10" s="373">
        <v>262232</v>
      </c>
      <c r="G10" s="112">
        <f t="shared" ref="G10:G12" si="0">F10-E10</f>
        <v>7007</v>
      </c>
      <c r="H10" s="99">
        <f>G10+'11'!H10</f>
        <v>93848.07</v>
      </c>
      <c r="I10" s="286"/>
      <c r="J10" s="175">
        <f>H10/DAY(B2)</f>
        <v>7820.6725000000006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21657</v>
      </c>
      <c r="H13" s="99">
        <f>G13+'11'!H13</f>
        <v>233132.11</v>
      </c>
      <c r="I13" s="120">
        <f>G7-G13</f>
        <v>600</v>
      </c>
      <c r="J13" s="175">
        <f>H13/DAY(B2)</f>
        <v>19427.675833333331</v>
      </c>
      <c r="K13" s="79"/>
      <c r="L13" s="66"/>
      <c r="N13" s="87"/>
      <c r="O13" s="71"/>
    </row>
    <row r="14" spans="1:15" ht="32.25" customHeight="1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65" t="s">
        <v>138</v>
      </c>
      <c r="B15" s="205"/>
      <c r="C15" s="205"/>
      <c r="D15" s="151" t="s">
        <v>139</v>
      </c>
      <c r="E15" s="95">
        <f>'11'!F15</f>
        <v>1826421</v>
      </c>
      <c r="F15" s="123">
        <v>1827481</v>
      </c>
      <c r="G15" s="112">
        <f>(F15-E15)</f>
        <v>1060</v>
      </c>
      <c r="H15" s="99">
        <f>G15+'11'!H15</f>
        <v>11814.040000000037</v>
      </c>
      <c r="I15" s="113">
        <f>'1'!I15</f>
        <v>800</v>
      </c>
      <c r="J15" s="175">
        <f>H15/DAY(B2)</f>
        <v>984.5033333333364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-184.5033333333364</v>
      </c>
      <c r="J16" s="176"/>
      <c r="K16" s="79"/>
      <c r="L16" s="66"/>
      <c r="N16" s="87"/>
      <c r="O16" s="71"/>
    </row>
    <row r="17" spans="1:15" ht="32.25" customHeight="1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14" t="s">
        <v>141</v>
      </c>
      <c r="B18" s="815"/>
      <c r="C18" s="816"/>
      <c r="D18" s="151" t="s">
        <v>142</v>
      </c>
      <c r="E18" s="95">
        <f>'11'!F18</f>
        <v>18</v>
      </c>
      <c r="F18" s="122">
        <v>22</v>
      </c>
      <c r="G18" s="119">
        <f>F18*10</f>
        <v>220</v>
      </c>
      <c r="H18" s="99">
        <f>G18+'11'!H18</f>
        <v>2290</v>
      </c>
      <c r="I18" s="113">
        <f>'1'!I18</f>
        <v>65</v>
      </c>
      <c r="J18" s="175">
        <f>H18/DAY(B2)</f>
        <v>190.83333333333334</v>
      </c>
      <c r="K18" s="79"/>
      <c r="L18" s="66"/>
      <c r="N18" s="87"/>
      <c r="O18" s="71"/>
    </row>
    <row r="19" spans="1:15" ht="32.25" customHeight="1">
      <c r="A19" s="814" t="s">
        <v>69</v>
      </c>
      <c r="B19" s="815"/>
      <c r="C19" s="816"/>
      <c r="D19" s="151" t="s">
        <v>142</v>
      </c>
      <c r="E19" s="95">
        <f>'11'!F19</f>
        <v>149550</v>
      </c>
      <c r="F19" s="122">
        <v>149608</v>
      </c>
      <c r="G19" s="112">
        <f t="shared" ref="G19" si="1">F19-E19</f>
        <v>58</v>
      </c>
      <c r="H19" s="99">
        <f>G19+'11'!H19</f>
        <v>691</v>
      </c>
      <c r="I19" s="355"/>
      <c r="J19" s="175">
        <f>H19/DAY(B2)</f>
        <v>57.583333333333336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278</v>
      </c>
      <c r="H20" s="99">
        <f>G20+'11'!H20</f>
        <v>2981</v>
      </c>
      <c r="I20" s="356">
        <f>I18-J20</f>
        <v>-183.41666666666666</v>
      </c>
      <c r="J20" s="175">
        <f>H20/DAY(B2)</f>
        <v>248.41666666666666</v>
      </c>
      <c r="K20" s="79"/>
      <c r="L20" s="66"/>
      <c r="N20" s="87"/>
      <c r="O20" s="71"/>
    </row>
    <row r="21" spans="1:15" ht="32.25" customHeight="1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6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6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22424</v>
      </c>
      <c r="F27" s="136">
        <v>9</v>
      </c>
      <c r="G27" s="137">
        <f>E27*F27</f>
        <v>201816</v>
      </c>
      <c r="H27" s="99">
        <f>G27+'11'!H27</f>
        <v>2383821.9</v>
      </c>
      <c r="I27" s="138"/>
      <c r="J27" s="175">
        <f>H27/DAY(B2)</f>
        <v>198651.82499999998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1060</v>
      </c>
      <c r="F28" s="136">
        <v>52</v>
      </c>
      <c r="G28" s="137">
        <f>E28*F28</f>
        <v>55120</v>
      </c>
      <c r="H28" s="99">
        <f>G28+'11'!H28</f>
        <v>614330.08000000194</v>
      </c>
      <c r="I28" s="140"/>
      <c r="J28" s="175">
        <f>H28/DAY(B2)</f>
        <v>51194.173333333492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G30+'11'!H30</f>
        <v>100886</v>
      </c>
      <c r="I30" s="140"/>
      <c r="J30" s="175">
        <f>H30/DAY(B2)</f>
        <v>8407.1666666666661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G31+'11'!H31</f>
        <v>183200</v>
      </c>
      <c r="I31" s="140"/>
      <c r="J31" s="175">
        <f>H31/DAY(B2)</f>
        <v>15266.666666666666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283004</v>
      </c>
      <c r="H32" s="99">
        <f>G32+'11'!H32</f>
        <v>3282237.9800000014</v>
      </c>
      <c r="I32" s="144"/>
      <c r="J32" s="175">
        <f>H32/DAY(B2)</f>
        <v>273519.83166666678</v>
      </c>
      <c r="K32" s="63"/>
      <c r="L32" s="89"/>
      <c r="N32" s="87"/>
      <c r="O32" s="71"/>
    </row>
    <row r="33" spans="1:15" ht="32.2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2.25" customHeight="1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54402</v>
      </c>
      <c r="F35" s="145">
        <v>56443</v>
      </c>
      <c r="G35" s="112">
        <f t="shared" ref="G35:G46" si="3">F35-E35</f>
        <v>2041</v>
      </c>
      <c r="H35" s="99">
        <f>G35+'11'!H35</f>
        <v>23968.33</v>
      </c>
      <c r="I35" s="95"/>
      <c r="J35" s="175">
        <f>H35/DAY(B2)</f>
        <v>1997.3608333333334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58765</v>
      </c>
      <c r="F36" s="145">
        <v>59751</v>
      </c>
      <c r="G36" s="112">
        <f t="shared" si="3"/>
        <v>986</v>
      </c>
      <c r="H36" s="99">
        <f>G36+'11'!H36</f>
        <v>9811.3300000000017</v>
      </c>
      <c r="I36" s="95"/>
      <c r="J36" s="175">
        <f>H36/DAY(B2)</f>
        <v>817.61083333333352</v>
      </c>
      <c r="K36" s="79"/>
      <c r="L36" s="66"/>
      <c r="N36" s="87"/>
      <c r="O36" s="36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114428</v>
      </c>
      <c r="F37" s="145">
        <v>116045</v>
      </c>
      <c r="G37" s="112">
        <f t="shared" si="3"/>
        <v>1617</v>
      </c>
      <c r="H37" s="99">
        <f>G37+'11'!H37</f>
        <v>18991.169999999998</v>
      </c>
      <c r="I37" s="95"/>
      <c r="J37" s="175">
        <f>H37/DAY(B2)</f>
        <v>1582.5974999999999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135083</v>
      </c>
      <c r="F38" s="108">
        <v>136935</v>
      </c>
      <c r="G38" s="112">
        <f t="shared" si="3"/>
        <v>1852</v>
      </c>
      <c r="H38" s="99">
        <f>G38+'11'!H38</f>
        <v>21711.960000000006</v>
      </c>
      <c r="I38" s="95"/>
      <c r="J38" s="175">
        <f>H38/DAY(B2)</f>
        <v>1809.3300000000006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265003</v>
      </c>
      <c r="F39" s="145">
        <v>267965</v>
      </c>
      <c r="G39" s="112">
        <f t="shared" si="3"/>
        <v>2962</v>
      </c>
      <c r="H39" s="99">
        <f>G39+'11'!H39</f>
        <v>34583.950000000012</v>
      </c>
      <c r="I39" s="95"/>
      <c r="J39" s="175">
        <f>H39/DAY(B2)</f>
        <v>2881.9958333333343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v>0</v>
      </c>
      <c r="F40" s="145">
        <v>0</v>
      </c>
      <c r="G40" s="112">
        <f t="shared" si="3"/>
        <v>0</v>
      </c>
      <c r="H40" s="99">
        <f>G40+'11'!H40</f>
        <v>43.63</v>
      </c>
      <c r="I40" s="95"/>
      <c r="J40" s="175">
        <f>H40/DAY(B2)</f>
        <v>3.6358333333333337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582546.71</v>
      </c>
      <c r="F41" s="145">
        <v>583747</v>
      </c>
      <c r="G41" s="112">
        <f t="shared" si="3"/>
        <v>1200.2900000000373</v>
      </c>
      <c r="H41" s="99">
        <f>G41+'11'!H41</f>
        <v>1888.1700000000419</v>
      </c>
      <c r="I41" s="95"/>
      <c r="J41" s="175">
        <f>H41/DAY(B2)</f>
        <v>157.34750000000349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273705</v>
      </c>
      <c r="F42" s="145">
        <v>273705</v>
      </c>
      <c r="G42" s="112">
        <f t="shared" si="3"/>
        <v>0</v>
      </c>
      <c r="H42" s="99">
        <f>G42+'11'!H42</f>
        <v>2735.3300000000163</v>
      </c>
      <c r="I42" s="95"/>
      <c r="J42" s="175">
        <f>H42/DAY(B2)</f>
        <v>227.94416666666802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1475133</v>
      </c>
      <c r="F43" s="145">
        <v>1477852</v>
      </c>
      <c r="G43" s="112">
        <f t="shared" si="3"/>
        <v>2719</v>
      </c>
      <c r="H43" s="99">
        <f>G43+'11'!H43</f>
        <v>31764.600000000093</v>
      </c>
      <c r="I43" s="95"/>
      <c r="J43" s="175">
        <f>H43/DAY(B2)</f>
        <v>2647.0500000000079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13377.290000000037</v>
      </c>
      <c r="H47" s="99">
        <f>G47+'11'!H47</f>
        <v>145498.47000000015</v>
      </c>
      <c r="I47" s="95"/>
      <c r="J47" s="175">
        <f>H47/DAY(B2)</f>
        <v>12124.872500000012</v>
      </c>
      <c r="K47" s="79"/>
      <c r="L47" s="66"/>
      <c r="N47" s="87"/>
      <c r="O47" s="71"/>
    </row>
    <row r="48" spans="1:15" ht="32.25" customHeight="1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189668</v>
      </c>
      <c r="F49" s="145">
        <v>191040</v>
      </c>
      <c r="G49" s="112">
        <f t="shared" ref="G49:G58" si="4">F49-E49</f>
        <v>1372</v>
      </c>
      <c r="H49" s="99">
        <f>G49+'11'!H49</f>
        <v>18309.609999999986</v>
      </c>
      <c r="I49" s="95"/>
      <c r="J49" s="175">
        <f>H49/DAY(B2)</f>
        <v>1525.8008333333321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695995</v>
      </c>
      <c r="F50" s="145">
        <v>697306</v>
      </c>
      <c r="G50" s="112">
        <f t="shared" si="4"/>
        <v>1311</v>
      </c>
      <c r="H50" s="99">
        <f>G50+'11'!H50</f>
        <v>12943.689999999944</v>
      </c>
      <c r="I50" s="95"/>
      <c r="J50" s="175">
        <f>H50/DAY(B2)</f>
        <v>1078.6408333333286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2924</v>
      </c>
      <c r="F54" s="145">
        <v>2930</v>
      </c>
      <c r="G54" s="112">
        <f t="shared" si="4"/>
        <v>6</v>
      </c>
      <c r="H54" s="99">
        <f>G54+'11'!H54</f>
        <v>62.510000000000218</v>
      </c>
      <c r="I54" s="95"/>
      <c r="J54" s="175">
        <f>H54/DAY(B2)</f>
        <v>5.2091666666666852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0</v>
      </c>
      <c r="F55" s="145">
        <v>0</v>
      </c>
      <c r="G55" s="112">
        <f t="shared" si="4"/>
        <v>0</v>
      </c>
      <c r="H55" s="99">
        <f>G55+'11'!H55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99890</v>
      </c>
      <c r="F56" s="145">
        <v>104050</v>
      </c>
      <c r="G56" s="112">
        <f t="shared" si="4"/>
        <v>4160</v>
      </c>
      <c r="H56" s="99">
        <f>G56+'11'!H56</f>
        <v>61209.71</v>
      </c>
      <c r="I56" s="95"/>
      <c r="J56" s="175">
        <f>H56/DAY(B2)</f>
        <v>5100.8091666666669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81215</v>
      </c>
      <c r="F58" s="145">
        <v>81433</v>
      </c>
      <c r="G58" s="112">
        <f t="shared" si="4"/>
        <v>218</v>
      </c>
      <c r="H58" s="99">
        <f>G58+'11'!H58</f>
        <v>2413.1000000000058</v>
      </c>
      <c r="I58" s="95"/>
      <c r="J58" s="175">
        <f>H58/DAY(B2)</f>
        <v>201.09166666666715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7067</v>
      </c>
      <c r="H59" s="99">
        <f>G59+'11'!H59</f>
        <v>94938.619999999937</v>
      </c>
      <c r="I59" s="95">
        <f>G7-G60</f>
        <v>1812.7099999999627</v>
      </c>
      <c r="J59" s="175">
        <f>H59/DAY(B2)</f>
        <v>7911.5516666666617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20444.290000000037</v>
      </c>
      <c r="H60" s="99">
        <f>G60+'11'!H60</f>
        <v>240437.09000000011</v>
      </c>
      <c r="I60" s="95">
        <f>G13-G60</f>
        <v>1212.7099999999627</v>
      </c>
      <c r="J60" s="175">
        <f>H60/DAY(B2)</f>
        <v>20036.424166666675</v>
      </c>
      <c r="K60" s="79"/>
      <c r="L60" s="66"/>
      <c r="N60" s="87"/>
      <c r="O60" s="71"/>
    </row>
    <row r="61" spans="1:15" s="68" customFormat="1" ht="32.25" customHeight="1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2.25" customHeight="1">
      <c r="A62" s="814" t="s">
        <v>198</v>
      </c>
      <c r="B62" s="815"/>
      <c r="C62" s="816"/>
      <c r="D62" s="151" t="s">
        <v>142</v>
      </c>
      <c r="E62" s="95">
        <f>'11'!F62</f>
        <v>261043</v>
      </c>
      <c r="F62" s="122">
        <v>261163</v>
      </c>
      <c r="G62" s="112">
        <f t="shared" ref="G62:G63" si="5">F62-E62</f>
        <v>120</v>
      </c>
      <c r="H62" s="99">
        <f>G62+'11'!H62</f>
        <v>1345</v>
      </c>
      <c r="I62" s="118"/>
      <c r="J62" s="175">
        <f>H62/DAY(B2)</f>
        <v>112.08333333333333</v>
      </c>
      <c r="K62" s="80"/>
      <c r="L62" s="66"/>
      <c r="N62" s="87"/>
      <c r="O62" s="71"/>
    </row>
    <row r="63" spans="1:15" ht="32.25" customHeight="1">
      <c r="A63" s="814" t="s">
        <v>199</v>
      </c>
      <c r="B63" s="815"/>
      <c r="C63" s="816"/>
      <c r="D63" s="151" t="s">
        <v>142</v>
      </c>
      <c r="E63" s="95">
        <f>'11'!F63</f>
        <v>207359</v>
      </c>
      <c r="F63" s="122">
        <v>207449</v>
      </c>
      <c r="G63" s="112">
        <f t="shared" si="5"/>
        <v>90</v>
      </c>
      <c r="H63" s="99">
        <f>G63+'11'!H63</f>
        <v>1179</v>
      </c>
      <c r="I63" s="118"/>
      <c r="J63" s="175">
        <f>H63/DAY(B2)</f>
        <v>98.25</v>
      </c>
      <c r="K63" s="69"/>
      <c r="L63" s="66"/>
      <c r="N63" s="87"/>
      <c r="O63" s="71"/>
    </row>
    <row r="64" spans="1:15" ht="32.25" customHeight="1">
      <c r="A64" s="823" t="s">
        <v>200</v>
      </c>
      <c r="B64" s="824"/>
      <c r="C64" s="825"/>
      <c r="D64" s="151"/>
      <c r="E64" s="95">
        <f>'11'!F64</f>
        <v>0</v>
      </c>
      <c r="F64" s="122"/>
      <c r="G64" s="112">
        <f>G62+G63</f>
        <v>210</v>
      </c>
      <c r="H64" s="99">
        <f>G64+'11'!H64</f>
        <v>2524</v>
      </c>
      <c r="I64" s="118"/>
      <c r="J64" s="175">
        <f>H64/DAY(B2)</f>
        <v>210.33333333333334</v>
      </c>
      <c r="K64" s="69"/>
      <c r="L64" s="66"/>
      <c r="N64" s="87"/>
      <c r="O64" s="71"/>
    </row>
    <row r="65" spans="1:15" ht="32.25" customHeight="1">
      <c r="A65" s="814" t="s">
        <v>201</v>
      </c>
      <c r="B65" s="815"/>
      <c r="C65" s="816"/>
      <c r="D65" s="151" t="s">
        <v>142</v>
      </c>
      <c r="E65" s="95">
        <f>'11'!F65</f>
        <v>427281</v>
      </c>
      <c r="F65" s="122">
        <v>427393</v>
      </c>
      <c r="G65" s="112">
        <f t="shared" ref="G65:G70" si="6">F65-E65</f>
        <v>112</v>
      </c>
      <c r="H65" s="99">
        <f>G65+'11'!H65</f>
        <v>1188</v>
      </c>
      <c r="I65" s="118"/>
      <c r="J65" s="175">
        <f>H65/DAY(B2)</f>
        <v>99</v>
      </c>
      <c r="K65" s="69"/>
      <c r="L65" s="66"/>
      <c r="N65" s="87"/>
      <c r="O65" s="71"/>
    </row>
    <row r="66" spans="1:15" ht="32.25" customHeight="1">
      <c r="A66" s="365" t="s">
        <v>202</v>
      </c>
      <c r="B66" s="366"/>
      <c r="C66" s="366"/>
      <c r="D66" s="151" t="s">
        <v>142</v>
      </c>
      <c r="E66" s="95">
        <f>'11'!F66</f>
        <v>106210</v>
      </c>
      <c r="F66" s="122">
        <v>106231</v>
      </c>
      <c r="G66" s="112">
        <f t="shared" si="6"/>
        <v>21</v>
      </c>
      <c r="H66" s="99">
        <f>G66+'11'!H66</f>
        <v>261</v>
      </c>
      <c r="I66" s="118"/>
      <c r="J66" s="175">
        <f>H66/DAY(B2)</f>
        <v>21.75</v>
      </c>
      <c r="K66" s="78"/>
      <c r="L66" s="66"/>
      <c r="N66" s="87"/>
      <c r="O66" s="71"/>
    </row>
    <row r="67" spans="1:15" ht="32.25" customHeight="1">
      <c r="A67" s="365" t="s">
        <v>203</v>
      </c>
      <c r="B67" s="366"/>
      <c r="C67" s="366"/>
      <c r="D67" s="151" t="s">
        <v>142</v>
      </c>
      <c r="E67" s="95">
        <f>'11'!F67</f>
        <v>102464</v>
      </c>
      <c r="F67" s="122">
        <v>102493</v>
      </c>
      <c r="G67" s="112">
        <f t="shared" si="6"/>
        <v>29</v>
      </c>
      <c r="H67" s="99">
        <f>G67+'11'!H67</f>
        <v>322</v>
      </c>
      <c r="I67" s="118"/>
      <c r="J67" s="175">
        <f>H67/DAY(B2)</f>
        <v>26.833333333333332</v>
      </c>
      <c r="K67" s="81"/>
      <c r="L67" s="66"/>
      <c r="N67" s="87"/>
      <c r="O67" s="71"/>
    </row>
    <row r="68" spans="1:15" ht="32.25" customHeight="1">
      <c r="A68" s="365" t="s">
        <v>204</v>
      </c>
      <c r="B68" s="366"/>
      <c r="C68" s="366"/>
      <c r="D68" s="151" t="s">
        <v>142</v>
      </c>
      <c r="E68" s="95">
        <f>'11'!F68</f>
        <v>154831</v>
      </c>
      <c r="F68" s="122">
        <v>154878</v>
      </c>
      <c r="G68" s="112">
        <f t="shared" si="6"/>
        <v>47</v>
      </c>
      <c r="H68" s="99">
        <f>G68+'11'!H68</f>
        <v>382</v>
      </c>
      <c r="I68" s="118"/>
      <c r="J68" s="175">
        <f>H68/DAY(B2)</f>
        <v>31.833333333333332</v>
      </c>
      <c r="K68" s="69"/>
      <c r="L68" s="66"/>
      <c r="N68" s="87"/>
      <c r="O68" s="71"/>
    </row>
    <row r="69" spans="1:15" ht="32.25" customHeight="1">
      <c r="A69" s="365" t="s">
        <v>205</v>
      </c>
      <c r="B69" s="366"/>
      <c r="C69" s="366"/>
      <c r="D69" s="151" t="s">
        <v>142</v>
      </c>
      <c r="E69" s="95">
        <f>'11'!F69</f>
        <v>9605</v>
      </c>
      <c r="F69" s="122">
        <v>9617</v>
      </c>
      <c r="G69" s="112">
        <f t="shared" si="6"/>
        <v>12</v>
      </c>
      <c r="H69" s="99">
        <f>G69+'11'!H69</f>
        <v>152</v>
      </c>
      <c r="I69" s="118"/>
      <c r="J69" s="175">
        <f>H69/DAY(B2)</f>
        <v>12.666666666666666</v>
      </c>
      <c r="K69" s="69"/>
      <c r="L69" s="66"/>
      <c r="N69" s="87"/>
      <c r="O69" s="71"/>
    </row>
    <row r="70" spans="1:15" ht="32.25" customHeight="1">
      <c r="A70" s="365" t="s">
        <v>206</v>
      </c>
      <c r="B70" s="366"/>
      <c r="C70" s="366"/>
      <c r="D70" s="151" t="s">
        <v>142</v>
      </c>
      <c r="E70" s="95">
        <f>'11'!F70</f>
        <v>7326</v>
      </c>
      <c r="F70" s="122">
        <v>7344</v>
      </c>
      <c r="G70" s="112">
        <f t="shared" si="6"/>
        <v>18</v>
      </c>
      <c r="H70" s="99">
        <f>G70+'11'!H70</f>
        <v>141</v>
      </c>
      <c r="I70" s="118"/>
      <c r="J70" s="175">
        <f>H70/DAY(B2)</f>
        <v>11.75</v>
      </c>
      <c r="K70" s="69"/>
      <c r="L70" s="66"/>
      <c r="N70" s="87"/>
      <c r="O70" s="71"/>
    </row>
    <row r="71" spans="1:15" ht="32.25" customHeight="1">
      <c r="A71" s="823" t="s">
        <v>208</v>
      </c>
      <c r="B71" s="824"/>
      <c r="C71" s="825"/>
      <c r="D71" s="152"/>
      <c r="E71" s="152"/>
      <c r="F71" s="152"/>
      <c r="G71" s="153">
        <f>SUM(G65:G70)</f>
        <v>239</v>
      </c>
      <c r="H71" s="99">
        <f>G71+'11'!H71</f>
        <v>2446</v>
      </c>
      <c r="I71" s="154"/>
      <c r="J71" s="175">
        <f>H71/DAY(B2)</f>
        <v>203.83333333333334</v>
      </c>
      <c r="K71" s="69"/>
      <c r="L71" s="66"/>
      <c r="N71" s="87"/>
      <c r="O71" s="71"/>
    </row>
    <row r="72" spans="1:15" s="88" customFormat="1" ht="32.25" customHeight="1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2.25" customHeight="1">
      <c r="A74" s="814" t="s">
        <v>220</v>
      </c>
      <c r="B74" s="815"/>
      <c r="C74" s="816"/>
      <c r="D74" s="151" t="s">
        <v>139</v>
      </c>
      <c r="E74" s="95">
        <f>'11'!F74</f>
        <v>876770</v>
      </c>
      <c r="F74" s="117">
        <v>877075</v>
      </c>
      <c r="G74" s="112">
        <f t="shared" ref="G74:G78" si="7">F74-E74</f>
        <v>305</v>
      </c>
      <c r="H74" s="99">
        <f>G74+'11'!H74</f>
        <v>3489.7689999999711</v>
      </c>
      <c r="I74" s="154"/>
      <c r="J74" s="175">
        <f>H74/DAY(B2)</f>
        <v>290.81408333333093</v>
      </c>
      <c r="K74" s="69"/>
      <c r="L74" s="66"/>
      <c r="N74" s="87"/>
      <c r="O74" s="71"/>
    </row>
    <row r="75" spans="1:15" ht="32.25" customHeight="1">
      <c r="A75" s="814" t="s">
        <v>221</v>
      </c>
      <c r="B75" s="815"/>
      <c r="C75" s="816"/>
      <c r="D75" s="151" t="s">
        <v>139</v>
      </c>
      <c r="E75" s="95">
        <f>'11'!F75</f>
        <v>73586.8</v>
      </c>
      <c r="F75" s="123">
        <v>73586.8</v>
      </c>
      <c r="G75" s="112">
        <f t="shared" si="7"/>
        <v>0</v>
      </c>
      <c r="H75" s="99">
        <f>G75+'11'!H75</f>
        <v>3.4000000000087311</v>
      </c>
      <c r="I75" s="154"/>
      <c r="J75" s="175">
        <f>H75/DAY(B2)</f>
        <v>0.28333333333406091</v>
      </c>
      <c r="K75" s="69"/>
      <c r="L75" s="66"/>
      <c r="N75" s="87"/>
      <c r="O75" s="71"/>
    </row>
    <row r="76" spans="1:15" ht="32.25" customHeight="1">
      <c r="A76" s="811" t="s">
        <v>222</v>
      </c>
      <c r="B76" s="812"/>
      <c r="C76" s="813"/>
      <c r="D76" s="151" t="s">
        <v>139</v>
      </c>
      <c r="E76" s="95">
        <f>'11'!F76</f>
        <v>161057</v>
      </c>
      <c r="F76" s="123">
        <v>161177</v>
      </c>
      <c r="G76" s="112">
        <f t="shared" si="7"/>
        <v>120</v>
      </c>
      <c r="H76" s="99">
        <f>G76+'11'!H76</f>
        <v>1191.5</v>
      </c>
      <c r="I76" s="154"/>
      <c r="J76" s="175">
        <f>H76/DAY(B2)</f>
        <v>99.291666666666671</v>
      </c>
      <c r="K76" s="69"/>
      <c r="L76" s="66"/>
      <c r="N76" s="87"/>
      <c r="O76" s="71"/>
    </row>
    <row r="77" spans="1:15" ht="32.25" customHeight="1">
      <c r="A77" s="811" t="s">
        <v>223</v>
      </c>
      <c r="B77" s="812"/>
      <c r="C77" s="813"/>
      <c r="D77" s="151" t="s">
        <v>139</v>
      </c>
      <c r="E77" s="95">
        <f>'11'!F77</f>
        <v>37931</v>
      </c>
      <c r="F77" s="123">
        <v>37981</v>
      </c>
      <c r="G77" s="112">
        <f t="shared" si="7"/>
        <v>50</v>
      </c>
      <c r="H77" s="99">
        <f>G77+'11'!H77</f>
        <v>483.5</v>
      </c>
      <c r="I77" s="154"/>
      <c r="J77" s="175">
        <f>H77/DAY(B2)</f>
        <v>40.291666666666664</v>
      </c>
      <c r="K77" s="69"/>
      <c r="L77" s="66"/>
      <c r="N77" s="87"/>
      <c r="O77" s="71"/>
    </row>
    <row r="78" spans="1:15" ht="32.25" customHeight="1">
      <c r="A78" s="811" t="s">
        <v>224</v>
      </c>
      <c r="B78" s="812"/>
      <c r="C78" s="813"/>
      <c r="D78" s="151" t="s">
        <v>139</v>
      </c>
      <c r="E78" s="95">
        <f>'11'!F78</f>
        <v>9352</v>
      </c>
      <c r="F78" s="123">
        <v>9356</v>
      </c>
      <c r="G78" s="112">
        <f t="shared" si="7"/>
        <v>4</v>
      </c>
      <c r="H78" s="99">
        <f>G78+'11'!H78</f>
        <v>26.600000000000364</v>
      </c>
      <c r="I78" s="118"/>
      <c r="J78" s="175">
        <f>H78/DAY(B2)</f>
        <v>2.216666666666697</v>
      </c>
      <c r="K78" s="69"/>
      <c r="L78" s="66"/>
      <c r="N78" s="87"/>
      <c r="O78" s="71"/>
    </row>
    <row r="79" spans="1:15" s="57" customFormat="1" ht="32.25" customHeight="1">
      <c r="A79" s="811" t="s">
        <v>225</v>
      </c>
      <c r="B79" s="812"/>
      <c r="C79" s="813"/>
      <c r="D79" s="151"/>
      <c r="E79" s="95">
        <f>'11'!F79</f>
        <v>0</v>
      </c>
      <c r="F79" s="117"/>
      <c r="G79" s="112">
        <f>G15-SUM(G74:G78)</f>
        <v>581</v>
      </c>
      <c r="H79" s="99">
        <f>G79+'11'!H79</f>
        <v>6619.271000000057</v>
      </c>
      <c r="I79" s="118"/>
      <c r="J79" s="175">
        <f>H79/DAY(B2)</f>
        <v>551.60591666667142</v>
      </c>
      <c r="K79" s="59"/>
      <c r="L79" s="58"/>
      <c r="N79" s="87"/>
      <c r="O79" s="71"/>
    </row>
    <row r="80" spans="1:15" s="57" customFormat="1" ht="32.25" customHeight="1">
      <c r="A80" s="823" t="s">
        <v>329</v>
      </c>
      <c r="B80" s="824"/>
      <c r="C80" s="825"/>
      <c r="D80" s="151"/>
      <c r="E80" s="117"/>
      <c r="F80" s="117"/>
      <c r="G80" s="112">
        <f>SUM(G74:G79)</f>
        <v>1060</v>
      </c>
      <c r="H80" s="99">
        <f>G80+'11'!H80</f>
        <v>1060</v>
      </c>
      <c r="I80" s="118"/>
      <c r="J80" s="175">
        <f>H80/DAY(B2)</f>
        <v>88.333333333333329</v>
      </c>
      <c r="K80" s="59"/>
      <c r="L80" s="58"/>
      <c r="N80" s="87"/>
      <c r="O80" s="71"/>
    </row>
    <row r="81" spans="1:15" ht="32.25" customHeight="1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65" t="s">
        <v>227</v>
      </c>
      <c r="B82" s="366"/>
      <c r="C82" s="366"/>
      <c r="D82" s="151" t="s">
        <v>228</v>
      </c>
      <c r="E82" s="95">
        <f>'11'!F82</f>
        <v>0</v>
      </c>
      <c r="F82" s="122"/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>
      <c r="A83" s="365" t="s">
        <v>229</v>
      </c>
      <c r="B83" s="366"/>
      <c r="C83" s="366"/>
      <c r="D83" s="151" t="s">
        <v>228</v>
      </c>
      <c r="E83" s="95">
        <f>'11'!F83</f>
        <v>0</v>
      </c>
      <c r="F83" s="122"/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>
      <c r="A84" s="365" t="s">
        <v>230</v>
      </c>
      <c r="B84" s="366"/>
      <c r="C84" s="366"/>
      <c r="D84" s="151" t="s">
        <v>228</v>
      </c>
      <c r="E84" s="95">
        <f>'11'!F84</f>
        <v>41589.089999999997</v>
      </c>
      <c r="F84" s="164">
        <v>41595</v>
      </c>
      <c r="G84" s="112">
        <f t="shared" si="8"/>
        <v>5.9100000000034925</v>
      </c>
      <c r="H84" s="99">
        <f>G84+'11'!H84</f>
        <v>9.4400000000023283</v>
      </c>
      <c r="I84" s="118"/>
      <c r="J84" s="175">
        <f>H84/DAY(B2)</f>
        <v>0.78666666666686069</v>
      </c>
      <c r="O84" s="71"/>
    </row>
    <row r="85" spans="1:15" ht="32.25" customHeight="1">
      <c r="A85" s="365" t="s">
        <v>231</v>
      </c>
      <c r="B85" s="366"/>
      <c r="C85" s="366"/>
      <c r="D85" s="151" t="s">
        <v>228</v>
      </c>
      <c r="E85" s="95">
        <f>'11'!F85</f>
        <v>1317.51</v>
      </c>
      <c r="F85" s="164">
        <v>1317.51</v>
      </c>
      <c r="G85" s="112">
        <f t="shared" si="8"/>
        <v>0</v>
      </c>
      <c r="H85" s="99">
        <f>G85+'11'!H85</f>
        <v>12.509999999999991</v>
      </c>
      <c r="I85" s="118">
        <f>G82+G83+G84+G85</f>
        <v>5.9100000000034925</v>
      </c>
      <c r="J85" s="175">
        <f>H85/DAY(B2)</f>
        <v>1.0424999999999993</v>
      </c>
      <c r="O85" s="71"/>
    </row>
    <row r="86" spans="1:15" ht="32.25" customHeight="1">
      <c r="A86" s="365" t="s">
        <v>232</v>
      </c>
      <c r="B86" s="366"/>
      <c r="C86" s="366"/>
      <c r="D86" s="151" t="s">
        <v>228</v>
      </c>
      <c r="E86" s="95">
        <f>'11'!F86</f>
        <v>42826.47</v>
      </c>
      <c r="F86" s="164">
        <v>42826.47</v>
      </c>
      <c r="G86" s="112">
        <f t="shared" si="8"/>
        <v>0</v>
      </c>
      <c r="H86" s="99">
        <f>G86+'11'!H86</f>
        <v>0.47000000000116415</v>
      </c>
      <c r="I86" s="118"/>
      <c r="J86" s="175">
        <f>H86/DAY(B2)</f>
        <v>3.9166666666763682E-2</v>
      </c>
      <c r="O86" s="71"/>
    </row>
    <row r="87" spans="1:15" ht="32.25" customHeight="1">
      <c r="A87" s="365" t="s">
        <v>233</v>
      </c>
      <c r="B87" s="366"/>
      <c r="C87" s="366"/>
      <c r="D87" s="151" t="s">
        <v>228</v>
      </c>
      <c r="E87" s="95">
        <f>'11'!F87</f>
        <v>34014</v>
      </c>
      <c r="F87" s="164">
        <v>34038</v>
      </c>
      <c r="G87" s="112">
        <f t="shared" si="8"/>
        <v>24</v>
      </c>
      <c r="H87" s="99">
        <f>G87+'11'!H87</f>
        <v>290</v>
      </c>
      <c r="I87" s="118"/>
      <c r="J87" s="175">
        <f>H87/DAY(B2)</f>
        <v>24.166666666666668</v>
      </c>
      <c r="O87" s="71"/>
    </row>
    <row r="88" spans="1:15" ht="32.25" customHeight="1">
      <c r="A88" s="365" t="s">
        <v>234</v>
      </c>
      <c r="B88" s="366"/>
      <c r="C88" s="366"/>
      <c r="D88" s="151" t="s">
        <v>228</v>
      </c>
      <c r="E88" s="95">
        <f>'11'!F88</f>
        <v>23873.57</v>
      </c>
      <c r="F88" s="164">
        <v>23875.759999999998</v>
      </c>
      <c r="G88" s="112">
        <f t="shared" si="8"/>
        <v>2.1899999999986903</v>
      </c>
      <c r="H88" s="99">
        <f>G88+'11'!H88</f>
        <v>42.18999999999869</v>
      </c>
      <c r="I88" s="118">
        <f>G86+G87+G88</f>
        <v>26.18999999999869</v>
      </c>
      <c r="J88" s="175">
        <f>H88/DAY(B2)</f>
        <v>3.5158333333332243</v>
      </c>
      <c r="O88" s="71"/>
    </row>
    <row r="89" spans="1:15" ht="32.25" customHeight="1">
      <c r="A89" s="365" t="s">
        <v>235</v>
      </c>
      <c r="B89" s="366"/>
      <c r="C89" s="366"/>
      <c r="D89" s="151" t="s">
        <v>228</v>
      </c>
      <c r="E89" s="95">
        <f>'11'!F89</f>
        <v>25309.15</v>
      </c>
      <c r="F89" s="164">
        <v>25316.62</v>
      </c>
      <c r="G89" s="112">
        <f t="shared" si="8"/>
        <v>7.4699999999975262</v>
      </c>
      <c r="H89" s="99">
        <f>G89+'11'!H89</f>
        <v>71.239999999997963</v>
      </c>
      <c r="I89" s="118"/>
      <c r="J89" s="175">
        <f>H89/DAY(B2)</f>
        <v>5.9366666666664969</v>
      </c>
      <c r="O89" s="71"/>
    </row>
    <row r="90" spans="1:15" ht="32.25" customHeight="1">
      <c r="A90" s="365" t="s">
        <v>236</v>
      </c>
      <c r="B90" s="366"/>
      <c r="C90" s="366"/>
      <c r="D90" s="151" t="s">
        <v>228</v>
      </c>
      <c r="E90" s="95">
        <f>'11'!F90</f>
        <v>70706.5</v>
      </c>
      <c r="F90" s="164">
        <v>70713.119999999995</v>
      </c>
      <c r="G90" s="112">
        <f t="shared" si="8"/>
        <v>6.6199999999953434</v>
      </c>
      <c r="H90" s="99">
        <f>G90+'11'!H90</f>
        <v>57.709999999991851</v>
      </c>
      <c r="I90" s="118">
        <f>G89+G90</f>
        <v>14.08999999999287</v>
      </c>
      <c r="J90" s="175">
        <f>H90/DAY(B2)</f>
        <v>4.8091666666659876</v>
      </c>
      <c r="O90" s="71"/>
    </row>
    <row r="91" spans="1:15" ht="32.25" customHeight="1">
      <c r="A91" s="365" t="s">
        <v>237</v>
      </c>
      <c r="B91" s="366"/>
      <c r="C91" s="366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0</v>
      </c>
      <c r="I91" s="165"/>
      <c r="J91" s="175">
        <f>H91/DAY(B2)</f>
        <v>0</v>
      </c>
      <c r="O91" s="71"/>
    </row>
    <row r="92" spans="1:15" ht="32.25" customHeight="1">
      <c r="A92" s="365" t="s">
        <v>238</v>
      </c>
      <c r="B92" s="366"/>
      <c r="C92" s="366"/>
      <c r="D92" s="151" t="s">
        <v>228</v>
      </c>
      <c r="E92" s="95">
        <f>'11'!F92</f>
        <v>4903.72</v>
      </c>
      <c r="F92" s="122">
        <v>4914.51</v>
      </c>
      <c r="G92" s="112">
        <f t="shared" si="8"/>
        <v>10.789999999999964</v>
      </c>
      <c r="H92" s="99">
        <f>G92+'11'!H92</f>
        <v>122.69000000000051</v>
      </c>
      <c r="I92" s="165"/>
      <c r="J92" s="175">
        <f>H92/DAY(B2)</f>
        <v>10.22416666666671</v>
      </c>
      <c r="O92" s="71"/>
    </row>
    <row r="93" spans="1:15" ht="32.25" customHeight="1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6132</v>
      </c>
      <c r="H94" s="99">
        <f>G94+'11'!H94</f>
        <v>74042.540000000081</v>
      </c>
      <c r="I94" s="118"/>
      <c r="J94" s="175">
        <f>H94/DAY(B2)</f>
        <v>6170.2116666666734</v>
      </c>
      <c r="K94" s="69"/>
      <c r="L94" s="66"/>
      <c r="O94" s="71"/>
    </row>
    <row r="95" spans="1:15" ht="32.25" customHeight="1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0.27550882868311094</v>
      </c>
      <c r="H95" s="99">
        <f>G95+'11'!H95</f>
        <v>3.4071043647418437</v>
      </c>
      <c r="I95" s="167"/>
      <c r="J95" s="175">
        <f>H95/DAY(B2)</f>
        <v>0.28392536372848698</v>
      </c>
      <c r="K95" s="69"/>
      <c r="L95" s="66"/>
      <c r="O95" s="71"/>
    </row>
    <row r="96" spans="1:15" ht="32.25" customHeight="1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5360.2900000000373</v>
      </c>
      <c r="H96" s="99">
        <f>G96+'11'!H96</f>
        <v>65833.21000000005</v>
      </c>
      <c r="I96" s="118"/>
      <c r="J96" s="175">
        <f>H96/DAY(B2)</f>
        <v>5486.1008333333375</v>
      </c>
      <c r="K96" s="69"/>
      <c r="L96" s="66"/>
      <c r="O96" s="71"/>
    </row>
    <row r="97" spans="1:15" ht="32.25" customHeight="1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0.24083614143865018</v>
      </c>
      <c r="H97" s="99">
        <f>G97+'11'!H97</f>
        <v>3.0215789636046768</v>
      </c>
      <c r="I97" s="167"/>
      <c r="J97" s="175">
        <f>H97/DAY(B2)</f>
        <v>0.25179824696705638</v>
      </c>
      <c r="K97" s="69"/>
      <c r="L97" s="66"/>
      <c r="O97" s="71"/>
    </row>
    <row r="98" spans="1:15" ht="32.25" customHeight="1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2962</v>
      </c>
      <c r="H98" s="99">
        <f>G98+'11'!H98</f>
        <v>34583.950000000012</v>
      </c>
      <c r="I98" s="168"/>
      <c r="J98" s="175">
        <f>H98/DAY(B2)</f>
        <v>2881.9958333333343</v>
      </c>
      <c r="K98" s="69"/>
      <c r="L98" s="66"/>
      <c r="O98" s="71"/>
    </row>
    <row r="99" spans="1:15" ht="32.25" customHeight="1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0.13308172709709304</v>
      </c>
      <c r="H99" s="99">
        <f>G99+'11'!H99</f>
        <v>1.5931706172977838</v>
      </c>
      <c r="I99" s="168"/>
      <c r="J99" s="175">
        <f>H99/DAY(B2)</f>
        <v>0.13276421810814865</v>
      </c>
      <c r="O99" s="71"/>
    </row>
    <row r="100" spans="1:15" ht="32.25" customHeight="1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1852</v>
      </c>
      <c r="H100" s="99">
        <f>G100+'11'!H100</f>
        <v>21711.960000000006</v>
      </c>
      <c r="I100" s="118"/>
      <c r="J100" s="175">
        <f>H100/DAY(B2)</f>
        <v>1809.3300000000006</v>
      </c>
      <c r="K100" s="70"/>
      <c r="O100" s="71"/>
    </row>
    <row r="101" spans="1:15" ht="32.25" customHeight="1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8.3209776699465332E-2</v>
      </c>
      <c r="H101" s="99">
        <f>G101+'11'!H101</f>
        <v>0.99947032474410635</v>
      </c>
      <c r="I101" s="168"/>
      <c r="J101" s="175">
        <f>H101/DAY(B2)</f>
        <v>8.3289193728675534E-2</v>
      </c>
      <c r="O101" s="71"/>
    </row>
    <row r="102" spans="1:15" ht="32.25" customHeight="1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2297</v>
      </c>
      <c r="H102" s="99">
        <f>G102+'11'!H102</f>
        <v>22755.019999999946</v>
      </c>
      <c r="I102" s="168"/>
      <c r="J102" s="175">
        <f>H102/DAY(B2)</f>
        <v>1896.2516666666622</v>
      </c>
      <c r="O102" s="71"/>
    </row>
    <row r="103" spans="1:15" ht="32.25" customHeight="1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0.10320348654355933</v>
      </c>
      <c r="H103" s="99">
        <f>G103+'11'!H103</f>
        <v>1.0466219661787421</v>
      </c>
      <c r="I103" s="118"/>
      <c r="J103" s="175">
        <f>H103/DAY(B2)</f>
        <v>8.7218497181561841E-2</v>
      </c>
      <c r="O103" s="71"/>
    </row>
    <row r="104" spans="1:15" ht="32.25" customHeight="1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1617</v>
      </c>
      <c r="H104" s="99">
        <f>G104+'11'!H104</f>
        <v>18991.169999999998</v>
      </c>
      <c r="I104" s="118"/>
      <c r="J104" s="175">
        <f>H104/DAY(B2)</f>
        <v>1582.5974999999999</v>
      </c>
      <c r="O104" s="71"/>
    </row>
    <row r="105" spans="1:15" ht="32.25" customHeight="1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7.2651300714381986E-2</v>
      </c>
      <c r="H105" s="99">
        <f>G105+'11'!H105</f>
        <v>0.8743883991946011</v>
      </c>
      <c r="I105" s="187"/>
      <c r="J105" s="188">
        <f>H105/DAY(B2)</f>
        <v>7.2865699932883429E-2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32.25" customHeight="1">
      <c r="A109" s="831"/>
      <c r="B109" s="831"/>
    </row>
    <row r="110" spans="1:15" ht="32.25" customHeight="1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32.25" customHeight="1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32.25" customHeight="1">
      <c r="A112" s="793" t="s">
        <v>252</v>
      </c>
      <c r="B112" s="794"/>
      <c r="C112" s="795"/>
      <c r="D112" s="146" t="s">
        <v>183</v>
      </c>
      <c r="E112" s="95">
        <f>'11'!F112</f>
        <v>51793</v>
      </c>
      <c r="F112" s="237">
        <v>51874</v>
      </c>
      <c r="G112" s="112">
        <f t="shared" ref="G112:G123" si="9">F112-E112</f>
        <v>81</v>
      </c>
      <c r="H112" s="99">
        <f>G112+'11'!H112</f>
        <v>984.91999999999825</v>
      </c>
      <c r="I112" s="165"/>
      <c r="J112" s="348">
        <f>H112/DAY(B2)</f>
        <v>82.076666666666526</v>
      </c>
    </row>
    <row r="113" spans="1:18" ht="32.25" customHeight="1">
      <c r="A113" s="793" t="s">
        <v>253</v>
      </c>
      <c r="B113" s="794"/>
      <c r="C113" s="795"/>
      <c r="D113" s="146" t="s">
        <v>183</v>
      </c>
      <c r="E113" s="95">
        <f>'11'!F113</f>
        <v>9306</v>
      </c>
      <c r="F113" s="237">
        <v>9810</v>
      </c>
      <c r="G113" s="112">
        <f t="shared" si="9"/>
        <v>504</v>
      </c>
      <c r="H113" s="99">
        <f>G113+'11'!H113</f>
        <v>5304.35</v>
      </c>
      <c r="I113" s="165"/>
      <c r="J113" s="348">
        <f>H113/DAY(B2)</f>
        <v>442.0291666666667</v>
      </c>
    </row>
    <row r="114" spans="1:18" ht="32.25" customHeight="1">
      <c r="A114" s="793" t="s">
        <v>254</v>
      </c>
      <c r="B114" s="794"/>
      <c r="C114" s="795"/>
      <c r="D114" s="146" t="s">
        <v>183</v>
      </c>
      <c r="E114" s="95">
        <f>'11'!F114</f>
        <v>7479</v>
      </c>
      <c r="F114" s="237">
        <v>7876</v>
      </c>
      <c r="G114" s="112">
        <f t="shared" si="9"/>
        <v>397</v>
      </c>
      <c r="H114" s="99">
        <f>G114+'11'!H114</f>
        <v>3298.0699999999997</v>
      </c>
      <c r="I114" s="165"/>
      <c r="J114" s="348">
        <f>H114/DAY(B2)</f>
        <v>274.83916666666664</v>
      </c>
    </row>
    <row r="115" spans="1:18" ht="32.25" customHeight="1">
      <c r="A115" s="793" t="s">
        <v>255</v>
      </c>
      <c r="B115" s="794"/>
      <c r="C115" s="795"/>
      <c r="D115" s="146" t="s">
        <v>183</v>
      </c>
      <c r="E115" s="95">
        <f>'11'!F115</f>
        <v>8194</v>
      </c>
      <c r="F115" s="237">
        <v>8204</v>
      </c>
      <c r="G115" s="112">
        <f t="shared" si="9"/>
        <v>10</v>
      </c>
      <c r="H115" s="99">
        <f>G115+'11'!H115</f>
        <v>126.59000000000015</v>
      </c>
      <c r="I115" s="165"/>
      <c r="J115" s="348">
        <f>H115/DAY(B2)</f>
        <v>10.549166666666679</v>
      </c>
    </row>
    <row r="116" spans="1:18" ht="32.25" customHeight="1">
      <c r="A116" s="800" t="s">
        <v>96</v>
      </c>
      <c r="B116" s="801"/>
      <c r="C116" s="802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32.25" customHeight="1">
      <c r="A117" s="800" t="s">
        <v>184</v>
      </c>
      <c r="B117" s="801"/>
      <c r="C117" s="802"/>
      <c r="D117" s="146" t="s">
        <v>183</v>
      </c>
      <c r="E117" s="95">
        <f>'11'!F117</f>
        <v>1551</v>
      </c>
      <c r="F117" s="237">
        <v>1572</v>
      </c>
      <c r="G117" s="112">
        <f t="shared" si="9"/>
        <v>21</v>
      </c>
      <c r="H117" s="99">
        <f>G117+'11'!H117</f>
        <v>413.80999999999995</v>
      </c>
      <c r="I117" s="165"/>
      <c r="J117" s="348">
        <f>H117/DAY(B2)</f>
        <v>34.48416666666666</v>
      </c>
      <c r="Q117" s="793" t="s">
        <v>312</v>
      </c>
      <c r="R117" s="795"/>
    </row>
    <row r="118" spans="1:18" ht="32.25" customHeight="1">
      <c r="A118" s="792" t="s">
        <v>97</v>
      </c>
      <c r="B118" s="792"/>
      <c r="C118" s="792"/>
      <c r="D118" s="151" t="s">
        <v>183</v>
      </c>
      <c r="E118" s="95">
        <f>'11'!F118</f>
        <v>222587</v>
      </c>
      <c r="F118" s="237">
        <v>222935</v>
      </c>
      <c r="G118" s="112">
        <f t="shared" si="9"/>
        <v>348</v>
      </c>
      <c r="H118" s="99">
        <f>G118+'11'!H118</f>
        <v>4083.070000000007</v>
      </c>
      <c r="I118" s="165"/>
      <c r="J118" s="348">
        <f>H118/DAY(B2)</f>
        <v>340.2558333333339</v>
      </c>
      <c r="Q118" s="793" t="s">
        <v>311</v>
      </c>
      <c r="R118" s="795"/>
    </row>
    <row r="119" spans="1:18" ht="32.25" customHeight="1">
      <c r="A119" s="792" t="s">
        <v>98</v>
      </c>
      <c r="B119" s="792"/>
      <c r="C119" s="792"/>
      <c r="D119" s="151" t="s">
        <v>183</v>
      </c>
      <c r="E119" s="95">
        <f>'11'!F119</f>
        <v>223490</v>
      </c>
      <c r="F119" s="237">
        <v>223914</v>
      </c>
      <c r="G119" s="112">
        <f t="shared" si="9"/>
        <v>424</v>
      </c>
      <c r="H119" s="99">
        <f>G119+'11'!H119</f>
        <v>5102.890000000014</v>
      </c>
      <c r="I119" s="165"/>
      <c r="J119" s="348">
        <f>H119/DAY(B2)</f>
        <v>425.24083333333448</v>
      </c>
    </row>
    <row r="120" spans="1:18" ht="32.25" customHeight="1">
      <c r="A120" s="792" t="s">
        <v>99</v>
      </c>
      <c r="B120" s="792"/>
      <c r="C120" s="792"/>
      <c r="D120" s="151" t="s">
        <v>183</v>
      </c>
      <c r="E120" s="95">
        <f>'11'!F120</f>
        <v>9065</v>
      </c>
      <c r="F120" s="237">
        <v>9472</v>
      </c>
      <c r="G120" s="112">
        <f t="shared" si="9"/>
        <v>407</v>
      </c>
      <c r="H120" s="99">
        <f>G120+'11'!H120</f>
        <v>5164.3999999999996</v>
      </c>
      <c r="I120" s="165"/>
      <c r="J120" s="348">
        <f>H120/DAY(B2)</f>
        <v>430.36666666666662</v>
      </c>
    </row>
    <row r="121" spans="1:18" ht="32.25" customHeight="1">
      <c r="A121" s="792" t="s">
        <v>100</v>
      </c>
      <c r="B121" s="792"/>
      <c r="C121" s="792"/>
      <c r="D121" s="151" t="s">
        <v>183</v>
      </c>
      <c r="E121" s="95">
        <f>'11'!F121</f>
        <v>339122</v>
      </c>
      <c r="F121" s="237">
        <v>339836</v>
      </c>
      <c r="G121" s="112">
        <f t="shared" si="9"/>
        <v>714</v>
      </c>
      <c r="H121" s="99">
        <f>G121+'11'!H121</f>
        <v>8598.4899999999907</v>
      </c>
      <c r="I121" s="165"/>
      <c r="J121" s="348">
        <f>H121/DAY(B2)</f>
        <v>716.54083333333256</v>
      </c>
    </row>
    <row r="122" spans="1:18" ht="32.25" customHeight="1">
      <c r="A122" s="792" t="s">
        <v>101</v>
      </c>
      <c r="B122" s="792"/>
      <c r="C122" s="792"/>
      <c r="D122" s="151" t="s">
        <v>183</v>
      </c>
      <c r="E122" s="95">
        <f>'11'!F122</f>
        <v>104938</v>
      </c>
      <c r="F122" s="237">
        <v>105244</v>
      </c>
      <c r="G122" s="112">
        <f t="shared" si="9"/>
        <v>306</v>
      </c>
      <c r="H122" s="99">
        <f>G122+'11'!H122</f>
        <v>3635.1199999999953</v>
      </c>
      <c r="I122" s="165"/>
      <c r="J122" s="348">
        <f>H122/DAY(B2)</f>
        <v>302.92666666666628</v>
      </c>
    </row>
    <row r="123" spans="1:18" ht="32.25" customHeight="1">
      <c r="A123" s="792" t="s">
        <v>102</v>
      </c>
      <c r="B123" s="792"/>
      <c r="C123" s="792"/>
      <c r="D123" s="151" t="s">
        <v>183</v>
      </c>
      <c r="E123" s="95">
        <f>'11'!F123</f>
        <v>128995</v>
      </c>
      <c r="F123" s="237">
        <v>129284</v>
      </c>
      <c r="G123" s="112">
        <f t="shared" si="9"/>
        <v>289</v>
      </c>
      <c r="H123" s="99">
        <f>G123+'11'!H123</f>
        <v>3536.2400000000052</v>
      </c>
      <c r="I123" s="165"/>
      <c r="J123" s="348">
        <f>H123/DAY(B2)</f>
        <v>294.68666666666712</v>
      </c>
    </row>
    <row r="124" spans="1:18" ht="32.25" customHeight="1">
      <c r="A124" s="797"/>
      <c r="B124" s="798"/>
      <c r="C124" s="799"/>
      <c r="D124" s="165"/>
      <c r="E124" s="165"/>
      <c r="F124" s="165"/>
      <c r="G124" s="347"/>
      <c r="H124" s="156"/>
      <c r="I124" s="165"/>
      <c r="J124" s="347"/>
    </row>
    <row r="125" spans="1:18" ht="32.25" customHeight="1">
      <c r="A125" s="775" t="s">
        <v>196</v>
      </c>
      <c r="B125" s="776"/>
      <c r="C125" s="246"/>
      <c r="D125" s="317"/>
      <c r="E125" s="318"/>
      <c r="F125" s="318"/>
      <c r="G125" s="319">
        <f>SUM(G112:G124)</f>
        <v>3501</v>
      </c>
      <c r="H125" s="156"/>
      <c r="I125" s="347">
        <f>G125-(G39+G53)</f>
        <v>539</v>
      </c>
      <c r="J125" s="347"/>
    </row>
    <row r="126" spans="1:18" ht="32.25" customHeight="1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32.25" customHeight="1">
      <c r="A127" s="780"/>
      <c r="B127" s="780"/>
      <c r="C127" s="246"/>
      <c r="D127" s="317"/>
      <c r="E127" s="318"/>
      <c r="F127" s="318"/>
      <c r="G127" s="319"/>
      <c r="H127" s="99">
        <f>G127+'11'!H127</f>
        <v>0</v>
      </c>
      <c r="I127" s="165"/>
      <c r="J127" s="348">
        <f>H127/DAY(B2)</f>
        <v>0</v>
      </c>
    </row>
    <row r="128" spans="1:18" ht="32.25" customHeight="1">
      <c r="A128" s="793" t="s">
        <v>318</v>
      </c>
      <c r="B128" s="794"/>
      <c r="C128" s="795"/>
      <c r="D128" s="151" t="s">
        <v>183</v>
      </c>
      <c r="E128" s="95">
        <f>'11'!F128</f>
        <v>21601</v>
      </c>
      <c r="F128" s="165">
        <v>21934</v>
      </c>
      <c r="G128" s="112">
        <f t="shared" ref="G128:G134" si="10">F128-E128</f>
        <v>333</v>
      </c>
      <c r="H128" s="99">
        <f>G128+'11'!H128</f>
        <v>3910.2799999999988</v>
      </c>
      <c r="I128" s="165"/>
      <c r="J128" s="348">
        <f>H128/DAY(B2)</f>
        <v>325.85666666666657</v>
      </c>
    </row>
    <row r="129" spans="1:15" ht="32.25" customHeight="1">
      <c r="A129" s="349" t="s">
        <v>319</v>
      </c>
      <c r="B129" s="350"/>
      <c r="C129" s="351"/>
      <c r="D129" s="151" t="s">
        <v>183</v>
      </c>
      <c r="E129" s="95">
        <f>'11'!F129</f>
        <v>8908</v>
      </c>
      <c r="F129" s="165">
        <v>9092</v>
      </c>
      <c r="G129" s="112">
        <f t="shared" si="10"/>
        <v>184</v>
      </c>
      <c r="H129" s="99">
        <f>G129+'11'!H129</f>
        <v>2496.29</v>
      </c>
      <c r="I129" s="165"/>
      <c r="J129" s="348">
        <f>H129/DAY(B2)</f>
        <v>208.02416666666667</v>
      </c>
      <c r="N129" s="240"/>
      <c r="O129" s="241"/>
    </row>
    <row r="130" spans="1:15" ht="32.25" customHeight="1">
      <c r="A130" s="349" t="s">
        <v>320</v>
      </c>
      <c r="B130" s="350"/>
      <c r="C130" s="351"/>
      <c r="D130" s="151" t="s">
        <v>183</v>
      </c>
      <c r="E130" s="95">
        <f>'11'!F130</f>
        <v>53998</v>
      </c>
      <c r="F130" s="165">
        <v>56528</v>
      </c>
      <c r="G130" s="112">
        <f t="shared" si="10"/>
        <v>2530</v>
      </c>
      <c r="H130" s="99">
        <f>G130+'11'!H130</f>
        <v>30059.97</v>
      </c>
      <c r="I130" s="165"/>
      <c r="J130" s="348">
        <f>H130/DAY(B2)</f>
        <v>2504.9974999999999</v>
      </c>
      <c r="N130" s="240"/>
      <c r="O130" s="241"/>
    </row>
    <row r="131" spans="1:15" ht="32.25" customHeight="1">
      <c r="A131" s="793" t="s">
        <v>321</v>
      </c>
      <c r="B131" s="794"/>
      <c r="C131" s="795"/>
      <c r="D131" s="151" t="s">
        <v>183</v>
      </c>
      <c r="E131" s="95">
        <f>'11'!F131</f>
        <v>5709</v>
      </c>
      <c r="F131" s="165">
        <v>5877</v>
      </c>
      <c r="G131" s="112">
        <f t="shared" si="10"/>
        <v>168</v>
      </c>
      <c r="H131" s="99">
        <f>G131+'11'!H131</f>
        <v>1730.5299999999997</v>
      </c>
      <c r="I131" s="165"/>
      <c r="J131" s="348">
        <f>H131/DAY(B2)</f>
        <v>144.21083333333331</v>
      </c>
      <c r="N131" s="240"/>
      <c r="O131" s="241"/>
    </row>
    <row r="132" spans="1:15" ht="32.25" customHeight="1">
      <c r="A132" s="793" t="s">
        <v>322</v>
      </c>
      <c r="B132" s="794"/>
      <c r="C132" s="795"/>
      <c r="D132" s="151" t="s">
        <v>183</v>
      </c>
      <c r="E132" s="95">
        <f>'11'!F132</f>
        <v>17065</v>
      </c>
      <c r="F132" s="165">
        <v>17591</v>
      </c>
      <c r="G132" s="112">
        <f t="shared" si="10"/>
        <v>526</v>
      </c>
      <c r="H132" s="99">
        <f>G132+'11'!H132</f>
        <v>6053.2800000000007</v>
      </c>
      <c r="I132" s="165"/>
      <c r="J132" s="348">
        <f>H132/DAY(B2)</f>
        <v>504.44000000000005</v>
      </c>
    </row>
    <row r="133" spans="1:15" ht="32.25" customHeight="1">
      <c r="A133" s="793" t="s">
        <v>323</v>
      </c>
      <c r="B133" s="794"/>
      <c r="C133" s="795"/>
      <c r="D133" s="151" t="s">
        <v>183</v>
      </c>
      <c r="E133" s="95">
        <f>'11'!F133</f>
        <v>48469</v>
      </c>
      <c r="F133" s="165">
        <v>49045</v>
      </c>
      <c r="G133" s="112">
        <f t="shared" si="10"/>
        <v>576</v>
      </c>
      <c r="H133" s="99">
        <f>G133+'11'!H133</f>
        <v>8195.7099999999991</v>
      </c>
      <c r="I133" s="165"/>
      <c r="J133" s="348">
        <f>H133/DAY(B2)</f>
        <v>682.9758333333333</v>
      </c>
    </row>
    <row r="134" spans="1:15" ht="32.25" customHeight="1">
      <c r="A134" s="793" t="s">
        <v>340</v>
      </c>
      <c r="B134" s="794"/>
      <c r="C134" s="795"/>
      <c r="D134" s="151" t="s">
        <v>183</v>
      </c>
      <c r="E134" s="95">
        <f>'11'!F134</f>
        <v>639189</v>
      </c>
      <c r="F134" s="165">
        <v>639831</v>
      </c>
      <c r="G134" s="112">
        <f t="shared" si="10"/>
        <v>642</v>
      </c>
      <c r="H134" s="99">
        <f>G134+'11'!H134</f>
        <v>7567</v>
      </c>
      <c r="I134" s="165"/>
      <c r="J134" s="348">
        <f>H134/DAY(B2)</f>
        <v>630.58333333333337</v>
      </c>
    </row>
    <row r="135" spans="1:15" ht="32.25" customHeight="1">
      <c r="A135" s="775" t="s">
        <v>196</v>
      </c>
      <c r="B135" s="776"/>
      <c r="C135" s="351"/>
      <c r="D135" s="151"/>
      <c r="E135" s="95"/>
      <c r="F135" s="165"/>
      <c r="G135" s="112">
        <f>SUM(G128:G134)</f>
        <v>4959</v>
      </c>
      <c r="H135" s="99">
        <f>G135+'10'!H135</f>
        <v>55140.06</v>
      </c>
      <c r="I135" s="347">
        <f>G135-(G35+G49)</f>
        <v>1546</v>
      </c>
      <c r="J135" s="348"/>
    </row>
    <row r="136" spans="1:15" ht="32.25" customHeight="1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32.25" customHeight="1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2.25" customHeight="1">
      <c r="A138" s="792" t="s">
        <v>185</v>
      </c>
      <c r="B138" s="792"/>
      <c r="C138" s="792"/>
      <c r="D138" s="151" t="s">
        <v>183</v>
      </c>
      <c r="E138" s="95">
        <f>'11'!F138</f>
        <v>860245</v>
      </c>
      <c r="F138" s="147">
        <v>860293</v>
      </c>
      <c r="G138" s="112">
        <f t="shared" ref="G138:G152" si="11">F138-E138</f>
        <v>48</v>
      </c>
      <c r="H138" s="99">
        <f>G138+'11'!H138</f>
        <v>646</v>
      </c>
      <c r="I138" s="118"/>
      <c r="J138" s="348">
        <f>H138/DAY(B2)</f>
        <v>53.833333333333336</v>
      </c>
    </row>
    <row r="139" spans="1:15" ht="32.25" customHeight="1">
      <c r="A139" s="792" t="s">
        <v>186</v>
      </c>
      <c r="B139" s="792"/>
      <c r="C139" s="792"/>
      <c r="D139" s="151" t="s">
        <v>183</v>
      </c>
      <c r="E139" s="95">
        <f>'11'!F139</f>
        <v>886110</v>
      </c>
      <c r="F139" s="148">
        <v>886129</v>
      </c>
      <c r="G139" s="112">
        <f t="shared" si="11"/>
        <v>19</v>
      </c>
      <c r="H139" s="99">
        <f>G139+'11'!H139</f>
        <v>27</v>
      </c>
      <c r="I139" s="118"/>
      <c r="J139" s="348">
        <f>H139/DAY(B2)</f>
        <v>2.25</v>
      </c>
    </row>
    <row r="140" spans="1:15" ht="32.25" customHeight="1">
      <c r="A140" s="792" t="s">
        <v>187</v>
      </c>
      <c r="B140" s="792"/>
      <c r="C140" s="792"/>
      <c r="D140" s="151" t="s">
        <v>183</v>
      </c>
      <c r="E140" s="95">
        <f>'11'!F140</f>
        <v>88830</v>
      </c>
      <c r="F140" s="149">
        <v>88830</v>
      </c>
      <c r="G140" s="112">
        <f t="shared" si="11"/>
        <v>0</v>
      </c>
      <c r="H140" s="99">
        <f>G140+'11'!H140</f>
        <v>13</v>
      </c>
      <c r="I140" s="118"/>
      <c r="J140" s="348">
        <f>H140/DAY(B2)</f>
        <v>1.0833333333333333</v>
      </c>
    </row>
    <row r="141" spans="1:15" ht="32.25" customHeight="1">
      <c r="A141" s="771" t="s">
        <v>188</v>
      </c>
      <c r="B141" s="771"/>
      <c r="C141" s="771"/>
      <c r="D141" s="151" t="s">
        <v>183</v>
      </c>
      <c r="E141" s="95">
        <f>'11'!F141</f>
        <v>39330</v>
      </c>
      <c r="F141" s="149">
        <v>39543</v>
      </c>
      <c r="G141" s="112">
        <f t="shared" si="11"/>
        <v>213</v>
      </c>
      <c r="H141" s="99">
        <f>G141+'11'!H141</f>
        <v>2255.0500000000029</v>
      </c>
      <c r="I141" s="118"/>
      <c r="J141" s="348">
        <f>H141/DAY(B2)</f>
        <v>187.92083333333358</v>
      </c>
    </row>
    <row r="142" spans="1:15" ht="32.25" customHeight="1">
      <c r="A142" s="771" t="s">
        <v>189</v>
      </c>
      <c r="B142" s="771"/>
      <c r="C142" s="771"/>
      <c r="D142" s="151" t="s">
        <v>183</v>
      </c>
      <c r="E142" s="95">
        <f>'11'!F142</f>
        <v>17138</v>
      </c>
      <c r="F142" s="148">
        <v>17157</v>
      </c>
      <c r="G142" s="112">
        <f t="shared" si="11"/>
        <v>19</v>
      </c>
      <c r="H142" s="99">
        <f>G142+'11'!H142</f>
        <v>195.13000000000102</v>
      </c>
      <c r="I142" s="140"/>
      <c r="J142" s="348">
        <f>H142/DAY(B2)</f>
        <v>16.260833333333419</v>
      </c>
    </row>
    <row r="143" spans="1:15" ht="32.25" customHeight="1">
      <c r="A143" s="792" t="s">
        <v>91</v>
      </c>
      <c r="B143" s="792"/>
      <c r="C143" s="792"/>
      <c r="D143" s="151" t="s">
        <v>183</v>
      </c>
      <c r="E143" s="95">
        <f>'11'!F143</f>
        <v>1650</v>
      </c>
      <c r="F143" s="149">
        <v>1677</v>
      </c>
      <c r="G143" s="112">
        <f t="shared" si="11"/>
        <v>27</v>
      </c>
      <c r="H143" s="99">
        <f>G143+'11'!H143</f>
        <v>293.81999999999994</v>
      </c>
      <c r="I143" s="140"/>
      <c r="J143" s="348">
        <f>H143/DAY(B2)</f>
        <v>24.484999999999996</v>
      </c>
    </row>
    <row r="144" spans="1:15" ht="32.25" customHeight="1">
      <c r="A144" s="771" t="s">
        <v>90</v>
      </c>
      <c r="B144" s="771"/>
      <c r="C144" s="771"/>
      <c r="D144" s="151" t="s">
        <v>183</v>
      </c>
      <c r="E144" s="95">
        <f>'11'!F144</f>
        <v>857881</v>
      </c>
      <c r="F144" s="149">
        <v>858114</v>
      </c>
      <c r="G144" s="112">
        <f t="shared" si="11"/>
        <v>233</v>
      </c>
      <c r="H144" s="99">
        <f>G144+'11'!H144</f>
        <v>2745</v>
      </c>
      <c r="I144" s="140"/>
      <c r="J144" s="348">
        <f>H144/DAY(B2)</f>
        <v>228.75</v>
      </c>
    </row>
    <row r="145" spans="1:10" ht="32.25" customHeight="1">
      <c r="A145" s="792" t="s">
        <v>190</v>
      </c>
      <c r="B145" s="792"/>
      <c r="C145" s="792"/>
      <c r="D145" s="152" t="s">
        <v>183</v>
      </c>
      <c r="E145" s="95">
        <f>'11'!F145</f>
        <v>2618</v>
      </c>
      <c r="F145" s="149">
        <v>2654</v>
      </c>
      <c r="G145" s="112">
        <f t="shared" si="11"/>
        <v>36</v>
      </c>
      <c r="H145" s="99">
        <f>G145+'11'!H145</f>
        <v>441</v>
      </c>
      <c r="I145" s="140"/>
      <c r="J145" s="348">
        <f>H145/DAY(B2)</f>
        <v>36.75</v>
      </c>
    </row>
    <row r="146" spans="1:10" ht="32.25" customHeight="1">
      <c r="A146" s="827" t="s">
        <v>191</v>
      </c>
      <c r="B146" s="812"/>
      <c r="C146" s="813"/>
      <c r="D146" s="152" t="s">
        <v>183</v>
      </c>
      <c r="E146" s="95">
        <f>'11'!F146</f>
        <v>702832</v>
      </c>
      <c r="F146" s="148">
        <v>703244</v>
      </c>
      <c r="G146" s="112">
        <f t="shared" si="11"/>
        <v>412</v>
      </c>
      <c r="H146" s="99">
        <f>G146+'11'!H146</f>
        <v>4725</v>
      </c>
      <c r="I146" s="140"/>
      <c r="J146" s="348">
        <f>H146/DAY(B2)</f>
        <v>393.75</v>
      </c>
    </row>
    <row r="147" spans="1:10" ht="32.25" customHeight="1">
      <c r="A147" s="771" t="s">
        <v>192</v>
      </c>
      <c r="B147" s="771"/>
      <c r="C147" s="771"/>
      <c r="D147" s="152" t="s">
        <v>183</v>
      </c>
      <c r="E147" s="95">
        <f>'11'!F147</f>
        <v>593189</v>
      </c>
      <c r="F147" s="148">
        <v>593709</v>
      </c>
      <c r="G147" s="112">
        <f t="shared" si="11"/>
        <v>520</v>
      </c>
      <c r="H147" s="99">
        <f>G147+'11'!H147</f>
        <v>4798.0799999999581</v>
      </c>
      <c r="I147" s="140"/>
      <c r="J147" s="348">
        <f>H147/DAY(B2)</f>
        <v>399.83999999999651</v>
      </c>
    </row>
    <row r="148" spans="1:10" ht="32.25" customHeight="1">
      <c r="A148" s="772" t="s">
        <v>193</v>
      </c>
      <c r="B148" s="773"/>
      <c r="C148" s="774"/>
      <c r="D148" s="123" t="s">
        <v>130</v>
      </c>
      <c r="E148" s="95">
        <f>'11'!F148</f>
        <v>667717</v>
      </c>
      <c r="F148" s="150">
        <v>667975</v>
      </c>
      <c r="G148" s="112">
        <f t="shared" si="11"/>
        <v>258</v>
      </c>
      <c r="H148" s="99">
        <f>G148+'11'!H148</f>
        <v>2866.8800000000047</v>
      </c>
      <c r="I148" s="124"/>
      <c r="J148" s="348">
        <f>H148/DAY(B2)</f>
        <v>238.90666666666706</v>
      </c>
    </row>
    <row r="149" spans="1:10" ht="32.25" customHeight="1">
      <c r="A149" s="772" t="s">
        <v>336</v>
      </c>
      <c r="B149" s="773"/>
      <c r="C149" s="774"/>
      <c r="D149" s="227" t="s">
        <v>130</v>
      </c>
      <c r="E149" s="95">
        <f>'11'!F149</f>
        <v>88345</v>
      </c>
      <c r="F149" s="146">
        <v>88632</v>
      </c>
      <c r="G149" s="112">
        <f t="shared" si="11"/>
        <v>287</v>
      </c>
      <c r="H149" s="99">
        <f>G149+'11'!H149</f>
        <v>3885</v>
      </c>
      <c r="I149" s="119"/>
      <c r="J149" s="348">
        <f>H149/DAY(B2)</f>
        <v>323.75</v>
      </c>
    </row>
    <row r="150" spans="1:10" ht="32.25" customHeight="1">
      <c r="A150" s="772" t="s">
        <v>337</v>
      </c>
      <c r="B150" s="773"/>
      <c r="C150" s="774"/>
      <c r="D150" s="117" t="s">
        <v>130</v>
      </c>
      <c r="E150" s="95">
        <f>'11'!F150</f>
        <v>7167232</v>
      </c>
      <c r="F150" s="233">
        <v>7167232</v>
      </c>
      <c r="G150" s="112">
        <f t="shared" si="11"/>
        <v>0</v>
      </c>
      <c r="H150" s="99">
        <f>G150+'11'!H150</f>
        <v>0</v>
      </c>
      <c r="I150" s="119"/>
      <c r="J150" s="348">
        <f>H150/DAY(B2)</f>
        <v>0</v>
      </c>
    </row>
    <row r="151" spans="1:10" ht="32.25" customHeight="1">
      <c r="A151" s="772" t="s">
        <v>338</v>
      </c>
      <c r="B151" s="773"/>
      <c r="C151" s="774"/>
      <c r="D151" s="117" t="s">
        <v>130</v>
      </c>
      <c r="E151" s="95">
        <f>'11'!F151</f>
        <v>65667</v>
      </c>
      <c r="F151" s="233">
        <v>65906</v>
      </c>
      <c r="G151" s="112">
        <f t="shared" si="11"/>
        <v>239</v>
      </c>
      <c r="H151" s="99">
        <f>G151+'11'!H151</f>
        <v>2896</v>
      </c>
      <c r="I151" s="119"/>
      <c r="J151" s="348">
        <f>H151/DAY(B2)</f>
        <v>241.33333333333334</v>
      </c>
    </row>
    <row r="152" spans="1:10" ht="32.25" customHeight="1">
      <c r="A152" s="772" t="s">
        <v>339</v>
      </c>
      <c r="B152" s="773"/>
      <c r="C152" s="774"/>
      <c r="D152" s="117" t="s">
        <v>130</v>
      </c>
      <c r="E152" s="95">
        <f>'11'!F152</f>
        <v>0</v>
      </c>
      <c r="F152" s="233">
        <v>0</v>
      </c>
      <c r="G152" s="112">
        <f t="shared" si="11"/>
        <v>0</v>
      </c>
      <c r="H152" s="99">
        <f>G152+'11'!H152</f>
        <v>0</v>
      </c>
      <c r="I152" s="119"/>
      <c r="J152" s="348">
        <f>H152/DAY(B2)</f>
        <v>0</v>
      </c>
    </row>
    <row r="153" spans="1:10" ht="32.25" customHeight="1">
      <c r="A153" s="775" t="s">
        <v>196</v>
      </c>
      <c r="B153" s="776"/>
      <c r="C153" s="385"/>
      <c r="D153" s="378"/>
      <c r="E153" s="380"/>
      <c r="F153" s="381"/>
      <c r="G153" s="382">
        <f>SUM(G138:G152)</f>
        <v>2311</v>
      </c>
      <c r="H153" s="383"/>
      <c r="I153" s="119">
        <f>G153-(G38+G52)</f>
        <v>459</v>
      </c>
      <c r="J153" s="386"/>
    </row>
    <row r="154" spans="1:10" ht="32.25" customHeight="1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2.25" customHeight="1">
      <c r="A155" s="771" t="s">
        <v>345</v>
      </c>
      <c r="B155" s="771"/>
      <c r="C155" s="771"/>
      <c r="D155" s="117" t="s">
        <v>130</v>
      </c>
      <c r="E155" s="95">
        <f>'11'!F155</f>
        <v>77352</v>
      </c>
      <c r="F155" s="394">
        <v>77361</v>
      </c>
      <c r="G155" s="112">
        <f t="shared" ref="G155:G156" si="12">F155-E155</f>
        <v>9</v>
      </c>
      <c r="H155" s="99">
        <f>G155+'11'!H155</f>
        <v>86.399999999994179</v>
      </c>
      <c r="I155" s="384"/>
      <c r="J155" s="348">
        <f>H155/DAY(B2)</f>
        <v>7.1999999999995152</v>
      </c>
    </row>
    <row r="156" spans="1:10" ht="32.25" customHeight="1">
      <c r="A156" s="771" t="s">
        <v>347</v>
      </c>
      <c r="B156" s="771"/>
      <c r="C156" s="771"/>
      <c r="D156" s="117" t="s">
        <v>130</v>
      </c>
      <c r="E156" s="95">
        <f>'11'!F156</f>
        <v>0</v>
      </c>
      <c r="F156" s="165">
        <v>0</v>
      </c>
      <c r="G156" s="112">
        <f t="shared" si="12"/>
        <v>0</v>
      </c>
      <c r="H156" s="99">
        <f>G156+'11'!H156</f>
        <v>0</v>
      </c>
      <c r="I156" s="165"/>
      <c r="J156" s="348">
        <f>H156/DAY(B2)</f>
        <v>0</v>
      </c>
    </row>
    <row r="157" spans="1:10" ht="32.25" customHeight="1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32.25" customHeight="1">
      <c r="A158" s="242" t="s">
        <v>92</v>
      </c>
      <c r="B158" s="243"/>
      <c r="C158" s="243"/>
      <c r="D158" s="244" t="s">
        <v>180</v>
      </c>
      <c r="E158" s="95">
        <f>'11'!F158</f>
        <v>469823</v>
      </c>
      <c r="F158" s="235">
        <v>469823</v>
      </c>
      <c r="G158" s="238">
        <f t="shared" ref="G158:G162" si="13">F158-E158</f>
        <v>0</v>
      </c>
      <c r="H158" s="99">
        <f>G158+'11'!H158</f>
        <v>293.96000000002095</v>
      </c>
      <c r="I158" s="236"/>
      <c r="J158" s="239">
        <f>H158/DAY(B2)</f>
        <v>24.496666666668414</v>
      </c>
    </row>
    <row r="159" spans="1:10" ht="32.25" customHeight="1">
      <c r="A159" s="242" t="s">
        <v>93</v>
      </c>
      <c r="B159" s="243"/>
      <c r="C159" s="243"/>
      <c r="D159" s="244" t="s">
        <v>180</v>
      </c>
      <c r="E159" s="95">
        <f>'11'!F159</f>
        <v>86025</v>
      </c>
      <c r="F159" s="235">
        <v>86078</v>
      </c>
      <c r="G159" s="238">
        <f t="shared" si="13"/>
        <v>53</v>
      </c>
      <c r="H159" s="99">
        <f>G159+'11'!H159</f>
        <v>372.39999999999418</v>
      </c>
      <c r="I159" s="236"/>
      <c r="J159" s="239">
        <f>H159/DAY(B2)</f>
        <v>31.033333333332848</v>
      </c>
    </row>
    <row r="160" spans="1:10" ht="32.25" customHeight="1">
      <c r="A160" s="242" t="s">
        <v>197</v>
      </c>
      <c r="B160" s="243"/>
      <c r="C160" s="243"/>
      <c r="D160" s="244" t="s">
        <v>180</v>
      </c>
      <c r="E160" s="95">
        <f>'11'!F160</f>
        <v>74005</v>
      </c>
      <c r="F160" s="235">
        <v>74064</v>
      </c>
      <c r="G160" s="238">
        <f t="shared" si="13"/>
        <v>59</v>
      </c>
      <c r="H160" s="99">
        <f>G160+'11'!H160</f>
        <v>727.10000000000582</v>
      </c>
      <c r="I160" s="236"/>
      <c r="J160" s="239">
        <f>H160/DAY(B2)</f>
        <v>60.591666666667152</v>
      </c>
    </row>
    <row r="161" spans="1:10" ht="32.25" customHeight="1">
      <c r="A161" s="242" t="s">
        <v>197</v>
      </c>
      <c r="B161" s="243"/>
      <c r="C161" s="243"/>
      <c r="D161" s="244" t="s">
        <v>180</v>
      </c>
      <c r="E161" s="95">
        <f>'11'!F161</f>
        <v>4000</v>
      </c>
      <c r="F161" s="235">
        <v>4004</v>
      </c>
      <c r="G161" s="238">
        <f t="shared" si="13"/>
        <v>4</v>
      </c>
      <c r="H161" s="99">
        <f>G161+'11'!H161</f>
        <v>30.5</v>
      </c>
      <c r="I161" s="236"/>
      <c r="J161" s="239">
        <f>H161/DAY(B2)</f>
        <v>2.5416666666666665</v>
      </c>
    </row>
    <row r="162" spans="1:10" ht="32.25" customHeight="1">
      <c r="A162" s="242" t="s">
        <v>309</v>
      </c>
      <c r="B162" s="243"/>
      <c r="C162" s="243"/>
      <c r="D162" s="244" t="s">
        <v>180</v>
      </c>
      <c r="E162" s="95">
        <f>'11'!F162</f>
        <v>29289</v>
      </c>
      <c r="F162" s="235">
        <v>29297</v>
      </c>
      <c r="G162" s="238">
        <f t="shared" si="13"/>
        <v>8</v>
      </c>
      <c r="H162" s="99">
        <f>G162+'11'!H162</f>
        <v>98.860000000000582</v>
      </c>
      <c r="I162" s="236"/>
      <c r="J162" s="239">
        <f>H162/DAY(B2)</f>
        <v>8.2383333333333812</v>
      </c>
    </row>
    <row r="163" spans="1:10" ht="32.25" customHeight="1">
      <c r="A163" s="780"/>
      <c r="B163" s="780"/>
      <c r="C163" s="247"/>
      <c r="D163" s="244" t="s">
        <v>180</v>
      </c>
      <c r="E163" s="95" t="str">
        <f>'11'!F163</f>
        <v/>
      </c>
      <c r="F163" s="165"/>
      <c r="G163" s="165"/>
      <c r="H163" s="99">
        <f>G163+'11'!H163</f>
        <v>0</v>
      </c>
      <c r="I163" s="165"/>
      <c r="J163" s="239">
        <f>H163/DAY(B2)</f>
        <v>0</v>
      </c>
    </row>
    <row r="164" spans="1:10" ht="32.25" customHeight="1">
      <c r="A164" s="780"/>
      <c r="B164" s="780"/>
      <c r="C164" s="247"/>
      <c r="D164" s="244" t="s">
        <v>180</v>
      </c>
      <c r="E164" s="95">
        <f>'11'!F164</f>
        <v>0</v>
      </c>
      <c r="F164" s="165"/>
      <c r="G164" s="165"/>
      <c r="H164" s="99">
        <f>G164+'11'!H164</f>
        <v>0</v>
      </c>
      <c r="I164" s="165"/>
      <c r="J164" s="239">
        <f>H164/DAY(B2)</f>
        <v>0</v>
      </c>
    </row>
    <row r="165" spans="1:10" ht="32.25" customHeight="1">
      <c r="A165" s="780"/>
      <c r="B165" s="780"/>
      <c r="C165" s="247"/>
      <c r="D165" s="244" t="s">
        <v>180</v>
      </c>
      <c r="E165" s="95">
        <f>'11'!F165</f>
        <v>0</v>
      </c>
      <c r="F165" s="165"/>
      <c r="G165" s="165"/>
      <c r="H165" s="99">
        <f>G165+'11'!H165</f>
        <v>0</v>
      </c>
      <c r="I165" s="165"/>
      <c r="J165" s="239">
        <f>H165/DAY(B2)</f>
        <v>0</v>
      </c>
    </row>
    <row r="168" spans="1:10" ht="32.25" customHeight="1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32.25" customHeight="1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32.25" customHeight="1">
      <c r="A170" s="786" t="s">
        <v>209</v>
      </c>
      <c r="B170" s="787"/>
      <c r="C170" s="353"/>
      <c r="D170" s="228" t="s">
        <v>142</v>
      </c>
      <c r="E170" s="95">
        <f>'11'!F170</f>
        <v>8021</v>
      </c>
      <c r="F170" s="155">
        <v>8021</v>
      </c>
      <c r="G170" s="155">
        <f>F170-E170</f>
        <v>0</v>
      </c>
      <c r="H170" s="99">
        <f>G170+'11'!H170</f>
        <v>23</v>
      </c>
      <c r="I170" s="155"/>
      <c r="J170" s="178">
        <f>H170/DAY(B2)</f>
        <v>1.9166666666666667</v>
      </c>
    </row>
    <row r="171" spans="1:10" ht="32.25" customHeight="1">
      <c r="A171" s="786" t="s">
        <v>75</v>
      </c>
      <c r="B171" s="787"/>
      <c r="C171" s="353"/>
      <c r="D171" s="228" t="s">
        <v>142</v>
      </c>
      <c r="E171" s="95">
        <v>37524</v>
      </c>
      <c r="F171" s="157">
        <v>37537</v>
      </c>
      <c r="G171" s="155">
        <f t="shared" ref="G171:G172" si="14">F171-E171</f>
        <v>13</v>
      </c>
      <c r="H171" s="99">
        <f>G171+'11'!H171</f>
        <v>154</v>
      </c>
      <c r="I171" s="155"/>
      <c r="J171" s="178">
        <f>H171/DAY(B2)</f>
        <v>12.833333333333334</v>
      </c>
    </row>
    <row r="172" spans="1:10" ht="32.25" customHeight="1">
      <c r="A172" s="786" t="s">
        <v>76</v>
      </c>
      <c r="B172" s="826"/>
      <c r="C172" s="787"/>
      <c r="D172" s="228" t="s">
        <v>142</v>
      </c>
      <c r="E172" s="95">
        <f>'11'!F172</f>
        <v>20909</v>
      </c>
      <c r="F172" s="155">
        <v>20925</v>
      </c>
      <c r="G172" s="155">
        <f t="shared" si="14"/>
        <v>16</v>
      </c>
      <c r="H172" s="99">
        <f>G172+'11'!H172</f>
        <v>137</v>
      </c>
      <c r="I172" s="155"/>
      <c r="J172" s="178">
        <f>H172/DAY(B2)</f>
        <v>11.416666666666666</v>
      </c>
    </row>
    <row r="173" spans="1:10" ht="32.25" customHeight="1">
      <c r="A173" s="669" t="s">
        <v>196</v>
      </c>
      <c r="B173" s="670"/>
      <c r="C173" s="547"/>
      <c r="D173" s="228" t="s">
        <v>142</v>
      </c>
      <c r="E173" s="95"/>
      <c r="F173" s="155"/>
      <c r="G173" s="155">
        <f>SUM(G170:G172)</f>
        <v>29</v>
      </c>
      <c r="H173" s="99">
        <f>G173+'11'!H173</f>
        <v>314</v>
      </c>
      <c r="I173" s="155"/>
      <c r="J173" s="178">
        <f>H173/DAY(B2)</f>
        <v>26.166666666666668</v>
      </c>
    </row>
    <row r="174" spans="1:10" ht="32.25" customHeight="1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G174+'11'!H174</f>
        <v>0</v>
      </c>
      <c r="I174" s="155"/>
      <c r="J174" s="178">
        <f>H174/DAY(B2)</f>
        <v>0</v>
      </c>
    </row>
    <row r="175" spans="1:10" ht="32.25" customHeight="1">
      <c r="A175" s="786" t="s">
        <v>210</v>
      </c>
      <c r="B175" s="787"/>
      <c r="C175" s="353"/>
      <c r="D175" s="228" t="s">
        <v>142</v>
      </c>
      <c r="E175" s="95">
        <f>'11'!F175</f>
        <v>75462</v>
      </c>
      <c r="F175" s="155">
        <v>75546</v>
      </c>
      <c r="G175" s="155">
        <f>F175-E175</f>
        <v>84</v>
      </c>
      <c r="H175" s="99">
        <f>G175+'11'!H175</f>
        <v>927</v>
      </c>
      <c r="I175" s="155"/>
      <c r="J175" s="178">
        <f>H175/DAY(B2)</f>
        <v>77.25</v>
      </c>
    </row>
    <row r="176" spans="1:10" ht="32.25" customHeight="1">
      <c r="A176" s="786" t="s">
        <v>211</v>
      </c>
      <c r="B176" s="787"/>
      <c r="C176" s="353"/>
      <c r="D176" s="228" t="s">
        <v>142</v>
      </c>
      <c r="E176" s="95">
        <f>'11'!F176</f>
        <v>33886</v>
      </c>
      <c r="F176" s="155">
        <v>33886</v>
      </c>
      <c r="G176" s="155">
        <f t="shared" ref="G176:G177" si="15">F176-E176</f>
        <v>0</v>
      </c>
      <c r="H176" s="99">
        <f>G176+'11'!H176</f>
        <v>0</v>
      </c>
      <c r="I176" s="155"/>
      <c r="J176" s="178">
        <f>H176/DAY(B2)</f>
        <v>0</v>
      </c>
    </row>
    <row r="177" spans="1:10" ht="32.25" customHeight="1">
      <c r="A177" s="786" t="s">
        <v>212</v>
      </c>
      <c r="B177" s="787"/>
      <c r="C177" s="353"/>
      <c r="D177" s="228" t="s">
        <v>142</v>
      </c>
      <c r="E177" s="95">
        <f>'11'!F177</f>
        <v>5130</v>
      </c>
      <c r="F177" s="155">
        <v>5130</v>
      </c>
      <c r="G177" s="155">
        <f t="shared" si="15"/>
        <v>0</v>
      </c>
      <c r="H177" s="99">
        <f>G177+'11'!H177</f>
        <v>89</v>
      </c>
      <c r="I177" s="155"/>
      <c r="J177" s="178">
        <f>H177/DAY(B2)</f>
        <v>7.416666666666667</v>
      </c>
    </row>
    <row r="178" spans="1:10" ht="32.25" customHeight="1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84</v>
      </c>
      <c r="H178" s="99">
        <f>G178+'11'!H178</f>
        <v>1016</v>
      </c>
      <c r="I178" s="155"/>
      <c r="J178" s="178">
        <f>H178/DAY(B2)</f>
        <v>84.666666666666671</v>
      </c>
    </row>
    <row r="179" spans="1:10" ht="32.25" customHeight="1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786" t="s">
        <v>214</v>
      </c>
      <c r="B180" s="787"/>
      <c r="C180" s="354"/>
      <c r="D180" s="228" t="s">
        <v>142</v>
      </c>
      <c r="E180" s="95">
        <f>'11'!F180</f>
        <v>14201</v>
      </c>
      <c r="F180" s="157">
        <v>14216</v>
      </c>
      <c r="G180" s="157">
        <f>F180-E180</f>
        <v>15</v>
      </c>
      <c r="H180" s="99">
        <f>G180+'11'!H180</f>
        <v>185</v>
      </c>
      <c r="I180" s="155"/>
      <c r="J180" s="178">
        <f>H180/DAY(B2)</f>
        <v>15.416666666666666</v>
      </c>
    </row>
    <row r="181" spans="1:10" ht="32.25" customHeight="1">
      <c r="A181" s="786" t="s">
        <v>215</v>
      </c>
      <c r="B181" s="787"/>
      <c r="C181" s="354"/>
      <c r="D181" s="228" t="s">
        <v>142</v>
      </c>
      <c r="E181" s="95">
        <f>'11'!F181</f>
        <v>9854</v>
      </c>
      <c r="F181" s="157">
        <v>9867</v>
      </c>
      <c r="G181" s="157">
        <f t="shared" ref="G181:G182" si="16">F181-E181</f>
        <v>13</v>
      </c>
      <c r="H181" s="99">
        <f>G181+'11'!H181</f>
        <v>113</v>
      </c>
      <c r="I181" s="155"/>
      <c r="J181" s="178">
        <f>H181/DAY(B2)</f>
        <v>9.4166666666666661</v>
      </c>
    </row>
    <row r="182" spans="1:10" ht="32.25" customHeight="1">
      <c r="A182" s="786" t="s">
        <v>216</v>
      </c>
      <c r="B182" s="787"/>
      <c r="C182" s="354"/>
      <c r="D182" s="228" t="s">
        <v>142</v>
      </c>
      <c r="E182" s="95">
        <f>'11'!F182</f>
        <v>0</v>
      </c>
      <c r="F182" s="157"/>
      <c r="G182" s="157">
        <f t="shared" si="16"/>
        <v>0</v>
      </c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775" t="s">
        <v>196</v>
      </c>
      <c r="B183" s="776"/>
      <c r="C183" s="546"/>
      <c r="D183" s="228" t="s">
        <v>142</v>
      </c>
      <c r="E183" s="95"/>
      <c r="F183" s="157"/>
      <c r="G183" s="157">
        <f>SUM(G180:G182)</f>
        <v>28</v>
      </c>
      <c r="H183" s="99">
        <f>G183+'11'!H183</f>
        <v>298</v>
      </c>
      <c r="I183" s="157"/>
      <c r="J183" s="178">
        <f>H183/DAY(B2)</f>
        <v>24.833333333333332</v>
      </c>
    </row>
    <row r="184" spans="1:10" ht="32.25" customHeight="1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178</v>
      </c>
      <c r="H184" s="99">
        <f>G184+'11'!H184</f>
        <v>2036</v>
      </c>
      <c r="I184" s="158"/>
      <c r="J184" s="179">
        <f>H184/DAY(B2)</f>
        <v>169.66666666666666</v>
      </c>
    </row>
    <row r="185" spans="1:10" ht="32.25" customHeight="1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192</v>
      </c>
      <c r="H185" s="99">
        <f>G185+'11'!H185</f>
        <v>2064</v>
      </c>
      <c r="I185" s="158"/>
      <c r="J185" s="179">
        <f>H185/DAY(B2)</f>
        <v>172</v>
      </c>
    </row>
    <row r="186" spans="1:10" ht="32.25" customHeight="1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84</v>
      </c>
      <c r="H186" s="99">
        <f>G186+'11'!H186</f>
        <v>1016</v>
      </c>
      <c r="I186" s="158"/>
      <c r="J186" s="179">
        <f>H186/DAY(B2)</f>
        <v>84.666666666666671</v>
      </c>
    </row>
    <row r="187" spans="1:10" ht="32.25" customHeight="1">
      <c r="A187" s="784"/>
      <c r="B187" s="785"/>
      <c r="C187" s="545"/>
      <c r="D187" s="542"/>
      <c r="E187" s="539"/>
      <c r="F187" s="542"/>
      <c r="G187" s="542"/>
      <c r="H187" s="548"/>
      <c r="I187" s="542"/>
      <c r="J187" s="544"/>
    </row>
  </sheetData>
  <mergeCells count="111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78:B178"/>
    <mergeCell ref="A180:B180"/>
    <mergeCell ref="A172:C172"/>
    <mergeCell ref="A179:B179"/>
    <mergeCell ref="A174:B174"/>
    <mergeCell ref="A175:B175"/>
    <mergeCell ref="A176:B176"/>
    <mergeCell ref="A177:B177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81:B181"/>
    <mergeCell ref="A182:B182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87"/>
  <sheetViews>
    <sheetView view="pageBreakPreview" topLeftCell="A115" zoomScale="50" zoomScaleSheetLayoutView="50" workbookViewId="0">
      <selection activeCell="I153" sqref="I153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.75" customHeight="1">
      <c r="A2" s="191" t="s">
        <v>303</v>
      </c>
      <c r="B2" s="266">
        <v>44482</v>
      </c>
      <c r="C2" s="368" t="s">
        <v>67</v>
      </c>
      <c r="D2" s="218">
        <v>0.69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68" t="s">
        <v>118</v>
      </c>
      <c r="D3" s="219">
        <v>27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68" t="s">
        <v>120</v>
      </c>
      <c r="D4" s="218">
        <v>0.55000000000000004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947163</v>
      </c>
      <c r="F7" s="95">
        <v>971389</v>
      </c>
      <c r="G7" s="112">
        <f>F7-E7</f>
        <v>24226</v>
      </c>
      <c r="H7" s="99">
        <f>G7+'12'!H7</f>
        <v>285125.69999999995</v>
      </c>
      <c r="I7" s="113">
        <f>'1'!I7</f>
        <v>12000</v>
      </c>
      <c r="J7" s="175">
        <f>H7/DAY(B2)</f>
        <v>21932.74615384615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978033</v>
      </c>
      <c r="F8" s="95">
        <v>1002383</v>
      </c>
      <c r="G8" s="115">
        <f>F8-E8</f>
        <v>24350</v>
      </c>
      <c r="H8" s="99">
        <f>G8+'12'!H8</f>
        <v>289219.09999999998</v>
      </c>
      <c r="I8" s="116"/>
      <c r="J8" s="175">
        <f>H8/DAY(B2)</f>
        <v>22247.623076923075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1421369</v>
      </c>
      <c r="F9" s="373">
        <v>1437206</v>
      </c>
      <c r="G9" s="112">
        <f>F9-E9</f>
        <v>15837</v>
      </c>
      <c r="H9" s="99">
        <f>G9+'12'!H9</f>
        <v>175927.5</v>
      </c>
      <c r="I9" s="124">
        <f>I7-J7</f>
        <v>-9932.7461538461503</v>
      </c>
      <c r="J9" s="175">
        <f>H9/DAY(B2)</f>
        <v>13532.884615384615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373">
        <v>262232</v>
      </c>
      <c r="F10" s="373">
        <v>270011</v>
      </c>
      <c r="G10" s="112">
        <f t="shared" ref="G10:G12" si="0">F10-E10</f>
        <v>7779</v>
      </c>
      <c r="H10" s="99">
        <f>G10+'12'!H10</f>
        <v>101627.07</v>
      </c>
      <c r="I10" s="286"/>
      <c r="J10" s="175">
        <f>H10/DAY(B2)</f>
        <v>7817.4669230769232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23616</v>
      </c>
      <c r="H13" s="99">
        <f>G13+'12'!H13</f>
        <v>256748.11</v>
      </c>
      <c r="I13" s="120">
        <f>G7-G13</f>
        <v>610</v>
      </c>
      <c r="J13" s="175">
        <f>H13/DAY(B2)</f>
        <v>19749.854615384615</v>
      </c>
      <c r="K13" s="79"/>
      <c r="L13" s="66"/>
      <c r="N13" s="87"/>
      <c r="O13" s="71"/>
    </row>
    <row r="14" spans="1:15" ht="27.75" customHeight="1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65" t="s">
        <v>138</v>
      </c>
      <c r="B15" s="205"/>
      <c r="C15" s="205"/>
      <c r="D15" s="151" t="s">
        <v>139</v>
      </c>
      <c r="E15" s="95">
        <f>'12'!F15</f>
        <v>1827481</v>
      </c>
      <c r="F15" s="123">
        <v>1828552</v>
      </c>
      <c r="G15" s="112">
        <f>(F15-E15)</f>
        <v>1071</v>
      </c>
      <c r="H15" s="99">
        <f>G15+'12'!H15</f>
        <v>12885.040000000037</v>
      </c>
      <c r="I15" s="113">
        <f>'1'!I15</f>
        <v>800</v>
      </c>
      <c r="J15" s="175">
        <f>H15/DAY(B2)</f>
        <v>991.15692307692598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-191.15692307692598</v>
      </c>
      <c r="J16" s="176"/>
      <c r="K16" s="79"/>
      <c r="L16" s="66"/>
      <c r="N16" s="87"/>
      <c r="O16" s="71"/>
    </row>
    <row r="17" spans="1:15" ht="27.75" customHeight="1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14" t="s">
        <v>141</v>
      </c>
      <c r="B18" s="815"/>
      <c r="C18" s="816"/>
      <c r="D18" s="151" t="s">
        <v>142</v>
      </c>
      <c r="E18" s="95">
        <f>'12'!F18</f>
        <v>22</v>
      </c>
      <c r="F18" s="122">
        <v>20</v>
      </c>
      <c r="G18" s="119">
        <f>F18*10</f>
        <v>200</v>
      </c>
      <c r="H18" s="99">
        <f>G18+'12'!H18</f>
        <v>2490</v>
      </c>
      <c r="I18" s="113">
        <f>'1'!I18</f>
        <v>65</v>
      </c>
      <c r="J18" s="175">
        <f>H18/DAY(B2)</f>
        <v>191.53846153846155</v>
      </c>
      <c r="K18" s="79"/>
      <c r="L18" s="66"/>
      <c r="N18" s="87"/>
      <c r="O18" s="71"/>
    </row>
    <row r="19" spans="1:15" ht="27.75" customHeight="1">
      <c r="A19" s="814" t="s">
        <v>69</v>
      </c>
      <c r="B19" s="815"/>
      <c r="C19" s="816"/>
      <c r="D19" s="151" t="s">
        <v>142</v>
      </c>
      <c r="E19" s="95">
        <f>'12'!F19</f>
        <v>149608</v>
      </c>
      <c r="F19" s="122">
        <v>149664</v>
      </c>
      <c r="G19" s="112">
        <f t="shared" ref="G19" si="1">F19-E19</f>
        <v>56</v>
      </c>
      <c r="H19" s="99">
        <f>G19+'12'!H19</f>
        <v>747</v>
      </c>
      <c r="I19" s="355"/>
      <c r="J19" s="175">
        <f>H19/DAY(B2)</f>
        <v>57.46153846153846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256</v>
      </c>
      <c r="H20" s="99">
        <f>G20+'12'!H20</f>
        <v>3237</v>
      </c>
      <c r="I20" s="356">
        <f>I18-J20</f>
        <v>-184</v>
      </c>
      <c r="J20" s="175">
        <f>H20/DAY(B2)</f>
        <v>249</v>
      </c>
      <c r="K20" s="79"/>
      <c r="L20" s="66"/>
      <c r="N20" s="87"/>
      <c r="O20" s="71"/>
    </row>
    <row r="21" spans="1:15" ht="27.75" customHeight="1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6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65" t="s">
        <v>147</v>
      </c>
      <c r="B23" s="205"/>
      <c r="C23" s="205"/>
      <c r="D23" s="151" t="s">
        <v>146</v>
      </c>
      <c r="E23" s="95">
        <f>'12'!F23</f>
        <v>2000</v>
      </c>
      <c r="F23" s="122">
        <v>2000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24350</v>
      </c>
      <c r="F27" s="136">
        <v>9</v>
      </c>
      <c r="G27" s="137">
        <f>E27*F27</f>
        <v>219150</v>
      </c>
      <c r="H27" s="99">
        <f>G27+'12'!H27</f>
        <v>2602971.9</v>
      </c>
      <c r="I27" s="138"/>
      <c r="J27" s="175">
        <f>H27/DAY(B2)</f>
        <v>200228.60769230768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1071</v>
      </c>
      <c r="F28" s="136">
        <v>52</v>
      </c>
      <c r="G28" s="137">
        <f>E28*F28</f>
        <v>55692</v>
      </c>
      <c r="H28" s="99">
        <f>G28+'12'!H28</f>
        <v>670022.08000000194</v>
      </c>
      <c r="I28" s="140"/>
      <c r="J28" s="175">
        <f>H28/DAY(B2)</f>
        <v>51540.160000000149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G30+'12'!H30</f>
        <v>109062</v>
      </c>
      <c r="I30" s="140"/>
      <c r="J30" s="175">
        <f>H30/DAY(B2)</f>
        <v>8389.3846153846152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G31+'12'!H31</f>
        <v>199200</v>
      </c>
      <c r="I31" s="140"/>
      <c r="J31" s="175">
        <f>H31/DAY(B2)</f>
        <v>15323.076923076924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299018</v>
      </c>
      <c r="H32" s="99">
        <f>G32+'12'!H32</f>
        <v>3581255.9800000014</v>
      </c>
      <c r="I32" s="144"/>
      <c r="J32" s="175">
        <f>H32/DAY(B2)</f>
        <v>275481.22923076933</v>
      </c>
      <c r="K32" s="63"/>
      <c r="L32" s="89"/>
      <c r="N32" s="87"/>
      <c r="O32" s="71"/>
    </row>
    <row r="33" spans="1:15" ht="27.7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56443</v>
      </c>
      <c r="F35" s="145">
        <v>58587</v>
      </c>
      <c r="G35" s="112">
        <f t="shared" ref="G35:G46" si="3">F35-E35</f>
        <v>2144</v>
      </c>
      <c r="H35" s="99">
        <f>G35+'12'!H35</f>
        <v>26112.33</v>
      </c>
      <c r="I35" s="95"/>
      <c r="J35" s="175">
        <f>H35/DAY(B2)</f>
        <v>2008.6407692307694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59751</v>
      </c>
      <c r="F36" s="145">
        <v>61039</v>
      </c>
      <c r="G36" s="112">
        <f t="shared" si="3"/>
        <v>1288</v>
      </c>
      <c r="H36" s="99">
        <f>G36+'12'!H36</f>
        <v>11099.330000000002</v>
      </c>
      <c r="I36" s="95"/>
      <c r="J36" s="175">
        <f>H36/DAY(B2)</f>
        <v>853.79461538461555</v>
      </c>
      <c r="K36" s="79"/>
      <c r="L36" s="66"/>
      <c r="N36" s="87"/>
      <c r="O36" s="36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116045</v>
      </c>
      <c r="F37" s="145">
        <v>117696</v>
      </c>
      <c r="G37" s="112">
        <f t="shared" si="3"/>
        <v>1651</v>
      </c>
      <c r="H37" s="99">
        <f>G37+'12'!H37</f>
        <v>20642.169999999998</v>
      </c>
      <c r="I37" s="95"/>
      <c r="J37" s="175">
        <f>H37/DAY(B2)</f>
        <v>1587.8592307692306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136935</v>
      </c>
      <c r="F38" s="108">
        <v>138833</v>
      </c>
      <c r="G38" s="112">
        <f t="shared" si="3"/>
        <v>1898</v>
      </c>
      <c r="H38" s="99">
        <f>G38+'12'!H38</f>
        <v>23609.960000000006</v>
      </c>
      <c r="I38" s="95"/>
      <c r="J38" s="175">
        <f>H38/DAY(B2)</f>
        <v>1816.1507692307698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267965</v>
      </c>
      <c r="F39" s="145">
        <v>271005</v>
      </c>
      <c r="G39" s="112">
        <f t="shared" si="3"/>
        <v>3040</v>
      </c>
      <c r="H39" s="99">
        <f>G39+'12'!H39</f>
        <v>37623.950000000012</v>
      </c>
      <c r="I39" s="95"/>
      <c r="J39" s="175">
        <f>H39/DAY(B2)</f>
        <v>2894.150000000001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0</v>
      </c>
      <c r="F40" s="145">
        <v>0</v>
      </c>
      <c r="G40" s="112">
        <f t="shared" si="3"/>
        <v>0</v>
      </c>
      <c r="H40" s="99">
        <f>G40+'12'!H40</f>
        <v>43.63</v>
      </c>
      <c r="I40" s="95"/>
      <c r="J40" s="175">
        <f>H40/DAY(B2)</f>
        <v>3.3561538461538465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583747</v>
      </c>
      <c r="F41" s="145">
        <v>585692</v>
      </c>
      <c r="G41" s="112">
        <f t="shared" si="3"/>
        <v>1945</v>
      </c>
      <c r="H41" s="99">
        <f>G41+'12'!H41</f>
        <v>3833.1700000000419</v>
      </c>
      <c r="I41" s="95"/>
      <c r="J41" s="175">
        <f>H41/DAY(B2)</f>
        <v>294.85923076923399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273705</v>
      </c>
      <c r="F42" s="145">
        <v>273705</v>
      </c>
      <c r="G42" s="112">
        <f t="shared" si="3"/>
        <v>0</v>
      </c>
      <c r="H42" s="99">
        <f>G42+'12'!H42</f>
        <v>2735.3300000000163</v>
      </c>
      <c r="I42" s="95"/>
      <c r="J42" s="175">
        <f>H42/DAY(B2)</f>
        <v>210.41000000000125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1477852</v>
      </c>
      <c r="F43" s="145">
        <v>1480627</v>
      </c>
      <c r="G43" s="112">
        <f t="shared" si="3"/>
        <v>2775</v>
      </c>
      <c r="H43" s="99">
        <f>G43+'12'!H43</f>
        <v>34539.600000000093</v>
      </c>
      <c r="I43" s="95"/>
      <c r="J43" s="175">
        <f>H43/DAY(B2)</f>
        <v>2656.8923076923147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14741</v>
      </c>
      <c r="H47" s="99">
        <f>G47+'12'!H47</f>
        <v>160239.47000000015</v>
      </c>
      <c r="I47" s="95"/>
      <c r="J47" s="175">
        <f>H47/DAY(B2)</f>
        <v>12326.113076923088</v>
      </c>
      <c r="K47" s="79"/>
      <c r="L47" s="66"/>
      <c r="N47" s="87"/>
      <c r="O47" s="71"/>
    </row>
    <row r="48" spans="1:15" ht="27.75" customHeight="1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191040</v>
      </c>
      <c r="F49" s="145">
        <v>192721</v>
      </c>
      <c r="G49" s="112">
        <f t="shared" ref="G49:G58" si="4">F49-E49</f>
        <v>1681</v>
      </c>
      <c r="H49" s="99">
        <f>G49+'12'!H49</f>
        <v>19990.609999999986</v>
      </c>
      <c r="I49" s="95"/>
      <c r="J49" s="175">
        <f>H49/DAY(B2)</f>
        <v>1537.7392307692296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697306</v>
      </c>
      <c r="F50" s="145">
        <v>699139</v>
      </c>
      <c r="G50" s="112">
        <f t="shared" si="4"/>
        <v>1833</v>
      </c>
      <c r="H50" s="99">
        <f>G50+'12'!H50</f>
        <v>14776.689999999944</v>
      </c>
      <c r="I50" s="95"/>
      <c r="J50" s="175">
        <f>H50/DAY(B2)</f>
        <v>1136.6684615384572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2930</v>
      </c>
      <c r="F54" s="145">
        <v>2935</v>
      </c>
      <c r="G54" s="112">
        <f t="shared" si="4"/>
        <v>5</v>
      </c>
      <c r="H54" s="99">
        <f>G54+'12'!H54</f>
        <v>67.510000000000218</v>
      </c>
      <c r="I54" s="95"/>
      <c r="J54" s="175">
        <f>H54/DAY(B2)</f>
        <v>5.1930769230769398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0</v>
      </c>
      <c r="F55" s="145">
        <v>0</v>
      </c>
      <c r="G55" s="112">
        <f t="shared" si="4"/>
        <v>0</v>
      </c>
      <c r="H55" s="99">
        <f>G55+'12'!H55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104050</v>
      </c>
      <c r="F56" s="145">
        <v>108236</v>
      </c>
      <c r="G56" s="112">
        <f t="shared" si="4"/>
        <v>4186</v>
      </c>
      <c r="H56" s="99">
        <f>G56+'12'!H56</f>
        <v>65395.71</v>
      </c>
      <c r="I56" s="95"/>
      <c r="J56" s="175">
        <f>H56/DAY(B2)</f>
        <v>5030.4392307692306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81433</v>
      </c>
      <c r="F58" s="145">
        <v>81649</v>
      </c>
      <c r="G58" s="112">
        <f t="shared" si="4"/>
        <v>216</v>
      </c>
      <c r="H58" s="99">
        <f>G58+'12'!H58</f>
        <v>2629.1000000000058</v>
      </c>
      <c r="I58" s="95"/>
      <c r="J58" s="175">
        <f>H58/DAY(B2)</f>
        <v>202.23846153846199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7921</v>
      </c>
      <c r="H59" s="99">
        <f>G59+'12'!H59</f>
        <v>102859.61999999994</v>
      </c>
      <c r="I59" s="95">
        <f>G7-G60</f>
        <v>1564</v>
      </c>
      <c r="J59" s="175">
        <f>H59/DAY(B2)</f>
        <v>7912.2784615384571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22662</v>
      </c>
      <c r="H60" s="99">
        <f>G60+'12'!H60</f>
        <v>263099.09000000008</v>
      </c>
      <c r="I60" s="95">
        <f>G13-G60</f>
        <v>954</v>
      </c>
      <c r="J60" s="175">
        <f>H60/DAY(B2)</f>
        <v>20238.391538461547</v>
      </c>
      <c r="K60" s="79"/>
      <c r="L60" s="66"/>
      <c r="N60" s="87"/>
      <c r="O60" s="71"/>
    </row>
    <row r="61" spans="1:15" s="68" customFormat="1" ht="27.75" customHeight="1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>
      <c r="A62" s="814" t="s">
        <v>198</v>
      </c>
      <c r="B62" s="815"/>
      <c r="C62" s="816"/>
      <c r="D62" s="151" t="s">
        <v>142</v>
      </c>
      <c r="E62" s="95">
        <f>'12'!F62</f>
        <v>261163</v>
      </c>
      <c r="F62" s="122">
        <v>261294</v>
      </c>
      <c r="G62" s="112">
        <f t="shared" ref="G62:G63" si="5">F62-E62</f>
        <v>131</v>
      </c>
      <c r="H62" s="99">
        <f>G62+'12'!H62</f>
        <v>1476</v>
      </c>
      <c r="I62" s="118"/>
      <c r="J62" s="175">
        <f>H62/DAY(B2)</f>
        <v>113.53846153846153</v>
      </c>
      <c r="K62" s="80"/>
      <c r="L62" s="66"/>
      <c r="N62" s="87"/>
      <c r="O62" s="71"/>
    </row>
    <row r="63" spans="1:15" ht="27.75" customHeight="1">
      <c r="A63" s="814" t="s">
        <v>199</v>
      </c>
      <c r="B63" s="815"/>
      <c r="C63" s="816"/>
      <c r="D63" s="151" t="s">
        <v>142</v>
      </c>
      <c r="E63" s="95">
        <f>'12'!F63</f>
        <v>207449</v>
      </c>
      <c r="F63" s="122">
        <v>207556</v>
      </c>
      <c r="G63" s="112">
        <f t="shared" si="5"/>
        <v>107</v>
      </c>
      <c r="H63" s="99">
        <f>G63+'12'!H63</f>
        <v>1286</v>
      </c>
      <c r="I63" s="118"/>
      <c r="J63" s="175">
        <f>H63/DAY(B2)</f>
        <v>98.92307692307692</v>
      </c>
      <c r="K63" s="69"/>
      <c r="L63" s="66"/>
      <c r="N63" s="87"/>
      <c r="O63" s="71"/>
    </row>
    <row r="64" spans="1:15" ht="27.75" customHeight="1">
      <c r="A64" s="823" t="s">
        <v>200</v>
      </c>
      <c r="B64" s="824"/>
      <c r="C64" s="825"/>
      <c r="D64" s="151"/>
      <c r="E64" s="95">
        <f>'12'!F64</f>
        <v>0</v>
      </c>
      <c r="F64" s="122"/>
      <c r="G64" s="112">
        <f>G62+G63</f>
        <v>238</v>
      </c>
      <c r="H64" s="99">
        <f>G64+'12'!H64</f>
        <v>2762</v>
      </c>
      <c r="I64" s="118"/>
      <c r="J64" s="175">
        <f>H64/DAY(B2)</f>
        <v>212.46153846153845</v>
      </c>
      <c r="K64" s="69"/>
      <c r="L64" s="66"/>
      <c r="N64" s="87"/>
      <c r="O64" s="71"/>
    </row>
    <row r="65" spans="1:15" ht="27.75" customHeight="1">
      <c r="A65" s="814" t="s">
        <v>201</v>
      </c>
      <c r="B65" s="815"/>
      <c r="C65" s="816"/>
      <c r="D65" s="151" t="s">
        <v>142</v>
      </c>
      <c r="E65" s="95">
        <f>'12'!F65</f>
        <v>427393</v>
      </c>
      <c r="F65" s="122">
        <v>427503</v>
      </c>
      <c r="G65" s="112">
        <f t="shared" ref="G65:G70" si="6">F65-E65</f>
        <v>110</v>
      </c>
      <c r="H65" s="99">
        <f>G65+'12'!H65</f>
        <v>1298</v>
      </c>
      <c r="I65" s="118"/>
      <c r="J65" s="175">
        <f>H65/DAY(B2)</f>
        <v>99.84615384615384</v>
      </c>
      <c r="K65" s="69"/>
      <c r="L65" s="66"/>
      <c r="N65" s="87"/>
      <c r="O65" s="71"/>
    </row>
    <row r="66" spans="1:15" ht="27.75" customHeight="1">
      <c r="A66" s="365" t="s">
        <v>202</v>
      </c>
      <c r="B66" s="366"/>
      <c r="C66" s="366"/>
      <c r="D66" s="151" t="s">
        <v>142</v>
      </c>
      <c r="E66" s="95">
        <f>'12'!F66</f>
        <v>106231</v>
      </c>
      <c r="F66" s="122">
        <v>106251</v>
      </c>
      <c r="G66" s="112">
        <f t="shared" si="6"/>
        <v>20</v>
      </c>
      <c r="H66" s="99">
        <f>G66+'12'!H66</f>
        <v>281</v>
      </c>
      <c r="I66" s="118"/>
      <c r="J66" s="175">
        <f>H66/DAY(B2)</f>
        <v>21.615384615384617</v>
      </c>
      <c r="K66" s="78"/>
      <c r="L66" s="66"/>
      <c r="N66" s="87"/>
      <c r="O66" s="71"/>
    </row>
    <row r="67" spans="1:15" ht="27.75" customHeight="1">
      <c r="A67" s="365" t="s">
        <v>203</v>
      </c>
      <c r="B67" s="366"/>
      <c r="C67" s="366"/>
      <c r="D67" s="151" t="s">
        <v>142</v>
      </c>
      <c r="E67" s="95">
        <f>'12'!F67</f>
        <v>102493</v>
      </c>
      <c r="F67" s="122">
        <v>102526</v>
      </c>
      <c r="G67" s="112">
        <f t="shared" si="6"/>
        <v>33</v>
      </c>
      <c r="H67" s="99">
        <f>G67+'12'!H67</f>
        <v>355</v>
      </c>
      <c r="I67" s="118"/>
      <c r="J67" s="175">
        <f>H67/DAY(B2)</f>
        <v>27.307692307692307</v>
      </c>
      <c r="K67" s="81"/>
      <c r="L67" s="66"/>
      <c r="N67" s="87"/>
      <c r="O67" s="71"/>
    </row>
    <row r="68" spans="1:15" ht="27.75" customHeight="1">
      <c r="A68" s="365" t="s">
        <v>204</v>
      </c>
      <c r="B68" s="366"/>
      <c r="C68" s="366"/>
      <c r="D68" s="151" t="s">
        <v>142</v>
      </c>
      <c r="E68" s="95">
        <f>'12'!F68</f>
        <v>154878</v>
      </c>
      <c r="F68" s="122">
        <v>154919</v>
      </c>
      <c r="G68" s="112">
        <f t="shared" si="6"/>
        <v>41</v>
      </c>
      <c r="H68" s="99">
        <f>G68+'12'!H68</f>
        <v>423</v>
      </c>
      <c r="I68" s="118"/>
      <c r="J68" s="175">
        <f>H68/DAY(B2)</f>
        <v>32.53846153846154</v>
      </c>
      <c r="K68" s="69"/>
      <c r="L68" s="66"/>
      <c r="N68" s="87"/>
      <c r="O68" s="71"/>
    </row>
    <row r="69" spans="1:15" ht="27.75" customHeight="1">
      <c r="A69" s="365" t="s">
        <v>205</v>
      </c>
      <c r="B69" s="366"/>
      <c r="C69" s="366"/>
      <c r="D69" s="151" t="s">
        <v>142</v>
      </c>
      <c r="E69" s="95">
        <f>'12'!F69</f>
        <v>9617</v>
      </c>
      <c r="F69" s="122">
        <v>9636</v>
      </c>
      <c r="G69" s="112">
        <f t="shared" si="6"/>
        <v>19</v>
      </c>
      <c r="H69" s="99">
        <f>G69+'12'!H69</f>
        <v>171</v>
      </c>
      <c r="I69" s="118"/>
      <c r="J69" s="175">
        <f>H69/DAY(B2)</f>
        <v>13.153846153846153</v>
      </c>
      <c r="K69" s="69"/>
      <c r="L69" s="66"/>
      <c r="N69" s="87"/>
      <c r="O69" s="71"/>
    </row>
    <row r="70" spans="1:15" ht="27.75" customHeight="1">
      <c r="A70" s="365" t="s">
        <v>206</v>
      </c>
      <c r="B70" s="366"/>
      <c r="C70" s="366"/>
      <c r="D70" s="151" t="s">
        <v>142</v>
      </c>
      <c r="E70" s="95">
        <f>'12'!F70</f>
        <v>7344</v>
      </c>
      <c r="F70" s="122">
        <v>7354</v>
      </c>
      <c r="G70" s="112">
        <f t="shared" si="6"/>
        <v>10</v>
      </c>
      <c r="H70" s="99">
        <f>G70+'12'!H70</f>
        <v>151</v>
      </c>
      <c r="I70" s="118"/>
      <c r="J70" s="175">
        <f>H70/DAY(B2)</f>
        <v>11.615384615384615</v>
      </c>
      <c r="K70" s="69"/>
      <c r="L70" s="66"/>
      <c r="N70" s="87"/>
      <c r="O70" s="71"/>
    </row>
    <row r="71" spans="1:15" ht="27.75" customHeight="1">
      <c r="A71" s="823" t="s">
        <v>208</v>
      </c>
      <c r="B71" s="824"/>
      <c r="C71" s="825"/>
      <c r="D71" s="152"/>
      <c r="E71" s="152"/>
      <c r="F71" s="152"/>
      <c r="G71" s="153">
        <f>SUM(G65:G70)</f>
        <v>233</v>
      </c>
      <c r="H71" s="99">
        <f>G71+'12'!H71</f>
        <v>2679</v>
      </c>
      <c r="I71" s="154"/>
      <c r="J71" s="175">
        <f>H71/DAY(B2)</f>
        <v>206.07692307692307</v>
      </c>
      <c r="K71" s="69"/>
      <c r="L71" s="66"/>
      <c r="N71" s="87"/>
      <c r="O71" s="71"/>
    </row>
    <row r="72" spans="1:15" s="88" customFormat="1" ht="27.75" customHeight="1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>
      <c r="A74" s="814" t="s">
        <v>220</v>
      </c>
      <c r="B74" s="815"/>
      <c r="C74" s="816"/>
      <c r="D74" s="151" t="s">
        <v>139</v>
      </c>
      <c r="E74" s="95">
        <f>'12'!F74</f>
        <v>877075</v>
      </c>
      <c r="F74" s="117">
        <v>877378</v>
      </c>
      <c r="G74" s="112">
        <f t="shared" ref="G74:G78" si="7">F74-E74</f>
        <v>303</v>
      </c>
      <c r="H74" s="99">
        <f>G74+'12'!H74</f>
        <v>3792.7689999999711</v>
      </c>
      <c r="I74" s="154"/>
      <c r="J74" s="175">
        <f>H74/DAY(B2)</f>
        <v>291.7514615384593</v>
      </c>
      <c r="K74" s="69"/>
      <c r="L74" s="66"/>
      <c r="N74" s="87"/>
      <c r="O74" s="71"/>
    </row>
    <row r="75" spans="1:15" ht="27.75" customHeight="1">
      <c r="A75" s="814" t="s">
        <v>221</v>
      </c>
      <c r="B75" s="815"/>
      <c r="C75" s="816"/>
      <c r="D75" s="151" t="s">
        <v>139</v>
      </c>
      <c r="E75" s="95">
        <f>'12'!F75</f>
        <v>73586.8</v>
      </c>
      <c r="F75" s="123">
        <v>73586.8</v>
      </c>
      <c r="G75" s="112">
        <f t="shared" si="7"/>
        <v>0</v>
      </c>
      <c r="H75" s="99">
        <f>G75+'12'!H75</f>
        <v>3.4000000000087311</v>
      </c>
      <c r="I75" s="154"/>
      <c r="J75" s="175">
        <f>H75/DAY(B2)</f>
        <v>0.26153846153913318</v>
      </c>
      <c r="K75" s="69"/>
      <c r="L75" s="66"/>
      <c r="N75" s="87"/>
      <c r="O75" s="71"/>
    </row>
    <row r="76" spans="1:15" ht="27.75" customHeight="1">
      <c r="A76" s="811" t="s">
        <v>222</v>
      </c>
      <c r="B76" s="812"/>
      <c r="C76" s="813"/>
      <c r="D76" s="151" t="s">
        <v>139</v>
      </c>
      <c r="E76" s="95">
        <f>'12'!F76</f>
        <v>161177</v>
      </c>
      <c r="F76" s="123">
        <v>161296</v>
      </c>
      <c r="G76" s="112">
        <f t="shared" si="7"/>
        <v>119</v>
      </c>
      <c r="H76" s="99">
        <f>G76+'12'!H76</f>
        <v>1310.5</v>
      </c>
      <c r="I76" s="154"/>
      <c r="J76" s="175">
        <f>H76/DAY(B2)</f>
        <v>100.80769230769231</v>
      </c>
      <c r="K76" s="69"/>
      <c r="L76" s="66"/>
      <c r="N76" s="87"/>
      <c r="O76" s="71"/>
    </row>
    <row r="77" spans="1:15" ht="27.75" customHeight="1">
      <c r="A77" s="811" t="s">
        <v>223</v>
      </c>
      <c r="B77" s="812"/>
      <c r="C77" s="813"/>
      <c r="D77" s="151" t="s">
        <v>139</v>
      </c>
      <c r="E77" s="95">
        <f>'12'!F77</f>
        <v>37981</v>
      </c>
      <c r="F77" s="123">
        <v>38026</v>
      </c>
      <c r="G77" s="112">
        <f t="shared" si="7"/>
        <v>45</v>
      </c>
      <c r="H77" s="99">
        <f>G77+'12'!H77</f>
        <v>528.5</v>
      </c>
      <c r="I77" s="154"/>
      <c r="J77" s="175">
        <f>H77/DAY(B2)</f>
        <v>40.653846153846153</v>
      </c>
      <c r="K77" s="69"/>
      <c r="L77" s="66"/>
      <c r="N77" s="87"/>
      <c r="O77" s="71"/>
    </row>
    <row r="78" spans="1:15" ht="27.75" customHeight="1">
      <c r="A78" s="811" t="s">
        <v>224</v>
      </c>
      <c r="B78" s="812"/>
      <c r="C78" s="813"/>
      <c r="D78" s="151" t="s">
        <v>139</v>
      </c>
      <c r="E78" s="95">
        <f>'12'!F78</f>
        <v>9356</v>
      </c>
      <c r="F78" s="123">
        <v>9359</v>
      </c>
      <c r="G78" s="112">
        <f t="shared" si="7"/>
        <v>3</v>
      </c>
      <c r="H78" s="99">
        <f>G78+'12'!H78</f>
        <v>29.600000000000364</v>
      </c>
      <c r="I78" s="118"/>
      <c r="J78" s="175">
        <f>H78/DAY(B2)</f>
        <v>2.2769230769231048</v>
      </c>
      <c r="K78" s="69"/>
      <c r="L78" s="66"/>
      <c r="N78" s="87"/>
      <c r="O78" s="71"/>
    </row>
    <row r="79" spans="1:15" s="57" customFormat="1" ht="27.75" customHeight="1">
      <c r="A79" s="811" t="s">
        <v>225</v>
      </c>
      <c r="B79" s="812"/>
      <c r="C79" s="813"/>
      <c r="D79" s="151"/>
      <c r="E79" s="95">
        <f>'12'!F79</f>
        <v>0</v>
      </c>
      <c r="F79" s="117"/>
      <c r="G79" s="112">
        <f>G15-SUM(G74:G78)</f>
        <v>601</v>
      </c>
      <c r="H79" s="99">
        <f>G79+'12'!H79</f>
        <v>7220.271000000057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23" t="s">
        <v>329</v>
      </c>
      <c r="B80" s="824"/>
      <c r="C80" s="825"/>
      <c r="D80" s="151"/>
      <c r="E80" s="117"/>
      <c r="F80" s="117"/>
      <c r="G80" s="112">
        <f>SUM(G74:G79)</f>
        <v>1071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65" t="s">
        <v>227</v>
      </c>
      <c r="B82" s="366"/>
      <c r="C82" s="36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>
      <c r="A83" s="365" t="s">
        <v>229</v>
      </c>
      <c r="B83" s="366"/>
      <c r="C83" s="36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>
      <c r="A84" s="365" t="s">
        <v>230</v>
      </c>
      <c r="B84" s="366"/>
      <c r="C84" s="366"/>
      <c r="D84" s="151" t="s">
        <v>228</v>
      </c>
      <c r="E84" s="95">
        <f>'12'!F84</f>
        <v>41595</v>
      </c>
      <c r="F84" s="164">
        <v>41606</v>
      </c>
      <c r="G84" s="112">
        <f t="shared" si="8"/>
        <v>11</v>
      </c>
      <c r="H84" s="99">
        <f>G84+'12'!H84</f>
        <v>20.440000000002328</v>
      </c>
      <c r="I84" s="118"/>
      <c r="J84" s="175">
        <f>H84/DAY(B2)</f>
        <v>1.5723076923078714</v>
      </c>
      <c r="O84" s="71"/>
    </row>
    <row r="85" spans="1:15" ht="27.75" customHeight="1">
      <c r="A85" s="365" t="s">
        <v>231</v>
      </c>
      <c r="B85" s="366"/>
      <c r="C85" s="366"/>
      <c r="D85" s="151" t="s">
        <v>228</v>
      </c>
      <c r="E85" s="95">
        <f>'12'!F85</f>
        <v>1317.51</v>
      </c>
      <c r="F85" s="164">
        <v>1317.51</v>
      </c>
      <c r="G85" s="112">
        <f t="shared" si="8"/>
        <v>0</v>
      </c>
      <c r="H85" s="99">
        <f>G85+'12'!H85</f>
        <v>12.509999999999991</v>
      </c>
      <c r="I85" s="118">
        <f>G82+G83+G84+G85</f>
        <v>11</v>
      </c>
      <c r="J85" s="175">
        <f>H85/DAY(B2)</f>
        <v>0.96230769230769164</v>
      </c>
      <c r="O85" s="71"/>
    </row>
    <row r="86" spans="1:15" ht="27.75" customHeight="1">
      <c r="A86" s="365" t="s">
        <v>232</v>
      </c>
      <c r="B86" s="366"/>
      <c r="C86" s="366"/>
      <c r="D86" s="151" t="s">
        <v>228</v>
      </c>
      <c r="E86" s="95">
        <f>'12'!F86</f>
        <v>42826.47</v>
      </c>
      <c r="F86" s="164">
        <v>42826.47</v>
      </c>
      <c r="G86" s="112">
        <f t="shared" si="8"/>
        <v>0</v>
      </c>
      <c r="H86" s="99">
        <f>G86+'12'!H86</f>
        <v>0.47000000000116415</v>
      </c>
      <c r="I86" s="118"/>
      <c r="J86" s="175">
        <f>H86/DAY(B2)</f>
        <v>3.6153846153935701E-2</v>
      </c>
      <c r="O86" s="71"/>
    </row>
    <row r="87" spans="1:15" ht="27.75" customHeight="1">
      <c r="A87" s="365" t="s">
        <v>233</v>
      </c>
      <c r="B87" s="366"/>
      <c r="C87" s="366"/>
      <c r="D87" s="151" t="s">
        <v>228</v>
      </c>
      <c r="E87" s="95">
        <f>'12'!F87</f>
        <v>34038</v>
      </c>
      <c r="F87" s="164">
        <v>34059</v>
      </c>
      <c r="G87" s="112">
        <f t="shared" si="8"/>
        <v>21</v>
      </c>
      <c r="H87" s="99">
        <f>G87+'12'!H87</f>
        <v>311</v>
      </c>
      <c r="I87" s="118"/>
      <c r="J87" s="175">
        <f>H87/DAY(B2)</f>
        <v>23.923076923076923</v>
      </c>
      <c r="O87" s="71"/>
    </row>
    <row r="88" spans="1:15" ht="27.75" customHeight="1">
      <c r="A88" s="365" t="s">
        <v>234</v>
      </c>
      <c r="B88" s="366"/>
      <c r="C88" s="366"/>
      <c r="D88" s="151" t="s">
        <v>228</v>
      </c>
      <c r="E88" s="95">
        <f>'12'!F88</f>
        <v>23875.759999999998</v>
      </c>
      <c r="F88" s="164">
        <v>23878.59</v>
      </c>
      <c r="G88" s="112">
        <f t="shared" si="8"/>
        <v>2.8300000000017462</v>
      </c>
      <c r="H88" s="99">
        <f>G88+'12'!H88</f>
        <v>45.020000000000437</v>
      </c>
      <c r="I88" s="118">
        <f>G86+G87+G88</f>
        <v>23.830000000001746</v>
      </c>
      <c r="J88" s="175">
        <f>H88/DAY(B2)</f>
        <v>3.4630769230769567</v>
      </c>
      <c r="O88" s="71"/>
    </row>
    <row r="89" spans="1:15" ht="27.75" customHeight="1">
      <c r="A89" s="365" t="s">
        <v>235</v>
      </c>
      <c r="B89" s="366"/>
      <c r="C89" s="366"/>
      <c r="D89" s="151" t="s">
        <v>228</v>
      </c>
      <c r="E89" s="95">
        <f>'12'!F89</f>
        <v>25316.62</v>
      </c>
      <c r="F89" s="164">
        <v>25328.23</v>
      </c>
      <c r="G89" s="112">
        <f t="shared" si="8"/>
        <v>11.610000000000582</v>
      </c>
      <c r="H89" s="99">
        <f>G89+'12'!H89</f>
        <v>82.849999999998545</v>
      </c>
      <c r="I89" s="118"/>
      <c r="J89" s="175">
        <f>H89/DAY(B2)</f>
        <v>6.3730769230768107</v>
      </c>
      <c r="O89" s="71"/>
    </row>
    <row r="90" spans="1:15" ht="27.75" customHeight="1">
      <c r="A90" s="365" t="s">
        <v>236</v>
      </c>
      <c r="B90" s="366"/>
      <c r="C90" s="366"/>
      <c r="D90" s="151" t="s">
        <v>228</v>
      </c>
      <c r="E90" s="95">
        <f>'12'!F90</f>
        <v>70713.119999999995</v>
      </c>
      <c r="F90" s="164">
        <v>70714.81</v>
      </c>
      <c r="G90" s="112">
        <f t="shared" si="8"/>
        <v>1.6900000000023283</v>
      </c>
      <c r="H90" s="99">
        <f>G90+'12'!H90</f>
        <v>59.399999999994179</v>
      </c>
      <c r="I90" s="118">
        <f>G89+G90</f>
        <v>13.30000000000291</v>
      </c>
      <c r="J90" s="175">
        <f>H90/DAY(B2)</f>
        <v>4.5692307692303213</v>
      </c>
      <c r="O90" s="71"/>
    </row>
    <row r="91" spans="1:15" ht="27.75" customHeight="1">
      <c r="A91" s="365" t="s">
        <v>237</v>
      </c>
      <c r="B91" s="366"/>
      <c r="C91" s="366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0</v>
      </c>
      <c r="I91" s="165"/>
      <c r="J91" s="175">
        <f>H91/DAY(B2)</f>
        <v>0</v>
      </c>
      <c r="O91" s="71"/>
    </row>
    <row r="92" spans="1:15" ht="27.75" customHeight="1">
      <c r="A92" s="365" t="s">
        <v>238</v>
      </c>
      <c r="B92" s="366"/>
      <c r="C92" s="366"/>
      <c r="D92" s="151" t="s">
        <v>228</v>
      </c>
      <c r="E92" s="95">
        <f>'12'!F92</f>
        <v>4914.51</v>
      </c>
      <c r="F92" s="122">
        <v>4925.1499999999996</v>
      </c>
      <c r="G92" s="112">
        <f t="shared" si="8"/>
        <v>10.639999999999418</v>
      </c>
      <c r="H92" s="99">
        <f>G92+'12'!H92</f>
        <v>133.32999999999993</v>
      </c>
      <c r="I92" s="165"/>
      <c r="J92" s="175">
        <f>H92/DAY(B2)</f>
        <v>10.25615384615384</v>
      </c>
      <c r="O92" s="71"/>
    </row>
    <row r="93" spans="1:15" ht="27.75" customHeight="1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6600</v>
      </c>
      <c r="H94" s="99">
        <f>G94+'12'!H94</f>
        <v>80642.540000000081</v>
      </c>
      <c r="I94" s="118"/>
      <c r="J94" s="175">
        <f>H94/DAY(B2)</f>
        <v>6203.2723076923139</v>
      </c>
      <c r="K94" s="69"/>
      <c r="L94" s="66"/>
      <c r="O94" s="71"/>
    </row>
    <row r="95" spans="1:15" ht="27.75" customHeight="1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0.2724345744241724</v>
      </c>
      <c r="H95" s="99">
        <f>G95+'12'!H95</f>
        <v>3.679538939166016</v>
      </c>
      <c r="I95" s="167"/>
      <c r="J95" s="175">
        <f>H95/DAY(B2)</f>
        <v>0.28304145685892429</v>
      </c>
      <c r="K95" s="69"/>
      <c r="L95" s="66"/>
      <c r="O95" s="71"/>
    </row>
    <row r="96" spans="1:15" ht="27.75" customHeight="1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6131</v>
      </c>
      <c r="H96" s="99">
        <f>G96+'12'!H96</f>
        <v>71964.21000000005</v>
      </c>
      <c r="I96" s="118"/>
      <c r="J96" s="175">
        <f>H96/DAY(B2)</f>
        <v>5535.7084615384656</v>
      </c>
      <c r="K96" s="69"/>
      <c r="L96" s="66"/>
      <c r="O96" s="71"/>
    </row>
    <row r="97" spans="1:15" ht="27.75" customHeight="1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0.25307520845372738</v>
      </c>
      <c r="H97" s="99">
        <f>G97+'12'!H97</f>
        <v>3.2746541720584044</v>
      </c>
      <c r="I97" s="167"/>
      <c r="J97" s="175">
        <f>H97/DAY(B2)</f>
        <v>0.2518964747737234</v>
      </c>
      <c r="K97" s="69"/>
      <c r="L97" s="66"/>
      <c r="O97" s="71"/>
    </row>
    <row r="98" spans="1:15" ht="27.75" customHeight="1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3040</v>
      </c>
      <c r="H98" s="99">
        <f>G98+'12'!H98</f>
        <v>37623.950000000012</v>
      </c>
      <c r="I98" s="168"/>
      <c r="J98" s="175">
        <f>H98/DAY(B2)</f>
        <v>2894.150000000001</v>
      </c>
      <c r="K98" s="69"/>
      <c r="L98" s="66"/>
      <c r="O98" s="71"/>
    </row>
    <row r="99" spans="1:15" ht="27.75" customHeight="1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0.12548501609840668</v>
      </c>
      <c r="H99" s="99">
        <f>G99+'12'!H99</f>
        <v>1.7186556333961904</v>
      </c>
      <c r="I99" s="168"/>
      <c r="J99" s="175">
        <f>H99/DAY(B2)</f>
        <v>0.13220427949201466</v>
      </c>
      <c r="O99" s="71"/>
    </row>
    <row r="100" spans="1:15" ht="27.75" customHeight="1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1898</v>
      </c>
      <c r="H100" s="99">
        <f>G100+'12'!H100</f>
        <v>23609.960000000006</v>
      </c>
      <c r="I100" s="118"/>
      <c r="J100" s="175">
        <f>H100/DAY(B2)</f>
        <v>1816.1507692307698</v>
      </c>
      <c r="K100" s="70"/>
      <c r="O100" s="71"/>
    </row>
    <row r="101" spans="1:15" ht="27.75" customHeight="1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7.8345579129860482E-2</v>
      </c>
      <c r="H101" s="99">
        <f>G101+'12'!H101</f>
        <v>1.0778159038739668</v>
      </c>
      <c r="I101" s="168"/>
      <c r="J101" s="175">
        <f>H101/DAY(B2)</f>
        <v>8.2908915682612827E-2</v>
      </c>
      <c r="O101" s="71"/>
    </row>
    <row r="102" spans="1:15" ht="27.75" customHeight="1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3121</v>
      </c>
      <c r="H102" s="99">
        <f>G102+'12'!H102</f>
        <v>25876.019999999946</v>
      </c>
      <c r="I102" s="168"/>
      <c r="J102" s="175">
        <f>H102/DAY(B2)</f>
        <v>1990.4630769230728</v>
      </c>
      <c r="O102" s="71"/>
    </row>
    <row r="103" spans="1:15" ht="27.75" customHeight="1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0.12882853132997607</v>
      </c>
      <c r="H103" s="99">
        <f>G103+'12'!H103</f>
        <v>1.1754504975087183</v>
      </c>
      <c r="I103" s="118"/>
      <c r="J103" s="175">
        <f>H103/DAY(B2)</f>
        <v>9.041926903913218E-2</v>
      </c>
      <c r="O103" s="71"/>
    </row>
    <row r="104" spans="1:15" ht="27.75" customHeight="1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1651</v>
      </c>
      <c r="H104" s="99">
        <f>G104+'12'!H104</f>
        <v>20642.169999999998</v>
      </c>
      <c r="I104" s="118"/>
      <c r="J104" s="175">
        <f>H104/DAY(B2)</f>
        <v>1587.8592307692306</v>
      </c>
      <c r="O104" s="71"/>
    </row>
    <row r="105" spans="1:15" ht="27.75" customHeight="1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6.8149921571864933E-2</v>
      </c>
      <c r="H105" s="99">
        <f>G105+'12'!H105</f>
        <v>0.94253832076646604</v>
      </c>
      <c r="I105" s="187"/>
      <c r="J105" s="188">
        <f>H105/DAY(B2)</f>
        <v>7.2502947751266617E-2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7.75" customHeight="1">
      <c r="A109" s="831"/>
      <c r="B109" s="831"/>
    </row>
    <row r="110" spans="1:15" ht="27.75" customHeight="1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 customHeight="1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 customHeight="1">
      <c r="A112" s="793" t="s">
        <v>252</v>
      </c>
      <c r="B112" s="794"/>
      <c r="C112" s="795"/>
      <c r="D112" s="146" t="s">
        <v>183</v>
      </c>
      <c r="E112" s="95">
        <f>'12'!F112</f>
        <v>51874</v>
      </c>
      <c r="F112" s="237">
        <v>51958</v>
      </c>
      <c r="G112" s="112">
        <f t="shared" ref="G112:G123" si="9">F112-E112</f>
        <v>84</v>
      </c>
      <c r="H112" s="99">
        <f>G112+'12'!H112</f>
        <v>1068.9199999999983</v>
      </c>
      <c r="I112" s="165"/>
      <c r="J112" s="348">
        <f>H112/DAY(B2)</f>
        <v>82.224615384615248</v>
      </c>
    </row>
    <row r="113" spans="1:18" ht="27.75" customHeight="1">
      <c r="A113" s="793" t="s">
        <v>253</v>
      </c>
      <c r="B113" s="794"/>
      <c r="C113" s="795"/>
      <c r="D113" s="146" t="s">
        <v>183</v>
      </c>
      <c r="E113" s="95">
        <f>'12'!F113</f>
        <v>9810</v>
      </c>
      <c r="F113" s="237">
        <v>10302</v>
      </c>
      <c r="G113" s="112">
        <f t="shared" si="9"/>
        <v>492</v>
      </c>
      <c r="H113" s="99">
        <f>G113+'12'!H113</f>
        <v>5796.35</v>
      </c>
      <c r="I113" s="165"/>
      <c r="J113" s="348">
        <f>H113/DAY(B2)</f>
        <v>445.87307692307695</v>
      </c>
    </row>
    <row r="114" spans="1:18" ht="27.75" customHeight="1">
      <c r="A114" s="793" t="s">
        <v>254</v>
      </c>
      <c r="B114" s="794"/>
      <c r="C114" s="795"/>
      <c r="D114" s="146" t="s">
        <v>183</v>
      </c>
      <c r="E114" s="95">
        <f>'12'!F114</f>
        <v>7876</v>
      </c>
      <c r="F114" s="237">
        <v>8338</v>
      </c>
      <c r="G114" s="112">
        <f t="shared" si="9"/>
        <v>462</v>
      </c>
      <c r="H114" s="99">
        <f>G114+'12'!H114</f>
        <v>3760.0699999999997</v>
      </c>
      <c r="I114" s="165"/>
      <c r="J114" s="348">
        <f>H114/DAY(B2)</f>
        <v>289.2361538461538</v>
      </c>
    </row>
    <row r="115" spans="1:18" ht="27.75" customHeight="1">
      <c r="A115" s="793" t="s">
        <v>255</v>
      </c>
      <c r="B115" s="794"/>
      <c r="C115" s="795"/>
      <c r="D115" s="146" t="s">
        <v>183</v>
      </c>
      <c r="E115" s="95">
        <f>'12'!F115</f>
        <v>8204</v>
      </c>
      <c r="F115" s="237">
        <v>8214</v>
      </c>
      <c r="G115" s="112">
        <f t="shared" si="9"/>
        <v>10</v>
      </c>
      <c r="H115" s="99">
        <f>G115+'12'!H115</f>
        <v>136.59000000000015</v>
      </c>
      <c r="I115" s="165"/>
      <c r="J115" s="348">
        <f>H115/DAY(B2)</f>
        <v>10.506923076923089</v>
      </c>
    </row>
    <row r="116" spans="1:18" ht="27.75" customHeight="1">
      <c r="A116" s="800" t="s">
        <v>96</v>
      </c>
      <c r="B116" s="801"/>
      <c r="C116" s="802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7.75" customHeight="1">
      <c r="A117" s="800" t="s">
        <v>184</v>
      </c>
      <c r="B117" s="801"/>
      <c r="C117" s="802"/>
      <c r="D117" s="146" t="s">
        <v>183</v>
      </c>
      <c r="E117" s="95">
        <f>'12'!F117</f>
        <v>1572</v>
      </c>
      <c r="F117" s="237">
        <v>1595</v>
      </c>
      <c r="G117" s="112">
        <f t="shared" si="9"/>
        <v>23</v>
      </c>
      <c r="H117" s="99">
        <f>G117+'12'!H117</f>
        <v>436.80999999999995</v>
      </c>
      <c r="I117" s="165"/>
      <c r="J117" s="348">
        <f>H117/DAY(B2)</f>
        <v>33.600769230769224</v>
      </c>
      <c r="Q117" s="793" t="s">
        <v>312</v>
      </c>
      <c r="R117" s="795"/>
    </row>
    <row r="118" spans="1:18" ht="27.75" customHeight="1">
      <c r="A118" s="792" t="s">
        <v>97</v>
      </c>
      <c r="B118" s="792"/>
      <c r="C118" s="792"/>
      <c r="D118" s="151" t="s">
        <v>183</v>
      </c>
      <c r="E118" s="95">
        <f>'12'!F118</f>
        <v>222935</v>
      </c>
      <c r="F118" s="237">
        <v>223272</v>
      </c>
      <c r="G118" s="112">
        <f t="shared" si="9"/>
        <v>337</v>
      </c>
      <c r="H118" s="99">
        <f>G118+'12'!H118</f>
        <v>4420.070000000007</v>
      </c>
      <c r="I118" s="165"/>
      <c r="J118" s="348">
        <f>H118/DAY(B2)</f>
        <v>340.00538461538514</v>
      </c>
      <c r="Q118" s="793" t="s">
        <v>311</v>
      </c>
      <c r="R118" s="795"/>
    </row>
    <row r="119" spans="1:18" ht="27.75" customHeight="1">
      <c r="A119" s="792" t="s">
        <v>98</v>
      </c>
      <c r="B119" s="792"/>
      <c r="C119" s="792"/>
      <c r="D119" s="151" t="s">
        <v>183</v>
      </c>
      <c r="E119" s="95">
        <f>'12'!F119</f>
        <v>223914</v>
      </c>
      <c r="F119" s="237">
        <v>224357</v>
      </c>
      <c r="G119" s="112">
        <f t="shared" si="9"/>
        <v>443</v>
      </c>
      <c r="H119" s="99">
        <f>G119+'12'!H119</f>
        <v>5545.890000000014</v>
      </c>
      <c r="I119" s="165"/>
      <c r="J119" s="348">
        <f>H119/DAY(B2)</f>
        <v>426.60692307692415</v>
      </c>
    </row>
    <row r="120" spans="1:18" ht="27.75" customHeight="1">
      <c r="A120" s="792" t="s">
        <v>99</v>
      </c>
      <c r="B120" s="792"/>
      <c r="C120" s="792"/>
      <c r="D120" s="151" t="s">
        <v>183</v>
      </c>
      <c r="E120" s="95">
        <f>'12'!F120</f>
        <v>9472</v>
      </c>
      <c r="F120" s="237">
        <v>9884</v>
      </c>
      <c r="G120" s="112">
        <f t="shared" si="9"/>
        <v>412</v>
      </c>
      <c r="H120" s="99">
        <f>G120+'12'!H120</f>
        <v>5576.4</v>
      </c>
      <c r="I120" s="165"/>
      <c r="J120" s="348">
        <f>H120/DAY(B2)</f>
        <v>428.95384615384614</v>
      </c>
    </row>
    <row r="121" spans="1:18" ht="27.75" customHeight="1">
      <c r="A121" s="792" t="s">
        <v>100</v>
      </c>
      <c r="B121" s="792"/>
      <c r="C121" s="792"/>
      <c r="D121" s="151" t="s">
        <v>183</v>
      </c>
      <c r="E121" s="95">
        <f>'12'!F121</f>
        <v>339836</v>
      </c>
      <c r="F121" s="237">
        <v>340561</v>
      </c>
      <c r="G121" s="112">
        <f t="shared" si="9"/>
        <v>725</v>
      </c>
      <c r="H121" s="99">
        <f>G121+'12'!H121</f>
        <v>9323.4899999999907</v>
      </c>
      <c r="I121" s="165"/>
      <c r="J121" s="348">
        <f>H121/DAY(B2)</f>
        <v>717.19153846153779</v>
      </c>
    </row>
    <row r="122" spans="1:18" ht="27.75" customHeight="1">
      <c r="A122" s="792" t="s">
        <v>101</v>
      </c>
      <c r="B122" s="792"/>
      <c r="C122" s="792"/>
      <c r="D122" s="151" t="s">
        <v>183</v>
      </c>
      <c r="E122" s="95">
        <f>'12'!F122</f>
        <v>105244</v>
      </c>
      <c r="F122" s="237">
        <v>105548</v>
      </c>
      <c r="G122" s="112">
        <f t="shared" si="9"/>
        <v>304</v>
      </c>
      <c r="H122" s="99">
        <f>G122+'12'!H122</f>
        <v>3939.1199999999953</v>
      </c>
      <c r="I122" s="165"/>
      <c r="J122" s="348">
        <f>H122/DAY(B2)</f>
        <v>303.00923076923038</v>
      </c>
    </row>
    <row r="123" spans="1:18" ht="27.75" customHeight="1">
      <c r="A123" s="792" t="s">
        <v>102</v>
      </c>
      <c r="B123" s="792"/>
      <c r="C123" s="792"/>
      <c r="D123" s="151" t="s">
        <v>183</v>
      </c>
      <c r="E123" s="95">
        <f>'12'!F123</f>
        <v>129284</v>
      </c>
      <c r="F123" s="237">
        <v>129581</v>
      </c>
      <c r="G123" s="112">
        <f t="shared" si="9"/>
        <v>297</v>
      </c>
      <c r="H123" s="99">
        <f>G123+'12'!H123</f>
        <v>3833.2400000000052</v>
      </c>
      <c r="I123" s="165"/>
      <c r="J123" s="348">
        <f>H123/DAY(B2)</f>
        <v>294.86461538461577</v>
      </c>
    </row>
    <row r="124" spans="1:18" ht="27.75" customHeight="1">
      <c r="A124" s="797"/>
      <c r="B124" s="798"/>
      <c r="C124" s="799"/>
      <c r="D124" s="165"/>
      <c r="E124" s="165"/>
      <c r="F124" s="165"/>
      <c r="G124" s="347"/>
      <c r="H124" s="156"/>
      <c r="I124" s="165"/>
      <c r="J124" s="347"/>
    </row>
    <row r="125" spans="1:18" ht="27.75" customHeight="1">
      <c r="A125" s="775" t="s">
        <v>196</v>
      </c>
      <c r="B125" s="776"/>
      <c r="C125" s="246"/>
      <c r="D125" s="317"/>
      <c r="E125" s="318"/>
      <c r="F125" s="318"/>
      <c r="G125" s="319">
        <f>SUM(G112:G124)</f>
        <v>3589</v>
      </c>
      <c r="H125" s="156"/>
      <c r="I125" s="347">
        <f>G125-(G39+G53)</f>
        <v>549</v>
      </c>
      <c r="J125" s="347"/>
    </row>
    <row r="126" spans="1:18" ht="27.75" customHeight="1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 customHeight="1">
      <c r="A127" s="780"/>
      <c r="B127" s="780"/>
      <c r="C127" s="246"/>
      <c r="D127" s="317"/>
      <c r="E127" s="318"/>
      <c r="F127" s="318"/>
      <c r="G127" s="319"/>
      <c r="H127" s="99">
        <f>G127+'12'!H127</f>
        <v>0</v>
      </c>
      <c r="I127" s="165"/>
      <c r="J127" s="348">
        <f>H127/DAY(B2)</f>
        <v>0</v>
      </c>
    </row>
    <row r="128" spans="1:18" ht="27.75" customHeight="1">
      <c r="A128" s="793" t="s">
        <v>318</v>
      </c>
      <c r="B128" s="794"/>
      <c r="C128" s="795"/>
      <c r="D128" s="151" t="s">
        <v>183</v>
      </c>
      <c r="E128" s="95">
        <f>'12'!F128</f>
        <v>21934</v>
      </c>
      <c r="F128" s="165">
        <v>22257</v>
      </c>
      <c r="G128" s="112">
        <f t="shared" ref="G128:G134" si="10">F128-E128</f>
        <v>323</v>
      </c>
      <c r="H128" s="99">
        <f>G128+'12'!H128</f>
        <v>4233.2799999999988</v>
      </c>
      <c r="I128" s="165"/>
      <c r="J128" s="348">
        <f>H128/DAY(B2)</f>
        <v>325.63692307692298</v>
      </c>
    </row>
    <row r="129" spans="1:15" ht="27.75" customHeight="1">
      <c r="A129" s="349" t="s">
        <v>319</v>
      </c>
      <c r="B129" s="350"/>
      <c r="C129" s="351"/>
      <c r="D129" s="151" t="s">
        <v>183</v>
      </c>
      <c r="E129" s="95">
        <f>'12'!F129</f>
        <v>9092</v>
      </c>
      <c r="F129" s="165">
        <v>9285</v>
      </c>
      <c r="G129" s="112">
        <f t="shared" si="10"/>
        <v>193</v>
      </c>
      <c r="H129" s="99">
        <f>G129+'12'!H129</f>
        <v>2689.29</v>
      </c>
      <c r="I129" s="165"/>
      <c r="J129" s="348">
        <f>H129/DAY(B2)</f>
        <v>206.86846153846153</v>
      </c>
      <c r="N129" s="240"/>
      <c r="O129" s="241"/>
    </row>
    <row r="130" spans="1:15" ht="27.75" customHeight="1">
      <c r="A130" s="349" t="s">
        <v>320</v>
      </c>
      <c r="B130" s="350"/>
      <c r="C130" s="351"/>
      <c r="D130" s="151" t="s">
        <v>183</v>
      </c>
      <c r="E130" s="95">
        <f>'12'!F130</f>
        <v>56528</v>
      </c>
      <c r="F130" s="165">
        <v>59025</v>
      </c>
      <c r="G130" s="112">
        <f t="shared" si="10"/>
        <v>2497</v>
      </c>
      <c r="H130" s="99">
        <f>G130+'12'!H130</f>
        <v>32556.97</v>
      </c>
      <c r="I130" s="165"/>
      <c r="J130" s="348">
        <f>H130/DAY(B2)</f>
        <v>2504.3823076923077</v>
      </c>
      <c r="N130" s="240"/>
      <c r="O130" s="241"/>
    </row>
    <row r="131" spans="1:15" ht="27.75" customHeight="1">
      <c r="A131" s="793" t="s">
        <v>321</v>
      </c>
      <c r="B131" s="794"/>
      <c r="C131" s="795"/>
      <c r="D131" s="151" t="s">
        <v>183</v>
      </c>
      <c r="E131" s="95">
        <f>'12'!F131</f>
        <v>5877</v>
      </c>
      <c r="F131" s="165">
        <v>6034</v>
      </c>
      <c r="G131" s="112">
        <f t="shared" si="10"/>
        <v>157</v>
      </c>
      <c r="H131" s="99">
        <f>G131+'12'!H131</f>
        <v>1887.5299999999997</v>
      </c>
      <c r="I131" s="165"/>
      <c r="J131" s="348">
        <f>H131/DAY(B2)</f>
        <v>145.19461538461536</v>
      </c>
      <c r="N131" s="240"/>
      <c r="O131" s="241"/>
    </row>
    <row r="132" spans="1:15" ht="27.75" customHeight="1">
      <c r="A132" s="793" t="s">
        <v>322</v>
      </c>
      <c r="B132" s="794"/>
      <c r="C132" s="795"/>
      <c r="D132" s="151" t="s">
        <v>183</v>
      </c>
      <c r="E132" s="95">
        <f>'12'!F132</f>
        <v>17591</v>
      </c>
      <c r="F132" s="165">
        <v>18129</v>
      </c>
      <c r="G132" s="112">
        <f t="shared" si="10"/>
        <v>538</v>
      </c>
      <c r="H132" s="99">
        <f>G132+'12'!H132</f>
        <v>6591.2800000000007</v>
      </c>
      <c r="I132" s="165"/>
      <c r="J132" s="348">
        <f>H132/DAY(B2)</f>
        <v>507.02153846153851</v>
      </c>
    </row>
    <row r="133" spans="1:15" ht="27.75" customHeight="1">
      <c r="A133" s="793" t="s">
        <v>323</v>
      </c>
      <c r="B133" s="794"/>
      <c r="C133" s="795"/>
      <c r="D133" s="151" t="s">
        <v>183</v>
      </c>
      <c r="E133" s="95">
        <f>'12'!F133</f>
        <v>49045</v>
      </c>
      <c r="F133" s="165">
        <v>49828</v>
      </c>
      <c r="G133" s="112">
        <f t="shared" si="10"/>
        <v>783</v>
      </c>
      <c r="H133" s="99">
        <f>G133+'12'!H133</f>
        <v>8978.7099999999991</v>
      </c>
      <c r="I133" s="165"/>
      <c r="J133" s="348">
        <f>H133/DAY(B2)</f>
        <v>690.67</v>
      </c>
    </row>
    <row r="134" spans="1:15" ht="27.75" customHeight="1">
      <c r="A134" s="793" t="s">
        <v>340</v>
      </c>
      <c r="B134" s="794"/>
      <c r="C134" s="795"/>
      <c r="D134" s="151" t="s">
        <v>183</v>
      </c>
      <c r="E134" s="95">
        <f>'12'!F134</f>
        <v>639831</v>
      </c>
      <c r="F134" s="165">
        <v>640454</v>
      </c>
      <c r="G134" s="112">
        <f t="shared" si="10"/>
        <v>623</v>
      </c>
      <c r="H134" s="99">
        <f>G134+'12'!H134</f>
        <v>8190</v>
      </c>
      <c r="I134" s="165"/>
      <c r="J134" s="348">
        <f>H134/DAY(B2)</f>
        <v>630</v>
      </c>
    </row>
    <row r="135" spans="1:15" ht="27.75" customHeight="1">
      <c r="A135" s="775" t="s">
        <v>196</v>
      </c>
      <c r="B135" s="776"/>
      <c r="C135" s="351"/>
      <c r="D135" s="151"/>
      <c r="E135" s="95"/>
      <c r="F135" s="165"/>
      <c r="G135" s="112">
        <f>SUM(G128:G134)</f>
        <v>5114</v>
      </c>
      <c r="H135" s="99">
        <f>G135+'12'!H135</f>
        <v>60254.06</v>
      </c>
      <c r="I135" s="347">
        <f>G135-(G35+G49)</f>
        <v>1289</v>
      </c>
      <c r="J135" s="348">
        <f>H135/DAY(B2)</f>
        <v>4634.9276923076923</v>
      </c>
    </row>
    <row r="136" spans="1:15" ht="27.75" customHeight="1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7.75" customHeight="1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>
      <c r="A138" s="792" t="s">
        <v>185</v>
      </c>
      <c r="B138" s="792"/>
      <c r="C138" s="792"/>
      <c r="D138" s="151" t="s">
        <v>183</v>
      </c>
      <c r="E138" s="95">
        <f>'12'!F138</f>
        <v>860293</v>
      </c>
      <c r="F138" s="147">
        <v>860345</v>
      </c>
      <c r="G138" s="112">
        <f t="shared" ref="G138:G152" si="11">F138-E138</f>
        <v>52</v>
      </c>
      <c r="H138" s="99">
        <f>G138+'12'!H138</f>
        <v>698</v>
      </c>
      <c r="I138" s="118"/>
      <c r="J138" s="348">
        <f>H138/DAY(B2)</f>
        <v>53.692307692307693</v>
      </c>
    </row>
    <row r="139" spans="1:15" ht="27.75" customHeight="1">
      <c r="A139" s="792" t="s">
        <v>186</v>
      </c>
      <c r="B139" s="792"/>
      <c r="C139" s="792"/>
      <c r="D139" s="151" t="s">
        <v>183</v>
      </c>
      <c r="E139" s="95">
        <f>'12'!F139</f>
        <v>886129</v>
      </c>
      <c r="F139" s="148">
        <v>886130</v>
      </c>
      <c r="G139" s="112">
        <f t="shared" si="11"/>
        <v>1</v>
      </c>
      <c r="H139" s="99">
        <f>G139+'12'!H139</f>
        <v>28</v>
      </c>
      <c r="I139" s="118"/>
      <c r="J139" s="348">
        <f>H139/DAY(B2)</f>
        <v>2.1538461538461537</v>
      </c>
    </row>
    <row r="140" spans="1:15" ht="27.75" customHeight="1">
      <c r="A140" s="792" t="s">
        <v>187</v>
      </c>
      <c r="B140" s="792"/>
      <c r="C140" s="792"/>
      <c r="D140" s="151" t="s">
        <v>183</v>
      </c>
      <c r="E140" s="95">
        <f>'12'!F140</f>
        <v>88830</v>
      </c>
      <c r="F140" s="149">
        <v>88830</v>
      </c>
      <c r="G140" s="112">
        <f t="shared" si="11"/>
        <v>0</v>
      </c>
      <c r="H140" s="99">
        <f>G140+'12'!H140</f>
        <v>13</v>
      </c>
      <c r="I140" s="118"/>
      <c r="J140" s="348">
        <f>H140/DAY(B2)</f>
        <v>1</v>
      </c>
    </row>
    <row r="141" spans="1:15" ht="27.75" customHeight="1">
      <c r="A141" s="771" t="s">
        <v>188</v>
      </c>
      <c r="B141" s="771"/>
      <c r="C141" s="771"/>
      <c r="D141" s="151" t="s">
        <v>183</v>
      </c>
      <c r="E141" s="95">
        <f>'12'!F141</f>
        <v>39543</v>
      </c>
      <c r="F141" s="149">
        <v>39736</v>
      </c>
      <c r="G141" s="112">
        <f t="shared" si="11"/>
        <v>193</v>
      </c>
      <c r="H141" s="99">
        <f>G141+'12'!H141</f>
        <v>2448.0500000000029</v>
      </c>
      <c r="I141" s="118"/>
      <c r="J141" s="348">
        <f>H141/DAY(B2)</f>
        <v>188.31153846153867</v>
      </c>
    </row>
    <row r="142" spans="1:15" ht="27.75" customHeight="1">
      <c r="A142" s="771" t="s">
        <v>189</v>
      </c>
      <c r="B142" s="771"/>
      <c r="C142" s="771"/>
      <c r="D142" s="151" t="s">
        <v>183</v>
      </c>
      <c r="E142" s="95">
        <f>'12'!F142</f>
        <v>17157</v>
      </c>
      <c r="F142" s="148">
        <v>17175</v>
      </c>
      <c r="G142" s="112">
        <f t="shared" si="11"/>
        <v>18</v>
      </c>
      <c r="H142" s="99">
        <f>G142+'12'!H142</f>
        <v>213.13000000000102</v>
      </c>
      <c r="I142" s="140"/>
      <c r="J142" s="348">
        <f>H142/DAY(B2)</f>
        <v>16.394615384615463</v>
      </c>
    </row>
    <row r="143" spans="1:15" ht="27.75" customHeight="1">
      <c r="A143" s="792" t="s">
        <v>91</v>
      </c>
      <c r="B143" s="792"/>
      <c r="C143" s="792"/>
      <c r="D143" s="151" t="s">
        <v>183</v>
      </c>
      <c r="E143" s="95">
        <f>'12'!F143</f>
        <v>1677</v>
      </c>
      <c r="F143" s="149">
        <v>1710</v>
      </c>
      <c r="G143" s="112">
        <f t="shared" si="11"/>
        <v>33</v>
      </c>
      <c r="H143" s="99">
        <f>G143+'12'!H143</f>
        <v>326.81999999999994</v>
      </c>
      <c r="I143" s="140"/>
      <c r="J143" s="348">
        <f>H143/DAY(B2)</f>
        <v>25.139999999999993</v>
      </c>
    </row>
    <row r="144" spans="1:15" ht="27.75" customHeight="1">
      <c r="A144" s="771" t="s">
        <v>90</v>
      </c>
      <c r="B144" s="771"/>
      <c r="C144" s="771"/>
      <c r="D144" s="151" t="s">
        <v>183</v>
      </c>
      <c r="E144" s="95">
        <f>'12'!F144</f>
        <v>858114</v>
      </c>
      <c r="F144" s="149">
        <v>858350</v>
      </c>
      <c r="G144" s="112">
        <f t="shared" si="11"/>
        <v>236</v>
      </c>
      <c r="H144" s="99">
        <f>G144+'12'!H144</f>
        <v>2981</v>
      </c>
      <c r="I144" s="140"/>
      <c r="J144" s="348">
        <f>H144/DAY(B2)</f>
        <v>229.30769230769232</v>
      </c>
    </row>
    <row r="145" spans="1:10" ht="27.75" customHeight="1">
      <c r="A145" s="792" t="s">
        <v>190</v>
      </c>
      <c r="B145" s="792"/>
      <c r="C145" s="792"/>
      <c r="D145" s="152" t="s">
        <v>183</v>
      </c>
      <c r="E145" s="95">
        <f>'12'!F145</f>
        <v>2654</v>
      </c>
      <c r="F145" s="149">
        <v>2692</v>
      </c>
      <c r="G145" s="112">
        <f t="shared" si="11"/>
        <v>38</v>
      </c>
      <c r="H145" s="99">
        <f>G145+'12'!H145</f>
        <v>479</v>
      </c>
      <c r="I145" s="140"/>
      <c r="J145" s="348">
        <f>H145/DAY(B2)</f>
        <v>36.846153846153847</v>
      </c>
    </row>
    <row r="146" spans="1:10" ht="27.75" customHeight="1">
      <c r="A146" s="827" t="s">
        <v>191</v>
      </c>
      <c r="B146" s="812"/>
      <c r="C146" s="813"/>
      <c r="D146" s="152" t="s">
        <v>183</v>
      </c>
      <c r="E146" s="95">
        <f>'12'!F146</f>
        <v>703244</v>
      </c>
      <c r="F146" s="148">
        <v>703641</v>
      </c>
      <c r="G146" s="112">
        <f t="shared" si="11"/>
        <v>397</v>
      </c>
      <c r="H146" s="99">
        <f>G146+'12'!H146</f>
        <v>5122</v>
      </c>
      <c r="I146" s="140"/>
      <c r="J146" s="348">
        <f>H146/DAY(B2)</f>
        <v>394</v>
      </c>
    </row>
    <row r="147" spans="1:10" ht="27.75" customHeight="1">
      <c r="A147" s="771" t="s">
        <v>192</v>
      </c>
      <c r="B147" s="771"/>
      <c r="C147" s="771"/>
      <c r="D147" s="152" t="s">
        <v>183</v>
      </c>
      <c r="E147" s="95">
        <f>'12'!F147</f>
        <v>593709</v>
      </c>
      <c r="F147" s="148">
        <v>594162</v>
      </c>
      <c r="G147" s="112">
        <f t="shared" si="11"/>
        <v>453</v>
      </c>
      <c r="H147" s="99">
        <f>G147+'12'!H147</f>
        <v>5251.0799999999581</v>
      </c>
      <c r="I147" s="140"/>
      <c r="J147" s="348">
        <f>H147/DAY(B2)</f>
        <v>403.92923076922756</v>
      </c>
    </row>
    <row r="148" spans="1:10" ht="27.75" customHeight="1">
      <c r="A148" s="772" t="s">
        <v>193</v>
      </c>
      <c r="B148" s="773"/>
      <c r="C148" s="774"/>
      <c r="D148" s="123" t="s">
        <v>130</v>
      </c>
      <c r="E148" s="95">
        <f>'12'!F148</f>
        <v>667975</v>
      </c>
      <c r="F148" s="150">
        <v>668311</v>
      </c>
      <c r="G148" s="112">
        <f t="shared" si="11"/>
        <v>336</v>
      </c>
      <c r="H148" s="99">
        <f>G148+'12'!H148</f>
        <v>3202.8800000000047</v>
      </c>
      <c r="I148" s="124"/>
      <c r="J148" s="348">
        <f>H148/DAY(B2)</f>
        <v>246.37538461538497</v>
      </c>
    </row>
    <row r="149" spans="1:10" ht="27.75" customHeight="1">
      <c r="A149" s="772" t="s">
        <v>336</v>
      </c>
      <c r="B149" s="773"/>
      <c r="C149" s="774"/>
      <c r="D149" s="227" t="s">
        <v>130</v>
      </c>
      <c r="E149" s="95">
        <f>'12'!F149</f>
        <v>88632</v>
      </c>
      <c r="F149" s="146">
        <v>88898</v>
      </c>
      <c r="G149" s="112">
        <f t="shared" si="11"/>
        <v>266</v>
      </c>
      <c r="H149" s="99">
        <f>G149+'12'!H149</f>
        <v>4151</v>
      </c>
      <c r="I149" s="119"/>
      <c r="J149" s="348">
        <f>H149/DAY(B2)</f>
        <v>319.30769230769232</v>
      </c>
    </row>
    <row r="150" spans="1:10" ht="27.75" customHeight="1">
      <c r="A150" s="772" t="s">
        <v>337</v>
      </c>
      <c r="B150" s="773"/>
      <c r="C150" s="774"/>
      <c r="D150" s="117" t="s">
        <v>130</v>
      </c>
      <c r="E150" s="95">
        <f>'12'!F150</f>
        <v>7167232</v>
      </c>
      <c r="F150" s="233">
        <v>7167232</v>
      </c>
      <c r="G150" s="112">
        <f t="shared" si="11"/>
        <v>0</v>
      </c>
      <c r="H150" s="99">
        <f>G150+'12'!H150</f>
        <v>0</v>
      </c>
      <c r="I150" s="119"/>
      <c r="J150" s="348">
        <f>H150/DAY(B2)</f>
        <v>0</v>
      </c>
    </row>
    <row r="151" spans="1:10" ht="27.75" customHeight="1">
      <c r="A151" s="772" t="s">
        <v>338</v>
      </c>
      <c r="B151" s="773"/>
      <c r="C151" s="774"/>
      <c r="D151" s="117" t="s">
        <v>130</v>
      </c>
      <c r="E151" s="95">
        <f>'12'!F151</f>
        <v>65906</v>
      </c>
      <c r="F151" s="233">
        <v>66149</v>
      </c>
      <c r="G151" s="112">
        <f t="shared" si="11"/>
        <v>243</v>
      </c>
      <c r="H151" s="99">
        <f>G151+'12'!H151</f>
        <v>3139</v>
      </c>
      <c r="I151" s="119"/>
      <c r="J151" s="348">
        <f>H151/DAY(B2)</f>
        <v>241.46153846153845</v>
      </c>
    </row>
    <row r="152" spans="1:10" ht="27.75" customHeight="1">
      <c r="A152" s="772" t="s">
        <v>339</v>
      </c>
      <c r="B152" s="773"/>
      <c r="C152" s="774"/>
      <c r="D152" s="117" t="s">
        <v>130</v>
      </c>
      <c r="E152" s="95">
        <f>'12'!F152</f>
        <v>0</v>
      </c>
      <c r="F152" s="233">
        <v>0</v>
      </c>
      <c r="G152" s="112">
        <f t="shared" si="11"/>
        <v>0</v>
      </c>
      <c r="H152" s="99">
        <f>G152+'12'!H152</f>
        <v>0</v>
      </c>
      <c r="I152" s="119"/>
      <c r="J152" s="348">
        <f>H152/DAY(B2)</f>
        <v>0</v>
      </c>
    </row>
    <row r="153" spans="1:10" ht="27.75" customHeight="1">
      <c r="A153" s="775" t="s">
        <v>196</v>
      </c>
      <c r="B153" s="776"/>
      <c r="C153" s="385"/>
      <c r="D153" s="378"/>
      <c r="E153" s="380"/>
      <c r="F153" s="381"/>
      <c r="G153" s="382">
        <f>SUM(G138:G152)</f>
        <v>2266</v>
      </c>
      <c r="H153" s="383"/>
      <c r="I153" s="119">
        <f>G153-(G38+G52)</f>
        <v>368</v>
      </c>
      <c r="J153" s="386"/>
    </row>
    <row r="154" spans="1:10" ht="27.75" customHeight="1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27.75" customHeight="1">
      <c r="A155" s="771" t="s">
        <v>345</v>
      </c>
      <c r="B155" s="771"/>
      <c r="C155" s="771"/>
      <c r="D155" s="117" t="s">
        <v>130</v>
      </c>
      <c r="E155" s="95">
        <f>'12'!F155</f>
        <v>77361</v>
      </c>
      <c r="F155" s="394">
        <v>77369</v>
      </c>
      <c r="G155" s="112">
        <f t="shared" ref="G155:G156" si="12">F155-E155</f>
        <v>8</v>
      </c>
      <c r="H155" s="99">
        <f>G155+'12'!H155</f>
        <v>94.399999999994179</v>
      </c>
      <c r="I155" s="384"/>
      <c r="J155" s="348">
        <f>H155/DAY(B2)</f>
        <v>7.2615384615380139</v>
      </c>
    </row>
    <row r="156" spans="1:10" ht="27.75" customHeight="1">
      <c r="A156" s="771" t="s">
        <v>347</v>
      </c>
      <c r="B156" s="771"/>
      <c r="C156" s="771"/>
      <c r="D156" s="117" t="s">
        <v>130</v>
      </c>
      <c r="E156" s="95">
        <f>'12'!F156</f>
        <v>0</v>
      </c>
      <c r="F156" s="165">
        <v>0</v>
      </c>
      <c r="G156" s="112">
        <f t="shared" si="12"/>
        <v>0</v>
      </c>
      <c r="H156" s="99">
        <f>G156+'12'!H156</f>
        <v>0</v>
      </c>
      <c r="I156" s="165"/>
      <c r="J156" s="348">
        <f>H156/DAY(B2)</f>
        <v>0</v>
      </c>
    </row>
    <row r="157" spans="1:10" ht="27.75" customHeight="1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7.75" customHeight="1">
      <c r="A158" s="242" t="s">
        <v>92</v>
      </c>
      <c r="B158" s="243"/>
      <c r="C158" s="243"/>
      <c r="D158" s="244" t="s">
        <v>180</v>
      </c>
      <c r="E158" s="95">
        <f>'12'!F158</f>
        <v>469823</v>
      </c>
      <c r="F158" s="235">
        <v>469823</v>
      </c>
      <c r="G158" s="238">
        <f t="shared" ref="G158:G162" si="13">F158-E158</f>
        <v>0</v>
      </c>
      <c r="H158" s="99">
        <f>G158+'12'!H158</f>
        <v>293.96000000002095</v>
      </c>
      <c r="I158" s="236"/>
      <c r="J158" s="239">
        <f>H158/DAY(B2)</f>
        <v>22.612307692309304</v>
      </c>
    </row>
    <row r="159" spans="1:10" ht="27.75" customHeight="1">
      <c r="A159" s="242" t="s">
        <v>93</v>
      </c>
      <c r="B159" s="243"/>
      <c r="C159" s="243"/>
      <c r="D159" s="244" t="s">
        <v>180</v>
      </c>
      <c r="E159" s="95">
        <f>'12'!F159</f>
        <v>86078</v>
      </c>
      <c r="F159" s="235">
        <v>86090</v>
      </c>
      <c r="G159" s="238">
        <f t="shared" si="13"/>
        <v>12</v>
      </c>
      <c r="H159" s="99">
        <f>G159+'12'!H159</f>
        <v>384.39999999999418</v>
      </c>
      <c r="I159" s="236"/>
      <c r="J159" s="239">
        <f>H159/DAY(B2)</f>
        <v>29.569230769230323</v>
      </c>
    </row>
    <row r="160" spans="1:10" ht="27.75" customHeight="1">
      <c r="A160" s="242" t="s">
        <v>197</v>
      </c>
      <c r="B160" s="243"/>
      <c r="C160" s="243"/>
      <c r="D160" s="244" t="s">
        <v>180</v>
      </c>
      <c r="E160" s="95">
        <f>'12'!F160</f>
        <v>74064</v>
      </c>
      <c r="F160" s="235">
        <v>74115</v>
      </c>
      <c r="G160" s="238">
        <f t="shared" si="13"/>
        <v>51</v>
      </c>
      <c r="H160" s="99">
        <f>G160+'12'!H160</f>
        <v>778.10000000000582</v>
      </c>
      <c r="I160" s="236"/>
      <c r="J160" s="239">
        <f>H160/DAY(B2)</f>
        <v>59.853846153846604</v>
      </c>
    </row>
    <row r="161" spans="1:10" ht="27.75" customHeight="1">
      <c r="A161" s="242" t="s">
        <v>197</v>
      </c>
      <c r="B161" s="243"/>
      <c r="C161" s="243"/>
      <c r="D161" s="244" t="s">
        <v>180</v>
      </c>
      <c r="E161" s="95">
        <f>'12'!F161</f>
        <v>4004</v>
      </c>
      <c r="F161" s="235">
        <v>4007</v>
      </c>
      <c r="G161" s="238">
        <f t="shared" si="13"/>
        <v>3</v>
      </c>
      <c r="H161" s="99">
        <f>G161+'12'!H161</f>
        <v>33.5</v>
      </c>
      <c r="I161" s="236"/>
      <c r="J161" s="239">
        <f>H161/DAY(B2)</f>
        <v>2.5769230769230771</v>
      </c>
    </row>
    <row r="162" spans="1:10" ht="27.75" customHeight="1">
      <c r="A162" s="242" t="s">
        <v>309</v>
      </c>
      <c r="B162" s="243"/>
      <c r="C162" s="243"/>
      <c r="D162" s="244" t="s">
        <v>180</v>
      </c>
      <c r="E162" s="95">
        <f>'12'!F162</f>
        <v>29297</v>
      </c>
      <c r="F162" s="235">
        <v>29301</v>
      </c>
      <c r="G162" s="238">
        <f t="shared" si="13"/>
        <v>4</v>
      </c>
      <c r="H162" s="99">
        <f>G162+'12'!H162</f>
        <v>102.86000000000058</v>
      </c>
      <c r="I162" s="236"/>
      <c r="J162" s="239">
        <f>H162/DAY(B2)</f>
        <v>7.9123076923077367</v>
      </c>
    </row>
    <row r="163" spans="1:10" ht="27.75" customHeight="1">
      <c r="A163" s="780"/>
      <c r="B163" s="780"/>
      <c r="C163" s="247"/>
      <c r="D163" s="244" t="s">
        <v>180</v>
      </c>
      <c r="E163" s="95">
        <f>'12'!F163</f>
        <v>0</v>
      </c>
      <c r="F163" s="165"/>
      <c r="G163" s="165"/>
      <c r="H163" s="99">
        <f>G163+'12'!H163</f>
        <v>0</v>
      </c>
      <c r="I163" s="165"/>
      <c r="J163" s="239">
        <f>H163/DAY(B2)</f>
        <v>0</v>
      </c>
    </row>
    <row r="164" spans="1:10" ht="27.75" customHeight="1">
      <c r="A164" s="780"/>
      <c r="B164" s="780"/>
      <c r="C164" s="247"/>
      <c r="D164" s="244" t="s">
        <v>180</v>
      </c>
      <c r="E164" s="95">
        <f>'12'!F164</f>
        <v>0</v>
      </c>
      <c r="F164" s="165"/>
      <c r="G164" s="165"/>
      <c r="H164" s="99">
        <f>G164+'12'!H164</f>
        <v>0</v>
      </c>
      <c r="I164" s="165"/>
      <c r="J164" s="239">
        <f>H164/DAY(B2)</f>
        <v>0</v>
      </c>
    </row>
    <row r="165" spans="1:10" ht="27.75" customHeight="1">
      <c r="A165" s="780"/>
      <c r="B165" s="780"/>
      <c r="C165" s="247"/>
      <c r="D165" s="244" t="s">
        <v>180</v>
      </c>
      <c r="E165" s="95">
        <f>'12'!F165</f>
        <v>0</v>
      </c>
      <c r="F165" s="165"/>
      <c r="G165" s="165"/>
      <c r="H165" s="99">
        <f>G165+'12'!H165</f>
        <v>0</v>
      </c>
      <c r="I165" s="165"/>
      <c r="J165" s="239">
        <f>H165/DAY(B2)</f>
        <v>0</v>
      </c>
    </row>
    <row r="168" spans="1:10" ht="27.75" customHeight="1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 customHeight="1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>
      <c r="A170" s="786" t="s">
        <v>209</v>
      </c>
      <c r="B170" s="787"/>
      <c r="C170" s="353"/>
      <c r="D170" s="228" t="s">
        <v>142</v>
      </c>
      <c r="E170" s="95">
        <f>'12'!F170</f>
        <v>8021</v>
      </c>
      <c r="F170" s="155">
        <v>8021</v>
      </c>
      <c r="G170" s="155">
        <f>F170-E170</f>
        <v>0</v>
      </c>
      <c r="H170" s="99">
        <f>G170+'12'!H170</f>
        <v>23</v>
      </c>
      <c r="I170" s="155"/>
      <c r="J170" s="178">
        <f>H170/DAY(B2)</f>
        <v>1.7692307692307692</v>
      </c>
    </row>
    <row r="171" spans="1:10" ht="27.75" customHeight="1">
      <c r="A171" s="786" t="s">
        <v>75</v>
      </c>
      <c r="B171" s="787"/>
      <c r="C171" s="353"/>
      <c r="D171" s="228" t="s">
        <v>142</v>
      </c>
      <c r="E171" s="95">
        <f>'12'!F171</f>
        <v>37537</v>
      </c>
      <c r="F171" s="157">
        <v>37555</v>
      </c>
      <c r="G171" s="155">
        <f t="shared" ref="G171:G172" si="14">F171-E171</f>
        <v>18</v>
      </c>
      <c r="H171" s="99">
        <f>G171+'12'!H171</f>
        <v>172</v>
      </c>
      <c r="I171" s="155"/>
      <c r="J171" s="178">
        <f>H171/DAY(B2)</f>
        <v>13.23076923076923</v>
      </c>
    </row>
    <row r="172" spans="1:10" ht="27.75" customHeight="1">
      <c r="A172" s="786" t="s">
        <v>76</v>
      </c>
      <c r="B172" s="826"/>
      <c r="C172" s="787"/>
      <c r="D172" s="228" t="s">
        <v>142</v>
      </c>
      <c r="E172" s="95">
        <f>'12'!F172</f>
        <v>20925</v>
      </c>
      <c r="F172" s="155">
        <v>20942</v>
      </c>
      <c r="G172" s="155">
        <f t="shared" si="14"/>
        <v>17</v>
      </c>
      <c r="H172" s="99">
        <f>G172+'12'!H172</f>
        <v>154</v>
      </c>
      <c r="I172" s="155"/>
      <c r="J172" s="178">
        <f>H172/DAY(B2)</f>
        <v>11.846153846153847</v>
      </c>
    </row>
    <row r="173" spans="1:10" ht="27.75" customHeight="1">
      <c r="A173" s="775" t="s">
        <v>196</v>
      </c>
      <c r="B173" s="776"/>
      <c r="C173" s="547"/>
      <c r="D173" s="228" t="s">
        <v>142</v>
      </c>
      <c r="E173" s="95"/>
      <c r="F173" s="155"/>
      <c r="G173" s="155">
        <f>SUM(G170:G172)</f>
        <v>35</v>
      </c>
      <c r="H173" s="99">
        <f>G173+'12'!H173</f>
        <v>349</v>
      </c>
      <c r="I173" s="155"/>
      <c r="J173" s="178">
        <f>H173/DAY(B2)</f>
        <v>26.846153846153847</v>
      </c>
    </row>
    <row r="174" spans="1:10" ht="27.75" customHeight="1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G174+'12'!H174</f>
        <v>0</v>
      </c>
      <c r="I174" s="155"/>
      <c r="J174" s="178">
        <f>H174/DAY(B2)</f>
        <v>0</v>
      </c>
    </row>
    <row r="175" spans="1:10" ht="27.75" customHeight="1">
      <c r="A175" s="786" t="s">
        <v>210</v>
      </c>
      <c r="B175" s="787"/>
      <c r="C175" s="353"/>
      <c r="D175" s="228" t="s">
        <v>142</v>
      </c>
      <c r="E175" s="95">
        <f>'12'!F175</f>
        <v>75546</v>
      </c>
      <c r="F175" s="155">
        <v>75609</v>
      </c>
      <c r="G175" s="155">
        <f>F175-E175</f>
        <v>63</v>
      </c>
      <c r="H175" s="99">
        <f>G175+'12'!H175</f>
        <v>990</v>
      </c>
      <c r="I175" s="155"/>
      <c r="J175" s="178">
        <f>H175/DAY(B2)</f>
        <v>76.15384615384616</v>
      </c>
    </row>
    <row r="176" spans="1:10" ht="27.75" customHeight="1">
      <c r="A176" s="786" t="s">
        <v>211</v>
      </c>
      <c r="B176" s="787"/>
      <c r="C176" s="353"/>
      <c r="D176" s="228" t="s">
        <v>142</v>
      </c>
      <c r="E176" s="95">
        <f>'12'!F176</f>
        <v>33886</v>
      </c>
      <c r="F176" s="155">
        <v>33886</v>
      </c>
      <c r="G176" s="155">
        <f t="shared" ref="G176:G177" si="15">F176-E176</f>
        <v>0</v>
      </c>
      <c r="H176" s="99">
        <f>G176+'12'!H176</f>
        <v>0</v>
      </c>
      <c r="I176" s="155"/>
      <c r="J176" s="178">
        <f>H176/DAY(B2)</f>
        <v>0</v>
      </c>
    </row>
    <row r="177" spans="1:10" ht="27.75" customHeight="1">
      <c r="A177" s="786" t="s">
        <v>212</v>
      </c>
      <c r="B177" s="787"/>
      <c r="C177" s="353"/>
      <c r="D177" s="228" t="s">
        <v>142</v>
      </c>
      <c r="E177" s="95">
        <f>'12'!F177</f>
        <v>5130</v>
      </c>
      <c r="F177" s="155">
        <v>5154</v>
      </c>
      <c r="G177" s="155">
        <f t="shared" si="15"/>
        <v>24</v>
      </c>
      <c r="H177" s="99">
        <f>G177+'12'!H177</f>
        <v>113</v>
      </c>
      <c r="I177" s="155"/>
      <c r="J177" s="178">
        <f>H177/DAY(B2)</f>
        <v>8.6923076923076916</v>
      </c>
    </row>
    <row r="178" spans="1:10" ht="27.75" customHeight="1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87</v>
      </c>
      <c r="H178" s="99">
        <f>G178+'12'!H178</f>
        <v>1103</v>
      </c>
      <c r="I178" s="155"/>
      <c r="J178" s="178">
        <f>H178/DAY(B2)</f>
        <v>84.84615384615384</v>
      </c>
    </row>
    <row r="179" spans="1:10" ht="27.75" customHeight="1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G179+'12'!H179</f>
        <v>0</v>
      </c>
      <c r="I179" s="155"/>
      <c r="J179" s="178">
        <f>H179/DAY(B2)</f>
        <v>0</v>
      </c>
    </row>
    <row r="180" spans="1:10" ht="27.75" customHeight="1">
      <c r="A180" s="786" t="s">
        <v>214</v>
      </c>
      <c r="B180" s="787"/>
      <c r="C180" s="354"/>
      <c r="D180" s="228" t="s">
        <v>142</v>
      </c>
      <c r="E180" s="95">
        <f>'12'!F180</f>
        <v>14216</v>
      </c>
      <c r="F180" s="157">
        <v>14238</v>
      </c>
      <c r="G180" s="157">
        <f>F180-E180</f>
        <v>22</v>
      </c>
      <c r="H180" s="99">
        <f>G180+'12'!H180</f>
        <v>207</v>
      </c>
      <c r="I180" s="155"/>
      <c r="J180" s="178">
        <f>H180/DAY(B2)</f>
        <v>15.923076923076923</v>
      </c>
    </row>
    <row r="181" spans="1:10" ht="27.75" customHeight="1">
      <c r="A181" s="786" t="s">
        <v>215</v>
      </c>
      <c r="B181" s="787"/>
      <c r="C181" s="354"/>
      <c r="D181" s="228" t="s">
        <v>142</v>
      </c>
      <c r="E181" s="95">
        <f>'12'!F181</f>
        <v>9867</v>
      </c>
      <c r="F181" s="157">
        <v>9876</v>
      </c>
      <c r="G181" s="157">
        <f t="shared" ref="G181:G182" si="16">F181-E181</f>
        <v>9</v>
      </c>
      <c r="H181" s="99">
        <f>G181+'12'!H181</f>
        <v>122</v>
      </c>
      <c r="I181" s="155"/>
      <c r="J181" s="178">
        <f>H181/DAY(B2)</f>
        <v>9.384615384615385</v>
      </c>
    </row>
    <row r="182" spans="1:10" ht="27.75" customHeight="1">
      <c r="A182" s="786" t="s">
        <v>216</v>
      </c>
      <c r="B182" s="787"/>
      <c r="C182" s="354"/>
      <c r="D182" s="228" t="s">
        <v>142</v>
      </c>
      <c r="E182" s="95">
        <f>'12'!F182</f>
        <v>0</v>
      </c>
      <c r="F182" s="157">
        <v>0</v>
      </c>
      <c r="G182" s="157">
        <f t="shared" si="16"/>
        <v>0</v>
      </c>
      <c r="H182" s="99">
        <f>G182+'12'!H182</f>
        <v>0</v>
      </c>
      <c r="I182" s="155"/>
      <c r="J182" s="178">
        <f>H182/DAY(B2)</f>
        <v>0</v>
      </c>
    </row>
    <row r="183" spans="1:10" ht="27.75" customHeight="1">
      <c r="A183" s="775" t="s">
        <v>196</v>
      </c>
      <c r="B183" s="776"/>
      <c r="C183" s="546"/>
      <c r="D183" s="228" t="s">
        <v>142</v>
      </c>
      <c r="E183" s="95"/>
      <c r="F183" s="157"/>
      <c r="G183" s="157">
        <f>SUM(G180:G182)</f>
        <v>31</v>
      </c>
      <c r="H183" s="99">
        <f>G183+'12'!H183</f>
        <v>329</v>
      </c>
      <c r="I183" s="157"/>
      <c r="J183" s="178">
        <f>H183/DAY(B2)</f>
        <v>25.307692307692307</v>
      </c>
    </row>
    <row r="184" spans="1:10" ht="27.75" customHeight="1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187</v>
      </c>
      <c r="H184" s="99">
        <f>G184+'12'!H184</f>
        <v>2223</v>
      </c>
      <c r="I184" s="158"/>
      <c r="J184" s="179">
        <f>H184/DAY(B2)</f>
        <v>171</v>
      </c>
    </row>
    <row r="185" spans="1:10" ht="27.75" customHeight="1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192</v>
      </c>
      <c r="H185" s="99" t="s">
        <v>207</v>
      </c>
      <c r="I185" s="158"/>
      <c r="J185" s="179" t="e">
        <f>H185/DAY(B2)</f>
        <v>#VALUE!</v>
      </c>
    </row>
    <row r="186" spans="1:10" ht="27.75" customHeight="1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87</v>
      </c>
      <c r="H186" s="99">
        <f>G186+'12'!H186</f>
        <v>1103</v>
      </c>
      <c r="I186" s="158"/>
      <c r="J186" s="179">
        <f>H186/DAY(B2)</f>
        <v>84.84615384615384</v>
      </c>
    </row>
    <row r="187" spans="1:10" ht="27.75" customHeight="1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57:J157"/>
    <mergeCell ref="A163:B163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83:B183"/>
    <mergeCell ref="A184:B184"/>
    <mergeCell ref="A185:B185"/>
    <mergeCell ref="A186:B186"/>
    <mergeCell ref="A187:B187"/>
    <mergeCell ref="A171:B171"/>
    <mergeCell ref="A173:B173"/>
    <mergeCell ref="A174:B174"/>
    <mergeCell ref="A175:B175"/>
    <mergeCell ref="A176:B176"/>
    <mergeCell ref="A178:B178"/>
    <mergeCell ref="A179:B179"/>
    <mergeCell ref="A172:C172"/>
    <mergeCell ref="A180:B180"/>
    <mergeCell ref="A181:B181"/>
    <mergeCell ref="A177:B177"/>
    <mergeCell ref="A182:B182"/>
    <mergeCell ref="A164:B164"/>
    <mergeCell ref="A165:B165"/>
    <mergeCell ref="A168:J168"/>
    <mergeCell ref="A169:B169"/>
    <mergeCell ref="A170:B170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87"/>
  <sheetViews>
    <sheetView view="pageBreakPreview" topLeftCell="A118" zoomScale="55" zoomScaleSheetLayoutView="55" workbookViewId="0">
      <selection activeCell="I153" sqref="I153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.75" customHeight="1">
      <c r="A2" s="191" t="s">
        <v>303</v>
      </c>
      <c r="B2" s="266">
        <v>44483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68" t="s">
        <v>118</v>
      </c>
      <c r="D3" s="219">
        <v>27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6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971389</v>
      </c>
      <c r="F7" s="95">
        <v>993641</v>
      </c>
      <c r="G7" s="112">
        <f>F7-E7</f>
        <v>22252</v>
      </c>
      <c r="H7" s="99">
        <f>G7+'13'!H7</f>
        <v>307377.69999999995</v>
      </c>
      <c r="I7" s="113">
        <f>'1'!I7</f>
        <v>12000</v>
      </c>
      <c r="J7" s="175">
        <f>H7/DAY(B2)</f>
        <v>21955.549999999996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1002383</v>
      </c>
      <c r="F8" s="95">
        <v>1024765</v>
      </c>
      <c r="G8" s="115">
        <f>F8-E8</f>
        <v>22382</v>
      </c>
      <c r="H8" s="99">
        <f>G8+'13'!H8</f>
        <v>311601.09999999998</v>
      </c>
      <c r="I8" s="116"/>
      <c r="J8" s="175">
        <f>H8/DAY(B2)</f>
        <v>22257.221428571425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1437206</v>
      </c>
      <c r="F9" s="373">
        <v>1453906</v>
      </c>
      <c r="G9" s="112">
        <f>F9-E9</f>
        <v>16700</v>
      </c>
      <c r="H9" s="99">
        <f>G9+'13'!H9</f>
        <v>192627.5</v>
      </c>
      <c r="I9" s="124">
        <f>I7-J7</f>
        <v>-9955.5499999999956</v>
      </c>
      <c r="J9" s="175">
        <f>H9/DAY(B2)</f>
        <v>13759.107142857143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270011</v>
      </c>
      <c r="F10" s="373">
        <v>274911</v>
      </c>
      <c r="G10" s="112">
        <f t="shared" ref="G10:G12" si="0">F10-E10</f>
        <v>4900</v>
      </c>
      <c r="H10" s="99">
        <f>G10+'13'!H10</f>
        <v>106527.07</v>
      </c>
      <c r="I10" s="286"/>
      <c r="J10" s="175">
        <f>H10/DAY(B2)</f>
        <v>7609.0764285714295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21600</v>
      </c>
      <c r="H13" s="99">
        <f>G13+'13'!H13</f>
        <v>278348.11</v>
      </c>
      <c r="I13" s="120">
        <f>G7-G13</f>
        <v>652</v>
      </c>
      <c r="J13" s="175">
        <f>H13/DAY(B2)</f>
        <v>19882.007857142857</v>
      </c>
      <c r="K13" s="79"/>
      <c r="L13" s="66"/>
      <c r="N13" s="87"/>
      <c r="O13" s="71"/>
    </row>
    <row r="14" spans="1:15" ht="27.75" customHeight="1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65" t="s">
        <v>138</v>
      </c>
      <c r="B15" s="205"/>
      <c r="C15" s="205"/>
      <c r="D15" s="151" t="s">
        <v>139</v>
      </c>
      <c r="E15" s="95">
        <v>718279</v>
      </c>
      <c r="F15" s="123">
        <v>719069</v>
      </c>
      <c r="G15" s="112">
        <f>(F15-E15)*1.443</f>
        <v>1139.97</v>
      </c>
      <c r="H15" s="99">
        <f>G15+'13'!H15</f>
        <v>14025.010000000037</v>
      </c>
      <c r="I15" s="113">
        <f>'1'!I15</f>
        <v>800</v>
      </c>
      <c r="J15" s="175">
        <f>H15/DAY(B2)</f>
        <v>1001.7864285714312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-201.7864285714312</v>
      </c>
      <c r="J16" s="176"/>
      <c r="K16" s="79"/>
      <c r="L16" s="66"/>
      <c r="N16" s="87"/>
      <c r="O16" s="71"/>
    </row>
    <row r="17" spans="1:15" ht="27.75" customHeight="1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14" t="s">
        <v>141</v>
      </c>
      <c r="B18" s="815"/>
      <c r="C18" s="816"/>
      <c r="D18" s="151" t="s">
        <v>142</v>
      </c>
      <c r="E18" s="95">
        <f>'13'!F18</f>
        <v>20</v>
      </c>
      <c r="F18" s="122">
        <v>24</v>
      </c>
      <c r="G18" s="119">
        <f>F18*10</f>
        <v>240</v>
      </c>
      <c r="H18" s="99">
        <f>G18+'13'!H18</f>
        <v>2730</v>
      </c>
      <c r="I18" s="113">
        <f>'1'!I18</f>
        <v>65</v>
      </c>
      <c r="J18" s="175">
        <f>H18/DAY(B2)</f>
        <v>195</v>
      </c>
      <c r="K18" s="79"/>
      <c r="L18" s="66"/>
      <c r="N18" s="87"/>
      <c r="O18" s="71"/>
    </row>
    <row r="19" spans="1:15" ht="27.75" customHeight="1">
      <c r="A19" s="814" t="s">
        <v>69</v>
      </c>
      <c r="B19" s="815"/>
      <c r="C19" s="816"/>
      <c r="D19" s="151" t="s">
        <v>142</v>
      </c>
      <c r="E19" s="95">
        <f>'13'!F19</f>
        <v>149664</v>
      </c>
      <c r="F19" s="122">
        <v>149717</v>
      </c>
      <c r="G19" s="112">
        <f t="shared" ref="G19" si="1">F19-E19</f>
        <v>53</v>
      </c>
      <c r="H19" s="99">
        <f>G19+'13'!H19</f>
        <v>800</v>
      </c>
      <c r="I19" s="355"/>
      <c r="J19" s="175">
        <f>H19/DAY(B2)</f>
        <v>57.142857142857146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293</v>
      </c>
      <c r="H20" s="99">
        <f>G20+'13'!H20</f>
        <v>3530</v>
      </c>
      <c r="I20" s="356">
        <f>I18-J20</f>
        <v>-187.14285714285714</v>
      </c>
      <c r="J20" s="175">
        <f>H20/DAY(B2)</f>
        <v>252.14285714285714</v>
      </c>
      <c r="K20" s="79"/>
      <c r="L20" s="66"/>
      <c r="N20" s="87"/>
      <c r="O20" s="71"/>
    </row>
    <row r="21" spans="1:15" ht="27.75" customHeight="1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6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65" t="s">
        <v>147</v>
      </c>
      <c r="B23" s="205"/>
      <c r="C23" s="205"/>
      <c r="D23" s="151" t="s">
        <v>146</v>
      </c>
      <c r="E23" s="95">
        <f>'13'!F23</f>
        <v>2000</v>
      </c>
      <c r="F23" s="122">
        <v>2000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22382</v>
      </c>
      <c r="F27" s="136">
        <v>9</v>
      </c>
      <c r="G27" s="137">
        <f>E27*F27</f>
        <v>201438</v>
      </c>
      <c r="H27" s="99">
        <f>G27+'13'!H27</f>
        <v>2804409.9</v>
      </c>
      <c r="I27" s="138"/>
      <c r="J27" s="175">
        <f>H27/DAY(B2)</f>
        <v>200314.99285714285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1139.97</v>
      </c>
      <c r="F28" s="136">
        <v>52</v>
      </c>
      <c r="G28" s="137">
        <f>E28*F28</f>
        <v>59278.44</v>
      </c>
      <c r="H28" s="99">
        <f>G28+'13'!H28</f>
        <v>729300.52000000188</v>
      </c>
      <c r="I28" s="140"/>
      <c r="J28" s="175">
        <f>H28/DAY(B2)</f>
        <v>52092.894285714421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G30+'13'!H30</f>
        <v>116800</v>
      </c>
      <c r="I30" s="140"/>
      <c r="J30" s="175">
        <f>H30/DAY(B2)</f>
        <v>8342.8571428571431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G31+'13'!H31</f>
        <v>218400</v>
      </c>
      <c r="I31" s="140"/>
      <c r="J31" s="175">
        <f>H31/DAY(B2)</f>
        <v>15600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287654.44</v>
      </c>
      <c r="H32" s="99">
        <f>G32+'13'!H32</f>
        <v>3868910.4200000013</v>
      </c>
      <c r="I32" s="144"/>
      <c r="J32" s="175">
        <f>H32/DAY(B2)</f>
        <v>276350.74428571441</v>
      </c>
      <c r="K32" s="63"/>
      <c r="L32" s="89"/>
      <c r="N32" s="87"/>
      <c r="O32" s="71"/>
    </row>
    <row r="33" spans="1:15" ht="27.7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58587</v>
      </c>
      <c r="F35" s="145">
        <v>60379</v>
      </c>
      <c r="G35" s="112">
        <f t="shared" ref="G35:G46" si="3">F35-E35</f>
        <v>1792</v>
      </c>
      <c r="H35" s="99">
        <f>G35+'13'!H35</f>
        <v>27904.33</v>
      </c>
      <c r="I35" s="95"/>
      <c r="J35" s="175">
        <f>H35/DAY(B2)</f>
        <v>1993.1664285714287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61039</v>
      </c>
      <c r="F36" s="145">
        <v>61914</v>
      </c>
      <c r="G36" s="112">
        <f t="shared" si="3"/>
        <v>875</v>
      </c>
      <c r="H36" s="99">
        <f>G36+'13'!H36</f>
        <v>11974.330000000002</v>
      </c>
      <c r="I36" s="95"/>
      <c r="J36" s="175">
        <f>H36/DAY(B2)</f>
        <v>855.30928571428581</v>
      </c>
      <c r="K36" s="79"/>
      <c r="L36" s="66"/>
      <c r="N36" s="87"/>
      <c r="O36" s="36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117696</v>
      </c>
      <c r="F37" s="145">
        <v>119214</v>
      </c>
      <c r="G37" s="112">
        <f t="shared" si="3"/>
        <v>1518</v>
      </c>
      <c r="H37" s="99">
        <f>G37+'13'!H37</f>
        <v>22160.17</v>
      </c>
      <c r="I37" s="95"/>
      <c r="J37" s="175">
        <f>H37/DAY(B2)</f>
        <v>1582.8692857142855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138833</v>
      </c>
      <c r="F38" s="108">
        <v>140654</v>
      </c>
      <c r="G38" s="112">
        <f t="shared" si="3"/>
        <v>1821</v>
      </c>
      <c r="H38" s="99">
        <f>G38+'13'!H38</f>
        <v>25430.960000000006</v>
      </c>
      <c r="I38" s="95"/>
      <c r="J38" s="175">
        <f>H38/DAY(B2)</f>
        <v>1816.4971428571432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271005</v>
      </c>
      <c r="F39" s="145">
        <v>273829</v>
      </c>
      <c r="G39" s="112">
        <f t="shared" si="3"/>
        <v>2824</v>
      </c>
      <c r="H39" s="99">
        <f>G39+'13'!H39</f>
        <v>40447.950000000012</v>
      </c>
      <c r="I39" s="95"/>
      <c r="J39" s="175">
        <f>H39/DAY(B2)</f>
        <v>2889.1392857142864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0</v>
      </c>
      <c r="F40" s="145">
        <v>0</v>
      </c>
      <c r="G40" s="112">
        <f t="shared" si="3"/>
        <v>0</v>
      </c>
      <c r="H40" s="99">
        <f>G40+'13'!H40</f>
        <v>43.63</v>
      </c>
      <c r="I40" s="95"/>
      <c r="J40" s="175">
        <f>H40/DAY(B2)</f>
        <v>3.1164285714285715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585692</v>
      </c>
      <c r="F41" s="145">
        <v>589883</v>
      </c>
      <c r="G41" s="112">
        <f t="shared" si="3"/>
        <v>4191</v>
      </c>
      <c r="H41" s="99">
        <f>G41+'13'!H41</f>
        <v>8024.1700000000419</v>
      </c>
      <c r="I41" s="95"/>
      <c r="J41" s="175">
        <f>H41/DAY(B2)</f>
        <v>573.15500000000304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273705</v>
      </c>
      <c r="F42" s="145">
        <v>273705</v>
      </c>
      <c r="G42" s="112">
        <f t="shared" si="3"/>
        <v>0</v>
      </c>
      <c r="H42" s="99">
        <f>G42+'13'!H42</f>
        <v>2735.3300000000163</v>
      </c>
      <c r="I42" s="95"/>
      <c r="J42" s="175">
        <f>H42/DAY(B2)</f>
        <v>195.38071428571544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1480627</v>
      </c>
      <c r="F43" s="145">
        <v>1483198</v>
      </c>
      <c r="G43" s="112">
        <f t="shared" si="3"/>
        <v>2571</v>
      </c>
      <c r="H43" s="99">
        <f>G43+'13'!H43</f>
        <v>37110.600000000093</v>
      </c>
      <c r="I43" s="95"/>
      <c r="J43" s="175">
        <f>H43/DAY(B2)</f>
        <v>2650.7571428571496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15592</v>
      </c>
      <c r="H47" s="99">
        <f>G47+'13'!H47</f>
        <v>175831.47000000015</v>
      </c>
      <c r="I47" s="95"/>
      <c r="J47" s="175">
        <f>H47/DAY(B2)</f>
        <v>12559.390714285724</v>
      </c>
      <c r="K47" s="79"/>
      <c r="L47" s="66"/>
      <c r="N47" s="87"/>
      <c r="O47" s="71"/>
    </row>
    <row r="48" spans="1:15" ht="27.75" customHeight="1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192721</v>
      </c>
      <c r="F49" s="145">
        <v>194369</v>
      </c>
      <c r="G49" s="112">
        <f t="shared" ref="G49:G58" si="4">F49-E49</f>
        <v>1648</v>
      </c>
      <c r="H49" s="99">
        <f>G49+'13'!H49</f>
        <v>21638.609999999986</v>
      </c>
      <c r="I49" s="95"/>
      <c r="J49" s="175">
        <f>H49/DAY(B2)</f>
        <v>1545.6149999999991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699139</v>
      </c>
      <c r="F50" s="145">
        <v>700333</v>
      </c>
      <c r="G50" s="112">
        <f t="shared" si="4"/>
        <v>1194</v>
      </c>
      <c r="H50" s="99">
        <f>G50+'13'!H50</f>
        <v>15970.689999999944</v>
      </c>
      <c r="I50" s="95"/>
      <c r="J50" s="175">
        <f>H50/DAY(B2)</f>
        <v>1140.7635714285675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2935</v>
      </c>
      <c r="F54" s="145">
        <v>2941</v>
      </c>
      <c r="G54" s="112">
        <f t="shared" si="4"/>
        <v>6</v>
      </c>
      <c r="H54" s="99">
        <f>G54+'13'!H54</f>
        <v>73.510000000000218</v>
      </c>
      <c r="I54" s="95"/>
      <c r="J54" s="175">
        <f>H54/DAY(B2)</f>
        <v>5.2507142857143014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0</v>
      </c>
      <c r="F55" s="145">
        <v>0</v>
      </c>
      <c r="G55" s="112">
        <f t="shared" si="4"/>
        <v>0</v>
      </c>
      <c r="H55" s="99">
        <f>G55+'13'!H55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108236</v>
      </c>
      <c r="F56" s="145">
        <v>110224</v>
      </c>
      <c r="G56" s="112">
        <f t="shared" si="4"/>
        <v>1988</v>
      </c>
      <c r="H56" s="99">
        <f>G56+'13'!H56</f>
        <v>67383.709999999992</v>
      </c>
      <c r="I56" s="95"/>
      <c r="J56" s="175">
        <f>H56/DAY(B2)</f>
        <v>4813.1221428571425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81649</v>
      </c>
      <c r="F58" s="145">
        <v>81852</v>
      </c>
      <c r="G58" s="112">
        <f t="shared" si="4"/>
        <v>203</v>
      </c>
      <c r="H58" s="99">
        <f>G58+'13'!H58</f>
        <v>2832.1000000000058</v>
      </c>
      <c r="I58" s="95"/>
      <c r="J58" s="175">
        <f>H58/DAY(B2)</f>
        <v>202.29285714285757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5039</v>
      </c>
      <c r="H59" s="99">
        <f>G59+'13'!H59</f>
        <v>107898.61999999994</v>
      </c>
      <c r="I59" s="95">
        <f>G7-G60</f>
        <v>1621</v>
      </c>
      <c r="J59" s="175">
        <f>H59/DAY(B2)</f>
        <v>7707.0442857142816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20631</v>
      </c>
      <c r="H60" s="99">
        <f>G60+'13'!H60</f>
        <v>283730.09000000008</v>
      </c>
      <c r="I60" s="95">
        <f>G13-G60</f>
        <v>969</v>
      </c>
      <c r="J60" s="175">
        <f>H60/DAY(B2)</f>
        <v>20266.435000000005</v>
      </c>
      <c r="K60" s="79"/>
      <c r="L60" s="66"/>
      <c r="N60" s="87"/>
      <c r="O60" s="71"/>
    </row>
    <row r="61" spans="1:15" s="68" customFormat="1" ht="27.75" customHeight="1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>
      <c r="A62" s="814" t="s">
        <v>198</v>
      </c>
      <c r="B62" s="815"/>
      <c r="C62" s="816"/>
      <c r="D62" s="151" t="s">
        <v>142</v>
      </c>
      <c r="E62" s="95">
        <f>'13'!F62</f>
        <v>261294</v>
      </c>
      <c r="F62" s="122">
        <v>261435</v>
      </c>
      <c r="G62" s="112">
        <f t="shared" ref="G62:G63" si="5">F62-E62</f>
        <v>141</v>
      </c>
      <c r="H62" s="99">
        <f>G62+'13'!H62</f>
        <v>1617</v>
      </c>
      <c r="I62" s="118"/>
      <c r="J62" s="175">
        <f>H62/DAY(B2)</f>
        <v>115.5</v>
      </c>
      <c r="K62" s="80"/>
      <c r="L62" s="66"/>
      <c r="N62" s="87"/>
      <c r="O62" s="71"/>
    </row>
    <row r="63" spans="1:15" ht="27.75" customHeight="1">
      <c r="A63" s="814" t="s">
        <v>199</v>
      </c>
      <c r="B63" s="815"/>
      <c r="C63" s="816"/>
      <c r="D63" s="151" t="s">
        <v>142</v>
      </c>
      <c r="E63" s="122">
        <v>207556</v>
      </c>
      <c r="F63" s="122">
        <v>207673</v>
      </c>
      <c r="G63" s="112">
        <f t="shared" si="5"/>
        <v>117</v>
      </c>
      <c r="H63" s="99">
        <f>G63+'13'!H63</f>
        <v>1403</v>
      </c>
      <c r="I63" s="118"/>
      <c r="J63" s="175">
        <f>H63/DAY(B2)</f>
        <v>100.21428571428571</v>
      </c>
      <c r="K63" s="69"/>
      <c r="L63" s="66"/>
      <c r="N63" s="87"/>
      <c r="O63" s="71"/>
    </row>
    <row r="64" spans="1:15" ht="27.75" customHeight="1">
      <c r="A64" s="823" t="s">
        <v>200</v>
      </c>
      <c r="B64" s="824"/>
      <c r="C64" s="825"/>
      <c r="D64" s="151"/>
      <c r="E64" s="95">
        <f>'13'!F64</f>
        <v>0</v>
      </c>
      <c r="F64" s="122"/>
      <c r="G64" s="112">
        <f>G62+G63</f>
        <v>258</v>
      </c>
      <c r="H64" s="99">
        <f>G64+'13'!H64</f>
        <v>3020</v>
      </c>
      <c r="I64" s="118"/>
      <c r="J64" s="175">
        <f>H64/DAY(B2)</f>
        <v>215.71428571428572</v>
      </c>
      <c r="K64" s="69"/>
      <c r="L64" s="66"/>
      <c r="N64" s="87"/>
      <c r="O64" s="71"/>
    </row>
    <row r="65" spans="1:15" ht="27.75" customHeight="1">
      <c r="A65" s="814" t="s">
        <v>201</v>
      </c>
      <c r="B65" s="815"/>
      <c r="C65" s="816"/>
      <c r="D65" s="151" t="s">
        <v>142</v>
      </c>
      <c r="E65" s="95">
        <f>'13'!F65</f>
        <v>427503</v>
      </c>
      <c r="F65" s="122">
        <v>427604</v>
      </c>
      <c r="G65" s="112">
        <f t="shared" ref="G65:G70" si="6">F65-E65</f>
        <v>101</v>
      </c>
      <c r="H65" s="99">
        <f>G65+'13'!H65</f>
        <v>1399</v>
      </c>
      <c r="I65" s="118"/>
      <c r="J65" s="175">
        <f>H65/DAY(B2)</f>
        <v>99.928571428571431</v>
      </c>
      <c r="K65" s="69"/>
      <c r="L65" s="66"/>
      <c r="N65" s="87"/>
      <c r="O65" s="71"/>
    </row>
    <row r="66" spans="1:15" ht="27.75" customHeight="1">
      <c r="A66" s="365" t="s">
        <v>202</v>
      </c>
      <c r="B66" s="366"/>
      <c r="C66" s="366"/>
      <c r="D66" s="151" t="s">
        <v>142</v>
      </c>
      <c r="E66" s="95">
        <f>'13'!F66</f>
        <v>106251</v>
      </c>
      <c r="F66" s="122">
        <v>106277</v>
      </c>
      <c r="G66" s="112">
        <f t="shared" si="6"/>
        <v>26</v>
      </c>
      <c r="H66" s="99">
        <f>G66+'13'!H66</f>
        <v>307</v>
      </c>
      <c r="I66" s="118"/>
      <c r="J66" s="175">
        <f>H66/DAY(B2)</f>
        <v>21.928571428571427</v>
      </c>
      <c r="K66" s="78"/>
      <c r="L66" s="66"/>
      <c r="N66" s="87"/>
      <c r="O66" s="71"/>
    </row>
    <row r="67" spans="1:15" ht="27.75" customHeight="1">
      <c r="A67" s="365" t="s">
        <v>203</v>
      </c>
      <c r="B67" s="366"/>
      <c r="C67" s="366"/>
      <c r="D67" s="151" t="s">
        <v>142</v>
      </c>
      <c r="E67" s="95">
        <f>'13'!F67</f>
        <v>102526</v>
      </c>
      <c r="F67" s="122">
        <v>102550</v>
      </c>
      <c r="G67" s="112">
        <f t="shared" si="6"/>
        <v>24</v>
      </c>
      <c r="H67" s="99">
        <f>G67+'13'!H67</f>
        <v>379</v>
      </c>
      <c r="I67" s="118"/>
      <c r="J67" s="175">
        <f>H67/DAY(B2)</f>
        <v>27.071428571428573</v>
      </c>
      <c r="K67" s="81"/>
      <c r="L67" s="66"/>
      <c r="N67" s="87"/>
      <c r="O67" s="71"/>
    </row>
    <row r="68" spans="1:15" ht="27.75" customHeight="1">
      <c r="A68" s="365" t="s">
        <v>204</v>
      </c>
      <c r="B68" s="366"/>
      <c r="C68" s="366"/>
      <c r="D68" s="151" t="s">
        <v>142</v>
      </c>
      <c r="E68" s="95">
        <f>'13'!F68</f>
        <v>154919</v>
      </c>
      <c r="F68" s="122">
        <v>154942</v>
      </c>
      <c r="G68" s="112">
        <f t="shared" si="6"/>
        <v>23</v>
      </c>
      <c r="H68" s="99">
        <f>G68+'13'!H68</f>
        <v>446</v>
      </c>
      <c r="I68" s="118"/>
      <c r="J68" s="175">
        <f>H68/DAY(B2)</f>
        <v>31.857142857142858</v>
      </c>
      <c r="K68" s="69"/>
      <c r="L68" s="66"/>
      <c r="N68" s="87"/>
      <c r="O68" s="71"/>
    </row>
    <row r="69" spans="1:15" ht="27.75" customHeight="1">
      <c r="A69" s="365" t="s">
        <v>205</v>
      </c>
      <c r="B69" s="366"/>
      <c r="C69" s="366"/>
      <c r="D69" s="151" t="s">
        <v>142</v>
      </c>
      <c r="E69" s="95">
        <f>'13'!F69</f>
        <v>9636</v>
      </c>
      <c r="F69" s="122">
        <v>9646</v>
      </c>
      <c r="G69" s="112">
        <f t="shared" si="6"/>
        <v>10</v>
      </c>
      <c r="H69" s="99">
        <f>G69+'13'!H69</f>
        <v>181</v>
      </c>
      <c r="I69" s="118"/>
      <c r="J69" s="175">
        <f>H69/DAY(B2)</f>
        <v>12.928571428571429</v>
      </c>
      <c r="K69" s="69"/>
      <c r="L69" s="66"/>
      <c r="N69" s="87"/>
      <c r="O69" s="71"/>
    </row>
    <row r="70" spans="1:15" ht="27.75" customHeight="1">
      <c r="A70" s="365" t="s">
        <v>206</v>
      </c>
      <c r="B70" s="366"/>
      <c r="C70" s="366"/>
      <c r="D70" s="151" t="s">
        <v>142</v>
      </c>
      <c r="E70" s="95">
        <f>'13'!F70</f>
        <v>7354</v>
      </c>
      <c r="F70" s="122">
        <v>7363</v>
      </c>
      <c r="G70" s="112">
        <f t="shared" si="6"/>
        <v>9</v>
      </c>
      <c r="H70" s="99">
        <f>G70+'13'!H70</f>
        <v>160</v>
      </c>
      <c r="I70" s="118"/>
      <c r="J70" s="175">
        <f>H70/DAY(B2)</f>
        <v>11.428571428571429</v>
      </c>
      <c r="K70" s="69"/>
      <c r="L70" s="66"/>
      <c r="N70" s="87"/>
      <c r="O70" s="71"/>
    </row>
    <row r="71" spans="1:15" ht="27.75" customHeight="1">
      <c r="A71" s="823" t="s">
        <v>208</v>
      </c>
      <c r="B71" s="824"/>
      <c r="C71" s="825"/>
      <c r="D71" s="152"/>
      <c r="E71" s="152"/>
      <c r="F71" s="152"/>
      <c r="G71" s="153">
        <f>SUM(G65:G70)</f>
        <v>193</v>
      </c>
      <c r="H71" s="99">
        <f>G71+'13'!H71</f>
        <v>2872</v>
      </c>
      <c r="I71" s="154"/>
      <c r="J71" s="175">
        <f>H71/DAY(B2)</f>
        <v>205.14285714285714</v>
      </c>
      <c r="K71" s="69"/>
      <c r="L71" s="66"/>
      <c r="N71" s="87"/>
      <c r="O71" s="71"/>
    </row>
    <row r="72" spans="1:15" s="88" customFormat="1" ht="27.75" customHeight="1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>
      <c r="A74" s="814" t="s">
        <v>220</v>
      </c>
      <c r="B74" s="815"/>
      <c r="C74" s="816"/>
      <c r="D74" s="151" t="s">
        <v>139</v>
      </c>
      <c r="E74" s="95">
        <f>'13'!F74</f>
        <v>877378</v>
      </c>
      <c r="F74" s="117">
        <v>877658</v>
      </c>
      <c r="G74" s="112">
        <f t="shared" ref="G74:G78" si="7">F74-E74</f>
        <v>280</v>
      </c>
      <c r="H74" s="99">
        <f>G74+'13'!H74</f>
        <v>4072.7689999999711</v>
      </c>
      <c r="I74" s="154"/>
      <c r="J74" s="175">
        <f>H74/DAY(B2)</f>
        <v>290.91207142856939</v>
      </c>
      <c r="K74" s="69"/>
      <c r="L74" s="66"/>
      <c r="N74" s="87"/>
      <c r="O74" s="71"/>
    </row>
    <row r="75" spans="1:15" ht="27.75" customHeight="1">
      <c r="A75" s="814" t="s">
        <v>221</v>
      </c>
      <c r="B75" s="815"/>
      <c r="C75" s="816"/>
      <c r="D75" s="151" t="s">
        <v>139</v>
      </c>
      <c r="E75" s="95">
        <f>'13'!F75</f>
        <v>73586.8</v>
      </c>
      <c r="F75" s="123">
        <v>73586.8</v>
      </c>
      <c r="G75" s="112">
        <f t="shared" si="7"/>
        <v>0</v>
      </c>
      <c r="H75" s="99">
        <f>G75+'13'!H75</f>
        <v>3.4000000000087311</v>
      </c>
      <c r="I75" s="154"/>
      <c r="J75" s="175">
        <f>H75/DAY(B2)</f>
        <v>0.24285714285776652</v>
      </c>
      <c r="K75" s="69"/>
      <c r="L75" s="66"/>
      <c r="N75" s="87"/>
      <c r="O75" s="71"/>
    </row>
    <row r="76" spans="1:15" ht="27.75" customHeight="1">
      <c r="A76" s="811" t="s">
        <v>222</v>
      </c>
      <c r="B76" s="812"/>
      <c r="C76" s="813"/>
      <c r="D76" s="151" t="s">
        <v>139</v>
      </c>
      <c r="E76" s="95">
        <f>'13'!F76</f>
        <v>161296</v>
      </c>
      <c r="F76" s="123">
        <v>161424</v>
      </c>
      <c r="G76" s="112">
        <f t="shared" si="7"/>
        <v>128</v>
      </c>
      <c r="H76" s="99">
        <f>G76+'13'!H76</f>
        <v>1438.5</v>
      </c>
      <c r="I76" s="154"/>
      <c r="J76" s="175">
        <f>H76/DAY(B2)</f>
        <v>102.75</v>
      </c>
      <c r="K76" s="69"/>
      <c r="L76" s="66"/>
      <c r="N76" s="87"/>
      <c r="O76" s="71"/>
    </row>
    <row r="77" spans="1:15" ht="27.75" customHeight="1">
      <c r="A77" s="811" t="s">
        <v>223</v>
      </c>
      <c r="B77" s="812"/>
      <c r="C77" s="813"/>
      <c r="D77" s="151" t="s">
        <v>139</v>
      </c>
      <c r="E77" s="95">
        <f>'13'!F77</f>
        <v>38026</v>
      </c>
      <c r="F77" s="123">
        <v>38067</v>
      </c>
      <c r="G77" s="112">
        <f t="shared" si="7"/>
        <v>41</v>
      </c>
      <c r="H77" s="99">
        <f>G77+'13'!H77</f>
        <v>569.5</v>
      </c>
      <c r="I77" s="154"/>
      <c r="J77" s="175">
        <f>H77/DAY(B2)</f>
        <v>40.678571428571431</v>
      </c>
      <c r="K77" s="69"/>
      <c r="L77" s="66"/>
      <c r="N77" s="87"/>
      <c r="O77" s="71"/>
    </row>
    <row r="78" spans="1:15" ht="27.75" customHeight="1">
      <c r="A78" s="811" t="s">
        <v>224</v>
      </c>
      <c r="B78" s="812"/>
      <c r="C78" s="813"/>
      <c r="D78" s="151" t="s">
        <v>139</v>
      </c>
      <c r="E78" s="95">
        <f>'13'!F78</f>
        <v>9359</v>
      </c>
      <c r="F78" s="123">
        <v>9360</v>
      </c>
      <c r="G78" s="112">
        <f t="shared" si="7"/>
        <v>1</v>
      </c>
      <c r="H78" s="99">
        <f>G78+'13'!H78</f>
        <v>30.600000000000364</v>
      </c>
      <c r="I78" s="118"/>
      <c r="J78" s="175">
        <f>H78/DAY(B2)</f>
        <v>2.1857142857143117</v>
      </c>
      <c r="K78" s="69"/>
      <c r="L78" s="66"/>
      <c r="N78" s="87"/>
      <c r="O78" s="71"/>
    </row>
    <row r="79" spans="1:15" s="57" customFormat="1" ht="27.75" customHeight="1">
      <c r="A79" s="811" t="s">
        <v>225</v>
      </c>
      <c r="B79" s="812"/>
      <c r="C79" s="813"/>
      <c r="D79" s="151"/>
      <c r="E79" s="95">
        <f>'13'!F79</f>
        <v>0</v>
      </c>
      <c r="F79" s="117"/>
      <c r="G79" s="112">
        <f>G15-SUM(G74:G78)</f>
        <v>689.97</v>
      </c>
      <c r="H79" s="99">
        <f>G79+'13'!H79</f>
        <v>7910.2410000000573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23" t="s">
        <v>329</v>
      </c>
      <c r="B80" s="824"/>
      <c r="C80" s="825"/>
      <c r="D80" s="151"/>
      <c r="E80" s="117"/>
      <c r="F80" s="117"/>
      <c r="G80" s="112">
        <f>SUM(G74:G79)</f>
        <v>1139.97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65" t="s">
        <v>227</v>
      </c>
      <c r="B82" s="366"/>
      <c r="C82" s="36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>
      <c r="A83" s="365" t="s">
        <v>229</v>
      </c>
      <c r="B83" s="366"/>
      <c r="C83" s="36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>
      <c r="A84" s="365" t="s">
        <v>230</v>
      </c>
      <c r="B84" s="366"/>
      <c r="C84" s="366"/>
      <c r="D84" s="151" t="s">
        <v>228</v>
      </c>
      <c r="E84" s="95">
        <f>'13'!F84</f>
        <v>41606</v>
      </c>
      <c r="F84" s="164">
        <v>41625</v>
      </c>
      <c r="G84" s="112">
        <f t="shared" si="8"/>
        <v>19</v>
      </c>
      <c r="H84" s="99">
        <f>G84+'13'!H84</f>
        <v>39.440000000002328</v>
      </c>
      <c r="I84" s="118"/>
      <c r="J84" s="175">
        <f>H84/DAY(B2)</f>
        <v>2.8171428571430233</v>
      </c>
      <c r="O84" s="71"/>
    </row>
    <row r="85" spans="1:15" ht="27.75" customHeight="1">
      <c r="A85" s="365" t="s">
        <v>231</v>
      </c>
      <c r="B85" s="366"/>
      <c r="C85" s="366"/>
      <c r="D85" s="151" t="s">
        <v>228</v>
      </c>
      <c r="E85" s="95">
        <f>'13'!F85</f>
        <v>1317.51</v>
      </c>
      <c r="F85" s="164">
        <v>1317.51</v>
      </c>
      <c r="G85" s="112">
        <f t="shared" si="8"/>
        <v>0</v>
      </c>
      <c r="H85" s="99">
        <f>G85+'13'!H85</f>
        <v>12.509999999999991</v>
      </c>
      <c r="I85" s="118">
        <f>G82+G83+G84+G85</f>
        <v>19</v>
      </c>
      <c r="J85" s="175">
        <f>H85/DAY(B2)</f>
        <v>0.89357142857142791</v>
      </c>
      <c r="O85" s="71"/>
    </row>
    <row r="86" spans="1:15" ht="27.75" customHeight="1">
      <c r="A86" s="365" t="s">
        <v>232</v>
      </c>
      <c r="B86" s="366"/>
      <c r="C86" s="366"/>
      <c r="D86" s="151" t="s">
        <v>228</v>
      </c>
      <c r="E86" s="95">
        <f>'13'!F86</f>
        <v>42826.47</v>
      </c>
      <c r="F86" s="164">
        <v>42826.47</v>
      </c>
      <c r="G86" s="112">
        <f t="shared" si="8"/>
        <v>0</v>
      </c>
      <c r="H86" s="99">
        <f>G86+'13'!H86</f>
        <v>0.47000000000116415</v>
      </c>
      <c r="I86" s="118"/>
      <c r="J86" s="175">
        <f>H86/DAY(B2)</f>
        <v>3.3571428571511727E-2</v>
      </c>
      <c r="O86" s="71"/>
    </row>
    <row r="87" spans="1:15" ht="27.75" customHeight="1">
      <c r="A87" s="365" t="s">
        <v>233</v>
      </c>
      <c r="B87" s="366"/>
      <c r="C87" s="366"/>
      <c r="D87" s="151" t="s">
        <v>228</v>
      </c>
      <c r="E87" s="95">
        <f>'13'!F87</f>
        <v>34059</v>
      </c>
      <c r="F87" s="164">
        <v>34069</v>
      </c>
      <c r="G87" s="112">
        <f t="shared" si="8"/>
        <v>10</v>
      </c>
      <c r="H87" s="99">
        <f>G87+'13'!H87</f>
        <v>321</v>
      </c>
      <c r="I87" s="118"/>
      <c r="J87" s="175">
        <f>H87/DAY(B2)</f>
        <v>22.928571428571427</v>
      </c>
      <c r="O87" s="71"/>
    </row>
    <row r="88" spans="1:15" ht="27.75" customHeight="1">
      <c r="A88" s="365" t="s">
        <v>234</v>
      </c>
      <c r="B88" s="366"/>
      <c r="C88" s="366"/>
      <c r="D88" s="151" t="s">
        <v>228</v>
      </c>
      <c r="E88" s="95">
        <f>'13'!F88</f>
        <v>23878.59</v>
      </c>
      <c r="F88" s="164">
        <v>23878.59</v>
      </c>
      <c r="G88" s="112">
        <f t="shared" si="8"/>
        <v>0</v>
      </c>
      <c r="H88" s="99">
        <f>G88+'13'!H88</f>
        <v>45.020000000000437</v>
      </c>
      <c r="I88" s="118">
        <f>G86+G87+G88</f>
        <v>10</v>
      </c>
      <c r="J88" s="175">
        <f>H88/DAY(B2)</f>
        <v>3.2157142857143168</v>
      </c>
      <c r="O88" s="71"/>
    </row>
    <row r="89" spans="1:15" ht="27.75" customHeight="1">
      <c r="A89" s="365" t="s">
        <v>235</v>
      </c>
      <c r="B89" s="366"/>
      <c r="C89" s="366"/>
      <c r="D89" s="151" t="s">
        <v>228</v>
      </c>
      <c r="E89" s="95">
        <f>'13'!F89</f>
        <v>25328.23</v>
      </c>
      <c r="F89" s="164">
        <v>25338.5</v>
      </c>
      <c r="G89" s="112">
        <f t="shared" si="8"/>
        <v>10.270000000000437</v>
      </c>
      <c r="H89" s="99">
        <f>G89+'13'!H89</f>
        <v>93.119999999998981</v>
      </c>
      <c r="I89" s="118"/>
      <c r="J89" s="175">
        <f>H89/DAY(B2)</f>
        <v>6.6514285714284984</v>
      </c>
      <c r="O89" s="71"/>
    </row>
    <row r="90" spans="1:15" ht="27.75" customHeight="1">
      <c r="A90" s="365" t="s">
        <v>236</v>
      </c>
      <c r="B90" s="366"/>
      <c r="C90" s="366"/>
      <c r="D90" s="151" t="s">
        <v>228</v>
      </c>
      <c r="E90" s="95">
        <f>'13'!F90</f>
        <v>70714.81</v>
      </c>
      <c r="F90" s="164">
        <v>70721.95</v>
      </c>
      <c r="G90" s="112">
        <f t="shared" si="8"/>
        <v>7.1399999999994179</v>
      </c>
      <c r="H90" s="99">
        <f>G90+'13'!H90</f>
        <v>66.539999999993597</v>
      </c>
      <c r="I90" s="118">
        <f>G89+G90</f>
        <v>17.409999999999854</v>
      </c>
      <c r="J90" s="175">
        <f>H90/DAY(B2)</f>
        <v>4.7528571428566853</v>
      </c>
      <c r="O90" s="71"/>
    </row>
    <row r="91" spans="1:15" ht="27.75" customHeight="1">
      <c r="A91" s="365" t="s">
        <v>237</v>
      </c>
      <c r="B91" s="366"/>
      <c r="C91" s="366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0</v>
      </c>
      <c r="I91" s="165"/>
      <c r="J91" s="175">
        <f>H91/DAY(B2)</f>
        <v>0</v>
      </c>
      <c r="O91" s="71"/>
    </row>
    <row r="92" spans="1:15" ht="27.75" customHeight="1">
      <c r="A92" s="365" t="s">
        <v>238</v>
      </c>
      <c r="B92" s="366"/>
      <c r="C92" s="366"/>
      <c r="D92" s="151" t="s">
        <v>228</v>
      </c>
      <c r="E92" s="95">
        <f>'13'!F92</f>
        <v>4925.1499999999996</v>
      </c>
      <c r="F92" s="122">
        <v>4934.9399999999996</v>
      </c>
      <c r="G92" s="112">
        <f t="shared" si="8"/>
        <v>9.7899999999999636</v>
      </c>
      <c r="H92" s="99">
        <f>G92+'13'!H92</f>
        <v>143.11999999999989</v>
      </c>
      <c r="I92" s="165"/>
      <c r="J92" s="175">
        <f>H92/DAY(B2)</f>
        <v>10.222857142857135</v>
      </c>
      <c r="O92" s="71"/>
    </row>
    <row r="93" spans="1:15" ht="27.75" customHeight="1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6011</v>
      </c>
      <c r="H94" s="99">
        <f>G94+'13'!H94</f>
        <v>86653.540000000081</v>
      </c>
      <c r="I94" s="118"/>
      <c r="J94" s="175">
        <f>H94/DAY(B2)</f>
        <v>6189.5385714285776</v>
      </c>
      <c r="K94" s="69"/>
      <c r="L94" s="66"/>
      <c r="O94" s="71"/>
    </row>
    <row r="95" spans="1:15" ht="27.75" customHeight="1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0.27013302175085385</v>
      </c>
      <c r="H95" s="99">
        <f>G95+'13'!H95</f>
        <v>3.94967196091687</v>
      </c>
      <c r="I95" s="167"/>
      <c r="J95" s="175">
        <f>H95/DAY(B2)</f>
        <v>0.28211942577977644</v>
      </c>
      <c r="K95" s="69"/>
      <c r="L95" s="66"/>
      <c r="O95" s="71"/>
    </row>
    <row r="96" spans="1:15" ht="27.75" customHeight="1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6179</v>
      </c>
      <c r="H96" s="99">
        <f>G96+'13'!H96</f>
        <v>78143.21000000005</v>
      </c>
      <c r="I96" s="118"/>
      <c r="J96" s="175">
        <f>H96/DAY(B2)</f>
        <v>5581.6578571428608</v>
      </c>
      <c r="K96" s="69"/>
      <c r="L96" s="66"/>
      <c r="O96" s="71"/>
    </row>
    <row r="97" spans="1:15" ht="27.75" customHeight="1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0.27768290490742403</v>
      </c>
      <c r="H97" s="99">
        <f>G97+'13'!H97</f>
        <v>3.5523370769658285</v>
      </c>
      <c r="I97" s="167"/>
      <c r="J97" s="175">
        <f>H97/DAY(B2)</f>
        <v>0.25373836264041633</v>
      </c>
      <c r="K97" s="69"/>
      <c r="L97" s="66"/>
      <c r="O97" s="71"/>
    </row>
    <row r="98" spans="1:15" ht="27.75" customHeight="1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2824</v>
      </c>
      <c r="H98" s="99">
        <f>G98+'13'!H98</f>
        <v>40447.950000000012</v>
      </c>
      <c r="I98" s="168"/>
      <c r="J98" s="175">
        <f>H98/DAY(B2)</f>
        <v>2889.1392857142864</v>
      </c>
      <c r="K98" s="69"/>
      <c r="L98" s="66"/>
      <c r="O98" s="71"/>
    </row>
    <row r="99" spans="1:15" ht="27.75" customHeight="1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0.12690994067948949</v>
      </c>
      <c r="H99" s="99">
        <f>G99+'13'!H99</f>
        <v>1.84556557407568</v>
      </c>
      <c r="I99" s="168"/>
      <c r="J99" s="175">
        <f>H99/DAY(B2)</f>
        <v>0.13182611243397716</v>
      </c>
      <c r="O99" s="71"/>
    </row>
    <row r="100" spans="1:15" ht="27.75" customHeight="1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1821</v>
      </c>
      <c r="H100" s="99">
        <f>G100+'13'!H100</f>
        <v>25430.960000000006</v>
      </c>
      <c r="I100" s="118"/>
      <c r="J100" s="175">
        <f>H100/DAY(B2)</f>
        <v>1816.4971428571432</v>
      </c>
      <c r="K100" s="70"/>
      <c r="O100" s="71"/>
    </row>
    <row r="101" spans="1:15" ht="27.75" customHeight="1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8.183534064353766E-2</v>
      </c>
      <c r="H101" s="99">
        <f>G101+'13'!H101</f>
        <v>1.1596512445175045</v>
      </c>
      <c r="I101" s="168"/>
      <c r="J101" s="175">
        <f>H101/DAY(B2)</f>
        <v>8.2832231751250318E-2</v>
      </c>
      <c r="O101" s="71"/>
    </row>
    <row r="102" spans="1:15" ht="27.75" customHeight="1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2069</v>
      </c>
      <c r="H102" s="99">
        <f>G102+'13'!H102</f>
        <v>27945.019999999946</v>
      </c>
      <c r="I102" s="168"/>
      <c r="J102" s="175">
        <f>H102/DAY(B2)</f>
        <v>1996.0728571428533</v>
      </c>
      <c r="O102" s="71"/>
    </row>
    <row r="103" spans="1:15" ht="27.75" customHeight="1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9.2980406255617473E-2</v>
      </c>
      <c r="H103" s="99">
        <f>G103+'13'!H103</f>
        <v>1.2684309037643358</v>
      </c>
      <c r="I103" s="118"/>
      <c r="J103" s="175">
        <f>H103/DAY(B2)</f>
        <v>9.0602207411738273E-2</v>
      </c>
      <c r="O103" s="71"/>
    </row>
    <row r="104" spans="1:15" ht="27.75" customHeight="1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1518</v>
      </c>
      <c r="H104" s="99">
        <f>G104+'13'!H104</f>
        <v>22160.17</v>
      </c>
      <c r="I104" s="118"/>
      <c r="J104" s="175">
        <f>H104/DAY(B2)</f>
        <v>1582.8692857142855</v>
      </c>
      <c r="O104" s="71"/>
    </row>
    <row r="105" spans="1:15" ht="27.75" customHeight="1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6.821858709329498E-2</v>
      </c>
      <c r="H105" s="99">
        <f>G105+'13'!H105</f>
        <v>1.0107569078597609</v>
      </c>
      <c r="I105" s="187"/>
      <c r="J105" s="188">
        <f>H105/DAY(B2)</f>
        <v>7.2196921989982926E-2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7.75" customHeight="1">
      <c r="A109" s="831"/>
      <c r="B109" s="831"/>
    </row>
    <row r="110" spans="1:15" ht="27.75" customHeight="1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 customHeight="1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 customHeight="1">
      <c r="A112" s="793" t="s">
        <v>252</v>
      </c>
      <c r="B112" s="794"/>
      <c r="C112" s="795"/>
      <c r="D112" s="146" t="s">
        <v>183</v>
      </c>
      <c r="E112" s="95">
        <f>'13'!F112</f>
        <v>51958</v>
      </c>
      <c r="F112" s="237">
        <v>52037</v>
      </c>
      <c r="G112" s="112">
        <f t="shared" ref="G112:G123" si="9">F112-E112</f>
        <v>79</v>
      </c>
      <c r="H112" s="99">
        <f>G112+'13'!H112</f>
        <v>1147.9199999999983</v>
      </c>
      <c r="I112" s="165"/>
      <c r="J112" s="348">
        <f>H112/DAY(B2)</f>
        <v>81.994285714285596</v>
      </c>
    </row>
    <row r="113" spans="1:18" ht="27.75" customHeight="1">
      <c r="A113" s="793" t="s">
        <v>253</v>
      </c>
      <c r="B113" s="794"/>
      <c r="C113" s="795"/>
      <c r="D113" s="146" t="s">
        <v>183</v>
      </c>
      <c r="E113" s="95">
        <f>'13'!F113</f>
        <v>10302</v>
      </c>
      <c r="F113" s="237">
        <v>10740</v>
      </c>
      <c r="G113" s="112">
        <f t="shared" si="9"/>
        <v>438</v>
      </c>
      <c r="H113" s="99">
        <f>G113+'13'!H113</f>
        <v>6234.35</v>
      </c>
      <c r="I113" s="165"/>
      <c r="J113" s="348">
        <f>H113/DAY(B2)</f>
        <v>445.31071428571431</v>
      </c>
    </row>
    <row r="114" spans="1:18" ht="27.75" customHeight="1">
      <c r="A114" s="793" t="s">
        <v>254</v>
      </c>
      <c r="B114" s="794"/>
      <c r="C114" s="795"/>
      <c r="D114" s="146" t="s">
        <v>183</v>
      </c>
      <c r="E114" s="95">
        <f>'13'!F114</f>
        <v>8338</v>
      </c>
      <c r="F114" s="237">
        <v>9605</v>
      </c>
      <c r="G114" s="112">
        <f t="shared" si="9"/>
        <v>1267</v>
      </c>
      <c r="H114" s="99">
        <f>G114+'13'!H114</f>
        <v>5027.07</v>
      </c>
      <c r="I114" s="165"/>
      <c r="J114" s="348">
        <f>H114/DAY(B2)</f>
        <v>359.07642857142855</v>
      </c>
    </row>
    <row r="115" spans="1:18" ht="27.75" customHeight="1">
      <c r="A115" s="793" t="s">
        <v>255</v>
      </c>
      <c r="B115" s="794"/>
      <c r="C115" s="795"/>
      <c r="D115" s="146" t="s">
        <v>183</v>
      </c>
      <c r="E115" s="95">
        <f>'13'!F115</f>
        <v>8214</v>
      </c>
      <c r="F115" s="237">
        <v>8226</v>
      </c>
      <c r="G115" s="112">
        <f t="shared" si="9"/>
        <v>12</v>
      </c>
      <c r="H115" s="99">
        <f>G115+'13'!H115</f>
        <v>148.59000000000015</v>
      </c>
      <c r="I115" s="165"/>
      <c r="J115" s="348">
        <f>H115/DAY(B2)</f>
        <v>10.613571428571438</v>
      </c>
    </row>
    <row r="116" spans="1:18" ht="27.75" customHeight="1">
      <c r="A116" s="800" t="s">
        <v>96</v>
      </c>
      <c r="B116" s="801"/>
      <c r="C116" s="802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7.75" customHeight="1">
      <c r="A117" s="800" t="s">
        <v>184</v>
      </c>
      <c r="B117" s="801"/>
      <c r="C117" s="802"/>
      <c r="D117" s="146" t="s">
        <v>183</v>
      </c>
      <c r="E117" s="95">
        <f>'13'!F117</f>
        <v>1595</v>
      </c>
      <c r="F117" s="237">
        <v>1616</v>
      </c>
      <c r="G117" s="112">
        <f t="shared" si="9"/>
        <v>21</v>
      </c>
      <c r="H117" s="99">
        <f>G117+'13'!H117</f>
        <v>457.80999999999995</v>
      </c>
      <c r="I117" s="165"/>
      <c r="J117" s="348">
        <f>H117/DAY(B2)</f>
        <v>32.700714285714284</v>
      </c>
      <c r="Q117" s="793" t="s">
        <v>312</v>
      </c>
      <c r="R117" s="795"/>
    </row>
    <row r="118" spans="1:18" ht="27.75" customHeight="1">
      <c r="A118" s="792" t="s">
        <v>97</v>
      </c>
      <c r="B118" s="792"/>
      <c r="C118" s="792"/>
      <c r="D118" s="151" t="s">
        <v>183</v>
      </c>
      <c r="E118" s="95">
        <f>'13'!F118</f>
        <v>223272</v>
      </c>
      <c r="F118" s="237">
        <v>223595</v>
      </c>
      <c r="G118" s="112">
        <f t="shared" si="9"/>
        <v>323</v>
      </c>
      <c r="H118" s="99">
        <f>G118+'13'!H118</f>
        <v>4743.070000000007</v>
      </c>
      <c r="I118" s="165"/>
      <c r="J118" s="348">
        <f>H118/DAY(B2)</f>
        <v>338.79071428571478</v>
      </c>
      <c r="Q118" s="793" t="s">
        <v>311</v>
      </c>
      <c r="R118" s="795"/>
    </row>
    <row r="119" spans="1:18" ht="27.75" customHeight="1">
      <c r="A119" s="792" t="s">
        <v>98</v>
      </c>
      <c r="B119" s="792"/>
      <c r="C119" s="792"/>
      <c r="D119" s="151" t="s">
        <v>183</v>
      </c>
      <c r="E119" s="95">
        <f>'13'!F119</f>
        <v>224357</v>
      </c>
      <c r="F119" s="237">
        <v>224786</v>
      </c>
      <c r="G119" s="112">
        <f t="shared" si="9"/>
        <v>429</v>
      </c>
      <c r="H119" s="99">
        <f>G119+'13'!H119</f>
        <v>5974.890000000014</v>
      </c>
      <c r="I119" s="165"/>
      <c r="J119" s="348">
        <f>H119/DAY(B2)</f>
        <v>426.77785714285812</v>
      </c>
    </row>
    <row r="120" spans="1:18" ht="27.75" customHeight="1">
      <c r="A120" s="792" t="s">
        <v>99</v>
      </c>
      <c r="B120" s="792"/>
      <c r="C120" s="792"/>
      <c r="D120" s="151" t="s">
        <v>183</v>
      </c>
      <c r="E120" s="95">
        <f>'13'!F120</f>
        <v>9884</v>
      </c>
      <c r="F120" s="237">
        <v>10306</v>
      </c>
      <c r="G120" s="112">
        <f t="shared" si="9"/>
        <v>422</v>
      </c>
      <c r="H120" s="99">
        <f>G120+'13'!H120</f>
        <v>5998.4</v>
      </c>
      <c r="I120" s="165"/>
      <c r="J120" s="348">
        <f>H120/DAY(B2)</f>
        <v>428.45714285714286</v>
      </c>
    </row>
    <row r="121" spans="1:18" ht="27.75" customHeight="1">
      <c r="A121" s="792" t="s">
        <v>100</v>
      </c>
      <c r="B121" s="792"/>
      <c r="C121" s="792"/>
      <c r="D121" s="151" t="s">
        <v>183</v>
      </c>
      <c r="E121" s="95">
        <f>'13'!F121</f>
        <v>340561</v>
      </c>
      <c r="F121" s="237">
        <v>341280</v>
      </c>
      <c r="G121" s="112">
        <f t="shared" si="9"/>
        <v>719</v>
      </c>
      <c r="H121" s="99">
        <f>G121+'13'!H121</f>
        <v>10042.489999999991</v>
      </c>
      <c r="I121" s="165"/>
      <c r="J121" s="348">
        <f>H121/DAY(B2)</f>
        <v>717.32071428571362</v>
      </c>
    </row>
    <row r="122" spans="1:18" ht="27.75" customHeight="1">
      <c r="A122" s="792" t="s">
        <v>101</v>
      </c>
      <c r="B122" s="792"/>
      <c r="C122" s="792"/>
      <c r="D122" s="151" t="s">
        <v>183</v>
      </c>
      <c r="E122" s="95">
        <f>'13'!F122</f>
        <v>105548</v>
      </c>
      <c r="F122" s="237">
        <v>105824</v>
      </c>
      <c r="G122" s="112">
        <f t="shared" si="9"/>
        <v>276</v>
      </c>
      <c r="H122" s="99">
        <f>G122+'13'!H122</f>
        <v>4215.1199999999953</v>
      </c>
      <c r="I122" s="165"/>
      <c r="J122" s="348">
        <f>H122/DAY(B2)</f>
        <v>301.07999999999964</v>
      </c>
    </row>
    <row r="123" spans="1:18" ht="27.75" customHeight="1">
      <c r="A123" s="792" t="s">
        <v>102</v>
      </c>
      <c r="B123" s="792"/>
      <c r="C123" s="792"/>
      <c r="D123" s="151" t="s">
        <v>183</v>
      </c>
      <c r="E123" s="95">
        <f>'13'!F123</f>
        <v>129581</v>
      </c>
      <c r="F123" s="237">
        <v>129868</v>
      </c>
      <c r="G123" s="112">
        <f t="shared" si="9"/>
        <v>287</v>
      </c>
      <c r="H123" s="99">
        <f>G123+'13'!H123</f>
        <v>4120.2400000000052</v>
      </c>
      <c r="I123" s="165"/>
      <c r="J123" s="348">
        <f>H123/DAY(B2)</f>
        <v>294.30285714285753</v>
      </c>
    </row>
    <row r="124" spans="1:18" ht="27.75" customHeight="1">
      <c r="A124" s="797"/>
      <c r="B124" s="798"/>
      <c r="C124" s="799"/>
      <c r="D124" s="165"/>
      <c r="E124" s="165"/>
      <c r="F124" s="165"/>
      <c r="G124" s="347"/>
      <c r="H124" s="156"/>
      <c r="I124" s="165"/>
      <c r="J124" s="347"/>
    </row>
    <row r="125" spans="1:18" ht="27.75" customHeight="1">
      <c r="A125" s="775" t="s">
        <v>196</v>
      </c>
      <c r="B125" s="776"/>
      <c r="C125" s="246"/>
      <c r="D125" s="317"/>
      <c r="E125" s="318"/>
      <c r="F125" s="318"/>
      <c r="G125" s="319">
        <f>SUM(G112:G124)</f>
        <v>4273</v>
      </c>
      <c r="H125" s="156"/>
      <c r="I125" s="347">
        <f>G125-(G39+G53)</f>
        <v>1449</v>
      </c>
      <c r="J125" s="347"/>
    </row>
    <row r="126" spans="1:18" ht="27.75" customHeight="1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 customHeight="1">
      <c r="A127" s="780"/>
      <c r="B127" s="780"/>
      <c r="C127" s="246"/>
      <c r="D127" s="317"/>
      <c r="E127" s="318"/>
      <c r="F127" s="318"/>
      <c r="G127" s="319"/>
      <c r="H127" s="99">
        <f>G127+'13'!H127</f>
        <v>0</v>
      </c>
      <c r="I127" s="165"/>
      <c r="J127" s="348">
        <f>H127/DAY(B2)</f>
        <v>0</v>
      </c>
    </row>
    <row r="128" spans="1:18" ht="27.75" customHeight="1">
      <c r="A128" s="793" t="s">
        <v>318</v>
      </c>
      <c r="B128" s="794"/>
      <c r="C128" s="795"/>
      <c r="D128" s="151" t="s">
        <v>183</v>
      </c>
      <c r="E128" s="95">
        <f>'13'!F128</f>
        <v>22257</v>
      </c>
      <c r="F128" s="165">
        <v>22558</v>
      </c>
      <c r="G128" s="112">
        <f t="shared" ref="G128:G134" si="10">F128-E128</f>
        <v>301</v>
      </c>
      <c r="H128" s="99">
        <f>G128+'13'!H128</f>
        <v>4534.2799999999988</v>
      </c>
      <c r="I128" s="165"/>
      <c r="J128" s="348">
        <f>H128/DAY(B2)</f>
        <v>323.87714285714276</v>
      </c>
    </row>
    <row r="129" spans="1:15" ht="27.75" customHeight="1">
      <c r="A129" s="349" t="s">
        <v>319</v>
      </c>
      <c r="B129" s="350"/>
      <c r="C129" s="351"/>
      <c r="D129" s="151" t="s">
        <v>183</v>
      </c>
      <c r="E129" s="95">
        <f>'13'!F129</f>
        <v>9285</v>
      </c>
      <c r="F129" s="165">
        <v>9467</v>
      </c>
      <c r="G129" s="112">
        <f t="shared" si="10"/>
        <v>182</v>
      </c>
      <c r="H129" s="99">
        <f>G129+'13'!H129</f>
        <v>2871.29</v>
      </c>
      <c r="I129" s="165"/>
      <c r="J129" s="348">
        <f>H129/DAY(B2)</f>
        <v>205.09214285714285</v>
      </c>
      <c r="N129" s="240"/>
      <c r="O129" s="241"/>
    </row>
    <row r="130" spans="1:15" ht="27.75" customHeight="1">
      <c r="A130" s="349" t="s">
        <v>320</v>
      </c>
      <c r="B130" s="350"/>
      <c r="C130" s="351"/>
      <c r="D130" s="151" t="s">
        <v>183</v>
      </c>
      <c r="E130" s="95">
        <f>'13'!F130</f>
        <v>59025</v>
      </c>
      <c r="F130" s="165">
        <v>61465</v>
      </c>
      <c r="G130" s="112">
        <f t="shared" si="10"/>
        <v>2440</v>
      </c>
      <c r="H130" s="99">
        <f>G130+'13'!H130</f>
        <v>34996.97</v>
      </c>
      <c r="I130" s="165"/>
      <c r="J130" s="348">
        <f>H130/DAY(B2)</f>
        <v>2499.7835714285716</v>
      </c>
      <c r="N130" s="240"/>
      <c r="O130" s="241"/>
    </row>
    <row r="131" spans="1:15" ht="27.75" customHeight="1">
      <c r="A131" s="793" t="s">
        <v>321</v>
      </c>
      <c r="B131" s="794"/>
      <c r="C131" s="795"/>
      <c r="D131" s="151" t="s">
        <v>183</v>
      </c>
      <c r="E131" s="95">
        <f>'13'!F131</f>
        <v>6034</v>
      </c>
      <c r="F131" s="165">
        <v>6168</v>
      </c>
      <c r="G131" s="112">
        <f t="shared" si="10"/>
        <v>134</v>
      </c>
      <c r="H131" s="99">
        <f>G131+'13'!H131</f>
        <v>2021.5299999999997</v>
      </c>
      <c r="I131" s="165"/>
      <c r="J131" s="348">
        <f>H131/DAY(B2)</f>
        <v>144.39499999999998</v>
      </c>
      <c r="N131" s="240"/>
      <c r="O131" s="241"/>
    </row>
    <row r="132" spans="1:15" ht="27.75" customHeight="1">
      <c r="A132" s="793" t="s">
        <v>322</v>
      </c>
      <c r="B132" s="794"/>
      <c r="C132" s="795"/>
      <c r="D132" s="151" t="s">
        <v>183</v>
      </c>
      <c r="E132" s="95">
        <f>'13'!F132</f>
        <v>18129</v>
      </c>
      <c r="F132" s="165">
        <v>18647</v>
      </c>
      <c r="G132" s="112">
        <f t="shared" si="10"/>
        <v>518</v>
      </c>
      <c r="H132" s="99">
        <f>G132+'13'!H132</f>
        <v>7109.2800000000007</v>
      </c>
      <c r="I132" s="165"/>
      <c r="J132" s="348">
        <f>H132/DAY(B2)</f>
        <v>507.80571428571432</v>
      </c>
    </row>
    <row r="133" spans="1:15" ht="27.75" customHeight="1">
      <c r="A133" s="793" t="s">
        <v>341</v>
      </c>
      <c r="B133" s="794"/>
      <c r="C133" s="795"/>
      <c r="D133" s="151" t="s">
        <v>183</v>
      </c>
      <c r="E133" s="95">
        <f>'13'!F133</f>
        <v>49828</v>
      </c>
      <c r="F133" s="165">
        <v>50597</v>
      </c>
      <c r="G133" s="112">
        <f t="shared" si="10"/>
        <v>769</v>
      </c>
      <c r="H133" s="99">
        <f>G133+'13'!H133</f>
        <v>9747.7099999999991</v>
      </c>
      <c r="I133" s="165"/>
      <c r="J133" s="348">
        <f>H133/DAY(B2)</f>
        <v>696.26499999999999</v>
      </c>
    </row>
    <row r="134" spans="1:15" ht="27.75" customHeight="1">
      <c r="A134" s="793" t="s">
        <v>340</v>
      </c>
      <c r="B134" s="794"/>
      <c r="C134" s="795"/>
      <c r="D134" s="151" t="s">
        <v>183</v>
      </c>
      <c r="E134" s="95">
        <f>'13'!F134</f>
        <v>640454</v>
      </c>
      <c r="F134" s="165">
        <v>641060</v>
      </c>
      <c r="G134" s="112">
        <f t="shared" si="10"/>
        <v>606</v>
      </c>
      <c r="H134" s="99">
        <f>G134+'13'!H134</f>
        <v>8796</v>
      </c>
      <c r="I134" s="165"/>
      <c r="J134" s="348">
        <f>H134/DAY(B2)</f>
        <v>628.28571428571433</v>
      </c>
    </row>
    <row r="135" spans="1:15" ht="27.75" customHeight="1">
      <c r="A135" s="775" t="s">
        <v>196</v>
      </c>
      <c r="B135" s="776"/>
      <c r="C135" s="351"/>
      <c r="D135" s="151"/>
      <c r="E135" s="95"/>
      <c r="F135" s="165"/>
      <c r="G135" s="112">
        <f>SUM(G128:G134)</f>
        <v>4950</v>
      </c>
      <c r="H135" s="119">
        <f>H128+H134</f>
        <v>13330.279999999999</v>
      </c>
      <c r="I135" s="347">
        <f>G135-(G35+G49)</f>
        <v>1510</v>
      </c>
      <c r="J135" s="348">
        <f>H135/DAY(B2)</f>
        <v>952.16285714285709</v>
      </c>
    </row>
    <row r="136" spans="1:15" ht="27.75" customHeight="1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7.75" customHeight="1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>
      <c r="A138" s="792" t="s">
        <v>185</v>
      </c>
      <c r="B138" s="792"/>
      <c r="C138" s="792"/>
      <c r="D138" s="151" t="s">
        <v>183</v>
      </c>
      <c r="E138" s="95">
        <f>'13'!F138</f>
        <v>860345</v>
      </c>
      <c r="F138" s="147">
        <v>860416</v>
      </c>
      <c r="G138" s="112">
        <f t="shared" ref="G138:G152" si="11">F138-E138</f>
        <v>71</v>
      </c>
      <c r="H138" s="99">
        <f>G138+'13'!H138</f>
        <v>769</v>
      </c>
      <c r="I138" s="118"/>
      <c r="J138" s="348">
        <f>H138/DAY(B2)</f>
        <v>54.928571428571431</v>
      </c>
    </row>
    <row r="139" spans="1:15" ht="27.75" customHeight="1">
      <c r="A139" s="792" t="s">
        <v>186</v>
      </c>
      <c r="B139" s="792"/>
      <c r="C139" s="792"/>
      <c r="D139" s="151" t="s">
        <v>183</v>
      </c>
      <c r="E139" s="95">
        <f>'13'!F139</f>
        <v>886130</v>
      </c>
      <c r="F139" s="148">
        <v>886131</v>
      </c>
      <c r="G139" s="112">
        <f t="shared" si="11"/>
        <v>1</v>
      </c>
      <c r="H139" s="99">
        <f>G139+'13'!H139</f>
        <v>29</v>
      </c>
      <c r="I139" s="118"/>
      <c r="J139" s="348">
        <f>H139/DAY(B2)</f>
        <v>2.0714285714285716</v>
      </c>
    </row>
    <row r="140" spans="1:15" ht="27.75" customHeight="1">
      <c r="A140" s="792" t="s">
        <v>187</v>
      </c>
      <c r="B140" s="792"/>
      <c r="C140" s="792"/>
      <c r="D140" s="151" t="s">
        <v>183</v>
      </c>
      <c r="E140" s="95">
        <f>'13'!F140</f>
        <v>88830</v>
      </c>
      <c r="F140" s="149">
        <v>88830</v>
      </c>
      <c r="G140" s="112">
        <f t="shared" si="11"/>
        <v>0</v>
      </c>
      <c r="H140" s="99">
        <f>G140+'13'!H140</f>
        <v>13</v>
      </c>
      <c r="I140" s="118"/>
      <c r="J140" s="348">
        <f>H140/DAY(B2)</f>
        <v>0.9285714285714286</v>
      </c>
    </row>
    <row r="141" spans="1:15" ht="27.75" customHeight="1">
      <c r="A141" s="771" t="s">
        <v>188</v>
      </c>
      <c r="B141" s="771"/>
      <c r="C141" s="771"/>
      <c r="D141" s="151" t="s">
        <v>183</v>
      </c>
      <c r="E141" s="95">
        <f>'13'!F141</f>
        <v>39736</v>
      </c>
      <c r="F141" s="149">
        <v>39929</v>
      </c>
      <c r="G141" s="112">
        <f t="shared" si="11"/>
        <v>193</v>
      </c>
      <c r="H141" s="99">
        <f>G141+'13'!H141</f>
        <v>2641.0500000000029</v>
      </c>
      <c r="I141" s="118"/>
      <c r="J141" s="348">
        <f>H141/DAY(B2)</f>
        <v>188.64642857142877</v>
      </c>
    </row>
    <row r="142" spans="1:15" ht="27.75" customHeight="1">
      <c r="A142" s="771" t="s">
        <v>189</v>
      </c>
      <c r="B142" s="771"/>
      <c r="C142" s="771"/>
      <c r="D142" s="151" t="s">
        <v>183</v>
      </c>
      <c r="E142" s="95">
        <f>'13'!F142</f>
        <v>17175</v>
      </c>
      <c r="F142" s="148">
        <v>17192</v>
      </c>
      <c r="G142" s="112">
        <f t="shared" si="11"/>
        <v>17</v>
      </c>
      <c r="H142" s="99">
        <f>G142+'13'!H142</f>
        <v>230.13000000000102</v>
      </c>
      <c r="I142" s="140"/>
      <c r="J142" s="348">
        <f>H142/DAY(B2)</f>
        <v>16.437857142857215</v>
      </c>
    </row>
    <row r="143" spans="1:15" ht="27.75" customHeight="1">
      <c r="A143" s="792" t="s">
        <v>91</v>
      </c>
      <c r="B143" s="792"/>
      <c r="C143" s="792"/>
      <c r="D143" s="151" t="s">
        <v>183</v>
      </c>
      <c r="E143" s="95">
        <f>'13'!F143</f>
        <v>1710</v>
      </c>
      <c r="F143" s="149">
        <v>1736</v>
      </c>
      <c r="G143" s="112">
        <f t="shared" si="11"/>
        <v>26</v>
      </c>
      <c r="H143" s="99">
        <f>G143+'13'!H143</f>
        <v>352.81999999999994</v>
      </c>
      <c r="I143" s="140"/>
      <c r="J143" s="348">
        <f>H143/DAY(B2)</f>
        <v>25.201428571428568</v>
      </c>
    </row>
    <row r="144" spans="1:15" ht="27.75" customHeight="1">
      <c r="A144" s="771" t="s">
        <v>90</v>
      </c>
      <c r="B144" s="771"/>
      <c r="C144" s="771"/>
      <c r="D144" s="151" t="s">
        <v>183</v>
      </c>
      <c r="E144" s="95">
        <f>'13'!F144</f>
        <v>858350</v>
      </c>
      <c r="F144" s="149">
        <v>858591</v>
      </c>
      <c r="G144" s="112">
        <f t="shared" si="11"/>
        <v>241</v>
      </c>
      <c r="H144" s="99">
        <f>G144+'13'!H144</f>
        <v>3222</v>
      </c>
      <c r="I144" s="140"/>
      <c r="J144" s="348">
        <f>H144/DAY(B2)</f>
        <v>230.14285714285714</v>
      </c>
    </row>
    <row r="145" spans="1:10" ht="27.75" customHeight="1">
      <c r="A145" s="792" t="s">
        <v>190</v>
      </c>
      <c r="B145" s="792"/>
      <c r="C145" s="792"/>
      <c r="D145" s="152" t="s">
        <v>183</v>
      </c>
      <c r="E145" s="95">
        <f>'13'!F145</f>
        <v>2692</v>
      </c>
      <c r="F145" s="149">
        <v>2736</v>
      </c>
      <c r="G145" s="112">
        <f t="shared" si="11"/>
        <v>44</v>
      </c>
      <c r="H145" s="99">
        <f>G145+'13'!H145</f>
        <v>523</v>
      </c>
      <c r="I145" s="140"/>
      <c r="J145" s="348">
        <f>H145/DAY(B2)</f>
        <v>37.357142857142854</v>
      </c>
    </row>
    <row r="146" spans="1:10" ht="27.75" customHeight="1">
      <c r="A146" s="827" t="s">
        <v>191</v>
      </c>
      <c r="B146" s="812"/>
      <c r="C146" s="813"/>
      <c r="D146" s="152" t="s">
        <v>183</v>
      </c>
      <c r="E146" s="95">
        <f>'13'!F146</f>
        <v>703641</v>
      </c>
      <c r="F146" s="148">
        <v>704109</v>
      </c>
      <c r="G146" s="112">
        <f t="shared" si="11"/>
        <v>468</v>
      </c>
      <c r="H146" s="99">
        <f>G146+'13'!H146</f>
        <v>5590</v>
      </c>
      <c r="I146" s="140"/>
      <c r="J146" s="348">
        <f>H146/DAY(B2)</f>
        <v>399.28571428571428</v>
      </c>
    </row>
    <row r="147" spans="1:10" ht="27.75" customHeight="1">
      <c r="A147" s="771" t="s">
        <v>192</v>
      </c>
      <c r="B147" s="771"/>
      <c r="C147" s="771"/>
      <c r="D147" s="152" t="s">
        <v>183</v>
      </c>
      <c r="E147" s="95">
        <f>'13'!F147</f>
        <v>594162</v>
      </c>
      <c r="F147" s="148">
        <v>594603</v>
      </c>
      <c r="G147" s="112">
        <f t="shared" si="11"/>
        <v>441</v>
      </c>
      <c r="H147" s="99">
        <f>G147+'13'!H147</f>
        <v>5692.0799999999581</v>
      </c>
      <c r="I147" s="140"/>
      <c r="J147" s="348">
        <f>H147/DAY(B2)</f>
        <v>406.57714285713985</v>
      </c>
    </row>
    <row r="148" spans="1:10" ht="27.75" customHeight="1">
      <c r="A148" s="772" t="s">
        <v>193</v>
      </c>
      <c r="B148" s="773"/>
      <c r="C148" s="774"/>
      <c r="D148" s="123" t="s">
        <v>130</v>
      </c>
      <c r="E148" s="95">
        <f>'13'!F148</f>
        <v>668311</v>
      </c>
      <c r="F148" s="150">
        <v>668594</v>
      </c>
      <c r="G148" s="112">
        <f t="shared" si="11"/>
        <v>283</v>
      </c>
      <c r="H148" s="99">
        <f>G148+'13'!H148</f>
        <v>3485.8800000000047</v>
      </c>
      <c r="I148" s="124"/>
      <c r="J148" s="348">
        <f>H148/DAY(B2)</f>
        <v>248.99142857142891</v>
      </c>
    </row>
    <row r="149" spans="1:10" ht="27.75" customHeight="1">
      <c r="A149" s="772" t="s">
        <v>336</v>
      </c>
      <c r="B149" s="773"/>
      <c r="C149" s="774"/>
      <c r="D149" s="227" t="s">
        <v>130</v>
      </c>
      <c r="E149" s="95">
        <f>'13'!F149</f>
        <v>88898</v>
      </c>
      <c r="F149" s="146">
        <v>89195</v>
      </c>
      <c r="G149" s="112">
        <f t="shared" si="11"/>
        <v>297</v>
      </c>
      <c r="H149" s="99">
        <f>G149+'13'!H149</f>
        <v>4448</v>
      </c>
      <c r="I149" s="119"/>
      <c r="J149" s="348">
        <f>H149/DAY(B2)</f>
        <v>317.71428571428572</v>
      </c>
    </row>
    <row r="150" spans="1:10" ht="27.75" customHeight="1">
      <c r="A150" s="772" t="s">
        <v>337</v>
      </c>
      <c r="B150" s="773"/>
      <c r="C150" s="774"/>
      <c r="D150" s="117" t="s">
        <v>130</v>
      </c>
      <c r="E150" s="95">
        <f>'13'!F150</f>
        <v>7167232</v>
      </c>
      <c r="F150" s="233">
        <v>7167232</v>
      </c>
      <c r="G150" s="112">
        <f t="shared" si="11"/>
        <v>0</v>
      </c>
      <c r="H150" s="99">
        <f>G150+'13'!H150</f>
        <v>0</v>
      </c>
      <c r="I150" s="119"/>
      <c r="J150" s="348">
        <f>H150/DAY(B2)</f>
        <v>0</v>
      </c>
    </row>
    <row r="151" spans="1:10" ht="27.75" customHeight="1">
      <c r="A151" s="772" t="s">
        <v>338</v>
      </c>
      <c r="B151" s="773"/>
      <c r="C151" s="774"/>
      <c r="D151" s="117" t="s">
        <v>130</v>
      </c>
      <c r="E151" s="95">
        <f>'13'!F151</f>
        <v>66149</v>
      </c>
      <c r="F151" s="233">
        <v>66402</v>
      </c>
      <c r="G151" s="112">
        <f t="shared" si="11"/>
        <v>253</v>
      </c>
      <c r="H151" s="99">
        <f>G151+'13'!H151</f>
        <v>3392</v>
      </c>
      <c r="I151" s="119"/>
      <c r="J151" s="348">
        <f>H151/DAY(B2)</f>
        <v>242.28571428571428</v>
      </c>
    </row>
    <row r="152" spans="1:10" ht="27.75" customHeight="1">
      <c r="A152" s="772" t="s">
        <v>339</v>
      </c>
      <c r="B152" s="773"/>
      <c r="C152" s="774"/>
      <c r="D152" s="117" t="s">
        <v>130</v>
      </c>
      <c r="E152" s="95">
        <f>'13'!F152</f>
        <v>0</v>
      </c>
      <c r="F152" s="233">
        <v>0</v>
      </c>
      <c r="G152" s="112">
        <f t="shared" si="11"/>
        <v>0</v>
      </c>
      <c r="H152" s="99">
        <f>G152+'13'!H152</f>
        <v>0</v>
      </c>
      <c r="I152" s="119"/>
      <c r="J152" s="348">
        <f>H152/DAY(B2)</f>
        <v>0</v>
      </c>
    </row>
    <row r="153" spans="1:10" ht="27.75" customHeight="1">
      <c r="A153" s="775" t="s">
        <v>196</v>
      </c>
      <c r="B153" s="776"/>
      <c r="C153" s="385"/>
      <c r="D153" s="378"/>
      <c r="E153" s="380"/>
      <c r="F153" s="381"/>
      <c r="G153" s="382">
        <f>SUM(G138:G152)</f>
        <v>2335</v>
      </c>
      <c r="H153" s="383"/>
      <c r="I153" s="119">
        <f>G153-(G38+G52)</f>
        <v>514</v>
      </c>
      <c r="J153" s="386"/>
    </row>
    <row r="154" spans="1:10" ht="27.75" customHeight="1">
      <c r="A154" s="779"/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27.75" customHeight="1">
      <c r="A155" s="771" t="s">
        <v>345</v>
      </c>
      <c r="B155" s="771"/>
      <c r="C155" s="771"/>
      <c r="D155" s="117" t="s">
        <v>130</v>
      </c>
      <c r="E155" s="95">
        <f>'13'!F155</f>
        <v>77369</v>
      </c>
      <c r="F155" s="394">
        <v>77377</v>
      </c>
      <c r="G155" s="112">
        <f t="shared" ref="G155:G156" si="12">F155-E155</f>
        <v>8</v>
      </c>
      <c r="H155" s="99">
        <f>G155+'13'!H155</f>
        <v>102.39999999999418</v>
      </c>
      <c r="I155" s="384"/>
      <c r="J155" s="348">
        <f>H155/DAY(B2)</f>
        <v>7.3142857142852984</v>
      </c>
    </row>
    <row r="156" spans="1:10" ht="27.75" customHeight="1">
      <c r="A156" s="771" t="s">
        <v>347</v>
      </c>
      <c r="B156" s="771"/>
      <c r="C156" s="771"/>
      <c r="D156" s="117" t="s">
        <v>130</v>
      </c>
      <c r="E156" s="95">
        <f>'13'!F156</f>
        <v>0</v>
      </c>
      <c r="F156" s="165">
        <v>0</v>
      </c>
      <c r="G156" s="112">
        <f t="shared" si="12"/>
        <v>0</v>
      </c>
      <c r="H156" s="99">
        <f>G156+'13'!H156</f>
        <v>0</v>
      </c>
      <c r="I156" s="165"/>
      <c r="J156" s="348">
        <f>H156/DAY(B2)</f>
        <v>0</v>
      </c>
    </row>
    <row r="157" spans="1:10" ht="27.75" customHeight="1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7.75" customHeight="1">
      <c r="A158" s="242" t="s">
        <v>92</v>
      </c>
      <c r="B158" s="243"/>
      <c r="C158" s="243"/>
      <c r="D158" s="244" t="s">
        <v>180</v>
      </c>
      <c r="E158" s="95">
        <f>'13'!F158</f>
        <v>469823</v>
      </c>
      <c r="F158" s="235">
        <v>469823</v>
      </c>
      <c r="G158" s="238">
        <f t="shared" ref="G158:G162" si="13">F158-E158</f>
        <v>0</v>
      </c>
      <c r="H158" s="99">
        <f>G158+'13'!H158</f>
        <v>293.96000000002095</v>
      </c>
      <c r="I158" s="236"/>
      <c r="J158" s="239">
        <f>H158/DAY(B2)</f>
        <v>20.997142857144354</v>
      </c>
    </row>
    <row r="159" spans="1:10" ht="27.75" customHeight="1">
      <c r="A159" s="242" t="s">
        <v>93</v>
      </c>
      <c r="B159" s="243"/>
      <c r="C159" s="243"/>
      <c r="D159" s="244" t="s">
        <v>180</v>
      </c>
      <c r="E159" s="95">
        <f>'13'!F159</f>
        <v>86090</v>
      </c>
      <c r="F159" s="235">
        <v>86104</v>
      </c>
      <c r="G159" s="238">
        <f t="shared" si="13"/>
        <v>14</v>
      </c>
      <c r="H159" s="99">
        <f>G159+'13'!H159</f>
        <v>398.39999999999418</v>
      </c>
      <c r="I159" s="236"/>
      <c r="J159" s="239">
        <f>H159/DAY(B2)</f>
        <v>28.45714285714244</v>
      </c>
    </row>
    <row r="160" spans="1:10" ht="27.75" customHeight="1">
      <c r="A160" s="242" t="s">
        <v>197</v>
      </c>
      <c r="B160" s="243"/>
      <c r="C160" s="243"/>
      <c r="D160" s="244" t="s">
        <v>180</v>
      </c>
      <c r="E160" s="95">
        <f>'13'!F160</f>
        <v>74115</v>
      </c>
      <c r="F160" s="235">
        <v>74156</v>
      </c>
      <c r="G160" s="238">
        <f t="shared" si="13"/>
        <v>41</v>
      </c>
      <c r="H160" s="99">
        <f>G160+'13'!H160</f>
        <v>819.10000000000582</v>
      </c>
      <c r="I160" s="236"/>
      <c r="J160" s="239">
        <f>H160/DAY(B2)</f>
        <v>58.507142857143272</v>
      </c>
    </row>
    <row r="161" spans="1:10" ht="27.75" customHeight="1">
      <c r="A161" s="242" t="s">
        <v>197</v>
      </c>
      <c r="B161" s="243"/>
      <c r="C161" s="243"/>
      <c r="D161" s="244" t="s">
        <v>180</v>
      </c>
      <c r="E161" s="95">
        <f>'13'!F161</f>
        <v>4007</v>
      </c>
      <c r="F161" s="235">
        <v>4007</v>
      </c>
      <c r="G161" s="238">
        <f t="shared" si="13"/>
        <v>0</v>
      </c>
      <c r="H161" s="99">
        <f>G161+'13'!H161</f>
        <v>33.5</v>
      </c>
      <c r="I161" s="236"/>
      <c r="J161" s="239">
        <f>H161/DAY(B2)</f>
        <v>2.3928571428571428</v>
      </c>
    </row>
    <row r="162" spans="1:10" ht="27.75" customHeight="1">
      <c r="A162" s="242" t="s">
        <v>309</v>
      </c>
      <c r="B162" s="243"/>
      <c r="C162" s="243"/>
      <c r="D162" s="244" t="s">
        <v>180</v>
      </c>
      <c r="E162" s="95">
        <f>'13'!F162</f>
        <v>29301</v>
      </c>
      <c r="F162" s="235">
        <v>29302</v>
      </c>
      <c r="G162" s="238">
        <f t="shared" si="13"/>
        <v>1</v>
      </c>
      <c r="H162" s="99">
        <f>G162+'13'!H162</f>
        <v>103.86000000000058</v>
      </c>
      <c r="I162" s="236"/>
      <c r="J162" s="239">
        <f>H162/DAY(B2)</f>
        <v>7.4185714285714699</v>
      </c>
    </row>
    <row r="163" spans="1:10" ht="27.75" customHeight="1">
      <c r="A163" s="780"/>
      <c r="B163" s="780"/>
      <c r="C163" s="247"/>
      <c r="D163" s="244" t="s">
        <v>180</v>
      </c>
      <c r="E163" s="95">
        <f>'13'!F163</f>
        <v>0</v>
      </c>
      <c r="F163" s="165"/>
      <c r="G163" s="165"/>
      <c r="H163" s="99">
        <f>G163+'13'!H163</f>
        <v>0</v>
      </c>
      <c r="I163" s="165"/>
      <c r="J163" s="239">
        <f>H163/DAY(B2)</f>
        <v>0</v>
      </c>
    </row>
    <row r="164" spans="1:10" ht="27.75" customHeight="1">
      <c r="A164" s="780"/>
      <c r="B164" s="780"/>
      <c r="C164" s="247"/>
      <c r="D164" s="244" t="s">
        <v>180</v>
      </c>
      <c r="E164" s="95">
        <f>'13'!F164</f>
        <v>0</v>
      </c>
      <c r="F164" s="165"/>
      <c r="G164" s="165"/>
      <c r="H164" s="99">
        <f>G164+'13'!H164</f>
        <v>0</v>
      </c>
      <c r="I164" s="165"/>
      <c r="J164" s="239">
        <f>H164/DAY(B2)</f>
        <v>0</v>
      </c>
    </row>
    <row r="165" spans="1:10" ht="27.75" customHeight="1">
      <c r="A165" s="780"/>
      <c r="B165" s="780"/>
      <c r="C165" s="247"/>
      <c r="D165" s="244" t="s">
        <v>180</v>
      </c>
      <c r="E165" s="95">
        <f>'13'!F165</f>
        <v>0</v>
      </c>
      <c r="F165" s="165"/>
      <c r="G165" s="165"/>
      <c r="H165" s="99">
        <f>G165+'13'!H165</f>
        <v>0</v>
      </c>
      <c r="I165" s="165"/>
      <c r="J165" s="239">
        <f>H165/DAY(B2)</f>
        <v>0</v>
      </c>
    </row>
    <row r="168" spans="1:10" ht="27.75" customHeight="1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 customHeight="1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>
      <c r="A170" s="786" t="s">
        <v>209</v>
      </c>
      <c r="B170" s="787"/>
      <c r="C170" s="353"/>
      <c r="D170" s="228" t="s">
        <v>142</v>
      </c>
      <c r="E170" s="95">
        <f>'13'!F170</f>
        <v>8021</v>
      </c>
      <c r="F170" s="155">
        <v>8021</v>
      </c>
      <c r="G170" s="155">
        <f>F170-E170</f>
        <v>0</v>
      </c>
      <c r="H170" s="99">
        <f>G170+'13'!H170</f>
        <v>23</v>
      </c>
      <c r="I170" s="155"/>
      <c r="J170" s="178">
        <f>H170/DAY(B2)</f>
        <v>1.6428571428571428</v>
      </c>
    </row>
    <row r="171" spans="1:10" ht="27.75" customHeight="1">
      <c r="A171" s="786" t="s">
        <v>75</v>
      </c>
      <c r="B171" s="787"/>
      <c r="C171" s="353"/>
      <c r="D171" s="228" t="s">
        <v>142</v>
      </c>
      <c r="E171" s="95">
        <f>'13'!F171</f>
        <v>37555</v>
      </c>
      <c r="F171" s="157">
        <v>37568</v>
      </c>
      <c r="G171" s="155">
        <f t="shared" ref="G171:G172" si="14">F171-E171</f>
        <v>13</v>
      </c>
      <c r="H171" s="99">
        <f>G171+'13'!H171</f>
        <v>185</v>
      </c>
      <c r="I171" s="155"/>
      <c r="J171" s="178">
        <f>H171/DAY(B2)</f>
        <v>13.214285714285714</v>
      </c>
    </row>
    <row r="172" spans="1:10" ht="27.75" customHeight="1">
      <c r="A172" s="786" t="s">
        <v>76</v>
      </c>
      <c r="B172" s="826"/>
      <c r="C172" s="787"/>
      <c r="D172" s="228" t="s">
        <v>142</v>
      </c>
      <c r="E172" s="95">
        <f>'13'!F172</f>
        <v>20942</v>
      </c>
      <c r="F172" s="155">
        <v>20953</v>
      </c>
      <c r="G172" s="155">
        <f t="shared" si="14"/>
        <v>11</v>
      </c>
      <c r="H172" s="99">
        <f>G172+'13'!H172</f>
        <v>165</v>
      </c>
      <c r="I172" s="155"/>
      <c r="J172" s="178">
        <f>H172/DAY(B2)</f>
        <v>11.785714285714286</v>
      </c>
    </row>
    <row r="173" spans="1:10" ht="27.75" customHeight="1">
      <c r="A173" s="775" t="s">
        <v>196</v>
      </c>
      <c r="B173" s="776"/>
      <c r="C173" s="547"/>
      <c r="D173" s="228" t="s">
        <v>142</v>
      </c>
      <c r="E173" s="95"/>
      <c r="F173" s="155"/>
      <c r="G173" s="155">
        <f>SUM(G170:G172)</f>
        <v>24</v>
      </c>
      <c r="H173" s="99">
        <f>G173+'13'!H173</f>
        <v>373</v>
      </c>
      <c r="I173" s="155"/>
      <c r="J173" s="178">
        <f>H173/DAY(B2)</f>
        <v>26.642857142857142</v>
      </c>
    </row>
    <row r="174" spans="1:10" ht="27.75" customHeight="1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G174+'13'!H174</f>
        <v>0</v>
      </c>
      <c r="I174" s="155"/>
      <c r="J174" s="178">
        <f>H174/DAY(B2)</f>
        <v>0</v>
      </c>
    </row>
    <row r="175" spans="1:10" ht="27.75" customHeight="1">
      <c r="A175" s="786" t="s">
        <v>210</v>
      </c>
      <c r="B175" s="787"/>
      <c r="C175" s="353"/>
      <c r="D175" s="228" t="s">
        <v>142</v>
      </c>
      <c r="E175" s="95">
        <f>'13'!F175</f>
        <v>75609</v>
      </c>
      <c r="F175" s="155">
        <v>75720</v>
      </c>
      <c r="G175" s="155">
        <f>F175-E175</f>
        <v>111</v>
      </c>
      <c r="H175" s="99">
        <f>G175+'13'!H175</f>
        <v>1101</v>
      </c>
      <c r="I175" s="155"/>
      <c r="J175" s="178">
        <f>H175/DAY(B2)</f>
        <v>78.642857142857139</v>
      </c>
    </row>
    <row r="176" spans="1:10" ht="27.75" customHeight="1">
      <c r="A176" s="786" t="s">
        <v>211</v>
      </c>
      <c r="B176" s="787"/>
      <c r="C176" s="353"/>
      <c r="D176" s="228" t="s">
        <v>142</v>
      </c>
      <c r="E176" s="95">
        <f>'13'!F176</f>
        <v>33886</v>
      </c>
      <c r="F176" s="155">
        <v>33886</v>
      </c>
      <c r="G176" s="155">
        <f t="shared" ref="G176:G177" si="15">F176-E176</f>
        <v>0</v>
      </c>
      <c r="H176" s="99">
        <f>G176+'13'!H176</f>
        <v>0</v>
      </c>
      <c r="I176" s="155"/>
      <c r="J176" s="178">
        <f>H176/DAY(B2)</f>
        <v>0</v>
      </c>
    </row>
    <row r="177" spans="1:10" ht="27.75" customHeight="1">
      <c r="A177" s="786" t="s">
        <v>212</v>
      </c>
      <c r="B177" s="787"/>
      <c r="C177" s="353"/>
      <c r="D177" s="228" t="s">
        <v>142</v>
      </c>
      <c r="E177" s="95">
        <f>'13'!F177</f>
        <v>5154</v>
      </c>
      <c r="F177" s="155">
        <v>5158</v>
      </c>
      <c r="G177" s="155">
        <f t="shared" si="15"/>
        <v>4</v>
      </c>
      <c r="H177" s="99">
        <f>G177+'13'!H177</f>
        <v>117</v>
      </c>
      <c r="I177" s="155"/>
      <c r="J177" s="178">
        <f>H177/DAY(B2)</f>
        <v>8.3571428571428577</v>
      </c>
    </row>
    <row r="178" spans="1:10" ht="27.75" customHeight="1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115</v>
      </c>
      <c r="H178" s="99">
        <f>G178+'13'!H178</f>
        <v>1218</v>
      </c>
      <c r="I178" s="155"/>
      <c r="J178" s="178">
        <f>H178/DAY(B2)</f>
        <v>87</v>
      </c>
    </row>
    <row r="179" spans="1:10" ht="27.75" customHeight="1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786" t="s">
        <v>214</v>
      </c>
      <c r="B180" s="787"/>
      <c r="C180" s="354"/>
      <c r="D180" s="228" t="s">
        <v>142</v>
      </c>
      <c r="E180" s="95">
        <f>'13'!F180</f>
        <v>14238</v>
      </c>
      <c r="F180" s="157">
        <v>14251</v>
      </c>
      <c r="G180" s="157">
        <f>F180-E180</f>
        <v>13</v>
      </c>
      <c r="H180" s="99">
        <f>G180+'13'!H180</f>
        <v>220</v>
      </c>
      <c r="I180" s="155"/>
      <c r="J180" s="178">
        <f>H180/DAY(B2)</f>
        <v>15.714285714285714</v>
      </c>
    </row>
    <row r="181" spans="1:10" ht="27.75" customHeight="1">
      <c r="A181" s="786" t="s">
        <v>215</v>
      </c>
      <c r="B181" s="787"/>
      <c r="C181" s="354"/>
      <c r="D181" s="228" t="s">
        <v>142</v>
      </c>
      <c r="E181" s="95">
        <f>'13'!F181</f>
        <v>9876</v>
      </c>
      <c r="F181" s="157">
        <v>9884</v>
      </c>
      <c r="G181" s="157">
        <f t="shared" ref="G181:G182" si="16">F181-E181</f>
        <v>8</v>
      </c>
      <c r="H181" s="99">
        <f>G181+'13'!H181</f>
        <v>130</v>
      </c>
      <c r="I181" s="155"/>
      <c r="J181" s="178">
        <f>H181/DAY(B2)</f>
        <v>9.2857142857142865</v>
      </c>
    </row>
    <row r="182" spans="1:10" ht="27.75" customHeight="1">
      <c r="A182" s="786" t="s">
        <v>216</v>
      </c>
      <c r="B182" s="787"/>
      <c r="C182" s="354"/>
      <c r="D182" s="228" t="s">
        <v>142</v>
      </c>
      <c r="E182" s="95">
        <f>'13'!F182</f>
        <v>0</v>
      </c>
      <c r="F182" s="157">
        <v>0</v>
      </c>
      <c r="G182" s="157">
        <f t="shared" si="16"/>
        <v>0</v>
      </c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775" t="s">
        <v>196</v>
      </c>
      <c r="B183" s="776"/>
      <c r="C183" s="546"/>
      <c r="D183" s="228" t="s">
        <v>142</v>
      </c>
      <c r="E183" s="95"/>
      <c r="F183" s="157"/>
      <c r="G183" s="157">
        <f>SUM(G180:G182)</f>
        <v>21</v>
      </c>
      <c r="H183" s="99">
        <f>G183+'13'!H183</f>
        <v>350</v>
      </c>
      <c r="I183" s="157"/>
      <c r="J183" s="178">
        <f>H183/DAY(B2)</f>
        <v>25</v>
      </c>
    </row>
    <row r="184" spans="1:10" ht="27.75" customHeight="1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194</v>
      </c>
      <c r="H184" s="99">
        <f>G184+'13'!H184</f>
        <v>2417</v>
      </c>
      <c r="I184" s="158"/>
      <c r="J184" s="179">
        <f>H184/DAY(B2)</f>
        <v>172.64285714285714</v>
      </c>
    </row>
    <row r="185" spans="1:10" ht="27.75" customHeight="1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170</v>
      </c>
      <c r="H185" s="99"/>
      <c r="I185" s="158"/>
      <c r="J185" s="551">
        <f>H185/DAY(B2)</f>
        <v>0</v>
      </c>
    </row>
    <row r="186" spans="1:10" ht="27.75" customHeight="1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115</v>
      </c>
      <c r="H186" s="99">
        <f>G186+'13'!H186</f>
        <v>1218</v>
      </c>
      <c r="I186" s="158"/>
      <c r="J186" s="179">
        <f>H186/DAY(B2)</f>
        <v>87</v>
      </c>
    </row>
    <row r="187" spans="1:10" ht="27.75" customHeight="1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4:C124"/>
    <mergeCell ref="A79:C79"/>
    <mergeCell ref="A80:C80"/>
    <mergeCell ref="A81:C81"/>
    <mergeCell ref="A102:C102"/>
    <mergeCell ref="A95:C95"/>
    <mergeCell ref="A96:C96"/>
    <mergeCell ref="A93:C93"/>
    <mergeCell ref="A94:C94"/>
    <mergeCell ref="A101:C101"/>
    <mergeCell ref="A78:C78"/>
    <mergeCell ref="A97:C97"/>
    <mergeCell ref="A98:C98"/>
    <mergeCell ref="A99:C99"/>
    <mergeCell ref="A100:C100"/>
    <mergeCell ref="A180:B180"/>
    <mergeCell ref="A178:B178"/>
    <mergeCell ref="A179:B179"/>
    <mergeCell ref="A177:B177"/>
    <mergeCell ref="A172:C172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23:C123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8:C148"/>
    <mergeCell ref="A149:C149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67"/>
  <sheetViews>
    <sheetView view="pageBreakPreview" topLeftCell="A121" zoomScale="55" zoomScaleNormal="80" zoomScaleSheetLayoutView="55" workbookViewId="0">
      <selection activeCell="I153" sqref="I15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350</v>
      </c>
      <c r="B2" s="266">
        <v>44485</v>
      </c>
      <c r="C2" s="36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29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0.84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'14'!F7</f>
        <v>993641</v>
      </c>
      <c r="F7" s="629">
        <v>1017763.82</v>
      </c>
      <c r="G7" s="625">
        <f>F7-E7</f>
        <v>24122.819999999949</v>
      </c>
      <c r="H7" s="99">
        <f>G7+'14'!H7</f>
        <v>331500.5199999999</v>
      </c>
      <c r="I7" s="113">
        <f>'1'!I7</f>
        <v>12000</v>
      </c>
      <c r="J7" s="175">
        <f>H7/DAY(B2)</f>
        <v>20718.782499999994</v>
      </c>
      <c r="K7" s="172">
        <v>1375467</v>
      </c>
      <c r="L7" s="66"/>
      <c r="N7" s="87">
        <f>E7-1000000</f>
        <v>-6359</v>
      </c>
      <c r="O7" s="71">
        <f>6359+17763</f>
        <v>24122</v>
      </c>
    </row>
    <row r="8" spans="1:15" ht="27.75" thickBot="1">
      <c r="A8" s="196" t="s">
        <v>131</v>
      </c>
      <c r="B8" s="197"/>
      <c r="C8" s="198"/>
      <c r="D8" s="224" t="s">
        <v>24</v>
      </c>
      <c r="E8" s="95">
        <f>'14'!F8</f>
        <v>1024765</v>
      </c>
      <c r="F8" s="629">
        <v>1049641.32</v>
      </c>
      <c r="G8" s="630">
        <f>F8-E8</f>
        <v>24876.320000000065</v>
      </c>
      <c r="H8" s="99">
        <f>G8+'14'!H8</f>
        <v>336477.42000000004</v>
      </c>
      <c r="I8" s="116"/>
      <c r="J8" s="175">
        <f>H8/DAY(B2)</f>
        <v>21029.838750000003</v>
      </c>
      <c r="K8" s="172">
        <v>1715917</v>
      </c>
      <c r="L8" s="76">
        <v>1728480</v>
      </c>
      <c r="M8" s="87">
        <f>L8-K8</f>
        <v>12563</v>
      </c>
      <c r="N8" s="87">
        <f>E8-1100000</f>
        <v>-75235</v>
      </c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'14'!F9</f>
        <v>1453906</v>
      </c>
      <c r="F9" s="373">
        <v>1469497.7</v>
      </c>
      <c r="G9" s="112">
        <f>F9-E9</f>
        <v>15591.699999999953</v>
      </c>
      <c r="H9" s="99">
        <f>G9+'14'!H9</f>
        <v>208219.19999999995</v>
      </c>
      <c r="I9" s="124">
        <f>I7-J7</f>
        <v>-8718.7824999999939</v>
      </c>
      <c r="J9" s="175">
        <f>H9/DAY(B2)</f>
        <v>13013.699999999997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'14'!F10</f>
        <v>274911</v>
      </c>
      <c r="F10" s="373">
        <v>282830</v>
      </c>
      <c r="G10" s="112">
        <f t="shared" ref="G10:G12" si="0">F10-E10</f>
        <v>7919</v>
      </c>
      <c r="H10" s="99">
        <f>G10+'14'!H10</f>
        <v>114446.07</v>
      </c>
      <c r="I10" s="286"/>
      <c r="J10" s="175">
        <f>H10/DAY(B2)</f>
        <v>7152.8793750000004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si="0"/>
        <v>0</v>
      </c>
      <c r="H11" s="99">
        <f>G11+'14'!H11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23510.699999999953</v>
      </c>
      <c r="H13" s="99">
        <f>G13+'14'!H13</f>
        <v>301858.80999999994</v>
      </c>
      <c r="I13" s="120">
        <f>G7-G13</f>
        <v>612.11999999999534</v>
      </c>
      <c r="J13" s="175">
        <f>H13/DAY(B2)</f>
        <v>18866.175624999996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'14'!F15</f>
        <v>719069</v>
      </c>
      <c r="F15" s="123">
        <v>719980.2</v>
      </c>
      <c r="G15" s="112">
        <f>(F15-E15)</f>
        <v>911.19999999995343</v>
      </c>
      <c r="H15" s="99">
        <f>G15+'14'!H15</f>
        <v>14936.20999999999</v>
      </c>
      <c r="I15" s="113">
        <f>'1'!I15</f>
        <v>800</v>
      </c>
      <c r="J15" s="175">
        <f>H15/DAY(B2)</f>
        <v>933.51312499999938</v>
      </c>
      <c r="K15" s="79"/>
      <c r="L15" s="66"/>
      <c r="N15" s="87">
        <v>720584</v>
      </c>
      <c r="O15" s="71">
        <f>N15-F15</f>
        <v>603.80000000004657</v>
      </c>
    </row>
    <row r="16" spans="1:15" ht="29.25">
      <c r="A16" s="203"/>
      <c r="B16" s="204"/>
      <c r="C16" s="204"/>
      <c r="D16" s="152"/>
      <c r="E16" s="123"/>
      <c r="G16" s="112"/>
      <c r="H16" s="124"/>
      <c r="I16" s="120">
        <f>I15-J15</f>
        <v>-133.51312499999938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'14'!F18</f>
        <v>24</v>
      </c>
      <c r="F18" s="122">
        <v>18</v>
      </c>
      <c r="G18" s="119">
        <f>F18*10</f>
        <v>180</v>
      </c>
      <c r="H18" s="99">
        <f>G18+'14'!H18</f>
        <v>2910</v>
      </c>
      <c r="I18" s="113">
        <f>'1'!I18</f>
        <v>65</v>
      </c>
      <c r="J18" s="175">
        <f>H18/DAY(B2)</f>
        <v>181.875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'14'!F19</f>
        <v>149717</v>
      </c>
      <c r="F19" s="122">
        <v>149773</v>
      </c>
      <c r="G19" s="112">
        <f t="shared" ref="G19" si="1">F19-E19</f>
        <v>56</v>
      </c>
      <c r="H19" s="99">
        <f>G19+'14'!H19</f>
        <v>856</v>
      </c>
      <c r="I19" s="355"/>
      <c r="J19" s="175">
        <f>H19/DAY(B2)</f>
        <v>53.5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236</v>
      </c>
      <c r="H20" s="99">
        <f>G20+'14'!H20</f>
        <v>3766</v>
      </c>
      <c r="I20" s="356">
        <f>I18-J20</f>
        <v>-170.375</v>
      </c>
      <c r="J20" s="175">
        <f>H20/DAY(B2)</f>
        <v>235.375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'14'!F23</f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24876.320000000065</v>
      </c>
      <c r="F27" s="136">
        <v>9</v>
      </c>
      <c r="G27" s="137">
        <f>E27*F27</f>
        <v>223886.88000000059</v>
      </c>
      <c r="H27" s="99">
        <f>G27+'14'!H27</f>
        <v>3028296.7800000003</v>
      </c>
      <c r="I27" s="138"/>
      <c r="J27" s="175">
        <f>H27/DAY(B2)</f>
        <v>189268.54875000002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911.19999999995343</v>
      </c>
      <c r="F28" s="136">
        <v>52</v>
      </c>
      <c r="G28" s="137">
        <f>E28*F28</f>
        <v>47382.399999997579</v>
      </c>
      <c r="H28" s="99">
        <f>G28+'14'!H28</f>
        <v>776682.91999999946</v>
      </c>
      <c r="I28" s="140"/>
      <c r="J28" s="175">
        <f>H28/DAY(B2)</f>
        <v>48542.682499999966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G30+'14'!H30</f>
        <v>124976</v>
      </c>
      <c r="I30" s="140"/>
      <c r="J30" s="175">
        <f>H30/DAY(B2)</f>
        <v>7811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G31+'14'!H31</f>
        <v>232800</v>
      </c>
      <c r="I31" s="140"/>
      <c r="J31" s="175">
        <f>H31/DAY(B2)</f>
        <v>14550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293845.27999999817</v>
      </c>
      <c r="H32" s="99">
        <f>G32+'14'!H32</f>
        <v>4162755.6999999993</v>
      </c>
      <c r="I32" s="144"/>
      <c r="J32" s="175">
        <f>H32/DAY(B2)</f>
        <v>260172.23124999995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'14'!F35</f>
        <v>60379</v>
      </c>
      <c r="F35" s="145">
        <v>62364.37</v>
      </c>
      <c r="G35" s="112">
        <f t="shared" ref="G35:G46" si="3">F35-E35</f>
        <v>1985.3700000000026</v>
      </c>
      <c r="H35" s="99">
        <f>G35+'14'!H35</f>
        <v>29889.700000000004</v>
      </c>
      <c r="I35" s="95"/>
      <c r="J35" s="175">
        <f>H35/DAY(B2)</f>
        <v>1868.1062500000003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'14'!F36</f>
        <v>61914</v>
      </c>
      <c r="F36" s="145">
        <v>62754.7</v>
      </c>
      <c r="G36" s="112">
        <f t="shared" si="3"/>
        <v>840.69999999999709</v>
      </c>
      <c r="H36" s="99">
        <f>G36+'14'!H36</f>
        <v>12815.029999999999</v>
      </c>
      <c r="I36" s="95"/>
      <c r="J36" s="175">
        <f>H36/DAY(B2)</f>
        <v>800.93937499999993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'14'!F37</f>
        <v>119214</v>
      </c>
      <c r="F37" s="145">
        <v>120768.88</v>
      </c>
      <c r="G37" s="112">
        <f t="shared" si="3"/>
        <v>1554.8800000000047</v>
      </c>
      <c r="H37" s="99">
        <f>G37+'14'!H37</f>
        <v>23715.050000000003</v>
      </c>
      <c r="I37" s="95"/>
      <c r="J37" s="175">
        <f>H37/DAY(B2)</f>
        <v>1482.1906250000002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'14'!F38</f>
        <v>140654</v>
      </c>
      <c r="F38" s="108">
        <v>142389.56</v>
      </c>
      <c r="G38" s="112">
        <f t="shared" si="3"/>
        <v>1735.5599999999977</v>
      </c>
      <c r="H38" s="99">
        <f>G38+'14'!H38</f>
        <v>27166.520000000004</v>
      </c>
      <c r="I38" s="95"/>
      <c r="J38" s="175">
        <f>H38/DAY(B2)</f>
        <v>1697.9075000000003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'14'!F39</f>
        <v>273829</v>
      </c>
      <c r="F39" s="145">
        <v>276783.21000000002</v>
      </c>
      <c r="G39" s="112">
        <f t="shared" si="3"/>
        <v>2954.210000000021</v>
      </c>
      <c r="H39" s="99">
        <f>G39+'14'!H39</f>
        <v>43402.160000000033</v>
      </c>
      <c r="I39" s="95"/>
      <c r="J39" s="175">
        <f>H39/DAY(B2)</f>
        <v>2712.635000000002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'14'!F40</f>
        <v>0</v>
      </c>
      <c r="F40" s="145">
        <v>0.71</v>
      </c>
      <c r="G40" s="112">
        <f t="shared" si="3"/>
        <v>0.71</v>
      </c>
      <c r="H40" s="99">
        <f>G40+'14'!H40</f>
        <v>44.34</v>
      </c>
      <c r="I40" s="95"/>
      <c r="J40" s="175">
        <f>H40/DAY(B2)</f>
        <v>2.7712500000000002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'14'!F41</f>
        <v>589883</v>
      </c>
      <c r="F41" s="145">
        <v>589883.11</v>
      </c>
      <c r="G41" s="112">
        <f t="shared" si="3"/>
        <v>0.10999999998603016</v>
      </c>
      <c r="H41" s="99">
        <f>G41+'14'!H41</f>
        <v>8024.2800000000279</v>
      </c>
      <c r="I41" s="95"/>
      <c r="J41" s="175">
        <f>H41/DAY(B2)</f>
        <v>501.51750000000175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'14'!F42</f>
        <v>273705</v>
      </c>
      <c r="F42" s="145">
        <v>275670.59000000003</v>
      </c>
      <c r="G42" s="112">
        <f t="shared" si="3"/>
        <v>1965.5900000000256</v>
      </c>
      <c r="H42" s="99">
        <f>G42+'14'!H42</f>
        <v>4700.9200000000419</v>
      </c>
      <c r="I42" s="95"/>
      <c r="J42" s="175">
        <f>H42/DAY(B2)</f>
        <v>293.80750000000262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'14'!F43</f>
        <v>1483198</v>
      </c>
      <c r="F43" s="145">
        <v>1485986.5</v>
      </c>
      <c r="G43" s="112">
        <f t="shared" si="3"/>
        <v>2788.5</v>
      </c>
      <c r="H43" s="99">
        <f>G43+'14'!H43</f>
        <v>39899.100000000093</v>
      </c>
      <c r="I43" s="95"/>
      <c r="J43" s="175">
        <f>H43/DAY(B2)</f>
        <v>2493.6937500000058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13825.630000000034</v>
      </c>
      <c r="H47" s="99">
        <f>G47+'14'!H47</f>
        <v>189657.10000000018</v>
      </c>
      <c r="I47" s="95"/>
      <c r="J47" s="175">
        <f>H47/DAY(B2)</f>
        <v>11853.568750000011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'14'!F49</f>
        <v>194369</v>
      </c>
      <c r="F49" s="145">
        <v>195987.33</v>
      </c>
      <c r="G49" s="112">
        <f t="shared" ref="G49:G58" si="4">F49-E49</f>
        <v>1618.3299999999872</v>
      </c>
      <c r="H49" s="99">
        <f>G49+'14'!H49</f>
        <v>23256.939999999973</v>
      </c>
      <c r="I49" s="95"/>
      <c r="J49" s="175">
        <f>H49/DAY(B2)</f>
        <v>1453.5587499999983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'14'!F50</f>
        <v>700333</v>
      </c>
      <c r="F50" s="145">
        <v>701448.47</v>
      </c>
      <c r="G50" s="112">
        <f t="shared" si="4"/>
        <v>1115.4699999999721</v>
      </c>
      <c r="H50" s="99">
        <f>G50+'14'!H50</f>
        <v>17086.159999999916</v>
      </c>
      <c r="I50" s="95"/>
      <c r="J50" s="175">
        <f>H50/DAY(B2)</f>
        <v>1067.8849999999948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'14'!F54</f>
        <v>2941</v>
      </c>
      <c r="F54" s="145">
        <v>2946.43</v>
      </c>
      <c r="G54" s="112">
        <f t="shared" si="4"/>
        <v>5.4299999999998363</v>
      </c>
      <c r="H54" s="99">
        <f>G54+'14'!H54</f>
        <v>78.940000000000055</v>
      </c>
      <c r="I54" s="95"/>
      <c r="J54" s="175">
        <f>H54/DAY(B2)</f>
        <v>4.9337500000000034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'14'!F55</f>
        <v>0</v>
      </c>
      <c r="F55" s="145">
        <v>0</v>
      </c>
      <c r="G55" s="112">
        <f t="shared" si="4"/>
        <v>0</v>
      </c>
      <c r="H55" s="99">
        <f>G55+'14'!H55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'14'!F56</f>
        <v>110224</v>
      </c>
      <c r="F56" s="145">
        <v>115288.81</v>
      </c>
      <c r="G56" s="112">
        <f t="shared" si="4"/>
        <v>5064.8099999999977</v>
      </c>
      <c r="H56" s="99">
        <f>G56+'14'!H56</f>
        <v>72448.51999999999</v>
      </c>
      <c r="I56" s="95"/>
      <c r="J56" s="175">
        <f>H56/DAY(B2)</f>
        <v>4528.0324999999993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'14'!F58</f>
        <v>81852</v>
      </c>
      <c r="F58" s="145">
        <v>82080.663</v>
      </c>
      <c r="G58" s="112">
        <f t="shared" si="4"/>
        <v>228.66300000000047</v>
      </c>
      <c r="H58" s="99">
        <f>G58+'14'!H58</f>
        <v>3060.7630000000063</v>
      </c>
      <c r="I58" s="95"/>
      <c r="J58" s="175">
        <f>H58/DAY(B2)</f>
        <v>191.29768750000039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8032.7029999999577</v>
      </c>
      <c r="H59" s="99">
        <f>G59+'14'!H59</f>
        <v>115931.32299999989</v>
      </c>
      <c r="I59" s="95">
        <f>G7-G60</f>
        <v>2264.4869999999573</v>
      </c>
      <c r="J59" s="175">
        <f>H59/DAY(B2)</f>
        <v>7245.707687499993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21858.332999999991</v>
      </c>
      <c r="H60" s="99">
        <f>G60+'14'!H60</f>
        <v>305588.42300000007</v>
      </c>
      <c r="I60" s="95">
        <f>G13-G60</f>
        <v>1652.366999999962</v>
      </c>
      <c r="J60" s="175">
        <f>H60/DAY(B2)</f>
        <v>19099.276437500004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'14'!F62</f>
        <v>261435</v>
      </c>
      <c r="F62" s="122">
        <v>261542</v>
      </c>
      <c r="G62" s="112">
        <f t="shared" ref="G62:G63" si="5">F62-E62</f>
        <v>107</v>
      </c>
      <c r="H62" s="99">
        <f>G62+'14'!H62</f>
        <v>1724</v>
      </c>
      <c r="I62" s="118"/>
      <c r="J62" s="175">
        <f>H62/DAY(B2)</f>
        <v>107.75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'14'!F63</f>
        <v>207673</v>
      </c>
      <c r="F63" s="122">
        <v>207768</v>
      </c>
      <c r="G63" s="112">
        <f t="shared" si="5"/>
        <v>95</v>
      </c>
      <c r="H63" s="99">
        <f>G63+'14'!H63</f>
        <v>1498</v>
      </c>
      <c r="I63" s="118"/>
      <c r="J63" s="175">
        <f>H63/DAY(B2)</f>
        <v>93.625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'14'!F64</f>
        <v>0</v>
      </c>
      <c r="F64" s="122"/>
      <c r="G64" s="112">
        <f>G62+G63</f>
        <v>202</v>
      </c>
      <c r="H64" s="99">
        <f>G64+'14'!H64</f>
        <v>3222</v>
      </c>
      <c r="I64" s="118"/>
      <c r="J64" s="175">
        <f>H64/DAY(B2)</f>
        <v>201.375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'14'!F65</f>
        <v>427604</v>
      </c>
      <c r="F65" s="122">
        <v>427720</v>
      </c>
      <c r="G65" s="112">
        <f t="shared" ref="G65:G70" si="6">F65-E65</f>
        <v>116</v>
      </c>
      <c r="H65" s="99">
        <f>G65+'14'!H65</f>
        <v>1515</v>
      </c>
      <c r="I65" s="118"/>
      <c r="J65" s="175">
        <f>H65/DAY(B2)</f>
        <v>94.6875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'14'!F66</f>
        <v>106277</v>
      </c>
      <c r="F66" s="122">
        <v>106298</v>
      </c>
      <c r="G66" s="112">
        <f t="shared" si="6"/>
        <v>21</v>
      </c>
      <c r="H66" s="99">
        <f>G66+'14'!H66</f>
        <v>328</v>
      </c>
      <c r="I66" s="118"/>
      <c r="J66" s="175">
        <f>H66/DAY(B2)</f>
        <v>20.5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'14'!F67</f>
        <v>102550</v>
      </c>
      <c r="F67" s="122">
        <v>102570</v>
      </c>
      <c r="G67" s="112">
        <f t="shared" si="6"/>
        <v>20</v>
      </c>
      <c r="H67" s="99">
        <f>G67+'14'!H67</f>
        <v>399</v>
      </c>
      <c r="I67" s="118"/>
      <c r="J67" s="175">
        <f>H67/DAY(B2)</f>
        <v>24.9375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'14'!F68</f>
        <v>154942</v>
      </c>
      <c r="F68" s="122">
        <v>154970</v>
      </c>
      <c r="G68" s="112">
        <f t="shared" si="6"/>
        <v>28</v>
      </c>
      <c r="H68" s="99">
        <f>G68+'14'!H68</f>
        <v>474</v>
      </c>
      <c r="I68" s="118"/>
      <c r="J68" s="175">
        <f>H68/DAY(B2)</f>
        <v>29.625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'14'!F69</f>
        <v>9646</v>
      </c>
      <c r="F69" s="122">
        <v>9655</v>
      </c>
      <c r="G69" s="112">
        <f t="shared" si="6"/>
        <v>9</v>
      </c>
      <c r="H69" s="99">
        <f>G69+'14'!H69</f>
        <v>190</v>
      </c>
      <c r="I69" s="118"/>
      <c r="J69" s="175">
        <f>H69/DAY(B2)</f>
        <v>11.875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'14'!F70</f>
        <v>7363</v>
      </c>
      <c r="F70" s="122">
        <v>7371</v>
      </c>
      <c r="G70" s="112">
        <f t="shared" si="6"/>
        <v>8</v>
      </c>
      <c r="H70" s="99">
        <f>G70+'14'!H70</f>
        <v>168</v>
      </c>
      <c r="I70" s="118"/>
      <c r="J70" s="175">
        <f>H70/DAY(B2)</f>
        <v>10.5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202</v>
      </c>
      <c r="H71" s="99">
        <f>G71+'14'!H71</f>
        <v>3074</v>
      </c>
      <c r="I71" s="154"/>
      <c r="J71" s="175">
        <f>H71/DAY(B2)</f>
        <v>192.125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'14'!F74</f>
        <v>877658</v>
      </c>
      <c r="F74" s="123">
        <v>877910.49</v>
      </c>
      <c r="G74" s="112">
        <f t="shared" ref="G74:G78" si="7">F74-E74</f>
        <v>252.48999999999069</v>
      </c>
      <c r="H74" s="99">
        <f>G74+'14'!H74</f>
        <v>4325.2589999999618</v>
      </c>
      <c r="I74" s="154"/>
      <c r="J74" s="175">
        <f>H74/DAY(B2)</f>
        <v>270.32868749999761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3.4000000000087311</v>
      </c>
      <c r="I75" s="154"/>
      <c r="J75" s="175">
        <f>H75/DAY(B2)</f>
        <v>0.2125000000005457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'14'!F76</f>
        <v>161424</v>
      </c>
      <c r="F76" s="123">
        <v>161534.79999999999</v>
      </c>
      <c r="G76" s="112">
        <f t="shared" si="7"/>
        <v>110.79999999998836</v>
      </c>
      <c r="H76" s="99">
        <f>G76+'14'!H76</f>
        <v>1549.2999999999884</v>
      </c>
      <c r="I76" s="154"/>
      <c r="J76" s="175">
        <f>H76/DAY(B2)</f>
        <v>96.831249999999272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'14'!F77</f>
        <v>38067</v>
      </c>
      <c r="F77" s="123">
        <v>38113</v>
      </c>
      <c r="G77" s="112">
        <f t="shared" si="7"/>
        <v>46</v>
      </c>
      <c r="H77" s="99">
        <f>G77+'14'!H77</f>
        <v>615.5</v>
      </c>
      <c r="I77" s="154"/>
      <c r="J77" s="175">
        <f>H77/DAY(B2)</f>
        <v>38.46875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'14'!F78</f>
        <v>9360</v>
      </c>
      <c r="F78" s="123">
        <v>9361.7999999999993</v>
      </c>
      <c r="G78" s="112">
        <f t="shared" si="7"/>
        <v>1.7999999999992724</v>
      </c>
      <c r="H78" s="99">
        <f>G78+'14'!H78</f>
        <v>32.399999999999636</v>
      </c>
      <c r="I78" s="118"/>
      <c r="J78" s="175">
        <f>H78/DAY(B2)</f>
        <v>2.0249999999999773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'14'!F79</f>
        <v>0</v>
      </c>
      <c r="F79" s="123"/>
      <c r="G79" s="112">
        <f>G15-SUM(G74:G78)</f>
        <v>500.10999999997512</v>
      </c>
      <c r="H79" s="99">
        <f>G79+'14'!H79</f>
        <v>8410.3510000000315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911.19999999995343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'14'!F84</f>
        <v>41625</v>
      </c>
      <c r="F84" s="164">
        <v>41625</v>
      </c>
      <c r="G84" s="112">
        <f t="shared" si="8"/>
        <v>0</v>
      </c>
      <c r="H84" s="99">
        <f>G84+'14'!H84</f>
        <v>39.440000000002328</v>
      </c>
      <c r="I84" s="118"/>
      <c r="J84" s="175">
        <f>H84/DAY(B2)</f>
        <v>2.4650000000001455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'14'!F85</f>
        <v>1317.51</v>
      </c>
      <c r="F85" s="164">
        <v>1329.03</v>
      </c>
      <c r="G85" s="112">
        <f t="shared" si="8"/>
        <v>11.519999999999982</v>
      </c>
      <c r="H85" s="99">
        <f>G85+'14'!H85</f>
        <v>24.029999999999973</v>
      </c>
      <c r="I85" s="118">
        <f>G82+G83+G84+G85</f>
        <v>11.519999999999982</v>
      </c>
      <c r="J85" s="175">
        <f>H85/DAY(B2)</f>
        <v>1.5018749999999983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'14'!F86</f>
        <v>42826.47</v>
      </c>
      <c r="F86" s="164">
        <v>42826.47</v>
      </c>
      <c r="G86" s="112">
        <f t="shared" si="8"/>
        <v>0</v>
      </c>
      <c r="H86" s="99">
        <f>G86+'14'!H86</f>
        <v>0.47000000000116415</v>
      </c>
      <c r="I86" s="118"/>
      <c r="J86" s="175">
        <f>H86/DAY(B2)</f>
        <v>2.937500000007276E-2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'14'!F87</f>
        <v>34069</v>
      </c>
      <c r="F87" s="164">
        <v>34093.17</v>
      </c>
      <c r="G87" s="112">
        <f t="shared" si="8"/>
        <v>24.169999999998254</v>
      </c>
      <c r="H87" s="99">
        <f>G87+'14'!H87</f>
        <v>345.16999999999825</v>
      </c>
      <c r="I87" s="118"/>
      <c r="J87" s="175">
        <f>H87/DAY(B2)</f>
        <v>21.573124999999891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'14'!F88</f>
        <v>23878.59</v>
      </c>
      <c r="F88" s="164">
        <v>23878.560000000001</v>
      </c>
      <c r="G88" s="112">
        <f t="shared" si="8"/>
        <v>-2.9999999998835847E-2</v>
      </c>
      <c r="H88" s="99">
        <f>G88+'14'!H88</f>
        <v>44.990000000001601</v>
      </c>
      <c r="I88" s="118">
        <f>G86+G87+G88</f>
        <v>24.139999999999418</v>
      </c>
      <c r="J88" s="175">
        <f>H88/DAY(B2)</f>
        <v>2.8118750000001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'14'!F89</f>
        <v>25338.5</v>
      </c>
      <c r="F89" s="164">
        <v>25348.68</v>
      </c>
      <c r="G89" s="112">
        <f t="shared" si="8"/>
        <v>10.180000000000291</v>
      </c>
      <c r="H89" s="99">
        <f>G89+'14'!H89</f>
        <v>103.29999999999927</v>
      </c>
      <c r="I89" s="118"/>
      <c r="J89" s="175">
        <f>H89/DAY(B2)</f>
        <v>6.4562499999999545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'14'!F90</f>
        <v>70721.95</v>
      </c>
      <c r="F90" s="164">
        <v>70726.070000000007</v>
      </c>
      <c r="G90" s="112">
        <f t="shared" si="8"/>
        <v>4.1200000000098953</v>
      </c>
      <c r="H90" s="99">
        <f>G90+'14'!H90</f>
        <v>70.660000000003492</v>
      </c>
      <c r="I90" s="118">
        <f>G89+G90</f>
        <v>14.300000000010186</v>
      </c>
      <c r="J90" s="175">
        <f>H90/DAY(B2)</f>
        <v>4.4162500000002183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'14'!F92</f>
        <v>4934.9399999999996</v>
      </c>
      <c r="F92" s="122">
        <v>4943.82</v>
      </c>
      <c r="G92" s="112">
        <f t="shared" si="8"/>
        <v>8.8800000000001091</v>
      </c>
      <c r="H92" s="99">
        <f>G92+'14'!H92</f>
        <v>152</v>
      </c>
      <c r="I92" s="165"/>
      <c r="J92" s="175">
        <f>H92/DAY(B2)</f>
        <v>9.5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6392.1999999999898</v>
      </c>
      <c r="H94" s="99">
        <f>G94+'14'!H94</f>
        <v>93045.740000000078</v>
      </c>
      <c r="I94" s="118"/>
      <c r="J94" s="175">
        <f>H94/DAY(B2)</f>
        <v>5815.3587500000049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0.26498560284411204</v>
      </c>
      <c r="H95" s="99">
        <f>G95+'14'!H95</f>
        <v>4.2146575637609818</v>
      </c>
      <c r="I95" s="167"/>
      <c r="J95" s="175">
        <f>H95/DAY(B2)</f>
        <v>0.26341609773506136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7030.5100000000093</v>
      </c>
      <c r="H96" s="99">
        <f>G96+'14'!H96</f>
        <v>85173.720000000059</v>
      </c>
      <c r="I96" s="118"/>
      <c r="J96" s="175">
        <f>H96/DAY(B2)</f>
        <v>5323.3575000000037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0.29144643951246263</v>
      </c>
      <c r="H97" s="99">
        <f>G97+'14'!H97</f>
        <v>3.843783516478291</v>
      </c>
      <c r="I97" s="167"/>
      <c r="J97" s="175">
        <f>H97/DAY(B2)</f>
        <v>0.24023646977989319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2954.210000000021</v>
      </c>
      <c r="H98" s="99">
        <f>G98+'14'!H98</f>
        <v>43402.160000000033</v>
      </c>
      <c r="I98" s="168"/>
      <c r="J98" s="175">
        <f>H98/DAY(B2)</f>
        <v>2712.635000000002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0.12246536681864008</v>
      </c>
      <c r="H99" s="99">
        <f>G99+'14'!H99</f>
        <v>1.9680309408943202</v>
      </c>
      <c r="I99" s="168"/>
      <c r="J99" s="175">
        <f>H99/DAY(B2)</f>
        <v>0.12300193380589501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1735.5599999999977</v>
      </c>
      <c r="H100" s="99">
        <f>G100+'14'!H100</f>
        <v>27166.520000000004</v>
      </c>
      <c r="I100" s="118"/>
      <c r="J100" s="175">
        <f>H100/DAY(B2)</f>
        <v>1697.9075000000003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7.1946812188624767E-2</v>
      </c>
      <c r="H101" s="99">
        <f>G101+'14'!H101</f>
        <v>1.2315980567061293</v>
      </c>
      <c r="I101" s="168"/>
      <c r="J101" s="175">
        <f>H101/DAY(B2)</f>
        <v>7.6974878544133082E-2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1956.1699999999691</v>
      </c>
      <c r="H102" s="99">
        <f>G102+'14'!H102</f>
        <v>29901.189999999915</v>
      </c>
      <c r="I102" s="168"/>
      <c r="J102" s="175">
        <f>H102/DAY(B2)</f>
        <v>1868.8243749999947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8.1092094539526191E-2</v>
      </c>
      <c r="H103" s="99">
        <f>G103+'14'!H103</f>
        <v>1.3495229983038619</v>
      </c>
      <c r="I103" s="118"/>
      <c r="J103" s="175">
        <f>H103/DAY(B2)</f>
        <v>8.4345187393991369E-2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1554.8800000000047</v>
      </c>
      <c r="H104" s="99">
        <f>G104+'14'!H104</f>
        <v>23715.050000000003</v>
      </c>
      <c r="I104" s="118"/>
      <c r="J104" s="175">
        <f>H104/DAY(B2)</f>
        <v>1482.1906250000002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6.4456808946881328E-2</v>
      </c>
      <c r="H105" s="99">
        <f>G105+'14'!H105</f>
        <v>1.0752137168066422</v>
      </c>
      <c r="I105" s="187"/>
      <c r="J105" s="188">
        <f>H105/DAY(B2)</f>
        <v>6.720085730041514E-2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'14'!F112</f>
        <v>52037</v>
      </c>
      <c r="F112" s="237">
        <v>52119.22</v>
      </c>
      <c r="G112" s="112">
        <f t="shared" ref="G112:G123" si="9">F112-E112</f>
        <v>82.220000000001164</v>
      </c>
      <c r="H112" s="99">
        <f>G112+'14'!H112</f>
        <v>1230.1399999999994</v>
      </c>
      <c r="I112" s="165"/>
      <c r="J112" s="348">
        <f>H112/DAY(B2)</f>
        <v>76.883749999999964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'14'!F113</f>
        <v>10740</v>
      </c>
      <c r="F113" s="237">
        <v>11191.73</v>
      </c>
      <c r="G113" s="112">
        <f t="shared" si="9"/>
        <v>451.72999999999956</v>
      </c>
      <c r="H113" s="99">
        <f>G113+'14'!H113</f>
        <v>6686.08</v>
      </c>
      <c r="I113" s="165"/>
      <c r="J113" s="348">
        <f>H113/DAY(B2)</f>
        <v>417.88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'14'!F114</f>
        <v>9605</v>
      </c>
      <c r="F114" s="237">
        <v>9991.52</v>
      </c>
      <c r="G114" s="112">
        <f t="shared" si="9"/>
        <v>386.52000000000044</v>
      </c>
      <c r="H114" s="99">
        <f>G114+'14'!H114</f>
        <v>5413.59</v>
      </c>
      <c r="I114" s="165"/>
      <c r="J114" s="348">
        <f>H114/DAY(B2)</f>
        <v>338.34937500000001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'14'!F115</f>
        <v>8226</v>
      </c>
      <c r="F115" s="237">
        <v>8240.67</v>
      </c>
      <c r="G115" s="112">
        <f t="shared" si="9"/>
        <v>14.670000000000073</v>
      </c>
      <c r="H115" s="99">
        <f>G115+'14'!H115</f>
        <v>163.26000000000022</v>
      </c>
      <c r="I115" s="165"/>
      <c r="J115" s="348">
        <f>H115/DAY(B2)</f>
        <v>10.203750000000014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48">
        <f>H116/DAY(B2)</f>
        <v>0</v>
      </c>
      <c r="Q116" s="793"/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'14'!F117</f>
        <v>1616</v>
      </c>
      <c r="F117" s="237">
        <v>1637.42</v>
      </c>
      <c r="G117" s="112">
        <f t="shared" si="9"/>
        <v>21.420000000000073</v>
      </c>
      <c r="H117" s="99">
        <f>G117+'14'!H117</f>
        <v>479.23</v>
      </c>
      <c r="I117" s="165"/>
      <c r="J117" s="348">
        <f>H117/DAY(B2)</f>
        <v>29.951875000000001</v>
      </c>
      <c r="Q117" s="793"/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'14'!F118</f>
        <v>223595</v>
      </c>
      <c r="F118" s="237">
        <v>223940.25</v>
      </c>
      <c r="G118" s="112">
        <f t="shared" si="9"/>
        <v>345.25</v>
      </c>
      <c r="H118" s="99">
        <f>G118+'14'!H118</f>
        <v>5088.320000000007</v>
      </c>
      <c r="I118" s="165"/>
      <c r="J118" s="348">
        <f>H118/DAY(B2)</f>
        <v>318.02000000000044</v>
      </c>
      <c r="Q118" s="793"/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'14'!F119</f>
        <v>224786</v>
      </c>
      <c r="F119" s="237">
        <v>225200.45</v>
      </c>
      <c r="G119" s="112">
        <f t="shared" si="9"/>
        <v>414.45000000001164</v>
      </c>
      <c r="H119" s="99">
        <f>G119+'14'!H119</f>
        <v>6389.3400000000256</v>
      </c>
      <c r="I119" s="165"/>
      <c r="J119" s="348">
        <f>H119/DAY(B2)</f>
        <v>399.3337500000016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'14'!F120</f>
        <v>10306</v>
      </c>
      <c r="F120" s="237">
        <v>10723.23</v>
      </c>
      <c r="G120" s="112">
        <f t="shared" si="9"/>
        <v>417.22999999999956</v>
      </c>
      <c r="H120" s="99">
        <f>G120+'14'!H120</f>
        <v>6415.6299999999992</v>
      </c>
      <c r="I120" s="165"/>
      <c r="J120" s="348">
        <f>H120/DAY(B2)</f>
        <v>400.97687499999995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'14'!F121</f>
        <v>341280</v>
      </c>
      <c r="F121" s="237">
        <v>341995.59</v>
      </c>
      <c r="G121" s="112">
        <f t="shared" si="9"/>
        <v>715.59000000002561</v>
      </c>
      <c r="H121" s="99">
        <f>G121+'14'!H121</f>
        <v>10758.080000000016</v>
      </c>
      <c r="I121" s="165"/>
      <c r="J121" s="348">
        <f>H121/DAY(B2)</f>
        <v>672.38000000000102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'14'!F122</f>
        <v>105824</v>
      </c>
      <c r="F122" s="237">
        <v>106136.28</v>
      </c>
      <c r="G122" s="112">
        <f t="shared" si="9"/>
        <v>312.27999999999884</v>
      </c>
      <c r="H122" s="99">
        <f>G122+'14'!H122</f>
        <v>4527.3999999999942</v>
      </c>
      <c r="I122" s="165"/>
      <c r="J122" s="348">
        <f>H122/DAY(B2)</f>
        <v>282.96249999999964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'14'!F123</f>
        <v>129868</v>
      </c>
      <c r="F123" s="237">
        <v>130152.09</v>
      </c>
      <c r="G123" s="112">
        <f t="shared" si="9"/>
        <v>284.08999999999651</v>
      </c>
      <c r="H123" s="99">
        <f>G123+'14'!H123</f>
        <v>4404.3300000000017</v>
      </c>
      <c r="I123" s="165"/>
      <c r="J123" s="348">
        <f>H123/DAY(B2)</f>
        <v>275.27062500000011</v>
      </c>
    </row>
    <row r="124" spans="1:18" ht="29.25" customHeight="1">
      <c r="A124" s="797"/>
      <c r="B124" s="798"/>
      <c r="C124" s="799"/>
      <c r="D124" s="165"/>
      <c r="E124" s="165"/>
      <c r="F124" s="165"/>
      <c r="G124" s="347"/>
      <c r="H124" s="156"/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3445.4500000000335</v>
      </c>
      <c r="H125" s="156"/>
      <c r="I125" s="347">
        <f>G125-(G39+G53)</f>
        <v>491.24000000001251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G127+'14'!H127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'14'!F128</f>
        <v>22558</v>
      </c>
      <c r="F128" s="165">
        <v>22849.51</v>
      </c>
      <c r="G128" s="112">
        <f t="shared" ref="G128:G134" si="10">F128-E128</f>
        <v>291.5099999999984</v>
      </c>
      <c r="H128" s="99">
        <f>G128+'14'!H128</f>
        <v>4825.7899999999972</v>
      </c>
      <c r="I128" s="165"/>
      <c r="J128" s="348">
        <f>H128/DAY(B2)</f>
        <v>301.61187499999983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'14'!F129</f>
        <v>9467</v>
      </c>
      <c r="F129" s="165">
        <v>9667.11</v>
      </c>
      <c r="G129" s="112">
        <f t="shared" si="10"/>
        <v>200.11000000000058</v>
      </c>
      <c r="H129" s="99">
        <f>G129+'14'!H129</f>
        <v>3071.4000000000005</v>
      </c>
      <c r="I129" s="165"/>
      <c r="J129" s="348">
        <f>H129/DAY(B2)</f>
        <v>191.96250000000003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'14'!F130</f>
        <v>61465</v>
      </c>
      <c r="F130" s="165">
        <v>64007.21</v>
      </c>
      <c r="G130" s="112">
        <f t="shared" si="10"/>
        <v>2542.2099999999991</v>
      </c>
      <c r="H130" s="99">
        <f>G130+'14'!H130</f>
        <v>37539.18</v>
      </c>
      <c r="I130" s="165"/>
      <c r="J130" s="348">
        <f>H130/DAY(B2)</f>
        <v>2346.19875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'14'!F131</f>
        <v>6168</v>
      </c>
      <c r="F131" s="165">
        <v>6345.52</v>
      </c>
      <c r="G131" s="112">
        <f t="shared" si="10"/>
        <v>177.52000000000044</v>
      </c>
      <c r="H131" s="99">
        <f>G131+'14'!H131</f>
        <v>2199.0500000000002</v>
      </c>
      <c r="I131" s="165"/>
      <c r="J131" s="348">
        <f>H131/DAY(B2)</f>
        <v>137.44062500000001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'14'!F132</f>
        <v>18647</v>
      </c>
      <c r="F132" s="165">
        <v>19163.900000000001</v>
      </c>
      <c r="G132" s="112">
        <f t="shared" si="10"/>
        <v>516.90000000000146</v>
      </c>
      <c r="H132" s="99">
        <f>G132+'14'!H132</f>
        <v>7626.1800000000021</v>
      </c>
      <c r="I132" s="165"/>
      <c r="J132" s="348">
        <f>H132/DAY(B2)</f>
        <v>476.63625000000013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'14'!F133</f>
        <v>50597</v>
      </c>
      <c r="F133" s="165">
        <v>51337.98</v>
      </c>
      <c r="G133" s="112">
        <f t="shared" si="10"/>
        <v>740.9800000000032</v>
      </c>
      <c r="H133" s="99">
        <f>G133+'14'!H133</f>
        <v>10488.690000000002</v>
      </c>
      <c r="I133" s="165"/>
      <c r="J133" s="348">
        <f>H133/DAY(B2)</f>
        <v>655.54312500000015</v>
      </c>
    </row>
    <row r="134" spans="1:15" s="555" customFormat="1" ht="27.75">
      <c r="A134" s="864" t="s">
        <v>340</v>
      </c>
      <c r="B134" s="865"/>
      <c r="C134" s="866"/>
      <c r="D134" s="233" t="s">
        <v>183</v>
      </c>
      <c r="E134" s="552">
        <f>'14'!F134</f>
        <v>641060</v>
      </c>
      <c r="F134" s="158">
        <v>641721</v>
      </c>
      <c r="G134" s="236">
        <f t="shared" si="10"/>
        <v>661</v>
      </c>
      <c r="H134" s="238">
        <f>G134+'14'!H134</f>
        <v>9457</v>
      </c>
      <c r="I134" s="158"/>
      <c r="J134" s="554">
        <f>H134/DAY(B2)</f>
        <v>591.0625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SUM(G128:G134)</f>
        <v>5130.2300000000032</v>
      </c>
      <c r="H135" s="99">
        <f>G135+'10'!H135</f>
        <v>55311.29</v>
      </c>
      <c r="I135" s="347">
        <f>G135-(G35+G49)</f>
        <v>1526.5300000000134</v>
      </c>
      <c r="J135" s="348"/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'14'!F138</f>
        <v>860416</v>
      </c>
      <c r="F138" s="147">
        <v>860458</v>
      </c>
      <c r="G138" s="112">
        <f t="shared" ref="G138:G152" si="11">F138-E138</f>
        <v>42</v>
      </c>
      <c r="H138" s="99">
        <f>G138+'14'!H138</f>
        <v>811</v>
      </c>
      <c r="I138" s="118"/>
      <c r="J138" s="348">
        <f>H138/DAY(B2)</f>
        <v>50.6875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'14'!F139</f>
        <v>886131</v>
      </c>
      <c r="F139" s="148">
        <v>886135</v>
      </c>
      <c r="G139" s="112">
        <f t="shared" si="11"/>
        <v>4</v>
      </c>
      <c r="H139" s="99">
        <f>G139+'14'!H139</f>
        <v>33</v>
      </c>
      <c r="I139" s="118"/>
      <c r="J139" s="348">
        <f>H139/DAY(B2)</f>
        <v>2.0625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'14'!F140</f>
        <v>88830</v>
      </c>
      <c r="F140" s="149">
        <v>88830</v>
      </c>
      <c r="G140" s="112">
        <f t="shared" si="11"/>
        <v>0</v>
      </c>
      <c r="H140" s="99">
        <f>G140+'14'!H140</f>
        <v>13</v>
      </c>
      <c r="I140" s="118"/>
      <c r="J140" s="348">
        <f>H140/DAY(B2)</f>
        <v>0.8125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'14'!F141</f>
        <v>39929</v>
      </c>
      <c r="F141" s="149">
        <v>40115.46</v>
      </c>
      <c r="G141" s="112">
        <f t="shared" si="11"/>
        <v>186.45999999999913</v>
      </c>
      <c r="H141" s="99">
        <f>G141+'14'!H141</f>
        <v>2827.510000000002</v>
      </c>
      <c r="I141" s="118"/>
      <c r="J141" s="348">
        <f>H141/DAY(B2)</f>
        <v>176.71937500000013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'14'!F142</f>
        <v>17192</v>
      </c>
      <c r="F142" s="148">
        <v>17209.22</v>
      </c>
      <c r="G142" s="112">
        <f t="shared" si="11"/>
        <v>17.220000000001164</v>
      </c>
      <c r="H142" s="99">
        <f>G142+'14'!H142</f>
        <v>247.35000000000218</v>
      </c>
      <c r="I142" s="140"/>
      <c r="J142" s="348">
        <f>H142/DAY(B2)</f>
        <v>15.459375000000136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'14'!F143</f>
        <v>1736</v>
      </c>
      <c r="F143" s="149">
        <v>1763.88</v>
      </c>
      <c r="G143" s="112">
        <f t="shared" si="11"/>
        <v>27.880000000000109</v>
      </c>
      <c r="H143" s="99">
        <f>G143+'14'!H143</f>
        <v>380.70000000000005</v>
      </c>
      <c r="I143" s="140"/>
      <c r="J143" s="348">
        <f>H143/DAY(B2)</f>
        <v>23.793750000000003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'14'!F144</f>
        <v>858591</v>
      </c>
      <c r="F144" s="149">
        <v>858831</v>
      </c>
      <c r="G144" s="112">
        <f t="shared" si="11"/>
        <v>240</v>
      </c>
      <c r="H144" s="99">
        <f>G144+'14'!H144</f>
        <v>3462</v>
      </c>
      <c r="I144" s="140"/>
      <c r="J144" s="348">
        <f>H144/DAY(B2)</f>
        <v>216.375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'14'!F145</f>
        <v>2736</v>
      </c>
      <c r="F145" s="149">
        <v>2767.15</v>
      </c>
      <c r="G145" s="112">
        <f t="shared" si="11"/>
        <v>31.150000000000091</v>
      </c>
      <c r="H145" s="99">
        <f>G145+'14'!H145</f>
        <v>554.15000000000009</v>
      </c>
      <c r="I145" s="140"/>
      <c r="J145" s="348">
        <f>H145/DAY(B2)</f>
        <v>34.634375000000006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'14'!F146</f>
        <v>704109</v>
      </c>
      <c r="F146" s="148">
        <v>704536</v>
      </c>
      <c r="G146" s="112">
        <f t="shared" si="11"/>
        <v>427</v>
      </c>
      <c r="H146" s="99">
        <f>G146+'14'!H146</f>
        <v>6017</v>
      </c>
      <c r="I146" s="140"/>
      <c r="J146" s="348">
        <f>H146/DAY(B2)</f>
        <v>376.0625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'14'!F147</f>
        <v>594603</v>
      </c>
      <c r="F147" s="148">
        <v>595053.64</v>
      </c>
      <c r="G147" s="112">
        <f t="shared" si="11"/>
        <v>450.64000000001397</v>
      </c>
      <c r="H147" s="99">
        <f>G147+'14'!H147</f>
        <v>6142.7199999999721</v>
      </c>
      <c r="I147" s="140"/>
      <c r="J147" s="348">
        <f>H147/DAY(B2)</f>
        <v>383.91999999999825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'14'!F148</f>
        <v>668594</v>
      </c>
      <c r="F148" s="150">
        <v>668860.52</v>
      </c>
      <c r="G148" s="112">
        <f t="shared" si="11"/>
        <v>266.52000000001863</v>
      </c>
      <c r="H148" s="99">
        <f>G148+'14'!H148</f>
        <v>3752.4000000000233</v>
      </c>
      <c r="I148" s="124"/>
      <c r="J148" s="348">
        <f>H148/DAY(B2)</f>
        <v>234.52500000000146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'14'!F149</f>
        <v>89195</v>
      </c>
      <c r="F149" s="146">
        <v>89766</v>
      </c>
      <c r="G149" s="112">
        <f t="shared" si="11"/>
        <v>571</v>
      </c>
      <c r="H149" s="99">
        <f>G149+'14'!H149</f>
        <v>5019</v>
      </c>
      <c r="I149" s="119"/>
      <c r="J149" s="348">
        <f>H149/DAY(B2)</f>
        <v>313.6875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'14'!F150</f>
        <v>7167232</v>
      </c>
      <c r="F150" s="233">
        <v>7167232</v>
      </c>
      <c r="G150" s="112">
        <f t="shared" si="11"/>
        <v>0</v>
      </c>
      <c r="H150" s="99">
        <f>G150+'14'!H150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'14'!F151</f>
        <v>66402</v>
      </c>
      <c r="F151" s="233">
        <v>66616</v>
      </c>
      <c r="G151" s="112">
        <f t="shared" si="11"/>
        <v>214</v>
      </c>
      <c r="H151" s="99">
        <f>G151+'14'!H151</f>
        <v>3606</v>
      </c>
      <c r="I151" s="119"/>
      <c r="J151" s="348">
        <f>H151/DAY(B2)</f>
        <v>225.375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'14'!F152</f>
        <v>0</v>
      </c>
      <c r="F152" s="233">
        <v>0</v>
      </c>
      <c r="G152" s="112">
        <f t="shared" si="11"/>
        <v>0</v>
      </c>
      <c r="H152" s="99">
        <f>G152+'14'!H152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2477.8700000000331</v>
      </c>
      <c r="H153" s="383"/>
      <c r="I153" s="119">
        <f>G153-(G38+G52)</f>
        <v>742.31000000003542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'14'!F155</f>
        <v>77377</v>
      </c>
      <c r="F155" s="394">
        <v>77384</v>
      </c>
      <c r="G155" s="112">
        <f t="shared" ref="G155:G156" si="12">F155-E155</f>
        <v>7</v>
      </c>
      <c r="H155" s="99">
        <f>G155+'14'!H155</f>
        <v>109.39999999999418</v>
      </c>
      <c r="I155" s="384"/>
      <c r="J155" s="348">
        <f>H155/DAY(B2)</f>
        <v>6.8374999999996362</v>
      </c>
    </row>
    <row r="156" spans="1:10" ht="27.75">
      <c r="A156" s="771" t="s">
        <v>347</v>
      </c>
      <c r="B156" s="771"/>
      <c r="C156" s="771"/>
      <c r="D156" s="117" t="s">
        <v>130</v>
      </c>
      <c r="E156" s="95">
        <f>'14'!F156</f>
        <v>0</v>
      </c>
      <c r="F156" s="165">
        <v>0</v>
      </c>
      <c r="G156" s="112">
        <f t="shared" si="12"/>
        <v>0</v>
      </c>
      <c r="H156" s="99">
        <f>G156+'14'!H156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'14'!F158</f>
        <v>469823</v>
      </c>
      <c r="F158" s="235">
        <v>469857</v>
      </c>
      <c r="G158" s="238">
        <f t="shared" ref="G158:G162" si="13">F158-E158</f>
        <v>34</v>
      </c>
      <c r="H158" s="99">
        <f>G158+'14'!H158</f>
        <v>327.96000000002095</v>
      </c>
      <c r="I158" s="236"/>
      <c r="J158" s="239">
        <f>H158/DAY(B2)</f>
        <v>20.49750000000131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'14'!F159</f>
        <v>86104</v>
      </c>
      <c r="F159" s="235">
        <v>86137.600000000006</v>
      </c>
      <c r="G159" s="238">
        <f t="shared" si="13"/>
        <v>33.600000000005821</v>
      </c>
      <c r="H159" s="99">
        <f>G159+'14'!H159</f>
        <v>432</v>
      </c>
      <c r="I159" s="236"/>
      <c r="J159" s="239">
        <f>H159/DAY(B2)</f>
        <v>27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'14'!F160</f>
        <v>74156</v>
      </c>
      <c r="F160" s="235">
        <v>74219</v>
      </c>
      <c r="G160" s="238">
        <f t="shared" si="13"/>
        <v>63</v>
      </c>
      <c r="H160" s="99">
        <f>G160+'14'!H160</f>
        <v>882.10000000000582</v>
      </c>
      <c r="I160" s="236"/>
      <c r="J160" s="239">
        <f>H160/DAY(B2)</f>
        <v>55.131250000000364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'14'!F161</f>
        <v>4007</v>
      </c>
      <c r="F161" s="235">
        <v>4013.3</v>
      </c>
      <c r="G161" s="238">
        <f t="shared" si="13"/>
        <v>6.3000000000001819</v>
      </c>
      <c r="H161" s="99">
        <f>G161+'14'!H161</f>
        <v>39.800000000000182</v>
      </c>
      <c r="I161" s="236"/>
      <c r="J161" s="239">
        <f>H161/DAY(B2)</f>
        <v>2.4875000000000114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'14'!F162</f>
        <v>29302</v>
      </c>
      <c r="F162" s="235">
        <v>29312.400000000001</v>
      </c>
      <c r="G162" s="238">
        <f t="shared" si="13"/>
        <v>10.400000000001455</v>
      </c>
      <c r="H162" s="99">
        <f>G162+'14'!H162</f>
        <v>114.26000000000204</v>
      </c>
      <c r="I162" s="236"/>
      <c r="J162" s="239">
        <f>H162/DAY(B2)</f>
        <v>7.1412500000001273</v>
      </c>
    </row>
    <row r="163" spans="1:10" ht="29.25">
      <c r="A163" s="780"/>
      <c r="B163" s="780"/>
      <c r="C163" s="247"/>
      <c r="D163" s="244" t="s">
        <v>180</v>
      </c>
      <c r="E163" s="95">
        <f>'14'!F163</f>
        <v>0</v>
      </c>
      <c r="F163" s="165"/>
      <c r="G163" s="165"/>
      <c r="H163" s="99">
        <f>G163+'14'!H163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'14'!F164</f>
        <v>0</v>
      </c>
      <c r="F164" s="165"/>
      <c r="G164" s="165"/>
      <c r="H164" s="99">
        <f>G164+'14'!H164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'14'!F165</f>
        <v>0</v>
      </c>
      <c r="F165" s="165"/>
      <c r="G165" s="165"/>
      <c r="H165" s="99">
        <f>G165+'14'!H165</f>
        <v>0</v>
      </c>
      <c r="I165" s="165"/>
      <c r="J165" s="239">
        <f>H165/DAY(B2)</f>
        <v>0</v>
      </c>
    </row>
    <row r="166" spans="1:10" ht="29.25"/>
    <row r="167" spans="1:10" ht="21.75" customHeight="1"/>
    <row r="168" spans="1:10" ht="21.75" customHeight="1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1.75" customHeight="1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>
      <c r="A170" s="786" t="s">
        <v>209</v>
      </c>
      <c r="B170" s="787"/>
      <c r="C170" s="353"/>
      <c r="D170" s="228" t="s">
        <v>142</v>
      </c>
      <c r="E170" s="95">
        <f>'14'!F170</f>
        <v>8021</v>
      </c>
      <c r="F170" s="155">
        <v>8021</v>
      </c>
      <c r="G170" s="155">
        <f>F170-E170</f>
        <v>0</v>
      </c>
      <c r="H170" s="99">
        <f>G170+'14'!H170</f>
        <v>23</v>
      </c>
      <c r="I170" s="155"/>
      <c r="J170" s="178">
        <f>H170/DAY(B2)</f>
        <v>1.4375</v>
      </c>
    </row>
    <row r="171" spans="1:10" ht="21.75" customHeight="1">
      <c r="A171" s="786" t="s">
        <v>75</v>
      </c>
      <c r="B171" s="787"/>
      <c r="C171" s="353"/>
      <c r="D171" s="228" t="s">
        <v>142</v>
      </c>
      <c r="E171" s="95">
        <f>'14'!F171</f>
        <v>37568</v>
      </c>
      <c r="F171" s="157">
        <v>37582</v>
      </c>
      <c r="G171" s="155">
        <f t="shared" ref="G171:G172" si="14">F171-E171</f>
        <v>14</v>
      </c>
      <c r="H171" s="99">
        <f>G171+'14'!H171</f>
        <v>199</v>
      </c>
      <c r="I171" s="155"/>
      <c r="J171" s="178">
        <f>H171/DAY(B2)</f>
        <v>12.4375</v>
      </c>
    </row>
    <row r="172" spans="1:10" ht="21.75" customHeight="1">
      <c r="A172" s="786" t="s">
        <v>76</v>
      </c>
      <c r="B172" s="826"/>
      <c r="C172" s="787"/>
      <c r="D172" s="228" t="s">
        <v>142</v>
      </c>
      <c r="E172" s="95">
        <f>'14'!F172</f>
        <v>20953</v>
      </c>
      <c r="F172" s="155">
        <v>20964</v>
      </c>
      <c r="G172" s="155">
        <f t="shared" si="14"/>
        <v>11</v>
      </c>
      <c r="H172" s="99">
        <f>G172+'14'!H172</f>
        <v>176</v>
      </c>
      <c r="I172" s="155"/>
      <c r="J172" s="178">
        <f>H172/DAY(B2)</f>
        <v>11</v>
      </c>
    </row>
    <row r="173" spans="1:10" ht="21.75" customHeight="1">
      <c r="A173" s="775" t="s">
        <v>196</v>
      </c>
      <c r="B173" s="776"/>
      <c r="C173" s="353"/>
      <c r="D173" s="228" t="s">
        <v>142</v>
      </c>
      <c r="E173" s="95"/>
      <c r="F173" s="155"/>
      <c r="G173" s="155">
        <f>SUM(G170:G172)</f>
        <v>25</v>
      </c>
      <c r="H173" s="99">
        <f>G173+'14'!H173</f>
        <v>398</v>
      </c>
      <c r="I173" s="155"/>
      <c r="J173" s="178">
        <f>H173/DAY(B2)</f>
        <v>24.875</v>
      </c>
    </row>
    <row r="174" spans="1:10" ht="21.75" customHeight="1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G174+'14'!H174</f>
        <v>0</v>
      </c>
      <c r="I174" s="155"/>
      <c r="J174" s="178">
        <f>H174/DAY(B2)</f>
        <v>0</v>
      </c>
    </row>
    <row r="175" spans="1:10" ht="23.25" customHeight="1">
      <c r="A175" s="786" t="s">
        <v>210</v>
      </c>
      <c r="B175" s="787"/>
      <c r="C175" s="353"/>
      <c r="D175" s="228" t="s">
        <v>142</v>
      </c>
      <c r="E175" s="95">
        <f>'14'!F175</f>
        <v>75720</v>
      </c>
      <c r="F175" s="155">
        <v>75797</v>
      </c>
      <c r="G175" s="155">
        <f>F175-E175</f>
        <v>77</v>
      </c>
      <c r="H175" s="99">
        <f>G175+'14'!H175</f>
        <v>1178</v>
      </c>
      <c r="I175" s="155"/>
      <c r="J175" s="178">
        <f>H175/DAY(B2)</f>
        <v>73.625</v>
      </c>
    </row>
    <row r="176" spans="1:10" ht="24" customHeight="1">
      <c r="A176" s="786" t="s">
        <v>211</v>
      </c>
      <c r="B176" s="787"/>
      <c r="C176" s="353"/>
      <c r="D176" s="228" t="s">
        <v>142</v>
      </c>
      <c r="E176" s="95">
        <f>'14'!F176</f>
        <v>33886</v>
      </c>
      <c r="F176" s="155">
        <v>33886</v>
      </c>
      <c r="G176" s="155">
        <f t="shared" ref="G176:G177" si="15">F176-E176</f>
        <v>0</v>
      </c>
      <c r="H176" s="99">
        <f>G176+'14'!H176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'14'!F177</f>
        <v>5158</v>
      </c>
      <c r="F177" s="155">
        <v>5167</v>
      </c>
      <c r="G177" s="155">
        <f t="shared" si="15"/>
        <v>9</v>
      </c>
      <c r="H177" s="99">
        <f>G177+'14'!H177</f>
        <v>126</v>
      </c>
      <c r="I177" s="155"/>
      <c r="J177" s="178">
        <f>H177/DAY(B2)</f>
        <v>7.875</v>
      </c>
    </row>
    <row r="178" spans="1:10" ht="27.75">
      <c r="A178" s="788" t="s">
        <v>108</v>
      </c>
      <c r="B178" s="789"/>
      <c r="C178" s="353"/>
      <c r="D178" s="228" t="s">
        <v>142</v>
      </c>
      <c r="E178" s="95"/>
      <c r="F178" s="155"/>
      <c r="G178" s="155">
        <f>SUM(G175:G177)</f>
        <v>86</v>
      </c>
      <c r="H178" s="99">
        <f>G178+'14'!H178</f>
        <v>1304</v>
      </c>
      <c r="I178" s="155"/>
      <c r="J178" s="178">
        <f>H178/DAY(B2)</f>
        <v>81.5</v>
      </c>
    </row>
    <row r="179" spans="1:10" ht="27.75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G179+'14'!H179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'14'!F180</f>
        <v>14251</v>
      </c>
      <c r="F180" s="157">
        <v>14264</v>
      </c>
      <c r="G180" s="157">
        <f>F180-E180</f>
        <v>13</v>
      </c>
      <c r="H180" s="99">
        <f>G180+'14'!H180</f>
        <v>233</v>
      </c>
      <c r="I180" s="155"/>
      <c r="J180" s="178">
        <f>H180/DAY(B2)</f>
        <v>14.5625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'14'!F181</f>
        <v>9884</v>
      </c>
      <c r="F181" s="157">
        <v>9888</v>
      </c>
      <c r="G181" s="157">
        <f t="shared" ref="G181:G182" si="16">F181-E181</f>
        <v>4</v>
      </c>
      <c r="H181" s="99">
        <f>G181+'14'!H181</f>
        <v>134</v>
      </c>
      <c r="I181" s="155"/>
      <c r="J181" s="178">
        <f>H181/DAY(B2)</f>
        <v>8.375</v>
      </c>
    </row>
    <row r="182" spans="1:10" ht="32.25" customHeight="1">
      <c r="A182" s="786" t="s">
        <v>216</v>
      </c>
      <c r="B182" s="787"/>
      <c r="C182" s="354"/>
      <c r="D182" s="228" t="s">
        <v>142</v>
      </c>
      <c r="E182" s="95">
        <f>'14'!F182</f>
        <v>0</v>
      </c>
      <c r="F182" s="157"/>
      <c r="G182" s="157">
        <f t="shared" si="16"/>
        <v>0</v>
      </c>
      <c r="H182" s="99">
        <f>G182+'14'!H182</f>
        <v>0</v>
      </c>
      <c r="I182" s="155"/>
      <c r="J182" s="178">
        <f>H182/DAY(B2)</f>
        <v>0</v>
      </c>
    </row>
    <row r="183" spans="1:10" ht="27.75">
      <c r="A183" s="775" t="s">
        <v>196</v>
      </c>
      <c r="B183" s="776"/>
      <c r="C183" s="354"/>
      <c r="D183" s="228" t="s">
        <v>142</v>
      </c>
      <c r="E183" s="95"/>
      <c r="F183" s="157"/>
      <c r="G183" s="157">
        <f>SUM(G180:G182)</f>
        <v>17</v>
      </c>
      <c r="H183" s="99">
        <f>G183+'14'!H183</f>
        <v>367</v>
      </c>
      <c r="I183" s="157"/>
      <c r="J183" s="178">
        <f>H183/DAY(B2)</f>
        <v>22.9375</v>
      </c>
    </row>
    <row r="184" spans="1:10" ht="27.75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163</v>
      </c>
      <c r="H184" s="99">
        <f>G184+'14'!H184</f>
        <v>2580</v>
      </c>
      <c r="I184" s="158"/>
      <c r="J184" s="179">
        <f>H184/DAY(B2)</f>
        <v>161.25</v>
      </c>
    </row>
    <row r="185" spans="1:10" ht="27.75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174</v>
      </c>
      <c r="H185" s="99">
        <f>G185+'14'!H185</f>
        <v>174</v>
      </c>
      <c r="I185" s="158"/>
      <c r="J185" s="179">
        <f>H185/DAY(B2)</f>
        <v>10.875</v>
      </c>
    </row>
    <row r="186" spans="1:10" ht="27" customHeight="1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86</v>
      </c>
      <c r="H186" s="99">
        <f>G186+'14'!H186</f>
        <v>1304</v>
      </c>
      <c r="I186" s="158"/>
      <c r="J186" s="179">
        <f>H186/DAY(B2)</f>
        <v>81.5</v>
      </c>
    </row>
    <row r="187" spans="1:10" ht="27" customHeight="1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7" customHeight="1"/>
    <row r="189" spans="1:10" ht="27" customHeight="1"/>
    <row r="190" spans="1:10" ht="27" customHeight="1"/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</sheetData>
  <mergeCells count="112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39:C139"/>
    <mergeCell ref="A140:C140"/>
    <mergeCell ref="A141:C141"/>
    <mergeCell ref="A142:C142"/>
    <mergeCell ref="A157:J157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70:B170"/>
    <mergeCell ref="A171:B171"/>
    <mergeCell ref="A172:C172"/>
    <mergeCell ref="A173:B173"/>
    <mergeCell ref="A174:B174"/>
    <mergeCell ref="A163:B163"/>
    <mergeCell ref="A164:B164"/>
    <mergeCell ref="A165:B165"/>
    <mergeCell ref="A168:J168"/>
    <mergeCell ref="A169:B169"/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79:B179"/>
    <mergeCell ref="A180:B180"/>
    <mergeCell ref="A178:B178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R267"/>
  <sheetViews>
    <sheetView view="pageBreakPreview" topLeftCell="A121" zoomScale="55" zoomScaleNormal="90" zoomScaleSheetLayoutView="55" workbookViewId="0">
      <selection activeCell="I153" sqref="I15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5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6" s="57" customFormat="1" ht="27">
      <c r="A2" s="191" t="s">
        <v>350</v>
      </c>
      <c r="B2" s="266">
        <v>44516</v>
      </c>
      <c r="C2" s="368" t="s">
        <v>67</v>
      </c>
      <c r="D2" s="218">
        <v>0.57420000000000004</v>
      </c>
      <c r="E2" s="100"/>
      <c r="F2" s="36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6" s="57" customFormat="1" ht="27">
      <c r="A4" s="192"/>
      <c r="B4" s="223"/>
      <c r="C4" s="368" t="s">
        <v>120</v>
      </c>
      <c r="D4" s="218">
        <v>0.62</v>
      </c>
      <c r="E4" s="103"/>
      <c r="F4" s="103"/>
      <c r="G4" s="103"/>
      <c r="H4" s="103"/>
      <c r="I4" s="104"/>
      <c r="J4" s="222"/>
      <c r="K4" s="62"/>
      <c r="L4" s="58"/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>
      <c r="A6" s="835" t="s">
        <v>128</v>
      </c>
      <c r="B6" s="836"/>
      <c r="C6" s="837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v>17763.82</v>
      </c>
      <c r="F7" s="95">
        <v>42843.7</v>
      </c>
      <c r="G7" s="112">
        <f>F7-E7</f>
        <v>25079.879999999997</v>
      </c>
      <c r="H7" s="99">
        <f>G7+'15'!H7</f>
        <v>356580.39999999991</v>
      </c>
      <c r="I7" s="113">
        <f>'1'!I7</f>
        <v>12000</v>
      </c>
      <c r="J7" s="175">
        <f>H7/DAY(B2)</f>
        <v>22286.274999999994</v>
      </c>
      <c r="K7" s="172">
        <v>1375467</v>
      </c>
      <c r="L7" s="66"/>
      <c r="N7" s="87"/>
      <c r="O7" s="71"/>
    </row>
    <row r="8" spans="1:16" ht="27.75" thickBot="1">
      <c r="A8" s="196" t="s">
        <v>131</v>
      </c>
      <c r="B8" s="197"/>
      <c r="C8" s="198"/>
      <c r="D8" s="224" t="s">
        <v>24</v>
      </c>
      <c r="E8" s="95">
        <v>49641.32</v>
      </c>
      <c r="F8" s="95">
        <v>75046.7</v>
      </c>
      <c r="G8" s="115">
        <f>F8-E8</f>
        <v>25405.379999999997</v>
      </c>
      <c r="H8" s="99">
        <f>G8+'15'!H8</f>
        <v>361882.80000000005</v>
      </c>
      <c r="I8" s="116"/>
      <c r="J8" s="175">
        <f>H8/DAY(B2)</f>
        <v>22617.675000000003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>
      <c r="A9" s="199" t="s">
        <v>132</v>
      </c>
      <c r="B9" s="200"/>
      <c r="C9" s="200"/>
      <c r="D9" s="151" t="s">
        <v>130</v>
      </c>
      <c r="E9" s="95">
        <f>'15'!F9</f>
        <v>1469497.7</v>
      </c>
      <c r="F9" s="373">
        <v>1485633.6</v>
      </c>
      <c r="G9" s="112">
        <f>F9-E9</f>
        <v>16135.90000000014</v>
      </c>
      <c r="H9" s="99">
        <f>G9+'15'!H9</f>
        <v>224355.10000000009</v>
      </c>
      <c r="I9" s="124">
        <f>I7-J7</f>
        <v>-10286.274999999994</v>
      </c>
      <c r="J9" s="175">
        <f>H9/DAY(B2)</f>
        <v>14022.193750000006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'15'!F10</f>
        <v>282830</v>
      </c>
      <c r="F10" s="373">
        <v>291092.05</v>
      </c>
      <c r="G10" s="112">
        <f t="shared" ref="G10:G12" si="0">F10-E10</f>
        <v>8262.0499999999884</v>
      </c>
      <c r="H10" s="99">
        <f>G10+'15'!H10</f>
        <v>122708.12</v>
      </c>
      <c r="I10" s="286"/>
      <c r="J10" s="175">
        <f>H10/DAY(B2)</f>
        <v>7669.2574999999997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24397.950000000128</v>
      </c>
      <c r="H13" s="99">
        <f>G13+'15'!H13</f>
        <v>326256.76000000007</v>
      </c>
      <c r="I13" s="120">
        <f>G7-G13</f>
        <v>681.92999999986932</v>
      </c>
      <c r="J13" s="175">
        <f>H13/DAY(B2)</f>
        <v>20391.047500000004</v>
      </c>
      <c r="K13" s="79"/>
      <c r="L13" s="66"/>
      <c r="N13" s="87"/>
      <c r="O13" s="71"/>
    </row>
    <row r="14" spans="1:16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65" t="s">
        <v>138</v>
      </c>
      <c r="B15" s="205"/>
      <c r="C15" s="205"/>
      <c r="D15" s="151" t="s">
        <v>139</v>
      </c>
      <c r="E15" s="123">
        <v>1341545.7</v>
      </c>
      <c r="F15" s="123">
        <v>1342340.6</v>
      </c>
      <c r="G15" s="112">
        <f>(F15-E15)</f>
        <v>794.9000000001397</v>
      </c>
      <c r="H15" s="99">
        <f>G15+'15'!H15</f>
        <v>15731.11000000013</v>
      </c>
      <c r="I15" s="113">
        <f>'1'!I15</f>
        <v>800</v>
      </c>
      <c r="J15" s="175">
        <f>H15/DAY(B2)</f>
        <v>983.19437500000811</v>
      </c>
      <c r="K15" s="79"/>
      <c r="L15" s="66"/>
      <c r="N15" s="87">
        <v>735868</v>
      </c>
      <c r="O15" s="71">
        <v>719798</v>
      </c>
      <c r="P15" s="631">
        <f>O15-N15</f>
        <v>-16070</v>
      </c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-183.19437500000811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'15'!F18</f>
        <v>18</v>
      </c>
      <c r="F18" s="122">
        <v>20</v>
      </c>
      <c r="G18" s="119">
        <f>F18*10</f>
        <v>200</v>
      </c>
      <c r="H18" s="99">
        <f>G18+'15'!H18</f>
        <v>3110</v>
      </c>
      <c r="I18" s="113">
        <f>'1'!I18</f>
        <v>65</v>
      </c>
      <c r="J18" s="175">
        <f>H18/DAY(B2)</f>
        <v>194.375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'15'!F19</f>
        <v>149773</v>
      </c>
      <c r="F19" s="122">
        <v>149824</v>
      </c>
      <c r="G19" s="112">
        <f t="shared" ref="G19" si="1">F19-E19</f>
        <v>51</v>
      </c>
      <c r="H19" s="99">
        <f>G19+'15'!H19</f>
        <v>907</v>
      </c>
      <c r="I19" s="355"/>
      <c r="J19" s="175">
        <f>H19/DAY(B2)</f>
        <v>56.6875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251</v>
      </c>
      <c r="H20" s="99">
        <f>G20+'15'!H20</f>
        <v>4017</v>
      </c>
      <c r="I20" s="356">
        <f>I18-J20</f>
        <v>-186.0625</v>
      </c>
      <c r="J20" s="175">
        <f>H20/DAY(B2)</f>
        <v>251.0625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'15'!F23</f>
        <v>2000</v>
      </c>
      <c r="F23" s="122">
        <v>2000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25405.379999999997</v>
      </c>
      <c r="F27" s="136">
        <v>9</v>
      </c>
      <c r="G27" s="137">
        <f>E27*F27</f>
        <v>228648.41999999998</v>
      </c>
      <c r="H27" s="99">
        <f>G27+'15'!H27</f>
        <v>3256945.2</v>
      </c>
      <c r="I27" s="138"/>
      <c r="J27" s="175">
        <f>H27/DAY(B2)</f>
        <v>203559.07500000001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794.9000000001397</v>
      </c>
      <c r="F28" s="136">
        <v>52</v>
      </c>
      <c r="G28" s="137">
        <f>E28*F28</f>
        <v>41334.800000007264</v>
      </c>
      <c r="H28" s="99">
        <f>G28+'15'!H28</f>
        <v>818017.72000000672</v>
      </c>
      <c r="I28" s="140"/>
      <c r="J28" s="175">
        <f>H28/DAY(B2)</f>
        <v>51126.10750000042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G30+'15'!H30</f>
        <v>132422</v>
      </c>
      <c r="I30" s="140"/>
      <c r="J30" s="175">
        <f>H30/DAY(B2)</f>
        <v>8276.375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G31+'15'!H31</f>
        <v>248800</v>
      </c>
      <c r="I31" s="140"/>
      <c r="J31" s="175">
        <f>H31/DAY(B2)</f>
        <v>15550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293429.22000000725</v>
      </c>
      <c r="H32" s="99">
        <f>G32+'15'!H32</f>
        <v>4456184.9200000064</v>
      </c>
      <c r="I32" s="144"/>
      <c r="J32" s="175">
        <f>H32/DAY(B2)</f>
        <v>278511.5575000004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5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'15'!F35</f>
        <v>62364.37</v>
      </c>
      <c r="F35" s="117">
        <v>64460.51</v>
      </c>
      <c r="G35" s="112">
        <f t="shared" ref="G35:G46" si="3">F35-E35</f>
        <v>2096.1399999999994</v>
      </c>
      <c r="H35" s="99">
        <f>G35+'15'!H35</f>
        <v>31985.840000000004</v>
      </c>
      <c r="I35" s="95"/>
      <c r="J35" s="175">
        <f>H35/DAY(B2)</f>
        <v>1999.1150000000002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'15'!F36</f>
        <v>62754.7</v>
      </c>
      <c r="F36" s="117">
        <v>63659.94</v>
      </c>
      <c r="G36" s="112">
        <f t="shared" si="3"/>
        <v>905.24000000000524</v>
      </c>
      <c r="H36" s="99">
        <f>G36+'15'!H36</f>
        <v>13720.270000000004</v>
      </c>
      <c r="I36" s="95"/>
      <c r="J36" s="175">
        <f>H36/DAY(B2)</f>
        <v>857.51687500000025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'15'!F37</f>
        <v>120768.88</v>
      </c>
      <c r="F37" s="117">
        <v>122365.32</v>
      </c>
      <c r="G37" s="112">
        <f t="shared" si="3"/>
        <v>1596.4400000000023</v>
      </c>
      <c r="H37" s="99">
        <f>G37+'15'!H37</f>
        <v>25311.490000000005</v>
      </c>
      <c r="I37" s="95"/>
      <c r="J37" s="175">
        <f>H37/DAY(B2)</f>
        <v>1581.9681250000003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'15'!F38</f>
        <v>142389.56</v>
      </c>
      <c r="F38" s="95">
        <v>144255.39000000001</v>
      </c>
      <c r="G38" s="112">
        <f t="shared" si="3"/>
        <v>1865.8300000000163</v>
      </c>
      <c r="H38" s="99">
        <f>G38+'15'!H38</f>
        <v>29032.35000000002</v>
      </c>
      <c r="I38" s="95"/>
      <c r="J38" s="175">
        <f>H38/DAY(B2)</f>
        <v>1814.5218750000013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'15'!F39</f>
        <v>276783.21000000002</v>
      </c>
      <c r="F39" s="117">
        <v>279780.49</v>
      </c>
      <c r="G39" s="112">
        <f t="shared" si="3"/>
        <v>2997.2799999999697</v>
      </c>
      <c r="H39" s="99">
        <f>G39+'15'!H39</f>
        <v>46399.44</v>
      </c>
      <c r="I39" s="95"/>
      <c r="J39" s="175">
        <f>H39/DAY(B2)</f>
        <v>2899.9650000000001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'15'!F40</f>
        <v>0.71</v>
      </c>
      <c r="F40" s="117">
        <v>71</v>
      </c>
      <c r="G40" s="112">
        <f t="shared" si="3"/>
        <v>70.290000000000006</v>
      </c>
      <c r="H40" s="99">
        <f>G40+'15'!H40</f>
        <v>114.63000000000001</v>
      </c>
      <c r="I40" s="95"/>
      <c r="J40" s="175">
        <f>H40/DAY(B2)</f>
        <v>7.1643750000000006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'15'!F41</f>
        <v>589883.11</v>
      </c>
      <c r="F41" s="117">
        <v>589883.11</v>
      </c>
      <c r="G41" s="112">
        <f t="shared" si="3"/>
        <v>0</v>
      </c>
      <c r="H41" s="99">
        <f>G41+'15'!H41</f>
        <v>8024.2800000000279</v>
      </c>
      <c r="I41" s="95"/>
      <c r="J41" s="175">
        <f>H41/DAY(B2)</f>
        <v>501.51750000000175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'15'!F42</f>
        <v>275670.59000000003</v>
      </c>
      <c r="F42" s="117">
        <v>278256.31</v>
      </c>
      <c r="G42" s="112">
        <f t="shared" si="3"/>
        <v>2585.7199999999721</v>
      </c>
      <c r="H42" s="99">
        <f>G42+'15'!H42</f>
        <v>7286.640000000014</v>
      </c>
      <c r="I42" s="95"/>
      <c r="J42" s="175">
        <f>H42/DAY(B2)</f>
        <v>455.41500000000087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'15'!F43</f>
        <v>1485986.5</v>
      </c>
      <c r="F43" s="117">
        <v>1488775.4</v>
      </c>
      <c r="G43" s="112">
        <f t="shared" si="3"/>
        <v>2788.8999999999069</v>
      </c>
      <c r="H43" s="99">
        <f>G43+'15'!H43</f>
        <v>42688</v>
      </c>
      <c r="I43" s="95"/>
      <c r="J43" s="175">
        <f>H43/DAY(B2)</f>
        <v>2668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14905.839999999873</v>
      </c>
      <c r="H47" s="99">
        <f>G47+'15'!H47</f>
        <v>204562.94000000006</v>
      </c>
      <c r="I47" s="95"/>
      <c r="J47" s="175">
        <f>H47/DAY(B2)</f>
        <v>12785.183750000004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'15'!F49</f>
        <v>195987.33</v>
      </c>
      <c r="F49" s="117">
        <v>197516.05</v>
      </c>
      <c r="G49" s="112">
        <f t="shared" ref="G49:G58" si="4">F49-E49</f>
        <v>1528.7200000000012</v>
      </c>
      <c r="H49" s="99">
        <f>G49+'15'!H49</f>
        <v>24785.659999999974</v>
      </c>
      <c r="I49" s="95"/>
      <c r="J49" s="175">
        <f>H49/DAY(B2)</f>
        <v>1549.1037499999984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'15'!F50</f>
        <v>701448.47</v>
      </c>
      <c r="F50" s="117">
        <v>702796.39</v>
      </c>
      <c r="G50" s="112">
        <f t="shared" si="4"/>
        <v>1347.9200000000419</v>
      </c>
      <c r="H50" s="99">
        <f>G50+'15'!H50</f>
        <v>18434.079999999958</v>
      </c>
      <c r="I50" s="95"/>
      <c r="J50" s="175">
        <f>H50/DAY(B2)</f>
        <v>1152.1299999999974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'15'!F53</f>
        <v>0</v>
      </c>
      <c r="F53" s="556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'15'!F54</f>
        <v>2946.43</v>
      </c>
      <c r="F54" s="556">
        <v>2951.86</v>
      </c>
      <c r="G54" s="236">
        <f t="shared" si="4"/>
        <v>5.430000000000291</v>
      </c>
      <c r="H54" s="99">
        <f>G54+'15'!H54</f>
        <v>84.370000000000346</v>
      </c>
      <c r="I54" s="95"/>
      <c r="J54" s="175">
        <f>H54/DAY(B2)</f>
        <v>5.2731250000000216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'15'!F55</f>
        <v>0</v>
      </c>
      <c r="F55" s="556">
        <v>0</v>
      </c>
      <c r="G55" s="236">
        <f t="shared" si="4"/>
        <v>0</v>
      </c>
      <c r="H55" s="99">
        <f>G55+'15'!H55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'15'!F56</f>
        <v>115288.81</v>
      </c>
      <c r="F56" s="117">
        <v>120507.09</v>
      </c>
      <c r="G56" s="112">
        <f t="shared" si="4"/>
        <v>5218.2799999999988</v>
      </c>
      <c r="H56" s="99">
        <f>G56+'15'!H56</f>
        <v>77666.799999999988</v>
      </c>
      <c r="I56" s="95"/>
      <c r="J56" s="175">
        <f>H56/DAY(B2)</f>
        <v>4854.1749999999993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'15'!F58</f>
        <v>82080.663</v>
      </c>
      <c r="F58" s="117">
        <v>82314.87</v>
      </c>
      <c r="G58" s="112">
        <f t="shared" si="4"/>
        <v>234.20699999999488</v>
      </c>
      <c r="H58" s="99">
        <f>G58+'15'!H58</f>
        <v>3294.9700000000012</v>
      </c>
      <c r="I58" s="95"/>
      <c r="J58" s="175">
        <f>H58/DAY(B2)</f>
        <v>205.93562500000007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8334.5570000000371</v>
      </c>
      <c r="H59" s="99">
        <f>G59+'15'!H59</f>
        <v>124265.87999999992</v>
      </c>
      <c r="I59" s="95">
        <f>G7-G60</f>
        <v>1839.4830000000875</v>
      </c>
      <c r="J59" s="175">
        <f>H59/DAY(B2)</f>
        <v>7766.6174999999948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51"/>
      <c r="G60" s="119">
        <f>G47+G59</f>
        <v>23240.39699999991</v>
      </c>
      <c r="H60" s="99">
        <f>G60+'15'!H60</f>
        <v>328828.81999999995</v>
      </c>
      <c r="I60" s="95">
        <f>G13-G60</f>
        <v>1157.5530000002182</v>
      </c>
      <c r="J60" s="175">
        <f>H60/DAY(B2)</f>
        <v>20551.801249999997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'15'!F62</f>
        <v>261542</v>
      </c>
      <c r="F62" s="122">
        <v>261661</v>
      </c>
      <c r="G62" s="112">
        <f t="shared" ref="G62:G63" si="5">F62-E62</f>
        <v>119</v>
      </c>
      <c r="H62" s="99">
        <f>G62+'15'!H62</f>
        <v>1843</v>
      </c>
      <c r="I62" s="118"/>
      <c r="J62" s="175">
        <f>H62/DAY(B2)</f>
        <v>115.1875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'15'!F63</f>
        <v>207768</v>
      </c>
      <c r="F63" s="122">
        <v>207885</v>
      </c>
      <c r="G63" s="112">
        <f t="shared" si="5"/>
        <v>117</v>
      </c>
      <c r="H63" s="99">
        <f>G63+'15'!H63</f>
        <v>1615</v>
      </c>
      <c r="I63" s="118"/>
      <c r="J63" s="175">
        <f>H63/DAY(B2)</f>
        <v>100.9375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v>0</v>
      </c>
      <c r="F64" s="122"/>
      <c r="G64" s="112">
        <f>G62+G63</f>
        <v>236</v>
      </c>
      <c r="H64" s="99">
        <f>G64+'15'!H64</f>
        <v>3458</v>
      </c>
      <c r="I64" s="118"/>
      <c r="J64" s="175">
        <f>H64/DAY(B2)</f>
        <v>216.125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'15'!F65</f>
        <v>427720</v>
      </c>
      <c r="F65" s="122">
        <v>427822</v>
      </c>
      <c r="G65" s="112">
        <f t="shared" ref="G65:G70" si="6">F65-E65</f>
        <v>102</v>
      </c>
      <c r="H65" s="99">
        <f>G65+'15'!H65</f>
        <v>1617</v>
      </c>
      <c r="I65" s="118"/>
      <c r="J65" s="175">
        <f>H65/DAY(B2)</f>
        <v>101.0625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'15'!F66</f>
        <v>106298</v>
      </c>
      <c r="F66" s="122">
        <v>106318</v>
      </c>
      <c r="G66" s="112">
        <f t="shared" si="6"/>
        <v>20</v>
      </c>
      <c r="H66" s="99">
        <f>G66+'15'!H66</f>
        <v>348</v>
      </c>
      <c r="I66" s="118"/>
      <c r="J66" s="175">
        <f>H66/DAY(B2)</f>
        <v>21.75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'15'!F67</f>
        <v>102570</v>
      </c>
      <c r="F67" s="122">
        <v>102592</v>
      </c>
      <c r="G67" s="112">
        <f t="shared" si="6"/>
        <v>22</v>
      </c>
      <c r="H67" s="99">
        <f>G67+'15'!H67</f>
        <v>421</v>
      </c>
      <c r="I67" s="118"/>
      <c r="J67" s="175">
        <f>H67/DAY(B2)</f>
        <v>26.3125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'15'!F68</f>
        <v>154970</v>
      </c>
      <c r="F68" s="122">
        <v>155007</v>
      </c>
      <c r="G68" s="112">
        <f t="shared" si="6"/>
        <v>37</v>
      </c>
      <c r="H68" s="99">
        <f>G68+'15'!H68</f>
        <v>511</v>
      </c>
      <c r="I68" s="118"/>
      <c r="J68" s="175">
        <f>H68/DAY(B2)</f>
        <v>31.9375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'15'!F69</f>
        <v>9655</v>
      </c>
      <c r="F69" s="122">
        <v>9674</v>
      </c>
      <c r="G69" s="112">
        <f t="shared" si="6"/>
        <v>19</v>
      </c>
      <c r="H69" s="99">
        <f>G69+'15'!H69</f>
        <v>209</v>
      </c>
      <c r="I69" s="118"/>
      <c r="J69" s="175">
        <f>H69/DAY(B2)</f>
        <v>13.0625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'15'!F70</f>
        <v>7371</v>
      </c>
      <c r="F70" s="122">
        <v>7379</v>
      </c>
      <c r="G70" s="112">
        <f t="shared" si="6"/>
        <v>8</v>
      </c>
      <c r="H70" s="99">
        <f>G70+'15'!H70</f>
        <v>176</v>
      </c>
      <c r="I70" s="118"/>
      <c r="J70" s="175">
        <f>H70/DAY(B2)</f>
        <v>11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208</v>
      </c>
      <c r="H71" s="99">
        <f>G71+'15'!H71</f>
        <v>3282</v>
      </c>
      <c r="I71" s="154"/>
      <c r="J71" s="175">
        <f>H71/DAY(B2)</f>
        <v>205.125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558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'15'!F74</f>
        <v>877910.49</v>
      </c>
      <c r="F74" s="117">
        <v>878193.97</v>
      </c>
      <c r="G74" s="112">
        <f t="shared" ref="G74:G78" si="7">F74-E74</f>
        <v>283.47999999998137</v>
      </c>
      <c r="H74" s="99">
        <f>G74+'15'!H74</f>
        <v>4608.7389999999432</v>
      </c>
      <c r="I74" s="154"/>
      <c r="J74" s="175">
        <f>H74/DAY(B2)</f>
        <v>288.04618749999645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3.4000000000087311</v>
      </c>
      <c r="I75" s="154"/>
      <c r="J75" s="175">
        <f>H75/DAY(B2)</f>
        <v>0.2125000000005457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'15'!F76</f>
        <v>161534.79999999999</v>
      </c>
      <c r="F76" s="123">
        <v>161658.29999999999</v>
      </c>
      <c r="G76" s="112">
        <f t="shared" si="7"/>
        <v>123.5</v>
      </c>
      <c r="H76" s="99">
        <f>G76+'15'!H76</f>
        <v>1672.7999999999884</v>
      </c>
      <c r="I76" s="154"/>
      <c r="J76" s="175">
        <f>H76/DAY(B2)</f>
        <v>104.54999999999927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'15'!F77</f>
        <v>38113</v>
      </c>
      <c r="F77" s="123">
        <v>38150</v>
      </c>
      <c r="G77" s="112">
        <f t="shared" si="7"/>
        <v>37</v>
      </c>
      <c r="H77" s="99">
        <f>G77+'15'!H77</f>
        <v>652.5</v>
      </c>
      <c r="I77" s="154"/>
      <c r="J77" s="175">
        <f>H77/DAY(B2)</f>
        <v>40.78125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'15'!F78</f>
        <v>9361.7999999999993</v>
      </c>
      <c r="F78" s="123">
        <v>9362.4</v>
      </c>
      <c r="G78" s="112">
        <f t="shared" si="7"/>
        <v>0.6000000000003638</v>
      </c>
      <c r="H78" s="99">
        <f>G78+'15'!H78</f>
        <v>33</v>
      </c>
      <c r="I78" s="118"/>
      <c r="J78" s="175">
        <f>H78/DAY(B2)</f>
        <v>2.0625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'15'!F79</f>
        <v>0</v>
      </c>
      <c r="F79" s="123"/>
      <c r="G79" s="112">
        <f>G15-SUM(G74:G78)</f>
        <v>350.32000000015796</v>
      </c>
      <c r="H79" s="99">
        <f>G79+'15'!H79</f>
        <v>8760.6710000001895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794.9000000001397</v>
      </c>
      <c r="H80" s="99">
        <f>G80+'15'!H80</f>
        <v>794.9000000001397</v>
      </c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1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'15'!F84</f>
        <v>41625</v>
      </c>
      <c r="F84" s="164">
        <v>41625</v>
      </c>
      <c r="G84" s="112">
        <f t="shared" si="8"/>
        <v>0</v>
      </c>
      <c r="H84" s="99">
        <f>G84+'15'!H84</f>
        <v>39.440000000002328</v>
      </c>
      <c r="I84" s="118"/>
      <c r="J84" s="175">
        <f>H84/DAY(B2)</f>
        <v>2.4650000000001455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'15'!F85</f>
        <v>1329.03</v>
      </c>
      <c r="F85" s="164">
        <v>1340.5</v>
      </c>
      <c r="G85" s="112">
        <f t="shared" si="8"/>
        <v>11.470000000000027</v>
      </c>
      <c r="H85" s="99">
        <f>G85+'15'!H85</f>
        <v>35.5</v>
      </c>
      <c r="I85" s="118">
        <f>G82+G83+G84+G85</f>
        <v>11.470000000000027</v>
      </c>
      <c r="J85" s="175">
        <f>H85/DAY(B2)</f>
        <v>2.21875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'15'!F86</f>
        <v>42826.47</v>
      </c>
      <c r="F86" s="164">
        <v>42826.47</v>
      </c>
      <c r="G86" s="112">
        <f t="shared" si="8"/>
        <v>0</v>
      </c>
      <c r="H86" s="99">
        <f>G86+'15'!H86</f>
        <v>0.47000000000116415</v>
      </c>
      <c r="I86" s="118"/>
      <c r="J86" s="175">
        <f>H86/DAY(B2)</f>
        <v>2.937500000007276E-2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'15'!F87</f>
        <v>34093.17</v>
      </c>
      <c r="F87" s="164">
        <v>34115.31</v>
      </c>
      <c r="G87" s="112">
        <f t="shared" si="8"/>
        <v>22.139999999999418</v>
      </c>
      <c r="H87" s="99">
        <f>G87+'15'!H87</f>
        <v>367.30999999999767</v>
      </c>
      <c r="I87" s="118"/>
      <c r="J87" s="175">
        <f>H87/DAY(B2)</f>
        <v>22.956874999999854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'15'!F88</f>
        <v>23878.560000000001</v>
      </c>
      <c r="F88" s="164">
        <v>23883.35</v>
      </c>
      <c r="G88" s="112">
        <f t="shared" si="8"/>
        <v>4.7899999999972351</v>
      </c>
      <c r="H88" s="99">
        <f>G88+'15'!H88</f>
        <v>49.779999999998836</v>
      </c>
      <c r="I88" s="118">
        <f>G86+G87+G88</f>
        <v>26.929999999996653</v>
      </c>
      <c r="J88" s="175">
        <f>H88/DAY(B2)</f>
        <v>3.1112499999999272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'15'!F89</f>
        <v>25348.68</v>
      </c>
      <c r="F89" s="164">
        <v>25353.81</v>
      </c>
      <c r="G89" s="112">
        <f t="shared" si="8"/>
        <v>5.1300000000010186</v>
      </c>
      <c r="H89" s="99">
        <f>G89+'15'!H89</f>
        <v>108.43000000000029</v>
      </c>
      <c r="I89" s="118"/>
      <c r="J89" s="175">
        <f>H89/DAY(B2)</f>
        <v>6.7768750000000182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'15'!F90</f>
        <v>70726.070000000007</v>
      </c>
      <c r="F90" s="164">
        <v>70732.990000000005</v>
      </c>
      <c r="G90" s="112">
        <f t="shared" si="8"/>
        <v>6.9199999999982538</v>
      </c>
      <c r="H90" s="99">
        <f>G90+'15'!H90</f>
        <v>77.580000000001746</v>
      </c>
      <c r="I90" s="118">
        <f>G89+G90</f>
        <v>12.049999999999272</v>
      </c>
      <c r="J90" s="175">
        <f>H90/DAY(B2)</f>
        <v>4.8487500000001091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'15'!F92</f>
        <v>4943.82</v>
      </c>
      <c r="F92" s="122">
        <v>4952.82</v>
      </c>
      <c r="G92" s="112">
        <f t="shared" si="8"/>
        <v>9</v>
      </c>
      <c r="H92" s="99">
        <f>G92+'15'!H92</f>
        <v>161</v>
      </c>
      <c r="I92" s="165"/>
      <c r="J92" s="175">
        <f>H92/DAY(B2)</f>
        <v>10.0625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6413.7599999999074</v>
      </c>
      <c r="H94" s="99">
        <f>G94+'15'!H94</f>
        <v>99459.499999999985</v>
      </c>
      <c r="I94" s="118"/>
      <c r="J94" s="175">
        <f>H94/DAY(B2)</f>
        <v>6216.2187499999991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51"/>
      <c r="G95" s="166">
        <f>G94/G7</f>
        <v>0.25573328102047971</v>
      </c>
      <c r="H95" s="99">
        <f>G95+'15'!H95</f>
        <v>4.4703908447814618</v>
      </c>
      <c r="I95" s="167"/>
      <c r="J95" s="175">
        <f>H95/DAY(B2)</f>
        <v>0.27939942779884136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7803.9999999999709</v>
      </c>
      <c r="H96" s="99">
        <f>G96+'15'!H96</f>
        <v>92977.72000000003</v>
      </c>
      <c r="I96" s="118"/>
      <c r="J96" s="175">
        <f>H96/DAY(B2)</f>
        <v>5811.1075000000019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0.31116576315357058</v>
      </c>
      <c r="H97" s="99">
        <f>G97+'15'!H97</f>
        <v>4.1549492796318619</v>
      </c>
      <c r="I97" s="167"/>
      <c r="J97" s="175">
        <f>H97/DAY(B2)</f>
        <v>0.25968432997699137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2997.2799999999697</v>
      </c>
      <c r="H98" s="99">
        <f>G98+'15'!H98</f>
        <v>46399.44</v>
      </c>
      <c r="I98" s="168"/>
      <c r="J98" s="175">
        <f>H98/DAY(B2)</f>
        <v>2899.9650000000001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0.11950934374486522</v>
      </c>
      <c r="H99" s="99">
        <f>G99+'15'!H99</f>
        <v>2.0875402846391853</v>
      </c>
      <c r="I99" s="168"/>
      <c r="J99" s="175">
        <f>H99/DAY(B2)</f>
        <v>0.13047126778994908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1865.8300000000163</v>
      </c>
      <c r="H100" s="99">
        <f>G100+'15'!H100</f>
        <v>29032.35000000002</v>
      </c>
      <c r="I100" s="118"/>
      <c r="J100" s="175">
        <f>H100/DAY(B2)</f>
        <v>1814.5218750000013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7.4395491525478447E-2</v>
      </c>
      <c r="H101" s="99">
        <f>G101+'15'!H101</f>
        <v>1.3059935482316078</v>
      </c>
      <c r="I101" s="168"/>
      <c r="J101" s="175">
        <f>H101/DAY(B2)</f>
        <v>8.1624596764475491E-2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2253.1600000000471</v>
      </c>
      <c r="H102" s="99">
        <f>G102+'15'!H102</f>
        <v>32154.349999999962</v>
      </c>
      <c r="I102" s="168"/>
      <c r="J102" s="175">
        <f>H102/DAY(B2)</f>
        <v>2009.6468749999976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8.9839345323823219E-2</v>
      </c>
      <c r="H103" s="99">
        <f>G103+'15'!H103</f>
        <v>1.4393623436276852</v>
      </c>
      <c r="I103" s="118"/>
      <c r="J103" s="175">
        <f>H103/DAY(B2)</f>
        <v>8.9960146476730327E-2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1596.4400000000023</v>
      </c>
      <c r="H104" s="99">
        <f>G104+'15'!H104</f>
        <v>25311.490000000005</v>
      </c>
      <c r="I104" s="118"/>
      <c r="J104" s="175">
        <f>H104/DAY(B2)</f>
        <v>1581.9681250000003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6.3654212061620807E-2</v>
      </c>
      <c r="H105" s="99">
        <f>G105+'15'!H105</f>
        <v>1.138867928868263</v>
      </c>
      <c r="I105" s="187"/>
      <c r="J105" s="188">
        <f>H105/DAY(B2)</f>
        <v>7.117924555426644E-2</v>
      </c>
      <c r="O105" s="71"/>
    </row>
    <row r="106" spans="1:15" ht="29.25">
      <c r="A106" s="105"/>
      <c r="B106" s="96"/>
      <c r="C106" s="96"/>
      <c r="D106" s="169"/>
      <c r="E106" s="169"/>
      <c r="F106" s="55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5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'15'!F112</f>
        <v>52119.22</v>
      </c>
      <c r="F112" s="237">
        <v>52203</v>
      </c>
      <c r="G112" s="112">
        <f t="shared" ref="G112:G123" si="9">F112-E112</f>
        <v>83.779999999998836</v>
      </c>
      <c r="H112" s="99">
        <f>G112+'15'!H112</f>
        <v>1313.9199999999983</v>
      </c>
      <c r="I112" s="165"/>
      <c r="J112" s="348">
        <f>H112/DAY(B2)</f>
        <v>82.119999999999891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'15'!F113</f>
        <v>11191.73</v>
      </c>
      <c r="F113" s="237">
        <v>11655.37</v>
      </c>
      <c r="G113" s="112">
        <f t="shared" si="9"/>
        <v>463.64000000000124</v>
      </c>
      <c r="H113" s="99">
        <f>G113+'15'!H113</f>
        <v>7149.7200000000012</v>
      </c>
      <c r="I113" s="165"/>
      <c r="J113" s="348">
        <f>H113/DAY(B2)</f>
        <v>446.85750000000007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'15'!F114</f>
        <v>9991.52</v>
      </c>
      <c r="F114" s="237">
        <v>9346.6</v>
      </c>
      <c r="G114" s="112">
        <v>126.9</v>
      </c>
      <c r="H114" s="99">
        <f>G114+'15'!H114</f>
        <v>5540.49</v>
      </c>
      <c r="I114" s="165"/>
      <c r="J114" s="348">
        <f>H114/DAY(B2)</f>
        <v>346.28062499999999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'15'!F115</f>
        <v>8240.67</v>
      </c>
      <c r="F115" s="237">
        <v>8259.5</v>
      </c>
      <c r="G115" s="112">
        <f t="shared" si="9"/>
        <v>18.829999999999927</v>
      </c>
      <c r="H115" s="99">
        <f>G115+'15'!H115</f>
        <v>182.09000000000015</v>
      </c>
      <c r="I115" s="165"/>
      <c r="J115" s="348">
        <f>H115/DAY(B2)</f>
        <v>11.380625000000009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'15'!F117</f>
        <v>1637.42</v>
      </c>
      <c r="F117" s="237">
        <v>1657.24</v>
      </c>
      <c r="G117" s="112">
        <f t="shared" si="9"/>
        <v>19.819999999999936</v>
      </c>
      <c r="H117" s="99">
        <f>G117+'15'!H117</f>
        <v>499.04999999999995</v>
      </c>
      <c r="I117" s="165"/>
      <c r="J117" s="348">
        <f>H117/DAY(B2)</f>
        <v>31.190624999999997</v>
      </c>
      <c r="Q117" s="793" t="s">
        <v>312</v>
      </c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'15'!F118</f>
        <v>223940.25</v>
      </c>
      <c r="F118" s="237">
        <v>224315.49</v>
      </c>
      <c r="G118" s="112">
        <f t="shared" si="9"/>
        <v>375.23999999999069</v>
      </c>
      <c r="H118" s="99">
        <f>G118+'15'!H118</f>
        <v>5463.5599999999977</v>
      </c>
      <c r="I118" s="165"/>
      <c r="J118" s="348">
        <f>H118/DAY(B2)</f>
        <v>341.47249999999985</v>
      </c>
      <c r="Q118" s="793" t="s">
        <v>311</v>
      </c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552">
        <f>'15'!F119</f>
        <v>225200.45</v>
      </c>
      <c r="F119" s="563">
        <v>225632.01</v>
      </c>
      <c r="G119" s="112">
        <f t="shared" si="9"/>
        <v>431.55999999999767</v>
      </c>
      <c r="H119" s="99">
        <f>G119+'15'!H119</f>
        <v>6820.9000000000233</v>
      </c>
      <c r="I119" s="165"/>
      <c r="J119" s="348">
        <f>H119/DAY(B2)</f>
        <v>426.30625000000146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'15'!F120</f>
        <v>10723.23</v>
      </c>
      <c r="F120" s="237">
        <v>11145.86</v>
      </c>
      <c r="G120" s="112">
        <f t="shared" si="9"/>
        <v>422.63000000000102</v>
      </c>
      <c r="H120" s="99">
        <f>G120+'15'!H120</f>
        <v>6838.26</v>
      </c>
      <c r="I120" s="165"/>
      <c r="J120" s="348">
        <f>H120/DAY(B2)</f>
        <v>427.39125000000001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'15'!F121</f>
        <v>341995.59</v>
      </c>
      <c r="F121" s="237">
        <v>342716.7</v>
      </c>
      <c r="G121" s="112">
        <f t="shared" si="9"/>
        <v>721.10999999998603</v>
      </c>
      <c r="H121" s="99">
        <f>G121+'15'!H121</f>
        <v>11479.190000000002</v>
      </c>
      <c r="I121" s="165"/>
      <c r="J121" s="348">
        <f>H121/DAY(B2)</f>
        <v>717.44937500000015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'15'!F122</f>
        <v>106136.28</v>
      </c>
      <c r="F122" s="237">
        <v>106456.8</v>
      </c>
      <c r="G122" s="112">
        <f t="shared" si="9"/>
        <v>320.52000000000407</v>
      </c>
      <c r="H122" s="99">
        <f>G122+'15'!H122</f>
        <v>4847.9199999999983</v>
      </c>
      <c r="I122" s="165"/>
      <c r="J122" s="348">
        <f>H122/DAY(B2)</f>
        <v>302.99499999999989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'15'!F123</f>
        <v>130152.09</v>
      </c>
      <c r="F123" s="237">
        <v>130436</v>
      </c>
      <c r="G123" s="112">
        <f t="shared" si="9"/>
        <v>283.91000000000349</v>
      </c>
      <c r="H123" s="99">
        <f>G123+'15'!H123</f>
        <v>4688.2400000000052</v>
      </c>
      <c r="I123" s="165"/>
      <c r="J123" s="348">
        <f>H123/DAY(B2)</f>
        <v>293.01500000000033</v>
      </c>
    </row>
    <row r="124" spans="1:18" ht="29.25" customHeight="1">
      <c r="A124" s="797"/>
      <c r="B124" s="798"/>
      <c r="C124" s="799"/>
      <c r="D124" s="165"/>
      <c r="E124" s="165"/>
      <c r="F124" s="155"/>
      <c r="G124" s="347"/>
      <c r="H124" s="156"/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3267.9399999999828</v>
      </c>
      <c r="H125" s="156"/>
      <c r="I125" s="347">
        <f>G125-(G39+G53)</f>
        <v>270.66000000001304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G127+'15'!H127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'15'!F128</f>
        <v>22849.51</v>
      </c>
      <c r="F128" s="155">
        <v>23148.959999999999</v>
      </c>
      <c r="G128" s="112">
        <f t="shared" ref="G128:G134" si="10">F128-E128</f>
        <v>299.45000000000073</v>
      </c>
      <c r="H128" s="99">
        <f>G128+'15'!H128</f>
        <v>5125.239999999998</v>
      </c>
      <c r="I128" s="165"/>
      <c r="J128" s="348">
        <f>H128/DAY(B2)</f>
        <v>320.32749999999987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'15'!F129</f>
        <v>9667.11</v>
      </c>
      <c r="F129" s="155">
        <v>9901.0499999999993</v>
      </c>
      <c r="G129" s="112">
        <f t="shared" si="10"/>
        <v>233.93999999999869</v>
      </c>
      <c r="H129" s="99">
        <f>G129+'15'!H129</f>
        <v>3305.3399999999992</v>
      </c>
      <c r="I129" s="165"/>
      <c r="J129" s="348">
        <f>H129/DAY(B2)</f>
        <v>206.58374999999995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'15'!F130</f>
        <v>64007.21</v>
      </c>
      <c r="F130" s="155">
        <v>66579.11</v>
      </c>
      <c r="G130" s="112">
        <f t="shared" si="10"/>
        <v>2571.9000000000015</v>
      </c>
      <c r="H130" s="99">
        <f>G130+'15'!H130</f>
        <v>40111.08</v>
      </c>
      <c r="I130" s="165"/>
      <c r="J130" s="348">
        <f>H130/DAY(B2)</f>
        <v>2506.9425000000001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'15'!F131</f>
        <v>6345.52</v>
      </c>
      <c r="F131" s="155">
        <v>6561.71</v>
      </c>
      <c r="G131" s="112">
        <f t="shared" si="10"/>
        <v>216.1899999999996</v>
      </c>
      <c r="H131" s="99">
        <f>G131+'15'!H131</f>
        <v>2415.2399999999998</v>
      </c>
      <c r="I131" s="165"/>
      <c r="J131" s="348">
        <f>H131/DAY(B2)</f>
        <v>150.95249999999999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'15'!F132</f>
        <v>19163.900000000001</v>
      </c>
      <c r="F132" s="155">
        <v>19690.599999999999</v>
      </c>
      <c r="G132" s="112">
        <f t="shared" si="10"/>
        <v>526.69999999999709</v>
      </c>
      <c r="H132" s="99">
        <f>G132+'15'!H132</f>
        <v>8152.8799999999992</v>
      </c>
      <c r="I132" s="165"/>
      <c r="J132" s="348">
        <f>H132/DAY(B2)</f>
        <v>509.55499999999995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'15'!F133</f>
        <v>51337.98</v>
      </c>
      <c r="F133" s="155">
        <v>51983.7</v>
      </c>
      <c r="G133" s="112">
        <f t="shared" si="10"/>
        <v>645.71999999999389</v>
      </c>
      <c r="H133" s="99">
        <f>G133+'15'!H133</f>
        <v>11134.409999999996</v>
      </c>
      <c r="I133" s="165"/>
      <c r="J133" s="348">
        <f>H133/DAY(B2)</f>
        <v>695.90062499999976</v>
      </c>
    </row>
    <row r="134" spans="1:15" s="555" customFormat="1" ht="27.75">
      <c r="A134" s="864" t="s">
        <v>340</v>
      </c>
      <c r="B134" s="865"/>
      <c r="C134" s="866"/>
      <c r="D134" s="233" t="s">
        <v>183</v>
      </c>
      <c r="E134" s="552">
        <f>'15'!F134</f>
        <v>641721</v>
      </c>
      <c r="F134" s="157">
        <v>642367</v>
      </c>
      <c r="G134" s="236">
        <f t="shared" si="10"/>
        <v>646</v>
      </c>
      <c r="H134" s="238">
        <f>G134+'15'!H134</f>
        <v>10103</v>
      </c>
      <c r="I134" s="158"/>
      <c r="J134" s="554">
        <f>H134/DAY(B2)</f>
        <v>631.4375</v>
      </c>
    </row>
    <row r="135" spans="1:15" ht="27.75">
      <c r="A135" s="775" t="s">
        <v>196</v>
      </c>
      <c r="B135" s="776"/>
      <c r="C135" s="351"/>
      <c r="D135" s="151"/>
      <c r="E135" s="95"/>
      <c r="F135" s="155"/>
      <c r="G135" s="112">
        <f>SUM(G128:G134)</f>
        <v>5139.8999999999915</v>
      </c>
      <c r="H135" s="99">
        <f>G135+'10'!H135</f>
        <v>55320.959999999992</v>
      </c>
      <c r="I135" s="347">
        <f>G135-(G35+G49)</f>
        <v>1515.0399999999909</v>
      </c>
      <c r="J135" s="348"/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55"/>
      <c r="G137" s="165"/>
      <c r="H137" s="156"/>
      <c r="I137" s="165"/>
      <c r="J137" s="347"/>
    </row>
    <row r="138" spans="1:15" s="555" customFormat="1" ht="27.75">
      <c r="A138" s="869" t="s">
        <v>185</v>
      </c>
      <c r="B138" s="869"/>
      <c r="C138" s="869"/>
      <c r="D138" s="233" t="s">
        <v>183</v>
      </c>
      <c r="E138" s="552">
        <f>'15'!F138</f>
        <v>860458</v>
      </c>
      <c r="F138" s="148">
        <v>860515</v>
      </c>
      <c r="G138" s="236">
        <f t="shared" ref="G138:G152" si="11">F138-E138</f>
        <v>57</v>
      </c>
      <c r="H138" s="238">
        <f>G138+'15'!H138</f>
        <v>868</v>
      </c>
      <c r="I138" s="553"/>
      <c r="J138" s="554">
        <f>H138/DAY(B2)</f>
        <v>54.25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'15'!F139</f>
        <v>886135</v>
      </c>
      <c r="F139" s="148">
        <v>886136</v>
      </c>
      <c r="G139" s="112">
        <f t="shared" si="11"/>
        <v>1</v>
      </c>
      <c r="H139" s="99">
        <f>G139+'15'!H139</f>
        <v>34</v>
      </c>
      <c r="I139" s="118"/>
      <c r="J139" s="348">
        <f>H139/DAY(B2)</f>
        <v>2.125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'15'!F140</f>
        <v>88830</v>
      </c>
      <c r="F140" s="149">
        <v>88830</v>
      </c>
      <c r="G140" s="112">
        <f t="shared" si="11"/>
        <v>0</v>
      </c>
      <c r="H140" s="99">
        <f>G140+'15'!H140</f>
        <v>13</v>
      </c>
      <c r="I140" s="118"/>
      <c r="J140" s="348">
        <f>H140/DAY(B2)</f>
        <v>0.8125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'15'!F141</f>
        <v>40115.46</v>
      </c>
      <c r="F141" s="149">
        <v>40310.699999999997</v>
      </c>
      <c r="G141" s="112">
        <f t="shared" si="11"/>
        <v>195.23999999999796</v>
      </c>
      <c r="H141" s="99">
        <f>G141+'15'!H141</f>
        <v>3022.75</v>
      </c>
      <c r="I141" s="118"/>
      <c r="J141" s="348">
        <f>H141/DAY(B2)</f>
        <v>188.921875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'15'!F142</f>
        <v>17209.22</v>
      </c>
      <c r="F142" s="148">
        <v>17226.29</v>
      </c>
      <c r="G142" s="112">
        <f t="shared" si="11"/>
        <v>17.069999999999709</v>
      </c>
      <c r="H142" s="99">
        <f>G142+'15'!H142</f>
        <v>264.42000000000189</v>
      </c>
      <c r="I142" s="140"/>
      <c r="J142" s="348">
        <f>H142/DAY(B2)</f>
        <v>16.526250000000118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'15'!F143</f>
        <v>1763.88</v>
      </c>
      <c r="F143" s="149">
        <v>1795.77</v>
      </c>
      <c r="G143" s="112">
        <f t="shared" si="11"/>
        <v>31.889999999999873</v>
      </c>
      <c r="H143" s="99">
        <f>G143+'15'!H143</f>
        <v>412.58999999999992</v>
      </c>
      <c r="I143" s="140"/>
      <c r="J143" s="348">
        <f>H143/DAY(B2)</f>
        <v>25.786874999999995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'15'!F144</f>
        <v>858831</v>
      </c>
      <c r="F144" s="149">
        <v>859080</v>
      </c>
      <c r="G144" s="112">
        <f t="shared" si="11"/>
        <v>249</v>
      </c>
      <c r="H144" s="99">
        <f>G144+'15'!H144</f>
        <v>3711</v>
      </c>
      <c r="I144" s="140"/>
      <c r="J144" s="348">
        <f>H144/DAY(B2)</f>
        <v>231.9375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'15'!F145</f>
        <v>2767.15</v>
      </c>
      <c r="F145" s="148">
        <v>2806.71</v>
      </c>
      <c r="G145" s="112">
        <f t="shared" si="11"/>
        <v>39.559999999999945</v>
      </c>
      <c r="H145" s="99">
        <f>G145+'15'!H145</f>
        <v>593.71</v>
      </c>
      <c r="I145" s="140"/>
      <c r="J145" s="348">
        <f>H145/DAY(B2)</f>
        <v>37.106875000000002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'15'!F146</f>
        <v>704536</v>
      </c>
      <c r="F146" s="148">
        <v>704952</v>
      </c>
      <c r="G146" s="112">
        <f t="shared" si="11"/>
        <v>416</v>
      </c>
      <c r="H146" s="99">
        <f>G146+'15'!H146</f>
        <v>6433</v>
      </c>
      <c r="I146" s="140"/>
      <c r="J146" s="348">
        <f>H146/DAY(B2)</f>
        <v>402.0625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'15'!F147</f>
        <v>595053.64</v>
      </c>
      <c r="F147" s="148">
        <v>595511.80000000005</v>
      </c>
      <c r="G147" s="112">
        <f t="shared" si="11"/>
        <v>458.1600000000326</v>
      </c>
      <c r="H147" s="99">
        <f>G147+'15'!H147</f>
        <v>6600.8800000000047</v>
      </c>
      <c r="I147" s="140"/>
      <c r="J147" s="348">
        <f>H147/DAY(B2)</f>
        <v>412.55500000000029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'15'!F148</f>
        <v>668860.52</v>
      </c>
      <c r="F148" s="164">
        <v>669113.43999999994</v>
      </c>
      <c r="G148" s="112">
        <f t="shared" si="11"/>
        <v>252.91999999992549</v>
      </c>
      <c r="H148" s="99">
        <f>G148+'15'!H148</f>
        <v>4005.3199999999488</v>
      </c>
      <c r="I148" s="124"/>
      <c r="J148" s="348">
        <f>H148/DAY(B2)</f>
        <v>250.3324999999968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'15'!F149</f>
        <v>89766</v>
      </c>
      <c r="F149" s="233">
        <v>90089</v>
      </c>
      <c r="G149" s="112">
        <f t="shared" si="11"/>
        <v>323</v>
      </c>
      <c r="H149" s="99">
        <f>G149+'15'!H149</f>
        <v>5342</v>
      </c>
      <c r="I149" s="119"/>
      <c r="J149" s="348">
        <f>H149/DAY(B2)</f>
        <v>333.875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'15'!F150</f>
        <v>7167232</v>
      </c>
      <c r="F150" s="233">
        <v>7167232</v>
      </c>
      <c r="G150" s="112">
        <f t="shared" si="11"/>
        <v>0</v>
      </c>
      <c r="H150" s="99">
        <f>G150+'15'!H150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'15'!F151</f>
        <v>66616</v>
      </c>
      <c r="F151" s="233">
        <v>66894</v>
      </c>
      <c r="G151" s="112">
        <f t="shared" si="11"/>
        <v>278</v>
      </c>
      <c r="H151" s="99">
        <f>G151+'15'!H151</f>
        <v>3884</v>
      </c>
      <c r="I151" s="119"/>
      <c r="J151" s="348">
        <f>H151/DAY(B2)</f>
        <v>242.75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'15'!F152</f>
        <v>0</v>
      </c>
      <c r="F152" s="233">
        <v>0</v>
      </c>
      <c r="G152" s="112">
        <f t="shared" si="11"/>
        <v>0</v>
      </c>
      <c r="H152" s="99">
        <f>G152+'15'!H152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2318.8399999999556</v>
      </c>
      <c r="H153" s="383"/>
      <c r="I153" s="119">
        <f>G153-(G38+G52)</f>
        <v>453.00999999993928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'15'!F155</f>
        <v>77384</v>
      </c>
      <c r="F155" s="633">
        <v>77392</v>
      </c>
      <c r="G155" s="112">
        <f>F155-E155</f>
        <v>8</v>
      </c>
      <c r="H155" s="99">
        <f>G155+'15'!H155</f>
        <v>117.39999999999418</v>
      </c>
      <c r="I155" s="384"/>
      <c r="J155" s="348">
        <f>H155/DAY(B2)</f>
        <v>7.3374999999996362</v>
      </c>
    </row>
    <row r="156" spans="1:10" ht="27.75">
      <c r="A156" s="771" t="s">
        <v>347</v>
      </c>
      <c r="B156" s="771"/>
      <c r="C156" s="771"/>
      <c r="D156" s="117" t="s">
        <v>130</v>
      </c>
      <c r="E156" s="95">
        <f>'15'!F156</f>
        <v>0</v>
      </c>
      <c r="F156" s="155">
        <v>0</v>
      </c>
      <c r="G156" s="112">
        <f t="shared" ref="G156" si="12">F156-E156</f>
        <v>0</v>
      </c>
      <c r="H156" s="99">
        <f>G156+'15'!H156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'15'!F158</f>
        <v>469857</v>
      </c>
      <c r="F158" s="235">
        <v>469885.72</v>
      </c>
      <c r="G158" s="238">
        <f t="shared" ref="G158:G162" si="13">F158-E158</f>
        <v>28.71999999997206</v>
      </c>
      <c r="H158" s="99">
        <f>G158+'15'!H158</f>
        <v>356.67999999999302</v>
      </c>
      <c r="I158" s="236"/>
      <c r="J158" s="239">
        <f>H158/DAY(B2)</f>
        <v>22.292499999999563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'15'!F159</f>
        <v>86137.600000000006</v>
      </c>
      <c r="F159" s="235">
        <v>86178.1</v>
      </c>
      <c r="G159" s="238">
        <f t="shared" si="13"/>
        <v>40.5</v>
      </c>
      <c r="H159" s="99">
        <f>G159+'15'!H159</f>
        <v>472.5</v>
      </c>
      <c r="I159" s="236"/>
      <c r="J159" s="239">
        <f>H159/DAY(B2)</f>
        <v>29.53125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'15'!F160</f>
        <v>74219</v>
      </c>
      <c r="F160" s="235">
        <v>74316.2</v>
      </c>
      <c r="G160" s="238">
        <f t="shared" si="13"/>
        <v>97.19999999999709</v>
      </c>
      <c r="H160" s="99">
        <f>G160+'15'!H160</f>
        <v>979.30000000000291</v>
      </c>
      <c r="I160" s="236"/>
      <c r="J160" s="239">
        <f>H160/DAY(B2)</f>
        <v>61.206250000000182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'15'!F161</f>
        <v>4013.3</v>
      </c>
      <c r="F161" s="235">
        <v>4020</v>
      </c>
      <c r="G161" s="238">
        <f t="shared" si="13"/>
        <v>6.6999999999998181</v>
      </c>
      <c r="H161" s="99">
        <f>G161+'15'!H161</f>
        <v>46.5</v>
      </c>
      <c r="I161" s="236"/>
      <c r="J161" s="239">
        <f>H161/DAY(B2)</f>
        <v>2.90625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'15'!F162</f>
        <v>29312.400000000001</v>
      </c>
      <c r="F162" s="235">
        <v>29322.51</v>
      </c>
      <c r="G162" s="238">
        <f t="shared" si="13"/>
        <v>10.109999999996944</v>
      </c>
      <c r="H162" s="99">
        <f>G162+'15'!H162</f>
        <v>124.36999999999898</v>
      </c>
      <c r="I162" s="236"/>
      <c r="J162" s="239">
        <f>H162/DAY(B2)</f>
        <v>7.7731249999999363</v>
      </c>
    </row>
    <row r="163" spans="1:10" ht="29.25">
      <c r="A163" s="780"/>
      <c r="B163" s="780"/>
      <c r="C163" s="247"/>
      <c r="D163" s="244" t="s">
        <v>180</v>
      </c>
      <c r="E163" s="95">
        <f>'15'!F163</f>
        <v>0</v>
      </c>
      <c r="F163" s="155"/>
      <c r="G163" s="165"/>
      <c r="H163" s="99">
        <f>G163+'15'!H163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'15'!F164</f>
        <v>0</v>
      </c>
      <c r="F164" s="155"/>
      <c r="G164" s="165"/>
      <c r="H164" s="99">
        <f>G164+'15'!H164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'15'!F165</f>
        <v>0</v>
      </c>
      <c r="F165" s="155"/>
      <c r="G165" s="165"/>
      <c r="H165" s="99">
        <f>G165+'15'!H165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'15'!F170</f>
        <v>8021</v>
      </c>
      <c r="F170" s="155">
        <v>8050</v>
      </c>
      <c r="G170" s="155">
        <f>F170-E170</f>
        <v>29</v>
      </c>
      <c r="H170" s="99">
        <f>G170+'15'!H170</f>
        <v>52</v>
      </c>
      <c r="I170" s="155"/>
      <c r="J170" s="178">
        <f>H170/DAY(B2)</f>
        <v>3.25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'15'!F171</f>
        <v>37582</v>
      </c>
      <c r="F171" s="157">
        <v>37592</v>
      </c>
      <c r="G171" s="155">
        <f t="shared" ref="G171:G172" si="14">F171-E171</f>
        <v>10</v>
      </c>
      <c r="H171" s="99">
        <f>G171+'15'!H171</f>
        <v>209</v>
      </c>
      <c r="I171" s="155"/>
      <c r="J171" s="178">
        <f>H171/DAY(B2)</f>
        <v>13.0625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'15'!F172</f>
        <v>20964</v>
      </c>
      <c r="F172" s="155">
        <v>20977</v>
      </c>
      <c r="G172" s="155">
        <f t="shared" si="14"/>
        <v>13</v>
      </c>
      <c r="H172" s="99">
        <f>G172+'15'!H172</f>
        <v>189</v>
      </c>
      <c r="I172" s="155"/>
      <c r="J172" s="178">
        <f>H172/DAY(B2)</f>
        <v>11.8125</v>
      </c>
    </row>
    <row r="173" spans="1:10" ht="27.75">
      <c r="A173" s="775" t="s">
        <v>196</v>
      </c>
      <c r="B173" s="776"/>
      <c r="C173" s="353"/>
      <c r="D173" s="228" t="s">
        <v>142</v>
      </c>
      <c r="E173" s="95">
        <f>'15'!F173</f>
        <v>0</v>
      </c>
      <c r="F173" s="155"/>
      <c r="G173" s="155">
        <f>SUM(G170:G172)</f>
        <v>52</v>
      </c>
      <c r="H173" s="99">
        <f>G173+'15'!H173</f>
        <v>450</v>
      </c>
      <c r="I173" s="155"/>
      <c r="J173" s="178">
        <f>H173/DAY(B2)</f>
        <v>28.125</v>
      </c>
    </row>
    <row r="174" spans="1:10" ht="27.75">
      <c r="A174" s="786" t="s">
        <v>77</v>
      </c>
      <c r="B174" s="787"/>
      <c r="C174" s="353"/>
      <c r="D174" s="228" t="s">
        <v>142</v>
      </c>
      <c r="E174" s="95">
        <f>'15'!F174</f>
        <v>0</v>
      </c>
      <c r="F174" s="155"/>
      <c r="G174" s="155"/>
      <c r="H174" s="99">
        <f>G174+'15'!H174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'15'!F175</f>
        <v>75797</v>
      </c>
      <c r="F175" s="155">
        <v>75913</v>
      </c>
      <c r="G175" s="155">
        <f>F175-E175</f>
        <v>116</v>
      </c>
      <c r="H175" s="99">
        <f>G175+'15'!H175</f>
        <v>1294</v>
      </c>
      <c r="I175" s="155"/>
      <c r="J175" s="178">
        <f>H175/DAY(B2)</f>
        <v>80.875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'15'!F176</f>
        <v>33886</v>
      </c>
      <c r="F176" s="155">
        <v>33886</v>
      </c>
      <c r="G176" s="155">
        <f t="shared" ref="G176:G177" si="15">F176-E176</f>
        <v>0</v>
      </c>
      <c r="H176" s="99">
        <f>G176+'15'!H176</f>
        <v>0</v>
      </c>
      <c r="I176" s="155"/>
      <c r="J176" s="178">
        <f>H176/DAY(B2)</f>
        <v>0</v>
      </c>
    </row>
    <row r="177" spans="1:11" ht="27.75">
      <c r="A177" s="786" t="s">
        <v>212</v>
      </c>
      <c r="B177" s="787"/>
      <c r="C177" s="353"/>
      <c r="D177" s="228" t="s">
        <v>142</v>
      </c>
      <c r="E177" s="95">
        <f>'15'!F177</f>
        <v>5167</v>
      </c>
      <c r="F177" s="155">
        <v>7935</v>
      </c>
      <c r="G177" s="155">
        <f t="shared" si="15"/>
        <v>2768</v>
      </c>
      <c r="H177" s="99">
        <f>G177+'15'!H177</f>
        <v>2894</v>
      </c>
      <c r="I177" s="155"/>
      <c r="J177" s="178">
        <f>H177/DAY(B2)</f>
        <v>180.875</v>
      </c>
    </row>
    <row r="178" spans="1:11" ht="27.75">
      <c r="A178" s="788" t="s">
        <v>108</v>
      </c>
      <c r="B178" s="789"/>
      <c r="C178" s="353"/>
      <c r="D178" s="228" t="s">
        <v>142</v>
      </c>
      <c r="E178" s="95">
        <f>'15'!F178</f>
        <v>0</v>
      </c>
      <c r="F178" s="155"/>
      <c r="G178" s="155">
        <f>SUM(G175:G177)</f>
        <v>2884</v>
      </c>
      <c r="H178" s="99">
        <f>G178+'15'!H178</f>
        <v>4188</v>
      </c>
      <c r="I178" s="155"/>
      <c r="J178" s="178">
        <f>H178/DAY(B2)</f>
        <v>261.75</v>
      </c>
    </row>
    <row r="179" spans="1:11" ht="27.75">
      <c r="A179" s="786" t="s">
        <v>213</v>
      </c>
      <c r="B179" s="787"/>
      <c r="C179" s="353"/>
      <c r="D179" s="228" t="s">
        <v>142</v>
      </c>
      <c r="E179" s="95">
        <f>'15'!F179</f>
        <v>0</v>
      </c>
      <c r="F179" s="155"/>
      <c r="G179" s="155"/>
      <c r="H179" s="99">
        <f>G179+'15'!H179</f>
        <v>0</v>
      </c>
      <c r="I179" s="155"/>
      <c r="J179" s="178">
        <f>H179/DAY(B2)</f>
        <v>0</v>
      </c>
    </row>
    <row r="180" spans="1:11" ht="27.75">
      <c r="A180" s="786" t="s">
        <v>214</v>
      </c>
      <c r="B180" s="787"/>
      <c r="C180" s="354"/>
      <c r="D180" s="228" t="s">
        <v>142</v>
      </c>
      <c r="E180" s="95">
        <f>'15'!F180</f>
        <v>14264</v>
      </c>
      <c r="F180" s="157">
        <v>14282</v>
      </c>
      <c r="G180" s="157">
        <f>F180-E180</f>
        <v>18</v>
      </c>
      <c r="H180" s="99">
        <f>G180+'15'!H180</f>
        <v>251</v>
      </c>
      <c r="I180" s="155"/>
      <c r="J180" s="178">
        <f>H180/DAY(B2)</f>
        <v>15.6875</v>
      </c>
    </row>
    <row r="181" spans="1:11" ht="27.75">
      <c r="A181" s="786" t="s">
        <v>215</v>
      </c>
      <c r="B181" s="787"/>
      <c r="C181" s="354"/>
      <c r="D181" s="228" t="s">
        <v>142</v>
      </c>
      <c r="E181" s="95">
        <f>'15'!F181</f>
        <v>9888</v>
      </c>
      <c r="F181" s="157">
        <v>9895</v>
      </c>
      <c r="G181" s="157">
        <f t="shared" ref="G181:G182" si="16">F181-E181</f>
        <v>7</v>
      </c>
      <c r="H181" s="99">
        <f>G181+'15'!H181</f>
        <v>141</v>
      </c>
      <c r="I181" s="155"/>
      <c r="J181" s="178">
        <f>H181/DAY(B2)</f>
        <v>8.8125</v>
      </c>
    </row>
    <row r="182" spans="1:11" ht="32.25" customHeight="1">
      <c r="A182" s="786" t="s">
        <v>216</v>
      </c>
      <c r="B182" s="787"/>
      <c r="C182" s="354"/>
      <c r="D182" s="228" t="s">
        <v>142</v>
      </c>
      <c r="E182" s="95">
        <f>'15'!F182</f>
        <v>0</v>
      </c>
      <c r="F182" s="157"/>
      <c r="G182" s="157">
        <f t="shared" si="16"/>
        <v>0</v>
      </c>
      <c r="H182" s="99">
        <f>G182+'15'!H182</f>
        <v>0</v>
      </c>
      <c r="I182" s="155"/>
      <c r="J182" s="178">
        <f>H182/DAY(B2)</f>
        <v>0</v>
      </c>
    </row>
    <row r="183" spans="1:11" ht="27.75">
      <c r="A183" s="775" t="s">
        <v>196</v>
      </c>
      <c r="B183" s="776"/>
      <c r="C183" s="354"/>
      <c r="D183" s="228" t="s">
        <v>142</v>
      </c>
      <c r="E183" s="95">
        <f>'15'!F183</f>
        <v>0</v>
      </c>
      <c r="F183" s="157"/>
      <c r="G183" s="157">
        <f>SUM(G180:G182)</f>
        <v>25</v>
      </c>
      <c r="H183" s="99">
        <f>G183+'15'!H183</f>
        <v>392</v>
      </c>
      <c r="I183" s="157"/>
      <c r="J183" s="178">
        <f>H183/DAY(B2)</f>
        <v>24.5</v>
      </c>
    </row>
    <row r="184" spans="1:11" ht="27.75">
      <c r="A184" s="777" t="s">
        <v>217</v>
      </c>
      <c r="B184" s="778"/>
      <c r="C184" s="353"/>
      <c r="D184" s="230" t="s">
        <v>142</v>
      </c>
      <c r="E184" s="95">
        <f>'15'!F184</f>
        <v>0</v>
      </c>
      <c r="F184" s="159"/>
      <c r="G184" s="524">
        <f>G62+G19</f>
        <v>170</v>
      </c>
      <c r="H184" s="99">
        <f>G184+'15'!H184</f>
        <v>2750</v>
      </c>
      <c r="I184" s="158"/>
      <c r="J184" s="179">
        <f>H184/DAY(B2)</f>
        <v>171.875</v>
      </c>
    </row>
    <row r="185" spans="1:11" ht="27.75">
      <c r="A185" s="777" t="s">
        <v>218</v>
      </c>
      <c r="B185" s="778"/>
      <c r="C185" s="353"/>
      <c r="D185" s="230" t="s">
        <v>142</v>
      </c>
      <c r="E185" s="95">
        <f>'15'!F185</f>
        <v>0</v>
      </c>
      <c r="F185" s="159"/>
      <c r="G185" s="524">
        <f>G65+G66+G67+G69+G70</f>
        <v>171</v>
      </c>
      <c r="H185" s="99">
        <f>G185+'15'!H185</f>
        <v>345</v>
      </c>
      <c r="I185" s="158"/>
      <c r="J185" s="179">
        <f>H185/DAY(B2)</f>
        <v>21.5625</v>
      </c>
    </row>
    <row r="186" spans="1:11" ht="23.25" customHeight="1">
      <c r="A186" s="777" t="s">
        <v>219</v>
      </c>
      <c r="B186" s="778"/>
      <c r="C186" s="353"/>
      <c r="D186" s="230" t="s">
        <v>142</v>
      </c>
      <c r="E186" s="95">
        <f>'15'!F186</f>
        <v>0</v>
      </c>
      <c r="F186" s="157"/>
      <c r="G186" s="521">
        <f>G178</f>
        <v>2884</v>
      </c>
      <c r="H186" s="99">
        <f>G186+'15'!H186</f>
        <v>4188</v>
      </c>
      <c r="I186" s="158"/>
      <c r="J186" s="179">
        <f>H186/DAY(B2)</f>
        <v>261.75</v>
      </c>
    </row>
    <row r="187" spans="1:11" ht="23.25" customHeight="1">
      <c r="A187" s="867"/>
      <c r="B187" s="868"/>
      <c r="C187" s="632"/>
      <c r="D187" s="542"/>
      <c r="E187" s="542" t="s">
        <v>207</v>
      </c>
      <c r="F187" s="561"/>
      <c r="G187" s="542"/>
      <c r="H187" s="543"/>
      <c r="I187" s="542"/>
      <c r="J187" s="544"/>
    </row>
    <row r="188" spans="1:11" ht="23.25" customHeight="1">
      <c r="A188" s="246" t="s">
        <v>361</v>
      </c>
      <c r="B188" s="247"/>
      <c r="C188" s="247"/>
      <c r="D188" s="165"/>
      <c r="E188" s="165"/>
      <c r="F188" s="155">
        <v>52850</v>
      </c>
      <c r="G188" s="165">
        <v>52856.531000000003</v>
      </c>
      <c r="H188" s="238">
        <f>G188-F188</f>
        <v>6.5310000000026776</v>
      </c>
      <c r="I188" s="99">
        <f>H188+'15'!I188</f>
        <v>6.5310000000026776</v>
      </c>
      <c r="J188" s="236"/>
      <c r="K188" s="239" t="e">
        <f>I188/DAY(C28)</f>
        <v>#DIV/0!</v>
      </c>
    </row>
    <row r="189" spans="1:11" ht="23.25" customHeight="1"/>
    <row r="190" spans="1:11" ht="23.25" customHeight="1"/>
    <row r="191" spans="1:11" ht="23.25" customHeight="1"/>
    <row r="192" spans="1:11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</sheetData>
  <mergeCells count="112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145:C145"/>
    <mergeCell ref="A146:C146"/>
    <mergeCell ref="A150:C150"/>
    <mergeCell ref="A151:C151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65:B165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54:J154"/>
    <mergeCell ref="A155:C155"/>
    <mergeCell ref="A138:C138"/>
    <mergeCell ref="A102:C102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56:C156"/>
    <mergeCell ref="A157:J157"/>
    <mergeCell ref="A186:B186"/>
    <mergeCell ref="A187:B187"/>
    <mergeCell ref="A178:B178"/>
    <mergeCell ref="A182:B182"/>
    <mergeCell ref="A183:B183"/>
    <mergeCell ref="A184:B184"/>
    <mergeCell ref="A185:B185"/>
    <mergeCell ref="A169:B169"/>
    <mergeCell ref="A170:B170"/>
    <mergeCell ref="A171:B171"/>
    <mergeCell ref="A173:B173"/>
    <mergeCell ref="A174:B174"/>
    <mergeCell ref="A180:B180"/>
    <mergeCell ref="A181:B181"/>
    <mergeCell ref="A179:B179"/>
    <mergeCell ref="A176:B176"/>
    <mergeCell ref="A177:B177"/>
    <mergeCell ref="A175:B175"/>
    <mergeCell ref="A172:C172"/>
    <mergeCell ref="A168:J168"/>
    <mergeCell ref="A163:B163"/>
    <mergeCell ref="A164:B164"/>
  </mergeCells>
  <pageMargins left="0.22" right="0.17" top="0.14000000000000001" bottom="0.2" header="0.2" footer="0.2"/>
  <pageSetup paperSize="5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88"/>
  <sheetViews>
    <sheetView view="pageBreakPreview" topLeftCell="A121" zoomScale="55" zoomScaleSheetLayoutView="55" zoomScalePageLayoutView="60" workbookViewId="0">
      <selection activeCell="I153" sqref="I153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.75" customHeight="1">
      <c r="A2" s="191" t="s">
        <v>350</v>
      </c>
      <c r="B2" s="266">
        <v>44517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42843.7</v>
      </c>
      <c r="F7" s="95">
        <v>69885.600000000006</v>
      </c>
      <c r="G7" s="112">
        <f>F7-E7</f>
        <v>27041.900000000009</v>
      </c>
      <c r="H7" s="99">
        <f>G7+'16'!H7</f>
        <v>383622.29999999993</v>
      </c>
      <c r="I7" s="113">
        <f>'1'!I7</f>
        <v>12000</v>
      </c>
      <c r="J7" s="175">
        <f>H7/DAY(B2)</f>
        <v>22566.017647058819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75046.7</v>
      </c>
      <c r="F8" s="95">
        <v>102524.9</v>
      </c>
      <c r="G8" s="115">
        <f>F8-E8</f>
        <v>27478.199999999997</v>
      </c>
      <c r="H8" s="99">
        <f>G8+'16'!H8</f>
        <v>389361.00000000006</v>
      </c>
      <c r="I8" s="116"/>
      <c r="J8" s="175">
        <f>H8/DAY(B2)</f>
        <v>22903.588235294123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1485633.6</v>
      </c>
      <c r="F9" s="373">
        <v>1504852.8</v>
      </c>
      <c r="G9" s="112">
        <f>F9-E9</f>
        <v>19219.199999999953</v>
      </c>
      <c r="H9" s="99">
        <f>G9+'16'!H9</f>
        <v>243574.30000000005</v>
      </c>
      <c r="I9" s="124">
        <f>I7-J7</f>
        <v>-10566.017647058819</v>
      </c>
      <c r="J9" s="175">
        <f>H9/DAY(B2)</f>
        <v>14327.900000000003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291092.05</v>
      </c>
      <c r="F10" s="373">
        <v>298196</v>
      </c>
      <c r="G10" s="112">
        <f t="shared" ref="G10:G12" si="0">F10-E10</f>
        <v>7103.9500000000116</v>
      </c>
      <c r="H10" s="99">
        <f>G10+'16'!H10</f>
        <v>129812.07</v>
      </c>
      <c r="I10" s="286"/>
      <c r="J10" s="175">
        <f>H10/DAY(B2)</f>
        <v>7636.0041176470595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26323.149999999965</v>
      </c>
      <c r="H13" s="99">
        <f>G13+'16'!H13</f>
        <v>352579.91000000003</v>
      </c>
      <c r="I13" s="120">
        <f>G7-G13</f>
        <v>718.75000000004366</v>
      </c>
      <c r="J13" s="175">
        <f>H13/DAY(B2)</f>
        <v>20739.994705882356</v>
      </c>
      <c r="K13" s="79"/>
      <c r="L13" s="66"/>
      <c r="N13" s="87"/>
      <c r="O13" s="71"/>
    </row>
    <row r="14" spans="1:15" ht="27.75" customHeight="1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65" t="s">
        <v>138</v>
      </c>
      <c r="B15" s="205"/>
      <c r="C15" s="205"/>
      <c r="D15" s="151" t="s">
        <v>139</v>
      </c>
      <c r="E15" s="95">
        <f>'16'!F15</f>
        <v>1342340.6</v>
      </c>
      <c r="F15" s="123">
        <v>1343165</v>
      </c>
      <c r="G15" s="112">
        <f>(F15-E15)</f>
        <v>824.39999999990687</v>
      </c>
      <c r="H15" s="99">
        <f>G15+'16'!H15</f>
        <v>16555.510000000038</v>
      </c>
      <c r="I15" s="113">
        <f>'1'!I15</f>
        <v>800</v>
      </c>
      <c r="J15" s="175">
        <f>H15/DAY(B2)</f>
        <v>973.853529411767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-173.853529411767</v>
      </c>
      <c r="J16" s="176"/>
      <c r="K16" s="79"/>
      <c r="L16" s="66"/>
      <c r="N16" s="87"/>
      <c r="O16" s="71"/>
    </row>
    <row r="17" spans="1:15" ht="27.75" customHeight="1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14" t="s">
        <v>141</v>
      </c>
      <c r="B18" s="815"/>
      <c r="C18" s="816"/>
      <c r="D18" s="151" t="s">
        <v>142</v>
      </c>
      <c r="E18" s="95">
        <f>'16'!F18</f>
        <v>20</v>
      </c>
      <c r="F18" s="122">
        <v>20</v>
      </c>
      <c r="G18" s="119">
        <f>F18*10</f>
        <v>200</v>
      </c>
      <c r="H18" s="99">
        <f>G18+'16'!H18</f>
        <v>3310</v>
      </c>
      <c r="I18" s="113">
        <f>'1'!I18</f>
        <v>65</v>
      </c>
      <c r="J18" s="175">
        <f>H18/DAY(B2)</f>
        <v>194.70588235294119</v>
      </c>
      <c r="K18" s="79"/>
      <c r="L18" s="66"/>
      <c r="N18" s="87"/>
      <c r="O18" s="71"/>
    </row>
    <row r="19" spans="1:15" ht="27.75" customHeight="1">
      <c r="A19" s="814" t="s">
        <v>69</v>
      </c>
      <c r="B19" s="815"/>
      <c r="C19" s="816"/>
      <c r="D19" s="151" t="s">
        <v>142</v>
      </c>
      <c r="E19" s="95">
        <f>'16'!F19</f>
        <v>149824</v>
      </c>
      <c r="F19" s="122">
        <v>149879</v>
      </c>
      <c r="G19" s="112">
        <f t="shared" ref="G19" si="1">F19-E19</f>
        <v>55</v>
      </c>
      <c r="H19" s="99">
        <f>G19+'16'!H19</f>
        <v>962</v>
      </c>
      <c r="I19" s="355"/>
      <c r="J19" s="175">
        <f>H19/DAY(B2)</f>
        <v>56.588235294117645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255</v>
      </c>
      <c r="H20" s="99">
        <f>G20+'16'!H20</f>
        <v>4272</v>
      </c>
      <c r="I20" s="356">
        <f>I18-J20</f>
        <v>-186.29411764705881</v>
      </c>
      <c r="J20" s="175">
        <f>H20/DAY(B2)</f>
        <v>251.29411764705881</v>
      </c>
      <c r="K20" s="79"/>
      <c r="L20" s="66"/>
      <c r="N20" s="87"/>
      <c r="O20" s="71"/>
    </row>
    <row r="21" spans="1:15" ht="27.75" customHeight="1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6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65" t="s">
        <v>147</v>
      </c>
      <c r="B23" s="205"/>
      <c r="C23" s="205"/>
      <c r="D23" s="151" t="s">
        <v>146</v>
      </c>
      <c r="E23" s="95">
        <f>'16'!F23</f>
        <v>2000</v>
      </c>
      <c r="F23" s="122">
        <v>2000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27478.199999999997</v>
      </c>
      <c r="F27" s="136">
        <v>9</v>
      </c>
      <c r="G27" s="137">
        <f>E27*F27</f>
        <v>247303.8</v>
      </c>
      <c r="H27" s="99">
        <f>G27+'16'!H27</f>
        <v>3504249</v>
      </c>
      <c r="I27" s="138"/>
      <c r="J27" s="175">
        <f>H27/DAY(B2)</f>
        <v>206132.29411764705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824.39999999990687</v>
      </c>
      <c r="F28" s="136">
        <v>52</v>
      </c>
      <c r="G28" s="137">
        <f>E28*F28</f>
        <v>42868.799999995157</v>
      </c>
      <c r="H28" s="99">
        <f>G28+'16'!H28</f>
        <v>860886.52000000188</v>
      </c>
      <c r="I28" s="140"/>
      <c r="J28" s="175">
        <f>H28/DAY(B2)</f>
        <v>50640.383529411876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G30+'16'!H30</f>
        <v>140452</v>
      </c>
      <c r="I30" s="140"/>
      <c r="J30" s="175">
        <f>H30/DAY(B2)</f>
        <v>8261.8823529411766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G31+'16'!H31</f>
        <v>264800</v>
      </c>
      <c r="I31" s="140"/>
      <c r="J31" s="175">
        <f>H31/DAY(B2)</f>
        <v>15576.470588235294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314202.59999999515</v>
      </c>
      <c r="H32" s="99">
        <f>G32+'16'!H32</f>
        <v>4770387.5200000014</v>
      </c>
      <c r="I32" s="144"/>
      <c r="J32" s="175">
        <f>H32/DAY(B2)</f>
        <v>280611.03058823536</v>
      </c>
      <c r="K32" s="63"/>
      <c r="L32" s="89"/>
      <c r="N32" s="87"/>
      <c r="O32" s="71"/>
    </row>
    <row r="33" spans="1:15" ht="27.7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64460.51</v>
      </c>
      <c r="F35" s="145">
        <v>66580.95</v>
      </c>
      <c r="G35" s="112">
        <f t="shared" ref="G35:G46" si="3">F35-E35</f>
        <v>2120.4399999999951</v>
      </c>
      <c r="H35" s="99">
        <f>G35+'16'!H35</f>
        <v>34106.28</v>
      </c>
      <c r="I35" s="95"/>
      <c r="J35" s="175">
        <f>H35/DAY(B2)</f>
        <v>2006.2517647058824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63659.94</v>
      </c>
      <c r="F36" s="145">
        <v>64918.3</v>
      </c>
      <c r="G36" s="112">
        <f t="shared" si="3"/>
        <v>1258.3600000000006</v>
      </c>
      <c r="H36" s="99">
        <f>G36+'16'!H36</f>
        <v>14978.630000000005</v>
      </c>
      <c r="I36" s="95"/>
      <c r="J36" s="175">
        <f>H36/DAY(B2)</f>
        <v>881.09588235294143</v>
      </c>
      <c r="K36" s="79"/>
      <c r="L36" s="66"/>
      <c r="N36" s="87"/>
      <c r="O36" s="36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122365.32</v>
      </c>
      <c r="F37" s="145">
        <v>124061.4</v>
      </c>
      <c r="G37" s="112">
        <f t="shared" si="3"/>
        <v>1696.0799999999872</v>
      </c>
      <c r="H37" s="99">
        <f>G37+'16'!H37</f>
        <v>27007.569999999992</v>
      </c>
      <c r="I37" s="95"/>
      <c r="J37" s="175">
        <f>H37/DAY(B2)</f>
        <v>1588.6805882352937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144255.39000000001</v>
      </c>
      <c r="F38" s="108">
        <v>146173.09</v>
      </c>
      <c r="G38" s="112">
        <f t="shared" si="3"/>
        <v>1917.6999999999825</v>
      </c>
      <c r="H38" s="99">
        <f>G38+'16'!H38</f>
        <v>30950.050000000003</v>
      </c>
      <c r="I38" s="95"/>
      <c r="J38" s="175">
        <f>H38/DAY(B2)</f>
        <v>1820.5911764705884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279780.49</v>
      </c>
      <c r="F39" s="145">
        <v>282760.84999999998</v>
      </c>
      <c r="G39" s="112">
        <f t="shared" si="3"/>
        <v>2980.359999999986</v>
      </c>
      <c r="H39" s="99">
        <f>G39+'16'!H39</f>
        <v>49379.799999999988</v>
      </c>
      <c r="I39" s="95"/>
      <c r="J39" s="175">
        <f>H39/DAY(B2)</f>
        <v>2904.6941176470582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71</v>
      </c>
      <c r="F40" s="145">
        <v>71.2</v>
      </c>
      <c r="G40" s="112">
        <f t="shared" si="3"/>
        <v>0.20000000000000284</v>
      </c>
      <c r="H40" s="99">
        <f>G40+'16'!H40</f>
        <v>114.83000000000001</v>
      </c>
      <c r="I40" s="95"/>
      <c r="J40" s="175">
        <f>H40/DAY(B2)</f>
        <v>6.7547058823529422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589883.11</v>
      </c>
      <c r="F41" s="145">
        <v>589883.11</v>
      </c>
      <c r="G41" s="112">
        <f t="shared" si="3"/>
        <v>0</v>
      </c>
      <c r="H41" s="99">
        <f>G41+'16'!H41</f>
        <v>8024.2800000000279</v>
      </c>
      <c r="I41" s="95"/>
      <c r="J41" s="175">
        <f>H41/DAY(B2)</f>
        <v>472.01647058823693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278256.31</v>
      </c>
      <c r="F42" s="145">
        <v>283228.99</v>
      </c>
      <c r="G42" s="112">
        <f t="shared" si="3"/>
        <v>4972.679999999993</v>
      </c>
      <c r="H42" s="99">
        <f>G42+'16'!H42</f>
        <v>12259.320000000007</v>
      </c>
      <c r="I42" s="95"/>
      <c r="J42" s="175">
        <f>H42/DAY(B2)</f>
        <v>721.13647058823574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1488775.4</v>
      </c>
      <c r="F43" s="145">
        <v>1491791</v>
      </c>
      <c r="G43" s="112">
        <f t="shared" si="3"/>
        <v>3015.6000000000931</v>
      </c>
      <c r="H43" s="99">
        <f>G43+'16'!H43</f>
        <v>45703.600000000093</v>
      </c>
      <c r="I43" s="95"/>
      <c r="J43" s="175">
        <f>H43/DAY(B2)</f>
        <v>2688.4470588235349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17961.420000000038</v>
      </c>
      <c r="H47" s="99">
        <f>G47+'16'!H47</f>
        <v>222524.3600000001</v>
      </c>
      <c r="I47" s="95"/>
      <c r="J47" s="175">
        <f>H47/DAY(B2)</f>
        <v>13089.668235294124</v>
      </c>
      <c r="K47" s="79"/>
      <c r="L47" s="66"/>
      <c r="N47" s="87"/>
      <c r="O47" s="71"/>
    </row>
    <row r="48" spans="1:15" ht="27.75" customHeight="1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197516.05</v>
      </c>
      <c r="F49" s="145">
        <v>199225.49</v>
      </c>
      <c r="G49" s="112">
        <f t="shared" ref="G49:G58" si="4">F49-E49</f>
        <v>1709.4400000000023</v>
      </c>
      <c r="H49" s="99">
        <f>G49+'16'!H49</f>
        <v>26495.099999999977</v>
      </c>
      <c r="I49" s="95"/>
      <c r="J49" s="175">
        <f>H49/DAY(B2)</f>
        <v>1558.5352941176457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702796.39</v>
      </c>
      <c r="F50" s="145">
        <v>704299.67</v>
      </c>
      <c r="G50" s="112">
        <f t="shared" si="4"/>
        <v>1503.2800000000279</v>
      </c>
      <c r="H50" s="99">
        <f>G50+'16'!H50</f>
        <v>19937.359999999986</v>
      </c>
      <c r="I50" s="95"/>
      <c r="J50" s="175">
        <f>H50/DAY(B2)</f>
        <v>1172.7858823529405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2951.86</v>
      </c>
      <c r="F54" s="145">
        <v>2957.5</v>
      </c>
      <c r="G54" s="112">
        <f t="shared" si="4"/>
        <v>5.6399999999998727</v>
      </c>
      <c r="H54" s="99">
        <f>G54+'16'!H54</f>
        <v>90.010000000000218</v>
      </c>
      <c r="I54" s="95"/>
      <c r="J54" s="175">
        <f>H54/DAY(B2)</f>
        <v>5.2947058823529538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0</v>
      </c>
      <c r="F55" s="145">
        <v>0</v>
      </c>
      <c r="G55" s="112">
        <f t="shared" si="4"/>
        <v>0</v>
      </c>
      <c r="H55" s="99">
        <f>G55+'16'!H55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120507.09</v>
      </c>
      <c r="F56" s="145">
        <v>124326.17</v>
      </c>
      <c r="G56" s="112">
        <f t="shared" si="4"/>
        <v>3819.0800000000017</v>
      </c>
      <c r="H56" s="99">
        <f>G56+'16'!H56</f>
        <v>81485.87999999999</v>
      </c>
      <c r="I56" s="95"/>
      <c r="J56" s="175">
        <f>H56/DAY(B2)</f>
        <v>4793.2870588235292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82314.87</v>
      </c>
      <c r="F58" s="145">
        <v>82529.440000000002</v>
      </c>
      <c r="G58" s="112">
        <f t="shared" si="4"/>
        <v>214.57000000000698</v>
      </c>
      <c r="H58" s="99">
        <f>G58+'16'!H58</f>
        <v>3509.5400000000081</v>
      </c>
      <c r="I58" s="95"/>
      <c r="J58" s="175">
        <f>H58/DAY(B2)</f>
        <v>206.44352941176518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7252.0100000000384</v>
      </c>
      <c r="H59" s="99">
        <f>G59+'16'!H59</f>
        <v>131517.88999999996</v>
      </c>
      <c r="I59" s="95">
        <f>G7-G60</f>
        <v>1828.469999999932</v>
      </c>
      <c r="J59" s="175">
        <f>H59/DAY(B2)</f>
        <v>7736.3464705882325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25213.430000000077</v>
      </c>
      <c r="H60" s="99">
        <f>G60+'16'!H60</f>
        <v>354042.25</v>
      </c>
      <c r="I60" s="95">
        <f>G13-G60</f>
        <v>1109.7199999998884</v>
      </c>
      <c r="J60" s="175">
        <f>H60/DAY(B2)</f>
        <v>20826.014705882353</v>
      </c>
      <c r="K60" s="79"/>
      <c r="L60" s="66"/>
      <c r="N60" s="87"/>
      <c r="O60" s="71"/>
    </row>
    <row r="61" spans="1:15" s="68" customFormat="1" ht="27.75" customHeight="1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>
      <c r="A62" s="814" t="s">
        <v>198</v>
      </c>
      <c r="B62" s="815"/>
      <c r="C62" s="816"/>
      <c r="D62" s="151" t="s">
        <v>142</v>
      </c>
      <c r="E62" s="95">
        <f>'16'!F62</f>
        <v>261661</v>
      </c>
      <c r="F62" s="122">
        <v>261781</v>
      </c>
      <c r="G62" s="112">
        <f t="shared" ref="G62:G63" si="5">F62-E62</f>
        <v>120</v>
      </c>
      <c r="H62" s="99">
        <f>G62+'16'!H62</f>
        <v>1963</v>
      </c>
      <c r="I62" s="118"/>
      <c r="J62" s="175">
        <f>H62/DAY(B2)</f>
        <v>115.47058823529412</v>
      </c>
      <c r="K62" s="80"/>
      <c r="L62" s="66"/>
      <c r="N62" s="87"/>
      <c r="O62" s="71"/>
    </row>
    <row r="63" spans="1:15" ht="27.75" customHeight="1">
      <c r="A63" s="814" t="s">
        <v>199</v>
      </c>
      <c r="B63" s="815"/>
      <c r="C63" s="816"/>
      <c r="D63" s="151" t="s">
        <v>142</v>
      </c>
      <c r="E63" s="95">
        <f>'16'!F63</f>
        <v>207885</v>
      </c>
      <c r="F63" s="122">
        <v>207963</v>
      </c>
      <c r="G63" s="112">
        <f t="shared" si="5"/>
        <v>78</v>
      </c>
      <c r="H63" s="99">
        <f>G63+'16'!H63</f>
        <v>1693</v>
      </c>
      <c r="I63" s="118"/>
      <c r="J63" s="175">
        <f>H63/DAY(B2)</f>
        <v>99.588235294117652</v>
      </c>
      <c r="K63" s="69"/>
      <c r="L63" s="66"/>
      <c r="N63" s="87"/>
      <c r="O63" s="71"/>
    </row>
    <row r="64" spans="1:15" ht="27.75" customHeight="1">
      <c r="A64" s="823" t="s">
        <v>200</v>
      </c>
      <c r="B64" s="824"/>
      <c r="C64" s="825"/>
      <c r="D64" s="151"/>
      <c r="E64" s="95">
        <f>'16'!F64</f>
        <v>0</v>
      </c>
      <c r="F64" s="122"/>
      <c r="G64" s="112">
        <f>G62+G63</f>
        <v>198</v>
      </c>
      <c r="H64" s="99">
        <f>G64+'16'!H64</f>
        <v>3656</v>
      </c>
      <c r="I64" s="118"/>
      <c r="J64" s="175">
        <f>H64/DAY(B2)</f>
        <v>215.05882352941177</v>
      </c>
      <c r="K64" s="69"/>
      <c r="L64" s="66"/>
      <c r="N64" s="87"/>
      <c r="O64" s="71"/>
    </row>
    <row r="65" spans="1:15" ht="27.75" customHeight="1">
      <c r="A65" s="814" t="s">
        <v>201</v>
      </c>
      <c r="B65" s="815"/>
      <c r="C65" s="816"/>
      <c r="D65" s="151" t="s">
        <v>142</v>
      </c>
      <c r="E65" s="95">
        <f>'16'!F65</f>
        <v>427822</v>
      </c>
      <c r="F65" s="122">
        <v>427931</v>
      </c>
      <c r="G65" s="112">
        <f t="shared" ref="G65:G70" si="6">F65-E65</f>
        <v>109</v>
      </c>
      <c r="H65" s="99">
        <f>G65+'16'!H65</f>
        <v>1726</v>
      </c>
      <c r="I65" s="118"/>
      <c r="J65" s="175">
        <f>H65/DAY(B2)</f>
        <v>101.52941176470588</v>
      </c>
      <c r="K65" s="69"/>
      <c r="L65" s="66"/>
      <c r="N65" s="87"/>
      <c r="O65" s="71"/>
    </row>
    <row r="66" spans="1:15" ht="27.75" customHeight="1">
      <c r="A66" s="365" t="s">
        <v>202</v>
      </c>
      <c r="B66" s="366"/>
      <c r="C66" s="366"/>
      <c r="D66" s="151" t="s">
        <v>142</v>
      </c>
      <c r="E66" s="95">
        <f>'16'!F66</f>
        <v>106318</v>
      </c>
      <c r="F66" s="122">
        <v>106341</v>
      </c>
      <c r="G66" s="112">
        <f t="shared" si="6"/>
        <v>23</v>
      </c>
      <c r="H66" s="99">
        <f>G66+'16'!H66</f>
        <v>371</v>
      </c>
      <c r="I66" s="118"/>
      <c r="J66" s="175">
        <f>H66/DAY(B2)</f>
        <v>21.823529411764707</v>
      </c>
      <c r="K66" s="78"/>
      <c r="L66" s="66"/>
      <c r="N66" s="87"/>
      <c r="O66" s="71"/>
    </row>
    <row r="67" spans="1:15" ht="27.75" customHeight="1">
      <c r="A67" s="365" t="s">
        <v>203</v>
      </c>
      <c r="B67" s="366"/>
      <c r="C67" s="366"/>
      <c r="D67" s="151" t="s">
        <v>142</v>
      </c>
      <c r="E67" s="95">
        <f>'16'!F67</f>
        <v>102592</v>
      </c>
      <c r="F67" s="122">
        <v>102627</v>
      </c>
      <c r="G67" s="112">
        <f t="shared" si="6"/>
        <v>35</v>
      </c>
      <c r="H67" s="99">
        <f>G67+'16'!H67</f>
        <v>456</v>
      </c>
      <c r="I67" s="118"/>
      <c r="J67" s="175">
        <f>H67/DAY(B2)</f>
        <v>26.823529411764707</v>
      </c>
      <c r="K67" s="81"/>
      <c r="L67" s="66"/>
      <c r="N67" s="87"/>
      <c r="O67" s="71"/>
    </row>
    <row r="68" spans="1:15" ht="27.75" customHeight="1">
      <c r="A68" s="365" t="s">
        <v>204</v>
      </c>
      <c r="B68" s="366"/>
      <c r="C68" s="366"/>
      <c r="D68" s="151" t="s">
        <v>142</v>
      </c>
      <c r="E68" s="95">
        <f>'16'!F68</f>
        <v>155007</v>
      </c>
      <c r="F68" s="122">
        <v>155037</v>
      </c>
      <c r="G68" s="112">
        <f t="shared" si="6"/>
        <v>30</v>
      </c>
      <c r="H68" s="99">
        <f>G68+'16'!H68</f>
        <v>541</v>
      </c>
      <c r="I68" s="118"/>
      <c r="J68" s="175">
        <f>H68/DAY(B2)</f>
        <v>31.823529411764707</v>
      </c>
      <c r="K68" s="69"/>
      <c r="L68" s="66"/>
      <c r="N68" s="87"/>
      <c r="O68" s="71"/>
    </row>
    <row r="69" spans="1:15" ht="27.75" customHeight="1">
      <c r="A69" s="365" t="s">
        <v>205</v>
      </c>
      <c r="B69" s="366"/>
      <c r="C69" s="366"/>
      <c r="D69" s="151" t="s">
        <v>142</v>
      </c>
      <c r="E69" s="95">
        <f>'16'!F69</f>
        <v>9674</v>
      </c>
      <c r="F69" s="122">
        <v>9678</v>
      </c>
      <c r="G69" s="112">
        <f t="shared" si="6"/>
        <v>4</v>
      </c>
      <c r="H69" s="99">
        <f>G69+'16'!H69</f>
        <v>213</v>
      </c>
      <c r="I69" s="118"/>
      <c r="J69" s="175">
        <f>H69/DAY(B2)</f>
        <v>12.529411764705882</v>
      </c>
      <c r="K69" s="69"/>
      <c r="L69" s="66"/>
      <c r="N69" s="87"/>
      <c r="O69" s="71"/>
    </row>
    <row r="70" spans="1:15" ht="27.75" customHeight="1">
      <c r="A70" s="365" t="s">
        <v>206</v>
      </c>
      <c r="B70" s="366"/>
      <c r="C70" s="366"/>
      <c r="D70" s="151" t="s">
        <v>142</v>
      </c>
      <c r="E70" s="95">
        <f>'16'!F70</f>
        <v>7379</v>
      </c>
      <c r="F70" s="122">
        <v>7386</v>
      </c>
      <c r="G70" s="112">
        <f t="shared" si="6"/>
        <v>7</v>
      </c>
      <c r="H70" s="99">
        <f>G70+'16'!H70</f>
        <v>183</v>
      </c>
      <c r="I70" s="118"/>
      <c r="J70" s="175">
        <f>H70/DAY(B2)</f>
        <v>10.764705882352942</v>
      </c>
      <c r="K70" s="69"/>
      <c r="L70" s="66"/>
      <c r="N70" s="87"/>
      <c r="O70" s="71"/>
    </row>
    <row r="71" spans="1:15" ht="27.75" customHeight="1">
      <c r="A71" s="823" t="s">
        <v>208</v>
      </c>
      <c r="B71" s="824"/>
      <c r="C71" s="825"/>
      <c r="D71" s="152"/>
      <c r="E71" s="152"/>
      <c r="F71" s="152"/>
      <c r="G71" s="153">
        <f>SUM(G65:G70)</f>
        <v>208</v>
      </c>
      <c r="H71" s="99">
        <f>G71+'16'!H71</f>
        <v>3490</v>
      </c>
      <c r="I71" s="154"/>
      <c r="J71" s="175">
        <f>H71/DAY(B2)</f>
        <v>205.29411764705881</v>
      </c>
      <c r="K71" s="69"/>
      <c r="L71" s="66"/>
      <c r="N71" s="87"/>
      <c r="O71" s="71"/>
    </row>
    <row r="72" spans="1:15" s="88" customFormat="1" ht="27.75" customHeight="1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>
      <c r="A74" s="814" t="s">
        <v>220</v>
      </c>
      <c r="B74" s="815"/>
      <c r="C74" s="816"/>
      <c r="D74" s="151" t="s">
        <v>139</v>
      </c>
      <c r="E74" s="95">
        <f>'16'!F74</f>
        <v>878193.97</v>
      </c>
      <c r="F74" s="117">
        <v>878475.24</v>
      </c>
      <c r="G74" s="112">
        <f t="shared" ref="G74:G78" si="7">F74-E74</f>
        <v>281.27000000001863</v>
      </c>
      <c r="H74" s="99">
        <f>G74+'16'!H74</f>
        <v>4890.0089999999618</v>
      </c>
      <c r="I74" s="154"/>
      <c r="J74" s="175">
        <f>H74/DAY(B2)</f>
        <v>287.64758823529189</v>
      </c>
      <c r="K74" s="69"/>
      <c r="L74" s="66"/>
      <c r="N74" s="87"/>
      <c r="O74" s="71"/>
    </row>
    <row r="75" spans="1:15" ht="27.75" customHeight="1">
      <c r="A75" s="814" t="s">
        <v>221</v>
      </c>
      <c r="B75" s="815"/>
      <c r="C75" s="816"/>
      <c r="D75" s="151" t="s">
        <v>139</v>
      </c>
      <c r="E75" s="95">
        <f>'16'!F75</f>
        <v>73586.8</v>
      </c>
      <c r="F75" s="123">
        <v>73586.8</v>
      </c>
      <c r="G75" s="112">
        <f t="shared" si="7"/>
        <v>0</v>
      </c>
      <c r="H75" s="99">
        <f>G75+'16'!H75</f>
        <v>3.4000000000087311</v>
      </c>
      <c r="I75" s="154"/>
      <c r="J75" s="175">
        <f>H75/DAY(B2)</f>
        <v>0.2000000000005136</v>
      </c>
      <c r="K75" s="69"/>
      <c r="L75" s="66"/>
      <c r="N75" s="87"/>
      <c r="O75" s="71"/>
    </row>
    <row r="76" spans="1:15" ht="27.75" customHeight="1">
      <c r="A76" s="811" t="s">
        <v>222</v>
      </c>
      <c r="B76" s="812"/>
      <c r="C76" s="813"/>
      <c r="D76" s="151" t="s">
        <v>139</v>
      </c>
      <c r="E76" s="95">
        <f>'16'!F76</f>
        <v>161658.29999999999</v>
      </c>
      <c r="F76" s="123">
        <v>161789.9</v>
      </c>
      <c r="G76" s="112">
        <f t="shared" si="7"/>
        <v>131.60000000000582</v>
      </c>
      <c r="H76" s="99">
        <f>G76+'16'!H76</f>
        <v>1804.3999999999942</v>
      </c>
      <c r="I76" s="154"/>
      <c r="J76" s="175">
        <f>H76/DAY(B2)</f>
        <v>106.14117647058789</v>
      </c>
      <c r="K76" s="69"/>
      <c r="L76" s="66"/>
      <c r="N76" s="87"/>
      <c r="O76" s="71"/>
    </row>
    <row r="77" spans="1:15" ht="27.75" customHeight="1">
      <c r="A77" s="811" t="s">
        <v>223</v>
      </c>
      <c r="B77" s="812"/>
      <c r="C77" s="813"/>
      <c r="D77" s="151" t="s">
        <v>139</v>
      </c>
      <c r="E77" s="95">
        <f>'16'!F77</f>
        <v>38150</v>
      </c>
      <c r="F77" s="123">
        <v>38191.599999999999</v>
      </c>
      <c r="G77" s="112">
        <f t="shared" si="7"/>
        <v>41.599999999998545</v>
      </c>
      <c r="H77" s="99">
        <f>G77+'16'!H77</f>
        <v>694.09999999999854</v>
      </c>
      <c r="I77" s="154"/>
      <c r="J77" s="175">
        <f>H77/DAY(B2)</f>
        <v>40.829411764705796</v>
      </c>
      <c r="K77" s="69"/>
      <c r="L77" s="66"/>
      <c r="N77" s="87"/>
      <c r="O77" s="71"/>
    </row>
    <row r="78" spans="1:15" ht="27.75" customHeight="1">
      <c r="A78" s="811" t="s">
        <v>224</v>
      </c>
      <c r="B78" s="812"/>
      <c r="C78" s="813"/>
      <c r="D78" s="151" t="s">
        <v>139</v>
      </c>
      <c r="E78" s="95">
        <f>'16'!F78</f>
        <v>9362.4</v>
      </c>
      <c r="F78" s="123">
        <v>9364.7000000000007</v>
      </c>
      <c r="G78" s="112">
        <f t="shared" si="7"/>
        <v>2.3000000000010914</v>
      </c>
      <c r="H78" s="99">
        <f>G78+'16'!H78</f>
        <v>35.300000000001091</v>
      </c>
      <c r="I78" s="118"/>
      <c r="J78" s="175">
        <f>H78/DAY(B2)</f>
        <v>2.0764705882353582</v>
      </c>
      <c r="K78" s="69"/>
      <c r="L78" s="66"/>
      <c r="N78" s="87"/>
      <c r="O78" s="71"/>
    </row>
    <row r="79" spans="1:15" s="57" customFormat="1" ht="27.75" customHeight="1">
      <c r="A79" s="811" t="s">
        <v>225</v>
      </c>
      <c r="B79" s="812"/>
      <c r="C79" s="813"/>
      <c r="D79" s="151"/>
      <c r="E79" s="95">
        <f>'16'!F79</f>
        <v>0</v>
      </c>
      <c r="F79" s="123"/>
      <c r="G79" s="112">
        <f>G15-SUM(G74:G78)</f>
        <v>367.62999999988278</v>
      </c>
      <c r="H79" s="99">
        <f>G79+'16'!H79</f>
        <v>9128.3010000000722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23" t="s">
        <v>329</v>
      </c>
      <c r="B80" s="824"/>
      <c r="C80" s="825"/>
      <c r="D80" s="151"/>
      <c r="E80" s="117"/>
      <c r="F80" s="117"/>
      <c r="G80" s="112">
        <f>SUM(G74:G79)</f>
        <v>824.39999999990687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65" t="s">
        <v>227</v>
      </c>
      <c r="B82" s="366"/>
      <c r="C82" s="36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>
      <c r="A83" s="365" t="s">
        <v>229</v>
      </c>
      <c r="B83" s="366"/>
      <c r="C83" s="36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>
      <c r="A84" s="365" t="s">
        <v>230</v>
      </c>
      <c r="B84" s="366"/>
      <c r="C84" s="366"/>
      <c r="D84" s="151" t="s">
        <v>228</v>
      </c>
      <c r="E84" s="95">
        <f>'16'!F84</f>
        <v>41625</v>
      </c>
      <c r="F84" s="164">
        <v>41625</v>
      </c>
      <c r="G84" s="112">
        <f t="shared" si="8"/>
        <v>0</v>
      </c>
      <c r="H84" s="99">
        <f>G84+'16'!H84</f>
        <v>39.440000000002328</v>
      </c>
      <c r="I84" s="118"/>
      <c r="J84" s="175">
        <f>H84/DAY(B2)</f>
        <v>2.3200000000001371</v>
      </c>
      <c r="O84" s="71"/>
    </row>
    <row r="85" spans="1:15" ht="27.75" customHeight="1">
      <c r="A85" s="365" t="s">
        <v>231</v>
      </c>
      <c r="B85" s="366"/>
      <c r="C85" s="366"/>
      <c r="D85" s="151" t="s">
        <v>228</v>
      </c>
      <c r="E85" s="95">
        <f>'16'!F85</f>
        <v>1340.5</v>
      </c>
      <c r="F85" s="164">
        <v>1354</v>
      </c>
      <c r="G85" s="112">
        <f t="shared" si="8"/>
        <v>13.5</v>
      </c>
      <c r="H85" s="99">
        <f>G85+'16'!H85</f>
        <v>49</v>
      </c>
      <c r="I85" s="118">
        <f>G82+G83+G84+G85</f>
        <v>13.5</v>
      </c>
      <c r="J85" s="175">
        <f>H85/DAY(B2)</f>
        <v>2.8823529411764706</v>
      </c>
      <c r="O85" s="71"/>
    </row>
    <row r="86" spans="1:15" ht="27.75" customHeight="1">
      <c r="A86" s="365" t="s">
        <v>232</v>
      </c>
      <c r="B86" s="366"/>
      <c r="C86" s="366"/>
      <c r="D86" s="151" t="s">
        <v>228</v>
      </c>
      <c r="E86" s="95">
        <f>'16'!F86</f>
        <v>42826.47</v>
      </c>
      <c r="F86" s="164">
        <v>42826.47</v>
      </c>
      <c r="G86" s="112">
        <f t="shared" si="8"/>
        <v>0</v>
      </c>
      <c r="H86" s="99">
        <f>G86+'16'!H86</f>
        <v>0.47000000000116415</v>
      </c>
      <c r="I86" s="118"/>
      <c r="J86" s="175">
        <f>H86/DAY(B2)</f>
        <v>2.764705882359789E-2</v>
      </c>
      <c r="O86" s="71"/>
    </row>
    <row r="87" spans="1:15" ht="27.75" customHeight="1">
      <c r="A87" s="365" t="s">
        <v>233</v>
      </c>
      <c r="B87" s="366"/>
      <c r="C87" s="366"/>
      <c r="D87" s="151" t="s">
        <v>228</v>
      </c>
      <c r="E87" s="95">
        <f>'16'!F87</f>
        <v>34115.31</v>
      </c>
      <c r="F87" s="164">
        <v>34139</v>
      </c>
      <c r="G87" s="112">
        <f t="shared" si="8"/>
        <v>23.690000000002328</v>
      </c>
      <c r="H87" s="99">
        <f>G87+'16'!H87</f>
        <v>391</v>
      </c>
      <c r="I87" s="118"/>
      <c r="J87" s="175">
        <f>H87/DAY(B2)</f>
        <v>23</v>
      </c>
      <c r="O87" s="71"/>
    </row>
    <row r="88" spans="1:15" ht="27.75" customHeight="1">
      <c r="A88" s="365" t="s">
        <v>234</v>
      </c>
      <c r="B88" s="366"/>
      <c r="C88" s="366"/>
      <c r="D88" s="151" t="s">
        <v>228</v>
      </c>
      <c r="E88" s="95">
        <f>'16'!F88</f>
        <v>23883.35</v>
      </c>
      <c r="F88" s="164">
        <v>23892.9</v>
      </c>
      <c r="G88" s="112">
        <f t="shared" si="8"/>
        <v>9.5500000000029104</v>
      </c>
      <c r="H88" s="99">
        <f>G88+'16'!H88</f>
        <v>59.330000000001746</v>
      </c>
      <c r="I88" s="118">
        <f>G86+G87+G88</f>
        <v>33.240000000005239</v>
      </c>
      <c r="J88" s="175">
        <f>H88/DAY(B2)</f>
        <v>3.4900000000001028</v>
      </c>
      <c r="O88" s="71"/>
    </row>
    <row r="89" spans="1:15" ht="27.75" customHeight="1">
      <c r="A89" s="365" t="s">
        <v>235</v>
      </c>
      <c r="B89" s="366"/>
      <c r="C89" s="366"/>
      <c r="D89" s="151" t="s">
        <v>228</v>
      </c>
      <c r="E89" s="95">
        <f>'16'!F89</f>
        <v>25353.81</v>
      </c>
      <c r="F89" s="164">
        <v>25353.81</v>
      </c>
      <c r="G89" s="112">
        <f t="shared" si="8"/>
        <v>0</v>
      </c>
      <c r="H89" s="99">
        <f>G89+'16'!H89</f>
        <v>108.43000000000029</v>
      </c>
      <c r="I89" s="118"/>
      <c r="J89" s="175">
        <f>H89/DAY(B2)</f>
        <v>6.3782352941176645</v>
      </c>
      <c r="O89" s="71"/>
    </row>
    <row r="90" spans="1:15" ht="27.75" customHeight="1">
      <c r="A90" s="365" t="s">
        <v>236</v>
      </c>
      <c r="B90" s="366"/>
      <c r="C90" s="366"/>
      <c r="D90" s="151" t="s">
        <v>228</v>
      </c>
      <c r="E90" s="95">
        <f>'16'!F90</f>
        <v>70732.990000000005</v>
      </c>
      <c r="F90" s="164">
        <v>70742.679999999993</v>
      </c>
      <c r="G90" s="112">
        <f t="shared" si="8"/>
        <v>9.6899999999877764</v>
      </c>
      <c r="H90" s="99">
        <f>G90+'16'!H90</f>
        <v>87.269999999989523</v>
      </c>
      <c r="I90" s="118">
        <f>G89+G90</f>
        <v>9.6899999999877764</v>
      </c>
      <c r="J90" s="175">
        <f>H90/DAY(B2)</f>
        <v>5.1335294117640897</v>
      </c>
      <c r="O90" s="71"/>
    </row>
    <row r="91" spans="1:15" ht="27.75" customHeight="1">
      <c r="A91" s="365" t="s">
        <v>237</v>
      </c>
      <c r="B91" s="366"/>
      <c r="C91" s="366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0</v>
      </c>
      <c r="I91" s="165"/>
      <c r="J91" s="175">
        <f>H91/DAY(B2)</f>
        <v>0</v>
      </c>
      <c r="O91" s="71"/>
    </row>
    <row r="92" spans="1:15" ht="27.75" customHeight="1">
      <c r="A92" s="365" t="s">
        <v>238</v>
      </c>
      <c r="B92" s="366"/>
      <c r="C92" s="366"/>
      <c r="D92" s="151" t="s">
        <v>228</v>
      </c>
      <c r="E92" s="95">
        <f>'16'!F92</f>
        <v>4952.82</v>
      </c>
      <c r="F92" s="122">
        <v>4963.62</v>
      </c>
      <c r="G92" s="112">
        <f t="shared" si="8"/>
        <v>10.800000000000182</v>
      </c>
      <c r="H92" s="99">
        <f>G92+'16'!H92</f>
        <v>171.80000000000018</v>
      </c>
      <c r="I92" s="165"/>
      <c r="J92" s="175">
        <f>H92/DAY(B2)</f>
        <v>10.105882352941187</v>
      </c>
      <c r="O92" s="71"/>
    </row>
    <row r="93" spans="1:15" ht="27.75" customHeight="1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6845.4800000000905</v>
      </c>
      <c r="H94" s="99">
        <f>G94+'16'!H94</f>
        <v>106304.98000000007</v>
      </c>
      <c r="I94" s="118"/>
      <c r="J94" s="175">
        <f>H94/DAY(B2)</f>
        <v>6253.2341176470627</v>
      </c>
      <c r="K94" s="69"/>
      <c r="L94" s="66"/>
      <c r="O94" s="71"/>
    </row>
    <row r="95" spans="1:15" ht="27.75" customHeight="1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0.25314345515663056</v>
      </c>
      <c r="H95" s="99">
        <f>G95+'16'!H95</f>
        <v>4.723534299938092</v>
      </c>
      <c r="I95" s="167"/>
      <c r="J95" s="175">
        <f>H95/DAY(B2)</f>
        <v>0.27785495881988775</v>
      </c>
      <c r="K95" s="69"/>
      <c r="L95" s="66"/>
      <c r="O95" s="71"/>
    </row>
    <row r="96" spans="1:15" ht="27.75" customHeight="1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8791.7599999999948</v>
      </c>
      <c r="H96" s="99">
        <f>G96+'16'!H96</f>
        <v>101769.48000000003</v>
      </c>
      <c r="I96" s="118"/>
      <c r="J96" s="175">
        <f>H96/DAY(B2)</f>
        <v>5986.4400000000014</v>
      </c>
      <c r="K96" s="69"/>
      <c r="L96" s="66"/>
      <c r="O96" s="71"/>
    </row>
    <row r="97" spans="1:15" ht="27.75" customHeight="1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0.32511620855043438</v>
      </c>
      <c r="H97" s="99">
        <f>G97+'16'!H97</f>
        <v>4.4800654881822961</v>
      </c>
      <c r="I97" s="167"/>
      <c r="J97" s="175">
        <f>H97/DAY(B2)</f>
        <v>0.2635332640107233</v>
      </c>
      <c r="K97" s="69"/>
      <c r="L97" s="66"/>
      <c r="O97" s="71"/>
    </row>
    <row r="98" spans="1:15" ht="27.75" customHeight="1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2980.359999999986</v>
      </c>
      <c r="H98" s="99">
        <f>G98+'16'!H98</f>
        <v>49379.799999999988</v>
      </c>
      <c r="I98" s="168"/>
      <c r="J98" s="175">
        <f>H98/DAY(B2)</f>
        <v>2904.6941176470582</v>
      </c>
      <c r="K98" s="69"/>
      <c r="L98" s="66"/>
      <c r="O98" s="71"/>
    </row>
    <row r="99" spans="1:15" ht="27.75" customHeight="1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0.11021266996771621</v>
      </c>
      <c r="H99" s="99">
        <f>G99+'16'!H99</f>
        <v>2.1977529546069015</v>
      </c>
      <c r="I99" s="168"/>
      <c r="J99" s="175">
        <f>H99/DAY(B2)</f>
        <v>0.12927958556511185</v>
      </c>
      <c r="O99" s="71"/>
    </row>
    <row r="100" spans="1:15" ht="27.75" customHeight="1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1917.6999999999825</v>
      </c>
      <c r="H100" s="99">
        <f>G100+'16'!H100</f>
        <v>30950.050000000003</v>
      </c>
      <c r="I100" s="118"/>
      <c r="J100" s="175">
        <f>H100/DAY(B2)</f>
        <v>1820.5911764705884</v>
      </c>
      <c r="K100" s="70"/>
      <c r="O100" s="71"/>
    </row>
    <row r="101" spans="1:15" ht="27.75" customHeight="1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7.0915874993990144E-2</v>
      </c>
      <c r="H101" s="99">
        <f>G101+'16'!H101</f>
        <v>1.3769094232255981</v>
      </c>
      <c r="I101" s="168"/>
      <c r="J101" s="175">
        <f>H101/DAY(B2)</f>
        <v>8.0994671954446942E-2</v>
      </c>
      <c r="O101" s="71"/>
    </row>
    <row r="102" spans="1:15" ht="27.75" customHeight="1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2761.6400000000285</v>
      </c>
      <c r="H102" s="99">
        <f>G102+'16'!H102</f>
        <v>34915.989999999991</v>
      </c>
      <c r="I102" s="168"/>
      <c r="J102" s="175">
        <f>H102/DAY(B2)</f>
        <v>2053.8817647058818</v>
      </c>
      <c r="O102" s="71"/>
    </row>
    <row r="103" spans="1:15" ht="27.75" customHeight="1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0.10212448089816277</v>
      </c>
      <c r="H103" s="99">
        <f>G103+'16'!H103</f>
        <v>1.541486824525848</v>
      </c>
      <c r="I103" s="118"/>
      <c r="J103" s="175">
        <f>H103/DAY(B2)</f>
        <v>9.0675695560343994E-2</v>
      </c>
      <c r="O103" s="71"/>
    </row>
    <row r="104" spans="1:15" ht="27.75" customHeight="1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1696.0799999999872</v>
      </c>
      <c r="H104" s="99">
        <f>G104+'16'!H104</f>
        <v>27007.569999999992</v>
      </c>
      <c r="I104" s="118"/>
      <c r="J104" s="175">
        <f>H104/DAY(B2)</f>
        <v>1588.6805882352937</v>
      </c>
      <c r="O104" s="71"/>
    </row>
    <row r="105" spans="1:15" ht="27.75" customHeight="1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6.2720444939149494E-2</v>
      </c>
      <c r="H105" s="99">
        <f>G105+'16'!H105</f>
        <v>1.2015883738074125</v>
      </c>
      <c r="I105" s="187"/>
      <c r="J105" s="188">
        <f>H105/DAY(B2)</f>
        <v>7.0681669047494844E-2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7.75" customHeight="1">
      <c r="A109" s="831"/>
      <c r="B109" s="831"/>
    </row>
    <row r="110" spans="1:15" ht="27.75" customHeight="1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 customHeight="1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 customHeight="1">
      <c r="A112" s="793" t="s">
        <v>252</v>
      </c>
      <c r="B112" s="794"/>
      <c r="C112" s="795"/>
      <c r="D112" s="146" t="s">
        <v>183</v>
      </c>
      <c r="E112" s="95">
        <f>'16'!F112</f>
        <v>52203</v>
      </c>
      <c r="F112" s="237">
        <v>52288.97</v>
      </c>
      <c r="G112" s="112">
        <f t="shared" ref="G112:G123" si="9">F112-E112</f>
        <v>85.970000000001164</v>
      </c>
      <c r="H112" s="99">
        <f>G112+'16'!H112</f>
        <v>1399.8899999999994</v>
      </c>
      <c r="I112" s="165"/>
      <c r="J112" s="348">
        <f>H112/DAY(B2)</f>
        <v>82.346470588235263</v>
      </c>
    </row>
    <row r="113" spans="1:18" ht="27.75" customHeight="1">
      <c r="A113" s="793" t="s">
        <v>253</v>
      </c>
      <c r="B113" s="794"/>
      <c r="C113" s="795"/>
      <c r="D113" s="146" t="s">
        <v>183</v>
      </c>
      <c r="E113" s="95">
        <f>'16'!F113</f>
        <v>11655.37</v>
      </c>
      <c r="F113" s="237">
        <v>12102.07</v>
      </c>
      <c r="G113" s="112">
        <f t="shared" si="9"/>
        <v>446.69999999999891</v>
      </c>
      <c r="H113" s="99">
        <f>G113+'16'!H113</f>
        <v>7596.42</v>
      </c>
      <c r="I113" s="165"/>
      <c r="J113" s="348">
        <f>H113/DAY(B2)</f>
        <v>446.84823529411767</v>
      </c>
    </row>
    <row r="114" spans="1:18" ht="27.75" customHeight="1">
      <c r="A114" s="793" t="s">
        <v>254</v>
      </c>
      <c r="B114" s="794"/>
      <c r="C114" s="795"/>
      <c r="D114" s="146" t="s">
        <v>183</v>
      </c>
      <c r="E114" s="95">
        <f>'16'!F114</f>
        <v>9346.6</v>
      </c>
      <c r="F114" s="563">
        <v>9624.9500000000007</v>
      </c>
      <c r="G114" s="112">
        <f t="shared" si="9"/>
        <v>278.35000000000036</v>
      </c>
      <c r="H114" s="99">
        <f>G114+'16'!H114</f>
        <v>5818.84</v>
      </c>
      <c r="I114" s="165"/>
      <c r="J114" s="348">
        <f>H114/DAY(B2)</f>
        <v>342.28470588235297</v>
      </c>
    </row>
    <row r="115" spans="1:18" ht="27.75" customHeight="1">
      <c r="A115" s="793" t="s">
        <v>255</v>
      </c>
      <c r="B115" s="794"/>
      <c r="C115" s="795"/>
      <c r="D115" s="146" t="s">
        <v>183</v>
      </c>
      <c r="E115" s="95">
        <f>'16'!F115</f>
        <v>8259.5</v>
      </c>
      <c r="F115" s="237">
        <v>8274.33</v>
      </c>
      <c r="G115" s="112">
        <f t="shared" si="9"/>
        <v>14.829999999999927</v>
      </c>
      <c r="H115" s="99">
        <f>G115+'16'!H115</f>
        <v>196.92000000000007</v>
      </c>
      <c r="I115" s="165"/>
      <c r="J115" s="348">
        <f>H115/DAY(B2)</f>
        <v>11.58352941176471</v>
      </c>
    </row>
    <row r="116" spans="1:18" ht="27.75" customHeight="1">
      <c r="A116" s="800" t="s">
        <v>96</v>
      </c>
      <c r="B116" s="801"/>
      <c r="C116" s="802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7.75" customHeight="1">
      <c r="A117" s="800" t="s">
        <v>184</v>
      </c>
      <c r="B117" s="801"/>
      <c r="C117" s="802"/>
      <c r="D117" s="146" t="s">
        <v>183</v>
      </c>
      <c r="E117" s="95">
        <f>'16'!F117</f>
        <v>1657.24</v>
      </c>
      <c r="F117" s="237">
        <v>1676</v>
      </c>
      <c r="G117" s="112">
        <f t="shared" si="9"/>
        <v>18.759999999999991</v>
      </c>
      <c r="H117" s="99">
        <f>G117+'16'!H117</f>
        <v>517.80999999999995</v>
      </c>
      <c r="I117" s="165"/>
      <c r="J117" s="348">
        <f>H117/DAY(B2)</f>
        <v>30.45941176470588</v>
      </c>
      <c r="Q117" s="793" t="s">
        <v>312</v>
      </c>
      <c r="R117" s="795"/>
    </row>
    <row r="118" spans="1:18" ht="27.75" customHeight="1">
      <c r="A118" s="792" t="s">
        <v>97</v>
      </c>
      <c r="B118" s="792"/>
      <c r="C118" s="792"/>
      <c r="D118" s="151" t="s">
        <v>183</v>
      </c>
      <c r="E118" s="95">
        <f>'16'!F118</f>
        <v>224315.49</v>
      </c>
      <c r="F118" s="237">
        <v>224736.31</v>
      </c>
      <c r="G118" s="112">
        <f t="shared" si="9"/>
        <v>420.82000000000698</v>
      </c>
      <c r="H118" s="99">
        <f>G118+'16'!H118</f>
        <v>5884.3800000000047</v>
      </c>
      <c r="I118" s="165"/>
      <c r="J118" s="348">
        <f>H118/DAY(B2)</f>
        <v>346.14000000000027</v>
      </c>
      <c r="Q118" s="793" t="s">
        <v>311</v>
      </c>
      <c r="R118" s="795"/>
    </row>
    <row r="119" spans="1:18" ht="27.75" customHeight="1">
      <c r="A119" s="792" t="s">
        <v>98</v>
      </c>
      <c r="B119" s="792"/>
      <c r="C119" s="792"/>
      <c r="D119" s="151" t="s">
        <v>183</v>
      </c>
      <c r="E119" s="95">
        <f>'16'!F119</f>
        <v>225632.01</v>
      </c>
      <c r="F119" s="237">
        <v>226092.83</v>
      </c>
      <c r="G119" s="112">
        <f t="shared" si="9"/>
        <v>460.81999999997788</v>
      </c>
      <c r="H119" s="99">
        <f>G119+'16'!H119</f>
        <v>7281.7200000000012</v>
      </c>
      <c r="I119" s="165"/>
      <c r="J119" s="348">
        <f>H119/DAY(B2)</f>
        <v>428.33647058823539</v>
      </c>
    </row>
    <row r="120" spans="1:18" ht="27.75" customHeight="1">
      <c r="A120" s="792" t="s">
        <v>99</v>
      </c>
      <c r="B120" s="792"/>
      <c r="C120" s="792"/>
      <c r="D120" s="151" t="s">
        <v>183</v>
      </c>
      <c r="E120" s="95">
        <f>'16'!F120</f>
        <v>11145.86</v>
      </c>
      <c r="F120" s="237">
        <v>11582.99</v>
      </c>
      <c r="G120" s="112">
        <f t="shared" si="9"/>
        <v>437.1299999999992</v>
      </c>
      <c r="H120" s="99">
        <f>G120+'16'!H120</f>
        <v>7275.3899999999994</v>
      </c>
      <c r="I120" s="165"/>
      <c r="J120" s="348">
        <f>H120/DAY(B2)</f>
        <v>427.9641176470588</v>
      </c>
    </row>
    <row r="121" spans="1:18" ht="27.75" customHeight="1">
      <c r="A121" s="792" t="s">
        <v>100</v>
      </c>
      <c r="B121" s="792"/>
      <c r="C121" s="792"/>
      <c r="D121" s="151" t="s">
        <v>183</v>
      </c>
      <c r="E121" s="95">
        <f>'16'!F121</f>
        <v>342716.7</v>
      </c>
      <c r="F121" s="237">
        <v>343380.11</v>
      </c>
      <c r="G121" s="112">
        <f t="shared" si="9"/>
        <v>663.40999999997439</v>
      </c>
      <c r="H121" s="99">
        <f>G121+'16'!H121</f>
        <v>12142.599999999977</v>
      </c>
      <c r="I121" s="165"/>
      <c r="J121" s="348">
        <f>H121/DAY(B2)</f>
        <v>714.27058823529273</v>
      </c>
    </row>
    <row r="122" spans="1:18" ht="27.75" customHeight="1">
      <c r="A122" s="792" t="s">
        <v>101</v>
      </c>
      <c r="B122" s="792"/>
      <c r="C122" s="792"/>
      <c r="D122" s="151" t="s">
        <v>183</v>
      </c>
      <c r="E122" s="95">
        <f>'16'!F122</f>
        <v>106456.8</v>
      </c>
      <c r="F122" s="237">
        <v>106763.83</v>
      </c>
      <c r="G122" s="112">
        <f t="shared" si="9"/>
        <v>307.02999999999884</v>
      </c>
      <c r="H122" s="99">
        <f>G122+'16'!H122</f>
        <v>5154.9499999999971</v>
      </c>
      <c r="I122" s="165"/>
      <c r="J122" s="348">
        <f>H122/DAY(B2)</f>
        <v>303.23235294117632</v>
      </c>
    </row>
    <row r="123" spans="1:18" ht="27.75" customHeight="1">
      <c r="A123" s="792" t="s">
        <v>102</v>
      </c>
      <c r="B123" s="792"/>
      <c r="C123" s="792"/>
      <c r="D123" s="151" t="s">
        <v>183</v>
      </c>
      <c r="E123" s="95">
        <f>'16'!F123</f>
        <v>130436</v>
      </c>
      <c r="F123" s="237">
        <v>130724.56</v>
      </c>
      <c r="G123" s="112">
        <f t="shared" si="9"/>
        <v>288.55999999999767</v>
      </c>
      <c r="H123" s="99">
        <f>G123+'16'!H123</f>
        <v>4976.8000000000029</v>
      </c>
      <c r="I123" s="165"/>
      <c r="J123" s="348">
        <f>H123/DAY(B2)</f>
        <v>292.75294117647076</v>
      </c>
    </row>
    <row r="124" spans="1:18" ht="27.75" customHeight="1">
      <c r="A124" s="797"/>
      <c r="B124" s="798"/>
      <c r="C124" s="799"/>
      <c r="D124" s="165"/>
      <c r="E124" s="95">
        <f>'16'!F124</f>
        <v>0</v>
      </c>
      <c r="F124" s="165"/>
      <c r="G124" s="347"/>
      <c r="H124" s="99">
        <f>G124+'16'!H124</f>
        <v>0</v>
      </c>
      <c r="I124" s="165"/>
      <c r="J124" s="347"/>
    </row>
    <row r="125" spans="1:18" ht="27.75" customHeight="1">
      <c r="A125" s="775" t="s">
        <v>196</v>
      </c>
      <c r="B125" s="776"/>
      <c r="C125" s="246"/>
      <c r="D125" s="317"/>
      <c r="E125" s="318"/>
      <c r="F125" s="318"/>
      <c r="G125" s="319">
        <f>SUM(G112:G124)</f>
        <v>3422.3799999999555</v>
      </c>
      <c r="H125" s="156"/>
      <c r="I125" s="347">
        <f>G125-(G39+G53)</f>
        <v>442.01999999996951</v>
      </c>
      <c r="J125" s="347"/>
    </row>
    <row r="126" spans="1:18" ht="27.75" customHeight="1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 customHeight="1">
      <c r="A127" s="780"/>
      <c r="B127" s="780"/>
      <c r="C127" s="246"/>
      <c r="D127" s="317"/>
      <c r="E127" s="318"/>
      <c r="F127" s="318"/>
      <c r="G127" s="319"/>
      <c r="H127" s="99">
        <f>G127+'16'!H127</f>
        <v>0</v>
      </c>
      <c r="I127" s="165"/>
      <c r="J127" s="348">
        <f>H127/DAY(B2)</f>
        <v>0</v>
      </c>
    </row>
    <row r="128" spans="1:18" ht="27.75" customHeight="1">
      <c r="A128" s="793" t="s">
        <v>318</v>
      </c>
      <c r="B128" s="794"/>
      <c r="C128" s="795"/>
      <c r="D128" s="151" t="s">
        <v>183</v>
      </c>
      <c r="E128" s="95">
        <f>'16'!F128</f>
        <v>23148.959999999999</v>
      </c>
      <c r="F128" s="165">
        <v>23451.154999999999</v>
      </c>
      <c r="G128" s="112">
        <f t="shared" ref="G128:G133" si="10">F128-E128</f>
        <v>302.19499999999971</v>
      </c>
      <c r="H128" s="99">
        <f>G128+'16'!H128</f>
        <v>5427.4349999999977</v>
      </c>
      <c r="I128" s="165"/>
      <c r="J128" s="348">
        <f>H128/DAY(B2)</f>
        <v>319.26088235294105</v>
      </c>
    </row>
    <row r="129" spans="1:15" ht="27.75" customHeight="1">
      <c r="A129" s="349" t="s">
        <v>319</v>
      </c>
      <c r="B129" s="350"/>
      <c r="C129" s="351"/>
      <c r="D129" s="151" t="s">
        <v>183</v>
      </c>
      <c r="E129" s="95">
        <f>'16'!F129</f>
        <v>9901.0499999999993</v>
      </c>
      <c r="F129" s="165">
        <v>10094.33</v>
      </c>
      <c r="G129" s="112">
        <f t="shared" si="10"/>
        <v>193.28000000000065</v>
      </c>
      <c r="H129" s="99">
        <f>G129+'16'!H129</f>
        <v>3498.62</v>
      </c>
      <c r="I129" s="165"/>
      <c r="J129" s="348">
        <f>H129/DAY(B2)</f>
        <v>205.80117647058822</v>
      </c>
      <c r="N129" s="240"/>
      <c r="O129" s="241"/>
    </row>
    <row r="130" spans="1:15" ht="27.75" customHeight="1">
      <c r="A130" s="349" t="s">
        <v>320</v>
      </c>
      <c r="B130" s="350"/>
      <c r="C130" s="351"/>
      <c r="D130" s="151" t="s">
        <v>183</v>
      </c>
      <c r="E130" s="95">
        <f>'16'!F130</f>
        <v>66579.11</v>
      </c>
      <c r="F130" s="165">
        <v>69293.41</v>
      </c>
      <c r="G130" s="112">
        <f t="shared" si="10"/>
        <v>2714.3000000000029</v>
      </c>
      <c r="H130" s="99">
        <f>G130+'16'!H130</f>
        <v>42825.380000000005</v>
      </c>
      <c r="I130" s="165"/>
      <c r="J130" s="348">
        <f>H130/DAY(B2)</f>
        <v>2519.1400000000003</v>
      </c>
      <c r="N130" s="240"/>
      <c r="O130" s="241"/>
    </row>
    <row r="131" spans="1:15" ht="27.75" customHeight="1">
      <c r="A131" s="793" t="s">
        <v>321</v>
      </c>
      <c r="B131" s="794"/>
      <c r="C131" s="795"/>
      <c r="D131" s="151" t="s">
        <v>183</v>
      </c>
      <c r="E131" s="95">
        <f>'16'!F131</f>
        <v>6561.71</v>
      </c>
      <c r="F131" s="165">
        <v>6775.23</v>
      </c>
      <c r="G131" s="112">
        <f t="shared" si="10"/>
        <v>213.51999999999953</v>
      </c>
      <c r="H131" s="99">
        <f>G131+'16'!H131</f>
        <v>2628.7599999999993</v>
      </c>
      <c r="I131" s="165"/>
      <c r="J131" s="348">
        <f>H131/DAY(B2)</f>
        <v>154.63294117647055</v>
      </c>
      <c r="N131" s="240"/>
      <c r="O131" s="241"/>
    </row>
    <row r="132" spans="1:15" ht="27.75" customHeight="1">
      <c r="A132" s="793" t="s">
        <v>322</v>
      </c>
      <c r="B132" s="794"/>
      <c r="C132" s="795"/>
      <c r="D132" s="151" t="s">
        <v>183</v>
      </c>
      <c r="E132" s="95">
        <f>'16'!F132</f>
        <v>19690.599999999999</v>
      </c>
      <c r="F132" s="165">
        <v>20224.48</v>
      </c>
      <c r="G132" s="112">
        <f t="shared" si="10"/>
        <v>533.88000000000102</v>
      </c>
      <c r="H132" s="99">
        <f>G132+'16'!H132</f>
        <v>8686.76</v>
      </c>
      <c r="I132" s="165"/>
      <c r="J132" s="348">
        <f>H132/DAY(B2)</f>
        <v>510.98588235294119</v>
      </c>
    </row>
    <row r="133" spans="1:15" ht="27.75" customHeight="1">
      <c r="A133" s="793" t="s">
        <v>323</v>
      </c>
      <c r="B133" s="794"/>
      <c r="C133" s="795"/>
      <c r="D133" s="151" t="s">
        <v>183</v>
      </c>
      <c r="E133" s="95">
        <f>'16'!F133</f>
        <v>51983.7</v>
      </c>
      <c r="F133" s="165">
        <v>52788.55</v>
      </c>
      <c r="G133" s="112">
        <f t="shared" si="10"/>
        <v>804.85000000000582</v>
      </c>
      <c r="H133" s="99">
        <f>G133+'16'!H133</f>
        <v>11939.260000000002</v>
      </c>
      <c r="I133" s="165"/>
      <c r="J133" s="348">
        <f>H133/DAY(B2)</f>
        <v>702.30941176470606</v>
      </c>
    </row>
    <row r="134" spans="1:15" ht="27.75" customHeight="1">
      <c r="A134" s="793" t="s">
        <v>340</v>
      </c>
      <c r="B134" s="794"/>
      <c r="C134" s="795"/>
      <c r="D134" s="151" t="s">
        <v>183</v>
      </c>
      <c r="E134" s="95">
        <f>'16'!F134</f>
        <v>642367</v>
      </c>
      <c r="F134" s="165">
        <v>642978</v>
      </c>
      <c r="G134" s="112">
        <f>F134-E134</f>
        <v>611</v>
      </c>
      <c r="H134" s="99">
        <f>G134+'16'!H134</f>
        <v>10714</v>
      </c>
      <c r="I134" s="165"/>
      <c r="J134" s="348">
        <f>H134/DAY(B2)</f>
        <v>630.23529411764707</v>
      </c>
    </row>
    <row r="135" spans="1:15" ht="27.75" customHeight="1">
      <c r="A135" s="775" t="s">
        <v>196</v>
      </c>
      <c r="B135" s="776"/>
      <c r="C135" s="351"/>
      <c r="D135" s="151"/>
      <c r="E135" s="95"/>
      <c r="F135" s="165"/>
      <c r="G135" s="112">
        <f>SUM(G128:G134)</f>
        <v>5373.0250000000096</v>
      </c>
      <c r="H135" s="99">
        <f>G135+'10'!H135</f>
        <v>55554.085000000006</v>
      </c>
      <c r="I135" s="347">
        <f>G135-(G35+G49)</f>
        <v>1543.1450000000123</v>
      </c>
      <c r="J135" s="348"/>
    </row>
    <row r="136" spans="1:15" ht="27.75" customHeight="1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7.75" customHeight="1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>
      <c r="A138" s="792" t="s">
        <v>185</v>
      </c>
      <c r="B138" s="792"/>
      <c r="C138" s="792"/>
      <c r="D138" s="151" t="s">
        <v>183</v>
      </c>
      <c r="E138" s="95">
        <f>'16'!F138</f>
        <v>860515</v>
      </c>
      <c r="F138" s="147">
        <v>860552</v>
      </c>
      <c r="G138" s="112">
        <f t="shared" ref="G138:G152" si="11">F138-E138</f>
        <v>37</v>
      </c>
      <c r="H138" s="99">
        <f>G138+'16'!H138</f>
        <v>905</v>
      </c>
      <c r="I138" s="118"/>
      <c r="J138" s="348">
        <f>H138/DAY(B2)</f>
        <v>53.235294117647058</v>
      </c>
    </row>
    <row r="139" spans="1:15" ht="27.75" customHeight="1">
      <c r="A139" s="792" t="s">
        <v>186</v>
      </c>
      <c r="B139" s="792"/>
      <c r="C139" s="792"/>
      <c r="D139" s="151" t="s">
        <v>183</v>
      </c>
      <c r="E139" s="95">
        <f>'16'!F139</f>
        <v>886136</v>
      </c>
      <c r="F139" s="148">
        <v>886137</v>
      </c>
      <c r="G139" s="112">
        <f t="shared" si="11"/>
        <v>1</v>
      </c>
      <c r="H139" s="99">
        <f>G139+'16'!H139</f>
        <v>35</v>
      </c>
      <c r="I139" s="118"/>
      <c r="J139" s="348">
        <f>H139/DAY(B2)</f>
        <v>2.0588235294117645</v>
      </c>
    </row>
    <row r="140" spans="1:15" ht="27.75" customHeight="1">
      <c r="A140" s="792" t="s">
        <v>187</v>
      </c>
      <c r="B140" s="792"/>
      <c r="C140" s="792"/>
      <c r="D140" s="151" t="s">
        <v>183</v>
      </c>
      <c r="E140" s="95">
        <f>'16'!F140</f>
        <v>88830</v>
      </c>
      <c r="F140" s="149">
        <v>88830</v>
      </c>
      <c r="G140" s="112">
        <f t="shared" si="11"/>
        <v>0</v>
      </c>
      <c r="H140" s="99">
        <f>G140+'16'!H140</f>
        <v>13</v>
      </c>
      <c r="I140" s="118"/>
      <c r="J140" s="348">
        <f>H140/DAY(B2)</f>
        <v>0.76470588235294112</v>
      </c>
    </row>
    <row r="141" spans="1:15" ht="27.75" customHeight="1">
      <c r="A141" s="771" t="s">
        <v>188</v>
      </c>
      <c r="B141" s="771"/>
      <c r="C141" s="771"/>
      <c r="D141" s="151" t="s">
        <v>183</v>
      </c>
      <c r="E141" s="95">
        <f>'16'!F141</f>
        <v>40310.699999999997</v>
      </c>
      <c r="F141" s="149">
        <v>40503.5</v>
      </c>
      <c r="G141" s="112">
        <f t="shared" si="11"/>
        <v>192.80000000000291</v>
      </c>
      <c r="H141" s="99">
        <f>G141+'16'!H141</f>
        <v>3215.5500000000029</v>
      </c>
      <c r="I141" s="118"/>
      <c r="J141" s="348">
        <f>H141/DAY(B2)</f>
        <v>189.15000000000018</v>
      </c>
    </row>
    <row r="142" spans="1:15" ht="27.75" customHeight="1">
      <c r="A142" s="771" t="s">
        <v>189</v>
      </c>
      <c r="B142" s="771"/>
      <c r="C142" s="771"/>
      <c r="D142" s="151" t="s">
        <v>183</v>
      </c>
      <c r="E142" s="95">
        <f>'16'!F142</f>
        <v>17226.29</v>
      </c>
      <c r="F142" s="148">
        <v>17242.72</v>
      </c>
      <c r="G142" s="112">
        <f t="shared" si="11"/>
        <v>16.430000000000291</v>
      </c>
      <c r="H142" s="99">
        <f>G142+'16'!H142</f>
        <v>280.85000000000218</v>
      </c>
      <c r="I142" s="140"/>
      <c r="J142" s="348">
        <f>H142/DAY(B2)</f>
        <v>16.520588235294245</v>
      </c>
    </row>
    <row r="143" spans="1:15" ht="27.75" customHeight="1">
      <c r="A143" s="792" t="s">
        <v>91</v>
      </c>
      <c r="B143" s="792"/>
      <c r="C143" s="792"/>
      <c r="D143" s="151" t="s">
        <v>183</v>
      </c>
      <c r="E143" s="95">
        <f>'16'!F143</f>
        <v>1795.77</v>
      </c>
      <c r="F143" s="149">
        <v>1825</v>
      </c>
      <c r="G143" s="112">
        <f t="shared" si="11"/>
        <v>29.230000000000018</v>
      </c>
      <c r="H143" s="99">
        <f>G143+'16'!H143</f>
        <v>441.81999999999994</v>
      </c>
      <c r="I143" s="140"/>
      <c r="J143" s="348">
        <f>H143/DAY(B2)</f>
        <v>25.989411764705878</v>
      </c>
    </row>
    <row r="144" spans="1:15" ht="27.75" customHeight="1">
      <c r="A144" s="771" t="s">
        <v>90</v>
      </c>
      <c r="B144" s="771"/>
      <c r="C144" s="771"/>
      <c r="D144" s="151" t="s">
        <v>183</v>
      </c>
      <c r="E144" s="95">
        <f>'16'!F144</f>
        <v>859080</v>
      </c>
      <c r="F144" s="149">
        <v>859315</v>
      </c>
      <c r="G144" s="112">
        <f t="shared" si="11"/>
        <v>235</v>
      </c>
      <c r="H144" s="99">
        <f>G144+'16'!H144</f>
        <v>3946</v>
      </c>
      <c r="I144" s="140"/>
      <c r="J144" s="348">
        <f>H144/DAY(B2)</f>
        <v>232.11764705882354</v>
      </c>
    </row>
    <row r="145" spans="1:10" ht="27.75" customHeight="1">
      <c r="A145" s="792" t="s">
        <v>190</v>
      </c>
      <c r="B145" s="792"/>
      <c r="C145" s="792"/>
      <c r="D145" s="152" t="s">
        <v>183</v>
      </c>
      <c r="E145" s="95">
        <f>'16'!F145</f>
        <v>2806.71</v>
      </c>
      <c r="F145" s="149">
        <v>2847.22</v>
      </c>
      <c r="G145" s="112">
        <f t="shared" si="11"/>
        <v>40.509999999999764</v>
      </c>
      <c r="H145" s="99">
        <f>G145+'16'!H145</f>
        <v>634.2199999999998</v>
      </c>
      <c r="I145" s="140"/>
      <c r="J145" s="348">
        <f>H145/DAY(B2)</f>
        <v>37.307058823529403</v>
      </c>
    </row>
    <row r="146" spans="1:10" ht="27.75" customHeight="1">
      <c r="A146" s="827" t="s">
        <v>191</v>
      </c>
      <c r="B146" s="812"/>
      <c r="C146" s="813"/>
      <c r="D146" s="152" t="s">
        <v>183</v>
      </c>
      <c r="E146" s="95">
        <f>'16'!F146</f>
        <v>704952</v>
      </c>
      <c r="F146" s="148">
        <v>705261</v>
      </c>
      <c r="G146" s="112">
        <f t="shared" si="11"/>
        <v>309</v>
      </c>
      <c r="H146" s="99">
        <f>G146+'16'!H146</f>
        <v>6742</v>
      </c>
      <c r="I146" s="140"/>
      <c r="J146" s="348">
        <f>H146/DAY(B2)</f>
        <v>396.58823529411762</v>
      </c>
    </row>
    <row r="147" spans="1:10" ht="27.75" customHeight="1">
      <c r="A147" s="771" t="s">
        <v>192</v>
      </c>
      <c r="B147" s="771"/>
      <c r="C147" s="771"/>
      <c r="D147" s="152" t="s">
        <v>183</v>
      </c>
      <c r="E147" s="95">
        <f>'16'!F147</f>
        <v>595511.80000000005</v>
      </c>
      <c r="F147" s="148">
        <v>595971.80000000005</v>
      </c>
      <c r="G147" s="112">
        <f t="shared" si="11"/>
        <v>460</v>
      </c>
      <c r="H147" s="99">
        <f>G147+'16'!H147</f>
        <v>7060.8800000000047</v>
      </c>
      <c r="I147" s="140"/>
      <c r="J147" s="348">
        <f>H147/DAY(B2)</f>
        <v>415.34588235294143</v>
      </c>
    </row>
    <row r="148" spans="1:10" ht="27.75" customHeight="1">
      <c r="A148" s="772" t="s">
        <v>193</v>
      </c>
      <c r="B148" s="773"/>
      <c r="C148" s="774"/>
      <c r="D148" s="123" t="s">
        <v>130</v>
      </c>
      <c r="E148" s="95">
        <f>'16'!F148</f>
        <v>669113.43999999994</v>
      </c>
      <c r="F148" s="150">
        <v>669397.64</v>
      </c>
      <c r="G148" s="112">
        <f t="shared" si="11"/>
        <v>284.20000000006985</v>
      </c>
      <c r="H148" s="99">
        <f>G148+'16'!H148</f>
        <v>4289.5200000000186</v>
      </c>
      <c r="I148" s="124"/>
      <c r="J148" s="348">
        <f>H148/DAY(B2)</f>
        <v>252.32470588235404</v>
      </c>
    </row>
    <row r="149" spans="1:10" ht="27.75" customHeight="1">
      <c r="A149" s="772" t="s">
        <v>336</v>
      </c>
      <c r="B149" s="773"/>
      <c r="C149" s="774"/>
      <c r="D149" s="227" t="s">
        <v>130</v>
      </c>
      <c r="E149" s="95">
        <f>'16'!F149</f>
        <v>90089</v>
      </c>
      <c r="F149" s="562">
        <v>90445.1</v>
      </c>
      <c r="G149" s="112">
        <f t="shared" si="11"/>
        <v>356.10000000000582</v>
      </c>
      <c r="H149" s="99">
        <f>G149+'16'!H149</f>
        <v>5698.1000000000058</v>
      </c>
      <c r="I149" s="119"/>
      <c r="J149" s="348">
        <f>H149/DAY(B2)</f>
        <v>335.18235294117682</v>
      </c>
    </row>
    <row r="150" spans="1:10" ht="27.75" customHeight="1">
      <c r="A150" s="772" t="s">
        <v>337</v>
      </c>
      <c r="B150" s="773"/>
      <c r="C150" s="774"/>
      <c r="D150" s="117" t="s">
        <v>130</v>
      </c>
      <c r="E150" s="95">
        <f>'16'!F150</f>
        <v>7167232</v>
      </c>
      <c r="F150" s="233">
        <v>7167232</v>
      </c>
      <c r="G150" s="112">
        <f t="shared" si="11"/>
        <v>0</v>
      </c>
      <c r="H150" s="99">
        <f>G150+'16'!H150</f>
        <v>0</v>
      </c>
      <c r="I150" s="119"/>
      <c r="J150" s="348">
        <f>H150/DAY(B2)</f>
        <v>0</v>
      </c>
    </row>
    <row r="151" spans="1:10" ht="27.75" customHeight="1">
      <c r="A151" s="772" t="s">
        <v>338</v>
      </c>
      <c r="B151" s="773"/>
      <c r="C151" s="774"/>
      <c r="D151" s="117" t="s">
        <v>130</v>
      </c>
      <c r="E151" s="95">
        <f>'16'!F151</f>
        <v>66894</v>
      </c>
      <c r="F151" s="233">
        <v>67174</v>
      </c>
      <c r="G151" s="112">
        <f t="shared" si="11"/>
        <v>280</v>
      </c>
      <c r="H151" s="99">
        <f>G151+'16'!H151</f>
        <v>4164</v>
      </c>
      <c r="I151" s="119"/>
      <c r="J151" s="348">
        <f>H151/DAY(B2)</f>
        <v>244.94117647058823</v>
      </c>
    </row>
    <row r="152" spans="1:10" ht="27.75" customHeight="1">
      <c r="A152" s="772" t="s">
        <v>339</v>
      </c>
      <c r="B152" s="773"/>
      <c r="C152" s="774"/>
      <c r="D152" s="117" t="s">
        <v>130</v>
      </c>
      <c r="E152" s="95">
        <f>'16'!F152</f>
        <v>0</v>
      </c>
      <c r="F152" s="233">
        <v>0</v>
      </c>
      <c r="G152" s="112">
        <f t="shared" si="11"/>
        <v>0</v>
      </c>
      <c r="H152" s="99">
        <f>G152+'16'!H152</f>
        <v>0</v>
      </c>
      <c r="I152" s="119"/>
      <c r="J152" s="348">
        <f>H152/DAY(B2)</f>
        <v>0</v>
      </c>
    </row>
    <row r="153" spans="1:10" ht="27.75" customHeight="1">
      <c r="A153" s="775" t="s">
        <v>196</v>
      </c>
      <c r="B153" s="776"/>
      <c r="C153" s="385"/>
      <c r="D153" s="378"/>
      <c r="E153" s="380"/>
      <c r="F153" s="381"/>
      <c r="G153" s="382">
        <f>SUM(G138:G152)</f>
        <v>2241.2700000000787</v>
      </c>
      <c r="H153" s="383"/>
      <c r="I153" s="119">
        <f>G153-(G38+G52)</f>
        <v>323.57000000009612</v>
      </c>
      <c r="J153" s="386"/>
    </row>
    <row r="154" spans="1:10" ht="27.75" customHeight="1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27.75" customHeight="1">
      <c r="A155" s="771" t="s">
        <v>345</v>
      </c>
      <c r="B155" s="771"/>
      <c r="C155" s="771"/>
      <c r="D155" s="117" t="s">
        <v>130</v>
      </c>
      <c r="E155" s="95">
        <f>'16'!F155</f>
        <v>77392</v>
      </c>
      <c r="F155" s="535">
        <v>77400</v>
      </c>
      <c r="G155" s="112">
        <f t="shared" ref="G155:G156" si="12">F155-E155</f>
        <v>8</v>
      </c>
      <c r="H155" s="99">
        <f>G155+'16'!H155</f>
        <v>125.39999999999418</v>
      </c>
      <c r="I155" s="384"/>
      <c r="J155" s="348">
        <f>H155/DAY(B2)</f>
        <v>7.3764705882349517</v>
      </c>
    </row>
    <row r="156" spans="1:10" ht="27.75" customHeight="1">
      <c r="A156" s="771" t="s">
        <v>347</v>
      </c>
      <c r="B156" s="771"/>
      <c r="C156" s="771"/>
      <c r="D156" s="117" t="s">
        <v>130</v>
      </c>
      <c r="E156" s="95">
        <f>'16'!F156</f>
        <v>0</v>
      </c>
      <c r="F156" s="165">
        <v>0</v>
      </c>
      <c r="G156" s="112">
        <f t="shared" si="12"/>
        <v>0</v>
      </c>
      <c r="H156" s="99">
        <f>G156+'16'!H156</f>
        <v>0</v>
      </c>
      <c r="I156" s="165"/>
      <c r="J156" s="348">
        <f>H156/DAY(B2)</f>
        <v>0</v>
      </c>
    </row>
    <row r="157" spans="1:10" ht="27.75" customHeight="1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7.75" customHeight="1">
      <c r="A158" s="242" t="s">
        <v>92</v>
      </c>
      <c r="B158" s="243"/>
      <c r="C158" s="243"/>
      <c r="D158" s="244" t="s">
        <v>180</v>
      </c>
      <c r="E158" s="95">
        <f>'16'!F158</f>
        <v>469885.72</v>
      </c>
      <c r="F158" s="235">
        <v>469916.64</v>
      </c>
      <c r="G158" s="238">
        <f t="shared" ref="G158:G162" si="13">F158-E158</f>
        <v>30.92000000004191</v>
      </c>
      <c r="H158" s="99">
        <f>G158+'16'!H158</f>
        <v>387.60000000003492</v>
      </c>
      <c r="I158" s="236"/>
      <c r="J158" s="239">
        <f>H158/DAY(B2)</f>
        <v>22.800000000002054</v>
      </c>
    </row>
    <row r="159" spans="1:10" ht="27.75" customHeight="1">
      <c r="A159" s="242" t="s">
        <v>93</v>
      </c>
      <c r="B159" s="243"/>
      <c r="C159" s="243"/>
      <c r="D159" s="244" t="s">
        <v>180</v>
      </c>
      <c r="E159" s="95">
        <f>'16'!F159</f>
        <v>86178.1</v>
      </c>
      <c r="F159" s="235">
        <v>86215.9</v>
      </c>
      <c r="G159" s="238">
        <f t="shared" si="13"/>
        <v>37.799999999988358</v>
      </c>
      <c r="H159" s="99">
        <f>G159+'16'!H159</f>
        <v>510.29999999998836</v>
      </c>
      <c r="I159" s="236"/>
      <c r="J159" s="239">
        <f>H159/DAY(B2)</f>
        <v>30.017647058822845</v>
      </c>
    </row>
    <row r="160" spans="1:10" ht="27.75" customHeight="1">
      <c r="A160" s="242" t="s">
        <v>197</v>
      </c>
      <c r="B160" s="243"/>
      <c r="C160" s="243"/>
      <c r="D160" s="244" t="s">
        <v>180</v>
      </c>
      <c r="E160" s="95">
        <f>'16'!F160</f>
        <v>74316.2</v>
      </c>
      <c r="F160" s="235">
        <v>74431.899999999994</v>
      </c>
      <c r="G160" s="238">
        <f t="shared" si="13"/>
        <v>115.69999999999709</v>
      </c>
      <c r="H160" s="99">
        <f>G160+'16'!H160</f>
        <v>1095</v>
      </c>
      <c r="I160" s="236"/>
      <c r="J160" s="239">
        <f>H160/DAY(B2)</f>
        <v>64.411764705882348</v>
      </c>
    </row>
    <row r="161" spans="1:10" ht="27.75" customHeight="1">
      <c r="A161" s="242" t="s">
        <v>197</v>
      </c>
      <c r="B161" s="243"/>
      <c r="C161" s="243"/>
      <c r="D161" s="244" t="s">
        <v>180</v>
      </c>
      <c r="E161" s="95">
        <f>'16'!F161</f>
        <v>4020</v>
      </c>
      <c r="F161" s="235">
        <v>4029</v>
      </c>
      <c r="G161" s="238">
        <f t="shared" si="13"/>
        <v>9</v>
      </c>
      <c r="H161" s="99">
        <f>G161+'16'!H161</f>
        <v>55.5</v>
      </c>
      <c r="I161" s="236"/>
      <c r="J161" s="239">
        <f>H161/DAY(B2)</f>
        <v>3.2647058823529411</v>
      </c>
    </row>
    <row r="162" spans="1:10" ht="27.75" customHeight="1">
      <c r="A162" s="242" t="s">
        <v>309</v>
      </c>
      <c r="B162" s="243"/>
      <c r="C162" s="243"/>
      <c r="D162" s="244" t="s">
        <v>180</v>
      </c>
      <c r="E162" s="95">
        <f>'16'!F162</f>
        <v>29322.51</v>
      </c>
      <c r="F162" s="235">
        <v>29331.99</v>
      </c>
      <c r="G162" s="238">
        <f t="shared" si="13"/>
        <v>9.4800000000032014</v>
      </c>
      <c r="H162" s="99">
        <f>G162+'16'!H162</f>
        <v>133.85000000000218</v>
      </c>
      <c r="I162" s="236"/>
      <c r="J162" s="239">
        <f>H162/DAY(B2)</f>
        <v>7.8735294117648342</v>
      </c>
    </row>
    <row r="163" spans="1:10" ht="27.75" customHeight="1">
      <c r="A163" s="780"/>
      <c r="B163" s="780"/>
      <c r="C163" s="247"/>
      <c r="D163" s="244" t="s">
        <v>180</v>
      </c>
      <c r="E163" s="95">
        <f>'16'!F163</f>
        <v>0</v>
      </c>
      <c r="F163" s="165"/>
      <c r="G163" s="165"/>
      <c r="H163" s="99">
        <f>G163+'16'!H163</f>
        <v>0</v>
      </c>
      <c r="I163" s="165"/>
      <c r="J163" s="239">
        <f>H163/DAY(B2)</f>
        <v>0</v>
      </c>
    </row>
    <row r="164" spans="1:10" ht="27.75" customHeight="1">
      <c r="A164" s="780"/>
      <c r="B164" s="780"/>
      <c r="C164" s="247"/>
      <c r="D164" s="244" t="s">
        <v>180</v>
      </c>
      <c r="E164" s="95">
        <f>'16'!F164</f>
        <v>0</v>
      </c>
      <c r="F164" s="165"/>
      <c r="G164" s="165"/>
      <c r="H164" s="99">
        <f>G164+'16'!H164</f>
        <v>0</v>
      </c>
      <c r="I164" s="165"/>
      <c r="J164" s="239">
        <f>H164/DAY(B2)</f>
        <v>0</v>
      </c>
    </row>
    <row r="165" spans="1:10" ht="27.75" customHeight="1">
      <c r="A165" s="780"/>
      <c r="B165" s="780"/>
      <c r="C165" s="247"/>
      <c r="D165" s="244" t="s">
        <v>180</v>
      </c>
      <c r="E165" s="95">
        <f>'16'!F165</f>
        <v>0</v>
      </c>
      <c r="F165" s="165"/>
      <c r="G165" s="165"/>
      <c r="H165" s="99">
        <f>G165+'16'!H165</f>
        <v>0</v>
      </c>
      <c r="I165" s="165"/>
      <c r="J165" s="239">
        <f>H165/DAY(B2)</f>
        <v>0</v>
      </c>
    </row>
    <row r="168" spans="1:10" ht="27.75" customHeight="1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 customHeight="1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>
      <c r="A170" s="786" t="s">
        <v>209</v>
      </c>
      <c r="B170" s="787"/>
      <c r="C170" s="353"/>
      <c r="D170" s="228" t="s">
        <v>142</v>
      </c>
      <c r="E170" s="95">
        <f>'16'!F170</f>
        <v>8050</v>
      </c>
      <c r="F170" s="157">
        <v>8050</v>
      </c>
      <c r="G170" s="155">
        <f>F170-E170</f>
        <v>0</v>
      </c>
      <c r="H170" s="99">
        <f>G170+'16'!H170</f>
        <v>52</v>
      </c>
      <c r="I170" s="155"/>
      <c r="J170" s="178">
        <f>H170/DAY(B2)</f>
        <v>3.0588235294117645</v>
      </c>
    </row>
    <row r="171" spans="1:10" ht="27.75" customHeight="1">
      <c r="A171" s="786" t="s">
        <v>75</v>
      </c>
      <c r="B171" s="787"/>
      <c r="C171" s="353"/>
      <c r="D171" s="228" t="s">
        <v>142</v>
      </c>
      <c r="E171" s="95">
        <f>'16'!F171</f>
        <v>37592</v>
      </c>
      <c r="F171" s="157">
        <v>37622</v>
      </c>
      <c r="G171" s="155">
        <f t="shared" ref="G171:G172" si="14">F171-E171</f>
        <v>30</v>
      </c>
      <c r="H171" s="99">
        <f>G171+'16'!H171</f>
        <v>239</v>
      </c>
      <c r="I171" s="155"/>
      <c r="J171" s="178">
        <f>H171/DAY(B2)</f>
        <v>14.058823529411764</v>
      </c>
    </row>
    <row r="172" spans="1:10" ht="27.75" customHeight="1">
      <c r="A172" s="786" t="s">
        <v>76</v>
      </c>
      <c r="B172" s="826"/>
      <c r="C172" s="787"/>
      <c r="D172" s="228" t="s">
        <v>142</v>
      </c>
      <c r="E172" s="95">
        <f>'16'!F172</f>
        <v>20977</v>
      </c>
      <c r="F172" s="155">
        <v>20988</v>
      </c>
      <c r="G172" s="155">
        <f t="shared" si="14"/>
        <v>11</v>
      </c>
      <c r="H172" s="99">
        <f>G172+'16'!H172</f>
        <v>200</v>
      </c>
      <c r="I172" s="155"/>
      <c r="J172" s="178">
        <f>H172/DAY(B2)</f>
        <v>11.764705882352942</v>
      </c>
    </row>
    <row r="173" spans="1:10" ht="27.75" customHeight="1">
      <c r="A173" s="775" t="s">
        <v>196</v>
      </c>
      <c r="B173" s="776"/>
      <c r="C173" s="353"/>
      <c r="D173" s="228" t="s">
        <v>142</v>
      </c>
      <c r="E173" s="95"/>
      <c r="F173" s="155"/>
      <c r="G173" s="155">
        <f>SUM(G170:G172)</f>
        <v>41</v>
      </c>
      <c r="H173" s="99">
        <f>G173+'16'!H173</f>
        <v>491</v>
      </c>
      <c r="I173" s="155"/>
      <c r="J173" s="178">
        <f>H173/DAY(B2)</f>
        <v>28.882352941176471</v>
      </c>
    </row>
    <row r="174" spans="1:10" ht="27.75" customHeight="1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G174+'16'!H174</f>
        <v>0</v>
      </c>
      <c r="I174" s="155"/>
      <c r="J174" s="178">
        <f>H174/DAY(B2)</f>
        <v>0</v>
      </c>
    </row>
    <row r="175" spans="1:10" ht="27.75" customHeight="1">
      <c r="A175" s="786" t="s">
        <v>210</v>
      </c>
      <c r="B175" s="787"/>
      <c r="C175" s="353"/>
      <c r="D175" s="228" t="s">
        <v>142</v>
      </c>
      <c r="E175" s="95">
        <f>'16'!F175</f>
        <v>75913</v>
      </c>
      <c r="F175" s="155">
        <v>76049</v>
      </c>
      <c r="G175" s="155">
        <f>F175-E175</f>
        <v>136</v>
      </c>
      <c r="H175" s="99">
        <f>G175+'16'!H175</f>
        <v>1430</v>
      </c>
      <c r="I175" s="155"/>
      <c r="J175" s="178">
        <f>H175/DAY(B2)</f>
        <v>84.117647058823536</v>
      </c>
    </row>
    <row r="176" spans="1:10" ht="27.75" customHeight="1">
      <c r="A176" s="786" t="s">
        <v>211</v>
      </c>
      <c r="B176" s="787"/>
      <c r="C176" s="353"/>
      <c r="D176" s="228" t="s">
        <v>142</v>
      </c>
      <c r="E176" s="95">
        <f>'16'!F176</f>
        <v>33886</v>
      </c>
      <c r="F176" s="155">
        <v>33886</v>
      </c>
      <c r="G176" s="155">
        <f t="shared" ref="G176:G177" si="15">F176-E176</f>
        <v>0</v>
      </c>
      <c r="H176" s="99">
        <f>G176+'16'!H176</f>
        <v>0</v>
      </c>
      <c r="I176" s="155"/>
      <c r="J176" s="178">
        <f>H176/DAY(B2)</f>
        <v>0</v>
      </c>
    </row>
    <row r="177" spans="1:11" ht="27.75" customHeight="1">
      <c r="A177" s="786" t="s">
        <v>212</v>
      </c>
      <c r="B177" s="787"/>
      <c r="C177" s="353"/>
      <c r="D177" s="228" t="s">
        <v>142</v>
      </c>
      <c r="E177" s="95">
        <f>'16'!F177</f>
        <v>7935</v>
      </c>
      <c r="F177" s="155">
        <v>7935</v>
      </c>
      <c r="G177" s="155">
        <f t="shared" si="15"/>
        <v>0</v>
      </c>
      <c r="H177" s="99">
        <f>G177+'16'!H177</f>
        <v>2894</v>
      </c>
      <c r="I177" s="155"/>
      <c r="J177" s="178">
        <f>H177/DAY(B2)</f>
        <v>170.23529411764707</v>
      </c>
    </row>
    <row r="178" spans="1:11" ht="27.75" customHeight="1">
      <c r="A178" s="788" t="s">
        <v>108</v>
      </c>
      <c r="B178" s="789"/>
      <c r="C178" s="353"/>
      <c r="D178" s="228" t="s">
        <v>142</v>
      </c>
      <c r="E178" s="95"/>
      <c r="F178" s="155"/>
      <c r="G178" s="155">
        <f>SUM(G175:G177)</f>
        <v>136</v>
      </c>
      <c r="H178" s="99">
        <f>G178+'16'!H178</f>
        <v>4324</v>
      </c>
      <c r="I178" s="155"/>
      <c r="J178" s="178">
        <f>H178/DAY(B2)</f>
        <v>254.35294117647058</v>
      </c>
    </row>
    <row r="179" spans="1:11" ht="27.75" customHeight="1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G179+'16'!H179</f>
        <v>0</v>
      </c>
      <c r="I179" s="155"/>
      <c r="J179" s="178">
        <f>H179/DAY(B2)</f>
        <v>0</v>
      </c>
    </row>
    <row r="180" spans="1:11" ht="27.75" customHeight="1">
      <c r="A180" s="786" t="s">
        <v>214</v>
      </c>
      <c r="B180" s="787"/>
      <c r="C180" s="354"/>
      <c r="D180" s="228" t="s">
        <v>142</v>
      </c>
      <c r="E180" s="95">
        <f>'16'!F180</f>
        <v>14282</v>
      </c>
      <c r="F180" s="157">
        <v>14291</v>
      </c>
      <c r="G180" s="157">
        <f>F180-E180</f>
        <v>9</v>
      </c>
      <c r="H180" s="99">
        <f>G180+'16'!H180</f>
        <v>260</v>
      </c>
      <c r="I180" s="155"/>
      <c r="J180" s="178">
        <f>H180/DAY(B2)</f>
        <v>15.294117647058824</v>
      </c>
    </row>
    <row r="181" spans="1:11" ht="27.75" customHeight="1">
      <c r="A181" s="786" t="s">
        <v>215</v>
      </c>
      <c r="B181" s="787"/>
      <c r="C181" s="354"/>
      <c r="D181" s="228" t="s">
        <v>142</v>
      </c>
      <c r="E181" s="95">
        <f>'16'!F181</f>
        <v>9895</v>
      </c>
      <c r="F181" s="157">
        <v>9901</v>
      </c>
      <c r="G181" s="157">
        <f t="shared" ref="G181:G182" si="16">F181-E181</f>
        <v>6</v>
      </c>
      <c r="H181" s="99">
        <f>G181+'16'!H181</f>
        <v>147</v>
      </c>
      <c r="I181" s="155"/>
      <c r="J181" s="178">
        <f>H181/DAY(B2)</f>
        <v>8.6470588235294112</v>
      </c>
    </row>
    <row r="182" spans="1:11" ht="27.75" customHeight="1">
      <c r="A182" s="786" t="s">
        <v>216</v>
      </c>
      <c r="B182" s="787"/>
      <c r="C182" s="354"/>
      <c r="D182" s="228" t="s">
        <v>142</v>
      </c>
      <c r="E182" s="95">
        <f>'16'!F182</f>
        <v>0</v>
      </c>
      <c r="F182" s="157"/>
      <c r="G182" s="157">
        <f t="shared" si="16"/>
        <v>0</v>
      </c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775" t="s">
        <v>196</v>
      </c>
      <c r="B183" s="776"/>
      <c r="C183" s="354"/>
      <c r="D183" s="228" t="s">
        <v>142</v>
      </c>
      <c r="E183" s="95"/>
      <c r="F183" s="157"/>
      <c r="G183" s="157">
        <f>SUM(G180:G182)</f>
        <v>15</v>
      </c>
      <c r="H183" s="99">
        <f>G183+'16'!H183</f>
        <v>407</v>
      </c>
      <c r="I183" s="157"/>
      <c r="J183" s="178">
        <f>H183/DAY(B2)</f>
        <v>23.941176470588236</v>
      </c>
    </row>
    <row r="184" spans="1:11" ht="27.75" customHeight="1">
      <c r="A184" s="777" t="s">
        <v>217</v>
      </c>
      <c r="B184" s="778"/>
      <c r="C184" s="353"/>
      <c r="D184" s="228" t="s">
        <v>142</v>
      </c>
      <c r="E184" s="95"/>
      <c r="F184" s="159"/>
      <c r="G184" s="524">
        <f>G62+G19</f>
        <v>175</v>
      </c>
      <c r="H184" s="99">
        <f>G184+'16'!H184</f>
        <v>2925</v>
      </c>
      <c r="I184" s="158"/>
      <c r="J184" s="179">
        <f>H184/DAY(B2)</f>
        <v>172.05882352941177</v>
      </c>
    </row>
    <row r="185" spans="1:11" ht="27.75" customHeight="1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178</v>
      </c>
      <c r="H185" s="99">
        <f>G185+'16'!H185</f>
        <v>523</v>
      </c>
      <c r="I185" s="158"/>
      <c r="J185" s="179">
        <f>H185/DAY(B2)</f>
        <v>30.764705882352942</v>
      </c>
    </row>
    <row r="186" spans="1:11" ht="27.75" customHeight="1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136</v>
      </c>
      <c r="H186" s="99">
        <f>G186+'16'!H186</f>
        <v>4324</v>
      </c>
      <c r="I186" s="158"/>
      <c r="J186" s="179">
        <f>H186/DAY(B2)</f>
        <v>254.35294117647058</v>
      </c>
    </row>
    <row r="187" spans="1:11" ht="27.75" customHeight="1">
      <c r="A187" s="784"/>
      <c r="B187" s="785"/>
      <c r="C187" s="545"/>
      <c r="D187" s="542"/>
      <c r="E187" s="542"/>
      <c r="F187" s="542"/>
      <c r="G187" s="542"/>
      <c r="H187" s="543"/>
      <c r="I187" s="542"/>
      <c r="J187" s="544"/>
    </row>
    <row r="188" spans="1:11" ht="23.25" customHeight="1">
      <c r="A188" s="246" t="s">
        <v>361</v>
      </c>
      <c r="B188" s="247"/>
      <c r="C188" s="247"/>
      <c r="D188" s="165"/>
      <c r="E188" s="165"/>
      <c r="F188" s="155">
        <f>'16'!G188</f>
        <v>52856.531000000003</v>
      </c>
      <c r="G188" s="165">
        <v>52864</v>
      </c>
      <c r="H188" s="238">
        <f>G188-F188</f>
        <v>7.4689999999973224</v>
      </c>
      <c r="I188" s="99">
        <f>H188+'15'!I188</f>
        <v>7.4689999999973224</v>
      </c>
      <c r="J188" s="236"/>
      <c r="K188" s="239" t="e">
        <f>I188/DAY(C28)</f>
        <v>#DIV/0!</v>
      </c>
    </row>
  </sheetData>
  <mergeCells count="112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7:J157"/>
    <mergeCell ref="A163:B163"/>
    <mergeCell ref="A164:B164"/>
    <mergeCell ref="A165:B165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79:B179"/>
    <mergeCell ref="A180:B180"/>
    <mergeCell ref="A181:B181"/>
    <mergeCell ref="A177:B177"/>
    <mergeCell ref="A178:B178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theme="3" tint="0.79998168889431442"/>
    <pageSetUpPr fitToPage="1"/>
  </sheetPr>
  <dimension ref="A1:R187"/>
  <sheetViews>
    <sheetView view="pageBreakPreview" topLeftCell="A121" zoomScale="55" zoomScaleNormal="68" zoomScaleSheetLayoutView="55" workbookViewId="0">
      <selection activeCell="I153" sqref="I153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57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.75" customHeight="1">
      <c r="A2" s="191" t="s">
        <v>350</v>
      </c>
      <c r="B2" s="266">
        <v>44518</v>
      </c>
      <c r="C2" s="368" t="s">
        <v>67</v>
      </c>
      <c r="D2" s="218">
        <v>0.51</v>
      </c>
      <c r="E2" s="100"/>
      <c r="F2" s="100"/>
      <c r="G2" s="634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68" t="s">
        <v>118</v>
      </c>
      <c r="D3" s="219">
        <v>28</v>
      </c>
      <c r="E3" s="841" t="s">
        <v>119</v>
      </c>
      <c r="F3" s="842"/>
      <c r="G3" s="635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68" t="s">
        <v>120</v>
      </c>
      <c r="D4" s="218">
        <v>0.9</v>
      </c>
      <c r="E4" s="103"/>
      <c r="F4" s="103"/>
      <c r="G4" s="635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36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35" t="s">
        <v>128</v>
      </c>
      <c r="B6" s="836"/>
      <c r="C6" s="837"/>
      <c r="D6" s="110"/>
      <c r="E6" s="110"/>
      <c r="F6" s="110"/>
      <c r="G6" s="637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69885.600000000006</v>
      </c>
      <c r="F7" s="95">
        <v>96305.81</v>
      </c>
      <c r="G7" s="638">
        <f>F7-E7</f>
        <v>26420.209999999992</v>
      </c>
      <c r="H7" s="99">
        <f>G7+'17'!H7</f>
        <v>410042.50999999989</v>
      </c>
      <c r="I7" s="113">
        <f>'1'!I7</f>
        <v>12000</v>
      </c>
      <c r="J7" s="175">
        <f>H7/DAY(B2)</f>
        <v>22780.139444444438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102524.9</v>
      </c>
      <c r="F8" s="95">
        <v>129422.53</v>
      </c>
      <c r="G8" s="639">
        <f>F8-E8</f>
        <v>26897.630000000005</v>
      </c>
      <c r="H8" s="99">
        <f>G8+'17'!H8</f>
        <v>416258.63000000006</v>
      </c>
      <c r="I8" s="116"/>
      <c r="J8" s="175">
        <f>H8/DAY(B2)</f>
        <v>23125.479444444449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1504852.8</v>
      </c>
      <c r="F9" s="373">
        <v>1521272.3</v>
      </c>
      <c r="G9" s="638">
        <f>F9-E9</f>
        <v>16419.5</v>
      </c>
      <c r="H9" s="99">
        <f>G9+'17'!H9</f>
        <v>259993.80000000005</v>
      </c>
      <c r="I9" s="124">
        <f>I7-J7</f>
        <v>-10780.139444444438</v>
      </c>
      <c r="J9" s="175">
        <f>H9/DAY(B2)</f>
        <v>14444.100000000002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298196</v>
      </c>
      <c r="F10" s="373">
        <v>307502.34999999998</v>
      </c>
      <c r="G10" s="638">
        <f>F10-E10</f>
        <v>9306.3499999999767</v>
      </c>
      <c r="H10" s="99">
        <f>G10+'17'!H10</f>
        <v>139118.41999999998</v>
      </c>
      <c r="I10" s="286"/>
      <c r="J10" s="175">
        <f>H10/DAY(B2)</f>
        <v>7728.80111111111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37000</v>
      </c>
      <c r="G11" s="638">
        <f t="shared" ref="G11:G12" si="0">F11-E11</f>
        <v>0</v>
      </c>
      <c r="H11" s="99">
        <f>G11+'17'!H11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638">
        <f t="shared" si="0"/>
        <v>0</v>
      </c>
      <c r="H12" s="99">
        <f>G12+'17'!H12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640">
        <f>G9+G10+G11+G12</f>
        <v>25725.849999999977</v>
      </c>
      <c r="H13" s="99">
        <f>G13+'17'!H13</f>
        <v>378305.76</v>
      </c>
      <c r="I13" s="120">
        <f>G7-G13</f>
        <v>694.36000000001513</v>
      </c>
      <c r="J13" s="175">
        <f>H13/DAY(B2)</f>
        <v>21016.986666666668</v>
      </c>
      <c r="K13" s="79"/>
      <c r="L13" s="66"/>
      <c r="N13" s="87"/>
      <c r="O13" s="71"/>
    </row>
    <row r="14" spans="1:15" ht="27.75" customHeight="1">
      <c r="A14" s="838" t="s">
        <v>137</v>
      </c>
      <c r="B14" s="839"/>
      <c r="C14" s="840"/>
      <c r="D14" s="111"/>
      <c r="E14" s="111"/>
      <c r="F14" s="111"/>
      <c r="G14" s="64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65" t="s">
        <v>138</v>
      </c>
      <c r="B15" s="205"/>
      <c r="C15" s="205"/>
      <c r="D15" s="151" t="s">
        <v>139</v>
      </c>
      <c r="E15" s="95">
        <f>'17'!F15</f>
        <v>1343165</v>
      </c>
      <c r="F15" s="123">
        <v>1343948.8</v>
      </c>
      <c r="G15" s="638">
        <f>(F15-E15)</f>
        <v>783.80000000004657</v>
      </c>
      <c r="H15" s="99">
        <f>G15+'17'!H15</f>
        <v>17339.310000000085</v>
      </c>
      <c r="I15" s="113">
        <f>'1'!I15</f>
        <v>800</v>
      </c>
      <c r="J15" s="175">
        <f>H15/DAY(B2)</f>
        <v>963.29500000000473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638"/>
      <c r="H16" s="124"/>
      <c r="I16" s="120">
        <f>I15-J15</f>
        <v>-163.29500000000473</v>
      </c>
      <c r="J16" s="176"/>
      <c r="K16" s="79"/>
      <c r="L16" s="66"/>
      <c r="N16" s="87"/>
      <c r="O16" s="71"/>
    </row>
    <row r="17" spans="1:15" ht="27.75" customHeight="1">
      <c r="A17" s="838" t="s">
        <v>140</v>
      </c>
      <c r="B17" s="839"/>
      <c r="C17" s="840"/>
      <c r="D17" s="111"/>
      <c r="E17" s="111"/>
      <c r="F17" s="111"/>
      <c r="G17" s="641"/>
      <c r="H17" s="111"/>
      <c r="I17" s="111"/>
      <c r="J17" s="174"/>
      <c r="K17" s="79"/>
      <c r="L17" s="66"/>
      <c r="N17" s="87"/>
      <c r="O17" s="71"/>
    </row>
    <row r="18" spans="1:15" ht="27.75" customHeight="1">
      <c r="A18" s="814" t="s">
        <v>141</v>
      </c>
      <c r="B18" s="815"/>
      <c r="C18" s="816"/>
      <c r="D18" s="151" t="s">
        <v>142</v>
      </c>
      <c r="E18" s="95">
        <f>'17'!F18</f>
        <v>20</v>
      </c>
      <c r="F18" s="122">
        <v>28</v>
      </c>
      <c r="G18" s="640">
        <f>F18*10</f>
        <v>280</v>
      </c>
      <c r="H18" s="99">
        <f>G18+'17'!H18</f>
        <v>3590</v>
      </c>
      <c r="I18" s="113">
        <f>'1'!I18</f>
        <v>65</v>
      </c>
      <c r="J18" s="175">
        <f>H18/DAY(B2)</f>
        <v>199.44444444444446</v>
      </c>
      <c r="K18" s="79"/>
      <c r="L18" s="66"/>
      <c r="N18" s="87"/>
      <c r="O18" s="71"/>
    </row>
    <row r="19" spans="1:15" ht="27.75" customHeight="1">
      <c r="A19" s="814" t="s">
        <v>69</v>
      </c>
      <c r="B19" s="815"/>
      <c r="C19" s="816"/>
      <c r="D19" s="151" t="s">
        <v>142</v>
      </c>
      <c r="E19" s="95">
        <f>'17'!F19</f>
        <v>149879</v>
      </c>
      <c r="F19" s="122">
        <v>149936</v>
      </c>
      <c r="G19" s="638">
        <f t="shared" ref="G19" si="1">F19-E19</f>
        <v>57</v>
      </c>
      <c r="H19" s="99">
        <f>G19+'17'!H19</f>
        <v>1019</v>
      </c>
      <c r="I19" s="355"/>
      <c r="J19" s="175">
        <f>H19/DAY(B2)</f>
        <v>56.611111111111114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642">
        <f>G18+G19</f>
        <v>337</v>
      </c>
      <c r="H20" s="99">
        <f>G20+'17'!H20</f>
        <v>4609</v>
      </c>
      <c r="I20" s="356">
        <f>I18-J20</f>
        <v>-191.05555555555554</v>
      </c>
      <c r="J20" s="175">
        <f>H20/DAY(B2)</f>
        <v>256.05555555555554</v>
      </c>
      <c r="K20" s="79"/>
      <c r="L20" s="66"/>
      <c r="N20" s="87"/>
      <c r="O20" s="71"/>
    </row>
    <row r="21" spans="1:15" ht="27.75" customHeight="1">
      <c r="A21" s="838" t="s">
        <v>144</v>
      </c>
      <c r="B21" s="839"/>
      <c r="C21" s="840"/>
      <c r="D21" s="111"/>
      <c r="E21" s="111"/>
      <c r="F21" s="111"/>
      <c r="G21" s="64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6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640">
        <f t="shared" ref="G22" si="2"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65" t="s">
        <v>147</v>
      </c>
      <c r="B23" s="205"/>
      <c r="C23" s="205"/>
      <c r="D23" s="151" t="s">
        <v>146</v>
      </c>
      <c r="E23" s="95">
        <f>'17'!F23</f>
        <v>2000</v>
      </c>
      <c r="F23" s="122">
        <v>2000</v>
      </c>
      <c r="G23" s="640"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'17'!F24</f>
        <v>4970</v>
      </c>
      <c r="F24" s="128">
        <v>4970</v>
      </c>
      <c r="G24" s="640"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43" t="s">
        <v>149</v>
      </c>
      <c r="B25" s="844"/>
      <c r="C25" s="845"/>
      <c r="D25" s="110"/>
      <c r="E25" s="110"/>
      <c r="F25" s="110"/>
      <c r="G25" s="643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644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26897.630000000005</v>
      </c>
      <c r="F27" s="136">
        <v>9</v>
      </c>
      <c r="G27" s="645">
        <f>E27*F27</f>
        <v>242078.67000000004</v>
      </c>
      <c r="H27" s="99">
        <f>G27+'17'!H27</f>
        <v>3746327.67</v>
      </c>
      <c r="I27" s="138"/>
      <c r="J27" s="175">
        <f>H27/DAY(B2)</f>
        <v>208129.315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783.80000000004657</v>
      </c>
      <c r="F28" s="136">
        <v>52</v>
      </c>
      <c r="G28" s="645">
        <f>E28*F28</f>
        <v>40757.600000002421</v>
      </c>
      <c r="H28" s="99">
        <f>G28+'17'!H28</f>
        <v>901644.1200000043</v>
      </c>
      <c r="I28" s="140"/>
      <c r="J28" s="175">
        <f>H28/DAY(B2)</f>
        <v>50091.340000000237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45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645">
        <f>E30*F30</f>
        <v>8322</v>
      </c>
      <c r="H30" s="99">
        <f>G30+'17'!H30</f>
        <v>148774</v>
      </c>
      <c r="I30" s="140"/>
      <c r="J30" s="175">
        <f>H30/DAY(B2)</f>
        <v>8265.2222222222226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645">
        <f>E31*F31</f>
        <v>22400</v>
      </c>
      <c r="H31" s="99">
        <f>G31+'17'!H31</f>
        <v>287200</v>
      </c>
      <c r="I31" s="140"/>
      <c r="J31" s="175">
        <f>H31/DAY(B2)</f>
        <v>15955.555555555555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646">
        <f>G27+G28+G29+G30+G31</f>
        <v>313558.27000000246</v>
      </c>
      <c r="H32" s="99">
        <f>G32+'17'!H32</f>
        <v>5083945.7900000038</v>
      </c>
      <c r="I32" s="144"/>
      <c r="J32" s="175">
        <f>H32/DAY(B2)</f>
        <v>282441.43277777801</v>
      </c>
      <c r="K32" s="63"/>
      <c r="L32" s="89"/>
      <c r="N32" s="87"/>
      <c r="O32" s="71"/>
    </row>
    <row r="33" spans="1:15" ht="27.75" customHeight="1">
      <c r="A33" s="846" t="s">
        <v>331</v>
      </c>
      <c r="B33" s="847"/>
      <c r="C33" s="847"/>
      <c r="D33" s="357"/>
      <c r="E33" s="357"/>
      <c r="F33" s="357"/>
      <c r="G33" s="647"/>
      <c r="H33" s="357"/>
      <c r="I33" s="357"/>
      <c r="J33" s="358"/>
      <c r="K33" s="79"/>
      <c r="L33" s="66"/>
      <c r="N33" s="87"/>
      <c r="O33" s="71"/>
    </row>
    <row r="34" spans="1:15" ht="27.75" customHeight="1">
      <c r="A34" s="214" t="s">
        <v>160</v>
      </c>
      <c r="B34" s="369"/>
      <c r="C34" s="369"/>
      <c r="D34" s="111"/>
      <c r="E34" s="110"/>
      <c r="F34" s="110"/>
      <c r="G34" s="648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66580.95</v>
      </c>
      <c r="F35" s="145">
        <v>66594.17</v>
      </c>
      <c r="G35" s="638">
        <f t="shared" ref="G35:G46" si="3">F35-E35</f>
        <v>13.220000000001164</v>
      </c>
      <c r="H35" s="99">
        <f>G35+'17'!H35</f>
        <v>34119.5</v>
      </c>
      <c r="I35" s="95"/>
      <c r="J35" s="175">
        <f>H35/DAY(B2)</f>
        <v>1895.5277777777778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64918.3</v>
      </c>
      <c r="F36" s="145">
        <v>66030.740000000005</v>
      </c>
      <c r="G36" s="638">
        <f t="shared" si="3"/>
        <v>1112.4400000000023</v>
      </c>
      <c r="H36" s="99">
        <f>G36+'17'!H36</f>
        <v>16091.070000000007</v>
      </c>
      <c r="I36" s="95"/>
      <c r="J36" s="175">
        <f>H36/DAY(B2)</f>
        <v>893.94833333333372</v>
      </c>
      <c r="K36" s="79"/>
      <c r="L36" s="66"/>
      <c r="N36" s="87"/>
      <c r="O36" s="36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124061.4</v>
      </c>
      <c r="F37" s="145">
        <v>125866.08</v>
      </c>
      <c r="G37" s="638">
        <f t="shared" si="3"/>
        <v>1804.6800000000076</v>
      </c>
      <c r="H37" s="99">
        <f>G37+'17'!H37</f>
        <v>28812.25</v>
      </c>
      <c r="I37" s="95"/>
      <c r="J37" s="175">
        <f>H37/DAY(B2)</f>
        <v>1600.6805555555557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146173.09</v>
      </c>
      <c r="F38" s="108">
        <v>148039.06</v>
      </c>
      <c r="G38" s="638">
        <f t="shared" si="3"/>
        <v>1865.9700000000012</v>
      </c>
      <c r="H38" s="99">
        <f>G38+'17'!H38</f>
        <v>32816.020000000004</v>
      </c>
      <c r="I38" s="95"/>
      <c r="J38" s="175">
        <f>H38/DAY(B2)</f>
        <v>1823.1122222222225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282760.84999999998</v>
      </c>
      <c r="F39" s="145">
        <v>285652.01</v>
      </c>
      <c r="G39" s="638">
        <f t="shared" si="3"/>
        <v>2891.1600000000326</v>
      </c>
      <c r="H39" s="99">
        <f>G39+'17'!H39</f>
        <v>52270.960000000021</v>
      </c>
      <c r="I39" s="95"/>
      <c r="J39" s="175">
        <f>H39/DAY(B2)</f>
        <v>2903.9422222222233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71.2</v>
      </c>
      <c r="F40" s="145">
        <v>72.27</v>
      </c>
      <c r="G40" s="638">
        <f t="shared" si="3"/>
        <v>1.0699999999999932</v>
      </c>
      <c r="H40" s="99">
        <f>G40+'17'!H40</f>
        <v>115.9</v>
      </c>
      <c r="I40" s="95"/>
      <c r="J40" s="175">
        <f>H40/DAY(B2)</f>
        <v>6.4388888888888891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589883.11</v>
      </c>
      <c r="F41" s="145">
        <v>589883.11</v>
      </c>
      <c r="G41" s="638">
        <f t="shared" si="3"/>
        <v>0</v>
      </c>
      <c r="H41" s="99">
        <f>G41+'17'!H41</f>
        <v>8024.2800000000279</v>
      </c>
      <c r="I41" s="95"/>
      <c r="J41" s="175">
        <f>H41/DAY(B2)</f>
        <v>445.79333333333489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283228.99</v>
      </c>
      <c r="F42" s="145">
        <v>285961.96999999997</v>
      </c>
      <c r="G42" s="638">
        <f t="shared" si="3"/>
        <v>2732.9799999999814</v>
      </c>
      <c r="H42" s="99">
        <f>G42+'17'!H42</f>
        <v>14992.299999999988</v>
      </c>
      <c r="I42" s="95"/>
      <c r="J42" s="175">
        <f>H42/DAY(B2)</f>
        <v>832.90555555555488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1491791</v>
      </c>
      <c r="F43" s="145">
        <v>1494661.4</v>
      </c>
      <c r="G43" s="638">
        <f t="shared" si="3"/>
        <v>2870.3999999999069</v>
      </c>
      <c r="H43" s="99">
        <f>G43+'17'!H43</f>
        <v>48574</v>
      </c>
      <c r="I43" s="95"/>
      <c r="J43" s="175">
        <f>H43/DAY(B2)</f>
        <v>2698.5555555555557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638">
        <f t="shared" si="3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638">
        <f t="shared" si="3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638">
        <f t="shared" si="3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640">
        <f>G35+G36+G37+G38+G39+G40+G41+G42+G43+G44+G45+G46</f>
        <v>13291.919999999933</v>
      </c>
      <c r="H47" s="99">
        <f>G47+'17'!H47</f>
        <v>235816.28000000003</v>
      </c>
      <c r="I47" s="95"/>
      <c r="J47" s="175">
        <f>H47/DAY(B2)</f>
        <v>13100.904444444446</v>
      </c>
      <c r="K47" s="79"/>
      <c r="L47" s="66"/>
      <c r="N47" s="87"/>
      <c r="O47" s="71"/>
    </row>
    <row r="48" spans="1:15" ht="27.75" customHeight="1">
      <c r="A48" s="214" t="s">
        <v>174</v>
      </c>
      <c r="B48" s="369"/>
      <c r="C48" s="369"/>
      <c r="D48" s="111"/>
      <c r="E48" s="110"/>
      <c r="F48" s="110"/>
      <c r="G48" s="648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199225.49</v>
      </c>
      <c r="F49" s="145">
        <v>200909.55</v>
      </c>
      <c r="G49" s="638">
        <f t="shared" ref="G49:G58" si="4">F49-E49</f>
        <v>1684.0599999999977</v>
      </c>
      <c r="H49" s="99">
        <f>G49+'17'!H49</f>
        <v>28179.159999999974</v>
      </c>
      <c r="I49" s="95"/>
      <c r="J49" s="175">
        <f>H49/DAY(B2)</f>
        <v>1565.5088888888874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704299.67</v>
      </c>
      <c r="F50" s="145">
        <v>705912.95</v>
      </c>
      <c r="G50" s="638">
        <f t="shared" si="4"/>
        <v>1613.2799999999115</v>
      </c>
      <c r="H50" s="99">
        <f>G50+'17'!H50</f>
        <v>21550.639999999898</v>
      </c>
      <c r="I50" s="95"/>
      <c r="J50" s="175">
        <f>H50/DAY(B2)</f>
        <v>1197.2577777777722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638">
        <f t="shared" si="4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638">
        <f t="shared" si="4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638">
        <f t="shared" si="4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2957.5</v>
      </c>
      <c r="F54" s="145">
        <v>2962.97</v>
      </c>
      <c r="G54" s="638">
        <f t="shared" si="4"/>
        <v>5.4699999999997999</v>
      </c>
      <c r="H54" s="99">
        <f>G54+'17'!H54</f>
        <v>95.480000000000018</v>
      </c>
      <c r="I54" s="95"/>
      <c r="J54" s="175">
        <f>H54/DAY(B2)</f>
        <v>5.3044444444444458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0</v>
      </c>
      <c r="F55" s="145">
        <v>0</v>
      </c>
      <c r="G55" s="638">
        <f t="shared" si="4"/>
        <v>0</v>
      </c>
      <c r="H55" s="99">
        <f>G55+'17'!H55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124326.17</v>
      </c>
      <c r="F56" s="145">
        <v>130238.5</v>
      </c>
      <c r="G56" s="638">
        <f t="shared" si="4"/>
        <v>5912.3300000000017</v>
      </c>
      <c r="H56" s="99">
        <f>G56+'17'!H56</f>
        <v>87398.209999999992</v>
      </c>
      <c r="I56" s="95"/>
      <c r="J56" s="175">
        <f>H56/DAY(B2)</f>
        <v>4855.4561111111107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638">
        <f t="shared" si="4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82529.440000000002</v>
      </c>
      <c r="F58" s="145">
        <v>82734.350000000006</v>
      </c>
      <c r="G58" s="638">
        <f t="shared" si="4"/>
        <v>204.91000000000349</v>
      </c>
      <c r="H58" s="99">
        <f>G58+'17'!H58</f>
        <v>3714.4500000000116</v>
      </c>
      <c r="I58" s="95"/>
      <c r="J58" s="175">
        <f>H58/DAY(B2)</f>
        <v>206.35833333333397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640">
        <f>G49+G50+G51+G52+G53+G54+G55+G56+G57+G58</f>
        <v>9420.0499999999138</v>
      </c>
      <c r="H59" s="99">
        <f>G59+'17'!H59</f>
        <v>140937.93999999986</v>
      </c>
      <c r="I59" s="95">
        <f>G7-G60</f>
        <v>3708.2400000001435</v>
      </c>
      <c r="J59" s="175">
        <f>H59/DAY(B2)</f>
        <v>7829.8855555555474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640">
        <f>G47+G59</f>
        <v>22711.969999999848</v>
      </c>
      <c r="H60" s="99">
        <f>G60+'17'!H60</f>
        <v>376754.21999999986</v>
      </c>
      <c r="I60" s="95">
        <f>G13-G60</f>
        <v>3013.8800000001283</v>
      </c>
      <c r="J60" s="175">
        <f>H60/DAY(B2)</f>
        <v>20930.789999999994</v>
      </c>
      <c r="K60" s="79"/>
      <c r="L60" s="66"/>
      <c r="N60" s="87"/>
      <c r="O60" s="71"/>
    </row>
    <row r="61" spans="1:15" s="68" customFormat="1" ht="27.75" customHeight="1">
      <c r="A61" s="848" t="s">
        <v>332</v>
      </c>
      <c r="B61" s="849"/>
      <c r="C61" s="850"/>
      <c r="D61" s="359"/>
      <c r="E61" s="359"/>
      <c r="F61" s="359"/>
      <c r="G61" s="649"/>
      <c r="H61" s="359"/>
      <c r="I61" s="359"/>
      <c r="J61" s="361"/>
      <c r="K61" s="69"/>
      <c r="L61" s="67"/>
      <c r="N61" s="87"/>
      <c r="O61" s="71"/>
    </row>
    <row r="62" spans="1:15" ht="27.75" customHeight="1">
      <c r="A62" s="814" t="s">
        <v>198</v>
      </c>
      <c r="B62" s="815"/>
      <c r="C62" s="816"/>
      <c r="D62" s="151" t="s">
        <v>142</v>
      </c>
      <c r="E62" s="95">
        <f>'17'!F62</f>
        <v>261781</v>
      </c>
      <c r="F62" s="122">
        <v>261927</v>
      </c>
      <c r="G62" s="638">
        <f t="shared" ref="G62:G63" si="5">F62-E62</f>
        <v>146</v>
      </c>
      <c r="H62" s="99">
        <f>G62+'17'!H62</f>
        <v>2109</v>
      </c>
      <c r="I62" s="118"/>
      <c r="J62" s="175">
        <f>H62/DAY(B2)</f>
        <v>117.16666666666667</v>
      </c>
      <c r="K62" s="80"/>
      <c r="L62" s="66"/>
      <c r="N62" s="87"/>
      <c r="O62" s="71"/>
    </row>
    <row r="63" spans="1:15" ht="27.75" customHeight="1">
      <c r="A63" s="814" t="s">
        <v>199</v>
      </c>
      <c r="B63" s="815"/>
      <c r="C63" s="816"/>
      <c r="D63" s="151" t="s">
        <v>142</v>
      </c>
      <c r="E63" s="95">
        <f>'17'!F63</f>
        <v>207963</v>
      </c>
      <c r="F63" s="122">
        <v>207963</v>
      </c>
      <c r="G63" s="638">
        <f t="shared" si="5"/>
        <v>0</v>
      </c>
      <c r="H63" s="99">
        <f>G63+'17'!H63</f>
        <v>1693</v>
      </c>
      <c r="I63" s="118"/>
      <c r="J63" s="175">
        <f>H63/DAY(B2)</f>
        <v>94.055555555555557</v>
      </c>
      <c r="K63" s="69"/>
      <c r="L63" s="66"/>
      <c r="N63" s="87"/>
      <c r="O63" s="71"/>
    </row>
    <row r="64" spans="1:15" ht="27.75" customHeight="1">
      <c r="A64" s="823" t="s">
        <v>200</v>
      </c>
      <c r="B64" s="824"/>
      <c r="C64" s="825"/>
      <c r="D64" s="151"/>
      <c r="E64" s="95">
        <f>'17'!F64</f>
        <v>0</v>
      </c>
      <c r="F64" s="122"/>
      <c r="G64" s="638">
        <f>G62+G63</f>
        <v>146</v>
      </c>
      <c r="H64" s="99">
        <f>G64+'17'!H64</f>
        <v>3802</v>
      </c>
      <c r="I64" s="118"/>
      <c r="J64" s="175">
        <f>H64/DAY(B2)</f>
        <v>211.22222222222223</v>
      </c>
      <c r="K64" s="69"/>
      <c r="L64" s="66"/>
      <c r="N64" s="87"/>
      <c r="O64" s="71"/>
    </row>
    <row r="65" spans="1:15" ht="27.75" customHeight="1">
      <c r="A65" s="814" t="s">
        <v>201</v>
      </c>
      <c r="B65" s="815"/>
      <c r="C65" s="816"/>
      <c r="D65" s="151" t="s">
        <v>142</v>
      </c>
      <c r="E65" s="95">
        <f>'17'!F65</f>
        <v>427931</v>
      </c>
      <c r="F65" s="122">
        <v>428037</v>
      </c>
      <c r="G65" s="638">
        <f t="shared" ref="G65:G70" si="6">F65-E65</f>
        <v>106</v>
      </c>
      <c r="H65" s="99">
        <f>G65+'17'!H65</f>
        <v>1832</v>
      </c>
      <c r="I65" s="118"/>
      <c r="J65" s="175">
        <f>H65/DAY(B2)</f>
        <v>101.77777777777777</v>
      </c>
      <c r="K65" s="69"/>
      <c r="L65" s="66"/>
      <c r="N65" s="87"/>
      <c r="O65" s="71"/>
    </row>
    <row r="66" spans="1:15" ht="27.75" customHeight="1">
      <c r="A66" s="365" t="s">
        <v>202</v>
      </c>
      <c r="B66" s="366"/>
      <c r="C66" s="366"/>
      <c r="D66" s="151" t="s">
        <v>142</v>
      </c>
      <c r="E66" s="95">
        <f>'17'!F66</f>
        <v>106341</v>
      </c>
      <c r="F66" s="122">
        <v>106384</v>
      </c>
      <c r="G66" s="638">
        <f t="shared" si="6"/>
        <v>43</v>
      </c>
      <c r="H66" s="99">
        <f>G66+'17'!H66</f>
        <v>414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customHeight="1">
      <c r="A67" s="365" t="s">
        <v>203</v>
      </c>
      <c r="B67" s="366"/>
      <c r="C67" s="366"/>
      <c r="D67" s="151" t="s">
        <v>142</v>
      </c>
      <c r="E67" s="95">
        <f>'17'!F67</f>
        <v>102627</v>
      </c>
      <c r="F67" s="122">
        <v>102652</v>
      </c>
      <c r="G67" s="638">
        <f t="shared" si="6"/>
        <v>25</v>
      </c>
      <c r="H67" s="99">
        <f>G67+'17'!H67</f>
        <v>481</v>
      </c>
      <c r="I67" s="118"/>
      <c r="J67" s="175">
        <f>H67/DAY(B2)</f>
        <v>26.722222222222221</v>
      </c>
      <c r="K67" s="81"/>
      <c r="L67" s="66"/>
      <c r="N67" s="87"/>
      <c r="O67" s="71"/>
    </row>
    <row r="68" spans="1:15" ht="27.75" customHeight="1">
      <c r="A68" s="365" t="s">
        <v>204</v>
      </c>
      <c r="B68" s="366"/>
      <c r="C68" s="366"/>
      <c r="D68" s="151" t="s">
        <v>142</v>
      </c>
      <c r="E68" s="95">
        <f>'17'!F68</f>
        <v>155037</v>
      </c>
      <c r="F68" s="122">
        <v>155074</v>
      </c>
      <c r="G68" s="638">
        <f t="shared" si="6"/>
        <v>37</v>
      </c>
      <c r="H68" s="99">
        <f>G68+'17'!H68</f>
        <v>578</v>
      </c>
      <c r="I68" s="118"/>
      <c r="J68" s="175">
        <f>H68/DAY(B2)</f>
        <v>32.111111111111114</v>
      </c>
      <c r="K68" s="69"/>
      <c r="L68" s="66"/>
      <c r="N68" s="87"/>
      <c r="O68" s="71"/>
    </row>
    <row r="69" spans="1:15" ht="27.75" customHeight="1">
      <c r="A69" s="365" t="s">
        <v>205</v>
      </c>
      <c r="B69" s="366"/>
      <c r="C69" s="366"/>
      <c r="D69" s="151" t="s">
        <v>142</v>
      </c>
      <c r="E69" s="95">
        <f>'17'!F69</f>
        <v>9678</v>
      </c>
      <c r="F69" s="122">
        <v>9687</v>
      </c>
      <c r="G69" s="638">
        <f t="shared" si="6"/>
        <v>9</v>
      </c>
      <c r="H69" s="99">
        <f>G69+'17'!H69</f>
        <v>222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7.75" customHeight="1">
      <c r="A70" s="365" t="s">
        <v>206</v>
      </c>
      <c r="B70" s="366"/>
      <c r="C70" s="366"/>
      <c r="D70" s="151" t="s">
        <v>142</v>
      </c>
      <c r="E70" s="95">
        <f>'17'!F70</f>
        <v>7386</v>
      </c>
      <c r="F70" s="122">
        <v>7397</v>
      </c>
      <c r="G70" s="638">
        <f t="shared" si="6"/>
        <v>11</v>
      </c>
      <c r="H70" s="99">
        <f>G70+'17'!H70</f>
        <v>194</v>
      </c>
      <c r="I70" s="118"/>
      <c r="J70" s="175">
        <f>H70/DAY(B2)</f>
        <v>10.777777777777779</v>
      </c>
      <c r="K70" s="69"/>
      <c r="L70" s="66"/>
      <c r="N70" s="87"/>
      <c r="O70" s="71"/>
    </row>
    <row r="71" spans="1:15" ht="27.75" customHeight="1">
      <c r="A71" s="823" t="s">
        <v>208</v>
      </c>
      <c r="B71" s="824"/>
      <c r="C71" s="825"/>
      <c r="D71" s="152"/>
      <c r="E71" s="152"/>
      <c r="F71" s="152"/>
      <c r="G71" s="650">
        <f>SUM(G65:G70)</f>
        <v>231</v>
      </c>
      <c r="H71" s="99">
        <f>G71+'17'!H71</f>
        <v>3721</v>
      </c>
      <c r="I71" s="154"/>
      <c r="J71" s="175">
        <f>H71/DAY(B2)</f>
        <v>206.72222222222223</v>
      </c>
      <c r="K71" s="69"/>
      <c r="L71" s="66"/>
      <c r="N71" s="87"/>
      <c r="O71" s="71"/>
    </row>
    <row r="72" spans="1:15" s="88" customFormat="1" ht="27.75" customHeight="1">
      <c r="A72" s="810"/>
      <c r="B72" s="795"/>
      <c r="C72" s="367"/>
      <c r="D72" s="180"/>
      <c r="E72" s="180" t="s">
        <v>207</v>
      </c>
      <c r="F72" s="180"/>
      <c r="G72" s="651"/>
      <c r="H72" s="181"/>
      <c r="I72" s="180"/>
      <c r="J72" s="182"/>
      <c r="N72" s="87"/>
      <c r="O72" s="71"/>
    </row>
    <row r="73" spans="1:15" ht="27.75" customHeight="1">
      <c r="A73" s="820" t="s">
        <v>333</v>
      </c>
      <c r="B73" s="821"/>
      <c r="C73" s="822"/>
      <c r="D73" s="359"/>
      <c r="E73" s="359"/>
      <c r="F73" s="359"/>
      <c r="G73" s="649"/>
      <c r="H73" s="362"/>
      <c r="I73" s="362"/>
      <c r="J73" s="363"/>
      <c r="K73" s="69"/>
      <c r="L73" s="66"/>
      <c r="N73" s="87"/>
      <c r="O73" s="71"/>
    </row>
    <row r="74" spans="1:15" ht="27.75" customHeight="1">
      <c r="A74" s="814" t="s">
        <v>220</v>
      </c>
      <c r="B74" s="815"/>
      <c r="C74" s="816"/>
      <c r="D74" s="151" t="s">
        <v>139</v>
      </c>
      <c r="E74" s="95">
        <f>'17'!F74</f>
        <v>878475.24</v>
      </c>
      <c r="F74" s="123">
        <v>878771.75</v>
      </c>
      <c r="G74" s="638">
        <f t="shared" ref="G74:G78" si="7">F74-E74</f>
        <v>296.51000000000931</v>
      </c>
      <c r="H74" s="99">
        <f>G74+'17'!H74</f>
        <v>5186.5189999999711</v>
      </c>
      <c r="I74" s="154"/>
      <c r="J74" s="175">
        <f>H74/DAY(B2)</f>
        <v>288.13994444444285</v>
      </c>
      <c r="K74" s="69"/>
      <c r="L74" s="66"/>
      <c r="N74" s="87"/>
      <c r="O74" s="71"/>
    </row>
    <row r="75" spans="1:15" ht="27.75" customHeight="1">
      <c r="A75" s="814" t="s">
        <v>221</v>
      </c>
      <c r="B75" s="815"/>
      <c r="C75" s="816"/>
      <c r="D75" s="151" t="s">
        <v>139</v>
      </c>
      <c r="E75" s="95">
        <f>'17'!F75</f>
        <v>73586.8</v>
      </c>
      <c r="F75" s="123">
        <v>73586.399999999994</v>
      </c>
      <c r="G75" s="638">
        <f t="shared" si="7"/>
        <v>-0.40000000000873115</v>
      </c>
      <c r="H75" s="99">
        <f>G75+'17'!H75</f>
        <v>3</v>
      </c>
      <c r="I75" s="154"/>
      <c r="J75" s="175">
        <f>H75/DAY(B2)</f>
        <v>0.16666666666666666</v>
      </c>
      <c r="K75" s="69"/>
      <c r="L75" s="66"/>
      <c r="N75" s="87"/>
      <c r="O75" s="71"/>
    </row>
    <row r="76" spans="1:15" ht="27.75" customHeight="1">
      <c r="A76" s="811" t="s">
        <v>222</v>
      </c>
      <c r="B76" s="812"/>
      <c r="C76" s="813"/>
      <c r="D76" s="151" t="s">
        <v>139</v>
      </c>
      <c r="E76" s="95">
        <f>'17'!F76</f>
        <v>161789.9</v>
      </c>
      <c r="F76" s="123">
        <v>161896.1</v>
      </c>
      <c r="G76" s="638">
        <f t="shared" si="7"/>
        <v>106.20000000001164</v>
      </c>
      <c r="H76" s="99">
        <f>G76+'17'!H76</f>
        <v>1910.6000000000058</v>
      </c>
      <c r="I76" s="154"/>
      <c r="J76" s="175">
        <f>H76/DAY(B2)</f>
        <v>106.14444444444477</v>
      </c>
      <c r="K76" s="69"/>
      <c r="L76" s="66"/>
      <c r="N76" s="87"/>
      <c r="O76" s="71"/>
    </row>
    <row r="77" spans="1:15" ht="27.75" customHeight="1">
      <c r="A77" s="811" t="s">
        <v>223</v>
      </c>
      <c r="B77" s="812"/>
      <c r="C77" s="813"/>
      <c r="D77" s="151" t="s">
        <v>139</v>
      </c>
      <c r="E77" s="95">
        <f>'17'!F77</f>
        <v>38191.599999999999</v>
      </c>
      <c r="F77" s="123">
        <v>38229.9</v>
      </c>
      <c r="G77" s="638">
        <f t="shared" si="7"/>
        <v>38.30000000000291</v>
      </c>
      <c r="H77" s="99">
        <f>G77+'17'!H77</f>
        <v>732.40000000000146</v>
      </c>
      <c r="I77" s="154"/>
      <c r="J77" s="175">
        <f>H77/DAY(B2)</f>
        <v>40.688888888888968</v>
      </c>
      <c r="K77" s="69"/>
      <c r="L77" s="66"/>
      <c r="N77" s="87"/>
      <c r="O77" s="71"/>
    </row>
    <row r="78" spans="1:15" ht="27.75" customHeight="1">
      <c r="A78" s="811" t="s">
        <v>224</v>
      </c>
      <c r="B78" s="812"/>
      <c r="C78" s="813"/>
      <c r="D78" s="151" t="s">
        <v>139</v>
      </c>
      <c r="E78" s="95">
        <f>'17'!F78</f>
        <v>9364.7000000000007</v>
      </c>
      <c r="F78" s="123">
        <v>9366.7999999999993</v>
      </c>
      <c r="G78" s="638">
        <f t="shared" si="7"/>
        <v>2.0999999999985448</v>
      </c>
      <c r="H78" s="99">
        <f>G78+'17'!H78</f>
        <v>37.399999999999636</v>
      </c>
      <c r="I78" s="118"/>
      <c r="J78" s="175">
        <f>H78/DAY(B2)</f>
        <v>2.0777777777777575</v>
      </c>
      <c r="K78" s="69"/>
      <c r="L78" s="66"/>
      <c r="N78" s="87"/>
      <c r="O78" s="71"/>
    </row>
    <row r="79" spans="1:15" s="57" customFormat="1" ht="27.75" customHeight="1">
      <c r="A79" s="811" t="s">
        <v>225</v>
      </c>
      <c r="B79" s="812"/>
      <c r="C79" s="813"/>
      <c r="D79" s="151"/>
      <c r="E79" s="95">
        <f>'17'!F79</f>
        <v>0</v>
      </c>
      <c r="F79" s="123">
        <v>0</v>
      </c>
      <c r="G79" s="638">
        <f>G15-SUM(G74:G78)</f>
        <v>341.09000000003289</v>
      </c>
      <c r="H79" s="99">
        <f>G79+'17'!H79</f>
        <v>9469.3910000001051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23" t="s">
        <v>329</v>
      </c>
      <c r="B80" s="824"/>
      <c r="C80" s="825"/>
      <c r="D80" s="151"/>
      <c r="E80" s="117"/>
      <c r="F80" s="117"/>
      <c r="G80" s="638">
        <f>SUM(G74:G79)</f>
        <v>783.80000000004657</v>
      </c>
      <c r="H80" s="99">
        <f>G80+'17'!H80</f>
        <v>783.80000000004657</v>
      </c>
      <c r="I80" s="118"/>
      <c r="J80" s="175"/>
      <c r="K80" s="59"/>
      <c r="L80" s="58"/>
      <c r="N80" s="87"/>
      <c r="O80" s="71"/>
    </row>
    <row r="81" spans="1:15" ht="27.75" customHeight="1">
      <c r="A81" s="828" t="s">
        <v>226</v>
      </c>
      <c r="B81" s="829"/>
      <c r="C81" s="830"/>
      <c r="D81" s="110"/>
      <c r="E81" s="110"/>
      <c r="F81" s="110"/>
      <c r="G81" s="652"/>
      <c r="H81" s="163"/>
      <c r="I81" s="163"/>
      <c r="J81" s="184"/>
      <c r="O81" s="71"/>
    </row>
    <row r="82" spans="1:15" ht="27.75" customHeight="1">
      <c r="A82" s="365" t="s">
        <v>227</v>
      </c>
      <c r="B82" s="366"/>
      <c r="C82" s="366"/>
      <c r="D82" s="151" t="s">
        <v>228</v>
      </c>
      <c r="E82" s="95">
        <f>'17'!F82</f>
        <v>0</v>
      </c>
      <c r="F82" s="122">
        <v>0</v>
      </c>
      <c r="G82" s="638">
        <f t="shared" ref="G82:G92" si="8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>
      <c r="A83" s="365" t="s">
        <v>229</v>
      </c>
      <c r="B83" s="366"/>
      <c r="C83" s="366"/>
      <c r="D83" s="151" t="s">
        <v>228</v>
      </c>
      <c r="E83" s="95">
        <f>'17'!F83</f>
        <v>0</v>
      </c>
      <c r="F83" s="122">
        <v>0</v>
      </c>
      <c r="G83" s="638">
        <f t="shared" si="8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>
      <c r="A84" s="365" t="s">
        <v>230</v>
      </c>
      <c r="B84" s="366"/>
      <c r="C84" s="366"/>
      <c r="D84" s="151" t="s">
        <v>228</v>
      </c>
      <c r="E84" s="95">
        <f>'17'!F84</f>
        <v>41625</v>
      </c>
      <c r="F84" s="164">
        <v>41625.31</v>
      </c>
      <c r="G84" s="638">
        <f t="shared" si="8"/>
        <v>0.30999999999767169</v>
      </c>
      <c r="H84" s="99">
        <f>G84+'17'!H84</f>
        <v>39.75</v>
      </c>
      <c r="I84" s="118"/>
      <c r="J84" s="175">
        <f>H84/DAY(B2)</f>
        <v>2.2083333333333335</v>
      </c>
      <c r="O84" s="71"/>
    </row>
    <row r="85" spans="1:15" ht="27.75" customHeight="1">
      <c r="A85" s="365" t="s">
        <v>231</v>
      </c>
      <c r="B85" s="366"/>
      <c r="C85" s="366"/>
      <c r="D85" s="151" t="s">
        <v>228</v>
      </c>
      <c r="E85" s="95">
        <f>'17'!F85</f>
        <v>1354</v>
      </c>
      <c r="F85" s="164">
        <v>1374.36</v>
      </c>
      <c r="G85" s="638">
        <f t="shared" si="8"/>
        <v>20.3599999999999</v>
      </c>
      <c r="H85" s="99">
        <f>G85+'17'!H85</f>
        <v>69.3599999999999</v>
      </c>
      <c r="I85" s="118">
        <f>G82+G83+G84+G85</f>
        <v>20.669999999997572</v>
      </c>
      <c r="J85" s="175">
        <f>H85/DAY(B2)</f>
        <v>3.8533333333333277</v>
      </c>
      <c r="O85" s="71"/>
    </row>
    <row r="86" spans="1:15" ht="27.75" customHeight="1">
      <c r="A86" s="365" t="s">
        <v>232</v>
      </c>
      <c r="B86" s="366"/>
      <c r="C86" s="366"/>
      <c r="D86" s="151" t="s">
        <v>228</v>
      </c>
      <c r="E86" s="95">
        <f>'17'!F86</f>
        <v>42826.47</v>
      </c>
      <c r="F86" s="164">
        <v>42826.47</v>
      </c>
      <c r="G86" s="638">
        <f t="shared" si="8"/>
        <v>0</v>
      </c>
      <c r="H86" s="99">
        <f>G86+'17'!H86</f>
        <v>0.47000000000116415</v>
      </c>
      <c r="I86" s="118"/>
      <c r="J86" s="175">
        <f>H86/DAY(B2)</f>
        <v>2.6111111111175787E-2</v>
      </c>
      <c r="O86" s="71"/>
    </row>
    <row r="87" spans="1:15" ht="27.75" customHeight="1">
      <c r="A87" s="365" t="s">
        <v>233</v>
      </c>
      <c r="B87" s="366"/>
      <c r="C87" s="366"/>
      <c r="D87" s="151" t="s">
        <v>228</v>
      </c>
      <c r="E87" s="95">
        <f>'17'!F87</f>
        <v>34139</v>
      </c>
      <c r="F87" s="164">
        <v>34155.1</v>
      </c>
      <c r="G87" s="638">
        <f t="shared" si="8"/>
        <v>16.099999999998545</v>
      </c>
      <c r="H87" s="99">
        <f>G87+'17'!H87</f>
        <v>407.09999999999854</v>
      </c>
      <c r="I87" s="118"/>
      <c r="J87" s="175">
        <f>H87/DAY(B2)</f>
        <v>22.616666666666585</v>
      </c>
      <c r="O87" s="71"/>
    </row>
    <row r="88" spans="1:15" ht="27.75" customHeight="1">
      <c r="A88" s="365" t="s">
        <v>234</v>
      </c>
      <c r="B88" s="366"/>
      <c r="C88" s="366"/>
      <c r="D88" s="151" t="s">
        <v>228</v>
      </c>
      <c r="E88" s="95">
        <f>'17'!F88</f>
        <v>23892.9</v>
      </c>
      <c r="F88" s="164">
        <v>23901.79</v>
      </c>
      <c r="G88" s="638">
        <f t="shared" si="8"/>
        <v>8.8899999999994179</v>
      </c>
      <c r="H88" s="99">
        <f>G88+'17'!H88</f>
        <v>68.220000000001164</v>
      </c>
      <c r="I88" s="118">
        <f>G86+G87+G88</f>
        <v>24.989999999997963</v>
      </c>
      <c r="J88" s="175">
        <f>H88/DAY(B2)</f>
        <v>3.7900000000000649</v>
      </c>
      <c r="O88" s="71"/>
    </row>
    <row r="89" spans="1:15" ht="27.75" customHeight="1">
      <c r="A89" s="365" t="s">
        <v>235</v>
      </c>
      <c r="B89" s="366"/>
      <c r="C89" s="366"/>
      <c r="D89" s="151" t="s">
        <v>228</v>
      </c>
      <c r="E89" s="95">
        <f>'17'!F89</f>
        <v>25353.81</v>
      </c>
      <c r="F89" s="164">
        <v>25353.81</v>
      </c>
      <c r="G89" s="638">
        <f t="shared" si="8"/>
        <v>0</v>
      </c>
      <c r="H89" s="99">
        <f>G89+'17'!H89</f>
        <v>108.43000000000029</v>
      </c>
      <c r="I89" s="118"/>
      <c r="J89" s="175">
        <f>H89/DAY(B2)</f>
        <v>6.0238888888889051</v>
      </c>
      <c r="O89" s="71"/>
    </row>
    <row r="90" spans="1:15" ht="27.75" customHeight="1">
      <c r="A90" s="365" t="s">
        <v>236</v>
      </c>
      <c r="B90" s="366"/>
      <c r="C90" s="366"/>
      <c r="D90" s="151" t="s">
        <v>228</v>
      </c>
      <c r="E90" s="95">
        <f>'17'!F90</f>
        <v>70742.679999999993</v>
      </c>
      <c r="F90" s="164">
        <v>70750.460000000006</v>
      </c>
      <c r="G90" s="638">
        <f t="shared" si="8"/>
        <v>7.7800000000133878</v>
      </c>
      <c r="H90" s="99">
        <f>G90+'17'!H90</f>
        <v>95.05000000000291</v>
      </c>
      <c r="I90" s="118">
        <f>G89+G90</f>
        <v>7.7800000000133878</v>
      </c>
      <c r="J90" s="175">
        <f>H90/DAY(B2)</f>
        <v>5.2805555555557175</v>
      </c>
      <c r="O90" s="71"/>
    </row>
    <row r="91" spans="1:15" ht="27.75" customHeight="1">
      <c r="A91" s="365" t="s">
        <v>237</v>
      </c>
      <c r="B91" s="366"/>
      <c r="C91" s="366"/>
      <c r="D91" s="151" t="s">
        <v>228</v>
      </c>
      <c r="E91" s="95">
        <f>'17'!F91</f>
        <v>3226.32</v>
      </c>
      <c r="F91" s="122">
        <v>3226.32</v>
      </c>
      <c r="G91" s="638">
        <f t="shared" si="8"/>
        <v>0</v>
      </c>
      <c r="H91" s="99">
        <f>G91+'17'!H91</f>
        <v>0</v>
      </c>
      <c r="I91" s="165"/>
      <c r="J91" s="175">
        <f>H91/DAY(B2)</f>
        <v>0</v>
      </c>
      <c r="O91" s="71"/>
    </row>
    <row r="92" spans="1:15" ht="27.75" customHeight="1">
      <c r="A92" s="365" t="s">
        <v>238</v>
      </c>
      <c r="B92" s="366"/>
      <c r="C92" s="366"/>
      <c r="D92" s="151" t="s">
        <v>228</v>
      </c>
      <c r="E92" s="95">
        <f>'17'!F92</f>
        <v>4963.62</v>
      </c>
      <c r="F92" s="122">
        <v>4974.01</v>
      </c>
      <c r="G92" s="638">
        <f t="shared" si="8"/>
        <v>10.390000000000327</v>
      </c>
      <c r="H92" s="99">
        <f>G92+'17'!H92</f>
        <v>182.19000000000051</v>
      </c>
      <c r="I92" s="165"/>
      <c r="J92" s="175">
        <f>H92/DAY(B2)</f>
        <v>10.121666666666695</v>
      </c>
      <c r="O92" s="71"/>
    </row>
    <row r="93" spans="1:15" ht="27.75" customHeight="1">
      <c r="A93" s="817" t="s">
        <v>239</v>
      </c>
      <c r="B93" s="818"/>
      <c r="C93" s="819"/>
      <c r="D93" s="111"/>
      <c r="E93" s="111"/>
      <c r="F93" s="111"/>
      <c r="G93" s="641"/>
      <c r="H93" s="121"/>
      <c r="I93" s="121"/>
      <c r="J93" s="183"/>
      <c r="K93" s="69"/>
      <c r="L93" s="66"/>
      <c r="O93" s="71"/>
    </row>
    <row r="94" spans="1:15" ht="27.75" customHeight="1">
      <c r="A94" s="814" t="s">
        <v>240</v>
      </c>
      <c r="B94" s="815"/>
      <c r="C94" s="816"/>
      <c r="D94" s="151" t="s">
        <v>130</v>
      </c>
      <c r="E94" s="151"/>
      <c r="F94" s="151"/>
      <c r="G94" s="653">
        <f>G35+G43+G49+G57</f>
        <v>4567.6799999999057</v>
      </c>
      <c r="H94" s="99">
        <f>G94+'17'!H94</f>
        <v>110872.65999999997</v>
      </c>
      <c r="I94" s="118"/>
      <c r="J94" s="175">
        <f>H94/DAY(B2)</f>
        <v>6159.5922222222207</v>
      </c>
      <c r="K94" s="69"/>
      <c r="L94" s="66"/>
      <c r="O94" s="71"/>
    </row>
    <row r="95" spans="1:15" ht="27.75" customHeight="1">
      <c r="A95" s="814" t="s">
        <v>241</v>
      </c>
      <c r="B95" s="815"/>
      <c r="C95" s="816"/>
      <c r="D95" s="151" t="s">
        <v>23</v>
      </c>
      <c r="E95" s="146"/>
      <c r="F95" s="146"/>
      <c r="G95" s="654">
        <f>G94/G7</f>
        <v>0.17288583247445449</v>
      </c>
      <c r="H95" s="99">
        <f>G95+'17'!H95</f>
        <v>4.8964201324125467</v>
      </c>
      <c r="I95" s="167"/>
      <c r="J95" s="175">
        <f>H95/DAY(B2)</f>
        <v>0.27202334068958595</v>
      </c>
      <c r="K95" s="69"/>
      <c r="L95" s="66"/>
      <c r="O95" s="71"/>
    </row>
    <row r="96" spans="1:15" ht="27.75" customHeight="1">
      <c r="A96" s="814" t="s">
        <v>242</v>
      </c>
      <c r="B96" s="815"/>
      <c r="C96" s="816"/>
      <c r="D96" s="151" t="s">
        <v>130</v>
      </c>
      <c r="E96" s="95"/>
      <c r="F96" s="95"/>
      <c r="G96" s="653">
        <f>G41+G42+G55+G56</f>
        <v>8645.3099999999831</v>
      </c>
      <c r="H96" s="99">
        <f>G96+'17'!H96</f>
        <v>110414.79000000001</v>
      </c>
      <c r="I96" s="118"/>
      <c r="J96" s="175">
        <f>H96/DAY(B2)</f>
        <v>6134.1550000000007</v>
      </c>
      <c r="K96" s="69"/>
      <c r="L96" s="66"/>
      <c r="O96" s="71"/>
    </row>
    <row r="97" spans="1:15" ht="27.75" customHeight="1">
      <c r="A97" s="814" t="s">
        <v>243</v>
      </c>
      <c r="B97" s="815"/>
      <c r="C97" s="816"/>
      <c r="D97" s="151" t="s">
        <v>23</v>
      </c>
      <c r="E97" s="95"/>
      <c r="F97" s="95"/>
      <c r="G97" s="654">
        <f>G96/G7</f>
        <v>0.32722336423518156</v>
      </c>
      <c r="H97" s="99">
        <f>G97+'17'!H97</f>
        <v>4.8072888524174777</v>
      </c>
      <c r="I97" s="167"/>
      <c r="J97" s="175">
        <f>H97/DAY(B2)</f>
        <v>0.2670716029120821</v>
      </c>
      <c r="K97" s="69"/>
      <c r="L97" s="66"/>
      <c r="O97" s="71"/>
    </row>
    <row r="98" spans="1:15" ht="27.75" customHeight="1">
      <c r="A98" s="814" t="s">
        <v>244</v>
      </c>
      <c r="B98" s="815"/>
      <c r="C98" s="816"/>
      <c r="D98" s="151" t="s">
        <v>130</v>
      </c>
      <c r="E98" s="95"/>
      <c r="F98" s="95"/>
      <c r="G98" s="653">
        <f>G39+G53</f>
        <v>2891.1600000000326</v>
      </c>
      <c r="H98" s="99">
        <f>G98+'17'!H98</f>
        <v>52270.960000000021</v>
      </c>
      <c r="I98" s="168"/>
      <c r="J98" s="175">
        <f>H98/DAY(B2)</f>
        <v>2903.9422222222233</v>
      </c>
      <c r="K98" s="69"/>
      <c r="L98" s="66"/>
      <c r="O98" s="71"/>
    </row>
    <row r="99" spans="1:15" ht="27.75" customHeight="1">
      <c r="A99" s="814" t="s">
        <v>245</v>
      </c>
      <c r="B99" s="815"/>
      <c r="C99" s="816"/>
      <c r="D99" s="151" t="s">
        <v>23</v>
      </c>
      <c r="E99" s="95"/>
      <c r="F99" s="95"/>
      <c r="G99" s="654">
        <f>G98/G7</f>
        <v>0.10942986448631686</v>
      </c>
      <c r="H99" s="99">
        <f>G99+'17'!H99</f>
        <v>2.3071828190932182</v>
      </c>
      <c r="I99" s="168"/>
      <c r="J99" s="175">
        <f>H99/DAY(B2)</f>
        <v>0.12817682328295657</v>
      </c>
      <c r="O99" s="71"/>
    </row>
    <row r="100" spans="1:15" ht="27.75" customHeight="1">
      <c r="A100" s="814" t="s">
        <v>246</v>
      </c>
      <c r="B100" s="815"/>
      <c r="C100" s="816"/>
      <c r="D100" s="151" t="s">
        <v>180</v>
      </c>
      <c r="E100" s="95"/>
      <c r="F100" s="95"/>
      <c r="G100" s="653">
        <f>G38+G52</f>
        <v>1865.9700000000012</v>
      </c>
      <c r="H100" s="99">
        <f>G100+'17'!H100</f>
        <v>32816.020000000004</v>
      </c>
      <c r="I100" s="118"/>
      <c r="J100" s="175">
        <f>H100/DAY(B2)</f>
        <v>1823.1122222222225</v>
      </c>
      <c r="K100" s="70"/>
      <c r="O100" s="71"/>
    </row>
    <row r="101" spans="1:15" ht="27.75" customHeight="1">
      <c r="A101" s="814" t="s">
        <v>247</v>
      </c>
      <c r="B101" s="815"/>
      <c r="C101" s="816"/>
      <c r="D101" s="151" t="s">
        <v>23</v>
      </c>
      <c r="E101" s="95"/>
      <c r="F101" s="95"/>
      <c r="G101" s="654">
        <f>G100/G7</f>
        <v>7.0626615004195717E-2</v>
      </c>
      <c r="H101" s="99">
        <f>G101+'17'!H101</f>
        <v>1.4475360382297937</v>
      </c>
      <c r="I101" s="168"/>
      <c r="J101" s="175">
        <f>H101/DAY(B2)</f>
        <v>8.0418668790544101E-2</v>
      </c>
      <c r="O101" s="71"/>
    </row>
    <row r="102" spans="1:15" ht="27.75" customHeight="1">
      <c r="A102" s="814" t="s">
        <v>248</v>
      </c>
      <c r="B102" s="815"/>
      <c r="C102" s="816"/>
      <c r="D102" s="151" t="s">
        <v>180</v>
      </c>
      <c r="E102" s="95"/>
      <c r="F102" s="95"/>
      <c r="G102" s="653">
        <f>G36+G50</f>
        <v>2725.7199999999139</v>
      </c>
      <c r="H102" s="99">
        <f>G102+'17'!H102</f>
        <v>37641.709999999905</v>
      </c>
      <c r="I102" s="168"/>
      <c r="J102" s="175">
        <f>H102/DAY(B2)</f>
        <v>2091.2061111111057</v>
      </c>
      <c r="O102" s="71"/>
    </row>
    <row r="103" spans="1:15" ht="27.75" customHeight="1">
      <c r="A103" s="814" t="s">
        <v>249</v>
      </c>
      <c r="B103" s="815"/>
      <c r="C103" s="816"/>
      <c r="D103" s="151" t="s">
        <v>23</v>
      </c>
      <c r="E103" s="95"/>
      <c r="F103" s="95"/>
      <c r="G103" s="654">
        <f>G102/G7</f>
        <v>0.10316799147319096</v>
      </c>
      <c r="H103" s="99">
        <f>G103+'17'!H103</f>
        <v>1.6446548159990388</v>
      </c>
      <c r="I103" s="118"/>
      <c r="J103" s="175">
        <f>H103/DAY(B2)</f>
        <v>9.1369711999946604E-2</v>
      </c>
      <c r="O103" s="71"/>
    </row>
    <row r="104" spans="1:15" ht="27.75" customHeight="1">
      <c r="A104" s="814" t="s">
        <v>250</v>
      </c>
      <c r="B104" s="815"/>
      <c r="C104" s="816"/>
      <c r="D104" s="151" t="s">
        <v>180</v>
      </c>
      <c r="E104" s="95"/>
      <c r="F104" s="95"/>
      <c r="G104" s="653">
        <f>G37+G51</f>
        <v>1804.6800000000076</v>
      </c>
      <c r="H104" s="99">
        <f>G104+'17'!H104</f>
        <v>28812.25</v>
      </c>
      <c r="I104" s="118"/>
      <c r="J104" s="175">
        <f>H104/DAY(B2)</f>
        <v>1600.6805555555557</v>
      </c>
      <c r="O104" s="71"/>
    </row>
    <row r="105" spans="1:15" ht="27.75" customHeight="1" thickBot="1">
      <c r="A105" s="807" t="s">
        <v>251</v>
      </c>
      <c r="B105" s="808"/>
      <c r="C105" s="809"/>
      <c r="D105" s="231" t="s">
        <v>23</v>
      </c>
      <c r="E105" s="185"/>
      <c r="F105" s="185"/>
      <c r="G105" s="655">
        <f>G104/G7</f>
        <v>6.8306799983800584E-2</v>
      </c>
      <c r="H105" s="99">
        <f>G105+'17'!H105</f>
        <v>1.269895173791213</v>
      </c>
      <c r="I105" s="187"/>
      <c r="J105" s="188">
        <f>H105/DAY(B2)</f>
        <v>7.0549731877289606E-2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656"/>
      <c r="H106" s="170"/>
      <c r="I106" s="169"/>
      <c r="J106" s="171"/>
      <c r="O106" s="71"/>
    </row>
    <row r="108" spans="1:15" ht="27.75" customHeight="1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7.75" customHeight="1">
      <c r="A109" s="831"/>
      <c r="B109" s="831"/>
    </row>
    <row r="110" spans="1:15" ht="27.75" customHeight="1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 customHeight="1">
      <c r="A111" s="797"/>
      <c r="B111" s="798"/>
      <c r="C111" s="799"/>
      <c r="D111" s="165"/>
      <c r="E111" s="165"/>
      <c r="F111" s="165"/>
      <c r="G111" s="658"/>
      <c r="H111" s="156"/>
      <c r="I111" s="165"/>
      <c r="J111" s="347"/>
    </row>
    <row r="112" spans="1:15" ht="27.75" customHeight="1">
      <c r="A112" s="793" t="s">
        <v>252</v>
      </c>
      <c r="B112" s="794"/>
      <c r="C112" s="795"/>
      <c r="D112" s="146" t="s">
        <v>183</v>
      </c>
      <c r="E112" s="95">
        <f>'17'!F112</f>
        <v>52288.97</v>
      </c>
      <c r="F112" s="237">
        <v>52370.33</v>
      </c>
      <c r="G112" s="638">
        <f t="shared" ref="G112:G123" si="9">F112-E112</f>
        <v>81.360000000000582</v>
      </c>
      <c r="H112" s="99">
        <f>G112+'17'!H112</f>
        <v>1481.25</v>
      </c>
      <c r="I112" s="165"/>
      <c r="J112" s="348">
        <f>H112/DAY(B2)</f>
        <v>82.291666666666671</v>
      </c>
    </row>
    <row r="113" spans="1:18" ht="27.75" customHeight="1">
      <c r="A113" s="793" t="s">
        <v>253</v>
      </c>
      <c r="B113" s="794"/>
      <c r="C113" s="795"/>
      <c r="D113" s="146" t="s">
        <v>183</v>
      </c>
      <c r="E113" s="95">
        <f>'17'!F113</f>
        <v>12102.07</v>
      </c>
      <c r="F113" s="237">
        <v>12535.13</v>
      </c>
      <c r="G113" s="638">
        <f t="shared" si="9"/>
        <v>433.05999999999949</v>
      </c>
      <c r="H113" s="99">
        <f>G113+'17'!H113</f>
        <v>8029.48</v>
      </c>
      <c r="I113" s="165"/>
      <c r="J113" s="348">
        <f>H113/DAY(B2)</f>
        <v>446.08222222222219</v>
      </c>
    </row>
    <row r="114" spans="1:18" ht="27.75" customHeight="1">
      <c r="A114" s="793" t="s">
        <v>254</v>
      </c>
      <c r="B114" s="794"/>
      <c r="C114" s="795"/>
      <c r="D114" s="146" t="s">
        <v>183</v>
      </c>
      <c r="E114" s="95">
        <f>'17'!F114</f>
        <v>9624.9500000000007</v>
      </c>
      <c r="F114" s="237">
        <v>9896.1200000000008</v>
      </c>
      <c r="G114" s="638">
        <f t="shared" si="9"/>
        <v>271.17000000000007</v>
      </c>
      <c r="H114" s="99">
        <f>G114+'17'!H114</f>
        <v>6090.01</v>
      </c>
      <c r="I114" s="165"/>
      <c r="J114" s="348">
        <f>H114/DAY(B2)</f>
        <v>338.33388888888891</v>
      </c>
    </row>
    <row r="115" spans="1:18" ht="27.75" customHeight="1">
      <c r="A115" s="793" t="s">
        <v>255</v>
      </c>
      <c r="B115" s="794"/>
      <c r="C115" s="795"/>
      <c r="D115" s="146" t="s">
        <v>183</v>
      </c>
      <c r="E115" s="95">
        <f>'17'!F115</f>
        <v>8274.33</v>
      </c>
      <c r="F115" s="237">
        <v>8283.66</v>
      </c>
      <c r="G115" s="638">
        <f t="shared" si="9"/>
        <v>9.3299999999999272</v>
      </c>
      <c r="H115" s="99">
        <f>G115+'17'!H115</f>
        <v>206.25</v>
      </c>
      <c r="I115" s="165"/>
      <c r="J115" s="348">
        <f>H115/DAY(B2)</f>
        <v>11.458333333333334</v>
      </c>
    </row>
    <row r="116" spans="1:18" ht="27.75" customHeight="1">
      <c r="A116" s="800" t="s">
        <v>96</v>
      </c>
      <c r="B116" s="801"/>
      <c r="C116" s="802"/>
      <c r="D116" s="146" t="s">
        <v>183</v>
      </c>
      <c r="E116" s="95">
        <f>'17'!F116</f>
        <v>0</v>
      </c>
      <c r="F116" s="237">
        <v>0</v>
      </c>
      <c r="G116" s="638">
        <f t="shared" si="9"/>
        <v>0</v>
      </c>
      <c r="H116" s="99">
        <f>G116+'17'!H116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7.75" customHeight="1">
      <c r="A117" s="800" t="s">
        <v>184</v>
      </c>
      <c r="B117" s="801"/>
      <c r="C117" s="802"/>
      <c r="D117" s="146" t="s">
        <v>183</v>
      </c>
      <c r="E117" s="95">
        <f>'17'!F117</f>
        <v>1676</v>
      </c>
      <c r="F117" s="237">
        <v>1693.73</v>
      </c>
      <c r="G117" s="638">
        <f t="shared" si="9"/>
        <v>17.730000000000018</v>
      </c>
      <c r="H117" s="99">
        <f>G117+'17'!H117</f>
        <v>535.54</v>
      </c>
      <c r="I117" s="165"/>
      <c r="J117" s="348">
        <f>H117/DAY(B2)</f>
        <v>29.752222222222219</v>
      </c>
      <c r="Q117" s="793" t="s">
        <v>312</v>
      </c>
      <c r="R117" s="795"/>
    </row>
    <row r="118" spans="1:18" ht="27.75" customHeight="1">
      <c r="A118" s="792" t="s">
        <v>97</v>
      </c>
      <c r="B118" s="792"/>
      <c r="C118" s="792"/>
      <c r="D118" s="151" t="s">
        <v>183</v>
      </c>
      <c r="E118" s="95">
        <f>'17'!F118</f>
        <v>224736.31</v>
      </c>
      <c r="F118" s="237">
        <v>225144.31</v>
      </c>
      <c r="G118" s="638">
        <f t="shared" si="9"/>
        <v>408</v>
      </c>
      <c r="H118" s="99">
        <f>G118+'17'!H118</f>
        <v>6292.3800000000047</v>
      </c>
      <c r="I118" s="165"/>
      <c r="J118" s="348">
        <f>H118/DAY(B2)</f>
        <v>349.57666666666694</v>
      </c>
      <c r="Q118" s="793" t="s">
        <v>311</v>
      </c>
      <c r="R118" s="795"/>
    </row>
    <row r="119" spans="1:18" ht="27.75" customHeight="1">
      <c r="A119" s="792" t="s">
        <v>98</v>
      </c>
      <c r="B119" s="792"/>
      <c r="C119" s="792"/>
      <c r="D119" s="151" t="s">
        <v>183</v>
      </c>
      <c r="E119" s="95">
        <f>'17'!F119</f>
        <v>226092.83</v>
      </c>
      <c r="F119" s="237">
        <v>226542.63</v>
      </c>
      <c r="G119" s="638">
        <f t="shared" si="9"/>
        <v>449.80000000001746</v>
      </c>
      <c r="H119" s="99">
        <f>G119+'17'!H119</f>
        <v>7731.5200000000186</v>
      </c>
      <c r="I119" s="165"/>
      <c r="J119" s="348">
        <f>H119/DAY(B2)</f>
        <v>429.52888888888992</v>
      </c>
    </row>
    <row r="120" spans="1:18" ht="27.75" customHeight="1">
      <c r="A120" s="792" t="s">
        <v>99</v>
      </c>
      <c r="B120" s="792"/>
      <c r="C120" s="792"/>
      <c r="D120" s="151" t="s">
        <v>183</v>
      </c>
      <c r="E120" s="95">
        <f>'17'!F120</f>
        <v>11582.99</v>
      </c>
      <c r="F120" s="237">
        <v>12006.048000000001</v>
      </c>
      <c r="G120" s="638">
        <f t="shared" si="9"/>
        <v>423.0580000000009</v>
      </c>
      <c r="H120" s="99">
        <f>G120+'17'!H120</f>
        <v>7698.4480000000003</v>
      </c>
      <c r="I120" s="165"/>
      <c r="J120" s="348">
        <f>H120/DAY(B2)</f>
        <v>427.69155555555557</v>
      </c>
    </row>
    <row r="121" spans="1:18" ht="27.75" customHeight="1">
      <c r="A121" s="792" t="s">
        <v>100</v>
      </c>
      <c r="B121" s="792"/>
      <c r="C121" s="792"/>
      <c r="D121" s="151" t="s">
        <v>183</v>
      </c>
      <c r="E121" s="95">
        <f>'17'!F121</f>
        <v>343380.11</v>
      </c>
      <c r="F121" s="237">
        <v>344052.19</v>
      </c>
      <c r="G121" s="638">
        <f t="shared" si="9"/>
        <v>672.0800000000163</v>
      </c>
      <c r="H121" s="99">
        <f>G121+'17'!H121</f>
        <v>12814.679999999993</v>
      </c>
      <c r="I121" s="165"/>
      <c r="J121" s="348">
        <f>H121/DAY(B2)</f>
        <v>711.92666666666628</v>
      </c>
    </row>
    <row r="122" spans="1:18" ht="27.75" customHeight="1">
      <c r="A122" s="792" t="s">
        <v>101</v>
      </c>
      <c r="B122" s="792"/>
      <c r="C122" s="792"/>
      <c r="D122" s="151" t="s">
        <v>183</v>
      </c>
      <c r="E122" s="95">
        <f>'17'!F122</f>
        <v>106763.83</v>
      </c>
      <c r="F122" s="237">
        <v>107064.73</v>
      </c>
      <c r="G122" s="638">
        <f t="shared" si="9"/>
        <v>300.89999999999418</v>
      </c>
      <c r="H122" s="99">
        <f>G122+'17'!H122</f>
        <v>5455.8499999999913</v>
      </c>
      <c r="I122" s="165"/>
      <c r="J122" s="348">
        <f>H122/DAY(B2)</f>
        <v>303.10277777777731</v>
      </c>
    </row>
    <row r="123" spans="1:18" ht="27.75" customHeight="1">
      <c r="A123" s="792" t="s">
        <v>102</v>
      </c>
      <c r="B123" s="792"/>
      <c r="C123" s="792"/>
      <c r="D123" s="151" t="s">
        <v>183</v>
      </c>
      <c r="E123" s="95">
        <f>'17'!F123</f>
        <v>130724.56</v>
      </c>
      <c r="F123" s="237">
        <v>131001.28</v>
      </c>
      <c r="G123" s="638">
        <f t="shared" si="9"/>
        <v>276.72000000000116</v>
      </c>
      <c r="H123" s="99">
        <f>G123+'17'!H123</f>
        <v>5253.5200000000041</v>
      </c>
      <c r="I123" s="165"/>
      <c r="J123" s="348">
        <f>H123/DAY(B2)</f>
        <v>291.86222222222244</v>
      </c>
    </row>
    <row r="124" spans="1:18" ht="27.75" customHeight="1">
      <c r="A124" s="797"/>
      <c r="B124" s="798"/>
      <c r="C124" s="799"/>
      <c r="D124" s="165"/>
      <c r="E124" s="95">
        <f>'17'!F124</f>
        <v>0</v>
      </c>
      <c r="F124" s="165"/>
      <c r="G124" s="658"/>
      <c r="H124" s="99">
        <f>G124+'17'!H124</f>
        <v>0</v>
      </c>
      <c r="I124" s="165"/>
      <c r="J124" s="347"/>
    </row>
    <row r="125" spans="1:18" ht="27.75" customHeight="1">
      <c r="A125" s="775" t="s">
        <v>196</v>
      </c>
      <c r="B125" s="776"/>
      <c r="C125" s="246"/>
      <c r="D125" s="317"/>
      <c r="E125" s="318"/>
      <c r="F125" s="318"/>
      <c r="G125" s="659">
        <f>SUM(G112:G124)</f>
        <v>3343.2080000000301</v>
      </c>
      <c r="H125" s="156"/>
      <c r="I125" s="347">
        <f>G125-(G39+G53)</f>
        <v>452.0479999999975</v>
      </c>
      <c r="J125" s="347"/>
    </row>
    <row r="126" spans="1:18" ht="27.75" customHeight="1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 customHeight="1">
      <c r="A127" s="780"/>
      <c r="B127" s="780"/>
      <c r="C127" s="246"/>
      <c r="D127" s="317"/>
      <c r="E127" s="318"/>
      <c r="F127" s="318"/>
      <c r="G127" s="659"/>
      <c r="H127" s="99">
        <f>G127+'17'!H127</f>
        <v>0</v>
      </c>
      <c r="I127" s="165"/>
      <c r="J127" s="348">
        <f>H127/DAY(B2)</f>
        <v>0</v>
      </c>
    </row>
    <row r="128" spans="1:18" ht="27.75" customHeight="1">
      <c r="A128" s="793" t="s">
        <v>318</v>
      </c>
      <c r="B128" s="794"/>
      <c r="C128" s="795"/>
      <c r="D128" s="151" t="s">
        <v>183</v>
      </c>
      <c r="E128" s="95">
        <f>'17'!F128</f>
        <v>23451.154999999999</v>
      </c>
      <c r="F128" s="165">
        <v>23746.19</v>
      </c>
      <c r="G128" s="638">
        <f t="shared" ref="G128:G134" si="10">F128-E128</f>
        <v>295.03499999999985</v>
      </c>
      <c r="H128" s="99">
        <f>G128+'17'!H128</f>
        <v>5722.4699999999975</v>
      </c>
      <c r="I128" s="165"/>
      <c r="J128" s="348">
        <f>H128/DAY(B2)</f>
        <v>317.91499999999985</v>
      </c>
    </row>
    <row r="129" spans="1:15" ht="27.75" customHeight="1">
      <c r="A129" s="349" t="s">
        <v>319</v>
      </c>
      <c r="B129" s="350"/>
      <c r="C129" s="351"/>
      <c r="D129" s="151" t="s">
        <v>183</v>
      </c>
      <c r="E129" s="95">
        <f>'17'!F129</f>
        <v>10094.33</v>
      </c>
      <c r="F129" s="165">
        <v>10318.19</v>
      </c>
      <c r="G129" s="638">
        <f t="shared" si="10"/>
        <v>223.86000000000058</v>
      </c>
      <c r="H129" s="99">
        <f>G129+'17'!H129</f>
        <v>3722.4800000000005</v>
      </c>
      <c r="I129" s="165"/>
      <c r="J129" s="348">
        <f>H129/DAY(B2)</f>
        <v>206.80444444444447</v>
      </c>
      <c r="N129" s="240"/>
      <c r="O129" s="241"/>
    </row>
    <row r="130" spans="1:15" ht="27.75" customHeight="1">
      <c r="A130" s="349" t="s">
        <v>320</v>
      </c>
      <c r="B130" s="350"/>
      <c r="C130" s="351"/>
      <c r="D130" s="151" t="s">
        <v>183</v>
      </c>
      <c r="E130" s="95">
        <f>'17'!F130</f>
        <v>69293.41</v>
      </c>
      <c r="F130" s="165">
        <v>71801.78</v>
      </c>
      <c r="G130" s="638">
        <f t="shared" si="10"/>
        <v>2508.3699999999953</v>
      </c>
      <c r="H130" s="99">
        <f>G130+'17'!H130</f>
        <v>45333.75</v>
      </c>
      <c r="I130" s="165"/>
      <c r="J130" s="348">
        <f>H130/DAY(B2)</f>
        <v>2518.5416666666665</v>
      </c>
      <c r="N130" s="240"/>
      <c r="O130" s="241"/>
    </row>
    <row r="131" spans="1:15" ht="27.75" customHeight="1">
      <c r="A131" s="793" t="s">
        <v>321</v>
      </c>
      <c r="B131" s="794"/>
      <c r="C131" s="795"/>
      <c r="D131" s="151" t="s">
        <v>183</v>
      </c>
      <c r="E131" s="95">
        <f>'17'!F131</f>
        <v>6775.23</v>
      </c>
      <c r="F131" s="165">
        <v>6982.73</v>
      </c>
      <c r="G131" s="638">
        <f t="shared" si="10"/>
        <v>207.5</v>
      </c>
      <c r="H131" s="99">
        <f>G131+'17'!H131</f>
        <v>2836.2599999999993</v>
      </c>
      <c r="I131" s="165"/>
      <c r="J131" s="348">
        <f>H131/DAY(B2)</f>
        <v>157.56999999999996</v>
      </c>
      <c r="N131" s="240"/>
      <c r="O131" s="241"/>
    </row>
    <row r="132" spans="1:15" ht="27.75" customHeight="1">
      <c r="A132" s="793" t="s">
        <v>322</v>
      </c>
      <c r="B132" s="794"/>
      <c r="C132" s="795"/>
      <c r="D132" s="151" t="s">
        <v>183</v>
      </c>
      <c r="E132" s="95">
        <f>'17'!F132</f>
        <v>20224.48</v>
      </c>
      <c r="F132" s="165">
        <v>20729.580000000002</v>
      </c>
      <c r="G132" s="638">
        <f t="shared" si="10"/>
        <v>505.10000000000218</v>
      </c>
      <c r="H132" s="99">
        <f>G132+'17'!H132</f>
        <v>9191.8600000000024</v>
      </c>
      <c r="I132" s="165"/>
      <c r="J132" s="348">
        <f>H132/DAY(B2)</f>
        <v>510.65888888888901</v>
      </c>
    </row>
    <row r="133" spans="1:15" ht="27.75" customHeight="1">
      <c r="A133" s="793" t="s">
        <v>323</v>
      </c>
      <c r="B133" s="794"/>
      <c r="C133" s="795"/>
      <c r="D133" s="151" t="s">
        <v>183</v>
      </c>
      <c r="E133" s="95">
        <f>'17'!F133</f>
        <v>52788.55</v>
      </c>
      <c r="F133" s="165">
        <v>53567.48</v>
      </c>
      <c r="G133" s="638">
        <f t="shared" si="10"/>
        <v>778.93000000000029</v>
      </c>
      <c r="H133" s="99">
        <f>G133+'17'!H133</f>
        <v>12718.190000000002</v>
      </c>
      <c r="I133" s="165"/>
      <c r="J133" s="348">
        <f>H133/DAY(B2)</f>
        <v>706.56611111111124</v>
      </c>
    </row>
    <row r="134" spans="1:15" ht="27.75" customHeight="1">
      <c r="A134" s="793" t="s">
        <v>340</v>
      </c>
      <c r="B134" s="794"/>
      <c r="C134" s="795"/>
      <c r="D134" s="151" t="s">
        <v>183</v>
      </c>
      <c r="E134" s="95">
        <f>'17'!F134</f>
        <v>642978</v>
      </c>
      <c r="F134" s="165">
        <v>643607</v>
      </c>
      <c r="G134" s="638">
        <f t="shared" si="10"/>
        <v>629</v>
      </c>
      <c r="H134" s="99">
        <f>G134+'17'!H134</f>
        <v>11343</v>
      </c>
      <c r="I134" s="165"/>
      <c r="J134" s="348">
        <f>H134/DAY(B2)</f>
        <v>630.16666666666663</v>
      </c>
    </row>
    <row r="135" spans="1:15" ht="27.75" customHeight="1">
      <c r="A135" s="775" t="s">
        <v>196</v>
      </c>
      <c r="B135" s="776"/>
      <c r="C135" s="351"/>
      <c r="D135" s="151"/>
      <c r="E135" s="95"/>
      <c r="F135" s="165"/>
      <c r="G135" s="638">
        <f>SUM(G128:G134)</f>
        <v>5147.7949999999983</v>
      </c>
      <c r="H135" s="99">
        <f>G135+'10'!H135</f>
        <v>55328.854999999996</v>
      </c>
      <c r="I135" s="347">
        <f>G135-(G35+G49)</f>
        <v>3450.5149999999994</v>
      </c>
      <c r="J135" s="348"/>
    </row>
    <row r="136" spans="1:15" ht="27.75" customHeight="1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7.75" customHeight="1">
      <c r="A137" s="246"/>
      <c r="B137" s="247"/>
      <c r="C137" s="247"/>
      <c r="D137" s="165"/>
      <c r="E137" s="165"/>
      <c r="F137" s="165"/>
      <c r="G137" s="658"/>
      <c r="H137" s="156"/>
      <c r="I137" s="165"/>
      <c r="J137" s="347"/>
    </row>
    <row r="138" spans="1:15" ht="27.75" customHeight="1">
      <c r="A138" s="792" t="s">
        <v>185</v>
      </c>
      <c r="B138" s="792"/>
      <c r="C138" s="792"/>
      <c r="D138" s="151" t="s">
        <v>183</v>
      </c>
      <c r="E138" s="95">
        <f>'17'!F138</f>
        <v>860552</v>
      </c>
      <c r="F138" s="147">
        <v>860604</v>
      </c>
      <c r="G138" s="638">
        <f t="shared" ref="G138:G152" si="11">F138-E138</f>
        <v>52</v>
      </c>
      <c r="H138" s="99">
        <f>G138+'17'!H138</f>
        <v>957</v>
      </c>
      <c r="I138" s="118"/>
      <c r="J138" s="348">
        <f>H138/DAY(B2)</f>
        <v>53.166666666666664</v>
      </c>
    </row>
    <row r="139" spans="1:15" ht="27.75" customHeight="1">
      <c r="A139" s="792" t="s">
        <v>186</v>
      </c>
      <c r="B139" s="792"/>
      <c r="C139" s="792"/>
      <c r="D139" s="151" t="s">
        <v>183</v>
      </c>
      <c r="E139" s="95">
        <f>'17'!F139</f>
        <v>886137</v>
      </c>
      <c r="F139" s="148">
        <v>886137</v>
      </c>
      <c r="G139" s="638">
        <f t="shared" si="11"/>
        <v>0</v>
      </c>
      <c r="H139" s="99">
        <f>G139+'17'!H139</f>
        <v>35</v>
      </c>
      <c r="I139" s="118"/>
      <c r="J139" s="348">
        <f>H139/DAY(B2)</f>
        <v>1.9444444444444444</v>
      </c>
    </row>
    <row r="140" spans="1:15" ht="27.75" customHeight="1">
      <c r="A140" s="792" t="s">
        <v>187</v>
      </c>
      <c r="B140" s="792"/>
      <c r="C140" s="792"/>
      <c r="D140" s="151" t="s">
        <v>183</v>
      </c>
      <c r="E140" s="95">
        <f>'17'!F140</f>
        <v>88830</v>
      </c>
      <c r="F140" s="149">
        <v>88838.7</v>
      </c>
      <c r="G140" s="638">
        <f t="shared" si="11"/>
        <v>8.6999999999970896</v>
      </c>
      <c r="H140" s="99">
        <f>G140+'17'!H140</f>
        <v>21.69999999999709</v>
      </c>
      <c r="I140" s="118"/>
      <c r="J140" s="348">
        <f>H140/DAY(B2)</f>
        <v>1.2055555555553938</v>
      </c>
    </row>
    <row r="141" spans="1:15" ht="27.75" customHeight="1">
      <c r="A141" s="771" t="s">
        <v>188</v>
      </c>
      <c r="B141" s="771"/>
      <c r="C141" s="771"/>
      <c r="D141" s="151" t="s">
        <v>183</v>
      </c>
      <c r="E141" s="95">
        <f>'17'!F141</f>
        <v>40503.5</v>
      </c>
      <c r="F141" s="149">
        <v>40694.26</v>
      </c>
      <c r="G141" s="638">
        <f t="shared" si="11"/>
        <v>190.76000000000204</v>
      </c>
      <c r="H141" s="99">
        <f>G141+'17'!H141</f>
        <v>3406.3100000000049</v>
      </c>
      <c r="I141" s="118"/>
      <c r="J141" s="348">
        <f>H141/DAY(B2)</f>
        <v>189.23944444444473</v>
      </c>
    </row>
    <row r="142" spans="1:15" ht="27.75" customHeight="1">
      <c r="A142" s="771" t="s">
        <v>189</v>
      </c>
      <c r="B142" s="771"/>
      <c r="C142" s="771"/>
      <c r="D142" s="151" t="s">
        <v>183</v>
      </c>
      <c r="E142" s="95">
        <f>'17'!F142</f>
        <v>17242.72</v>
      </c>
      <c r="F142" s="148">
        <v>17259.330000000002</v>
      </c>
      <c r="G142" s="638">
        <f t="shared" si="11"/>
        <v>16.610000000000582</v>
      </c>
      <c r="H142" s="99">
        <f>G142+'17'!H142</f>
        <v>297.46000000000276</v>
      </c>
      <c r="I142" s="140"/>
      <c r="J142" s="348">
        <f>H142/DAY(B2)</f>
        <v>16.525555555555709</v>
      </c>
    </row>
    <row r="143" spans="1:15" ht="27.75" customHeight="1">
      <c r="A143" s="792" t="s">
        <v>91</v>
      </c>
      <c r="B143" s="792"/>
      <c r="C143" s="792"/>
      <c r="D143" s="151" t="s">
        <v>183</v>
      </c>
      <c r="E143" s="95">
        <f>'17'!F143</f>
        <v>1825</v>
      </c>
      <c r="F143" s="149">
        <v>1847.76</v>
      </c>
      <c r="G143" s="638">
        <f t="shared" si="11"/>
        <v>22.759999999999991</v>
      </c>
      <c r="H143" s="99">
        <f>G143+'17'!H143</f>
        <v>464.57999999999993</v>
      </c>
      <c r="I143" s="140"/>
      <c r="J143" s="348">
        <f>H143/DAY(B2)</f>
        <v>25.809999999999995</v>
      </c>
    </row>
    <row r="144" spans="1:15" ht="27.75" customHeight="1">
      <c r="A144" s="771" t="s">
        <v>90</v>
      </c>
      <c r="B144" s="771"/>
      <c r="C144" s="771"/>
      <c r="D144" s="151" t="s">
        <v>183</v>
      </c>
      <c r="E144" s="95">
        <f>'17'!F144</f>
        <v>859315</v>
      </c>
      <c r="F144" s="149">
        <v>859562</v>
      </c>
      <c r="G144" s="638">
        <f t="shared" si="11"/>
        <v>247</v>
      </c>
      <c r="H144" s="99">
        <f>G144+'17'!H144</f>
        <v>4193</v>
      </c>
      <c r="I144" s="140"/>
      <c r="J144" s="348">
        <f>H144/DAY(B2)</f>
        <v>232.94444444444446</v>
      </c>
    </row>
    <row r="145" spans="1:10" ht="27.75" customHeight="1">
      <c r="A145" s="792" t="s">
        <v>190</v>
      </c>
      <c r="B145" s="792"/>
      <c r="C145" s="792"/>
      <c r="D145" s="152" t="s">
        <v>183</v>
      </c>
      <c r="E145" s="95">
        <f>'17'!F145</f>
        <v>2847.22</v>
      </c>
      <c r="F145" s="149">
        <v>2886.85</v>
      </c>
      <c r="G145" s="638">
        <f t="shared" si="11"/>
        <v>39.630000000000109</v>
      </c>
      <c r="H145" s="99">
        <f>G145+'17'!H145</f>
        <v>673.84999999999991</v>
      </c>
      <c r="I145" s="140"/>
      <c r="J145" s="348">
        <f>H145/DAY(B2)</f>
        <v>37.436111111111103</v>
      </c>
    </row>
    <row r="146" spans="1:10" ht="27.75" customHeight="1">
      <c r="A146" s="827" t="s">
        <v>191</v>
      </c>
      <c r="B146" s="812"/>
      <c r="C146" s="813"/>
      <c r="D146" s="152" t="s">
        <v>183</v>
      </c>
      <c r="E146" s="95">
        <f>'17'!F146</f>
        <v>705261</v>
      </c>
      <c r="F146" s="148">
        <v>705607</v>
      </c>
      <c r="G146" s="638">
        <f t="shared" si="11"/>
        <v>346</v>
      </c>
      <c r="H146" s="99">
        <f>G146+'17'!H146</f>
        <v>7088</v>
      </c>
      <c r="I146" s="140"/>
      <c r="J146" s="348">
        <f>H146/DAY(B2)</f>
        <v>393.77777777777777</v>
      </c>
    </row>
    <row r="147" spans="1:10" ht="27.75" customHeight="1">
      <c r="A147" s="771" t="s">
        <v>192</v>
      </c>
      <c r="B147" s="771"/>
      <c r="C147" s="771"/>
      <c r="D147" s="152" t="s">
        <v>183</v>
      </c>
      <c r="E147" s="95">
        <f>'17'!F147</f>
        <v>595971.80000000005</v>
      </c>
      <c r="F147" s="148">
        <v>596440.64</v>
      </c>
      <c r="G147" s="638">
        <f t="shared" si="11"/>
        <v>468.8399999999674</v>
      </c>
      <c r="H147" s="99">
        <f>G147+'17'!H147</f>
        <v>7529.7199999999721</v>
      </c>
      <c r="I147" s="140"/>
      <c r="J147" s="348">
        <f>H147/DAY(B2)</f>
        <v>418.3177777777762</v>
      </c>
    </row>
    <row r="148" spans="1:10" ht="27.75" customHeight="1">
      <c r="A148" s="772" t="s">
        <v>193</v>
      </c>
      <c r="B148" s="773"/>
      <c r="C148" s="774"/>
      <c r="D148" s="123" t="s">
        <v>130</v>
      </c>
      <c r="E148" s="95">
        <f>'17'!F148</f>
        <v>669397.64</v>
      </c>
      <c r="F148" s="150">
        <v>669641.80000000005</v>
      </c>
      <c r="G148" s="638">
        <f t="shared" si="11"/>
        <v>244.1600000000326</v>
      </c>
      <c r="H148" s="99">
        <f>G148+'17'!H148</f>
        <v>4533.6800000000512</v>
      </c>
      <c r="I148" s="124"/>
      <c r="J148" s="348">
        <f>H148/DAY(B2)</f>
        <v>251.87111111111395</v>
      </c>
    </row>
    <row r="149" spans="1:10" ht="27.75" customHeight="1">
      <c r="A149" s="772" t="s">
        <v>336</v>
      </c>
      <c r="B149" s="773"/>
      <c r="C149" s="774"/>
      <c r="D149" s="227" t="s">
        <v>130</v>
      </c>
      <c r="E149" s="95">
        <f>'17'!F149</f>
        <v>90445.1</v>
      </c>
      <c r="F149" s="146">
        <v>90811</v>
      </c>
      <c r="G149" s="638">
        <f t="shared" si="11"/>
        <v>365.89999999999418</v>
      </c>
      <c r="H149" s="99">
        <f>G149+'17'!H149</f>
        <v>6064</v>
      </c>
      <c r="I149" s="119"/>
      <c r="J149" s="348">
        <f>H149/DAY(B2)</f>
        <v>336.88888888888891</v>
      </c>
    </row>
    <row r="150" spans="1:10" ht="27.75" customHeight="1">
      <c r="A150" s="772" t="s">
        <v>337</v>
      </c>
      <c r="B150" s="773"/>
      <c r="C150" s="774"/>
      <c r="D150" s="117" t="s">
        <v>130</v>
      </c>
      <c r="E150" s="95">
        <f>'17'!F150</f>
        <v>7167232</v>
      </c>
      <c r="F150" s="233">
        <v>7167232</v>
      </c>
      <c r="G150" s="638">
        <f t="shared" si="11"/>
        <v>0</v>
      </c>
      <c r="H150" s="99">
        <f>G150+'17'!H150</f>
        <v>0</v>
      </c>
      <c r="I150" s="119"/>
      <c r="J150" s="348">
        <f>H150/DAY(B2)</f>
        <v>0</v>
      </c>
    </row>
    <row r="151" spans="1:10" ht="27.75" customHeight="1">
      <c r="A151" s="772" t="s">
        <v>338</v>
      </c>
      <c r="B151" s="773"/>
      <c r="C151" s="774"/>
      <c r="D151" s="117" t="s">
        <v>130</v>
      </c>
      <c r="E151" s="95">
        <f>'17'!F151</f>
        <v>67174</v>
      </c>
      <c r="F151" s="233">
        <v>67432</v>
      </c>
      <c r="G151" s="638">
        <f t="shared" si="11"/>
        <v>258</v>
      </c>
      <c r="H151" s="99">
        <f>G151+'17'!H151</f>
        <v>4422</v>
      </c>
      <c r="I151" s="119"/>
      <c r="J151" s="348">
        <f>H151/DAY(B2)</f>
        <v>245.66666666666666</v>
      </c>
    </row>
    <row r="152" spans="1:10" ht="27.75" customHeight="1">
      <c r="A152" s="772" t="s">
        <v>339</v>
      </c>
      <c r="B152" s="773"/>
      <c r="C152" s="774"/>
      <c r="D152" s="117" t="s">
        <v>130</v>
      </c>
      <c r="E152" s="95">
        <f>'17'!F152</f>
        <v>0</v>
      </c>
      <c r="F152" s="233"/>
      <c r="G152" s="638">
        <f t="shared" si="11"/>
        <v>0</v>
      </c>
      <c r="H152" s="99">
        <f>G152+'17'!H152</f>
        <v>0</v>
      </c>
      <c r="I152" s="119"/>
      <c r="J152" s="348">
        <f>H152/DAY(B2)</f>
        <v>0</v>
      </c>
    </row>
    <row r="153" spans="1:10" ht="27.75" customHeight="1">
      <c r="A153" s="775" t="s">
        <v>196</v>
      </c>
      <c r="B153" s="776"/>
      <c r="C153" s="385"/>
      <c r="D153" s="378"/>
      <c r="E153" s="380"/>
      <c r="F153" s="381"/>
      <c r="G153" s="660">
        <f>SUM(G138:G152)</f>
        <v>2260.3599999999942</v>
      </c>
      <c r="H153" s="383"/>
      <c r="I153" s="119">
        <f>G153-(G38+G52)</f>
        <v>394.38999999999305</v>
      </c>
      <c r="J153" s="386"/>
    </row>
    <row r="154" spans="1:10" ht="27.75" customHeight="1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27.75" customHeight="1">
      <c r="A155" s="771" t="s">
        <v>345</v>
      </c>
      <c r="B155" s="771"/>
      <c r="C155" s="771"/>
      <c r="D155" s="117" t="s">
        <v>130</v>
      </c>
      <c r="E155" s="95">
        <f>'17'!F155</f>
        <v>77400</v>
      </c>
      <c r="F155" s="535">
        <v>77408</v>
      </c>
      <c r="G155" s="638">
        <f t="shared" ref="G155:G156" si="12">F155-E155</f>
        <v>8</v>
      </c>
      <c r="H155" s="99">
        <f>G155+'17'!H155</f>
        <v>133.39999999999418</v>
      </c>
      <c r="I155" s="384"/>
      <c r="J155" s="348">
        <f>H155/DAY(B2)</f>
        <v>7.4111111111107881</v>
      </c>
    </row>
    <row r="156" spans="1:10" ht="27.75" customHeight="1">
      <c r="A156" s="771" t="s">
        <v>347</v>
      </c>
      <c r="B156" s="771"/>
      <c r="C156" s="771"/>
      <c r="D156" s="117" t="s">
        <v>130</v>
      </c>
      <c r="E156" s="95">
        <f>'17'!F156</f>
        <v>0</v>
      </c>
      <c r="F156" s="165"/>
      <c r="G156" s="638">
        <f t="shared" si="12"/>
        <v>0</v>
      </c>
      <c r="H156" s="99">
        <f>G156+'17'!H156</f>
        <v>0</v>
      </c>
      <c r="I156" s="165"/>
      <c r="J156" s="348">
        <f>H156/DAY(B2)</f>
        <v>0</v>
      </c>
    </row>
    <row r="157" spans="1:10" ht="27.75" customHeight="1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7.75" customHeight="1">
      <c r="A158" s="242" t="s">
        <v>92</v>
      </c>
      <c r="B158" s="243"/>
      <c r="C158" s="243"/>
      <c r="D158" s="244" t="s">
        <v>180</v>
      </c>
      <c r="E158" s="95">
        <f>'17'!F158</f>
        <v>469916.64</v>
      </c>
      <c r="F158" s="235">
        <v>469929.44</v>
      </c>
      <c r="G158" s="661">
        <f t="shared" ref="G158:G162" si="13">F158-E158</f>
        <v>12.799999999988358</v>
      </c>
      <c r="H158" s="99">
        <f>G158+'17'!H158</f>
        <v>400.40000000002328</v>
      </c>
      <c r="I158" s="236"/>
      <c r="J158" s="239">
        <f>H158/DAY(B2)</f>
        <v>22.244444444445737</v>
      </c>
    </row>
    <row r="159" spans="1:10" ht="27.75" customHeight="1">
      <c r="A159" s="242" t="s">
        <v>93</v>
      </c>
      <c r="B159" s="243"/>
      <c r="C159" s="243"/>
      <c r="D159" s="244" t="s">
        <v>180</v>
      </c>
      <c r="E159" s="95">
        <f>'17'!F159</f>
        <v>86215.9</v>
      </c>
      <c r="F159" s="235">
        <v>86256</v>
      </c>
      <c r="G159" s="661">
        <f t="shared" si="13"/>
        <v>40.100000000005821</v>
      </c>
      <c r="H159" s="99">
        <f>G159+'17'!H159</f>
        <v>550.39999999999418</v>
      </c>
      <c r="I159" s="236"/>
      <c r="J159" s="239">
        <f>H159/DAY(B2)</f>
        <v>30.577777777777456</v>
      </c>
    </row>
    <row r="160" spans="1:10" ht="27.75" customHeight="1">
      <c r="A160" s="242" t="s">
        <v>197</v>
      </c>
      <c r="B160" s="243"/>
      <c r="C160" s="243"/>
      <c r="D160" s="244" t="s">
        <v>180</v>
      </c>
      <c r="E160" s="95">
        <f>'17'!F160</f>
        <v>74431.899999999994</v>
      </c>
      <c r="F160" s="235">
        <v>74554.5</v>
      </c>
      <c r="G160" s="661">
        <f t="shared" si="13"/>
        <v>122.60000000000582</v>
      </c>
      <c r="H160" s="99">
        <f>G160+'17'!H160</f>
        <v>1217.6000000000058</v>
      </c>
      <c r="I160" s="236"/>
      <c r="J160" s="239">
        <f>H160/DAY(B2)</f>
        <v>67.644444444444773</v>
      </c>
    </row>
    <row r="161" spans="1:10" ht="27.75" customHeight="1">
      <c r="A161" s="242" t="s">
        <v>197</v>
      </c>
      <c r="B161" s="243"/>
      <c r="C161" s="243"/>
      <c r="D161" s="244" t="s">
        <v>180</v>
      </c>
      <c r="E161" s="95">
        <f>'17'!F161</f>
        <v>4029</v>
      </c>
      <c r="F161" s="235">
        <v>4038.52</v>
      </c>
      <c r="G161" s="661">
        <f t="shared" si="13"/>
        <v>9.5199999999999818</v>
      </c>
      <c r="H161" s="99">
        <f>G161+'17'!H161</f>
        <v>65.019999999999982</v>
      </c>
      <c r="I161" s="236"/>
      <c r="J161" s="239">
        <f>H161/DAY(B2)</f>
        <v>3.6122222222222211</v>
      </c>
    </row>
    <row r="162" spans="1:10" ht="27.75" customHeight="1">
      <c r="A162" s="242" t="s">
        <v>309</v>
      </c>
      <c r="B162" s="243"/>
      <c r="C162" s="243"/>
      <c r="D162" s="244" t="s">
        <v>180</v>
      </c>
      <c r="E162" s="95">
        <f>'17'!F162</f>
        <v>29331.99</v>
      </c>
      <c r="F162" s="235">
        <v>29342.1</v>
      </c>
      <c r="G162" s="661">
        <f t="shared" si="13"/>
        <v>10.109999999996944</v>
      </c>
      <c r="H162" s="99">
        <f>G162+'17'!H162</f>
        <v>143.95999999999913</v>
      </c>
      <c r="I162" s="236"/>
      <c r="J162" s="239">
        <f>H162/DAY(B2)</f>
        <v>7.9977777777777295</v>
      </c>
    </row>
    <row r="163" spans="1:10" ht="27.75" customHeight="1">
      <c r="A163" s="780"/>
      <c r="B163" s="780"/>
      <c r="C163" s="247"/>
      <c r="D163" s="244" t="s">
        <v>180</v>
      </c>
      <c r="E163" s="95">
        <f>'17'!F163</f>
        <v>0</v>
      </c>
      <c r="F163" s="165"/>
      <c r="G163" s="658"/>
      <c r="H163" s="99">
        <f>G163+'17'!H163</f>
        <v>0</v>
      </c>
      <c r="I163" s="165"/>
      <c r="J163" s="239">
        <f>H163/DAY(B2)</f>
        <v>0</v>
      </c>
    </row>
    <row r="164" spans="1:10" ht="27.75" customHeight="1">
      <c r="A164" s="780"/>
      <c r="B164" s="780"/>
      <c r="C164" s="247"/>
      <c r="D164" s="244" t="s">
        <v>180</v>
      </c>
      <c r="E164" s="95">
        <f>'17'!F164</f>
        <v>0</v>
      </c>
      <c r="F164" s="165"/>
      <c r="G164" s="658"/>
      <c r="H164" s="99">
        <f>G164+'17'!H164</f>
        <v>0</v>
      </c>
      <c r="I164" s="165"/>
      <c r="J164" s="239">
        <f>H164/DAY(B2)</f>
        <v>0</v>
      </c>
    </row>
    <row r="165" spans="1:10" ht="27.75" customHeight="1">
      <c r="A165" s="780"/>
      <c r="B165" s="780"/>
      <c r="C165" s="247"/>
      <c r="D165" s="244" t="s">
        <v>180</v>
      </c>
      <c r="E165" s="95">
        <f>'17'!F165</f>
        <v>0</v>
      </c>
      <c r="F165" s="165"/>
      <c r="G165" s="658"/>
      <c r="H165" s="99">
        <f>G165+'17'!H165</f>
        <v>0</v>
      </c>
      <c r="I165" s="165"/>
      <c r="J165" s="239">
        <f>H165/DAY(B2)</f>
        <v>0</v>
      </c>
    </row>
    <row r="168" spans="1:10" ht="27.75" customHeight="1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 customHeight="1">
      <c r="A169" s="790"/>
      <c r="B169" s="791"/>
      <c r="C169" s="352"/>
      <c r="D169" s="228"/>
      <c r="E169" s="155"/>
      <c r="F169" s="155"/>
      <c r="G169" s="662"/>
      <c r="H169" s="156"/>
      <c r="I169" s="155"/>
      <c r="J169" s="178"/>
    </row>
    <row r="170" spans="1:10" ht="27.75" customHeight="1">
      <c r="A170" s="786" t="s">
        <v>209</v>
      </c>
      <c r="B170" s="787"/>
      <c r="C170" s="353"/>
      <c r="D170" s="228" t="s">
        <v>142</v>
      </c>
      <c r="E170" s="95">
        <f>'17'!F170</f>
        <v>8050</v>
      </c>
      <c r="F170" s="155">
        <v>8050</v>
      </c>
      <c r="G170" s="662">
        <f>F170-E170</f>
        <v>0</v>
      </c>
      <c r="H170" s="99">
        <f>G170+'17'!H170</f>
        <v>52</v>
      </c>
      <c r="I170" s="155"/>
      <c r="J170" s="178">
        <f>H170/DAY(B2)</f>
        <v>2.8888888888888888</v>
      </c>
    </row>
    <row r="171" spans="1:10" ht="27.75" customHeight="1">
      <c r="A171" s="786" t="s">
        <v>75</v>
      </c>
      <c r="B171" s="787"/>
      <c r="C171" s="353"/>
      <c r="D171" s="228" t="s">
        <v>142</v>
      </c>
      <c r="E171" s="95">
        <f>'17'!F171</f>
        <v>37622</v>
      </c>
      <c r="F171" s="157">
        <v>37636</v>
      </c>
      <c r="G171" s="662">
        <f t="shared" ref="G171:G172" si="14">F171-E171</f>
        <v>14</v>
      </c>
      <c r="H171" s="99">
        <f>G171+'17'!H171</f>
        <v>253</v>
      </c>
      <c r="I171" s="155"/>
      <c r="J171" s="178">
        <f>H171/DAY(B2)</f>
        <v>14.055555555555555</v>
      </c>
    </row>
    <row r="172" spans="1:10" ht="27.75" customHeight="1">
      <c r="A172" s="786" t="s">
        <v>76</v>
      </c>
      <c r="B172" s="826"/>
      <c r="C172" s="787"/>
      <c r="D172" s="228" t="s">
        <v>142</v>
      </c>
      <c r="E172" s="95">
        <f>'17'!F172</f>
        <v>20988</v>
      </c>
      <c r="F172" s="155">
        <v>20999</v>
      </c>
      <c r="G172" s="662">
        <f t="shared" si="14"/>
        <v>11</v>
      </c>
      <c r="H172" s="99">
        <f>G172+'17'!H172</f>
        <v>211</v>
      </c>
      <c r="I172" s="155"/>
      <c r="J172" s="178">
        <f>H172/DAY(B2)</f>
        <v>11.722222222222221</v>
      </c>
    </row>
    <row r="173" spans="1:10" ht="27.75" customHeight="1">
      <c r="A173" s="775" t="s">
        <v>196</v>
      </c>
      <c r="B173" s="776"/>
      <c r="C173" s="547"/>
      <c r="D173" s="228" t="s">
        <v>142</v>
      </c>
      <c r="E173" s="95"/>
      <c r="F173" s="155"/>
      <c r="G173" s="662">
        <f>SUM(G170:G172)</f>
        <v>25</v>
      </c>
      <c r="H173" s="99">
        <f>G173+'17'!H173</f>
        <v>516</v>
      </c>
      <c r="I173" s="155"/>
      <c r="J173" s="178">
        <f>H173/DAY(B2)</f>
        <v>28.666666666666668</v>
      </c>
    </row>
    <row r="174" spans="1:10" ht="27.75" customHeight="1">
      <c r="A174" s="786" t="s">
        <v>77</v>
      </c>
      <c r="B174" s="787"/>
      <c r="C174" s="353"/>
      <c r="D174" s="228" t="s">
        <v>142</v>
      </c>
      <c r="E174" s="95"/>
      <c r="F174" s="155"/>
      <c r="G174" s="662"/>
      <c r="H174" s="99">
        <f>G174+'17'!H174</f>
        <v>0</v>
      </c>
      <c r="I174" s="155"/>
      <c r="J174" s="178">
        <f>H174/DAY(B2)</f>
        <v>0</v>
      </c>
    </row>
    <row r="175" spans="1:10" ht="27.75" customHeight="1">
      <c r="A175" s="786" t="s">
        <v>210</v>
      </c>
      <c r="B175" s="787"/>
      <c r="C175" s="353"/>
      <c r="D175" s="228" t="s">
        <v>142</v>
      </c>
      <c r="E175" s="95">
        <f>'17'!F175</f>
        <v>76049</v>
      </c>
      <c r="F175" s="155">
        <v>76157</v>
      </c>
      <c r="G175" s="662">
        <f>F175-E175</f>
        <v>108</v>
      </c>
      <c r="H175" s="99">
        <f>G175+'17'!H175</f>
        <v>1538</v>
      </c>
      <c r="I175" s="155"/>
      <c r="J175" s="178">
        <f>H175/DAY(B2)</f>
        <v>85.444444444444443</v>
      </c>
    </row>
    <row r="176" spans="1:10" ht="27.75" customHeight="1">
      <c r="A176" s="786" t="s">
        <v>211</v>
      </c>
      <c r="B176" s="787"/>
      <c r="C176" s="353"/>
      <c r="D176" s="228" t="s">
        <v>142</v>
      </c>
      <c r="E176" s="95">
        <f>'17'!F176</f>
        <v>33886</v>
      </c>
      <c r="F176" s="155">
        <v>33886</v>
      </c>
      <c r="G176" s="662">
        <f t="shared" ref="G176:G177" si="15">F176-E176</f>
        <v>0</v>
      </c>
      <c r="H176" s="99">
        <f>G176+'17'!H176</f>
        <v>0</v>
      </c>
      <c r="I176" s="155"/>
      <c r="J176" s="178">
        <f>H176/DAY(B2)</f>
        <v>0</v>
      </c>
    </row>
    <row r="177" spans="1:11" ht="27.75" customHeight="1">
      <c r="A177" s="786" t="s">
        <v>212</v>
      </c>
      <c r="B177" s="787"/>
      <c r="C177" s="353"/>
      <c r="D177" s="228" t="s">
        <v>142</v>
      </c>
      <c r="E177" s="95">
        <f>'17'!F177</f>
        <v>7935</v>
      </c>
      <c r="F177" s="155">
        <v>7935</v>
      </c>
      <c r="G177" s="662">
        <f t="shared" si="15"/>
        <v>0</v>
      </c>
      <c r="H177" s="99">
        <f>G177+'17'!H177</f>
        <v>2894</v>
      </c>
      <c r="I177" s="155"/>
      <c r="J177" s="178">
        <f>H177/DAY(B2)</f>
        <v>160.77777777777777</v>
      </c>
    </row>
    <row r="178" spans="1:11" ht="27.75" customHeight="1">
      <c r="A178" s="788" t="s">
        <v>108</v>
      </c>
      <c r="B178" s="789"/>
      <c r="C178" s="547"/>
      <c r="D178" s="228" t="s">
        <v>142</v>
      </c>
      <c r="E178" s="95"/>
      <c r="F178" s="155"/>
      <c r="G178" s="662">
        <f>SUM(G175:G177)</f>
        <v>108</v>
      </c>
      <c r="H178" s="99">
        <f>G178+'17'!H178</f>
        <v>4432</v>
      </c>
      <c r="I178" s="155"/>
      <c r="J178" s="178">
        <f>H178/DAY(B2)</f>
        <v>246.22222222222223</v>
      </c>
    </row>
    <row r="179" spans="1:11" ht="27.75" customHeight="1">
      <c r="A179" s="786" t="s">
        <v>213</v>
      </c>
      <c r="B179" s="787"/>
      <c r="C179" s="353"/>
      <c r="D179" s="228" t="s">
        <v>142</v>
      </c>
      <c r="E179" s="95"/>
      <c r="F179" s="155"/>
      <c r="G179" s="662"/>
      <c r="H179" s="99">
        <f>G179+'17'!H179</f>
        <v>0</v>
      </c>
      <c r="I179" s="155"/>
      <c r="J179" s="178">
        <f>H179/DAY(B2)</f>
        <v>0</v>
      </c>
    </row>
    <row r="180" spans="1:11" ht="27.75" customHeight="1">
      <c r="A180" s="786" t="s">
        <v>214</v>
      </c>
      <c r="B180" s="787"/>
      <c r="C180" s="354"/>
      <c r="D180" s="228" t="s">
        <v>142</v>
      </c>
      <c r="E180" s="95">
        <f>'17'!F180</f>
        <v>14291</v>
      </c>
      <c r="F180" s="157">
        <v>14302</v>
      </c>
      <c r="G180" s="663">
        <f>F180-E180</f>
        <v>11</v>
      </c>
      <c r="H180" s="99">
        <f>G180+'17'!H180</f>
        <v>271</v>
      </c>
      <c r="I180" s="155"/>
      <c r="J180" s="178">
        <f>H180/DAY(B2)</f>
        <v>15.055555555555555</v>
      </c>
    </row>
    <row r="181" spans="1:11" ht="27.75" customHeight="1">
      <c r="A181" s="786" t="s">
        <v>215</v>
      </c>
      <c r="B181" s="787"/>
      <c r="C181" s="354"/>
      <c r="D181" s="228" t="s">
        <v>142</v>
      </c>
      <c r="E181" s="95">
        <f>'17'!F181</f>
        <v>9901</v>
      </c>
      <c r="F181" s="157">
        <v>9910</v>
      </c>
      <c r="G181" s="663">
        <f t="shared" ref="G181:G182" si="16">F181-E181</f>
        <v>9</v>
      </c>
      <c r="H181" s="99">
        <f>G181+'17'!H181</f>
        <v>156</v>
      </c>
      <c r="I181" s="155"/>
      <c r="J181" s="178">
        <f>H181/DAY(B2)</f>
        <v>8.6666666666666661</v>
      </c>
    </row>
    <row r="182" spans="1:11" ht="27.75" customHeight="1">
      <c r="A182" s="786" t="s">
        <v>216</v>
      </c>
      <c r="B182" s="787"/>
      <c r="C182" s="354"/>
      <c r="D182" s="228" t="s">
        <v>142</v>
      </c>
      <c r="E182" s="95">
        <f>'17'!F182</f>
        <v>0</v>
      </c>
      <c r="F182" s="157"/>
      <c r="G182" s="663">
        <f t="shared" si="16"/>
        <v>0</v>
      </c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775" t="s">
        <v>196</v>
      </c>
      <c r="B183" s="776"/>
      <c r="C183" s="546"/>
      <c r="D183" s="228" t="s">
        <v>142</v>
      </c>
      <c r="E183" s="95"/>
      <c r="F183" s="157"/>
      <c r="G183" s="663">
        <f>SUM(G180:G182)</f>
        <v>20</v>
      </c>
      <c r="H183" s="99">
        <f>G183+'17'!H183</f>
        <v>427</v>
      </c>
      <c r="I183" s="157"/>
      <c r="J183" s="178">
        <f>H183/DAY(B2)</f>
        <v>23.722222222222221</v>
      </c>
    </row>
    <row r="184" spans="1:11" ht="27.75" customHeight="1">
      <c r="A184" s="777" t="s">
        <v>217</v>
      </c>
      <c r="B184" s="778"/>
      <c r="C184" s="353"/>
      <c r="D184" s="230" t="s">
        <v>142</v>
      </c>
      <c r="E184" s="95"/>
      <c r="F184" s="159"/>
      <c r="G184" s="664">
        <f>G62+G19</f>
        <v>203</v>
      </c>
      <c r="H184" s="99">
        <f>G184+'17'!H184</f>
        <v>3128</v>
      </c>
      <c r="I184" s="158"/>
      <c r="J184" s="179">
        <f>H184/DAY(B2)</f>
        <v>173.77777777777777</v>
      </c>
    </row>
    <row r="185" spans="1:11" ht="27.75" customHeight="1">
      <c r="A185" s="777" t="s">
        <v>218</v>
      </c>
      <c r="B185" s="778"/>
      <c r="C185" s="353"/>
      <c r="D185" s="230" t="s">
        <v>142</v>
      </c>
      <c r="E185" s="95"/>
      <c r="F185" s="159"/>
      <c r="G185" s="664">
        <f>G65+G66+G67+G69+G70</f>
        <v>194</v>
      </c>
      <c r="H185" s="99">
        <f>G185+'17'!H185</f>
        <v>717</v>
      </c>
      <c r="I185" s="158"/>
      <c r="J185" s="179">
        <f>H185/DAY(B2)</f>
        <v>39.833333333333336</v>
      </c>
    </row>
    <row r="186" spans="1:11" ht="27.75" customHeight="1">
      <c r="A186" s="777" t="s">
        <v>219</v>
      </c>
      <c r="B186" s="778"/>
      <c r="C186" s="353"/>
      <c r="D186" s="230" t="s">
        <v>142</v>
      </c>
      <c r="E186" s="95"/>
      <c r="F186" s="157"/>
      <c r="G186" s="664">
        <f>G178</f>
        <v>108</v>
      </c>
      <c r="H186" s="99">
        <f>G186+'17'!H186</f>
        <v>4432</v>
      </c>
      <c r="I186" s="158"/>
      <c r="J186" s="179">
        <f>H186/DAY(B2)</f>
        <v>246.22222222222223</v>
      </c>
    </row>
    <row r="187" spans="1:11" ht="23.25" customHeight="1">
      <c r="A187" s="246" t="s">
        <v>361</v>
      </c>
      <c r="B187" s="247"/>
      <c r="C187" s="247"/>
      <c r="D187" s="165"/>
      <c r="E187" s="165"/>
      <c r="F187" s="155">
        <f>'17'!G188</f>
        <v>52864</v>
      </c>
      <c r="G187" s="658">
        <v>52871</v>
      </c>
      <c r="H187" s="238">
        <f>G187-F187</f>
        <v>7</v>
      </c>
      <c r="I187" s="99">
        <f>H187+'15'!I187</f>
        <v>7</v>
      </c>
      <c r="J187" s="236"/>
      <c r="K187" s="239" t="e">
        <f>I187/DAY(C27)</f>
        <v>#DIV/0!</v>
      </c>
    </row>
  </sheetData>
  <mergeCells count="111">
    <mergeCell ref="A153:B153"/>
    <mergeCell ref="A135:B13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68:J168"/>
    <mergeCell ref="A169:B169"/>
    <mergeCell ref="A170:B170"/>
    <mergeCell ref="A171:B171"/>
    <mergeCell ref="A173:B173"/>
    <mergeCell ref="A142:C142"/>
    <mergeCell ref="A157:J157"/>
    <mergeCell ref="A163:B163"/>
    <mergeCell ref="A164:B164"/>
    <mergeCell ref="A165:B165"/>
    <mergeCell ref="A172:C172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85:B185"/>
    <mergeCell ref="A186:B186"/>
    <mergeCell ref="A179:B179"/>
    <mergeCell ref="A180:B180"/>
    <mergeCell ref="A182:B182"/>
    <mergeCell ref="A183:B183"/>
    <mergeCell ref="A184:B184"/>
    <mergeCell ref="A174:B174"/>
    <mergeCell ref="A175:B175"/>
    <mergeCell ref="A176:B176"/>
    <mergeCell ref="A177:B177"/>
    <mergeCell ref="A178:B178"/>
    <mergeCell ref="A181:B181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67"/>
  <sheetViews>
    <sheetView view="pageBreakPreview" topLeftCell="A4" zoomScale="55" zoomScaleNormal="40" zoomScaleSheetLayoutView="55" zoomScalePageLayoutView="60" workbookViewId="0">
      <selection activeCell="I153" sqref="I15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350</v>
      </c>
      <c r="B2" s="266">
        <v>44519</v>
      </c>
      <c r="C2" s="368" t="s">
        <v>67</v>
      </c>
      <c r="D2" s="218">
        <v>0.92979999999999996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'18 '!F7</f>
        <v>96305.81</v>
      </c>
      <c r="F7" s="95">
        <v>121771.45</v>
      </c>
      <c r="G7" s="112">
        <f>F7-E7</f>
        <v>25465.64</v>
      </c>
      <c r="H7" s="99">
        <f>G7+'18 '!H7</f>
        <v>435508.14999999991</v>
      </c>
      <c r="I7" s="113">
        <f>'1'!I7</f>
        <v>12000</v>
      </c>
      <c r="J7" s="175">
        <f>H7/DAY(B2)</f>
        <v>22921.481578947365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'18 '!F8</f>
        <v>129422.53</v>
      </c>
      <c r="F8" s="95">
        <v>155224.89000000001</v>
      </c>
      <c r="G8" s="115">
        <f>F8-E8</f>
        <v>25802.360000000015</v>
      </c>
      <c r="H8" s="99">
        <f>G8+'18 '!H8</f>
        <v>442060.99000000011</v>
      </c>
      <c r="I8" s="116"/>
      <c r="J8" s="175">
        <f>H8/DAY(B2)</f>
        <v>23266.367894736846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'18 '!F9</f>
        <v>1521272.3</v>
      </c>
      <c r="F9" s="373">
        <v>1536840.9</v>
      </c>
      <c r="G9" s="112">
        <f>F9-E9</f>
        <v>15568.59999999986</v>
      </c>
      <c r="H9" s="99">
        <f>G9+'18 '!H9</f>
        <v>275562.39999999991</v>
      </c>
      <c r="I9" s="124">
        <f>I7-J7</f>
        <v>-10921.481578947365</v>
      </c>
      <c r="J9" s="175">
        <f>H9/DAY(B2)</f>
        <v>14503.284210526312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'18 '!F10</f>
        <v>307502.34999999998</v>
      </c>
      <c r="F10" s="373">
        <v>316734.15000000002</v>
      </c>
      <c r="G10" s="112">
        <f t="shared" ref="G10:G12" si="0">F10-E10</f>
        <v>9231.8000000000466</v>
      </c>
      <c r="H10" s="99">
        <f>G10+'18 '!H10</f>
        <v>148350.22000000003</v>
      </c>
      <c r="I10" s="286"/>
      <c r="J10" s="175">
        <f>H10/DAY(B2)</f>
        <v>7807.9063157894752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'18 '!F11</f>
        <v>37000</v>
      </c>
      <c r="F11" s="95">
        <v>37000</v>
      </c>
      <c r="G11" s="112">
        <f t="shared" si="0"/>
        <v>0</v>
      </c>
      <c r="H11" s="99">
        <f>G11+'18 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112">
        <f t="shared" si="0"/>
        <v>0</v>
      </c>
      <c r="H12" s="99">
        <f>G12+'18 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24800.399999999907</v>
      </c>
      <c r="H13" s="99">
        <f>G13+'18 '!H13</f>
        <v>403106.15999999992</v>
      </c>
      <c r="I13" s="120">
        <f>G7-G13</f>
        <v>665.24000000009255</v>
      </c>
      <c r="J13" s="175">
        <f>H13/DAY(B2)</f>
        <v>21216.113684210522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'18 '!F15</f>
        <v>1343948.8</v>
      </c>
      <c r="F15" s="123">
        <v>1344734.4</v>
      </c>
      <c r="G15" s="112">
        <f>(F15-E15)</f>
        <v>785.5999999998603</v>
      </c>
      <c r="H15" s="99">
        <f>G15+'18 '!H15</f>
        <v>18124.909999999945</v>
      </c>
      <c r="I15" s="113">
        <f>'1'!I15</f>
        <v>800</v>
      </c>
      <c r="J15" s="175">
        <f>H15/DAY(B2)</f>
        <v>953.94263157894454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-153.94263157894454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'18 '!F18</f>
        <v>28</v>
      </c>
      <c r="F18" s="122">
        <v>27</v>
      </c>
      <c r="G18" s="119">
        <f>F18*10</f>
        <v>270</v>
      </c>
      <c r="H18" s="99">
        <f>G18+'18 '!H18</f>
        <v>3860</v>
      </c>
      <c r="I18" s="113">
        <f>'1'!I18</f>
        <v>65</v>
      </c>
      <c r="J18" s="175">
        <f>H18/DAY(B2)</f>
        <v>203.15789473684211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'18 '!F19</f>
        <v>149936</v>
      </c>
      <c r="F19" s="122">
        <v>149991</v>
      </c>
      <c r="G19" s="112">
        <f t="shared" ref="G19" si="1">F19-E19</f>
        <v>55</v>
      </c>
      <c r="H19" s="99">
        <f>G19+'18 '!H19</f>
        <v>1074</v>
      </c>
      <c r="I19" s="355"/>
      <c r="J19" s="175">
        <f>H19/DAY(B2)</f>
        <v>56.526315789473685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325</v>
      </c>
      <c r="H20" s="99">
        <f>G20+'18 '!H20</f>
        <v>4934</v>
      </c>
      <c r="I20" s="356">
        <f>I18-J20</f>
        <v>-194.68421052631578</v>
      </c>
      <c r="J20" s="175">
        <f>H20/DAY(B2)</f>
        <v>259.68421052631578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119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'18 '!F23</f>
        <v>2000</v>
      </c>
      <c r="F23" s="122">
        <v>2000</v>
      </c>
      <c r="G23" s="119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119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25802.360000000015</v>
      </c>
      <c r="F27" s="136">
        <v>9</v>
      </c>
      <c r="G27" s="137">
        <f>E27*F27</f>
        <v>232221.24000000014</v>
      </c>
      <c r="H27" s="99">
        <f>G27+'18 '!H27</f>
        <v>3978548.91</v>
      </c>
      <c r="I27" s="138"/>
      <c r="J27" s="175">
        <f>H27/DAY(B2)</f>
        <v>209397.31105263159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785.5999999998603</v>
      </c>
      <c r="F28" s="136">
        <v>52</v>
      </c>
      <c r="G28" s="137">
        <f>E28*F28</f>
        <v>40851.199999992736</v>
      </c>
      <c r="H28" s="99">
        <f>G28+'18 '!H28</f>
        <v>942495.31999999704</v>
      </c>
      <c r="I28" s="140"/>
      <c r="J28" s="175">
        <f>H28/DAY(B2)</f>
        <v>49605.016842105106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G30+'18 '!H30</f>
        <v>156804</v>
      </c>
      <c r="I30" s="140"/>
      <c r="J30" s="175">
        <f>H30/DAY(B2)</f>
        <v>8252.8421052631584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G31+'18 '!H31</f>
        <v>308800</v>
      </c>
      <c r="I31" s="140"/>
      <c r="J31" s="175">
        <f>H31/DAY(B2)</f>
        <v>16252.631578947368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302702.43999999284</v>
      </c>
      <c r="H32" s="99">
        <f>G32+'18 '!H32</f>
        <v>5386648.2299999967</v>
      </c>
      <c r="I32" s="144"/>
      <c r="J32" s="175">
        <f>H32/DAY(B2)</f>
        <v>283507.80157894717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'18 '!F35</f>
        <v>66594.17</v>
      </c>
      <c r="F35" s="145">
        <v>70697.440000000002</v>
      </c>
      <c r="G35" s="112">
        <f t="shared" ref="G35:G46" si="3">F35-E35</f>
        <v>4103.2700000000041</v>
      </c>
      <c r="H35" s="99">
        <f>G35+'18 '!H35</f>
        <v>38222.770000000004</v>
      </c>
      <c r="I35" s="95"/>
      <c r="J35" s="175">
        <f>H35/DAY(B2)</f>
        <v>2011.7247368421056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'18 '!F36</f>
        <v>66030.740000000005</v>
      </c>
      <c r="F36" s="145">
        <v>66838.16</v>
      </c>
      <c r="G36" s="112">
        <f t="shared" si="3"/>
        <v>807.41999999999825</v>
      </c>
      <c r="H36" s="99">
        <f>G36+'18 '!H36</f>
        <v>16898.490000000005</v>
      </c>
      <c r="I36" s="95"/>
      <c r="J36" s="175">
        <f>H36/DAY(B2)</f>
        <v>889.3942105263161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'18 '!F37</f>
        <v>125866.08</v>
      </c>
      <c r="F37" s="145">
        <v>127452.71</v>
      </c>
      <c r="G37" s="112">
        <f t="shared" si="3"/>
        <v>1586.6300000000047</v>
      </c>
      <c r="H37" s="99">
        <f>G37+'18 '!H37</f>
        <v>30398.880000000005</v>
      </c>
      <c r="I37" s="95"/>
      <c r="J37" s="175">
        <f>H37/DAY(B2)</f>
        <v>1599.9410526315792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'18 '!F38</f>
        <v>148039.06</v>
      </c>
      <c r="F38" s="108">
        <v>149847.85</v>
      </c>
      <c r="G38" s="112">
        <f t="shared" si="3"/>
        <v>1808.7900000000081</v>
      </c>
      <c r="H38" s="99">
        <f>G38+'18 '!H38</f>
        <v>34624.810000000012</v>
      </c>
      <c r="I38" s="95"/>
      <c r="J38" s="175">
        <f>H38/DAY(B2)</f>
        <v>1822.3584210526321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'18 '!F39</f>
        <v>285652.01</v>
      </c>
      <c r="F39" s="145">
        <v>288578.90999999997</v>
      </c>
      <c r="G39" s="112">
        <f t="shared" si="3"/>
        <v>2926.8999999999651</v>
      </c>
      <c r="H39" s="99">
        <f>G39+'18 '!H39</f>
        <v>55197.859999999986</v>
      </c>
      <c r="I39" s="95"/>
      <c r="J39" s="175">
        <f>H39/DAY(B2)</f>
        <v>2905.1505263157887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'18 '!F40</f>
        <v>72.27</v>
      </c>
      <c r="F40" s="145">
        <v>75.8</v>
      </c>
      <c r="G40" s="112">
        <f t="shared" si="3"/>
        <v>3.5300000000000011</v>
      </c>
      <c r="H40" s="99">
        <f>G40+'18 '!H40</f>
        <v>119.43</v>
      </c>
      <c r="I40" s="95"/>
      <c r="J40" s="175">
        <f>H40/DAY(B2)</f>
        <v>6.2857894736842113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'18 '!F41</f>
        <v>589883.11</v>
      </c>
      <c r="F41" s="145">
        <v>589883.11</v>
      </c>
      <c r="G41" s="112">
        <f t="shared" si="3"/>
        <v>0</v>
      </c>
      <c r="H41" s="99">
        <f>G41+'18 '!H41</f>
        <v>8024.2800000000279</v>
      </c>
      <c r="I41" s="95"/>
      <c r="J41" s="175">
        <f>H41/DAY(B2)</f>
        <v>422.33052631579096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'18 '!F42</f>
        <v>285961.96999999997</v>
      </c>
      <c r="F42" s="145">
        <v>288105.15000000002</v>
      </c>
      <c r="G42" s="112">
        <f t="shared" si="3"/>
        <v>2143.1800000000512</v>
      </c>
      <c r="H42" s="99">
        <f>G42+'18 '!H42</f>
        <v>17135.48000000004</v>
      </c>
      <c r="I42" s="95"/>
      <c r="J42" s="175">
        <f>H42/DAY(B2)</f>
        <v>901.86736842105472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'18 '!F43</f>
        <v>1494661.4</v>
      </c>
      <c r="F43" s="145">
        <v>1497462.6</v>
      </c>
      <c r="G43" s="112">
        <f t="shared" si="3"/>
        <v>2801.2000000001863</v>
      </c>
      <c r="H43" s="99">
        <f>G43+'18 '!H43</f>
        <v>51375.200000000186</v>
      </c>
      <c r="I43" s="95"/>
      <c r="J43" s="175">
        <f>H43/DAY(B2)</f>
        <v>2703.9578947368518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112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112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112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16180.920000000218</v>
      </c>
      <c r="H47" s="99">
        <f>G47+'18 '!H47</f>
        <v>251997.20000000024</v>
      </c>
      <c r="I47" s="95"/>
      <c r="J47" s="175">
        <f>H47/DAY(B2)</f>
        <v>13263.010526315802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'18 '!F49</f>
        <v>200909.55</v>
      </c>
      <c r="F49" s="145">
        <v>202426.33</v>
      </c>
      <c r="G49" s="112">
        <f t="shared" ref="G49:G58" si="4">F49-E49</f>
        <v>1516.7799999999988</v>
      </c>
      <c r="H49" s="99">
        <f>G49+'18 '!H49</f>
        <v>29695.939999999973</v>
      </c>
      <c r="I49" s="95"/>
      <c r="J49" s="175">
        <f>H49/DAY(B2)</f>
        <v>1562.9442105263145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'18 '!F50</f>
        <v>705912.95</v>
      </c>
      <c r="F50" s="145">
        <v>707673.99</v>
      </c>
      <c r="G50" s="112">
        <f t="shared" si="4"/>
        <v>1761.0400000000373</v>
      </c>
      <c r="H50" s="99">
        <f>G50+'18 '!H50</f>
        <v>23311.679999999935</v>
      </c>
      <c r="I50" s="95"/>
      <c r="J50" s="175">
        <f>H50/DAY(B2)</f>
        <v>1226.930526315786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112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112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112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'18 '!F54</f>
        <v>2962.97</v>
      </c>
      <c r="F54" s="145">
        <v>2968.43</v>
      </c>
      <c r="G54" s="112">
        <f t="shared" si="4"/>
        <v>5.4600000000000364</v>
      </c>
      <c r="H54" s="99">
        <f>G54+'18 '!H54</f>
        <v>100.94000000000005</v>
      </c>
      <c r="I54" s="95"/>
      <c r="J54" s="175">
        <f>H54/DAY(B2)</f>
        <v>5.3126315789473715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'18 '!F55</f>
        <v>0</v>
      </c>
      <c r="F55" s="145">
        <v>0</v>
      </c>
      <c r="G55" s="112">
        <f t="shared" si="4"/>
        <v>0</v>
      </c>
      <c r="H55" s="99">
        <f>G55+'18 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'18 '!F56</f>
        <v>130238.5</v>
      </c>
      <c r="F56" s="145">
        <v>136067.78</v>
      </c>
      <c r="G56" s="112">
        <f t="shared" si="4"/>
        <v>5829.2799999999988</v>
      </c>
      <c r="H56" s="99">
        <f>G56+'18 '!H56</f>
        <v>93227.489999999991</v>
      </c>
      <c r="I56" s="95"/>
      <c r="J56" s="175">
        <f>H56/DAY(B2)</f>
        <v>4906.7099999999991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112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'18 '!F58</f>
        <v>82734.350000000006</v>
      </c>
      <c r="F58" s="145">
        <v>82946.19</v>
      </c>
      <c r="G58" s="112">
        <f t="shared" si="4"/>
        <v>211.83999999999651</v>
      </c>
      <c r="H58" s="99">
        <f>G58+'18 '!H58</f>
        <v>3926.2900000000081</v>
      </c>
      <c r="I58" s="95"/>
      <c r="J58" s="175">
        <f>H58/DAY(B2)</f>
        <v>206.64684210526357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9324.4000000000306</v>
      </c>
      <c r="H59" s="99">
        <f>G59+'18 '!H59</f>
        <v>150262.33999999988</v>
      </c>
      <c r="I59" s="95">
        <f>G7-G60</f>
        <v>-39.680000000247674</v>
      </c>
      <c r="J59" s="175">
        <f>H59/DAY(B2)</f>
        <v>7908.5442105263091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25505.320000000247</v>
      </c>
      <c r="H60" s="99">
        <f>G60+'18 '!H60</f>
        <v>402259.5400000001</v>
      </c>
      <c r="I60" s="95">
        <f>G13-G60</f>
        <v>-704.92000000034022</v>
      </c>
      <c r="J60" s="175">
        <f>H60/DAY(B2)</f>
        <v>21171.55473684211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'18 '!F62</f>
        <v>261927</v>
      </c>
      <c r="F62" s="122">
        <v>262049</v>
      </c>
      <c r="G62" s="112">
        <f t="shared" ref="G62:G63" si="5">F62-E62</f>
        <v>122</v>
      </c>
      <c r="H62" s="99">
        <f>G62+'18 '!H62</f>
        <v>2231</v>
      </c>
      <c r="I62" s="118"/>
      <c r="J62" s="175">
        <f>H62/DAY(B2)</f>
        <v>117.42105263157895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'18 '!F63</f>
        <v>207963</v>
      </c>
      <c r="F63" s="122">
        <v>208039</v>
      </c>
      <c r="G63" s="112">
        <f t="shared" si="5"/>
        <v>76</v>
      </c>
      <c r="H63" s="99">
        <f>G63+'18 '!H63</f>
        <v>1769</v>
      </c>
      <c r="I63" s="118"/>
      <c r="J63" s="175">
        <f>H63/DAY(B2)</f>
        <v>93.10526315789474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'18 '!F64</f>
        <v>0</v>
      </c>
      <c r="F64" s="122"/>
      <c r="G64" s="112">
        <f>G62+G63</f>
        <v>198</v>
      </c>
      <c r="H64" s="99">
        <f>G64+'18 '!H64</f>
        <v>4000</v>
      </c>
      <c r="I64" s="118"/>
      <c r="J64" s="175">
        <f>H64/DAY(B2)</f>
        <v>210.52631578947367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'18 '!F65</f>
        <v>428037</v>
      </c>
      <c r="F65" s="122">
        <v>428132</v>
      </c>
      <c r="G65" s="112">
        <f t="shared" ref="G65:G70" si="6">F65-E65</f>
        <v>95</v>
      </c>
      <c r="H65" s="99">
        <f>G65+'18 '!H65</f>
        <v>1927</v>
      </c>
      <c r="I65" s="118"/>
      <c r="J65" s="175">
        <f>H65/DAY(B2)</f>
        <v>101.42105263157895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'18 '!F66</f>
        <v>106384</v>
      </c>
      <c r="F66" s="122">
        <v>106407</v>
      </c>
      <c r="G66" s="112">
        <f t="shared" si="6"/>
        <v>23</v>
      </c>
      <c r="H66" s="99">
        <f>G66+'18 '!H66</f>
        <v>437</v>
      </c>
      <c r="I66" s="118"/>
      <c r="J66" s="175">
        <f>H66/DAY(B2)</f>
        <v>23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'18 '!F67</f>
        <v>102652</v>
      </c>
      <c r="F67" s="122">
        <v>102685</v>
      </c>
      <c r="G67" s="112">
        <f t="shared" si="6"/>
        <v>33</v>
      </c>
      <c r="H67" s="99">
        <f>G67+'18 '!H67</f>
        <v>514</v>
      </c>
      <c r="I67" s="118"/>
      <c r="J67" s="175">
        <f>H67/DAY(B2)</f>
        <v>27.05263157894737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'18 '!F68</f>
        <v>155074</v>
      </c>
      <c r="F68" s="122">
        <v>155096</v>
      </c>
      <c r="G68" s="112">
        <f t="shared" si="6"/>
        <v>22</v>
      </c>
      <c r="H68" s="99">
        <f>G68+'18 '!H68</f>
        <v>600</v>
      </c>
      <c r="I68" s="118"/>
      <c r="J68" s="175">
        <f>H68/DAY(B2)</f>
        <v>31.578947368421051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'18 '!F69</f>
        <v>9687</v>
      </c>
      <c r="F69" s="122">
        <v>9699</v>
      </c>
      <c r="G69" s="112">
        <f t="shared" si="6"/>
        <v>12</v>
      </c>
      <c r="H69" s="99">
        <f>G69+'18 '!H69</f>
        <v>234</v>
      </c>
      <c r="I69" s="118"/>
      <c r="J69" s="175">
        <f>H69/DAY(B2)</f>
        <v>12.315789473684211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'18 '!F70</f>
        <v>7397</v>
      </c>
      <c r="F70" s="122">
        <v>7405</v>
      </c>
      <c r="G70" s="112">
        <f t="shared" si="6"/>
        <v>8</v>
      </c>
      <c r="H70" s="99">
        <f>G70+'18 '!H70</f>
        <v>202</v>
      </c>
      <c r="I70" s="118"/>
      <c r="J70" s="175">
        <f>H70/DAY(B2)</f>
        <v>10.631578947368421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95">
        <f>'18 '!F71</f>
        <v>0</v>
      </c>
      <c r="F71" s="152"/>
      <c r="G71" s="153">
        <f>SUM(G65:G70)</f>
        <v>193</v>
      </c>
      <c r="H71" s="99">
        <f>G71+'18 '!H71</f>
        <v>3914</v>
      </c>
      <c r="I71" s="154"/>
      <c r="J71" s="175">
        <f>H71/DAY(B2)</f>
        <v>206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'18 '!F74</f>
        <v>878771.75</v>
      </c>
      <c r="F74" s="117">
        <v>879057.77</v>
      </c>
      <c r="G74" s="112">
        <f t="shared" ref="G74:G78" si="7">F74-E74</f>
        <v>286.02000000001863</v>
      </c>
      <c r="H74" s="99">
        <f>G74+'18 '!H74</f>
        <v>5472.5389999999898</v>
      </c>
      <c r="I74" s="154"/>
      <c r="J74" s="175">
        <f>H74/DAY(B2)</f>
        <v>288.02836842105211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'18 '!F75</f>
        <v>73586.399999999994</v>
      </c>
      <c r="F75" s="123">
        <v>73586.8</v>
      </c>
      <c r="G75" s="112">
        <f t="shared" si="7"/>
        <v>0.40000000000873115</v>
      </c>
      <c r="H75" s="99">
        <f>G75+'18 '!H75</f>
        <v>3.4000000000087311</v>
      </c>
      <c r="I75" s="154"/>
      <c r="J75" s="175">
        <f>H75/DAY(B2)</f>
        <v>0.17894736842151215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'18 '!F76</f>
        <v>161896.1</v>
      </c>
      <c r="F76" s="123">
        <v>162021.79999999999</v>
      </c>
      <c r="G76" s="112">
        <f t="shared" si="7"/>
        <v>125.69999999998254</v>
      </c>
      <c r="H76" s="99">
        <f>G76+'18 '!H76</f>
        <v>2036.2999999999884</v>
      </c>
      <c r="I76" s="154"/>
      <c r="J76" s="175">
        <f>H76/DAY(B2)</f>
        <v>107.17368421052571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'18 '!F77</f>
        <v>38229.9</v>
      </c>
      <c r="F77" s="123">
        <v>38269.800000000003</v>
      </c>
      <c r="G77" s="112">
        <f t="shared" si="7"/>
        <v>39.900000000001455</v>
      </c>
      <c r="H77" s="99">
        <f>G77+'18 '!H77</f>
        <v>772.30000000000291</v>
      </c>
      <c r="I77" s="154"/>
      <c r="J77" s="175">
        <f>H77/DAY(B2)</f>
        <v>40.647368421052782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'18 '!F78</f>
        <v>9366.7999999999993</v>
      </c>
      <c r="F78" s="123">
        <v>9368.4</v>
      </c>
      <c r="G78" s="112">
        <f t="shared" si="7"/>
        <v>1.6000000000003638</v>
      </c>
      <c r="H78" s="99">
        <f>G78+'18 '!H78</f>
        <v>39</v>
      </c>
      <c r="I78" s="118"/>
      <c r="J78" s="175">
        <f>H78/DAY(B2)</f>
        <v>2.0526315789473686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'18 '!F79</f>
        <v>0</v>
      </c>
      <c r="F79" s="123"/>
      <c r="G79" s="112">
        <f>G15-SUM(G74:G78)</f>
        <v>331.97999999984859</v>
      </c>
      <c r="H79" s="99">
        <f>G79+'18 '!H79</f>
        <v>9801.3709999999537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785.5999999998603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'18 '!F82</f>
        <v>0</v>
      </c>
      <c r="F82" s="122">
        <v>0</v>
      </c>
      <c r="G82" s="112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'18 '!F83</f>
        <v>0</v>
      </c>
      <c r="F83" s="122">
        <v>0</v>
      </c>
      <c r="G83" s="112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'18 '!F84</f>
        <v>41625.31</v>
      </c>
      <c r="F84" s="164">
        <v>41625.31</v>
      </c>
      <c r="G84" s="112">
        <f t="shared" si="8"/>
        <v>0</v>
      </c>
      <c r="H84" s="99">
        <f>G84+'18 '!H84</f>
        <v>39.75</v>
      </c>
      <c r="I84" s="118"/>
      <c r="J84" s="175">
        <f>H84/DAY(B2)</f>
        <v>2.0921052631578947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'18 '!F85</f>
        <v>1374.36</v>
      </c>
      <c r="F85" s="164">
        <v>1383.49</v>
      </c>
      <c r="G85" s="112">
        <f t="shared" si="8"/>
        <v>9.1300000000001091</v>
      </c>
      <c r="H85" s="99">
        <f>G85+'18 '!H85</f>
        <v>78.490000000000009</v>
      </c>
      <c r="I85" s="118">
        <f>G82+G83+G84+G85</f>
        <v>9.1300000000001091</v>
      </c>
      <c r="J85" s="175">
        <f>H85/DAY(B2)</f>
        <v>4.1310526315789478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'18 '!F86</f>
        <v>42826.47</v>
      </c>
      <c r="F86" s="164">
        <v>42826.47</v>
      </c>
      <c r="G86" s="112">
        <f t="shared" si="8"/>
        <v>0</v>
      </c>
      <c r="H86" s="99">
        <f>G86+'18 '!H86</f>
        <v>0.47000000000116415</v>
      </c>
      <c r="I86" s="118"/>
      <c r="J86" s="175">
        <f>H86/DAY(B2)</f>
        <v>2.4736842105324428E-2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'18 '!F87</f>
        <v>34155.1</v>
      </c>
      <c r="F87" s="164">
        <v>34179.120000000003</v>
      </c>
      <c r="G87" s="112">
        <f t="shared" si="8"/>
        <v>24.020000000004075</v>
      </c>
      <c r="H87" s="99">
        <f>G87+'18 '!H87</f>
        <v>431.12000000000262</v>
      </c>
      <c r="I87" s="118"/>
      <c r="J87" s="175">
        <f>H87/DAY(B2)</f>
        <v>22.690526315789612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'18 '!F88</f>
        <v>23901.79</v>
      </c>
      <c r="F88" s="164">
        <v>23901.88</v>
      </c>
      <c r="G88" s="112">
        <f t="shared" si="8"/>
        <v>9.0000000000145519E-2</v>
      </c>
      <c r="H88" s="99">
        <f>G88+'18 '!H88</f>
        <v>68.31000000000131</v>
      </c>
      <c r="I88" s="118">
        <f>G86+G87+G88</f>
        <v>24.11000000000422</v>
      </c>
      <c r="J88" s="175">
        <f>H88/DAY(B2)</f>
        <v>3.5952631578948058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'18 '!F89</f>
        <v>25353.81</v>
      </c>
      <c r="F89" s="164">
        <v>25364.36</v>
      </c>
      <c r="G89" s="112">
        <f t="shared" si="8"/>
        <v>10.549999999999272</v>
      </c>
      <c r="H89" s="99">
        <f>G89+'18 '!H89</f>
        <v>118.97999999999956</v>
      </c>
      <c r="I89" s="118"/>
      <c r="J89" s="175">
        <f>H89/DAY(B2)</f>
        <v>6.2621052631578715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'18 '!F90</f>
        <v>70750.460000000006</v>
      </c>
      <c r="F90" s="164">
        <v>70757</v>
      </c>
      <c r="G90" s="112">
        <f t="shared" si="8"/>
        <v>6.5399999999935972</v>
      </c>
      <c r="H90" s="99">
        <f>G90+'18 '!H90</f>
        <v>101.58999999999651</v>
      </c>
      <c r="I90" s="118">
        <f>G89+G90</f>
        <v>17.08999999999287</v>
      </c>
      <c r="J90" s="175">
        <f>H90/DAY(B2)</f>
        <v>5.346842105262974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'18 '!F91</f>
        <v>3226.32</v>
      </c>
      <c r="F91" s="122">
        <v>3226.32</v>
      </c>
      <c r="G91" s="112">
        <f t="shared" si="8"/>
        <v>0</v>
      </c>
      <c r="H91" s="99">
        <f>G91+'18 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'18 '!F92</f>
        <v>4974.01</v>
      </c>
      <c r="F92" s="122">
        <v>4983.99</v>
      </c>
      <c r="G92" s="112">
        <f t="shared" si="8"/>
        <v>9.9799999999995634</v>
      </c>
      <c r="H92" s="99">
        <f>G92+'18 '!H92</f>
        <v>192.17000000000007</v>
      </c>
      <c r="I92" s="165"/>
      <c r="J92" s="175">
        <f>H92/DAY(B2)</f>
        <v>10.114210526315793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8421.2500000001892</v>
      </c>
      <c r="H94" s="99">
        <f>G94+'18 '!H94</f>
        <v>119293.91000000016</v>
      </c>
      <c r="I94" s="118"/>
      <c r="J94" s="175">
        <f>H94/DAY(B2)</f>
        <v>6278.6268421052719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0.33069068753034242</v>
      </c>
      <c r="H95" s="99">
        <f>G95+'18 '!H95</f>
        <v>5.2271108199428893</v>
      </c>
      <c r="I95" s="167"/>
      <c r="J95" s="175">
        <f>H95/DAY(B2)</f>
        <v>0.27511109578646786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7972.4600000000501</v>
      </c>
      <c r="H96" s="99">
        <f>G96+'18 '!H96</f>
        <v>118387.25000000006</v>
      </c>
      <c r="I96" s="118"/>
      <c r="J96" s="175">
        <f>H96/DAY(B2)</f>
        <v>6230.9078947368453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0.31306733308096912</v>
      </c>
      <c r="H97" s="99">
        <f>G97+'18 '!H97</f>
        <v>5.120356185498447</v>
      </c>
      <c r="I97" s="167"/>
      <c r="J97" s="175">
        <f>H97/DAY(B2)</f>
        <v>0.26949243081570773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2926.8999999999651</v>
      </c>
      <c r="H98" s="99">
        <f>G98+'18 '!H98</f>
        <v>55197.859999999986</v>
      </c>
      <c r="I98" s="168"/>
      <c r="J98" s="175">
        <f>H98/DAY(B2)</f>
        <v>2905.1505263157887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0.1149352617880393</v>
      </c>
      <c r="H99" s="99">
        <f>G99+'18 '!H99</f>
        <v>2.4221180808812575</v>
      </c>
      <c r="I99" s="168"/>
      <c r="J99" s="175">
        <f>H99/DAY(B2)</f>
        <v>0.1274798989937504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1808.7900000000081</v>
      </c>
      <c r="H100" s="99">
        <f>G100+'18 '!H100</f>
        <v>34624.810000000012</v>
      </c>
      <c r="I100" s="118"/>
      <c r="J100" s="175">
        <f>H100/DAY(B2)</f>
        <v>1822.3584210526321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7.1028648798930963E-2</v>
      </c>
      <c r="H101" s="99">
        <f>G101+'18 '!H101</f>
        <v>1.5185646870287246</v>
      </c>
      <c r="I101" s="168"/>
      <c r="J101" s="175">
        <f>H101/DAY(B2)</f>
        <v>7.9924457212038141E-2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2568.4600000000355</v>
      </c>
      <c r="H102" s="99">
        <f>G102+'18 '!H102</f>
        <v>40210.16999999994</v>
      </c>
      <c r="I102" s="168"/>
      <c r="J102" s="175">
        <f>H102/DAY(B2)</f>
        <v>2116.3247368421021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0.10085982523902935</v>
      </c>
      <c r="H103" s="99">
        <f>G103+'18 '!H103</f>
        <v>1.7455146412380682</v>
      </c>
      <c r="I103" s="118"/>
      <c r="J103" s="175">
        <f>H103/DAY(B2)</f>
        <v>9.1869191644108852E-2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1586.6300000000047</v>
      </c>
      <c r="H104" s="99">
        <f>G104+'18 '!H104</f>
        <v>30398.880000000005</v>
      </c>
      <c r="I104" s="118"/>
      <c r="J104" s="175">
        <f>H104/DAY(B2)</f>
        <v>1599.9410526315792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6.2304736892534594E-2</v>
      </c>
      <c r="H105" s="99">
        <f>G105+'18 '!H105</f>
        <v>1.3321999106837477</v>
      </c>
      <c r="I105" s="187"/>
      <c r="J105" s="188">
        <f>H105/DAY(B2)</f>
        <v>7.0115784772828829E-2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'18 '!F112</f>
        <v>52370.33</v>
      </c>
      <c r="F112" s="237">
        <v>52452</v>
      </c>
      <c r="G112" s="112">
        <f t="shared" ref="G112:G123" si="9">F112-E112</f>
        <v>81.669999999998254</v>
      </c>
      <c r="H112" s="99">
        <f>G112+'18 '!H112</f>
        <v>1562.9199999999983</v>
      </c>
      <c r="I112" s="165"/>
      <c r="J112" s="348">
        <f>H112/DAY(B2)</f>
        <v>82.258947368420962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'18 '!F113</f>
        <v>12535.13</v>
      </c>
      <c r="F113" s="237">
        <v>12988.8</v>
      </c>
      <c r="G113" s="112">
        <f t="shared" si="9"/>
        <v>453.67000000000007</v>
      </c>
      <c r="H113" s="99">
        <f>G113+'18 '!H113</f>
        <v>8483.15</v>
      </c>
      <c r="I113" s="165"/>
      <c r="J113" s="348">
        <f>H113/DAY(B2)</f>
        <v>446.4815789473684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'18 '!F114</f>
        <v>9896.1200000000008</v>
      </c>
      <c r="F114" s="237">
        <v>10165.799999999999</v>
      </c>
      <c r="G114" s="112">
        <f t="shared" si="9"/>
        <v>269.67999999999847</v>
      </c>
      <c r="H114" s="99">
        <f>G114+'18 '!H114</f>
        <v>6359.6899999999987</v>
      </c>
      <c r="I114" s="165"/>
      <c r="J114" s="348">
        <f>H114/DAY(B2)</f>
        <v>334.72052631578941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'18 '!F115</f>
        <v>8283.66</v>
      </c>
      <c r="F115" s="237">
        <v>8292.7999999999993</v>
      </c>
      <c r="G115" s="112">
        <f t="shared" si="9"/>
        <v>9.1399999999994179</v>
      </c>
      <c r="H115" s="99">
        <f>G115+'18 '!H115</f>
        <v>215.38999999999942</v>
      </c>
      <c r="I115" s="165"/>
      <c r="J115" s="348">
        <f>H115/DAY(B2)</f>
        <v>11.336315789473653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'18 '!F116</f>
        <v>0</v>
      </c>
      <c r="F116" s="237">
        <v>0</v>
      </c>
      <c r="G116" s="112">
        <f t="shared" si="9"/>
        <v>0</v>
      </c>
      <c r="H116" s="99">
        <f>G116+'18 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'18 '!F117</f>
        <v>1693.73</v>
      </c>
      <c r="F117" s="237">
        <v>1714.63</v>
      </c>
      <c r="G117" s="112">
        <f t="shared" si="9"/>
        <v>20.900000000000091</v>
      </c>
      <c r="H117" s="99">
        <f>G117+'18 '!H117</f>
        <v>556.44000000000005</v>
      </c>
      <c r="I117" s="165"/>
      <c r="J117" s="348">
        <f>H117/DAY(B2)</f>
        <v>29.286315789473687</v>
      </c>
      <c r="Q117" s="793" t="s">
        <v>312</v>
      </c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'18 '!F118</f>
        <v>225144.31</v>
      </c>
      <c r="F118" s="237">
        <v>225543.79</v>
      </c>
      <c r="G118" s="112">
        <f t="shared" si="9"/>
        <v>399.48000000001048</v>
      </c>
      <c r="H118" s="99">
        <f>G118+'18 '!H118</f>
        <v>6691.8600000000151</v>
      </c>
      <c r="I118" s="165"/>
      <c r="J118" s="348">
        <f>H118/DAY(B2)</f>
        <v>352.20315789473761</v>
      </c>
      <c r="Q118" s="793" t="s">
        <v>311</v>
      </c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'18 '!F119</f>
        <v>226542.63</v>
      </c>
      <c r="F119" s="237">
        <v>226971.97</v>
      </c>
      <c r="G119" s="112">
        <f t="shared" si="9"/>
        <v>429.33999999999651</v>
      </c>
      <c r="H119" s="99">
        <f>G119+'18 '!H119</f>
        <v>8160.8600000000151</v>
      </c>
      <c r="I119" s="165"/>
      <c r="J119" s="348">
        <f>H119/DAY(B2)</f>
        <v>429.51894736842183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'18 '!F120</f>
        <v>12006.048000000001</v>
      </c>
      <c r="F120" s="237">
        <v>12442.01</v>
      </c>
      <c r="G120" s="112">
        <f t="shared" si="9"/>
        <v>435.96199999999953</v>
      </c>
      <c r="H120" s="99">
        <f>G120+'18 '!H120</f>
        <v>8134.41</v>
      </c>
      <c r="I120" s="165"/>
      <c r="J120" s="348">
        <f>H120/DAY(B2)</f>
        <v>428.12684210526317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'18 '!F121</f>
        <v>344052.19</v>
      </c>
      <c r="F121" s="237">
        <v>344805</v>
      </c>
      <c r="G121" s="112">
        <f t="shared" si="9"/>
        <v>752.80999999999767</v>
      </c>
      <c r="H121" s="99">
        <f>G121+'18 '!H121</f>
        <v>13567.489999999991</v>
      </c>
      <c r="I121" s="165"/>
      <c r="J121" s="348">
        <f>H121/DAY(B2)</f>
        <v>714.07842105263114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'18 '!F122</f>
        <v>107064.73</v>
      </c>
      <c r="F122" s="237">
        <v>107370.26</v>
      </c>
      <c r="G122" s="112">
        <f t="shared" si="9"/>
        <v>305.52999999999884</v>
      </c>
      <c r="H122" s="99">
        <f>G122+'18 '!H122</f>
        <v>5761.3799999999901</v>
      </c>
      <c r="I122" s="165"/>
      <c r="J122" s="348">
        <f>H122/DAY(B2)</f>
        <v>303.23052631578895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'18 '!F123</f>
        <v>131001.28</v>
      </c>
      <c r="F123" s="237">
        <v>131264.01999999999</v>
      </c>
      <c r="G123" s="112">
        <f t="shared" si="9"/>
        <v>262.73999999999069</v>
      </c>
      <c r="H123" s="99">
        <f>G123+'18 '!H123</f>
        <v>5516.2599999999948</v>
      </c>
      <c r="I123" s="165"/>
      <c r="J123" s="348">
        <f>H123/DAY(B2)</f>
        <v>290.32947368421026</v>
      </c>
    </row>
    <row r="124" spans="1:18" ht="29.25" customHeight="1">
      <c r="A124" s="797"/>
      <c r="B124" s="798"/>
      <c r="C124" s="799"/>
      <c r="D124" s="165"/>
      <c r="E124" s="95">
        <f>'18 '!F124</f>
        <v>0</v>
      </c>
      <c r="F124" s="165"/>
      <c r="G124" s="347"/>
      <c r="H124" s="156"/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3420.92199999999</v>
      </c>
      <c r="H125" s="156"/>
      <c r="I125" s="347">
        <f>G125-(G39+G53)</f>
        <v>494.02200000002495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G127+'18 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'18 '!F128</f>
        <v>23746.19</v>
      </c>
      <c r="F128" s="165">
        <v>24043.86</v>
      </c>
      <c r="G128" s="112">
        <f t="shared" ref="G128:G134" si="10">F128-E128</f>
        <v>297.67000000000189</v>
      </c>
      <c r="H128" s="99">
        <f>G128+'18 '!H128</f>
        <v>6020.1399999999994</v>
      </c>
      <c r="I128" s="165"/>
      <c r="J128" s="348">
        <f>H128/DAY(B2)</f>
        <v>316.84947368421052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'18 '!F129</f>
        <v>10318.19</v>
      </c>
      <c r="F129" s="165">
        <v>10502.72</v>
      </c>
      <c r="G129" s="112">
        <f t="shared" si="10"/>
        <v>184.52999999999884</v>
      </c>
      <c r="H129" s="99">
        <f>G129+'18 '!H129</f>
        <v>3907.0099999999993</v>
      </c>
      <c r="I129" s="165"/>
      <c r="J129" s="348">
        <f>H129/DAY(B2)</f>
        <v>205.63210526315785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'18 '!F130</f>
        <v>71801.78</v>
      </c>
      <c r="F130" s="165">
        <v>74667.7</v>
      </c>
      <c r="G130" s="112">
        <f t="shared" si="10"/>
        <v>2865.9199999999983</v>
      </c>
      <c r="H130" s="99">
        <f>G130+'18 '!H130</f>
        <v>48199.67</v>
      </c>
      <c r="I130" s="165"/>
      <c r="J130" s="348">
        <f>H130/DAY(B2)</f>
        <v>2536.8247368421053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'18 '!F131</f>
        <v>6982.73</v>
      </c>
      <c r="F131" s="165">
        <v>7166.58</v>
      </c>
      <c r="G131" s="112">
        <f t="shared" si="10"/>
        <v>183.85000000000036</v>
      </c>
      <c r="H131" s="99">
        <f>G131+'18 '!H131</f>
        <v>3020.1099999999997</v>
      </c>
      <c r="I131" s="165"/>
      <c r="J131" s="348">
        <f>H131/DAY(B2)</f>
        <v>158.95315789473682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'18 '!F132</f>
        <v>20729.580000000002</v>
      </c>
      <c r="F132" s="165">
        <v>21111.200000000001</v>
      </c>
      <c r="G132" s="112">
        <f t="shared" si="10"/>
        <v>381.61999999999898</v>
      </c>
      <c r="H132" s="99">
        <f>G132+'18 '!H132</f>
        <v>9573.4800000000014</v>
      </c>
      <c r="I132" s="165"/>
      <c r="J132" s="348">
        <f>H132/DAY(B2)</f>
        <v>503.86736842105273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'18 '!F133</f>
        <v>53567.48</v>
      </c>
      <c r="F133" s="165">
        <v>54360.63</v>
      </c>
      <c r="G133" s="112">
        <f t="shared" si="10"/>
        <v>793.14999999999418</v>
      </c>
      <c r="H133" s="99">
        <f>G133+'18 '!H133</f>
        <v>13511.339999999997</v>
      </c>
      <c r="I133" s="165"/>
      <c r="J133" s="348">
        <f>H133/DAY(B2)</f>
        <v>711.12315789473666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'18 '!F134</f>
        <v>643607</v>
      </c>
      <c r="F134" s="165">
        <v>644244</v>
      </c>
      <c r="G134" s="112">
        <f t="shared" si="10"/>
        <v>637</v>
      </c>
      <c r="H134" s="99">
        <f>G134+'18 '!H134</f>
        <v>11980</v>
      </c>
      <c r="I134" s="165"/>
      <c r="J134" s="348">
        <f>H134/DAY(B2)</f>
        <v>630.52631578947364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SUM(G128:G134)</f>
        <v>5343.7399999999925</v>
      </c>
      <c r="H135" s="99">
        <f>G135+'10'!H135</f>
        <v>55524.799999999988</v>
      </c>
      <c r="I135" s="347">
        <f>G135-(G35+G49)</f>
        <v>-276.3100000000104</v>
      </c>
      <c r="J135" s="348"/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'18 '!F138</f>
        <v>860604</v>
      </c>
      <c r="F138" s="147">
        <v>860649</v>
      </c>
      <c r="G138" s="112">
        <f t="shared" ref="G138:G152" si="11">F138-E138</f>
        <v>45</v>
      </c>
      <c r="H138" s="99">
        <f>G138+'18 '!H138</f>
        <v>1002</v>
      </c>
      <c r="I138" s="118"/>
      <c r="J138" s="348">
        <f>H138/DAY(B2)</f>
        <v>52.736842105263158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'18 '!F139</f>
        <v>886137</v>
      </c>
      <c r="F139" s="148">
        <v>886139</v>
      </c>
      <c r="G139" s="112">
        <f t="shared" si="11"/>
        <v>2</v>
      </c>
      <c r="H139" s="99">
        <f>G139+'18 '!H139</f>
        <v>37</v>
      </c>
      <c r="I139" s="118"/>
      <c r="J139" s="348">
        <f>H139/DAY(B2)</f>
        <v>1.9473684210526316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'18 '!F140</f>
        <v>88838.7</v>
      </c>
      <c r="F140" s="149">
        <v>88840</v>
      </c>
      <c r="G140" s="112">
        <f t="shared" si="11"/>
        <v>1.3000000000029104</v>
      </c>
      <c r="H140" s="99">
        <f>G140+'18 '!H140</f>
        <v>23</v>
      </c>
      <c r="I140" s="118"/>
      <c r="J140" s="348">
        <f>H140/DAY(B2)</f>
        <v>1.2105263157894737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'18 '!F141</f>
        <v>40694.26</v>
      </c>
      <c r="F141" s="149">
        <v>40894.550000000003</v>
      </c>
      <c r="G141" s="112">
        <f t="shared" si="11"/>
        <v>200.29000000000087</v>
      </c>
      <c r="H141" s="99">
        <f>G141+'18 '!H141</f>
        <v>3606.6000000000058</v>
      </c>
      <c r="I141" s="118"/>
      <c r="J141" s="348">
        <f>H141/DAY(B2)</f>
        <v>189.82105263157925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'18 '!F142</f>
        <v>17259.330000000002</v>
      </c>
      <c r="F142" s="148">
        <v>17276.8</v>
      </c>
      <c r="G142" s="112">
        <f t="shared" si="11"/>
        <v>17.469999999997526</v>
      </c>
      <c r="H142" s="99">
        <f>G142+'18 '!H142</f>
        <v>314.93000000000029</v>
      </c>
      <c r="I142" s="140"/>
      <c r="J142" s="348">
        <f>H142/DAY(B2)</f>
        <v>16.575263157894753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'18 '!F143</f>
        <v>1847.76</v>
      </c>
      <c r="F143" s="149">
        <v>1875</v>
      </c>
      <c r="G143" s="112">
        <f t="shared" si="11"/>
        <v>27.240000000000009</v>
      </c>
      <c r="H143" s="99">
        <f>G143+'18 '!H143</f>
        <v>491.81999999999994</v>
      </c>
      <c r="I143" s="140"/>
      <c r="J143" s="348">
        <f>H143/DAY(B2)</f>
        <v>25.885263157894734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'18 '!F144</f>
        <v>859562</v>
      </c>
      <c r="F144" s="149">
        <v>859799</v>
      </c>
      <c r="G144" s="112">
        <f t="shared" si="11"/>
        <v>237</v>
      </c>
      <c r="H144" s="99">
        <f>G144+'18 '!H144</f>
        <v>4430</v>
      </c>
      <c r="I144" s="140"/>
      <c r="J144" s="348">
        <f>H144/DAY(B2)</f>
        <v>233.15789473684211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'18 '!F145</f>
        <v>2886.85</v>
      </c>
      <c r="F145" s="149">
        <v>2933</v>
      </c>
      <c r="G145" s="112">
        <f t="shared" si="11"/>
        <v>46.150000000000091</v>
      </c>
      <c r="H145" s="99">
        <f>G145+'18 '!H145</f>
        <v>720</v>
      </c>
      <c r="I145" s="140"/>
      <c r="J145" s="348">
        <f>H145/DAY(B2)</f>
        <v>37.89473684210526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'18 '!F146</f>
        <v>705607</v>
      </c>
      <c r="F146" s="148">
        <v>705999</v>
      </c>
      <c r="G146" s="112">
        <f t="shared" si="11"/>
        <v>392</v>
      </c>
      <c r="H146" s="99">
        <f>G146+'18 '!H146</f>
        <v>7480</v>
      </c>
      <c r="I146" s="140"/>
      <c r="J146" s="348">
        <f>H146/DAY(B2)</f>
        <v>393.68421052631578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'18 '!F147</f>
        <v>596440.64</v>
      </c>
      <c r="F147" s="148">
        <v>596910.24</v>
      </c>
      <c r="G147" s="112">
        <f t="shared" si="11"/>
        <v>469.59999999997672</v>
      </c>
      <c r="H147" s="99">
        <f>G147+'18 '!H147</f>
        <v>7999.3199999999488</v>
      </c>
      <c r="I147" s="140"/>
      <c r="J147" s="348">
        <f>H147/DAY(B2)</f>
        <v>421.01684210526048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'18 '!F148</f>
        <v>669641.80000000005</v>
      </c>
      <c r="F148" s="150">
        <v>669897.96</v>
      </c>
      <c r="G148" s="112">
        <f t="shared" si="11"/>
        <v>256.15999999991618</v>
      </c>
      <c r="H148" s="99">
        <f>G148+'18 '!H148</f>
        <v>4789.8399999999674</v>
      </c>
      <c r="I148" s="124"/>
      <c r="J148" s="348">
        <f>H148/DAY(B2)</f>
        <v>252.09684210526143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'18 '!F149</f>
        <v>90811</v>
      </c>
      <c r="F149" s="146">
        <v>91139</v>
      </c>
      <c r="G149" s="112">
        <f t="shared" si="11"/>
        <v>328</v>
      </c>
      <c r="H149" s="99">
        <f>G149+'18 '!H149</f>
        <v>6392</v>
      </c>
      <c r="I149" s="119"/>
      <c r="J149" s="348">
        <f>H149/DAY(B2)</f>
        <v>336.42105263157896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'18 '!F150</f>
        <v>7167232</v>
      </c>
      <c r="F150" s="233">
        <v>7167232</v>
      </c>
      <c r="G150" s="112">
        <f t="shared" si="11"/>
        <v>0</v>
      </c>
      <c r="H150" s="99">
        <f>G150+'18 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'18 '!F151</f>
        <v>67432</v>
      </c>
      <c r="F151" s="233">
        <v>67656</v>
      </c>
      <c r="G151" s="112">
        <f t="shared" si="11"/>
        <v>224</v>
      </c>
      <c r="H151" s="99">
        <f>G151+'18 '!H151</f>
        <v>4646</v>
      </c>
      <c r="I151" s="119"/>
      <c r="J151" s="348">
        <f>H151/DAY(B2)</f>
        <v>244.52631578947367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'18 '!F152</f>
        <v>0</v>
      </c>
      <c r="F152" s="233">
        <v>0</v>
      </c>
      <c r="G152" s="112">
        <f t="shared" si="11"/>
        <v>0</v>
      </c>
      <c r="H152" s="99">
        <f>G152+'18 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2246.2099999998945</v>
      </c>
      <c r="H153" s="383"/>
      <c r="I153" s="119">
        <f>G153-(G38+G52)</f>
        <v>437.41999999988639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'18 '!F155</f>
        <v>77408</v>
      </c>
      <c r="F155" s="394">
        <v>77417</v>
      </c>
      <c r="G155" s="112">
        <f t="shared" ref="G155:G156" si="12">F155-E155</f>
        <v>9</v>
      </c>
      <c r="H155" s="99">
        <f>G155+'18 '!H155</f>
        <v>142.39999999999418</v>
      </c>
      <c r="I155" s="384"/>
      <c r="J155" s="348">
        <f>H155/DAY(B2)</f>
        <v>7.4947368421049569</v>
      </c>
    </row>
    <row r="156" spans="1:10" ht="27.75">
      <c r="A156" s="771" t="s">
        <v>347</v>
      </c>
      <c r="B156" s="771"/>
      <c r="C156" s="771"/>
      <c r="D156" s="117" t="s">
        <v>130</v>
      </c>
      <c r="E156" s="95">
        <f>'18 '!F156</f>
        <v>0</v>
      </c>
      <c r="F156" s="165"/>
      <c r="G156" s="112">
        <f t="shared" si="12"/>
        <v>0</v>
      </c>
      <c r="H156" s="99">
        <f>G156+'18 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'18 '!F158</f>
        <v>469929.44</v>
      </c>
      <c r="F158" s="235">
        <v>470105.04</v>
      </c>
      <c r="G158" s="238">
        <f t="shared" ref="G158:G162" si="13">F158-E158</f>
        <v>175.59999999997672</v>
      </c>
      <c r="H158" s="99">
        <f>G158+'18 '!H158</f>
        <v>576</v>
      </c>
      <c r="I158" s="236"/>
      <c r="J158" s="239">
        <f>H158/DAY(B2)</f>
        <v>30.315789473684209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'18 '!F159</f>
        <v>86256</v>
      </c>
      <c r="F159" s="235">
        <v>86294.3</v>
      </c>
      <c r="G159" s="238">
        <f t="shared" si="13"/>
        <v>38.30000000000291</v>
      </c>
      <c r="H159" s="99">
        <f>G159+'18 '!H159</f>
        <v>588.69999999999709</v>
      </c>
      <c r="I159" s="236"/>
      <c r="J159" s="239">
        <f>H159/DAY(B2)</f>
        <v>30.984210526315636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'18 '!F160</f>
        <v>74554.5</v>
      </c>
      <c r="F160" s="235">
        <v>74658.399999999994</v>
      </c>
      <c r="G160" s="238">
        <f t="shared" si="13"/>
        <v>103.89999999999418</v>
      </c>
      <c r="H160" s="99">
        <f>G160+'18 '!H160</f>
        <v>1321.5</v>
      </c>
      <c r="I160" s="236"/>
      <c r="J160" s="239">
        <f>H160/DAY(B2)</f>
        <v>69.55263157894737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'18 '!F161</f>
        <v>4038.52</v>
      </c>
      <c r="F161" s="235">
        <v>4045.3</v>
      </c>
      <c r="G161" s="238">
        <f t="shared" si="13"/>
        <v>6.7800000000002001</v>
      </c>
      <c r="H161" s="99">
        <f>G161+'18 '!H161</f>
        <v>71.800000000000182</v>
      </c>
      <c r="I161" s="236"/>
      <c r="J161" s="239">
        <f>H161/DAY(B2)</f>
        <v>3.7789473684210622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'18 '!F162</f>
        <v>29342.1</v>
      </c>
      <c r="F162" s="235">
        <v>29349.11</v>
      </c>
      <c r="G162" s="238">
        <f t="shared" si="13"/>
        <v>7.0100000000020373</v>
      </c>
      <c r="H162" s="99">
        <f>G162+'18 '!H162</f>
        <v>150.97000000000116</v>
      </c>
      <c r="I162" s="236"/>
      <c r="J162" s="239">
        <f>H162/DAY(B2)</f>
        <v>7.9457894736842718</v>
      </c>
    </row>
    <row r="163" spans="1:10" ht="29.25">
      <c r="A163" s="780"/>
      <c r="B163" s="780"/>
      <c r="C163" s="247"/>
      <c r="D163" s="244" t="s">
        <v>180</v>
      </c>
      <c r="E163" s="95">
        <f>'18 '!F163</f>
        <v>0</v>
      </c>
      <c r="F163" s="165"/>
      <c r="G163" s="165"/>
      <c r="H163" s="99">
        <f>G163+'18 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'18 '!F164</f>
        <v>0</v>
      </c>
      <c r="F164" s="165"/>
      <c r="G164" s="165"/>
      <c r="H164" s="99">
        <f>G164+'18 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'18 '!F165</f>
        <v>0</v>
      </c>
      <c r="F165" s="165"/>
      <c r="G165" s="165"/>
      <c r="H165" s="99">
        <f>G165+'18 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'18 '!F170</f>
        <v>8050</v>
      </c>
      <c r="F170" s="155">
        <v>8050</v>
      </c>
      <c r="G170" s="155">
        <f>F170-E170</f>
        <v>0</v>
      </c>
      <c r="H170" s="99">
        <f>G170+'18 '!H170</f>
        <v>52</v>
      </c>
      <c r="I170" s="155"/>
      <c r="J170" s="178">
        <f>H170/DAY(B2)</f>
        <v>2.736842105263158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'18 '!F171</f>
        <v>37636</v>
      </c>
      <c r="F171" s="157">
        <v>37652</v>
      </c>
      <c r="G171" s="155">
        <f t="shared" ref="G171:G172" si="14">F171-E171</f>
        <v>16</v>
      </c>
      <c r="H171" s="99">
        <f>G171+'18 '!H171</f>
        <v>269</v>
      </c>
      <c r="I171" s="155"/>
      <c r="J171" s="178">
        <f>H171/DAY(B2)</f>
        <v>14.157894736842104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'18 '!F172</f>
        <v>20999</v>
      </c>
      <c r="F172" s="155">
        <v>21011</v>
      </c>
      <c r="G172" s="155">
        <f t="shared" si="14"/>
        <v>12</v>
      </c>
      <c r="H172" s="99">
        <f>G172+'18 '!H172</f>
        <v>223</v>
      </c>
      <c r="I172" s="155"/>
      <c r="J172" s="178">
        <f>H172/DAY(B2)</f>
        <v>11.736842105263158</v>
      </c>
    </row>
    <row r="173" spans="1:10" ht="27.75">
      <c r="A173" s="775" t="s">
        <v>196</v>
      </c>
      <c r="B173" s="776"/>
      <c r="C173" s="547"/>
      <c r="D173" s="228" t="s">
        <v>142</v>
      </c>
      <c r="E173" s="95"/>
      <c r="F173" s="155"/>
      <c r="G173" s="155">
        <f>SUM(G170:G172)</f>
        <v>28</v>
      </c>
      <c r="H173" s="99">
        <f>G173+'18 '!H173</f>
        <v>544</v>
      </c>
      <c r="I173" s="155"/>
      <c r="J173" s="178">
        <f>H173/DAY(B2)</f>
        <v>28.631578947368421</v>
      </c>
    </row>
    <row r="174" spans="1:10" ht="27.75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G174+'18 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'18 '!F175</f>
        <v>76157</v>
      </c>
      <c r="F175" s="155">
        <v>76241</v>
      </c>
      <c r="G175" s="155">
        <f>F175-E175</f>
        <v>84</v>
      </c>
      <c r="H175" s="99">
        <f>G175+'18 '!H175</f>
        <v>1622</v>
      </c>
      <c r="I175" s="155"/>
      <c r="J175" s="178">
        <f>H175/DAY(B2)</f>
        <v>85.368421052631575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'18 '!F176</f>
        <v>33886</v>
      </c>
      <c r="F176" s="155">
        <v>33886</v>
      </c>
      <c r="G176" s="155">
        <f t="shared" ref="G176:G177" si="15">F176-E176</f>
        <v>0</v>
      </c>
      <c r="H176" s="99">
        <f>G176+'18 '!H176</f>
        <v>0</v>
      </c>
      <c r="I176" s="155"/>
      <c r="J176" s="178">
        <f>H176/DAY(B2)</f>
        <v>0</v>
      </c>
    </row>
    <row r="177" spans="1:11" ht="27.75">
      <c r="A177" s="786" t="s">
        <v>212</v>
      </c>
      <c r="B177" s="787"/>
      <c r="C177" s="353"/>
      <c r="D177" s="228" t="s">
        <v>142</v>
      </c>
      <c r="E177" s="95">
        <f>'18 '!F177</f>
        <v>7935</v>
      </c>
      <c r="F177" s="155">
        <v>7935</v>
      </c>
      <c r="G177" s="155">
        <f t="shared" si="15"/>
        <v>0</v>
      </c>
      <c r="H177" s="99">
        <f>G177+'18 '!H177</f>
        <v>2894</v>
      </c>
      <c r="I177" s="155"/>
      <c r="J177" s="178">
        <f>H177/DAY(B2)</f>
        <v>152.31578947368422</v>
      </c>
    </row>
    <row r="178" spans="1:11" ht="27.75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84</v>
      </c>
      <c r="H178" s="99">
        <f>G178+'18 '!H178</f>
        <v>4516</v>
      </c>
      <c r="I178" s="155"/>
      <c r="J178" s="178">
        <f>H178/DAY(B2)</f>
        <v>237.68421052631578</v>
      </c>
    </row>
    <row r="179" spans="1:11" ht="27.75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G179+'18 '!H179</f>
        <v>0</v>
      </c>
      <c r="I179" s="155"/>
      <c r="J179" s="178">
        <f>H179/DAY(B2)</f>
        <v>0</v>
      </c>
    </row>
    <row r="180" spans="1:11" ht="27.75">
      <c r="A180" s="786" t="s">
        <v>214</v>
      </c>
      <c r="B180" s="787"/>
      <c r="C180" s="354"/>
      <c r="D180" s="228" t="s">
        <v>142</v>
      </c>
      <c r="E180" s="95">
        <f>'18 '!F180</f>
        <v>14302</v>
      </c>
      <c r="F180" s="157">
        <v>14318</v>
      </c>
      <c r="G180" s="157">
        <f>F180-E180</f>
        <v>16</v>
      </c>
      <c r="H180" s="99">
        <f>G180+'18 '!H180</f>
        <v>287</v>
      </c>
      <c r="I180" s="155"/>
      <c r="J180" s="178">
        <f>H180/DAY(B2)</f>
        <v>15.105263157894736</v>
      </c>
    </row>
    <row r="181" spans="1:11" ht="27.75">
      <c r="A181" s="786" t="s">
        <v>215</v>
      </c>
      <c r="B181" s="787"/>
      <c r="C181" s="354"/>
      <c r="D181" s="228" t="s">
        <v>142</v>
      </c>
      <c r="E181" s="95">
        <f>'18 '!F181</f>
        <v>9910</v>
      </c>
      <c r="F181" s="157">
        <v>9917</v>
      </c>
      <c r="G181" s="157">
        <f t="shared" ref="G181:G182" si="16">F181-E181</f>
        <v>7</v>
      </c>
      <c r="H181" s="99">
        <f>G181+'18 '!H181</f>
        <v>163</v>
      </c>
      <c r="I181" s="155"/>
      <c r="J181" s="178">
        <f>H181/DAY(B2)</f>
        <v>8.5789473684210531</v>
      </c>
    </row>
    <row r="182" spans="1:11" ht="30.75" customHeight="1">
      <c r="A182" s="786" t="s">
        <v>216</v>
      </c>
      <c r="B182" s="787"/>
      <c r="C182" s="354"/>
      <c r="D182" s="228" t="s">
        <v>142</v>
      </c>
      <c r="E182" s="95">
        <f>'18 '!F182</f>
        <v>0</v>
      </c>
      <c r="F182" s="157"/>
      <c r="G182" s="157">
        <f t="shared" si="16"/>
        <v>0</v>
      </c>
      <c r="H182" s="99">
        <f>G182+'18 '!H182</f>
        <v>0</v>
      </c>
      <c r="I182" s="155"/>
      <c r="J182" s="178">
        <f>H182/DAY(B2)</f>
        <v>0</v>
      </c>
    </row>
    <row r="183" spans="1:11" ht="27.75">
      <c r="A183" s="775" t="s">
        <v>196</v>
      </c>
      <c r="B183" s="776"/>
      <c r="C183" s="546"/>
      <c r="D183" s="228" t="s">
        <v>142</v>
      </c>
      <c r="E183" s="95"/>
      <c r="F183" s="157"/>
      <c r="G183" s="157">
        <f>SUM(G180:G182)</f>
        <v>23</v>
      </c>
      <c r="H183" s="99">
        <f>G183+'18 '!H183</f>
        <v>450</v>
      </c>
      <c r="I183" s="157"/>
      <c r="J183" s="178">
        <f>H183/DAY(B2)</f>
        <v>23.684210526315791</v>
      </c>
    </row>
    <row r="184" spans="1:11" ht="27.75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177</v>
      </c>
      <c r="H184" s="99">
        <f>G184+'18 '!H184</f>
        <v>3305</v>
      </c>
      <c r="I184" s="158"/>
      <c r="J184" s="179">
        <f>H184/DAY(B2)</f>
        <v>173.94736842105263</v>
      </c>
    </row>
    <row r="185" spans="1:11" ht="27.75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171</v>
      </c>
      <c r="H185" s="99">
        <f>G185+'18 '!H185</f>
        <v>888</v>
      </c>
      <c r="I185" s="158"/>
      <c r="J185" s="179">
        <f>H185/DAY(B2)</f>
        <v>46.736842105263158</v>
      </c>
    </row>
    <row r="186" spans="1:11" ht="27.75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84</v>
      </c>
      <c r="H186" s="99">
        <f>G186+'30'!H235</f>
        <v>84</v>
      </c>
      <c r="I186" s="158"/>
      <c r="J186" s="179">
        <f>H186/DAY(B2)</f>
        <v>4.4210526315789478</v>
      </c>
    </row>
    <row r="187" spans="1:11" ht="23.25" customHeight="1">
      <c r="A187" s="246" t="s">
        <v>361</v>
      </c>
      <c r="B187" s="247"/>
      <c r="C187" s="247"/>
      <c r="D187" s="165"/>
      <c r="E187" s="165"/>
      <c r="F187" s="662">
        <f>'18 '!G187</f>
        <v>52871</v>
      </c>
      <c r="G187" s="658">
        <v>52878</v>
      </c>
      <c r="H187" s="238">
        <f>G187-F187</f>
        <v>7</v>
      </c>
      <c r="I187" s="99">
        <f>H187+'15'!I187</f>
        <v>7</v>
      </c>
      <c r="J187" s="236"/>
      <c r="K187" s="239" t="e">
        <f>I187/DAY(C27)</f>
        <v>#DIV/0!</v>
      </c>
    </row>
    <row r="188" spans="1:11" ht="29.25"/>
    <row r="189" spans="1:11" ht="29.25"/>
    <row r="190" spans="1:11" ht="29.25"/>
    <row r="191" spans="1:11" ht="29.25"/>
    <row r="192" spans="1:11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</sheetData>
  <mergeCells count="111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35:B135"/>
    <mergeCell ref="A183:B183"/>
    <mergeCell ref="A184:B184"/>
    <mergeCell ref="A185:B185"/>
    <mergeCell ref="A186:B186"/>
    <mergeCell ref="A168:J168"/>
    <mergeCell ref="A169:B169"/>
    <mergeCell ref="A170:B170"/>
    <mergeCell ref="A171:B171"/>
    <mergeCell ref="A173:B173"/>
    <mergeCell ref="A182:B182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698"/>
  <sheetViews>
    <sheetView view="pageBreakPreview" zoomScale="55" zoomScaleSheetLayoutView="55" zoomScalePageLayoutView="78" workbookViewId="0">
      <selection activeCell="I153" sqref="I15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356</v>
      </c>
      <c r="B2" s="266">
        <v>44489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'19'!F7</f>
        <v>121771.45</v>
      </c>
      <c r="F7" s="95">
        <v>148180.49</v>
      </c>
      <c r="G7" s="112">
        <f>F7-E7</f>
        <v>26409.039999999994</v>
      </c>
      <c r="H7" s="99">
        <f>G7+'19'!H7</f>
        <v>461917.18999999989</v>
      </c>
      <c r="I7" s="113">
        <v>24000</v>
      </c>
      <c r="J7" s="175">
        <f>H7/DAY(B2)</f>
        <v>23095.859499999995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'19'!F8</f>
        <v>155224.89000000001</v>
      </c>
      <c r="F8" s="95">
        <v>182108.09</v>
      </c>
      <c r="G8" s="115">
        <f>F8-E8</f>
        <v>26883.199999999983</v>
      </c>
      <c r="H8" s="99">
        <f>G8+'19'!H8</f>
        <v>468944.19000000006</v>
      </c>
      <c r="I8" s="116"/>
      <c r="J8" s="175">
        <f>H8/DAY(B2)</f>
        <v>23447.209500000004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'19'!F9</f>
        <v>1536840.9</v>
      </c>
      <c r="F9" s="373">
        <v>1553686.9</v>
      </c>
      <c r="G9" s="112">
        <f>F9-E9</f>
        <v>16846</v>
      </c>
      <c r="H9" s="99">
        <f>G9+'19'!H9</f>
        <v>292408.39999999991</v>
      </c>
      <c r="I9" s="124">
        <f>I7-J7</f>
        <v>904.14050000000498</v>
      </c>
      <c r="J9" s="175">
        <f>H9/DAY(B2)</f>
        <v>14620.419999999995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'19'!F10</f>
        <v>316734.15000000002</v>
      </c>
      <c r="F10" s="373">
        <v>325596.31</v>
      </c>
      <c r="G10" s="112">
        <f t="shared" ref="G10:G12" si="0">F10-E10</f>
        <v>8862.1599999999744</v>
      </c>
      <c r="H10" s="99">
        <f>G10+'19'!H10</f>
        <v>157212.38</v>
      </c>
      <c r="I10" s="286"/>
      <c r="J10" s="175">
        <f>H10/DAY(B2)</f>
        <v>7860.6190000000006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'19'!F11</f>
        <v>37000</v>
      </c>
      <c r="F11" s="95">
        <v>37000</v>
      </c>
      <c r="G11" s="112">
        <f t="shared" si="0"/>
        <v>0</v>
      </c>
      <c r="H11" s="99">
        <f>G11+'19'!H11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25708.159999999974</v>
      </c>
      <c r="H13" s="99">
        <f>G13+'19'!H13</f>
        <v>428814.31999999989</v>
      </c>
      <c r="I13" s="120">
        <f>G7-G13</f>
        <v>700.88000000001921</v>
      </c>
      <c r="J13" s="175">
        <f>H13/DAY(B2)</f>
        <v>21440.715999999993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v>1831055.72</v>
      </c>
      <c r="F15" s="123">
        <v>1832191</v>
      </c>
      <c r="G15" s="112">
        <f>(F15-E15)</f>
        <v>1135.2800000000279</v>
      </c>
      <c r="H15" s="99">
        <f>G15+'19'!H15</f>
        <v>19260.189999999973</v>
      </c>
      <c r="I15" s="113">
        <f>'1'!I15</f>
        <v>800</v>
      </c>
      <c r="J15" s="175">
        <f>H15/DAY(B2)</f>
        <v>963.00949999999864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-163.00949999999864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'19'!F18</f>
        <v>27</v>
      </c>
      <c r="F18" s="122">
        <v>22</v>
      </c>
      <c r="G18" s="119">
        <f>F18*10</f>
        <v>220</v>
      </c>
      <c r="H18" s="99">
        <f>G18+'19'!H18</f>
        <v>4080</v>
      </c>
      <c r="I18" s="113">
        <f>'1'!I18</f>
        <v>65</v>
      </c>
      <c r="J18" s="175">
        <f>H18/DAY(B2)</f>
        <v>204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'19'!F19</f>
        <v>149991</v>
      </c>
      <c r="F19" s="122">
        <v>150042</v>
      </c>
      <c r="G19" s="112">
        <f t="shared" ref="G19" si="1">F19-E19</f>
        <v>51</v>
      </c>
      <c r="H19" s="99">
        <f>G19+'19'!H19</f>
        <v>1125</v>
      </c>
      <c r="I19" s="355"/>
      <c r="J19" s="175">
        <f>H19/DAY(B2)</f>
        <v>56.25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G20+'19'!H20</f>
        <v>5205</v>
      </c>
      <c r="I20" s="356">
        <f>I18-J20</f>
        <v>-195.25</v>
      </c>
      <c r="J20" s="175">
        <f>H20/DAY(B2)</f>
        <v>260.25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'19'!F23</f>
        <v>2000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26883.199999999983</v>
      </c>
      <c r="F27" s="136">
        <v>9</v>
      </c>
      <c r="G27" s="137">
        <f>E27*F27</f>
        <v>241948.79999999984</v>
      </c>
      <c r="H27" s="99">
        <f>G27+'19'!H27</f>
        <v>4220497.71</v>
      </c>
      <c r="I27" s="138"/>
      <c r="J27" s="175">
        <f>H27/DAY(B2)</f>
        <v>211024.8855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1135.2800000000279</v>
      </c>
      <c r="F28" s="136">
        <v>52</v>
      </c>
      <c r="G28" s="137">
        <f>E28*F28</f>
        <v>59034.560000001453</v>
      </c>
      <c r="H28" s="99">
        <f>G28+'19'!H28</f>
        <v>1001529.8799999985</v>
      </c>
      <c r="I28" s="140"/>
      <c r="J28" s="175">
        <f>H28/DAY(B2)</f>
        <v>50076.493999999926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G30+'19'!H30</f>
        <v>164250</v>
      </c>
      <c r="I30" s="140"/>
      <c r="J30" s="175">
        <f>H30/DAY(B2)</f>
        <v>8212.5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G31+'19'!H31</f>
        <v>326400</v>
      </c>
      <c r="I31" s="140"/>
      <c r="J31" s="175">
        <f>H31/DAY(B2)</f>
        <v>16320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326029.36000000127</v>
      </c>
      <c r="H32" s="99">
        <f>G32+'19'!H32</f>
        <v>5712677.589999998</v>
      </c>
      <c r="I32" s="144"/>
      <c r="J32" s="175">
        <f>H32/DAY(B2)</f>
        <v>285633.87949999992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'19'!F35</f>
        <v>70697.440000000002</v>
      </c>
      <c r="F35" s="145">
        <v>72786.64</v>
      </c>
      <c r="G35" s="112">
        <f t="shared" ref="G35:G46" si="3">F35-E35</f>
        <v>2089.1999999999971</v>
      </c>
      <c r="H35" s="99">
        <f>G35+'19'!H35</f>
        <v>40311.97</v>
      </c>
      <c r="I35" s="95"/>
      <c r="J35" s="175">
        <f>H35/DAY(B2)</f>
        <v>2015.5985000000001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'19'!F36</f>
        <v>66838.16</v>
      </c>
      <c r="F36" s="145">
        <v>68081.75</v>
      </c>
      <c r="G36" s="112">
        <f t="shared" si="3"/>
        <v>1243.5899999999965</v>
      </c>
      <c r="H36" s="99">
        <f>G36+'19'!H36</f>
        <v>18142.080000000002</v>
      </c>
      <c r="I36" s="95"/>
      <c r="J36" s="175">
        <f>H36/DAY(B2)</f>
        <v>907.10400000000004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'19'!F37</f>
        <v>127452.71</v>
      </c>
      <c r="F37" s="568">
        <v>129103.02</v>
      </c>
      <c r="G37" s="112">
        <f t="shared" si="3"/>
        <v>1650.3099999999977</v>
      </c>
      <c r="H37" s="99">
        <f>G37+'19'!H37</f>
        <v>32049.190000000002</v>
      </c>
      <c r="I37" s="95"/>
      <c r="J37" s="175">
        <f>H37/DAY(B2)</f>
        <v>1602.4595000000002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'19'!F38</f>
        <v>149847.85</v>
      </c>
      <c r="F38" s="106">
        <v>151744.92000000001</v>
      </c>
      <c r="G38" s="112">
        <f t="shared" si="3"/>
        <v>1897.070000000007</v>
      </c>
      <c r="H38" s="99">
        <f>G38+'19'!H38</f>
        <v>36521.880000000019</v>
      </c>
      <c r="I38" s="95"/>
      <c r="J38" s="175">
        <f>H38/DAY(B2)</f>
        <v>1826.094000000001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'19'!F39</f>
        <v>288578.90999999997</v>
      </c>
      <c r="F39" s="568">
        <v>291521.51</v>
      </c>
      <c r="G39" s="112">
        <f t="shared" si="3"/>
        <v>2942.6000000000349</v>
      </c>
      <c r="H39" s="99">
        <f>G39+'19'!H39</f>
        <v>58140.460000000021</v>
      </c>
      <c r="I39" s="95"/>
      <c r="J39" s="175">
        <f>H39/DAY(B2)</f>
        <v>2907.023000000001</v>
      </c>
      <c r="K39" s="79"/>
      <c r="L39" s="66"/>
      <c r="N39" s="87"/>
      <c r="O39" s="71"/>
    </row>
    <row r="40" spans="1:15" ht="29.25">
      <c r="A40" s="215">
        <v>7</v>
      </c>
      <c r="B40" s="216"/>
      <c r="C40" s="216"/>
      <c r="D40" s="151" t="s">
        <v>130</v>
      </c>
      <c r="E40" s="95">
        <f>'19'!F40</f>
        <v>75.8</v>
      </c>
      <c r="F40" s="145">
        <v>79.19</v>
      </c>
      <c r="G40" s="112">
        <f t="shared" si="3"/>
        <v>3.3900000000000006</v>
      </c>
      <c r="H40" s="99">
        <f>G40+'19'!H40</f>
        <v>122.82000000000001</v>
      </c>
      <c r="I40" s="95"/>
      <c r="J40" s="175">
        <f>H40/DAY(B2)</f>
        <v>6.141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'19'!F41</f>
        <v>589883.11</v>
      </c>
      <c r="F41" s="145">
        <v>589883.11</v>
      </c>
      <c r="G41" s="112">
        <f t="shared" si="3"/>
        <v>0</v>
      </c>
      <c r="H41" s="99">
        <f>G41+'19'!H41</f>
        <v>8024.2800000000279</v>
      </c>
      <c r="I41" s="95"/>
      <c r="J41" s="175">
        <f>H41/DAY(B2)</f>
        <v>401.21400000000142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'19'!F42</f>
        <v>288105.15000000002</v>
      </c>
      <c r="F42" s="145">
        <v>290816.73</v>
      </c>
      <c r="G42" s="112">
        <f t="shared" si="3"/>
        <v>2711.5799999999581</v>
      </c>
      <c r="H42" s="99">
        <f>G42+'19'!H42</f>
        <v>19847.059999999998</v>
      </c>
      <c r="I42" s="95"/>
      <c r="J42" s="175">
        <f>H42/DAY(B2)</f>
        <v>992.35299999999984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'19'!F43</f>
        <v>1497462.6</v>
      </c>
      <c r="F43" s="145">
        <v>1500439.7</v>
      </c>
      <c r="G43" s="112">
        <f t="shared" si="3"/>
        <v>2977.0999999998603</v>
      </c>
      <c r="H43" s="99">
        <f>G43+'19'!H43</f>
        <v>54352.300000000047</v>
      </c>
      <c r="I43" s="95"/>
      <c r="J43" s="175">
        <f>H43/DAY(B2)</f>
        <v>2717.6150000000025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15514.839999999851</v>
      </c>
      <c r="H47" s="99">
        <f>G47+'19'!H47</f>
        <v>267512.0400000001</v>
      </c>
      <c r="I47" s="95"/>
      <c r="J47" s="175">
        <f>H47/DAY(B2)</f>
        <v>13375.602000000004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'19'!F49</f>
        <v>202426.33</v>
      </c>
      <c r="F49" s="145">
        <v>204021.13</v>
      </c>
      <c r="G49" s="112">
        <f t="shared" ref="G49:G58" si="4">F49-E49</f>
        <v>1594.8000000000175</v>
      </c>
      <c r="H49" s="99">
        <f>G49+'19'!H49</f>
        <v>31290.739999999991</v>
      </c>
      <c r="I49" s="95"/>
      <c r="J49" s="175">
        <f>H49/DAY(B2)</f>
        <v>1564.5369999999996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'19'!F50</f>
        <v>707673.99</v>
      </c>
      <c r="F50" s="145">
        <v>708888.95</v>
      </c>
      <c r="G50" s="112">
        <f t="shared" si="4"/>
        <v>1214.9599999999627</v>
      </c>
      <c r="H50" s="99">
        <f>G50+'19'!H50</f>
        <v>24526.639999999898</v>
      </c>
      <c r="I50" s="95"/>
      <c r="J50" s="175">
        <f>H50/DAY(B2)</f>
        <v>1226.3319999999949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'19'!F54</f>
        <v>2968.43</v>
      </c>
      <c r="F54" s="145">
        <v>2974.24</v>
      </c>
      <c r="G54" s="112">
        <f t="shared" si="4"/>
        <v>5.8099999999999454</v>
      </c>
      <c r="H54" s="99">
        <f>G54+'19'!H54</f>
        <v>106.75</v>
      </c>
      <c r="I54" s="95"/>
      <c r="J54" s="175">
        <f>H54/DAY(B2)</f>
        <v>5.3375000000000004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'19'!F55</f>
        <v>0</v>
      </c>
      <c r="F55" s="145">
        <v>0</v>
      </c>
      <c r="G55" s="112">
        <v>0</v>
      </c>
      <c r="H55" s="99">
        <f>G55+'19'!H55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'19'!F56</f>
        <v>136067.78</v>
      </c>
      <c r="F56" s="145">
        <v>142026.42000000001</v>
      </c>
      <c r="G56" s="112">
        <f t="shared" si="4"/>
        <v>5958.640000000014</v>
      </c>
      <c r="H56" s="99">
        <f>G56+'19'!H56</f>
        <v>99186.13</v>
      </c>
      <c r="I56" s="95"/>
      <c r="J56" s="175">
        <f>H56/DAY(B2)</f>
        <v>4959.3065000000006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'19'!F58</f>
        <v>82946.19</v>
      </c>
      <c r="F58" s="145">
        <v>83161.39</v>
      </c>
      <c r="G58" s="112">
        <f t="shared" si="4"/>
        <v>215.19999999999709</v>
      </c>
      <c r="H58" s="99">
        <f>G58+'19'!H58</f>
        <v>4141.4900000000052</v>
      </c>
      <c r="I58" s="95"/>
      <c r="J58" s="175">
        <f>H58/DAY(B2)</f>
        <v>207.07450000000026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8989.4099999999908</v>
      </c>
      <c r="H59" s="99">
        <f>G59+'19'!H59</f>
        <v>159251.74999999988</v>
      </c>
      <c r="I59" s="95">
        <f>G7-G60</f>
        <v>1904.7900000001537</v>
      </c>
      <c r="J59" s="175">
        <f>H59/DAY(B2)</f>
        <v>7962.5874999999942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24504.24999999984</v>
      </c>
      <c r="H60" s="99">
        <f>G60+'19'!H60</f>
        <v>426763.78999999992</v>
      </c>
      <c r="I60" s="95">
        <f>G13-G60</f>
        <v>1203.9100000001345</v>
      </c>
      <c r="J60" s="175">
        <f>H60/DAY(B2)</f>
        <v>21338.189499999997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'19'!F62</f>
        <v>262049</v>
      </c>
      <c r="F62" s="122">
        <v>262169</v>
      </c>
      <c r="G62" s="112">
        <f t="shared" ref="G62:G63" si="5">F62-E62</f>
        <v>120</v>
      </c>
      <c r="H62" s="99">
        <f>G62+'19'!H62</f>
        <v>2351</v>
      </c>
      <c r="I62" s="118"/>
      <c r="J62" s="175">
        <f>H62/DAY(B2)</f>
        <v>117.55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'19'!F63</f>
        <v>208039</v>
      </c>
      <c r="F63" s="122">
        <v>208134</v>
      </c>
      <c r="G63" s="112">
        <f t="shared" si="5"/>
        <v>95</v>
      </c>
      <c r="H63" s="99">
        <f>G63+'19'!H63</f>
        <v>1864</v>
      </c>
      <c r="I63" s="118"/>
      <c r="J63" s="175">
        <f>H63/DAY(B2)</f>
        <v>93.2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'19'!F64</f>
        <v>0</v>
      </c>
      <c r="F64" s="122"/>
      <c r="G64" s="112">
        <f>G62+G63</f>
        <v>215</v>
      </c>
      <c r="H64" s="99">
        <f>G64+'19'!H64</f>
        <v>4215</v>
      </c>
      <c r="I64" s="118"/>
      <c r="J64" s="175">
        <f>H64/DAY(B2)</f>
        <v>210.75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'19'!F65</f>
        <v>428132</v>
      </c>
      <c r="F65" s="122">
        <v>428234</v>
      </c>
      <c r="G65" s="112">
        <f t="shared" ref="G65:G70" si="6">F65-E65</f>
        <v>102</v>
      </c>
      <c r="H65" s="99">
        <f>G65+'19'!H65</f>
        <v>2029</v>
      </c>
      <c r="I65" s="118"/>
      <c r="J65" s="175">
        <f>H65/DAY(B2)</f>
        <v>101.45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'19'!F66</f>
        <v>106407</v>
      </c>
      <c r="F66" s="122">
        <v>106422</v>
      </c>
      <c r="G66" s="112">
        <f t="shared" si="6"/>
        <v>15</v>
      </c>
      <c r="H66" s="99">
        <f>G66+'19'!H66</f>
        <v>452</v>
      </c>
      <c r="I66" s="118"/>
      <c r="J66" s="175">
        <f>H66/DAY(B2)</f>
        <v>22.6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'19'!F67</f>
        <v>102685</v>
      </c>
      <c r="F67" s="122">
        <v>102716</v>
      </c>
      <c r="G67" s="112">
        <f t="shared" si="6"/>
        <v>31</v>
      </c>
      <c r="H67" s="99">
        <f>G67+'19'!H67</f>
        <v>545</v>
      </c>
      <c r="I67" s="118"/>
      <c r="J67" s="175">
        <f>H67/DAY(B2)</f>
        <v>27.25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'19'!F68</f>
        <v>155096</v>
      </c>
      <c r="F68" s="122">
        <v>155116</v>
      </c>
      <c r="G68" s="112">
        <f t="shared" si="6"/>
        <v>20</v>
      </c>
      <c r="H68" s="99">
        <f>G68+'19'!H68</f>
        <v>620</v>
      </c>
      <c r="I68" s="118"/>
      <c r="J68" s="175">
        <f>H68/DAY(B2)</f>
        <v>31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'19'!F69</f>
        <v>9699</v>
      </c>
      <c r="F69" s="122">
        <v>9715</v>
      </c>
      <c r="G69" s="112">
        <f t="shared" si="6"/>
        <v>16</v>
      </c>
      <c r="H69" s="99">
        <f>G69+'19'!H69</f>
        <v>250</v>
      </c>
      <c r="I69" s="118"/>
      <c r="J69" s="175">
        <f>H69/DAY(B2)</f>
        <v>12.5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'19'!F70</f>
        <v>7405</v>
      </c>
      <c r="F70" s="122">
        <v>7419</v>
      </c>
      <c r="G70" s="112">
        <f t="shared" si="6"/>
        <v>14</v>
      </c>
      <c r="H70" s="99">
        <f>G70+'19'!H70</f>
        <v>216</v>
      </c>
      <c r="I70" s="118"/>
      <c r="J70" s="175">
        <f>H70/DAY(B2)</f>
        <v>10.8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198</v>
      </c>
      <c r="H71" s="99">
        <f>G71+'19'!H71</f>
        <v>4112</v>
      </c>
      <c r="I71" s="154"/>
      <c r="J71" s="175">
        <f>H71/DAY(B2)</f>
        <v>205.6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'19'!F74</f>
        <v>879057.77</v>
      </c>
      <c r="F74" s="117">
        <v>879342.14</v>
      </c>
      <c r="G74" s="112">
        <f t="shared" ref="G74:G78" si="7">F74-E74</f>
        <v>284.36999999999534</v>
      </c>
      <c r="H74" s="99">
        <f>G74+'19'!H74</f>
        <v>5756.9089999999851</v>
      </c>
      <c r="I74" s="154"/>
      <c r="J74" s="175">
        <f>H74/DAY(B2)</f>
        <v>287.84544999999923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3.4000000000087311</v>
      </c>
      <c r="I75" s="154"/>
      <c r="J75" s="175">
        <f>H75/DAY(B2)</f>
        <v>0.17000000000043655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'19'!F76</f>
        <v>162021.79999999999</v>
      </c>
      <c r="F76" s="123">
        <v>162148.62</v>
      </c>
      <c r="G76" s="112">
        <f t="shared" si="7"/>
        <v>126.82000000000698</v>
      </c>
      <c r="H76" s="99">
        <f>G76+'19'!H76</f>
        <v>2163.1199999999953</v>
      </c>
      <c r="I76" s="154"/>
      <c r="J76" s="175">
        <f>H76/DAY(B2)</f>
        <v>108.15599999999976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'19'!F77</f>
        <v>38269.800000000003</v>
      </c>
      <c r="F77" s="123">
        <v>38335</v>
      </c>
      <c r="G77" s="112">
        <f t="shared" si="7"/>
        <v>65.19999999999709</v>
      </c>
      <c r="H77" s="99">
        <f>G77+'19'!H77</f>
        <v>837.5</v>
      </c>
      <c r="I77" s="154"/>
      <c r="J77" s="175">
        <f>H77/DAY(B2)</f>
        <v>41.875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'19'!F78</f>
        <v>9368.4</v>
      </c>
      <c r="F78" s="123">
        <v>9374</v>
      </c>
      <c r="G78" s="112">
        <f t="shared" si="7"/>
        <v>5.6000000000003638</v>
      </c>
      <c r="H78" s="99">
        <f>G78+'19'!H78</f>
        <v>44.600000000000364</v>
      </c>
      <c r="I78" s="118"/>
      <c r="J78" s="175">
        <f>H78/DAY(B2)</f>
        <v>2.2300000000000182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'19'!F79</f>
        <v>0</v>
      </c>
      <c r="F79" s="117"/>
      <c r="G79" s="112">
        <f>G15-SUM(G74:G78)</f>
        <v>653.29000000002816</v>
      </c>
      <c r="H79" s="99">
        <f>G79+'19'!H79</f>
        <v>10454.660999999982</v>
      </c>
      <c r="I79" s="118"/>
      <c r="J79" s="175"/>
      <c r="K79" s="59"/>
      <c r="L79" s="58"/>
      <c r="N79" s="87"/>
      <c r="O79" s="71"/>
    </row>
    <row r="80" spans="1:15" s="57" customFormat="1" ht="29.25">
      <c r="A80" s="872" t="s">
        <v>329</v>
      </c>
      <c r="B80" s="873"/>
      <c r="C80" s="874"/>
      <c r="D80" s="151"/>
      <c r="E80" s="117"/>
      <c r="F80" s="117"/>
      <c r="G80" s="112">
        <f>SUM(G74:G79)</f>
        <v>1135.2800000000279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'19'!F84</f>
        <v>41625.31</v>
      </c>
      <c r="F84" s="164">
        <v>41625.31</v>
      </c>
      <c r="G84" s="112">
        <f t="shared" si="8"/>
        <v>0</v>
      </c>
      <c r="H84" s="99">
        <f>G84+'19'!H84</f>
        <v>39.75</v>
      </c>
      <c r="I84" s="118"/>
      <c r="J84" s="175">
        <f>H84/DAY(B2)</f>
        <v>1.9875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'19'!F85</f>
        <v>1383.49</v>
      </c>
      <c r="F85" s="164">
        <v>1395.45</v>
      </c>
      <c r="G85" s="112">
        <f t="shared" si="8"/>
        <v>11.960000000000036</v>
      </c>
      <c r="H85" s="99">
        <f>G85+'19'!H85</f>
        <v>90.450000000000045</v>
      </c>
      <c r="I85" s="118">
        <f>G82+G83+G84+G85</f>
        <v>11.960000000000036</v>
      </c>
      <c r="J85" s="175">
        <f>H85/DAY(B2)</f>
        <v>4.5225000000000026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'19'!F86</f>
        <v>42826.47</v>
      </c>
      <c r="F86" s="164">
        <v>42826.47</v>
      </c>
      <c r="G86" s="112">
        <f t="shared" si="8"/>
        <v>0</v>
      </c>
      <c r="H86" s="99">
        <f>G86+'19'!H86</f>
        <v>0.47000000000116415</v>
      </c>
      <c r="I86" s="118"/>
      <c r="J86" s="175">
        <f>H86/DAY(B2)</f>
        <v>2.3500000000058207E-2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'19'!F87</f>
        <v>34179.120000000003</v>
      </c>
      <c r="F87" s="164">
        <v>34203.53</v>
      </c>
      <c r="G87" s="112">
        <f t="shared" si="8"/>
        <v>24.409999999996217</v>
      </c>
      <c r="H87" s="99">
        <f>G87+'19'!H87</f>
        <v>455.52999999999884</v>
      </c>
      <c r="I87" s="118"/>
      <c r="J87" s="175">
        <f>H87/DAY(B2)</f>
        <v>22.776499999999942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'19'!F88</f>
        <v>23901.88</v>
      </c>
      <c r="F88" s="164">
        <v>23911.93</v>
      </c>
      <c r="G88" s="112">
        <f t="shared" si="8"/>
        <v>10.049999999999272</v>
      </c>
      <c r="H88" s="99">
        <f>G88+'19'!H88</f>
        <v>78.360000000000582</v>
      </c>
      <c r="I88" s="118">
        <f>G86+G87+G88</f>
        <v>34.459999999995489</v>
      </c>
      <c r="J88" s="175">
        <f>H88/DAY(B2)</f>
        <v>3.918000000000029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'19'!F89</f>
        <v>25364.36</v>
      </c>
      <c r="F89" s="164">
        <v>25364.36</v>
      </c>
      <c r="G89" s="112">
        <f t="shared" si="8"/>
        <v>0</v>
      </c>
      <c r="H89" s="99">
        <f>G89+'19'!H89</f>
        <v>118.97999999999956</v>
      </c>
      <c r="I89" s="118"/>
      <c r="J89" s="175">
        <f>H89/DAY(B2)</f>
        <v>5.9489999999999785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'19'!F90</f>
        <v>70757</v>
      </c>
      <c r="F90" s="164">
        <v>70764.789999999994</v>
      </c>
      <c r="G90" s="112">
        <f t="shared" si="8"/>
        <v>7.7899999999935972</v>
      </c>
      <c r="H90" s="99">
        <f>G90+'19'!H90</f>
        <v>109.3799999999901</v>
      </c>
      <c r="I90" s="118">
        <f>G89+G90</f>
        <v>7.7899999999935972</v>
      </c>
      <c r="J90" s="175">
        <f>H90/DAY(B2)</f>
        <v>5.4689999999995056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'19'!F92</f>
        <v>4983.99</v>
      </c>
      <c r="F92" s="122">
        <v>4993.92</v>
      </c>
      <c r="G92" s="112">
        <f t="shared" si="8"/>
        <v>9.930000000000291</v>
      </c>
      <c r="H92" s="99">
        <f>G92+'19'!H92</f>
        <v>202.10000000000036</v>
      </c>
      <c r="I92" s="165"/>
      <c r="J92" s="175">
        <f>H92/DAY(B2)</f>
        <v>10.105000000000018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6661.0999999998749</v>
      </c>
      <c r="H94" s="99">
        <f>G94+'19'!H94</f>
        <v>125955.01000000004</v>
      </c>
      <c r="I94" s="118"/>
      <c r="J94" s="175">
        <f>H94/DAY(B2)</f>
        <v>6297.7505000000019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0.25222802494902791</v>
      </c>
      <c r="H95" s="99">
        <f>G95+'19'!H95</f>
        <v>5.4793388448919176</v>
      </c>
      <c r="I95" s="167"/>
      <c r="J95" s="175">
        <f>H95/DAY(B2)</f>
        <v>0.27396694224459589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8670.2199999999721</v>
      </c>
      <c r="H96" s="99">
        <f>G96+'19'!H96</f>
        <v>127057.47000000003</v>
      </c>
      <c r="I96" s="118"/>
      <c r="J96" s="175">
        <f>H96/DAY(B2)</f>
        <v>6352.8735000000015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0.32830500464992191</v>
      </c>
      <c r="H97" s="99">
        <f>G97+'19'!H97</f>
        <v>5.4486611901483686</v>
      </c>
      <c r="I97" s="167"/>
      <c r="J97" s="175">
        <f>H97/DAY(B2)</f>
        <v>0.27243305950741842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2942.6000000000349</v>
      </c>
      <c r="H98" s="99">
        <f>G98+'19'!H98</f>
        <v>58140.460000000021</v>
      </c>
      <c r="I98" s="168"/>
      <c r="J98" s="175">
        <f>H98/DAY(B2)</f>
        <v>2907.023000000001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0.11142396694465363</v>
      </c>
      <c r="H99" s="99">
        <f>G99+'19'!H99</f>
        <v>2.533542047825911</v>
      </c>
      <c r="I99" s="168"/>
      <c r="J99" s="175">
        <f>H99/DAY(B2)</f>
        <v>0.12667710239129554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1897.070000000007</v>
      </c>
      <c r="H100" s="99">
        <f>G100+'19'!H100</f>
        <v>36521.880000000019</v>
      </c>
      <c r="I100" s="118"/>
      <c r="J100" s="175">
        <f>H100/DAY(B2)</f>
        <v>1826.094000000001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7.1834114379015948E-2</v>
      </c>
      <c r="H101" s="99">
        <f>G101+'19'!H101</f>
        <v>1.5903988014077406</v>
      </c>
      <c r="I101" s="168"/>
      <c r="J101" s="175">
        <f>H101/DAY(B2)</f>
        <v>7.9519940070387027E-2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2458.5499999999593</v>
      </c>
      <c r="H102" s="99">
        <f>G102+'19'!H102</f>
        <v>42668.719999999899</v>
      </c>
      <c r="I102" s="168"/>
      <c r="J102" s="175">
        <f>H102/DAY(B2)</f>
        <v>2133.4359999999951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9.309501594908258E-2</v>
      </c>
      <c r="H103" s="99">
        <f>G103+'19'!H103</f>
        <v>1.8386096571871509</v>
      </c>
      <c r="I103" s="118"/>
      <c r="J103" s="175">
        <f>H103/DAY(B2)</f>
        <v>9.1930482859357537E-2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1650.3099999999977</v>
      </c>
      <c r="H104" s="99">
        <f>G104+'19'!H104</f>
        <v>32049.190000000002</v>
      </c>
      <c r="I104" s="118"/>
      <c r="J104" s="175">
        <f>H104/DAY(B2)</f>
        <v>1602.4595000000002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6.2490344215465538E-2</v>
      </c>
      <c r="H105" s="99">
        <f>G105+'19'!H105</f>
        <v>1.3946902548992133</v>
      </c>
      <c r="I105" s="187"/>
      <c r="J105" s="188">
        <f>H105/DAY(B2)</f>
        <v>6.9734512744960661E-2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'19'!F112</f>
        <v>52452</v>
      </c>
      <c r="F112" s="237">
        <v>52536.83</v>
      </c>
      <c r="G112" s="112">
        <f t="shared" ref="G112:G123" si="9">F112-E112</f>
        <v>84.830000000001746</v>
      </c>
      <c r="H112" s="99">
        <f>G112+'19'!H112</f>
        <v>1647.75</v>
      </c>
      <c r="I112" s="165"/>
      <c r="J112" s="348">
        <f>H112/DAY(B2)</f>
        <v>82.387500000000003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'19'!F113</f>
        <v>12988.8</v>
      </c>
      <c r="F113" s="237">
        <v>13468.06</v>
      </c>
      <c r="G113" s="112">
        <f t="shared" si="9"/>
        <v>479.26000000000022</v>
      </c>
      <c r="H113" s="99">
        <f>G113+'19'!H113</f>
        <v>8962.41</v>
      </c>
      <c r="I113" s="165"/>
      <c r="J113" s="348">
        <f>H113/DAY(B2)</f>
        <v>448.12049999999999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'19'!F114</f>
        <v>10165.799999999999</v>
      </c>
      <c r="F114" s="237">
        <v>10439.36</v>
      </c>
      <c r="G114" s="112">
        <f t="shared" si="9"/>
        <v>273.56000000000131</v>
      </c>
      <c r="H114" s="99">
        <f>G114+'19'!H114</f>
        <v>6633.25</v>
      </c>
      <c r="I114" s="165"/>
      <c r="J114" s="348">
        <f>H114/DAY(B2)</f>
        <v>331.66250000000002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'19'!F115</f>
        <v>8292.7999999999993</v>
      </c>
      <c r="F115" s="237">
        <v>8299.7099999999991</v>
      </c>
      <c r="G115" s="112">
        <f t="shared" si="9"/>
        <v>6.9099999999998545</v>
      </c>
      <c r="H115" s="99">
        <f>G115+'19'!H115</f>
        <v>222.29999999999927</v>
      </c>
      <c r="I115" s="165"/>
      <c r="J115" s="348">
        <f>H115/DAY(B2)</f>
        <v>11.114999999999963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48">
        <f>H116/DAY(B2)</f>
        <v>0</v>
      </c>
      <c r="Q116" s="793"/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'19'!F117</f>
        <v>1714.63</v>
      </c>
      <c r="F117" s="237">
        <v>1735.26</v>
      </c>
      <c r="G117" s="112">
        <f t="shared" si="9"/>
        <v>20.629999999999882</v>
      </c>
      <c r="H117" s="99">
        <f>G117+'19'!H117</f>
        <v>577.06999999999994</v>
      </c>
      <c r="I117" s="165"/>
      <c r="J117" s="348">
        <f>H117/DAY(B2)</f>
        <v>28.853499999999997</v>
      </c>
      <c r="Q117" s="793"/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'19'!F118</f>
        <v>225543.79</v>
      </c>
      <c r="F118" s="237">
        <v>225910.43</v>
      </c>
      <c r="G118" s="112">
        <f t="shared" si="9"/>
        <v>366.63999999998487</v>
      </c>
      <c r="H118" s="99">
        <f>G118+'19'!H118</f>
        <v>7058.5</v>
      </c>
      <c r="I118" s="165"/>
      <c r="J118" s="348">
        <f>H118/DAY(B2)</f>
        <v>352.92500000000001</v>
      </c>
      <c r="Q118" s="793"/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'19'!F119</f>
        <v>226971.97</v>
      </c>
      <c r="F119" s="237">
        <v>227414.95</v>
      </c>
      <c r="G119" s="112">
        <f t="shared" si="9"/>
        <v>442.98000000001048</v>
      </c>
      <c r="H119" s="99">
        <f>G119+'19'!H119</f>
        <v>8603.8400000000256</v>
      </c>
      <c r="I119" s="165"/>
      <c r="J119" s="348">
        <f>H119/DAY(B2)</f>
        <v>430.19200000000126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'19'!F120</f>
        <v>12442.01</v>
      </c>
      <c r="F120" s="237">
        <v>12883.91</v>
      </c>
      <c r="G120" s="112">
        <f t="shared" si="9"/>
        <v>441.89999999999964</v>
      </c>
      <c r="H120" s="99">
        <f>G120+'19'!H120</f>
        <v>8576.31</v>
      </c>
      <c r="I120" s="165"/>
      <c r="J120" s="348">
        <f>H120/DAY(B2)</f>
        <v>428.81549999999999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'19'!F121</f>
        <v>344805</v>
      </c>
      <c r="F121" s="237">
        <v>345566.35</v>
      </c>
      <c r="G121" s="112">
        <f t="shared" si="9"/>
        <v>761.34999999997672</v>
      </c>
      <c r="H121" s="99">
        <f>G121+'19'!H121</f>
        <v>14328.839999999967</v>
      </c>
      <c r="I121" s="165"/>
      <c r="J121" s="348">
        <f>H121/DAY(B2)</f>
        <v>716.44199999999842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'19'!F122</f>
        <v>107370.26</v>
      </c>
      <c r="F122" s="237">
        <v>107690.32</v>
      </c>
      <c r="G122" s="112">
        <f t="shared" si="9"/>
        <v>320.06000000001222</v>
      </c>
      <c r="H122" s="99">
        <f>G122+'19'!H122</f>
        <v>6081.4400000000023</v>
      </c>
      <c r="I122" s="165"/>
      <c r="J122" s="348">
        <f>H122/DAY(B2)</f>
        <v>304.07200000000012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'19'!F123</f>
        <v>131264.01999999999</v>
      </c>
      <c r="F123" s="237">
        <v>131547.09</v>
      </c>
      <c r="G123" s="112">
        <f t="shared" si="9"/>
        <v>283.07000000000698</v>
      </c>
      <c r="H123" s="99">
        <f>G123+'19'!H123</f>
        <v>5799.3300000000017</v>
      </c>
      <c r="I123" s="165"/>
      <c r="J123" s="348">
        <f>H123/DAY(B2)</f>
        <v>289.96650000000011</v>
      </c>
    </row>
    <row r="124" spans="1:18" ht="29.25" customHeight="1">
      <c r="A124" s="797"/>
      <c r="B124" s="798"/>
      <c r="C124" s="799"/>
      <c r="D124" s="165"/>
      <c r="E124" s="95">
        <f>'19'!F124</f>
        <v>0</v>
      </c>
      <c r="F124" s="165"/>
      <c r="G124" s="347"/>
      <c r="H124" s="99">
        <f>G124+'19'!H124</f>
        <v>0</v>
      </c>
      <c r="I124" s="165"/>
      <c r="J124" s="347"/>
    </row>
    <row r="125" spans="1:18" ht="27.75">
      <c r="A125" s="862" t="s">
        <v>108</v>
      </c>
      <c r="B125" s="862"/>
      <c r="C125" s="246"/>
      <c r="D125" s="317"/>
      <c r="E125" s="318"/>
      <c r="F125" s="318"/>
      <c r="G125" s="319">
        <f>SUM(G112:G124)</f>
        <v>3481.1899999999941</v>
      </c>
      <c r="H125" s="156"/>
      <c r="I125" s="347">
        <f>G125-(G39+G53)</f>
        <v>538.58999999995922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G127+'19'!H127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'19'!F128</f>
        <v>24043.86</v>
      </c>
      <c r="F128" s="165">
        <v>24363.919999999998</v>
      </c>
      <c r="G128" s="112">
        <f t="shared" ref="G128:G134" si="10">F128-E128</f>
        <v>320.05999999999767</v>
      </c>
      <c r="H128" s="99">
        <f>G128+'19'!H128</f>
        <v>6340.1999999999971</v>
      </c>
      <c r="I128" s="165"/>
      <c r="J128" s="348">
        <f>H128/DAY(B2)</f>
        <v>317.00999999999988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'19'!F129</f>
        <v>10502.72</v>
      </c>
      <c r="F129" s="165">
        <v>10691.52</v>
      </c>
      <c r="G129" s="112">
        <f t="shared" si="10"/>
        <v>188.80000000000109</v>
      </c>
      <c r="H129" s="99">
        <f>G129+'19'!H129</f>
        <v>4095.8100000000004</v>
      </c>
      <c r="I129" s="165"/>
      <c r="J129" s="348">
        <f>H129/DAY(B2)</f>
        <v>204.79050000000001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'19'!F130</f>
        <v>74667.7</v>
      </c>
      <c r="F130" s="165">
        <v>77398.28</v>
      </c>
      <c r="G130" s="112">
        <f t="shared" si="10"/>
        <v>2730.5800000000017</v>
      </c>
      <c r="H130" s="99">
        <f>G130+'19'!H130</f>
        <v>50930.25</v>
      </c>
      <c r="I130" s="165"/>
      <c r="J130" s="348">
        <f>H130/DAY(B2)</f>
        <v>2546.5124999999998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'19'!F131</f>
        <v>7166.58</v>
      </c>
      <c r="F131" s="165">
        <v>7332.52</v>
      </c>
      <c r="G131" s="112">
        <f t="shared" si="10"/>
        <v>165.94000000000051</v>
      </c>
      <c r="H131" s="99">
        <f>G131+'19'!H131</f>
        <v>3186.05</v>
      </c>
      <c r="I131" s="165"/>
      <c r="J131" s="348">
        <f>H131/DAY(B2)</f>
        <v>159.30250000000001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'19'!F132</f>
        <v>21111.200000000001</v>
      </c>
      <c r="F132" s="165">
        <v>21501.59</v>
      </c>
      <c r="G132" s="112">
        <f t="shared" si="10"/>
        <v>390.38999999999942</v>
      </c>
      <c r="H132" s="99">
        <f>G132+'19'!H132</f>
        <v>9963.8700000000008</v>
      </c>
      <c r="I132" s="165"/>
      <c r="J132" s="348">
        <f>H132/DAY(B2)</f>
        <v>498.19350000000003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'19'!F133</f>
        <v>54360.63</v>
      </c>
      <c r="F133" s="165">
        <v>55215.040000000001</v>
      </c>
      <c r="G133" s="112">
        <f t="shared" si="10"/>
        <v>854.41000000000349</v>
      </c>
      <c r="H133" s="99">
        <f>G133+'19'!H133</f>
        <v>14365.75</v>
      </c>
      <c r="I133" s="165"/>
      <c r="J133" s="348">
        <f>H133/DAY(B2)</f>
        <v>718.28750000000002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'19'!F134</f>
        <v>644244</v>
      </c>
      <c r="F134" s="165">
        <v>644874</v>
      </c>
      <c r="G134" s="112">
        <f t="shared" si="10"/>
        <v>630</v>
      </c>
      <c r="H134" s="99">
        <f>G134+'19'!H134</f>
        <v>12610</v>
      </c>
      <c r="I134" s="165"/>
      <c r="J134" s="348">
        <f>H134/DAY(B2)</f>
        <v>630.5</v>
      </c>
    </row>
    <row r="135" spans="1:15" ht="27.75">
      <c r="A135" s="870" t="s">
        <v>108</v>
      </c>
      <c r="B135" s="871"/>
      <c r="C135" s="789"/>
      <c r="D135" s="151"/>
      <c r="E135" s="95"/>
      <c r="F135" s="165"/>
      <c r="G135" s="112">
        <f>SUM(G128:G134)</f>
        <v>5280.1800000000039</v>
      </c>
      <c r="H135" s="99"/>
      <c r="I135" s="347">
        <f>G135-(G35+G49)</f>
        <v>1596.1799999999894</v>
      </c>
      <c r="J135" s="348"/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'19'!F138</f>
        <v>860649</v>
      </c>
      <c r="F138" s="147">
        <v>860695</v>
      </c>
      <c r="G138" s="112">
        <f t="shared" ref="G138:G152" si="11">F138-E138</f>
        <v>46</v>
      </c>
      <c r="H138" s="99">
        <f>G138+'19'!H138</f>
        <v>1048</v>
      </c>
      <c r="I138" s="118"/>
      <c r="J138" s="348">
        <f>H138/DAY(B2)</f>
        <v>52.4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'19'!F139</f>
        <v>886139</v>
      </c>
      <c r="F139" s="148">
        <v>886140</v>
      </c>
      <c r="G139" s="112">
        <f t="shared" si="11"/>
        <v>1</v>
      </c>
      <c r="H139" s="99">
        <f>G139+'19'!H139</f>
        <v>38</v>
      </c>
      <c r="I139" s="118"/>
      <c r="J139" s="348">
        <f>H139/DAY(B2)</f>
        <v>1.9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'19'!F140</f>
        <v>88840</v>
      </c>
      <c r="F140" s="149">
        <v>88841</v>
      </c>
      <c r="G140" s="112">
        <f>F140-E140</f>
        <v>1</v>
      </c>
      <c r="H140" s="99">
        <f>G140+'19'!H140</f>
        <v>24</v>
      </c>
      <c r="I140" s="118"/>
      <c r="J140" s="348">
        <f>H140/DAY(B2)</f>
        <v>1.2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'19'!F141</f>
        <v>40894.550000000003</v>
      </c>
      <c r="F141" s="149">
        <v>41100.53</v>
      </c>
      <c r="G141" s="112">
        <f t="shared" si="11"/>
        <v>205.97999999999593</v>
      </c>
      <c r="H141" s="99">
        <f>G141+'19'!H141</f>
        <v>3812.5800000000017</v>
      </c>
      <c r="I141" s="118"/>
      <c r="J141" s="348">
        <f>H141/DAY(B2)</f>
        <v>190.62900000000008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'19'!F142</f>
        <v>17276.8</v>
      </c>
      <c r="F142" s="148">
        <v>17294.39</v>
      </c>
      <c r="G142" s="112">
        <f t="shared" si="11"/>
        <v>17.590000000000146</v>
      </c>
      <c r="H142" s="99">
        <f>G142+'19'!H142</f>
        <v>332.52000000000044</v>
      </c>
      <c r="I142" s="140"/>
      <c r="J142" s="348">
        <f>H142/DAY(B2)</f>
        <v>16.626000000000023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'19'!F143</f>
        <v>1875</v>
      </c>
      <c r="F143" s="149">
        <v>1904.53</v>
      </c>
      <c r="G143" s="112">
        <f t="shared" si="11"/>
        <v>29.529999999999973</v>
      </c>
      <c r="H143" s="99">
        <f>G143+'19'!H143</f>
        <v>521.34999999999991</v>
      </c>
      <c r="I143" s="140"/>
      <c r="J143" s="348">
        <f>H143/DAY(B2)</f>
        <v>26.067499999999995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'19'!F144</f>
        <v>859799</v>
      </c>
      <c r="F144" s="149">
        <v>860030</v>
      </c>
      <c r="G144" s="112">
        <f t="shared" si="11"/>
        <v>231</v>
      </c>
      <c r="H144" s="99">
        <f>G144+'19'!H144</f>
        <v>4661</v>
      </c>
      <c r="I144" s="140"/>
      <c r="J144" s="348">
        <f>H144/DAY(B2)</f>
        <v>233.05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'19'!F145</f>
        <v>2933</v>
      </c>
      <c r="F145" s="149">
        <v>2980.39</v>
      </c>
      <c r="G145" s="112">
        <f t="shared" si="11"/>
        <v>47.389999999999873</v>
      </c>
      <c r="H145" s="99">
        <f>G145+'19'!H145</f>
        <v>767.38999999999987</v>
      </c>
      <c r="I145" s="140"/>
      <c r="J145" s="348">
        <f>H145/DAY(B2)</f>
        <v>38.369499999999995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'19'!F146</f>
        <v>705999</v>
      </c>
      <c r="F146" s="148">
        <v>706462</v>
      </c>
      <c r="G146" s="112">
        <f t="shared" si="11"/>
        <v>463</v>
      </c>
      <c r="H146" s="99">
        <f>G146+'19'!H146</f>
        <v>7943</v>
      </c>
      <c r="I146" s="140"/>
      <c r="J146" s="348">
        <f>H146/DAY(B2)</f>
        <v>397.15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'19'!F147</f>
        <v>596910.24</v>
      </c>
      <c r="F147" s="148">
        <v>597335</v>
      </c>
      <c r="G147" s="112">
        <f t="shared" si="11"/>
        <v>424.76000000000931</v>
      </c>
      <c r="H147" s="99">
        <f>G147+'19'!H147</f>
        <v>8424.0799999999581</v>
      </c>
      <c r="I147" s="140"/>
      <c r="J147" s="348">
        <f>H147/DAY(B2)</f>
        <v>421.2039999999979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'19'!F148</f>
        <v>669897.96</v>
      </c>
      <c r="F148" s="150">
        <v>670235.04</v>
      </c>
      <c r="G148" s="112">
        <f t="shared" si="11"/>
        <v>337.08000000007451</v>
      </c>
      <c r="H148" s="99">
        <f>G148+'19'!H148</f>
        <v>5126.9200000000419</v>
      </c>
      <c r="I148" s="124"/>
      <c r="J148" s="348">
        <f>H148/DAY(B2)</f>
        <v>256.34600000000211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'19'!F149</f>
        <v>91139</v>
      </c>
      <c r="F149" s="146">
        <v>91480</v>
      </c>
      <c r="G149" s="112">
        <f t="shared" si="11"/>
        <v>341</v>
      </c>
      <c r="H149" s="99">
        <f>G149+'19'!H149</f>
        <v>6733</v>
      </c>
      <c r="I149" s="119"/>
      <c r="J149" s="348">
        <f>H149/DAY(B2)</f>
        <v>336.65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'19'!F150</f>
        <v>7167232</v>
      </c>
      <c r="F150" s="233">
        <v>7167232</v>
      </c>
      <c r="G150" s="112">
        <f t="shared" si="11"/>
        <v>0</v>
      </c>
      <c r="H150" s="99">
        <f>G150+'19'!H150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'19'!F151</f>
        <v>67656</v>
      </c>
      <c r="F151" s="233">
        <v>67917</v>
      </c>
      <c r="G151" s="112">
        <f t="shared" si="11"/>
        <v>261</v>
      </c>
      <c r="H151" s="99">
        <f>G151+'19'!H151</f>
        <v>4907</v>
      </c>
      <c r="I151" s="119"/>
      <c r="J151" s="348">
        <f>H151/DAY(B2)</f>
        <v>245.35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'19'!F152</f>
        <v>0</v>
      </c>
      <c r="F152" s="233">
        <v>0</v>
      </c>
      <c r="G152" s="112">
        <f t="shared" si="11"/>
        <v>0</v>
      </c>
      <c r="H152" s="99">
        <f>G152+'19'!H152</f>
        <v>0</v>
      </c>
      <c r="I152" s="119"/>
      <c r="J152" s="348">
        <f>H152/DAY(B2)</f>
        <v>0</v>
      </c>
    </row>
    <row r="153" spans="1:10" ht="27.75">
      <c r="A153" s="665" t="s">
        <v>108</v>
      </c>
      <c r="B153" s="385"/>
      <c r="C153" s="385"/>
      <c r="D153" s="117"/>
      <c r="E153" s="95"/>
      <c r="F153" s="233"/>
      <c r="G153" s="112">
        <f>SUM(G138:G152)</f>
        <v>2406.33000000008</v>
      </c>
      <c r="H153" s="99"/>
      <c r="I153" s="119">
        <f>G153-(G38+G52)</f>
        <v>509.26000000007298</v>
      </c>
      <c r="J153" s="348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'19'!F155</f>
        <v>77417</v>
      </c>
      <c r="F155" s="394">
        <v>77430.2</v>
      </c>
      <c r="G155" s="112">
        <f t="shared" ref="G155:G156" si="12">F155-E155</f>
        <v>13.19999999999709</v>
      </c>
      <c r="H155" s="99">
        <f>G155+'19'!H155</f>
        <v>155.59999999999127</v>
      </c>
      <c r="I155" s="384"/>
      <c r="J155" s="348">
        <f>H155/DAY(B2)</f>
        <v>7.7799999999995633</v>
      </c>
    </row>
    <row r="156" spans="1:10" ht="27.75">
      <c r="A156" s="771" t="s">
        <v>347</v>
      </c>
      <c r="B156" s="771"/>
      <c r="C156" s="771"/>
      <c r="D156" s="117" t="s">
        <v>130</v>
      </c>
      <c r="E156" s="95">
        <f>'19'!F156</f>
        <v>0</v>
      </c>
      <c r="F156" s="155">
        <v>0</v>
      </c>
      <c r="G156" s="112">
        <f t="shared" si="12"/>
        <v>0</v>
      </c>
      <c r="H156" s="99">
        <f>G156+'19'!H156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'19'!F158</f>
        <v>470105.04</v>
      </c>
      <c r="F158" s="235">
        <v>470123.88</v>
      </c>
      <c r="G158" s="238">
        <f t="shared" ref="G158:G163" si="13">F158-E158</f>
        <v>18.840000000025611</v>
      </c>
      <c r="H158" s="99">
        <f>G158+'19'!H158</f>
        <v>594.84000000002561</v>
      </c>
      <c r="I158" s="236"/>
      <c r="J158" s="239">
        <f>H158/DAY(B2)</f>
        <v>29.74200000000128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'19'!F159</f>
        <v>86294.3</v>
      </c>
      <c r="F159" s="235">
        <v>86321.5</v>
      </c>
      <c r="G159" s="238">
        <f t="shared" si="13"/>
        <v>27.19999999999709</v>
      </c>
      <c r="H159" s="99">
        <f>G159+'19'!H159</f>
        <v>615.89999999999418</v>
      </c>
      <c r="I159" s="236"/>
      <c r="J159" s="239">
        <f>H159/DAY(B2)</f>
        <v>30.79499999999971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'19'!F160</f>
        <v>74658.399999999994</v>
      </c>
      <c r="F160" s="235">
        <v>74700</v>
      </c>
      <c r="G160" s="238">
        <f t="shared" si="13"/>
        <v>41.600000000005821</v>
      </c>
      <c r="H160" s="99">
        <f>G160+'19'!H160</f>
        <v>1363.1000000000058</v>
      </c>
      <c r="I160" s="236"/>
      <c r="J160" s="239">
        <f>H160/DAY(B2)</f>
        <v>68.155000000000285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'19'!F161</f>
        <v>4045.3</v>
      </c>
      <c r="F161" s="235">
        <v>4046.7</v>
      </c>
      <c r="G161" s="238">
        <f t="shared" si="13"/>
        <v>1.3999999999996362</v>
      </c>
      <c r="H161" s="99">
        <f>G161+'19'!H161</f>
        <v>73.199999999999818</v>
      </c>
      <c r="I161" s="236"/>
      <c r="J161" s="239">
        <f>H161/DAY(B2)</f>
        <v>3.6599999999999908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'19'!F162</f>
        <v>29349.11</v>
      </c>
      <c r="F162" s="235">
        <v>29356.7</v>
      </c>
      <c r="G162" s="238">
        <f t="shared" si="13"/>
        <v>7.5900000000001455</v>
      </c>
      <c r="H162" s="99">
        <f>G162+'19'!H162</f>
        <v>158.56000000000131</v>
      </c>
      <c r="I162" s="236"/>
      <c r="J162" s="239">
        <f>H162/DAY(B2)</f>
        <v>7.9280000000000657</v>
      </c>
    </row>
    <row r="163" spans="1:10" ht="29.25">
      <c r="A163" s="780"/>
      <c r="B163" s="780"/>
      <c r="C163" s="247"/>
      <c r="D163" s="244" t="s">
        <v>180</v>
      </c>
      <c r="E163" s="95">
        <f>'19'!F163</f>
        <v>0</v>
      </c>
      <c r="F163" s="165"/>
      <c r="G163" s="165">
        <f t="shared" si="13"/>
        <v>0</v>
      </c>
      <c r="H163" s="99">
        <f>G163+'19'!H163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'19'!F164</f>
        <v>0</v>
      </c>
      <c r="F164" s="165"/>
      <c r="G164" s="165"/>
      <c r="H164" s="99">
        <f>G164+'19'!H164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'19'!F165</f>
        <v>0</v>
      </c>
      <c r="F165" s="165"/>
      <c r="G165" s="165"/>
      <c r="H165" s="99">
        <f>G165+'19'!H165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'19'!F170</f>
        <v>8050</v>
      </c>
      <c r="F170" s="155">
        <v>8050</v>
      </c>
      <c r="G170" s="155">
        <f>F170-E170</f>
        <v>0</v>
      </c>
      <c r="H170" s="99">
        <f>G170+'19'!H170</f>
        <v>52</v>
      </c>
      <c r="I170" s="155"/>
      <c r="J170" s="178">
        <f>H170/DAY(B2)</f>
        <v>2.6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'19'!F171</f>
        <v>37652</v>
      </c>
      <c r="F171" s="157">
        <v>37668</v>
      </c>
      <c r="G171" s="155">
        <f t="shared" ref="G171:G172" si="14">F171-E171</f>
        <v>16</v>
      </c>
      <c r="H171" s="99">
        <f>G171+'19'!H171</f>
        <v>285</v>
      </c>
      <c r="I171" s="155"/>
      <c r="J171" s="178">
        <f>H171/DAY(B2)</f>
        <v>14.25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'19'!F172</f>
        <v>21011</v>
      </c>
      <c r="F172" s="155">
        <v>21023</v>
      </c>
      <c r="G172" s="155">
        <f t="shared" si="14"/>
        <v>12</v>
      </c>
      <c r="H172" s="99">
        <f>G172+'19'!H172</f>
        <v>235</v>
      </c>
      <c r="I172" s="155"/>
      <c r="J172" s="178">
        <f>H172/DAY(B2)</f>
        <v>11.75</v>
      </c>
    </row>
    <row r="173" spans="1:10" ht="27.75">
      <c r="A173" s="775" t="s">
        <v>196</v>
      </c>
      <c r="B173" s="776"/>
      <c r="C173" s="547"/>
      <c r="D173" s="228" t="s">
        <v>142</v>
      </c>
      <c r="E173" s="95"/>
      <c r="F173" s="155"/>
      <c r="G173" s="155">
        <f>SUM(G170:G172)</f>
        <v>28</v>
      </c>
      <c r="H173" s="99">
        <f>G173+'19'!H173</f>
        <v>572</v>
      </c>
      <c r="I173" s="155"/>
      <c r="J173" s="178">
        <f>H173/DAY(B2)</f>
        <v>28.6</v>
      </c>
    </row>
    <row r="174" spans="1:10" ht="27.75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G174+'19'!H174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'19'!F175</f>
        <v>76241</v>
      </c>
      <c r="F175" s="155">
        <v>76326</v>
      </c>
      <c r="G175" s="155">
        <f>F175-E175</f>
        <v>85</v>
      </c>
      <c r="H175" s="99">
        <f>G175+'19'!H175</f>
        <v>1707</v>
      </c>
      <c r="I175" s="155"/>
      <c r="J175" s="178">
        <f>H175/DAY(B2)</f>
        <v>85.35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'19'!F176</f>
        <v>33886</v>
      </c>
      <c r="F176" s="155">
        <v>33886</v>
      </c>
      <c r="G176" s="155">
        <f t="shared" ref="G176:G177" si="15">F176-E176</f>
        <v>0</v>
      </c>
      <c r="H176" s="99">
        <f>G176+'19'!H176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v>5183</v>
      </c>
      <c r="F177" s="155">
        <v>5198</v>
      </c>
      <c r="G177" s="155">
        <f t="shared" si="15"/>
        <v>15</v>
      </c>
      <c r="H177" s="99">
        <f>G177+'19'!H177</f>
        <v>2909</v>
      </c>
      <c r="I177" s="155"/>
      <c r="J177" s="178">
        <f>H177/DAY(B2)</f>
        <v>145.44999999999999</v>
      </c>
    </row>
    <row r="178" spans="1:10" ht="24.75" customHeight="1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100</v>
      </c>
      <c r="H178" s="99">
        <f>G178+'19'!H178</f>
        <v>4616</v>
      </c>
      <c r="I178" s="155"/>
      <c r="J178" s="178">
        <f>H178/DAY(B2)</f>
        <v>230.8</v>
      </c>
    </row>
    <row r="179" spans="1:10" ht="24.75" customHeight="1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G179+'19'!H179</f>
        <v>0</v>
      </c>
      <c r="I179" s="155"/>
      <c r="J179" s="178">
        <f>H179/DAY(B2)</f>
        <v>0</v>
      </c>
    </row>
    <row r="180" spans="1:10" ht="24.75" customHeight="1">
      <c r="A180" s="786" t="s">
        <v>214</v>
      </c>
      <c r="B180" s="787"/>
      <c r="C180" s="354"/>
      <c r="D180" s="228" t="s">
        <v>142</v>
      </c>
      <c r="E180" s="95">
        <f>'19'!F180</f>
        <v>14318</v>
      </c>
      <c r="F180" s="157">
        <v>14338</v>
      </c>
      <c r="G180" s="157">
        <f>F180-E180</f>
        <v>20</v>
      </c>
      <c r="H180" s="99">
        <f>G180+'19'!H180</f>
        <v>307</v>
      </c>
      <c r="I180" s="155"/>
      <c r="J180" s="178">
        <f>H180/DAY(B2)</f>
        <v>15.35</v>
      </c>
    </row>
    <row r="181" spans="1:10" ht="24.75" customHeight="1">
      <c r="A181" s="786" t="s">
        <v>215</v>
      </c>
      <c r="B181" s="787"/>
      <c r="C181" s="354"/>
      <c r="D181" s="228" t="s">
        <v>142</v>
      </c>
      <c r="E181" s="95">
        <f>'19'!F181</f>
        <v>9917</v>
      </c>
      <c r="F181" s="157">
        <v>9928</v>
      </c>
      <c r="G181" s="157">
        <f t="shared" ref="G181:G182" si="16">F181-E181</f>
        <v>11</v>
      </c>
      <c r="H181" s="99">
        <f>G181+'19'!H181</f>
        <v>174</v>
      </c>
      <c r="I181" s="155"/>
      <c r="J181" s="178">
        <f>H181/DAY(B2)</f>
        <v>8.6999999999999993</v>
      </c>
    </row>
    <row r="182" spans="1:10" ht="24.75" customHeight="1">
      <c r="A182" s="786" t="s">
        <v>216</v>
      </c>
      <c r="B182" s="787"/>
      <c r="C182" s="354"/>
      <c r="D182" s="228" t="s">
        <v>142</v>
      </c>
      <c r="E182" s="95">
        <f>'19'!F182</f>
        <v>0</v>
      </c>
      <c r="F182" s="157"/>
      <c r="G182" s="157">
        <f t="shared" si="16"/>
        <v>0</v>
      </c>
      <c r="H182" s="99">
        <f>G182+'19'!H182</f>
        <v>0</v>
      </c>
      <c r="I182" s="155"/>
      <c r="J182" s="178">
        <f>H182/DAY(B2)</f>
        <v>0</v>
      </c>
    </row>
    <row r="183" spans="1:10" ht="27.75">
      <c r="A183" s="775" t="s">
        <v>196</v>
      </c>
      <c r="B183" s="776"/>
      <c r="C183" s="546"/>
      <c r="D183" s="228" t="s">
        <v>142</v>
      </c>
      <c r="E183" s="95"/>
      <c r="F183" s="157"/>
      <c r="G183" s="157">
        <f>SUM(G180:G182)</f>
        <v>31</v>
      </c>
      <c r="H183" s="99">
        <f>G183+'19'!H183</f>
        <v>481</v>
      </c>
      <c r="I183" s="157"/>
      <c r="J183" s="178">
        <f>H183/DAY(B2)</f>
        <v>24.05</v>
      </c>
    </row>
    <row r="184" spans="1:10" ht="27.75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171</v>
      </c>
      <c r="H184" s="99">
        <f>G184+'19'!H184</f>
        <v>3476</v>
      </c>
      <c r="I184" s="158"/>
      <c r="J184" s="179">
        <f>H184/DAY(B2)</f>
        <v>173.8</v>
      </c>
    </row>
    <row r="185" spans="1:10" ht="27.75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178</v>
      </c>
      <c r="H185" s="99">
        <f>G185+'19'!H185</f>
        <v>1066</v>
      </c>
      <c r="I185" s="158"/>
      <c r="J185" s="179">
        <f>H185/DAY(B2)</f>
        <v>53.3</v>
      </c>
    </row>
    <row r="186" spans="1:10" ht="27.75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100</v>
      </c>
      <c r="H186" s="99">
        <f>G186+'19'!H186</f>
        <v>184</v>
      </c>
      <c r="I186" s="158"/>
      <c r="J186" s="179">
        <f>H186/DAY(B2)</f>
        <v>9.1999999999999993</v>
      </c>
    </row>
    <row r="187" spans="1:10" ht="27.75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310" ht="29.25"/>
    <row r="311" ht="29.25"/>
    <row r="312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</sheetData>
  <mergeCells count="111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698"/>
  <sheetViews>
    <sheetView view="pageBreakPreview" zoomScale="60" zoomScaleNormal="60" zoomScalePageLayoutView="20" workbookViewId="0">
      <selection activeCell="I153" sqref="I15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356</v>
      </c>
      <c r="B2" s="266">
        <v>44521</v>
      </c>
      <c r="C2" s="36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'20'!F7</f>
        <v>148180.49</v>
      </c>
      <c r="F7" s="95">
        <v>175362.15</v>
      </c>
      <c r="G7" s="112">
        <f>F7-E7</f>
        <v>27181.660000000003</v>
      </c>
      <c r="H7" s="99">
        <f>G7+'20'!H7</f>
        <v>489098.84999999986</v>
      </c>
      <c r="I7" s="113">
        <f>'1'!I7</f>
        <v>12000</v>
      </c>
      <c r="J7" s="175">
        <f>H7/DAY(B2)</f>
        <v>23290.421428571422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'20'!F8</f>
        <v>182108.09</v>
      </c>
      <c r="F8" s="95">
        <v>209710.13</v>
      </c>
      <c r="G8" s="115">
        <f>F8-E8</f>
        <v>27602.040000000008</v>
      </c>
      <c r="H8" s="99">
        <f>G8+'20'!H8</f>
        <v>496546.2300000001</v>
      </c>
      <c r="I8" s="116"/>
      <c r="J8" s="175">
        <f>H8/DAY(B2)</f>
        <v>23645.058571428577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'20'!F9</f>
        <v>1553686.9</v>
      </c>
      <c r="F9" s="373">
        <v>1571189.5</v>
      </c>
      <c r="G9" s="112">
        <f>F9-E9</f>
        <v>17502.600000000093</v>
      </c>
      <c r="H9" s="99">
        <f>G9+'20'!H9</f>
        <v>309911</v>
      </c>
      <c r="I9" s="124">
        <f>I7-J7</f>
        <v>-11290.421428571422</v>
      </c>
      <c r="J9" s="175">
        <f>H9/DAY(B2)</f>
        <v>14757.666666666666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'20'!F10</f>
        <v>325596.31</v>
      </c>
      <c r="F10" s="373">
        <v>334545.15000000002</v>
      </c>
      <c r="G10" s="112">
        <f t="shared" ref="G10:G12" si="0">F10-E10</f>
        <v>8948.8400000000256</v>
      </c>
      <c r="H10" s="99">
        <f>G10+'20'!H10</f>
        <v>166161.22000000003</v>
      </c>
      <c r="I10" s="286"/>
      <c r="J10" s="175">
        <f>H10/DAY(B2)</f>
        <v>7912.4390476190492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'20'!F11</f>
        <v>37000</v>
      </c>
      <c r="F11" s="95">
        <v>37000</v>
      </c>
      <c r="G11" s="112">
        <f t="shared" si="0"/>
        <v>0</v>
      </c>
      <c r="H11" s="99">
        <f>G11+'20'!H11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26451.440000000119</v>
      </c>
      <c r="H13" s="99">
        <f>G13+'20'!H13</f>
        <v>455265.76</v>
      </c>
      <c r="I13" s="120">
        <f>G7-G13</f>
        <v>730.21999999988475</v>
      </c>
      <c r="J13" s="175">
        <f>H13/DAY(B2)</f>
        <v>21679.321904761906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'20'!F15</f>
        <v>1832191</v>
      </c>
      <c r="F15" s="123">
        <v>1833235.04</v>
      </c>
      <c r="G15" s="112">
        <f>(F15-E15)</f>
        <v>1044.0400000000373</v>
      </c>
      <c r="H15" s="99">
        <f>G15+'20'!H15</f>
        <v>20304.23000000001</v>
      </c>
      <c r="I15" s="113">
        <f>'1'!I15</f>
        <v>800</v>
      </c>
      <c r="J15" s="175">
        <f>H15/DAY(B2)</f>
        <v>966.86809523809575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-166.86809523809575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'20'!F18</f>
        <v>22</v>
      </c>
      <c r="F18" s="122">
        <v>22</v>
      </c>
      <c r="G18" s="119">
        <f>F18*10</f>
        <v>220</v>
      </c>
      <c r="H18" s="99">
        <f>G18+'20'!H18</f>
        <v>4300</v>
      </c>
      <c r="I18" s="113">
        <f>'1'!I18</f>
        <v>65</v>
      </c>
      <c r="J18" s="175">
        <f>H18/DAY(B2)</f>
        <v>204.76190476190476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'20'!F19</f>
        <v>150042</v>
      </c>
      <c r="F19" s="122">
        <v>150098</v>
      </c>
      <c r="G19" s="112">
        <f t="shared" ref="G19" si="1">F19-E19</f>
        <v>56</v>
      </c>
      <c r="H19" s="99">
        <f>G19+'20'!H19</f>
        <v>1181</v>
      </c>
      <c r="I19" s="355"/>
      <c r="J19" s="175">
        <f>H19/DAY(B2)</f>
        <v>56.238095238095241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276</v>
      </c>
      <c r="H20" s="99">
        <f>G20+'20'!H20</f>
        <v>5481</v>
      </c>
      <c r="I20" s="356">
        <f>I18-J20</f>
        <v>-196</v>
      </c>
      <c r="J20" s="175">
        <f>H20/DAY(B2)</f>
        <v>261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27602.040000000008</v>
      </c>
      <c r="F27" s="136">
        <v>9</v>
      </c>
      <c r="G27" s="137">
        <f>E27*F27</f>
        <v>248418.36000000007</v>
      </c>
      <c r="H27" s="99">
        <f>G27+'20'!H27</f>
        <v>4468916.07</v>
      </c>
      <c r="I27" s="138"/>
      <c r="J27" s="175">
        <f>H27/DAY(B2)</f>
        <v>212805.52714285714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1044.0400000000373</v>
      </c>
      <c r="F28" s="136">
        <v>52</v>
      </c>
      <c r="G28" s="137">
        <f>E28*F28</f>
        <v>54290.080000001937</v>
      </c>
      <c r="H28" s="99">
        <f>G28+'20'!H28</f>
        <v>1055819.9600000004</v>
      </c>
      <c r="I28" s="140"/>
      <c r="J28" s="175">
        <f>H28/DAY(B2)</f>
        <v>50277.140952380971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G30+'20'!H30</f>
        <v>172426</v>
      </c>
      <c r="I30" s="140"/>
      <c r="J30" s="175">
        <f>H30/DAY(B2)</f>
        <v>8210.7619047619046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G31+'20'!H31</f>
        <v>344000</v>
      </c>
      <c r="I31" s="140"/>
      <c r="J31" s="175">
        <f>H31/DAY(B2)</f>
        <v>16380.952380952382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328484.44000000204</v>
      </c>
      <c r="H32" s="99">
        <f>G32+'20'!H32</f>
        <v>6041162.0300000003</v>
      </c>
      <c r="I32" s="144"/>
      <c r="J32" s="175">
        <f>H32/DAY(B2)</f>
        <v>287674.38238095242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'20'!F35</f>
        <v>72786.64</v>
      </c>
      <c r="F35" s="145">
        <v>74798.600000000006</v>
      </c>
      <c r="G35" s="112">
        <f t="shared" ref="G35:G46" si="3">F35-E35</f>
        <v>2011.9600000000064</v>
      </c>
      <c r="H35" s="99">
        <f>G35+'20'!H35</f>
        <v>42323.930000000008</v>
      </c>
      <c r="I35" s="95"/>
      <c r="J35" s="175">
        <f>H35/DAY(B2)</f>
        <v>2015.4252380952385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'20'!F36</f>
        <v>68081.75</v>
      </c>
      <c r="F36" s="145">
        <v>69623.839999999997</v>
      </c>
      <c r="G36" s="112">
        <f t="shared" si="3"/>
        <v>1542.0899999999965</v>
      </c>
      <c r="H36" s="99">
        <f>G36+'20'!H36</f>
        <v>19684.169999999998</v>
      </c>
      <c r="I36" s="95"/>
      <c r="J36" s="175">
        <f>H36/DAY(B2)</f>
        <v>937.34142857142854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'20'!F37</f>
        <v>129103.02</v>
      </c>
      <c r="F37" s="396">
        <v>130729.60000000001</v>
      </c>
      <c r="G37" s="112">
        <f t="shared" si="3"/>
        <v>1626.5800000000017</v>
      </c>
      <c r="H37" s="99">
        <f>G37+'20'!H37</f>
        <v>33675.770000000004</v>
      </c>
      <c r="I37" s="95"/>
      <c r="J37" s="175">
        <f>H37/DAY(B2)</f>
        <v>1603.6080952380955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'20'!F38</f>
        <v>151744.92000000001</v>
      </c>
      <c r="F38" s="108">
        <v>153701.06</v>
      </c>
      <c r="G38" s="112">
        <f t="shared" si="3"/>
        <v>1956.1399999999849</v>
      </c>
      <c r="H38" s="99">
        <f>G38+'20'!H38</f>
        <v>38478.020000000004</v>
      </c>
      <c r="I38" s="95"/>
      <c r="J38" s="175">
        <f>H38/DAY(B2)</f>
        <v>1832.2866666666669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'20'!F39</f>
        <v>291521.51</v>
      </c>
      <c r="F39" s="396">
        <v>294478.65000000002</v>
      </c>
      <c r="G39" s="112">
        <f t="shared" si="3"/>
        <v>2957.140000000014</v>
      </c>
      <c r="H39" s="99">
        <f>G39+'20'!H39</f>
        <v>61097.600000000035</v>
      </c>
      <c r="I39" s="95"/>
      <c r="J39" s="175">
        <f>H39/DAY(B2)</f>
        <v>2909.4095238095256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'20'!F40</f>
        <v>79.19</v>
      </c>
      <c r="F40" s="145">
        <v>85.95</v>
      </c>
      <c r="G40" s="112">
        <f t="shared" si="3"/>
        <v>6.7600000000000051</v>
      </c>
      <c r="H40" s="99">
        <f>G40+'20'!H40</f>
        <v>129.58000000000001</v>
      </c>
      <c r="I40" s="95"/>
      <c r="J40" s="175">
        <f>H40/DAY(B2)</f>
        <v>6.1704761904761911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'20'!F41</f>
        <v>589883.11</v>
      </c>
      <c r="F41" s="145">
        <v>589883.11</v>
      </c>
      <c r="G41" s="112">
        <f t="shared" si="3"/>
        <v>0</v>
      </c>
      <c r="H41" s="99">
        <f>G41+'20'!H41</f>
        <v>8024.2800000000279</v>
      </c>
      <c r="I41" s="95"/>
      <c r="J41" s="175">
        <f>H41/DAY(B2)</f>
        <v>382.10857142857276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'20'!F42</f>
        <v>290816.73</v>
      </c>
      <c r="F42" s="145">
        <v>293832.81</v>
      </c>
      <c r="G42" s="112">
        <f t="shared" si="3"/>
        <v>3016.0800000000163</v>
      </c>
      <c r="H42" s="99">
        <f>G42+'20'!H42</f>
        <v>22863.140000000014</v>
      </c>
      <c r="I42" s="95"/>
      <c r="J42" s="175">
        <f>H42/DAY(B2)</f>
        <v>1088.7209523809531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'20'!F43</f>
        <v>1500439.7</v>
      </c>
      <c r="F43" s="145">
        <v>1503451.5</v>
      </c>
      <c r="G43" s="112">
        <f t="shared" si="3"/>
        <v>3011.8000000000466</v>
      </c>
      <c r="H43" s="99">
        <f>G43+'20'!H43</f>
        <v>57364.100000000093</v>
      </c>
      <c r="I43" s="95"/>
      <c r="J43" s="175">
        <f>H43/DAY(B2)</f>
        <v>2731.6238095238141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16128.550000000067</v>
      </c>
      <c r="H47" s="99">
        <f>G47+'20'!H47</f>
        <v>283640.59000000014</v>
      </c>
      <c r="I47" s="95"/>
      <c r="J47" s="175">
        <f>H47/DAY(B2)</f>
        <v>13506.694761904768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'20'!F49</f>
        <v>204021.13</v>
      </c>
      <c r="F49" s="145">
        <v>205689.75</v>
      </c>
      <c r="G49" s="112">
        <f t="shared" ref="G49:G58" si="4">F49-E49</f>
        <v>1668.6199999999953</v>
      </c>
      <c r="H49" s="99">
        <f>G49+'20'!H49</f>
        <v>32959.359999999986</v>
      </c>
      <c r="I49" s="95"/>
      <c r="J49" s="175">
        <f>H49/DAY(B2)</f>
        <v>1569.4933333333327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'20'!F50</f>
        <v>708888.95</v>
      </c>
      <c r="F50" s="145">
        <v>710623.99</v>
      </c>
      <c r="G50" s="112">
        <f t="shared" si="4"/>
        <v>1735.0400000000373</v>
      </c>
      <c r="H50" s="99">
        <f>G50+'20'!H50</f>
        <v>26261.679999999935</v>
      </c>
      <c r="I50" s="95"/>
      <c r="J50" s="175">
        <f>H50/DAY(B2)</f>
        <v>1250.5561904761873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'20'!F54</f>
        <v>2974.24</v>
      </c>
      <c r="F54" s="145">
        <v>2979.81</v>
      </c>
      <c r="G54" s="112">
        <f t="shared" si="4"/>
        <v>5.5700000000001637</v>
      </c>
      <c r="H54" s="99">
        <f>G54+'20'!H54</f>
        <v>112.32000000000016</v>
      </c>
      <c r="I54" s="95"/>
      <c r="J54" s="175">
        <f>H54/DAY(B2)</f>
        <v>5.3485714285714367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'20'!F55</f>
        <v>0</v>
      </c>
      <c r="F55" s="145">
        <v>0</v>
      </c>
      <c r="G55" s="112">
        <f t="shared" si="4"/>
        <v>0</v>
      </c>
      <c r="H55" s="99">
        <f>G55+'20'!H55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'20'!F56</f>
        <v>142026.42000000001</v>
      </c>
      <c r="F56" s="396">
        <v>147495.79999999999</v>
      </c>
      <c r="G56" s="112">
        <f t="shared" si="4"/>
        <v>5469.3799999999756</v>
      </c>
      <c r="H56" s="99">
        <f>G56+'20'!H56</f>
        <v>104655.50999999998</v>
      </c>
      <c r="I56" s="95"/>
      <c r="J56" s="175">
        <f>H56/DAY(B2)</f>
        <v>4983.5957142857133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'20'!F58</f>
        <v>83161.39</v>
      </c>
      <c r="F58" s="145">
        <v>83354.25</v>
      </c>
      <c r="G58" s="112">
        <f t="shared" si="4"/>
        <v>192.86000000000058</v>
      </c>
      <c r="H58" s="99">
        <f>G58+'20'!H58</f>
        <v>4334.3500000000058</v>
      </c>
      <c r="I58" s="95"/>
      <c r="J58" s="175">
        <f>H58/DAY(B2)</f>
        <v>206.39761904761932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9071.4700000000084</v>
      </c>
      <c r="H59" s="99">
        <f>G59+'20'!H59</f>
        <v>168323.21999999988</v>
      </c>
      <c r="I59" s="95">
        <f>G7-G60</f>
        <v>1981.6399999999267</v>
      </c>
      <c r="J59" s="175">
        <f>H59/DAY(B2)</f>
        <v>8015.3914285714227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25200.020000000077</v>
      </c>
      <c r="H60" s="99">
        <f>G60+'20'!H60</f>
        <v>451963.81</v>
      </c>
      <c r="I60" s="95">
        <f>G13-G60</f>
        <v>1251.4200000000419</v>
      </c>
      <c r="J60" s="175">
        <f>H60/DAY(B2)</f>
        <v>21522.086190476191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'20'!F62</f>
        <v>262169</v>
      </c>
      <c r="F62" s="122">
        <v>262308</v>
      </c>
      <c r="G62" s="112">
        <f t="shared" ref="G62:G63" si="5">F62-E62</f>
        <v>139</v>
      </c>
      <c r="H62" s="99">
        <f>G62+'20'!H62</f>
        <v>2490</v>
      </c>
      <c r="I62" s="118"/>
      <c r="J62" s="175">
        <f>H62/DAY(B2)</f>
        <v>118.57142857142857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'20'!F63</f>
        <v>208134</v>
      </c>
      <c r="F63" s="122">
        <v>208268</v>
      </c>
      <c r="G63" s="112">
        <f t="shared" si="5"/>
        <v>134</v>
      </c>
      <c r="H63" s="99">
        <f>G63+'20'!H63</f>
        <v>1998</v>
      </c>
      <c r="I63" s="118"/>
      <c r="J63" s="175">
        <f>H63/DAY(B2)</f>
        <v>95.142857142857139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'20'!F64</f>
        <v>0</v>
      </c>
      <c r="F64" s="122"/>
      <c r="G64" s="112">
        <f>G62+G63</f>
        <v>273</v>
      </c>
      <c r="H64" s="99">
        <f>G64+'20'!H64</f>
        <v>4488</v>
      </c>
      <c r="I64" s="118"/>
      <c r="J64" s="175">
        <f>H64/DAY(B2)</f>
        <v>213.71428571428572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'20'!F65</f>
        <v>428234</v>
      </c>
      <c r="F65" s="122">
        <v>428343</v>
      </c>
      <c r="G65" s="112">
        <f t="shared" ref="G65:G70" si="6">F65-E65</f>
        <v>109</v>
      </c>
      <c r="H65" s="99">
        <f>G65+'20'!H65</f>
        <v>2138</v>
      </c>
      <c r="I65" s="118"/>
      <c r="J65" s="175">
        <f>H65/DAY(B2)</f>
        <v>101.80952380952381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'20'!F66</f>
        <v>106422</v>
      </c>
      <c r="F66" s="122">
        <v>106447</v>
      </c>
      <c r="G66" s="112">
        <f t="shared" si="6"/>
        <v>25</v>
      </c>
      <c r="H66" s="99">
        <f>G66+'20'!H66</f>
        <v>477</v>
      </c>
      <c r="I66" s="118"/>
      <c r="J66" s="175">
        <f>H66/DAY(B2)</f>
        <v>22.714285714285715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'20'!F67</f>
        <v>102716</v>
      </c>
      <c r="F67" s="122">
        <v>102758</v>
      </c>
      <c r="G67" s="112">
        <f t="shared" si="6"/>
        <v>42</v>
      </c>
      <c r="H67" s="99">
        <f>G67+'20'!H67</f>
        <v>587</v>
      </c>
      <c r="I67" s="118"/>
      <c r="J67" s="175">
        <f>H67/DAY(B2)</f>
        <v>27.952380952380953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'20'!F68</f>
        <v>155116</v>
      </c>
      <c r="F68" s="122">
        <v>155134</v>
      </c>
      <c r="G68" s="112">
        <f t="shared" si="6"/>
        <v>18</v>
      </c>
      <c r="H68" s="99">
        <f>G68+'20'!H68</f>
        <v>638</v>
      </c>
      <c r="I68" s="118"/>
      <c r="J68" s="175">
        <f>H68/DAY(B2)</f>
        <v>30.38095238095238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'20'!F69</f>
        <v>9715</v>
      </c>
      <c r="F69" s="122">
        <v>9728</v>
      </c>
      <c r="G69" s="112">
        <f t="shared" si="6"/>
        <v>13</v>
      </c>
      <c r="H69" s="99">
        <f>G69+'20'!H69</f>
        <v>263</v>
      </c>
      <c r="I69" s="118"/>
      <c r="J69" s="175">
        <f>H69/DAY(B2)</f>
        <v>12.523809523809524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'20'!F70</f>
        <v>7419</v>
      </c>
      <c r="F70" s="122">
        <v>7440</v>
      </c>
      <c r="G70" s="112">
        <f t="shared" si="6"/>
        <v>21</v>
      </c>
      <c r="H70" s="99">
        <f>G70+'20'!H70</f>
        <v>237</v>
      </c>
      <c r="I70" s="118"/>
      <c r="J70" s="175">
        <f>H70/DAY(B2)</f>
        <v>11.285714285714286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228</v>
      </c>
      <c r="H71" s="99">
        <f>G71+'20'!H71</f>
        <v>4340</v>
      </c>
      <c r="I71" s="154"/>
      <c r="J71" s="175">
        <f>H71/DAY(B2)</f>
        <v>206.66666666666666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'20'!F74</f>
        <v>879342.14</v>
      </c>
      <c r="F74" s="123">
        <v>879631.12</v>
      </c>
      <c r="G74" s="112">
        <f t="shared" ref="G74:G78" si="7">F74-E74</f>
        <v>288.97999999998137</v>
      </c>
      <c r="H74" s="99">
        <f>G74+'20'!H74</f>
        <v>6045.8889999999665</v>
      </c>
      <c r="I74" s="154"/>
      <c r="J74" s="175">
        <f>H74/DAY(B2)</f>
        <v>287.89947619047462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3.4000000000087311</v>
      </c>
      <c r="I75" s="154"/>
      <c r="J75" s="175">
        <f>H75/DAY(B2)</f>
        <v>0.16190476190517766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'20'!F76</f>
        <v>162148.62</v>
      </c>
      <c r="F76" s="123">
        <v>162262.29999999999</v>
      </c>
      <c r="G76" s="112">
        <f t="shared" si="7"/>
        <v>113.67999999999302</v>
      </c>
      <c r="H76" s="99">
        <f>G76+'20'!H76</f>
        <v>2276.7999999999884</v>
      </c>
      <c r="I76" s="154"/>
      <c r="J76" s="175">
        <f>H76/DAY(B2)</f>
        <v>108.41904761904706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'20'!F77</f>
        <v>38335</v>
      </c>
      <c r="F77" s="123">
        <v>38383.1</v>
      </c>
      <c r="G77" s="112">
        <f t="shared" si="7"/>
        <v>48.099999999998545</v>
      </c>
      <c r="H77" s="99">
        <f>G77+'20'!H77</f>
        <v>885.59999999999854</v>
      </c>
      <c r="I77" s="154"/>
      <c r="J77" s="175">
        <f>H77/DAY(B2)</f>
        <v>42.1714285714285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'20'!F78</f>
        <v>9374</v>
      </c>
      <c r="F78" s="123">
        <v>9376.6</v>
      </c>
      <c r="G78" s="112">
        <f t="shared" si="7"/>
        <v>2.6000000000003638</v>
      </c>
      <c r="H78" s="99">
        <f>G78+'20'!H78</f>
        <v>47.200000000000728</v>
      </c>
      <c r="I78" s="118"/>
      <c r="J78" s="175">
        <f>H78/DAY(B2)</f>
        <v>2.2476190476190823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'20'!F79</f>
        <v>0</v>
      </c>
      <c r="F79" s="123"/>
      <c r="G79" s="112">
        <f>G15-SUM(G74:G78)</f>
        <v>590.68000000006396</v>
      </c>
      <c r="H79" s="99">
        <f>G79+'20'!H79</f>
        <v>11045.341000000046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1044.0400000000373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'20'!F84</f>
        <v>41625.31</v>
      </c>
      <c r="F84" s="164">
        <v>41625.31</v>
      </c>
      <c r="G84" s="112">
        <f t="shared" si="8"/>
        <v>0</v>
      </c>
      <c r="H84" s="99">
        <f>G84+'20'!H84</f>
        <v>39.75</v>
      </c>
      <c r="I84" s="118"/>
      <c r="J84" s="175">
        <f>H84/DAY(B2)</f>
        <v>1.8928571428571428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'20'!F85</f>
        <v>1395.45</v>
      </c>
      <c r="F85" s="164">
        <v>1409.43</v>
      </c>
      <c r="G85" s="112">
        <f t="shared" si="8"/>
        <v>13.980000000000018</v>
      </c>
      <c r="H85" s="99">
        <f>G85+'20'!H85</f>
        <v>104.43000000000006</v>
      </c>
      <c r="I85" s="118">
        <f>G82+G83+G84+G85</f>
        <v>13.980000000000018</v>
      </c>
      <c r="J85" s="175">
        <f>H85/DAY(B2)</f>
        <v>4.972857142857146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'20'!F86</f>
        <v>42826.47</v>
      </c>
      <c r="F86" s="164">
        <v>42826.47</v>
      </c>
      <c r="G86" s="112">
        <f t="shared" si="8"/>
        <v>0</v>
      </c>
      <c r="H86" s="99">
        <f>G86+'20'!H86</f>
        <v>0.47000000000116415</v>
      </c>
      <c r="I86" s="118"/>
      <c r="J86" s="175">
        <f>H86/DAY(B2)</f>
        <v>2.2380952381007818E-2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'20'!F87</f>
        <v>34203.53</v>
      </c>
      <c r="F87" s="164">
        <v>34227.89</v>
      </c>
      <c r="G87" s="112">
        <f t="shared" si="8"/>
        <v>24.360000000000582</v>
      </c>
      <c r="H87" s="99">
        <f>G87+'20'!H87</f>
        <v>479.88999999999942</v>
      </c>
      <c r="I87" s="118"/>
      <c r="J87" s="175">
        <f>H87/DAY(B2)</f>
        <v>22.851904761904734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'20'!F88</f>
        <v>23911.93</v>
      </c>
      <c r="F88" s="164">
        <v>23920.89</v>
      </c>
      <c r="G88" s="112">
        <f t="shared" si="8"/>
        <v>8.9599999999991269</v>
      </c>
      <c r="H88" s="99">
        <f>G88+'20'!H88</f>
        <v>87.319999999999709</v>
      </c>
      <c r="I88" s="118">
        <f>G86+G87+G88</f>
        <v>33.319999999999709</v>
      </c>
      <c r="J88" s="175">
        <f>H88/DAY(B2)</f>
        <v>4.1580952380952239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'20'!F89</f>
        <v>25364.36</v>
      </c>
      <c r="F89" s="164">
        <v>25364.36</v>
      </c>
      <c r="G89" s="112">
        <f t="shared" si="8"/>
        <v>0</v>
      </c>
      <c r="H89" s="99">
        <f>G89+'20'!H89</f>
        <v>118.97999999999956</v>
      </c>
      <c r="I89" s="118"/>
      <c r="J89" s="175">
        <f>H89/DAY(B2)</f>
        <v>5.6657142857142651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'20'!F90</f>
        <v>70764.789999999994</v>
      </c>
      <c r="F90" s="164">
        <v>70770.77</v>
      </c>
      <c r="G90" s="112">
        <f t="shared" si="8"/>
        <v>5.9800000000104774</v>
      </c>
      <c r="H90" s="99">
        <f>G90+'20'!H90</f>
        <v>115.36000000000058</v>
      </c>
      <c r="I90" s="118">
        <f>G89+G90</f>
        <v>5.9800000000104774</v>
      </c>
      <c r="J90" s="175">
        <f>H90/DAY(B2)</f>
        <v>5.4933333333333607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'20'!F92</f>
        <v>4993.92</v>
      </c>
      <c r="F92" s="122">
        <v>5004.03</v>
      </c>
      <c r="G92" s="112">
        <f t="shared" si="8"/>
        <v>10.109999999999673</v>
      </c>
      <c r="H92" s="99">
        <f>G92+'20'!H92</f>
        <v>212.21000000000004</v>
      </c>
      <c r="I92" s="165"/>
      <c r="J92" s="175">
        <f>H92/DAY(B2)</f>
        <v>10.105238095238096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6692.3800000000483</v>
      </c>
      <c r="H94" s="99">
        <f>G94+'20'!H94</f>
        <v>132647.39000000007</v>
      </c>
      <c r="I94" s="118"/>
      <c r="J94" s="175">
        <f>H94/DAY(B2)</f>
        <v>6316.5423809523845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0.24620939265666805</v>
      </c>
      <c r="H95" s="99">
        <f>G95+'20'!H95</f>
        <v>5.725548237548586</v>
      </c>
      <c r="I95" s="167"/>
      <c r="J95" s="175">
        <f>H95/DAY(B2)</f>
        <v>0.27264515416898027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8485.4599999999919</v>
      </c>
      <c r="H96" s="99">
        <f>G96+'20'!H96</f>
        <v>135542.93000000002</v>
      </c>
      <c r="I96" s="118"/>
      <c r="J96" s="175">
        <f>H96/DAY(B2)</f>
        <v>6454.4252380952394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0.31217593038835711</v>
      </c>
      <c r="H97" s="99">
        <f>G97+'20'!H97</f>
        <v>5.7608371205367259</v>
      </c>
      <c r="I97" s="167"/>
      <c r="J97" s="175">
        <f>H97/DAY(B2)</f>
        <v>0.27432557716841555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2957.140000000014</v>
      </c>
      <c r="H98" s="99">
        <f>G98+'20'!H98</f>
        <v>61097.600000000035</v>
      </c>
      <c r="I98" s="168"/>
      <c r="J98" s="175">
        <f>H98/DAY(B2)</f>
        <v>2909.4095238095256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0.10879173678134497</v>
      </c>
      <c r="H99" s="99">
        <f>G99+'20'!H99</f>
        <v>2.6423337846072559</v>
      </c>
      <c r="I99" s="168"/>
      <c r="J99" s="175">
        <f>H99/DAY(B2)</f>
        <v>0.12582541831463123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1956.1399999999849</v>
      </c>
      <c r="H100" s="99">
        <f>G100+'20'!H100</f>
        <v>38478.020000000004</v>
      </c>
      <c r="I100" s="118"/>
      <c r="J100" s="175">
        <f>H100/DAY(B2)</f>
        <v>1832.2866666666669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7.1965435517918508E-2</v>
      </c>
      <c r="H101" s="99">
        <f>G101+'20'!H101</f>
        <v>1.662364236925659</v>
      </c>
      <c r="I101" s="168"/>
      <c r="J101" s="175">
        <f>H101/DAY(B2)</f>
        <v>7.9160201758364718E-2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3277.1300000000338</v>
      </c>
      <c r="H102" s="99">
        <f>G102+'20'!H102</f>
        <v>45945.849999999933</v>
      </c>
      <c r="I102" s="168"/>
      <c r="J102" s="175">
        <f>H102/DAY(B2)</f>
        <v>2187.897619047616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0.12056401264676378</v>
      </c>
      <c r="H103" s="99">
        <f>G103+'20'!H103</f>
        <v>1.9591736698339146</v>
      </c>
      <c r="I103" s="118"/>
      <c r="J103" s="175">
        <f>H103/DAY(B2)</f>
        <v>9.3293984277805456E-2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1626.5800000000017</v>
      </c>
      <c r="H104" s="99">
        <f>G104+'20'!H104</f>
        <v>33675.770000000004</v>
      </c>
      <c r="I104" s="118"/>
      <c r="J104" s="175">
        <f>H104/DAY(B2)</f>
        <v>1603.6080952380955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5.9841084025037523E-2</v>
      </c>
      <c r="H105" s="99">
        <f>G105+'20'!H105</f>
        <v>1.4545313389242509</v>
      </c>
      <c r="I105" s="187"/>
      <c r="J105" s="188">
        <f>H105/DAY(B2)</f>
        <v>6.9263397091630999E-2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'20'!F112</f>
        <v>52536.83</v>
      </c>
      <c r="F112" s="237">
        <v>52618.07</v>
      </c>
      <c r="G112" s="112">
        <f t="shared" ref="G112:G123" si="9">F112-E112</f>
        <v>81.239999999997963</v>
      </c>
      <c r="H112" s="99">
        <f>G112+'20'!H112</f>
        <v>1728.989999999998</v>
      </c>
      <c r="I112" s="165"/>
      <c r="J112" s="348">
        <f>H112/DAY(B2)</f>
        <v>82.332857142857051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'20'!F113</f>
        <v>13468.06</v>
      </c>
      <c r="F113" s="564">
        <v>13920.27</v>
      </c>
      <c r="G113" s="112">
        <f t="shared" si="9"/>
        <v>452.21000000000095</v>
      </c>
      <c r="H113" s="99">
        <f>G113+'20'!H113</f>
        <v>9414.6200000000008</v>
      </c>
      <c r="I113" s="165"/>
      <c r="J113" s="348">
        <f>H113/DAY(B2)</f>
        <v>448.31523809523816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'20'!F114</f>
        <v>10439.36</v>
      </c>
      <c r="F114" s="237">
        <v>10853.14</v>
      </c>
      <c r="G114" s="112">
        <f t="shared" si="9"/>
        <v>413.77999999999884</v>
      </c>
      <c r="H114" s="99">
        <f>G114+'20'!H114</f>
        <v>7047.0299999999988</v>
      </c>
      <c r="I114" s="165"/>
      <c r="J114" s="348">
        <f>H114/DAY(B2)</f>
        <v>335.57285714285706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'20'!F115</f>
        <v>8299.7099999999991</v>
      </c>
      <c r="F115" s="237">
        <v>8306.84</v>
      </c>
      <c r="G115" s="112">
        <f t="shared" si="9"/>
        <v>7.1300000000010186</v>
      </c>
      <c r="H115" s="99">
        <f>G115+'20'!H115</f>
        <v>229.43000000000029</v>
      </c>
      <c r="I115" s="165"/>
      <c r="J115" s="348">
        <f>H115/DAY(B2)</f>
        <v>10.925238095238109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'20'!F117</f>
        <v>1735.26</v>
      </c>
      <c r="F117" s="237">
        <v>1755.22</v>
      </c>
      <c r="G117" s="112">
        <f t="shared" si="9"/>
        <v>19.960000000000036</v>
      </c>
      <c r="H117" s="99">
        <f>G117+'20'!H117</f>
        <v>597.03</v>
      </c>
      <c r="I117" s="165"/>
      <c r="J117" s="348">
        <f>H117/DAY(B2)</f>
        <v>28.43</v>
      </c>
      <c r="Q117" s="793" t="s">
        <v>312</v>
      </c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'20'!F118</f>
        <v>225910.43</v>
      </c>
      <c r="F118" s="237">
        <v>226253.63</v>
      </c>
      <c r="G118" s="112">
        <f t="shared" si="9"/>
        <v>343.20000000001164</v>
      </c>
      <c r="H118" s="99">
        <f>G118+'20'!H118</f>
        <v>7401.7000000000116</v>
      </c>
      <c r="I118" s="165"/>
      <c r="J118" s="348">
        <f>H118/DAY(B2)</f>
        <v>352.46190476190532</v>
      </c>
      <c r="Q118" s="793" t="s">
        <v>311</v>
      </c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'20'!F119</f>
        <v>227414.95</v>
      </c>
      <c r="F119" s="237">
        <v>227834.25</v>
      </c>
      <c r="G119" s="112">
        <f t="shared" si="9"/>
        <v>419.29999999998836</v>
      </c>
      <c r="H119" s="99">
        <f>G119+'20'!H119</f>
        <v>9023.140000000014</v>
      </c>
      <c r="I119" s="165"/>
      <c r="J119" s="348">
        <f>H119/DAY(B2)</f>
        <v>429.67333333333397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'20'!F120</f>
        <v>12883.91</v>
      </c>
      <c r="F120" s="564">
        <v>13296.28</v>
      </c>
      <c r="G120" s="112">
        <f t="shared" si="9"/>
        <v>412.3700000000008</v>
      </c>
      <c r="H120" s="99">
        <f>G120+'20'!H120</f>
        <v>8988.68</v>
      </c>
      <c r="I120" s="165"/>
      <c r="J120" s="348">
        <f>H120/DAY(B2)</f>
        <v>428.03238095238095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'20'!F121</f>
        <v>345566.35</v>
      </c>
      <c r="F121" s="237">
        <v>346322.59</v>
      </c>
      <c r="G121" s="112">
        <f t="shared" si="9"/>
        <v>756.24000000004889</v>
      </c>
      <c r="H121" s="99">
        <f>G121+'20'!H121</f>
        <v>15085.080000000016</v>
      </c>
      <c r="I121" s="165"/>
      <c r="J121" s="348">
        <f>H121/DAY(B2)</f>
        <v>718.33714285714359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'20'!F122</f>
        <v>107690.32</v>
      </c>
      <c r="F122" s="237">
        <v>108011.53</v>
      </c>
      <c r="G122" s="112">
        <f t="shared" si="9"/>
        <v>321.20999999999185</v>
      </c>
      <c r="H122" s="99">
        <f>G122+'20'!H122</f>
        <v>6402.6499999999942</v>
      </c>
      <c r="I122" s="165"/>
      <c r="J122" s="348">
        <f>H122/DAY(B2)</f>
        <v>304.88809523809493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'20'!F123</f>
        <v>131547.09</v>
      </c>
      <c r="F123" s="237">
        <v>131836.04</v>
      </c>
      <c r="G123" s="112">
        <f t="shared" si="9"/>
        <v>288.95000000001164</v>
      </c>
      <c r="H123" s="99">
        <f>G123+'20'!H123</f>
        <v>6088.2800000000134</v>
      </c>
      <c r="I123" s="165"/>
      <c r="J123" s="348">
        <f>H123/DAY(B2)</f>
        <v>289.91809523809587</v>
      </c>
    </row>
    <row r="124" spans="1:18" ht="29.25" customHeight="1">
      <c r="A124" s="797"/>
      <c r="B124" s="798"/>
      <c r="C124" s="799"/>
      <c r="D124" s="165"/>
      <c r="E124" s="165"/>
      <c r="F124" s="165"/>
      <c r="G124" s="347"/>
      <c r="H124" s="99">
        <f>G124+'20'!H124</f>
        <v>0</v>
      </c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3515.590000000052</v>
      </c>
      <c r="H125" s="156"/>
      <c r="I125" s="347">
        <f>G125-(G39+G53)</f>
        <v>558.45000000003802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G127+'20'!H127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'20'!F128</f>
        <v>24363.919999999998</v>
      </c>
      <c r="F128" s="165">
        <v>24694.79</v>
      </c>
      <c r="G128" s="112">
        <f t="shared" ref="G128:G134" si="10">F128-E128</f>
        <v>330.87000000000262</v>
      </c>
      <c r="H128" s="99">
        <f>G128+'20'!H128</f>
        <v>6671.07</v>
      </c>
      <c r="I128" s="165"/>
      <c r="J128" s="348">
        <f>H128/DAY(B2)</f>
        <v>317.66999999999996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'20'!F129</f>
        <v>10691.52</v>
      </c>
      <c r="F129" s="165">
        <v>10886.98</v>
      </c>
      <c r="G129" s="112">
        <f t="shared" si="10"/>
        <v>195.45999999999913</v>
      </c>
      <c r="H129" s="99">
        <f>G129+'20'!H129</f>
        <v>4291.2699999999995</v>
      </c>
      <c r="I129" s="165"/>
      <c r="J129" s="348">
        <f>H129/DAY(B2)</f>
        <v>204.34619047619046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'20'!F130</f>
        <v>77398.28</v>
      </c>
      <c r="F130" s="565">
        <v>79937.710000000006</v>
      </c>
      <c r="G130" s="112">
        <f t="shared" si="10"/>
        <v>2539.4300000000076</v>
      </c>
      <c r="H130" s="99">
        <f>G130+'20'!H130</f>
        <v>53469.680000000008</v>
      </c>
      <c r="I130" s="165"/>
      <c r="J130" s="348">
        <f>H130/DAY(B2)</f>
        <v>2546.1752380952385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'20'!F131</f>
        <v>7332.52</v>
      </c>
      <c r="F131" s="165">
        <v>7503.92</v>
      </c>
      <c r="G131" s="112">
        <f t="shared" si="10"/>
        <v>171.39999999999964</v>
      </c>
      <c r="H131" s="99">
        <f>G131+'20'!H131</f>
        <v>3357.45</v>
      </c>
      <c r="I131" s="165"/>
      <c r="J131" s="348">
        <f>H131/DAY(B2)</f>
        <v>159.87857142857143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'20'!F132</f>
        <v>21501.59</v>
      </c>
      <c r="F132" s="165">
        <v>21879.439999999999</v>
      </c>
      <c r="G132" s="112">
        <f t="shared" si="10"/>
        <v>377.84999999999854</v>
      </c>
      <c r="H132" s="99">
        <f>G132+'20'!H132</f>
        <v>10341.719999999999</v>
      </c>
      <c r="I132" s="165"/>
      <c r="J132" s="348">
        <f>H132/DAY(B2)</f>
        <v>492.4628571428571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'20'!F133</f>
        <v>55215.040000000001</v>
      </c>
      <c r="F133" s="165">
        <v>56131.55</v>
      </c>
      <c r="G133" s="112">
        <f t="shared" si="10"/>
        <v>916.51000000000204</v>
      </c>
      <c r="H133" s="99">
        <f>G133+'20'!H133</f>
        <v>15282.260000000002</v>
      </c>
      <c r="I133" s="165"/>
      <c r="J133" s="348">
        <f>H133/DAY(B2)</f>
        <v>727.7266666666668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'20'!F134</f>
        <v>644874</v>
      </c>
      <c r="F134" s="165">
        <v>645503</v>
      </c>
      <c r="G134" s="112">
        <f t="shared" si="10"/>
        <v>629</v>
      </c>
      <c r="H134" s="99">
        <f>G134+'20'!H134</f>
        <v>13239</v>
      </c>
      <c r="I134" s="165"/>
      <c r="J134" s="348">
        <f>H134/DAY(B2)</f>
        <v>630.42857142857144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SUM(G128:G134)</f>
        <v>5160.5200000000095</v>
      </c>
      <c r="H135" s="99">
        <f>G135+'10'!H135</f>
        <v>55341.580000000009</v>
      </c>
      <c r="I135" s="347">
        <f>G135-(G35+G49)</f>
        <v>1479.9400000000078</v>
      </c>
      <c r="J135" s="348"/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'20'!F138</f>
        <v>860695</v>
      </c>
      <c r="F138" s="147">
        <v>860758</v>
      </c>
      <c r="G138" s="112">
        <f t="shared" ref="G138:G152" si="11">F138-E138</f>
        <v>63</v>
      </c>
      <c r="H138" s="99">
        <f>G138+'20'!H138</f>
        <v>1111</v>
      </c>
      <c r="I138" s="118"/>
      <c r="J138" s="348">
        <f>H138/DAY(B2)</f>
        <v>52.904761904761905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'20'!F139</f>
        <v>886140</v>
      </c>
      <c r="F139" s="148">
        <v>886162</v>
      </c>
      <c r="G139" s="112">
        <f t="shared" si="11"/>
        <v>22</v>
      </c>
      <c r="H139" s="99">
        <f>G139+'20'!H139</f>
        <v>60</v>
      </c>
      <c r="I139" s="118"/>
      <c r="J139" s="348">
        <f>H139/DAY(B2)</f>
        <v>2.8571428571428572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'20'!F140</f>
        <v>88841</v>
      </c>
      <c r="F140" s="149">
        <v>88842.4</v>
      </c>
      <c r="G140" s="112">
        <f t="shared" si="11"/>
        <v>1.3999999999941792</v>
      </c>
      <c r="H140" s="99">
        <f>G140+'20'!H140</f>
        <v>25.399999999994179</v>
      </c>
      <c r="I140" s="118"/>
      <c r="J140" s="348">
        <f>H140/DAY(B2)</f>
        <v>1.2095238095235323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'20'!F141</f>
        <v>41100.53</v>
      </c>
      <c r="F141" s="149">
        <v>41300.57</v>
      </c>
      <c r="G141" s="112">
        <f t="shared" si="11"/>
        <v>200.04000000000087</v>
      </c>
      <c r="H141" s="99">
        <f>G141+'20'!H141</f>
        <v>4012.6200000000026</v>
      </c>
      <c r="I141" s="118"/>
      <c r="J141" s="348">
        <f>H141/DAY(B2)</f>
        <v>191.07714285714297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'20'!F142</f>
        <v>17294.39</v>
      </c>
      <c r="F142" s="148">
        <v>17309.990000000002</v>
      </c>
      <c r="G142" s="112">
        <f t="shared" si="11"/>
        <v>15.600000000002183</v>
      </c>
      <c r="H142" s="99">
        <f>G142+'20'!H142</f>
        <v>348.12000000000262</v>
      </c>
      <c r="I142" s="140"/>
      <c r="J142" s="348">
        <f>H142/DAY(B2)</f>
        <v>16.577142857142981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'20'!F143</f>
        <v>1904.53</v>
      </c>
      <c r="F143" s="149">
        <v>1932.54</v>
      </c>
      <c r="G143" s="112">
        <f t="shared" si="11"/>
        <v>28.009999999999991</v>
      </c>
      <c r="H143" s="99">
        <f>G143+'20'!H143</f>
        <v>549.3599999999999</v>
      </c>
      <c r="I143" s="140"/>
      <c r="J143" s="348">
        <f>H143/DAY(B2)</f>
        <v>26.159999999999997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'20'!F144</f>
        <v>860030</v>
      </c>
      <c r="F144" s="149">
        <v>860272</v>
      </c>
      <c r="G144" s="112">
        <f t="shared" si="11"/>
        <v>242</v>
      </c>
      <c r="H144" s="99">
        <f>G144+'20'!H144</f>
        <v>4903</v>
      </c>
      <c r="I144" s="140"/>
      <c r="J144" s="348">
        <f>H144/DAY(B2)</f>
        <v>233.47619047619048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'20'!F145</f>
        <v>2980.39</v>
      </c>
      <c r="F145" s="566">
        <v>3022.13</v>
      </c>
      <c r="G145" s="112">
        <f t="shared" si="11"/>
        <v>41.740000000000236</v>
      </c>
      <c r="H145" s="99">
        <f>G145+'20'!H145</f>
        <v>809.13000000000011</v>
      </c>
      <c r="I145" s="140"/>
      <c r="J145" s="348">
        <f>H145/DAY(B2)</f>
        <v>38.530000000000008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'20'!F146</f>
        <v>706462</v>
      </c>
      <c r="F146" s="148">
        <v>706927</v>
      </c>
      <c r="G146" s="112">
        <f t="shared" si="11"/>
        <v>465</v>
      </c>
      <c r="H146" s="99">
        <f>G146+'20'!H146</f>
        <v>8408</v>
      </c>
      <c r="I146" s="140"/>
      <c r="J146" s="348">
        <f>H146/DAY(B2)</f>
        <v>400.38095238095241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'20'!F147</f>
        <v>597335</v>
      </c>
      <c r="F147" s="148">
        <v>597844.64</v>
      </c>
      <c r="G147" s="112">
        <f t="shared" si="11"/>
        <v>509.64000000001397</v>
      </c>
      <c r="H147" s="99">
        <f>G147+'20'!H147</f>
        <v>8933.7199999999721</v>
      </c>
      <c r="I147" s="140"/>
      <c r="J147" s="348">
        <f>H147/DAY(B2)</f>
        <v>425.41523809523676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'20'!F148</f>
        <v>670235.04</v>
      </c>
      <c r="F148" s="150">
        <v>670717</v>
      </c>
      <c r="G148" s="112">
        <f t="shared" si="11"/>
        <v>481.95999999996275</v>
      </c>
      <c r="H148" s="99">
        <f>G148+'20'!H148</f>
        <v>5608.8800000000047</v>
      </c>
      <c r="I148" s="124"/>
      <c r="J148" s="348">
        <f>H148/DAY(B2)</f>
        <v>267.08952380952405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'20'!F149</f>
        <v>91480</v>
      </c>
      <c r="F149" s="146">
        <v>91847</v>
      </c>
      <c r="G149" s="112">
        <f t="shared" si="11"/>
        <v>367</v>
      </c>
      <c r="H149" s="99">
        <f>G149+'20'!H149</f>
        <v>7100</v>
      </c>
      <c r="I149" s="119"/>
      <c r="J149" s="348">
        <f>H149/DAY(B2)</f>
        <v>338.09523809523807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'20'!F150</f>
        <v>7167232</v>
      </c>
      <c r="F150" s="233">
        <v>7167232</v>
      </c>
      <c r="G150" s="112">
        <f t="shared" si="11"/>
        <v>0</v>
      </c>
      <c r="H150" s="99">
        <f>G150+'20'!H150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'20'!F151</f>
        <v>67917</v>
      </c>
      <c r="F151" s="233">
        <v>68204</v>
      </c>
      <c r="G151" s="112">
        <f t="shared" si="11"/>
        <v>287</v>
      </c>
      <c r="H151" s="99">
        <f>G151+'20'!H151</f>
        <v>5194</v>
      </c>
      <c r="I151" s="119"/>
      <c r="J151" s="348">
        <f>H151/DAY(B2)</f>
        <v>247.33333333333334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'20'!F152</f>
        <v>0</v>
      </c>
      <c r="F152" s="233">
        <v>0</v>
      </c>
      <c r="G152" s="112">
        <f t="shared" si="11"/>
        <v>0</v>
      </c>
      <c r="H152" s="99">
        <f>G152+'20'!H152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2724.389999999974</v>
      </c>
      <c r="H153" s="383"/>
      <c r="I153" s="119">
        <f>G153-(G38+G52)</f>
        <v>768.24999999998909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'20'!F155</f>
        <v>77430.2</v>
      </c>
      <c r="F155" s="394">
        <v>77439</v>
      </c>
      <c r="G155" s="112">
        <f t="shared" ref="G155:G156" si="12">F155-E155</f>
        <v>8.8000000000029104</v>
      </c>
      <c r="H155" s="99">
        <f>G155+'20'!H155</f>
        <v>164.39999999999418</v>
      </c>
      <c r="I155" s="384"/>
      <c r="J155" s="348">
        <f>H155/DAY(B2)</f>
        <v>7.8285714285711512</v>
      </c>
    </row>
    <row r="156" spans="1:10" ht="27.75">
      <c r="A156" s="771" t="s">
        <v>347</v>
      </c>
      <c r="B156" s="771"/>
      <c r="C156" s="771"/>
      <c r="D156" s="117" t="s">
        <v>130</v>
      </c>
      <c r="E156" s="95">
        <f>'20'!F156</f>
        <v>0</v>
      </c>
      <c r="F156" s="165">
        <v>0</v>
      </c>
      <c r="G156" s="112">
        <f t="shared" si="12"/>
        <v>0</v>
      </c>
      <c r="H156" s="99">
        <f>G156+'20'!H156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'20'!F158</f>
        <v>470123.88</v>
      </c>
      <c r="F158" s="235">
        <v>470143.55</v>
      </c>
      <c r="G158" s="238">
        <f t="shared" ref="G158:G162" si="13">F158-E158</f>
        <v>19.669999999983702</v>
      </c>
      <c r="H158" s="99">
        <f>G158+'20'!H158</f>
        <v>614.51000000000931</v>
      </c>
      <c r="I158" s="236"/>
      <c r="J158" s="239">
        <f>H158/DAY(B2)</f>
        <v>29.262380952381395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'20'!F159</f>
        <v>86321.5</v>
      </c>
      <c r="F159" s="235">
        <v>86340.7</v>
      </c>
      <c r="G159" s="238">
        <f t="shared" si="13"/>
        <v>19.19999999999709</v>
      </c>
      <c r="H159" s="99">
        <f>G159+'20'!H159</f>
        <v>635.09999999999127</v>
      </c>
      <c r="I159" s="236"/>
      <c r="J159" s="239">
        <f>H159/DAY(B2)</f>
        <v>30.242857142856728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'20'!F160</f>
        <v>74700</v>
      </c>
      <c r="F160" s="567">
        <v>74736.899999999994</v>
      </c>
      <c r="G160" s="238">
        <f t="shared" si="13"/>
        <v>36.899999999994179</v>
      </c>
      <c r="H160" s="99">
        <f>G160+'20'!H160</f>
        <v>1400</v>
      </c>
      <c r="I160" s="236"/>
      <c r="J160" s="239">
        <f>H160/DAY(B2)</f>
        <v>66.666666666666671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'20'!F161</f>
        <v>4046.7</v>
      </c>
      <c r="F161" s="567">
        <v>4047.7</v>
      </c>
      <c r="G161" s="238">
        <f t="shared" si="13"/>
        <v>1</v>
      </c>
      <c r="H161" s="99">
        <f>G161+'20'!H161</f>
        <v>74.199999999999818</v>
      </c>
      <c r="I161" s="236"/>
      <c r="J161" s="239">
        <f>H161/DAY(B2)</f>
        <v>3.5333333333333248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'20'!F162</f>
        <v>29356.7</v>
      </c>
      <c r="F162" s="235">
        <v>29357.55</v>
      </c>
      <c r="G162" s="238">
        <f t="shared" si="13"/>
        <v>0.84999999999854481</v>
      </c>
      <c r="H162" s="99">
        <f>G162+'20'!H162</f>
        <v>159.40999999999985</v>
      </c>
      <c r="I162" s="236"/>
      <c r="J162" s="239">
        <f>H162/DAY(B2)</f>
        <v>7.5909523809523742</v>
      </c>
    </row>
    <row r="163" spans="1:10" ht="29.25">
      <c r="A163" s="780"/>
      <c r="B163" s="780"/>
      <c r="C163" s="247"/>
      <c r="D163" s="244" t="s">
        <v>180</v>
      </c>
      <c r="E163" s="95">
        <f>'20'!F163</f>
        <v>0</v>
      </c>
      <c r="F163" s="165"/>
      <c r="G163" s="165"/>
      <c r="H163" s="99">
        <f>G163+'20'!H163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'20'!F164</f>
        <v>0</v>
      </c>
      <c r="F164" s="165"/>
      <c r="G164" s="165"/>
      <c r="H164" s="99">
        <f>G164+'20'!H164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'20'!F165</f>
        <v>0</v>
      </c>
      <c r="F165" s="165"/>
      <c r="G165" s="165"/>
      <c r="H165" s="99">
        <f>G165+'20'!H165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'20'!F170</f>
        <v>8050</v>
      </c>
      <c r="F170" s="155">
        <v>8050</v>
      </c>
      <c r="G170" s="155">
        <f>F170-E170</f>
        <v>0</v>
      </c>
      <c r="H170" s="99">
        <f>G170+'20'!H170</f>
        <v>52</v>
      </c>
      <c r="I170" s="155"/>
      <c r="J170" s="178">
        <f>H170/DAY(B2)</f>
        <v>2.4761904761904763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'20'!F171</f>
        <v>37668</v>
      </c>
      <c r="F171" s="157">
        <v>37682</v>
      </c>
      <c r="G171" s="155">
        <f t="shared" ref="G171:G172" si="14">F171-E171</f>
        <v>14</v>
      </c>
      <c r="H171" s="99">
        <f>G171+'20'!H171</f>
        <v>299</v>
      </c>
      <c r="I171" s="155"/>
      <c r="J171" s="178">
        <f>H171/DAY(B2)</f>
        <v>14.238095238095237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'20'!F172</f>
        <v>21023</v>
      </c>
      <c r="F172" s="155">
        <v>21032</v>
      </c>
      <c r="G172" s="155">
        <f t="shared" si="14"/>
        <v>9</v>
      </c>
      <c r="H172" s="99">
        <f>G172+'20'!H172</f>
        <v>244</v>
      </c>
      <c r="I172" s="155"/>
      <c r="J172" s="178">
        <f>H172/DAY(B2)</f>
        <v>11.619047619047619</v>
      </c>
    </row>
    <row r="173" spans="1:10" ht="27.75">
      <c r="A173" s="775" t="s">
        <v>196</v>
      </c>
      <c r="B173" s="776"/>
      <c r="C173" s="547"/>
      <c r="D173" s="228" t="s">
        <v>142</v>
      </c>
      <c r="E173" s="95"/>
      <c r="F173" s="155"/>
      <c r="G173" s="155">
        <f>SUM(G170:G172)</f>
        <v>23</v>
      </c>
      <c r="H173" s="99">
        <f>G173+'20'!H173</f>
        <v>595</v>
      </c>
      <c r="I173" s="155"/>
      <c r="J173" s="178">
        <f>H173/DAY(B2)</f>
        <v>28.333333333333332</v>
      </c>
    </row>
    <row r="174" spans="1:10" ht="27.75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G174+'20'!H174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'20'!F175</f>
        <v>76326</v>
      </c>
      <c r="F175" s="155">
        <v>76433</v>
      </c>
      <c r="G175" s="155">
        <f>F175-E175</f>
        <v>107</v>
      </c>
      <c r="H175" s="99">
        <f>G175+'20'!H175</f>
        <v>1814</v>
      </c>
      <c r="I175" s="155"/>
      <c r="J175" s="178">
        <f>H175/DAY(B2)</f>
        <v>86.38095238095238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'20'!F176</f>
        <v>33886</v>
      </c>
      <c r="F176" s="155">
        <v>33886</v>
      </c>
      <c r="G176" s="155">
        <f t="shared" ref="G176:G177" si="15">F176-E176</f>
        <v>0</v>
      </c>
      <c r="H176" s="99">
        <f>G176+'20'!H176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'20'!F177</f>
        <v>5198</v>
      </c>
      <c r="F177" s="155">
        <v>5201</v>
      </c>
      <c r="G177" s="155">
        <f t="shared" si="15"/>
        <v>3</v>
      </c>
      <c r="H177" s="99">
        <f>G177+'20'!H177</f>
        <v>2912</v>
      </c>
      <c r="I177" s="155"/>
      <c r="J177" s="178">
        <f>H177/DAY(B2)</f>
        <v>138.66666666666666</v>
      </c>
    </row>
    <row r="178" spans="1:10" ht="27.75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110</v>
      </c>
      <c r="H178" s="99">
        <f>G178+'20'!H178</f>
        <v>4726</v>
      </c>
      <c r="I178" s="155"/>
      <c r="J178" s="178">
        <f>H178/DAY(B2)</f>
        <v>225.04761904761904</v>
      </c>
    </row>
    <row r="179" spans="1:10" ht="27.75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G179+'20'!H179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'20'!F180</f>
        <v>14338</v>
      </c>
      <c r="F180" s="157">
        <v>14355</v>
      </c>
      <c r="G180" s="157">
        <f>F180-E180</f>
        <v>17</v>
      </c>
      <c r="H180" s="99">
        <f>G180+'20'!H180</f>
        <v>324</v>
      </c>
      <c r="I180" s="155"/>
      <c r="J180" s="178">
        <f>H180/DAY(B2)</f>
        <v>15.428571428571429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'20'!F181</f>
        <v>9928</v>
      </c>
      <c r="F181" s="157">
        <v>9948</v>
      </c>
      <c r="G181" s="157">
        <f t="shared" ref="G181:G182" si="16">F181-E181</f>
        <v>20</v>
      </c>
      <c r="H181" s="99">
        <f>G181+'20'!H181</f>
        <v>194</v>
      </c>
      <c r="I181" s="155"/>
      <c r="J181" s="178">
        <f>H181/DAY(B2)</f>
        <v>9.2380952380952372</v>
      </c>
    </row>
    <row r="182" spans="1:10" ht="32.25" customHeight="1">
      <c r="A182" s="786" t="s">
        <v>216</v>
      </c>
      <c r="B182" s="787"/>
      <c r="C182" s="354"/>
      <c r="D182" s="228" t="s">
        <v>142</v>
      </c>
      <c r="E182" s="95">
        <f>'20'!F182</f>
        <v>0</v>
      </c>
      <c r="F182" s="157"/>
      <c r="G182" s="157">
        <f t="shared" si="16"/>
        <v>0</v>
      </c>
      <c r="H182" s="99">
        <f>G182+'20'!H182</f>
        <v>0</v>
      </c>
      <c r="I182" s="155"/>
      <c r="J182" s="178">
        <f>H182/DAY(B2)</f>
        <v>0</v>
      </c>
    </row>
    <row r="183" spans="1:10" ht="27.75">
      <c r="A183" s="775" t="s">
        <v>196</v>
      </c>
      <c r="B183" s="776"/>
      <c r="C183" s="546"/>
      <c r="D183" s="228" t="s">
        <v>142</v>
      </c>
      <c r="E183" s="95"/>
      <c r="F183" s="157"/>
      <c r="G183" s="157">
        <f>SUM(G180:G182)</f>
        <v>37</v>
      </c>
      <c r="H183" s="99">
        <f>G183+'20'!H183</f>
        <v>518</v>
      </c>
      <c r="I183" s="157"/>
      <c r="J183" s="178">
        <f>H183/DAY(B2)</f>
        <v>24.666666666666668</v>
      </c>
    </row>
    <row r="184" spans="1:10" ht="27.75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195</v>
      </c>
      <c r="H184" s="99">
        <f>G184+'20'!H184</f>
        <v>3671</v>
      </c>
      <c r="I184" s="158"/>
      <c r="J184" s="179">
        <f>H184/DAY(B2)</f>
        <v>174.8095238095238</v>
      </c>
    </row>
    <row r="185" spans="1:10" ht="27.75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210</v>
      </c>
      <c r="H185" s="99">
        <f>G185+'20'!H185</f>
        <v>1276</v>
      </c>
      <c r="I185" s="158"/>
      <c r="J185" s="179">
        <f>H185/DAY(B2)</f>
        <v>60.761904761904759</v>
      </c>
    </row>
    <row r="186" spans="1:10" ht="21" customHeight="1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110</v>
      </c>
      <c r="H186" s="99">
        <f>G186+'20'!H186</f>
        <v>294</v>
      </c>
      <c r="I186" s="158"/>
      <c r="J186" s="179">
        <f>H186/DAY(B2)</f>
        <v>14</v>
      </c>
    </row>
    <row r="187" spans="1:10" ht="27.75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</sheetData>
  <mergeCells count="112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6:J126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35:B135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</mergeCells>
  <pageMargins left="0.22" right="0.17" top="0.14000000000000001" bottom="0.2" header="0.2" footer="0.2"/>
  <pageSetup paperSize="5" scale="1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89"/>
  <sheetViews>
    <sheetView view="pageBreakPreview" zoomScale="50" zoomScaleNormal="71" zoomScaleSheetLayoutView="50" workbookViewId="0">
      <selection activeCell="I153" sqref="I15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356</v>
      </c>
      <c r="B2" s="266">
        <v>44522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'21'!F7</f>
        <v>175362.15</v>
      </c>
      <c r="F7" s="95">
        <v>200840.61</v>
      </c>
      <c r="G7" s="112">
        <f>F7-E7</f>
        <v>25478.459999999992</v>
      </c>
      <c r="H7" s="99">
        <f>G7+'21'!H7</f>
        <v>514577.30999999982</v>
      </c>
      <c r="I7" s="113">
        <f>'1'!I7</f>
        <v>12000</v>
      </c>
      <c r="J7" s="175">
        <f>H7/DAY(B2)</f>
        <v>23389.87772727272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'21'!F8</f>
        <v>209710.13</v>
      </c>
      <c r="F8" s="95">
        <v>235497.79</v>
      </c>
      <c r="G8" s="115">
        <f>F8-E8</f>
        <v>25787.660000000003</v>
      </c>
      <c r="H8" s="99">
        <f>G8+'21'!H8</f>
        <v>522333.89000000013</v>
      </c>
      <c r="I8" s="116"/>
      <c r="J8" s="175">
        <f>H8/DAY(B2)</f>
        <v>23742.44954545455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'21'!F9</f>
        <v>1571189.5</v>
      </c>
      <c r="F9" s="373">
        <v>1590343.5</v>
      </c>
      <c r="G9" s="112">
        <f>F9-E9</f>
        <v>19154</v>
      </c>
      <c r="H9" s="99">
        <f>G9+'21'!H9</f>
        <v>329065</v>
      </c>
      <c r="I9" s="124">
        <f>I7-J7</f>
        <v>-11389.87772727272</v>
      </c>
      <c r="J9" s="175">
        <f>H9/DAY(B2)</f>
        <v>14957.5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'21'!F10</f>
        <v>334545.15000000002</v>
      </c>
      <c r="F10" s="373">
        <v>340171.95</v>
      </c>
      <c r="G10" s="112">
        <f t="shared" ref="G10:G12" si="0">F10-E10</f>
        <v>5626.7999999999884</v>
      </c>
      <c r="H10" s="99">
        <f>G10+'21'!H10</f>
        <v>171788.02000000002</v>
      </c>
      <c r="I10" s="286"/>
      <c r="J10" s="175">
        <f>H10/DAY(B2)</f>
        <v>7808.5463636363647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'21'!F11</f>
        <v>37000</v>
      </c>
      <c r="F11" s="95">
        <v>37000</v>
      </c>
      <c r="G11" s="112">
        <f t="shared" si="0"/>
        <v>0</v>
      </c>
      <c r="H11" s="99">
        <f>G11+'21'!H11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24780.799999999988</v>
      </c>
      <c r="H13" s="99">
        <f>G13+'21'!H13</f>
        <v>480046.56</v>
      </c>
      <c r="I13" s="120">
        <f>G7-G13</f>
        <v>697.66000000000349</v>
      </c>
      <c r="J13" s="175">
        <f>H13/DAY(B2)</f>
        <v>21820.298181818183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'21'!F15</f>
        <v>1833235.04</v>
      </c>
      <c r="F15" s="123">
        <v>1834279.08</v>
      </c>
      <c r="G15" s="112">
        <f>(F15-E15)</f>
        <v>1044.0400000000373</v>
      </c>
      <c r="H15" s="99">
        <f>G15+'21'!H15</f>
        <v>21348.270000000048</v>
      </c>
      <c r="I15" s="113">
        <f>'1'!I15</f>
        <v>800</v>
      </c>
      <c r="J15" s="175">
        <f>H15/DAY(B2)</f>
        <v>970.37590909091125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-170.37590909091125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'21'!F18</f>
        <v>22</v>
      </c>
      <c r="F18" s="122">
        <v>20</v>
      </c>
      <c r="G18" s="119">
        <f>F18*10</f>
        <v>200</v>
      </c>
      <c r="H18" s="99">
        <f>G18+'21'!H18</f>
        <v>4500</v>
      </c>
      <c r="I18" s="113">
        <f>'1'!I18</f>
        <v>65</v>
      </c>
      <c r="J18" s="175">
        <f>H18/DAY(B2)</f>
        <v>204.54545454545453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'21'!F19</f>
        <v>150098</v>
      </c>
      <c r="F19" s="122">
        <v>150158</v>
      </c>
      <c r="G19" s="112">
        <f t="shared" ref="G19" si="1">F19-E19</f>
        <v>60</v>
      </c>
      <c r="H19" s="99">
        <f>G19+'21'!H19</f>
        <v>1241</v>
      </c>
      <c r="I19" s="355"/>
      <c r="J19" s="175">
        <f>H19/DAY(B2)</f>
        <v>56.409090909090907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260</v>
      </c>
      <c r="H20" s="99">
        <f>G20+'21'!H20</f>
        <v>5741</v>
      </c>
      <c r="I20" s="356">
        <f>I18-J20</f>
        <v>-195.95454545454544</v>
      </c>
      <c r="J20" s="175">
        <f>H20/DAY(B2)</f>
        <v>260.95454545454544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25787.660000000003</v>
      </c>
      <c r="F27" s="136">
        <v>9</v>
      </c>
      <c r="G27" s="137">
        <f>E27*F27</f>
        <v>232088.94000000003</v>
      </c>
      <c r="H27" s="99">
        <f>G27+'21'!H27</f>
        <v>4701005.0100000007</v>
      </c>
      <c r="I27" s="138"/>
      <c r="J27" s="175">
        <f>H27/DAY(B2)</f>
        <v>213682.04590909093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1044.0400000000373</v>
      </c>
      <c r="F28" s="136">
        <v>52</v>
      </c>
      <c r="G28" s="137">
        <f>E28*F28</f>
        <v>54290.080000001937</v>
      </c>
      <c r="H28" s="99">
        <f>G28+'21'!H28</f>
        <v>1110110.0400000024</v>
      </c>
      <c r="I28" s="140"/>
      <c r="J28" s="175">
        <f>H28/DAY(B2)</f>
        <v>50459.547272727381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G30+'21'!H30</f>
        <v>181186</v>
      </c>
      <c r="I30" s="140"/>
      <c r="J30" s="175">
        <f>H30/DAY(B2)</f>
        <v>8235.7272727272721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G31+'21'!H31</f>
        <v>360000</v>
      </c>
      <c r="I31" s="140"/>
      <c r="J31" s="175">
        <f>H31/DAY(B2)</f>
        <v>16363.636363636364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311139.020000002</v>
      </c>
      <c r="H32" s="99">
        <f>G32+'21'!H32</f>
        <v>6352301.0500000026</v>
      </c>
      <c r="I32" s="144"/>
      <c r="J32" s="175">
        <f>H32/DAY(B2)</f>
        <v>288740.95681818196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'21'!F35</f>
        <v>74798.600000000006</v>
      </c>
      <c r="F35" s="568">
        <v>76818.2</v>
      </c>
      <c r="G35" s="112">
        <f t="shared" ref="G35:G46" si="3">F35-E35</f>
        <v>2019.5999999999913</v>
      </c>
      <c r="H35" s="99">
        <f>G35+'21'!H35</f>
        <v>44343.53</v>
      </c>
      <c r="I35" s="95"/>
      <c r="J35" s="175">
        <f>H35/DAY(B2)</f>
        <v>2015.615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'21'!F36</f>
        <v>69623.839999999997</v>
      </c>
      <c r="F36" s="145">
        <v>71016.25</v>
      </c>
      <c r="G36" s="112">
        <f t="shared" si="3"/>
        <v>1392.4100000000035</v>
      </c>
      <c r="H36" s="99">
        <f>G36+'21'!H36</f>
        <v>21076.58</v>
      </c>
      <c r="I36" s="95"/>
      <c r="J36" s="175">
        <f>H36/DAY(B2)</f>
        <v>958.02636363636373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'21'!F37</f>
        <v>130729.60000000001</v>
      </c>
      <c r="F37" s="568">
        <v>132385.73000000001</v>
      </c>
      <c r="G37" s="112">
        <f t="shared" si="3"/>
        <v>1656.1300000000047</v>
      </c>
      <c r="H37" s="99">
        <f>G37+'21'!H37</f>
        <v>35331.900000000009</v>
      </c>
      <c r="I37" s="95"/>
      <c r="J37" s="175">
        <f>H37/DAY(B2)</f>
        <v>1605.995454545455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'21'!F38</f>
        <v>153701.06</v>
      </c>
      <c r="F38" s="108">
        <v>155605.24</v>
      </c>
      <c r="G38" s="112">
        <f t="shared" si="3"/>
        <v>1904.179999999993</v>
      </c>
      <c r="H38" s="99">
        <f>G38+'21'!H38</f>
        <v>40382.199999999997</v>
      </c>
      <c r="I38" s="95"/>
      <c r="J38" s="175">
        <f>H38/DAY(B2)</f>
        <v>1835.5545454545454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'21'!F39</f>
        <v>294478.65000000002</v>
      </c>
      <c r="F39" s="568">
        <v>297480.15000000002</v>
      </c>
      <c r="G39" s="112">
        <f t="shared" si="3"/>
        <v>3001.5</v>
      </c>
      <c r="H39" s="99">
        <f>G39+'21'!H39</f>
        <v>64099.100000000035</v>
      </c>
      <c r="I39" s="95"/>
      <c r="J39" s="175">
        <f>H39/DAY(B2)</f>
        <v>2913.5954545454561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'21'!F40</f>
        <v>85.95</v>
      </c>
      <c r="F40" s="145">
        <v>86.15</v>
      </c>
      <c r="G40" s="112">
        <f t="shared" si="3"/>
        <v>0.20000000000000284</v>
      </c>
      <c r="H40" s="99">
        <f>G40+'21'!H40</f>
        <v>129.78000000000003</v>
      </c>
      <c r="I40" s="95"/>
      <c r="J40" s="175">
        <f>H40/DAY(B2)</f>
        <v>5.8990909090909103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'21'!F41</f>
        <v>589883.11</v>
      </c>
      <c r="F41" s="145">
        <v>589882.79</v>
      </c>
      <c r="G41" s="112">
        <f t="shared" si="3"/>
        <v>-0.31999999994877726</v>
      </c>
      <c r="H41" s="99">
        <f>G41+'21'!H41</f>
        <v>8023.9600000000792</v>
      </c>
      <c r="I41" s="95"/>
      <c r="J41" s="175">
        <f>H41/DAY(B2)</f>
        <v>364.72545454545815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'21'!F42</f>
        <v>293832.81</v>
      </c>
      <c r="F42" s="145">
        <v>298717.75</v>
      </c>
      <c r="G42" s="112">
        <f t="shared" si="3"/>
        <v>4884.9400000000023</v>
      </c>
      <c r="H42" s="99">
        <f>G42+'21'!H42</f>
        <v>27748.080000000016</v>
      </c>
      <c r="I42" s="95"/>
      <c r="J42" s="175">
        <f>H42/DAY(B2)</f>
        <v>1261.2763636363643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'21'!F43</f>
        <v>1503451.5</v>
      </c>
      <c r="F43" s="145">
        <v>1506364.7</v>
      </c>
      <c r="G43" s="112">
        <f t="shared" si="3"/>
        <v>2913.1999999999534</v>
      </c>
      <c r="H43" s="99">
        <f>G43+'21'!H43</f>
        <v>60277.300000000047</v>
      </c>
      <c r="I43" s="95"/>
      <c r="J43" s="175">
        <f>H43/DAY(B2)</f>
        <v>2739.8772727272749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17771.84</v>
      </c>
      <c r="H47" s="99">
        <f>G47+'21'!H47</f>
        <v>301412.43000000017</v>
      </c>
      <c r="I47" s="95"/>
      <c r="J47" s="175">
        <f>H47/DAY(B2)</f>
        <v>13700.565000000008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'21'!F49</f>
        <v>205689.75</v>
      </c>
      <c r="F49" s="145">
        <v>207337.37</v>
      </c>
      <c r="G49" s="112">
        <f t="shared" ref="G49:G58" si="4">F49-E49</f>
        <v>1647.6199999999953</v>
      </c>
      <c r="H49" s="99">
        <f>G49+'21'!H49</f>
        <v>34606.979999999981</v>
      </c>
      <c r="I49" s="95"/>
      <c r="J49" s="175">
        <f>H49/DAY(B2)</f>
        <v>1573.0445454545445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'21'!F50</f>
        <v>710623.99</v>
      </c>
      <c r="F50" s="145">
        <v>711781.99</v>
      </c>
      <c r="G50" s="112">
        <f t="shared" si="4"/>
        <v>1158</v>
      </c>
      <c r="H50" s="99">
        <f>G50+'21'!H50</f>
        <v>27419.679999999935</v>
      </c>
      <c r="I50" s="95"/>
      <c r="J50" s="175">
        <f>H50/DAY(B2)</f>
        <v>1246.3490909090879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'21'!F54</f>
        <v>2979.81</v>
      </c>
      <c r="F54" s="145">
        <v>2985.49</v>
      </c>
      <c r="G54" s="112">
        <f t="shared" si="4"/>
        <v>5.6799999999998363</v>
      </c>
      <c r="H54" s="99">
        <f>G54+'21'!H54</f>
        <v>118</v>
      </c>
      <c r="I54" s="95"/>
      <c r="J54" s="175">
        <f>H54/DAY(B2)</f>
        <v>5.3636363636363633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'21'!F55</f>
        <v>0</v>
      </c>
      <c r="F55" s="568">
        <v>0</v>
      </c>
      <c r="G55" s="112">
        <f t="shared" si="4"/>
        <v>0</v>
      </c>
      <c r="H55" s="99">
        <f>G55+'21'!H55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'21'!F56</f>
        <v>147495.79999999999</v>
      </c>
      <c r="F56" s="568">
        <v>150276.04999999999</v>
      </c>
      <c r="G56" s="112">
        <f>F56-E56</f>
        <v>2780.25</v>
      </c>
      <c r="H56" s="99">
        <f>G56+'21'!H56</f>
        <v>107435.75999999998</v>
      </c>
      <c r="I56" s="95"/>
      <c r="J56" s="175">
        <f>H56/DAY(B2)</f>
        <v>4883.4436363636351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'21'!F58</f>
        <v>83354.25</v>
      </c>
      <c r="F58" s="145">
        <v>83564.31</v>
      </c>
      <c r="G58" s="112">
        <f t="shared" si="4"/>
        <v>210.05999999999767</v>
      </c>
      <c r="H58" s="99">
        <f>G58+'21'!H58</f>
        <v>4544.4100000000035</v>
      </c>
      <c r="I58" s="95"/>
      <c r="J58" s="175">
        <f>H58/DAY(B2)</f>
        <v>206.56409090909108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5801.6099999999933</v>
      </c>
      <c r="H59" s="99">
        <f>G59+'21'!H59</f>
        <v>174124.82999999987</v>
      </c>
      <c r="I59" s="95">
        <f>G7-G60</f>
        <v>1905.0099999999984</v>
      </c>
      <c r="J59" s="175">
        <f>H59/DAY(B2)</f>
        <v>7914.764999999994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23573.449999999993</v>
      </c>
      <c r="H60" s="99">
        <f>G60+'21'!H60</f>
        <v>475537.26</v>
      </c>
      <c r="I60" s="95">
        <f>G13-G60</f>
        <v>1207.3499999999949</v>
      </c>
      <c r="J60" s="175">
        <f>H60/DAY(B2)</f>
        <v>21615.33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'21'!F62</f>
        <v>262308</v>
      </c>
      <c r="F62" s="122">
        <v>262432</v>
      </c>
      <c r="G62" s="112">
        <f t="shared" ref="G62:G63" si="5">F62-E62</f>
        <v>124</v>
      </c>
      <c r="H62" s="99">
        <f>G62+'21'!H62</f>
        <v>2614</v>
      </c>
      <c r="I62" s="118"/>
      <c r="J62" s="175">
        <f>H62/DAY(B2)</f>
        <v>118.81818181818181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'21'!F63</f>
        <v>208268</v>
      </c>
      <c r="F63" s="122">
        <v>208387</v>
      </c>
      <c r="G63" s="112">
        <f t="shared" si="5"/>
        <v>119</v>
      </c>
      <c r="H63" s="99">
        <f>G63+'21'!H63</f>
        <v>2117</v>
      </c>
      <c r="I63" s="118"/>
      <c r="J63" s="175">
        <f>H63/DAY(B2)</f>
        <v>96.227272727272734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'21'!F64</f>
        <v>0</v>
      </c>
      <c r="F64" s="122"/>
      <c r="G64" s="112">
        <f>G62+G63</f>
        <v>243</v>
      </c>
      <c r="H64" s="99">
        <f>G64+'21'!H64</f>
        <v>4731</v>
      </c>
      <c r="I64" s="118"/>
      <c r="J64" s="175">
        <f>H64/DAY(B2)</f>
        <v>215.04545454545453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'21'!F65</f>
        <v>428343</v>
      </c>
      <c r="F65" s="122">
        <v>428455</v>
      </c>
      <c r="G65" s="112">
        <f t="shared" ref="G65:G70" si="6">F65-E65</f>
        <v>112</v>
      </c>
      <c r="H65" s="99">
        <f>G65+'21'!H65</f>
        <v>2250</v>
      </c>
      <c r="I65" s="118"/>
      <c r="J65" s="175">
        <f>H65/DAY(B2)</f>
        <v>102.27272727272727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'21'!F66</f>
        <v>106447</v>
      </c>
      <c r="F66" s="122">
        <v>106460</v>
      </c>
      <c r="G66" s="112">
        <f t="shared" si="6"/>
        <v>13</v>
      </c>
      <c r="H66" s="99">
        <f>G66+'21'!H66</f>
        <v>490</v>
      </c>
      <c r="I66" s="118"/>
      <c r="J66" s="175">
        <f>H66/DAY(B2)</f>
        <v>22.272727272727273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'21'!F67</f>
        <v>102758</v>
      </c>
      <c r="F67" s="122">
        <v>102786</v>
      </c>
      <c r="G67" s="112">
        <f t="shared" si="6"/>
        <v>28</v>
      </c>
      <c r="H67" s="99">
        <f>G67+'21'!H67</f>
        <v>615</v>
      </c>
      <c r="I67" s="118"/>
      <c r="J67" s="175">
        <f>H67/DAY(B2)</f>
        <v>27.954545454545453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'21'!F68</f>
        <v>155134</v>
      </c>
      <c r="F68" s="122">
        <v>155151</v>
      </c>
      <c r="G68" s="112">
        <f t="shared" si="6"/>
        <v>17</v>
      </c>
      <c r="H68" s="99">
        <f>G68+'21'!H68</f>
        <v>655</v>
      </c>
      <c r="I68" s="118"/>
      <c r="J68" s="175">
        <f>H68/DAY(B2)</f>
        <v>29.772727272727273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'21'!F69</f>
        <v>9728</v>
      </c>
      <c r="F69" s="122">
        <v>9742</v>
      </c>
      <c r="G69" s="112">
        <f t="shared" si="6"/>
        <v>14</v>
      </c>
      <c r="H69" s="99">
        <f>G69+'21'!H69</f>
        <v>277</v>
      </c>
      <c r="I69" s="118"/>
      <c r="J69" s="175">
        <f>H69/DAY(B2)</f>
        <v>12.590909090909092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'21'!F70</f>
        <v>7440</v>
      </c>
      <c r="F70" s="122">
        <v>7447</v>
      </c>
      <c r="G70" s="112">
        <f t="shared" si="6"/>
        <v>7</v>
      </c>
      <c r="H70" s="99">
        <f>G70+'21'!H70</f>
        <v>244</v>
      </c>
      <c r="I70" s="118"/>
      <c r="J70" s="175">
        <f>H70/DAY(B2)</f>
        <v>11.090909090909092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191</v>
      </c>
      <c r="H71" s="99">
        <f>G71+'21'!H71</f>
        <v>4531</v>
      </c>
      <c r="I71" s="154"/>
      <c r="J71" s="175">
        <f>H71/DAY(B2)</f>
        <v>205.95454545454547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'21'!F74</f>
        <v>879631.12</v>
      </c>
      <c r="F74" s="123">
        <v>879928.39</v>
      </c>
      <c r="G74" s="112">
        <f t="shared" ref="G74:G78" si="7">F74-E74</f>
        <v>297.27000000001863</v>
      </c>
      <c r="H74" s="99">
        <f>G74+'21'!H74</f>
        <v>6343.1589999999851</v>
      </c>
      <c r="I74" s="154"/>
      <c r="J74" s="175">
        <f>H74/DAY(B2)</f>
        <v>288.32540909090841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3.4000000000087311</v>
      </c>
      <c r="I75" s="154"/>
      <c r="J75" s="175">
        <f>H75/DAY(B2)</f>
        <v>0.15454545454585142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'21'!F76</f>
        <v>162262.29999999999</v>
      </c>
      <c r="F76" s="123">
        <v>162390</v>
      </c>
      <c r="G76" s="112">
        <f t="shared" si="7"/>
        <v>127.70000000001164</v>
      </c>
      <c r="H76" s="99">
        <f>G76+'21'!H76</f>
        <v>2404.5</v>
      </c>
      <c r="I76" s="154"/>
      <c r="J76" s="175">
        <f>H76/DAY(B2)</f>
        <v>109.29545454545455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'21'!F77</f>
        <v>38383.1</v>
      </c>
      <c r="F77" s="123">
        <v>38419</v>
      </c>
      <c r="G77" s="112">
        <f t="shared" si="7"/>
        <v>35.900000000001455</v>
      </c>
      <c r="H77" s="99">
        <f>G77+'21'!H77</f>
        <v>921.5</v>
      </c>
      <c r="I77" s="154"/>
      <c r="J77" s="175">
        <f>H77/DAY(B2)</f>
        <v>41.886363636363633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'21'!F78</f>
        <v>9376.6</v>
      </c>
      <c r="F78" s="123">
        <v>9380.6</v>
      </c>
      <c r="G78" s="112">
        <f t="shared" si="7"/>
        <v>4</v>
      </c>
      <c r="H78" s="99">
        <f>G78+'21'!H78</f>
        <v>51.200000000000728</v>
      </c>
      <c r="I78" s="118"/>
      <c r="J78" s="175">
        <f>H78/DAY(B2)</f>
        <v>2.3272727272727605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'21'!F79</f>
        <v>0</v>
      </c>
      <c r="F79" s="123"/>
      <c r="G79" s="112">
        <f>G15-SUM(G74:G78)</f>
        <v>579.17000000000553</v>
      </c>
      <c r="H79" s="99">
        <f>G79+'21'!H79</f>
        <v>11624.511000000051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1044.0400000000373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'21'!F84</f>
        <v>41625.31</v>
      </c>
      <c r="F84" s="164">
        <v>41625.31</v>
      </c>
      <c r="G84" s="112">
        <f t="shared" si="8"/>
        <v>0</v>
      </c>
      <c r="H84" s="99">
        <f>G84+'21'!H84</f>
        <v>39.75</v>
      </c>
      <c r="I84" s="118"/>
      <c r="J84" s="175">
        <f>H84/DAY(B2)</f>
        <v>1.8068181818181819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'21'!F85</f>
        <v>1409.43</v>
      </c>
      <c r="F85" s="164">
        <v>1433.05</v>
      </c>
      <c r="G85" s="112">
        <f t="shared" si="8"/>
        <v>23.619999999999891</v>
      </c>
      <c r="H85" s="99">
        <f>G85+'21'!H85</f>
        <v>128.04999999999995</v>
      </c>
      <c r="I85" s="118">
        <f>G82+G83+G84+G85</f>
        <v>23.619999999999891</v>
      </c>
      <c r="J85" s="175">
        <f>H85/DAY(B2)</f>
        <v>5.8204545454545435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'21'!F86</f>
        <v>42826.47</v>
      </c>
      <c r="F86" s="164">
        <v>42826.47</v>
      </c>
      <c r="G86" s="112">
        <f t="shared" si="8"/>
        <v>0</v>
      </c>
      <c r="H86" s="99">
        <f>G86+'21'!H86</f>
        <v>0.47000000000116415</v>
      </c>
      <c r="I86" s="118"/>
      <c r="J86" s="175">
        <f>H86/DAY(B2)</f>
        <v>2.1363636363689278E-2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'21'!F87</f>
        <v>34227.89</v>
      </c>
      <c r="F87" s="164">
        <v>34242.21</v>
      </c>
      <c r="G87" s="112">
        <f t="shared" si="8"/>
        <v>14.319999999999709</v>
      </c>
      <c r="H87" s="99">
        <f>G87+'21'!H87</f>
        <v>494.20999999999913</v>
      </c>
      <c r="I87" s="118"/>
      <c r="J87" s="175">
        <f>H87/DAY(B2)</f>
        <v>22.464090909090871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'21'!F88</f>
        <v>23920.89</v>
      </c>
      <c r="F88" s="164">
        <v>23929.82</v>
      </c>
      <c r="G88" s="112">
        <f t="shared" si="8"/>
        <v>8.930000000000291</v>
      </c>
      <c r="H88" s="99">
        <f>G88+'21'!H88</f>
        <v>96.25</v>
      </c>
      <c r="I88" s="118">
        <f>G86+G87+G88</f>
        <v>23.25</v>
      </c>
      <c r="J88" s="175">
        <f>H88/DAY(B2)</f>
        <v>4.375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'21'!F89</f>
        <v>25364.36</v>
      </c>
      <c r="F89" s="164">
        <v>25364.36</v>
      </c>
      <c r="G89" s="112">
        <f t="shared" si="8"/>
        <v>0</v>
      </c>
      <c r="H89" s="99">
        <f>G89+'21'!H89</f>
        <v>118.97999999999956</v>
      </c>
      <c r="I89" s="118"/>
      <c r="J89" s="175">
        <f>H89/DAY(B2)</f>
        <v>5.4081818181817987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'21'!F90</f>
        <v>70770.77</v>
      </c>
      <c r="F90" s="164">
        <v>70777.149999999994</v>
      </c>
      <c r="G90" s="112">
        <f t="shared" si="8"/>
        <v>6.3799999999901047</v>
      </c>
      <c r="H90" s="99">
        <f>G90+'21'!H90</f>
        <v>121.73999999999069</v>
      </c>
      <c r="I90" s="118">
        <f>G89+G90</f>
        <v>6.3799999999901047</v>
      </c>
      <c r="J90" s="175">
        <f>H90/DAY(B2)</f>
        <v>5.5336363636359405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'21'!F92</f>
        <v>5004.03</v>
      </c>
      <c r="F92" s="122">
        <v>5014.51</v>
      </c>
      <c r="G92" s="112">
        <f t="shared" si="8"/>
        <v>10.480000000000473</v>
      </c>
      <c r="H92" s="99">
        <f>G92+'21'!H92</f>
        <v>222.69000000000051</v>
      </c>
      <c r="I92" s="165"/>
      <c r="J92" s="175">
        <f>H92/DAY(B2)</f>
        <v>10.122272727272751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6580.41999999994</v>
      </c>
      <c r="H94" s="99">
        <f>G94+'21'!H94</f>
        <v>139227.81</v>
      </c>
      <c r="I94" s="118"/>
      <c r="J94" s="175">
        <f>H94/DAY(B2)</f>
        <v>6328.5368181818185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0.25827385171631023</v>
      </c>
      <c r="H95" s="99">
        <f>G95+'21'!H95</f>
        <v>5.9838220892648959</v>
      </c>
      <c r="I95" s="167"/>
      <c r="J95" s="175">
        <f>H95/DAY(B2)</f>
        <v>0.27199191314840437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7664.8700000000536</v>
      </c>
      <c r="H96" s="99">
        <f>G96+'21'!H96</f>
        <v>143207.80000000008</v>
      </c>
      <c r="I96" s="118"/>
      <c r="J96" s="175">
        <f>H96/DAY(B2)</f>
        <v>6509.4454545454582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0.3008372562548936</v>
      </c>
      <c r="H97" s="99">
        <f>G97+'21'!H97</f>
        <v>6.0616743767916192</v>
      </c>
      <c r="I97" s="167"/>
      <c r="J97" s="175">
        <f>H97/DAY(B2)</f>
        <v>0.27553065349052813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3001.5</v>
      </c>
      <c r="H98" s="99">
        <f>G98+'21'!H98</f>
        <v>64099.100000000035</v>
      </c>
      <c r="I98" s="168"/>
      <c r="J98" s="175">
        <f>H98/DAY(B2)</f>
        <v>2913.5954545454561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0.11780539326160219</v>
      </c>
      <c r="H99" s="99">
        <f>G99+'21'!H99</f>
        <v>2.760139177868858</v>
      </c>
      <c r="I99" s="168"/>
      <c r="J99" s="175">
        <f>H99/DAY(B2)</f>
        <v>0.12546087172131173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1904.179999999993</v>
      </c>
      <c r="H100" s="99">
        <f>G100+'21'!H100</f>
        <v>40382.199999999997</v>
      </c>
      <c r="I100" s="118"/>
      <c r="J100" s="175">
        <f>H100/DAY(B2)</f>
        <v>1835.5545454545454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7.4736856152216175E-2</v>
      </c>
      <c r="H101" s="99">
        <f>G101+'21'!H101</f>
        <v>1.7371010930778752</v>
      </c>
      <c r="I101" s="168"/>
      <c r="J101" s="175">
        <f>H101/DAY(B2)</f>
        <v>7.8959140594448876E-2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2550.4100000000035</v>
      </c>
      <c r="H102" s="99">
        <f>G102+'21'!H102</f>
        <v>48496.259999999937</v>
      </c>
      <c r="I102" s="168"/>
      <c r="J102" s="175">
        <f>H102/DAY(B2)</f>
        <v>2204.3754545454517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0.10010063402576154</v>
      </c>
      <c r="H103" s="99">
        <f>G103+'21'!H103</f>
        <v>2.0592743038596764</v>
      </c>
      <c r="I103" s="118"/>
      <c r="J103" s="175">
        <f>H103/DAY(B2)</f>
        <v>9.3603377448167102E-2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1656.1300000000047</v>
      </c>
      <c r="H104" s="99">
        <f>G104+'21'!H104</f>
        <v>35331.900000000009</v>
      </c>
      <c r="I104" s="118"/>
      <c r="J104" s="175">
        <f>H104/DAY(B2)</f>
        <v>1605.995454545455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6.500118139008422E-2</v>
      </c>
      <c r="H105" s="99">
        <f>G105+'21'!H105</f>
        <v>1.5195325203143351</v>
      </c>
      <c r="I105" s="187"/>
      <c r="J105" s="188">
        <f>H105/DAY(B2)</f>
        <v>6.9069660014287951E-2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'21'!F112</f>
        <v>52618.07</v>
      </c>
      <c r="F112" s="237">
        <v>52700.89</v>
      </c>
      <c r="G112" s="112">
        <f t="shared" ref="G112:G123" si="9">F112-E112</f>
        <v>82.819999999999709</v>
      </c>
      <c r="H112" s="99">
        <f>G112+'21'!H112</f>
        <v>1811.8099999999977</v>
      </c>
      <c r="I112" s="165"/>
      <c r="J112" s="348">
        <f>H112/DAY(B2)</f>
        <v>82.35499999999989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'21'!F113</f>
        <v>13920.27</v>
      </c>
      <c r="F113" s="237">
        <v>14376.1</v>
      </c>
      <c r="G113" s="112">
        <f t="shared" si="9"/>
        <v>455.82999999999993</v>
      </c>
      <c r="H113" s="99">
        <f>G113+'21'!H113</f>
        <v>9870.4500000000007</v>
      </c>
      <c r="I113" s="165"/>
      <c r="J113" s="348">
        <f>H113/DAY(B2)</f>
        <v>448.65681818181821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'21'!F114</f>
        <v>10853.14</v>
      </c>
      <c r="F114" s="237">
        <v>11130.14</v>
      </c>
      <c r="G114" s="112">
        <f t="shared" si="9"/>
        <v>277</v>
      </c>
      <c r="H114" s="99">
        <f>G114+'21'!H114</f>
        <v>7324.0299999999988</v>
      </c>
      <c r="I114" s="165"/>
      <c r="J114" s="348">
        <f>H114/DAY(B2)</f>
        <v>332.91045454545451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'21'!F115</f>
        <v>8306.84</v>
      </c>
      <c r="F115" s="237">
        <v>8325.73</v>
      </c>
      <c r="G115" s="112">
        <f t="shared" si="9"/>
        <v>18.889999999999418</v>
      </c>
      <c r="H115" s="99">
        <f>G115+'21'!H115</f>
        <v>248.31999999999971</v>
      </c>
      <c r="I115" s="165"/>
      <c r="J115" s="348">
        <f>H115/DAY(B2)</f>
        <v>11.287272727272715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48">
        <f>H116/DAY(B2)</f>
        <v>0</v>
      </c>
      <c r="Q116" s="793"/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'21'!F117</f>
        <v>1755.22</v>
      </c>
      <c r="F117" s="237">
        <v>1775.02</v>
      </c>
      <c r="G117" s="112">
        <f t="shared" si="9"/>
        <v>19.799999999999955</v>
      </c>
      <c r="H117" s="99">
        <f>G117+'21'!H117</f>
        <v>616.82999999999993</v>
      </c>
      <c r="I117" s="165"/>
      <c r="J117" s="348">
        <f>H117/DAY(B2)</f>
        <v>28.03772727272727</v>
      </c>
      <c r="Q117" s="793"/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'21'!F118</f>
        <v>226253.63</v>
      </c>
      <c r="F118" s="237">
        <v>226666.91</v>
      </c>
      <c r="G118" s="112">
        <f t="shared" si="9"/>
        <v>413.27999999999884</v>
      </c>
      <c r="H118" s="99">
        <f>G118+'21'!H118</f>
        <v>7814.9800000000105</v>
      </c>
      <c r="I118" s="165"/>
      <c r="J118" s="348">
        <f>H118/DAY(B2)</f>
        <v>355.22636363636411</v>
      </c>
      <c r="Q118" s="793"/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'21'!F119</f>
        <v>227834.25</v>
      </c>
      <c r="F119" s="237">
        <v>228255.03</v>
      </c>
      <c r="G119" s="112">
        <f t="shared" si="9"/>
        <v>420.77999999999884</v>
      </c>
      <c r="H119" s="99">
        <f>G119+'21'!H119</f>
        <v>9443.9200000000128</v>
      </c>
      <c r="I119" s="165"/>
      <c r="J119" s="348">
        <f>H119/DAY(B2)</f>
        <v>429.26909090909152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'21'!F120</f>
        <v>13296.28</v>
      </c>
      <c r="F120" s="237">
        <v>13721.61</v>
      </c>
      <c r="G120" s="112">
        <f t="shared" si="9"/>
        <v>425.32999999999993</v>
      </c>
      <c r="H120" s="99">
        <f>G120+'21'!H120</f>
        <v>9414.01</v>
      </c>
      <c r="I120" s="165"/>
      <c r="J120" s="348">
        <f>H120/DAY(B2)</f>
        <v>427.90954545454548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'21'!F121</f>
        <v>346322.59</v>
      </c>
      <c r="F121" s="237">
        <v>347099.75</v>
      </c>
      <c r="G121" s="112">
        <f t="shared" si="9"/>
        <v>777.15999999997439</v>
      </c>
      <c r="H121" s="99">
        <f>G121+'21'!H121</f>
        <v>15862.239999999991</v>
      </c>
      <c r="I121" s="165"/>
      <c r="J121" s="348">
        <f>H121/DAY(B2)</f>
        <v>721.01090909090863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'21'!F122</f>
        <v>108011.53</v>
      </c>
      <c r="F122" s="237">
        <v>108359.82</v>
      </c>
      <c r="G122" s="112">
        <f t="shared" si="9"/>
        <v>348.29000000000815</v>
      </c>
      <c r="H122" s="99">
        <f>G122+'21'!H122</f>
        <v>6750.9400000000023</v>
      </c>
      <c r="I122" s="165"/>
      <c r="J122" s="348">
        <f>H122/DAY(B2)</f>
        <v>306.86090909090922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'21'!F123</f>
        <v>131836.04</v>
      </c>
      <c r="F123" s="237">
        <v>132121.59</v>
      </c>
      <c r="G123" s="112">
        <f t="shared" si="9"/>
        <v>285.54999999998836</v>
      </c>
      <c r="H123" s="99">
        <f>G123+'21'!H123</f>
        <v>6373.8300000000017</v>
      </c>
      <c r="I123" s="165"/>
      <c r="J123" s="348">
        <f>H123/DAY(B2)</f>
        <v>289.71954545454554</v>
      </c>
    </row>
    <row r="124" spans="1:18" ht="29.25" customHeight="1">
      <c r="A124" s="797"/>
      <c r="B124" s="798"/>
      <c r="C124" s="799"/>
      <c r="D124" s="165"/>
      <c r="E124" s="95">
        <f>'21'!F124</f>
        <v>0</v>
      </c>
      <c r="F124" s="165"/>
      <c r="G124" s="347"/>
      <c r="H124" s="99">
        <f>G124+'21'!H124</f>
        <v>0</v>
      </c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3524.7299999999677</v>
      </c>
      <c r="H125" s="156"/>
      <c r="I125" s="347">
        <f>G125-(G39+G53)</f>
        <v>523.22999999996773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G127+'21'!H127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'21'!F128</f>
        <v>24694.79</v>
      </c>
      <c r="F128" s="165">
        <v>25037.55</v>
      </c>
      <c r="G128" s="112">
        <f t="shared" ref="G128:G134" si="10">F128-E128</f>
        <v>342.7599999999984</v>
      </c>
      <c r="H128" s="99">
        <f>G128+'21'!H128</f>
        <v>7013.8299999999981</v>
      </c>
      <c r="I128" s="165"/>
      <c r="J128" s="348">
        <f>H128/DAY(B2)</f>
        <v>318.81045454545443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'21'!F129</f>
        <v>10886.98</v>
      </c>
      <c r="F129" s="165">
        <v>11131.63</v>
      </c>
      <c r="G129" s="112">
        <f t="shared" si="10"/>
        <v>244.64999999999964</v>
      </c>
      <c r="H129" s="99">
        <f>G129+'21'!H129</f>
        <v>4535.9199999999992</v>
      </c>
      <c r="I129" s="165"/>
      <c r="J129" s="348">
        <f>H129/DAY(B2)</f>
        <v>206.17818181818177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'21'!F130</f>
        <v>79937.710000000006</v>
      </c>
      <c r="F130" s="165">
        <v>0</v>
      </c>
      <c r="G130" s="112">
        <v>0</v>
      </c>
      <c r="H130" s="99">
        <f>G130+'21'!H130</f>
        <v>53469.680000000008</v>
      </c>
      <c r="I130" s="165"/>
      <c r="J130" s="348">
        <f>H130/DAY(B2)</f>
        <v>2430.4400000000005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'21'!F131</f>
        <v>7503.92</v>
      </c>
      <c r="F131" s="165">
        <v>7753</v>
      </c>
      <c r="G131" s="112">
        <f t="shared" si="10"/>
        <v>249.07999999999993</v>
      </c>
      <c r="H131" s="99">
        <f>G131+'21'!H131</f>
        <v>3606.5299999999997</v>
      </c>
      <c r="I131" s="165"/>
      <c r="J131" s="348">
        <f>H131/DAY(B2)</f>
        <v>163.93318181818179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'21'!F132</f>
        <v>21879.439999999999</v>
      </c>
      <c r="F132" s="165">
        <v>22256.05</v>
      </c>
      <c r="G132" s="112">
        <f t="shared" si="10"/>
        <v>376.61000000000058</v>
      </c>
      <c r="H132" s="99">
        <f>G132+'21'!H132</f>
        <v>10718.33</v>
      </c>
      <c r="I132" s="165"/>
      <c r="J132" s="348">
        <f>H132/DAY(B2)</f>
        <v>487.19681818181817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'21'!F133</f>
        <v>56131.55</v>
      </c>
      <c r="F133" s="165">
        <v>56984.03</v>
      </c>
      <c r="G133" s="112">
        <f t="shared" si="10"/>
        <v>852.47999999999593</v>
      </c>
      <c r="H133" s="99">
        <f>G133+'21'!H133</f>
        <v>16134.739999999998</v>
      </c>
      <c r="I133" s="165"/>
      <c r="J133" s="348">
        <f>H133/DAY(B2)</f>
        <v>733.39727272727259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'21'!F134</f>
        <v>645503</v>
      </c>
      <c r="F134" s="165">
        <v>646179</v>
      </c>
      <c r="G134" s="112">
        <f t="shared" si="10"/>
        <v>676</v>
      </c>
      <c r="H134" s="99">
        <f>G134+'21'!H134</f>
        <v>13915</v>
      </c>
      <c r="I134" s="165"/>
      <c r="J134" s="348">
        <f>H134/DAY(B2)</f>
        <v>632.5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SUM(G128:G134)</f>
        <v>2741.5799999999945</v>
      </c>
      <c r="H135" s="99">
        <f>G135+'10'!H135</f>
        <v>52922.639999999992</v>
      </c>
      <c r="I135" s="347">
        <f>G135-(G35+G49)</f>
        <v>-925.63999999999214</v>
      </c>
      <c r="J135" s="348"/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'21'!F138</f>
        <v>860758</v>
      </c>
      <c r="F138" s="147">
        <v>860797</v>
      </c>
      <c r="G138" s="112">
        <f t="shared" ref="G138:G152" si="11">F138-E138</f>
        <v>39</v>
      </c>
      <c r="H138" s="99">
        <f>G138+'21'!H138</f>
        <v>1150</v>
      </c>
      <c r="I138" s="118"/>
      <c r="J138" s="348">
        <f>H138/DAY(B2)</f>
        <v>52.272727272727273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'21'!F139</f>
        <v>886162</v>
      </c>
      <c r="F139" s="148">
        <v>886162</v>
      </c>
      <c r="G139" s="112">
        <f t="shared" si="11"/>
        <v>0</v>
      </c>
      <c r="H139" s="99">
        <f>G139+'21'!H139</f>
        <v>60</v>
      </c>
      <c r="I139" s="118"/>
      <c r="J139" s="348">
        <f>H139/DAY(B2)</f>
        <v>2.7272727272727271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'21'!F140</f>
        <v>88842.4</v>
      </c>
      <c r="F140" s="149">
        <v>88843</v>
      </c>
      <c r="G140" s="112">
        <f t="shared" si="11"/>
        <v>0.60000000000582077</v>
      </c>
      <c r="H140" s="99">
        <f>G140+'21'!H140</f>
        <v>26</v>
      </c>
      <c r="I140" s="118"/>
      <c r="J140" s="348">
        <f>H140/DAY(B2)</f>
        <v>1.1818181818181819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'21'!F141</f>
        <v>41300.57</v>
      </c>
      <c r="F141" s="149">
        <v>41500.660000000003</v>
      </c>
      <c r="G141" s="112">
        <f t="shared" si="11"/>
        <v>200.09000000000378</v>
      </c>
      <c r="H141" s="99">
        <f>G141+'21'!H141</f>
        <v>4212.7100000000064</v>
      </c>
      <c r="I141" s="118"/>
      <c r="J141" s="348">
        <f>H141/DAY(B2)</f>
        <v>191.48681818181848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'21'!F142</f>
        <v>17309.990000000002</v>
      </c>
      <c r="F142" s="148">
        <v>17327</v>
      </c>
      <c r="G142" s="112">
        <f t="shared" si="11"/>
        <v>17.009999999998399</v>
      </c>
      <c r="H142" s="99">
        <f>G142+'21'!H142</f>
        <v>365.13000000000102</v>
      </c>
      <c r="I142" s="140"/>
      <c r="J142" s="348">
        <f>H142/DAY(B2)</f>
        <v>16.596818181818229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'21'!F143</f>
        <v>1932.54</v>
      </c>
      <c r="F143" s="149">
        <v>1966.19</v>
      </c>
      <c r="G143" s="112">
        <f t="shared" si="11"/>
        <v>33.650000000000091</v>
      </c>
      <c r="H143" s="99">
        <f>G143+'21'!H143</f>
        <v>583.01</v>
      </c>
      <c r="I143" s="140"/>
      <c r="J143" s="348">
        <f>H143/DAY(B2)</f>
        <v>26.500454545454545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'21'!F144</f>
        <v>860272</v>
      </c>
      <c r="F144" s="149">
        <v>860519</v>
      </c>
      <c r="G144" s="112">
        <f t="shared" si="11"/>
        <v>247</v>
      </c>
      <c r="H144" s="99">
        <f>G144+'21'!H144</f>
        <v>5150</v>
      </c>
      <c r="I144" s="140"/>
      <c r="J144" s="348">
        <f>H144/DAY(B2)</f>
        <v>234.09090909090909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'21'!F145</f>
        <v>3022.13</v>
      </c>
      <c r="F145" s="149">
        <v>3067.63</v>
      </c>
      <c r="G145" s="112">
        <f t="shared" si="11"/>
        <v>45.5</v>
      </c>
      <c r="H145" s="99">
        <f>G145+'21'!H145</f>
        <v>854.63000000000011</v>
      </c>
      <c r="I145" s="140"/>
      <c r="J145" s="348">
        <f>H145/DAY(B2)</f>
        <v>38.846818181818186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'21'!F146</f>
        <v>706927</v>
      </c>
      <c r="F146" s="148">
        <v>707396</v>
      </c>
      <c r="G146" s="112">
        <f t="shared" si="11"/>
        <v>469</v>
      </c>
      <c r="H146" s="99">
        <f>G146+'21'!H146</f>
        <v>8877</v>
      </c>
      <c r="I146" s="140"/>
      <c r="J146" s="348">
        <f>H146/DAY(B2)</f>
        <v>403.5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'21'!F147</f>
        <v>597844.64</v>
      </c>
      <c r="F147" s="148">
        <v>598341.64</v>
      </c>
      <c r="G147" s="112">
        <f t="shared" si="11"/>
        <v>497</v>
      </c>
      <c r="H147" s="99">
        <f>G147+'21'!H147</f>
        <v>9430.7199999999721</v>
      </c>
      <c r="I147" s="140"/>
      <c r="J147" s="348">
        <f>H147/DAY(B2)</f>
        <v>428.66909090908962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'21'!F148</f>
        <v>670717</v>
      </c>
      <c r="F148" s="150">
        <v>671161.84</v>
      </c>
      <c r="G148" s="112">
        <f t="shared" si="11"/>
        <v>444.8399999999674</v>
      </c>
      <c r="H148" s="99">
        <f>G148+'21'!H148</f>
        <v>6053.7199999999721</v>
      </c>
      <c r="I148" s="124"/>
      <c r="J148" s="348">
        <f>H148/DAY(B2)</f>
        <v>275.16909090908962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'21'!F149</f>
        <v>91847</v>
      </c>
      <c r="F149" s="146">
        <v>92193</v>
      </c>
      <c r="G149" s="112">
        <f t="shared" si="11"/>
        <v>346</v>
      </c>
      <c r="H149" s="99">
        <f>G149+'21'!H149</f>
        <v>7446</v>
      </c>
      <c r="I149" s="119"/>
      <c r="J149" s="348">
        <f>H149/DAY(B2)</f>
        <v>338.45454545454544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'21'!F150</f>
        <v>7167232</v>
      </c>
      <c r="F150" s="233">
        <v>7167232</v>
      </c>
      <c r="G150" s="112">
        <f t="shared" si="11"/>
        <v>0</v>
      </c>
      <c r="H150" s="99">
        <f>G150+'21'!H150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'21'!F151</f>
        <v>68204</v>
      </c>
      <c r="F151" s="233">
        <v>68479</v>
      </c>
      <c r="G151" s="112">
        <f t="shared" si="11"/>
        <v>275</v>
      </c>
      <c r="H151" s="99">
        <f>G151+'21'!H151</f>
        <v>5469</v>
      </c>
      <c r="I151" s="119"/>
      <c r="J151" s="348">
        <f>H151/DAY(B2)</f>
        <v>248.59090909090909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'21'!F152</f>
        <v>0</v>
      </c>
      <c r="F152" s="233">
        <v>0</v>
      </c>
      <c r="G152" s="112">
        <f t="shared" si="11"/>
        <v>0</v>
      </c>
      <c r="H152" s="99">
        <f>G152+'21'!H152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2614.6899999999755</v>
      </c>
      <c r="H153" s="383"/>
      <c r="I153" s="119">
        <f>G153-(G38+G52)</f>
        <v>710.50999999998248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'21'!F155</f>
        <v>77439</v>
      </c>
      <c r="F155" s="394">
        <v>77447.7</v>
      </c>
      <c r="G155" s="112">
        <f t="shared" ref="G155:G156" si="12">F155-E155</f>
        <v>8.6999999999970896</v>
      </c>
      <c r="H155" s="99">
        <f>G155+'21'!H155</f>
        <v>173.09999999999127</v>
      </c>
      <c r="I155" s="384"/>
      <c r="J155" s="348">
        <f>H155/DAY(B2)</f>
        <v>7.8681818181814211</v>
      </c>
    </row>
    <row r="156" spans="1:10" ht="27.75">
      <c r="A156" s="771" t="s">
        <v>347</v>
      </c>
      <c r="B156" s="771"/>
      <c r="C156" s="771"/>
      <c r="D156" s="117" t="s">
        <v>130</v>
      </c>
      <c r="E156" s="95">
        <f>'21'!F156</f>
        <v>0</v>
      </c>
      <c r="F156" s="165">
        <v>0</v>
      </c>
      <c r="G156" s="112">
        <f t="shared" si="12"/>
        <v>0</v>
      </c>
      <c r="H156" s="99">
        <f>G156+'21'!H156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'21'!F158</f>
        <v>470143.55</v>
      </c>
      <c r="F158" s="235">
        <v>470174.36</v>
      </c>
      <c r="G158" s="238">
        <f t="shared" ref="G158:G162" si="13">F158-E158</f>
        <v>30.809999999997672</v>
      </c>
      <c r="H158" s="99">
        <f>G158+'21'!H158</f>
        <v>645.32000000000698</v>
      </c>
      <c r="I158" s="236"/>
      <c r="J158" s="239">
        <f>H158/DAY(B2)</f>
        <v>29.332727272727592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'21'!F159</f>
        <v>86340.7</v>
      </c>
      <c r="F159" s="235">
        <v>86375</v>
      </c>
      <c r="G159" s="238">
        <f t="shared" si="13"/>
        <v>34.30000000000291</v>
      </c>
      <c r="H159" s="99">
        <f>G159+'21'!H159</f>
        <v>669.39999999999418</v>
      </c>
      <c r="I159" s="236"/>
      <c r="J159" s="239">
        <f>H159/DAY(B2)</f>
        <v>30.427272727272463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'21'!F160</f>
        <v>74736.899999999994</v>
      </c>
      <c r="F160" s="235">
        <v>74843.600000000006</v>
      </c>
      <c r="G160" s="238">
        <f t="shared" si="13"/>
        <v>106.70000000001164</v>
      </c>
      <c r="H160" s="99">
        <f>G160+'21'!H160</f>
        <v>1506.7000000000116</v>
      </c>
      <c r="I160" s="236"/>
      <c r="J160" s="239">
        <f>H160/DAY(B2)</f>
        <v>68.48636363636416</v>
      </c>
    </row>
    <row r="161" spans="1:10" ht="21.95" customHeight="1">
      <c r="A161" s="242" t="s">
        <v>197</v>
      </c>
      <c r="B161" s="243"/>
      <c r="C161" s="243"/>
      <c r="D161" s="244" t="s">
        <v>180</v>
      </c>
      <c r="E161" s="95">
        <f>'21'!F161</f>
        <v>4047.7</v>
      </c>
      <c r="F161" s="235">
        <v>4054.8</v>
      </c>
      <c r="G161" s="238">
        <f t="shared" si="13"/>
        <v>7.1000000000003638</v>
      </c>
      <c r="H161" s="99">
        <f>G161+'21'!H161</f>
        <v>81.300000000000182</v>
      </c>
      <c r="I161" s="236"/>
      <c r="J161" s="239">
        <f>H161/DAY(B2)</f>
        <v>3.6954545454545538</v>
      </c>
    </row>
    <row r="162" spans="1:10" ht="21.95" customHeight="1">
      <c r="A162" s="242" t="s">
        <v>309</v>
      </c>
      <c r="B162" s="243"/>
      <c r="C162" s="243"/>
      <c r="D162" s="244" t="s">
        <v>180</v>
      </c>
      <c r="E162" s="95">
        <f>'21'!F162</f>
        <v>29357.55</v>
      </c>
      <c r="F162" s="235">
        <v>29366.11</v>
      </c>
      <c r="G162" s="238">
        <f t="shared" si="13"/>
        <v>8.5600000000013097</v>
      </c>
      <c r="H162" s="99">
        <f>G162+'21'!H162</f>
        <v>167.97000000000116</v>
      </c>
      <c r="I162" s="236"/>
      <c r="J162" s="239">
        <f>H162/DAY(B2)</f>
        <v>7.6350000000000531</v>
      </c>
    </row>
    <row r="163" spans="1:10" ht="21.95" customHeight="1">
      <c r="A163" s="780"/>
      <c r="B163" s="780"/>
      <c r="C163" s="247"/>
      <c r="D163" s="244" t="s">
        <v>180</v>
      </c>
      <c r="E163" s="95">
        <f>'21'!F163</f>
        <v>0</v>
      </c>
      <c r="F163" s="165"/>
      <c r="G163" s="165"/>
      <c r="H163" s="99">
        <f>G163+'21'!H163</f>
        <v>0</v>
      </c>
      <c r="I163" s="165"/>
      <c r="J163" s="239">
        <f>H163/DAY(B2)</f>
        <v>0</v>
      </c>
    </row>
    <row r="164" spans="1:10" ht="21.95" customHeight="1">
      <c r="A164" s="780"/>
      <c r="B164" s="780"/>
      <c r="C164" s="247"/>
      <c r="D164" s="244" t="s">
        <v>180</v>
      </c>
      <c r="E164" s="95">
        <f>'21'!F164</f>
        <v>0</v>
      </c>
      <c r="F164" s="165"/>
      <c r="G164" s="165"/>
      <c r="H164" s="99">
        <f>G164+'21'!H164</f>
        <v>0</v>
      </c>
      <c r="I164" s="165"/>
      <c r="J164" s="239">
        <f>H164/DAY(B2)</f>
        <v>0</v>
      </c>
    </row>
    <row r="165" spans="1:10" ht="21.95" customHeight="1">
      <c r="A165" s="780"/>
      <c r="B165" s="780"/>
      <c r="C165" s="247"/>
      <c r="D165" s="244" t="s">
        <v>180</v>
      </c>
      <c r="E165" s="95">
        <f>'21'!F165</f>
        <v>0</v>
      </c>
      <c r="F165" s="165"/>
      <c r="G165" s="165"/>
      <c r="H165" s="99">
        <f>G165+'21'!H165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'21'!F170</f>
        <v>8050</v>
      </c>
      <c r="F170" s="155">
        <v>8050</v>
      </c>
      <c r="G170" s="155">
        <f>F170-E170</f>
        <v>0</v>
      </c>
      <c r="H170" s="99">
        <f>G170+'21'!H170</f>
        <v>52</v>
      </c>
      <c r="I170" s="155"/>
      <c r="J170" s="178">
        <f>H170/DAY(B2)</f>
        <v>2.3636363636363638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'21'!F171</f>
        <v>37682</v>
      </c>
      <c r="F171" s="157">
        <v>37696</v>
      </c>
      <c r="G171" s="155">
        <f t="shared" ref="G171:G172" si="14">F171-E171</f>
        <v>14</v>
      </c>
      <c r="H171" s="99">
        <f>G171+'21'!H171</f>
        <v>313</v>
      </c>
      <c r="I171" s="155"/>
      <c r="J171" s="178">
        <f>H171/DAY(B2)</f>
        <v>14.227272727272727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'21'!F172</f>
        <v>21032</v>
      </c>
      <c r="F172" s="155">
        <v>21043</v>
      </c>
      <c r="G172" s="155">
        <f t="shared" si="14"/>
        <v>11</v>
      </c>
      <c r="H172" s="99">
        <f>G172+'21'!H172</f>
        <v>255</v>
      </c>
      <c r="I172" s="155"/>
      <c r="J172" s="178">
        <f>H172/DAY(B2)</f>
        <v>11.590909090909092</v>
      </c>
    </row>
    <row r="173" spans="1:10" ht="27.75">
      <c r="A173" s="775" t="s">
        <v>196</v>
      </c>
      <c r="B173" s="776"/>
      <c r="C173" s="547"/>
      <c r="D173" s="228" t="s">
        <v>142</v>
      </c>
      <c r="E173" s="95"/>
      <c r="F173" s="155"/>
      <c r="G173" s="155">
        <f>SUM(G170:G172)</f>
        <v>25</v>
      </c>
      <c r="H173" s="99">
        <f>G173+'21'!H173</f>
        <v>620</v>
      </c>
      <c r="I173" s="155"/>
      <c r="J173" s="178">
        <f>H173/DAY(B2)</f>
        <v>28.181818181818183</v>
      </c>
    </row>
    <row r="174" spans="1:10" ht="27.75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G174+'21'!H174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'21'!F175</f>
        <v>76433</v>
      </c>
      <c r="F175" s="155">
        <v>76517</v>
      </c>
      <c r="G175" s="155">
        <f>F175-E175</f>
        <v>84</v>
      </c>
      <c r="H175" s="99">
        <f>G175+'21'!H175</f>
        <v>1898</v>
      </c>
      <c r="I175" s="155"/>
      <c r="J175" s="178">
        <f>H175/DAY(B2)</f>
        <v>86.272727272727266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'21'!F176</f>
        <v>33886</v>
      </c>
      <c r="F176" s="155">
        <v>33886</v>
      </c>
      <c r="G176" s="155">
        <f t="shared" ref="G176:G177" si="15">F176-E176</f>
        <v>0</v>
      </c>
      <c r="H176" s="99">
        <f>G176+'21'!H176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'21'!F177</f>
        <v>5201</v>
      </c>
      <c r="F177" s="155">
        <v>5206</v>
      </c>
      <c r="G177" s="394">
        <f t="shared" si="15"/>
        <v>5</v>
      </c>
      <c r="H177" s="99">
        <f>G177+'21'!H177</f>
        <v>2917</v>
      </c>
      <c r="I177" s="155"/>
      <c r="J177" s="178">
        <f>H177/DAY(B2)</f>
        <v>132.59090909090909</v>
      </c>
    </row>
    <row r="178" spans="1:10" ht="27.75" customHeight="1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89</v>
      </c>
      <c r="H178" s="99">
        <f>G178+'21'!H178</f>
        <v>4815</v>
      </c>
      <c r="I178" s="155"/>
      <c r="J178" s="178">
        <f>H178/DAY(B2)</f>
        <v>218.86363636363637</v>
      </c>
    </row>
    <row r="179" spans="1:10" ht="27.75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G179+'21'!H179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'21'!F180</f>
        <v>14355</v>
      </c>
      <c r="F180" s="157">
        <v>14372</v>
      </c>
      <c r="G180" s="157">
        <f>F180-E180</f>
        <v>17</v>
      </c>
      <c r="H180" s="99">
        <f>G180+'21'!H180</f>
        <v>341</v>
      </c>
      <c r="I180" s="155"/>
      <c r="J180" s="178">
        <f>H180/DAY(B2)</f>
        <v>15.5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'21'!F181</f>
        <v>9948</v>
      </c>
      <c r="F181" s="157">
        <v>9952</v>
      </c>
      <c r="G181" s="157">
        <f t="shared" ref="G181:G182" si="16">F181-E181</f>
        <v>4</v>
      </c>
      <c r="H181" s="99">
        <f>G181+'21'!H181</f>
        <v>198</v>
      </c>
      <c r="I181" s="155"/>
      <c r="J181" s="178">
        <f>H181/DAY(B2)</f>
        <v>9</v>
      </c>
    </row>
    <row r="182" spans="1:10" ht="27.75">
      <c r="A182" s="786" t="s">
        <v>216</v>
      </c>
      <c r="B182" s="787"/>
      <c r="C182" s="354"/>
      <c r="D182" s="228" t="s">
        <v>142</v>
      </c>
      <c r="E182" s="95">
        <f>'21'!F182</f>
        <v>0</v>
      </c>
      <c r="F182" s="157"/>
      <c r="G182" s="157">
        <f t="shared" si="16"/>
        <v>0</v>
      </c>
      <c r="H182" s="99">
        <f>G182+'21'!H182</f>
        <v>0</v>
      </c>
      <c r="I182" s="155"/>
      <c r="J182" s="178">
        <f>H182/DAY(B2)</f>
        <v>0</v>
      </c>
    </row>
    <row r="183" spans="1:10" ht="27.75">
      <c r="A183" s="775" t="s">
        <v>196</v>
      </c>
      <c r="B183" s="776"/>
      <c r="C183" s="546"/>
      <c r="D183" s="228" t="s">
        <v>142</v>
      </c>
      <c r="E183" s="95"/>
      <c r="F183" s="157"/>
      <c r="G183" s="157">
        <f>SUM(G180:G182)</f>
        <v>21</v>
      </c>
      <c r="H183" s="99">
        <f>G183+'21'!H183</f>
        <v>539</v>
      </c>
      <c r="I183" s="157"/>
      <c r="J183" s="178">
        <f>H183/DAY(B2)</f>
        <v>24.5</v>
      </c>
    </row>
    <row r="184" spans="1:10" ht="27.75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184</v>
      </c>
      <c r="H184" s="99">
        <f>G184+'21'!H184</f>
        <v>3855</v>
      </c>
      <c r="I184" s="158"/>
      <c r="J184" s="179">
        <f>H184/DAY(B2)</f>
        <v>175.22727272727272</v>
      </c>
    </row>
    <row r="185" spans="1:10" ht="27.75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174</v>
      </c>
      <c r="H185" s="99">
        <f>G185+'21'!H185</f>
        <v>1450</v>
      </c>
      <c r="I185" s="158"/>
      <c r="J185" s="179">
        <f>H185/DAY(B2)</f>
        <v>65.909090909090907</v>
      </c>
    </row>
    <row r="186" spans="1:10" ht="27.75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89</v>
      </c>
      <c r="H186" s="99">
        <f>G186+'21'!H186</f>
        <v>383</v>
      </c>
      <c r="I186" s="158"/>
      <c r="J186" s="179">
        <f>H186/DAY(B2)</f>
        <v>17.40909090909091</v>
      </c>
    </row>
    <row r="187" spans="1:10" ht="27.75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</sheetData>
  <mergeCells count="112">
    <mergeCell ref="A124:C124"/>
    <mergeCell ref="A125:B125"/>
    <mergeCell ref="A126:J126"/>
    <mergeCell ref="A127:B127"/>
    <mergeCell ref="A128:C128"/>
    <mergeCell ref="A131:C131"/>
    <mergeCell ref="A132:C132"/>
    <mergeCell ref="A133:C133"/>
    <mergeCell ref="A134:C134"/>
    <mergeCell ref="A135:B135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80:C80"/>
    <mergeCell ref="A81:C81"/>
    <mergeCell ref="A123:C123"/>
    <mergeCell ref="A93:C93"/>
    <mergeCell ref="A94:C94"/>
    <mergeCell ref="A95:C95"/>
    <mergeCell ref="A96:C96"/>
    <mergeCell ref="A109:B109"/>
    <mergeCell ref="A79:C7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16:C116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87"/>
  <sheetViews>
    <sheetView view="pageBreakPreview" topLeftCell="A73" zoomScale="50" zoomScaleNormal="80" zoomScaleSheetLayoutView="50" workbookViewId="0">
      <selection activeCell="H107" sqref="H107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30.75" customHeight="1">
      <c r="A2" s="191" t="s">
        <v>356</v>
      </c>
      <c r="B2" s="266">
        <v>44523</v>
      </c>
      <c r="C2" s="368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200840.61</v>
      </c>
      <c r="F7" s="95">
        <v>228554.91</v>
      </c>
      <c r="G7" s="112">
        <f>F7-E7</f>
        <v>27714.300000000017</v>
      </c>
      <c r="H7" s="99">
        <f>G7+'22'!H7</f>
        <v>542291.60999999987</v>
      </c>
      <c r="I7" s="113">
        <f>'1'!I7</f>
        <v>12000</v>
      </c>
      <c r="J7" s="175">
        <f>H7/DAY(B2)</f>
        <v>23577.896086956516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235497.79</v>
      </c>
      <c r="F8" s="95">
        <v>263703.33</v>
      </c>
      <c r="G8" s="115">
        <f>F8-E8</f>
        <v>28205.540000000008</v>
      </c>
      <c r="H8" s="99">
        <f>G8+'22'!H8</f>
        <v>550539.43000000017</v>
      </c>
      <c r="I8" s="116"/>
      <c r="J8" s="175">
        <f>H8/DAY(B2)</f>
        <v>23936.496956521747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1590343.5</v>
      </c>
      <c r="F9" s="373">
        <v>1608241</v>
      </c>
      <c r="G9" s="112">
        <f>F9-E9</f>
        <v>17897.5</v>
      </c>
      <c r="H9" s="99">
        <f>G9+'22'!H9</f>
        <v>346962.5</v>
      </c>
      <c r="I9" s="124">
        <f>I7-J7</f>
        <v>-11577.896086956516</v>
      </c>
      <c r="J9" s="175">
        <f>H9/DAY(B2)</f>
        <v>15085.326086956522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340171.95</v>
      </c>
      <c r="F10" s="373">
        <v>349296.03</v>
      </c>
      <c r="G10" s="112">
        <f t="shared" ref="G10:G12" si="0">F10-E10</f>
        <v>9124.0800000000163</v>
      </c>
      <c r="H10" s="99">
        <f>G10+'22'!H10</f>
        <v>180912.10000000003</v>
      </c>
      <c r="I10" s="286"/>
      <c r="J10" s="175">
        <f>H10/DAY(B2)</f>
        <v>7865.7434782608707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37000</v>
      </c>
      <c r="F11" s="95">
        <v>37000</v>
      </c>
      <c r="G11" s="112">
        <f t="shared" si="0"/>
        <v>0</v>
      </c>
      <c r="H11" s="99">
        <f>G11+'22'!H11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27021.580000000016</v>
      </c>
      <c r="H13" s="99">
        <f>G13+'22'!H13</f>
        <v>507068.14</v>
      </c>
      <c r="I13" s="120">
        <f>G7-G13</f>
        <v>692.72000000000116</v>
      </c>
      <c r="J13" s="175">
        <f>H13/DAY(B2)</f>
        <v>22046.440869565216</v>
      </c>
      <c r="K13" s="79"/>
      <c r="L13" s="66"/>
      <c r="N13" s="87"/>
      <c r="O13" s="71"/>
    </row>
    <row r="14" spans="1:15" ht="30.75" customHeight="1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65" t="s">
        <v>138</v>
      </c>
      <c r="B15" s="205"/>
      <c r="C15" s="205"/>
      <c r="D15" s="151" t="s">
        <v>139</v>
      </c>
      <c r="E15" s="95">
        <f>'22'!F15</f>
        <v>1834279.08</v>
      </c>
      <c r="F15" s="123">
        <v>1835339.4</v>
      </c>
      <c r="G15" s="112">
        <f>(F15-E15)</f>
        <v>1060.3199999998324</v>
      </c>
      <c r="H15" s="99">
        <f>G15+'22'!H15</f>
        <v>22408.58999999988</v>
      </c>
      <c r="I15" s="113">
        <f>'1'!I15</f>
        <v>800</v>
      </c>
      <c r="J15" s="175">
        <f>H15/DAY(B2)</f>
        <v>974.28652173912519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-174.28652173912519</v>
      </c>
      <c r="J16" s="176"/>
      <c r="K16" s="79"/>
      <c r="L16" s="66"/>
      <c r="N16" s="87"/>
      <c r="O16" s="71"/>
    </row>
    <row r="17" spans="1:15" ht="30.75" customHeight="1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14" t="s">
        <v>141</v>
      </c>
      <c r="B18" s="815"/>
      <c r="C18" s="816"/>
      <c r="D18" s="151" t="s">
        <v>142</v>
      </c>
      <c r="E18" s="95">
        <f>'22'!F18</f>
        <v>20</v>
      </c>
      <c r="F18" s="122">
        <v>18</v>
      </c>
      <c r="G18" s="119">
        <f>F18*10</f>
        <v>180</v>
      </c>
      <c r="H18" s="99">
        <f>G18+'22'!H18</f>
        <v>4680</v>
      </c>
      <c r="I18" s="113">
        <f>'1'!I18</f>
        <v>65</v>
      </c>
      <c r="J18" s="175">
        <f>H18/DAY(B2)</f>
        <v>203.47826086956522</v>
      </c>
      <c r="K18" s="79"/>
      <c r="L18" s="66"/>
      <c r="N18" s="87"/>
      <c r="O18" s="71"/>
    </row>
    <row r="19" spans="1:15" ht="30.75" customHeight="1">
      <c r="A19" s="814" t="s">
        <v>69</v>
      </c>
      <c r="B19" s="815"/>
      <c r="C19" s="816"/>
      <c r="D19" s="151" t="s">
        <v>142</v>
      </c>
      <c r="E19" s="95">
        <f>'22'!F19</f>
        <v>150158</v>
      </c>
      <c r="F19" s="122">
        <v>150211</v>
      </c>
      <c r="G19" s="112">
        <f t="shared" ref="G19" si="1">F19-E19</f>
        <v>53</v>
      </c>
      <c r="H19" s="99">
        <f>G19+'22'!H19</f>
        <v>1294</v>
      </c>
      <c r="I19" s="355"/>
      <c r="J19" s="175">
        <f>H19/DAY(B2)</f>
        <v>56.260869565217391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G20+'22'!H20</f>
        <v>5974</v>
      </c>
      <c r="I20" s="356">
        <f>I18-J20</f>
        <v>-194.73913043478262</v>
      </c>
      <c r="J20" s="175">
        <f>H20/DAY(B2)</f>
        <v>259.73913043478262</v>
      </c>
      <c r="K20" s="79"/>
      <c r="L20" s="66"/>
      <c r="N20" s="87"/>
      <c r="O20" s="71"/>
    </row>
    <row r="21" spans="1:15" ht="30.75" customHeight="1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6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6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28205.540000000008</v>
      </c>
      <c r="F27" s="136">
        <v>9</v>
      </c>
      <c r="G27" s="137">
        <f>E27*F27</f>
        <v>253849.86000000007</v>
      </c>
      <c r="H27" s="99">
        <f>G27+'22'!H27</f>
        <v>4954854.870000001</v>
      </c>
      <c r="I27" s="138"/>
      <c r="J27" s="175">
        <f>H27/DAY(B2)</f>
        <v>215428.47260869571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1060.3199999998324</v>
      </c>
      <c r="F28" s="136">
        <v>52</v>
      </c>
      <c r="G28" s="137">
        <f>E28*F28</f>
        <v>55136.639999991283</v>
      </c>
      <c r="H28" s="99">
        <f>G28+'22'!H28</f>
        <v>1165246.6799999936</v>
      </c>
      <c r="I28" s="140"/>
      <c r="J28" s="175">
        <f>H28/DAY(B2)</f>
        <v>50662.899130434504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G30+'22'!H30</f>
        <v>188924</v>
      </c>
      <c r="I30" s="140"/>
      <c r="J30" s="175">
        <f>H30/DAY(B2)</f>
        <v>8214.0869565217399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G31+'22'!H31</f>
        <v>374400</v>
      </c>
      <c r="I31" s="140"/>
      <c r="J31" s="175">
        <f>H31/DAY(B2)</f>
        <v>16278.260869565218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331124.49999999139</v>
      </c>
      <c r="H32" s="99">
        <f>G32+'22'!H32</f>
        <v>6683425.5499999942</v>
      </c>
      <c r="I32" s="144"/>
      <c r="J32" s="175">
        <f>H32/DAY(B2)</f>
        <v>290583.71956521715</v>
      </c>
      <c r="K32" s="63"/>
      <c r="L32" s="89"/>
      <c r="N32" s="87"/>
      <c r="O32" s="71"/>
    </row>
    <row r="33" spans="1:15" ht="30.7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76818.2</v>
      </c>
      <c r="F35" s="145">
        <v>78812.039999999994</v>
      </c>
      <c r="G35" s="112">
        <f t="shared" ref="G35:G46" si="3">F35-E35</f>
        <v>1993.8399999999965</v>
      </c>
      <c r="H35" s="99">
        <f>G35+'22'!H35</f>
        <v>46337.369999999995</v>
      </c>
      <c r="I35" s="95"/>
      <c r="J35" s="175">
        <f>H35/DAY(B2)</f>
        <v>2014.6682608695651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71016.25</v>
      </c>
      <c r="F36" s="145">
        <v>72383.13</v>
      </c>
      <c r="G36" s="112">
        <f t="shared" si="3"/>
        <v>1366.8800000000047</v>
      </c>
      <c r="H36" s="99">
        <f>G36+'22'!H36</f>
        <v>22443.460000000006</v>
      </c>
      <c r="I36" s="95"/>
      <c r="J36" s="175">
        <f>H36/DAY(B2)</f>
        <v>975.80260869565245</v>
      </c>
      <c r="K36" s="79"/>
      <c r="L36" s="66"/>
      <c r="N36" s="87"/>
      <c r="O36" s="36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132385.73000000001</v>
      </c>
      <c r="F37" s="145">
        <v>134011.07</v>
      </c>
      <c r="G37" s="112">
        <f t="shared" si="3"/>
        <v>1625.3399999999965</v>
      </c>
      <c r="H37" s="99">
        <f>G37+'22'!H37</f>
        <v>36957.240000000005</v>
      </c>
      <c r="I37" s="95"/>
      <c r="J37" s="175">
        <f>H37/DAY(B2)</f>
        <v>1606.8365217391306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155605.24</v>
      </c>
      <c r="F38" s="108">
        <v>157523.54</v>
      </c>
      <c r="G38" s="112">
        <f t="shared" si="3"/>
        <v>1918.3000000000175</v>
      </c>
      <c r="H38" s="99">
        <f>G38+'22'!H38</f>
        <v>42300.500000000015</v>
      </c>
      <c r="I38" s="95"/>
      <c r="J38" s="175">
        <f>H38/DAY(B2)</f>
        <v>1839.1521739130442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297480.15000000002</v>
      </c>
      <c r="F39" s="145">
        <v>300571.49</v>
      </c>
      <c r="G39" s="112">
        <f t="shared" si="3"/>
        <v>3091.3399999999674</v>
      </c>
      <c r="H39" s="99">
        <f>G39+'22'!H39</f>
        <v>67190.44</v>
      </c>
      <c r="I39" s="95"/>
      <c r="J39" s="175">
        <f>H39/DAY(B2)</f>
        <v>2921.3234782608697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86.15</v>
      </c>
      <c r="F40" s="145">
        <v>90.13</v>
      </c>
      <c r="G40" s="112">
        <f t="shared" si="3"/>
        <v>3.9799999999999898</v>
      </c>
      <c r="H40" s="99">
        <f>G40+'22'!H40</f>
        <v>133.76000000000002</v>
      </c>
      <c r="I40" s="95"/>
      <c r="J40" s="175">
        <f>H40/DAY(B2)</f>
        <v>5.815652173913044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589882.79</v>
      </c>
      <c r="F41" s="145">
        <v>589882.79</v>
      </c>
      <c r="G41" s="112">
        <f t="shared" si="3"/>
        <v>0</v>
      </c>
      <c r="H41" s="99">
        <f>G41+'22'!H41</f>
        <v>8023.9600000000792</v>
      </c>
      <c r="I41" s="95"/>
      <c r="J41" s="175">
        <f>H41/DAY(B2)</f>
        <v>348.86782608695995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298717.75</v>
      </c>
      <c r="F42" s="145">
        <v>302207.69</v>
      </c>
      <c r="G42" s="112">
        <f t="shared" si="3"/>
        <v>3489.9400000000023</v>
      </c>
      <c r="H42" s="99">
        <f>G42+'22'!H42</f>
        <v>31238.020000000019</v>
      </c>
      <c r="I42" s="95"/>
      <c r="J42" s="175">
        <f>H42/DAY(B2)</f>
        <v>1358.1747826086964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1506364.7</v>
      </c>
      <c r="F43" s="145">
        <v>1509420.3</v>
      </c>
      <c r="G43" s="112">
        <f t="shared" si="3"/>
        <v>3055.6000000000931</v>
      </c>
      <c r="H43" s="99">
        <f>G43+'22'!H43</f>
        <v>63332.90000000014</v>
      </c>
      <c r="I43" s="95"/>
      <c r="J43" s="175">
        <f>H43/DAY(B2)</f>
        <v>2753.6043478260931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16545.220000000078</v>
      </c>
      <c r="H47" s="99">
        <f>G47+'22'!H47</f>
        <v>317957.65000000026</v>
      </c>
      <c r="I47" s="95"/>
      <c r="J47" s="175">
        <f>H47/DAY(B2)</f>
        <v>13824.245652173924</v>
      </c>
      <c r="K47" s="79"/>
      <c r="L47" s="66"/>
      <c r="N47" s="87"/>
      <c r="O47" s="71"/>
    </row>
    <row r="48" spans="1:15" ht="30.75" customHeight="1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207337.37</v>
      </c>
      <c r="F49" s="145">
        <v>209046.17</v>
      </c>
      <c r="G49" s="112">
        <f t="shared" ref="G49:G58" si="4">F49-E49</f>
        <v>1708.8000000000175</v>
      </c>
      <c r="H49" s="99">
        <f>G49+'22'!H49</f>
        <v>36315.78</v>
      </c>
      <c r="I49" s="95"/>
      <c r="J49" s="175">
        <f>H49/DAY(B2)</f>
        <v>1578.9469565217391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711781.99</v>
      </c>
      <c r="F50" s="145">
        <v>713538.87</v>
      </c>
      <c r="G50" s="112">
        <f t="shared" si="4"/>
        <v>1756.8800000000047</v>
      </c>
      <c r="H50" s="99">
        <f>G50+'22'!H50</f>
        <v>29176.559999999939</v>
      </c>
      <c r="I50" s="95"/>
      <c r="J50" s="175">
        <f>H50/DAY(B2)</f>
        <v>1268.546086956519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2985.49</v>
      </c>
      <c r="F54" s="145">
        <v>2991.11</v>
      </c>
      <c r="G54" s="112">
        <f t="shared" si="4"/>
        <v>5.6200000000003456</v>
      </c>
      <c r="H54" s="99">
        <f>G54+'22'!H54</f>
        <v>123.62000000000035</v>
      </c>
      <c r="I54" s="95"/>
      <c r="J54" s="175">
        <f>H54/DAY(B2)</f>
        <v>5.3747826086956669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0</v>
      </c>
      <c r="F55" s="145">
        <v>0</v>
      </c>
      <c r="G55" s="112">
        <f t="shared" si="4"/>
        <v>0</v>
      </c>
      <c r="H55" s="99">
        <f>G55+'22'!H55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150276.04999999999</v>
      </c>
      <c r="F56" s="145">
        <v>155817.07999999999</v>
      </c>
      <c r="G56" s="112">
        <f t="shared" si="4"/>
        <v>5541.0299999999988</v>
      </c>
      <c r="H56" s="99">
        <f>G56+'22'!H56</f>
        <v>112976.78999999998</v>
      </c>
      <c r="I56" s="95"/>
      <c r="J56" s="175">
        <f>H56/DAY(B2)</f>
        <v>4912.0343478260857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83564.31</v>
      </c>
      <c r="F58" s="145">
        <v>83773.320000000007</v>
      </c>
      <c r="G58" s="112">
        <f t="shared" si="4"/>
        <v>209.01000000000931</v>
      </c>
      <c r="H58" s="99">
        <f>G58+'22'!H58</f>
        <v>4753.4200000000128</v>
      </c>
      <c r="I58" s="95"/>
      <c r="J58" s="175">
        <f>H58/DAY(B2)</f>
        <v>206.67043478260925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9221.3400000000311</v>
      </c>
      <c r="H59" s="99">
        <f>G59+'22'!H59</f>
        <v>183346.1699999999</v>
      </c>
      <c r="I59" s="95">
        <f>G7-G60</f>
        <v>1947.7399999999107</v>
      </c>
      <c r="J59" s="175">
        <f>H59/DAY(B2)</f>
        <v>7971.5726086956474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25766.560000000107</v>
      </c>
      <c r="H60" s="99">
        <f>G60+'22'!H60</f>
        <v>501303.82000000012</v>
      </c>
      <c r="I60" s="95">
        <f>G13-G60</f>
        <v>1255.0199999999095</v>
      </c>
      <c r="J60" s="175">
        <f>H60/DAY(B2)</f>
        <v>21795.818260869572</v>
      </c>
      <c r="K60" s="79"/>
      <c r="L60" s="66"/>
      <c r="N60" s="87"/>
      <c r="O60" s="71"/>
    </row>
    <row r="61" spans="1:15" s="68" customFormat="1" ht="30.75" customHeight="1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>
      <c r="A62" s="814" t="s">
        <v>198</v>
      </c>
      <c r="B62" s="815"/>
      <c r="C62" s="816"/>
      <c r="D62" s="151" t="s">
        <v>142</v>
      </c>
      <c r="E62" s="95">
        <f>'22'!F62</f>
        <v>262432</v>
      </c>
      <c r="F62" s="122">
        <v>262545</v>
      </c>
      <c r="G62" s="112">
        <f t="shared" ref="G62:G63" si="5">F62-E62</f>
        <v>113</v>
      </c>
      <c r="H62" s="99">
        <f>G62+'22'!H62</f>
        <v>2727</v>
      </c>
      <c r="I62" s="118"/>
      <c r="J62" s="175">
        <f>H62/DAY(B2)</f>
        <v>118.56521739130434</v>
      </c>
      <c r="K62" s="80"/>
      <c r="L62" s="66"/>
      <c r="N62" s="87"/>
      <c r="O62" s="71"/>
    </row>
    <row r="63" spans="1:15" ht="30.75" customHeight="1">
      <c r="A63" s="814" t="s">
        <v>199</v>
      </c>
      <c r="B63" s="815"/>
      <c r="C63" s="816"/>
      <c r="D63" s="151" t="s">
        <v>142</v>
      </c>
      <c r="E63" s="95">
        <f>'22'!F63</f>
        <v>208387</v>
      </c>
      <c r="F63" s="122">
        <v>208496</v>
      </c>
      <c r="G63" s="112">
        <f t="shared" si="5"/>
        <v>109</v>
      </c>
      <c r="H63" s="99">
        <f>G63+'22'!H63</f>
        <v>2226</v>
      </c>
      <c r="I63" s="118"/>
      <c r="J63" s="175">
        <f>H63/DAY(B2)</f>
        <v>96.782608695652172</v>
      </c>
      <c r="K63" s="69"/>
      <c r="L63" s="66"/>
      <c r="N63" s="87"/>
      <c r="O63" s="71"/>
    </row>
    <row r="64" spans="1:15" ht="30.75" customHeight="1">
      <c r="A64" s="823" t="s">
        <v>200</v>
      </c>
      <c r="B64" s="824"/>
      <c r="C64" s="825"/>
      <c r="D64" s="151"/>
      <c r="E64" s="95">
        <f>'22'!F64</f>
        <v>0</v>
      </c>
      <c r="F64" s="122"/>
      <c r="G64" s="112">
        <f>G62+G63</f>
        <v>222</v>
      </c>
      <c r="H64" s="99">
        <f>G64+'22'!H64</f>
        <v>4953</v>
      </c>
      <c r="I64" s="118"/>
      <c r="J64" s="175">
        <f>H64/DAY(B2)</f>
        <v>215.34782608695653</v>
      </c>
      <c r="K64" s="69"/>
      <c r="L64" s="66"/>
      <c r="N64" s="87"/>
      <c r="O64" s="71"/>
    </row>
    <row r="65" spans="1:15" ht="30.75" customHeight="1">
      <c r="A65" s="814" t="s">
        <v>201</v>
      </c>
      <c r="B65" s="815"/>
      <c r="C65" s="816"/>
      <c r="D65" s="151" t="s">
        <v>142</v>
      </c>
      <c r="E65" s="95">
        <f>'22'!F65</f>
        <v>428455</v>
      </c>
      <c r="F65" s="122">
        <v>428566</v>
      </c>
      <c r="G65" s="112">
        <f t="shared" ref="G65:G70" si="6">F65-E65</f>
        <v>111</v>
      </c>
      <c r="H65" s="99">
        <f>G65+'22'!H65</f>
        <v>2361</v>
      </c>
      <c r="I65" s="118"/>
      <c r="J65" s="175">
        <f>H65/DAY(B2)</f>
        <v>102.65217391304348</v>
      </c>
      <c r="K65" s="69"/>
      <c r="L65" s="66"/>
      <c r="N65" s="87"/>
      <c r="O65" s="71"/>
    </row>
    <row r="66" spans="1:15" ht="30.75" customHeight="1">
      <c r="A66" s="365" t="s">
        <v>202</v>
      </c>
      <c r="B66" s="366"/>
      <c r="C66" s="366"/>
      <c r="D66" s="151" t="s">
        <v>142</v>
      </c>
      <c r="E66" s="95">
        <f>'22'!F66</f>
        <v>106460</v>
      </c>
      <c r="F66" s="122">
        <v>106479</v>
      </c>
      <c r="G66" s="112">
        <f t="shared" si="6"/>
        <v>19</v>
      </c>
      <c r="H66" s="99">
        <f>G66+'22'!H66</f>
        <v>509</v>
      </c>
      <c r="I66" s="118"/>
      <c r="J66" s="175">
        <f>H66/DAY(B2)</f>
        <v>22.130434782608695</v>
      </c>
      <c r="K66" s="78"/>
      <c r="L66" s="66"/>
      <c r="N66" s="87"/>
      <c r="O66" s="71"/>
    </row>
    <row r="67" spans="1:15" ht="30.75" customHeight="1">
      <c r="A67" s="365" t="s">
        <v>203</v>
      </c>
      <c r="B67" s="366"/>
      <c r="C67" s="366"/>
      <c r="D67" s="151" t="s">
        <v>142</v>
      </c>
      <c r="E67" s="95">
        <f>'22'!F67</f>
        <v>102786</v>
      </c>
      <c r="F67" s="150">
        <v>102814</v>
      </c>
      <c r="G67" s="112">
        <f t="shared" si="6"/>
        <v>28</v>
      </c>
      <c r="H67" s="99">
        <f>G67+'22'!H67</f>
        <v>643</v>
      </c>
      <c r="I67" s="118"/>
      <c r="J67" s="175">
        <f>H67/DAY(B2)</f>
        <v>27.956521739130434</v>
      </c>
      <c r="K67" s="81"/>
      <c r="L67" s="66"/>
      <c r="N67" s="87"/>
      <c r="O67" s="71"/>
    </row>
    <row r="68" spans="1:15" ht="30.75" customHeight="1">
      <c r="A68" s="365" t="s">
        <v>204</v>
      </c>
      <c r="B68" s="366"/>
      <c r="C68" s="366"/>
      <c r="D68" s="151" t="s">
        <v>142</v>
      </c>
      <c r="E68" s="95">
        <f>'22'!F68</f>
        <v>155151</v>
      </c>
      <c r="F68" s="122">
        <v>155195</v>
      </c>
      <c r="G68" s="112">
        <f t="shared" si="6"/>
        <v>44</v>
      </c>
      <c r="H68" s="99">
        <f>G68+'22'!H68</f>
        <v>699</v>
      </c>
      <c r="I68" s="118"/>
      <c r="J68" s="175">
        <f>H68/DAY(B2)</f>
        <v>30.391304347826086</v>
      </c>
      <c r="K68" s="69"/>
      <c r="L68" s="66"/>
      <c r="N68" s="87"/>
      <c r="O68" s="71"/>
    </row>
    <row r="69" spans="1:15" ht="30.75" customHeight="1">
      <c r="A69" s="365" t="s">
        <v>205</v>
      </c>
      <c r="B69" s="366"/>
      <c r="C69" s="366"/>
      <c r="D69" s="151" t="s">
        <v>142</v>
      </c>
      <c r="E69" s="95">
        <f>'22'!F69</f>
        <v>9742</v>
      </c>
      <c r="F69" s="122">
        <v>9767</v>
      </c>
      <c r="G69" s="112">
        <f t="shared" si="6"/>
        <v>25</v>
      </c>
      <c r="H69" s="99">
        <f>G69+'22'!H69</f>
        <v>302</v>
      </c>
      <c r="I69" s="118"/>
      <c r="J69" s="175">
        <f>H69/DAY(B2)</f>
        <v>13.130434782608695</v>
      </c>
      <c r="K69" s="69"/>
      <c r="L69" s="66"/>
      <c r="N69" s="87"/>
      <c r="O69" s="71"/>
    </row>
    <row r="70" spans="1:15" ht="30.75" customHeight="1">
      <c r="A70" s="365" t="s">
        <v>206</v>
      </c>
      <c r="B70" s="366"/>
      <c r="C70" s="366"/>
      <c r="D70" s="151" t="s">
        <v>142</v>
      </c>
      <c r="E70" s="95">
        <f>'22'!F70</f>
        <v>7447</v>
      </c>
      <c r="F70" s="150">
        <v>7455</v>
      </c>
      <c r="G70" s="112">
        <f t="shared" si="6"/>
        <v>8</v>
      </c>
      <c r="H70" s="99">
        <f>G70+'22'!H70</f>
        <v>252</v>
      </c>
      <c r="I70" s="118"/>
      <c r="J70" s="175">
        <f>H70/DAY(B2)</f>
        <v>10.956521739130435</v>
      </c>
      <c r="K70" s="69"/>
      <c r="L70" s="66"/>
      <c r="N70" s="87"/>
      <c r="O70" s="71"/>
    </row>
    <row r="71" spans="1:15" ht="30.75" customHeight="1">
      <c r="A71" s="823" t="s">
        <v>208</v>
      </c>
      <c r="B71" s="824"/>
      <c r="C71" s="825"/>
      <c r="D71" s="152"/>
      <c r="E71" s="152"/>
      <c r="F71" s="152"/>
      <c r="G71" s="153">
        <f>SUM(G65:G70)</f>
        <v>235</v>
      </c>
      <c r="H71" s="99">
        <f>G71+'22'!H71</f>
        <v>4766</v>
      </c>
      <c r="I71" s="154"/>
      <c r="J71" s="175">
        <f>H71/DAY(B2)</f>
        <v>207.21739130434781</v>
      </c>
      <c r="K71" s="69"/>
      <c r="L71" s="66"/>
      <c r="N71" s="87"/>
      <c r="O71" s="71"/>
    </row>
    <row r="72" spans="1:15" s="88" customFormat="1" ht="30.75" customHeight="1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>
      <c r="A74" s="814" t="s">
        <v>220</v>
      </c>
      <c r="B74" s="815"/>
      <c r="C74" s="816"/>
      <c r="D74" s="151" t="s">
        <v>139</v>
      </c>
      <c r="E74" s="95">
        <f>'22'!F74</f>
        <v>879928.39</v>
      </c>
      <c r="F74" s="117">
        <v>880216.71</v>
      </c>
      <c r="G74" s="112">
        <f t="shared" ref="G74:G78" si="7">F74-E74</f>
        <v>288.31999999994878</v>
      </c>
      <c r="H74" s="99">
        <f>G74+'22'!H74</f>
        <v>6631.4789999999339</v>
      </c>
      <c r="I74" s="154"/>
      <c r="J74" s="175">
        <f>H74/DAY(B2)</f>
        <v>288.3251739130406</v>
      </c>
      <c r="K74" s="69"/>
      <c r="L74" s="66"/>
      <c r="N74" s="87"/>
      <c r="O74" s="71"/>
    </row>
    <row r="75" spans="1:15" ht="30.75" customHeight="1">
      <c r="A75" s="814" t="s">
        <v>221</v>
      </c>
      <c r="B75" s="815"/>
      <c r="C75" s="816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3.4000000000087311</v>
      </c>
      <c r="I75" s="154"/>
      <c r="J75" s="175">
        <f>H75/DAY(B2)</f>
        <v>0.14782608695690136</v>
      </c>
      <c r="K75" s="69"/>
      <c r="L75" s="66"/>
      <c r="N75" s="87"/>
      <c r="O75" s="71"/>
    </row>
    <row r="76" spans="1:15" ht="30.75" customHeight="1">
      <c r="A76" s="811" t="s">
        <v>222</v>
      </c>
      <c r="B76" s="812"/>
      <c r="C76" s="813"/>
      <c r="D76" s="151" t="s">
        <v>139</v>
      </c>
      <c r="E76" s="95">
        <f>'22'!F76</f>
        <v>162390</v>
      </c>
      <c r="F76" s="123">
        <v>162510.1</v>
      </c>
      <c r="G76" s="112">
        <f t="shared" si="7"/>
        <v>120.10000000000582</v>
      </c>
      <c r="H76" s="99">
        <f>G76+'22'!H76</f>
        <v>2524.6000000000058</v>
      </c>
      <c r="I76" s="154"/>
      <c r="J76" s="175">
        <f>H76/DAY(B2)</f>
        <v>109.7652173913046</v>
      </c>
      <c r="K76" s="69"/>
      <c r="L76" s="66"/>
      <c r="N76" s="87"/>
      <c r="O76" s="71"/>
    </row>
    <row r="77" spans="1:15" ht="30.75" customHeight="1">
      <c r="A77" s="811" t="s">
        <v>223</v>
      </c>
      <c r="B77" s="812"/>
      <c r="C77" s="813"/>
      <c r="D77" s="151" t="s">
        <v>139</v>
      </c>
      <c r="E77" s="95">
        <f>'22'!F77</f>
        <v>38419</v>
      </c>
      <c r="F77" s="123">
        <v>38470</v>
      </c>
      <c r="G77" s="112">
        <f t="shared" si="7"/>
        <v>51</v>
      </c>
      <c r="H77" s="99">
        <f>G77+'22'!H77</f>
        <v>972.5</v>
      </c>
      <c r="I77" s="154"/>
      <c r="J77" s="175">
        <f>H77/DAY(B2)</f>
        <v>42.282608695652172</v>
      </c>
      <c r="K77" s="69"/>
      <c r="L77" s="66"/>
      <c r="N77" s="87"/>
      <c r="O77" s="71"/>
    </row>
    <row r="78" spans="1:15" ht="30.75" customHeight="1">
      <c r="A78" s="811" t="s">
        <v>224</v>
      </c>
      <c r="B78" s="812"/>
      <c r="C78" s="813"/>
      <c r="D78" s="151" t="s">
        <v>139</v>
      </c>
      <c r="E78" s="95">
        <f>'22'!F78</f>
        <v>9380.6</v>
      </c>
      <c r="F78" s="123">
        <v>9382.7999999999993</v>
      </c>
      <c r="G78" s="112">
        <f t="shared" si="7"/>
        <v>2.1999999999989086</v>
      </c>
      <c r="H78" s="99">
        <f>G78+'22'!H78</f>
        <v>53.399999999999636</v>
      </c>
      <c r="I78" s="118"/>
      <c r="J78" s="175">
        <f>H78/DAY(B2)</f>
        <v>2.321739130434767</v>
      </c>
      <c r="K78" s="69"/>
      <c r="L78" s="66"/>
      <c r="N78" s="87"/>
      <c r="O78" s="71"/>
    </row>
    <row r="79" spans="1:15" s="57" customFormat="1" ht="30.75" customHeight="1">
      <c r="A79" s="811" t="s">
        <v>225</v>
      </c>
      <c r="B79" s="812"/>
      <c r="C79" s="813"/>
      <c r="D79" s="151"/>
      <c r="E79" s="95">
        <f>'22'!F79</f>
        <v>0</v>
      </c>
      <c r="F79" s="123"/>
      <c r="G79" s="112">
        <f>G15-SUM(G74:G78)</f>
        <v>598.69999999987886</v>
      </c>
      <c r="H79" s="99">
        <f>G79+'22'!H79</f>
        <v>12223.21099999993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23" t="s">
        <v>329</v>
      </c>
      <c r="B80" s="824"/>
      <c r="C80" s="825"/>
      <c r="D80" s="151"/>
      <c r="E80" s="117"/>
      <c r="F80" s="117"/>
      <c r="G80" s="112">
        <f>SUM(G74:G79)</f>
        <v>1060.3199999998324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65" t="s">
        <v>227</v>
      </c>
      <c r="B82" s="366"/>
      <c r="C82" s="36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>
      <c r="A83" s="365" t="s">
        <v>229</v>
      </c>
      <c r="B83" s="366"/>
      <c r="C83" s="36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>
      <c r="A84" s="365" t="s">
        <v>230</v>
      </c>
      <c r="B84" s="366"/>
      <c r="C84" s="366"/>
      <c r="D84" s="151" t="s">
        <v>228</v>
      </c>
      <c r="E84" s="95">
        <f>'22'!F84</f>
        <v>41625.31</v>
      </c>
      <c r="F84" s="164">
        <v>41625.31</v>
      </c>
      <c r="G84" s="112">
        <f t="shared" si="8"/>
        <v>0</v>
      </c>
      <c r="H84" s="99">
        <f>G84+'22'!H84</f>
        <v>39.75</v>
      </c>
      <c r="I84" s="118"/>
      <c r="J84" s="175">
        <f>H84/DAY(B2)</f>
        <v>1.7282608695652173</v>
      </c>
      <c r="O84" s="71"/>
    </row>
    <row r="85" spans="1:15" ht="30.75" customHeight="1">
      <c r="A85" s="365" t="s">
        <v>231</v>
      </c>
      <c r="B85" s="366"/>
      <c r="C85" s="366"/>
      <c r="D85" s="151" t="s">
        <v>228</v>
      </c>
      <c r="E85" s="95">
        <f>'22'!F85</f>
        <v>1433.05</v>
      </c>
      <c r="F85" s="164">
        <v>1448.55</v>
      </c>
      <c r="G85" s="112">
        <f t="shared" si="8"/>
        <v>15.5</v>
      </c>
      <c r="H85" s="99">
        <f>G85+'22'!H85</f>
        <v>143.54999999999995</v>
      </c>
      <c r="I85" s="118">
        <f>G82+G83+G84+G85</f>
        <v>15.5</v>
      </c>
      <c r="J85" s="175">
        <f>H85/DAY(B2)</f>
        <v>6.2413043478260848</v>
      </c>
      <c r="O85" s="71"/>
    </row>
    <row r="86" spans="1:15" ht="30.75" customHeight="1">
      <c r="A86" s="365" t="s">
        <v>232</v>
      </c>
      <c r="B86" s="366"/>
      <c r="C86" s="366"/>
      <c r="D86" s="151" t="s">
        <v>228</v>
      </c>
      <c r="E86" s="95">
        <f>'22'!F86</f>
        <v>42826.47</v>
      </c>
      <c r="F86" s="164">
        <v>42826.47</v>
      </c>
      <c r="G86" s="112">
        <f t="shared" si="8"/>
        <v>0</v>
      </c>
      <c r="H86" s="99">
        <f>G86+'22'!H86</f>
        <v>0.47000000000116415</v>
      </c>
      <c r="I86" s="118"/>
      <c r="J86" s="175">
        <f>H86/DAY(B2)</f>
        <v>2.0434782608746267E-2</v>
      </c>
      <c r="O86" s="71"/>
    </row>
    <row r="87" spans="1:15" ht="30.75" customHeight="1">
      <c r="A87" s="365" t="s">
        <v>233</v>
      </c>
      <c r="B87" s="366"/>
      <c r="C87" s="366"/>
      <c r="D87" s="151" t="s">
        <v>228</v>
      </c>
      <c r="E87" s="95">
        <f>'22'!F87</f>
        <v>34242.21</v>
      </c>
      <c r="F87" s="164">
        <v>34266.339999999997</v>
      </c>
      <c r="G87" s="112">
        <f t="shared" si="8"/>
        <v>24.129999999997381</v>
      </c>
      <c r="H87" s="99">
        <f>G87+'22'!H87</f>
        <v>518.33999999999651</v>
      </c>
      <c r="I87" s="118"/>
      <c r="J87" s="175">
        <f>H87/DAY(B2)</f>
        <v>22.536521739130283</v>
      </c>
      <c r="O87" s="71"/>
    </row>
    <row r="88" spans="1:15" ht="30.75" customHeight="1">
      <c r="A88" s="365" t="s">
        <v>234</v>
      </c>
      <c r="B88" s="366"/>
      <c r="C88" s="366"/>
      <c r="D88" s="151" t="s">
        <v>228</v>
      </c>
      <c r="E88" s="95">
        <f>'22'!F88</f>
        <v>23929.82</v>
      </c>
      <c r="F88" s="164">
        <v>23931.69</v>
      </c>
      <c r="G88" s="112">
        <f t="shared" si="8"/>
        <v>1.8699999999989814</v>
      </c>
      <c r="H88" s="99">
        <f>G88+'22'!H88</f>
        <v>98.119999999998981</v>
      </c>
      <c r="I88" s="118">
        <f>G86+G87+G88</f>
        <v>25.999999999996362</v>
      </c>
      <c r="J88" s="175">
        <f>H88/DAY(B2)</f>
        <v>4.2660869565216952</v>
      </c>
      <c r="O88" s="71"/>
    </row>
    <row r="89" spans="1:15" ht="30.75" customHeight="1">
      <c r="A89" s="365" t="s">
        <v>235</v>
      </c>
      <c r="B89" s="366"/>
      <c r="C89" s="366"/>
      <c r="D89" s="151" t="s">
        <v>228</v>
      </c>
      <c r="E89" s="95">
        <f>'22'!F89</f>
        <v>25364.36</v>
      </c>
      <c r="F89" s="164">
        <v>25372.75</v>
      </c>
      <c r="G89" s="112">
        <f t="shared" si="8"/>
        <v>8.3899999999994179</v>
      </c>
      <c r="H89" s="99">
        <f>G89+'22'!H89</f>
        <v>127.36999999999898</v>
      </c>
      <c r="I89" s="118"/>
      <c r="J89" s="175">
        <f>H89/DAY(B2)</f>
        <v>5.5378260869564775</v>
      </c>
      <c r="O89" s="71"/>
    </row>
    <row r="90" spans="1:15" ht="30.75" customHeight="1">
      <c r="A90" s="365" t="s">
        <v>236</v>
      </c>
      <c r="B90" s="366"/>
      <c r="C90" s="366"/>
      <c r="D90" s="151" t="s">
        <v>228</v>
      </c>
      <c r="E90" s="95">
        <f>'22'!F90</f>
        <v>70777.149999999994</v>
      </c>
      <c r="F90" s="164">
        <v>70782.62</v>
      </c>
      <c r="G90" s="112">
        <f t="shared" si="8"/>
        <v>5.4700000000011642</v>
      </c>
      <c r="H90" s="99">
        <f>G90+'22'!H90</f>
        <v>127.20999999999185</v>
      </c>
      <c r="I90" s="118">
        <f>G89+G90</f>
        <v>13.860000000000582</v>
      </c>
      <c r="J90" s="175">
        <f>H90/DAY(B2)</f>
        <v>5.5308695652170368</v>
      </c>
      <c r="O90" s="71"/>
    </row>
    <row r="91" spans="1:15" ht="30.75" customHeight="1">
      <c r="A91" s="365" t="s">
        <v>237</v>
      </c>
      <c r="B91" s="366"/>
      <c r="C91" s="36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0</v>
      </c>
      <c r="I91" s="165"/>
      <c r="J91" s="175">
        <f>H91/DAY(B2)</f>
        <v>0</v>
      </c>
      <c r="O91" s="71"/>
    </row>
    <row r="92" spans="1:15" ht="30.75" customHeight="1">
      <c r="A92" s="365" t="s">
        <v>238</v>
      </c>
      <c r="B92" s="366"/>
      <c r="C92" s="366"/>
      <c r="D92" s="151" t="s">
        <v>228</v>
      </c>
      <c r="E92" s="95">
        <f>'22'!F92</f>
        <v>5014.51</v>
      </c>
      <c r="F92" s="122">
        <v>5024.67</v>
      </c>
      <c r="G92" s="112">
        <f t="shared" si="8"/>
        <v>10.159999999999854</v>
      </c>
      <c r="H92" s="99">
        <f>G92+'22'!H92</f>
        <v>232.85000000000036</v>
      </c>
      <c r="I92" s="165"/>
      <c r="J92" s="175">
        <f>H92/DAY(B2)</f>
        <v>10.123913043478277</v>
      </c>
      <c r="O92" s="71"/>
    </row>
    <row r="93" spans="1:15" ht="30.75" customHeight="1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6758.2400000001071</v>
      </c>
      <c r="H94" s="99">
        <f>G94+'22'!H94</f>
        <v>145986.0500000001</v>
      </c>
      <c r="I94" s="118"/>
      <c r="J94" s="175">
        <f>H94/DAY(B2)</f>
        <v>6347.2195652173959</v>
      </c>
      <c r="K94" s="69"/>
      <c r="L94" s="66"/>
      <c r="O94" s="71"/>
    </row>
    <row r="95" spans="1:15" ht="30.75" customHeight="1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0.24385389492067644</v>
      </c>
      <c r="H95" s="99">
        <f>G95+'22'!H95</f>
        <v>6.2276759841855727</v>
      </c>
      <c r="I95" s="167"/>
      <c r="J95" s="175">
        <f>H95/DAY(B2)</f>
        <v>0.27076852105154664</v>
      </c>
      <c r="K95" s="69"/>
      <c r="L95" s="66"/>
      <c r="O95" s="71"/>
    </row>
    <row r="96" spans="1:15" ht="30.75" customHeight="1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9030.9700000000012</v>
      </c>
      <c r="H96" s="99">
        <f>G96+'22'!H96</f>
        <v>152238.77000000008</v>
      </c>
      <c r="I96" s="118"/>
      <c r="J96" s="175">
        <f>H96/DAY(B2)</f>
        <v>6619.0769565217424</v>
      </c>
      <c r="K96" s="69"/>
      <c r="L96" s="66"/>
      <c r="O96" s="71"/>
    </row>
    <row r="97" spans="1:15" ht="30.75" customHeight="1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0.32585957429918833</v>
      </c>
      <c r="H97" s="99">
        <f>G97+'22'!H97</f>
        <v>6.3875339510908073</v>
      </c>
      <c r="I97" s="167"/>
      <c r="J97" s="175">
        <f>H97/DAY(B2)</f>
        <v>0.27771886743873075</v>
      </c>
      <c r="K97" s="69"/>
      <c r="L97" s="66"/>
      <c r="O97" s="71"/>
    </row>
    <row r="98" spans="1:15" ht="30.75" customHeight="1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3091.3399999999674</v>
      </c>
      <c r="H98" s="99">
        <f>G98+'22'!H98</f>
        <v>67190.44</v>
      </c>
      <c r="I98" s="168"/>
      <c r="J98" s="175">
        <f>H98/DAY(B2)</f>
        <v>2921.3234782608697</v>
      </c>
      <c r="K98" s="69"/>
      <c r="L98" s="66"/>
      <c r="O98" s="71"/>
    </row>
    <row r="99" spans="1:15" ht="30.75" customHeight="1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0.11154313837982432</v>
      </c>
      <c r="H99" s="99">
        <f>G99+'22'!H99</f>
        <v>2.8716823162486822</v>
      </c>
      <c r="I99" s="168"/>
      <c r="J99" s="175">
        <f>H99/DAY(B2)</f>
        <v>0.12485575288037749</v>
      </c>
      <c r="O99" s="71"/>
    </row>
    <row r="100" spans="1:15" ht="30.75" customHeight="1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1918.3000000000175</v>
      </c>
      <c r="H100" s="99">
        <f>G100+'22'!H100</f>
        <v>42300.500000000015</v>
      </c>
      <c r="I100" s="118"/>
      <c r="J100" s="175">
        <f>H100/DAY(B2)</f>
        <v>1839.1521739130442</v>
      </c>
      <c r="K100" s="70"/>
      <c r="O100" s="71"/>
    </row>
    <row r="101" spans="1:15" ht="30.75" customHeight="1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6.9216974630426031E-2</v>
      </c>
      <c r="H101" s="99">
        <f>G101+'22'!H101</f>
        <v>1.8063180677083013</v>
      </c>
      <c r="I101" s="168"/>
      <c r="J101" s="175">
        <f>H101/DAY(B2)</f>
        <v>7.8535568161230487E-2</v>
      </c>
      <c r="O101" s="71"/>
    </row>
    <row r="102" spans="1:15" ht="30.75" customHeight="1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3123.7600000000093</v>
      </c>
      <c r="H102" s="99">
        <f>G102+'22'!H102</f>
        <v>51620.019999999946</v>
      </c>
      <c r="I102" s="168"/>
      <c r="J102" s="175">
        <f>H102/DAY(B2)</f>
        <v>2244.3486956521715</v>
      </c>
      <c r="O102" s="71"/>
    </row>
    <row r="103" spans="1:15" ht="30.75" customHeight="1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0.11271293159127264</v>
      </c>
      <c r="H103" s="99">
        <f>G103+'22'!H103</f>
        <v>2.1719872354509491</v>
      </c>
      <c r="I103" s="118"/>
      <c r="J103" s="175">
        <f>H103/DAY(B2)</f>
        <v>9.4434227628302128E-2</v>
      </c>
      <c r="O103" s="71"/>
    </row>
    <row r="104" spans="1:15" ht="30.75" customHeight="1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1625.3399999999965</v>
      </c>
      <c r="H104" s="99">
        <f>G104+'22'!H104</f>
        <v>36957.240000000005</v>
      </c>
      <c r="I104" s="118"/>
      <c r="J104" s="175">
        <f>H104/DAY(B2)</f>
        <v>1606.8365217391306</v>
      </c>
      <c r="O104" s="71"/>
    </row>
    <row r="105" spans="1:15" ht="30.75" customHeight="1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5.864625842976353E-2</v>
      </c>
      <c r="H105" s="99">
        <f>G105+'22'!H105</f>
        <v>1.5781787787440986</v>
      </c>
      <c r="I105" s="187"/>
      <c r="J105" s="188">
        <f>H105/DAY(B2)</f>
        <v>6.861646864104777E-2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30.75" customHeight="1">
      <c r="A109" s="831"/>
      <c r="B109" s="831"/>
    </row>
    <row r="110" spans="1:15" ht="30.75" customHeight="1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30.75" customHeight="1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30.75" customHeight="1">
      <c r="A112" s="793" t="s">
        <v>252</v>
      </c>
      <c r="B112" s="794"/>
      <c r="C112" s="795"/>
      <c r="D112" s="146" t="s">
        <v>183</v>
      </c>
      <c r="E112" s="95">
        <f>'22'!F112</f>
        <v>52700.89</v>
      </c>
      <c r="F112" s="237">
        <v>52783.08</v>
      </c>
      <c r="G112" s="112">
        <f t="shared" ref="G112:G123" si="9">F112-E112</f>
        <v>82.190000000002328</v>
      </c>
      <c r="H112" s="99">
        <f>G112+'22'!H112</f>
        <v>1894</v>
      </c>
      <c r="I112" s="165"/>
      <c r="J112" s="348">
        <f>H112/DAY(B2)</f>
        <v>82.347826086956516</v>
      </c>
    </row>
    <row r="113" spans="1:18" ht="30.75" customHeight="1">
      <c r="A113" s="793" t="s">
        <v>253</v>
      </c>
      <c r="B113" s="794"/>
      <c r="C113" s="795"/>
      <c r="D113" s="146" t="s">
        <v>183</v>
      </c>
      <c r="E113" s="95">
        <f>'22'!F113</f>
        <v>14376.1</v>
      </c>
      <c r="F113" s="237">
        <v>14825.49</v>
      </c>
      <c r="G113" s="112">
        <f t="shared" si="9"/>
        <v>449.38999999999942</v>
      </c>
      <c r="H113" s="99">
        <f>G113+'22'!H113</f>
        <v>10319.84</v>
      </c>
      <c r="I113" s="165"/>
      <c r="J113" s="348">
        <f>H113/DAY(B2)</f>
        <v>448.68869565217392</v>
      </c>
    </row>
    <row r="114" spans="1:18" ht="30.75" customHeight="1">
      <c r="A114" s="793" t="s">
        <v>254</v>
      </c>
      <c r="B114" s="794"/>
      <c r="C114" s="795"/>
      <c r="D114" s="146" t="s">
        <v>183</v>
      </c>
      <c r="E114" s="95">
        <f>'22'!F114</f>
        <v>11130.14</v>
      </c>
      <c r="F114" s="237">
        <v>11151.27</v>
      </c>
      <c r="G114" s="112">
        <f t="shared" si="9"/>
        <v>21.130000000001019</v>
      </c>
      <c r="H114" s="99">
        <f>G114+'22'!H114</f>
        <v>7345.16</v>
      </c>
      <c r="I114" s="165"/>
      <c r="J114" s="348">
        <f>H114/DAY(B2)</f>
        <v>319.35478260869564</v>
      </c>
    </row>
    <row r="115" spans="1:18" ht="30.75" customHeight="1">
      <c r="A115" s="793" t="s">
        <v>255</v>
      </c>
      <c r="B115" s="794"/>
      <c r="C115" s="795"/>
      <c r="D115" s="146" t="s">
        <v>183</v>
      </c>
      <c r="E115" s="95">
        <f>'22'!F115</f>
        <v>8325.73</v>
      </c>
      <c r="F115" s="237">
        <v>8343</v>
      </c>
      <c r="G115" s="112">
        <f t="shared" si="9"/>
        <v>17.270000000000437</v>
      </c>
      <c r="H115" s="99">
        <f>G115+'22'!H115</f>
        <v>265.59000000000015</v>
      </c>
      <c r="I115" s="165"/>
      <c r="J115" s="348">
        <f>H115/DAY(B2)</f>
        <v>11.547391304347832</v>
      </c>
    </row>
    <row r="116" spans="1:18" ht="30.75" customHeight="1">
      <c r="A116" s="800" t="s">
        <v>96</v>
      </c>
      <c r="B116" s="801"/>
      <c r="C116" s="802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30.75" customHeight="1">
      <c r="A117" s="800" t="s">
        <v>184</v>
      </c>
      <c r="B117" s="801"/>
      <c r="C117" s="802"/>
      <c r="D117" s="146" t="s">
        <v>183</v>
      </c>
      <c r="E117" s="95">
        <f>'22'!F117</f>
        <v>1775.02</v>
      </c>
      <c r="F117" s="237">
        <v>1794.69</v>
      </c>
      <c r="G117" s="112">
        <f t="shared" si="9"/>
        <v>19.670000000000073</v>
      </c>
      <c r="H117" s="99">
        <f>G117+'22'!H117</f>
        <v>636.5</v>
      </c>
      <c r="I117" s="165"/>
      <c r="J117" s="348">
        <f>H117/DAY(B2)</f>
        <v>27.673913043478262</v>
      </c>
      <c r="Q117" s="793" t="s">
        <v>312</v>
      </c>
      <c r="R117" s="795"/>
    </row>
    <row r="118" spans="1:18" ht="30.75" customHeight="1">
      <c r="A118" s="792" t="s">
        <v>97</v>
      </c>
      <c r="B118" s="792"/>
      <c r="C118" s="792"/>
      <c r="D118" s="151" t="s">
        <v>183</v>
      </c>
      <c r="E118" s="95">
        <f>'22'!F118</f>
        <v>226666.91</v>
      </c>
      <c r="F118" s="237">
        <v>227086.79</v>
      </c>
      <c r="G118" s="112">
        <f t="shared" si="9"/>
        <v>419.88000000000466</v>
      </c>
      <c r="H118" s="99">
        <f>G118+'22'!H118</f>
        <v>8234.8600000000151</v>
      </c>
      <c r="I118" s="165"/>
      <c r="J118" s="348">
        <f>H118/DAY(B2)</f>
        <v>358.03739130434849</v>
      </c>
      <c r="Q118" s="793" t="s">
        <v>311</v>
      </c>
      <c r="R118" s="795"/>
    </row>
    <row r="119" spans="1:18" ht="30.75" customHeight="1">
      <c r="A119" s="792" t="s">
        <v>98</v>
      </c>
      <c r="B119" s="792"/>
      <c r="C119" s="792"/>
      <c r="D119" s="151" t="s">
        <v>183</v>
      </c>
      <c r="E119" s="95">
        <f>'22'!F119</f>
        <v>228255.03</v>
      </c>
      <c r="F119" s="237">
        <v>228674.93</v>
      </c>
      <c r="G119" s="112">
        <f t="shared" si="9"/>
        <v>419.89999999999418</v>
      </c>
      <c r="H119" s="99">
        <f>G119+'22'!H119</f>
        <v>9863.820000000007</v>
      </c>
      <c r="I119" s="165"/>
      <c r="J119" s="348">
        <f>H119/DAY(B2)</f>
        <v>428.86173913043507</v>
      </c>
    </row>
    <row r="120" spans="1:18" ht="30.75" customHeight="1">
      <c r="A120" s="792" t="s">
        <v>99</v>
      </c>
      <c r="B120" s="792"/>
      <c r="C120" s="792"/>
      <c r="D120" s="151" t="s">
        <v>183</v>
      </c>
      <c r="E120" s="95">
        <f>'22'!F120</f>
        <v>13721.61</v>
      </c>
      <c r="F120" s="237">
        <v>14152.05</v>
      </c>
      <c r="G120" s="112">
        <f t="shared" si="9"/>
        <v>430.43999999999869</v>
      </c>
      <c r="H120" s="99">
        <f>G120+'22'!H120</f>
        <v>9844.4499999999989</v>
      </c>
      <c r="I120" s="165"/>
      <c r="J120" s="348">
        <f>H120/DAY(B2)</f>
        <v>428.01956521739123</v>
      </c>
    </row>
    <row r="121" spans="1:18" ht="30.75" customHeight="1">
      <c r="A121" s="792" t="s">
        <v>100</v>
      </c>
      <c r="B121" s="792"/>
      <c r="C121" s="792"/>
      <c r="D121" s="151" t="s">
        <v>183</v>
      </c>
      <c r="E121" s="95">
        <f>'22'!F121</f>
        <v>347099.75</v>
      </c>
      <c r="F121" s="237">
        <v>347863.59</v>
      </c>
      <c r="G121" s="112">
        <f t="shared" si="9"/>
        <v>763.84000000002561</v>
      </c>
      <c r="H121" s="99">
        <f>G121+'22'!H121</f>
        <v>16626.080000000016</v>
      </c>
      <c r="I121" s="165"/>
      <c r="J121" s="348">
        <f>H121/DAY(B2)</f>
        <v>722.87304347826159</v>
      </c>
    </row>
    <row r="122" spans="1:18" ht="30.75" customHeight="1">
      <c r="A122" s="792" t="s">
        <v>101</v>
      </c>
      <c r="B122" s="792"/>
      <c r="C122" s="792"/>
      <c r="D122" s="151" t="s">
        <v>183</v>
      </c>
      <c r="E122" s="95">
        <f>'22'!F122</f>
        <v>108359.82</v>
      </c>
      <c r="F122" s="237">
        <v>108703.5</v>
      </c>
      <c r="G122" s="112">
        <f t="shared" si="9"/>
        <v>343.67999999999302</v>
      </c>
      <c r="H122" s="99">
        <f>G122+'22'!H122</f>
        <v>7094.6199999999953</v>
      </c>
      <c r="I122" s="165"/>
      <c r="J122" s="348">
        <f>H122/DAY(B2)</f>
        <v>308.46173913043458</v>
      </c>
    </row>
    <row r="123" spans="1:18" ht="30.75" customHeight="1">
      <c r="A123" s="792" t="s">
        <v>102</v>
      </c>
      <c r="B123" s="792"/>
      <c r="C123" s="792"/>
      <c r="D123" s="151" t="s">
        <v>183</v>
      </c>
      <c r="E123" s="95">
        <f>'22'!F123</f>
        <v>132121.59</v>
      </c>
      <c r="F123" s="237">
        <v>132396.21</v>
      </c>
      <c r="G123" s="112">
        <f t="shared" si="9"/>
        <v>274.61999999999534</v>
      </c>
      <c r="H123" s="99">
        <f>G123+'22'!H123</f>
        <v>6648.4499999999971</v>
      </c>
      <c r="I123" s="165"/>
      <c r="J123" s="348">
        <f>H123/DAY(B2)</f>
        <v>289.06304347826074</v>
      </c>
    </row>
    <row r="124" spans="1:18" ht="30.75" customHeight="1">
      <c r="A124" s="797"/>
      <c r="B124" s="798"/>
      <c r="C124" s="799"/>
      <c r="D124" s="165"/>
      <c r="E124" s="95">
        <f>'22'!F124</f>
        <v>0</v>
      </c>
      <c r="F124" s="165"/>
      <c r="G124" s="347"/>
      <c r="H124" s="99">
        <f>G124+'22'!H124</f>
        <v>0</v>
      </c>
      <c r="I124" s="165"/>
      <c r="J124" s="347"/>
    </row>
    <row r="125" spans="1:18" ht="30.75" customHeight="1">
      <c r="A125" s="775" t="s">
        <v>196</v>
      </c>
      <c r="B125" s="776"/>
      <c r="C125" s="246"/>
      <c r="D125" s="317"/>
      <c r="E125" s="318"/>
      <c r="F125" s="318"/>
      <c r="G125" s="319">
        <f>SUM(G112:G124)</f>
        <v>3242.0100000000148</v>
      </c>
      <c r="H125" s="156"/>
      <c r="I125" s="347">
        <f>G125-(G39+G53)</f>
        <v>150.67000000004737</v>
      </c>
      <c r="J125" s="347"/>
    </row>
    <row r="126" spans="1:18" ht="30.75" customHeight="1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30.75" customHeight="1">
      <c r="A127" s="780"/>
      <c r="B127" s="780"/>
      <c r="C127" s="246"/>
      <c r="D127" s="317"/>
      <c r="E127" s="318"/>
      <c r="F127" s="318"/>
      <c r="G127" s="319"/>
      <c r="H127" s="99">
        <f>G127+'22'!H127</f>
        <v>0</v>
      </c>
      <c r="I127" s="165"/>
      <c r="J127" s="348">
        <f>H127/DAY(B2)</f>
        <v>0</v>
      </c>
    </row>
    <row r="128" spans="1:18" ht="30.75" customHeight="1">
      <c r="A128" s="793" t="s">
        <v>318</v>
      </c>
      <c r="B128" s="794"/>
      <c r="C128" s="795"/>
      <c r="D128" s="151" t="s">
        <v>183</v>
      </c>
      <c r="E128" s="95">
        <f>'22'!F128</f>
        <v>25037.55</v>
      </c>
      <c r="F128" s="165">
        <v>25344.78</v>
      </c>
      <c r="G128" s="112">
        <f t="shared" ref="G128:G134" si="10">F128-E128</f>
        <v>307.22999999999956</v>
      </c>
      <c r="H128" s="99">
        <f>G128+'22'!H128</f>
        <v>7321.0599999999977</v>
      </c>
      <c r="I128" s="165"/>
      <c r="J128" s="348">
        <f>H128/DAY(B2)</f>
        <v>318.30695652173904</v>
      </c>
    </row>
    <row r="129" spans="1:15" ht="30.75" customHeight="1">
      <c r="A129" s="349" t="s">
        <v>319</v>
      </c>
      <c r="B129" s="350"/>
      <c r="C129" s="351"/>
      <c r="D129" s="151" t="s">
        <v>183</v>
      </c>
      <c r="E129" s="95">
        <f>'22'!F129</f>
        <v>11131.63</v>
      </c>
      <c r="F129" s="165">
        <v>11329.02</v>
      </c>
      <c r="G129" s="112">
        <f t="shared" si="10"/>
        <v>197.39000000000124</v>
      </c>
      <c r="H129" s="99">
        <f>G129+'22'!H129</f>
        <v>4733.3100000000004</v>
      </c>
      <c r="I129" s="165"/>
      <c r="J129" s="348">
        <f>H129/DAY(B2)</f>
        <v>205.79608695652175</v>
      </c>
      <c r="N129" s="240"/>
      <c r="O129" s="241"/>
    </row>
    <row r="130" spans="1:15" ht="30.75" customHeight="1">
      <c r="A130" s="349" t="s">
        <v>320</v>
      </c>
      <c r="B130" s="350"/>
      <c r="C130" s="351"/>
      <c r="D130" s="151" t="s">
        <v>183</v>
      </c>
      <c r="E130" s="95">
        <f>'22'!F130</f>
        <v>0</v>
      </c>
      <c r="F130" s="165">
        <v>141.68</v>
      </c>
      <c r="G130" s="112">
        <f t="shared" si="10"/>
        <v>141.68</v>
      </c>
      <c r="H130" s="99">
        <f>G130+'22'!H130</f>
        <v>53611.360000000008</v>
      </c>
      <c r="I130" s="165"/>
      <c r="J130" s="348">
        <f>H130/DAY(B2)</f>
        <v>2330.9286956521742</v>
      </c>
      <c r="N130" s="240"/>
      <c r="O130" s="241"/>
    </row>
    <row r="131" spans="1:15" ht="30.75" customHeight="1">
      <c r="A131" s="793" t="s">
        <v>321</v>
      </c>
      <c r="B131" s="794"/>
      <c r="C131" s="795"/>
      <c r="D131" s="151" t="s">
        <v>183</v>
      </c>
      <c r="E131" s="95">
        <f>'22'!F131</f>
        <v>7753</v>
      </c>
      <c r="F131" s="165">
        <v>7951.58</v>
      </c>
      <c r="G131" s="112">
        <f t="shared" si="10"/>
        <v>198.57999999999993</v>
      </c>
      <c r="H131" s="99">
        <f>G131+'22'!H131</f>
        <v>3805.1099999999997</v>
      </c>
      <c r="I131" s="165"/>
      <c r="J131" s="348">
        <f>H131/DAY(B2)</f>
        <v>165.43956521739128</v>
      </c>
      <c r="N131" s="240"/>
      <c r="O131" s="241"/>
    </row>
    <row r="132" spans="1:15" ht="30.75" customHeight="1">
      <c r="A132" s="793" t="s">
        <v>322</v>
      </c>
      <c r="B132" s="794"/>
      <c r="C132" s="795"/>
      <c r="D132" s="151" t="s">
        <v>183</v>
      </c>
      <c r="E132" s="95">
        <f>'22'!F132</f>
        <v>22256.05</v>
      </c>
      <c r="F132" s="165">
        <v>22706.799999999999</v>
      </c>
      <c r="G132" s="112">
        <f t="shared" si="10"/>
        <v>450.75</v>
      </c>
      <c r="H132" s="99">
        <f>G132+'22'!H132</f>
        <v>11169.08</v>
      </c>
      <c r="I132" s="165"/>
      <c r="J132" s="348">
        <f>H132/DAY(B2)</f>
        <v>485.61217391304348</v>
      </c>
    </row>
    <row r="133" spans="1:15" ht="30.75" customHeight="1">
      <c r="A133" s="793" t="s">
        <v>323</v>
      </c>
      <c r="B133" s="794"/>
      <c r="C133" s="795"/>
      <c r="D133" s="151" t="s">
        <v>183</v>
      </c>
      <c r="E133" s="95">
        <f>'22'!F133</f>
        <v>56984.03</v>
      </c>
      <c r="F133" s="165">
        <v>57874.39</v>
      </c>
      <c r="G133" s="112">
        <f t="shared" si="10"/>
        <v>890.36000000000058</v>
      </c>
      <c r="H133" s="99">
        <f>G133+'22'!H133</f>
        <v>17025.099999999999</v>
      </c>
      <c r="I133" s="165"/>
      <c r="J133" s="348">
        <f>H133/DAY(B2)</f>
        <v>740.22173913043468</v>
      </c>
    </row>
    <row r="134" spans="1:15" ht="30.75" customHeight="1">
      <c r="A134" s="793" t="s">
        <v>340</v>
      </c>
      <c r="B134" s="794"/>
      <c r="C134" s="795"/>
      <c r="D134" s="151" t="s">
        <v>183</v>
      </c>
      <c r="E134" s="95">
        <f>'22'!F134</f>
        <v>646179</v>
      </c>
      <c r="F134" s="671">
        <v>646899</v>
      </c>
      <c r="G134" s="112">
        <f t="shared" si="10"/>
        <v>720</v>
      </c>
      <c r="H134" s="99">
        <f>G134+'22'!H134</f>
        <v>14635</v>
      </c>
      <c r="I134" s="165"/>
      <c r="J134" s="348">
        <f>H134/DAY(B2)</f>
        <v>636.304347826087</v>
      </c>
    </row>
    <row r="135" spans="1:15" ht="30.75" customHeight="1">
      <c r="A135" s="775" t="s">
        <v>196</v>
      </c>
      <c r="B135" s="776"/>
      <c r="C135" s="351"/>
      <c r="D135" s="151"/>
      <c r="E135" s="95"/>
      <c r="F135" s="671"/>
      <c r="G135" s="112">
        <f>SUM(G128:G134)</f>
        <v>2905.9900000000016</v>
      </c>
      <c r="H135" s="99">
        <f>G135+'10'!H135</f>
        <v>53087.05</v>
      </c>
      <c r="I135" s="347">
        <f>G135-(G35+G49)</f>
        <v>-796.65000000001237</v>
      </c>
      <c r="J135" s="348"/>
    </row>
    <row r="136" spans="1:15" ht="30.75" customHeight="1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30.75" customHeight="1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>
      <c r="A138" s="792" t="s">
        <v>185</v>
      </c>
      <c r="B138" s="792"/>
      <c r="C138" s="792"/>
      <c r="D138" s="151" t="s">
        <v>183</v>
      </c>
      <c r="E138" s="95">
        <f>'22'!F138</f>
        <v>860797</v>
      </c>
      <c r="F138" s="147">
        <v>860826</v>
      </c>
      <c r="G138" s="112">
        <f t="shared" ref="G138:G152" si="11">F138-E138</f>
        <v>29</v>
      </c>
      <c r="H138" s="99">
        <f>G138+'22'!H138</f>
        <v>1179</v>
      </c>
      <c r="I138" s="118"/>
      <c r="J138" s="348">
        <f>H138/DAY(B2)</f>
        <v>51.260869565217391</v>
      </c>
    </row>
    <row r="139" spans="1:15" ht="30.75" customHeight="1">
      <c r="A139" s="792" t="s">
        <v>186</v>
      </c>
      <c r="B139" s="792"/>
      <c r="C139" s="792"/>
      <c r="D139" s="151" t="s">
        <v>183</v>
      </c>
      <c r="E139" s="95">
        <f>'22'!F139</f>
        <v>886162</v>
      </c>
      <c r="F139" s="148">
        <v>886162</v>
      </c>
      <c r="G139" s="112">
        <f t="shared" si="11"/>
        <v>0</v>
      </c>
      <c r="H139" s="99">
        <f>G139+'22'!H139</f>
        <v>60</v>
      </c>
      <c r="I139" s="118"/>
      <c r="J139" s="348">
        <f>H139/DAY(B2)</f>
        <v>2.6086956521739131</v>
      </c>
    </row>
    <row r="140" spans="1:15" ht="30.75" customHeight="1">
      <c r="A140" s="792" t="s">
        <v>187</v>
      </c>
      <c r="B140" s="792"/>
      <c r="C140" s="792"/>
      <c r="D140" s="151" t="s">
        <v>183</v>
      </c>
      <c r="E140" s="95">
        <f>'22'!F140</f>
        <v>88843</v>
      </c>
      <c r="F140" s="149">
        <v>88848.1</v>
      </c>
      <c r="G140" s="112">
        <f t="shared" si="11"/>
        <v>5.1000000000058208</v>
      </c>
      <c r="H140" s="99">
        <f>G140+'22'!H140</f>
        <v>31.100000000005821</v>
      </c>
      <c r="I140" s="118"/>
      <c r="J140" s="348">
        <f>H140/DAY(B2)</f>
        <v>1.3521739130437314</v>
      </c>
    </row>
    <row r="141" spans="1:15" ht="30.75" customHeight="1">
      <c r="A141" s="771" t="s">
        <v>188</v>
      </c>
      <c r="B141" s="771"/>
      <c r="C141" s="771"/>
      <c r="D141" s="151" t="s">
        <v>183</v>
      </c>
      <c r="E141" s="95">
        <f>'22'!F141</f>
        <v>41500.660000000003</v>
      </c>
      <c r="F141" s="149">
        <v>41714.120000000003</v>
      </c>
      <c r="G141" s="112">
        <f t="shared" si="11"/>
        <v>213.45999999999913</v>
      </c>
      <c r="H141" s="99">
        <f>G141+'22'!H141</f>
        <v>4426.1700000000055</v>
      </c>
      <c r="I141" s="118"/>
      <c r="J141" s="348">
        <f>H141/DAY(B2)</f>
        <v>192.44217391304372</v>
      </c>
    </row>
    <row r="142" spans="1:15" ht="30.75" customHeight="1">
      <c r="A142" s="771" t="s">
        <v>189</v>
      </c>
      <c r="B142" s="771"/>
      <c r="C142" s="771"/>
      <c r="D142" s="151" t="s">
        <v>183</v>
      </c>
      <c r="E142" s="95">
        <f>'22'!F142</f>
        <v>17327</v>
      </c>
      <c r="F142" s="148">
        <v>17343.45</v>
      </c>
      <c r="G142" s="112">
        <f t="shared" si="11"/>
        <v>16.450000000000728</v>
      </c>
      <c r="H142" s="99">
        <f>G142+'22'!H142</f>
        <v>381.58000000000175</v>
      </c>
      <c r="I142" s="140"/>
      <c r="J142" s="348">
        <f>H142/DAY(B2)</f>
        <v>16.590434782608771</v>
      </c>
    </row>
    <row r="143" spans="1:15" ht="30.75" customHeight="1">
      <c r="A143" s="792" t="s">
        <v>91</v>
      </c>
      <c r="B143" s="792"/>
      <c r="C143" s="792"/>
      <c r="D143" s="151" t="s">
        <v>183</v>
      </c>
      <c r="E143" s="95">
        <f>'22'!F143</f>
        <v>1966.19</v>
      </c>
      <c r="F143" s="149">
        <v>1993.5</v>
      </c>
      <c r="G143" s="112">
        <f t="shared" si="11"/>
        <v>27.309999999999945</v>
      </c>
      <c r="H143" s="99">
        <f>G143+'22'!H143</f>
        <v>610.31999999999994</v>
      </c>
      <c r="I143" s="140"/>
      <c r="J143" s="348">
        <f>H143/DAY(B2)</f>
        <v>26.535652173913039</v>
      </c>
    </row>
    <row r="144" spans="1:15" ht="30.75" customHeight="1">
      <c r="A144" s="771" t="s">
        <v>90</v>
      </c>
      <c r="B144" s="771"/>
      <c r="C144" s="771"/>
      <c r="D144" s="151" t="s">
        <v>183</v>
      </c>
      <c r="E144" s="95">
        <f>'22'!F144</f>
        <v>860519</v>
      </c>
      <c r="F144" s="149">
        <v>860757</v>
      </c>
      <c r="G144" s="112">
        <f t="shared" si="11"/>
        <v>238</v>
      </c>
      <c r="H144" s="99">
        <f>G144+'22'!H144</f>
        <v>5388</v>
      </c>
      <c r="I144" s="140"/>
      <c r="J144" s="348">
        <f>H144/DAY(B2)</f>
        <v>234.2608695652174</v>
      </c>
    </row>
    <row r="145" spans="1:10" ht="30.75" customHeight="1">
      <c r="A145" s="792" t="s">
        <v>190</v>
      </c>
      <c r="B145" s="792"/>
      <c r="C145" s="792"/>
      <c r="D145" s="152" t="s">
        <v>183</v>
      </c>
      <c r="E145" s="95">
        <f>'22'!F145</f>
        <v>3067.63</v>
      </c>
      <c r="F145" s="149">
        <v>3115.73</v>
      </c>
      <c r="G145" s="112">
        <f t="shared" si="11"/>
        <v>48.099999999999909</v>
      </c>
      <c r="H145" s="99">
        <f>G145+'22'!H145</f>
        <v>902.73</v>
      </c>
      <c r="I145" s="140"/>
      <c r="J145" s="348">
        <f>H145/DAY(B2)</f>
        <v>39.249130434782607</v>
      </c>
    </row>
    <row r="146" spans="1:10" ht="30.75" customHeight="1">
      <c r="A146" s="827" t="s">
        <v>191</v>
      </c>
      <c r="B146" s="812"/>
      <c r="C146" s="813"/>
      <c r="D146" s="152" t="s">
        <v>183</v>
      </c>
      <c r="E146" s="95">
        <f>'22'!F146</f>
        <v>707396</v>
      </c>
      <c r="F146" s="148">
        <v>707901</v>
      </c>
      <c r="G146" s="112">
        <f t="shared" si="11"/>
        <v>505</v>
      </c>
      <c r="H146" s="99">
        <f>G146+'22'!H146</f>
        <v>9382</v>
      </c>
      <c r="I146" s="140"/>
      <c r="J146" s="348">
        <f>H146/DAY(B2)</f>
        <v>407.91304347826087</v>
      </c>
    </row>
    <row r="147" spans="1:10" ht="30.75" customHeight="1">
      <c r="A147" s="771" t="s">
        <v>192</v>
      </c>
      <c r="B147" s="771"/>
      <c r="C147" s="771"/>
      <c r="D147" s="152" t="s">
        <v>183</v>
      </c>
      <c r="E147" s="95">
        <f>'22'!F147</f>
        <v>598341.64</v>
      </c>
      <c r="F147" s="148">
        <v>598841.64</v>
      </c>
      <c r="G147" s="112">
        <f t="shared" si="11"/>
        <v>500</v>
      </c>
      <c r="H147" s="99">
        <f>G147+'22'!H147</f>
        <v>9930.7199999999721</v>
      </c>
      <c r="I147" s="140"/>
      <c r="J147" s="348">
        <f>H147/DAY(B2)</f>
        <v>431.77043478260748</v>
      </c>
    </row>
    <row r="148" spans="1:10" ht="30.75" customHeight="1">
      <c r="A148" s="772" t="s">
        <v>193</v>
      </c>
      <c r="B148" s="773"/>
      <c r="C148" s="774"/>
      <c r="D148" s="123" t="s">
        <v>130</v>
      </c>
      <c r="E148" s="95">
        <f>'22'!F148</f>
        <v>671161.84</v>
      </c>
      <c r="F148" s="150">
        <v>671696.72</v>
      </c>
      <c r="G148" s="112">
        <f t="shared" si="11"/>
        <v>534.88000000000466</v>
      </c>
      <c r="H148" s="99">
        <f>G148+'22'!H148</f>
        <v>6588.5999999999767</v>
      </c>
      <c r="I148" s="124"/>
      <c r="J148" s="348">
        <f>H148/DAY(B2)</f>
        <v>286.4608695652164</v>
      </c>
    </row>
    <row r="149" spans="1:10" ht="30.75" customHeight="1">
      <c r="A149" s="772" t="s">
        <v>336</v>
      </c>
      <c r="B149" s="773"/>
      <c r="C149" s="774"/>
      <c r="D149" s="227" t="s">
        <v>130</v>
      </c>
      <c r="E149" s="95">
        <f>'22'!F149</f>
        <v>92193</v>
      </c>
      <c r="F149" s="146">
        <v>92548</v>
      </c>
      <c r="G149" s="112">
        <f t="shared" si="11"/>
        <v>355</v>
      </c>
      <c r="H149" s="99">
        <f>G149+'22'!H149</f>
        <v>7801</v>
      </c>
      <c r="I149" s="119"/>
      <c r="J149" s="348">
        <f>H149/DAY(B2)</f>
        <v>339.17391304347825</v>
      </c>
    </row>
    <row r="150" spans="1:10" ht="30.75" customHeight="1">
      <c r="A150" s="772" t="s">
        <v>337</v>
      </c>
      <c r="B150" s="773"/>
      <c r="C150" s="774"/>
      <c r="D150" s="117" t="s">
        <v>130</v>
      </c>
      <c r="E150" s="95">
        <f>'22'!F150</f>
        <v>7167232</v>
      </c>
      <c r="F150" s="233">
        <v>7167232</v>
      </c>
      <c r="G150" s="112">
        <f t="shared" si="11"/>
        <v>0</v>
      </c>
      <c r="H150" s="99">
        <f>G150+'22'!H150</f>
        <v>0</v>
      </c>
      <c r="I150" s="119"/>
      <c r="J150" s="348">
        <f>H150/DAY(B2)</f>
        <v>0</v>
      </c>
    </row>
    <row r="151" spans="1:10" ht="30.75" customHeight="1">
      <c r="A151" s="772" t="s">
        <v>338</v>
      </c>
      <c r="B151" s="773"/>
      <c r="C151" s="774"/>
      <c r="D151" s="117" t="s">
        <v>130</v>
      </c>
      <c r="E151" s="95">
        <f>'22'!F151</f>
        <v>68479</v>
      </c>
      <c r="F151" s="233">
        <v>68777</v>
      </c>
      <c r="G151" s="112">
        <f t="shared" si="11"/>
        <v>298</v>
      </c>
      <c r="H151" s="99">
        <f>G151+'22'!H151</f>
        <v>5767</v>
      </c>
      <c r="I151" s="119"/>
      <c r="J151" s="348">
        <f>H151/DAY(B2)</f>
        <v>250.7391304347826</v>
      </c>
    </row>
    <row r="152" spans="1:10" ht="30.75" customHeight="1">
      <c r="A152" s="772" t="s">
        <v>339</v>
      </c>
      <c r="B152" s="773"/>
      <c r="C152" s="774"/>
      <c r="D152" s="117" t="s">
        <v>130</v>
      </c>
      <c r="E152" s="95">
        <f>'22'!F152</f>
        <v>0</v>
      </c>
      <c r="F152" s="233">
        <v>0</v>
      </c>
      <c r="G152" s="112">
        <f t="shared" si="11"/>
        <v>0</v>
      </c>
      <c r="H152" s="99">
        <f>G152+'22'!H152</f>
        <v>0</v>
      </c>
      <c r="I152" s="119"/>
      <c r="J152" s="348">
        <f>H152/DAY(B2)</f>
        <v>0</v>
      </c>
    </row>
    <row r="153" spans="1:10" ht="30.75" customHeight="1">
      <c r="A153" s="775" t="s">
        <v>196</v>
      </c>
      <c r="B153" s="776"/>
      <c r="C153" s="385"/>
      <c r="D153" s="378"/>
      <c r="E153" s="380"/>
      <c r="F153" s="381"/>
      <c r="G153" s="382">
        <f>SUM(G138:G152)</f>
        <v>2770.3000000000102</v>
      </c>
      <c r="H153" s="383"/>
      <c r="I153" s="119">
        <f>G153-(G38+G52)</f>
        <v>851.99999999999272</v>
      </c>
      <c r="J153" s="386"/>
    </row>
    <row r="154" spans="1:10" ht="30.75" customHeight="1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0.75" customHeight="1">
      <c r="A155" s="771" t="s">
        <v>345</v>
      </c>
      <c r="B155" s="771"/>
      <c r="C155" s="771"/>
      <c r="D155" s="117" t="s">
        <v>130</v>
      </c>
      <c r="E155" s="95">
        <f>'22'!F155</f>
        <v>77447.7</v>
      </c>
      <c r="F155" s="394">
        <v>77456.2</v>
      </c>
      <c r="G155" s="112">
        <f t="shared" ref="G155:G156" si="12">F155-E155</f>
        <v>8.5</v>
      </c>
      <c r="H155" s="99">
        <f>G155+'22'!H155</f>
        <v>181.59999999999127</v>
      </c>
      <c r="I155" s="384"/>
      <c r="J155" s="348">
        <f>H155/DAY(B2)</f>
        <v>7.8956521739126639</v>
      </c>
    </row>
    <row r="156" spans="1:10" ht="30.75" customHeight="1">
      <c r="A156" s="771" t="s">
        <v>347</v>
      </c>
      <c r="B156" s="771"/>
      <c r="C156" s="771"/>
      <c r="D156" s="117" t="s">
        <v>130</v>
      </c>
      <c r="E156" s="95">
        <f>'22'!F156</f>
        <v>0</v>
      </c>
      <c r="F156" s="165">
        <v>0</v>
      </c>
      <c r="G156" s="112">
        <f t="shared" si="12"/>
        <v>0</v>
      </c>
      <c r="H156" s="99">
        <f>G156+'22'!H156</f>
        <v>0</v>
      </c>
      <c r="I156" s="165"/>
      <c r="J156" s="348">
        <f>H156/DAY(B2)</f>
        <v>0</v>
      </c>
    </row>
    <row r="157" spans="1:10" ht="30.75" customHeight="1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30.75" customHeight="1">
      <c r="A158" s="242" t="s">
        <v>92</v>
      </c>
      <c r="B158" s="243"/>
      <c r="C158" s="243"/>
      <c r="D158" s="244" t="s">
        <v>180</v>
      </c>
      <c r="E158" s="95">
        <f>'22'!F158</f>
        <v>470174.36</v>
      </c>
      <c r="F158" s="235">
        <v>470493.44</v>
      </c>
      <c r="G158" s="238">
        <f t="shared" ref="G158:G162" si="13">F158-E158</f>
        <v>319.0800000000163</v>
      </c>
      <c r="H158" s="99">
        <f>G158+'22'!H158</f>
        <v>964.40000000002328</v>
      </c>
      <c r="I158" s="236"/>
      <c r="J158" s="239">
        <f>H158/DAY(B2)</f>
        <v>41.930434782609709</v>
      </c>
    </row>
    <row r="159" spans="1:10" ht="30.75" customHeight="1">
      <c r="A159" s="242" t="s">
        <v>93</v>
      </c>
      <c r="B159" s="243"/>
      <c r="C159" s="243"/>
      <c r="D159" s="244" t="s">
        <v>180</v>
      </c>
      <c r="E159" s="95">
        <f>'22'!F159</f>
        <v>86375</v>
      </c>
      <c r="F159" s="235">
        <v>86411</v>
      </c>
      <c r="G159" s="238">
        <f t="shared" si="13"/>
        <v>36</v>
      </c>
      <c r="H159" s="99">
        <f>G159+'22'!H159</f>
        <v>705.39999999999418</v>
      </c>
      <c r="I159" s="236"/>
      <c r="J159" s="239">
        <f>H159/DAY(B2)</f>
        <v>30.66956521739105</v>
      </c>
    </row>
    <row r="160" spans="1:10" ht="30.75" customHeight="1">
      <c r="A160" s="242" t="s">
        <v>197</v>
      </c>
      <c r="B160" s="243"/>
      <c r="C160" s="243"/>
      <c r="D160" s="244" t="s">
        <v>180</v>
      </c>
      <c r="E160" s="95">
        <f>'22'!F160</f>
        <v>74843.600000000006</v>
      </c>
      <c r="F160" s="235">
        <v>74950.3</v>
      </c>
      <c r="G160" s="238">
        <f t="shared" si="13"/>
        <v>106.69999999999709</v>
      </c>
      <c r="H160" s="99">
        <f>G160+'22'!H160</f>
        <v>1613.4000000000087</v>
      </c>
      <c r="I160" s="236"/>
      <c r="J160" s="239">
        <f>H160/DAY(B2)</f>
        <v>70.147826086956897</v>
      </c>
    </row>
    <row r="161" spans="1:10" ht="30.75" customHeight="1">
      <c r="A161" s="242" t="s">
        <v>197</v>
      </c>
      <c r="B161" s="243"/>
      <c r="C161" s="243"/>
      <c r="D161" s="244" t="s">
        <v>180</v>
      </c>
      <c r="E161" s="95">
        <f>'22'!F161</f>
        <v>4054.8</v>
      </c>
      <c r="F161" s="235">
        <v>4063.3</v>
      </c>
      <c r="G161" s="238">
        <f t="shared" si="13"/>
        <v>8.5</v>
      </c>
      <c r="H161" s="99">
        <f>G161+'22'!H161</f>
        <v>89.800000000000182</v>
      </c>
      <c r="I161" s="236"/>
      <c r="J161" s="239">
        <f>H161/DAY(B2)</f>
        <v>3.9043478260869646</v>
      </c>
    </row>
    <row r="162" spans="1:10" ht="30.75" customHeight="1">
      <c r="A162" s="242" t="s">
        <v>309</v>
      </c>
      <c r="B162" s="243"/>
      <c r="C162" s="243"/>
      <c r="D162" s="244" t="s">
        <v>180</v>
      </c>
      <c r="E162" s="95">
        <f>'22'!F162</f>
        <v>29366.11</v>
      </c>
      <c r="F162" s="235">
        <v>29373.84</v>
      </c>
      <c r="G162" s="238">
        <f t="shared" si="13"/>
        <v>7.7299999999995634</v>
      </c>
      <c r="H162" s="99">
        <f>G162+'22'!H162</f>
        <v>175.70000000000073</v>
      </c>
      <c r="I162" s="236"/>
      <c r="J162" s="239">
        <f>H162/DAY(B2)</f>
        <v>7.6391304347826408</v>
      </c>
    </row>
    <row r="163" spans="1:10" ht="30.75" customHeight="1">
      <c r="A163" s="780"/>
      <c r="B163" s="780"/>
      <c r="C163" s="247"/>
      <c r="D163" s="244" t="s">
        <v>180</v>
      </c>
      <c r="E163" s="95">
        <f>'22'!F163</f>
        <v>0</v>
      </c>
      <c r="F163" s="165"/>
      <c r="G163" s="165"/>
      <c r="H163" s="99">
        <f>G163+'22'!H163</f>
        <v>0</v>
      </c>
      <c r="I163" s="165"/>
      <c r="J163" s="239">
        <f>H163/DAY(B2)</f>
        <v>0</v>
      </c>
    </row>
    <row r="164" spans="1:10" ht="30.75" customHeight="1">
      <c r="A164" s="780"/>
      <c r="B164" s="780"/>
      <c r="C164" s="247"/>
      <c r="D164" s="244" t="s">
        <v>180</v>
      </c>
      <c r="E164" s="95">
        <f>'22'!F164</f>
        <v>0</v>
      </c>
      <c r="F164" s="165"/>
      <c r="G164" s="165"/>
      <c r="H164" s="99">
        <f>G164+'22'!H164</f>
        <v>0</v>
      </c>
      <c r="I164" s="165"/>
      <c r="J164" s="239">
        <f>H164/DAY(B2)</f>
        <v>0</v>
      </c>
    </row>
    <row r="165" spans="1:10" ht="30.75" customHeight="1">
      <c r="A165" s="780"/>
      <c r="B165" s="780"/>
      <c r="C165" s="247"/>
      <c r="D165" s="244" t="s">
        <v>180</v>
      </c>
      <c r="E165" s="95">
        <f>'22'!F165</f>
        <v>0</v>
      </c>
      <c r="F165" s="165"/>
      <c r="G165" s="165"/>
      <c r="H165" s="99">
        <f>G165+'22'!H165</f>
        <v>0</v>
      </c>
      <c r="I165" s="165"/>
      <c r="J165" s="239">
        <f>H165/DAY(B2)</f>
        <v>0</v>
      </c>
    </row>
    <row r="168" spans="1:10" ht="30.75" customHeight="1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30.75" customHeight="1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>
      <c r="A170" s="786" t="s">
        <v>209</v>
      </c>
      <c r="B170" s="787"/>
      <c r="C170" s="353"/>
      <c r="D170" s="228" t="s">
        <v>142</v>
      </c>
      <c r="E170" s="95">
        <f>'22'!F170</f>
        <v>8050</v>
      </c>
      <c r="F170" s="155">
        <v>8050</v>
      </c>
      <c r="G170" s="155">
        <f>F170-E170</f>
        <v>0</v>
      </c>
      <c r="H170" s="99">
        <f>G170+'22'!H170</f>
        <v>52</v>
      </c>
      <c r="I170" s="155"/>
      <c r="J170" s="178">
        <f>H170/DAY(B2)</f>
        <v>2.2608695652173911</v>
      </c>
    </row>
    <row r="171" spans="1:10" ht="30.75" customHeight="1">
      <c r="A171" s="786" t="s">
        <v>75</v>
      </c>
      <c r="B171" s="787"/>
      <c r="C171" s="353"/>
      <c r="D171" s="228" t="s">
        <v>142</v>
      </c>
      <c r="E171" s="95">
        <f>'22'!F171</f>
        <v>37696</v>
      </c>
      <c r="F171" s="157">
        <v>37709</v>
      </c>
      <c r="G171" s="155">
        <f t="shared" ref="G171:G172" si="14">F171-E171</f>
        <v>13</v>
      </c>
      <c r="H171" s="99">
        <f>G171+'22'!H171</f>
        <v>326</v>
      </c>
      <c r="I171" s="155"/>
      <c r="J171" s="178">
        <f>H171/DAY(B2)</f>
        <v>14.173913043478262</v>
      </c>
    </row>
    <row r="172" spans="1:10" ht="30.75" customHeight="1">
      <c r="A172" s="786" t="s">
        <v>76</v>
      </c>
      <c r="B172" s="826"/>
      <c r="C172" s="787"/>
      <c r="D172" s="228" t="s">
        <v>142</v>
      </c>
      <c r="E172" s="95">
        <f>'22'!F172</f>
        <v>21043</v>
      </c>
      <c r="F172" s="155">
        <v>21054</v>
      </c>
      <c r="G172" s="155">
        <f t="shared" si="14"/>
        <v>11</v>
      </c>
      <c r="H172" s="99">
        <f>G172+'22'!H172</f>
        <v>266</v>
      </c>
      <c r="I172" s="155"/>
      <c r="J172" s="178">
        <f>H172/DAY(B2)</f>
        <v>11.565217391304348</v>
      </c>
    </row>
    <row r="173" spans="1:10" ht="30.75" customHeight="1">
      <c r="A173" s="775" t="s">
        <v>196</v>
      </c>
      <c r="B173" s="776"/>
      <c r="C173" s="547"/>
      <c r="D173" s="228"/>
      <c r="E173" s="95"/>
      <c r="F173" s="155"/>
      <c r="G173" s="155">
        <f>SUM(G170:G172)</f>
        <v>24</v>
      </c>
      <c r="H173" s="99">
        <f>G173+'22'!H173</f>
        <v>644</v>
      </c>
      <c r="I173" s="155"/>
      <c r="J173" s="178">
        <f>H173/DAY(B2)</f>
        <v>28</v>
      </c>
    </row>
    <row r="174" spans="1:10" ht="30.75" customHeight="1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G174+'22'!H174</f>
        <v>0</v>
      </c>
      <c r="I174" s="155"/>
      <c r="J174" s="178">
        <f>H174/DAY(B2)</f>
        <v>0</v>
      </c>
    </row>
    <row r="175" spans="1:10" ht="30.75" customHeight="1">
      <c r="A175" s="786" t="s">
        <v>210</v>
      </c>
      <c r="B175" s="787"/>
      <c r="C175" s="353"/>
      <c r="D175" s="228" t="s">
        <v>142</v>
      </c>
      <c r="E175" s="95">
        <f>'22'!F175</f>
        <v>76517</v>
      </c>
      <c r="F175" s="155">
        <v>76656</v>
      </c>
      <c r="G175" s="155">
        <f>F175-E175</f>
        <v>139</v>
      </c>
      <c r="H175" s="99">
        <f>G175+'22'!H175</f>
        <v>2037</v>
      </c>
      <c r="I175" s="155"/>
      <c r="J175" s="178">
        <f>H175/DAY(B2)</f>
        <v>88.565217391304344</v>
      </c>
    </row>
    <row r="176" spans="1:10" ht="30.75" customHeight="1">
      <c r="A176" s="786" t="s">
        <v>211</v>
      </c>
      <c r="B176" s="787"/>
      <c r="C176" s="353"/>
      <c r="D176" s="228" t="s">
        <v>142</v>
      </c>
      <c r="E176" s="95">
        <f>'22'!F176</f>
        <v>33886</v>
      </c>
      <c r="F176" s="155">
        <v>33886</v>
      </c>
      <c r="G176" s="155">
        <f t="shared" ref="G176:G177" si="15">F176-E176</f>
        <v>0</v>
      </c>
      <c r="H176" s="99">
        <f>G176+'22'!H176</f>
        <v>0</v>
      </c>
      <c r="I176" s="155"/>
      <c r="J176" s="178">
        <f>H176/DAY(B2)</f>
        <v>0</v>
      </c>
    </row>
    <row r="177" spans="1:10" ht="30.75" customHeight="1">
      <c r="A177" s="786" t="s">
        <v>212</v>
      </c>
      <c r="B177" s="787"/>
      <c r="C177" s="353"/>
      <c r="D177" s="228" t="s">
        <v>142</v>
      </c>
      <c r="E177" s="95">
        <f>'22'!F177</f>
        <v>5206</v>
      </c>
      <c r="F177" s="155">
        <v>5213</v>
      </c>
      <c r="G177" s="155">
        <f t="shared" si="15"/>
        <v>7</v>
      </c>
      <c r="H177" s="99">
        <f>G177+'22'!H177</f>
        <v>2924</v>
      </c>
      <c r="I177" s="155"/>
      <c r="J177" s="178">
        <f>H177/DAY(B2)</f>
        <v>127.1304347826087</v>
      </c>
    </row>
    <row r="178" spans="1:10" ht="30.75" customHeight="1">
      <c r="A178" s="788" t="s">
        <v>108</v>
      </c>
      <c r="B178" s="789"/>
      <c r="C178" s="547"/>
      <c r="D178" s="228"/>
      <c r="E178" s="95"/>
      <c r="F178" s="155"/>
      <c r="G178" s="155">
        <f>SUM(G175:G177)</f>
        <v>146</v>
      </c>
      <c r="H178" s="99">
        <f>G178+'22'!H178</f>
        <v>4961</v>
      </c>
      <c r="I178" s="155"/>
      <c r="J178" s="178">
        <f>H178/DAY(B2)</f>
        <v>215.69565217391303</v>
      </c>
    </row>
    <row r="179" spans="1:10" ht="30.75" customHeight="1">
      <c r="A179" s="786" t="s">
        <v>213</v>
      </c>
      <c r="B179" s="787"/>
      <c r="C179" s="353"/>
      <c r="D179" s="228"/>
      <c r="E179" s="95"/>
      <c r="F179" s="155"/>
      <c r="G179" s="155"/>
      <c r="H179" s="99">
        <f>G179+'22'!H179</f>
        <v>0</v>
      </c>
      <c r="I179" s="155"/>
      <c r="J179" s="178">
        <f>H179/DAY(B2)</f>
        <v>0</v>
      </c>
    </row>
    <row r="180" spans="1:10" ht="30.75" customHeight="1">
      <c r="A180" s="786" t="s">
        <v>214</v>
      </c>
      <c r="B180" s="787"/>
      <c r="C180" s="354"/>
      <c r="D180" s="228" t="s">
        <v>142</v>
      </c>
      <c r="E180" s="95">
        <f>'22'!F180</f>
        <v>14372</v>
      </c>
      <c r="F180" s="157">
        <v>14402</v>
      </c>
      <c r="G180" s="157">
        <f>F180-E180</f>
        <v>30</v>
      </c>
      <c r="H180" s="99">
        <f>G180+'22'!H180</f>
        <v>371</v>
      </c>
      <c r="I180" s="155"/>
      <c r="J180" s="178">
        <f>H180/DAY(B2)</f>
        <v>16.130434782608695</v>
      </c>
    </row>
    <row r="181" spans="1:10" ht="30.75" customHeight="1">
      <c r="A181" s="786" t="s">
        <v>215</v>
      </c>
      <c r="B181" s="787"/>
      <c r="C181" s="354"/>
      <c r="D181" s="228" t="s">
        <v>142</v>
      </c>
      <c r="E181" s="95">
        <f>'22'!F181</f>
        <v>9952</v>
      </c>
      <c r="F181" s="157">
        <v>9966</v>
      </c>
      <c r="G181" s="157">
        <f t="shared" ref="G181:G182" si="16">F181-E181</f>
        <v>14</v>
      </c>
      <c r="H181" s="99">
        <f>G181+'22'!H181</f>
        <v>212</v>
      </c>
      <c r="I181" s="155"/>
      <c r="J181" s="178">
        <f>H181/DAY(B2)</f>
        <v>9.2173913043478262</v>
      </c>
    </row>
    <row r="182" spans="1:10" ht="30.75" customHeight="1">
      <c r="A182" s="786" t="s">
        <v>216</v>
      </c>
      <c r="B182" s="787"/>
      <c r="C182" s="354"/>
      <c r="D182" s="228" t="s">
        <v>142</v>
      </c>
      <c r="E182" s="95">
        <f>'22'!F182</f>
        <v>0</v>
      </c>
      <c r="F182" s="157">
        <v>0</v>
      </c>
      <c r="G182" s="157">
        <f t="shared" si="16"/>
        <v>0</v>
      </c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775" t="s">
        <v>196</v>
      </c>
      <c r="B183" s="776"/>
      <c r="C183" s="546"/>
      <c r="D183" s="229"/>
      <c r="E183" s="95"/>
      <c r="F183" s="157"/>
      <c r="G183" s="157">
        <f>SUM(G180:G182)</f>
        <v>44</v>
      </c>
      <c r="H183" s="99">
        <f>G183+'22'!H183</f>
        <v>583</v>
      </c>
      <c r="I183" s="157"/>
      <c r="J183" s="178">
        <f>H183/DAY(B2)</f>
        <v>25.347826086956523</v>
      </c>
    </row>
    <row r="184" spans="1:10" ht="30.75" customHeight="1">
      <c r="A184" s="777" t="s">
        <v>217</v>
      </c>
      <c r="B184" s="778"/>
      <c r="C184" s="353"/>
      <c r="D184" s="230" t="s">
        <v>142</v>
      </c>
      <c r="E184" s="95"/>
      <c r="F184" s="159"/>
      <c r="G184" s="524">
        <f>G62+G19</f>
        <v>166</v>
      </c>
      <c r="H184" s="99">
        <f>G184+'22'!H184</f>
        <v>4021</v>
      </c>
      <c r="I184" s="158"/>
      <c r="J184" s="179">
        <f>H184/DAY(B2)</f>
        <v>174.82608695652175</v>
      </c>
    </row>
    <row r="185" spans="1:10" ht="30.75" customHeight="1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191</v>
      </c>
      <c r="H185" s="99">
        <f>G185+'22'!H185</f>
        <v>1641</v>
      </c>
      <c r="I185" s="158"/>
      <c r="J185" s="179">
        <f>H185/DAY(B2)</f>
        <v>71.347826086956516</v>
      </c>
    </row>
    <row r="186" spans="1:10" ht="30.75" customHeight="1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146</v>
      </c>
      <c r="H186" s="99">
        <f>G186+'22'!H186</f>
        <v>529</v>
      </c>
      <c r="I186" s="158"/>
      <c r="J186" s="179">
        <f>H186/DAY(B2)</f>
        <v>23</v>
      </c>
    </row>
    <row r="187" spans="1:10" ht="30.75" customHeight="1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1:B181"/>
    <mergeCell ref="A180:B180"/>
    <mergeCell ref="A172:C172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57:J157"/>
    <mergeCell ref="A163:B163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71:B171"/>
    <mergeCell ref="A173:B173"/>
    <mergeCell ref="A174:B174"/>
    <mergeCell ref="A175:B175"/>
    <mergeCell ref="A176:B176"/>
    <mergeCell ref="A164:B164"/>
    <mergeCell ref="A165:B165"/>
    <mergeCell ref="A168:J168"/>
    <mergeCell ref="A169:B169"/>
    <mergeCell ref="A170:B170"/>
    <mergeCell ref="A184:B184"/>
    <mergeCell ref="A185:B185"/>
    <mergeCell ref="A186:B186"/>
    <mergeCell ref="A187:B187"/>
    <mergeCell ref="A177:B177"/>
    <mergeCell ref="A178:B178"/>
    <mergeCell ref="A179:B179"/>
    <mergeCell ref="A182:B182"/>
    <mergeCell ref="A183:B18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698"/>
  <sheetViews>
    <sheetView view="pageBreakPreview" zoomScale="60" zoomScaleNormal="44" workbookViewId="0">
      <selection activeCell="D5" sqref="D5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357</v>
      </c>
      <c r="B2" s="266">
        <v>44524</v>
      </c>
      <c r="C2" s="368" t="s">
        <v>67</v>
      </c>
      <c r="D2" s="218">
        <v>0.82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29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'23'!F7</f>
        <v>228554.91</v>
      </c>
      <c r="F7" s="95">
        <v>254719</v>
      </c>
      <c r="G7" s="112">
        <f>F7-E7</f>
        <v>26164.089999999997</v>
      </c>
      <c r="H7" s="99">
        <f>G7+'23'!H7</f>
        <v>568455.69999999984</v>
      </c>
      <c r="I7" s="113">
        <f>'1'!I7</f>
        <v>12000</v>
      </c>
      <c r="J7" s="175">
        <f>H7/DAY(B2)</f>
        <v>23685.65416666666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'23'!F8</f>
        <v>263703.33</v>
      </c>
      <c r="F8" s="95">
        <v>290214</v>
      </c>
      <c r="G8" s="115">
        <f>F8-E8</f>
        <v>26510.669999999984</v>
      </c>
      <c r="H8" s="99">
        <f>G8+'23'!H8</f>
        <v>577050.10000000009</v>
      </c>
      <c r="I8" s="116"/>
      <c r="J8" s="175">
        <f>H8/DAY(B2)</f>
        <v>24043.754166666669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'23'!F9</f>
        <v>1608241</v>
      </c>
      <c r="F9" s="373">
        <v>1624839</v>
      </c>
      <c r="G9" s="112">
        <f>F9-E9</f>
        <v>16598</v>
      </c>
      <c r="H9" s="99">
        <f>G9+'23'!H9</f>
        <v>363560.5</v>
      </c>
      <c r="I9" s="124">
        <f>I7-J7</f>
        <v>-11685.65416666666</v>
      </c>
      <c r="J9" s="175">
        <f>H9/DAY(B2)</f>
        <v>15148.354166666666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'23'!F10</f>
        <v>349296.03</v>
      </c>
      <c r="F10" s="373">
        <v>358128</v>
      </c>
      <c r="G10" s="112">
        <f t="shared" ref="G10:G12" si="0">F10-E10</f>
        <v>8831.9699999999721</v>
      </c>
      <c r="H10" s="99">
        <f>G10+'23'!H10</f>
        <v>189744.07</v>
      </c>
      <c r="I10" s="286"/>
      <c r="J10" s="175">
        <f>H10/DAY(B2)</f>
        <v>7906.0029166666673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'23'!F11</f>
        <v>37000</v>
      </c>
      <c r="F11" s="95">
        <v>37000</v>
      </c>
      <c r="G11" s="112">
        <f t="shared" si="0"/>
        <v>0</v>
      </c>
      <c r="H11" s="99">
        <f>G11+'23'!H11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25429.969999999972</v>
      </c>
      <c r="H13" s="99">
        <f>G13+'23'!H13</f>
        <v>532498.11</v>
      </c>
      <c r="I13" s="120">
        <f>G7-G13</f>
        <v>734.12000000002445</v>
      </c>
      <c r="J13" s="175">
        <f>H13/DAY(B2)</f>
        <v>22187.421249999999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'23'!F15</f>
        <v>1835339.4</v>
      </c>
      <c r="F15" s="123">
        <v>1836411</v>
      </c>
      <c r="G15" s="112">
        <f>(F15-E15)</f>
        <v>1071.6000000000931</v>
      </c>
      <c r="H15" s="99">
        <f>G15+'23'!H15</f>
        <v>23480.189999999973</v>
      </c>
      <c r="I15" s="113">
        <f>'1'!I15</f>
        <v>800</v>
      </c>
      <c r="J15" s="175">
        <f>H15/DAY(B2)</f>
        <v>978.34124999999892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-178.34124999999892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'23'!F18</f>
        <v>18</v>
      </c>
      <c r="F18" s="122">
        <v>18</v>
      </c>
      <c r="G18" s="119">
        <f>F18*10</f>
        <v>180</v>
      </c>
      <c r="H18" s="99">
        <f>G18+'23'!H18</f>
        <v>4860</v>
      </c>
      <c r="I18" s="113">
        <f>'1'!I18</f>
        <v>65</v>
      </c>
      <c r="J18" s="175">
        <f>H18/DAY(B2)</f>
        <v>202.5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'23'!F19</f>
        <v>150211</v>
      </c>
      <c r="F19" s="122">
        <v>150266</v>
      </c>
      <c r="G19" s="112">
        <f t="shared" ref="G19" si="1">F19-E19</f>
        <v>55</v>
      </c>
      <c r="H19" s="99">
        <f>G19+'23'!H19</f>
        <v>1349</v>
      </c>
      <c r="I19" s="355"/>
      <c r="J19" s="175">
        <f>H19/DAY(B2)</f>
        <v>56.208333333333336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235</v>
      </c>
      <c r="H20" s="99">
        <f>G20+'23'!H20</f>
        <v>6209</v>
      </c>
      <c r="I20" s="356">
        <f>I18-J20</f>
        <v>-193.70833333333331</v>
      </c>
      <c r="J20" s="175">
        <f>H20/DAY(B2)</f>
        <v>258.70833333333331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26510.669999999984</v>
      </c>
      <c r="F27" s="136">
        <v>9</v>
      </c>
      <c r="G27" s="137">
        <f>E27*F27</f>
        <v>238596.02999999985</v>
      </c>
      <c r="H27" s="99">
        <f>G27+'23'!H27</f>
        <v>5193450.9000000013</v>
      </c>
      <c r="I27" s="138"/>
      <c r="J27" s="175">
        <f>H27/DAY(B2)</f>
        <v>216393.78750000006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1071.6000000000931</v>
      </c>
      <c r="F28" s="136">
        <v>52</v>
      </c>
      <c r="G28" s="137">
        <f>E28*F28</f>
        <v>55723.200000004843</v>
      </c>
      <c r="H28" s="99">
        <f>G28+'23'!H28</f>
        <v>1220969.8799999985</v>
      </c>
      <c r="I28" s="140"/>
      <c r="J28" s="175">
        <f>H28/DAY(B2)</f>
        <v>50873.744999999937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G30+'23'!H30</f>
        <v>196954</v>
      </c>
      <c r="I30" s="140"/>
      <c r="J30" s="175">
        <f>H30/DAY(B2)</f>
        <v>8206.4166666666661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G31+'23'!H31</f>
        <v>388800</v>
      </c>
      <c r="I31" s="140"/>
      <c r="J31" s="175">
        <f>H31/DAY(B2)</f>
        <v>16200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316749.2300000047</v>
      </c>
      <c r="H32" s="99">
        <f>G32+'23'!H32</f>
        <v>7000174.7799999993</v>
      </c>
      <c r="I32" s="144"/>
      <c r="J32" s="175">
        <f>H32/DAY(B2)</f>
        <v>291673.94916666666</v>
      </c>
      <c r="K32" s="63"/>
      <c r="L32" s="89"/>
      <c r="N32" s="87"/>
      <c r="O32" s="71"/>
    </row>
    <row r="33" spans="1:15" ht="25.5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'23'!F35</f>
        <v>78812.039999999994</v>
      </c>
      <c r="F35" s="145">
        <v>80794</v>
      </c>
      <c r="G35" s="112">
        <f t="shared" ref="G35:G46" si="3">F35-E35</f>
        <v>1981.9600000000064</v>
      </c>
      <c r="H35" s="99">
        <f>G35+'23'!H35</f>
        <v>48319.33</v>
      </c>
      <c r="I35" s="95"/>
      <c r="J35" s="175">
        <f>H35/DAY(B2)</f>
        <v>2013.3054166666668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'23'!F36</f>
        <v>72383.13</v>
      </c>
      <c r="F36" s="145">
        <v>73262</v>
      </c>
      <c r="G36" s="112">
        <f t="shared" si="3"/>
        <v>878.86999999999534</v>
      </c>
      <c r="H36" s="99">
        <f>G36+'23'!H36</f>
        <v>23322.33</v>
      </c>
      <c r="I36" s="95"/>
      <c r="J36" s="175">
        <f>H36/DAY(B2)</f>
        <v>971.76375000000007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'23'!F37</f>
        <v>134011.07</v>
      </c>
      <c r="F37" s="145">
        <v>135610</v>
      </c>
      <c r="G37" s="112">
        <f t="shared" si="3"/>
        <v>1598.929999999993</v>
      </c>
      <c r="H37" s="99">
        <f>G37+'23'!H37</f>
        <v>38556.17</v>
      </c>
      <c r="I37" s="95"/>
      <c r="J37" s="175">
        <f>H37/DAY(B2)</f>
        <v>1606.5070833333332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'23'!F38</f>
        <v>157523.54</v>
      </c>
      <c r="F38" s="108">
        <v>159450</v>
      </c>
      <c r="G38" s="112">
        <f t="shared" si="3"/>
        <v>1926.4599999999919</v>
      </c>
      <c r="H38" s="99">
        <f>G38+'23'!H38</f>
        <v>44226.960000000006</v>
      </c>
      <c r="I38" s="95"/>
      <c r="J38" s="175">
        <f>H38/DAY(B2)</f>
        <v>1842.7900000000002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'23'!F39</f>
        <v>300571.49</v>
      </c>
      <c r="F39" s="145">
        <v>303566</v>
      </c>
      <c r="G39" s="112">
        <f t="shared" si="3"/>
        <v>2994.5100000000093</v>
      </c>
      <c r="H39" s="99">
        <f>G39+'23'!H39</f>
        <v>70184.950000000012</v>
      </c>
      <c r="I39" s="95"/>
      <c r="J39" s="175">
        <f>H39/DAY(B2)</f>
        <v>2924.3729166666672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'23'!F40</f>
        <v>90.13</v>
      </c>
      <c r="F40" s="145">
        <v>102</v>
      </c>
      <c r="G40" s="112">
        <f t="shared" si="3"/>
        <v>11.870000000000005</v>
      </c>
      <c r="H40" s="99">
        <f>G40+'23'!H40</f>
        <v>145.63000000000002</v>
      </c>
      <c r="I40" s="95"/>
      <c r="J40" s="175">
        <f>H40/DAY(B2)</f>
        <v>6.067916666666668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'23'!F41</f>
        <v>589882.79</v>
      </c>
      <c r="F41" s="145">
        <v>589882.79</v>
      </c>
      <c r="G41" s="112">
        <f t="shared" si="3"/>
        <v>0</v>
      </c>
      <c r="H41" s="99">
        <f>G41+'23'!H41</f>
        <v>8023.9600000000792</v>
      </c>
      <c r="I41" s="95"/>
      <c r="J41" s="175">
        <f>H41/DAY(B2)</f>
        <v>334.33166666666995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'23'!F42</f>
        <v>302207.69</v>
      </c>
      <c r="F42" s="145">
        <v>305099</v>
      </c>
      <c r="G42" s="112">
        <f t="shared" si="3"/>
        <v>2891.3099999999977</v>
      </c>
      <c r="H42" s="99">
        <f>G42+'23'!H42</f>
        <v>34129.330000000016</v>
      </c>
      <c r="I42" s="95"/>
      <c r="J42" s="175">
        <f>H42/DAY(B2)</f>
        <v>1422.0554166666673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'23'!F43</f>
        <v>1509420.3</v>
      </c>
      <c r="F43" s="145">
        <v>1512416</v>
      </c>
      <c r="G43" s="112">
        <f t="shared" si="3"/>
        <v>2995.6999999999534</v>
      </c>
      <c r="H43" s="99">
        <f>G43+'23'!H43</f>
        <v>66328.600000000093</v>
      </c>
      <c r="I43" s="95"/>
      <c r="J43" s="175">
        <f>H43/DAY(B2)</f>
        <v>2763.6916666666707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15279.609999999948</v>
      </c>
      <c r="H47" s="99">
        <f>G47+'23'!H47</f>
        <v>333237.26000000018</v>
      </c>
      <c r="I47" s="95"/>
      <c r="J47" s="175">
        <f>H47/DAY(B2)</f>
        <v>13884.885833333341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'23'!F49</f>
        <v>209046.17</v>
      </c>
      <c r="F49" s="145">
        <v>210705</v>
      </c>
      <c r="G49" s="112">
        <f t="shared" ref="G49:G58" si="4">F49-E49</f>
        <v>1658.8299999999872</v>
      </c>
      <c r="H49" s="99">
        <f>G49+'23'!H49</f>
        <v>37974.609999999986</v>
      </c>
      <c r="I49" s="95"/>
      <c r="J49" s="175">
        <f>H49/DAY(B2)</f>
        <v>1582.2754166666662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'23'!F50</f>
        <v>713538.87</v>
      </c>
      <c r="F50" s="145">
        <v>714934</v>
      </c>
      <c r="G50" s="112">
        <f t="shared" si="4"/>
        <v>1395.1300000000047</v>
      </c>
      <c r="H50" s="99">
        <f>G50+'23'!H50</f>
        <v>30571.689999999944</v>
      </c>
      <c r="I50" s="95"/>
      <c r="J50" s="175">
        <f>H50/DAY(B2)</f>
        <v>1273.8204166666644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'23'!F54</f>
        <v>2991.11</v>
      </c>
      <c r="F54" s="145">
        <v>2996</v>
      </c>
      <c r="G54" s="112">
        <f t="shared" si="4"/>
        <v>4.8899999999998727</v>
      </c>
      <c r="H54" s="99">
        <f>G54+'23'!H54</f>
        <v>128.51000000000022</v>
      </c>
      <c r="I54" s="95"/>
      <c r="J54" s="175">
        <f>H54/DAY(B2)</f>
        <v>5.3545833333333421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'23'!F55</f>
        <v>0</v>
      </c>
      <c r="F55" s="145">
        <v>0</v>
      </c>
      <c r="G55" s="112">
        <f t="shared" si="4"/>
        <v>0</v>
      </c>
      <c r="H55" s="99">
        <f>G55+'23'!H55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'23'!F56</f>
        <v>155817.07999999999</v>
      </c>
      <c r="F56" s="145">
        <v>161470</v>
      </c>
      <c r="G56" s="112">
        <f t="shared" si="4"/>
        <v>5652.9200000000128</v>
      </c>
      <c r="H56" s="99">
        <f>G56+'23'!H56</f>
        <v>118629.70999999999</v>
      </c>
      <c r="I56" s="95"/>
      <c r="J56" s="175">
        <f>H56/DAY(B2)</f>
        <v>4942.904583333333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'23'!F58</f>
        <v>83773.320000000007</v>
      </c>
      <c r="F58" s="145">
        <v>83983</v>
      </c>
      <c r="G58" s="112">
        <f t="shared" si="4"/>
        <v>209.67999999999302</v>
      </c>
      <c r="H58" s="99">
        <f>G58+'23'!H58</f>
        <v>4963.1000000000058</v>
      </c>
      <c r="I58" s="95"/>
      <c r="J58" s="175">
        <f>H58/DAY(B2)</f>
        <v>206.79583333333358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8921.4499999999971</v>
      </c>
      <c r="H59" s="99">
        <f>G59+'23'!H59</f>
        <v>192267.61999999988</v>
      </c>
      <c r="I59" s="95">
        <f>G7-G60</f>
        <v>1963.0300000000498</v>
      </c>
      <c r="J59" s="175">
        <f>H59/DAY(B2)</f>
        <v>8011.1508333333286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24201.059999999947</v>
      </c>
      <c r="H60" s="99">
        <f>G60+'23'!H60</f>
        <v>525504.88000000012</v>
      </c>
      <c r="I60" s="95">
        <f>G13-G60</f>
        <v>1228.9100000000253</v>
      </c>
      <c r="J60" s="175">
        <f>H60/DAY(B2)</f>
        <v>21896.03666666667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'23'!F62</f>
        <v>262545</v>
      </c>
      <c r="F62" s="122">
        <v>262662</v>
      </c>
      <c r="G62" s="112">
        <f t="shared" ref="G62:G63" si="5">F62-E62</f>
        <v>117</v>
      </c>
      <c r="H62" s="99">
        <f>G62+'23'!H62</f>
        <v>2844</v>
      </c>
      <c r="I62" s="118"/>
      <c r="J62" s="175">
        <f>H62/DAY(B2)</f>
        <v>118.5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'23'!F63</f>
        <v>208496</v>
      </c>
      <c r="F63" s="122">
        <v>208598</v>
      </c>
      <c r="G63" s="112">
        <f t="shared" si="5"/>
        <v>102</v>
      </c>
      <c r="H63" s="99">
        <f>G63+'23'!H63</f>
        <v>2328</v>
      </c>
      <c r="I63" s="118"/>
      <c r="J63" s="175">
        <f>H63/DAY(B2)</f>
        <v>97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'23'!F64</f>
        <v>0</v>
      </c>
      <c r="F64" s="122"/>
      <c r="G64" s="112">
        <f>G62+G63</f>
        <v>219</v>
      </c>
      <c r="H64" s="99">
        <f>G64+'23'!H64</f>
        <v>5172</v>
      </c>
      <c r="I64" s="118"/>
      <c r="J64" s="175">
        <f>H64/DAY(B2)</f>
        <v>215.5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'23'!F65</f>
        <v>428566</v>
      </c>
      <c r="F65" s="122">
        <v>428659</v>
      </c>
      <c r="G65" s="112">
        <f t="shared" ref="G65:G70" si="6">F65-E65</f>
        <v>93</v>
      </c>
      <c r="H65" s="99">
        <f>G65+'23'!H65</f>
        <v>2454</v>
      </c>
      <c r="I65" s="118"/>
      <c r="J65" s="175">
        <f>H65/DAY(B2)</f>
        <v>102.25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'23'!F66</f>
        <v>106479</v>
      </c>
      <c r="F66" s="122">
        <v>106491</v>
      </c>
      <c r="G66" s="112">
        <f t="shared" si="6"/>
        <v>12</v>
      </c>
      <c r="H66" s="99">
        <f>G66+'23'!H66</f>
        <v>521</v>
      </c>
      <c r="I66" s="118"/>
      <c r="J66" s="175">
        <f>H66/DAY(B2)</f>
        <v>21.708333333333332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'23'!F67</f>
        <v>102814</v>
      </c>
      <c r="F67" s="122">
        <v>102838</v>
      </c>
      <c r="G67" s="112">
        <f t="shared" si="6"/>
        <v>24</v>
      </c>
      <c r="H67" s="99">
        <f>G67+'23'!H67</f>
        <v>667</v>
      </c>
      <c r="I67" s="118"/>
      <c r="J67" s="175">
        <f>H67/DAY(B2)</f>
        <v>27.791666666666668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'23'!F68</f>
        <v>155195</v>
      </c>
      <c r="F68" s="122">
        <v>155224</v>
      </c>
      <c r="G68" s="112">
        <f t="shared" si="6"/>
        <v>29</v>
      </c>
      <c r="H68" s="99">
        <f>G68+'23'!H68</f>
        <v>728</v>
      </c>
      <c r="I68" s="118"/>
      <c r="J68" s="175">
        <f>H68/DAY(B2)</f>
        <v>30.333333333333332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'23'!F69</f>
        <v>9767</v>
      </c>
      <c r="F69" s="122">
        <v>9777</v>
      </c>
      <c r="G69" s="112">
        <f t="shared" si="6"/>
        <v>10</v>
      </c>
      <c r="H69" s="99">
        <f>G69+'23'!H69</f>
        <v>312</v>
      </c>
      <c r="I69" s="118"/>
      <c r="J69" s="175">
        <f>H69/DAY(B2)</f>
        <v>13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'23'!F70</f>
        <v>7455</v>
      </c>
      <c r="F70" s="122">
        <v>7468</v>
      </c>
      <c r="G70" s="112">
        <f t="shared" si="6"/>
        <v>13</v>
      </c>
      <c r="H70" s="99">
        <f>G70+'23'!H70</f>
        <v>265</v>
      </c>
      <c r="I70" s="118"/>
      <c r="J70" s="175">
        <f>H70/DAY(B2)</f>
        <v>11.041666666666666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181</v>
      </c>
      <c r="H71" s="99">
        <f>G71+'23'!H71</f>
        <v>4947</v>
      </c>
      <c r="I71" s="154"/>
      <c r="J71" s="175">
        <f>H71/DAY(B2)</f>
        <v>206.125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'23'!F74</f>
        <v>880216.71</v>
      </c>
      <c r="F74" s="117">
        <v>880498</v>
      </c>
      <c r="G74" s="112">
        <f t="shared" ref="G74:G78" si="7">F74-E74</f>
        <v>281.29000000003725</v>
      </c>
      <c r="H74" s="99">
        <f>G74+'23'!H74</f>
        <v>6912.7689999999711</v>
      </c>
      <c r="I74" s="154"/>
      <c r="J74" s="175">
        <f>H74/DAY(B2)</f>
        <v>288.03204166666546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3.4000000000087311</v>
      </c>
      <c r="I75" s="154"/>
      <c r="J75" s="175">
        <f>H75/DAY(B2)</f>
        <v>0.14166666666703046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'23'!F76</f>
        <v>162510.1</v>
      </c>
      <c r="F76" s="123">
        <v>162641</v>
      </c>
      <c r="G76" s="112">
        <f t="shared" si="7"/>
        <v>130.89999999999418</v>
      </c>
      <c r="H76" s="99">
        <f>G76+'23'!H76</f>
        <v>2655.5</v>
      </c>
      <c r="I76" s="154"/>
      <c r="J76" s="175">
        <f>H76/DAY(B2)</f>
        <v>110.64583333333333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'23'!F77</f>
        <v>38470</v>
      </c>
      <c r="F77" s="123">
        <v>38517</v>
      </c>
      <c r="G77" s="112">
        <f t="shared" si="7"/>
        <v>47</v>
      </c>
      <c r="H77" s="99">
        <f>G77+'23'!H77</f>
        <v>1019.5</v>
      </c>
      <c r="I77" s="154"/>
      <c r="J77" s="175">
        <f>H77/DAY(B2)</f>
        <v>42.479166666666664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'23'!F78</f>
        <v>9382.7999999999993</v>
      </c>
      <c r="F78" s="123">
        <v>9389</v>
      </c>
      <c r="G78" s="112">
        <f t="shared" si="7"/>
        <v>6.2000000000007276</v>
      </c>
      <c r="H78" s="99">
        <f>G78+'23'!H78</f>
        <v>59.600000000000364</v>
      </c>
      <c r="I78" s="118"/>
      <c r="J78" s="175">
        <f>H78/DAY(B2)</f>
        <v>2.4833333333333485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'23'!F79</f>
        <v>0</v>
      </c>
      <c r="F79" s="117"/>
      <c r="G79" s="112">
        <f>G15-SUM(G74:G78)</f>
        <v>606.21000000006097</v>
      </c>
      <c r="H79" s="99">
        <f>G79+'23'!H79</f>
        <v>12829.420999999991</v>
      </c>
      <c r="I79" s="118"/>
      <c r="J79" s="175">
        <f>H79/DAY(B2)</f>
        <v>534.559208333333</v>
      </c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1071.6000000000931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'23'!F84</f>
        <v>41625.31</v>
      </c>
      <c r="F84" s="164">
        <v>41625.31</v>
      </c>
      <c r="G84" s="112">
        <f t="shared" si="8"/>
        <v>0</v>
      </c>
      <c r="H84" s="99">
        <f>G84+'23'!H84</f>
        <v>39.75</v>
      </c>
      <c r="I84" s="118"/>
      <c r="J84" s="175">
        <f>H84/DAY(B2)</f>
        <v>1.65625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'23'!F85</f>
        <v>1448.55</v>
      </c>
      <c r="F85" s="164">
        <v>1461.51</v>
      </c>
      <c r="G85" s="112">
        <f t="shared" si="8"/>
        <v>12.960000000000036</v>
      </c>
      <c r="H85" s="99">
        <f>G85+'23'!H85</f>
        <v>156.51</v>
      </c>
      <c r="I85" s="118">
        <f>G82+G83+G84+G85</f>
        <v>12.960000000000036</v>
      </c>
      <c r="J85" s="175">
        <f>H85/DAY(B2)</f>
        <v>6.5212499999999993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'23'!F86</f>
        <v>42826.47</v>
      </c>
      <c r="F86" s="164">
        <v>42826.47</v>
      </c>
      <c r="G86" s="112">
        <f t="shared" si="8"/>
        <v>0</v>
      </c>
      <c r="H86" s="99">
        <f>G86+'23'!H86</f>
        <v>0.47000000000116415</v>
      </c>
      <c r="I86" s="118"/>
      <c r="J86" s="175">
        <f>H86/DAY(B2)</f>
        <v>1.9583333333381841E-2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'23'!F87</f>
        <v>34266.339999999997</v>
      </c>
      <c r="F87" s="164">
        <v>34290</v>
      </c>
      <c r="G87" s="112">
        <f t="shared" si="8"/>
        <v>23.660000000003492</v>
      </c>
      <c r="H87" s="99">
        <f>G87+'23'!H87</f>
        <v>542</v>
      </c>
      <c r="I87" s="118"/>
      <c r="J87" s="175">
        <f>H87/DAY(B2)</f>
        <v>22.583333333333332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'23'!F88</f>
        <v>23931.69</v>
      </c>
      <c r="F88" s="164">
        <v>23931.69</v>
      </c>
      <c r="G88" s="112">
        <f t="shared" si="8"/>
        <v>0</v>
      </c>
      <c r="H88" s="99">
        <f>G88+'23'!H88</f>
        <v>98.119999999998981</v>
      </c>
      <c r="I88" s="118">
        <f>G86+G87+G88</f>
        <v>23.660000000003492</v>
      </c>
      <c r="J88" s="175">
        <f>H88/DAY(B2)</f>
        <v>4.0883333333332912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'23'!F89</f>
        <v>25372.75</v>
      </c>
      <c r="F89" s="164">
        <v>25383</v>
      </c>
      <c r="G89" s="112">
        <f t="shared" si="8"/>
        <v>10.25</v>
      </c>
      <c r="H89" s="99">
        <f>G89+'23'!H89</f>
        <v>137.61999999999898</v>
      </c>
      <c r="I89" s="118"/>
      <c r="J89" s="175">
        <f>H89/DAY(B2)</f>
        <v>5.7341666666666242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'23'!F90</f>
        <v>70782.62</v>
      </c>
      <c r="F90" s="164">
        <v>70788</v>
      </c>
      <c r="G90" s="112">
        <f t="shared" si="8"/>
        <v>5.3800000000046566</v>
      </c>
      <c r="H90" s="99">
        <f>G90+'23'!H90</f>
        <v>132.58999999999651</v>
      </c>
      <c r="I90" s="118">
        <f>G89+G90</f>
        <v>15.630000000004657</v>
      </c>
      <c r="J90" s="175">
        <f>H90/DAY(B2)</f>
        <v>5.5245833333331875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'23'!F92</f>
        <v>5024.67</v>
      </c>
      <c r="F92" s="122">
        <v>5034.5</v>
      </c>
      <c r="G92" s="112">
        <f t="shared" si="8"/>
        <v>9.8299999999999272</v>
      </c>
      <c r="H92" s="99">
        <f>G92+'23'!H92</f>
        <v>242.68000000000029</v>
      </c>
      <c r="I92" s="165"/>
      <c r="J92" s="175">
        <f>H92/DAY(B2)</f>
        <v>10.111666666666679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6636.489999999947</v>
      </c>
      <c r="H94" s="99">
        <f>G94+'23'!H94</f>
        <v>152622.54000000004</v>
      </c>
      <c r="I94" s="118"/>
      <c r="J94" s="175">
        <f>H94/DAY(B2)</f>
        <v>6359.2725000000019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0.25364879879254154</v>
      </c>
      <c r="H95" s="99">
        <f>G95+'23'!H95</f>
        <v>6.4813247829781142</v>
      </c>
      <c r="I95" s="167"/>
      <c r="J95" s="175">
        <f>H95/DAY(B2)</f>
        <v>0.27005519929075478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8544.2300000000105</v>
      </c>
      <c r="H96" s="99">
        <f>G96+'23'!H96</f>
        <v>160783.00000000009</v>
      </c>
      <c r="I96" s="118"/>
      <c r="J96" s="175">
        <f>H96/DAY(B2)</f>
        <v>6699.2916666666706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0.32656323992158764</v>
      </c>
      <c r="H97" s="99">
        <f>G97+'23'!H97</f>
        <v>6.714097191012395</v>
      </c>
      <c r="I97" s="167"/>
      <c r="J97" s="175">
        <f>H97/DAY(B2)</f>
        <v>0.27975404962551648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2994.5100000000093</v>
      </c>
      <c r="H98" s="99">
        <f>G98+'23'!H98</f>
        <v>70184.950000000012</v>
      </c>
      <c r="I98" s="168"/>
      <c r="J98" s="175">
        <f>H98/DAY(B2)</f>
        <v>2924.3729166666672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0.11445114276858127</v>
      </c>
      <c r="H99" s="99">
        <f>G99+'23'!H99</f>
        <v>2.9861334590172635</v>
      </c>
      <c r="I99" s="168"/>
      <c r="J99" s="175">
        <f>H99/DAY(B2)</f>
        <v>0.12442222745905264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1926.4599999999919</v>
      </c>
      <c r="H100" s="99">
        <f>G100+'23'!H100</f>
        <v>44226.960000000006</v>
      </c>
      <c r="I100" s="118"/>
      <c r="J100" s="175">
        <f>H100/DAY(B2)</f>
        <v>1842.7900000000002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7.3629925596494741E-2</v>
      </c>
      <c r="H101" s="99">
        <f>G101+'23'!H101</f>
        <v>1.879947993304796</v>
      </c>
      <c r="I101" s="168"/>
      <c r="J101" s="175">
        <f>H101/DAY(B2)</f>
        <v>7.8331166387699838E-2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2274</v>
      </c>
      <c r="H102" s="99">
        <f>G102+'23'!H102</f>
        <v>53894.019999999946</v>
      </c>
      <c r="I102" s="168"/>
      <c r="J102" s="175">
        <f>H102/DAY(B2)</f>
        <v>2245.5841666666643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8.6913017039767115E-2</v>
      </c>
      <c r="H103" s="99">
        <f>G103+'23'!H103</f>
        <v>2.258900252490716</v>
      </c>
      <c r="I103" s="118"/>
      <c r="J103" s="175">
        <f>H103/DAY(B2)</f>
        <v>9.4120843853779834E-2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1598.929999999993</v>
      </c>
      <c r="H104" s="99">
        <f>G104+'23'!H104</f>
        <v>38556.17</v>
      </c>
      <c r="I104" s="118"/>
      <c r="J104" s="175">
        <f>H104/DAY(B2)</f>
        <v>1606.5070833333332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6.1111622838783741E-2</v>
      </c>
      <c r="H105" s="99">
        <f>G105+'23'!H105</f>
        <v>1.6392904015828824</v>
      </c>
      <c r="I105" s="187"/>
      <c r="J105" s="188">
        <f>H105/DAY(B2)</f>
        <v>6.8303766732620105E-2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'23'!F112</f>
        <v>52783.08</v>
      </c>
      <c r="F112" s="237">
        <v>52863</v>
      </c>
      <c r="G112" s="112">
        <f t="shared" ref="G112:G123" si="9">F112-E112</f>
        <v>79.919999999998254</v>
      </c>
      <c r="H112" s="99">
        <f>G112+'23'!H112</f>
        <v>1973.9199999999983</v>
      </c>
      <c r="I112" s="165"/>
      <c r="J112" s="348">
        <f>H112/DAY(B2)</f>
        <v>82.246666666666599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'23'!F113</f>
        <v>14825.49</v>
      </c>
      <c r="F113" s="237">
        <v>15264</v>
      </c>
      <c r="G113" s="112">
        <f t="shared" si="9"/>
        <v>438.51000000000022</v>
      </c>
      <c r="H113" s="99">
        <f>G113+'23'!H113</f>
        <v>10758.35</v>
      </c>
      <c r="I113" s="165"/>
      <c r="J113" s="348">
        <f>H113/DAY(B2)</f>
        <v>448.26458333333335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'23'!F114</f>
        <v>11151.27</v>
      </c>
      <c r="F114" s="237">
        <v>11851</v>
      </c>
      <c r="G114" s="112">
        <f t="shared" si="9"/>
        <v>699.72999999999956</v>
      </c>
      <c r="H114" s="99">
        <f>G114+'23'!H114</f>
        <v>8044.8899999999994</v>
      </c>
      <c r="I114" s="165"/>
      <c r="J114" s="348">
        <f>H114/DAY(B2)</f>
        <v>335.20374999999996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'23'!F115</f>
        <v>8343</v>
      </c>
      <c r="F115" s="237">
        <v>8354</v>
      </c>
      <c r="G115" s="112">
        <f t="shared" si="9"/>
        <v>11</v>
      </c>
      <c r="H115" s="99">
        <f>G115+'23'!H115</f>
        <v>276.59000000000015</v>
      </c>
      <c r="I115" s="165"/>
      <c r="J115" s="348">
        <f>H115/DAY(B2)</f>
        <v>11.524583333333339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48">
        <f>H116/DAY(B2)</f>
        <v>0</v>
      </c>
      <c r="Q116" s="793"/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'23'!F117</f>
        <v>1794.69</v>
      </c>
      <c r="F117" s="237">
        <v>1815</v>
      </c>
      <c r="G117" s="112">
        <f t="shared" si="9"/>
        <v>20.309999999999945</v>
      </c>
      <c r="H117" s="99">
        <f>G117+'23'!H117</f>
        <v>656.81</v>
      </c>
      <c r="I117" s="165"/>
      <c r="J117" s="348">
        <f>H117/DAY(B2)</f>
        <v>27.36708333333333</v>
      </c>
      <c r="Q117" s="793"/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'23'!F118</f>
        <v>227086.79</v>
      </c>
      <c r="F118" s="237">
        <v>227468</v>
      </c>
      <c r="G118" s="112">
        <f t="shared" si="9"/>
        <v>381.20999999999185</v>
      </c>
      <c r="H118" s="99">
        <f>G118+'23'!H118</f>
        <v>8616.070000000007</v>
      </c>
      <c r="I118" s="165"/>
      <c r="J118" s="348">
        <f>H118/DAY(B2)</f>
        <v>359.00291666666698</v>
      </c>
      <c r="Q118" s="793"/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'23'!F119</f>
        <v>228674.93</v>
      </c>
      <c r="F119" s="237">
        <v>229065</v>
      </c>
      <c r="G119" s="112">
        <f t="shared" si="9"/>
        <v>390.07000000000698</v>
      </c>
      <c r="H119" s="99">
        <f>G119+'23'!H119</f>
        <v>10253.890000000014</v>
      </c>
      <c r="I119" s="165"/>
      <c r="J119" s="348">
        <f>H119/DAY(B2)</f>
        <v>427.24541666666727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'23'!F120</f>
        <v>14152.05</v>
      </c>
      <c r="F120" s="237">
        <v>14579</v>
      </c>
      <c r="G120" s="112">
        <f t="shared" si="9"/>
        <v>426.95000000000073</v>
      </c>
      <c r="H120" s="99">
        <f>G120+'23'!H120</f>
        <v>10271.4</v>
      </c>
      <c r="I120" s="165"/>
      <c r="J120" s="348">
        <f>H120/DAY(B2)</f>
        <v>427.97499999999997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'23'!F121</f>
        <v>347863.59</v>
      </c>
      <c r="F121" s="237">
        <v>348650</v>
      </c>
      <c r="G121" s="112">
        <f t="shared" si="9"/>
        <v>786.40999999997439</v>
      </c>
      <c r="H121" s="99">
        <f>G121+'23'!H121</f>
        <v>17412.489999999991</v>
      </c>
      <c r="I121" s="165"/>
      <c r="J121" s="348">
        <f>H121/DAY(B2)</f>
        <v>725.52041666666628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'23'!F122</f>
        <v>108703.5</v>
      </c>
      <c r="F122" s="237">
        <v>109049</v>
      </c>
      <c r="G122" s="112">
        <f t="shared" si="9"/>
        <v>345.5</v>
      </c>
      <c r="H122" s="99">
        <f>G122+'23'!H122</f>
        <v>7440.1199999999953</v>
      </c>
      <c r="I122" s="165"/>
      <c r="J122" s="348">
        <f>H122/DAY(B2)</f>
        <v>310.00499999999982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'23'!F123</f>
        <v>132396.21</v>
      </c>
      <c r="F123" s="237">
        <v>132659</v>
      </c>
      <c r="G123" s="112">
        <f t="shared" si="9"/>
        <v>262.79000000000815</v>
      </c>
      <c r="H123" s="99">
        <f>G123+'23'!H123</f>
        <v>6911.2400000000052</v>
      </c>
      <c r="I123" s="165"/>
      <c r="J123" s="348">
        <f>H123/DAY(B2)</f>
        <v>287.96833333333353</v>
      </c>
    </row>
    <row r="124" spans="1:18" ht="29.25" customHeight="1">
      <c r="A124" s="797"/>
      <c r="B124" s="798"/>
      <c r="C124" s="799"/>
      <c r="D124" s="165"/>
      <c r="E124" s="95">
        <f>'23'!F124</f>
        <v>0</v>
      </c>
      <c r="F124" s="165"/>
      <c r="G124" s="347"/>
      <c r="H124" s="156"/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3842.3999999999801</v>
      </c>
      <c r="H125" s="156"/>
      <c r="I125" s="347">
        <f>G125-(G39+G53)</f>
        <v>847.88999999997077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G127+'23'!H127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'23'!F128</f>
        <v>25344.78</v>
      </c>
      <c r="F128" s="165">
        <v>25665</v>
      </c>
      <c r="G128" s="112">
        <f t="shared" ref="G128:G134" si="10">F128-E128</f>
        <v>320.22000000000116</v>
      </c>
      <c r="H128" s="99">
        <f>G128+'23'!H128</f>
        <v>7641.2799999999988</v>
      </c>
      <c r="I128" s="165"/>
      <c r="J128" s="348">
        <f>H128/DAY(B2)</f>
        <v>318.3866666666666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'23'!F129</f>
        <v>11329.02</v>
      </c>
      <c r="F129" s="165">
        <v>11518</v>
      </c>
      <c r="G129" s="112">
        <f t="shared" si="10"/>
        <v>188.97999999999956</v>
      </c>
      <c r="H129" s="99">
        <f>G129+'23'!H129</f>
        <v>4922.29</v>
      </c>
      <c r="I129" s="165"/>
      <c r="J129" s="348">
        <f>H129/DAY(B2)</f>
        <v>205.09541666666667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'23'!F130</f>
        <v>141.68</v>
      </c>
      <c r="F130" s="165">
        <v>396</v>
      </c>
      <c r="G130" s="112">
        <f t="shared" si="10"/>
        <v>254.32</v>
      </c>
      <c r="H130" s="99">
        <f>G130+'23'!H130</f>
        <v>53865.680000000008</v>
      </c>
      <c r="I130" s="165"/>
      <c r="J130" s="348">
        <f>H130/DAY(B2)</f>
        <v>2244.4033333333336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'23'!F131</f>
        <v>7951.58</v>
      </c>
      <c r="F131" s="165">
        <v>8118</v>
      </c>
      <c r="G131" s="112">
        <f t="shared" si="10"/>
        <v>166.42000000000007</v>
      </c>
      <c r="H131" s="99">
        <f>G131+'23'!H131</f>
        <v>3971.5299999999997</v>
      </c>
      <c r="I131" s="165"/>
      <c r="J131" s="348">
        <f>H131/DAY(B2)</f>
        <v>165.48041666666666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'23'!F132</f>
        <v>22706.799999999999</v>
      </c>
      <c r="F132" s="165">
        <v>23203</v>
      </c>
      <c r="G132" s="112">
        <f t="shared" si="10"/>
        <v>496.20000000000073</v>
      </c>
      <c r="H132" s="99">
        <f>G132+'23'!H132</f>
        <v>11665.28</v>
      </c>
      <c r="I132" s="165"/>
      <c r="J132" s="348">
        <f>H132/DAY(B2)</f>
        <v>486.05333333333334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'23'!F133</f>
        <v>57874.39</v>
      </c>
      <c r="F133" s="165">
        <v>58682</v>
      </c>
      <c r="G133" s="112">
        <f t="shared" si="10"/>
        <v>807.61000000000058</v>
      </c>
      <c r="H133" s="99">
        <f>G133+'23'!H133</f>
        <v>17832.71</v>
      </c>
      <c r="I133" s="165"/>
      <c r="J133" s="348">
        <f>H133/DAY(B2)</f>
        <v>743.02958333333333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'23'!F134</f>
        <v>646899</v>
      </c>
      <c r="F134" s="565">
        <v>647479</v>
      </c>
      <c r="G134" s="112">
        <f t="shared" si="10"/>
        <v>580</v>
      </c>
      <c r="H134" s="99">
        <f>G134+'23'!H134</f>
        <v>15215</v>
      </c>
      <c r="I134" s="165"/>
      <c r="J134" s="348">
        <f>H134/DAY(B2)</f>
        <v>633.95833333333337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SUM(G128:G134)</f>
        <v>2813.7500000000018</v>
      </c>
      <c r="H135" s="99">
        <f>G135+'23'!H135</f>
        <v>55900.800000000003</v>
      </c>
      <c r="I135" s="347">
        <f>G135-(G35+G49)</f>
        <v>-827.03999999999178</v>
      </c>
      <c r="J135" s="348"/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'23'!F138</f>
        <v>860826</v>
      </c>
      <c r="F138" s="147">
        <v>860883</v>
      </c>
      <c r="G138" s="112">
        <f t="shared" ref="G138:G152" si="11">F138-E138</f>
        <v>57</v>
      </c>
      <c r="H138" s="99">
        <f>G138+'23'!H138</f>
        <v>1236</v>
      </c>
      <c r="I138" s="118"/>
      <c r="J138" s="348">
        <f>H138/DAY(B2)</f>
        <v>51.5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'23'!F139</f>
        <v>886162</v>
      </c>
      <c r="F139" s="148">
        <v>886168</v>
      </c>
      <c r="G139" s="112">
        <f t="shared" si="11"/>
        <v>6</v>
      </c>
      <c r="H139" s="99">
        <f>G139+'23'!H139</f>
        <v>66</v>
      </c>
      <c r="I139" s="118"/>
      <c r="J139" s="348">
        <f>H139/DAY(B2)</f>
        <v>2.75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'23'!F140</f>
        <v>88848.1</v>
      </c>
      <c r="F140" s="149">
        <v>88848</v>
      </c>
      <c r="G140" s="112">
        <f t="shared" si="11"/>
        <v>-0.10000000000582077</v>
      </c>
      <c r="H140" s="99">
        <f>G140+'23'!H140</f>
        <v>31</v>
      </c>
      <c r="I140" s="118"/>
      <c r="J140" s="348">
        <f>H140/DAY(B2)</f>
        <v>1.2916666666666667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'23'!F141</f>
        <v>41714.120000000003</v>
      </c>
      <c r="F141" s="149">
        <v>41927</v>
      </c>
      <c r="G141" s="112">
        <f t="shared" si="11"/>
        <v>212.87999999999738</v>
      </c>
      <c r="H141" s="99">
        <f>G141+'23'!H141</f>
        <v>4639.0500000000029</v>
      </c>
      <c r="I141" s="118"/>
      <c r="J141" s="348">
        <f>H141/DAY(B2)</f>
        <v>193.29375000000013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'23'!F142</f>
        <v>17343.45</v>
      </c>
      <c r="F142" s="148">
        <v>17359</v>
      </c>
      <c r="G142" s="112">
        <f t="shared" si="11"/>
        <v>15.549999999999272</v>
      </c>
      <c r="H142" s="99">
        <f>G142+'23'!H142</f>
        <v>397.13000000000102</v>
      </c>
      <c r="I142" s="140"/>
      <c r="J142" s="348">
        <f>H142/DAY(B2)</f>
        <v>16.547083333333376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'23'!F143</f>
        <v>1993.5</v>
      </c>
      <c r="F143" s="149">
        <v>2021</v>
      </c>
      <c r="G143" s="112">
        <f t="shared" si="11"/>
        <v>27.5</v>
      </c>
      <c r="H143" s="99">
        <f>G143+'23'!H143</f>
        <v>637.81999999999994</v>
      </c>
      <c r="I143" s="140"/>
      <c r="J143" s="348">
        <f>H143/DAY(B2)</f>
        <v>26.575833333333332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'23'!F144</f>
        <v>860757</v>
      </c>
      <c r="F144" s="149">
        <v>860986</v>
      </c>
      <c r="G144" s="112">
        <f t="shared" si="11"/>
        <v>229</v>
      </c>
      <c r="H144" s="99">
        <f>G144+'23'!H144</f>
        <v>5617</v>
      </c>
      <c r="I144" s="140"/>
      <c r="J144" s="348">
        <f>H144/DAY(B2)</f>
        <v>234.04166666666666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'23'!F145</f>
        <v>3115.73</v>
      </c>
      <c r="F145" s="149">
        <v>3160</v>
      </c>
      <c r="G145" s="112">
        <f t="shared" si="11"/>
        <v>44.269999999999982</v>
      </c>
      <c r="H145" s="99">
        <f>G145+'23'!H145</f>
        <v>947</v>
      </c>
      <c r="I145" s="140"/>
      <c r="J145" s="348">
        <f>H145/DAY(B2)</f>
        <v>39.458333333333336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'23'!F146</f>
        <v>707901</v>
      </c>
      <c r="F146" s="148">
        <v>708347</v>
      </c>
      <c r="G146" s="112">
        <f t="shared" si="11"/>
        <v>446</v>
      </c>
      <c r="H146" s="99">
        <f>G146+'23'!H146</f>
        <v>9828</v>
      </c>
      <c r="I146" s="140"/>
      <c r="J146" s="348">
        <f>H146/DAY(B2)</f>
        <v>409.5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'23'!F147</f>
        <v>598841.64</v>
      </c>
      <c r="F147" s="148">
        <v>599237</v>
      </c>
      <c r="G147" s="112">
        <f t="shared" si="11"/>
        <v>395.35999999998603</v>
      </c>
      <c r="H147" s="99">
        <f>G147+'23'!H147</f>
        <v>10326.079999999958</v>
      </c>
      <c r="I147" s="140"/>
      <c r="J147" s="348">
        <f>H147/DAY(B2)</f>
        <v>430.25333333333157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'23'!F148</f>
        <v>671696.72</v>
      </c>
      <c r="F148" s="150">
        <v>671934</v>
      </c>
      <c r="G148" s="112">
        <f t="shared" si="11"/>
        <v>237.28000000002794</v>
      </c>
      <c r="H148" s="99">
        <f>G148+'23'!H148</f>
        <v>6825.8800000000047</v>
      </c>
      <c r="I148" s="124"/>
      <c r="J148" s="348">
        <f>H148/DAY(B2)</f>
        <v>284.41166666666686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'23'!F149</f>
        <v>92548</v>
      </c>
      <c r="F149" s="146">
        <v>92909</v>
      </c>
      <c r="G149" s="112">
        <f t="shared" si="11"/>
        <v>361</v>
      </c>
      <c r="H149" s="99">
        <f>G149+'23'!H149</f>
        <v>8162</v>
      </c>
      <c r="I149" s="119"/>
      <c r="J149" s="348">
        <f>H149/DAY(B2)</f>
        <v>340.08333333333331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'23'!F150</f>
        <v>7167232</v>
      </c>
      <c r="F150" s="233">
        <v>7167232</v>
      </c>
      <c r="G150" s="112">
        <f t="shared" si="11"/>
        <v>0</v>
      </c>
      <c r="H150" s="99">
        <f>G150+'23'!H150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'23'!F151</f>
        <v>68777</v>
      </c>
      <c r="F151" s="233">
        <v>69062</v>
      </c>
      <c r="G151" s="112">
        <f t="shared" si="11"/>
        <v>285</v>
      </c>
      <c r="H151" s="99">
        <f>G151+'23'!H151</f>
        <v>6052</v>
      </c>
      <c r="I151" s="119"/>
      <c r="J151" s="348">
        <f>H151/DAY(B2)</f>
        <v>252.16666666666666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'23'!F152</f>
        <v>0</v>
      </c>
      <c r="F152" s="233">
        <v>0</v>
      </c>
      <c r="G152" s="112">
        <f t="shared" si="11"/>
        <v>0</v>
      </c>
      <c r="H152" s="99">
        <f>G152+'23'!H152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2316.7400000000048</v>
      </c>
      <c r="H153" s="383"/>
      <c r="I153" s="119">
        <f>G153-(G38+G52)</f>
        <v>390.28000000001293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'23'!F155</f>
        <v>77456.2</v>
      </c>
      <c r="F155" s="569">
        <v>77464</v>
      </c>
      <c r="G155" s="112">
        <f t="shared" ref="G155:G156" si="12">F155-E155</f>
        <v>7.8000000000029104</v>
      </c>
      <c r="H155" s="99">
        <f>G155+'23'!H155</f>
        <v>189.39999999999418</v>
      </c>
      <c r="I155" s="384"/>
      <c r="J155" s="348">
        <f>H155/DAY(B2)</f>
        <v>7.8916666666664241</v>
      </c>
    </row>
    <row r="156" spans="1:10" ht="27.75">
      <c r="A156" s="771" t="s">
        <v>347</v>
      </c>
      <c r="B156" s="771"/>
      <c r="C156" s="771"/>
      <c r="D156" s="117" t="s">
        <v>130</v>
      </c>
      <c r="E156" s="95">
        <f>'23'!F156</f>
        <v>0</v>
      </c>
      <c r="F156" s="165">
        <v>0</v>
      </c>
      <c r="G156" s="112">
        <f t="shared" si="12"/>
        <v>0</v>
      </c>
      <c r="H156" s="99">
        <f>G156+'23'!H156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'23'!F158</f>
        <v>470493.44</v>
      </c>
      <c r="F158" s="235">
        <v>470715</v>
      </c>
      <c r="G158" s="238">
        <f t="shared" ref="G158:G162" si="13">F158-E158</f>
        <v>221.55999999999767</v>
      </c>
      <c r="H158" s="99">
        <f>G158+'23'!H158</f>
        <v>1185.960000000021</v>
      </c>
      <c r="I158" s="236"/>
      <c r="J158" s="239">
        <f>H158/DAY(B2)</f>
        <v>49.415000000000873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'23'!F159</f>
        <v>86411</v>
      </c>
      <c r="F159" s="235">
        <v>86452</v>
      </c>
      <c r="G159" s="238">
        <f t="shared" si="13"/>
        <v>41</v>
      </c>
      <c r="H159" s="99">
        <f>G159+'23'!H159</f>
        <v>746.39999999999418</v>
      </c>
      <c r="I159" s="236"/>
      <c r="J159" s="239">
        <f>H159/DAY(B2)</f>
        <v>31.099999999999756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'23'!F160</f>
        <v>74950.3</v>
      </c>
      <c r="F160" s="235">
        <v>75009</v>
      </c>
      <c r="G160" s="238">
        <f t="shared" si="13"/>
        <v>58.69999999999709</v>
      </c>
      <c r="H160" s="99">
        <f>G160+'23'!H160</f>
        <v>1672.1000000000058</v>
      </c>
      <c r="I160" s="236"/>
      <c r="J160" s="239">
        <f>H160/DAY(B2)</f>
        <v>69.670833333333576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'23'!F161</f>
        <v>4063.3</v>
      </c>
      <c r="F161" s="235">
        <v>4070</v>
      </c>
      <c r="G161" s="238">
        <f t="shared" si="13"/>
        <v>6.6999999999998181</v>
      </c>
      <c r="H161" s="99">
        <f>G161+'23'!H161</f>
        <v>96.5</v>
      </c>
      <c r="I161" s="236"/>
      <c r="J161" s="239">
        <f>H161/DAY(B2)</f>
        <v>4.020833333333333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'23'!F162</f>
        <v>29373.84</v>
      </c>
      <c r="F162" s="235">
        <v>29383</v>
      </c>
      <c r="G162" s="238">
        <f t="shared" si="13"/>
        <v>9.1599999999998545</v>
      </c>
      <c r="H162" s="99">
        <f>G162+'23'!H162</f>
        <v>184.86000000000058</v>
      </c>
      <c r="I162" s="236"/>
      <c r="J162" s="239">
        <f>H162/DAY(B2)</f>
        <v>7.7025000000000245</v>
      </c>
    </row>
    <row r="163" spans="1:10" ht="29.25">
      <c r="A163" s="780"/>
      <c r="B163" s="780"/>
      <c r="C163" s="247"/>
      <c r="D163" s="244" t="s">
        <v>180</v>
      </c>
      <c r="E163" s="95">
        <f>'23'!F163</f>
        <v>0</v>
      </c>
      <c r="F163" s="165"/>
      <c r="G163" s="165"/>
      <c r="H163" s="99">
        <f>G163+'23'!H163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'23'!F164</f>
        <v>0</v>
      </c>
      <c r="F164" s="165"/>
      <c r="G164" s="165"/>
      <c r="H164" s="99">
        <f>G164+'23'!H164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'23'!F165</f>
        <v>0</v>
      </c>
      <c r="F165" s="165"/>
      <c r="G165" s="165"/>
      <c r="H165" s="99">
        <f>G165+'23'!H165</f>
        <v>0</v>
      </c>
      <c r="I165" s="165"/>
      <c r="J165" s="239">
        <f>H165/DAY(B2)</f>
        <v>0</v>
      </c>
    </row>
    <row r="166" spans="1:10" ht="29.25"/>
    <row r="167" spans="1:10" ht="21.75" customHeight="1"/>
    <row r="168" spans="1:10" ht="21.75" customHeight="1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1.75" customHeight="1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5.5" customHeight="1">
      <c r="A170" s="786" t="s">
        <v>209</v>
      </c>
      <c r="B170" s="787"/>
      <c r="C170" s="353"/>
      <c r="D170" s="228" t="s">
        <v>142</v>
      </c>
      <c r="E170" s="95">
        <f>'23'!F170</f>
        <v>8050</v>
      </c>
      <c r="F170" s="155">
        <v>8107</v>
      </c>
      <c r="G170" s="155">
        <f>F170-E170</f>
        <v>57</v>
      </c>
      <c r="H170" s="99">
        <f>G170+'23'!H170</f>
        <v>109</v>
      </c>
      <c r="I170" s="155"/>
      <c r="J170" s="178">
        <f>H170/DAY(B2)</f>
        <v>4.541666666666667</v>
      </c>
    </row>
    <row r="171" spans="1:10" ht="27" customHeight="1">
      <c r="A171" s="786" t="s">
        <v>75</v>
      </c>
      <c r="B171" s="787"/>
      <c r="C171" s="353"/>
      <c r="D171" s="228" t="s">
        <v>142</v>
      </c>
      <c r="E171" s="95">
        <f>'23'!F171</f>
        <v>37709</v>
      </c>
      <c r="F171" s="157">
        <v>37725</v>
      </c>
      <c r="G171" s="155">
        <f t="shared" ref="G171:G172" si="14">F171-E171</f>
        <v>16</v>
      </c>
      <c r="H171" s="99">
        <f>G171+'23'!H171</f>
        <v>342</v>
      </c>
      <c r="I171" s="155"/>
      <c r="J171" s="178">
        <f>H171/DAY(B2)</f>
        <v>14.25</v>
      </c>
    </row>
    <row r="172" spans="1:10" ht="27" customHeight="1">
      <c r="A172" s="786" t="s">
        <v>76</v>
      </c>
      <c r="B172" s="826"/>
      <c r="C172" s="787"/>
      <c r="D172" s="228" t="s">
        <v>142</v>
      </c>
      <c r="E172" s="95">
        <f>'23'!F172</f>
        <v>21054</v>
      </c>
      <c r="F172" s="155">
        <v>21065</v>
      </c>
      <c r="G172" s="155">
        <f t="shared" si="14"/>
        <v>11</v>
      </c>
      <c r="H172" s="99">
        <f>G172+'23'!H172</f>
        <v>277</v>
      </c>
      <c r="I172" s="155"/>
      <c r="J172" s="178">
        <f>H172/DAY(B2)</f>
        <v>11.541666666666666</v>
      </c>
    </row>
    <row r="173" spans="1:10" ht="21.75" customHeight="1">
      <c r="A173" s="775" t="s">
        <v>196</v>
      </c>
      <c r="B173" s="776"/>
      <c r="C173" s="547"/>
      <c r="D173" s="228" t="s">
        <v>142</v>
      </c>
      <c r="E173" s="95"/>
      <c r="F173" s="155"/>
      <c r="G173" s="155">
        <f>SUM(G170:G172)</f>
        <v>84</v>
      </c>
      <c r="H173" s="99">
        <f>G173+'23'!H173</f>
        <v>728</v>
      </c>
      <c r="I173" s="155"/>
      <c r="J173" s="178">
        <f>H173/DAY(B2)</f>
        <v>30.333333333333332</v>
      </c>
    </row>
    <row r="174" spans="1:10" ht="21.75" customHeight="1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G174+'23'!H174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'23'!F175</f>
        <v>76656</v>
      </c>
      <c r="F175" s="155">
        <v>76767</v>
      </c>
      <c r="G175" s="155">
        <f>F175-E175</f>
        <v>111</v>
      </c>
      <c r="H175" s="99">
        <f>G175+'23'!H175</f>
        <v>2148</v>
      </c>
      <c r="I175" s="155"/>
      <c r="J175" s="178">
        <f>H175/DAY(B2)</f>
        <v>89.5</v>
      </c>
    </row>
    <row r="176" spans="1:10" ht="24" customHeight="1">
      <c r="A176" s="786" t="s">
        <v>211</v>
      </c>
      <c r="B176" s="787"/>
      <c r="C176" s="353"/>
      <c r="D176" s="228" t="s">
        <v>142</v>
      </c>
      <c r="E176" s="95">
        <f>'23'!F176</f>
        <v>33886</v>
      </c>
      <c r="F176" s="155">
        <v>33886</v>
      </c>
      <c r="G176" s="155">
        <f t="shared" ref="G176:G177" si="15">F176-E176</f>
        <v>0</v>
      </c>
      <c r="H176" s="99">
        <f>G176+'23'!H176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'23'!F177</f>
        <v>5213</v>
      </c>
      <c r="F177" s="155">
        <v>5227</v>
      </c>
      <c r="G177" s="155">
        <f t="shared" si="15"/>
        <v>14</v>
      </c>
      <c r="H177" s="99">
        <f>G177+'23'!H177</f>
        <v>2938</v>
      </c>
      <c r="I177" s="155"/>
      <c r="J177" s="178">
        <f>H177/DAY(B2)</f>
        <v>122.41666666666667</v>
      </c>
    </row>
    <row r="178" spans="1:10" ht="27.75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125</v>
      </c>
      <c r="H178" s="99">
        <f>G178+'23'!H178</f>
        <v>5086</v>
      </c>
      <c r="I178" s="155"/>
      <c r="J178" s="178">
        <f>H178/DAY(B2)</f>
        <v>211.91666666666666</v>
      </c>
    </row>
    <row r="179" spans="1:10" ht="27.75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G179+'23'!H179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'23'!F180</f>
        <v>14402</v>
      </c>
      <c r="F180" s="157">
        <v>14416</v>
      </c>
      <c r="G180" s="157">
        <f>F180-E180</f>
        <v>14</v>
      </c>
      <c r="H180" s="99">
        <f>G180+'23'!H180</f>
        <v>385</v>
      </c>
      <c r="I180" s="155"/>
      <c r="J180" s="178">
        <f>H180/DAY(B2)</f>
        <v>16.041666666666668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'23'!F181</f>
        <v>9966</v>
      </c>
      <c r="F181" s="157">
        <v>9967</v>
      </c>
      <c r="G181" s="157">
        <f t="shared" ref="G181:G182" si="16">F181-E181</f>
        <v>1</v>
      </c>
      <c r="H181" s="99">
        <f>G181+'23'!H181</f>
        <v>213</v>
      </c>
      <c r="I181" s="155"/>
      <c r="J181" s="178">
        <f>H181/DAY(B2)</f>
        <v>8.875</v>
      </c>
    </row>
    <row r="182" spans="1:10" ht="26.25" customHeight="1">
      <c r="A182" s="786" t="s">
        <v>216</v>
      </c>
      <c r="B182" s="787"/>
      <c r="C182" s="354"/>
      <c r="D182" s="228" t="s">
        <v>142</v>
      </c>
      <c r="E182" s="95">
        <f>'23'!F182</f>
        <v>0</v>
      </c>
      <c r="F182" s="157"/>
      <c r="G182" s="157">
        <f t="shared" si="16"/>
        <v>0</v>
      </c>
      <c r="H182" s="99">
        <f>G182+'23'!H182</f>
        <v>0</v>
      </c>
      <c r="I182" s="155"/>
      <c r="J182" s="178">
        <f>H182/DAY(B2)</f>
        <v>0</v>
      </c>
    </row>
    <row r="183" spans="1:10" ht="27.75">
      <c r="A183" s="775" t="s">
        <v>196</v>
      </c>
      <c r="B183" s="776"/>
      <c r="C183" s="546"/>
      <c r="D183" s="228" t="s">
        <v>142</v>
      </c>
      <c r="E183" s="95"/>
      <c r="F183" s="157"/>
      <c r="G183" s="157">
        <f>SUM(G180:G182)</f>
        <v>15</v>
      </c>
      <c r="H183" s="99">
        <f>G183+'23'!H183</f>
        <v>598</v>
      </c>
      <c r="I183" s="157"/>
      <c r="J183" s="178">
        <f>H183/DAY(B2)</f>
        <v>24.916666666666668</v>
      </c>
    </row>
    <row r="184" spans="1:10" ht="27.75">
      <c r="A184" s="777" t="s">
        <v>217</v>
      </c>
      <c r="B184" s="778"/>
      <c r="C184" s="353"/>
      <c r="D184" s="230" t="s">
        <v>142</v>
      </c>
      <c r="E184" s="95">
        <f>'23'!F184</f>
        <v>0</v>
      </c>
      <c r="F184" s="159"/>
      <c r="G184" s="524">
        <f>G62+G19</f>
        <v>172</v>
      </c>
      <c r="H184" s="99">
        <f>G184+'23'!H184</f>
        <v>4193</v>
      </c>
      <c r="I184" s="158"/>
      <c r="J184" s="179">
        <f>H184/DAY(B2)</f>
        <v>174.70833333333334</v>
      </c>
    </row>
    <row r="185" spans="1:10" ht="27.75">
      <c r="A185" s="777" t="s">
        <v>218</v>
      </c>
      <c r="B185" s="778"/>
      <c r="C185" s="353"/>
      <c r="D185" s="230" t="s">
        <v>142</v>
      </c>
      <c r="E185" s="95">
        <f>'23'!F185</f>
        <v>0</v>
      </c>
      <c r="F185" s="159"/>
      <c r="G185" s="524">
        <f>G65+G66+G67+G69+G70</f>
        <v>152</v>
      </c>
      <c r="H185" s="99">
        <f>G185+'23'!H185</f>
        <v>1793</v>
      </c>
      <c r="I185" s="158"/>
      <c r="J185" s="179">
        <f>H185/DAY(B2)</f>
        <v>74.708333333333329</v>
      </c>
    </row>
    <row r="186" spans="1:10" ht="27.75">
      <c r="A186" s="777" t="s">
        <v>219</v>
      </c>
      <c r="B186" s="778"/>
      <c r="C186" s="353"/>
      <c r="D186" s="230" t="s">
        <v>142</v>
      </c>
      <c r="E186" s="95">
        <f>'23'!F186</f>
        <v>0</v>
      </c>
      <c r="F186" s="157"/>
      <c r="G186" s="521">
        <f>G178</f>
        <v>125</v>
      </c>
      <c r="H186" s="99">
        <f>G186+'23'!H186</f>
        <v>654</v>
      </c>
      <c r="I186" s="158"/>
      <c r="J186" s="179">
        <f>H186/DAY(B2)</f>
        <v>27.25</v>
      </c>
    </row>
    <row r="187" spans="1:10" ht="27.75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310" ht="29.25"/>
    <row r="311" ht="29.25"/>
    <row r="312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</sheetData>
  <mergeCells count="112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0:B180"/>
    <mergeCell ref="A181:B181"/>
    <mergeCell ref="A178:B178"/>
    <mergeCell ref="A179:B179"/>
    <mergeCell ref="A182:B18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698"/>
  <sheetViews>
    <sheetView view="pageBreakPreview" topLeftCell="A82" zoomScale="55" zoomScaleNormal="49" zoomScaleSheetLayoutView="55" workbookViewId="0">
      <selection activeCell="F183" sqref="F183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357</v>
      </c>
      <c r="B2" s="266">
        <v>44525</v>
      </c>
      <c r="C2" s="368" t="s">
        <v>67</v>
      </c>
      <c r="D2" s="218">
        <v>0.77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'24'!F7</f>
        <v>254719</v>
      </c>
      <c r="F7" s="95">
        <v>280971</v>
      </c>
      <c r="G7" s="112">
        <f>F7-E7</f>
        <v>26252</v>
      </c>
      <c r="H7" s="99">
        <f>G7+'24'!H7</f>
        <v>594707.69999999984</v>
      </c>
      <c r="I7" s="113">
        <f>'1'!I7</f>
        <v>12000</v>
      </c>
      <c r="J7" s="175">
        <f>H7/DAY(B2)</f>
        <v>23788.307999999994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'24'!F8</f>
        <v>290214</v>
      </c>
      <c r="F8" s="95">
        <v>316859</v>
      </c>
      <c r="G8" s="115">
        <f>F8-E8</f>
        <v>26645</v>
      </c>
      <c r="H8" s="99">
        <f>G8+'24'!H8</f>
        <v>603695.10000000009</v>
      </c>
      <c r="I8" s="116"/>
      <c r="J8" s="175">
        <f>H8/DAY(B2)</f>
        <v>24147.804000000004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'24'!F9</f>
        <v>1624839</v>
      </c>
      <c r="F9" s="373">
        <v>1641957</v>
      </c>
      <c r="G9" s="112">
        <f>F9-E9</f>
        <v>17118</v>
      </c>
      <c r="H9" s="99">
        <f>G9+'24'!H9</f>
        <v>380678.5</v>
      </c>
      <c r="I9" s="124">
        <f>I7-J7</f>
        <v>-11788.307999999994</v>
      </c>
      <c r="J9" s="175">
        <f>H9/DAY(B2)</f>
        <v>15227.14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'24'!F10</f>
        <v>358128</v>
      </c>
      <c r="F10" s="373">
        <v>366577</v>
      </c>
      <c r="G10" s="112">
        <f t="shared" ref="G10:G12" si="0">F10-E10</f>
        <v>8449</v>
      </c>
      <c r="H10" s="99">
        <f>G10+'24'!H10</f>
        <v>198193.07</v>
      </c>
      <c r="I10" s="286"/>
      <c r="J10" s="175">
        <f>H10/DAY(B2)</f>
        <v>7927.7228000000005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'24'!F11</f>
        <v>37000</v>
      </c>
      <c r="F11" s="95">
        <v>37000</v>
      </c>
      <c r="G11" s="112">
        <f t="shared" si="0"/>
        <v>0</v>
      </c>
      <c r="H11" s="99">
        <f>G11+'24'!H11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25567</v>
      </c>
      <c r="H13" s="99">
        <f>G13+'24'!H13</f>
        <v>558065.11</v>
      </c>
      <c r="I13" s="120">
        <f>G7-G13</f>
        <v>685</v>
      </c>
      <c r="J13" s="175">
        <f>H13/DAY(B2)</f>
        <v>22322.6044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'24'!F15</f>
        <v>1836411</v>
      </c>
      <c r="F15" s="123">
        <v>1837493</v>
      </c>
      <c r="G15" s="112">
        <f>(F15-E15)</f>
        <v>1082</v>
      </c>
      <c r="H15" s="99">
        <f>G15+'24'!H15</f>
        <v>24562.189999999973</v>
      </c>
      <c r="I15" s="113">
        <f>'1'!I15</f>
        <v>800</v>
      </c>
      <c r="J15" s="175">
        <f>H15/DAY(B2)</f>
        <v>982.48759999999891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-182.48759999999891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'24'!F18</f>
        <v>18</v>
      </c>
      <c r="F18" s="122">
        <v>24</v>
      </c>
      <c r="G18" s="119">
        <f>F18*10</f>
        <v>240</v>
      </c>
      <c r="H18" s="99">
        <f>G18+'24'!H18</f>
        <v>5100</v>
      </c>
      <c r="I18" s="113">
        <f>'1'!I18</f>
        <v>65</v>
      </c>
      <c r="J18" s="175">
        <f>H18/DAY(B2)</f>
        <v>204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'24'!F19</f>
        <v>150266</v>
      </c>
      <c r="F19" s="122">
        <v>150321</v>
      </c>
      <c r="G19" s="112">
        <f t="shared" ref="G19" si="1">F19-E19</f>
        <v>55</v>
      </c>
      <c r="H19" s="99">
        <f>G19+'24'!H19</f>
        <v>1404</v>
      </c>
      <c r="I19" s="355"/>
      <c r="J19" s="175">
        <f>H19/DAY(B2)</f>
        <v>56.16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295</v>
      </c>
      <c r="H20" s="99">
        <f>G20+'24'!H20</f>
        <v>6504</v>
      </c>
      <c r="I20" s="356">
        <f>I18-J20</f>
        <v>-195.16000000000003</v>
      </c>
      <c r="J20" s="175">
        <f>H20/DAY(B2)</f>
        <v>260.16000000000003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26645</v>
      </c>
      <c r="F27" s="136">
        <v>9</v>
      </c>
      <c r="G27" s="137">
        <f>E27*F27</f>
        <v>239805</v>
      </c>
      <c r="H27" s="99">
        <f>G27+'24'!H27</f>
        <v>5433255.9000000013</v>
      </c>
      <c r="I27" s="138"/>
      <c r="J27" s="175">
        <f>H27/DAY(B2)</f>
        <v>217330.23600000006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1082</v>
      </c>
      <c r="F28" s="136">
        <v>52</v>
      </c>
      <c r="G28" s="137">
        <f>E28*F28</f>
        <v>56264</v>
      </c>
      <c r="H28" s="99">
        <f>G28+'24'!H28</f>
        <v>1277233.8799999985</v>
      </c>
      <c r="I28" s="140"/>
      <c r="J28" s="175">
        <f>H28/DAY(B2)</f>
        <v>51089.35519999994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G30+'24'!H30</f>
        <v>204984</v>
      </c>
      <c r="I30" s="140"/>
      <c r="J30" s="175">
        <f>H30/DAY(B2)</f>
        <v>8199.36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G31+'24'!H31</f>
        <v>408000</v>
      </c>
      <c r="I31" s="140"/>
      <c r="J31" s="175">
        <f>H31/DAY(B2)</f>
        <v>16320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323299</v>
      </c>
      <c r="H32" s="99">
        <f>G32+'24'!H32</f>
        <v>7323473.7799999993</v>
      </c>
      <c r="I32" s="144"/>
      <c r="J32" s="175">
        <f>H32/DAY(B2)</f>
        <v>292938.95119999995</v>
      </c>
      <c r="K32" s="63"/>
      <c r="L32" s="89"/>
      <c r="N32" s="87"/>
      <c r="O32" s="71"/>
    </row>
    <row r="33" spans="1:15" ht="25.5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'24'!F35</f>
        <v>80794</v>
      </c>
      <c r="F35" s="145">
        <v>82986</v>
      </c>
      <c r="G35" s="112">
        <f t="shared" ref="G35:G46" si="3">F35-E35</f>
        <v>2192</v>
      </c>
      <c r="H35" s="99">
        <f>G35+'24'!H35</f>
        <v>50511.33</v>
      </c>
      <c r="I35" s="95"/>
      <c r="J35" s="175">
        <f>H35/DAY(B2)</f>
        <v>2020.4532000000002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'24'!F36</f>
        <v>73262</v>
      </c>
      <c r="F36" s="145">
        <v>74354</v>
      </c>
      <c r="G36" s="112">
        <f t="shared" si="3"/>
        <v>1092</v>
      </c>
      <c r="H36" s="99">
        <f>G36+'24'!H36</f>
        <v>24414.33</v>
      </c>
      <c r="I36" s="95"/>
      <c r="J36" s="175">
        <f>H36/DAY(B2)</f>
        <v>976.57320000000004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'24'!F37</f>
        <v>135610</v>
      </c>
      <c r="F37" s="145">
        <v>137254</v>
      </c>
      <c r="G37" s="112">
        <f t="shared" si="3"/>
        <v>1644</v>
      </c>
      <c r="H37" s="99">
        <f>G37+'24'!H37</f>
        <v>40200.17</v>
      </c>
      <c r="I37" s="95"/>
      <c r="J37" s="175">
        <f>H37/DAY(B2)</f>
        <v>1608.0067999999999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'24'!F38</f>
        <v>159450</v>
      </c>
      <c r="F38" s="108">
        <v>161439</v>
      </c>
      <c r="G38" s="112">
        <f t="shared" si="3"/>
        <v>1989</v>
      </c>
      <c r="H38" s="99">
        <f>G38+'24'!H38</f>
        <v>46215.960000000006</v>
      </c>
      <c r="I38" s="95"/>
      <c r="J38" s="175">
        <f>H38/DAY(B2)</f>
        <v>1848.6384000000003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'24'!F39</f>
        <v>303566</v>
      </c>
      <c r="F39" s="145">
        <v>306623</v>
      </c>
      <c r="G39" s="112">
        <f t="shared" si="3"/>
        <v>3057</v>
      </c>
      <c r="H39" s="99">
        <f>G39+'24'!H39</f>
        <v>73241.950000000012</v>
      </c>
      <c r="I39" s="95"/>
      <c r="J39" s="175">
        <f>H39/DAY(B2)</f>
        <v>2929.6780000000003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'24'!F40</f>
        <v>102</v>
      </c>
      <c r="F40" s="145">
        <v>104</v>
      </c>
      <c r="G40" s="112">
        <f t="shared" si="3"/>
        <v>2</v>
      </c>
      <c r="H40" s="99">
        <f>G40+'24'!H40</f>
        <v>147.63000000000002</v>
      </c>
      <c r="I40" s="95"/>
      <c r="J40" s="175">
        <f>H40/DAY(B2)</f>
        <v>5.9052000000000007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'24'!F41</f>
        <v>589882.79</v>
      </c>
      <c r="F41" s="145">
        <v>589882.79</v>
      </c>
      <c r="G41" s="112">
        <f t="shared" si="3"/>
        <v>0</v>
      </c>
      <c r="H41" s="99">
        <f>G41+'24'!H41</f>
        <v>8023.9600000000792</v>
      </c>
      <c r="I41" s="95"/>
      <c r="J41" s="175">
        <f>H41/DAY(B2)</f>
        <v>320.95840000000317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'24'!F42</f>
        <v>305099</v>
      </c>
      <c r="F42" s="145">
        <v>307856</v>
      </c>
      <c r="G42" s="112">
        <f t="shared" si="3"/>
        <v>2757</v>
      </c>
      <c r="H42" s="99">
        <f>G42+'24'!H42</f>
        <v>36886.330000000016</v>
      </c>
      <c r="I42" s="95"/>
      <c r="J42" s="175">
        <f>H42/DAY(B2)</f>
        <v>1475.4532000000006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'24'!F43</f>
        <v>1512416</v>
      </c>
      <c r="F43" s="145">
        <v>1515478</v>
      </c>
      <c r="G43" s="112">
        <f t="shared" si="3"/>
        <v>3062</v>
      </c>
      <c r="H43" s="99">
        <f>G43+'24'!H43</f>
        <v>69390.600000000093</v>
      </c>
      <c r="I43" s="95"/>
      <c r="J43" s="175">
        <f>H43/DAY(B2)</f>
        <v>2775.6240000000039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15795</v>
      </c>
      <c r="H47" s="99">
        <f>G47+'24'!H47</f>
        <v>349032.26000000018</v>
      </c>
      <c r="I47" s="95"/>
      <c r="J47" s="175">
        <f>H47/DAY(B2)</f>
        <v>13961.290400000007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'24'!F49</f>
        <v>210705</v>
      </c>
      <c r="F49" s="145">
        <v>212245</v>
      </c>
      <c r="G49" s="112">
        <f t="shared" ref="G49:G58" si="4">F49-E49</f>
        <v>1540</v>
      </c>
      <c r="H49" s="99">
        <f>G49+'24'!H49</f>
        <v>39514.609999999986</v>
      </c>
      <c r="I49" s="95"/>
      <c r="J49" s="175">
        <f>H49/DAY(B2)</f>
        <v>1580.5843999999995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'24'!F50</f>
        <v>714934</v>
      </c>
      <c r="F50" s="145">
        <v>716238</v>
      </c>
      <c r="G50" s="112">
        <f t="shared" si="4"/>
        <v>1304</v>
      </c>
      <c r="H50" s="99">
        <f>G50+'24'!H50</f>
        <v>31875.689999999944</v>
      </c>
      <c r="I50" s="95"/>
      <c r="J50" s="175">
        <f>H50/DAY(B2)</f>
        <v>1275.0275999999978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'24'!F54</f>
        <v>2996</v>
      </c>
      <c r="F54" s="145">
        <v>3002</v>
      </c>
      <c r="G54" s="112">
        <f t="shared" si="4"/>
        <v>6</v>
      </c>
      <c r="H54" s="99">
        <f>G54+'24'!H54</f>
        <v>134.51000000000022</v>
      </c>
      <c r="I54" s="95"/>
      <c r="J54" s="175">
        <f>H54/DAY(B2)</f>
        <v>5.3804000000000087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'24'!F55</f>
        <v>0</v>
      </c>
      <c r="F55" s="145">
        <v>0</v>
      </c>
      <c r="G55" s="112">
        <f t="shared" si="4"/>
        <v>0</v>
      </c>
      <c r="H55" s="99">
        <f>G55+'24'!H55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'24'!F56</f>
        <v>161470</v>
      </c>
      <c r="F56" s="145">
        <v>166919</v>
      </c>
      <c r="G56" s="112">
        <f t="shared" si="4"/>
        <v>5449</v>
      </c>
      <c r="H56" s="99">
        <f>G56+'24'!H56</f>
        <v>124078.70999999999</v>
      </c>
      <c r="I56" s="95"/>
      <c r="J56" s="175">
        <f>H56/DAY(B2)</f>
        <v>4963.1484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'24'!F58</f>
        <v>83983</v>
      </c>
      <c r="F58" s="145">
        <v>84179</v>
      </c>
      <c r="G58" s="112">
        <f t="shared" si="4"/>
        <v>196</v>
      </c>
      <c r="H58" s="99">
        <f>G58+'24'!H58</f>
        <v>5159.1000000000058</v>
      </c>
      <c r="I58" s="95"/>
      <c r="J58" s="175">
        <f>H58/DAY(B2)</f>
        <v>206.36400000000023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8495</v>
      </c>
      <c r="H59" s="99">
        <f>G59+'24'!H59</f>
        <v>200762.61999999988</v>
      </c>
      <c r="I59" s="95">
        <f>G7-G60</f>
        <v>1962</v>
      </c>
      <c r="J59" s="175">
        <f>H59/DAY(B2)</f>
        <v>8030.5047999999952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24290</v>
      </c>
      <c r="H60" s="99">
        <f>G60+'24'!H60</f>
        <v>549794.88000000012</v>
      </c>
      <c r="I60" s="95">
        <f>G13-G60</f>
        <v>1277</v>
      </c>
      <c r="J60" s="175">
        <f>H60/DAY(B2)</f>
        <v>21991.795200000004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'24'!F62</f>
        <v>262662</v>
      </c>
      <c r="F62" s="122">
        <v>262828</v>
      </c>
      <c r="G62" s="112">
        <f t="shared" ref="G62:G63" si="5">F62-E62</f>
        <v>166</v>
      </c>
      <c r="H62" s="99">
        <f>G62+'24'!H62</f>
        <v>3010</v>
      </c>
      <c r="I62" s="118"/>
      <c r="J62" s="175">
        <f>H62/DAY(B2)</f>
        <v>120.4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'24'!F63</f>
        <v>208598</v>
      </c>
      <c r="F63" s="122">
        <v>208748</v>
      </c>
      <c r="G63" s="112">
        <f t="shared" si="5"/>
        <v>150</v>
      </c>
      <c r="H63" s="99">
        <f>G63+'24'!H63</f>
        <v>2478</v>
      </c>
      <c r="I63" s="118"/>
      <c r="J63" s="175">
        <f>H63/DAY(B2)</f>
        <v>99.12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'24'!F64</f>
        <v>0</v>
      </c>
      <c r="F64" s="122"/>
      <c r="G64" s="112">
        <f>G62+G63</f>
        <v>316</v>
      </c>
      <c r="H64" s="99">
        <f>G64+'24'!H64</f>
        <v>5488</v>
      </c>
      <c r="I64" s="118"/>
      <c r="J64" s="175">
        <f>H64/DAY(B2)</f>
        <v>219.52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'24'!F65</f>
        <v>428659</v>
      </c>
      <c r="F65" s="122">
        <v>428816</v>
      </c>
      <c r="G65" s="112">
        <f t="shared" ref="G65:G70" si="6">F65-E65</f>
        <v>157</v>
      </c>
      <c r="H65" s="99">
        <f>G65+'24'!H65</f>
        <v>2611</v>
      </c>
      <c r="I65" s="118"/>
      <c r="J65" s="175">
        <f>H65/DAY(B2)</f>
        <v>104.44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'24'!F66</f>
        <v>106491</v>
      </c>
      <c r="F66" s="122">
        <v>106508</v>
      </c>
      <c r="G66" s="112">
        <f t="shared" si="6"/>
        <v>17</v>
      </c>
      <c r="H66" s="99">
        <f>G66+'24'!H66</f>
        <v>538</v>
      </c>
      <c r="I66" s="118"/>
      <c r="J66" s="175">
        <f>H66/DAY(B2)</f>
        <v>21.52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'24'!F67</f>
        <v>102838</v>
      </c>
      <c r="F67" s="122">
        <v>102859</v>
      </c>
      <c r="G67" s="112">
        <f t="shared" si="6"/>
        <v>21</v>
      </c>
      <c r="H67" s="99">
        <f>G67+'24'!H67</f>
        <v>688</v>
      </c>
      <c r="I67" s="118"/>
      <c r="J67" s="175">
        <f>H67/DAY(B2)</f>
        <v>27.52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'24'!F68</f>
        <v>155224</v>
      </c>
      <c r="F68" s="122">
        <v>155257</v>
      </c>
      <c r="G68" s="112">
        <f t="shared" si="6"/>
        <v>33</v>
      </c>
      <c r="H68" s="99">
        <f>G68+'24'!H68</f>
        <v>761</v>
      </c>
      <c r="I68" s="118"/>
      <c r="J68" s="175">
        <f>H68/DAY(B2)</f>
        <v>30.44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'24'!F69</f>
        <v>9777</v>
      </c>
      <c r="F69" s="122">
        <v>9786</v>
      </c>
      <c r="G69" s="112">
        <f t="shared" si="6"/>
        <v>9</v>
      </c>
      <c r="H69" s="99">
        <f>G69+'24'!H69</f>
        <v>321</v>
      </c>
      <c r="I69" s="118"/>
      <c r="J69" s="175">
        <f>H69/DAY(B2)</f>
        <v>12.84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'24'!F70</f>
        <v>7468</v>
      </c>
      <c r="F70" s="122">
        <v>7484</v>
      </c>
      <c r="G70" s="112">
        <f t="shared" si="6"/>
        <v>16</v>
      </c>
      <c r="H70" s="99">
        <f>G70+'24'!H70</f>
        <v>281</v>
      </c>
      <c r="I70" s="118"/>
      <c r="J70" s="175">
        <f>H70/DAY(B2)</f>
        <v>11.24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253</v>
      </c>
      <c r="H71" s="99">
        <f>G71+'24'!H71</f>
        <v>5200</v>
      </c>
      <c r="I71" s="154"/>
      <c r="J71" s="175">
        <f>H71/DAY(B2)</f>
        <v>208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'24'!F74</f>
        <v>880498</v>
      </c>
      <c r="F74" s="123">
        <v>880780</v>
      </c>
      <c r="G74" s="112">
        <f t="shared" ref="G74:G78" si="7">F74-E74</f>
        <v>282</v>
      </c>
      <c r="H74" s="99">
        <f>G74+'24'!H74</f>
        <v>7194.7689999999711</v>
      </c>
      <c r="I74" s="154"/>
      <c r="J74" s="175">
        <f>H74/DAY(B2)</f>
        <v>287.79075999999884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3.4000000000087311</v>
      </c>
      <c r="I75" s="154"/>
      <c r="J75" s="175">
        <f>H75/DAY(B2)</f>
        <v>0.13600000000034926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'24'!F76</f>
        <v>162641</v>
      </c>
      <c r="F76" s="123">
        <v>162774</v>
      </c>
      <c r="G76" s="112">
        <f t="shared" si="7"/>
        <v>133</v>
      </c>
      <c r="H76" s="99">
        <f>G76+'24'!H76</f>
        <v>2788.5</v>
      </c>
      <c r="I76" s="154"/>
      <c r="J76" s="175">
        <f>H76/DAY(B2)</f>
        <v>111.54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'24'!F77</f>
        <v>38517</v>
      </c>
      <c r="F77" s="123">
        <v>38568</v>
      </c>
      <c r="G77" s="112">
        <f t="shared" si="7"/>
        <v>51</v>
      </c>
      <c r="H77" s="99">
        <f>G77+'24'!H77</f>
        <v>1070.5</v>
      </c>
      <c r="I77" s="154"/>
      <c r="J77" s="175">
        <f>H77/DAY(B2)</f>
        <v>42.82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'24'!F78</f>
        <v>9389</v>
      </c>
      <c r="F78" s="123">
        <v>9394</v>
      </c>
      <c r="G78" s="112">
        <f t="shared" si="7"/>
        <v>5</v>
      </c>
      <c r="H78" s="99">
        <f>G78+'24'!H78</f>
        <v>64.600000000000364</v>
      </c>
      <c r="I78" s="118"/>
      <c r="J78" s="175">
        <f>H78/DAY(B2)</f>
        <v>2.5840000000000147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'24'!F79</f>
        <v>0</v>
      </c>
      <c r="F79" s="117"/>
      <c r="G79" s="112">
        <f>G15-SUM(G74:G78)</f>
        <v>611</v>
      </c>
      <c r="H79" s="99">
        <f>G79+'24'!H79</f>
        <v>13440.420999999991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1082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'24'!F84</f>
        <v>41625.31</v>
      </c>
      <c r="F84" s="164">
        <v>41625.31</v>
      </c>
      <c r="G84" s="112">
        <f t="shared" si="8"/>
        <v>0</v>
      </c>
      <c r="H84" s="99">
        <f>G84+'24'!H84</f>
        <v>39.75</v>
      </c>
      <c r="I84" s="118"/>
      <c r="J84" s="175">
        <f>H84/DAY(B2)</f>
        <v>1.59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'24'!F85</f>
        <v>1461.51</v>
      </c>
      <c r="F85" s="164">
        <v>1475</v>
      </c>
      <c r="G85" s="112">
        <f t="shared" si="8"/>
        <v>13.490000000000009</v>
      </c>
      <c r="H85" s="99">
        <f>G85+'24'!H85</f>
        <v>170</v>
      </c>
      <c r="I85" s="118">
        <f>G82+G83+G84+G85</f>
        <v>13.490000000000009</v>
      </c>
      <c r="J85" s="175">
        <f>H85/DAY(B2)</f>
        <v>6.8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'24'!F86</f>
        <v>42826.47</v>
      </c>
      <c r="F86" s="164">
        <v>42826.47</v>
      </c>
      <c r="G86" s="112">
        <f t="shared" si="8"/>
        <v>0</v>
      </c>
      <c r="H86" s="99">
        <f>G86+'24'!H86</f>
        <v>0.47000000000116415</v>
      </c>
      <c r="I86" s="118"/>
      <c r="J86" s="175">
        <f>H86/DAY(B2)</f>
        <v>1.8800000000046568E-2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'24'!F87</f>
        <v>34290</v>
      </c>
      <c r="F87" s="164">
        <v>34314</v>
      </c>
      <c r="G87" s="112">
        <f t="shared" si="8"/>
        <v>24</v>
      </c>
      <c r="H87" s="99">
        <f>G87+'24'!H87</f>
        <v>566</v>
      </c>
      <c r="I87" s="118"/>
      <c r="J87" s="175">
        <f>H87/DAY(B2)</f>
        <v>22.64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'24'!F88</f>
        <v>23931.69</v>
      </c>
      <c r="F88" s="164">
        <v>23932</v>
      </c>
      <c r="G88" s="112">
        <f t="shared" si="8"/>
        <v>0.31000000000130967</v>
      </c>
      <c r="H88" s="99">
        <f>G88+'24'!H88</f>
        <v>98.430000000000291</v>
      </c>
      <c r="I88" s="118">
        <f>G86+G87+G88</f>
        <v>24.31000000000131</v>
      </c>
      <c r="J88" s="175">
        <f>H88/DAY(B2)</f>
        <v>3.9372000000000118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'24'!F89</f>
        <v>25383</v>
      </c>
      <c r="F89" s="164">
        <v>25394</v>
      </c>
      <c r="G89" s="112">
        <f t="shared" si="8"/>
        <v>11</v>
      </c>
      <c r="H89" s="99">
        <f>G89+'24'!H89</f>
        <v>148.61999999999898</v>
      </c>
      <c r="I89" s="118"/>
      <c r="J89" s="175">
        <f>H89/DAY(B2)</f>
        <v>5.944799999999959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'24'!F90</f>
        <v>70788</v>
      </c>
      <c r="F90" s="164">
        <v>70795</v>
      </c>
      <c r="G90" s="112">
        <f t="shared" si="8"/>
        <v>7</v>
      </c>
      <c r="H90" s="99">
        <f>G90+'24'!H90</f>
        <v>139.58999999999651</v>
      </c>
      <c r="I90" s="118">
        <f>G89+G90</f>
        <v>18</v>
      </c>
      <c r="J90" s="175">
        <f>H90/DAY(B2)</f>
        <v>5.5835999999998602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-0.32000000000016371</v>
      </c>
      <c r="I91" s="165"/>
      <c r="J91" s="175">
        <f>H91/DAY(B2)</f>
        <v>-1.2800000000006549E-2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'24'!F92</f>
        <v>5034.5</v>
      </c>
      <c r="F92" s="122">
        <v>5044</v>
      </c>
      <c r="G92" s="112">
        <f t="shared" si="8"/>
        <v>9.5</v>
      </c>
      <c r="H92" s="99">
        <f>G92+'24'!H92</f>
        <v>252.18000000000029</v>
      </c>
      <c r="I92" s="165"/>
      <c r="J92" s="175">
        <f>H92/DAY(B2)</f>
        <v>10.087200000000012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6794</v>
      </c>
      <c r="H94" s="99">
        <f>G94+'24'!H94</f>
        <v>159416.54000000004</v>
      </c>
      <c r="I94" s="118"/>
      <c r="J94" s="175">
        <f>H94/DAY(B2)</f>
        <v>6376.6616000000013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0.25879932957488955</v>
      </c>
      <c r="H95" s="99">
        <f>G95+'24'!H95</f>
        <v>6.740124112553004</v>
      </c>
      <c r="I95" s="167"/>
      <c r="J95" s="175">
        <f>H95/DAY(B2)</f>
        <v>0.26960496450212018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8206</v>
      </c>
      <c r="H96" s="99">
        <f>G96+'24'!H96</f>
        <v>168989.00000000009</v>
      </c>
      <c r="I96" s="118"/>
      <c r="J96" s="175">
        <f>H96/DAY(B2)</f>
        <v>6759.5600000000031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0.31258570775559957</v>
      </c>
      <c r="H97" s="99">
        <f>G97+'24'!H97</f>
        <v>7.0266828987679943</v>
      </c>
      <c r="I97" s="167"/>
      <c r="J97" s="175">
        <f>H97/DAY(B2)</f>
        <v>0.28106731595071976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3057</v>
      </c>
      <c r="H98" s="99">
        <f>G98+'24'!H98</f>
        <v>73241.950000000012</v>
      </c>
      <c r="I98" s="168"/>
      <c r="J98" s="175">
        <f>H98/DAY(B2)</f>
        <v>2929.6780000000003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0.11644827060795368</v>
      </c>
      <c r="H99" s="99">
        <f>G99+'24'!H99</f>
        <v>3.1025817296252169</v>
      </c>
      <c r="I99" s="168"/>
      <c r="J99" s="175">
        <f>H99/DAY(B2)</f>
        <v>0.12410326918500868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1989</v>
      </c>
      <c r="H100" s="99">
        <f>G100+'24'!H100</f>
        <v>46215.960000000006</v>
      </c>
      <c r="I100" s="118"/>
      <c r="J100" s="175">
        <f>H100/DAY(B2)</f>
        <v>1848.6384000000003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7.5765655950022853E-2</v>
      </c>
      <c r="H101" s="99">
        <f>G101+'24'!H101</f>
        <v>1.9557136492548188</v>
      </c>
      <c r="I101" s="168"/>
      <c r="J101" s="175">
        <f>H101/DAY(B2)</f>
        <v>7.8228545970192756E-2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2396</v>
      </c>
      <c r="H102" s="99">
        <f>G102+'24'!H102</f>
        <v>56290.019999999946</v>
      </c>
      <c r="I102" s="168"/>
      <c r="J102" s="175">
        <f>H102/DAY(B2)</f>
        <v>2251.6007999999979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9.126923662959012E-2</v>
      </c>
      <c r="H103" s="99">
        <f>G103+'24'!H103</f>
        <v>2.3501694891203062</v>
      </c>
      <c r="I103" s="118"/>
      <c r="J103" s="175">
        <f>H103/DAY(B2)</f>
        <v>9.4006779564812251E-2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1644</v>
      </c>
      <c r="H104" s="99">
        <f>G104+'24'!H104</f>
        <v>40200.17</v>
      </c>
      <c r="I104" s="118"/>
      <c r="J104" s="175">
        <f>H104/DAY(B2)</f>
        <v>1608.0067999999999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6.26238000914216E-2</v>
      </c>
      <c r="H105" s="99">
        <f>G105+'24'!H105</f>
        <v>1.7019142016743041</v>
      </c>
      <c r="I105" s="187"/>
      <c r="J105" s="188">
        <f>H105/DAY(B2)</f>
        <v>6.8076568066972168E-2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'24'!F112</f>
        <v>52863</v>
      </c>
      <c r="F112" s="237">
        <v>52945</v>
      </c>
      <c r="G112" s="112">
        <f t="shared" ref="G112:G123" si="9">F112-E112</f>
        <v>82</v>
      </c>
      <c r="H112" s="99">
        <f>G112+'24'!H112</f>
        <v>2055.9199999999983</v>
      </c>
      <c r="I112" s="165"/>
      <c r="J112" s="348">
        <f>H112/DAY(B2)</f>
        <v>82.236799999999931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'24'!F113</f>
        <v>15264</v>
      </c>
      <c r="F113" s="237">
        <v>15726</v>
      </c>
      <c r="G113" s="112">
        <f t="shared" si="9"/>
        <v>462</v>
      </c>
      <c r="H113" s="99">
        <f>G113+'24'!H113</f>
        <v>11220.35</v>
      </c>
      <c r="I113" s="165"/>
      <c r="J113" s="348">
        <f>H113/DAY(B2)</f>
        <v>448.81400000000002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'24'!F114</f>
        <v>11851</v>
      </c>
      <c r="F114" s="237">
        <v>12230</v>
      </c>
      <c r="G114" s="112">
        <f t="shared" si="9"/>
        <v>379</v>
      </c>
      <c r="H114" s="99">
        <f>G114+'24'!H114</f>
        <v>8423.89</v>
      </c>
      <c r="I114" s="165"/>
      <c r="J114" s="348">
        <f>H114/DAY(B2)</f>
        <v>336.9556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'24'!F115</f>
        <v>8354</v>
      </c>
      <c r="F115" s="237">
        <v>8364</v>
      </c>
      <c r="G115" s="112">
        <f t="shared" si="9"/>
        <v>10</v>
      </c>
      <c r="H115" s="99">
        <f>G115+'24'!H115</f>
        <v>286.59000000000015</v>
      </c>
      <c r="I115" s="165"/>
      <c r="J115" s="348">
        <f>H115/DAY(B2)</f>
        <v>11.463600000000007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48">
        <f>H116/DAY(B2)</f>
        <v>0</v>
      </c>
      <c r="Q116" s="793"/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'24'!F117</f>
        <v>1815</v>
      </c>
      <c r="F117" s="237">
        <v>1836</v>
      </c>
      <c r="G117" s="112">
        <f t="shared" si="9"/>
        <v>21</v>
      </c>
      <c r="H117" s="99">
        <f>G117+'24'!H117</f>
        <v>677.81</v>
      </c>
      <c r="I117" s="165"/>
      <c r="J117" s="348">
        <f>H117/DAY(B2)</f>
        <v>27.112399999999997</v>
      </c>
      <c r="Q117" s="793"/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'24'!F118</f>
        <v>227468</v>
      </c>
      <c r="F118" s="237">
        <v>227870</v>
      </c>
      <c r="G118" s="112">
        <f t="shared" si="9"/>
        <v>402</v>
      </c>
      <c r="H118" s="99">
        <f>G118+'24'!H118</f>
        <v>9018.070000000007</v>
      </c>
      <c r="I118" s="165"/>
      <c r="J118" s="348">
        <f>H118/DAY(B2)</f>
        <v>360.72280000000029</v>
      </c>
      <c r="Q118" s="793"/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'24'!F119</f>
        <v>229065</v>
      </c>
      <c r="F119" s="237">
        <v>229473</v>
      </c>
      <c r="G119" s="112">
        <f t="shared" si="9"/>
        <v>408</v>
      </c>
      <c r="H119" s="99">
        <f>G119+'24'!H119</f>
        <v>10661.890000000014</v>
      </c>
      <c r="I119" s="165"/>
      <c r="J119" s="348">
        <f>H119/DAY(B2)</f>
        <v>426.47560000000055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'24'!F120</f>
        <v>14579</v>
      </c>
      <c r="F120" s="237">
        <v>14992</v>
      </c>
      <c r="G120" s="112">
        <f t="shared" si="9"/>
        <v>413</v>
      </c>
      <c r="H120" s="99">
        <f>G120+'24'!H120</f>
        <v>10684.4</v>
      </c>
      <c r="I120" s="165"/>
      <c r="J120" s="348">
        <f>H120/DAY(B2)</f>
        <v>427.37599999999998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'24'!F121</f>
        <v>348650</v>
      </c>
      <c r="F121" s="237">
        <v>349448</v>
      </c>
      <c r="G121" s="112">
        <f t="shared" si="9"/>
        <v>798</v>
      </c>
      <c r="H121" s="99">
        <f>G121+'24'!H121</f>
        <v>18210.489999999991</v>
      </c>
      <c r="I121" s="165"/>
      <c r="J121" s="348">
        <f>H121/DAY(B2)</f>
        <v>728.4195999999996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'24'!F122</f>
        <v>109049</v>
      </c>
      <c r="F122" s="237">
        <v>109384</v>
      </c>
      <c r="G122" s="112">
        <f t="shared" si="9"/>
        <v>335</v>
      </c>
      <c r="H122" s="99">
        <f>G122+'24'!H122</f>
        <v>7775.1199999999953</v>
      </c>
      <c r="I122" s="165"/>
      <c r="J122" s="348">
        <f>H122/DAY(B2)</f>
        <v>311.00479999999982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'24'!F123</f>
        <v>132659</v>
      </c>
      <c r="F123" s="237">
        <v>132930</v>
      </c>
      <c r="G123" s="112">
        <f t="shared" si="9"/>
        <v>271</v>
      </c>
      <c r="H123" s="99">
        <f>G123+'24'!H123</f>
        <v>7182.2400000000052</v>
      </c>
      <c r="I123" s="165"/>
      <c r="J123" s="348">
        <f>H123/DAY(B2)</f>
        <v>287.28960000000023</v>
      </c>
    </row>
    <row r="124" spans="1:18" ht="29.25" customHeight="1">
      <c r="A124" s="797"/>
      <c r="B124" s="798"/>
      <c r="C124" s="799"/>
      <c r="D124" s="165"/>
      <c r="E124" s="165"/>
      <c r="F124" s="165"/>
      <c r="G124" s="347"/>
      <c r="H124" s="156"/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3581</v>
      </c>
      <c r="H125" s="156"/>
      <c r="I125" s="347">
        <f>G125-(G39+G53)</f>
        <v>524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G127+'24'!H127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'24'!F128</f>
        <v>25665</v>
      </c>
      <c r="F128" s="165">
        <v>26001</v>
      </c>
      <c r="G128" s="112">
        <f t="shared" ref="G128:G134" si="10">F128-E128</f>
        <v>336</v>
      </c>
      <c r="H128" s="99">
        <f>G128+'24'!H128</f>
        <v>7977.2799999999988</v>
      </c>
      <c r="I128" s="165"/>
      <c r="J128" s="348">
        <f>H128/DAY(B2)</f>
        <v>319.09119999999996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'24'!F129</f>
        <v>11518</v>
      </c>
      <c r="F129" s="165">
        <v>11750</v>
      </c>
      <c r="G129" s="112">
        <f t="shared" si="10"/>
        <v>232</v>
      </c>
      <c r="H129" s="99">
        <f>G129+'24'!H129</f>
        <v>5154.29</v>
      </c>
      <c r="I129" s="165"/>
      <c r="J129" s="348">
        <f>H129/DAY(B2)</f>
        <v>206.17160000000001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'24'!F130</f>
        <v>396</v>
      </c>
      <c r="F130" s="165">
        <v>678</v>
      </c>
      <c r="G130" s="112">
        <f t="shared" si="10"/>
        <v>282</v>
      </c>
      <c r="H130" s="99">
        <f>G130+'24'!H130</f>
        <v>54147.680000000008</v>
      </c>
      <c r="I130" s="165"/>
      <c r="J130" s="348">
        <f>H130/DAY(B2)</f>
        <v>2165.9072000000001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'24'!F131</f>
        <v>8118</v>
      </c>
      <c r="F131" s="165">
        <v>8311</v>
      </c>
      <c r="G131" s="112">
        <f t="shared" si="10"/>
        <v>193</v>
      </c>
      <c r="H131" s="99">
        <f>G131+'24'!H131</f>
        <v>4164.53</v>
      </c>
      <c r="I131" s="165"/>
      <c r="J131" s="348">
        <f>H131/DAY(B2)</f>
        <v>166.5812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'24'!F132</f>
        <v>23203</v>
      </c>
      <c r="F132" s="165">
        <v>23708</v>
      </c>
      <c r="G132" s="112">
        <f t="shared" si="10"/>
        <v>505</v>
      </c>
      <c r="H132" s="99">
        <f>G132+'24'!H132</f>
        <v>12170.28</v>
      </c>
      <c r="I132" s="165"/>
      <c r="J132" s="348">
        <f>H132/DAY(B2)</f>
        <v>486.81120000000004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'24'!F133</f>
        <v>58682</v>
      </c>
      <c r="F133" s="165">
        <v>59392</v>
      </c>
      <c r="G133" s="112">
        <f t="shared" si="10"/>
        <v>710</v>
      </c>
      <c r="H133" s="99">
        <f>G133+'24'!H133</f>
        <v>18542.71</v>
      </c>
      <c r="I133" s="165"/>
      <c r="J133" s="348">
        <f>H133/DAY(B2)</f>
        <v>741.70839999999998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'24'!F134</f>
        <v>647479</v>
      </c>
      <c r="F134" s="165">
        <v>648106</v>
      </c>
      <c r="G134" s="112">
        <f t="shared" si="10"/>
        <v>627</v>
      </c>
      <c r="H134" s="99">
        <f>G134+'24'!H134</f>
        <v>15842</v>
      </c>
      <c r="I134" s="165"/>
      <c r="J134" s="348">
        <f>H134/DAY(B2)</f>
        <v>633.67999999999995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SUM(G128:G134)</f>
        <v>2885</v>
      </c>
      <c r="H135" s="99">
        <f>G135+'23'!H135</f>
        <v>55972.05</v>
      </c>
      <c r="I135" s="347">
        <f>G135-(G35+G49)</f>
        <v>-847</v>
      </c>
      <c r="J135" s="348"/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'24'!F138</f>
        <v>860883</v>
      </c>
      <c r="F138" s="147">
        <v>860950</v>
      </c>
      <c r="G138" s="112">
        <f t="shared" ref="G138:G152" si="11">F138-E138</f>
        <v>67</v>
      </c>
      <c r="H138" s="99">
        <f>G138+'24'!H138</f>
        <v>1303</v>
      </c>
      <c r="I138" s="118"/>
      <c r="J138" s="348">
        <f>H138/DAY(B2)</f>
        <v>52.12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'24'!F139</f>
        <v>886168</v>
      </c>
      <c r="F139" s="148">
        <v>886183</v>
      </c>
      <c r="G139" s="112">
        <f t="shared" si="11"/>
        <v>15</v>
      </c>
      <c r="H139" s="99">
        <f>G139+'24'!H139</f>
        <v>81</v>
      </c>
      <c r="I139" s="118"/>
      <c r="J139" s="348">
        <f>H139/DAY(B2)</f>
        <v>3.24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'24'!F140</f>
        <v>88848</v>
      </c>
      <c r="F140" s="149">
        <v>88848</v>
      </c>
      <c r="G140" s="112">
        <f t="shared" si="11"/>
        <v>0</v>
      </c>
      <c r="H140" s="99">
        <f>G140+'24'!H140</f>
        <v>31</v>
      </c>
      <c r="I140" s="118"/>
      <c r="J140" s="348">
        <f>H140/DAY(B2)</f>
        <v>1.24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'24'!F141</f>
        <v>41927</v>
      </c>
      <c r="F141" s="149">
        <v>42144</v>
      </c>
      <c r="G141" s="112">
        <f t="shared" si="11"/>
        <v>217</v>
      </c>
      <c r="H141" s="99">
        <f>G141+'24'!H141</f>
        <v>4856.0500000000029</v>
      </c>
      <c r="I141" s="118"/>
      <c r="J141" s="348">
        <f>H141/DAY(B2)</f>
        <v>194.2420000000001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'24'!F142</f>
        <v>17359</v>
      </c>
      <c r="F142" s="148">
        <v>17376</v>
      </c>
      <c r="G142" s="112">
        <f t="shared" si="11"/>
        <v>17</v>
      </c>
      <c r="H142" s="99">
        <f>G142+'24'!H142</f>
        <v>414.13000000000102</v>
      </c>
      <c r="I142" s="140"/>
      <c r="J142" s="348">
        <f>H142/DAY(B2)</f>
        <v>16.56520000000004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'24'!F143</f>
        <v>2021</v>
      </c>
      <c r="F143" s="149">
        <v>2049</v>
      </c>
      <c r="G143" s="112">
        <f t="shared" si="11"/>
        <v>28</v>
      </c>
      <c r="H143" s="99">
        <f>G143+'24'!H143</f>
        <v>665.81999999999994</v>
      </c>
      <c r="I143" s="140"/>
      <c r="J143" s="348">
        <f>H143/DAY(B2)</f>
        <v>26.632799999999996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'24'!F144</f>
        <v>860986</v>
      </c>
      <c r="F144" s="149">
        <v>861221</v>
      </c>
      <c r="G144" s="112">
        <f t="shared" si="11"/>
        <v>235</v>
      </c>
      <c r="H144" s="99">
        <f>G144+'24'!H144</f>
        <v>5852</v>
      </c>
      <c r="I144" s="140"/>
      <c r="J144" s="348">
        <f>H144/DAY(B2)</f>
        <v>234.08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'24'!F145</f>
        <v>3160</v>
      </c>
      <c r="F145" s="149">
        <v>3208</v>
      </c>
      <c r="G145" s="112">
        <f t="shared" si="11"/>
        <v>48</v>
      </c>
      <c r="H145" s="99">
        <f>G145+'24'!H145</f>
        <v>995</v>
      </c>
      <c r="I145" s="140"/>
      <c r="J145" s="348">
        <f>H145/DAY(B2)</f>
        <v>39.799999999999997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'24'!F146</f>
        <v>708347</v>
      </c>
      <c r="F146" s="148">
        <v>708826</v>
      </c>
      <c r="G146" s="112">
        <f t="shared" si="11"/>
        <v>479</v>
      </c>
      <c r="H146" s="99">
        <f>G146+'24'!H146</f>
        <v>10307</v>
      </c>
      <c r="I146" s="140"/>
      <c r="J146" s="348">
        <f>H146/DAY(B2)</f>
        <v>412.28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'24'!F147</f>
        <v>599237</v>
      </c>
      <c r="F147" s="148">
        <v>599693</v>
      </c>
      <c r="G147" s="112">
        <f t="shared" si="11"/>
        <v>456</v>
      </c>
      <c r="H147" s="99">
        <f>G147+'24'!H147</f>
        <v>10782.079999999958</v>
      </c>
      <c r="I147" s="140"/>
      <c r="J147" s="348">
        <f>H147/DAY(B2)</f>
        <v>431.28319999999832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'24'!F148</f>
        <v>671934</v>
      </c>
      <c r="F148" s="150">
        <v>672238</v>
      </c>
      <c r="G148" s="112">
        <f t="shared" si="11"/>
        <v>304</v>
      </c>
      <c r="H148" s="99">
        <f>G148+'24'!H148</f>
        <v>7129.8800000000047</v>
      </c>
      <c r="I148" s="124"/>
      <c r="J148" s="348">
        <f>H148/DAY(B2)</f>
        <v>285.19520000000017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'24'!F149</f>
        <v>92909</v>
      </c>
      <c r="F149" s="146">
        <v>93267</v>
      </c>
      <c r="G149" s="112">
        <f t="shared" si="11"/>
        <v>358</v>
      </c>
      <c r="H149" s="99">
        <f>G149+'24'!H149</f>
        <v>8520</v>
      </c>
      <c r="I149" s="119"/>
      <c r="J149" s="348">
        <f>H149/DAY(B2)</f>
        <v>340.8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'24'!F150</f>
        <v>7167232</v>
      </c>
      <c r="F150" s="233">
        <v>7167232</v>
      </c>
      <c r="G150" s="112">
        <f t="shared" si="11"/>
        <v>0</v>
      </c>
      <c r="H150" s="99">
        <f>G150+'24'!H150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'24'!F151</f>
        <v>69062</v>
      </c>
      <c r="F151" s="233">
        <v>69337</v>
      </c>
      <c r="G151" s="112">
        <f t="shared" si="11"/>
        <v>275</v>
      </c>
      <c r="H151" s="99">
        <f>G151+'24'!H151</f>
        <v>6327</v>
      </c>
      <c r="I151" s="119"/>
      <c r="J151" s="348">
        <f>H151/DAY(B2)</f>
        <v>253.08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'24'!F152</f>
        <v>0</v>
      </c>
      <c r="F152" s="233">
        <v>0</v>
      </c>
      <c r="G152" s="112">
        <f t="shared" si="11"/>
        <v>0</v>
      </c>
      <c r="H152" s="99">
        <f>G152+'24'!H152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2499</v>
      </c>
      <c r="H153" s="383"/>
      <c r="I153" s="119">
        <f>G153-(G38+G52)</f>
        <v>510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'24'!F155</f>
        <v>77464</v>
      </c>
      <c r="F155" s="384">
        <v>77473</v>
      </c>
      <c r="G155" s="112">
        <f t="shared" ref="G155:G156" si="12">F155-E155</f>
        <v>9</v>
      </c>
      <c r="H155" s="99">
        <f>G155+'24'!H155</f>
        <v>198.39999999999418</v>
      </c>
      <c r="I155" s="384"/>
      <c r="J155" s="348">
        <f>H155/DAY(B2)</f>
        <v>7.9359999999997672</v>
      </c>
    </row>
    <row r="156" spans="1:10" ht="27.75">
      <c r="A156" s="771" t="s">
        <v>347</v>
      </c>
      <c r="B156" s="771"/>
      <c r="C156" s="771"/>
      <c r="D156" s="117" t="s">
        <v>130</v>
      </c>
      <c r="E156" s="95">
        <f>'24'!F156</f>
        <v>0</v>
      </c>
      <c r="F156" s="165">
        <v>0</v>
      </c>
      <c r="G156" s="112">
        <f t="shared" si="12"/>
        <v>0</v>
      </c>
      <c r="H156" s="99">
        <f>G156+'24'!H156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'24'!F158</f>
        <v>470715</v>
      </c>
      <c r="F158" s="235">
        <v>470836</v>
      </c>
      <c r="G158" s="238">
        <f t="shared" ref="G158:G162" si="13">F158-E158</f>
        <v>121</v>
      </c>
      <c r="H158" s="99">
        <f>G158+'24'!H158</f>
        <v>1306.960000000021</v>
      </c>
      <c r="I158" s="236"/>
      <c r="J158" s="239">
        <f>H158/DAY(B2)</f>
        <v>52.278400000000836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'24'!F159</f>
        <v>86452</v>
      </c>
      <c r="F159" s="235">
        <v>86491</v>
      </c>
      <c r="G159" s="238">
        <f t="shared" si="13"/>
        <v>39</v>
      </c>
      <c r="H159" s="99">
        <f>G159+'24'!H159</f>
        <v>785.39999999999418</v>
      </c>
      <c r="I159" s="236"/>
      <c r="J159" s="239">
        <f>H159/DAY(B2)</f>
        <v>31.415999999999766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'24'!F160</f>
        <v>75009</v>
      </c>
      <c r="F160" s="235">
        <v>75084</v>
      </c>
      <c r="G160" s="238">
        <f t="shared" si="13"/>
        <v>75</v>
      </c>
      <c r="H160" s="99">
        <f>G160+'24'!H160</f>
        <v>1747.1000000000058</v>
      </c>
      <c r="I160" s="236"/>
      <c r="J160" s="239">
        <f>H160/DAY(B2)</f>
        <v>69.884000000000228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'24'!F161</f>
        <v>4070</v>
      </c>
      <c r="F161" s="235">
        <v>4075</v>
      </c>
      <c r="G161" s="238">
        <f t="shared" si="13"/>
        <v>5</v>
      </c>
      <c r="H161" s="99">
        <f>G161+'24'!H161</f>
        <v>101.5</v>
      </c>
      <c r="I161" s="236"/>
      <c r="J161" s="239">
        <f>H161/DAY(B2)</f>
        <v>4.0599999999999996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'24'!F162</f>
        <v>29383</v>
      </c>
      <c r="F162" s="235">
        <v>29394</v>
      </c>
      <c r="G162" s="238">
        <f t="shared" si="13"/>
        <v>11</v>
      </c>
      <c r="H162" s="99">
        <f>G162+'24'!H162</f>
        <v>195.86000000000058</v>
      </c>
      <c r="I162" s="236"/>
      <c r="J162" s="239">
        <f>H162/DAY(B2)</f>
        <v>7.8344000000000236</v>
      </c>
    </row>
    <row r="163" spans="1:10" ht="29.25">
      <c r="A163" s="780"/>
      <c r="B163" s="780"/>
      <c r="C163" s="247"/>
      <c r="D163" s="244" t="s">
        <v>180</v>
      </c>
      <c r="E163" s="95">
        <f>'24'!F163</f>
        <v>0</v>
      </c>
      <c r="F163" s="165"/>
      <c r="G163" s="165"/>
      <c r="H163" s="99">
        <f>G163+'24'!H163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'24'!F164</f>
        <v>0</v>
      </c>
      <c r="F164" s="165"/>
      <c r="G164" s="165"/>
      <c r="H164" s="99">
        <f>G164+'24'!H164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'24'!F165</f>
        <v>0</v>
      </c>
      <c r="F165" s="165"/>
      <c r="G165" s="165"/>
      <c r="H165" s="99">
        <f>G165+'24'!H165</f>
        <v>0</v>
      </c>
      <c r="I165" s="165"/>
      <c r="J165" s="239">
        <f>H165/DAY(B2)</f>
        <v>0</v>
      </c>
    </row>
    <row r="166" spans="1:10" ht="29.25">
      <c r="A166" s="246"/>
      <c r="B166" s="247"/>
      <c r="C166" s="247"/>
      <c r="D166" s="165"/>
      <c r="E166" s="165"/>
      <c r="F166" s="165"/>
      <c r="G166" s="165"/>
      <c r="H166" s="156"/>
      <c r="I166" s="165"/>
      <c r="J166" s="347"/>
    </row>
    <row r="167" spans="1:10" ht="21.75" customHeight="1">
      <c r="A167" s="246"/>
      <c r="B167" s="247"/>
      <c r="C167" s="247"/>
      <c r="D167" s="165"/>
      <c r="E167" s="165"/>
      <c r="F167" s="165"/>
      <c r="G167" s="165"/>
      <c r="H167" s="156"/>
      <c r="I167" s="165"/>
      <c r="J167" s="347"/>
    </row>
    <row r="168" spans="1:10" ht="21.75" customHeight="1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1.75" customHeight="1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4.75" customHeight="1">
      <c r="A170" s="786" t="s">
        <v>209</v>
      </c>
      <c r="B170" s="787"/>
      <c r="C170" s="353"/>
      <c r="D170" s="228" t="s">
        <v>142</v>
      </c>
      <c r="E170" s="95">
        <f>'24'!F170</f>
        <v>8107</v>
      </c>
      <c r="F170" s="155">
        <v>8107</v>
      </c>
      <c r="G170" s="155">
        <f>F170-E170</f>
        <v>0</v>
      </c>
      <c r="H170" s="99">
        <f>G170+'24'!H170</f>
        <v>109</v>
      </c>
      <c r="I170" s="155"/>
      <c r="J170" s="178">
        <f>H170/DAY(B2)</f>
        <v>4.3600000000000003</v>
      </c>
    </row>
    <row r="171" spans="1:10" ht="27.75" customHeight="1">
      <c r="A171" s="786" t="s">
        <v>75</v>
      </c>
      <c r="B171" s="787"/>
      <c r="C171" s="353"/>
      <c r="D171" s="228" t="s">
        <v>142</v>
      </c>
      <c r="E171" s="95">
        <f>'24'!F171</f>
        <v>37725</v>
      </c>
      <c r="F171" s="157">
        <v>37737</v>
      </c>
      <c r="G171" s="155">
        <f t="shared" ref="G171:G172" si="14">F171-E171</f>
        <v>12</v>
      </c>
      <c r="H171" s="99">
        <f>G171+'24'!H171</f>
        <v>354</v>
      </c>
      <c r="I171" s="155"/>
      <c r="J171" s="178">
        <f>H171/DAY(B2)</f>
        <v>14.16</v>
      </c>
    </row>
    <row r="172" spans="1:10" ht="21.75" customHeight="1">
      <c r="A172" s="786" t="s">
        <v>76</v>
      </c>
      <c r="B172" s="826"/>
      <c r="C172" s="787"/>
      <c r="D172" s="228" t="s">
        <v>142</v>
      </c>
      <c r="E172" s="95">
        <f>'24'!F172</f>
        <v>21065</v>
      </c>
      <c r="F172" s="155">
        <v>21077</v>
      </c>
      <c r="G172" s="155">
        <f t="shared" si="14"/>
        <v>12</v>
      </c>
      <c r="H172" s="99">
        <f>G172+'24'!H172</f>
        <v>289</v>
      </c>
      <c r="I172" s="155"/>
      <c r="J172" s="178">
        <f>H172/DAY(B2)</f>
        <v>11.56</v>
      </c>
    </row>
    <row r="173" spans="1:10" ht="23.25" customHeight="1">
      <c r="A173" s="775" t="s">
        <v>196</v>
      </c>
      <c r="B173" s="776"/>
      <c r="C173" s="547"/>
      <c r="D173" s="228" t="s">
        <v>142</v>
      </c>
      <c r="E173" s="95"/>
      <c r="F173" s="155"/>
      <c r="G173" s="155">
        <f>SUM(G170:G172)</f>
        <v>24</v>
      </c>
      <c r="H173" s="99">
        <f>G173+'24'!H173</f>
        <v>752</v>
      </c>
      <c r="I173" s="155"/>
      <c r="J173" s="178">
        <f>H173/DAY(B2)</f>
        <v>30.08</v>
      </c>
    </row>
    <row r="174" spans="1:10" ht="21.75" customHeight="1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G174+'24'!H174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'24'!F175</f>
        <v>76767</v>
      </c>
      <c r="F175" s="155">
        <v>76878</v>
      </c>
      <c r="G175" s="155">
        <f>F175-E175</f>
        <v>111</v>
      </c>
      <c r="H175" s="99">
        <f>G175+'24'!H175</f>
        <v>2259</v>
      </c>
      <c r="I175" s="155"/>
      <c r="J175" s="178">
        <f>H175/DAY(B2)</f>
        <v>90.36</v>
      </c>
    </row>
    <row r="176" spans="1:10" ht="24" customHeight="1">
      <c r="A176" s="786" t="s">
        <v>211</v>
      </c>
      <c r="B176" s="787"/>
      <c r="C176" s="353"/>
      <c r="D176" s="228" t="s">
        <v>142</v>
      </c>
      <c r="E176" s="95">
        <f>'24'!F176</f>
        <v>33886</v>
      </c>
      <c r="F176" s="155">
        <v>33886</v>
      </c>
      <c r="G176" s="155">
        <f t="shared" ref="G176:G177" si="15">F176-E176</f>
        <v>0</v>
      </c>
      <c r="H176" s="99">
        <f>G176+'24'!H176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'24'!F177</f>
        <v>5227</v>
      </c>
      <c r="F177" s="155">
        <v>5227</v>
      </c>
      <c r="G177" s="155">
        <f t="shared" si="15"/>
        <v>0</v>
      </c>
      <c r="H177" s="99">
        <f>G177+'24'!H177</f>
        <v>2938</v>
      </c>
      <c r="I177" s="155"/>
      <c r="J177" s="178">
        <f>H177/DAY(B2)</f>
        <v>117.52</v>
      </c>
    </row>
    <row r="178" spans="1:10" ht="27.75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111</v>
      </c>
      <c r="H178" s="99">
        <f>G178+'24'!H178</f>
        <v>5197</v>
      </c>
      <c r="I178" s="155"/>
      <c r="J178" s="178">
        <f>H178/DAY(B2)</f>
        <v>207.88</v>
      </c>
    </row>
    <row r="179" spans="1:10" ht="27.75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G179+'24'!H179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'24'!F180</f>
        <v>14416</v>
      </c>
      <c r="F180" s="157">
        <v>14426</v>
      </c>
      <c r="G180" s="157">
        <f>F180-E180</f>
        <v>10</v>
      </c>
      <c r="H180" s="99">
        <f>G180+'24'!H180</f>
        <v>395</v>
      </c>
      <c r="I180" s="155"/>
      <c r="J180" s="178">
        <f>H180/DAY(B2)</f>
        <v>15.8</v>
      </c>
    </row>
    <row r="181" spans="1:10" ht="30.75" customHeight="1">
      <c r="A181" s="786" t="s">
        <v>215</v>
      </c>
      <c r="B181" s="787"/>
      <c r="C181" s="354"/>
      <c r="D181" s="228" t="s">
        <v>142</v>
      </c>
      <c r="E181" s="95">
        <f>'24'!F181</f>
        <v>9967</v>
      </c>
      <c r="F181" s="157">
        <v>9978</v>
      </c>
      <c r="G181" s="157">
        <f t="shared" ref="G181:G182" si="16">F181-E181</f>
        <v>11</v>
      </c>
      <c r="H181" s="99">
        <f>G181+'24'!H181</f>
        <v>224</v>
      </c>
      <c r="I181" s="155"/>
      <c r="J181" s="178">
        <f>H181/DAY(B2)</f>
        <v>8.9600000000000009</v>
      </c>
    </row>
    <row r="182" spans="1:10" ht="23.25" customHeight="1">
      <c r="A182" s="786" t="s">
        <v>216</v>
      </c>
      <c r="B182" s="787"/>
      <c r="C182" s="354"/>
      <c r="D182" s="228" t="s">
        <v>142</v>
      </c>
      <c r="E182" s="95">
        <f>'24'!F182</f>
        <v>0</v>
      </c>
      <c r="F182" s="157">
        <v>0</v>
      </c>
      <c r="G182" s="157">
        <f t="shared" si="16"/>
        <v>0</v>
      </c>
      <c r="H182" s="99">
        <f>G182+'24'!H182</f>
        <v>0</v>
      </c>
      <c r="I182" s="155"/>
      <c r="J182" s="178">
        <f>H182/DAY(B2)</f>
        <v>0</v>
      </c>
    </row>
    <row r="183" spans="1:10" ht="27.75">
      <c r="A183" s="775" t="s">
        <v>196</v>
      </c>
      <c r="B183" s="776"/>
      <c r="C183" s="546"/>
      <c r="D183" s="228" t="s">
        <v>142</v>
      </c>
      <c r="E183" s="95"/>
      <c r="F183" s="157">
        <v>0</v>
      </c>
      <c r="G183" s="157">
        <f>SUM(G180:G182)</f>
        <v>21</v>
      </c>
      <c r="H183" s="99">
        <f>G183+'24'!H183</f>
        <v>619</v>
      </c>
      <c r="I183" s="157"/>
      <c r="J183" s="178">
        <f>H183/DAY(B2)</f>
        <v>24.76</v>
      </c>
    </row>
    <row r="184" spans="1:10" ht="27.75">
      <c r="A184" s="777" t="s">
        <v>217</v>
      </c>
      <c r="B184" s="778"/>
      <c r="C184" s="353"/>
      <c r="D184" s="228" t="s">
        <v>142</v>
      </c>
      <c r="E184" s="95">
        <f>'24'!F184</f>
        <v>0</v>
      </c>
      <c r="F184" s="159"/>
      <c r="G184" s="524">
        <f>G62+G19</f>
        <v>221</v>
      </c>
      <c r="H184" s="99">
        <f>G184+'24'!H184</f>
        <v>4414</v>
      </c>
      <c r="I184" s="158"/>
      <c r="J184" s="179">
        <f>H184/DAY(B2)</f>
        <v>176.56</v>
      </c>
    </row>
    <row r="185" spans="1:10" ht="27.75">
      <c r="A185" s="777" t="s">
        <v>218</v>
      </c>
      <c r="B185" s="778"/>
      <c r="C185" s="353"/>
      <c r="D185" s="230" t="s">
        <v>142</v>
      </c>
      <c r="E185" s="95">
        <f>'24'!F185</f>
        <v>0</v>
      </c>
      <c r="F185" s="159"/>
      <c r="G185" s="524">
        <f>G65+G66+G67+G69+G70</f>
        <v>220</v>
      </c>
      <c r="H185" s="99">
        <f>G185+'24'!H185</f>
        <v>2013</v>
      </c>
      <c r="I185" s="158"/>
      <c r="J185" s="179">
        <f>H185/DAY(B2)</f>
        <v>80.52</v>
      </c>
    </row>
    <row r="186" spans="1:10" ht="27.75">
      <c r="A186" s="777" t="s">
        <v>219</v>
      </c>
      <c r="B186" s="778"/>
      <c r="C186" s="353"/>
      <c r="D186" s="230" t="s">
        <v>142</v>
      </c>
      <c r="E186" s="95">
        <f>'24'!F186</f>
        <v>0</v>
      </c>
      <c r="F186" s="157"/>
      <c r="G186" s="521">
        <f>G178</f>
        <v>111</v>
      </c>
      <c r="H186" s="99">
        <f>G186+'24'!H186</f>
        <v>765</v>
      </c>
      <c r="I186" s="158"/>
      <c r="J186" s="179">
        <f>H186/DAY(B2)</f>
        <v>30.6</v>
      </c>
    </row>
    <row r="187" spans="1:10" ht="27.75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310" ht="29.25"/>
    <row r="311" ht="29.25"/>
    <row r="312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</sheetData>
  <mergeCells count="112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1:B181"/>
    <mergeCell ref="A178:B178"/>
    <mergeCell ref="A180:B180"/>
    <mergeCell ref="A179:B179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698"/>
  <sheetViews>
    <sheetView view="pageBreakPreview" zoomScale="60" workbookViewId="0">
      <selection activeCell="A2" sqref="A2:XFD18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303</v>
      </c>
      <c r="B2" s="266">
        <v>44526</v>
      </c>
      <c r="C2" s="36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29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'25'!F7</f>
        <v>280971</v>
      </c>
      <c r="F7" s="95">
        <v>307965</v>
      </c>
      <c r="G7" s="112">
        <f>F7-E7</f>
        <v>26994</v>
      </c>
      <c r="H7" s="99">
        <f>G7+'25'!H7</f>
        <v>621701.69999999984</v>
      </c>
      <c r="I7" s="113">
        <f>'1'!I7</f>
        <v>12000</v>
      </c>
      <c r="J7" s="175">
        <f>H7/DAY(B2)</f>
        <v>23911.603846153841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'25'!F8</f>
        <v>316859</v>
      </c>
      <c r="F8" s="95">
        <v>344127</v>
      </c>
      <c r="G8" s="115">
        <f>F8-E8</f>
        <v>27268</v>
      </c>
      <c r="H8" s="99">
        <f>G8+'25'!H8</f>
        <v>630963.10000000009</v>
      </c>
      <c r="I8" s="116"/>
      <c r="J8" s="175">
        <f>H8/DAY(B2)</f>
        <v>24267.811538461541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'25'!F9</f>
        <v>1641957</v>
      </c>
      <c r="F9" s="373">
        <v>1659392</v>
      </c>
      <c r="G9" s="112">
        <f>F9-E9</f>
        <v>17435</v>
      </c>
      <c r="H9" s="99">
        <f>G9+'25'!H9</f>
        <v>398113.5</v>
      </c>
      <c r="I9" s="124">
        <f>I7-J7</f>
        <v>-11911.603846153841</v>
      </c>
      <c r="J9" s="175">
        <f>H9/DAY(B2)</f>
        <v>15312.057692307691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'25'!F10</f>
        <v>366577</v>
      </c>
      <c r="F10" s="373">
        <v>375421</v>
      </c>
      <c r="G10" s="112">
        <f t="shared" ref="G10:G12" si="0">F10-E10</f>
        <v>8844</v>
      </c>
      <c r="H10" s="99">
        <f>G10+'25'!H10</f>
        <v>207037.07</v>
      </c>
      <c r="I10" s="286"/>
      <c r="J10" s="175">
        <f>H10/DAY(B2)</f>
        <v>7962.9642307692311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'25'!F11</f>
        <v>37000</v>
      </c>
      <c r="F11" s="95">
        <v>37000</v>
      </c>
      <c r="G11" s="112">
        <f t="shared" si="0"/>
        <v>0</v>
      </c>
      <c r="H11" s="99">
        <f>G11+'25'!H11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26279</v>
      </c>
      <c r="H13" s="99">
        <f>G13+'25'!H13</f>
        <v>584344.11</v>
      </c>
      <c r="I13" s="120">
        <f>G7-G13</f>
        <v>715</v>
      </c>
      <c r="J13" s="175">
        <f>H13/DAY(B2)</f>
        <v>22474.773461538462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'25'!F15</f>
        <v>1837493</v>
      </c>
      <c r="F15" s="123">
        <v>1838694</v>
      </c>
      <c r="G15" s="112">
        <f>(F15-E15)</f>
        <v>1201</v>
      </c>
      <c r="H15" s="99">
        <f>G15+'25'!H15</f>
        <v>25763.189999999973</v>
      </c>
      <c r="I15" s="113">
        <f>'1'!I15</f>
        <v>800</v>
      </c>
      <c r="J15" s="175">
        <f>H15/DAY(B2)</f>
        <v>990.89192307692201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-190.89192307692201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'25'!F18</f>
        <v>24</v>
      </c>
      <c r="F18" s="122">
        <v>24</v>
      </c>
      <c r="G18" s="119">
        <f>F18*10</f>
        <v>240</v>
      </c>
      <c r="H18" s="99">
        <f>G18+'25'!H18</f>
        <v>5340</v>
      </c>
      <c r="I18" s="113">
        <f>'1'!I18</f>
        <v>65</v>
      </c>
      <c r="J18" s="175">
        <f>H18/DAY(B2)</f>
        <v>205.38461538461539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'25'!F19</f>
        <v>150321</v>
      </c>
      <c r="F19" s="122">
        <v>150372</v>
      </c>
      <c r="G19" s="112">
        <f t="shared" ref="G19" si="1">F19-E19</f>
        <v>51</v>
      </c>
      <c r="H19" s="99">
        <f>G19+'25'!H19</f>
        <v>1455</v>
      </c>
      <c r="I19" s="355"/>
      <c r="J19" s="175">
        <f>H19/DAY(B2)</f>
        <v>55.96153846153846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291</v>
      </c>
      <c r="H20" s="99">
        <f>G20+'25'!H20</f>
        <v>6795</v>
      </c>
      <c r="I20" s="356">
        <f>I18-J20</f>
        <v>-196.34615384615387</v>
      </c>
      <c r="J20" s="175">
        <f>H20/DAY(B2)</f>
        <v>261.34615384615387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27268</v>
      </c>
      <c r="F27" s="136">
        <v>9</v>
      </c>
      <c r="G27" s="137">
        <f>E27*F27</f>
        <v>245412</v>
      </c>
      <c r="H27" s="99">
        <f>G27+'25'!H27</f>
        <v>5678667.9000000013</v>
      </c>
      <c r="I27" s="138"/>
      <c r="J27" s="175">
        <f>H27/DAY(B2)</f>
        <v>218410.3038461539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1201</v>
      </c>
      <c r="F28" s="136">
        <v>52</v>
      </c>
      <c r="G28" s="137">
        <f>E28*F28</f>
        <v>62452</v>
      </c>
      <c r="H28" s="99">
        <f>G28+'25'!H28</f>
        <v>1339685.8799999985</v>
      </c>
      <c r="I28" s="140"/>
      <c r="J28" s="175">
        <f>H28/DAY(B2)</f>
        <v>51526.379999999939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G30+'25'!H30</f>
        <v>212430</v>
      </c>
      <c r="I30" s="140"/>
      <c r="J30" s="175">
        <f>H30/DAY(B2)</f>
        <v>8170.3846153846152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G31+'25'!H31</f>
        <v>427200</v>
      </c>
      <c r="I31" s="140"/>
      <c r="J31" s="175">
        <f>H31/DAY(B2)</f>
        <v>16430.76923076923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334510</v>
      </c>
      <c r="H32" s="99">
        <f>G32+'25'!H32</f>
        <v>7657983.7799999993</v>
      </c>
      <c r="I32" s="144"/>
      <c r="J32" s="175">
        <f>H32/DAY(B2)</f>
        <v>294537.83769230766</v>
      </c>
      <c r="K32" s="63"/>
      <c r="L32" s="89"/>
      <c r="N32" s="87"/>
      <c r="O32" s="71"/>
    </row>
    <row r="33" spans="1:15" ht="25.5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'25'!F35</f>
        <v>82986</v>
      </c>
      <c r="F35" s="145">
        <v>85065</v>
      </c>
      <c r="G35" s="112">
        <f t="shared" ref="G35:G46" si="3">F35-E35</f>
        <v>2079</v>
      </c>
      <c r="H35" s="99">
        <f>G35+'25'!H35</f>
        <v>52590.33</v>
      </c>
      <c r="I35" s="95"/>
      <c r="J35" s="175">
        <f>H35/DAY(B2)</f>
        <v>2022.7050000000002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'25'!F36</f>
        <v>74354</v>
      </c>
      <c r="F36" s="145">
        <v>75579</v>
      </c>
      <c r="G36" s="112">
        <f t="shared" si="3"/>
        <v>1225</v>
      </c>
      <c r="H36" s="99">
        <f>G36+'25'!H36</f>
        <v>25639.33</v>
      </c>
      <c r="I36" s="95"/>
      <c r="J36" s="175">
        <f>H36/DAY(B2)</f>
        <v>986.12807692307695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'25'!F37</f>
        <v>137254</v>
      </c>
      <c r="F37" s="145">
        <v>138888</v>
      </c>
      <c r="G37" s="112">
        <f t="shared" si="3"/>
        <v>1634</v>
      </c>
      <c r="H37" s="99">
        <f>G37+'25'!H37</f>
        <v>41834.17</v>
      </c>
      <c r="I37" s="95"/>
      <c r="J37" s="175">
        <f>H37/DAY(B2)</f>
        <v>1609.0065384615384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'25'!F38</f>
        <v>161439</v>
      </c>
      <c r="F38" s="108">
        <v>163441</v>
      </c>
      <c r="G38" s="112">
        <f t="shared" si="3"/>
        <v>2002</v>
      </c>
      <c r="H38" s="99">
        <f>G38+'25'!H38</f>
        <v>48217.960000000006</v>
      </c>
      <c r="I38" s="95"/>
      <c r="J38" s="175">
        <f>H38/DAY(B2)</f>
        <v>1854.5369230769234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'25'!F39</f>
        <v>306623</v>
      </c>
      <c r="F39" s="145">
        <v>309771</v>
      </c>
      <c r="G39" s="112">
        <f t="shared" si="3"/>
        <v>3148</v>
      </c>
      <c r="H39" s="99">
        <f>G39+'25'!H39</f>
        <v>76389.950000000012</v>
      </c>
      <c r="I39" s="95"/>
      <c r="J39" s="175">
        <f>H39/DAY(B2)</f>
        <v>2938.0750000000003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'25'!F40</f>
        <v>104</v>
      </c>
      <c r="F40" s="145">
        <v>106</v>
      </c>
      <c r="G40" s="112">
        <f t="shared" si="3"/>
        <v>2</v>
      </c>
      <c r="H40" s="99">
        <f>G40+'25'!H40</f>
        <v>149.63000000000002</v>
      </c>
      <c r="I40" s="95"/>
      <c r="J40" s="175">
        <f>H40/DAY(B2)</f>
        <v>5.7550000000000008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'25'!F41</f>
        <v>589882.79</v>
      </c>
      <c r="F41" s="145">
        <v>589883</v>
      </c>
      <c r="G41" s="112">
        <f t="shared" si="3"/>
        <v>0.2099999999627471</v>
      </c>
      <c r="H41" s="99">
        <f>G41+'25'!H41</f>
        <v>8024.1700000000419</v>
      </c>
      <c r="I41" s="95"/>
      <c r="J41" s="175">
        <f>H41/DAY(B2)</f>
        <v>308.6219230769247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'25'!F42</f>
        <v>307856</v>
      </c>
      <c r="F42" s="145">
        <v>310824</v>
      </c>
      <c r="G42" s="112">
        <f t="shared" si="3"/>
        <v>2968</v>
      </c>
      <c r="H42" s="99">
        <f>G42+'25'!H42</f>
        <v>39854.330000000016</v>
      </c>
      <c r="I42" s="95"/>
      <c r="J42" s="175">
        <f>H42/DAY(B2)</f>
        <v>1532.8588461538468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'25'!F43</f>
        <v>1515478</v>
      </c>
      <c r="F43" s="145">
        <v>1518464</v>
      </c>
      <c r="G43" s="112">
        <f t="shared" si="3"/>
        <v>2986</v>
      </c>
      <c r="H43" s="99">
        <f>G43+'25'!H43</f>
        <v>72376.600000000093</v>
      </c>
      <c r="I43" s="95"/>
      <c r="J43" s="175">
        <f>H43/DAY(B2)</f>
        <v>2783.7153846153883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16044.209999999963</v>
      </c>
      <c r="H47" s="99">
        <f>G47+'25'!H47</f>
        <v>365076.47000000015</v>
      </c>
      <c r="I47" s="95"/>
      <c r="J47" s="175">
        <f>H47/DAY(B2)</f>
        <v>14041.402692307698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'25'!F49</f>
        <v>212245</v>
      </c>
      <c r="F49" s="145">
        <v>213808</v>
      </c>
      <c r="G49" s="112">
        <f t="shared" ref="G49:G58" si="4">F49-E49</f>
        <v>1563</v>
      </c>
      <c r="H49" s="99">
        <f>G49+'25'!H49</f>
        <v>41077.609999999986</v>
      </c>
      <c r="I49" s="95"/>
      <c r="J49" s="175">
        <f>H49/DAY(B2)</f>
        <v>1579.9080769230764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'25'!F50</f>
        <v>716238</v>
      </c>
      <c r="F50" s="145">
        <v>717864</v>
      </c>
      <c r="G50" s="112">
        <f t="shared" si="4"/>
        <v>1626</v>
      </c>
      <c r="H50" s="99">
        <f>G50+'25'!H50</f>
        <v>33501.689999999944</v>
      </c>
      <c r="I50" s="95"/>
      <c r="J50" s="175">
        <f>H50/DAY(B2)</f>
        <v>1288.5265384615363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'25'!F54</f>
        <v>3002</v>
      </c>
      <c r="F54" s="145">
        <v>3007</v>
      </c>
      <c r="G54" s="112">
        <f t="shared" si="4"/>
        <v>5</v>
      </c>
      <c r="H54" s="99">
        <f>G54+'25'!H54</f>
        <v>139.51000000000022</v>
      </c>
      <c r="I54" s="95"/>
      <c r="J54" s="175">
        <f>H54/DAY(B2)</f>
        <v>5.3657692307692395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'25'!F55</f>
        <v>0</v>
      </c>
      <c r="F55" s="145">
        <v>0</v>
      </c>
      <c r="G55" s="112">
        <f t="shared" si="4"/>
        <v>0</v>
      </c>
      <c r="H55" s="99">
        <f>G55+'25'!H55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'25'!F56</f>
        <v>166919</v>
      </c>
      <c r="F56" s="145">
        <v>172393</v>
      </c>
      <c r="G56" s="112">
        <f t="shared" si="4"/>
        <v>5474</v>
      </c>
      <c r="H56" s="99">
        <f>G56+'25'!H56</f>
        <v>129552.70999999999</v>
      </c>
      <c r="I56" s="95"/>
      <c r="J56" s="175">
        <f>H56/DAY(B2)</f>
        <v>4982.7965384615381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'25'!F58</f>
        <v>84179</v>
      </c>
      <c r="F58" s="145">
        <v>84389</v>
      </c>
      <c r="G58" s="112">
        <f t="shared" si="4"/>
        <v>210</v>
      </c>
      <c r="H58" s="99">
        <f>G58+'25'!H58</f>
        <v>5369.1000000000058</v>
      </c>
      <c r="I58" s="95"/>
      <c r="J58" s="175">
        <f>H58/DAY(B2)</f>
        <v>206.50384615384638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8878</v>
      </c>
      <c r="H59" s="99">
        <f>G59+'25'!H59</f>
        <v>209640.61999999988</v>
      </c>
      <c r="I59" s="95">
        <f>G7-G60</f>
        <v>2071.7900000000373</v>
      </c>
      <c r="J59" s="175">
        <f>H59/DAY(B2)</f>
        <v>8063.1007692307649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24922.209999999963</v>
      </c>
      <c r="H60" s="99">
        <f>G60+'25'!H60</f>
        <v>574717.09000000008</v>
      </c>
      <c r="I60" s="95">
        <f>G13-G60</f>
        <v>1356.7900000000373</v>
      </c>
      <c r="J60" s="175">
        <f>H60/DAY(B2)</f>
        <v>22104.503461538465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'25'!F62</f>
        <v>262828</v>
      </c>
      <c r="F62" s="122">
        <v>262955</v>
      </c>
      <c r="G62" s="112">
        <f t="shared" ref="G62:G63" si="5">F62-E62</f>
        <v>127</v>
      </c>
      <c r="H62" s="99">
        <f>G62+'25'!H62</f>
        <v>3137</v>
      </c>
      <c r="I62" s="118"/>
      <c r="J62" s="175">
        <f>H62/DAY(B2)</f>
        <v>120.65384615384616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'25'!F63</f>
        <v>208748</v>
      </c>
      <c r="F63" s="122">
        <v>208884</v>
      </c>
      <c r="G63" s="112">
        <f t="shared" si="5"/>
        <v>136</v>
      </c>
      <c r="H63" s="99">
        <f>G63+'25'!H63</f>
        <v>2614</v>
      </c>
      <c r="I63" s="118"/>
      <c r="J63" s="175">
        <f>H63/DAY(B2)</f>
        <v>100.53846153846153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'25'!F64</f>
        <v>0</v>
      </c>
      <c r="F64" s="122"/>
      <c r="G64" s="112">
        <f>G62+G63</f>
        <v>263</v>
      </c>
      <c r="H64" s="99">
        <f>G64+'25'!H64</f>
        <v>5751</v>
      </c>
      <c r="I64" s="118"/>
      <c r="J64" s="175">
        <f>H64/DAY(B2)</f>
        <v>221.19230769230768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'25'!F65</f>
        <v>428816</v>
      </c>
      <c r="F65" s="122">
        <v>428936</v>
      </c>
      <c r="G65" s="112">
        <f t="shared" ref="G65:G70" si="6">F65-E65</f>
        <v>120</v>
      </c>
      <c r="H65" s="99">
        <f>G65+'25'!H65</f>
        <v>2731</v>
      </c>
      <c r="I65" s="118"/>
      <c r="J65" s="175">
        <f>H65/DAY(B2)</f>
        <v>105.03846153846153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'25'!F66</f>
        <v>106508</v>
      </c>
      <c r="F66" s="122">
        <v>106526</v>
      </c>
      <c r="G66" s="112">
        <f t="shared" si="6"/>
        <v>18</v>
      </c>
      <c r="H66" s="99">
        <f>G66+'25'!H66</f>
        <v>556</v>
      </c>
      <c r="I66" s="118"/>
      <c r="J66" s="175">
        <f>H66/DAY(B2)</f>
        <v>21.384615384615383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'25'!F67</f>
        <v>102859</v>
      </c>
      <c r="F67" s="122">
        <v>102886</v>
      </c>
      <c r="G67" s="112">
        <f t="shared" si="6"/>
        <v>27</v>
      </c>
      <c r="H67" s="99">
        <f>G67+'25'!H67</f>
        <v>715</v>
      </c>
      <c r="I67" s="118"/>
      <c r="J67" s="175">
        <f>H67/DAY(B2)</f>
        <v>27.5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'25'!F68</f>
        <v>155257</v>
      </c>
      <c r="F68" s="122">
        <v>155290</v>
      </c>
      <c r="G68" s="112">
        <f t="shared" si="6"/>
        <v>33</v>
      </c>
      <c r="H68" s="99">
        <f>G68+'25'!H68</f>
        <v>794</v>
      </c>
      <c r="I68" s="118"/>
      <c r="J68" s="175">
        <f>H68/DAY(B2)</f>
        <v>30.53846153846154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'25'!F69</f>
        <v>9786</v>
      </c>
      <c r="F69" s="122">
        <v>9800</v>
      </c>
      <c r="G69" s="112">
        <f t="shared" si="6"/>
        <v>14</v>
      </c>
      <c r="H69" s="99">
        <f>G69+'25'!H69</f>
        <v>335</v>
      </c>
      <c r="I69" s="118"/>
      <c r="J69" s="175">
        <f>H69/DAY(B2)</f>
        <v>12.884615384615385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'25'!F70</f>
        <v>7484</v>
      </c>
      <c r="F70" s="122">
        <v>7503</v>
      </c>
      <c r="G70" s="112">
        <f t="shared" si="6"/>
        <v>19</v>
      </c>
      <c r="H70" s="99">
        <f>G70+'25'!H70</f>
        <v>300</v>
      </c>
      <c r="I70" s="118"/>
      <c r="J70" s="175">
        <f>H70/DAY(B2)</f>
        <v>11.538461538461538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231</v>
      </c>
      <c r="H71" s="99">
        <f>G71+'25'!H71</f>
        <v>5431</v>
      </c>
      <c r="I71" s="154"/>
      <c r="J71" s="175">
        <f>H71/DAY(B2)</f>
        <v>208.88461538461539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'25'!F74</f>
        <v>880780</v>
      </c>
      <c r="F74" s="123">
        <v>881075</v>
      </c>
      <c r="G74" s="112">
        <f t="shared" ref="G74:G78" si="7">F74-E74</f>
        <v>295</v>
      </c>
      <c r="H74" s="99">
        <f>G74+'25'!H74</f>
        <v>7489.7689999999711</v>
      </c>
      <c r="I74" s="154"/>
      <c r="J74" s="175">
        <f>H74/DAY(B2)</f>
        <v>288.06803846153736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3.4000000000087311</v>
      </c>
      <c r="I75" s="154"/>
      <c r="J75" s="175">
        <f>H75/DAY(B2)</f>
        <v>0.13076923076956659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'25'!F76</f>
        <v>162774</v>
      </c>
      <c r="F76" s="123">
        <v>162916</v>
      </c>
      <c r="G76" s="112">
        <f t="shared" si="7"/>
        <v>142</v>
      </c>
      <c r="H76" s="99">
        <f>G76+'25'!H76</f>
        <v>2930.5</v>
      </c>
      <c r="I76" s="154"/>
      <c r="J76" s="175">
        <f>H76/DAY(B2)</f>
        <v>112.71153846153847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'25'!F77</f>
        <v>38568</v>
      </c>
      <c r="F77" s="123">
        <v>38637</v>
      </c>
      <c r="G77" s="112">
        <f t="shared" si="7"/>
        <v>69</v>
      </c>
      <c r="H77" s="99">
        <f>G77+'25'!H77</f>
        <v>1139.5</v>
      </c>
      <c r="I77" s="154"/>
      <c r="J77" s="175">
        <f>H77/DAY(B2)</f>
        <v>43.82692307692308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'25'!F78</f>
        <v>9394</v>
      </c>
      <c r="F78" s="123">
        <v>9400</v>
      </c>
      <c r="G78" s="112">
        <f t="shared" si="7"/>
        <v>6</v>
      </c>
      <c r="H78" s="99">
        <f>G78+'25'!H78</f>
        <v>70.600000000000364</v>
      </c>
      <c r="I78" s="118"/>
      <c r="J78" s="175">
        <f>H78/DAY(B2)</f>
        <v>2.7153846153846293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'25'!F79</f>
        <v>0</v>
      </c>
      <c r="F79" s="117"/>
      <c r="G79" s="112">
        <f>G15-SUM(G74:G78)</f>
        <v>689</v>
      </c>
      <c r="H79" s="99">
        <f>G79+'25'!H79</f>
        <v>14129.420999999991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1201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'25'!F84</f>
        <v>41625.31</v>
      </c>
      <c r="F84" s="164">
        <v>41625.31</v>
      </c>
      <c r="G84" s="112">
        <f t="shared" si="8"/>
        <v>0</v>
      </c>
      <c r="H84" s="99">
        <f>G84+'25'!H84</f>
        <v>39.75</v>
      </c>
      <c r="I84" s="118"/>
      <c r="J84" s="175">
        <f>H84/DAY(B2)</f>
        <v>1.5288461538461537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'25'!F85</f>
        <v>1475</v>
      </c>
      <c r="F85" s="164">
        <v>1488</v>
      </c>
      <c r="G85" s="112">
        <f t="shared" si="8"/>
        <v>13</v>
      </c>
      <c r="H85" s="99">
        <f>G85+'25'!H85</f>
        <v>183</v>
      </c>
      <c r="I85" s="118">
        <f>G82+G83+G84+G85</f>
        <v>13</v>
      </c>
      <c r="J85" s="175">
        <f>H85/DAY(B2)</f>
        <v>7.0384615384615383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'25'!F86</f>
        <v>42826.47</v>
      </c>
      <c r="F86" s="164">
        <v>42826.47</v>
      </c>
      <c r="G86" s="112">
        <f t="shared" si="8"/>
        <v>0</v>
      </c>
      <c r="H86" s="99">
        <f>G86+'25'!H86</f>
        <v>0.47000000000116415</v>
      </c>
      <c r="I86" s="118"/>
      <c r="J86" s="175">
        <f>H86/DAY(B2)</f>
        <v>1.807692307696785E-2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'25'!F87</f>
        <v>34314</v>
      </c>
      <c r="F87" s="164">
        <v>34338</v>
      </c>
      <c r="G87" s="112">
        <f t="shared" si="8"/>
        <v>24</v>
      </c>
      <c r="H87" s="99">
        <f>G87+'25'!H87</f>
        <v>590</v>
      </c>
      <c r="I87" s="118"/>
      <c r="J87" s="175">
        <f>H87/DAY(B2)</f>
        <v>22.692307692307693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'25'!F88</f>
        <v>23932</v>
      </c>
      <c r="F88" s="164">
        <v>23931.69</v>
      </c>
      <c r="G88" s="112">
        <f t="shared" si="8"/>
        <v>-0.31000000000130967</v>
      </c>
      <c r="H88" s="99">
        <f>G88+'25'!H88</f>
        <v>98.119999999998981</v>
      </c>
      <c r="I88" s="118">
        <f>G86+G87+G88</f>
        <v>23.68999999999869</v>
      </c>
      <c r="J88" s="175">
        <f>H88/DAY(B2)</f>
        <v>3.7738461538461148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'25'!F89</f>
        <v>25394</v>
      </c>
      <c r="F89" s="164">
        <v>25405.56</v>
      </c>
      <c r="G89" s="112">
        <f t="shared" si="8"/>
        <v>11.56000000000131</v>
      </c>
      <c r="H89" s="99">
        <f>G89+'25'!H89</f>
        <v>160.18000000000029</v>
      </c>
      <c r="I89" s="118"/>
      <c r="J89" s="175">
        <f>H89/DAY(B2)</f>
        <v>6.1607692307692421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'25'!F90</f>
        <v>70795</v>
      </c>
      <c r="F90" s="164">
        <v>70801.08</v>
      </c>
      <c r="G90" s="112">
        <f t="shared" si="8"/>
        <v>6.0800000000017462</v>
      </c>
      <c r="H90" s="99">
        <f>G90+'25'!H90</f>
        <v>145.66999999999825</v>
      </c>
      <c r="I90" s="118">
        <f>G89+G90</f>
        <v>17.640000000003056</v>
      </c>
      <c r="J90" s="175">
        <f>H90/DAY(B2)</f>
        <v>5.6026923076922408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-0.32000000000016371</v>
      </c>
      <c r="I91" s="165"/>
      <c r="J91" s="175">
        <f>H91/DAY(B2)</f>
        <v>-1.2307692307698605E-2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'25'!F92</f>
        <v>5044</v>
      </c>
      <c r="F92" s="122">
        <v>5054.7</v>
      </c>
      <c r="G92" s="112">
        <f t="shared" si="8"/>
        <v>10.699999999999818</v>
      </c>
      <c r="H92" s="99">
        <f>G92+'25'!H92</f>
        <v>262.88000000000011</v>
      </c>
      <c r="I92" s="165"/>
      <c r="J92" s="175">
        <f>H92/DAY(B2)</f>
        <v>10.110769230769234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6628</v>
      </c>
      <c r="H94" s="99">
        <f>G94+'25'!H94</f>
        <v>166044.54000000004</v>
      </c>
      <c r="I94" s="118"/>
      <c r="J94" s="175">
        <f>H94/DAY(B2)</f>
        <v>6386.3284615384628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0.24553604504704749</v>
      </c>
      <c r="H95" s="99">
        <f>G95+'25'!H95</f>
        <v>6.9856601576000514</v>
      </c>
      <c r="I95" s="167"/>
      <c r="J95" s="175">
        <f>H95/DAY(B2)</f>
        <v>0.26867923683077122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8442.2099999999627</v>
      </c>
      <c r="H96" s="99">
        <f>G96+'25'!H96</f>
        <v>177431.21000000005</v>
      </c>
      <c r="I96" s="118"/>
      <c r="J96" s="175">
        <f>H96/DAY(B2)</f>
        <v>6824.2773076923095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0.31274394309846493</v>
      </c>
      <c r="H97" s="99">
        <f>G97+'25'!H97</f>
        <v>7.3394268418664597</v>
      </c>
      <c r="I97" s="167"/>
      <c r="J97" s="175">
        <f>H97/DAY(B2)</f>
        <v>0.28228564776409459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3148</v>
      </c>
      <c r="H98" s="99">
        <f>G98+'25'!H98</f>
        <v>76389.950000000012</v>
      </c>
      <c r="I98" s="168"/>
      <c r="J98" s="175">
        <f>H98/DAY(B2)</f>
        <v>2938.0750000000003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0.11661850781655182</v>
      </c>
      <c r="H99" s="99">
        <f>G99+'25'!H99</f>
        <v>3.2192002374417688</v>
      </c>
      <c r="I99" s="168"/>
      <c r="J99" s="175">
        <f>H99/DAY(B2)</f>
        <v>0.12381539374776034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2002</v>
      </c>
      <c r="H100" s="99">
        <f>G100+'25'!H100</f>
        <v>48217.960000000006</v>
      </c>
      <c r="I100" s="118"/>
      <c r="J100" s="175">
        <f>H100/DAY(B2)</f>
        <v>1854.5369230769234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7.416462917685411E-2</v>
      </c>
      <c r="H101" s="99">
        <f>G101+'25'!H101</f>
        <v>2.0298782784316729</v>
      </c>
      <c r="I101" s="168"/>
      <c r="J101" s="175">
        <f>H101/DAY(B2)</f>
        <v>7.8072241478141263E-2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2851</v>
      </c>
      <c r="H102" s="99">
        <f>G102+'25'!H102</f>
        <v>59141.019999999946</v>
      </c>
      <c r="I102" s="168"/>
      <c r="J102" s="175">
        <f>H102/DAY(B2)</f>
        <v>2274.6546153846134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0.10561606282877677</v>
      </c>
      <c r="H103" s="99">
        <f>G103+'25'!H103</f>
        <v>2.455785551949083</v>
      </c>
      <c r="I103" s="118"/>
      <c r="J103" s="175">
        <f>H103/DAY(B2)</f>
        <v>9.4453290459580119E-2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1634</v>
      </c>
      <c r="H104" s="99">
        <f>G104+'25'!H104</f>
        <v>41834.17</v>
      </c>
      <c r="I104" s="118"/>
      <c r="J104" s="175">
        <f>H104/DAY(B2)</f>
        <v>1609.0065384615384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6.0531970067422392E-2</v>
      </c>
      <c r="H105" s="99">
        <f>G105+'25'!H105</f>
        <v>1.7624461717417264</v>
      </c>
      <c r="I105" s="187"/>
      <c r="J105" s="188">
        <f>H105/DAY(B2)</f>
        <v>6.7786391220835629E-2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'25'!F112</f>
        <v>52945</v>
      </c>
      <c r="F112" s="237">
        <v>53027</v>
      </c>
      <c r="G112" s="112">
        <f t="shared" ref="G112:G123" si="9">F112-E112</f>
        <v>82</v>
      </c>
      <c r="H112" s="99">
        <f>G112+'25'!H112</f>
        <v>2137.9199999999983</v>
      </c>
      <c r="I112" s="165"/>
      <c r="J112" s="348">
        <f>H112/DAY(B2)</f>
        <v>82.227692307692237</v>
      </c>
    </row>
    <row r="113" spans="1:18" ht="27.75">
      <c r="A113" s="793" t="s">
        <v>253</v>
      </c>
      <c r="B113" s="794"/>
      <c r="C113" s="795"/>
      <c r="D113" s="146" t="s">
        <v>183</v>
      </c>
      <c r="E113" s="95">
        <f>'25'!F113</f>
        <v>15726</v>
      </c>
      <c r="F113" s="237">
        <v>16197</v>
      </c>
      <c r="G113" s="112">
        <f t="shared" si="9"/>
        <v>471</v>
      </c>
      <c r="H113" s="99">
        <f>G113+'25'!H113</f>
        <v>11691.35</v>
      </c>
      <c r="I113" s="165"/>
      <c r="J113" s="348">
        <f>H113/DAY(B2)</f>
        <v>449.6673076923077</v>
      </c>
    </row>
    <row r="114" spans="1:18" ht="27.75">
      <c r="A114" s="793" t="s">
        <v>254</v>
      </c>
      <c r="B114" s="794"/>
      <c r="C114" s="795"/>
      <c r="D114" s="146" t="s">
        <v>183</v>
      </c>
      <c r="E114" s="95">
        <f>'25'!F114</f>
        <v>12230</v>
      </c>
      <c r="F114" s="237">
        <v>12690</v>
      </c>
      <c r="G114" s="112">
        <f t="shared" si="9"/>
        <v>460</v>
      </c>
      <c r="H114" s="99">
        <f>G114+'25'!H114</f>
        <v>8883.89</v>
      </c>
      <c r="I114" s="165"/>
      <c r="J114" s="348">
        <f>H114/DAY(B2)</f>
        <v>341.68807692307689</v>
      </c>
    </row>
    <row r="115" spans="1:18" ht="27.75">
      <c r="A115" s="793" t="s">
        <v>255</v>
      </c>
      <c r="B115" s="794"/>
      <c r="C115" s="795"/>
      <c r="D115" s="146" t="s">
        <v>183</v>
      </c>
      <c r="E115" s="95">
        <f>'25'!F115</f>
        <v>8364</v>
      </c>
      <c r="F115" s="237">
        <v>8379</v>
      </c>
      <c r="G115" s="112">
        <f t="shared" si="9"/>
        <v>15</v>
      </c>
      <c r="H115" s="99">
        <f>G115+'25'!H115</f>
        <v>301.59000000000015</v>
      </c>
      <c r="I115" s="165"/>
      <c r="J115" s="348">
        <f>H115/DAY(B2)</f>
        <v>11.59961538461539</v>
      </c>
    </row>
    <row r="116" spans="1:18" ht="27.75">
      <c r="A116" s="800" t="s">
        <v>96</v>
      </c>
      <c r="B116" s="801"/>
      <c r="C116" s="802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7.75">
      <c r="A117" s="800" t="s">
        <v>184</v>
      </c>
      <c r="B117" s="801"/>
      <c r="C117" s="802"/>
      <c r="D117" s="146" t="s">
        <v>183</v>
      </c>
      <c r="E117" s="95">
        <f>'25'!F117</f>
        <v>1836</v>
      </c>
      <c r="F117" s="237">
        <v>1858</v>
      </c>
      <c r="G117" s="112">
        <f t="shared" si="9"/>
        <v>22</v>
      </c>
      <c r="H117" s="99">
        <f>G117+'25'!H117</f>
        <v>699.81</v>
      </c>
      <c r="I117" s="165"/>
      <c r="J117" s="348">
        <f>H117/DAY(B2)</f>
        <v>26.915769230769229</v>
      </c>
      <c r="Q117" s="793" t="s">
        <v>312</v>
      </c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'25'!F118</f>
        <v>227870</v>
      </c>
      <c r="F118" s="237">
        <v>228291</v>
      </c>
      <c r="G118" s="112">
        <f t="shared" si="9"/>
        <v>421</v>
      </c>
      <c r="H118" s="99">
        <f>G118+'25'!H118</f>
        <v>9439.070000000007</v>
      </c>
      <c r="I118" s="165"/>
      <c r="J118" s="348">
        <f>H118/DAY(B2)</f>
        <v>363.04115384615409</v>
      </c>
      <c r="Q118" s="793" t="s">
        <v>311</v>
      </c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'25'!F119</f>
        <v>229473</v>
      </c>
      <c r="F119" s="237">
        <v>229915</v>
      </c>
      <c r="G119" s="112">
        <f t="shared" si="9"/>
        <v>442</v>
      </c>
      <c r="H119" s="99">
        <f>G119+'25'!H119</f>
        <v>11103.890000000014</v>
      </c>
      <c r="I119" s="165"/>
      <c r="J119" s="348">
        <f>H119/DAY(B2)</f>
        <v>427.07269230769282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'25'!F120</f>
        <v>14992</v>
      </c>
      <c r="F120" s="237">
        <v>15407</v>
      </c>
      <c r="G120" s="112">
        <f t="shared" si="9"/>
        <v>415</v>
      </c>
      <c r="H120" s="99">
        <f>G120+'25'!H120</f>
        <v>11099.4</v>
      </c>
      <c r="I120" s="165"/>
      <c r="J120" s="348">
        <f>H120/DAY(B2)</f>
        <v>426.9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'25'!F121</f>
        <v>349448</v>
      </c>
      <c r="F121" s="237">
        <v>350235</v>
      </c>
      <c r="G121" s="112">
        <f t="shared" si="9"/>
        <v>787</v>
      </c>
      <c r="H121" s="99">
        <f>G121+'25'!H121</f>
        <v>18997.489999999991</v>
      </c>
      <c r="I121" s="165"/>
      <c r="J121" s="348">
        <f>H121/DAY(B2)</f>
        <v>730.67269230769193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'25'!F122</f>
        <v>109384</v>
      </c>
      <c r="F122" s="237">
        <v>109705</v>
      </c>
      <c r="G122" s="112">
        <f t="shared" si="9"/>
        <v>321</v>
      </c>
      <c r="H122" s="99">
        <f>G122+'25'!H122</f>
        <v>8096.1199999999953</v>
      </c>
      <c r="I122" s="165"/>
      <c r="J122" s="348">
        <f>H122/DAY(B2)</f>
        <v>311.38923076923061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'25'!F123</f>
        <v>132930</v>
      </c>
      <c r="F123" s="237">
        <v>133215</v>
      </c>
      <c r="G123" s="112">
        <f t="shared" si="9"/>
        <v>285</v>
      </c>
      <c r="H123" s="99">
        <f>G123+'25'!H123</f>
        <v>7467.2400000000052</v>
      </c>
      <c r="I123" s="165"/>
      <c r="J123" s="348">
        <f>H123/DAY(B2)</f>
        <v>287.20153846153869</v>
      </c>
    </row>
    <row r="124" spans="1:18" ht="27.75">
      <c r="A124" s="797"/>
      <c r="B124" s="798"/>
      <c r="C124" s="799"/>
      <c r="D124" s="165"/>
      <c r="E124" s="95">
        <f>'25'!F124</f>
        <v>0</v>
      </c>
      <c r="F124" s="165"/>
      <c r="G124" s="347"/>
      <c r="H124" s="156"/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3721</v>
      </c>
      <c r="H125" s="156"/>
      <c r="I125" s="347">
        <f>G125-(G39+G53)</f>
        <v>573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G127+'25'!H127</f>
        <v>0</v>
      </c>
      <c r="I127" s="165"/>
      <c r="J127" s="348">
        <f>H127/DAY(B2)</f>
        <v>0</v>
      </c>
    </row>
    <row r="128" spans="1:18" ht="27.75">
      <c r="A128" s="793" t="s">
        <v>318</v>
      </c>
      <c r="B128" s="794"/>
      <c r="C128" s="795"/>
      <c r="D128" s="151" t="s">
        <v>183</v>
      </c>
      <c r="E128" s="95">
        <f>'25'!F128</f>
        <v>26001</v>
      </c>
      <c r="F128" s="165">
        <v>26332</v>
      </c>
      <c r="G128" s="112">
        <f t="shared" ref="G128:G134" si="10">F128-E128</f>
        <v>331</v>
      </c>
      <c r="H128" s="99">
        <f>G128+'25'!H128</f>
        <v>8308.2799999999988</v>
      </c>
      <c r="I128" s="165"/>
      <c r="J128" s="348">
        <f>H128/DAY(B2)</f>
        <v>319.54923076923075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'25'!F129</f>
        <v>11750</v>
      </c>
      <c r="F129" s="165">
        <v>11939</v>
      </c>
      <c r="G129" s="112">
        <f t="shared" si="10"/>
        <v>189</v>
      </c>
      <c r="H129" s="99">
        <f>G129+'25'!H129</f>
        <v>5343.29</v>
      </c>
      <c r="I129" s="165"/>
      <c r="J129" s="348">
        <f>H129/DAY(B2)</f>
        <v>205.51115384615383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'25'!F130</f>
        <v>678</v>
      </c>
      <c r="F130" s="165">
        <v>932</v>
      </c>
      <c r="G130" s="112">
        <f t="shared" si="10"/>
        <v>254</v>
      </c>
      <c r="H130" s="99">
        <f>G130+'25'!H130</f>
        <v>54401.680000000008</v>
      </c>
      <c r="I130" s="165"/>
      <c r="J130" s="348">
        <f>H130/DAY(B2)</f>
        <v>2092.3723076923079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'25'!F131</f>
        <v>8311</v>
      </c>
      <c r="F131" s="165">
        <v>8534</v>
      </c>
      <c r="G131" s="112">
        <f t="shared" si="10"/>
        <v>223</v>
      </c>
      <c r="H131" s="99">
        <f>G131+'25'!H131</f>
        <v>4387.53</v>
      </c>
      <c r="I131" s="165"/>
      <c r="J131" s="348">
        <f>H131/DAY(B2)</f>
        <v>168.75115384615384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'25'!F132</f>
        <v>23708</v>
      </c>
      <c r="F132" s="165">
        <v>24217</v>
      </c>
      <c r="G132" s="112">
        <f t="shared" si="10"/>
        <v>509</v>
      </c>
      <c r="H132" s="99">
        <f>G132+'25'!H132</f>
        <v>12679.28</v>
      </c>
      <c r="I132" s="165"/>
      <c r="J132" s="348">
        <f>H132/DAY(B2)</f>
        <v>487.66461538461539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'25'!F133</f>
        <v>59392</v>
      </c>
      <c r="F133" s="165">
        <v>60170</v>
      </c>
      <c r="G133" s="112">
        <f t="shared" si="10"/>
        <v>778</v>
      </c>
      <c r="H133" s="99">
        <f>G133+'25'!H133</f>
        <v>19320.71</v>
      </c>
      <c r="I133" s="165"/>
      <c r="J133" s="348">
        <f>H133/DAY(B2)</f>
        <v>743.10423076923075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'25'!F134</f>
        <v>648106</v>
      </c>
      <c r="F134" s="165">
        <v>648737</v>
      </c>
      <c r="G134" s="112">
        <f t="shared" si="10"/>
        <v>631</v>
      </c>
      <c r="H134" s="99">
        <f>G134+'25'!H134</f>
        <v>16473</v>
      </c>
      <c r="I134" s="165"/>
      <c r="J134" s="348">
        <f>H134/DAY(B2)</f>
        <v>633.57692307692309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SUM(G128:G134)</f>
        <v>2915</v>
      </c>
      <c r="H135" s="99">
        <f>G135+'23'!H135</f>
        <v>56002.05</v>
      </c>
      <c r="I135" s="347">
        <f>G135-(G35+G49)</f>
        <v>-727</v>
      </c>
      <c r="J135" s="348"/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'25'!F138</f>
        <v>860950</v>
      </c>
      <c r="F138" s="147">
        <v>861021</v>
      </c>
      <c r="G138" s="112">
        <f t="shared" ref="G138:G152" si="11">F138-E138</f>
        <v>71</v>
      </c>
      <c r="H138" s="99">
        <f>G138+'25'!H138</f>
        <v>1374</v>
      </c>
      <c r="I138" s="118"/>
      <c r="J138" s="348">
        <f>H138/DAY(B2)</f>
        <v>52.846153846153847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'25'!F139</f>
        <v>886183</v>
      </c>
      <c r="F139" s="148">
        <v>886192</v>
      </c>
      <c r="G139" s="112">
        <f t="shared" si="11"/>
        <v>9</v>
      </c>
      <c r="H139" s="99">
        <f>G139+'25'!H139</f>
        <v>90</v>
      </c>
      <c r="I139" s="118"/>
      <c r="J139" s="348">
        <f>H139/DAY(B2)</f>
        <v>3.4615384615384617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'25'!F140</f>
        <v>88848</v>
      </c>
      <c r="F140" s="149">
        <v>88849</v>
      </c>
      <c r="G140" s="112">
        <f t="shared" si="11"/>
        <v>1</v>
      </c>
      <c r="H140" s="99">
        <f>G140+'25'!H140</f>
        <v>32</v>
      </c>
      <c r="I140" s="118"/>
      <c r="J140" s="348">
        <f>H140/DAY(B2)</f>
        <v>1.2307692307692308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'25'!F141</f>
        <v>42144</v>
      </c>
      <c r="F141" s="149">
        <v>42347</v>
      </c>
      <c r="G141" s="112">
        <f t="shared" si="11"/>
        <v>203</v>
      </c>
      <c r="H141" s="99">
        <f>G141+'25'!H141</f>
        <v>5059.0500000000029</v>
      </c>
      <c r="I141" s="118"/>
      <c r="J141" s="348">
        <f>H141/DAY(B2)</f>
        <v>194.57884615384626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'25'!F142</f>
        <v>17376</v>
      </c>
      <c r="F142" s="148">
        <v>17392</v>
      </c>
      <c r="G142" s="112">
        <f t="shared" si="11"/>
        <v>16</v>
      </c>
      <c r="H142" s="99">
        <f>G142+'25'!H142</f>
        <v>430.13000000000102</v>
      </c>
      <c r="I142" s="140"/>
      <c r="J142" s="348">
        <f>H142/DAY(B2)</f>
        <v>16.543461538461578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'25'!F143</f>
        <v>2049</v>
      </c>
      <c r="F143" s="149">
        <v>2084</v>
      </c>
      <c r="G143" s="112">
        <f t="shared" si="11"/>
        <v>35</v>
      </c>
      <c r="H143" s="99">
        <f>G143+'25'!H143</f>
        <v>700.81999999999994</v>
      </c>
      <c r="I143" s="140"/>
      <c r="J143" s="348">
        <f>H143/DAY(B2)</f>
        <v>26.954615384615384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'25'!F144</f>
        <v>861221</v>
      </c>
      <c r="F144" s="149">
        <v>861460</v>
      </c>
      <c r="G144" s="112">
        <f t="shared" si="11"/>
        <v>239</v>
      </c>
      <c r="H144" s="99">
        <f>G144+'25'!H144</f>
        <v>6091</v>
      </c>
      <c r="I144" s="140"/>
      <c r="J144" s="348">
        <f>H144/DAY(B2)</f>
        <v>234.26923076923077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'25'!F145</f>
        <v>3208</v>
      </c>
      <c r="F145" s="149">
        <v>3252</v>
      </c>
      <c r="G145" s="112">
        <f t="shared" si="11"/>
        <v>44</v>
      </c>
      <c r="H145" s="99">
        <f>G145+'25'!H145</f>
        <v>1039</v>
      </c>
      <c r="I145" s="140"/>
      <c r="J145" s="348">
        <f>H145/DAY(B2)</f>
        <v>39.96153846153846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'25'!F146</f>
        <v>708826</v>
      </c>
      <c r="F146" s="148">
        <v>709304</v>
      </c>
      <c r="G146" s="112">
        <f t="shared" si="11"/>
        <v>478</v>
      </c>
      <c r="H146" s="99">
        <f>G146+'25'!H146</f>
        <v>10785</v>
      </c>
      <c r="I146" s="140"/>
      <c r="J146" s="348">
        <f>H146/DAY(B2)</f>
        <v>414.80769230769232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'25'!F147</f>
        <v>599693</v>
      </c>
      <c r="F147" s="148">
        <v>600179</v>
      </c>
      <c r="G147" s="112">
        <f t="shared" si="11"/>
        <v>486</v>
      </c>
      <c r="H147" s="99">
        <f>G147+'25'!H147</f>
        <v>11268.079999999958</v>
      </c>
      <c r="I147" s="140"/>
      <c r="J147" s="348">
        <f>H147/DAY(B2)</f>
        <v>433.38769230769071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'25'!F148</f>
        <v>672238</v>
      </c>
      <c r="F148" s="150">
        <v>672559</v>
      </c>
      <c r="G148" s="112">
        <f t="shared" si="11"/>
        <v>321</v>
      </c>
      <c r="H148" s="99">
        <f>G148+'25'!H148</f>
        <v>7450.8800000000047</v>
      </c>
      <c r="I148" s="124"/>
      <c r="J148" s="348">
        <f>H148/DAY(B2)</f>
        <v>286.57230769230785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'25'!F149</f>
        <v>93267</v>
      </c>
      <c r="F149" s="146">
        <v>93589</v>
      </c>
      <c r="G149" s="112">
        <f t="shared" si="11"/>
        <v>322</v>
      </c>
      <c r="H149" s="99">
        <f>G149+'25'!H149</f>
        <v>8842</v>
      </c>
      <c r="I149" s="119"/>
      <c r="J149" s="348">
        <f>H149/DAY(B2)</f>
        <v>340.07692307692309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'25'!F150</f>
        <v>7167232</v>
      </c>
      <c r="F150" s="233">
        <v>7167232</v>
      </c>
      <c r="G150" s="112">
        <f t="shared" si="11"/>
        <v>0</v>
      </c>
      <c r="H150" s="99">
        <f>G150+'25'!H150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'25'!F151</f>
        <v>69337</v>
      </c>
      <c r="F151" s="233">
        <v>69627</v>
      </c>
      <c r="G151" s="112">
        <f t="shared" si="11"/>
        <v>290</v>
      </c>
      <c r="H151" s="99">
        <f>G151+'25'!H151</f>
        <v>6617</v>
      </c>
      <c r="I151" s="119"/>
      <c r="J151" s="348">
        <f>H151/DAY(B2)</f>
        <v>254.5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'25'!F152</f>
        <v>0</v>
      </c>
      <c r="F152" s="233">
        <v>0</v>
      </c>
      <c r="G152" s="112">
        <f t="shared" si="11"/>
        <v>0</v>
      </c>
      <c r="H152" s="99">
        <f>G152+'25'!H152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2515</v>
      </c>
      <c r="H153" s="383"/>
      <c r="I153" s="119">
        <f>G153-(G38+G52)</f>
        <v>513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'25'!F155</f>
        <v>77473</v>
      </c>
      <c r="F155" s="672">
        <v>77481</v>
      </c>
      <c r="G155" s="112">
        <f t="shared" ref="G155:G156" si="12">F155-E155</f>
        <v>8</v>
      </c>
      <c r="H155" s="99">
        <f>G155+'25'!H155</f>
        <v>206.39999999999418</v>
      </c>
      <c r="I155" s="384"/>
      <c r="J155" s="348">
        <f>H155/DAY(B2)</f>
        <v>7.9384615384613149</v>
      </c>
    </row>
    <row r="156" spans="1:10" ht="27.75">
      <c r="A156" s="771" t="s">
        <v>347</v>
      </c>
      <c r="B156" s="771"/>
      <c r="C156" s="771"/>
      <c r="D156" s="117" t="s">
        <v>130</v>
      </c>
      <c r="E156" s="95">
        <f>'25'!F156</f>
        <v>0</v>
      </c>
      <c r="F156" s="165">
        <v>0</v>
      </c>
      <c r="G156" s="112">
        <f t="shared" si="12"/>
        <v>0</v>
      </c>
      <c r="H156" s="99">
        <f>G156+'25'!H156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'25'!F158</f>
        <v>470836</v>
      </c>
      <c r="F158" s="235">
        <v>470910</v>
      </c>
      <c r="G158" s="238">
        <f t="shared" ref="G158:G162" si="13">F158-E158</f>
        <v>74</v>
      </c>
      <c r="H158" s="99">
        <f>G158+'25'!H158</f>
        <v>1380.960000000021</v>
      </c>
      <c r="I158" s="236"/>
      <c r="J158" s="239">
        <f>H158/DAY(B2)</f>
        <v>53.113846153846957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'25'!F159</f>
        <v>86491</v>
      </c>
      <c r="F159" s="235">
        <v>86530</v>
      </c>
      <c r="G159" s="238">
        <f t="shared" si="13"/>
        <v>39</v>
      </c>
      <c r="H159" s="99">
        <f>G159+'25'!H159</f>
        <v>824.39999999999418</v>
      </c>
      <c r="I159" s="236"/>
      <c r="J159" s="239">
        <f>H159/DAY(B2)</f>
        <v>31.707692307692085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'25'!F160</f>
        <v>75084</v>
      </c>
      <c r="F160" s="235">
        <v>75166</v>
      </c>
      <c r="G160" s="238">
        <f t="shared" si="13"/>
        <v>82</v>
      </c>
      <c r="H160" s="99">
        <f>G160+'25'!H160</f>
        <v>1829.1000000000058</v>
      </c>
      <c r="I160" s="236"/>
      <c r="J160" s="239">
        <f>H160/DAY(B2)</f>
        <v>70.350000000000222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'25'!F161</f>
        <v>4075</v>
      </c>
      <c r="F161" s="235">
        <v>4081</v>
      </c>
      <c r="G161" s="238">
        <f t="shared" si="13"/>
        <v>6</v>
      </c>
      <c r="H161" s="99">
        <f>G161+'25'!H161</f>
        <v>107.5</v>
      </c>
      <c r="I161" s="236"/>
      <c r="J161" s="239">
        <f>H161/DAY(B2)</f>
        <v>4.134615384615385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'25'!F162</f>
        <v>29394</v>
      </c>
      <c r="F162" s="235">
        <v>29403</v>
      </c>
      <c r="G162" s="238">
        <f t="shared" si="13"/>
        <v>9</v>
      </c>
      <c r="H162" s="99">
        <f>G162+'25'!H162</f>
        <v>204.86000000000058</v>
      </c>
      <c r="I162" s="236"/>
      <c r="J162" s="239">
        <f>H162/DAY(B2)</f>
        <v>7.8792307692307917</v>
      </c>
    </row>
    <row r="163" spans="1:10" ht="29.25">
      <c r="A163" s="780"/>
      <c r="B163" s="780"/>
      <c r="C163" s="247"/>
      <c r="D163" s="244" t="s">
        <v>180</v>
      </c>
      <c r="E163" s="95">
        <f>'25'!F163</f>
        <v>0</v>
      </c>
      <c r="F163" s="165"/>
      <c r="G163" s="165"/>
      <c r="H163" s="99">
        <f>G163+'25'!H163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'25'!F164</f>
        <v>0</v>
      </c>
      <c r="F164" s="165"/>
      <c r="G164" s="165"/>
      <c r="H164" s="99">
        <f>G164+'25'!H164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'25'!F165</f>
        <v>0</v>
      </c>
      <c r="F165" s="165"/>
      <c r="G165" s="165"/>
      <c r="H165" s="99">
        <f>G165+'25'!H165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'25'!F170</f>
        <v>8107</v>
      </c>
      <c r="F170" s="155">
        <v>8107</v>
      </c>
      <c r="G170" s="155">
        <f>F170-E170</f>
        <v>0</v>
      </c>
      <c r="H170" s="99">
        <f>G170+'25'!H170</f>
        <v>109</v>
      </c>
      <c r="I170" s="155"/>
      <c r="J170" s="178">
        <f>H170/DAY(B2)</f>
        <v>4.1923076923076925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'25'!F171</f>
        <v>37737</v>
      </c>
      <c r="F171" s="157">
        <v>37749</v>
      </c>
      <c r="G171" s="155">
        <f t="shared" ref="G171:G172" si="14">F171-E171</f>
        <v>12</v>
      </c>
      <c r="H171" s="99">
        <f>G171+'25'!H171</f>
        <v>366</v>
      </c>
      <c r="I171" s="155"/>
      <c r="J171" s="178">
        <f>H171/DAY(B2)</f>
        <v>14.076923076923077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'25'!F172</f>
        <v>21077</v>
      </c>
      <c r="F172" s="155">
        <v>21091</v>
      </c>
      <c r="G172" s="155">
        <f t="shared" si="14"/>
        <v>14</v>
      </c>
      <c r="H172" s="99">
        <f>G172+'25'!H172</f>
        <v>303</v>
      </c>
      <c r="I172" s="155"/>
      <c r="J172" s="178">
        <f>H172/DAY(B2)</f>
        <v>11.653846153846153</v>
      </c>
    </row>
    <row r="173" spans="1:10" ht="27.75">
      <c r="A173" s="775" t="s">
        <v>196</v>
      </c>
      <c r="B173" s="776"/>
      <c r="C173" s="547"/>
      <c r="D173" s="228" t="s">
        <v>142</v>
      </c>
      <c r="E173" s="95"/>
      <c r="F173" s="155"/>
      <c r="G173" s="155">
        <f>SUM(G170:G172)</f>
        <v>26</v>
      </c>
      <c r="H173" s="99">
        <f>G173+'25'!H173</f>
        <v>778</v>
      </c>
      <c r="I173" s="155"/>
      <c r="J173" s="178">
        <f>H173/DAY(B2)</f>
        <v>29.923076923076923</v>
      </c>
    </row>
    <row r="174" spans="1:10" ht="27.75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G174+'25'!H174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'25'!F175</f>
        <v>76878</v>
      </c>
      <c r="F175" s="155">
        <v>76986</v>
      </c>
      <c r="G175" s="155">
        <f>F175-E175</f>
        <v>108</v>
      </c>
      <c r="H175" s="99">
        <f>G175+'25'!H175</f>
        <v>2367</v>
      </c>
      <c r="I175" s="155"/>
      <c r="J175" s="178">
        <f>H175/DAY(B2)</f>
        <v>91.038461538461533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'25'!F176</f>
        <v>33886</v>
      </c>
      <c r="F176" s="155">
        <v>33886</v>
      </c>
      <c r="G176" s="155">
        <f t="shared" ref="G176:G177" si="15">F176-E176</f>
        <v>0</v>
      </c>
      <c r="H176" s="99">
        <f>G176+'25'!H176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'25'!F177</f>
        <v>5227</v>
      </c>
      <c r="F177" s="155">
        <v>5234</v>
      </c>
      <c r="G177" s="155">
        <f t="shared" si="15"/>
        <v>7</v>
      </c>
      <c r="H177" s="99">
        <f>G177+'25'!H177</f>
        <v>2945</v>
      </c>
      <c r="I177" s="155"/>
      <c r="J177" s="178">
        <f>H177/DAY(B2)</f>
        <v>113.26923076923077</v>
      </c>
    </row>
    <row r="178" spans="1:10" ht="27.75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115</v>
      </c>
      <c r="H178" s="99">
        <f>G178+'25'!H178</f>
        <v>5312</v>
      </c>
      <c r="I178" s="155"/>
      <c r="J178" s="178">
        <f>H178/DAY(B2)</f>
        <v>204.30769230769232</v>
      </c>
    </row>
    <row r="179" spans="1:10" ht="27.75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G179+'25'!H179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'25'!F180</f>
        <v>14426</v>
      </c>
      <c r="F180" s="157">
        <v>14444</v>
      </c>
      <c r="G180" s="157">
        <f>F180-E180</f>
        <v>18</v>
      </c>
      <c r="H180" s="99">
        <f>G180+'25'!H180</f>
        <v>413</v>
      </c>
      <c r="I180" s="155"/>
      <c r="J180" s="178">
        <f>H180/DAY(B2)</f>
        <v>15.884615384615385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'25'!F181</f>
        <v>9978</v>
      </c>
      <c r="F181" s="157">
        <v>9996</v>
      </c>
      <c r="G181" s="157">
        <f t="shared" ref="G181:G182" si="16">F181-E181</f>
        <v>18</v>
      </c>
      <c r="H181" s="99">
        <f>G181+'25'!H181</f>
        <v>242</v>
      </c>
      <c r="I181" s="155"/>
      <c r="J181" s="178">
        <f>H181/DAY(B2)</f>
        <v>9.3076923076923084</v>
      </c>
    </row>
    <row r="182" spans="1:10" ht="27.75">
      <c r="A182" s="786" t="s">
        <v>216</v>
      </c>
      <c r="B182" s="787"/>
      <c r="C182" s="354"/>
      <c r="D182" s="228" t="s">
        <v>142</v>
      </c>
      <c r="E182" s="95">
        <f>'25'!F182</f>
        <v>0</v>
      </c>
      <c r="F182" s="157"/>
      <c r="G182" s="157">
        <f t="shared" si="16"/>
        <v>0</v>
      </c>
      <c r="H182" s="99">
        <f>G182+'25'!H182</f>
        <v>0</v>
      </c>
      <c r="I182" s="155"/>
      <c r="J182" s="178">
        <f>H182/DAY(B2)</f>
        <v>0</v>
      </c>
    </row>
    <row r="183" spans="1:10" ht="27.75">
      <c r="A183" s="775" t="s">
        <v>196</v>
      </c>
      <c r="B183" s="776"/>
      <c r="C183" s="546"/>
      <c r="D183" s="228" t="s">
        <v>142</v>
      </c>
      <c r="E183" s="95"/>
      <c r="F183" s="157"/>
      <c r="G183" s="157">
        <f>SUM(G180:G182)</f>
        <v>36</v>
      </c>
      <c r="H183" s="99">
        <f>G183+'25'!H183</f>
        <v>655</v>
      </c>
      <c r="I183" s="157"/>
      <c r="J183" s="178">
        <f>H183/DAY(B2)</f>
        <v>25.192307692307693</v>
      </c>
    </row>
    <row r="184" spans="1:10" ht="27.75">
      <c r="A184" s="777" t="s">
        <v>217</v>
      </c>
      <c r="B184" s="778"/>
      <c r="C184" s="353"/>
      <c r="D184" s="228" t="s">
        <v>142</v>
      </c>
      <c r="E184" s="95">
        <f>'25'!F184</f>
        <v>0</v>
      </c>
      <c r="F184" s="159"/>
      <c r="G184" s="524">
        <f>G62+G19</f>
        <v>178</v>
      </c>
      <c r="H184" s="99">
        <f>G184+'25'!H184</f>
        <v>4592</v>
      </c>
      <c r="I184" s="158"/>
      <c r="J184" s="179">
        <f>H184/DAY(B2)</f>
        <v>176.61538461538461</v>
      </c>
    </row>
    <row r="185" spans="1:10" ht="27.75">
      <c r="A185" s="777" t="s">
        <v>218</v>
      </c>
      <c r="B185" s="778"/>
      <c r="C185" s="353"/>
      <c r="D185" s="228" t="s">
        <v>142</v>
      </c>
      <c r="E185" s="95">
        <f>'25'!F185</f>
        <v>0</v>
      </c>
      <c r="F185" s="159"/>
      <c r="G185" s="524">
        <f>G65+G66+G67+G69+G70</f>
        <v>198</v>
      </c>
      <c r="H185" s="99">
        <f>G185+'25'!H185</f>
        <v>2211</v>
      </c>
      <c r="I185" s="158"/>
      <c r="J185" s="179">
        <f>H185/DAY(B2)</f>
        <v>85.038461538461533</v>
      </c>
    </row>
    <row r="186" spans="1:10" ht="27.75">
      <c r="A186" s="777" t="s">
        <v>219</v>
      </c>
      <c r="B186" s="778"/>
      <c r="C186" s="353"/>
      <c r="D186" s="228" t="s">
        <v>142</v>
      </c>
      <c r="E186" s="95">
        <f>'25'!F186</f>
        <v>0</v>
      </c>
      <c r="F186" s="157"/>
      <c r="G186" s="521">
        <f>G178</f>
        <v>115</v>
      </c>
      <c r="H186" s="99">
        <f>G186+'25'!H186</f>
        <v>880</v>
      </c>
      <c r="I186" s="158"/>
      <c r="J186" s="179">
        <f>H186/DAY(B2)</f>
        <v>33.846153846153847</v>
      </c>
    </row>
    <row r="187" spans="1:10" ht="27.75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310" ht="29.25"/>
    <row r="311" ht="29.25"/>
    <row r="312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</sheetData>
  <mergeCells count="112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6:J126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81:B181"/>
    <mergeCell ref="A180:B180"/>
    <mergeCell ref="A177:B177"/>
    <mergeCell ref="A178:B178"/>
    <mergeCell ref="A179:B179"/>
    <mergeCell ref="A172:C172"/>
    <mergeCell ref="A174:B174"/>
    <mergeCell ref="A175:B175"/>
    <mergeCell ref="A176:B176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35:B135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</mergeCells>
  <pageMargins left="0.22" right="0.17" top="0.14000000000000001" bottom="0.2" header="0.2" footer="0.2"/>
  <pageSetup paperSize="5" scale="1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R1698"/>
  <sheetViews>
    <sheetView view="pageBreakPreview" topLeftCell="A121" zoomScale="55" zoomScaleSheetLayoutView="55" workbookViewId="0">
      <selection activeCell="G151" sqref="G15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303</v>
      </c>
      <c r="B2" s="266">
        <v>44527</v>
      </c>
      <c r="C2" s="36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29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'26'!F7</f>
        <v>307965</v>
      </c>
      <c r="F7" s="95">
        <v>333410</v>
      </c>
      <c r="G7" s="112">
        <f>F7-E7</f>
        <v>25445</v>
      </c>
      <c r="H7" s="99">
        <f>G7+'26'!H7</f>
        <v>647146.69999999984</v>
      </c>
      <c r="I7" s="113">
        <f>'1'!I7</f>
        <v>12000</v>
      </c>
      <c r="J7" s="175">
        <f>H7/DAY(B2)</f>
        <v>23968.396296296291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'26'!F8</f>
        <v>344127</v>
      </c>
      <c r="F8" s="95">
        <v>369793</v>
      </c>
      <c r="G8" s="115">
        <f>F8-E8</f>
        <v>25666</v>
      </c>
      <c r="H8" s="99">
        <f>G8+'26'!H8</f>
        <v>656629.10000000009</v>
      </c>
      <c r="I8" s="116"/>
      <c r="J8" s="175">
        <f>H8/DAY(B2)</f>
        <v>24319.596296296299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'26'!F9</f>
        <v>1659392</v>
      </c>
      <c r="F9" s="373">
        <v>1678524</v>
      </c>
      <c r="G9" s="112">
        <f>F9-E9</f>
        <v>19132</v>
      </c>
      <c r="H9" s="99">
        <f>G9+'26'!H9</f>
        <v>417245.5</v>
      </c>
      <c r="I9" s="124">
        <f>I7-J7</f>
        <v>-11968.396296296291</v>
      </c>
      <c r="J9" s="175">
        <f>H9/DAY(B2)</f>
        <v>15453.537037037036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'26'!F10</f>
        <v>375421</v>
      </c>
      <c r="F10" s="373">
        <v>380952</v>
      </c>
      <c r="G10" s="112">
        <f t="shared" ref="G10:G12" si="0">F10-E10</f>
        <v>5531</v>
      </c>
      <c r="H10" s="99">
        <f>G10+'26'!H10</f>
        <v>212568.07</v>
      </c>
      <c r="I10" s="286"/>
      <c r="J10" s="175">
        <f>H10/DAY(B2)</f>
        <v>7872.8914814814816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'26'!F11</f>
        <v>37000</v>
      </c>
      <c r="F11" s="95">
        <v>37000</v>
      </c>
      <c r="G11" s="112">
        <f t="shared" si="0"/>
        <v>0</v>
      </c>
      <c r="H11" s="99">
        <f>G11+'26'!H11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24663</v>
      </c>
      <c r="H13" s="99">
        <f>G13+'26'!H13</f>
        <v>609007.11</v>
      </c>
      <c r="I13" s="120">
        <f>G7-G13</f>
        <v>782</v>
      </c>
      <c r="J13" s="175">
        <f>H13/DAY(B2)</f>
        <v>22555.818888888887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'26'!F15</f>
        <v>1838694</v>
      </c>
      <c r="F15" s="123">
        <v>1839818</v>
      </c>
      <c r="G15" s="112">
        <f>(F15-E15)</f>
        <v>1124</v>
      </c>
      <c r="H15" s="99">
        <f>G15+'26'!H15</f>
        <v>26887.189999999973</v>
      </c>
      <c r="I15" s="113">
        <f>'1'!I15</f>
        <v>800</v>
      </c>
      <c r="J15" s="175">
        <f>H15/DAY(B2)</f>
        <v>995.82185185185085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-195.82185185185085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'26'!F18</f>
        <v>24</v>
      </c>
      <c r="F18" s="122">
        <v>22</v>
      </c>
      <c r="G18" s="119">
        <f>F18*10</f>
        <v>220</v>
      </c>
      <c r="H18" s="99">
        <f>G18+'26'!H18</f>
        <v>5560</v>
      </c>
      <c r="I18" s="113">
        <f>'1'!I18</f>
        <v>65</v>
      </c>
      <c r="J18" s="175">
        <f>H18/DAY(B2)</f>
        <v>205.92592592592592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'26'!F19</f>
        <v>150372</v>
      </c>
      <c r="F19" s="122">
        <v>150424</v>
      </c>
      <c r="G19" s="112">
        <f t="shared" ref="G19" si="1">F19-E19</f>
        <v>52</v>
      </c>
      <c r="H19" s="99">
        <f>G19+'26'!H19</f>
        <v>1507</v>
      </c>
      <c r="I19" s="355"/>
      <c r="J19" s="175">
        <f>H19/DAY(B2)</f>
        <v>55.814814814814817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272</v>
      </c>
      <c r="H20" s="99">
        <f>G20+'26'!H20</f>
        <v>7067</v>
      </c>
      <c r="I20" s="356">
        <f>I18-J20</f>
        <v>-196.74074074074076</v>
      </c>
      <c r="J20" s="175">
        <f>H20/DAY(B2)</f>
        <v>261.74074074074076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25666</v>
      </c>
      <c r="F27" s="136">
        <v>9</v>
      </c>
      <c r="G27" s="137">
        <f>E27*F27</f>
        <v>230994</v>
      </c>
      <c r="H27" s="99">
        <f>G27+'26'!H27</f>
        <v>5909661.9000000013</v>
      </c>
      <c r="I27" s="138"/>
      <c r="J27" s="175">
        <f>H27/DAY(B2)</f>
        <v>218876.36666666673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1124</v>
      </c>
      <c r="F28" s="136">
        <v>52</v>
      </c>
      <c r="G28" s="137">
        <f>E28*F28</f>
        <v>58448</v>
      </c>
      <c r="H28" s="99">
        <f>G28+'26'!H28</f>
        <v>1398133.8799999985</v>
      </c>
      <c r="I28" s="140"/>
      <c r="J28" s="175">
        <f>H28/DAY(B2)</f>
        <v>51782.736296296243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G30+'26'!H30</f>
        <v>220022</v>
      </c>
      <c r="I30" s="140"/>
      <c r="J30" s="175">
        <f>H30/DAY(B2)</f>
        <v>8148.9629629629626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G31+'26'!H31</f>
        <v>444800</v>
      </c>
      <c r="I31" s="140"/>
      <c r="J31" s="175">
        <f>H31/DAY(B2)</f>
        <v>16474.074074074073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314634</v>
      </c>
      <c r="H32" s="99">
        <f>G32+'26'!H32</f>
        <v>7972617.7799999993</v>
      </c>
      <c r="I32" s="144"/>
      <c r="J32" s="175">
        <f>H32/DAY(B2)</f>
        <v>295282.13999999996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'26'!F35</f>
        <v>85065</v>
      </c>
      <c r="F35" s="145">
        <v>87199</v>
      </c>
      <c r="G35" s="112">
        <f t="shared" ref="G35:G46" si="3">F35-E35</f>
        <v>2134</v>
      </c>
      <c r="H35" s="99">
        <f>G35+'26'!H35</f>
        <v>54724.33</v>
      </c>
      <c r="I35" s="95"/>
      <c r="J35" s="175">
        <f>H35/DAY(B2)</f>
        <v>2026.8270370370371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'26'!F36</f>
        <v>75579</v>
      </c>
      <c r="F36" s="145">
        <v>76629</v>
      </c>
      <c r="G36" s="112">
        <f t="shared" si="3"/>
        <v>1050</v>
      </c>
      <c r="H36" s="99">
        <f>G36+'26'!H36</f>
        <v>26689.33</v>
      </c>
      <c r="I36" s="95"/>
      <c r="J36" s="175">
        <f>H36/DAY(B2)</f>
        <v>988.49370370370377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'26'!F37</f>
        <v>138888</v>
      </c>
      <c r="F37" s="145">
        <v>140581</v>
      </c>
      <c r="G37" s="112">
        <f t="shared" si="3"/>
        <v>1693</v>
      </c>
      <c r="H37" s="99">
        <f>G37+'26'!H37</f>
        <v>43527.17</v>
      </c>
      <c r="I37" s="95"/>
      <c r="J37" s="175">
        <f>H37/DAY(B2)</f>
        <v>1612.1174074074074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'26'!F38</f>
        <v>163441</v>
      </c>
      <c r="F38" s="108">
        <v>165441</v>
      </c>
      <c r="G38" s="112">
        <f t="shared" si="3"/>
        <v>2000</v>
      </c>
      <c r="H38" s="99">
        <f>G38+'26'!H38</f>
        <v>50217.960000000006</v>
      </c>
      <c r="I38" s="95"/>
      <c r="J38" s="175">
        <f>H38/DAY(B2)</f>
        <v>1859.9244444444446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'26'!F39</f>
        <v>309771</v>
      </c>
      <c r="F39" s="145">
        <v>312831</v>
      </c>
      <c r="G39" s="112">
        <f t="shared" si="3"/>
        <v>3060</v>
      </c>
      <c r="H39" s="99">
        <f>G39+'26'!H39</f>
        <v>79449.950000000012</v>
      </c>
      <c r="I39" s="95"/>
      <c r="J39" s="175">
        <f>H39/DAY(B2)</f>
        <v>2942.5907407407412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'26'!F40</f>
        <v>106</v>
      </c>
      <c r="F40" s="145">
        <v>106</v>
      </c>
      <c r="G40" s="112">
        <f t="shared" si="3"/>
        <v>0</v>
      </c>
      <c r="H40" s="99">
        <f>G40+'26'!H40</f>
        <v>149.63000000000002</v>
      </c>
      <c r="I40" s="95"/>
      <c r="J40" s="175">
        <f>H40/DAY(B2)</f>
        <v>5.5418518518518525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'26'!F41</f>
        <v>589883</v>
      </c>
      <c r="F41" s="145">
        <v>589883</v>
      </c>
      <c r="G41" s="112">
        <f t="shared" si="3"/>
        <v>0</v>
      </c>
      <c r="H41" s="99">
        <f>G41+'26'!H41</f>
        <v>8024.1700000000419</v>
      </c>
      <c r="I41" s="95"/>
      <c r="J41" s="175">
        <f>H41/DAY(B2)</f>
        <v>297.19148148148304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'26'!F42</f>
        <v>310824</v>
      </c>
      <c r="F42" s="145">
        <v>316054</v>
      </c>
      <c r="G42" s="112">
        <f t="shared" si="3"/>
        <v>5230</v>
      </c>
      <c r="H42" s="99">
        <f>G42+'26'!H42</f>
        <v>45084.330000000016</v>
      </c>
      <c r="I42" s="95"/>
      <c r="J42" s="175">
        <f>H42/DAY(B2)</f>
        <v>1669.7900000000006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'26'!F43</f>
        <v>1518464</v>
      </c>
      <c r="F43" s="145">
        <v>1521330</v>
      </c>
      <c r="G43" s="112">
        <f t="shared" si="3"/>
        <v>2866</v>
      </c>
      <c r="H43" s="99">
        <f>G43+'26'!H43</f>
        <v>75242.600000000093</v>
      </c>
      <c r="I43" s="95"/>
      <c r="J43" s="175">
        <f>H43/DAY(B2)</f>
        <v>2786.7629629629664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18033</v>
      </c>
      <c r="H47" s="99">
        <f>G47+'26'!H47</f>
        <v>383109.47000000015</v>
      </c>
      <c r="I47" s="95"/>
      <c r="J47" s="175">
        <f>H47/DAY(B2)</f>
        <v>14189.239629629636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'26'!F49</f>
        <v>213808</v>
      </c>
      <c r="F49" s="145">
        <v>215486</v>
      </c>
      <c r="G49" s="112">
        <f t="shared" ref="G49:G58" si="4">F49-E49</f>
        <v>1678</v>
      </c>
      <c r="H49" s="99">
        <f>G49+'26'!H49</f>
        <v>42755.609999999986</v>
      </c>
      <c r="I49" s="95"/>
      <c r="J49" s="175">
        <f>H49/DAY(B2)</f>
        <v>1583.5411111111107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'26'!F50</f>
        <v>717864</v>
      </c>
      <c r="F50" s="145">
        <v>719389</v>
      </c>
      <c r="G50" s="112">
        <f t="shared" si="4"/>
        <v>1525</v>
      </c>
      <c r="H50" s="99">
        <f>G50+'26'!H50</f>
        <v>35026.689999999944</v>
      </c>
      <c r="I50" s="95"/>
      <c r="J50" s="175">
        <f>H50/DAY(B2)</f>
        <v>1297.2848148148128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'26'!F54</f>
        <v>3007</v>
      </c>
      <c r="F54" s="145">
        <v>3013</v>
      </c>
      <c r="G54" s="112">
        <f t="shared" si="4"/>
        <v>6</v>
      </c>
      <c r="H54" s="99">
        <f>G54+'26'!H54</f>
        <v>145.51000000000022</v>
      </c>
      <c r="I54" s="95"/>
      <c r="J54" s="175">
        <f>H54/DAY(B2)</f>
        <v>5.3892592592592674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'26'!F55</f>
        <v>0</v>
      </c>
      <c r="F55" s="145">
        <v>0</v>
      </c>
      <c r="G55" s="112">
        <f t="shared" si="4"/>
        <v>0</v>
      </c>
      <c r="H55" s="99">
        <f>G55+'26'!H55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'26'!F56</f>
        <v>172393</v>
      </c>
      <c r="F56" s="145">
        <v>174683</v>
      </c>
      <c r="G56" s="112">
        <f t="shared" si="4"/>
        <v>2290</v>
      </c>
      <c r="H56" s="99">
        <f>G56+'26'!H56</f>
        <v>131842.71</v>
      </c>
      <c r="I56" s="95"/>
      <c r="J56" s="175">
        <f>H56/DAY(B2)</f>
        <v>4883.0633333333326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'26'!F58</f>
        <v>84389</v>
      </c>
      <c r="F58" s="145">
        <v>84611</v>
      </c>
      <c r="G58" s="112">
        <f t="shared" si="4"/>
        <v>222</v>
      </c>
      <c r="H58" s="99">
        <f>G58+'26'!H58</f>
        <v>5591.1000000000058</v>
      </c>
      <c r="I58" s="95"/>
      <c r="J58" s="175">
        <f>H58/DAY(B2)</f>
        <v>207.07777777777798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5721</v>
      </c>
      <c r="H59" s="99">
        <f>G59+'26'!H59</f>
        <v>215361.61999999988</v>
      </c>
      <c r="I59" s="95">
        <f>G7-G60</f>
        <v>1691</v>
      </c>
      <c r="J59" s="175">
        <f>H59/DAY(B2)</f>
        <v>7976.3562962962915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23754</v>
      </c>
      <c r="H60" s="99">
        <f>G60+'26'!H60</f>
        <v>598471.09000000008</v>
      </c>
      <c r="I60" s="95">
        <f>G13-G60</f>
        <v>909</v>
      </c>
      <c r="J60" s="175">
        <f>H60/DAY(B2)</f>
        <v>22165.595925925929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'26'!F62</f>
        <v>262955</v>
      </c>
      <c r="F62" s="122">
        <v>263088</v>
      </c>
      <c r="G62" s="112">
        <f t="shared" ref="G62:G63" si="5">F62-E62</f>
        <v>133</v>
      </c>
      <c r="H62" s="99">
        <f>G62+'26'!H62</f>
        <v>3270</v>
      </c>
      <c r="I62" s="118"/>
      <c r="J62" s="175">
        <f>H62/DAY(B2)</f>
        <v>121.11111111111111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'26'!F63</f>
        <v>208884</v>
      </c>
      <c r="F63" s="122">
        <v>209027</v>
      </c>
      <c r="G63" s="112">
        <f t="shared" si="5"/>
        <v>143</v>
      </c>
      <c r="H63" s="99">
        <f>G63+'26'!H63</f>
        <v>2757</v>
      </c>
      <c r="I63" s="118"/>
      <c r="J63" s="175">
        <f>H63/DAY(B2)</f>
        <v>102.11111111111111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'26'!F64</f>
        <v>0</v>
      </c>
      <c r="F64" s="122"/>
      <c r="G64" s="112">
        <f>G62+G63</f>
        <v>276</v>
      </c>
      <c r="H64" s="99">
        <f>G64+'26'!H64</f>
        <v>6027</v>
      </c>
      <c r="I64" s="118"/>
      <c r="J64" s="175">
        <f>H64/DAY(B2)</f>
        <v>223.22222222222223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'26'!F65</f>
        <v>428936</v>
      </c>
      <c r="F65" s="122">
        <v>429036</v>
      </c>
      <c r="G65" s="112">
        <f t="shared" ref="G65:G70" si="6">F65-E65</f>
        <v>100</v>
      </c>
      <c r="H65" s="99">
        <f>G65+'26'!H65</f>
        <v>2831</v>
      </c>
      <c r="I65" s="118"/>
      <c r="J65" s="175">
        <f>H65/DAY(B2)</f>
        <v>104.85185185185185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'26'!F66</f>
        <v>106526</v>
      </c>
      <c r="F66" s="122">
        <v>106546</v>
      </c>
      <c r="G66" s="112">
        <f t="shared" si="6"/>
        <v>20</v>
      </c>
      <c r="H66" s="99">
        <f>G66+'26'!H66</f>
        <v>576</v>
      </c>
      <c r="I66" s="118"/>
      <c r="J66" s="175">
        <f>H66/DAY(B2)</f>
        <v>21.333333333333332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'26'!F67</f>
        <v>102886</v>
      </c>
      <c r="F67" s="122">
        <v>102911</v>
      </c>
      <c r="G67" s="112">
        <f t="shared" si="6"/>
        <v>25</v>
      </c>
      <c r="H67" s="99">
        <f>G67+'26'!H67</f>
        <v>740</v>
      </c>
      <c r="I67" s="118"/>
      <c r="J67" s="175">
        <f>H67/DAY(B2)</f>
        <v>27.407407407407408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'26'!F68</f>
        <v>155290</v>
      </c>
      <c r="F68" s="122">
        <v>155319</v>
      </c>
      <c r="G68" s="112">
        <f t="shared" si="6"/>
        <v>29</v>
      </c>
      <c r="H68" s="99">
        <f>G68+'26'!H68</f>
        <v>823</v>
      </c>
      <c r="I68" s="118"/>
      <c r="J68" s="175">
        <f>H68/DAY(B2)</f>
        <v>30.481481481481481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'26'!F69</f>
        <v>9800</v>
      </c>
      <c r="F69" s="122">
        <v>9817</v>
      </c>
      <c r="G69" s="112">
        <f t="shared" si="6"/>
        <v>17</v>
      </c>
      <c r="H69" s="99">
        <f>G69+'26'!H69</f>
        <v>352</v>
      </c>
      <c r="I69" s="118"/>
      <c r="J69" s="175">
        <f>H69/DAY(B2)</f>
        <v>13.037037037037036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'26'!F70</f>
        <v>7503</v>
      </c>
      <c r="F70" s="122">
        <v>7510</v>
      </c>
      <c r="G70" s="112">
        <f t="shared" si="6"/>
        <v>7</v>
      </c>
      <c r="H70" s="99">
        <f>G70+'26'!H70</f>
        <v>307</v>
      </c>
      <c r="I70" s="118"/>
      <c r="J70" s="175">
        <f>H70/DAY(B2)</f>
        <v>11.37037037037037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198</v>
      </c>
      <c r="H71" s="99">
        <f>G71+'26'!H71</f>
        <v>5629</v>
      </c>
      <c r="I71" s="154"/>
      <c r="J71" s="175">
        <f>H71/DAY(B2)</f>
        <v>208.4814814814815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'26'!F74</f>
        <v>881075</v>
      </c>
      <c r="F74" s="117">
        <v>881382</v>
      </c>
      <c r="G74" s="112">
        <f t="shared" ref="G74:G78" si="7">F74-E74</f>
        <v>307</v>
      </c>
      <c r="H74" s="99">
        <f>G74+'26'!H74</f>
        <v>7796.7689999999711</v>
      </c>
      <c r="I74" s="154"/>
      <c r="J74" s="175">
        <f>H74/DAY(B2)</f>
        <v>288.76922222222117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3.4000000000087311</v>
      </c>
      <c r="I75" s="154"/>
      <c r="J75" s="175">
        <f>H75/DAY(B2)</f>
        <v>0.12592592592624929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'26'!F76</f>
        <v>162916</v>
      </c>
      <c r="F76" s="123">
        <v>163042</v>
      </c>
      <c r="G76" s="112">
        <f t="shared" si="7"/>
        <v>126</v>
      </c>
      <c r="H76" s="99">
        <f>G76+'26'!H76</f>
        <v>3056.5</v>
      </c>
      <c r="I76" s="154"/>
      <c r="J76" s="175">
        <f>H76/DAY(B2)</f>
        <v>113.20370370370371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'26'!F77</f>
        <v>38637</v>
      </c>
      <c r="F77" s="123">
        <v>38681</v>
      </c>
      <c r="G77" s="112">
        <f t="shared" si="7"/>
        <v>44</v>
      </c>
      <c r="H77" s="99">
        <f>G77+'26'!H77</f>
        <v>1183.5</v>
      </c>
      <c r="I77" s="154"/>
      <c r="J77" s="175">
        <f>H77/DAY(B2)</f>
        <v>43.833333333333336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'26'!F78</f>
        <v>9400</v>
      </c>
      <c r="F78" s="123">
        <v>9404</v>
      </c>
      <c r="G78" s="112">
        <f t="shared" si="7"/>
        <v>4</v>
      </c>
      <c r="H78" s="99">
        <f>G78+'26'!H78</f>
        <v>74.600000000000364</v>
      </c>
      <c r="I78" s="118"/>
      <c r="J78" s="175">
        <f>H78/DAY(B2)</f>
        <v>2.7629629629629764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'26'!F79</f>
        <v>0</v>
      </c>
      <c r="F79" s="123"/>
      <c r="G79" s="112">
        <f>G15-SUM(G74:G78)</f>
        <v>643</v>
      </c>
      <c r="H79" s="99">
        <f>G79+'26'!H79</f>
        <v>14772.420999999991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1124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'26'!F84</f>
        <v>41625.31</v>
      </c>
      <c r="F84" s="164">
        <v>41625.31</v>
      </c>
      <c r="G84" s="112">
        <f t="shared" si="8"/>
        <v>0</v>
      </c>
      <c r="H84" s="99">
        <f>G84+'26'!H84</f>
        <v>39.75</v>
      </c>
      <c r="I84" s="118"/>
      <c r="J84" s="175">
        <f>H84/DAY(B2)</f>
        <v>1.4722222222222223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'26'!F85</f>
        <v>1488</v>
      </c>
      <c r="F85" s="164">
        <v>1512</v>
      </c>
      <c r="G85" s="112">
        <f t="shared" si="8"/>
        <v>24</v>
      </c>
      <c r="H85" s="99">
        <f>G85+'26'!H85</f>
        <v>207</v>
      </c>
      <c r="I85" s="118">
        <f>G82+G83+G84+G85</f>
        <v>24</v>
      </c>
      <c r="J85" s="175">
        <f>H85/DAY(B2)</f>
        <v>7.666666666666667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'26'!F86</f>
        <v>42826.47</v>
      </c>
      <c r="F86" s="164">
        <v>42826.47</v>
      </c>
      <c r="G86" s="112">
        <f t="shared" si="8"/>
        <v>0</v>
      </c>
      <c r="H86" s="99">
        <f>G86+'26'!H86</f>
        <v>0.47000000000116415</v>
      </c>
      <c r="I86" s="118"/>
      <c r="J86" s="175">
        <f>H86/DAY(B2)</f>
        <v>1.7407407407450524E-2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'26'!F87</f>
        <v>34338</v>
      </c>
      <c r="F87" s="164">
        <v>34349</v>
      </c>
      <c r="G87" s="112">
        <f t="shared" si="8"/>
        <v>11</v>
      </c>
      <c r="H87" s="99">
        <f>G87+'26'!H87</f>
        <v>601</v>
      </c>
      <c r="I87" s="118"/>
      <c r="J87" s="175">
        <f>H87/DAY(B2)</f>
        <v>22.25925925925926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'26'!F88</f>
        <v>23931.69</v>
      </c>
      <c r="F88" s="164">
        <v>23931.69</v>
      </c>
      <c r="G88" s="112">
        <f t="shared" si="8"/>
        <v>0</v>
      </c>
      <c r="H88" s="99">
        <f>G88+'26'!H88</f>
        <v>98.119999999998981</v>
      </c>
      <c r="I88" s="118">
        <f>G86+G87+G88</f>
        <v>11</v>
      </c>
      <c r="J88" s="175">
        <f>H88/DAY(B2)</f>
        <v>3.6340740740740363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'26'!F89</f>
        <v>25405.56</v>
      </c>
      <c r="F89" s="164">
        <v>25416</v>
      </c>
      <c r="G89" s="112">
        <f t="shared" si="8"/>
        <v>10.43999999999869</v>
      </c>
      <c r="H89" s="99">
        <f>G89+'26'!H89</f>
        <v>170.61999999999898</v>
      </c>
      <c r="I89" s="118"/>
      <c r="J89" s="175">
        <f>H89/DAY(B2)</f>
        <v>6.3192592592592218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'26'!F90</f>
        <v>70801.08</v>
      </c>
      <c r="F90" s="164">
        <v>70809.539999999994</v>
      </c>
      <c r="G90" s="112">
        <f t="shared" si="8"/>
        <v>8.4599999999918509</v>
      </c>
      <c r="H90" s="99">
        <v>23</v>
      </c>
      <c r="I90" s="118">
        <f>G89+G90</f>
        <v>18.899999999990541</v>
      </c>
      <c r="J90" s="175">
        <f>H90/DAY(B2)</f>
        <v>0.85185185185185186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-0.32000000000016371</v>
      </c>
      <c r="I91" s="165"/>
      <c r="J91" s="175">
        <f>H91/DAY(B2)</f>
        <v>-1.1851851851857916E-2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'26'!F92</f>
        <v>5054.7</v>
      </c>
      <c r="F92" s="122">
        <v>5065.45</v>
      </c>
      <c r="G92" s="112">
        <f t="shared" si="8"/>
        <v>10.75</v>
      </c>
      <c r="H92" s="99">
        <f>G92+'26'!H92</f>
        <v>273.63000000000011</v>
      </c>
      <c r="I92" s="165"/>
      <c r="J92" s="175">
        <f>H92/DAY(B2)</f>
        <v>10.134444444444448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6678</v>
      </c>
      <c r="H94" s="99">
        <f>G94+'26'!H94</f>
        <v>172722.54000000004</v>
      </c>
      <c r="I94" s="118"/>
      <c r="J94" s="175">
        <f>H94/DAY(B2)</f>
        <v>6397.1311111111127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0.2624484181568088</v>
      </c>
      <c r="H95" s="99">
        <f>G95+'26'!H95</f>
        <v>7.2481085757568602</v>
      </c>
      <c r="I95" s="167"/>
      <c r="J95" s="175">
        <f>H95/DAY(B2)</f>
        <v>0.26844846576877263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7520</v>
      </c>
      <c r="H96" s="99">
        <f>G96+'26'!H96</f>
        <v>184951.21000000005</v>
      </c>
      <c r="I96" s="118"/>
      <c r="J96" s="175">
        <f>H96/DAY(B2)</f>
        <v>6850.0448148148171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0.2955393987030851</v>
      </c>
      <c r="H97" s="99">
        <f>G97+'26'!H97</f>
        <v>7.6349662405695451</v>
      </c>
      <c r="I97" s="167"/>
      <c r="J97" s="175">
        <f>H97/DAY(B2)</f>
        <v>0.28277652742850168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3060</v>
      </c>
      <c r="H98" s="99">
        <f>G98+'26'!H98</f>
        <v>79449.950000000012</v>
      </c>
      <c r="I98" s="168"/>
      <c r="J98" s="175">
        <f>H98/DAY(B2)</f>
        <v>2942.5907407407412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0.1202593829829043</v>
      </c>
      <c r="H99" s="99">
        <f>G99+'26'!H99</f>
        <v>3.3394596204246731</v>
      </c>
      <c r="I99" s="168"/>
      <c r="J99" s="175">
        <f>H99/DAY(B2)</f>
        <v>0.12368368964535827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2000</v>
      </c>
      <c r="H100" s="99">
        <f>G100+'26'!H100</f>
        <v>50217.960000000006</v>
      </c>
      <c r="I100" s="118"/>
      <c r="J100" s="175">
        <f>H100/DAY(B2)</f>
        <v>1859.9244444444446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7.8600903910394967E-2</v>
      </c>
      <c r="H101" s="99">
        <f>G101+'26'!H101</f>
        <v>2.1084791823420677</v>
      </c>
      <c r="I101" s="168"/>
      <c r="J101" s="175">
        <f>H101/DAY(B2)</f>
        <v>7.8091821568224723E-2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2575</v>
      </c>
      <c r="H102" s="99">
        <f>G102+'26'!H102</f>
        <v>61716.019999999946</v>
      </c>
      <c r="I102" s="168"/>
      <c r="J102" s="175">
        <f>H102/DAY(B2)</f>
        <v>2285.7785185185166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0.10119866378463352</v>
      </c>
      <c r="H103" s="99">
        <f>G103+'26'!H103</f>
        <v>2.5569842157337166</v>
      </c>
      <c r="I103" s="118"/>
      <c r="J103" s="175">
        <f>H103/DAY(B2)</f>
        <v>9.4703119101248762E-2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1693</v>
      </c>
      <c r="H104" s="99">
        <f>G104+'26'!H104</f>
        <v>43527.17</v>
      </c>
      <c r="I104" s="118"/>
      <c r="J104" s="175">
        <f>H104/DAY(B2)</f>
        <v>1612.1174074074074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6.6535665160149346E-2</v>
      </c>
      <c r="H105" s="99">
        <f>G105+'26'!H105</f>
        <v>1.8289818369018758</v>
      </c>
      <c r="I105" s="187"/>
      <c r="J105" s="188">
        <f>H105/DAY(B2)</f>
        <v>6.7740068033402809E-2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'26'!F112</f>
        <v>53027</v>
      </c>
      <c r="F112" s="237">
        <v>53110</v>
      </c>
      <c r="G112" s="112">
        <f t="shared" ref="G112:G123" si="9">F112-E112</f>
        <v>83</v>
      </c>
      <c r="H112" s="99">
        <f>G112+'26'!H112</f>
        <v>2220.9199999999983</v>
      </c>
      <c r="I112" s="165"/>
      <c r="J112" s="348">
        <f>H112/DAY(B2)</f>
        <v>82.256296296296227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'26'!F113</f>
        <v>16197</v>
      </c>
      <c r="F113" s="237">
        <v>16660</v>
      </c>
      <c r="G113" s="112">
        <f t="shared" si="9"/>
        <v>463</v>
      </c>
      <c r="H113" s="99">
        <f>G113+'26'!H113</f>
        <v>12154.35</v>
      </c>
      <c r="I113" s="165"/>
      <c r="J113" s="348">
        <f>H113/DAY(B2)</f>
        <v>450.1611111111111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'26'!F114</f>
        <v>12690</v>
      </c>
      <c r="F114" s="237">
        <v>12962</v>
      </c>
      <c r="G114" s="112">
        <f t="shared" si="9"/>
        <v>272</v>
      </c>
      <c r="H114" s="99">
        <f>G114+'26'!H114</f>
        <v>9155.89</v>
      </c>
      <c r="I114" s="165"/>
      <c r="J114" s="348">
        <f>H114/DAY(B2)</f>
        <v>339.107037037037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'26'!F115</f>
        <v>8379</v>
      </c>
      <c r="F115" s="237">
        <v>8389</v>
      </c>
      <c r="G115" s="112">
        <f t="shared" si="9"/>
        <v>10</v>
      </c>
      <c r="H115" s="99">
        <f>G115+'26'!H115</f>
        <v>311.59000000000015</v>
      </c>
      <c r="I115" s="165"/>
      <c r="J115" s="348">
        <f>H115/DAY(B2)</f>
        <v>11.540370370370375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'26'!F117</f>
        <v>1858</v>
      </c>
      <c r="F117" s="237">
        <v>1879</v>
      </c>
      <c r="G117" s="112">
        <f t="shared" si="9"/>
        <v>21</v>
      </c>
      <c r="H117" s="99">
        <f>G117+'26'!H117</f>
        <v>720.81</v>
      </c>
      <c r="I117" s="165"/>
      <c r="J117" s="348">
        <f>H117/DAY(B2)</f>
        <v>26.696666666666665</v>
      </c>
      <c r="Q117" s="793" t="s">
        <v>312</v>
      </c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'26'!F118</f>
        <v>228291</v>
      </c>
      <c r="F118" s="237">
        <v>228686</v>
      </c>
      <c r="G118" s="112">
        <f t="shared" si="9"/>
        <v>395</v>
      </c>
      <c r="H118" s="99">
        <f>G118+'26'!H118</f>
        <v>9834.070000000007</v>
      </c>
      <c r="I118" s="165"/>
      <c r="J118" s="348">
        <f>H118/DAY(B2)</f>
        <v>364.22481481481509</v>
      </c>
      <c r="Q118" s="793" t="s">
        <v>311</v>
      </c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'26'!F119</f>
        <v>229915</v>
      </c>
      <c r="F119" s="237">
        <v>230382</v>
      </c>
      <c r="G119" s="112">
        <f t="shared" si="9"/>
        <v>467</v>
      </c>
      <c r="H119" s="99">
        <f>G119+'26'!H119</f>
        <v>11570.890000000014</v>
      </c>
      <c r="I119" s="165"/>
      <c r="J119" s="348">
        <f>H119/DAY(B2)</f>
        <v>428.55148148148197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'26'!F120</f>
        <v>15407</v>
      </c>
      <c r="F120" s="237">
        <v>15847</v>
      </c>
      <c r="G120" s="112">
        <f t="shared" si="9"/>
        <v>440</v>
      </c>
      <c r="H120" s="99">
        <f>G120+'26'!H120</f>
        <v>11539.4</v>
      </c>
      <c r="I120" s="165"/>
      <c r="J120" s="348">
        <f>H120/DAY(B2)</f>
        <v>427.38518518518515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'26'!F121</f>
        <v>350235</v>
      </c>
      <c r="F121" s="237">
        <v>350966</v>
      </c>
      <c r="G121" s="112">
        <f t="shared" si="9"/>
        <v>731</v>
      </c>
      <c r="H121" s="99">
        <f>G121+'26'!H121</f>
        <v>19728.489999999991</v>
      </c>
      <c r="I121" s="165"/>
      <c r="J121" s="348">
        <f>H121/DAY(B2)</f>
        <v>730.68481481481444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'26'!F122</f>
        <v>109705</v>
      </c>
      <c r="F122" s="237">
        <v>110036</v>
      </c>
      <c r="G122" s="112">
        <f t="shared" si="9"/>
        <v>331</v>
      </c>
      <c r="H122" s="99">
        <f>G122+'26'!H122</f>
        <v>8427.1199999999953</v>
      </c>
      <c r="I122" s="165"/>
      <c r="J122" s="348">
        <f>H122/DAY(B2)</f>
        <v>312.11555555555537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'26'!F123</f>
        <v>133215</v>
      </c>
      <c r="F123" s="237">
        <v>133510</v>
      </c>
      <c r="G123" s="112">
        <f t="shared" si="9"/>
        <v>295</v>
      </c>
      <c r="H123" s="99">
        <f>G123+'26'!H123</f>
        <v>7762.2400000000052</v>
      </c>
      <c r="I123" s="165"/>
      <c r="J123" s="348">
        <f>H123/DAY(B2)</f>
        <v>287.49037037037056</v>
      </c>
    </row>
    <row r="124" spans="1:18" ht="29.25" customHeight="1">
      <c r="A124" s="797"/>
      <c r="B124" s="798"/>
      <c r="C124" s="799"/>
      <c r="D124" s="165"/>
      <c r="E124" s="95">
        <f>'26'!F124</f>
        <v>0</v>
      </c>
      <c r="F124" s="165"/>
      <c r="G124" s="347"/>
      <c r="H124" s="99">
        <f>G124+'26'!H124</f>
        <v>0</v>
      </c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3508</v>
      </c>
      <c r="H125" s="156"/>
      <c r="I125" s="347">
        <f>G125-(G39+G53)</f>
        <v>448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G127+'26'!H127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'26'!F128</f>
        <v>26332</v>
      </c>
      <c r="F128" s="155">
        <v>26683</v>
      </c>
      <c r="G128" s="112">
        <f t="shared" ref="G128:G134" si="10">F128-E128</f>
        <v>351</v>
      </c>
      <c r="H128" s="99">
        <f>G128+'26'!H128</f>
        <v>8659.2799999999988</v>
      </c>
      <c r="I128" s="165"/>
      <c r="J128" s="348">
        <f>H128/DAY(B2)</f>
        <v>320.71407407407401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'26'!F129</f>
        <v>11939</v>
      </c>
      <c r="F129" s="155">
        <v>12126</v>
      </c>
      <c r="G129" s="112">
        <f t="shared" si="10"/>
        <v>187</v>
      </c>
      <c r="H129" s="99">
        <f>G129+'26'!H129</f>
        <v>5530.29</v>
      </c>
      <c r="I129" s="165"/>
      <c r="J129" s="348">
        <f>H129/DAY(B2)</f>
        <v>204.82555555555555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'26'!F130</f>
        <v>932</v>
      </c>
      <c r="F130" s="155">
        <v>1196</v>
      </c>
      <c r="G130" s="112">
        <f t="shared" si="10"/>
        <v>264</v>
      </c>
      <c r="H130" s="99">
        <f>G130+'26'!H130</f>
        <v>54665.680000000008</v>
      </c>
      <c r="I130" s="165"/>
      <c r="J130" s="348">
        <f>H130/DAY(B2)</f>
        <v>2024.6548148148152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'26'!F131</f>
        <v>8534</v>
      </c>
      <c r="F131" s="155">
        <v>8719</v>
      </c>
      <c r="G131" s="112">
        <f t="shared" si="10"/>
        <v>185</v>
      </c>
      <c r="H131" s="99">
        <f>G131+'26'!H131</f>
        <v>4572.53</v>
      </c>
      <c r="I131" s="165"/>
      <c r="J131" s="348">
        <f>H131/DAY(B2)</f>
        <v>169.35296296296295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'26'!F132</f>
        <v>24217</v>
      </c>
      <c r="F132" s="155">
        <v>24723</v>
      </c>
      <c r="G132" s="112">
        <f t="shared" si="10"/>
        <v>506</v>
      </c>
      <c r="H132" s="99">
        <f>G132+'26'!H132</f>
        <v>13185.28</v>
      </c>
      <c r="I132" s="165"/>
      <c r="J132" s="348">
        <f>H132/DAY(B2)</f>
        <v>488.34370370370374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'26'!F133</f>
        <v>60170</v>
      </c>
      <c r="F133" s="155">
        <v>61029</v>
      </c>
      <c r="G133" s="112">
        <f t="shared" si="10"/>
        <v>859</v>
      </c>
      <c r="H133" s="99">
        <f>G133+'26'!H133</f>
        <v>20179.71</v>
      </c>
      <c r="I133" s="165"/>
      <c r="J133" s="348">
        <f>H133/DAY(B2)</f>
        <v>747.39666666666665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'26'!F134</f>
        <v>648737</v>
      </c>
      <c r="F134" s="155">
        <v>649323</v>
      </c>
      <c r="G134" s="112">
        <f t="shared" si="10"/>
        <v>586</v>
      </c>
      <c r="H134" s="99">
        <f>G134+'26'!H134</f>
        <v>17059</v>
      </c>
      <c r="I134" s="165"/>
      <c r="J134" s="348">
        <f>H134/DAY(B2)</f>
        <v>631.81481481481478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SUM(G128:G134)</f>
        <v>2938</v>
      </c>
      <c r="H135" s="99">
        <f>G135+'23'!H135</f>
        <v>56025.05</v>
      </c>
      <c r="I135" s="347">
        <f>G135-(G35+G49)</f>
        <v>-874</v>
      </c>
      <c r="J135" s="348"/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'26'!F138</f>
        <v>861021</v>
      </c>
      <c r="F138" s="147">
        <v>861092</v>
      </c>
      <c r="G138" s="112">
        <f t="shared" ref="G138:G152" si="11">F138-E138</f>
        <v>71</v>
      </c>
      <c r="H138" s="99">
        <f>G138+'26'!H138</f>
        <v>1445</v>
      </c>
      <c r="I138" s="118"/>
      <c r="J138" s="348">
        <f>H138/DAY(B2)</f>
        <v>53.518518518518519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'26'!F139</f>
        <v>886192</v>
      </c>
      <c r="F139" s="148">
        <v>886193</v>
      </c>
      <c r="G139" s="112">
        <f t="shared" si="11"/>
        <v>1</v>
      </c>
      <c r="H139" s="99">
        <f>G139+'26'!H139</f>
        <v>91</v>
      </c>
      <c r="I139" s="118"/>
      <c r="J139" s="348">
        <f>H139/DAY(B2)</f>
        <v>3.3703703703703702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'26'!F140</f>
        <v>88849</v>
      </c>
      <c r="F140" s="149">
        <v>88849</v>
      </c>
      <c r="G140" s="112">
        <f t="shared" si="11"/>
        <v>0</v>
      </c>
      <c r="H140" s="99">
        <f>G140+'26'!H140</f>
        <v>32</v>
      </c>
      <c r="I140" s="118"/>
      <c r="J140" s="348">
        <f>H140/DAY(B2)</f>
        <v>1.1851851851851851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'26'!F141</f>
        <v>42347</v>
      </c>
      <c r="F141" s="149">
        <v>42556</v>
      </c>
      <c r="G141" s="112">
        <f t="shared" si="11"/>
        <v>209</v>
      </c>
      <c r="H141" s="99">
        <f>G141+'26'!H141</f>
        <v>5268.0500000000029</v>
      </c>
      <c r="I141" s="118"/>
      <c r="J141" s="348">
        <f>H141/DAY(B2)</f>
        <v>195.11296296296308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'26'!F142</f>
        <v>17392</v>
      </c>
      <c r="F142" s="148">
        <v>17413</v>
      </c>
      <c r="G142" s="112">
        <f t="shared" si="11"/>
        <v>21</v>
      </c>
      <c r="H142" s="99">
        <f>G142+'26'!H142</f>
        <v>451.13000000000102</v>
      </c>
      <c r="I142" s="140"/>
      <c r="J142" s="348">
        <f>H142/DAY(B2)</f>
        <v>16.708518518518556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'26'!F143</f>
        <v>2084</v>
      </c>
      <c r="F143" s="149">
        <v>2116</v>
      </c>
      <c r="G143" s="112">
        <f t="shared" si="11"/>
        <v>32</v>
      </c>
      <c r="H143" s="99">
        <f>G143+'26'!H143</f>
        <v>732.81999999999994</v>
      </c>
      <c r="I143" s="140"/>
      <c r="J143" s="348">
        <f>H143/DAY(B2)</f>
        <v>27.141481481481478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'26'!F144</f>
        <v>861460</v>
      </c>
      <c r="F144" s="149">
        <v>861699</v>
      </c>
      <c r="G144" s="112">
        <f t="shared" si="11"/>
        <v>239</v>
      </c>
      <c r="H144" s="99">
        <f>G144+'26'!H144</f>
        <v>6330</v>
      </c>
      <c r="I144" s="140"/>
      <c r="J144" s="348">
        <f>H144/DAY(B2)</f>
        <v>234.44444444444446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'26'!F145</f>
        <v>3252</v>
      </c>
      <c r="F145" s="149">
        <v>3297</v>
      </c>
      <c r="G145" s="112">
        <f t="shared" si="11"/>
        <v>45</v>
      </c>
      <c r="H145" s="99">
        <f>G145+'26'!H145</f>
        <v>1084</v>
      </c>
      <c r="I145" s="140"/>
      <c r="J145" s="348">
        <f>H145/DAY(B2)</f>
        <v>40.148148148148145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'26'!F146</f>
        <v>709304</v>
      </c>
      <c r="F146" s="148">
        <v>709668</v>
      </c>
      <c r="G146" s="112">
        <f t="shared" si="11"/>
        <v>364</v>
      </c>
      <c r="H146" s="99">
        <f>G146+'26'!H146</f>
        <v>11149</v>
      </c>
      <c r="I146" s="140"/>
      <c r="J146" s="348">
        <f>H146/DAY(B2)</f>
        <v>412.92592592592592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'26'!F147</f>
        <v>600179</v>
      </c>
      <c r="F147" s="148">
        <v>600657</v>
      </c>
      <c r="G147" s="112">
        <f t="shared" si="11"/>
        <v>478</v>
      </c>
      <c r="H147" s="99">
        <f>G147+'26'!H147</f>
        <v>11746.079999999958</v>
      </c>
      <c r="I147" s="140"/>
      <c r="J147" s="348">
        <f>H147/DAY(B2)</f>
        <v>435.03999999999843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'26'!F148</f>
        <v>672559</v>
      </c>
      <c r="F148" s="150">
        <v>672913</v>
      </c>
      <c r="G148" s="112">
        <f t="shared" si="11"/>
        <v>354</v>
      </c>
      <c r="H148" s="99">
        <f>G148+'26'!H148</f>
        <v>7804.8800000000047</v>
      </c>
      <c r="I148" s="124"/>
      <c r="J148" s="348">
        <f>H148/DAY(B2)</f>
        <v>289.06962962962979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'26'!F149</f>
        <v>93589</v>
      </c>
      <c r="F149" s="146">
        <v>93932</v>
      </c>
      <c r="G149" s="112">
        <f t="shared" si="11"/>
        <v>343</v>
      </c>
      <c r="H149" s="99">
        <f>G149+'26'!H149</f>
        <v>9185</v>
      </c>
      <c r="I149" s="119"/>
      <c r="J149" s="348">
        <f>H149/DAY(B2)</f>
        <v>340.18518518518516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'26'!F150</f>
        <v>7167232</v>
      </c>
      <c r="F150" s="233">
        <v>7167232</v>
      </c>
      <c r="G150" s="112">
        <f t="shared" si="11"/>
        <v>0</v>
      </c>
      <c r="H150" s="99">
        <f>G150+'26'!H150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'26'!F151</f>
        <v>69627</v>
      </c>
      <c r="F151" s="233">
        <v>69914</v>
      </c>
      <c r="G151" s="112">
        <f t="shared" si="11"/>
        <v>287</v>
      </c>
      <c r="H151" s="99">
        <f>G151+'26'!H151</f>
        <v>6904</v>
      </c>
      <c r="I151" s="119"/>
      <c r="J151" s="348">
        <f>H151/DAY(B2)</f>
        <v>255.7037037037037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'26'!F152</f>
        <v>0</v>
      </c>
      <c r="F152" s="233">
        <v>0</v>
      </c>
      <c r="G152" s="112">
        <f t="shared" si="11"/>
        <v>0</v>
      </c>
      <c r="H152" s="99">
        <f>G152+'26'!H152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2444</v>
      </c>
      <c r="H153" s="383"/>
      <c r="I153" s="119">
        <f>G153-(G38+G52)</f>
        <v>444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'26'!F155</f>
        <v>77481</v>
      </c>
      <c r="F155" s="535">
        <v>77489</v>
      </c>
      <c r="G155" s="112">
        <f t="shared" ref="G155:G156" si="12">F155-E155</f>
        <v>8</v>
      </c>
      <c r="H155" s="99">
        <f>G155+'26'!H155</f>
        <v>214.39999999999418</v>
      </c>
      <c r="I155" s="384"/>
      <c r="J155" s="348">
        <f>H155/DAY(B2)</f>
        <v>7.9407407407405248</v>
      </c>
    </row>
    <row r="156" spans="1:10" ht="27.75">
      <c r="A156" s="771" t="s">
        <v>347</v>
      </c>
      <c r="B156" s="771"/>
      <c r="C156" s="771"/>
      <c r="D156" s="117" t="s">
        <v>130</v>
      </c>
      <c r="E156" s="95">
        <f>'26'!F156</f>
        <v>0</v>
      </c>
      <c r="F156" s="165">
        <v>0</v>
      </c>
      <c r="G156" s="112">
        <f t="shared" si="12"/>
        <v>0</v>
      </c>
      <c r="H156" s="99">
        <f>G156+'26'!H156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'26'!F158</f>
        <v>470910</v>
      </c>
      <c r="F158" s="235">
        <v>470927</v>
      </c>
      <c r="G158" s="238">
        <f t="shared" ref="G158:G162" si="13">F158-E158</f>
        <v>17</v>
      </c>
      <c r="H158" s="99">
        <f>G158+'26'!H158</f>
        <v>1397.960000000021</v>
      </c>
      <c r="I158" s="236"/>
      <c r="J158" s="239">
        <f>H158/DAY(B2)</f>
        <v>51.776296296297069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'26'!F159</f>
        <v>86530</v>
      </c>
      <c r="F159" s="235">
        <v>86550</v>
      </c>
      <c r="G159" s="238">
        <f t="shared" si="13"/>
        <v>20</v>
      </c>
      <c r="H159" s="99">
        <f>G159+'26'!H159</f>
        <v>844.39999999999418</v>
      </c>
      <c r="I159" s="236"/>
      <c r="J159" s="239">
        <f>H159/DAY(B2)</f>
        <v>31.274074074073859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'26'!F160</f>
        <v>75166</v>
      </c>
      <c r="F160" s="235">
        <v>75237</v>
      </c>
      <c r="G160" s="238">
        <f t="shared" si="13"/>
        <v>71</v>
      </c>
      <c r="H160" s="99">
        <f>G160+'26'!H160</f>
        <v>1900.1000000000058</v>
      </c>
      <c r="I160" s="236"/>
      <c r="J160" s="239">
        <f>H160/DAY(B2)</f>
        <v>70.374074074074287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'26'!F161</f>
        <v>4081</v>
      </c>
      <c r="F161" s="235">
        <v>4083</v>
      </c>
      <c r="G161" s="238">
        <f t="shared" si="13"/>
        <v>2</v>
      </c>
      <c r="H161" s="99">
        <f>G161+'26'!H161</f>
        <v>109.5</v>
      </c>
      <c r="I161" s="236"/>
      <c r="J161" s="239">
        <f>H161/DAY(B2)</f>
        <v>4.0555555555555554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'26'!F162</f>
        <v>29403</v>
      </c>
      <c r="F162" s="235">
        <v>29405</v>
      </c>
      <c r="G162" s="238">
        <f t="shared" si="13"/>
        <v>2</v>
      </c>
      <c r="H162" s="99">
        <f>G162+'26'!H162</f>
        <v>206.86000000000058</v>
      </c>
      <c r="I162" s="236"/>
      <c r="J162" s="239">
        <f>H162/DAY(B2)</f>
        <v>7.6614814814815029</v>
      </c>
    </row>
    <row r="163" spans="1:10" ht="29.25">
      <c r="A163" s="780"/>
      <c r="B163" s="780"/>
      <c r="C163" s="247"/>
      <c r="D163" s="244" t="s">
        <v>180</v>
      </c>
      <c r="E163" s="95">
        <f>'26'!F163</f>
        <v>0</v>
      </c>
      <c r="F163" s="165"/>
      <c r="G163" s="165"/>
      <c r="H163" s="99">
        <f>G163+'26'!H163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'26'!F164</f>
        <v>0</v>
      </c>
      <c r="F164" s="165"/>
      <c r="G164" s="165"/>
      <c r="H164" s="99">
        <f>G164+'26'!H164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'26'!F165</f>
        <v>0</v>
      </c>
      <c r="F165" s="165"/>
      <c r="G165" s="165"/>
      <c r="H165" s="99">
        <f>G165+'26'!H165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'26'!F170</f>
        <v>8107</v>
      </c>
      <c r="F170" s="155">
        <v>8107</v>
      </c>
      <c r="G170" s="155">
        <f>F170-E170</f>
        <v>0</v>
      </c>
      <c r="H170" s="99">
        <f>G170+'26'!H170</f>
        <v>109</v>
      </c>
      <c r="I170" s="155"/>
      <c r="J170" s="178">
        <f>H170/DAY(B2)</f>
        <v>4.0370370370370372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'26'!F171</f>
        <v>37749</v>
      </c>
      <c r="F171" s="157">
        <v>37762</v>
      </c>
      <c r="G171" s="155">
        <f t="shared" ref="G171:G172" si="14">F171-E171</f>
        <v>13</v>
      </c>
      <c r="H171" s="99">
        <f>G171+'26'!H171</f>
        <v>379</v>
      </c>
      <c r="I171" s="155"/>
      <c r="J171" s="178">
        <f>H171/DAY(B2)</f>
        <v>14.037037037037036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'26'!F172</f>
        <v>21091</v>
      </c>
      <c r="F172" s="155">
        <v>21106</v>
      </c>
      <c r="G172" s="155">
        <f t="shared" si="14"/>
        <v>15</v>
      </c>
      <c r="H172" s="99">
        <f>G172+'26'!H172</f>
        <v>318</v>
      </c>
      <c r="I172" s="155"/>
      <c r="J172" s="178">
        <f>H172/DAY(B2)</f>
        <v>11.777777777777779</v>
      </c>
    </row>
    <row r="173" spans="1:10" ht="27.75">
      <c r="A173" s="775" t="s">
        <v>196</v>
      </c>
      <c r="B173" s="776"/>
      <c r="C173" s="547"/>
      <c r="D173" s="228" t="s">
        <v>142</v>
      </c>
      <c r="E173" s="95"/>
      <c r="F173" s="155"/>
      <c r="G173" s="155">
        <f>SUM(G170:G172)</f>
        <v>28</v>
      </c>
      <c r="H173" s="99">
        <f>G173+'26'!H173</f>
        <v>806</v>
      </c>
      <c r="I173" s="155"/>
      <c r="J173" s="178">
        <f>H173/DAY(B2)</f>
        <v>29.851851851851851</v>
      </c>
    </row>
    <row r="174" spans="1:10" ht="27.75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G174+'26'!H174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'26'!F175</f>
        <v>76986</v>
      </c>
      <c r="F175" s="155">
        <v>77095</v>
      </c>
      <c r="G175" s="155">
        <f>F175-E175</f>
        <v>109</v>
      </c>
      <c r="H175" s="99">
        <f>G175+'26'!H175</f>
        <v>2476</v>
      </c>
      <c r="I175" s="155"/>
      <c r="J175" s="178">
        <f>H175/DAY(B2)</f>
        <v>91.703703703703709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'26'!F176</f>
        <v>33886</v>
      </c>
      <c r="F176" s="155">
        <v>33886</v>
      </c>
      <c r="G176" s="155">
        <f t="shared" ref="G176:G177" si="15">F176-E176</f>
        <v>0</v>
      </c>
      <c r="H176" s="99">
        <f>G176+'26'!H176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'26'!F177</f>
        <v>5234</v>
      </c>
      <c r="F177" s="155">
        <v>5253</v>
      </c>
      <c r="G177" s="155">
        <f t="shared" si="15"/>
        <v>19</v>
      </c>
      <c r="H177" s="99">
        <f>G177+'26'!H177</f>
        <v>2964</v>
      </c>
      <c r="I177" s="155"/>
      <c r="J177" s="178">
        <f>H177/DAY(B2)</f>
        <v>109.77777777777777</v>
      </c>
    </row>
    <row r="178" spans="1:10" ht="27.75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128</v>
      </c>
      <c r="H178" s="99">
        <f>G178+'26'!H178</f>
        <v>5440</v>
      </c>
      <c r="I178" s="155"/>
      <c r="J178" s="178">
        <f>H178/DAY(B2)</f>
        <v>201.4814814814815</v>
      </c>
    </row>
    <row r="179" spans="1:10" ht="27.75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G179+'26'!H179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'26'!F180</f>
        <v>14444</v>
      </c>
      <c r="F180" s="157">
        <v>14464</v>
      </c>
      <c r="G180" s="157">
        <f>F180-E180</f>
        <v>20</v>
      </c>
      <c r="H180" s="99">
        <f>G180+'26'!H180</f>
        <v>433</v>
      </c>
      <c r="I180" s="155"/>
      <c r="J180" s="178">
        <f>H180/DAY(B2)</f>
        <v>16.037037037037038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'26'!F181</f>
        <v>9996</v>
      </c>
      <c r="F181" s="157">
        <v>10006</v>
      </c>
      <c r="G181" s="157">
        <f t="shared" ref="G181:G182" si="16">F181-E181</f>
        <v>10</v>
      </c>
      <c r="H181" s="99">
        <f>G181+'26'!H181</f>
        <v>252</v>
      </c>
      <c r="I181" s="155"/>
      <c r="J181" s="178">
        <f>H181/DAY(B2)</f>
        <v>9.3333333333333339</v>
      </c>
    </row>
    <row r="182" spans="1:10" ht="25.5" customHeight="1">
      <c r="A182" s="786" t="s">
        <v>216</v>
      </c>
      <c r="B182" s="787"/>
      <c r="C182" s="354"/>
      <c r="D182" s="228" t="s">
        <v>142</v>
      </c>
      <c r="E182" s="95">
        <f>'26'!F182</f>
        <v>0</v>
      </c>
      <c r="F182" s="157"/>
      <c r="G182" s="157">
        <f t="shared" si="16"/>
        <v>0</v>
      </c>
      <c r="H182" s="99">
        <f>G182+'26'!H182</f>
        <v>0</v>
      </c>
      <c r="I182" s="155"/>
      <c r="J182" s="178">
        <f>H182/DAY(B2)</f>
        <v>0</v>
      </c>
    </row>
    <row r="183" spans="1:10" ht="27.75">
      <c r="A183" s="775" t="s">
        <v>196</v>
      </c>
      <c r="B183" s="776"/>
      <c r="C183" s="546"/>
      <c r="D183" s="228" t="s">
        <v>142</v>
      </c>
      <c r="E183" s="95"/>
      <c r="F183" s="157"/>
      <c r="G183" s="157">
        <f>SUM(G180:G182)</f>
        <v>30</v>
      </c>
      <c r="H183" s="99">
        <f>G183+'26'!H183</f>
        <v>685</v>
      </c>
      <c r="I183" s="157"/>
      <c r="J183" s="178">
        <f>H183/DAY(B2)</f>
        <v>25.37037037037037</v>
      </c>
    </row>
    <row r="184" spans="1:10" ht="27.75">
      <c r="A184" s="777" t="s">
        <v>217</v>
      </c>
      <c r="B184" s="778"/>
      <c r="C184" s="353"/>
      <c r="D184" s="228" t="s">
        <v>142</v>
      </c>
      <c r="E184" s="95">
        <f>'26'!F184</f>
        <v>0</v>
      </c>
      <c r="F184" s="159"/>
      <c r="G184" s="524">
        <f>G62+G19</f>
        <v>185</v>
      </c>
      <c r="H184" s="99">
        <f>G184+'26'!H184</f>
        <v>4777</v>
      </c>
      <c r="I184" s="158"/>
      <c r="J184" s="179">
        <f>H184/DAY(B2)</f>
        <v>176.92592592592592</v>
      </c>
    </row>
    <row r="185" spans="1:10" ht="27.75">
      <c r="A185" s="777" t="s">
        <v>218</v>
      </c>
      <c r="B185" s="778"/>
      <c r="C185" s="353"/>
      <c r="D185" s="228" t="s">
        <v>142</v>
      </c>
      <c r="E185" s="95">
        <f>'26'!F185</f>
        <v>0</v>
      </c>
      <c r="F185" s="159"/>
      <c r="G185" s="524">
        <f>G65+G66+G67+G69+G70</f>
        <v>169</v>
      </c>
      <c r="H185" s="99">
        <f>G185+'26'!H185</f>
        <v>2380</v>
      </c>
      <c r="I185" s="158"/>
      <c r="J185" s="179">
        <f>H185/DAY(B2)</f>
        <v>88.148148148148152</v>
      </c>
    </row>
    <row r="186" spans="1:10" ht="27.75">
      <c r="A186" s="777" t="s">
        <v>219</v>
      </c>
      <c r="B186" s="778"/>
      <c r="C186" s="353"/>
      <c r="D186" s="230" t="s">
        <v>142</v>
      </c>
      <c r="E186" s="95">
        <f>'26'!F186</f>
        <v>0</v>
      </c>
      <c r="F186" s="157"/>
      <c r="G186" s="521">
        <f>G178</f>
        <v>128</v>
      </c>
      <c r="H186" s="99">
        <f>G186+'26'!H186</f>
        <v>1008</v>
      </c>
      <c r="I186" s="158"/>
      <c r="J186" s="179">
        <f>H186/DAY(B2)</f>
        <v>37.333333333333336</v>
      </c>
    </row>
    <row r="187" spans="1:10" ht="27.75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310" ht="29.25"/>
    <row r="311" ht="29.25"/>
    <row r="312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</sheetData>
  <mergeCells count="112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63:B163"/>
    <mergeCell ref="A164:B164"/>
    <mergeCell ref="A165:B165"/>
    <mergeCell ref="A168:J168"/>
    <mergeCell ref="A169:B169"/>
    <mergeCell ref="A139:C139"/>
    <mergeCell ref="A140:C140"/>
    <mergeCell ref="A141:C141"/>
    <mergeCell ref="A142:C142"/>
    <mergeCell ref="A157:J157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85:B185"/>
    <mergeCell ref="A186:B186"/>
    <mergeCell ref="A187:B187"/>
    <mergeCell ref="A178:B178"/>
    <mergeCell ref="A179:B179"/>
    <mergeCell ref="A182:B182"/>
    <mergeCell ref="A183:B183"/>
    <mergeCell ref="A184:B184"/>
    <mergeCell ref="A170:B170"/>
    <mergeCell ref="A171:B171"/>
    <mergeCell ref="A173:B173"/>
    <mergeCell ref="A174:B174"/>
    <mergeCell ref="A175:B175"/>
    <mergeCell ref="A172:C172"/>
    <mergeCell ref="A176:B176"/>
    <mergeCell ref="A177:B177"/>
    <mergeCell ref="A181:B181"/>
    <mergeCell ref="A180:B180"/>
  </mergeCells>
  <pageMargins left="0.23622047244094491" right="0.15748031496062992" top="0.15748031496062992" bottom="0.19685039370078741" header="0.19685039370078741" footer="0.19685039370078741"/>
  <pageSetup paperSize="5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698"/>
  <sheetViews>
    <sheetView view="pageBreakPreview" zoomScale="55" zoomScaleNormal="80" zoomScaleSheetLayoutView="55" workbookViewId="0">
      <selection activeCell="F85" sqref="F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350</v>
      </c>
      <c r="B2" s="266">
        <v>44528</v>
      </c>
      <c r="C2" s="36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'27'!F7</f>
        <v>333410</v>
      </c>
      <c r="F7" s="95">
        <v>356586</v>
      </c>
      <c r="G7" s="112">
        <f>F7-E7</f>
        <v>23176</v>
      </c>
      <c r="H7" s="99">
        <f>G7+'27'!H7</f>
        <v>670322.69999999984</v>
      </c>
      <c r="I7" s="113">
        <f>'1'!I7</f>
        <v>12000</v>
      </c>
      <c r="J7" s="175">
        <f>H7/DAY(B2)</f>
        <v>23940.096428571422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'27'!F8</f>
        <v>369793</v>
      </c>
      <c r="F8" s="95">
        <v>393349</v>
      </c>
      <c r="G8" s="115">
        <f>F8-E8</f>
        <v>23556</v>
      </c>
      <c r="H8" s="99">
        <f>G8+'27'!H8</f>
        <v>680185.10000000009</v>
      </c>
      <c r="I8" s="116"/>
      <c r="J8" s="175">
        <f>H8/DAY(B2)</f>
        <v>24292.325000000004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'27'!F9</f>
        <v>1678524</v>
      </c>
      <c r="F9" s="373">
        <v>1692547.3</v>
      </c>
      <c r="G9" s="112">
        <f>F9-E9</f>
        <v>14023.300000000047</v>
      </c>
      <c r="H9" s="99">
        <f>G9+'27'!H9</f>
        <v>431268.80000000005</v>
      </c>
      <c r="I9" s="124">
        <f>I7-J7</f>
        <v>-11940.096428571422</v>
      </c>
      <c r="J9" s="175">
        <f>H9/DAY(B2)</f>
        <v>15402.457142857145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'27'!F10</f>
        <v>380952</v>
      </c>
      <c r="F10" s="373">
        <v>389571.99</v>
      </c>
      <c r="G10" s="112">
        <f t="shared" ref="G10:G12" si="0">F10-E10</f>
        <v>8619.9899999999907</v>
      </c>
      <c r="H10" s="99">
        <f>G10+'27'!H10</f>
        <v>221188.06</v>
      </c>
      <c r="I10" s="286"/>
      <c r="J10" s="175">
        <f>H10/DAY(B2)</f>
        <v>7899.5735714285711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22643.290000000037</v>
      </c>
      <c r="H13" s="99">
        <f>G13+'27'!H13</f>
        <v>631650.4</v>
      </c>
      <c r="I13" s="120">
        <f>G7-G13</f>
        <v>532.70999999996275</v>
      </c>
      <c r="J13" s="175">
        <f>H13/DAY(B2)</f>
        <v>22558.942857142858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65" t="s">
        <v>138</v>
      </c>
      <c r="B15" s="205"/>
      <c r="C15" s="205"/>
      <c r="D15" s="151" t="s">
        <v>139</v>
      </c>
      <c r="E15" s="95">
        <f>'27'!F15</f>
        <v>1839818</v>
      </c>
      <c r="F15" s="123">
        <v>1840976.12</v>
      </c>
      <c r="G15" s="112">
        <f>(F15-E15)</f>
        <v>1158.1200000001118</v>
      </c>
      <c r="H15" s="99">
        <f>G15+'27'!H15</f>
        <v>28045.310000000085</v>
      </c>
      <c r="I15" s="113">
        <f>'1'!I15</f>
        <v>800</v>
      </c>
      <c r="J15" s="175">
        <f>H15/DAY(B2)</f>
        <v>1001.6182142857173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-201.61821428571727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'27'!F18</f>
        <v>22</v>
      </c>
      <c r="F18" s="122">
        <v>24</v>
      </c>
      <c r="G18" s="119">
        <f>F18*10</f>
        <v>240</v>
      </c>
      <c r="H18" s="99">
        <f>G18+'27'!H18</f>
        <v>5800</v>
      </c>
      <c r="I18" s="113">
        <f>'1'!I18</f>
        <v>65</v>
      </c>
      <c r="J18" s="175">
        <f>H18/DAY(B2)</f>
        <v>207.14285714285714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'27'!F19</f>
        <v>150424</v>
      </c>
      <c r="F19" s="122">
        <v>150478</v>
      </c>
      <c r="G19" s="112">
        <f t="shared" ref="G19" si="1">F19-E19</f>
        <v>54</v>
      </c>
      <c r="H19" s="99">
        <f>G19+'27'!H19</f>
        <v>1561</v>
      </c>
      <c r="I19" s="355"/>
      <c r="J19" s="175">
        <f>H19/DAY(B2)</f>
        <v>55.75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G20+'27'!H20</f>
        <v>7361</v>
      </c>
      <c r="I20" s="356">
        <f>I18-J20</f>
        <v>-197.89285714285717</v>
      </c>
      <c r="J20" s="175">
        <f>H20/DAY(B2)</f>
        <v>262.89285714285717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23556</v>
      </c>
      <c r="F27" s="136">
        <v>9</v>
      </c>
      <c r="G27" s="137">
        <f>E27*F27</f>
        <v>212004</v>
      </c>
      <c r="H27" s="99">
        <f>G27+'27'!H27</f>
        <v>6121665.9000000013</v>
      </c>
      <c r="I27" s="138"/>
      <c r="J27" s="175">
        <f>H27/DAY(B2)</f>
        <v>218630.92500000005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1158.1200000001118</v>
      </c>
      <c r="F28" s="136">
        <v>52</v>
      </c>
      <c r="G28" s="137">
        <f>E28*F28</f>
        <v>60222.240000005811</v>
      </c>
      <c r="H28" s="99">
        <f>G28+'27'!H28</f>
        <v>1458356.1200000043</v>
      </c>
      <c r="I28" s="140"/>
      <c r="J28" s="175">
        <f>H28/DAY(B2)</f>
        <v>52084.147142857299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G30+'27'!H30</f>
        <v>227906</v>
      </c>
      <c r="I30" s="140"/>
      <c r="J30" s="175">
        <f>H30/DAY(B2)</f>
        <v>8139.5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G31+'27'!H31</f>
        <v>464000</v>
      </c>
      <c r="I31" s="140"/>
      <c r="J31" s="175">
        <f>H31/DAY(B2)</f>
        <v>16571.428571428572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299310.24000000581</v>
      </c>
      <c r="H32" s="99">
        <f>G32+'27'!H32</f>
        <v>8271928.0200000051</v>
      </c>
      <c r="I32" s="144"/>
      <c r="J32" s="175">
        <f>H32/DAY(B2)</f>
        <v>295426.00071428588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'27'!F35</f>
        <v>87199</v>
      </c>
      <c r="F35" s="145">
        <v>89268.160000000003</v>
      </c>
      <c r="G35" s="112">
        <f t="shared" ref="G35:G46" si="3">F35-E35</f>
        <v>2069.1600000000035</v>
      </c>
      <c r="H35" s="99">
        <f>G35+'27'!H35</f>
        <v>56793.490000000005</v>
      </c>
      <c r="I35" s="95"/>
      <c r="J35" s="175">
        <f>H35/DAY(B2)</f>
        <v>2028.3389285714288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'27'!F36</f>
        <v>76629</v>
      </c>
      <c r="F36" s="145">
        <v>77648.399999999994</v>
      </c>
      <c r="G36" s="112">
        <f t="shared" si="3"/>
        <v>1019.3999999999942</v>
      </c>
      <c r="H36" s="99">
        <f>G36+'27'!H36</f>
        <v>27708.729999999996</v>
      </c>
      <c r="I36" s="95"/>
      <c r="J36" s="175">
        <f>H36/DAY(B2)</f>
        <v>989.59749999999985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'27'!F37</f>
        <v>140581</v>
      </c>
      <c r="F37" s="145">
        <v>142163.07999999999</v>
      </c>
      <c r="G37" s="112">
        <f t="shared" si="3"/>
        <v>1582.0799999999872</v>
      </c>
      <c r="H37" s="99">
        <f>G37+'27'!H37</f>
        <v>45109.249999999985</v>
      </c>
      <c r="I37" s="95"/>
      <c r="J37" s="175">
        <f>H37/DAY(B2)</f>
        <v>1611.0446428571424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'27'!F38</f>
        <v>165441</v>
      </c>
      <c r="F38" s="108">
        <v>167340.70000000001</v>
      </c>
      <c r="G38" s="112">
        <f t="shared" si="3"/>
        <v>1899.7000000000116</v>
      </c>
      <c r="H38" s="99">
        <f>G38+'27'!H38</f>
        <v>52117.660000000018</v>
      </c>
      <c r="I38" s="95"/>
      <c r="J38" s="175">
        <f>H38/DAY(B2)</f>
        <v>1861.3450000000007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'27'!F39</f>
        <v>312831</v>
      </c>
      <c r="F39" s="145">
        <v>315694.90999999997</v>
      </c>
      <c r="G39" s="112">
        <f t="shared" si="3"/>
        <v>2863.9099999999744</v>
      </c>
      <c r="H39" s="99">
        <f>G39+'27'!H39</f>
        <v>82313.859999999986</v>
      </c>
      <c r="I39" s="95"/>
      <c r="J39" s="175">
        <f>H39/DAY(B2)</f>
        <v>2939.7807142857137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'27'!F40</f>
        <v>106</v>
      </c>
      <c r="F40" s="145">
        <v>105.8</v>
      </c>
      <c r="G40" s="112">
        <f t="shared" si="3"/>
        <v>-0.20000000000000284</v>
      </c>
      <c r="H40" s="99">
        <f>G40+'27'!H40</f>
        <v>149.43</v>
      </c>
      <c r="I40" s="95"/>
      <c r="J40" s="175">
        <f>H40/DAY(B2)</f>
        <v>5.3367857142857149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'27'!F41</f>
        <v>589883</v>
      </c>
      <c r="F41" s="145">
        <v>590513.71</v>
      </c>
      <c r="G41" s="112">
        <f t="shared" si="3"/>
        <v>630.70999999996275</v>
      </c>
      <c r="H41" s="99">
        <f>G41+'27'!H41</f>
        <v>8654.8800000000047</v>
      </c>
      <c r="I41" s="95"/>
      <c r="J41" s="175">
        <f>H41/DAY(B2)</f>
        <v>309.10285714285732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'27'!F42</f>
        <v>316054</v>
      </c>
      <c r="F42" s="145">
        <v>316053.99</v>
      </c>
      <c r="G42" s="112">
        <f t="shared" si="3"/>
        <v>-1.0000000009313226E-2</v>
      </c>
      <c r="H42" s="99">
        <f>G42+'27'!H42</f>
        <v>45084.320000000007</v>
      </c>
      <c r="I42" s="95"/>
      <c r="J42" s="175">
        <f>H42/DAY(B2)</f>
        <v>1610.1542857142861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'27'!F43</f>
        <v>1521330</v>
      </c>
      <c r="F43" s="145">
        <v>1523792.3</v>
      </c>
      <c r="G43" s="112">
        <f t="shared" si="3"/>
        <v>2462.3000000000466</v>
      </c>
      <c r="H43" s="99">
        <f>G43+'27'!H43</f>
        <v>77704.90000000014</v>
      </c>
      <c r="I43" s="95"/>
      <c r="J43" s="175">
        <f>H43/DAY(B2)</f>
        <v>2775.1750000000052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12527.04999999997</v>
      </c>
      <c r="H47" s="99">
        <f>G47+'27'!H47</f>
        <v>395636.52000000014</v>
      </c>
      <c r="I47" s="95"/>
      <c r="J47" s="175">
        <f>H47/DAY(B2)</f>
        <v>14129.875714285719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'27'!F49</f>
        <v>215486</v>
      </c>
      <c r="F49" s="145">
        <v>217146.37</v>
      </c>
      <c r="G49" s="112">
        <f t="shared" ref="G49:G58" si="4">F49-E49</f>
        <v>1660.3699999999953</v>
      </c>
      <c r="H49" s="99">
        <f>G49+'27'!H49</f>
        <v>44415.979999999981</v>
      </c>
      <c r="I49" s="95"/>
      <c r="J49" s="175">
        <f>H49/DAY(B2)</f>
        <v>1586.2849999999994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'27'!F50</f>
        <v>719389</v>
      </c>
      <c r="F50" s="145">
        <v>720947.07</v>
      </c>
      <c r="G50" s="112">
        <f t="shared" si="4"/>
        <v>1558.0699999999488</v>
      </c>
      <c r="H50" s="99">
        <f>G50+'27'!H50</f>
        <v>36584.759999999893</v>
      </c>
      <c r="I50" s="95"/>
      <c r="J50" s="175">
        <f>H50/DAY(B2)</f>
        <v>1306.5985714285675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'27'!F54</f>
        <v>3013</v>
      </c>
      <c r="F54" s="145">
        <v>3019.2</v>
      </c>
      <c r="G54" s="112">
        <f t="shared" si="4"/>
        <v>6.1999999999998181</v>
      </c>
      <c r="H54" s="99">
        <f>G54+'27'!H54</f>
        <v>151.71000000000004</v>
      </c>
      <c r="I54" s="95"/>
      <c r="J54" s="175">
        <f>H54/DAY(B2)</f>
        <v>5.4182142857142868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'27'!F55</f>
        <v>0</v>
      </c>
      <c r="F55" s="145">
        <v>0</v>
      </c>
      <c r="G55" s="112">
        <f t="shared" si="4"/>
        <v>0</v>
      </c>
      <c r="H55" s="99">
        <f>G55+'27'!H55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'27'!F56</f>
        <v>174683</v>
      </c>
      <c r="F56" s="145">
        <v>179886.21</v>
      </c>
      <c r="G56" s="112">
        <f t="shared" si="4"/>
        <v>5203.2099999999919</v>
      </c>
      <c r="H56" s="99">
        <f>G56+'27'!H56</f>
        <v>137045.91999999998</v>
      </c>
      <c r="I56" s="95"/>
      <c r="J56" s="175">
        <f>H56/DAY(B2)</f>
        <v>4894.4971428571425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'27'!F58</f>
        <v>84611</v>
      </c>
      <c r="F58" s="145">
        <v>84832.7</v>
      </c>
      <c r="G58" s="112">
        <f t="shared" si="4"/>
        <v>221.69999999999709</v>
      </c>
      <c r="H58" s="99">
        <f>G58+'27'!H58</f>
        <v>5812.8000000000029</v>
      </c>
      <c r="I58" s="95"/>
      <c r="J58" s="175">
        <f>H58/DAY(B2)</f>
        <v>207.60000000000011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8649.5499999999338</v>
      </c>
      <c r="H59" s="99">
        <f>G59+'27'!H59</f>
        <v>224011.16999999981</v>
      </c>
      <c r="I59" s="95">
        <f>G7-G60</f>
        <v>1999.400000000096</v>
      </c>
      <c r="J59" s="175">
        <f>H59/DAY(B2)</f>
        <v>8000.3989285714215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21176.599999999904</v>
      </c>
      <c r="H60" s="99">
        <f>G60+'27'!H60</f>
        <v>619647.68999999994</v>
      </c>
      <c r="I60" s="95">
        <f>G13-G60</f>
        <v>1466.6900000001333</v>
      </c>
      <c r="J60" s="175">
        <f>H60/DAY(B2)</f>
        <v>22130.274642857141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'27'!F62</f>
        <v>263088</v>
      </c>
      <c r="F62" s="122">
        <v>263225</v>
      </c>
      <c r="G62" s="112">
        <f t="shared" ref="G62:G63" si="5">F62-E62</f>
        <v>137</v>
      </c>
      <c r="H62" s="99">
        <f>G62+'27'!H62</f>
        <v>3407</v>
      </c>
      <c r="I62" s="118"/>
      <c r="J62" s="175">
        <f>H62/DAY(B2)</f>
        <v>121.67857142857143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'27'!F63</f>
        <v>209027</v>
      </c>
      <c r="F63" s="122">
        <v>209119</v>
      </c>
      <c r="G63" s="112">
        <f t="shared" si="5"/>
        <v>92</v>
      </c>
      <c r="H63" s="99">
        <f>G63+'27'!H63</f>
        <v>2849</v>
      </c>
      <c r="I63" s="118"/>
      <c r="J63" s="175">
        <f>H63/DAY(B2)</f>
        <v>101.75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'27'!F64</f>
        <v>0</v>
      </c>
      <c r="F64" s="122"/>
      <c r="G64" s="112">
        <f>G62+G63</f>
        <v>229</v>
      </c>
      <c r="H64" s="99">
        <f>G64+'27'!H64</f>
        <v>6256</v>
      </c>
      <c r="I64" s="118"/>
      <c r="J64" s="175">
        <f>H64/DAY(B2)</f>
        <v>223.42857142857142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'27'!F65</f>
        <v>429036</v>
      </c>
      <c r="F65" s="122">
        <v>429148</v>
      </c>
      <c r="G65" s="112">
        <f t="shared" ref="G65:G70" si="6">F65-E65</f>
        <v>112</v>
      </c>
      <c r="H65" s="99">
        <f>G65+'27'!H65</f>
        <v>2943</v>
      </c>
      <c r="I65" s="118"/>
      <c r="J65" s="175">
        <f>H65/DAY(B2)</f>
        <v>105.10714285714286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'27'!F66</f>
        <v>106546</v>
      </c>
      <c r="F66" s="122">
        <v>106565</v>
      </c>
      <c r="G66" s="112">
        <f t="shared" si="6"/>
        <v>19</v>
      </c>
      <c r="H66" s="99">
        <f>G66+'27'!H66</f>
        <v>595</v>
      </c>
      <c r="I66" s="118"/>
      <c r="J66" s="175">
        <f>H66/DAY(B2)</f>
        <v>21.25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'27'!F67</f>
        <v>102911</v>
      </c>
      <c r="F67" s="122">
        <v>102944</v>
      </c>
      <c r="G67" s="112">
        <f t="shared" si="6"/>
        <v>33</v>
      </c>
      <c r="H67" s="99">
        <f>G67+'27'!H67</f>
        <v>773</v>
      </c>
      <c r="I67" s="118"/>
      <c r="J67" s="175">
        <f>H67/DAY(B2)</f>
        <v>27.607142857142858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'27'!F68</f>
        <v>155319</v>
      </c>
      <c r="F68" s="122">
        <v>155366</v>
      </c>
      <c r="G68" s="112">
        <f t="shared" si="6"/>
        <v>47</v>
      </c>
      <c r="H68" s="99">
        <f>G68+'27'!H68</f>
        <v>870</v>
      </c>
      <c r="I68" s="118"/>
      <c r="J68" s="175">
        <f>H68/DAY(B2)</f>
        <v>31.071428571428573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'27'!F69</f>
        <v>9817</v>
      </c>
      <c r="F69" s="122">
        <v>9828</v>
      </c>
      <c r="G69" s="112">
        <f t="shared" si="6"/>
        <v>11</v>
      </c>
      <c r="H69" s="99">
        <f>G69+'27'!H69</f>
        <v>363</v>
      </c>
      <c r="I69" s="118"/>
      <c r="J69" s="175">
        <f>H69/DAY(B2)</f>
        <v>12.964285714285714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'27'!F70</f>
        <v>7510</v>
      </c>
      <c r="F70" s="122">
        <v>7521</v>
      </c>
      <c r="G70" s="112">
        <f t="shared" si="6"/>
        <v>11</v>
      </c>
      <c r="H70" s="99">
        <f>G70+'27'!H70</f>
        <v>318</v>
      </c>
      <c r="I70" s="118"/>
      <c r="J70" s="175">
        <f>H70/DAY(B2)</f>
        <v>11.357142857142858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233</v>
      </c>
      <c r="H71" s="99">
        <f>G71+'27'!H71</f>
        <v>5862</v>
      </c>
      <c r="I71" s="154"/>
      <c r="J71" s="175">
        <f>H71/DAY(B2)</f>
        <v>209.35714285714286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'27'!F74</f>
        <v>881382</v>
      </c>
      <c r="F74" s="117">
        <v>881657.73</v>
      </c>
      <c r="G74" s="112">
        <f t="shared" ref="G74:G78" si="7">F74-E74</f>
        <v>275.72999999998137</v>
      </c>
      <c r="H74" s="99">
        <f>G74+'27'!H74</f>
        <v>8072.4989999999525</v>
      </c>
      <c r="I74" s="154"/>
      <c r="J74" s="175">
        <f>H74/DAY(B2)</f>
        <v>288.30353571428401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'27'!F75</f>
        <v>73586.8</v>
      </c>
      <c r="F75" s="123">
        <v>73586.600000000006</v>
      </c>
      <c r="G75" s="112">
        <f t="shared" si="7"/>
        <v>-0.19999999999708962</v>
      </c>
      <c r="H75" s="99">
        <f>G75+'27'!H75</f>
        <v>3.2000000000116415</v>
      </c>
      <c r="I75" s="154"/>
      <c r="J75" s="175">
        <f>H75/DAY(B2)</f>
        <v>0.11428571428613006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'27'!F76</f>
        <v>163042</v>
      </c>
      <c r="F76" s="123">
        <v>163178</v>
      </c>
      <c r="G76" s="112">
        <f t="shared" si="7"/>
        <v>136</v>
      </c>
      <c r="H76" s="99">
        <f>G76+'27'!H76</f>
        <v>3192.5</v>
      </c>
      <c r="I76" s="154"/>
      <c r="J76" s="175">
        <f>H76/DAY(B2)</f>
        <v>114.01785714285714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'27'!F77</f>
        <v>38681</v>
      </c>
      <c r="F77" s="123">
        <v>38737</v>
      </c>
      <c r="G77" s="112">
        <f t="shared" si="7"/>
        <v>56</v>
      </c>
      <c r="H77" s="99">
        <f>G77+'27'!H77</f>
        <v>1239.5</v>
      </c>
      <c r="I77" s="154"/>
      <c r="J77" s="175">
        <f>H77/DAY(B2)</f>
        <v>44.267857142857146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'27'!F78</f>
        <v>9404</v>
      </c>
      <c r="F78" s="123">
        <v>9407</v>
      </c>
      <c r="G78" s="112">
        <f t="shared" si="7"/>
        <v>3</v>
      </c>
      <c r="H78" s="99">
        <f>G78+'27'!H78</f>
        <v>77.600000000000364</v>
      </c>
      <c r="I78" s="118"/>
      <c r="J78" s="175">
        <f>H78/DAY(B2)</f>
        <v>2.7714285714285842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'27'!F79</f>
        <v>0</v>
      </c>
      <c r="F79" s="123"/>
      <c r="G79" s="112">
        <f>G15-SUM(G74:G78)</f>
        <v>687.59000000012747</v>
      </c>
      <c r="H79" s="99">
        <f>G79+'27'!H79</f>
        <v>15460.011000000119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1158.1200000001118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'27'!F84</f>
        <v>41625.31</v>
      </c>
      <c r="F84" s="164">
        <v>41628.559999999998</v>
      </c>
      <c r="G84" s="112">
        <f t="shared" si="8"/>
        <v>3.25</v>
      </c>
      <c r="H84" s="99">
        <f>G84+'27'!H84</f>
        <v>43</v>
      </c>
      <c r="I84" s="118"/>
      <c r="J84" s="175">
        <f>H84/DAY(B2)</f>
        <v>1.5357142857142858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552">
        <f>'27'!F85</f>
        <v>1512</v>
      </c>
      <c r="F85" s="164">
        <v>1503.56</v>
      </c>
      <c r="G85" s="236">
        <f t="shared" si="8"/>
        <v>-8.4400000000000546</v>
      </c>
      <c r="H85" s="99">
        <f>G85+'27'!H85</f>
        <v>198.55999999999995</v>
      </c>
      <c r="I85" s="118">
        <f>G82+G83+G84+G85</f>
        <v>-5.1900000000000546</v>
      </c>
      <c r="J85" s="175">
        <f>H85/DAY(B2)</f>
        <v>7.0914285714285699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'27'!F86</f>
        <v>42826.47</v>
      </c>
      <c r="F86" s="164">
        <v>42826</v>
      </c>
      <c r="G86" s="112">
        <f t="shared" si="8"/>
        <v>-0.47000000000116415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'27'!F87</f>
        <v>34349</v>
      </c>
      <c r="F87" s="164">
        <v>34372.5</v>
      </c>
      <c r="G87" s="112">
        <f t="shared" si="8"/>
        <v>23.5</v>
      </c>
      <c r="H87" s="99">
        <f>G87+'27'!H87</f>
        <v>624.5</v>
      </c>
      <c r="I87" s="118"/>
      <c r="J87" s="175">
        <f>H87/DAY(B2)</f>
        <v>22.303571428571427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'27'!F88</f>
        <v>23931.69</v>
      </c>
      <c r="F88" s="164">
        <v>23931.69</v>
      </c>
      <c r="G88" s="112">
        <f t="shared" si="8"/>
        <v>0</v>
      </c>
      <c r="H88" s="99">
        <f>G88+'27'!H88</f>
        <v>98.119999999998981</v>
      </c>
      <c r="I88" s="118">
        <f>G86+G87+G88</f>
        <v>23.029999999998836</v>
      </c>
      <c r="J88" s="175">
        <f>H88/DAY(B2)</f>
        <v>3.504285714285678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'27'!F89</f>
        <v>25416</v>
      </c>
      <c r="F89" s="164">
        <v>25427.49</v>
      </c>
      <c r="G89" s="112">
        <f t="shared" si="8"/>
        <v>11.490000000001601</v>
      </c>
      <c r="H89" s="99">
        <f>G89+'27'!H89</f>
        <v>182.11000000000058</v>
      </c>
      <c r="I89" s="118"/>
      <c r="J89" s="175">
        <f>H89/DAY(B2)</f>
        <v>6.5039285714285926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'27'!F90</f>
        <v>70809.539999999994</v>
      </c>
      <c r="F90" s="164">
        <v>70816.63</v>
      </c>
      <c r="G90" s="112">
        <f t="shared" si="8"/>
        <v>7.0900000000110595</v>
      </c>
      <c r="H90" s="99">
        <f>G90+'27'!H90</f>
        <v>30.090000000011059</v>
      </c>
      <c r="I90" s="118">
        <f>G89+G90</f>
        <v>18.58000000001266</v>
      </c>
      <c r="J90" s="175">
        <f>H90/DAY(B2)</f>
        <v>1.074642857143252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'27'!F91</f>
        <v>3226</v>
      </c>
      <c r="F91" s="122">
        <v>3226</v>
      </c>
      <c r="G91" s="112">
        <f t="shared" si="8"/>
        <v>0</v>
      </c>
      <c r="H91" s="99">
        <f>G91+'27'!H91</f>
        <v>-0.32000000000016371</v>
      </c>
      <c r="I91" s="165"/>
      <c r="J91" s="175">
        <f>H91/DAY(B2)</f>
        <v>-1.1428571428577275E-2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'27'!F92</f>
        <v>5065.45</v>
      </c>
      <c r="F92" s="122">
        <v>5075.0600000000004</v>
      </c>
      <c r="G92" s="112">
        <f t="shared" si="8"/>
        <v>9.6100000000005821</v>
      </c>
      <c r="H92" s="99">
        <f>G92+'27'!H92</f>
        <v>283.24000000000069</v>
      </c>
      <c r="I92" s="165"/>
      <c r="J92" s="175">
        <f>H92/DAY(B2)</f>
        <v>10.11571428571431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6191.8300000000454</v>
      </c>
      <c r="H94" s="99">
        <f>G94+'27'!H94</f>
        <v>178914.37000000008</v>
      </c>
      <c r="I94" s="118"/>
      <c r="J94" s="175">
        <f>H94/DAY(B2)</f>
        <v>6389.7989285714311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0.26716560234725772</v>
      </c>
      <c r="H95" s="99">
        <f>G95+'27'!H95</f>
        <v>7.5152741781041179</v>
      </c>
      <c r="I95" s="167"/>
      <c r="J95" s="175">
        <f>H95/DAY(B2)</f>
        <v>0.26840264921800422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5833.9099999999453</v>
      </c>
      <c r="H96" s="99">
        <f>G96+'27'!H96</f>
        <v>190785.12</v>
      </c>
      <c r="I96" s="118"/>
      <c r="J96" s="175">
        <f>H96/DAY(B2)</f>
        <v>6813.7542857142853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0.25172204004141979</v>
      </c>
      <c r="H97" s="99">
        <f>G97+'27'!H97</f>
        <v>7.8866882806109651</v>
      </c>
      <c r="I97" s="167"/>
      <c r="J97" s="175">
        <f>H97/DAY(B2)</f>
        <v>0.28166743859324878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2863.9099999999744</v>
      </c>
      <c r="H98" s="99">
        <f>G98+'27'!H98</f>
        <v>82313.859999999986</v>
      </c>
      <c r="I98" s="168"/>
      <c r="J98" s="175">
        <f>H98/DAY(B2)</f>
        <v>2939.7807142857137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0.12357222989299164</v>
      </c>
      <c r="H99" s="99">
        <f>G99+'27'!H99</f>
        <v>3.4630318503176647</v>
      </c>
      <c r="I99" s="168"/>
      <c r="J99" s="175">
        <f>H99/DAY(B2)</f>
        <v>0.1236797089399166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1899.7000000000116</v>
      </c>
      <c r="H100" s="99">
        <f>G100+'27'!H100</f>
        <v>52117.660000000018</v>
      </c>
      <c r="I100" s="118"/>
      <c r="J100" s="175">
        <f>H100/DAY(B2)</f>
        <v>1861.3450000000007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8.1968415602347758E-2</v>
      </c>
      <c r="H101" s="99">
        <f>G101+'27'!H101</f>
        <v>2.1904475979444156</v>
      </c>
      <c r="I101" s="168"/>
      <c r="J101" s="175">
        <f>H101/DAY(B2)</f>
        <v>7.8230271355157699E-2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2577.469999999943</v>
      </c>
      <c r="H102" s="99">
        <f>G102+'27'!H102</f>
        <v>64293.489999999889</v>
      </c>
      <c r="I102" s="168"/>
      <c r="J102" s="175">
        <f>H102/DAY(B2)</f>
        <v>2296.1960714285674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0.11121289264756398</v>
      </c>
      <c r="H103" s="99">
        <f>G103+'27'!H103</f>
        <v>2.6681971083812805</v>
      </c>
      <c r="I103" s="118"/>
      <c r="J103" s="175">
        <f>H103/DAY(B2)</f>
        <v>9.5292753870760014E-2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1582.0799999999872</v>
      </c>
      <c r="H104" s="99">
        <f>G104+'27'!H104</f>
        <v>45109.249999999985</v>
      </c>
      <c r="I104" s="118"/>
      <c r="J104" s="175">
        <f>H104/DAY(B2)</f>
        <v>1611.0446428571424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6.8263721090783019E-2</v>
      </c>
      <c r="H105" s="99">
        <f>G105+'27'!H105</f>
        <v>1.8972455579926588</v>
      </c>
      <c r="I105" s="187"/>
      <c r="J105" s="188">
        <f>H105/DAY(B2)</f>
        <v>6.7758769928309245E-2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'27'!F112</f>
        <v>53110</v>
      </c>
      <c r="F112" s="237">
        <v>53188.69</v>
      </c>
      <c r="G112" s="112">
        <f t="shared" ref="G112:G123" si="9">F112-E112</f>
        <v>78.690000000002328</v>
      </c>
      <c r="H112" s="99">
        <f>G112+'27'!H112</f>
        <v>2299.6100000000006</v>
      </c>
      <c r="I112" s="165"/>
      <c r="J112" s="348">
        <f>H112/DAY(B2)</f>
        <v>82.128928571428588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95">
        <f>'27'!F113</f>
        <v>16660</v>
      </c>
      <c r="F113" s="237">
        <v>17083.59</v>
      </c>
      <c r="G113" s="112">
        <f t="shared" si="9"/>
        <v>423.59000000000015</v>
      </c>
      <c r="H113" s="99">
        <f>G113+'27'!H113</f>
        <v>12577.94</v>
      </c>
      <c r="I113" s="165"/>
      <c r="J113" s="348">
        <f>H113/DAY(B2)</f>
        <v>449.21214285714285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95">
        <f>'27'!F114</f>
        <v>12962</v>
      </c>
      <c r="F114" s="237">
        <v>13367.58</v>
      </c>
      <c r="G114" s="112">
        <f t="shared" si="9"/>
        <v>405.57999999999993</v>
      </c>
      <c r="H114" s="99">
        <f>G114+'27'!H114</f>
        <v>9561.4699999999993</v>
      </c>
      <c r="I114" s="165"/>
      <c r="J114" s="348">
        <f>H114/DAY(B2)</f>
        <v>341.4810714285714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95">
        <f>'27'!F115</f>
        <v>8389</v>
      </c>
      <c r="F115" s="237">
        <v>8398.94</v>
      </c>
      <c r="G115" s="112">
        <f t="shared" si="9"/>
        <v>9.9400000000005093</v>
      </c>
      <c r="H115" s="99">
        <f>G115+'27'!H115</f>
        <v>321.53000000000065</v>
      </c>
      <c r="I115" s="165"/>
      <c r="J115" s="348">
        <f>H115/DAY(B2)</f>
        <v>11.483214285714309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48">
        <f>H116/DAY(B2)</f>
        <v>0</v>
      </c>
      <c r="Q116" s="793"/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95">
        <f>'27'!F117</f>
        <v>1879</v>
      </c>
      <c r="F117" s="237">
        <v>1899.16</v>
      </c>
      <c r="G117" s="112">
        <f t="shared" si="9"/>
        <v>20.160000000000082</v>
      </c>
      <c r="H117" s="99">
        <f>G117+'27'!H117</f>
        <v>740.97</v>
      </c>
      <c r="I117" s="165"/>
      <c r="J117" s="348">
        <f>H117/DAY(B2)</f>
        <v>26.463214285714287</v>
      </c>
      <c r="Q117" s="793"/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'27'!F118</f>
        <v>228686</v>
      </c>
      <c r="F118" s="237">
        <v>229006.43</v>
      </c>
      <c r="G118" s="112">
        <f t="shared" si="9"/>
        <v>320.42999999999302</v>
      </c>
      <c r="H118" s="99">
        <f>G118+'27'!H118</f>
        <v>10154.5</v>
      </c>
      <c r="I118" s="165"/>
      <c r="J118" s="348">
        <f>H118/DAY(B2)</f>
        <v>362.66071428571428</v>
      </c>
      <c r="Q118" s="793"/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'27'!F119</f>
        <v>230382</v>
      </c>
      <c r="F119" s="237">
        <v>230817.05</v>
      </c>
      <c r="G119" s="112">
        <f t="shared" si="9"/>
        <v>435.04999999998836</v>
      </c>
      <c r="H119" s="99">
        <f>G119+'27'!H119</f>
        <v>12005.940000000002</v>
      </c>
      <c r="I119" s="165"/>
      <c r="J119" s="348">
        <f>H119/DAY(B2)</f>
        <v>428.78357142857152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'27'!F120</f>
        <v>15847</v>
      </c>
      <c r="F120" s="237">
        <v>16271.7</v>
      </c>
      <c r="G120" s="112">
        <f t="shared" si="9"/>
        <v>424.70000000000073</v>
      </c>
      <c r="H120" s="99">
        <f>G120+'27'!H120</f>
        <v>11964.1</v>
      </c>
      <c r="I120" s="165"/>
      <c r="J120" s="348">
        <f>H120/DAY(B2)</f>
        <v>427.28928571428571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'27'!F121</f>
        <v>350966</v>
      </c>
      <c r="F121" s="237">
        <v>351637.27</v>
      </c>
      <c r="G121" s="112">
        <f t="shared" si="9"/>
        <v>671.27000000001863</v>
      </c>
      <c r="H121" s="99">
        <f>G121+'27'!H121</f>
        <v>20399.760000000009</v>
      </c>
      <c r="I121" s="165"/>
      <c r="J121" s="348">
        <f>H121/DAY(B2)</f>
        <v>728.56285714285752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'27'!F122</f>
        <v>110036</v>
      </c>
      <c r="F122" s="237">
        <v>110346.9</v>
      </c>
      <c r="G122" s="112">
        <f t="shared" si="9"/>
        <v>310.89999999999418</v>
      </c>
      <c r="H122" s="99">
        <f>G122+'27'!H122</f>
        <v>8738.0199999999895</v>
      </c>
      <c r="I122" s="165"/>
      <c r="J122" s="348">
        <f>H122/DAY(B2)</f>
        <v>312.07214285714247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'27'!F123</f>
        <v>133510</v>
      </c>
      <c r="F123" s="237">
        <v>133785.24</v>
      </c>
      <c r="G123" s="112">
        <f t="shared" si="9"/>
        <v>275.23999999999069</v>
      </c>
      <c r="H123" s="99">
        <f>G123+'27'!H123</f>
        <v>8037.4799999999959</v>
      </c>
      <c r="I123" s="165"/>
      <c r="J123" s="348">
        <f>H123/DAY(B2)</f>
        <v>287.05285714285702</v>
      </c>
    </row>
    <row r="124" spans="1:18" ht="29.25" customHeight="1">
      <c r="A124" s="797"/>
      <c r="B124" s="798"/>
      <c r="C124" s="799"/>
      <c r="D124" s="165"/>
      <c r="E124" s="95">
        <f>'27'!F124</f>
        <v>0</v>
      </c>
      <c r="F124" s="165"/>
      <c r="G124" s="347"/>
      <c r="H124" s="99">
        <f>G124+'27'!H124</f>
        <v>0</v>
      </c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3375.5499999999884</v>
      </c>
      <c r="H125" s="156"/>
      <c r="I125" s="347">
        <f>G125-(G39+G53)</f>
        <v>511.64000000001397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G127+'27'!H127</f>
        <v>0</v>
      </c>
      <c r="I127" s="165"/>
      <c r="J127" s="348">
        <f>H127/DAY(B2)</f>
        <v>0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'27'!F128</f>
        <v>26683</v>
      </c>
      <c r="F128" s="165">
        <v>26992.76</v>
      </c>
      <c r="G128" s="112">
        <f t="shared" ref="G128:G134" si="10">F128-E128</f>
        <v>309.7599999999984</v>
      </c>
      <c r="H128" s="99">
        <f>G128+'27'!H128</f>
        <v>8969.0399999999972</v>
      </c>
      <c r="I128" s="165"/>
      <c r="J128" s="348">
        <f>H128/DAY(B2)</f>
        <v>320.32285714285706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'27'!F129</f>
        <v>12126</v>
      </c>
      <c r="F129" s="165">
        <v>12316.53</v>
      </c>
      <c r="G129" s="112">
        <f t="shared" si="10"/>
        <v>190.53000000000065</v>
      </c>
      <c r="H129" s="99">
        <f>G129+'27'!H129</f>
        <v>5720.8200000000006</v>
      </c>
      <c r="I129" s="165"/>
      <c r="J129" s="348">
        <f>H129/DAY(B2)</f>
        <v>204.31500000000003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'27'!F130</f>
        <v>1196</v>
      </c>
      <c r="F130" s="165">
        <v>1486.21</v>
      </c>
      <c r="G130" s="112">
        <f t="shared" si="10"/>
        <v>290.21000000000004</v>
      </c>
      <c r="H130" s="99">
        <f>G130+'27'!H130</f>
        <v>54955.890000000007</v>
      </c>
      <c r="I130" s="165"/>
      <c r="J130" s="348">
        <f>H130/DAY(B2)</f>
        <v>1962.7103571428574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'27'!F131</f>
        <v>8719</v>
      </c>
      <c r="F131" s="165">
        <v>8832.01</v>
      </c>
      <c r="G131" s="112">
        <f t="shared" si="10"/>
        <v>113.01000000000022</v>
      </c>
      <c r="H131" s="99">
        <f>G131+'27'!H131</f>
        <v>4685.54</v>
      </c>
      <c r="I131" s="165"/>
      <c r="J131" s="348">
        <f>H131/DAY(B2)</f>
        <v>167.34071428571428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'27'!F132</f>
        <v>24723</v>
      </c>
      <c r="F132" s="165">
        <v>25198.65</v>
      </c>
      <c r="G132" s="112">
        <f t="shared" si="10"/>
        <v>475.65000000000146</v>
      </c>
      <c r="H132" s="99">
        <f>G132+'27'!H132</f>
        <v>13660.930000000002</v>
      </c>
      <c r="I132" s="165"/>
      <c r="J132" s="348">
        <f>H132/DAY(B2)</f>
        <v>487.89035714285723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'27'!F133</f>
        <v>61029</v>
      </c>
      <c r="F133" s="165">
        <v>61861.77</v>
      </c>
      <c r="G133" s="112">
        <f t="shared" si="10"/>
        <v>832.7699999999968</v>
      </c>
      <c r="H133" s="99">
        <f>G133+'27'!H133</f>
        <v>21012.479999999996</v>
      </c>
      <c r="I133" s="165"/>
      <c r="J133" s="348">
        <f>H133/DAY(B2)</f>
        <v>750.44571428571419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'27'!F134</f>
        <v>649323</v>
      </c>
      <c r="F134" s="165">
        <v>649962</v>
      </c>
      <c r="G134" s="112">
        <f t="shared" si="10"/>
        <v>639</v>
      </c>
      <c r="H134" s="99">
        <f>G134+'27'!H134</f>
        <v>17698</v>
      </c>
      <c r="I134" s="165"/>
      <c r="J134" s="348">
        <f>H134/DAY(B2)</f>
        <v>632.07142857142856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SUM(G128:G134)</f>
        <v>2850.9299999999976</v>
      </c>
      <c r="H135" s="99">
        <f>G135+'23'!H135</f>
        <v>55937.98</v>
      </c>
      <c r="I135" s="347">
        <f>G135-(G35+G49)</f>
        <v>-878.60000000000127</v>
      </c>
      <c r="J135" s="348"/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'27'!F138</f>
        <v>861092</v>
      </c>
      <c r="F138" s="147">
        <v>861160</v>
      </c>
      <c r="G138" s="112">
        <f t="shared" ref="G138:G152" si="11">F138-E138</f>
        <v>68</v>
      </c>
      <c r="H138" s="99">
        <f>G138+'27'!H138</f>
        <v>1513</v>
      </c>
      <c r="I138" s="118"/>
      <c r="J138" s="348">
        <f>H138/DAY(B2)</f>
        <v>54.035714285714285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'27'!F139</f>
        <v>886193</v>
      </c>
      <c r="F139" s="148">
        <v>886193</v>
      </c>
      <c r="G139" s="112">
        <f t="shared" si="11"/>
        <v>0</v>
      </c>
      <c r="H139" s="99">
        <f>G139+'27'!H139</f>
        <v>91</v>
      </c>
      <c r="I139" s="118"/>
      <c r="J139" s="348">
        <f>H139/DAY(B2)</f>
        <v>3.25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'27'!F140</f>
        <v>88849</v>
      </c>
      <c r="F140" s="149">
        <v>88849</v>
      </c>
      <c r="G140" s="112">
        <f t="shared" si="11"/>
        <v>0</v>
      </c>
      <c r="H140" s="99">
        <f>G140+'27'!H140</f>
        <v>32</v>
      </c>
      <c r="I140" s="118"/>
      <c r="J140" s="348">
        <f>H140/DAY(B2)</f>
        <v>1.1428571428571428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'27'!F141</f>
        <v>42556</v>
      </c>
      <c r="F141" s="149">
        <v>42752.44</v>
      </c>
      <c r="G141" s="112">
        <f t="shared" si="11"/>
        <v>196.44000000000233</v>
      </c>
      <c r="H141" s="99">
        <f>G141+'27'!H141</f>
        <v>5464.4900000000052</v>
      </c>
      <c r="I141" s="118"/>
      <c r="J141" s="348">
        <f>H141/DAY(B2)</f>
        <v>195.16035714285732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'27'!F142</f>
        <v>17413</v>
      </c>
      <c r="F142" s="148">
        <v>17428.900000000001</v>
      </c>
      <c r="G142" s="112">
        <f t="shared" si="11"/>
        <v>15.900000000001455</v>
      </c>
      <c r="H142" s="99">
        <f>G142+'27'!H142</f>
        <v>467.03000000000247</v>
      </c>
      <c r="I142" s="140"/>
      <c r="J142" s="348">
        <f>H142/DAY(B2)</f>
        <v>16.679642857142944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'27'!F143</f>
        <v>2116</v>
      </c>
      <c r="F143" s="149">
        <v>2144.2600000000002</v>
      </c>
      <c r="G143" s="112">
        <f t="shared" si="11"/>
        <v>28.260000000000218</v>
      </c>
      <c r="H143" s="99">
        <f>G143+'27'!H143</f>
        <v>761.08000000000015</v>
      </c>
      <c r="I143" s="140"/>
      <c r="J143" s="348">
        <f>H143/DAY(B2)</f>
        <v>27.181428571428576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'27'!F144</f>
        <v>861699</v>
      </c>
      <c r="F144" s="149">
        <v>861933</v>
      </c>
      <c r="G144" s="112">
        <f t="shared" si="11"/>
        <v>234</v>
      </c>
      <c r="H144" s="99">
        <f>G144+'27'!H144</f>
        <v>6564</v>
      </c>
      <c r="I144" s="140"/>
      <c r="J144" s="348">
        <f>H144/DAY(B2)</f>
        <v>234.42857142857142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'27'!F145</f>
        <v>3297</v>
      </c>
      <c r="F145" s="149">
        <v>3336.03</v>
      </c>
      <c r="G145" s="112">
        <f t="shared" si="11"/>
        <v>39.0300000000002</v>
      </c>
      <c r="H145" s="99">
        <f>G145+'27'!H145</f>
        <v>1123.0300000000002</v>
      </c>
      <c r="I145" s="140"/>
      <c r="J145" s="348">
        <f>H145/DAY(B2)</f>
        <v>40.10821428571429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'27'!F146</f>
        <v>709668</v>
      </c>
      <c r="F146" s="148">
        <v>710073</v>
      </c>
      <c r="G146" s="112">
        <f t="shared" si="11"/>
        <v>405</v>
      </c>
      <c r="H146" s="99">
        <f>G146+'27'!H146</f>
        <v>11554</v>
      </c>
      <c r="I146" s="140"/>
      <c r="J146" s="348">
        <f>H146/DAY(B2)</f>
        <v>412.64285714285717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'27'!F147</f>
        <v>600657</v>
      </c>
      <c r="F147" s="148">
        <v>601114.24</v>
      </c>
      <c r="G147" s="112">
        <f t="shared" si="11"/>
        <v>457.23999999999069</v>
      </c>
      <c r="H147" s="99">
        <f>G147+'27'!H147</f>
        <v>12203.319999999949</v>
      </c>
      <c r="I147" s="140"/>
      <c r="J147" s="348">
        <f>H147/DAY(B2)</f>
        <v>435.83285714285529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'27'!F148</f>
        <v>672913</v>
      </c>
      <c r="F148" s="150">
        <v>673288.08</v>
      </c>
      <c r="G148" s="112">
        <f t="shared" si="11"/>
        <v>375.07999999995809</v>
      </c>
      <c r="H148" s="99">
        <f>G148+'27'!H148</f>
        <v>8179.9599999999627</v>
      </c>
      <c r="I148" s="124"/>
      <c r="J148" s="348">
        <f>H148/DAY(B2)</f>
        <v>292.14142857142724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'27'!F149</f>
        <v>93932</v>
      </c>
      <c r="F149" s="146">
        <v>94354</v>
      </c>
      <c r="G149" s="112">
        <f t="shared" si="11"/>
        <v>422</v>
      </c>
      <c r="H149" s="99">
        <f>G149+'27'!H149</f>
        <v>9607</v>
      </c>
      <c r="I149" s="119"/>
      <c r="J149" s="348">
        <f>H149/DAY(B2)</f>
        <v>343.10714285714283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'27'!F150</f>
        <v>7167232</v>
      </c>
      <c r="F150" s="233">
        <v>7167232</v>
      </c>
      <c r="G150" s="112">
        <f t="shared" si="11"/>
        <v>0</v>
      </c>
      <c r="H150" s="99">
        <f>G150+'27'!H150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'27'!F151</f>
        <v>69914</v>
      </c>
      <c r="F151" s="233">
        <v>70217</v>
      </c>
      <c r="G151" s="112">
        <f t="shared" si="11"/>
        <v>303</v>
      </c>
      <c r="H151" s="99">
        <f>G151+'27'!H151</f>
        <v>7207</v>
      </c>
      <c r="I151" s="119"/>
      <c r="J151" s="348">
        <f>H151/DAY(B2)</f>
        <v>257.39285714285717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'27'!F152</f>
        <v>0</v>
      </c>
      <c r="F152" s="233">
        <v>0</v>
      </c>
      <c r="G152" s="112">
        <f t="shared" si="11"/>
        <v>0</v>
      </c>
      <c r="H152" s="99">
        <f>G152+'27'!H152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2543.949999999953</v>
      </c>
      <c r="H153" s="383"/>
      <c r="I153" s="119">
        <f>G153-(G38+G52)</f>
        <v>644.24999999994134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'27'!F155</f>
        <v>77489</v>
      </c>
      <c r="F155" s="384">
        <v>77497</v>
      </c>
      <c r="G155" s="112">
        <f t="shared" ref="G155:G156" si="12">F155-E155</f>
        <v>8</v>
      </c>
      <c r="H155" s="99">
        <f>G155+'27'!H155</f>
        <v>222.39999999999418</v>
      </c>
      <c r="I155" s="384"/>
      <c r="J155" s="348">
        <f>H155/DAY(B2)</f>
        <v>7.9428571428569352</v>
      </c>
    </row>
    <row r="156" spans="1:10" ht="27.75">
      <c r="A156" s="771" t="s">
        <v>347</v>
      </c>
      <c r="B156" s="771"/>
      <c r="C156" s="771"/>
      <c r="D156" s="117" t="s">
        <v>130</v>
      </c>
      <c r="E156" s="95">
        <f>'27'!F156</f>
        <v>0</v>
      </c>
      <c r="F156" s="165">
        <v>0</v>
      </c>
      <c r="G156" s="112">
        <f t="shared" si="12"/>
        <v>0</v>
      </c>
      <c r="H156" s="99">
        <f>G156+'27'!H156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'27'!F158</f>
        <v>470927</v>
      </c>
      <c r="F158" s="235">
        <v>470943.2</v>
      </c>
      <c r="G158" s="238">
        <f t="shared" ref="G158:G162" si="13">F158-E158</f>
        <v>16.200000000011642</v>
      </c>
      <c r="H158" s="99">
        <f>G158+'27'!H158</f>
        <v>1414.1600000000326</v>
      </c>
      <c r="I158" s="236"/>
      <c r="J158" s="239">
        <f>H158/DAY(B2)</f>
        <v>50.505714285715449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'27'!F159</f>
        <v>86550</v>
      </c>
      <c r="F159" s="235">
        <v>86567.4</v>
      </c>
      <c r="G159" s="238">
        <f t="shared" si="13"/>
        <v>17.399999999994179</v>
      </c>
      <c r="H159" s="99">
        <f>G159+'27'!H159</f>
        <v>861.79999999998836</v>
      </c>
      <c r="I159" s="236"/>
      <c r="J159" s="239">
        <f>H159/DAY(B2)</f>
        <v>30.778571428571013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'27'!F160</f>
        <v>75237</v>
      </c>
      <c r="F160" s="235">
        <v>75275.009999999995</v>
      </c>
      <c r="G160" s="238">
        <f t="shared" si="13"/>
        <v>38.009999999994761</v>
      </c>
      <c r="H160" s="99">
        <f>G160+'27'!H160</f>
        <v>1938.1100000000006</v>
      </c>
      <c r="I160" s="236"/>
      <c r="J160" s="239">
        <f>H160/DAY(B2)</f>
        <v>69.218214285714311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'27'!F161</f>
        <v>4083</v>
      </c>
      <c r="F161" s="235">
        <v>4084</v>
      </c>
      <c r="G161" s="238">
        <f t="shared" si="13"/>
        <v>1</v>
      </c>
      <c r="H161" s="99">
        <f>G161+'27'!H161</f>
        <v>110.5</v>
      </c>
      <c r="I161" s="236"/>
      <c r="J161" s="239">
        <f>H161/DAY(B2)</f>
        <v>3.9464285714285716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'27'!F162</f>
        <v>29405</v>
      </c>
      <c r="F162" s="235">
        <v>29406.66</v>
      </c>
      <c r="G162" s="238">
        <f t="shared" si="13"/>
        <v>1.6599999999998545</v>
      </c>
      <c r="H162" s="99">
        <f>G162+'27'!H162</f>
        <v>208.52000000000044</v>
      </c>
      <c r="I162" s="236"/>
      <c r="J162" s="239">
        <f>H162/DAY(B2)</f>
        <v>7.4471428571428726</v>
      </c>
    </row>
    <row r="163" spans="1:10" ht="29.25">
      <c r="A163" s="780"/>
      <c r="B163" s="780"/>
      <c r="C163" s="247"/>
      <c r="D163" s="244" t="s">
        <v>180</v>
      </c>
      <c r="E163" s="95">
        <f>'27'!F163</f>
        <v>0</v>
      </c>
      <c r="F163" s="165"/>
      <c r="G163" s="165"/>
      <c r="H163" s="99">
        <f>G163+'27'!H163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'27'!F164</f>
        <v>0</v>
      </c>
      <c r="F164" s="165"/>
      <c r="G164" s="165"/>
      <c r="H164" s="99">
        <f>G164+'27'!H164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'27'!F165</f>
        <v>0</v>
      </c>
      <c r="F165" s="165"/>
      <c r="G165" s="165"/>
      <c r="H165" s="99">
        <f>G165+'27'!H165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'27'!F170</f>
        <v>8107</v>
      </c>
      <c r="F170" s="155">
        <v>8107</v>
      </c>
      <c r="G170" s="155">
        <f>F170-E170</f>
        <v>0</v>
      </c>
      <c r="H170" s="99">
        <f>G170+'27'!H170</f>
        <v>109</v>
      </c>
      <c r="I170" s="155"/>
      <c r="J170" s="178">
        <f>H170/DAY(B2)</f>
        <v>3.8928571428571428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'27'!F171</f>
        <v>37762</v>
      </c>
      <c r="F171" s="157">
        <v>37776</v>
      </c>
      <c r="G171" s="155">
        <f t="shared" ref="G171:G172" si="14">F171-E171</f>
        <v>14</v>
      </c>
      <c r="H171" s="99">
        <f>G171+'27'!H171</f>
        <v>393</v>
      </c>
      <c r="I171" s="155"/>
      <c r="J171" s="178">
        <f>H171/DAY(B2)</f>
        <v>14.035714285714286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'27'!F172</f>
        <v>21106</v>
      </c>
      <c r="F172" s="155">
        <v>21114</v>
      </c>
      <c r="G172" s="155">
        <f t="shared" si="14"/>
        <v>8</v>
      </c>
      <c r="H172" s="99">
        <f>G172+'27'!H172</f>
        <v>326</v>
      </c>
      <c r="I172" s="155"/>
      <c r="J172" s="178">
        <f>H172/DAY(B2)</f>
        <v>11.642857142857142</v>
      </c>
    </row>
    <row r="173" spans="1:10" ht="27.75">
      <c r="A173" s="775" t="s">
        <v>196</v>
      </c>
      <c r="B173" s="776"/>
      <c r="C173" s="547"/>
      <c r="D173" s="228" t="s">
        <v>142</v>
      </c>
      <c r="E173" s="95"/>
      <c r="F173" s="155"/>
      <c r="G173" s="155">
        <f>SUM(G170:G172)</f>
        <v>22</v>
      </c>
      <c r="H173" s="99">
        <f>G173+'27'!H173</f>
        <v>828</v>
      </c>
      <c r="I173" s="155"/>
      <c r="J173" s="178">
        <f>H173/DAY(B2)</f>
        <v>29.571428571428573</v>
      </c>
    </row>
    <row r="174" spans="1:10" ht="27.75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G174+'27'!H174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'27'!F175</f>
        <v>77095</v>
      </c>
      <c r="F175" s="155">
        <v>77199</v>
      </c>
      <c r="G175" s="155">
        <f>F175-E175</f>
        <v>104</v>
      </c>
      <c r="H175" s="99">
        <f>G175+'27'!H175</f>
        <v>2580</v>
      </c>
      <c r="I175" s="155"/>
      <c r="J175" s="178">
        <f>H175/DAY(B2)</f>
        <v>92.142857142857139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'27'!F176</f>
        <v>33886</v>
      </c>
      <c r="F176" s="155">
        <v>33886</v>
      </c>
      <c r="G176" s="155">
        <f t="shared" ref="G176:G177" si="15">F176-E176</f>
        <v>0</v>
      </c>
      <c r="H176" s="99">
        <f>G176+'27'!H176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'27'!F177</f>
        <v>5253</v>
      </c>
      <c r="F177" s="155">
        <v>5254</v>
      </c>
      <c r="G177" s="155">
        <f t="shared" si="15"/>
        <v>1</v>
      </c>
      <c r="H177" s="99">
        <f>G177+'27'!H177</f>
        <v>2965</v>
      </c>
      <c r="I177" s="155"/>
      <c r="J177" s="178">
        <f>H177/DAY(B2)</f>
        <v>105.89285714285714</v>
      </c>
    </row>
    <row r="178" spans="1:10" ht="27.75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105</v>
      </c>
      <c r="H178" s="99">
        <f>G178+'27'!H178</f>
        <v>5545</v>
      </c>
      <c r="I178" s="155"/>
      <c r="J178" s="178">
        <f>H178/DAY(B2)</f>
        <v>198.03571428571428</v>
      </c>
    </row>
    <row r="179" spans="1:10" ht="27.75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G179+'27'!H179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'27'!F180</f>
        <v>14464</v>
      </c>
      <c r="F180" s="157">
        <v>14477</v>
      </c>
      <c r="G180" s="157">
        <f>F180-E180</f>
        <v>13</v>
      </c>
      <c r="H180" s="99">
        <f>G180+'27'!H180</f>
        <v>446</v>
      </c>
      <c r="I180" s="155"/>
      <c r="J180" s="178">
        <f>H180/DAY(B2)</f>
        <v>15.928571428571429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'27'!F181</f>
        <v>10006</v>
      </c>
      <c r="F181" s="157">
        <v>10014</v>
      </c>
      <c r="G181" s="157">
        <f t="shared" ref="G181:G182" si="16">F181-E181</f>
        <v>8</v>
      </c>
      <c r="H181" s="99">
        <f>G181+'27'!H181</f>
        <v>260</v>
      </c>
      <c r="I181" s="155"/>
      <c r="J181" s="178">
        <f>H181/DAY(B2)</f>
        <v>9.2857142857142865</v>
      </c>
    </row>
    <row r="182" spans="1:10" ht="27.75">
      <c r="A182" s="786" t="s">
        <v>216</v>
      </c>
      <c r="B182" s="787"/>
      <c r="C182" s="354"/>
      <c r="D182" s="228" t="s">
        <v>142</v>
      </c>
      <c r="E182" s="95">
        <f>'27'!F182</f>
        <v>0</v>
      </c>
      <c r="F182" s="157"/>
      <c r="G182" s="157">
        <f t="shared" si="16"/>
        <v>0</v>
      </c>
      <c r="H182" s="99">
        <f>G182+'27'!H182</f>
        <v>0</v>
      </c>
      <c r="I182" s="155"/>
      <c r="J182" s="178">
        <f>H182/DAY(B2)</f>
        <v>0</v>
      </c>
    </row>
    <row r="183" spans="1:10" ht="27.75">
      <c r="A183" s="775" t="s">
        <v>196</v>
      </c>
      <c r="B183" s="776"/>
      <c r="C183" s="546"/>
      <c r="D183" s="228" t="s">
        <v>142</v>
      </c>
      <c r="E183" s="95"/>
      <c r="F183" s="157"/>
      <c r="G183" s="157">
        <f>SUM(G180:G182)</f>
        <v>21</v>
      </c>
      <c r="H183" s="99">
        <f>G183+'27'!H183</f>
        <v>706</v>
      </c>
      <c r="I183" s="157"/>
      <c r="J183" s="178">
        <f>H183/DAY(B2)</f>
        <v>25.214285714285715</v>
      </c>
    </row>
    <row r="184" spans="1:10" ht="27.75">
      <c r="A184" s="777" t="s">
        <v>217</v>
      </c>
      <c r="B184" s="778"/>
      <c r="C184" s="353"/>
      <c r="D184" s="230" t="s">
        <v>142</v>
      </c>
      <c r="E184" s="95">
        <f>'27'!F184</f>
        <v>0</v>
      </c>
      <c r="F184" s="159"/>
      <c r="G184" s="524">
        <f>G62+G19</f>
        <v>191</v>
      </c>
      <c r="H184" s="99">
        <f>G184+'27'!H184</f>
        <v>4968</v>
      </c>
      <c r="I184" s="158"/>
      <c r="J184" s="179">
        <f>H184/DAY(B2)</f>
        <v>177.42857142857142</v>
      </c>
    </row>
    <row r="185" spans="1:10" ht="27.75">
      <c r="A185" s="777" t="s">
        <v>218</v>
      </c>
      <c r="B185" s="778"/>
      <c r="C185" s="353"/>
      <c r="D185" s="230" t="s">
        <v>142</v>
      </c>
      <c r="E185" s="95">
        <f>'27'!F185</f>
        <v>0</v>
      </c>
      <c r="F185" s="159"/>
      <c r="G185" s="524">
        <f>G65+G66+G67+G69+G70</f>
        <v>186</v>
      </c>
      <c r="H185" s="99">
        <f>G185+'27'!H185</f>
        <v>2566</v>
      </c>
      <c r="I185" s="158"/>
      <c r="J185" s="179">
        <f>H185/DAY(B2)</f>
        <v>91.642857142857139</v>
      </c>
    </row>
    <row r="186" spans="1:10" ht="27.75">
      <c r="A186" s="777" t="s">
        <v>219</v>
      </c>
      <c r="B186" s="778"/>
      <c r="C186" s="353"/>
      <c r="D186" s="230" t="s">
        <v>142</v>
      </c>
      <c r="E186" s="95">
        <f>'27'!F186</f>
        <v>0</v>
      </c>
      <c r="F186" s="157"/>
      <c r="G186" s="521">
        <f>G178</f>
        <v>105</v>
      </c>
      <c r="H186" s="99">
        <f>G186+'27'!H186</f>
        <v>1113</v>
      </c>
      <c r="I186" s="158"/>
      <c r="J186" s="179">
        <f>H186/DAY(B2)</f>
        <v>39.75</v>
      </c>
    </row>
    <row r="187" spans="1:10" ht="27.75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310" ht="29.25"/>
    <row r="311" ht="29.25"/>
    <row r="312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</sheetData>
  <mergeCells count="112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7:J157"/>
    <mergeCell ref="A163:B163"/>
    <mergeCell ref="A164:B164"/>
    <mergeCell ref="A165:B165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1:B181"/>
    <mergeCell ref="A179:B179"/>
    <mergeCell ref="A180:B180"/>
    <mergeCell ref="A177:B177"/>
    <mergeCell ref="A178:B178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698"/>
  <sheetViews>
    <sheetView tabSelected="1" view="pageBreakPreview" zoomScale="55" zoomScaleNormal="78" zoomScaleSheetLayoutView="55" workbookViewId="0">
      <selection activeCell="Q167" sqref="Q16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350</v>
      </c>
      <c r="B2" s="266">
        <v>44529</v>
      </c>
      <c r="C2" s="36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356586</v>
      </c>
      <c r="F7" s="95">
        <v>379733</v>
      </c>
      <c r="G7" s="112">
        <f>F7-E7</f>
        <v>23147</v>
      </c>
      <c r="H7" s="99">
        <f>G7+'28'!H7</f>
        <v>693469.69999999984</v>
      </c>
      <c r="I7" s="113">
        <f>'1'!I7</f>
        <v>12000</v>
      </c>
      <c r="J7" s="175">
        <f>H7/DAY(B2)</f>
        <v>23912.748275862064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393349</v>
      </c>
      <c r="F8" s="95">
        <v>416820.35</v>
      </c>
      <c r="G8" s="115">
        <f>F8-E8</f>
        <v>23471.349999999977</v>
      </c>
      <c r="H8" s="99">
        <f>G8+'28'!H8</f>
        <v>703656.45000000007</v>
      </c>
      <c r="I8" s="116"/>
      <c r="J8" s="175">
        <f>H8/DAY(B2)</f>
        <v>24264.015517241383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1692547.3</v>
      </c>
      <c r="F9" s="373">
        <v>1706438.9</v>
      </c>
      <c r="G9" s="112">
        <f>F9-E9</f>
        <v>13891.59999999986</v>
      </c>
      <c r="H9" s="99">
        <f>G9+'28'!H9</f>
        <v>445160.39999999991</v>
      </c>
      <c r="I9" s="124">
        <f>I7-J7</f>
        <v>-11912.748275862064</v>
      </c>
      <c r="J9" s="175">
        <f>H9/DAY(B2)</f>
        <v>15350.358620689653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389571.99</v>
      </c>
      <c r="F10" s="373">
        <v>398200.03</v>
      </c>
      <c r="G10" s="112">
        <f t="shared" ref="G10:G12" si="0">F10-E10</f>
        <v>8628.0400000000373</v>
      </c>
      <c r="H10" s="99">
        <f>G10+'28'!H10</f>
        <v>229816.10000000003</v>
      </c>
      <c r="I10" s="286"/>
      <c r="J10" s="175">
        <f>H10/DAY(B2)</f>
        <v>7924.6931034482768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22519.639999999898</v>
      </c>
      <c r="H13" s="99">
        <f>G13+'28'!H13</f>
        <v>654170.03999999992</v>
      </c>
      <c r="I13" s="120">
        <f>G7-G13</f>
        <v>627.36000000010245</v>
      </c>
      <c r="J13" s="175">
        <f>H13/DAY(B2)</f>
        <v>22557.587586206893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65" t="s">
        <v>138</v>
      </c>
      <c r="B15" s="205"/>
      <c r="C15" s="205"/>
      <c r="D15" s="151" t="s">
        <v>139</v>
      </c>
      <c r="E15" s="95">
        <f>'28'!F15</f>
        <v>1840976.12</v>
      </c>
      <c r="F15" s="123">
        <v>1842061.2</v>
      </c>
      <c r="G15" s="112">
        <f>(F15-E15)</f>
        <v>1085.0799999998417</v>
      </c>
      <c r="H15" s="99">
        <f>G15+'28'!H15</f>
        <v>29130.389999999927</v>
      </c>
      <c r="I15" s="113">
        <f>'1'!I15</f>
        <v>800</v>
      </c>
      <c r="J15" s="175">
        <f>H15/DAY(B2)</f>
        <v>1004.4962068965492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-204.49620689654921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'28'!F18</f>
        <v>24</v>
      </c>
      <c r="F18" s="122">
        <v>21</v>
      </c>
      <c r="G18" s="119">
        <f>F18*10</f>
        <v>210</v>
      </c>
      <c r="H18" s="99">
        <f>G18+'28'!H18</f>
        <v>6010</v>
      </c>
      <c r="I18" s="113">
        <f>'1'!I18</f>
        <v>65</v>
      </c>
      <c r="J18" s="175">
        <f>H18/DAY(B2)</f>
        <v>207.24137931034483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'28'!F19</f>
        <v>150478</v>
      </c>
      <c r="F19" s="122">
        <v>150533</v>
      </c>
      <c r="G19" s="112">
        <f t="shared" ref="G19" si="1">F19-E19</f>
        <v>55</v>
      </c>
      <c r="H19" s="99">
        <f>G19+'28'!H19</f>
        <v>1616</v>
      </c>
      <c r="I19" s="355"/>
      <c r="J19" s="175">
        <f>H19/DAY(B2)</f>
        <v>55.724137931034484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265</v>
      </c>
      <c r="H20" s="99">
        <f>G20+'28'!H20</f>
        <v>7626</v>
      </c>
      <c r="I20" s="356">
        <f>I18-J20</f>
        <v>-197.9655172413793</v>
      </c>
      <c r="J20" s="175">
        <f>H20/DAY(B2)</f>
        <v>262.9655172413793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23471.349999999977</v>
      </c>
      <c r="F27" s="136">
        <v>9</v>
      </c>
      <c r="G27" s="137">
        <f>E27*F27</f>
        <v>211242.14999999979</v>
      </c>
      <c r="H27" s="99">
        <f>G27+'28'!H27</f>
        <v>6332908.0500000007</v>
      </c>
      <c r="I27" s="138"/>
      <c r="J27" s="175">
        <f>H27/DAY(B2)</f>
        <v>218376.13965517245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1085.0799999998417</v>
      </c>
      <c r="F28" s="136">
        <v>52</v>
      </c>
      <c r="G28" s="137">
        <f>E28*F28</f>
        <v>56424.159999991767</v>
      </c>
      <c r="H28" s="99">
        <f>G28+'28'!H28</f>
        <v>1514780.2799999961</v>
      </c>
      <c r="I28" s="140"/>
      <c r="J28" s="175">
        <f>H28/DAY(B2)</f>
        <v>52233.802758620557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G30+'28'!H30</f>
        <v>235936</v>
      </c>
      <c r="I30" s="140"/>
      <c r="J30" s="175">
        <f>H30/DAY(B2)</f>
        <v>8135.7241379310344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G31+'28'!H31</f>
        <v>480800</v>
      </c>
      <c r="I31" s="140"/>
      <c r="J31" s="175">
        <f>H31/DAY(B2)</f>
        <v>16579.310344827587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292496.30999999156</v>
      </c>
      <c r="H32" s="99">
        <f>G32+'28'!H32</f>
        <v>8564424.3299999963</v>
      </c>
      <c r="I32" s="144"/>
      <c r="J32" s="175">
        <f>H32/DAY(B2)</f>
        <v>295324.97689655161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'28'!F35</f>
        <v>89268.160000000003</v>
      </c>
      <c r="F35" s="145">
        <v>91549.46</v>
      </c>
      <c r="G35" s="112">
        <f t="shared" ref="G35:G46" si="3">F35-E35</f>
        <v>2281.3000000000029</v>
      </c>
      <c r="H35" s="99">
        <f>G35+'28'!H35</f>
        <v>59074.790000000008</v>
      </c>
      <c r="I35" s="95"/>
      <c r="J35" s="175">
        <f>H35/DAY(B2)</f>
        <v>2037.0617241379314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'28'!F36</f>
        <v>77648.399999999994</v>
      </c>
      <c r="F36" s="145">
        <v>78599.94</v>
      </c>
      <c r="G36" s="112">
        <f t="shared" si="3"/>
        <v>951.54000000000815</v>
      </c>
      <c r="H36" s="99">
        <f>G36+'28'!H36</f>
        <v>28660.270000000004</v>
      </c>
      <c r="I36" s="95"/>
      <c r="J36" s="175">
        <f>H36/DAY(B2)</f>
        <v>988.28517241379325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'28'!F37</f>
        <v>142163.07999999999</v>
      </c>
      <c r="F37" s="145">
        <v>143875.46</v>
      </c>
      <c r="G37" s="112">
        <f t="shared" si="3"/>
        <v>1712.3800000000047</v>
      </c>
      <c r="H37" s="99">
        <f>G37+'28'!H37</f>
        <v>46821.62999999999</v>
      </c>
      <c r="I37" s="95"/>
      <c r="J37" s="175">
        <f>H37/DAY(B2)</f>
        <v>1614.538965517241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'28'!F38</f>
        <v>167340.70000000001</v>
      </c>
      <c r="F38" s="108">
        <v>169276.93</v>
      </c>
      <c r="G38" s="112">
        <f t="shared" si="3"/>
        <v>1936.2299999999814</v>
      </c>
      <c r="H38" s="99">
        <f>G38+'28'!H38</f>
        <v>54053.89</v>
      </c>
      <c r="I38" s="95"/>
      <c r="J38" s="175">
        <f>H38/DAY(B2)</f>
        <v>1863.9272413793103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'28'!F39</f>
        <v>315694.90999999997</v>
      </c>
      <c r="F39" s="145">
        <v>318777.11</v>
      </c>
      <c r="G39" s="112">
        <f t="shared" si="3"/>
        <v>3082.2000000000116</v>
      </c>
      <c r="H39" s="99">
        <f>G39+'28'!H39</f>
        <v>85396.06</v>
      </c>
      <c r="I39" s="95"/>
      <c r="J39" s="175">
        <f>H39/DAY(B2)</f>
        <v>2944.691724137931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'28'!F40</f>
        <v>105.8</v>
      </c>
      <c r="F40" s="145">
        <v>109.62</v>
      </c>
      <c r="G40" s="112">
        <f t="shared" si="3"/>
        <v>3.8200000000000074</v>
      </c>
      <c r="H40" s="99">
        <f>G40+'28'!H40</f>
        <v>153.25</v>
      </c>
      <c r="I40" s="95"/>
      <c r="J40" s="175">
        <f>H40/DAY(B2)</f>
        <v>5.2844827586206895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'28'!F41</f>
        <v>590513.71</v>
      </c>
      <c r="F41" s="145">
        <v>590513.71</v>
      </c>
      <c r="G41" s="112">
        <f t="shared" si="3"/>
        <v>0</v>
      </c>
      <c r="H41" s="99">
        <f>G41+'28'!H41</f>
        <v>8654.8800000000047</v>
      </c>
      <c r="I41" s="95"/>
      <c r="J41" s="175">
        <f>H41/DAY(B2)</f>
        <v>298.44413793103462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'28'!F42</f>
        <v>316053.99</v>
      </c>
      <c r="F42" s="145">
        <v>316053.99</v>
      </c>
      <c r="G42" s="112">
        <f t="shared" si="3"/>
        <v>0</v>
      </c>
      <c r="H42" s="99">
        <f>G42+'28'!H42</f>
        <v>45084.320000000007</v>
      </c>
      <c r="I42" s="95"/>
      <c r="J42" s="175">
        <f>H42/DAY(B2)</f>
        <v>1554.6317241379313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'28'!F43</f>
        <v>1523792.3</v>
      </c>
      <c r="F43" s="145">
        <v>1526314.4</v>
      </c>
      <c r="G43" s="112">
        <f t="shared" si="3"/>
        <v>2522.0999999998603</v>
      </c>
      <c r="H43" s="99">
        <f>G43+'28'!H43</f>
        <v>80227</v>
      </c>
      <c r="I43" s="95"/>
      <c r="J43" s="175">
        <f>H43/DAY(B2)</f>
        <v>2766.4482758620688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12489.569999999869</v>
      </c>
      <c r="H47" s="99">
        <f>G47+'28'!H47</f>
        <v>408126.09</v>
      </c>
      <c r="I47" s="95"/>
      <c r="J47" s="175">
        <f>H47/DAY(B2)</f>
        <v>14073.313448275863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'28'!F49</f>
        <v>217146.37</v>
      </c>
      <c r="F49" s="145">
        <v>218824.19</v>
      </c>
      <c r="G49" s="112">
        <f t="shared" ref="G49:G58" si="4">F49-E49</f>
        <v>1677.820000000007</v>
      </c>
      <c r="H49" s="99">
        <f>G49+'28'!H49</f>
        <v>46093.799999999988</v>
      </c>
      <c r="I49" s="95"/>
      <c r="J49" s="175">
        <f>H49/DAY(B2)</f>
        <v>1589.4413793103445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'28'!F50</f>
        <v>720947.07</v>
      </c>
      <c r="F50" s="145">
        <v>722214.15</v>
      </c>
      <c r="G50" s="112">
        <f t="shared" si="4"/>
        <v>1267.0800000000745</v>
      </c>
      <c r="H50" s="99">
        <f>G50+'28'!H50</f>
        <v>37851.839999999967</v>
      </c>
      <c r="I50" s="95"/>
      <c r="J50" s="175">
        <f>H50/DAY(B2)</f>
        <v>1305.2358620689645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'28'!F54</f>
        <v>3019.2</v>
      </c>
      <c r="F54" s="145">
        <v>3025.13</v>
      </c>
      <c r="G54" s="112">
        <f t="shared" si="4"/>
        <v>5.930000000000291</v>
      </c>
      <c r="H54" s="99">
        <f>G54+'28'!H54</f>
        <v>157.64000000000033</v>
      </c>
      <c r="I54" s="95"/>
      <c r="J54" s="175">
        <f>H54/DAY(B2)</f>
        <v>5.4358620689655286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'28'!F55</f>
        <v>0</v>
      </c>
      <c r="F55" s="145">
        <v>0</v>
      </c>
      <c r="G55" s="112">
        <f t="shared" si="4"/>
        <v>0</v>
      </c>
      <c r="H55" s="99">
        <f>G55+'28'!H55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'28'!F56</f>
        <v>179886.21</v>
      </c>
      <c r="F56" s="145">
        <v>185431.55</v>
      </c>
      <c r="G56" s="112">
        <f t="shared" si="4"/>
        <v>5545.3399999999965</v>
      </c>
      <c r="H56" s="99">
        <f>G56+'28'!H56</f>
        <v>142591.25999999998</v>
      </c>
      <c r="I56" s="95"/>
      <c r="J56" s="175">
        <f>H56/DAY(B2)</f>
        <v>4916.9399999999996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'28'!F58</f>
        <v>84832.7</v>
      </c>
      <c r="F58" s="145">
        <v>85084.79</v>
      </c>
      <c r="G58" s="112">
        <f t="shared" si="4"/>
        <v>252.08999999999651</v>
      </c>
      <c r="H58" s="99">
        <f>G58+'28'!H58</f>
        <v>6064.8899999999994</v>
      </c>
      <c r="I58" s="95"/>
      <c r="J58" s="175">
        <f>H58/DAY(B2)</f>
        <v>209.13413793103447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8748.2600000000748</v>
      </c>
      <c r="H59" s="99">
        <f>G59+'28'!H59</f>
        <v>232759.42999999988</v>
      </c>
      <c r="I59" s="95">
        <f>G7-G60</f>
        <v>1909.1700000000565</v>
      </c>
      <c r="J59" s="175">
        <f>H59/DAY(B2)</f>
        <v>8026.1872413793062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21237.829999999944</v>
      </c>
      <c r="H60" s="99">
        <f>G60+'28'!H60</f>
        <v>640885.5199999999</v>
      </c>
      <c r="I60" s="95">
        <f>G13-G60</f>
        <v>1281.809999999954</v>
      </c>
      <c r="J60" s="175">
        <f>H60/DAY(B2)</f>
        <v>22099.500689655168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'28'!F62</f>
        <v>263225</v>
      </c>
      <c r="F62" s="122">
        <v>263345</v>
      </c>
      <c r="G62" s="112">
        <f t="shared" ref="G62:G63" si="5">F62-E62</f>
        <v>120</v>
      </c>
      <c r="H62" s="99">
        <f>G62+'28'!H62</f>
        <v>3527</v>
      </c>
      <c r="I62" s="118"/>
      <c r="J62" s="175">
        <f>H62/DAY(B2)</f>
        <v>121.62068965517241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'28'!F63</f>
        <v>209119</v>
      </c>
      <c r="F63" s="122">
        <v>209260</v>
      </c>
      <c r="G63" s="112">
        <f t="shared" si="5"/>
        <v>141</v>
      </c>
      <c r="H63" s="99">
        <f>G63+'28'!H63</f>
        <v>2990</v>
      </c>
      <c r="I63" s="118"/>
      <c r="J63" s="175">
        <f>H63/DAY(B2)</f>
        <v>103.10344827586206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'28'!F64</f>
        <v>0</v>
      </c>
      <c r="F64" s="122"/>
      <c r="G64" s="112">
        <f>G62+G63</f>
        <v>261</v>
      </c>
      <c r="H64" s="99">
        <f>G64+'28'!H64</f>
        <v>6517</v>
      </c>
      <c r="I64" s="118"/>
      <c r="J64" s="175">
        <f>H64/DAY(B2)</f>
        <v>224.72413793103448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'28'!F65</f>
        <v>429148</v>
      </c>
      <c r="F65" s="122">
        <v>429260</v>
      </c>
      <c r="G65" s="112">
        <f t="shared" ref="G65:G70" si="6">F65-E65</f>
        <v>112</v>
      </c>
      <c r="H65" s="99">
        <f>G65+'28'!H65</f>
        <v>3055</v>
      </c>
      <c r="I65" s="118"/>
      <c r="J65" s="175">
        <f>H65/DAY(B2)</f>
        <v>105.34482758620689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'28'!F66</f>
        <v>106565</v>
      </c>
      <c r="F66" s="122">
        <v>106586</v>
      </c>
      <c r="G66" s="112">
        <f t="shared" si="6"/>
        <v>21</v>
      </c>
      <c r="H66" s="99">
        <f>G66+'28'!H66</f>
        <v>616</v>
      </c>
      <c r="I66" s="118"/>
      <c r="J66" s="175">
        <f>H66/DAY(B2)</f>
        <v>21.241379310344829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'28'!F67</f>
        <v>102944</v>
      </c>
      <c r="F67" s="122">
        <v>102973</v>
      </c>
      <c r="G67" s="112">
        <f t="shared" si="6"/>
        <v>29</v>
      </c>
      <c r="H67" s="99">
        <f>G67+'28'!H67</f>
        <v>802</v>
      </c>
      <c r="I67" s="118"/>
      <c r="J67" s="175">
        <f>H67/DAY(B2)</f>
        <v>27.655172413793103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'28'!F68</f>
        <v>155366</v>
      </c>
      <c r="F68" s="122">
        <v>155398</v>
      </c>
      <c r="G68" s="112">
        <f t="shared" si="6"/>
        <v>32</v>
      </c>
      <c r="H68" s="99">
        <f>G68+'28'!H68</f>
        <v>902</v>
      </c>
      <c r="I68" s="118"/>
      <c r="J68" s="175">
        <f>H68/DAY(B2)</f>
        <v>31.103448275862068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'28'!F69</f>
        <v>9828</v>
      </c>
      <c r="F69" s="122">
        <v>9837</v>
      </c>
      <c r="G69" s="112">
        <f t="shared" si="6"/>
        <v>9</v>
      </c>
      <c r="H69" s="99">
        <f>G69+'28'!H69</f>
        <v>372</v>
      </c>
      <c r="I69" s="118"/>
      <c r="J69" s="175">
        <f>H69/DAY(B2)</f>
        <v>12.827586206896552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'28'!F70</f>
        <v>7521</v>
      </c>
      <c r="F70" s="122">
        <v>7530</v>
      </c>
      <c r="G70" s="112">
        <f t="shared" si="6"/>
        <v>9</v>
      </c>
      <c r="H70" s="99">
        <f>G70+'28'!H70</f>
        <v>327</v>
      </c>
      <c r="I70" s="118"/>
      <c r="J70" s="175">
        <f>H70/DAY(B2)</f>
        <v>11.275862068965518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95">
        <f>'28'!F71</f>
        <v>0</v>
      </c>
      <c r="F71" s="152"/>
      <c r="G71" s="153">
        <f>SUM(G65:G70)</f>
        <v>212</v>
      </c>
      <c r="H71" s="99">
        <f>G71+'28'!H71</f>
        <v>6074</v>
      </c>
      <c r="I71" s="154"/>
      <c r="J71" s="175">
        <f>H71/DAY(B2)</f>
        <v>209.44827586206895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'28'!F74</f>
        <v>881657.73</v>
      </c>
      <c r="F74" s="117">
        <v>881974.01</v>
      </c>
      <c r="G74" s="112">
        <f t="shared" ref="G74:G78" si="7">F74-E74</f>
        <v>316.28000000002794</v>
      </c>
      <c r="H74" s="99">
        <f>G74+'28'!H74</f>
        <v>8388.7789999999804</v>
      </c>
      <c r="I74" s="154"/>
      <c r="J74" s="175">
        <f>H74/DAY(B2)</f>
        <v>289.26824137930964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'28'!F75</f>
        <v>73586.600000000006</v>
      </c>
      <c r="F75" s="123">
        <v>73586.8</v>
      </c>
      <c r="G75" s="112">
        <f t="shared" si="7"/>
        <v>0.19999999999708962</v>
      </c>
      <c r="H75" s="99">
        <f>G75+'28'!H75</f>
        <v>3.4000000000087311</v>
      </c>
      <c r="I75" s="154"/>
      <c r="J75" s="175">
        <f>H75/DAY(B2)</f>
        <v>0.1172413793106459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'28'!F76</f>
        <v>163178</v>
      </c>
      <c r="F76" s="123">
        <v>163277.28</v>
      </c>
      <c r="G76" s="112">
        <f t="shared" si="7"/>
        <v>99.279999999998836</v>
      </c>
      <c r="H76" s="99">
        <f>G76+'28'!H76</f>
        <v>3291.7799999999988</v>
      </c>
      <c r="I76" s="154"/>
      <c r="J76" s="175">
        <f>H76/DAY(B2)</f>
        <v>113.50965517241376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'28'!F77</f>
        <v>38737</v>
      </c>
      <c r="F77" s="123">
        <v>38771</v>
      </c>
      <c r="G77" s="112">
        <f t="shared" si="7"/>
        <v>34</v>
      </c>
      <c r="H77" s="99">
        <f>G77+'28'!H77</f>
        <v>1273.5</v>
      </c>
      <c r="I77" s="154"/>
      <c r="J77" s="175">
        <f>H77/DAY(B2)</f>
        <v>43.913793103448278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'28'!F78</f>
        <v>9407</v>
      </c>
      <c r="F78" s="123">
        <v>9410</v>
      </c>
      <c r="G78" s="112">
        <f t="shared" si="7"/>
        <v>3</v>
      </c>
      <c r="H78" s="99">
        <f>G78+'28'!H78</f>
        <v>80.600000000000364</v>
      </c>
      <c r="I78" s="118"/>
      <c r="J78" s="175">
        <f>H78/DAY(B2)</f>
        <v>2.7793103448275986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'28'!F79</f>
        <v>0</v>
      </c>
      <c r="F79" s="117"/>
      <c r="G79" s="112">
        <f>G15-SUM(G74:G78)</f>
        <v>632.31999999981781</v>
      </c>
      <c r="H79" s="99">
        <f>G79+'28'!H79</f>
        <v>16092.330999999936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1085.0799999998417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'28'!F84</f>
        <v>41628.559999999998</v>
      </c>
      <c r="F84" s="164">
        <v>41628.559999999998</v>
      </c>
      <c r="G84" s="112">
        <f t="shared" si="8"/>
        <v>0</v>
      </c>
      <c r="H84" s="99">
        <f>G84+'28'!H84</f>
        <v>43</v>
      </c>
      <c r="I84" s="118"/>
      <c r="J84" s="175">
        <f>H84/DAY(B2)</f>
        <v>1.4827586206896552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'28'!F85</f>
        <v>1503.56</v>
      </c>
      <c r="F85" s="164">
        <v>1503.56</v>
      </c>
      <c r="G85" s="112">
        <f t="shared" si="8"/>
        <v>0</v>
      </c>
      <c r="H85" s="99">
        <f>G85+'28'!H85</f>
        <v>198.55999999999995</v>
      </c>
      <c r="I85" s="118">
        <f>G82+G83+G84+G85</f>
        <v>0</v>
      </c>
      <c r="J85" s="175">
        <f>H85/DAY(B2)</f>
        <v>6.8468965517241358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'28'!F86</f>
        <v>42826</v>
      </c>
      <c r="F86" s="164">
        <v>42826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'28'!F87</f>
        <v>34372.5</v>
      </c>
      <c r="F87" s="164">
        <v>34396</v>
      </c>
      <c r="G87" s="112">
        <f t="shared" si="8"/>
        <v>23.5</v>
      </c>
      <c r="H87" s="99">
        <f>G87+'28'!H87</f>
        <v>648</v>
      </c>
      <c r="I87" s="118"/>
      <c r="J87" s="175">
        <f>H87/DAY(B2)</f>
        <v>22.344827586206897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'28'!F88</f>
        <v>23931.69</v>
      </c>
      <c r="F88" s="164">
        <v>23941.94</v>
      </c>
      <c r="G88" s="112">
        <f t="shared" si="8"/>
        <v>10.25</v>
      </c>
      <c r="H88" s="99">
        <f>G88+'28'!H88</f>
        <v>108.36999999999898</v>
      </c>
      <c r="I88" s="118">
        <f>G86+G87+G88</f>
        <v>33.75</v>
      </c>
      <c r="J88" s="175">
        <f>H88/DAY(B2)</f>
        <v>3.7368965517241026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'28'!F89</f>
        <v>25427.49</v>
      </c>
      <c r="F89" s="164">
        <v>25427.49</v>
      </c>
      <c r="G89" s="112">
        <f t="shared" si="8"/>
        <v>0</v>
      </c>
      <c r="H89" s="99">
        <f>G89+'28'!H89</f>
        <v>182.11000000000058</v>
      </c>
      <c r="I89" s="118"/>
      <c r="J89" s="175">
        <f>H89/DAY(B2)</f>
        <v>6.279655172413813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'28'!F90</f>
        <v>70816.63</v>
      </c>
      <c r="F90" s="164">
        <v>70823.62</v>
      </c>
      <c r="G90" s="112">
        <f t="shared" si="8"/>
        <v>6.9899999999906868</v>
      </c>
      <c r="H90" s="99">
        <f>G90+'28'!H90</f>
        <v>37.080000000001746</v>
      </c>
      <c r="I90" s="118">
        <f>G89+G90</f>
        <v>6.9899999999906868</v>
      </c>
      <c r="J90" s="175">
        <f>H90/DAY(B2)</f>
        <v>1.2786206896552326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'28'!F91</f>
        <v>3226</v>
      </c>
      <c r="F91" s="122">
        <v>3226</v>
      </c>
      <c r="G91" s="112">
        <f t="shared" si="8"/>
        <v>0</v>
      </c>
      <c r="H91" s="99">
        <f>G91+'28'!H91</f>
        <v>-0.32000000000016371</v>
      </c>
      <c r="I91" s="165"/>
      <c r="J91" s="175">
        <f>H91/DAY(B2)</f>
        <v>-1.1034482758626335E-2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'28'!F92</f>
        <v>5075.0600000000004</v>
      </c>
      <c r="F92" s="122">
        <v>5086.13</v>
      </c>
      <c r="G92" s="112">
        <f t="shared" si="8"/>
        <v>11.069999999999709</v>
      </c>
      <c r="H92" s="99">
        <f>G92+'28'!H92</f>
        <v>294.3100000000004</v>
      </c>
      <c r="I92" s="165"/>
      <c r="J92" s="175">
        <f>H92/DAY(B2)</f>
        <v>10.148620689655186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6481.2199999998702</v>
      </c>
      <c r="H94" s="99">
        <f>G94+'28'!H94</f>
        <v>185395.58999999997</v>
      </c>
      <c r="I94" s="118"/>
      <c r="J94" s="175">
        <f>H94/DAY(B2)</f>
        <v>6392.9513793103433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0.28000259212856399</v>
      </c>
      <c r="H95" s="99">
        <f>G95+'28'!H95</f>
        <v>7.7952767702326815</v>
      </c>
      <c r="I95" s="167"/>
      <c r="J95" s="175">
        <f>H95/DAY(B2)</f>
        <v>0.26880264724940284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5545.3399999999965</v>
      </c>
      <c r="H96" s="99">
        <f>G96+'28'!H96</f>
        <v>196330.46</v>
      </c>
      <c r="I96" s="118"/>
      <c r="J96" s="175">
        <f>H96/DAY(B2)</f>
        <v>6770.0158620689654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0.23957057070030657</v>
      </c>
      <c r="H97" s="99">
        <f>G97+'28'!H97</f>
        <v>8.1262588513112721</v>
      </c>
      <c r="I97" s="167"/>
      <c r="J97" s="175">
        <f>H97/DAY(B2)</f>
        <v>0.28021582245900939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3082.2000000000116</v>
      </c>
      <c r="H98" s="99">
        <f>G98+'28'!H98</f>
        <v>85396.06</v>
      </c>
      <c r="I98" s="168"/>
      <c r="J98" s="175">
        <f>H98/DAY(B2)</f>
        <v>2944.691724137931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0.13315764461917362</v>
      </c>
      <c r="H99" s="99">
        <f>G99+'28'!H99</f>
        <v>3.5961894949368385</v>
      </c>
      <c r="I99" s="168"/>
      <c r="J99" s="175">
        <f>H99/DAY(B2)</f>
        <v>0.12400653430816684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1936.2299999999814</v>
      </c>
      <c r="H100" s="99">
        <f>G100+'28'!H100</f>
        <v>54053.89</v>
      </c>
      <c r="I100" s="118"/>
      <c r="J100" s="175">
        <f>H100/DAY(B2)</f>
        <v>1863.9272413793103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8.3649285004535417E-2</v>
      </c>
      <c r="H101" s="99">
        <f>G101+'28'!H101</f>
        <v>2.274096882948951</v>
      </c>
      <c r="I101" s="168"/>
      <c r="J101" s="175">
        <f>H101/DAY(B2)</f>
        <v>7.8417133894791408E-2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2218.6200000000827</v>
      </c>
      <c r="H102" s="99">
        <f>G102+'28'!H102</f>
        <v>66512.109999999971</v>
      </c>
      <c r="I102" s="168"/>
      <c r="J102" s="175">
        <f>H102/DAY(B2)</f>
        <v>2293.5210344827578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9.5849138117254193E-2</v>
      </c>
      <c r="H103" s="99">
        <f>G103+'28'!H103</f>
        <v>2.7640462464985349</v>
      </c>
      <c r="I103" s="118"/>
      <c r="J103" s="175">
        <f>H103/DAY(B2)</f>
        <v>9.5311939534432233E-2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1712.3800000000047</v>
      </c>
      <c r="H104" s="99">
        <f>G104+'28'!H104</f>
        <v>46821.62999999999</v>
      </c>
      <c r="I104" s="118"/>
      <c r="J104" s="175">
        <f>H104/DAY(B2)</f>
        <v>1614.538965517241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7.3978485332872712E-2</v>
      </c>
      <c r="H105" s="99">
        <f>G105+'28'!H105</f>
        <v>1.9712240433255315</v>
      </c>
      <c r="I105" s="187"/>
      <c r="J105" s="188">
        <f>H105/DAY(B2)</f>
        <v>6.797324287329419E-2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'28'!F112</f>
        <v>53188.69</v>
      </c>
      <c r="F112" s="237">
        <v>53273.53</v>
      </c>
      <c r="G112" s="112">
        <f t="shared" ref="G112:G123" si="9">F112-E112</f>
        <v>84.839999999996508</v>
      </c>
      <c r="H112" s="99">
        <f>G112+'28'!H112</f>
        <v>2384.4499999999971</v>
      </c>
      <c r="I112" s="165"/>
      <c r="J112" s="348">
        <f>H112/DAY(B2)</f>
        <v>82.222413793103343</v>
      </c>
    </row>
    <row r="113" spans="1:18" ht="27.75">
      <c r="A113" s="793" t="s">
        <v>253</v>
      </c>
      <c r="B113" s="794"/>
      <c r="C113" s="795"/>
      <c r="D113" s="146" t="s">
        <v>183</v>
      </c>
      <c r="E113" s="95">
        <f>'28'!F113</f>
        <v>17083.59</v>
      </c>
      <c r="F113" s="237">
        <v>17544.5</v>
      </c>
      <c r="G113" s="112">
        <f t="shared" si="9"/>
        <v>460.90999999999985</v>
      </c>
      <c r="H113" s="99">
        <f>G113+'28'!H113</f>
        <v>13038.85</v>
      </c>
      <c r="I113" s="165"/>
      <c r="J113" s="348">
        <f>H113/DAY(B2)</f>
        <v>449.61551724137934</v>
      </c>
    </row>
    <row r="114" spans="1:18" ht="27.75">
      <c r="A114" s="793" t="s">
        <v>254</v>
      </c>
      <c r="B114" s="794"/>
      <c r="C114" s="795"/>
      <c r="D114" s="146" t="s">
        <v>183</v>
      </c>
      <c r="E114" s="95">
        <f>'28'!F114</f>
        <v>13367.58</v>
      </c>
      <c r="F114" s="237">
        <v>13668.7</v>
      </c>
      <c r="G114" s="112">
        <f t="shared" si="9"/>
        <v>301.1200000000008</v>
      </c>
      <c r="H114" s="99">
        <f>G114+'28'!H114</f>
        <v>9862.59</v>
      </c>
      <c r="I114" s="165"/>
      <c r="J114" s="348">
        <f>H114/DAY(B2)</f>
        <v>340.0893103448276</v>
      </c>
    </row>
    <row r="115" spans="1:18" ht="27.75">
      <c r="A115" s="793" t="s">
        <v>255</v>
      </c>
      <c r="B115" s="794"/>
      <c r="C115" s="795"/>
      <c r="D115" s="146" t="s">
        <v>183</v>
      </c>
      <c r="E115" s="95">
        <f>'28'!F115</f>
        <v>8398.94</v>
      </c>
      <c r="F115" s="237">
        <v>8409.2000000000007</v>
      </c>
      <c r="G115" s="112">
        <f t="shared" si="9"/>
        <v>10.260000000000218</v>
      </c>
      <c r="H115" s="99">
        <f>G115+'28'!H115</f>
        <v>331.79000000000087</v>
      </c>
      <c r="I115" s="165"/>
      <c r="J115" s="348">
        <f>H115/DAY(B2)</f>
        <v>11.441034482758651</v>
      </c>
    </row>
    <row r="116" spans="1:18" ht="27.75">
      <c r="A116" s="800" t="s">
        <v>96</v>
      </c>
      <c r="B116" s="801"/>
      <c r="C116" s="802"/>
      <c r="D116" s="146" t="s">
        <v>183</v>
      </c>
      <c r="E116" s="95">
        <f>'28'!F116</f>
        <v>0</v>
      </c>
      <c r="F116" s="237">
        <v>0</v>
      </c>
      <c r="G116" s="112">
        <f t="shared" si="9"/>
        <v>0</v>
      </c>
      <c r="H116" s="99">
        <f>G116+'28'!H116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7.75">
      <c r="A117" s="800" t="s">
        <v>184</v>
      </c>
      <c r="B117" s="801"/>
      <c r="C117" s="802"/>
      <c r="D117" s="146" t="s">
        <v>183</v>
      </c>
      <c r="E117" s="95">
        <f>'28'!F117</f>
        <v>1899.16</v>
      </c>
      <c r="F117" s="237">
        <v>1920.41</v>
      </c>
      <c r="G117" s="112">
        <f t="shared" si="9"/>
        <v>21.25</v>
      </c>
      <c r="H117" s="99">
        <f>G117+'28'!H117</f>
        <v>762.22</v>
      </c>
      <c r="I117" s="165"/>
      <c r="J117" s="348">
        <f>H117/DAY(B2)</f>
        <v>26.283448275862071</v>
      </c>
      <c r="Q117" s="793" t="s">
        <v>312</v>
      </c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'28'!F118</f>
        <v>229006.43</v>
      </c>
      <c r="F118" s="237">
        <v>229440.91</v>
      </c>
      <c r="G118" s="112">
        <f t="shared" si="9"/>
        <v>434.48000000001048</v>
      </c>
      <c r="H118" s="99">
        <f>G118+'28'!H118</f>
        <v>10588.98000000001</v>
      </c>
      <c r="I118" s="165"/>
      <c r="J118" s="348">
        <f>H118/DAY(B2)</f>
        <v>365.13724137931069</v>
      </c>
      <c r="Q118" s="793" t="s">
        <v>311</v>
      </c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'28'!F119</f>
        <v>230817.05</v>
      </c>
      <c r="F119" s="237">
        <v>231271.47</v>
      </c>
      <c r="G119" s="112">
        <f t="shared" si="9"/>
        <v>454.42000000001281</v>
      </c>
      <c r="H119" s="99">
        <f>G119+'28'!H119</f>
        <v>12460.360000000015</v>
      </c>
      <c r="I119" s="165"/>
      <c r="J119" s="348">
        <f>H119/DAY(B2)</f>
        <v>429.66758620689706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'28'!F120</f>
        <v>16271.7</v>
      </c>
      <c r="F120" s="237">
        <v>16736.7</v>
      </c>
      <c r="G120" s="112">
        <f t="shared" si="9"/>
        <v>465</v>
      </c>
      <c r="H120" s="99">
        <f>G120+'28'!H120</f>
        <v>12429.1</v>
      </c>
      <c r="I120" s="165"/>
      <c r="J120" s="348">
        <f>H120/DAY(B2)</f>
        <v>428.58965517241381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'28'!F121</f>
        <v>351637.27</v>
      </c>
      <c r="F121" s="237">
        <v>352365.79</v>
      </c>
      <c r="G121" s="112">
        <f t="shared" si="9"/>
        <v>728.51999999996042</v>
      </c>
      <c r="H121" s="99">
        <f>G121+'28'!H121</f>
        <v>21128.27999999997</v>
      </c>
      <c r="I121" s="165"/>
      <c r="J121" s="348">
        <f>H121/DAY(B2)</f>
        <v>728.5613793103438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'28'!F122</f>
        <v>110346.9</v>
      </c>
      <c r="F122" s="237">
        <v>110707.31</v>
      </c>
      <c r="G122" s="112">
        <f t="shared" si="9"/>
        <v>360.41000000000349</v>
      </c>
      <c r="H122" s="99">
        <f>G122+'28'!H122</f>
        <v>9098.429999999993</v>
      </c>
      <c r="I122" s="165"/>
      <c r="J122" s="348">
        <f>H122/DAY(B2)</f>
        <v>313.73896551724113</v>
      </c>
    </row>
    <row r="123" spans="1:18" ht="27.75">
      <c r="A123" s="792" t="s">
        <v>102</v>
      </c>
      <c r="B123" s="792"/>
      <c r="C123" s="792"/>
      <c r="D123" s="151" t="s">
        <v>183</v>
      </c>
      <c r="E123" s="95">
        <f>'28'!F123</f>
        <v>133785.24</v>
      </c>
      <c r="F123" s="237">
        <v>134082.49</v>
      </c>
      <c r="G123" s="112">
        <f t="shared" si="9"/>
        <v>297.25</v>
      </c>
      <c r="H123" s="99">
        <f>G123+'28'!H123</f>
        <v>8334.7299999999959</v>
      </c>
      <c r="I123" s="165"/>
      <c r="J123" s="348">
        <f>H123/DAY(B2)</f>
        <v>287.40448275862053</v>
      </c>
    </row>
    <row r="124" spans="1:18" ht="27.75">
      <c r="A124" s="797"/>
      <c r="B124" s="798"/>
      <c r="C124" s="799"/>
      <c r="D124" s="165"/>
      <c r="E124" s="95">
        <f>'28'!F124</f>
        <v>0</v>
      </c>
      <c r="F124" s="165"/>
      <c r="G124" s="347"/>
      <c r="H124" s="99">
        <f>G124+'28'!H124</f>
        <v>0</v>
      </c>
      <c r="I124" s="165"/>
      <c r="J124" s="347"/>
    </row>
    <row r="125" spans="1:18" ht="27.75">
      <c r="A125" s="775" t="s">
        <v>196</v>
      </c>
      <c r="B125" s="776"/>
      <c r="C125" s="246"/>
      <c r="D125" s="317"/>
      <c r="E125" s="318"/>
      <c r="F125" s="318"/>
      <c r="G125" s="319">
        <f>SUM(G112:G124)</f>
        <v>3618.4599999999846</v>
      </c>
      <c r="H125" s="156"/>
      <c r="I125" s="347">
        <f>G125-(G39+G53)</f>
        <v>536.25999999997293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G127+'28'!H127</f>
        <v>0</v>
      </c>
      <c r="I127" s="165"/>
      <c r="J127" s="348">
        <f>H127/DAY(B2)</f>
        <v>0</v>
      </c>
    </row>
    <row r="128" spans="1:18" ht="27.75">
      <c r="A128" s="793" t="s">
        <v>318</v>
      </c>
      <c r="B128" s="794"/>
      <c r="C128" s="795"/>
      <c r="D128" s="151" t="s">
        <v>183</v>
      </c>
      <c r="E128" s="95">
        <f>'28'!F128</f>
        <v>26992.76</v>
      </c>
      <c r="F128" s="165">
        <v>27301.84</v>
      </c>
      <c r="G128" s="112">
        <f t="shared" ref="G128:G134" si="10">F128-E128</f>
        <v>309.08000000000175</v>
      </c>
      <c r="H128" s="99">
        <f>G128+'28'!H128</f>
        <v>9278.119999999999</v>
      </c>
      <c r="I128" s="165"/>
      <c r="J128" s="348">
        <f>H128/DAY(B2)</f>
        <v>319.93517241379305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'28'!F129</f>
        <v>12316.53</v>
      </c>
      <c r="F129" s="165">
        <v>12524.47</v>
      </c>
      <c r="G129" s="112">
        <f t="shared" si="10"/>
        <v>207.93999999999869</v>
      </c>
      <c r="H129" s="99">
        <f>G129+'28'!H129</f>
        <v>5928.7599999999993</v>
      </c>
      <c r="I129" s="165"/>
      <c r="J129" s="348">
        <f>H129/DAY(B2)</f>
        <v>204.43999999999997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'28'!F130</f>
        <v>1486.21</v>
      </c>
      <c r="F130" s="165">
        <v>1800.6</v>
      </c>
      <c r="G130" s="112">
        <f t="shared" si="10"/>
        <v>314.38999999999987</v>
      </c>
      <c r="H130" s="99">
        <f>G130+'28'!H130</f>
        <v>55270.280000000006</v>
      </c>
      <c r="I130" s="165"/>
      <c r="J130" s="348">
        <f>H130/DAY(B2)</f>
        <v>1905.8717241379313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'28'!F131</f>
        <v>8832.01</v>
      </c>
      <c r="F131" s="165">
        <v>9016.69</v>
      </c>
      <c r="G131" s="112">
        <f t="shared" si="10"/>
        <v>184.68000000000029</v>
      </c>
      <c r="H131" s="99">
        <f>G131+'28'!H131</f>
        <v>4870.22</v>
      </c>
      <c r="I131" s="165"/>
      <c r="J131" s="348">
        <f>H131/DAY(B2)</f>
        <v>167.93862068965518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'28'!F132</f>
        <v>25198.65</v>
      </c>
      <c r="F132" s="165">
        <v>25708.7</v>
      </c>
      <c r="G132" s="112">
        <f t="shared" si="10"/>
        <v>510.04999999999927</v>
      </c>
      <c r="H132" s="99">
        <f>G132+'28'!H132</f>
        <v>14170.980000000001</v>
      </c>
      <c r="I132" s="165"/>
      <c r="J132" s="348">
        <f>H132/DAY(B2)</f>
        <v>488.65448275862076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'28'!F133</f>
        <v>61861.77</v>
      </c>
      <c r="F133" s="165">
        <v>62660.57</v>
      </c>
      <c r="G133" s="112">
        <f t="shared" si="10"/>
        <v>798.80000000000291</v>
      </c>
      <c r="H133" s="99">
        <f>G133+'28'!H133</f>
        <v>21811.279999999999</v>
      </c>
      <c r="I133" s="165"/>
      <c r="J133" s="348">
        <f>H133/DAY(B2)</f>
        <v>752.11310344827587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'28'!F134</f>
        <v>649962</v>
      </c>
      <c r="F134" s="165">
        <v>650617</v>
      </c>
      <c r="G134" s="112">
        <f t="shared" si="10"/>
        <v>655</v>
      </c>
      <c r="H134" s="99">
        <f>G134+'28'!H134</f>
        <v>18353</v>
      </c>
      <c r="I134" s="165"/>
      <c r="J134" s="348">
        <f>H134/DAY(B2)</f>
        <v>632.86206896551721</v>
      </c>
    </row>
    <row r="135" spans="1:15" ht="27.75">
      <c r="A135" s="775" t="s">
        <v>196</v>
      </c>
      <c r="B135" s="776"/>
      <c r="C135" s="351"/>
      <c r="D135" s="151"/>
      <c r="E135" s="95"/>
      <c r="F135" s="165"/>
      <c r="G135" s="112">
        <f>SUM(G127:G134)</f>
        <v>2979.9400000000028</v>
      </c>
      <c r="H135" s="99">
        <f>G135+'23'!H135</f>
        <v>56066.990000000005</v>
      </c>
      <c r="I135" s="347">
        <f>G135-(G35+G49)</f>
        <v>-979.18000000000711</v>
      </c>
      <c r="J135" s="348"/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'28'!F138</f>
        <v>861160</v>
      </c>
      <c r="F138" s="147">
        <v>861227</v>
      </c>
      <c r="G138" s="112">
        <f t="shared" ref="G138:G152" si="11">F138-E138</f>
        <v>67</v>
      </c>
      <c r="H138" s="99">
        <f>G138+'28'!H138</f>
        <v>1580</v>
      </c>
      <c r="I138" s="118"/>
      <c r="J138" s="348">
        <f>H138/DAY(B2)</f>
        <v>54.482758620689658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'28'!F139</f>
        <v>886193</v>
      </c>
      <c r="F139" s="148">
        <v>886196</v>
      </c>
      <c r="G139" s="112">
        <f t="shared" si="11"/>
        <v>3</v>
      </c>
      <c r="H139" s="99">
        <f>G139+'28'!H139</f>
        <v>94</v>
      </c>
      <c r="I139" s="118"/>
      <c r="J139" s="348">
        <f>H139/DAY(B2)</f>
        <v>3.2413793103448274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'28'!F140</f>
        <v>88849</v>
      </c>
      <c r="F140" s="149">
        <v>88849</v>
      </c>
      <c r="G140" s="112">
        <f t="shared" si="11"/>
        <v>0</v>
      </c>
      <c r="H140" s="99">
        <f>G140+'28'!H140</f>
        <v>32</v>
      </c>
      <c r="I140" s="118"/>
      <c r="J140" s="348">
        <f>H140/DAY(B2)</f>
        <v>1.103448275862069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'28'!F141</f>
        <v>42752.44</v>
      </c>
      <c r="F141" s="149">
        <v>42946.17</v>
      </c>
      <c r="G141" s="112">
        <f t="shared" si="11"/>
        <v>193.72999999999593</v>
      </c>
      <c r="H141" s="99">
        <f>G141+'28'!H141</f>
        <v>5658.2200000000012</v>
      </c>
      <c r="I141" s="118"/>
      <c r="J141" s="348">
        <f>H141/DAY(B2)</f>
        <v>195.11103448275867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'28'!F142</f>
        <v>17428.900000000001</v>
      </c>
      <c r="F142" s="148">
        <v>17445.2</v>
      </c>
      <c r="G142" s="112">
        <f t="shared" si="11"/>
        <v>16.299999999999272</v>
      </c>
      <c r="H142" s="99">
        <f>G142+'28'!H142</f>
        <v>483.33000000000175</v>
      </c>
      <c r="I142" s="140"/>
      <c r="J142" s="348">
        <f>H142/DAY(B2)</f>
        <v>16.666551724137992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'28'!F143</f>
        <v>2144.2600000000002</v>
      </c>
      <c r="F143" s="149">
        <v>2174.31</v>
      </c>
      <c r="G143" s="112">
        <f t="shared" si="11"/>
        <v>30.049999999999727</v>
      </c>
      <c r="H143" s="99">
        <f>G143+'28'!H143</f>
        <v>791.12999999999988</v>
      </c>
      <c r="I143" s="140"/>
      <c r="J143" s="348">
        <f>H143/DAY(B2)</f>
        <v>27.280344827586202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'28'!F144</f>
        <v>861933</v>
      </c>
      <c r="F144" s="149">
        <v>862161</v>
      </c>
      <c r="G144" s="112">
        <f t="shared" si="11"/>
        <v>228</v>
      </c>
      <c r="H144" s="99">
        <f>G144+'28'!H144</f>
        <v>6792</v>
      </c>
      <c r="I144" s="140"/>
      <c r="J144" s="348">
        <f>H144/DAY(B2)</f>
        <v>234.20689655172413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'28'!F145</f>
        <v>3336.03</v>
      </c>
      <c r="F145" s="149">
        <v>3381.94</v>
      </c>
      <c r="G145" s="112">
        <f t="shared" si="11"/>
        <v>45.909999999999854</v>
      </c>
      <c r="H145" s="99">
        <f>G145+'28'!H145</f>
        <v>1168.94</v>
      </c>
      <c r="I145" s="140"/>
      <c r="J145" s="348">
        <f>H145/DAY(B2)</f>
        <v>40.308275862068967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'28'!F146</f>
        <v>710073</v>
      </c>
      <c r="F146" s="148">
        <v>710479</v>
      </c>
      <c r="G146" s="112">
        <f t="shared" si="11"/>
        <v>406</v>
      </c>
      <c r="H146" s="99">
        <f>G146+'28'!H146</f>
        <v>11960</v>
      </c>
      <c r="I146" s="140"/>
      <c r="J146" s="348">
        <f>H146/DAY(B2)</f>
        <v>412.41379310344826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'28'!F147</f>
        <v>601114.24</v>
      </c>
      <c r="F147" s="148">
        <v>601565.6</v>
      </c>
      <c r="G147" s="112">
        <f t="shared" si="11"/>
        <v>451.35999999998603</v>
      </c>
      <c r="H147" s="99">
        <f>G147+'28'!H147</f>
        <v>12654.679999999935</v>
      </c>
      <c r="I147" s="140"/>
      <c r="J147" s="348">
        <f>H147/DAY(B2)</f>
        <v>436.3682758620667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'28'!F148</f>
        <v>673288.08</v>
      </c>
      <c r="F148" s="150">
        <v>673580.8</v>
      </c>
      <c r="G148" s="112">
        <f t="shared" si="11"/>
        <v>292.72000000008848</v>
      </c>
      <c r="H148" s="99">
        <f>G148+'28'!H148</f>
        <v>8472.6800000000512</v>
      </c>
      <c r="I148" s="124"/>
      <c r="J148" s="348">
        <f>H148/DAY(B2)</f>
        <v>292.1613793103466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'28'!F149</f>
        <v>94354</v>
      </c>
      <c r="F149" s="146">
        <v>94708</v>
      </c>
      <c r="G149" s="112">
        <f t="shared" si="11"/>
        <v>354</v>
      </c>
      <c r="H149" s="99">
        <f>G149+'28'!H149</f>
        <v>9961</v>
      </c>
      <c r="I149" s="119"/>
      <c r="J149" s="348">
        <f>H149/DAY(B2)</f>
        <v>343.48275862068965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'28'!F150</f>
        <v>7167232</v>
      </c>
      <c r="F150" s="233">
        <v>7167232</v>
      </c>
      <c r="G150" s="112">
        <f t="shared" si="11"/>
        <v>0</v>
      </c>
      <c r="H150" s="99">
        <f>G150+'28'!H150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'28'!F151</f>
        <v>70217</v>
      </c>
      <c r="F151" s="233">
        <v>70486</v>
      </c>
      <c r="G151" s="112">
        <f t="shared" si="11"/>
        <v>269</v>
      </c>
      <c r="H151" s="99">
        <f>G151+'28'!H151</f>
        <v>7476</v>
      </c>
      <c r="I151" s="119"/>
      <c r="J151" s="348">
        <f>H151/DAY(B2)</f>
        <v>257.79310344827587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'28'!F152</f>
        <v>0</v>
      </c>
      <c r="F152" s="233">
        <v>0</v>
      </c>
      <c r="G152" s="112">
        <f t="shared" si="11"/>
        <v>0</v>
      </c>
      <c r="H152" s="99">
        <f>G152+'28'!H152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776"/>
      <c r="C153" s="385"/>
      <c r="D153" s="378"/>
      <c r="E153" s="380"/>
      <c r="F153" s="381"/>
      <c r="G153" s="382">
        <f>SUM(G138:G152)</f>
        <v>2357.0700000000693</v>
      </c>
      <c r="H153" s="383"/>
      <c r="I153" s="119">
        <f>G153-(G38+G52)</f>
        <v>420.84000000008791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'28'!F155</f>
        <v>77497</v>
      </c>
      <c r="F155" s="384">
        <v>77505</v>
      </c>
      <c r="G155" s="112">
        <f t="shared" ref="G155:G156" si="12">F155-E155</f>
        <v>8</v>
      </c>
      <c r="H155" s="99">
        <f>G155+'28'!H155</f>
        <v>230.39999999999418</v>
      </c>
      <c r="I155" s="384"/>
      <c r="J155" s="348">
        <f>H155/DAY(B2)</f>
        <v>7.9448275862066957</v>
      </c>
    </row>
    <row r="156" spans="1:10" ht="27.75">
      <c r="A156" s="771" t="s">
        <v>347</v>
      </c>
      <c r="B156" s="771"/>
      <c r="C156" s="771"/>
      <c r="D156" s="117" t="s">
        <v>130</v>
      </c>
      <c r="E156" s="95">
        <f>'28'!F156</f>
        <v>0</v>
      </c>
      <c r="F156" s="165">
        <v>0</v>
      </c>
      <c r="G156" s="112">
        <f t="shared" si="12"/>
        <v>0</v>
      </c>
      <c r="H156" s="99">
        <f>G156+'28'!H156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'28'!F158</f>
        <v>470943.2</v>
      </c>
      <c r="F158" s="235">
        <v>470959.88</v>
      </c>
      <c r="G158" s="238">
        <f t="shared" ref="G158:G162" si="13">F158-E158</f>
        <v>16.679999999993015</v>
      </c>
      <c r="H158" s="99">
        <f>G158+'28'!H158</f>
        <v>1430.8400000000256</v>
      </c>
      <c r="I158" s="236"/>
      <c r="J158" s="239">
        <f>H158/DAY(B2)</f>
        <v>49.339310344828469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'28'!F159</f>
        <v>86567.4</v>
      </c>
      <c r="F159" s="235">
        <v>86601.7</v>
      </c>
      <c r="G159" s="238">
        <f t="shared" si="13"/>
        <v>34.30000000000291</v>
      </c>
      <c r="H159" s="99">
        <f>G159+'28'!H159</f>
        <v>896.09999999999127</v>
      </c>
      <c r="I159" s="236"/>
      <c r="J159" s="239">
        <f>H159/DAY(B2)</f>
        <v>30.8999999999997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'28'!F160</f>
        <v>75275.009999999995</v>
      </c>
      <c r="F160" s="235">
        <v>75371.399999999994</v>
      </c>
      <c r="G160" s="238">
        <f t="shared" si="13"/>
        <v>96.389999999999418</v>
      </c>
      <c r="H160" s="99">
        <f>G160+'28'!H160</f>
        <v>2034.5</v>
      </c>
      <c r="I160" s="236"/>
      <c r="J160" s="239">
        <f>H160/DAY(B2)</f>
        <v>70.15517241379311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'28'!F161</f>
        <v>4084</v>
      </c>
      <c r="F161" s="235">
        <v>4092.6</v>
      </c>
      <c r="G161" s="238">
        <f t="shared" si="13"/>
        <v>8.5999999999999091</v>
      </c>
      <c r="H161" s="99">
        <f>G161+'28'!H161</f>
        <v>119.09999999999991</v>
      </c>
      <c r="I161" s="236"/>
      <c r="J161" s="239">
        <f>H161/DAY(B2)</f>
        <v>4.1068965517241347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'28'!F162</f>
        <v>29406.66</v>
      </c>
      <c r="F162" s="235">
        <v>29416.91</v>
      </c>
      <c r="G162" s="238">
        <f t="shared" si="13"/>
        <v>10.25</v>
      </c>
      <c r="H162" s="99">
        <f>G162+'28'!H162</f>
        <v>218.77000000000044</v>
      </c>
      <c r="I162" s="236"/>
      <c r="J162" s="239">
        <f>H162/DAY(B2)</f>
        <v>7.5437931034482908</v>
      </c>
    </row>
    <row r="163" spans="1:10" ht="29.25">
      <c r="A163" s="780"/>
      <c r="B163" s="780"/>
      <c r="C163" s="247"/>
      <c r="D163" s="244" t="s">
        <v>180</v>
      </c>
      <c r="E163" s="95">
        <f>'28'!F163</f>
        <v>0</v>
      </c>
      <c r="F163" s="165"/>
      <c r="G163" s="165"/>
      <c r="H163" s="99">
        <f>G163+'28'!H163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'28'!F164</f>
        <v>0</v>
      </c>
      <c r="F164" s="165"/>
      <c r="G164" s="165"/>
      <c r="H164" s="99">
        <f>G164+'28'!H164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'28'!F165</f>
        <v>0</v>
      </c>
      <c r="F165" s="165"/>
      <c r="G165" s="165"/>
      <c r="H165" s="99">
        <f>G165+'28'!H165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'28'!F170</f>
        <v>8107</v>
      </c>
      <c r="F170" s="155">
        <v>8107</v>
      </c>
      <c r="G170" s="155">
        <f>F170-E170</f>
        <v>0</v>
      </c>
      <c r="H170" s="99">
        <f>G170+'28'!H170</f>
        <v>109</v>
      </c>
      <c r="I170" s="155"/>
      <c r="J170" s="178">
        <f>H170/DAY(B2)</f>
        <v>3.7586206896551726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'28'!F171</f>
        <v>37776</v>
      </c>
      <c r="F171" s="157">
        <v>37797</v>
      </c>
      <c r="G171" s="155">
        <f t="shared" ref="G171:G172" si="14">F171-E171</f>
        <v>21</v>
      </c>
      <c r="H171" s="99">
        <f>G171+'28'!H171</f>
        <v>414</v>
      </c>
      <c r="I171" s="155"/>
      <c r="J171" s="178">
        <f>H171/DAY(B2)</f>
        <v>14.275862068965518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'28'!F172</f>
        <v>21114</v>
      </c>
      <c r="F172" s="155">
        <v>21127</v>
      </c>
      <c r="G172" s="155">
        <f t="shared" si="14"/>
        <v>13</v>
      </c>
      <c r="H172" s="99">
        <f>G172+'28'!H172</f>
        <v>339</v>
      </c>
      <c r="I172" s="155"/>
      <c r="J172" s="178">
        <f>H172/DAY(B2)</f>
        <v>11.689655172413794</v>
      </c>
    </row>
    <row r="173" spans="1:10" ht="27.75">
      <c r="A173" s="775" t="s">
        <v>196</v>
      </c>
      <c r="B173" s="776"/>
      <c r="C173" s="547"/>
      <c r="D173" s="228"/>
      <c r="E173" s="95"/>
      <c r="F173" s="155"/>
      <c r="G173" s="155">
        <f>SUM(G170:G172)</f>
        <v>34</v>
      </c>
      <c r="H173" s="99">
        <f>G173+'28'!H173</f>
        <v>862</v>
      </c>
      <c r="I173" s="155"/>
      <c r="J173" s="178">
        <f>H173/DAY(B2)</f>
        <v>29.724137931034484</v>
      </c>
    </row>
    <row r="174" spans="1:10" ht="27.75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G174+'28'!H174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'28'!F175</f>
        <v>77199</v>
      </c>
      <c r="F175" s="155">
        <v>77296</v>
      </c>
      <c r="G175" s="155">
        <f>F175-E175</f>
        <v>97</v>
      </c>
      <c r="H175" s="99">
        <f>G175+'28'!H175</f>
        <v>2677</v>
      </c>
      <c r="I175" s="155"/>
      <c r="J175" s="178">
        <f>H175/DAY(B2)</f>
        <v>92.310344827586206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'28'!F176</f>
        <v>33886</v>
      </c>
      <c r="F176" s="155">
        <v>33886</v>
      </c>
      <c r="G176" s="155">
        <f t="shared" ref="G176:G177" si="15">F176-E176</f>
        <v>0</v>
      </c>
      <c r="H176" s="99">
        <f>G176+'28'!H176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'28'!F177</f>
        <v>5254</v>
      </c>
      <c r="F177" s="155">
        <v>5268</v>
      </c>
      <c r="G177" s="155">
        <f t="shared" si="15"/>
        <v>14</v>
      </c>
      <c r="H177" s="99">
        <f>G177+'28'!H177</f>
        <v>2979</v>
      </c>
      <c r="I177" s="155"/>
      <c r="J177" s="178">
        <f>H177/DAY(B2)</f>
        <v>102.72413793103448</v>
      </c>
    </row>
    <row r="178" spans="1:10" ht="27.75">
      <c r="A178" s="788" t="s">
        <v>108</v>
      </c>
      <c r="B178" s="789"/>
      <c r="C178" s="547"/>
      <c r="D178" s="228"/>
      <c r="E178" s="95"/>
      <c r="F178" s="155"/>
      <c r="G178" s="155">
        <f>SUM(G175:G177)</f>
        <v>111</v>
      </c>
      <c r="H178" s="99">
        <f>G178+'28'!H178</f>
        <v>5656</v>
      </c>
      <c r="I178" s="155"/>
      <c r="J178" s="178">
        <f>H178/DAY(B2)</f>
        <v>195.0344827586207</v>
      </c>
    </row>
    <row r="179" spans="1:10" ht="27.75">
      <c r="A179" s="786" t="s">
        <v>213</v>
      </c>
      <c r="B179" s="787"/>
      <c r="C179" s="353"/>
      <c r="D179" s="228"/>
      <c r="E179" s="95"/>
      <c r="F179" s="155"/>
      <c r="G179" s="155"/>
      <c r="H179" s="99">
        <f>G179+'28'!H179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'28'!F180</f>
        <v>14477</v>
      </c>
      <c r="F180" s="157">
        <v>14489</v>
      </c>
      <c r="G180" s="157">
        <f>F180-E180</f>
        <v>12</v>
      </c>
      <c r="H180" s="99">
        <f>G180+'28'!H180</f>
        <v>458</v>
      </c>
      <c r="I180" s="155"/>
      <c r="J180" s="178">
        <f>H180/DAY(B2)</f>
        <v>15.793103448275861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'28'!F181</f>
        <v>10014</v>
      </c>
      <c r="F181" s="157">
        <v>10022</v>
      </c>
      <c r="G181" s="157">
        <f t="shared" ref="G181:G182" si="16">F181-E181</f>
        <v>8</v>
      </c>
      <c r="H181" s="99">
        <f>G181+'28'!H181</f>
        <v>268</v>
      </c>
      <c r="I181" s="155"/>
      <c r="J181" s="178">
        <f>H181/DAY(B2)</f>
        <v>9.2413793103448274</v>
      </c>
    </row>
    <row r="182" spans="1:10" ht="27.75">
      <c r="A182" s="786" t="s">
        <v>216</v>
      </c>
      <c r="B182" s="787"/>
      <c r="C182" s="354"/>
      <c r="D182" s="228" t="s">
        <v>142</v>
      </c>
      <c r="E182" s="95">
        <f>'28'!F182</f>
        <v>0</v>
      </c>
      <c r="F182" s="157"/>
      <c r="G182" s="157">
        <f t="shared" si="16"/>
        <v>0</v>
      </c>
      <c r="H182" s="99">
        <f>G182+'28'!H182</f>
        <v>0</v>
      </c>
      <c r="I182" s="155"/>
      <c r="J182" s="178">
        <f>H182/DAY(B2)</f>
        <v>0</v>
      </c>
    </row>
    <row r="183" spans="1:10" ht="27.75">
      <c r="A183" s="775" t="s">
        <v>196</v>
      </c>
      <c r="B183" s="776"/>
      <c r="C183" s="546"/>
      <c r="D183" s="229"/>
      <c r="E183" s="95"/>
      <c r="F183" s="157"/>
      <c r="G183" s="157">
        <f>SUM(G180:G182)</f>
        <v>20</v>
      </c>
      <c r="H183" s="99">
        <f>G183+'28'!H183</f>
        <v>726</v>
      </c>
      <c r="I183" s="157"/>
      <c r="J183" s="178">
        <f>H183/DAY(B2)</f>
        <v>25.03448275862069</v>
      </c>
    </row>
    <row r="184" spans="1:10" ht="27.75">
      <c r="A184" s="777" t="s">
        <v>217</v>
      </c>
      <c r="B184" s="778"/>
      <c r="C184" s="353"/>
      <c r="D184" s="230" t="s">
        <v>142</v>
      </c>
      <c r="E184" s="95">
        <f>'28'!F184</f>
        <v>0</v>
      </c>
      <c r="F184" s="159"/>
      <c r="G184" s="885">
        <f>G62+G19</f>
        <v>175</v>
      </c>
      <c r="H184" s="99">
        <f>G184+'28'!H184</f>
        <v>5143</v>
      </c>
      <c r="I184" s="158"/>
      <c r="J184" s="179">
        <f>H184/DAY(B2)</f>
        <v>177.34482758620689</v>
      </c>
    </row>
    <row r="185" spans="1:10" ht="27.75">
      <c r="A185" s="777" t="s">
        <v>218</v>
      </c>
      <c r="B185" s="778"/>
      <c r="C185" s="353"/>
      <c r="D185" s="230" t="s">
        <v>142</v>
      </c>
      <c r="E185" s="95">
        <f>'28'!F185</f>
        <v>0</v>
      </c>
      <c r="F185" s="159"/>
      <c r="G185" s="885">
        <f>G65+G66+G67+G69+G70</f>
        <v>180</v>
      </c>
      <c r="H185" s="99">
        <f>G185+'28'!H185</f>
        <v>2746</v>
      </c>
      <c r="I185" s="158"/>
      <c r="J185" s="179">
        <f>H185/DAY(B2)</f>
        <v>94.689655172413794</v>
      </c>
    </row>
    <row r="186" spans="1:10" ht="27.75">
      <c r="A186" s="777" t="s">
        <v>219</v>
      </c>
      <c r="B186" s="778"/>
      <c r="C186" s="353"/>
      <c r="D186" s="230" t="s">
        <v>142</v>
      </c>
      <c r="E186" s="95">
        <f>'28'!F186</f>
        <v>0</v>
      </c>
      <c r="F186" s="157"/>
      <c r="G186" s="563">
        <f>G178</f>
        <v>111</v>
      </c>
      <c r="H186" s="99">
        <f>G186+'28'!H186</f>
        <v>1224</v>
      </c>
      <c r="I186" s="158"/>
      <c r="J186" s="179">
        <f>H186/DAY(B2)</f>
        <v>42.206896551724135</v>
      </c>
    </row>
    <row r="187" spans="1:10" ht="27.75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310" ht="29.25"/>
    <row r="311" ht="29.25"/>
    <row r="312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</sheetData>
  <mergeCells count="112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5:B185"/>
    <mergeCell ref="A186:B186"/>
    <mergeCell ref="A187:B187"/>
    <mergeCell ref="A177:B177"/>
    <mergeCell ref="A178:B178"/>
    <mergeCell ref="A182:B182"/>
    <mergeCell ref="A183:B183"/>
    <mergeCell ref="A184:B184"/>
    <mergeCell ref="A171:B171"/>
    <mergeCell ref="A173:B173"/>
    <mergeCell ref="A174:B174"/>
    <mergeCell ref="A175:B175"/>
    <mergeCell ref="A176:B176"/>
    <mergeCell ref="A181:B181"/>
    <mergeCell ref="A179:B179"/>
    <mergeCell ref="A180:B180"/>
    <mergeCell ref="A172:C172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R187"/>
  <sheetViews>
    <sheetView view="pageBreakPreview" topLeftCell="A124" zoomScale="55" zoomScaleNormal="55" zoomScaleSheetLayoutView="55" workbookViewId="0">
      <selection activeCell="I153" sqref="I153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30.75" customHeight="1">
      <c r="A2" s="191" t="s">
        <v>357</v>
      </c>
      <c r="B2" s="266">
        <v>44499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379733</v>
      </c>
      <c r="F7" s="95">
        <f>E7+21500</f>
        <v>401233</v>
      </c>
      <c r="G7" s="112">
        <f>F7-E7</f>
        <v>21500</v>
      </c>
      <c r="H7" s="99">
        <f>G7+'29'!H7</f>
        <v>714969.69999999984</v>
      </c>
      <c r="I7" s="113">
        <f>'1'!I7</f>
        <v>12000</v>
      </c>
      <c r="J7" s="175">
        <f>H7/DAY(B2)</f>
        <v>23832.323333333326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'29'!F8</f>
        <v>416820.35</v>
      </c>
      <c r="F8" s="95">
        <f>E8+21500</f>
        <v>438320.35</v>
      </c>
      <c r="G8" s="112">
        <f>F8-E8</f>
        <v>21500</v>
      </c>
      <c r="H8" s="99">
        <f>G8+'29'!H8</f>
        <v>725156.45000000007</v>
      </c>
      <c r="I8" s="116"/>
      <c r="J8" s="175">
        <f>H8/DAY(B2)</f>
        <v>24171.881666666668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1706438.9</v>
      </c>
      <c r="F9" s="373">
        <f>E9+21500</f>
        <v>1727938.9</v>
      </c>
      <c r="G9" s="377">
        <f>F9-E9</f>
        <v>21500</v>
      </c>
      <c r="H9" s="99">
        <f>G9+'29'!H9</f>
        <v>466660.39999999991</v>
      </c>
      <c r="I9" s="124">
        <f>I7-J7</f>
        <v>-11832.323333333326</v>
      </c>
      <c r="J9" s="175">
        <f>H9/DAY(B2)</f>
        <v>15555.346666666663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398200.03</v>
      </c>
      <c r="F10" s="373">
        <f>E10+21500</f>
        <v>419700.03</v>
      </c>
      <c r="G10" s="112">
        <f t="shared" ref="G10:G12" si="0">F10-E10</f>
        <v>21500</v>
      </c>
      <c r="H10" s="99">
        <f>G10+'29'!H10</f>
        <v>251316.10000000003</v>
      </c>
      <c r="I10" s="286"/>
      <c r="J10" s="175">
        <f>H10/DAY(B2)</f>
        <v>8377.2033333333347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G13+'29'!H13</f>
        <v>697170.03999999992</v>
      </c>
      <c r="I13" s="120">
        <f>G7-G13</f>
        <v>-21500</v>
      </c>
      <c r="J13" s="175">
        <f>H13/DAY(B2)</f>
        <v>23239.00133333333</v>
      </c>
      <c r="K13" s="79"/>
      <c r="L13" s="66"/>
      <c r="N13" s="87"/>
      <c r="O13" s="71"/>
    </row>
    <row r="14" spans="1:15" ht="30.75" customHeight="1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65" t="s">
        <v>138</v>
      </c>
      <c r="B15" s="205"/>
      <c r="C15" s="205"/>
      <c r="D15" s="151" t="s">
        <v>139</v>
      </c>
      <c r="E15" s="95">
        <f>'29'!F15</f>
        <v>1842061.2</v>
      </c>
      <c r="F15" s="123">
        <v>1814642</v>
      </c>
      <c r="G15" s="112">
        <f>(F15-E15)</f>
        <v>-27419.199999999953</v>
      </c>
      <c r="H15" s="99">
        <f>G15+'29'!H15</f>
        <v>1711.1899999999732</v>
      </c>
      <c r="I15" s="113">
        <f>'1'!I15</f>
        <v>800</v>
      </c>
      <c r="J15" s="175">
        <f>H15/DAY(B2)</f>
        <v>57.039666666665774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742.96033333333423</v>
      </c>
      <c r="J16" s="176"/>
      <c r="K16" s="79"/>
      <c r="L16" s="66"/>
      <c r="N16" s="87"/>
      <c r="O16" s="71"/>
    </row>
    <row r="17" spans="1:15" ht="30.75" customHeight="1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14" t="s">
        <v>141</v>
      </c>
      <c r="B18" s="815"/>
      <c r="C18" s="816"/>
      <c r="D18" s="151" t="s">
        <v>142</v>
      </c>
      <c r="E18" s="95">
        <f>'29'!F18</f>
        <v>21</v>
      </c>
      <c r="F18" s="122">
        <v>18</v>
      </c>
      <c r="G18" s="119">
        <f>F18*10</f>
        <v>180</v>
      </c>
      <c r="H18" s="99">
        <f>G18+'29'!H18</f>
        <v>6190</v>
      </c>
      <c r="I18" s="113">
        <f>'1'!I18</f>
        <v>65</v>
      </c>
      <c r="J18" s="175">
        <f>H18/DAY(B2)</f>
        <v>206.33333333333334</v>
      </c>
      <c r="K18" s="79"/>
      <c r="L18" s="66"/>
      <c r="N18" s="87"/>
      <c r="O18" s="71"/>
    </row>
    <row r="19" spans="1:15" ht="30.75" customHeight="1">
      <c r="A19" s="814" t="s">
        <v>69</v>
      </c>
      <c r="B19" s="815"/>
      <c r="C19" s="816"/>
      <c r="D19" s="151" t="s">
        <v>142</v>
      </c>
      <c r="E19" s="95">
        <f>'29'!F19</f>
        <v>150533</v>
      </c>
      <c r="F19" s="122">
        <v>148848</v>
      </c>
      <c r="G19" s="112">
        <f t="shared" ref="G19" si="1">F19-E19</f>
        <v>-1685</v>
      </c>
      <c r="H19" s="99">
        <f>G19+'29'!H19</f>
        <v>-69</v>
      </c>
      <c r="I19" s="355"/>
      <c r="J19" s="175">
        <f>H19/DAY(B2)</f>
        <v>-2.2999999999999998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-1505</v>
      </c>
      <c r="H20" s="99">
        <f>G20+'29'!H20</f>
        <v>6121</v>
      </c>
      <c r="I20" s="356">
        <f>I18-J20</f>
        <v>-139.03333333333333</v>
      </c>
      <c r="J20" s="175">
        <f>H20/DAY(B2)</f>
        <v>204.03333333333333</v>
      </c>
      <c r="K20" s="79"/>
      <c r="L20" s="66"/>
      <c r="N20" s="87"/>
      <c r="O20" s="71"/>
    </row>
    <row r="21" spans="1:15" ht="30.75" customHeight="1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6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6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G27+'29'!H27</f>
        <v>6526408.0500000007</v>
      </c>
      <c r="I27" s="138"/>
      <c r="J27" s="175">
        <f>H27/DAY(B2)</f>
        <v>217546.93500000003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-27419.199999999953</v>
      </c>
      <c r="F28" s="136">
        <v>52</v>
      </c>
      <c r="G28" s="137">
        <f>E28*F28</f>
        <v>-1425798.3999999976</v>
      </c>
      <c r="H28" s="99">
        <f>G28+'29'!H28</f>
        <v>88981.879999998491</v>
      </c>
      <c r="I28" s="140"/>
      <c r="J28" s="175">
        <f>H28/DAY(B2)</f>
        <v>2966.0626666666162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-1685</v>
      </c>
      <c r="F30" s="136">
        <v>146</v>
      </c>
      <c r="G30" s="137">
        <f>E30*F30</f>
        <v>-246010</v>
      </c>
      <c r="H30" s="99">
        <f>G30+'29'!H30</f>
        <v>-10074</v>
      </c>
      <c r="I30" s="140"/>
      <c r="J30" s="175">
        <f>H30/DAY(B2)</f>
        <v>-335.8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G31+'29'!H31</f>
        <v>495200</v>
      </c>
      <c r="I31" s="140"/>
      <c r="J31" s="175">
        <f>H31/DAY(B2)</f>
        <v>16506.666666666668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-1463908.3999999976</v>
      </c>
      <c r="H32" s="99">
        <f>G32+'29'!H32</f>
        <v>7100515.9299999988</v>
      </c>
      <c r="I32" s="144"/>
      <c r="J32" s="175">
        <f>H32/DAY(B2)</f>
        <v>236683.8643333333</v>
      </c>
      <c r="K32" s="63"/>
      <c r="L32" s="89"/>
      <c r="N32" s="87"/>
      <c r="O32" s="71"/>
    </row>
    <row r="33" spans="1:15" ht="30.7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91549.46</v>
      </c>
      <c r="F35" s="145">
        <v>30543</v>
      </c>
      <c r="G35" s="112">
        <f t="shared" ref="G35:G46" si="3">F35-E35</f>
        <v>-61006.460000000006</v>
      </c>
      <c r="H35" s="99">
        <f>G35+'29'!H35</f>
        <v>-1931.6699999999983</v>
      </c>
      <c r="I35" s="95"/>
      <c r="J35" s="175">
        <f>H35/DAY(B2)</f>
        <v>-64.388999999999939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78599.94</v>
      </c>
      <c r="F36" s="145">
        <v>49255</v>
      </c>
      <c r="G36" s="112">
        <f t="shared" si="3"/>
        <v>-29344.940000000002</v>
      </c>
      <c r="H36" s="99">
        <f>G36+'29'!H36</f>
        <v>-684.66999999999825</v>
      </c>
      <c r="I36" s="95"/>
      <c r="J36" s="175">
        <f>H36/DAY(B2)</f>
        <v>-22.822333333333276</v>
      </c>
      <c r="K36" s="79"/>
      <c r="L36" s="66"/>
      <c r="N36" s="87"/>
      <c r="O36" s="36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143875.46</v>
      </c>
      <c r="F37" s="145">
        <v>95459</v>
      </c>
      <c r="G37" s="112">
        <f t="shared" si="3"/>
        <v>-48416.459999999992</v>
      </c>
      <c r="H37" s="99">
        <f>G37+'29'!H37</f>
        <v>-1594.8300000000017</v>
      </c>
      <c r="I37" s="95"/>
      <c r="J37" s="175">
        <f>H37/DAY(B2)</f>
        <v>-53.161000000000058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169276.93</v>
      </c>
      <c r="F38" s="108">
        <v>113385</v>
      </c>
      <c r="G38" s="112">
        <f t="shared" si="3"/>
        <v>-55891.929999999993</v>
      </c>
      <c r="H38" s="99">
        <f>G38+'29'!H38</f>
        <v>-1838.0399999999936</v>
      </c>
      <c r="I38" s="95"/>
      <c r="J38" s="175">
        <f>H38/DAY(B2)</f>
        <v>-61.267999999999788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318777.11</v>
      </c>
      <c r="F39" s="145">
        <v>230393</v>
      </c>
      <c r="G39" s="112">
        <f t="shared" si="3"/>
        <v>-88384.109999999986</v>
      </c>
      <c r="H39" s="99">
        <f>G39+'29'!H39</f>
        <v>-2988.0499999999884</v>
      </c>
      <c r="I39" s="95"/>
      <c r="J39" s="175">
        <f>H39/DAY(B2)</f>
        <v>-99.601666666666276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109.62</v>
      </c>
      <c r="F40" s="145">
        <v>24</v>
      </c>
      <c r="G40" s="112">
        <f t="shared" si="3"/>
        <v>-85.62</v>
      </c>
      <c r="H40" s="99">
        <f>G40+'29'!H40</f>
        <v>67.63</v>
      </c>
      <c r="I40" s="95"/>
      <c r="J40" s="175">
        <f>H40/DAY(B2)</f>
        <v>2.2543333333333333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590513.71</v>
      </c>
      <c r="F41" s="145">
        <v>581858</v>
      </c>
      <c r="G41" s="112">
        <f t="shared" si="3"/>
        <v>-8655.7099999999627</v>
      </c>
      <c r="H41" s="99">
        <f>G41+'29'!H41</f>
        <v>-0.82999999995809048</v>
      </c>
      <c r="I41" s="95"/>
      <c r="J41" s="175">
        <f>H41/DAY(B2)</f>
        <v>-2.7666666665269683E-2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316053.99</v>
      </c>
      <c r="F42" s="145">
        <v>270970</v>
      </c>
      <c r="G42" s="112">
        <f t="shared" si="3"/>
        <v>-45083.989999999991</v>
      </c>
      <c r="H42" s="99">
        <f>G42+'29'!H42</f>
        <v>0.33000000001629815</v>
      </c>
      <c r="I42" s="95"/>
      <c r="J42" s="175">
        <f>H42/DAY(B2)</f>
        <v>1.1000000000543271E-2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1526314.4</v>
      </c>
      <c r="F43" s="145">
        <v>1443481</v>
      </c>
      <c r="G43" s="112">
        <f t="shared" si="3"/>
        <v>-82833.399999999907</v>
      </c>
      <c r="H43" s="99">
        <f>G43+'29'!H43</f>
        <v>-2606.3999999999069</v>
      </c>
      <c r="I43" s="95"/>
      <c r="J43" s="175">
        <f>H43/DAY(B2)</f>
        <v>-86.879999999996897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-419702.61999999982</v>
      </c>
      <c r="H47" s="99">
        <f>G47+'29'!H47</f>
        <v>-11576.529999999795</v>
      </c>
      <c r="I47" s="95"/>
      <c r="J47" s="175">
        <f>H47/DAY(B2)</f>
        <v>-385.88433333332648</v>
      </c>
      <c r="K47" s="79"/>
      <c r="L47" s="66"/>
      <c r="N47" s="87"/>
      <c r="O47" s="71"/>
    </row>
    <row r="48" spans="1:15" ht="30.75" customHeight="1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218824.19</v>
      </c>
      <c r="F49" s="145">
        <v>171199</v>
      </c>
      <c r="G49" s="112">
        <f t="shared" ref="G49:G58" si="4">F49-E49</f>
        <v>-47625.19</v>
      </c>
      <c r="H49" s="99">
        <f>G49+'29'!H49</f>
        <v>-1531.390000000014</v>
      </c>
      <c r="I49" s="95"/>
      <c r="J49" s="175">
        <f>H49/DAY(B2)</f>
        <v>-51.046333333333799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722214.15</v>
      </c>
      <c r="F50" s="145">
        <v>683054</v>
      </c>
      <c r="G50" s="112">
        <f t="shared" si="4"/>
        <v>-39160.150000000023</v>
      </c>
      <c r="H50" s="99">
        <f>G50+'29'!H50</f>
        <v>-1308.3100000000559</v>
      </c>
      <c r="I50" s="95"/>
      <c r="J50" s="175">
        <f>H50/DAY(B2)</f>
        <v>-43.610333333335198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3025.13</v>
      </c>
      <c r="F54" s="145">
        <v>2863</v>
      </c>
      <c r="G54" s="112">
        <f t="shared" si="4"/>
        <v>-162.13000000000011</v>
      </c>
      <c r="H54" s="99">
        <f>G54+'29'!H54</f>
        <v>-4.4899999999997817</v>
      </c>
      <c r="I54" s="95"/>
      <c r="J54" s="175">
        <f>H54/DAY(B2)</f>
        <v>-0.1496666666666594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0</v>
      </c>
      <c r="F55" s="145">
        <v>0</v>
      </c>
      <c r="G55" s="112">
        <f t="shared" si="4"/>
        <v>0</v>
      </c>
      <c r="H55" s="99">
        <f>G55+'29'!H55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185431.55</v>
      </c>
      <c r="F56" s="145">
        <v>38034</v>
      </c>
      <c r="G56" s="112">
        <f t="shared" si="4"/>
        <v>-147397.54999999999</v>
      </c>
      <c r="H56" s="99">
        <f>G56+'29'!H56</f>
        <v>-4806.2900000000081</v>
      </c>
      <c r="I56" s="95"/>
      <c r="J56" s="175">
        <f>H56/DAY(B2)</f>
        <v>-160.20966666666695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85084.79</v>
      </c>
      <c r="F58" s="145">
        <v>78810</v>
      </c>
      <c r="G58" s="112">
        <f t="shared" si="4"/>
        <v>-6274.7899999999936</v>
      </c>
      <c r="H58" s="99">
        <f>G58+'29'!H58</f>
        <v>-209.89999999999418</v>
      </c>
      <c r="I58" s="95"/>
      <c r="J58" s="175">
        <f>H58/DAY(B2)</f>
        <v>-6.9966666666664725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-240619.81</v>
      </c>
      <c r="H59" s="99">
        <f>G59+'29'!H59</f>
        <v>-7860.3800000001211</v>
      </c>
      <c r="I59" s="95">
        <f>G7-G60</f>
        <v>681822.42999999982</v>
      </c>
      <c r="J59" s="175">
        <f>H59/DAY(B2)</f>
        <v>-262.01266666667073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-660322.42999999982</v>
      </c>
      <c r="H60" s="99">
        <f>G60+'29'!H60</f>
        <v>-19436.909999999916</v>
      </c>
      <c r="I60" s="95">
        <f>G13-G60</f>
        <v>703322.42999999982</v>
      </c>
      <c r="J60" s="175">
        <f>H60/DAY(B2)</f>
        <v>-647.89699999999721</v>
      </c>
      <c r="K60" s="79"/>
      <c r="L60" s="66"/>
      <c r="N60" s="87"/>
      <c r="O60" s="71"/>
    </row>
    <row r="61" spans="1:15" s="68" customFormat="1" ht="30.75" customHeight="1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>
      <c r="A62" s="814" t="s">
        <v>198</v>
      </c>
      <c r="B62" s="815"/>
      <c r="C62" s="816"/>
      <c r="D62" s="151" t="s">
        <v>142</v>
      </c>
      <c r="E62" s="95">
        <f>'29'!F62</f>
        <v>263345</v>
      </c>
      <c r="F62" s="122">
        <v>259693</v>
      </c>
      <c r="G62" s="112">
        <f t="shared" ref="G62:G63" si="5">F62-E62</f>
        <v>-3652</v>
      </c>
      <c r="H62" s="99">
        <f>G62+'29'!H62</f>
        <v>-125</v>
      </c>
      <c r="I62" s="118"/>
      <c r="J62" s="175">
        <f>H62/DAY(B2)</f>
        <v>-4.166666666666667</v>
      </c>
      <c r="K62" s="80"/>
      <c r="L62" s="66"/>
      <c r="N62" s="87"/>
      <c r="O62" s="71"/>
    </row>
    <row r="63" spans="1:15" ht="30.75" customHeight="1">
      <c r="A63" s="814" t="s">
        <v>199</v>
      </c>
      <c r="B63" s="815"/>
      <c r="C63" s="816"/>
      <c r="D63" s="151" t="s">
        <v>142</v>
      </c>
      <c r="E63" s="95">
        <f>'29'!F63</f>
        <v>209260</v>
      </c>
      <c r="F63" s="122">
        <v>206121</v>
      </c>
      <c r="G63" s="112">
        <f t="shared" si="5"/>
        <v>-3139</v>
      </c>
      <c r="H63" s="99">
        <f>G63+'29'!H63</f>
        <v>-149</v>
      </c>
      <c r="I63" s="118"/>
      <c r="J63" s="175">
        <f>H63/DAY(B2)</f>
        <v>-4.9666666666666668</v>
      </c>
      <c r="K63" s="69"/>
      <c r="L63" s="66"/>
      <c r="N63" s="87"/>
      <c r="O63" s="71"/>
    </row>
    <row r="64" spans="1:15" ht="30.75" customHeight="1">
      <c r="A64" s="823" t="s">
        <v>200</v>
      </c>
      <c r="B64" s="824"/>
      <c r="C64" s="825"/>
      <c r="D64" s="151"/>
      <c r="E64" s="95">
        <f>'29'!F64</f>
        <v>0</v>
      </c>
      <c r="F64" s="122"/>
      <c r="G64" s="112">
        <f>G62+G63</f>
        <v>-6791</v>
      </c>
      <c r="H64" s="99">
        <f>G64+'29'!H64</f>
        <v>-274</v>
      </c>
      <c r="I64" s="118"/>
      <c r="J64" s="175">
        <f>H64/DAY(B2)</f>
        <v>-9.1333333333333329</v>
      </c>
      <c r="K64" s="69"/>
      <c r="L64" s="66"/>
      <c r="N64" s="87"/>
      <c r="O64" s="71"/>
    </row>
    <row r="65" spans="1:15" ht="30.75" customHeight="1">
      <c r="A65" s="814" t="s">
        <v>201</v>
      </c>
      <c r="B65" s="815"/>
      <c r="C65" s="816"/>
      <c r="D65" s="151" t="s">
        <v>142</v>
      </c>
      <c r="E65" s="95">
        <f>'29'!F65</f>
        <v>429260</v>
      </c>
      <c r="F65" s="122">
        <v>426093</v>
      </c>
      <c r="G65" s="112">
        <f t="shared" ref="G65:G70" si="6">F65-E65</f>
        <v>-3167</v>
      </c>
      <c r="H65" s="99">
        <f>G65+'29'!H65</f>
        <v>-112</v>
      </c>
      <c r="I65" s="118"/>
      <c r="J65" s="175">
        <f>H65/DAY(B2)</f>
        <v>-3.7333333333333334</v>
      </c>
      <c r="K65" s="69"/>
      <c r="L65" s="66"/>
      <c r="N65" s="87"/>
      <c r="O65" s="71"/>
    </row>
    <row r="66" spans="1:15" ht="30.75" customHeight="1">
      <c r="A66" s="365" t="s">
        <v>202</v>
      </c>
      <c r="B66" s="366"/>
      <c r="C66" s="366"/>
      <c r="D66" s="151" t="s">
        <v>142</v>
      </c>
      <c r="E66" s="95">
        <f>'29'!F66</f>
        <v>106586</v>
      </c>
      <c r="F66" s="122">
        <v>105946</v>
      </c>
      <c r="G66" s="112">
        <f t="shared" si="6"/>
        <v>-640</v>
      </c>
      <c r="H66" s="99">
        <f>G66+'29'!H66</f>
        <v>-24</v>
      </c>
      <c r="I66" s="118"/>
      <c r="J66" s="175">
        <f>H66/DAY(B2)</f>
        <v>-0.8</v>
      </c>
      <c r="K66" s="78"/>
      <c r="L66" s="66"/>
      <c r="N66" s="87"/>
      <c r="O66" s="71"/>
    </row>
    <row r="67" spans="1:15" ht="30.75" customHeight="1">
      <c r="A67" s="365" t="s">
        <v>203</v>
      </c>
      <c r="B67" s="366"/>
      <c r="C67" s="366"/>
      <c r="D67" s="151" t="s">
        <v>142</v>
      </c>
      <c r="E67" s="95">
        <f>'29'!F67</f>
        <v>102973</v>
      </c>
      <c r="F67" s="122">
        <v>102139</v>
      </c>
      <c r="G67" s="112">
        <f t="shared" si="6"/>
        <v>-834</v>
      </c>
      <c r="H67" s="99">
        <f>G67+'29'!H67</f>
        <v>-32</v>
      </c>
      <c r="I67" s="118"/>
      <c r="J67" s="175">
        <f>H67/DAY(B2)</f>
        <v>-1.0666666666666667</v>
      </c>
      <c r="K67" s="81"/>
      <c r="L67" s="66"/>
      <c r="N67" s="87"/>
      <c r="O67" s="71"/>
    </row>
    <row r="68" spans="1:15" ht="30.75" customHeight="1">
      <c r="A68" s="365" t="s">
        <v>204</v>
      </c>
      <c r="B68" s="366"/>
      <c r="C68" s="366"/>
      <c r="D68" s="151" t="s">
        <v>142</v>
      </c>
      <c r="E68" s="95">
        <f>'29'!F68</f>
        <v>155398</v>
      </c>
      <c r="F68" s="122">
        <v>154463</v>
      </c>
      <c r="G68" s="112">
        <f t="shared" si="6"/>
        <v>-935</v>
      </c>
      <c r="H68" s="99">
        <f>G68+'29'!H68</f>
        <v>-33</v>
      </c>
      <c r="I68" s="118"/>
      <c r="J68" s="175">
        <f>H68/DAY(B2)</f>
        <v>-1.1000000000000001</v>
      </c>
      <c r="K68" s="69"/>
      <c r="L68" s="66"/>
      <c r="N68" s="87"/>
      <c r="O68" s="71"/>
    </row>
    <row r="69" spans="1:15" ht="30.75" customHeight="1">
      <c r="A69" s="365" t="s">
        <v>205</v>
      </c>
      <c r="B69" s="366"/>
      <c r="C69" s="366"/>
      <c r="D69" s="151" t="s">
        <v>142</v>
      </c>
      <c r="E69" s="95">
        <f>'29'!F69</f>
        <v>9837</v>
      </c>
      <c r="F69" s="122">
        <v>9445</v>
      </c>
      <c r="G69" s="112">
        <f t="shared" si="6"/>
        <v>-392</v>
      </c>
      <c r="H69" s="99">
        <f>G69+'29'!H69</f>
        <v>-20</v>
      </c>
      <c r="I69" s="118"/>
      <c r="J69" s="175">
        <f>H69/DAY(B2)</f>
        <v>-0.66666666666666663</v>
      </c>
      <c r="K69" s="69"/>
      <c r="L69" s="66"/>
      <c r="N69" s="87"/>
      <c r="O69" s="71"/>
    </row>
    <row r="70" spans="1:15" ht="30.75" customHeight="1">
      <c r="A70" s="365" t="s">
        <v>206</v>
      </c>
      <c r="B70" s="366"/>
      <c r="C70" s="366"/>
      <c r="D70" s="151" t="s">
        <v>142</v>
      </c>
      <c r="E70" s="95">
        <f>'29'!F70</f>
        <v>7530</v>
      </c>
      <c r="F70" s="122">
        <v>7191</v>
      </c>
      <c r="G70" s="112">
        <f t="shared" si="6"/>
        <v>-339</v>
      </c>
      <c r="H70" s="99">
        <f>G70+'29'!H70</f>
        <v>-12</v>
      </c>
      <c r="I70" s="118"/>
      <c r="J70" s="175">
        <f>H70/DAY(B2)</f>
        <v>-0.4</v>
      </c>
      <c r="K70" s="69"/>
      <c r="L70" s="66"/>
      <c r="N70" s="87"/>
      <c r="O70" s="71"/>
    </row>
    <row r="71" spans="1:15" ht="30.75" customHeight="1">
      <c r="A71" s="823" t="s">
        <v>208</v>
      </c>
      <c r="B71" s="824"/>
      <c r="C71" s="825"/>
      <c r="D71" s="152"/>
      <c r="E71" s="152"/>
      <c r="F71" s="152"/>
      <c r="G71" s="153">
        <f>SUM(G65:G70)</f>
        <v>-6307</v>
      </c>
      <c r="H71" s="99">
        <f>G71+'29'!H71</f>
        <v>-233</v>
      </c>
      <c r="I71" s="154"/>
      <c r="J71" s="175">
        <f>H71/DAY(B2)</f>
        <v>-7.7666666666666666</v>
      </c>
      <c r="K71" s="69"/>
      <c r="L71" s="66"/>
      <c r="N71" s="87"/>
      <c r="O71" s="71"/>
    </row>
    <row r="72" spans="1:15" s="88" customFormat="1" ht="30.75" customHeight="1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>
      <c r="A74" s="814" t="s">
        <v>220</v>
      </c>
      <c r="B74" s="815"/>
      <c r="C74" s="816"/>
      <c r="D74" s="151" t="s">
        <v>139</v>
      </c>
      <c r="E74" s="95">
        <f>'29'!F74</f>
        <v>881974.01</v>
      </c>
      <c r="F74" s="123">
        <v>873293</v>
      </c>
      <c r="G74" s="112">
        <f t="shared" ref="G74:G78" si="7">F74-E74</f>
        <v>-8681.0100000000093</v>
      </c>
      <c r="H74" s="99">
        <f>G74+'29'!H74</f>
        <v>-292.23100000002887</v>
      </c>
      <c r="I74" s="154"/>
      <c r="J74" s="175">
        <f>H74/DAY(B2)</f>
        <v>-9.7410333333342951</v>
      </c>
      <c r="K74" s="69"/>
      <c r="L74" s="66"/>
      <c r="N74" s="87"/>
      <c r="O74" s="71"/>
    </row>
    <row r="75" spans="1:15" ht="30.75" customHeight="1">
      <c r="A75" s="814" t="s">
        <v>221</v>
      </c>
      <c r="B75" s="815"/>
      <c r="C75" s="816"/>
      <c r="D75" s="151" t="s">
        <v>139</v>
      </c>
      <c r="E75" s="95">
        <f>'29'!F75</f>
        <v>73586.8</v>
      </c>
      <c r="F75" s="123">
        <v>73583.399999999994</v>
      </c>
      <c r="G75" s="112">
        <f t="shared" si="7"/>
        <v>-3.4000000000087311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811" t="s">
        <v>222</v>
      </c>
      <c r="B76" s="812"/>
      <c r="C76" s="813"/>
      <c r="D76" s="151" t="s">
        <v>139</v>
      </c>
      <c r="E76" s="95">
        <f>'29'!F76</f>
        <v>163277.28</v>
      </c>
      <c r="F76" s="123">
        <v>159897</v>
      </c>
      <c r="G76" s="112">
        <f t="shared" si="7"/>
        <v>-3380.2799999999988</v>
      </c>
      <c r="H76" s="99">
        <f>G76+'29'!H76</f>
        <v>-88.5</v>
      </c>
      <c r="I76" s="154"/>
      <c r="J76" s="175">
        <f>H76/DAY(B2)</f>
        <v>-2.95</v>
      </c>
      <c r="K76" s="69"/>
      <c r="L76" s="66"/>
      <c r="N76" s="87"/>
      <c r="O76" s="71"/>
    </row>
    <row r="77" spans="1:15" ht="30.75" customHeight="1">
      <c r="A77" s="811" t="s">
        <v>223</v>
      </c>
      <c r="B77" s="812"/>
      <c r="C77" s="813"/>
      <c r="D77" s="151" t="s">
        <v>139</v>
      </c>
      <c r="E77" s="95">
        <f>'29'!F77</f>
        <v>38771</v>
      </c>
      <c r="F77" s="123">
        <v>37453</v>
      </c>
      <c r="G77" s="112">
        <f t="shared" si="7"/>
        <v>-1318</v>
      </c>
      <c r="H77" s="99">
        <f>G77+'29'!H77</f>
        <v>-44.5</v>
      </c>
      <c r="I77" s="154"/>
      <c r="J77" s="175">
        <f>H77/DAY(B2)</f>
        <v>-1.4833333333333334</v>
      </c>
      <c r="K77" s="69"/>
      <c r="L77" s="66"/>
      <c r="N77" s="87"/>
      <c r="O77" s="71"/>
    </row>
    <row r="78" spans="1:15" ht="30.75" customHeight="1">
      <c r="A78" s="811" t="s">
        <v>224</v>
      </c>
      <c r="B78" s="812"/>
      <c r="C78" s="813"/>
      <c r="D78" s="151" t="s">
        <v>139</v>
      </c>
      <c r="E78" s="95">
        <f>'29'!F78</f>
        <v>9410</v>
      </c>
      <c r="F78" s="123">
        <v>9328</v>
      </c>
      <c r="G78" s="112">
        <f t="shared" si="7"/>
        <v>-82</v>
      </c>
      <c r="H78" s="99">
        <f>G78+'29'!H78</f>
        <v>-1.3999999999996362</v>
      </c>
      <c r="I78" s="118"/>
      <c r="J78" s="175">
        <f>H78/DAY(B2)</f>
        <v>-4.666666666665454E-2</v>
      </c>
      <c r="K78" s="69"/>
      <c r="L78" s="66"/>
      <c r="N78" s="87"/>
      <c r="O78" s="71"/>
    </row>
    <row r="79" spans="1:15" s="57" customFormat="1" ht="30.75" customHeight="1">
      <c r="A79" s="811" t="s">
        <v>225</v>
      </c>
      <c r="B79" s="812"/>
      <c r="C79" s="813"/>
      <c r="D79" s="151"/>
      <c r="E79" s="95">
        <f>'29'!F79</f>
        <v>0</v>
      </c>
      <c r="F79" s="117"/>
      <c r="G79" s="112">
        <f>G15-SUM(G74:G78)</f>
        <v>-13954.509999999937</v>
      </c>
      <c r="H79" s="99">
        <f>G79+'29'!H79</f>
        <v>2137.8209999999999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23" t="s">
        <v>329</v>
      </c>
      <c r="B80" s="824"/>
      <c r="C80" s="825"/>
      <c r="D80" s="151"/>
      <c r="E80" s="117"/>
      <c r="F80" s="117"/>
      <c r="G80" s="112">
        <f>SUM(G74:G79)</f>
        <v>-27419.199999999953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65" t="s">
        <v>227</v>
      </c>
      <c r="B82" s="366"/>
      <c r="C82" s="36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>
      <c r="A83" s="365" t="s">
        <v>229</v>
      </c>
      <c r="B83" s="366"/>
      <c r="C83" s="36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>
      <c r="A84" s="365" t="s">
        <v>230</v>
      </c>
      <c r="B84" s="366"/>
      <c r="C84" s="366"/>
      <c r="D84" s="151" t="s">
        <v>228</v>
      </c>
      <c r="E84" s="95">
        <f>'29'!F84</f>
        <v>41628.559999999998</v>
      </c>
      <c r="F84" s="164">
        <v>41585.56</v>
      </c>
      <c r="G84" s="112">
        <f t="shared" si="8"/>
        <v>-43</v>
      </c>
      <c r="H84" s="99">
        <f>G84+'29'!H84</f>
        <v>0</v>
      </c>
      <c r="I84" s="118"/>
      <c r="J84" s="175">
        <f>H84/DAY(B2)</f>
        <v>0</v>
      </c>
      <c r="O84" s="71"/>
    </row>
    <row r="85" spans="1:15" ht="30.75" customHeight="1">
      <c r="A85" s="365" t="s">
        <v>231</v>
      </c>
      <c r="B85" s="366"/>
      <c r="C85" s="366"/>
      <c r="D85" s="151" t="s">
        <v>228</v>
      </c>
      <c r="E85" s="95">
        <f>'29'!F85</f>
        <v>1503.56</v>
      </c>
      <c r="F85" s="164">
        <v>1305</v>
      </c>
      <c r="G85" s="112">
        <f t="shared" si="8"/>
        <v>-198.55999999999995</v>
      </c>
      <c r="H85" s="99">
        <f>G85+'29'!H85</f>
        <v>0</v>
      </c>
      <c r="I85" s="118">
        <f>G82+G83+G84+G85</f>
        <v>-241.55999999999995</v>
      </c>
      <c r="J85" s="175">
        <f>H85/DAY(B2)</f>
        <v>0</v>
      </c>
      <c r="O85" s="71"/>
    </row>
    <row r="86" spans="1:15" ht="30.75" customHeight="1">
      <c r="A86" s="365" t="s">
        <v>232</v>
      </c>
      <c r="B86" s="366"/>
      <c r="C86" s="366"/>
      <c r="D86" s="151" t="s">
        <v>228</v>
      </c>
      <c r="E86" s="95">
        <f>'29'!F86</f>
        <v>42826</v>
      </c>
      <c r="F86" s="164">
        <v>42826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>
      <c r="A87" s="365" t="s">
        <v>233</v>
      </c>
      <c r="B87" s="366"/>
      <c r="C87" s="366"/>
      <c r="D87" s="151" t="s">
        <v>228</v>
      </c>
      <c r="E87" s="95">
        <f>'29'!F87</f>
        <v>34396</v>
      </c>
      <c r="F87" s="164">
        <v>33724</v>
      </c>
      <c r="G87" s="112">
        <f t="shared" si="8"/>
        <v>-672</v>
      </c>
      <c r="H87" s="99">
        <f>G87+'29'!H87</f>
        <v>-24</v>
      </c>
      <c r="I87" s="118"/>
      <c r="J87" s="175">
        <f>H87/DAY(B2)</f>
        <v>-0.8</v>
      </c>
      <c r="O87" s="71"/>
    </row>
    <row r="88" spans="1:15" ht="30.75" customHeight="1">
      <c r="A88" s="365" t="s">
        <v>234</v>
      </c>
      <c r="B88" s="366"/>
      <c r="C88" s="366"/>
      <c r="D88" s="151" t="s">
        <v>228</v>
      </c>
      <c r="E88" s="95">
        <f>'29'!F88</f>
        <v>23941.94</v>
      </c>
      <c r="F88" s="164">
        <v>23825</v>
      </c>
      <c r="G88" s="112">
        <f t="shared" si="8"/>
        <v>-116.93999999999869</v>
      </c>
      <c r="H88" s="99">
        <f>G88+'29'!H88</f>
        <v>-8.569999999999709</v>
      </c>
      <c r="I88" s="118">
        <f>G86+G87+G88</f>
        <v>-788.93999999999869</v>
      </c>
      <c r="J88" s="175">
        <f>H88/DAY(B2)</f>
        <v>-0.28566666666665697</v>
      </c>
      <c r="O88" s="71"/>
    </row>
    <row r="89" spans="1:15" ht="30.75" customHeight="1">
      <c r="A89" s="365" t="s">
        <v>235</v>
      </c>
      <c r="B89" s="366"/>
      <c r="C89" s="366"/>
      <c r="D89" s="151" t="s">
        <v>228</v>
      </c>
      <c r="E89" s="95">
        <f>'29'!F89</f>
        <v>25427.49</v>
      </c>
      <c r="F89" s="164">
        <v>25245</v>
      </c>
      <c r="G89" s="112">
        <f t="shared" si="8"/>
        <v>-182.4900000000016</v>
      </c>
      <c r="H89" s="99">
        <f>G89+'29'!H89</f>
        <v>-0.38000000000101863</v>
      </c>
      <c r="I89" s="118"/>
      <c r="J89" s="175">
        <f>H89/DAY(B2)</f>
        <v>-1.2666666666700622E-2</v>
      </c>
      <c r="O89" s="71"/>
    </row>
    <row r="90" spans="1:15" ht="30.75" customHeight="1">
      <c r="A90" s="365" t="s">
        <v>236</v>
      </c>
      <c r="B90" s="366"/>
      <c r="C90" s="366"/>
      <c r="D90" s="151" t="s">
        <v>228</v>
      </c>
      <c r="E90" s="95">
        <f>'29'!F90</f>
        <v>70823.62</v>
      </c>
      <c r="F90" s="164">
        <v>70646</v>
      </c>
      <c r="G90" s="112">
        <f t="shared" si="8"/>
        <v>-177.61999999999534</v>
      </c>
      <c r="H90" s="99">
        <f>G90+'29'!H90</f>
        <v>-140.5399999999936</v>
      </c>
      <c r="I90" s="118">
        <f>G89+G90</f>
        <v>-360.10999999999694</v>
      </c>
      <c r="J90" s="175">
        <f>H90/DAY(B2)</f>
        <v>-4.6846666666664536</v>
      </c>
      <c r="O90" s="71"/>
    </row>
    <row r="91" spans="1:15" ht="30.75" customHeight="1">
      <c r="A91" s="365" t="s">
        <v>237</v>
      </c>
      <c r="B91" s="366"/>
      <c r="C91" s="366"/>
      <c r="D91" s="151" t="s">
        <v>228</v>
      </c>
      <c r="E91" s="95">
        <f>'29'!F91</f>
        <v>3226</v>
      </c>
      <c r="F91" s="122">
        <v>3226</v>
      </c>
      <c r="G91" s="112">
        <f t="shared" si="8"/>
        <v>0</v>
      </c>
      <c r="H91" s="99">
        <f>G91+'29'!H91</f>
        <v>-0.32000000000016371</v>
      </c>
      <c r="I91" s="165"/>
      <c r="J91" s="175">
        <f>H91/DAY(B2)</f>
        <v>-1.0666666666672124E-2</v>
      </c>
      <c r="O91" s="71"/>
    </row>
    <row r="92" spans="1:15" ht="30.75" customHeight="1">
      <c r="A92" s="365" t="s">
        <v>238</v>
      </c>
      <c r="B92" s="366"/>
      <c r="C92" s="366"/>
      <c r="D92" s="151" t="s">
        <v>228</v>
      </c>
      <c r="E92" s="95">
        <f>'29'!F92</f>
        <v>5086.13</v>
      </c>
      <c r="F92" s="122">
        <v>4782</v>
      </c>
      <c r="G92" s="112">
        <f t="shared" si="8"/>
        <v>-304.13000000000011</v>
      </c>
      <c r="H92" s="99">
        <f>G92+'29'!H92</f>
        <v>-9.819999999999709</v>
      </c>
      <c r="I92" s="165"/>
      <c r="J92" s="175">
        <f>H92/DAY(B2)</f>
        <v>-0.32733333333332365</v>
      </c>
      <c r="O92" s="71"/>
    </row>
    <row r="93" spans="1:15" ht="30.75" customHeight="1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-191465.04999999993</v>
      </c>
      <c r="H94" s="99">
        <f>G94+'29'!H94</f>
        <v>-6069.4599999999627</v>
      </c>
      <c r="I94" s="118"/>
      <c r="J94" s="175">
        <f>H94/DAY(B2)</f>
        <v>-202.31533333333209</v>
      </c>
      <c r="K94" s="69"/>
      <c r="L94" s="66"/>
      <c r="O94" s="71"/>
    </row>
    <row r="95" spans="1:15" ht="30.75" customHeight="1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-8.9053511627906943</v>
      </c>
      <c r="H95" s="99">
        <f>G95+'29'!H95</f>
        <v>-1.1100743925580128</v>
      </c>
      <c r="I95" s="167"/>
      <c r="J95" s="175">
        <f>H95/DAY(B2)</f>
        <v>-3.7002479751933756E-2</v>
      </c>
      <c r="K95" s="69"/>
      <c r="L95" s="66"/>
      <c r="O95" s="71"/>
    </row>
    <row r="96" spans="1:15" ht="30.75" customHeight="1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-201137.24999999994</v>
      </c>
      <c r="H96" s="99">
        <f>G96+'29'!H96</f>
        <v>-4806.7899999999499</v>
      </c>
      <c r="I96" s="118"/>
      <c r="J96" s="175">
        <f>H96/DAY(B2)</f>
        <v>-160.22633333333167</v>
      </c>
      <c r="K96" s="69"/>
      <c r="L96" s="66"/>
      <c r="O96" s="71"/>
    </row>
    <row r="97" spans="1:15" ht="30.75" customHeight="1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-9.3552209302325551</v>
      </c>
      <c r="H97" s="99">
        <f>G97+'29'!H97</f>
        <v>-1.228962078921283</v>
      </c>
      <c r="I97" s="167"/>
      <c r="J97" s="175">
        <f>H97/DAY(B2)</f>
        <v>-4.0965402630709434E-2</v>
      </c>
      <c r="K97" s="69"/>
      <c r="L97" s="66"/>
      <c r="O97" s="71"/>
    </row>
    <row r="98" spans="1:15" ht="30.75" customHeight="1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-88384.109999999986</v>
      </c>
      <c r="H98" s="99">
        <f>G98+'29'!H98</f>
        <v>-2988.0499999999884</v>
      </c>
      <c r="I98" s="168"/>
      <c r="J98" s="175">
        <f>H98/DAY(B2)</f>
        <v>-99.601666666666276</v>
      </c>
      <c r="K98" s="69"/>
      <c r="L98" s="66"/>
      <c r="O98" s="71"/>
    </row>
    <row r="99" spans="1:15" ht="30.75" customHeight="1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-4.110888837209302</v>
      </c>
      <c r="H99" s="99">
        <f>G99+'29'!H99</f>
        <v>-0.5146993422724635</v>
      </c>
      <c r="I99" s="168"/>
      <c r="J99" s="175">
        <f>H99/DAY(B2)</f>
        <v>-1.7156644742415451E-2</v>
      </c>
      <c r="O99" s="71"/>
    </row>
    <row r="100" spans="1:15" ht="30.75" customHeight="1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-55891.929999999993</v>
      </c>
      <c r="H100" s="99">
        <f>G100+'29'!H100</f>
        <v>-1838.0399999999936</v>
      </c>
      <c r="I100" s="118"/>
      <c r="J100" s="175">
        <f>H100/DAY(B2)</f>
        <v>-61.267999999999788</v>
      </c>
      <c r="K100" s="70"/>
      <c r="O100" s="71"/>
    </row>
    <row r="101" spans="1:15" ht="30.75" customHeight="1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-2.5996246511627903</v>
      </c>
      <c r="H101" s="99">
        <f>G101+'29'!H101</f>
        <v>-0.32552776821383933</v>
      </c>
      <c r="I101" s="168"/>
      <c r="J101" s="175">
        <f>H101/DAY(B2)</f>
        <v>-1.0850925607127977E-2</v>
      </c>
      <c r="O101" s="71"/>
    </row>
    <row r="102" spans="1:15" ht="30.75" customHeight="1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-68505.090000000026</v>
      </c>
      <c r="H102" s="99">
        <f>G102+'29'!H102</f>
        <v>-1992.9800000000541</v>
      </c>
      <c r="I102" s="168"/>
      <c r="J102" s="175">
        <f>H102/DAY(B2)</f>
        <v>-66.432666666668467</v>
      </c>
      <c r="O102" s="71"/>
    </row>
    <row r="103" spans="1:15" ht="30.75" customHeight="1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-3.1862832558139549</v>
      </c>
      <c r="H103" s="99">
        <f>G103+'29'!H103</f>
        <v>-0.42223700931541996</v>
      </c>
      <c r="I103" s="118"/>
      <c r="J103" s="175">
        <f>H103/DAY(B2)</f>
        <v>-1.4074566977180665E-2</v>
      </c>
      <c r="O103" s="71"/>
    </row>
    <row r="104" spans="1:15" ht="30.75" customHeight="1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-48416.459999999992</v>
      </c>
      <c r="H104" s="99">
        <f>G104+'29'!H104</f>
        <v>-1594.8300000000017</v>
      </c>
      <c r="I104" s="118"/>
      <c r="J104" s="175">
        <f>H104/DAY(B2)</f>
        <v>-53.161000000000058</v>
      </c>
      <c r="O104" s="71"/>
    </row>
    <row r="105" spans="1:15" ht="30.75" customHeight="1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-2.251928372093023</v>
      </c>
      <c r="H105" s="99">
        <f>G105+'29'!H105</f>
        <v>-0.28070432876749152</v>
      </c>
      <c r="I105" s="187"/>
      <c r="J105" s="188">
        <f>H105/DAY(B2)</f>
        <v>-9.3568109589163839E-3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30.75" customHeight="1">
      <c r="A109" s="831"/>
      <c r="B109" s="831"/>
    </row>
    <row r="110" spans="1:15" ht="30.75" customHeight="1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30.75" customHeight="1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30.75" customHeight="1">
      <c r="A112" s="793" t="s">
        <v>252</v>
      </c>
      <c r="B112" s="794"/>
      <c r="C112" s="795"/>
      <c r="D112" s="146" t="s">
        <v>183</v>
      </c>
      <c r="E112" s="95">
        <f>'29'!F112</f>
        <v>53273.53</v>
      </c>
      <c r="F112" s="237">
        <v>50805</v>
      </c>
      <c r="G112" s="112">
        <f t="shared" ref="G112:G123" si="9">F112-E112</f>
        <v>-2468.5299999999988</v>
      </c>
      <c r="H112" s="99">
        <f>G112+'29'!H112</f>
        <v>-84.080000000001746</v>
      </c>
      <c r="I112" s="165"/>
      <c r="J112" s="348">
        <f>H112/DAY(B2)</f>
        <v>-2.8026666666667248</v>
      </c>
    </row>
    <row r="113" spans="1:18" ht="30.75" customHeight="1">
      <c r="A113" s="793" t="s">
        <v>253</v>
      </c>
      <c r="B113" s="794"/>
      <c r="C113" s="795"/>
      <c r="D113" s="146" t="s">
        <v>183</v>
      </c>
      <c r="E113" s="95">
        <f>'29'!F113</f>
        <v>17544.5</v>
      </c>
      <c r="F113" s="237">
        <v>4039</v>
      </c>
      <c r="G113" s="112">
        <f t="shared" si="9"/>
        <v>-13505.5</v>
      </c>
      <c r="H113" s="99">
        <f>G113+'29'!H113</f>
        <v>-466.64999999999964</v>
      </c>
      <c r="I113" s="165"/>
      <c r="J113" s="348">
        <f>H113/DAY(B2)</f>
        <v>-15.554999999999987</v>
      </c>
    </row>
    <row r="114" spans="1:18" ht="30.75" customHeight="1">
      <c r="A114" s="793" t="s">
        <v>254</v>
      </c>
      <c r="B114" s="794"/>
      <c r="C114" s="795"/>
      <c r="D114" s="146" t="s">
        <v>183</v>
      </c>
      <c r="E114" s="95">
        <f>'29'!F114</f>
        <v>13668.7</v>
      </c>
      <c r="F114" s="237">
        <v>4197</v>
      </c>
      <c r="G114" s="112">
        <f t="shared" si="9"/>
        <v>-9471.7000000000007</v>
      </c>
      <c r="H114" s="99">
        <f>G114+'29'!H114</f>
        <v>390.88999999999942</v>
      </c>
      <c r="I114" s="165"/>
      <c r="J114" s="348">
        <f>H114/DAY(B2)</f>
        <v>13.029666666666648</v>
      </c>
    </row>
    <row r="115" spans="1:18" ht="30.75" customHeight="1">
      <c r="A115" s="793" t="s">
        <v>255</v>
      </c>
      <c r="B115" s="794"/>
      <c r="C115" s="795"/>
      <c r="D115" s="146" t="s">
        <v>183</v>
      </c>
      <c r="E115" s="95">
        <f>'29'!F115</f>
        <v>8409.2000000000007</v>
      </c>
      <c r="F115" s="237">
        <v>8067</v>
      </c>
      <c r="G115" s="112">
        <f t="shared" si="9"/>
        <v>-342.20000000000073</v>
      </c>
      <c r="H115" s="99">
        <f>G115+'29'!H115</f>
        <v>-10.409999999999854</v>
      </c>
      <c r="I115" s="165"/>
      <c r="J115" s="348">
        <f>H115/DAY(B2)</f>
        <v>-0.34699999999999515</v>
      </c>
    </row>
    <row r="116" spans="1:18" ht="30.75" customHeight="1">
      <c r="A116" s="800" t="s">
        <v>96</v>
      </c>
      <c r="B116" s="801"/>
      <c r="C116" s="802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30.75" customHeight="1">
      <c r="A117" s="800" t="s">
        <v>184</v>
      </c>
      <c r="B117" s="801"/>
      <c r="C117" s="802"/>
      <c r="D117" s="146" t="s">
        <v>183</v>
      </c>
      <c r="E117" s="95">
        <f>'29'!F117</f>
        <v>1920.41</v>
      </c>
      <c r="F117" s="237">
        <v>1093</v>
      </c>
      <c r="G117" s="112">
        <f t="shared" si="9"/>
        <v>-827.41000000000008</v>
      </c>
      <c r="H117" s="99">
        <f>G117+'29'!H117</f>
        <v>-65.190000000000055</v>
      </c>
      <c r="I117" s="165"/>
      <c r="J117" s="348">
        <f>H117/DAY(B2)</f>
        <v>-2.1730000000000018</v>
      </c>
      <c r="Q117" s="793" t="s">
        <v>312</v>
      </c>
      <c r="R117" s="795"/>
    </row>
    <row r="118" spans="1:18" ht="30.75" customHeight="1">
      <c r="A118" s="792" t="s">
        <v>97</v>
      </c>
      <c r="B118" s="792"/>
      <c r="C118" s="792"/>
      <c r="D118" s="151" t="s">
        <v>183</v>
      </c>
      <c r="E118" s="95">
        <f>'29'!F118</f>
        <v>229440.91</v>
      </c>
      <c r="F118" s="237">
        <v>218495</v>
      </c>
      <c r="G118" s="112">
        <f t="shared" si="9"/>
        <v>-10945.910000000003</v>
      </c>
      <c r="H118" s="99">
        <f>G118+'29'!H118</f>
        <v>-356.92999999999302</v>
      </c>
      <c r="I118" s="165"/>
      <c r="J118" s="348">
        <f>H118/DAY(B2)</f>
        <v>-11.897666666666433</v>
      </c>
      <c r="Q118" s="793" t="s">
        <v>311</v>
      </c>
      <c r="R118" s="795"/>
    </row>
    <row r="119" spans="1:18" ht="30.75" customHeight="1">
      <c r="A119" s="792" t="s">
        <v>98</v>
      </c>
      <c r="B119" s="792"/>
      <c r="C119" s="792"/>
      <c r="D119" s="151" t="s">
        <v>183</v>
      </c>
      <c r="E119" s="95">
        <f>'29'!F119</f>
        <v>231271.47</v>
      </c>
      <c r="F119" s="237">
        <v>218359</v>
      </c>
      <c r="G119" s="112">
        <f t="shared" si="9"/>
        <v>-12912.470000000001</v>
      </c>
      <c r="H119" s="99">
        <f>G119+'29'!H119</f>
        <v>-452.10999999998603</v>
      </c>
      <c r="I119" s="165"/>
      <c r="J119" s="348">
        <f>H119/DAY(B2)</f>
        <v>-15.070333333332867</v>
      </c>
    </row>
    <row r="120" spans="1:18" ht="30.75" customHeight="1">
      <c r="A120" s="792" t="s">
        <v>99</v>
      </c>
      <c r="B120" s="792"/>
      <c r="C120" s="792"/>
      <c r="D120" s="151" t="s">
        <v>183</v>
      </c>
      <c r="E120" s="95">
        <f>'29'!F120</f>
        <v>16736.7</v>
      </c>
      <c r="F120" s="237">
        <v>3866</v>
      </c>
      <c r="G120" s="112">
        <f t="shared" si="9"/>
        <v>-12870.7</v>
      </c>
      <c r="H120" s="99">
        <f>G120+'29'!H120</f>
        <v>-441.60000000000036</v>
      </c>
      <c r="I120" s="165"/>
      <c r="J120" s="348">
        <f>H120/DAY(B2)</f>
        <v>-14.720000000000011</v>
      </c>
    </row>
    <row r="121" spans="1:18" ht="30.75" customHeight="1">
      <c r="A121" s="792" t="s">
        <v>100</v>
      </c>
      <c r="B121" s="792"/>
      <c r="C121" s="792"/>
      <c r="D121" s="151" t="s">
        <v>183</v>
      </c>
      <c r="E121" s="95">
        <f>'29'!F121</f>
        <v>352365.79</v>
      </c>
      <c r="F121" s="237">
        <v>330537</v>
      </c>
      <c r="G121" s="112">
        <f t="shared" si="9"/>
        <v>-21828.789999999979</v>
      </c>
      <c r="H121" s="99">
        <f>G121+'29'!H121</f>
        <v>-700.51000000000931</v>
      </c>
      <c r="I121" s="165"/>
      <c r="J121" s="348">
        <f>H121/DAY(B2)</f>
        <v>-23.350333333333644</v>
      </c>
    </row>
    <row r="122" spans="1:18" ht="30.75" customHeight="1">
      <c r="A122" s="792" t="s">
        <v>101</v>
      </c>
      <c r="B122" s="792"/>
      <c r="C122" s="792"/>
      <c r="D122" s="151" t="s">
        <v>183</v>
      </c>
      <c r="E122" s="95">
        <f>'29'!F122</f>
        <v>110707.31</v>
      </c>
      <c r="F122" s="237">
        <v>101300</v>
      </c>
      <c r="G122" s="112">
        <f t="shared" si="9"/>
        <v>-9407.3099999999977</v>
      </c>
      <c r="H122" s="99">
        <f>G122+'29'!H122</f>
        <v>-308.88000000000466</v>
      </c>
      <c r="I122" s="165"/>
      <c r="J122" s="348">
        <f>H122/DAY(B2)</f>
        <v>-10.296000000000156</v>
      </c>
    </row>
    <row r="123" spans="1:18" ht="30.75" customHeight="1">
      <c r="A123" s="792" t="s">
        <v>102</v>
      </c>
      <c r="B123" s="792"/>
      <c r="C123" s="792"/>
      <c r="D123" s="151" t="s">
        <v>183</v>
      </c>
      <c r="E123" s="95">
        <f>'29'!F123</f>
        <v>134082.49</v>
      </c>
      <c r="F123" s="237">
        <v>125443</v>
      </c>
      <c r="G123" s="112">
        <f t="shared" si="9"/>
        <v>-8639.4899999999907</v>
      </c>
      <c r="H123" s="99">
        <f>G123+'29'!H123</f>
        <v>-304.75999999999476</v>
      </c>
      <c r="I123" s="165"/>
      <c r="J123" s="348">
        <f>H123/DAY(B2)</f>
        <v>-10.158666666666493</v>
      </c>
    </row>
    <row r="124" spans="1:18" ht="30.75" customHeight="1">
      <c r="A124" s="797"/>
      <c r="B124" s="798"/>
      <c r="C124" s="799"/>
      <c r="D124" s="165"/>
      <c r="E124" s="95">
        <f>'29'!F124</f>
        <v>0</v>
      </c>
      <c r="F124" s="165"/>
      <c r="G124" s="347"/>
      <c r="H124" s="99">
        <f>G124+'29'!H124</f>
        <v>0</v>
      </c>
      <c r="I124" s="165"/>
      <c r="J124" s="347"/>
    </row>
    <row r="125" spans="1:18" ht="30.75" customHeight="1">
      <c r="A125" s="775" t="s">
        <v>196</v>
      </c>
      <c r="B125" s="776"/>
      <c r="C125" s="246"/>
      <c r="D125" s="317"/>
      <c r="E125" s="318"/>
      <c r="F125" s="318"/>
      <c r="G125" s="319">
        <f>SUM(G112:G124)</f>
        <v>-103220.00999999997</v>
      </c>
      <c r="H125" s="156"/>
      <c r="I125" s="347">
        <f>G125-(G39+G53)</f>
        <v>-14835.89999999998</v>
      </c>
      <c r="J125" s="347"/>
    </row>
    <row r="126" spans="1:18" ht="30.75" customHeight="1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30.75" customHeight="1">
      <c r="A127" s="780"/>
      <c r="B127" s="780"/>
      <c r="C127" s="246"/>
      <c r="D127" s="317"/>
      <c r="E127" s="318"/>
      <c r="F127" s="318"/>
      <c r="G127" s="319"/>
      <c r="H127" s="99">
        <f>G127+'29'!H127</f>
        <v>0</v>
      </c>
      <c r="I127" s="165"/>
      <c r="J127" s="348">
        <f>H127/DAY(B2)</f>
        <v>0</v>
      </c>
    </row>
    <row r="128" spans="1:18" ht="30.75" customHeight="1">
      <c r="A128" s="793" t="s">
        <v>318</v>
      </c>
      <c r="B128" s="794"/>
      <c r="C128" s="795"/>
      <c r="D128" s="151" t="s">
        <v>183</v>
      </c>
      <c r="E128" s="95">
        <f>'29'!F128</f>
        <v>27301.84</v>
      </c>
      <c r="F128" s="165">
        <v>17703</v>
      </c>
      <c r="G128" s="112">
        <f t="shared" ref="G128:G134" si="10">F128-E128</f>
        <v>-9598.84</v>
      </c>
      <c r="H128" s="99">
        <f>G128+'29'!H128</f>
        <v>-320.72000000000116</v>
      </c>
      <c r="I128" s="165"/>
      <c r="J128" s="348">
        <f>H128/DAY(B2)</f>
        <v>-10.690666666666706</v>
      </c>
    </row>
    <row r="129" spans="1:15" ht="30.75" customHeight="1">
      <c r="A129" s="349" t="s">
        <v>319</v>
      </c>
      <c r="B129" s="350"/>
      <c r="C129" s="351"/>
      <c r="D129" s="151" t="s">
        <v>183</v>
      </c>
      <c r="E129" s="95">
        <f>'29'!F129</f>
        <v>12524.47</v>
      </c>
      <c r="F129" s="165">
        <v>6411</v>
      </c>
      <c r="G129" s="112">
        <f t="shared" si="10"/>
        <v>-6113.4699999999993</v>
      </c>
      <c r="H129" s="99">
        <f>G129+'29'!H129</f>
        <v>-184.71000000000004</v>
      </c>
      <c r="I129" s="165"/>
      <c r="J129" s="348">
        <f>H129/DAY(B2)</f>
        <v>-6.1570000000000009</v>
      </c>
      <c r="N129" s="240"/>
      <c r="O129" s="241"/>
    </row>
    <row r="130" spans="1:15" ht="30.75" customHeight="1">
      <c r="A130" s="349" t="s">
        <v>320</v>
      </c>
      <c r="B130" s="350"/>
      <c r="C130" s="351"/>
      <c r="D130" s="151" t="s">
        <v>183</v>
      </c>
      <c r="E130" s="95">
        <f>'29'!F130</f>
        <v>1800.6</v>
      </c>
      <c r="F130" s="165">
        <v>23889</v>
      </c>
      <c r="G130" s="112">
        <f t="shared" si="10"/>
        <v>22088.400000000001</v>
      </c>
      <c r="H130" s="99">
        <f>G130+'29'!H130</f>
        <v>77358.680000000008</v>
      </c>
      <c r="I130" s="165"/>
      <c r="J130" s="348">
        <f>H130/DAY(B2)</f>
        <v>2578.6226666666671</v>
      </c>
      <c r="N130" s="240"/>
      <c r="O130" s="241"/>
    </row>
    <row r="131" spans="1:15" ht="30.75" customHeight="1">
      <c r="A131" s="793" t="s">
        <v>321</v>
      </c>
      <c r="B131" s="794"/>
      <c r="C131" s="795"/>
      <c r="D131" s="151" t="s">
        <v>183</v>
      </c>
      <c r="E131" s="95">
        <f>'29'!F131</f>
        <v>9016.69</v>
      </c>
      <c r="F131" s="165">
        <v>4055</v>
      </c>
      <c r="G131" s="112">
        <f t="shared" si="10"/>
        <v>-4961.6900000000005</v>
      </c>
      <c r="H131" s="99">
        <f>G131+'29'!H131</f>
        <v>-91.470000000000255</v>
      </c>
      <c r="I131" s="165"/>
      <c r="J131" s="348">
        <f>H131/DAY(B2)</f>
        <v>-3.0490000000000084</v>
      </c>
      <c r="N131" s="240"/>
      <c r="O131" s="241"/>
    </row>
    <row r="132" spans="1:15" ht="30.75" customHeight="1">
      <c r="A132" s="793" t="s">
        <v>322</v>
      </c>
      <c r="B132" s="794"/>
      <c r="C132" s="795"/>
      <c r="D132" s="151" t="s">
        <v>183</v>
      </c>
      <c r="E132" s="95">
        <f>'29'!F132</f>
        <v>25708.7</v>
      </c>
      <c r="F132" s="165">
        <v>11099</v>
      </c>
      <c r="G132" s="112">
        <f t="shared" si="10"/>
        <v>-14609.7</v>
      </c>
      <c r="H132" s="99">
        <f>G132+'29'!H132</f>
        <v>-438.71999999999935</v>
      </c>
      <c r="I132" s="165"/>
      <c r="J132" s="348">
        <f>H132/DAY(B2)</f>
        <v>-14.623999999999977</v>
      </c>
    </row>
    <row r="133" spans="1:15" ht="30.75" customHeight="1">
      <c r="A133" s="793" t="s">
        <v>323</v>
      </c>
      <c r="B133" s="794"/>
      <c r="C133" s="795"/>
      <c r="D133" s="151" t="s">
        <v>183</v>
      </c>
      <c r="E133" s="95">
        <f>'29'!F133</f>
        <v>62660.57</v>
      </c>
      <c r="F133" s="165">
        <v>40088</v>
      </c>
      <c r="G133" s="112">
        <f t="shared" si="10"/>
        <v>-22572.57</v>
      </c>
      <c r="H133" s="99">
        <f>G133+'29'!H133</f>
        <v>-761.29000000000087</v>
      </c>
      <c r="I133" s="165"/>
      <c r="J133" s="348">
        <f>H133/DAY(B2)</f>
        <v>-25.376333333333363</v>
      </c>
    </row>
    <row r="134" spans="1:15" ht="30.75" customHeight="1">
      <c r="A134" s="793" t="s">
        <v>340</v>
      </c>
      <c r="B134" s="794"/>
      <c r="C134" s="795"/>
      <c r="D134" s="151" t="s">
        <v>183</v>
      </c>
      <c r="E134" s="95">
        <f>'29'!F134</f>
        <v>650617</v>
      </c>
      <c r="F134" s="671">
        <v>631591</v>
      </c>
      <c r="G134" s="112">
        <f t="shared" si="10"/>
        <v>-19026</v>
      </c>
      <c r="H134" s="99">
        <f>G134+'29'!H134</f>
        <v>-673</v>
      </c>
      <c r="I134" s="165"/>
      <c r="J134" s="348">
        <f>H134/DAY(B2)</f>
        <v>-22.433333333333334</v>
      </c>
    </row>
    <row r="135" spans="1:15" ht="30.75" customHeight="1">
      <c r="A135" s="775" t="s">
        <v>196</v>
      </c>
      <c r="B135" s="776"/>
      <c r="C135" s="351"/>
      <c r="D135" s="151"/>
      <c r="E135" s="95"/>
      <c r="F135" s="165"/>
      <c r="G135" s="112">
        <f>SUM(G128:G134)</f>
        <v>-54793.869999999995</v>
      </c>
      <c r="H135" s="99">
        <f>G135+'23'!H135</f>
        <v>-1706.8199999999924</v>
      </c>
      <c r="I135" s="347">
        <f>G135-(G35+G49)</f>
        <v>53837.780000000013</v>
      </c>
      <c r="J135" s="348"/>
    </row>
    <row r="136" spans="1:15" ht="30.75" customHeight="1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30.75" customHeight="1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>
      <c r="A138" s="792" t="s">
        <v>185</v>
      </c>
      <c r="B138" s="792"/>
      <c r="C138" s="792"/>
      <c r="D138" s="151" t="s">
        <v>183</v>
      </c>
      <c r="E138" s="95">
        <f>'29'!F138</f>
        <v>861227</v>
      </c>
      <c r="F138" s="147">
        <v>859583</v>
      </c>
      <c r="G138" s="112">
        <f t="shared" ref="G138:G152" si="11">F138-E138</f>
        <v>-1644</v>
      </c>
      <c r="H138" s="99">
        <f>G138+'29'!H138</f>
        <v>-64</v>
      </c>
      <c r="I138" s="118"/>
      <c r="J138" s="348">
        <f>H138/DAY(B2)</f>
        <v>-2.1333333333333333</v>
      </c>
    </row>
    <row r="139" spans="1:15" ht="30.75" customHeight="1">
      <c r="A139" s="792" t="s">
        <v>186</v>
      </c>
      <c r="B139" s="792"/>
      <c r="C139" s="792"/>
      <c r="D139" s="151" t="s">
        <v>183</v>
      </c>
      <c r="E139" s="95">
        <f>'29'!F139</f>
        <v>886196</v>
      </c>
      <c r="F139" s="148">
        <v>886100</v>
      </c>
      <c r="G139" s="112">
        <f t="shared" si="11"/>
        <v>-96</v>
      </c>
      <c r="H139" s="99">
        <f>G139+'29'!H139</f>
        <v>-2</v>
      </c>
      <c r="I139" s="118"/>
      <c r="J139" s="348">
        <f>H139/DAY(B2)</f>
        <v>-6.6666666666666666E-2</v>
      </c>
    </row>
    <row r="140" spans="1:15" ht="30.75" customHeight="1">
      <c r="A140" s="792" t="s">
        <v>187</v>
      </c>
      <c r="B140" s="792"/>
      <c r="C140" s="792"/>
      <c r="D140" s="151" t="s">
        <v>183</v>
      </c>
      <c r="E140" s="95">
        <f>'29'!F140</f>
        <v>88849</v>
      </c>
      <c r="F140" s="149">
        <v>88809</v>
      </c>
      <c r="G140" s="112">
        <f t="shared" si="11"/>
        <v>-40</v>
      </c>
      <c r="H140" s="99">
        <f>G140+'29'!H140</f>
        <v>-8</v>
      </c>
      <c r="I140" s="118"/>
      <c r="J140" s="348">
        <f>H140/DAY(B2)</f>
        <v>-0.26666666666666666</v>
      </c>
    </row>
    <row r="141" spans="1:15" ht="30.75" customHeight="1">
      <c r="A141" s="771" t="s">
        <v>188</v>
      </c>
      <c r="B141" s="771"/>
      <c r="C141" s="771"/>
      <c r="D141" s="151" t="s">
        <v>183</v>
      </c>
      <c r="E141" s="95">
        <f>'29'!F141</f>
        <v>42946.17</v>
      </c>
      <c r="F141" s="149">
        <v>37102</v>
      </c>
      <c r="G141" s="112">
        <f t="shared" si="11"/>
        <v>-5844.1699999999983</v>
      </c>
      <c r="H141" s="99">
        <f>G141+'29'!H141</f>
        <v>-185.94999999999709</v>
      </c>
      <c r="I141" s="118"/>
      <c r="J141" s="348">
        <f>H141/DAY(B2)</f>
        <v>-6.1983333333332364</v>
      </c>
    </row>
    <row r="142" spans="1:15" ht="30.75" customHeight="1">
      <c r="A142" s="771" t="s">
        <v>189</v>
      </c>
      <c r="B142" s="771"/>
      <c r="C142" s="771"/>
      <c r="D142" s="151" t="s">
        <v>183</v>
      </c>
      <c r="E142" s="95">
        <f>'29'!F142</f>
        <v>17445.2</v>
      </c>
      <c r="F142" s="148">
        <v>16949</v>
      </c>
      <c r="G142" s="112">
        <f t="shared" si="11"/>
        <v>-496.20000000000073</v>
      </c>
      <c r="H142" s="99">
        <f>G142+'29'!H142</f>
        <v>-12.869999999998981</v>
      </c>
      <c r="I142" s="140"/>
      <c r="J142" s="348">
        <f>H142/DAY(B2)</f>
        <v>-0.42899999999996602</v>
      </c>
    </row>
    <row r="143" spans="1:15" ht="30.75" customHeight="1">
      <c r="A143" s="792" t="s">
        <v>91</v>
      </c>
      <c r="B143" s="792"/>
      <c r="C143" s="792"/>
      <c r="D143" s="151" t="s">
        <v>183</v>
      </c>
      <c r="E143" s="95">
        <f>'29'!F143</f>
        <v>2174.31</v>
      </c>
      <c r="F143" s="149">
        <v>1355</v>
      </c>
      <c r="G143" s="112">
        <f t="shared" si="11"/>
        <v>-819.31</v>
      </c>
      <c r="H143" s="99">
        <f>G143+'29'!H143</f>
        <v>-28.180000000000064</v>
      </c>
      <c r="I143" s="140"/>
      <c r="J143" s="348">
        <f>H143/DAY(B2)</f>
        <v>-0.93933333333333546</v>
      </c>
    </row>
    <row r="144" spans="1:15" ht="30.75" customHeight="1">
      <c r="A144" s="771" t="s">
        <v>90</v>
      </c>
      <c r="B144" s="771"/>
      <c r="C144" s="771"/>
      <c r="D144" s="151" t="s">
        <v>183</v>
      </c>
      <c r="E144" s="95">
        <f>'29'!F144</f>
        <v>862161</v>
      </c>
      <c r="F144" s="149">
        <v>855168</v>
      </c>
      <c r="G144" s="112">
        <f t="shared" si="11"/>
        <v>-6993</v>
      </c>
      <c r="H144" s="99">
        <f>G144+'29'!H144</f>
        <v>-201</v>
      </c>
      <c r="I144" s="140"/>
      <c r="J144" s="348">
        <f>H144/DAY(B2)</f>
        <v>-6.7</v>
      </c>
    </row>
    <row r="145" spans="1:10" ht="30.75" customHeight="1">
      <c r="A145" s="792" t="s">
        <v>190</v>
      </c>
      <c r="B145" s="792"/>
      <c r="C145" s="792"/>
      <c r="D145" s="152" t="s">
        <v>183</v>
      </c>
      <c r="E145" s="95">
        <f>'29'!F145</f>
        <v>3381.94</v>
      </c>
      <c r="F145" s="149">
        <v>2180</v>
      </c>
      <c r="G145" s="112">
        <f t="shared" si="11"/>
        <v>-1201.94</v>
      </c>
      <c r="H145" s="99">
        <f>G145+'29'!H145</f>
        <v>-33</v>
      </c>
      <c r="I145" s="140"/>
      <c r="J145" s="348">
        <f>H145/DAY(B2)</f>
        <v>-1.1000000000000001</v>
      </c>
    </row>
    <row r="146" spans="1:10" ht="30.75" customHeight="1">
      <c r="A146" s="827" t="s">
        <v>191</v>
      </c>
      <c r="B146" s="812"/>
      <c r="C146" s="813"/>
      <c r="D146" s="152" t="s">
        <v>183</v>
      </c>
      <c r="E146" s="95">
        <f>'29'!F146</f>
        <v>710479</v>
      </c>
      <c r="F146" s="148">
        <v>698121</v>
      </c>
      <c r="G146" s="112">
        <f t="shared" si="11"/>
        <v>-12358</v>
      </c>
      <c r="H146" s="99">
        <f>G146+'29'!H146</f>
        <v>-398</v>
      </c>
      <c r="I146" s="140"/>
      <c r="J146" s="348">
        <f>H146/DAY(B2)</f>
        <v>-13.266666666666667</v>
      </c>
    </row>
    <row r="147" spans="1:10" ht="30.75" customHeight="1">
      <c r="A147" s="771" t="s">
        <v>192</v>
      </c>
      <c r="B147" s="771"/>
      <c r="C147" s="771"/>
      <c r="D147" s="152" t="s">
        <v>183</v>
      </c>
      <c r="E147" s="95">
        <f>'29'!F147</f>
        <v>601565.6</v>
      </c>
      <c r="F147" s="148">
        <v>588504</v>
      </c>
      <c r="G147" s="112">
        <f t="shared" si="11"/>
        <v>-13061.599999999977</v>
      </c>
      <c r="H147" s="99">
        <f>G147+'29'!H147</f>
        <v>-406.92000000004191</v>
      </c>
      <c r="I147" s="140"/>
      <c r="J147" s="348">
        <f>H147/DAY(B2)</f>
        <v>-13.564000000001396</v>
      </c>
    </row>
    <row r="148" spans="1:10" ht="30.75" customHeight="1">
      <c r="A148" s="772" t="s">
        <v>193</v>
      </c>
      <c r="B148" s="773"/>
      <c r="C148" s="774"/>
      <c r="D148" s="123" t="s">
        <v>130</v>
      </c>
      <c r="E148" s="95">
        <f>'29'!F148</f>
        <v>673580.8</v>
      </c>
      <c r="F148" s="150">
        <v>664857</v>
      </c>
      <c r="G148" s="112">
        <f t="shared" si="11"/>
        <v>-8723.8000000000466</v>
      </c>
      <c r="H148" s="99">
        <f>G148+'29'!H148</f>
        <v>-251.11999999999534</v>
      </c>
      <c r="I148" s="124"/>
      <c r="J148" s="348">
        <f>H148/DAY(B2)</f>
        <v>-8.3706666666665122</v>
      </c>
    </row>
    <row r="149" spans="1:10" ht="30.75" customHeight="1">
      <c r="A149" s="772" t="s">
        <v>336</v>
      </c>
      <c r="B149" s="773"/>
      <c r="C149" s="774"/>
      <c r="D149" s="227" t="s">
        <v>130</v>
      </c>
      <c r="E149" s="95">
        <f>'29'!F149</f>
        <v>94708</v>
      </c>
      <c r="F149" s="146">
        <v>84406</v>
      </c>
      <c r="G149" s="112">
        <f t="shared" si="11"/>
        <v>-10302</v>
      </c>
      <c r="H149" s="99">
        <f>G149+'29'!H149</f>
        <v>-341</v>
      </c>
      <c r="I149" s="119"/>
      <c r="J149" s="348">
        <f>H149/DAY(B2)</f>
        <v>-11.366666666666667</v>
      </c>
    </row>
    <row r="150" spans="1:10" ht="30.75" customHeight="1">
      <c r="A150" s="772" t="s">
        <v>337</v>
      </c>
      <c r="B150" s="773"/>
      <c r="C150" s="774"/>
      <c r="D150" s="117" t="s">
        <v>130</v>
      </c>
      <c r="E150" s="95">
        <f>'29'!F150</f>
        <v>7167232</v>
      </c>
      <c r="F150" s="233">
        <v>7167232</v>
      </c>
      <c r="G150" s="112">
        <f t="shared" si="11"/>
        <v>0</v>
      </c>
      <c r="H150" s="99">
        <f>G150+'29'!H150</f>
        <v>0</v>
      </c>
      <c r="I150" s="119"/>
      <c r="J150" s="348">
        <f>H150/DAY(B2)</f>
        <v>0</v>
      </c>
    </row>
    <row r="151" spans="1:10" ht="30.75" customHeight="1">
      <c r="A151" s="772" t="s">
        <v>338</v>
      </c>
      <c r="B151" s="773"/>
      <c r="C151" s="774"/>
      <c r="D151" s="117" t="s">
        <v>130</v>
      </c>
      <c r="E151" s="95">
        <f>'29'!F151</f>
        <v>70486</v>
      </c>
      <c r="F151" s="233">
        <v>62743</v>
      </c>
      <c r="G151" s="112">
        <f t="shared" si="11"/>
        <v>-7743</v>
      </c>
      <c r="H151" s="99">
        <f>G151+'29'!H151</f>
        <v>-267</v>
      </c>
      <c r="I151" s="119"/>
      <c r="J151" s="348">
        <f>H151/DAY(B2)</f>
        <v>-8.9</v>
      </c>
    </row>
    <row r="152" spans="1:10" ht="30.75" customHeight="1">
      <c r="A152" s="772" t="s">
        <v>339</v>
      </c>
      <c r="B152" s="773"/>
      <c r="C152" s="774"/>
      <c r="D152" s="117" t="s">
        <v>130</v>
      </c>
      <c r="E152" s="95">
        <f>'29'!F152</f>
        <v>0</v>
      </c>
      <c r="F152" s="233">
        <v>0</v>
      </c>
      <c r="G152" s="112">
        <f t="shared" si="11"/>
        <v>0</v>
      </c>
      <c r="H152" s="99">
        <f>G152+'29'!H152</f>
        <v>0</v>
      </c>
      <c r="I152" s="119"/>
      <c r="J152" s="348">
        <f>H152/DAY(B2)</f>
        <v>0</v>
      </c>
    </row>
    <row r="153" spans="1:10" ht="30.75" customHeight="1">
      <c r="A153" s="775" t="s">
        <v>196</v>
      </c>
      <c r="B153" s="776"/>
      <c r="C153" s="385"/>
      <c r="D153" s="378"/>
      <c r="E153" s="380"/>
      <c r="F153" s="381"/>
      <c r="G153" s="382">
        <f>SUM(G138:G152)</f>
        <v>-69323.020000000019</v>
      </c>
      <c r="H153" s="383"/>
      <c r="I153" s="119">
        <f>G153-(G38+G52)</f>
        <v>-13431.090000000026</v>
      </c>
      <c r="J153" s="386"/>
    </row>
    <row r="154" spans="1:10" ht="30.75" customHeight="1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0.75" customHeight="1">
      <c r="A155" s="771" t="s">
        <v>345</v>
      </c>
      <c r="B155" s="771"/>
      <c r="C155" s="771"/>
      <c r="D155" s="117" t="s">
        <v>130</v>
      </c>
      <c r="E155" s="95">
        <f>'29'!F155</f>
        <v>77505</v>
      </c>
      <c r="F155" s="384">
        <v>77259</v>
      </c>
      <c r="G155" s="112">
        <f t="shared" ref="G155:G156" si="12">F155-E155</f>
        <v>-246</v>
      </c>
      <c r="H155" s="99">
        <f>G155+'29'!H155</f>
        <v>-15.600000000005821</v>
      </c>
      <c r="I155" s="384"/>
      <c r="J155" s="348">
        <f>H155/DAY(B2)</f>
        <v>-0.52000000000019397</v>
      </c>
    </row>
    <row r="156" spans="1:10" ht="30.75" customHeight="1">
      <c r="A156" s="771" t="s">
        <v>347</v>
      </c>
      <c r="B156" s="771"/>
      <c r="C156" s="771"/>
      <c r="D156" s="117" t="s">
        <v>130</v>
      </c>
      <c r="E156" s="95">
        <f>'29'!F156</f>
        <v>0</v>
      </c>
      <c r="F156" s="165">
        <v>0</v>
      </c>
      <c r="G156" s="112">
        <f t="shared" si="12"/>
        <v>0</v>
      </c>
      <c r="H156" s="99">
        <f>G156+'29'!H156</f>
        <v>0</v>
      </c>
      <c r="I156" s="165"/>
      <c r="J156" s="348">
        <f>H156/DAY(B2)</f>
        <v>0</v>
      </c>
    </row>
    <row r="157" spans="1:10" ht="30.75" customHeight="1">
      <c r="A157" s="779"/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30.75" customHeight="1">
      <c r="A158" s="242" t="s">
        <v>92</v>
      </c>
      <c r="B158" s="243"/>
      <c r="C158" s="243"/>
      <c r="D158" s="244" t="s">
        <v>180</v>
      </c>
      <c r="E158" s="95">
        <f>'29'!F158</f>
        <v>470959.88</v>
      </c>
      <c r="F158" s="235">
        <v>469274</v>
      </c>
      <c r="G158" s="238">
        <f t="shared" ref="G158:G162" si="13">F158-E158</f>
        <v>-1685.8800000000047</v>
      </c>
      <c r="H158" s="99">
        <f>G158+'29'!H158</f>
        <v>-255.03999999997905</v>
      </c>
      <c r="I158" s="236"/>
      <c r="J158" s="239">
        <f>H158/DAY(B2)</f>
        <v>-8.5013333333326351</v>
      </c>
    </row>
    <row r="159" spans="1:10" ht="30.75" customHeight="1">
      <c r="A159" s="242" t="s">
        <v>93</v>
      </c>
      <c r="B159" s="243"/>
      <c r="C159" s="243"/>
      <c r="D159" s="244" t="s">
        <v>180</v>
      </c>
      <c r="E159" s="95">
        <f>'29'!F159</f>
        <v>86601.7</v>
      </c>
      <c r="F159" s="235">
        <v>85687</v>
      </c>
      <c r="G159" s="238">
        <f t="shared" si="13"/>
        <v>-914.69999999999709</v>
      </c>
      <c r="H159" s="99">
        <f>G159+'29'!H159</f>
        <v>-18.600000000005821</v>
      </c>
      <c r="I159" s="236"/>
      <c r="J159" s="239">
        <f>H159/DAY(B2)</f>
        <v>-0.62000000000019406</v>
      </c>
    </row>
    <row r="160" spans="1:10" ht="30.75" customHeight="1">
      <c r="A160" s="242" t="s">
        <v>197</v>
      </c>
      <c r="B160" s="243"/>
      <c r="C160" s="243"/>
      <c r="D160" s="244" t="s">
        <v>180</v>
      </c>
      <c r="E160" s="95">
        <f>'29'!F160</f>
        <v>75371.399999999994</v>
      </c>
      <c r="F160" s="235">
        <v>73255</v>
      </c>
      <c r="G160" s="238">
        <f t="shared" si="13"/>
        <v>-2116.3999999999942</v>
      </c>
      <c r="H160" s="99">
        <f>G160+'29'!H160</f>
        <v>-81.899999999994179</v>
      </c>
      <c r="I160" s="236"/>
      <c r="J160" s="239">
        <f>H160/DAY(B2)</f>
        <v>-2.7299999999998059</v>
      </c>
    </row>
    <row r="161" spans="1:10" ht="30.75" customHeight="1">
      <c r="A161" s="242" t="s">
        <v>197</v>
      </c>
      <c r="B161" s="243"/>
      <c r="C161" s="243"/>
      <c r="D161" s="244" t="s">
        <v>180</v>
      </c>
      <c r="E161" s="95">
        <f>'29'!F161</f>
        <v>4092.6</v>
      </c>
      <c r="F161" s="235">
        <v>3973</v>
      </c>
      <c r="G161" s="238">
        <f t="shared" si="13"/>
        <v>-119.59999999999991</v>
      </c>
      <c r="H161" s="99">
        <f>G161+'29'!H161</f>
        <v>-0.5</v>
      </c>
      <c r="I161" s="236"/>
      <c r="J161" s="239">
        <f>H161/DAY(B2)</f>
        <v>-1.6666666666666666E-2</v>
      </c>
    </row>
    <row r="162" spans="1:10" ht="30.75" customHeight="1">
      <c r="A162" s="242" t="s">
        <v>309</v>
      </c>
      <c r="B162" s="243"/>
      <c r="C162" s="243"/>
      <c r="D162" s="244" t="s">
        <v>180</v>
      </c>
      <c r="E162" s="95">
        <f>'29'!F162</f>
        <v>29416.91</v>
      </c>
      <c r="F162" s="235">
        <v>29188</v>
      </c>
      <c r="G162" s="238">
        <f t="shared" si="13"/>
        <v>-228.90999999999985</v>
      </c>
      <c r="H162" s="99">
        <f>G162+'29'!H162</f>
        <v>-10.139999999999418</v>
      </c>
      <c r="I162" s="236"/>
      <c r="J162" s="239">
        <f>H162/DAY(B2)</f>
        <v>-0.33799999999998059</v>
      </c>
    </row>
    <row r="163" spans="1:10" ht="30.75" customHeight="1">
      <c r="A163" s="780"/>
      <c r="B163" s="780"/>
      <c r="C163" s="247"/>
      <c r="D163" s="244" t="s">
        <v>180</v>
      </c>
      <c r="E163" s="95">
        <f>'29'!F163</f>
        <v>0</v>
      </c>
      <c r="F163" s="165"/>
      <c r="G163" s="165"/>
      <c r="H163" s="99">
        <f>G163+'29'!H163</f>
        <v>0</v>
      </c>
      <c r="I163" s="165"/>
      <c r="J163" s="239">
        <f>H163/DAY(B2)</f>
        <v>0</v>
      </c>
    </row>
    <row r="164" spans="1:10" ht="30.75" customHeight="1">
      <c r="A164" s="780"/>
      <c r="B164" s="780"/>
      <c r="C164" s="247"/>
      <c r="D164" s="244" t="s">
        <v>180</v>
      </c>
      <c r="E164" s="95">
        <f>'29'!F164</f>
        <v>0</v>
      </c>
      <c r="F164" s="165"/>
      <c r="G164" s="165"/>
      <c r="H164" s="99">
        <f>G164+'29'!H164</f>
        <v>0</v>
      </c>
      <c r="I164" s="165"/>
      <c r="J164" s="239">
        <f>H164/DAY(B2)</f>
        <v>0</v>
      </c>
    </row>
    <row r="165" spans="1:10" ht="30.75" customHeight="1">
      <c r="A165" s="780"/>
      <c r="B165" s="780"/>
      <c r="C165" s="247"/>
      <c r="D165" s="244" t="s">
        <v>180</v>
      </c>
      <c r="E165" s="95">
        <f>'29'!F165</f>
        <v>0</v>
      </c>
      <c r="F165" s="165"/>
      <c r="G165" s="165"/>
      <c r="H165" s="99">
        <f>G165+'29'!H165</f>
        <v>0</v>
      </c>
      <c r="I165" s="165"/>
      <c r="J165" s="239">
        <f>H165/DAY(B2)</f>
        <v>0</v>
      </c>
    </row>
    <row r="168" spans="1:10" ht="30.75" customHeight="1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30.75" customHeight="1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>
      <c r="A170" s="786" t="s">
        <v>209</v>
      </c>
      <c r="B170" s="787"/>
      <c r="C170" s="353"/>
      <c r="D170" s="228" t="s">
        <v>142</v>
      </c>
      <c r="E170" s="95">
        <f>'29'!F170</f>
        <v>8107</v>
      </c>
      <c r="F170" s="155">
        <v>7998</v>
      </c>
      <c r="G170" s="155">
        <f>F170-E170</f>
        <v>-109</v>
      </c>
      <c r="H170" s="99">
        <f>G170+'29'!H170</f>
        <v>0</v>
      </c>
      <c r="I170" s="155"/>
      <c r="J170" s="178">
        <f>H170/DAY(B2)</f>
        <v>0</v>
      </c>
    </row>
    <row r="171" spans="1:10" ht="30.75" customHeight="1">
      <c r="A171" s="786" t="s">
        <v>75</v>
      </c>
      <c r="B171" s="787"/>
      <c r="C171" s="353"/>
      <c r="D171" s="228" t="s">
        <v>142</v>
      </c>
      <c r="E171" s="95">
        <f>'29'!F171</f>
        <v>37797</v>
      </c>
      <c r="F171" s="157">
        <v>37368</v>
      </c>
      <c r="G171" s="155">
        <f t="shared" ref="G171:G172" si="14">F171-E171</f>
        <v>-429</v>
      </c>
      <c r="H171" s="99">
        <f>G171+'29'!H171</f>
        <v>-15</v>
      </c>
      <c r="I171" s="155"/>
      <c r="J171" s="178">
        <f>H171/DAY(B2)</f>
        <v>-0.5</v>
      </c>
    </row>
    <row r="172" spans="1:10" ht="30.75" customHeight="1">
      <c r="A172" s="786" t="s">
        <v>76</v>
      </c>
      <c r="B172" s="826"/>
      <c r="C172" s="787"/>
      <c r="D172" s="228" t="s">
        <v>142</v>
      </c>
      <c r="E172" s="95">
        <f>'29'!F172</f>
        <v>21127</v>
      </c>
      <c r="F172" s="155">
        <v>20778</v>
      </c>
      <c r="G172" s="155">
        <f t="shared" si="14"/>
        <v>-349</v>
      </c>
      <c r="H172" s="99">
        <f>G172+'29'!H172</f>
        <v>-10</v>
      </c>
      <c r="I172" s="155"/>
      <c r="J172" s="178">
        <f>H172/DAY(B2)</f>
        <v>-0.33333333333333331</v>
      </c>
    </row>
    <row r="173" spans="1:10" ht="30.75" customHeight="1">
      <c r="A173" s="775" t="s">
        <v>196</v>
      </c>
      <c r="B173" s="776"/>
      <c r="C173" s="547"/>
      <c r="D173" s="228" t="s">
        <v>142</v>
      </c>
      <c r="E173" s="95"/>
      <c r="F173" s="155"/>
      <c r="G173" s="155">
        <f>SUM(G170:G172)</f>
        <v>-887</v>
      </c>
      <c r="H173" s="99">
        <f>G173+'29'!H173</f>
        <v>-25</v>
      </c>
      <c r="I173" s="155"/>
      <c r="J173" s="178">
        <f>H173/DAY(B2)</f>
        <v>-0.83333333333333337</v>
      </c>
    </row>
    <row r="174" spans="1:10" ht="30.75" customHeight="1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G174+'29'!H174</f>
        <v>0</v>
      </c>
      <c r="I174" s="155"/>
      <c r="J174" s="178">
        <f>H174/DAY(B2)</f>
        <v>0</v>
      </c>
    </row>
    <row r="175" spans="1:10" ht="30.75" customHeight="1">
      <c r="A175" s="786" t="s">
        <v>210</v>
      </c>
      <c r="B175" s="787"/>
      <c r="C175" s="353"/>
      <c r="D175" s="228" t="s">
        <v>142</v>
      </c>
      <c r="E175" s="95">
        <f>'29'!F175</f>
        <v>77296</v>
      </c>
      <c r="F175" s="155">
        <v>74505</v>
      </c>
      <c r="G175" s="155">
        <f>F175-E175</f>
        <v>-2791</v>
      </c>
      <c r="H175" s="99">
        <f>G175+'29'!H175</f>
        <v>-114</v>
      </c>
      <c r="I175" s="155"/>
      <c r="J175" s="178">
        <f>H175/DAY(B2)</f>
        <v>-3.8</v>
      </c>
    </row>
    <row r="176" spans="1:10" ht="30.75" customHeight="1">
      <c r="A176" s="786" t="s">
        <v>211</v>
      </c>
      <c r="B176" s="787"/>
      <c r="C176" s="353"/>
      <c r="D176" s="228" t="s">
        <v>142</v>
      </c>
      <c r="E176" s="95">
        <f>'29'!F176</f>
        <v>33886</v>
      </c>
      <c r="F176" s="155">
        <v>33886</v>
      </c>
      <c r="G176" s="155">
        <f t="shared" ref="G176:G177" si="15">F176-E176</f>
        <v>0</v>
      </c>
      <c r="H176" s="99">
        <f>G176+'29'!H176</f>
        <v>0</v>
      </c>
      <c r="I176" s="155"/>
      <c r="J176" s="178">
        <f>H176/DAY(B2)</f>
        <v>0</v>
      </c>
    </row>
    <row r="177" spans="1:10" ht="30.75" customHeight="1">
      <c r="A177" s="786" t="s">
        <v>212</v>
      </c>
      <c r="B177" s="787"/>
      <c r="C177" s="353"/>
      <c r="D177" s="228" t="s">
        <v>142</v>
      </c>
      <c r="E177" s="95">
        <f>'29'!F177</f>
        <v>5268</v>
      </c>
      <c r="F177" s="155">
        <v>5040</v>
      </c>
      <c r="G177" s="155">
        <f t="shared" si="15"/>
        <v>-228</v>
      </c>
      <c r="H177" s="99">
        <f>G177+'29'!H177</f>
        <v>2751</v>
      </c>
      <c r="I177" s="155"/>
      <c r="J177" s="178">
        <f>H177/DAY(B2)</f>
        <v>91.7</v>
      </c>
    </row>
    <row r="178" spans="1:10" ht="30.75" customHeight="1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-3019</v>
      </c>
      <c r="H178" s="99">
        <f>G178+'29'!H178</f>
        <v>2637</v>
      </c>
      <c r="I178" s="155"/>
      <c r="J178" s="178">
        <f>H178/DAY(B2)</f>
        <v>87.9</v>
      </c>
    </row>
    <row r="179" spans="1:10" ht="30.75" customHeight="1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G179+'29'!H179</f>
        <v>0</v>
      </c>
      <c r="I179" s="155"/>
      <c r="J179" s="178">
        <f>H179/DAY(B2)</f>
        <v>0</v>
      </c>
    </row>
    <row r="180" spans="1:10" ht="30.75" customHeight="1">
      <c r="A180" s="786" t="s">
        <v>214</v>
      </c>
      <c r="B180" s="787"/>
      <c r="C180" s="354"/>
      <c r="D180" s="228" t="s">
        <v>142</v>
      </c>
      <c r="E180" s="95">
        <f>'29'!F180</f>
        <v>14489</v>
      </c>
      <c r="F180" s="157">
        <v>14009</v>
      </c>
      <c r="G180" s="157">
        <f>F180-E180</f>
        <v>-480</v>
      </c>
      <c r="H180" s="99">
        <f>G180+'29'!H180</f>
        <v>-22</v>
      </c>
      <c r="I180" s="155"/>
      <c r="J180" s="178">
        <f>H180/DAY(B2)</f>
        <v>-0.73333333333333328</v>
      </c>
    </row>
    <row r="181" spans="1:10" ht="30.75" customHeight="1">
      <c r="A181" s="786" t="s">
        <v>215</v>
      </c>
      <c r="B181" s="787"/>
      <c r="C181" s="354"/>
      <c r="D181" s="228" t="s">
        <v>142</v>
      </c>
      <c r="E181" s="95">
        <f>'29'!F181</f>
        <v>10022</v>
      </c>
      <c r="F181" s="157">
        <v>9742</v>
      </c>
      <c r="G181" s="157">
        <f t="shared" ref="G181:G182" si="16">F181-E181</f>
        <v>-280</v>
      </c>
      <c r="H181" s="99">
        <f>G181+'29'!H181</f>
        <v>-12</v>
      </c>
      <c r="I181" s="155"/>
      <c r="J181" s="178">
        <f>H181/DAY(B2)</f>
        <v>-0.4</v>
      </c>
    </row>
    <row r="182" spans="1:10" ht="30.75" customHeight="1">
      <c r="A182" s="786" t="s">
        <v>216</v>
      </c>
      <c r="B182" s="787"/>
      <c r="C182" s="354"/>
      <c r="D182" s="228" t="s">
        <v>142</v>
      </c>
      <c r="E182" s="95">
        <f>'29'!F182</f>
        <v>0</v>
      </c>
      <c r="F182" s="157"/>
      <c r="G182" s="157">
        <f t="shared" si="16"/>
        <v>0</v>
      </c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775" t="s">
        <v>196</v>
      </c>
      <c r="B183" s="776"/>
      <c r="C183" s="546"/>
      <c r="D183" s="228" t="s">
        <v>142</v>
      </c>
      <c r="E183" s="95"/>
      <c r="F183" s="157"/>
      <c r="G183" s="157">
        <f>SUM(G180:G182)</f>
        <v>-760</v>
      </c>
      <c r="H183" s="99">
        <f>G183+'29'!H183</f>
        <v>-34</v>
      </c>
      <c r="I183" s="157"/>
      <c r="J183" s="178">
        <f>H183/DAY(B2)</f>
        <v>-1.1333333333333333</v>
      </c>
    </row>
    <row r="184" spans="1:10" ht="30.75" customHeight="1">
      <c r="A184" s="777" t="s">
        <v>217</v>
      </c>
      <c r="B184" s="778"/>
      <c r="C184" s="353"/>
      <c r="D184" s="228" t="s">
        <v>142</v>
      </c>
      <c r="E184" s="95"/>
      <c r="F184" s="159"/>
      <c r="G184" s="524">
        <f>G62+G19</f>
        <v>-5337</v>
      </c>
      <c r="H184" s="99">
        <f>G184+'29'!H184</f>
        <v>-194</v>
      </c>
      <c r="I184" s="158"/>
      <c r="J184" s="179">
        <f>H184/DAY(B2)</f>
        <v>-6.4666666666666668</v>
      </c>
    </row>
    <row r="185" spans="1:10" ht="30.75" customHeight="1">
      <c r="A185" s="777" t="s">
        <v>218</v>
      </c>
      <c r="B185" s="778"/>
      <c r="C185" s="353"/>
      <c r="D185" s="230" t="s">
        <v>142</v>
      </c>
      <c r="E185" s="95"/>
      <c r="F185" s="159"/>
      <c r="G185" s="524">
        <f>G65+G66+G67+G69+G70</f>
        <v>-5372</v>
      </c>
      <c r="H185" s="99">
        <f>G185+'29'!H185</f>
        <v>-2626</v>
      </c>
      <c r="I185" s="158"/>
      <c r="J185" s="179">
        <f>H185/DAY(B2)</f>
        <v>-87.533333333333331</v>
      </c>
    </row>
    <row r="186" spans="1:10" ht="30.75" customHeight="1">
      <c r="A186" s="777" t="s">
        <v>219</v>
      </c>
      <c r="B186" s="778"/>
      <c r="C186" s="353"/>
      <c r="D186" s="230" t="s">
        <v>142</v>
      </c>
      <c r="E186" s="95"/>
      <c r="F186" s="157"/>
      <c r="G186" s="521">
        <f>G178</f>
        <v>-3019</v>
      </c>
      <c r="H186" s="99">
        <f>G186+'29'!H186</f>
        <v>-1795</v>
      </c>
      <c r="I186" s="158"/>
      <c r="J186" s="179">
        <f>H186/DAY(B2)</f>
        <v>-59.833333333333336</v>
      </c>
    </row>
    <row r="187" spans="1:10" ht="30.75" customHeight="1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57:J157"/>
    <mergeCell ref="A163:B163"/>
    <mergeCell ref="A164:B164"/>
    <mergeCell ref="A146:C146"/>
    <mergeCell ref="A172:C172"/>
    <mergeCell ref="A148:C148"/>
    <mergeCell ref="A149:C149"/>
    <mergeCell ref="A165:B165"/>
    <mergeCell ref="A168:J168"/>
    <mergeCell ref="A169:B169"/>
    <mergeCell ref="A143:C143"/>
    <mergeCell ref="A144:C144"/>
    <mergeCell ref="A145:C145"/>
    <mergeCell ref="A170:B170"/>
    <mergeCell ref="A171:B171"/>
    <mergeCell ref="A147:C147"/>
    <mergeCell ref="A154:J154"/>
    <mergeCell ref="A155:C155"/>
    <mergeCell ref="A156:C156"/>
    <mergeCell ref="A153:B153"/>
    <mergeCell ref="A173:B173"/>
    <mergeCell ref="A174:B174"/>
    <mergeCell ref="A175:B175"/>
    <mergeCell ref="A185:B185"/>
    <mergeCell ref="A186:B186"/>
    <mergeCell ref="A187:B187"/>
    <mergeCell ref="A176:B176"/>
    <mergeCell ref="A177:B177"/>
    <mergeCell ref="A182:B182"/>
    <mergeCell ref="A183:B183"/>
    <mergeCell ref="A184:B184"/>
    <mergeCell ref="A180:B180"/>
    <mergeCell ref="A181:B181"/>
    <mergeCell ref="A178:B178"/>
    <mergeCell ref="A179:B179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17"/>
  <sheetViews>
    <sheetView view="pageBreakPreview" topLeftCell="A121" zoomScale="55" zoomScaleNormal="75" zoomScaleSheetLayoutView="55" workbookViewId="0">
      <selection activeCell="O149" sqref="O14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350</v>
      </c>
      <c r="B2" s="266">
        <v>44500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68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879" t="s">
        <v>129</v>
      </c>
      <c r="B7" s="880"/>
      <c r="C7" s="881"/>
      <c r="D7" s="151" t="s">
        <v>130</v>
      </c>
      <c r="E7" s="95">
        <f>'30'!F7</f>
        <v>401233</v>
      </c>
      <c r="F7" s="95">
        <f>E7+21500</f>
        <v>422733</v>
      </c>
      <c r="G7" s="112">
        <f>F7-E7</f>
        <v>21500</v>
      </c>
      <c r="H7" s="99">
        <f>G7+'30'!H7</f>
        <v>736469.69999999984</v>
      </c>
      <c r="I7" s="113">
        <f>'1'!I7</f>
        <v>12000</v>
      </c>
      <c r="J7" s="175">
        <f>H7/DAY(B2)</f>
        <v>23757.087096774187</v>
      </c>
      <c r="K7" s="172">
        <v>1375467</v>
      </c>
      <c r="L7" s="66"/>
      <c r="N7" s="87">
        <f>F7-'3'!E7</f>
        <v>-307384.67000000004</v>
      </c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'30'!F8</f>
        <v>438320.35</v>
      </c>
      <c r="F8" s="95">
        <f>E8+21500</f>
        <v>459820.35</v>
      </c>
      <c r="G8" s="115">
        <f>F8-E8</f>
        <v>21500</v>
      </c>
      <c r="H8" s="99">
        <f>G8+'30'!H8</f>
        <v>746656.45000000007</v>
      </c>
      <c r="I8" s="116"/>
      <c r="J8" s="175">
        <f>H8/DAY(B2)</f>
        <v>24085.691935483872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882" t="s">
        <v>132</v>
      </c>
      <c r="B9" s="883"/>
      <c r="C9" s="884"/>
      <c r="D9" s="151" t="s">
        <v>130</v>
      </c>
      <c r="E9" s="95">
        <f>'30'!F9</f>
        <v>1727938.9</v>
      </c>
      <c r="F9" s="373">
        <f>E9+21500</f>
        <v>1749438.9</v>
      </c>
      <c r="G9" s="112">
        <f>F9-E9</f>
        <v>21500</v>
      </c>
      <c r="H9" s="99">
        <f>G9+'30'!H9</f>
        <v>488160.39999999991</v>
      </c>
      <c r="I9" s="124">
        <f>I7-J7</f>
        <v>-11757.087096774187</v>
      </c>
      <c r="J9" s="175">
        <f>H9/DAY(B2)</f>
        <v>15747.109677419352</v>
      </c>
      <c r="K9" s="79">
        <f>K8-100</f>
        <v>1715817</v>
      </c>
      <c r="L9" s="66"/>
      <c r="N9" s="87"/>
      <c r="O9" s="71"/>
    </row>
    <row r="10" spans="1:15" ht="21.95" customHeight="1">
      <c r="A10" s="879" t="s">
        <v>133</v>
      </c>
      <c r="B10" s="880"/>
      <c r="C10" s="881"/>
      <c r="D10" s="151" t="s">
        <v>130</v>
      </c>
      <c r="E10" s="95">
        <f>'30'!F10</f>
        <v>419700.03</v>
      </c>
      <c r="F10" s="373">
        <f>E10+21500</f>
        <v>441200.03</v>
      </c>
      <c r="G10" s="112">
        <f t="shared" ref="G10:G12" si="0">F10-E10</f>
        <v>21500</v>
      </c>
      <c r="H10" s="99">
        <f>G10+'30'!H10</f>
        <v>272816.10000000003</v>
      </c>
      <c r="I10" s="286"/>
      <c r="J10" s="175">
        <f>H10/DAY(B2)</f>
        <v>8800.5193548387106</v>
      </c>
      <c r="K10" s="79"/>
      <c r="L10" s="66"/>
      <c r="N10" s="87"/>
      <c r="O10" s="71"/>
    </row>
    <row r="11" spans="1:15" ht="21.95" customHeight="1">
      <c r="A11" s="879" t="s">
        <v>134</v>
      </c>
      <c r="B11" s="880"/>
      <c r="C11" s="881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>
      <c r="A12" s="879" t="s">
        <v>135</v>
      </c>
      <c r="B12" s="880"/>
      <c r="C12" s="881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G13+'30'!H13</f>
        <v>740170.03999999992</v>
      </c>
      <c r="I13" s="120">
        <f>G7-G13</f>
        <v>-21500</v>
      </c>
      <c r="J13" s="175">
        <f>H13/DAY(B2)</f>
        <v>23876.452903225803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14" t="s">
        <v>138</v>
      </c>
      <c r="B15" s="815"/>
      <c r="C15" s="816"/>
      <c r="D15" s="151" t="s">
        <v>139</v>
      </c>
      <c r="E15" s="95">
        <f>'30'!F15</f>
        <v>1814642</v>
      </c>
      <c r="F15" s="123">
        <v>1815666.96</v>
      </c>
      <c r="G15" s="112">
        <f>(F15-E15)</f>
        <v>1024.9599999999627</v>
      </c>
      <c r="H15" s="99">
        <f>G15+'30'!H15</f>
        <v>2736.149999999936</v>
      </c>
      <c r="I15" s="113">
        <f>'1'!I15</f>
        <v>800</v>
      </c>
      <c r="J15" s="175">
        <f>H15/DAY(B2)</f>
        <v>88.262903225804379</v>
      </c>
      <c r="K15" s="79"/>
      <c r="L15" s="66"/>
      <c r="N15" s="87"/>
      <c r="O15" s="71"/>
    </row>
    <row r="16" spans="1:15" ht="21.95" customHeight="1">
      <c r="A16" s="876"/>
      <c r="B16" s="877"/>
      <c r="C16" s="878"/>
      <c r="D16" s="152"/>
      <c r="E16" s="123"/>
      <c r="F16" s="123"/>
      <c r="G16" s="112"/>
      <c r="H16" s="124"/>
      <c r="I16" s="120">
        <f>I15-J15</f>
        <v>711.73709677419561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'30'!F18</f>
        <v>18</v>
      </c>
      <c r="F18" s="122">
        <v>20</v>
      </c>
      <c r="G18" s="119">
        <f>F18*10</f>
        <v>200</v>
      </c>
      <c r="H18" s="99">
        <f>G18+'30'!H18</f>
        <v>6390</v>
      </c>
      <c r="I18" s="113">
        <f>'1'!I18</f>
        <v>65</v>
      </c>
      <c r="J18" s="175">
        <f>H18/DAY(B2)</f>
        <v>206.12903225806451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'30'!F19</f>
        <v>148848</v>
      </c>
      <c r="F19" s="122">
        <v>148917</v>
      </c>
      <c r="G19" s="112">
        <f t="shared" ref="G19" si="1">F19-E19</f>
        <v>69</v>
      </c>
      <c r="H19" s="99">
        <f>G19+'30'!H19</f>
        <v>0</v>
      </c>
      <c r="I19" s="355"/>
      <c r="J19" s="175">
        <f>H19/DAY(B2)</f>
        <v>0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G20+'30'!H20</f>
        <v>6390</v>
      </c>
      <c r="I20" s="356">
        <f>I18-J20</f>
        <v>-141.12903225806451</v>
      </c>
      <c r="J20" s="175">
        <f>H20/DAY(B2)</f>
        <v>206.12903225806451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6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6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G27+'30'!H27</f>
        <v>6719908.0500000007</v>
      </c>
      <c r="I27" s="138"/>
      <c r="J27" s="175">
        <f>H27/DAY(B2)</f>
        <v>216771.22741935487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1024.9599999999627</v>
      </c>
      <c r="F28" s="136">
        <v>52</v>
      </c>
      <c r="G28" s="137">
        <f>E28*F28</f>
        <v>53297.919999998063</v>
      </c>
      <c r="H28" s="99">
        <f>G28+'30'!H28</f>
        <v>142279.79999999655</v>
      </c>
      <c r="I28" s="140"/>
      <c r="J28" s="175">
        <f>H28/DAY(B2)</f>
        <v>4589.6709677418239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69</v>
      </c>
      <c r="F30" s="136">
        <v>146</v>
      </c>
      <c r="G30" s="137">
        <f>E30*F30</f>
        <v>10074</v>
      </c>
      <c r="H30" s="99">
        <f>G30+'30'!H30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G31+'30'!H31</f>
        <v>511200</v>
      </c>
      <c r="I31" s="140"/>
      <c r="J31" s="175">
        <f>H31/DAY(B2)</f>
        <v>16490.322580645163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272871.91999999806</v>
      </c>
      <c r="H32" s="99">
        <f>G32+'30'!H32</f>
        <v>7373387.8499999968</v>
      </c>
      <c r="I32" s="144"/>
      <c r="J32" s="175">
        <f>H32/DAY(B2)</f>
        <v>237851.22096774183</v>
      </c>
      <c r="K32" s="63"/>
      <c r="L32" s="89"/>
      <c r="N32" s="87"/>
      <c r="O32" s="71"/>
    </row>
    <row r="33" spans="1:15" ht="25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'30'!F35</f>
        <v>30543</v>
      </c>
      <c r="F35" s="145">
        <v>32474.67</v>
      </c>
      <c r="G35" s="112">
        <f t="shared" ref="G35:G46" si="3">F35-E35</f>
        <v>1931.6699999999983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'30'!F36</f>
        <v>49255</v>
      </c>
      <c r="F36" s="145">
        <v>49939.67</v>
      </c>
      <c r="G36" s="112">
        <f t="shared" si="3"/>
        <v>684.66999999999825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95">
        <f>'30'!F37</f>
        <v>95459</v>
      </c>
      <c r="F37" s="145">
        <v>97053.83</v>
      </c>
      <c r="G37" s="112">
        <f t="shared" si="3"/>
        <v>1594.8300000000017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'30'!F38</f>
        <v>113385</v>
      </c>
      <c r="F38" s="108">
        <v>115223.03999999999</v>
      </c>
      <c r="G38" s="112">
        <f t="shared" si="3"/>
        <v>1838.0399999999936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'30'!F39</f>
        <v>230393</v>
      </c>
      <c r="F39" s="145">
        <v>233381.05</v>
      </c>
      <c r="G39" s="112">
        <f t="shared" si="3"/>
        <v>2988.0499999999884</v>
      </c>
      <c r="H39" s="99">
        <f>G39+'30'!H39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'30'!F40</f>
        <v>24</v>
      </c>
      <c r="F40" s="145">
        <v>25.37</v>
      </c>
      <c r="G40" s="112">
        <f t="shared" si="3"/>
        <v>1.370000000000001</v>
      </c>
      <c r="H40" s="99">
        <f>G40+'30'!H40</f>
        <v>69</v>
      </c>
      <c r="I40" s="95"/>
      <c r="J40" s="175">
        <f>H40/DAY(B2)</f>
        <v>2.225806451612903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'30'!F41</f>
        <v>581858</v>
      </c>
      <c r="F41" s="145">
        <v>581858.82999999996</v>
      </c>
      <c r="G41" s="112">
        <f t="shared" si="3"/>
        <v>0.82999999995809048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'30'!F42</f>
        <v>270970</v>
      </c>
      <c r="F42" s="145">
        <v>270969.67</v>
      </c>
      <c r="G42" s="112">
        <f t="shared" si="3"/>
        <v>-0.33000000001629815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'30'!F43</f>
        <v>1443481</v>
      </c>
      <c r="F43" s="145">
        <v>1446087.4</v>
      </c>
      <c r="G43" s="112">
        <f t="shared" si="3"/>
        <v>2606.3999999999069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11645.52999999983</v>
      </c>
      <c r="H47" s="99">
        <f>G47+'30'!H47</f>
        <v>69.000000000034561</v>
      </c>
      <c r="I47" s="95"/>
      <c r="J47" s="175">
        <f>H47/DAY(B2)</f>
        <v>2.2258064516140181</v>
      </c>
      <c r="K47" s="79"/>
      <c r="L47" s="66"/>
      <c r="N47" s="87"/>
      <c r="O47" s="71"/>
    </row>
    <row r="48" spans="1:15" ht="29.2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'30'!F49</f>
        <v>171199</v>
      </c>
      <c r="F49" s="145">
        <v>172730.39</v>
      </c>
      <c r="G49" s="112">
        <f t="shared" ref="G49:G58" si="4">F49-E49</f>
        <v>1531.390000000014</v>
      </c>
      <c r="H49" s="99">
        <f>G49+'30'!H49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'30'!F50</f>
        <v>683054</v>
      </c>
      <c r="F50" s="145">
        <v>684362.31</v>
      </c>
      <c r="G50" s="112">
        <f t="shared" si="4"/>
        <v>1308.3100000000559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'30'!F54</f>
        <v>2863</v>
      </c>
      <c r="F54" s="145">
        <v>2867.49</v>
      </c>
      <c r="G54" s="112">
        <f t="shared" si="4"/>
        <v>4.4899999999997817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0</v>
      </c>
      <c r="G55" s="112">
        <f t="shared" si="4"/>
        <v>0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'30'!F56</f>
        <v>38034</v>
      </c>
      <c r="F56" s="145">
        <v>42840.29</v>
      </c>
      <c r="G56" s="112">
        <f t="shared" si="4"/>
        <v>4806.2900000000009</v>
      </c>
      <c r="H56" s="99">
        <f>G56+'30'!H56</f>
        <v>-7.2759576141834259E-12</v>
      </c>
      <c r="I56" s="95"/>
      <c r="J56" s="175">
        <f>H56/DAY(B2)</f>
        <v>-2.3470831013494922E-13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'30'!F58</f>
        <v>78810</v>
      </c>
      <c r="F58" s="145">
        <v>79019.899999999994</v>
      </c>
      <c r="G58" s="112">
        <f t="shared" si="4"/>
        <v>209.89999999999418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7860.3800000000647</v>
      </c>
      <c r="H59" s="99">
        <f>G59+'30'!H59</f>
        <v>-5.6388671509921551E-11</v>
      </c>
      <c r="I59" s="95">
        <f>G7-G60</f>
        <v>1994.0900000001056</v>
      </c>
      <c r="J59" s="175">
        <f>H59/DAY(B2)</f>
        <v>-1.8189894035458565E-12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19505.909999999894</v>
      </c>
      <c r="H60" s="99">
        <f>G60+'30'!H60</f>
        <v>68.999999999978172</v>
      </c>
      <c r="I60" s="95">
        <f>G13-G60</f>
        <v>23494.090000000106</v>
      </c>
      <c r="J60" s="175">
        <f>H60/DAY(B2)</f>
        <v>2.2258064516121991</v>
      </c>
      <c r="K60" s="79"/>
      <c r="L60" s="66"/>
      <c r="N60" s="87"/>
      <c r="O60" s="71"/>
    </row>
    <row r="61" spans="1:15" s="68" customFormat="1" ht="27.75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'30'!F62</f>
        <v>259693</v>
      </c>
      <c r="F62" s="122">
        <v>259818</v>
      </c>
      <c r="G62" s="112">
        <f t="shared" ref="G62:G63" si="5">F62-E62</f>
        <v>125</v>
      </c>
      <c r="H62" s="99">
        <f>G62+'30'!H62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'30'!F63</f>
        <v>206121</v>
      </c>
      <c r="F63" s="122">
        <v>206270</v>
      </c>
      <c r="G63" s="112">
        <f t="shared" si="5"/>
        <v>149</v>
      </c>
      <c r="H63" s="99">
        <f>G63+'30'!H63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95">
        <f>'30'!F64</f>
        <v>0</v>
      </c>
      <c r="F64" s="122"/>
      <c r="G64" s="112">
        <f>G62+G63</f>
        <v>274</v>
      </c>
      <c r="H64" s="99">
        <f>G64+'30'!H64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'30'!F65</f>
        <v>426093</v>
      </c>
      <c r="F65" s="122">
        <v>426205</v>
      </c>
      <c r="G65" s="112">
        <f t="shared" ref="G65:G70" si="6">F65-E65</f>
        <v>112</v>
      </c>
      <c r="H65" s="99">
        <f>G65+'30'!H65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27.75">
      <c r="A66" s="365" t="s">
        <v>202</v>
      </c>
      <c r="B66" s="366"/>
      <c r="C66" s="366"/>
      <c r="D66" s="151" t="s">
        <v>142</v>
      </c>
      <c r="E66" s="95">
        <f>'30'!F66</f>
        <v>105946</v>
      </c>
      <c r="F66" s="122">
        <v>105970</v>
      </c>
      <c r="G66" s="112">
        <f t="shared" si="6"/>
        <v>24</v>
      </c>
      <c r="H66" s="99">
        <f>G66+'30'!H66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27.75">
      <c r="A67" s="365" t="s">
        <v>203</v>
      </c>
      <c r="B67" s="366"/>
      <c r="C67" s="366"/>
      <c r="D67" s="151" t="s">
        <v>142</v>
      </c>
      <c r="E67" s="95">
        <f>'30'!F67</f>
        <v>102139</v>
      </c>
      <c r="F67" s="122">
        <v>102171</v>
      </c>
      <c r="G67" s="112">
        <f t="shared" si="6"/>
        <v>32</v>
      </c>
      <c r="H67" s="99">
        <f>G67+'30'!H67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>
      <c r="A68" s="365" t="s">
        <v>204</v>
      </c>
      <c r="B68" s="366"/>
      <c r="C68" s="366"/>
      <c r="D68" s="151" t="s">
        <v>142</v>
      </c>
      <c r="E68" s="95">
        <f>'30'!F68</f>
        <v>154463</v>
      </c>
      <c r="F68" s="122">
        <v>154496</v>
      </c>
      <c r="G68" s="112">
        <f t="shared" si="6"/>
        <v>33</v>
      </c>
      <c r="H68" s="99">
        <f>G68+'30'!H68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27.75">
      <c r="A69" s="365" t="s">
        <v>205</v>
      </c>
      <c r="B69" s="366"/>
      <c r="C69" s="366"/>
      <c r="D69" s="151" t="s">
        <v>142</v>
      </c>
      <c r="E69" s="95">
        <f>'30'!F69</f>
        <v>9445</v>
      </c>
      <c r="F69" s="122">
        <v>9465</v>
      </c>
      <c r="G69" s="112">
        <f t="shared" si="6"/>
        <v>20</v>
      </c>
      <c r="H69" s="99">
        <f>G69+'30'!H69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27.75">
      <c r="A70" s="365" t="s">
        <v>206</v>
      </c>
      <c r="B70" s="366"/>
      <c r="C70" s="366"/>
      <c r="D70" s="151" t="s">
        <v>142</v>
      </c>
      <c r="E70" s="95">
        <f>'30'!F70</f>
        <v>7191</v>
      </c>
      <c r="F70" s="122">
        <v>7203</v>
      </c>
      <c r="G70" s="112">
        <f t="shared" si="6"/>
        <v>12</v>
      </c>
      <c r="H70" s="99">
        <f>G70+'30'!H70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95">
        <f>'30'!F71</f>
        <v>0</v>
      </c>
      <c r="F71" s="152"/>
      <c r="G71" s="153">
        <f>SUM(G65:G70)</f>
        <v>233</v>
      </c>
      <c r="H71" s="99">
        <f>G71+'30'!H71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27.75">
      <c r="A72" s="810"/>
      <c r="B72" s="79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'30'!F74</f>
        <v>873293</v>
      </c>
      <c r="F74" s="123">
        <v>873585.23100000003</v>
      </c>
      <c r="G74" s="112">
        <f t="shared" ref="G74:G78" si="7">F74-E74</f>
        <v>292.23100000002887</v>
      </c>
      <c r="H74" s="99">
        <f>G74+'30'!H74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'30'!F75</f>
        <v>73583.399999999994</v>
      </c>
      <c r="F75" s="123">
        <v>73583.399999999994</v>
      </c>
      <c r="G75" s="112">
        <f t="shared" si="7"/>
        <v>0</v>
      </c>
      <c r="H75" s="99">
        <f>G75+'30'!H75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'30'!F76</f>
        <v>159897</v>
      </c>
      <c r="F76" s="123">
        <v>159985.5</v>
      </c>
      <c r="G76" s="112">
        <f t="shared" si="7"/>
        <v>88.5</v>
      </c>
      <c r="H76" s="99">
        <f>G76+'30'!H76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'30'!F77</f>
        <v>37453</v>
      </c>
      <c r="F77" s="556">
        <v>37497.5</v>
      </c>
      <c r="G77" s="112">
        <f t="shared" si="7"/>
        <v>44.5</v>
      </c>
      <c r="H77" s="99">
        <f>G77+'30'!H77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'30'!F78</f>
        <v>9328</v>
      </c>
      <c r="F78" s="123">
        <v>9329.4</v>
      </c>
      <c r="G78" s="112">
        <f t="shared" si="7"/>
        <v>1.3999999999996362</v>
      </c>
      <c r="H78" s="99">
        <f>G78+'30'!H78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95">
        <f>'30'!F79</f>
        <v>0</v>
      </c>
      <c r="F79" s="123"/>
      <c r="G79" s="112">
        <f>G15-SUM(G74:G78)</f>
        <v>598.32899999993424</v>
      </c>
      <c r="H79" s="99">
        <f>G79+'30'!H79</f>
        <v>2736.1499999999342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1024.9599999999627</v>
      </c>
      <c r="H80" s="99"/>
      <c r="I80" s="118"/>
      <c r="J80" s="175"/>
      <c r="K80" s="59"/>
      <c r="L80" s="58"/>
      <c r="N80" s="87"/>
      <c r="O80" s="71"/>
    </row>
    <row r="81" spans="1:15" ht="27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65" t="s">
        <v>227</v>
      </c>
      <c r="B82" s="366"/>
      <c r="C82" s="366"/>
      <c r="D82" s="151" t="s">
        <v>228</v>
      </c>
      <c r="E82" s="95">
        <f>'30'!F82</f>
        <v>0</v>
      </c>
      <c r="F82" s="122"/>
      <c r="G82" s="112">
        <f t="shared" ref="G82:G92" si="8">F82-E82</f>
        <v>0</v>
      </c>
      <c r="H82" s="99">
        <f>G82+'30'!H131</f>
        <v>-91.470000000000255</v>
      </c>
      <c r="I82" s="118"/>
      <c r="J82" s="175">
        <f>H82/DAY(B2)</f>
        <v>-2.9506451612903306</v>
      </c>
      <c r="O82" s="71"/>
    </row>
    <row r="83" spans="1:15" ht="27.75">
      <c r="A83" s="365" t="s">
        <v>229</v>
      </c>
      <c r="B83" s="366"/>
      <c r="C83" s="366"/>
      <c r="D83" s="151" t="s">
        <v>228</v>
      </c>
      <c r="E83" s="95">
        <f>'30'!F83</f>
        <v>0</v>
      </c>
      <c r="F83" s="122"/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>
      <c r="A84" s="365" t="s">
        <v>230</v>
      </c>
      <c r="B84" s="366"/>
      <c r="C84" s="366"/>
      <c r="D84" s="151" t="s">
        <v>228</v>
      </c>
      <c r="E84" s="95">
        <f>'30'!F84</f>
        <v>41585.56</v>
      </c>
      <c r="F84" s="164">
        <v>41585.56</v>
      </c>
      <c r="G84" s="112">
        <f t="shared" si="8"/>
        <v>0</v>
      </c>
      <c r="H84" s="99">
        <f>G84+'30'!H84</f>
        <v>0</v>
      </c>
      <c r="I84" s="118"/>
      <c r="J84" s="175">
        <f>H84/DAY(B2)</f>
        <v>0</v>
      </c>
      <c r="O84" s="71"/>
    </row>
    <row r="85" spans="1:15" ht="27.75">
      <c r="A85" s="365" t="s">
        <v>231</v>
      </c>
      <c r="B85" s="366"/>
      <c r="C85" s="366"/>
      <c r="D85" s="151" t="s">
        <v>228</v>
      </c>
      <c r="E85" s="95">
        <f>'30'!F85</f>
        <v>1305</v>
      </c>
      <c r="F85" s="164">
        <v>1305</v>
      </c>
      <c r="G85" s="112">
        <f t="shared" si="8"/>
        <v>0</v>
      </c>
      <c r="H85" s="99">
        <f>G85+'30'!H85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>
      <c r="A86" s="365" t="s">
        <v>232</v>
      </c>
      <c r="B86" s="366"/>
      <c r="C86" s="366"/>
      <c r="D86" s="151" t="s">
        <v>228</v>
      </c>
      <c r="E86" s="95">
        <f>'30'!F86</f>
        <v>42826</v>
      </c>
      <c r="F86" s="164">
        <v>42826</v>
      </c>
      <c r="G86" s="112">
        <f t="shared" si="8"/>
        <v>0</v>
      </c>
      <c r="H86" s="99">
        <f>G86+'30'!H86</f>
        <v>0</v>
      </c>
      <c r="I86" s="118"/>
      <c r="J86" s="175">
        <f>H86/DAY(B2)</f>
        <v>0</v>
      </c>
      <c r="O86" s="71"/>
    </row>
    <row r="87" spans="1:15" ht="27.75">
      <c r="A87" s="365" t="s">
        <v>233</v>
      </c>
      <c r="B87" s="366"/>
      <c r="C87" s="366"/>
      <c r="D87" s="151" t="s">
        <v>228</v>
      </c>
      <c r="E87" s="95">
        <f>'30'!F87</f>
        <v>33724</v>
      </c>
      <c r="F87" s="164">
        <v>33748</v>
      </c>
      <c r="G87" s="112">
        <f t="shared" si="8"/>
        <v>24</v>
      </c>
      <c r="H87" s="99">
        <f>G87+'30'!H87</f>
        <v>0</v>
      </c>
      <c r="I87" s="118"/>
      <c r="J87" s="175">
        <f>H87/DAY(B2)</f>
        <v>0</v>
      </c>
      <c r="O87" s="71"/>
    </row>
    <row r="88" spans="1:15" ht="27.75">
      <c r="A88" s="365" t="s">
        <v>234</v>
      </c>
      <c r="B88" s="366"/>
      <c r="C88" s="366"/>
      <c r="D88" s="151" t="s">
        <v>228</v>
      </c>
      <c r="E88" s="95">
        <f>'30'!F88</f>
        <v>23825</v>
      </c>
      <c r="F88" s="164">
        <v>23833.57</v>
      </c>
      <c r="G88" s="112">
        <f t="shared" si="8"/>
        <v>8.569999999999709</v>
      </c>
      <c r="H88" s="99">
        <f>G88+'30'!H88</f>
        <v>0</v>
      </c>
      <c r="I88" s="118">
        <f>G86+G87+G88</f>
        <v>32.569999999999709</v>
      </c>
      <c r="J88" s="175">
        <f>H88/DAY(B2)</f>
        <v>0</v>
      </c>
      <c r="O88" s="71"/>
    </row>
    <row r="89" spans="1:15" ht="27.75">
      <c r="A89" s="365" t="s">
        <v>235</v>
      </c>
      <c r="B89" s="366"/>
      <c r="C89" s="366"/>
      <c r="D89" s="151" t="s">
        <v>228</v>
      </c>
      <c r="E89" s="95">
        <f>'30'!F89</f>
        <v>25245</v>
      </c>
      <c r="F89" s="164">
        <v>25245.38</v>
      </c>
      <c r="G89" s="112">
        <f t="shared" si="8"/>
        <v>0.38000000000101863</v>
      </c>
      <c r="H89" s="99">
        <f>G89+'30'!H89</f>
        <v>0</v>
      </c>
      <c r="I89" s="118"/>
      <c r="J89" s="175">
        <f>H89/DAY(B2)</f>
        <v>0</v>
      </c>
      <c r="O89" s="71"/>
    </row>
    <row r="90" spans="1:15" ht="27.75">
      <c r="A90" s="365" t="s">
        <v>236</v>
      </c>
      <c r="B90" s="366"/>
      <c r="C90" s="366"/>
      <c r="D90" s="151" t="s">
        <v>228</v>
      </c>
      <c r="E90" s="95">
        <f>'30'!F90</f>
        <v>70646</v>
      </c>
      <c r="F90" s="164">
        <v>70655.41</v>
      </c>
      <c r="G90" s="112">
        <f>F90-E90</f>
        <v>9.4100000000034925</v>
      </c>
      <c r="H90" s="99">
        <f>G90+'30'!H90</f>
        <v>-131.1299999999901</v>
      </c>
      <c r="I90" s="118">
        <f>G89+G90</f>
        <v>9.7900000000045111</v>
      </c>
      <c r="J90" s="175">
        <f>H90/DAY(B2)</f>
        <v>-4.2299999999996807</v>
      </c>
      <c r="O90" s="71"/>
    </row>
    <row r="91" spans="1:15" ht="27.75">
      <c r="A91" s="365" t="s">
        <v>237</v>
      </c>
      <c r="B91" s="366"/>
      <c r="C91" s="366"/>
      <c r="D91" s="151" t="s">
        <v>228</v>
      </c>
      <c r="E91" s="95">
        <f>'30'!F91</f>
        <v>3226</v>
      </c>
      <c r="F91" s="122">
        <v>3226.32</v>
      </c>
      <c r="G91" s="112">
        <f t="shared" si="8"/>
        <v>0.32000000000016371</v>
      </c>
      <c r="H91" s="99">
        <f>G91+'30'!H91</f>
        <v>0</v>
      </c>
      <c r="I91" s="165"/>
      <c r="J91" s="175">
        <f>H91/DAY(B2)</f>
        <v>0</v>
      </c>
      <c r="O91" s="71"/>
    </row>
    <row r="92" spans="1:15" ht="27.75">
      <c r="A92" s="365" t="s">
        <v>238</v>
      </c>
      <c r="B92" s="366"/>
      <c r="C92" s="366"/>
      <c r="D92" s="151" t="s">
        <v>228</v>
      </c>
      <c r="E92" s="95">
        <f>'30'!F92</f>
        <v>4782</v>
      </c>
      <c r="F92" s="122">
        <v>4791.82</v>
      </c>
      <c r="G92" s="112">
        <f t="shared" si="8"/>
        <v>9.819999999999709</v>
      </c>
      <c r="H92" s="99">
        <f>G92+'30'!H92</f>
        <v>0</v>
      </c>
      <c r="I92" s="165"/>
      <c r="J92" s="175">
        <f>H92/DAY(B2)</f>
        <v>0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6069.4599999999191</v>
      </c>
      <c r="H94" s="99">
        <f>G94+'30'!H94</f>
        <v>-4.3655745685100555E-11</v>
      </c>
      <c r="I94" s="118"/>
      <c r="J94" s="175">
        <f>H94/DAY(B2)</f>
        <v>-1.4082498608096953E-12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0.28230046511627532</v>
      </c>
      <c r="H95" s="99">
        <f>G95+'30'!H95</f>
        <v>-0.8277739274417375</v>
      </c>
      <c r="I95" s="167"/>
      <c r="J95" s="175">
        <f>H95/DAY(B2)</f>
        <v>-2.6702384756185079E-2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4806.7899999999427</v>
      </c>
      <c r="H96" s="99">
        <f>G96+'30'!H96</f>
        <v>-7.2759576141834259E-12</v>
      </c>
      <c r="I96" s="118"/>
      <c r="J96" s="175">
        <f>H96/DAY(B2)</f>
        <v>-2.3470831013494922E-13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0.22357162790697407</v>
      </c>
      <c r="H97" s="99">
        <f>G97+'30'!H97</f>
        <v>-1.0053904510143088</v>
      </c>
      <c r="I97" s="167"/>
      <c r="J97" s="175">
        <f>H97/DAY(B2)</f>
        <v>-3.2431950032719641E-2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2988.0499999999884</v>
      </c>
      <c r="H98" s="99">
        <f>G98+'30'!H98</f>
        <v>0</v>
      </c>
      <c r="I98" s="168"/>
      <c r="J98" s="175">
        <f>H98/DAY(B2)</f>
        <v>0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0.13897906976744132</v>
      </c>
      <c r="H99" s="99">
        <f>G99+'30'!H99</f>
        <v>-0.37572027250502216</v>
      </c>
      <c r="I99" s="168"/>
      <c r="J99" s="175">
        <f>H99/DAY(B2)</f>
        <v>-1.2120008790484586E-2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1838.0399999999936</v>
      </c>
      <c r="H100" s="99">
        <f>G100+'30'!H100</f>
        <v>0</v>
      </c>
      <c r="I100" s="118"/>
      <c r="J100" s="175">
        <f>H100/DAY(B2)</f>
        <v>0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8.5490232558139242E-2</v>
      </c>
      <c r="H101" s="99">
        <f>G101+'30'!H101</f>
        <v>-0.24003753565570007</v>
      </c>
      <c r="I101" s="168"/>
      <c r="J101" s="175">
        <f>H101/DAY(B2)</f>
        <v>-7.7431463114741956E-3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1992.9800000000541</v>
      </c>
      <c r="H102" s="99">
        <f>G102+'30'!H102</f>
        <v>0</v>
      </c>
      <c r="I102" s="168"/>
      <c r="J102" s="175">
        <f>H102/DAY(B2)</f>
        <v>0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9.2696744186049035E-2</v>
      </c>
      <c r="H103" s="99">
        <f>G103+'30'!H103</f>
        <v>-0.32954026512937096</v>
      </c>
      <c r="I103" s="118"/>
      <c r="J103" s="175">
        <f>H103/DAY(B2)</f>
        <v>-1.0630331133205514E-2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1594.8300000000017</v>
      </c>
      <c r="H104" s="99">
        <f>G104+'30'!H104</f>
        <v>0</v>
      </c>
      <c r="I104" s="118"/>
      <c r="J104" s="175">
        <f>H104/DAY(B2)</f>
        <v>0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7.4178139534883808E-2</v>
      </c>
      <c r="H105" s="99">
        <f>G105+'30'!H105</f>
        <v>-0.20652618923260771</v>
      </c>
      <c r="I105" s="187"/>
      <c r="J105" s="188">
        <f>H105/DAY(B2)</f>
        <v>-6.6621351365357328E-3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7.75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7.75">
      <c r="A112" s="793" t="s">
        <v>252</v>
      </c>
      <c r="B112" s="794"/>
      <c r="C112" s="795"/>
      <c r="D112" s="146" t="s">
        <v>183</v>
      </c>
      <c r="E112" s="95">
        <f>'30'!F112</f>
        <v>50805</v>
      </c>
      <c r="F112" s="237">
        <v>50889.08</v>
      </c>
      <c r="G112" s="112">
        <f t="shared" ref="G112:G123" si="9">F112-E112</f>
        <v>84.080000000001746</v>
      </c>
      <c r="H112" s="99">
        <f>G112+'30'!H112</f>
        <v>0</v>
      </c>
      <c r="I112" s="165"/>
      <c r="J112" s="348">
        <f>H112/DAY(B2)</f>
        <v>0</v>
      </c>
    </row>
    <row r="113" spans="1:18" ht="27.75">
      <c r="A113" s="793" t="s">
        <v>253</v>
      </c>
      <c r="B113" s="794"/>
      <c r="C113" s="795"/>
      <c r="D113" s="146" t="s">
        <v>183</v>
      </c>
      <c r="E113" s="95">
        <f>'30'!F113</f>
        <v>4039</v>
      </c>
      <c r="F113" s="237">
        <v>4505.6499999999996</v>
      </c>
      <c r="G113" s="112">
        <f t="shared" si="9"/>
        <v>466.64999999999964</v>
      </c>
      <c r="H113" s="99">
        <f>G113+'30'!H113</f>
        <v>0</v>
      </c>
      <c r="I113" s="165"/>
      <c r="J113" s="348">
        <f>H113/DAY(B2)</f>
        <v>0</v>
      </c>
    </row>
    <row r="114" spans="1:18" ht="27.75">
      <c r="A114" s="793" t="s">
        <v>254</v>
      </c>
      <c r="B114" s="794"/>
      <c r="C114" s="795"/>
      <c r="D114" s="146" t="s">
        <v>183</v>
      </c>
      <c r="E114" s="95">
        <f>'30'!F114</f>
        <v>4197</v>
      </c>
      <c r="F114" s="237">
        <v>4577.93</v>
      </c>
      <c r="G114" s="112">
        <f t="shared" si="9"/>
        <v>380.93000000000029</v>
      </c>
      <c r="H114" s="99">
        <f>G114+'30'!H114</f>
        <v>771.81999999999971</v>
      </c>
      <c r="I114" s="165"/>
      <c r="J114" s="348">
        <f>H114/DAY(B2)</f>
        <v>24.8974193548387</v>
      </c>
    </row>
    <row r="115" spans="1:18" ht="27.75">
      <c r="A115" s="793" t="s">
        <v>255</v>
      </c>
      <c r="B115" s="794"/>
      <c r="C115" s="795"/>
      <c r="D115" s="146" t="s">
        <v>183</v>
      </c>
      <c r="E115" s="95">
        <f>'30'!F115</f>
        <v>8067</v>
      </c>
      <c r="F115" s="237">
        <v>8077.41</v>
      </c>
      <c r="G115" s="112">
        <f t="shared" si="9"/>
        <v>10.409999999999854</v>
      </c>
      <c r="H115" s="99">
        <f>G115+'30'!H115</f>
        <v>0</v>
      </c>
      <c r="I115" s="165"/>
      <c r="J115" s="348">
        <f>H115/DAY(B2)</f>
        <v>0</v>
      </c>
    </row>
    <row r="116" spans="1:18" ht="27.75">
      <c r="A116" s="800" t="s">
        <v>96</v>
      </c>
      <c r="B116" s="801"/>
      <c r="C116" s="802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65"/>
      <c r="J116" s="348">
        <f>H116/DAY(B2)</f>
        <v>0</v>
      </c>
      <c r="Q116" s="793" t="s">
        <v>311</v>
      </c>
      <c r="R116" s="795"/>
    </row>
    <row r="117" spans="1:18" ht="27.75">
      <c r="A117" s="800" t="s">
        <v>184</v>
      </c>
      <c r="B117" s="801"/>
      <c r="C117" s="802"/>
      <c r="D117" s="146" t="s">
        <v>183</v>
      </c>
      <c r="E117" s="95">
        <f>'30'!F117</f>
        <v>1093</v>
      </c>
      <c r="F117" s="237">
        <v>1158.19</v>
      </c>
      <c r="G117" s="112">
        <f t="shared" si="9"/>
        <v>65.190000000000055</v>
      </c>
      <c r="H117" s="99">
        <f>G117+'30'!H117</f>
        <v>0</v>
      </c>
      <c r="I117" s="165"/>
      <c r="J117" s="348">
        <f>H117/DAY(B2)</f>
        <v>0</v>
      </c>
      <c r="Q117" s="793" t="s">
        <v>312</v>
      </c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95">
        <f>'30'!F118</f>
        <v>218495</v>
      </c>
      <c r="F118" s="237">
        <v>218851.93</v>
      </c>
      <c r="G118" s="112">
        <f t="shared" si="9"/>
        <v>356.92999999999302</v>
      </c>
      <c r="H118" s="99">
        <f>G118+'30'!H118</f>
        <v>0</v>
      </c>
      <c r="I118" s="165"/>
      <c r="J118" s="348">
        <f>H118/DAY(B2)</f>
        <v>0</v>
      </c>
      <c r="Q118" s="793" t="s">
        <v>311</v>
      </c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95">
        <f>'30'!F119</f>
        <v>218359</v>
      </c>
      <c r="F119" s="237">
        <v>218811.11</v>
      </c>
      <c r="G119" s="112">
        <f t="shared" si="9"/>
        <v>452.10999999998603</v>
      </c>
      <c r="H119" s="99">
        <f>G119+'30'!H119</f>
        <v>0</v>
      </c>
      <c r="I119" s="165"/>
      <c r="J119" s="348">
        <f>H119/DAY(B2)</f>
        <v>0</v>
      </c>
    </row>
    <row r="120" spans="1:18" ht="27.75">
      <c r="A120" s="792" t="s">
        <v>99</v>
      </c>
      <c r="B120" s="792"/>
      <c r="C120" s="792"/>
      <c r="D120" s="151" t="s">
        <v>183</v>
      </c>
      <c r="E120" s="95">
        <f>'30'!F120</f>
        <v>3866</v>
      </c>
      <c r="F120" s="237">
        <v>4307.6000000000004</v>
      </c>
      <c r="G120" s="112">
        <f t="shared" si="9"/>
        <v>441.60000000000036</v>
      </c>
      <c r="H120" s="99">
        <f>G120+'30'!H120</f>
        <v>0</v>
      </c>
      <c r="I120" s="165"/>
      <c r="J120" s="348">
        <f>H120/DAY(B2)</f>
        <v>0</v>
      </c>
    </row>
    <row r="121" spans="1:18" ht="27.75">
      <c r="A121" s="792" t="s">
        <v>100</v>
      </c>
      <c r="B121" s="792"/>
      <c r="C121" s="792"/>
      <c r="D121" s="151" t="s">
        <v>183</v>
      </c>
      <c r="E121" s="95">
        <f>'30'!F121</f>
        <v>330537</v>
      </c>
      <c r="F121" s="237">
        <v>331237.51</v>
      </c>
      <c r="G121" s="112">
        <f t="shared" si="9"/>
        <v>700.51000000000931</v>
      </c>
      <c r="H121" s="99">
        <f>G121+'30'!H121</f>
        <v>0</v>
      </c>
      <c r="I121" s="165"/>
      <c r="J121" s="348">
        <f>H121/DAY(B2)</f>
        <v>0</v>
      </c>
    </row>
    <row r="122" spans="1:18" ht="27.75">
      <c r="A122" s="792" t="s">
        <v>101</v>
      </c>
      <c r="B122" s="792"/>
      <c r="C122" s="792"/>
      <c r="D122" s="151" t="s">
        <v>183</v>
      </c>
      <c r="E122" s="95">
        <f>'30'!F122</f>
        <v>101300</v>
      </c>
      <c r="F122" s="237">
        <v>101608.88</v>
      </c>
      <c r="G122" s="112">
        <f t="shared" si="9"/>
        <v>308.88000000000466</v>
      </c>
      <c r="H122" s="99">
        <f>G122+'30'!H122</f>
        <v>0</v>
      </c>
      <c r="I122" s="165"/>
      <c r="J122" s="348">
        <f>H122/DAY(B2)</f>
        <v>0</v>
      </c>
    </row>
    <row r="123" spans="1:18" ht="27.75">
      <c r="A123" s="792" t="s">
        <v>348</v>
      </c>
      <c r="B123" s="792"/>
      <c r="C123" s="792"/>
      <c r="D123" s="151" t="s">
        <v>183</v>
      </c>
      <c r="E123" s="95">
        <f>'30'!F123</f>
        <v>125443</v>
      </c>
      <c r="F123" s="237">
        <v>125747.76</v>
      </c>
      <c r="G123" s="112">
        <f t="shared" si="9"/>
        <v>304.75999999999476</v>
      </c>
      <c r="H123" s="99">
        <f>G123+'30'!H123</f>
        <v>0</v>
      </c>
      <c r="I123" s="165"/>
      <c r="J123" s="348">
        <f>H123/DAY(B2)</f>
        <v>0</v>
      </c>
    </row>
    <row r="124" spans="1:18" ht="27.75">
      <c r="A124" s="797"/>
      <c r="B124" s="798"/>
      <c r="C124" s="799"/>
      <c r="D124" s="165"/>
      <c r="E124" s="95">
        <f>'30'!F124</f>
        <v>0</v>
      </c>
      <c r="F124" s="165"/>
      <c r="G124" s="347"/>
      <c r="H124" s="99">
        <f>G124+'30'!H124</f>
        <v>0</v>
      </c>
      <c r="I124" s="165"/>
      <c r="J124" s="347"/>
    </row>
    <row r="125" spans="1:18" ht="27.75">
      <c r="A125" s="775" t="s">
        <v>196</v>
      </c>
      <c r="B125" s="875"/>
      <c r="C125" s="776"/>
      <c r="D125" s="317"/>
      <c r="E125" s="318"/>
      <c r="F125" s="318"/>
      <c r="G125" s="319">
        <f>SUM(G112:G124)</f>
        <v>3572.0499999999897</v>
      </c>
      <c r="H125" s="156"/>
      <c r="I125" s="347">
        <f>G125-(G39+G53)</f>
        <v>584.00000000000136</v>
      </c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G127+'30'!H127</f>
        <v>0</v>
      </c>
      <c r="I127" s="165"/>
      <c r="J127" s="348">
        <f>H127/DAY(B2)</f>
        <v>0</v>
      </c>
    </row>
    <row r="128" spans="1:18" ht="27.75">
      <c r="A128" s="793" t="s">
        <v>318</v>
      </c>
      <c r="B128" s="794"/>
      <c r="C128" s="795"/>
      <c r="D128" s="151" t="s">
        <v>183</v>
      </c>
      <c r="E128" s="95">
        <f>'30'!F128</f>
        <v>17703</v>
      </c>
      <c r="F128" s="165">
        <v>18023.72</v>
      </c>
      <c r="G128" s="112">
        <f t="shared" ref="G128:G134" si="10">F128-E128</f>
        <v>320.72000000000116</v>
      </c>
      <c r="H128" s="99">
        <f>G128+'30'!H128</f>
        <v>0</v>
      </c>
      <c r="I128" s="165"/>
      <c r="J128" s="348">
        <f>H128/DAY(B2)</f>
        <v>0</v>
      </c>
    </row>
    <row r="129" spans="1:15" ht="27.75">
      <c r="A129" s="349" t="s">
        <v>319</v>
      </c>
      <c r="B129" s="350"/>
      <c r="C129" s="351"/>
      <c r="D129" s="151" t="s">
        <v>183</v>
      </c>
      <c r="E129" s="95">
        <f>'30'!F129</f>
        <v>6411</v>
      </c>
      <c r="F129" s="165">
        <v>6595.71</v>
      </c>
      <c r="G129" s="112">
        <f t="shared" si="10"/>
        <v>184.71000000000004</v>
      </c>
      <c r="H129" s="99">
        <f>G129+'30'!H129</f>
        <v>0</v>
      </c>
      <c r="I129" s="165"/>
      <c r="J129" s="348">
        <f>H129/DAY(B2)</f>
        <v>0</v>
      </c>
      <c r="N129" s="240"/>
      <c r="O129" s="241"/>
    </row>
    <row r="130" spans="1:15" ht="27.75">
      <c r="A130" s="349" t="s">
        <v>320</v>
      </c>
      <c r="B130" s="350"/>
      <c r="C130" s="351"/>
      <c r="D130" s="151" t="s">
        <v>183</v>
      </c>
      <c r="E130" s="95">
        <f>'30'!F130</f>
        <v>23889</v>
      </c>
      <c r="F130" s="165">
        <v>26468.03</v>
      </c>
      <c r="G130" s="112">
        <f t="shared" si="10"/>
        <v>2579.0299999999988</v>
      </c>
      <c r="H130" s="99">
        <f>G130+'30'!H130</f>
        <v>79937.710000000006</v>
      </c>
      <c r="I130" s="165"/>
      <c r="J130" s="348">
        <f>H130/DAY(B2)</f>
        <v>2578.635806451613</v>
      </c>
      <c r="N130" s="240"/>
      <c r="O130" s="241"/>
    </row>
    <row r="131" spans="1:15" ht="27.75">
      <c r="A131" s="793" t="s">
        <v>321</v>
      </c>
      <c r="B131" s="794"/>
      <c r="C131" s="795"/>
      <c r="D131" s="151" t="s">
        <v>183</v>
      </c>
      <c r="E131" s="95">
        <f>'30'!F131</f>
        <v>4055</v>
      </c>
      <c r="F131" s="165">
        <v>4146.47</v>
      </c>
      <c r="G131" s="112">
        <f t="shared" si="10"/>
        <v>91.470000000000255</v>
      </c>
      <c r="H131" s="99">
        <f>G131+'30'!H131</f>
        <v>0</v>
      </c>
      <c r="I131" s="165"/>
      <c r="J131" s="348">
        <f>H131/DAY(B2)</f>
        <v>0</v>
      </c>
      <c r="N131" s="240"/>
      <c r="O131" s="241"/>
    </row>
    <row r="132" spans="1:15" ht="27.75">
      <c r="A132" s="793" t="s">
        <v>322</v>
      </c>
      <c r="B132" s="794"/>
      <c r="C132" s="795"/>
      <c r="D132" s="151" t="s">
        <v>183</v>
      </c>
      <c r="E132" s="95">
        <f>'30'!F132</f>
        <v>11099</v>
      </c>
      <c r="F132" s="165">
        <v>11537.72</v>
      </c>
      <c r="G132" s="112">
        <f t="shared" si="10"/>
        <v>438.71999999999935</v>
      </c>
      <c r="H132" s="99">
        <f>G132+'30'!H132</f>
        <v>0</v>
      </c>
      <c r="I132" s="165"/>
      <c r="J132" s="348">
        <f>H132/DAY(B2)</f>
        <v>0</v>
      </c>
    </row>
    <row r="133" spans="1:15" ht="27.75">
      <c r="A133" s="793" t="s">
        <v>323</v>
      </c>
      <c r="B133" s="794"/>
      <c r="C133" s="795"/>
      <c r="D133" s="151" t="s">
        <v>183</v>
      </c>
      <c r="E133" s="95">
        <f>'30'!F133</f>
        <v>40088</v>
      </c>
      <c r="F133" s="165">
        <v>40849.29</v>
      </c>
      <c r="G133" s="112">
        <f t="shared" si="10"/>
        <v>761.29000000000087</v>
      </c>
      <c r="H133" s="99">
        <f>G133+'30'!H133</f>
        <v>0</v>
      </c>
      <c r="I133" s="165"/>
      <c r="J133" s="348">
        <f>H133/DAY(B2)</f>
        <v>0</v>
      </c>
    </row>
    <row r="134" spans="1:15" ht="27.75">
      <c r="A134" s="793" t="s">
        <v>340</v>
      </c>
      <c r="B134" s="794"/>
      <c r="C134" s="795"/>
      <c r="D134" s="151" t="s">
        <v>183</v>
      </c>
      <c r="E134" s="95">
        <f>'30'!F134</f>
        <v>631591</v>
      </c>
      <c r="F134" s="165">
        <v>632231</v>
      </c>
      <c r="G134" s="112">
        <f t="shared" si="10"/>
        <v>640</v>
      </c>
      <c r="H134" s="99">
        <f>G134+'30'!H134</f>
        <v>-33</v>
      </c>
      <c r="I134" s="165"/>
      <c r="J134" s="348">
        <f>H134/DAY(B2)</f>
        <v>-1.064516129032258</v>
      </c>
    </row>
    <row r="135" spans="1:15" ht="27.75">
      <c r="A135" s="775" t="s">
        <v>196</v>
      </c>
      <c r="B135" s="875"/>
      <c r="C135" s="776"/>
      <c r="D135" s="151"/>
      <c r="E135" s="95"/>
      <c r="F135" s="165"/>
      <c r="G135" s="112">
        <f>SUM(G128:G134)</f>
        <v>5015.9400000000005</v>
      </c>
      <c r="H135" s="99">
        <f>G135+'23'!H135</f>
        <v>58102.990000000005</v>
      </c>
      <c r="I135" s="347">
        <f>G135-(G35+G49)</f>
        <v>1552.8799999999883</v>
      </c>
      <c r="J135" s="348"/>
    </row>
    <row r="136" spans="1:15" ht="31.5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'30'!F138</f>
        <v>859583</v>
      </c>
      <c r="F138" s="147">
        <v>859647</v>
      </c>
      <c r="G138" s="112">
        <f t="shared" ref="G138:G152" si="11">F138-E138</f>
        <v>64</v>
      </c>
      <c r="H138" s="99">
        <f>G138+'30'!H138</f>
        <v>0</v>
      </c>
      <c r="I138" s="118"/>
      <c r="J138" s="348">
        <f>H138/DAY(B2)</f>
        <v>0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'30'!F139</f>
        <v>886100</v>
      </c>
      <c r="F139" s="148">
        <v>886102</v>
      </c>
      <c r="G139" s="112">
        <f t="shared" si="11"/>
        <v>2</v>
      </c>
      <c r="H139" s="99">
        <f>G139+'30'!H139</f>
        <v>0</v>
      </c>
      <c r="I139" s="118"/>
      <c r="J139" s="348">
        <f>H139/DAY(B2)</f>
        <v>0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'30'!F140</f>
        <v>88809</v>
      </c>
      <c r="F140" s="149">
        <v>88817</v>
      </c>
      <c r="G140" s="112">
        <f t="shared" si="11"/>
        <v>8</v>
      </c>
      <c r="H140" s="99">
        <f>G140+'30'!H140</f>
        <v>0</v>
      </c>
      <c r="I140" s="118"/>
      <c r="J140" s="348">
        <f>H140/DAY(B2)</f>
        <v>0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'30'!F141</f>
        <v>37102</v>
      </c>
      <c r="F141" s="149">
        <v>37287.949999999997</v>
      </c>
      <c r="G141" s="112">
        <f t="shared" si="11"/>
        <v>185.94999999999709</v>
      </c>
      <c r="H141" s="99">
        <f>G141+'30'!H141</f>
        <v>0</v>
      </c>
      <c r="I141" s="118"/>
      <c r="J141" s="348">
        <f>H141/DAY(B2)</f>
        <v>0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'30'!F142</f>
        <v>16949</v>
      </c>
      <c r="F142" s="148">
        <v>16961.87</v>
      </c>
      <c r="G142" s="112">
        <f t="shared" si="11"/>
        <v>12.869999999998981</v>
      </c>
      <c r="H142" s="99">
        <f>G142+'30'!H142</f>
        <v>0</v>
      </c>
      <c r="I142" s="140"/>
      <c r="J142" s="348">
        <f>H142/DAY(B2)</f>
        <v>0</v>
      </c>
    </row>
    <row r="143" spans="1:15" ht="27.75">
      <c r="A143" s="792" t="s">
        <v>91</v>
      </c>
      <c r="B143" s="792"/>
      <c r="C143" s="792"/>
      <c r="D143" s="151" t="s">
        <v>183</v>
      </c>
      <c r="E143" s="95">
        <f>'30'!F143</f>
        <v>1355</v>
      </c>
      <c r="F143" s="149">
        <v>1383.18</v>
      </c>
      <c r="G143" s="112">
        <f t="shared" si="11"/>
        <v>28.180000000000064</v>
      </c>
      <c r="H143" s="99">
        <f>G143+'30'!H143</f>
        <v>0</v>
      </c>
      <c r="I143" s="140"/>
      <c r="J143" s="348">
        <f>H143/DAY(B2)</f>
        <v>0</v>
      </c>
    </row>
    <row r="144" spans="1:15" ht="27.75">
      <c r="A144" s="771" t="s">
        <v>90</v>
      </c>
      <c r="B144" s="771"/>
      <c r="C144" s="771"/>
      <c r="D144" s="151" t="s">
        <v>183</v>
      </c>
      <c r="E144" s="95">
        <f>'30'!F144</f>
        <v>855168</v>
      </c>
      <c r="F144" s="149">
        <v>855369</v>
      </c>
      <c r="G144" s="112">
        <f t="shared" si="11"/>
        <v>201</v>
      </c>
      <c r="H144" s="99">
        <f>G144+'30'!H144</f>
        <v>0</v>
      </c>
      <c r="I144" s="140"/>
      <c r="J144" s="348">
        <f>H144/DAY(B2)</f>
        <v>0</v>
      </c>
    </row>
    <row r="145" spans="1:10" ht="27.75">
      <c r="A145" s="792" t="s">
        <v>190</v>
      </c>
      <c r="B145" s="792"/>
      <c r="C145" s="792"/>
      <c r="D145" s="152" t="s">
        <v>183</v>
      </c>
      <c r="E145" s="95">
        <f>'30'!F145</f>
        <v>2180</v>
      </c>
      <c r="F145" s="149">
        <v>2213</v>
      </c>
      <c r="G145" s="112">
        <f t="shared" si="11"/>
        <v>33</v>
      </c>
      <c r="H145" s="99">
        <f>G145+'30'!H145</f>
        <v>0</v>
      </c>
      <c r="I145" s="140"/>
      <c r="J145" s="348">
        <f>H145/DAY(B2)</f>
        <v>0</v>
      </c>
    </row>
    <row r="146" spans="1:10" ht="27.75">
      <c r="A146" s="827" t="s">
        <v>191</v>
      </c>
      <c r="B146" s="812"/>
      <c r="C146" s="813"/>
      <c r="D146" s="152" t="s">
        <v>183</v>
      </c>
      <c r="E146" s="95">
        <f>'30'!F146</f>
        <v>698121</v>
      </c>
      <c r="F146" s="148">
        <v>698519</v>
      </c>
      <c r="G146" s="112">
        <f t="shared" si="11"/>
        <v>398</v>
      </c>
      <c r="H146" s="99">
        <f>G146+'30'!H146</f>
        <v>0</v>
      </c>
      <c r="I146" s="140"/>
      <c r="J146" s="348">
        <f>H146/DAY(B2)</f>
        <v>0</v>
      </c>
    </row>
    <row r="147" spans="1:10" ht="27.75">
      <c r="A147" s="771" t="s">
        <v>192</v>
      </c>
      <c r="B147" s="771"/>
      <c r="C147" s="771"/>
      <c r="D147" s="152" t="s">
        <v>183</v>
      </c>
      <c r="E147" s="95">
        <f>'30'!F147</f>
        <v>588504</v>
      </c>
      <c r="F147" s="148">
        <v>588910.92000000004</v>
      </c>
      <c r="G147" s="112">
        <f t="shared" si="11"/>
        <v>406.92000000004191</v>
      </c>
      <c r="H147" s="99">
        <f>G147+'30'!H147</f>
        <v>0</v>
      </c>
      <c r="I147" s="140"/>
      <c r="J147" s="348">
        <f>H147/DAY(B2)</f>
        <v>0</v>
      </c>
    </row>
    <row r="148" spans="1:10" ht="27.75">
      <c r="A148" s="772" t="s">
        <v>193</v>
      </c>
      <c r="B148" s="773"/>
      <c r="C148" s="774"/>
      <c r="D148" s="123" t="s">
        <v>130</v>
      </c>
      <c r="E148" s="95">
        <f>'30'!F148</f>
        <v>664857</v>
      </c>
      <c r="F148" s="150">
        <v>665108.12</v>
      </c>
      <c r="G148" s="112">
        <f t="shared" si="11"/>
        <v>251.11999999999534</v>
      </c>
      <c r="H148" s="99">
        <f>G148+'30'!H148</f>
        <v>0</v>
      </c>
      <c r="I148" s="124"/>
      <c r="J148" s="348">
        <f>H148/DAY(B2)</f>
        <v>0</v>
      </c>
    </row>
    <row r="149" spans="1:10" ht="27.75">
      <c r="A149" s="772" t="s">
        <v>336</v>
      </c>
      <c r="B149" s="773"/>
      <c r="C149" s="774"/>
      <c r="D149" s="227" t="s">
        <v>130</v>
      </c>
      <c r="E149" s="95">
        <f>'30'!F149</f>
        <v>84406</v>
      </c>
      <c r="F149" s="146">
        <v>84747</v>
      </c>
      <c r="G149" s="112">
        <f t="shared" si="11"/>
        <v>341</v>
      </c>
      <c r="H149" s="99">
        <f>G149+'30'!H149</f>
        <v>0</v>
      </c>
      <c r="I149" s="119"/>
      <c r="J149" s="348">
        <f>H149/DAY(B2)</f>
        <v>0</v>
      </c>
    </row>
    <row r="150" spans="1:10" ht="27.75">
      <c r="A150" s="772" t="s">
        <v>337</v>
      </c>
      <c r="B150" s="773"/>
      <c r="C150" s="774"/>
      <c r="D150" s="117" t="s">
        <v>130</v>
      </c>
      <c r="E150" s="95">
        <f>'30'!F150</f>
        <v>7167232</v>
      </c>
      <c r="F150" s="233">
        <v>7167232</v>
      </c>
      <c r="G150" s="112">
        <f t="shared" si="11"/>
        <v>0</v>
      </c>
      <c r="H150" s="99">
        <f>G150+'30'!H150</f>
        <v>0</v>
      </c>
      <c r="I150" s="119"/>
      <c r="J150" s="348">
        <f>H150/DAY(B2)</f>
        <v>0</v>
      </c>
    </row>
    <row r="151" spans="1:10" ht="27.75">
      <c r="A151" s="772" t="s">
        <v>338</v>
      </c>
      <c r="B151" s="773"/>
      <c r="C151" s="774"/>
      <c r="D151" s="117" t="s">
        <v>130</v>
      </c>
      <c r="E151" s="95">
        <f>'30'!F151</f>
        <v>62743</v>
      </c>
      <c r="F151" s="233">
        <v>63010</v>
      </c>
      <c r="G151" s="112">
        <f t="shared" si="11"/>
        <v>267</v>
      </c>
      <c r="H151" s="99">
        <f>G151+'30'!H151</f>
        <v>0</v>
      </c>
      <c r="I151" s="119"/>
      <c r="J151" s="348">
        <f>H151/DAY(B2)</f>
        <v>0</v>
      </c>
    </row>
    <row r="152" spans="1:10" ht="27.75">
      <c r="A152" s="772" t="s">
        <v>339</v>
      </c>
      <c r="B152" s="773"/>
      <c r="C152" s="774"/>
      <c r="D152" s="117" t="s">
        <v>130</v>
      </c>
      <c r="E152" s="95">
        <f>'30'!F152</f>
        <v>0</v>
      </c>
      <c r="F152" s="233"/>
      <c r="G152" s="112">
        <f t="shared" si="11"/>
        <v>0</v>
      </c>
      <c r="H152" s="99">
        <f>G152+'30'!H152</f>
        <v>0</v>
      </c>
      <c r="I152" s="119"/>
      <c r="J152" s="348">
        <f>H152/DAY(B2)</f>
        <v>0</v>
      </c>
    </row>
    <row r="153" spans="1:10" ht="27.75">
      <c r="A153" s="775" t="s">
        <v>196</v>
      </c>
      <c r="B153" s="875"/>
      <c r="C153" s="776"/>
      <c r="D153" s="378"/>
      <c r="E153" s="380"/>
      <c r="F153" s="381"/>
      <c r="G153" s="382">
        <f>SUM(G138:G152)</f>
        <v>2199.0400000000336</v>
      </c>
      <c r="H153" s="383"/>
      <c r="I153" s="119">
        <f>G153-(G38+G52)</f>
        <v>361.00000000004002</v>
      </c>
      <c r="J153" s="386"/>
    </row>
    <row r="154" spans="1:10" ht="31.5">
      <c r="A154" s="779" t="s">
        <v>344</v>
      </c>
      <c r="B154" s="779"/>
      <c r="C154" s="779"/>
      <c r="D154" s="779"/>
      <c r="E154" s="779"/>
      <c r="F154" s="779"/>
      <c r="G154" s="779"/>
      <c r="H154" s="779"/>
      <c r="I154" s="779"/>
      <c r="J154" s="779"/>
    </row>
    <row r="155" spans="1:10" ht="31.5">
      <c r="A155" s="771" t="s">
        <v>345</v>
      </c>
      <c r="B155" s="771"/>
      <c r="C155" s="771"/>
      <c r="D155" s="117" t="s">
        <v>130</v>
      </c>
      <c r="E155" s="95">
        <f>'30'!F155</f>
        <v>77259</v>
      </c>
      <c r="F155" s="384">
        <v>77266.7</v>
      </c>
      <c r="G155" s="112">
        <f t="shared" ref="G155:G156" si="12">F155-E155</f>
        <v>7.6999999999970896</v>
      </c>
      <c r="H155" s="99">
        <f>G155+'30'!H155</f>
        <v>-7.9000000000087311</v>
      </c>
      <c r="I155" s="384"/>
      <c r="J155" s="348">
        <f>H155/DAY(B2)</f>
        <v>-0.254838709677701</v>
      </c>
    </row>
    <row r="156" spans="1:10" ht="27.75">
      <c r="A156" s="771" t="s">
        <v>347</v>
      </c>
      <c r="B156" s="771"/>
      <c r="C156" s="771"/>
      <c r="D156" s="117" t="s">
        <v>130</v>
      </c>
      <c r="E156" s="95">
        <f>'30'!F156</f>
        <v>0</v>
      </c>
      <c r="F156" s="165">
        <v>0</v>
      </c>
      <c r="G156" s="112">
        <f t="shared" si="12"/>
        <v>0</v>
      </c>
      <c r="H156" s="99">
        <f>G156+'30'!H156</f>
        <v>0</v>
      </c>
      <c r="I156" s="165"/>
      <c r="J156" s="348">
        <f>H156/DAY(B2)</f>
        <v>0</v>
      </c>
    </row>
    <row r="157" spans="1:10" ht="31.5">
      <c r="A157" s="779" t="s">
        <v>326</v>
      </c>
      <c r="B157" s="779"/>
      <c r="C157" s="779"/>
      <c r="D157" s="779"/>
      <c r="E157" s="779"/>
      <c r="F157" s="779"/>
      <c r="G157" s="779"/>
      <c r="H157" s="779"/>
      <c r="I157" s="779"/>
      <c r="J157" s="779"/>
    </row>
    <row r="158" spans="1:10" ht="29.25">
      <c r="A158" s="242" t="s">
        <v>92</v>
      </c>
      <c r="B158" s="243"/>
      <c r="C158" s="243"/>
      <c r="D158" s="244" t="s">
        <v>180</v>
      </c>
      <c r="E158" s="95">
        <f>'30'!F158</f>
        <v>469274</v>
      </c>
      <c r="F158" s="235">
        <v>469529.04</v>
      </c>
      <c r="G158" s="238">
        <f t="shared" ref="G158:G162" si="13">F158-E158</f>
        <v>255.03999999997905</v>
      </c>
      <c r="H158" s="99">
        <f>G158+'30'!H158</f>
        <v>0</v>
      </c>
      <c r="I158" s="236"/>
      <c r="J158" s="239">
        <f>H158/DAY(B2)</f>
        <v>0</v>
      </c>
    </row>
    <row r="159" spans="1:10" ht="29.25">
      <c r="A159" s="242" t="s">
        <v>93</v>
      </c>
      <c r="B159" s="243"/>
      <c r="C159" s="243"/>
      <c r="D159" s="244" t="s">
        <v>180</v>
      </c>
      <c r="E159" s="95">
        <f>'30'!F159</f>
        <v>85687</v>
      </c>
      <c r="F159" s="235">
        <v>85705.600000000006</v>
      </c>
      <c r="G159" s="238">
        <f t="shared" si="13"/>
        <v>18.600000000005821</v>
      </c>
      <c r="H159" s="99">
        <f>G159+'30'!H159</f>
        <v>0</v>
      </c>
      <c r="I159" s="236"/>
      <c r="J159" s="239">
        <f>H159/DAY(B2)</f>
        <v>0</v>
      </c>
    </row>
    <row r="160" spans="1:10" ht="29.25">
      <c r="A160" s="242" t="s">
        <v>197</v>
      </c>
      <c r="B160" s="243"/>
      <c r="C160" s="243"/>
      <c r="D160" s="244" t="s">
        <v>180</v>
      </c>
      <c r="E160" s="95">
        <f>'30'!F160</f>
        <v>73255</v>
      </c>
      <c r="F160" s="235">
        <v>73336.899999999994</v>
      </c>
      <c r="G160" s="238">
        <f t="shared" si="13"/>
        <v>81.899999999994179</v>
      </c>
      <c r="H160" s="99">
        <f>G160+'30'!H160</f>
        <v>0</v>
      </c>
      <c r="I160" s="236"/>
      <c r="J160" s="239">
        <f>H160/DAY(B2)</f>
        <v>0</v>
      </c>
    </row>
    <row r="161" spans="1:10" ht="29.25">
      <c r="A161" s="242" t="s">
        <v>197</v>
      </c>
      <c r="B161" s="243"/>
      <c r="C161" s="243"/>
      <c r="D161" s="244" t="s">
        <v>180</v>
      </c>
      <c r="E161" s="95">
        <f>'30'!F161</f>
        <v>3973</v>
      </c>
      <c r="F161" s="235">
        <v>3973.5</v>
      </c>
      <c r="G161" s="238">
        <f t="shared" si="13"/>
        <v>0.5</v>
      </c>
      <c r="H161" s="99">
        <f>G161+'30'!H161</f>
        <v>0</v>
      </c>
      <c r="I161" s="236"/>
      <c r="J161" s="239">
        <f>H161/DAY(B2)</f>
        <v>0</v>
      </c>
    </row>
    <row r="162" spans="1:10" ht="29.25">
      <c r="A162" s="242" t="s">
        <v>309</v>
      </c>
      <c r="B162" s="243"/>
      <c r="C162" s="243"/>
      <c r="D162" s="244" t="s">
        <v>180</v>
      </c>
      <c r="E162" s="95">
        <f>'30'!F162</f>
        <v>29188</v>
      </c>
      <c r="F162" s="235">
        <v>29198.14</v>
      </c>
      <c r="G162" s="238">
        <f t="shared" si="13"/>
        <v>10.139999999999418</v>
      </c>
      <c r="H162" s="99">
        <f>G162+'30'!H162</f>
        <v>0</v>
      </c>
      <c r="I162" s="236"/>
      <c r="J162" s="239">
        <f>H162/DAY(B2)</f>
        <v>0</v>
      </c>
    </row>
    <row r="163" spans="1:10" ht="29.25">
      <c r="A163" s="780"/>
      <c r="B163" s="780"/>
      <c r="C163" s="247"/>
      <c r="D163" s="244" t="s">
        <v>180</v>
      </c>
      <c r="E163" s="95">
        <f>'30'!F163</f>
        <v>0</v>
      </c>
      <c r="F163" s="165"/>
      <c r="G163" s="165"/>
      <c r="H163" s="99">
        <f>G163+'30'!H163</f>
        <v>0</v>
      </c>
      <c r="I163" s="165"/>
      <c r="J163" s="239">
        <f>H163/DAY(B2)</f>
        <v>0</v>
      </c>
    </row>
    <row r="164" spans="1:10" ht="29.25">
      <c r="A164" s="780"/>
      <c r="B164" s="780"/>
      <c r="C164" s="247"/>
      <c r="D164" s="244" t="s">
        <v>180</v>
      </c>
      <c r="E164" s="95">
        <f>'30'!F164</f>
        <v>0</v>
      </c>
      <c r="F164" s="165"/>
      <c r="G164" s="165"/>
      <c r="H164" s="99">
        <f>G164+'30'!H164</f>
        <v>0</v>
      </c>
      <c r="I164" s="165"/>
      <c r="J164" s="239">
        <f>H164/DAY(B2)</f>
        <v>0</v>
      </c>
    </row>
    <row r="165" spans="1:10" ht="29.25">
      <c r="A165" s="780"/>
      <c r="B165" s="780"/>
      <c r="C165" s="247"/>
      <c r="D165" s="244" t="s">
        <v>180</v>
      </c>
      <c r="E165" s="95">
        <f>'30'!F165</f>
        <v>0</v>
      </c>
      <c r="F165" s="165"/>
      <c r="G165" s="165"/>
      <c r="H165" s="99">
        <f>G165+'30'!H165</f>
        <v>0</v>
      </c>
      <c r="I165" s="165"/>
      <c r="J165" s="239">
        <f>H165/DAY(B2)</f>
        <v>0</v>
      </c>
    </row>
    <row r="166" spans="1:10" ht="29.25"/>
    <row r="167" spans="1:10" ht="29.25"/>
    <row r="168" spans="1:10" ht="31.5">
      <c r="A168" s="781" t="s">
        <v>330</v>
      </c>
      <c r="B168" s="782"/>
      <c r="C168" s="782"/>
      <c r="D168" s="782"/>
      <c r="E168" s="782"/>
      <c r="F168" s="782"/>
      <c r="G168" s="782"/>
      <c r="H168" s="782"/>
      <c r="I168" s="782"/>
      <c r="J168" s="783"/>
    </row>
    <row r="169" spans="1:10" ht="27.75">
      <c r="A169" s="790"/>
      <c r="B169" s="791"/>
      <c r="C169" s="352"/>
      <c r="D169" s="228"/>
      <c r="E169" s="155"/>
      <c r="F169" s="155"/>
      <c r="G169" s="155"/>
      <c r="H169" s="156"/>
      <c r="I169" s="155"/>
      <c r="J169" s="178"/>
    </row>
    <row r="170" spans="1:10" ht="27.75">
      <c r="A170" s="786" t="s">
        <v>209</v>
      </c>
      <c r="B170" s="787"/>
      <c r="C170" s="353"/>
      <c r="D170" s="228" t="s">
        <v>142</v>
      </c>
      <c r="E170" s="95">
        <f>'30'!F170</f>
        <v>7998</v>
      </c>
      <c r="F170" s="155">
        <v>7998</v>
      </c>
      <c r="G170" s="155">
        <f>F170-E170</f>
        <v>0</v>
      </c>
      <c r="H170" s="99">
        <f>G170+'30'!H170</f>
        <v>0</v>
      </c>
      <c r="I170" s="155"/>
      <c r="J170" s="178">
        <f>H170/DAY(B2)</f>
        <v>0</v>
      </c>
    </row>
    <row r="171" spans="1:10" ht="27.75">
      <c r="A171" s="786" t="s">
        <v>75</v>
      </c>
      <c r="B171" s="787"/>
      <c r="C171" s="353"/>
      <c r="D171" s="228" t="s">
        <v>142</v>
      </c>
      <c r="E171" s="95">
        <f>'30'!F171</f>
        <v>37368</v>
      </c>
      <c r="F171" s="157">
        <v>37383</v>
      </c>
      <c r="G171" s="155">
        <f t="shared" ref="G171:G172" si="14">F171-E171</f>
        <v>15</v>
      </c>
      <c r="H171" s="99">
        <f>G171+'30'!H171</f>
        <v>0</v>
      </c>
      <c r="I171" s="155"/>
      <c r="J171" s="178">
        <f>H171/DAY(B2)</f>
        <v>0</v>
      </c>
    </row>
    <row r="172" spans="1:10" ht="27.75">
      <c r="A172" s="786" t="s">
        <v>76</v>
      </c>
      <c r="B172" s="826"/>
      <c r="C172" s="787"/>
      <c r="D172" s="228" t="s">
        <v>142</v>
      </c>
      <c r="E172" s="95">
        <f>'30'!F172</f>
        <v>20778</v>
      </c>
      <c r="F172" s="155">
        <v>20788</v>
      </c>
      <c r="G172" s="155">
        <f t="shared" si="14"/>
        <v>10</v>
      </c>
      <c r="H172" s="99">
        <f>G172+'30'!H172</f>
        <v>0</v>
      </c>
      <c r="I172" s="155"/>
      <c r="J172" s="178">
        <f>H172/DAY(B2)</f>
        <v>0</v>
      </c>
    </row>
    <row r="173" spans="1:10" ht="27.75">
      <c r="A173" s="775" t="s">
        <v>196</v>
      </c>
      <c r="B173" s="875"/>
      <c r="C173" s="776"/>
      <c r="D173" s="228" t="s">
        <v>142</v>
      </c>
      <c r="E173" s="95"/>
      <c r="F173" s="155"/>
      <c r="G173" s="155">
        <f>SUM(G170:G172)</f>
        <v>25</v>
      </c>
      <c r="H173" s="99">
        <f>G173+'30'!H173</f>
        <v>0</v>
      </c>
      <c r="I173" s="155"/>
      <c r="J173" s="178">
        <f>H173/DAY(B2)</f>
        <v>0</v>
      </c>
    </row>
    <row r="174" spans="1:10" ht="27.75">
      <c r="A174" s="786" t="s">
        <v>77</v>
      </c>
      <c r="B174" s="787"/>
      <c r="C174" s="353"/>
      <c r="D174" s="228" t="s">
        <v>142</v>
      </c>
      <c r="E174" s="95"/>
      <c r="F174" s="155"/>
      <c r="G174" s="155"/>
      <c r="H174" s="99">
        <f>G174+'30'!H174</f>
        <v>0</v>
      </c>
      <c r="I174" s="155"/>
      <c r="J174" s="178">
        <f>H174/DAY(B2)</f>
        <v>0</v>
      </c>
    </row>
    <row r="175" spans="1:10" ht="27.75">
      <c r="A175" s="786" t="s">
        <v>210</v>
      </c>
      <c r="B175" s="787"/>
      <c r="C175" s="353"/>
      <c r="D175" s="228" t="s">
        <v>142</v>
      </c>
      <c r="E175" s="95">
        <f>'30'!F175</f>
        <v>74505</v>
      </c>
      <c r="F175" s="155">
        <v>74619</v>
      </c>
      <c r="G175" s="155">
        <f>F175-E175</f>
        <v>114</v>
      </c>
      <c r="H175" s="99">
        <f>G175+'30'!H175</f>
        <v>0</v>
      </c>
      <c r="I175" s="155"/>
      <c r="J175" s="178">
        <f>H175/DAY(B2)</f>
        <v>0</v>
      </c>
    </row>
    <row r="176" spans="1:10" ht="27.75">
      <c r="A176" s="786" t="s">
        <v>211</v>
      </c>
      <c r="B176" s="787"/>
      <c r="C176" s="353"/>
      <c r="D176" s="228" t="s">
        <v>142</v>
      </c>
      <c r="E176" s="95">
        <f>'30'!F176</f>
        <v>33886</v>
      </c>
      <c r="F176" s="155">
        <v>33886</v>
      </c>
      <c r="G176" s="155">
        <f t="shared" ref="G176:G177" si="15">F176-E176</f>
        <v>0</v>
      </c>
      <c r="H176" s="99">
        <f>G176+'30'!H176</f>
        <v>0</v>
      </c>
      <c r="I176" s="155"/>
      <c r="J176" s="178">
        <f>H176/DAY(B2)</f>
        <v>0</v>
      </c>
    </row>
    <row r="177" spans="1:10" ht="27.75">
      <c r="A177" s="786" t="s">
        <v>212</v>
      </c>
      <c r="B177" s="787"/>
      <c r="C177" s="353"/>
      <c r="D177" s="228" t="s">
        <v>142</v>
      </c>
      <c r="E177" s="95">
        <f>'30'!F177</f>
        <v>5040</v>
      </c>
      <c r="F177" s="155">
        <v>5041</v>
      </c>
      <c r="G177" s="155">
        <f t="shared" si="15"/>
        <v>1</v>
      </c>
      <c r="H177" s="99">
        <f>G177+'30'!H177</f>
        <v>2752</v>
      </c>
      <c r="I177" s="155"/>
      <c r="J177" s="178">
        <f>H177/DAY(B2)</f>
        <v>88.774193548387103</v>
      </c>
    </row>
    <row r="178" spans="1:10" ht="27.75">
      <c r="A178" s="788" t="s">
        <v>108</v>
      </c>
      <c r="B178" s="789"/>
      <c r="C178" s="547"/>
      <c r="D178" s="228" t="s">
        <v>142</v>
      </c>
      <c r="E178" s="95"/>
      <c r="F178" s="155"/>
      <c r="G178" s="155">
        <f>SUM(G175:G177)</f>
        <v>115</v>
      </c>
      <c r="H178" s="99">
        <f>G178+'30'!H178</f>
        <v>2752</v>
      </c>
      <c r="I178" s="155"/>
      <c r="J178" s="178">
        <f>H178/DAY(B2)</f>
        <v>88.774193548387103</v>
      </c>
    </row>
    <row r="179" spans="1:10" ht="27.75">
      <c r="A179" s="786" t="s">
        <v>213</v>
      </c>
      <c r="B179" s="787"/>
      <c r="C179" s="353"/>
      <c r="D179" s="228" t="s">
        <v>142</v>
      </c>
      <c r="E179" s="95"/>
      <c r="F179" s="155"/>
      <c r="G179" s="155"/>
      <c r="H179" s="99">
        <f>G179+'30'!H179</f>
        <v>0</v>
      </c>
      <c r="I179" s="155"/>
      <c r="J179" s="178">
        <f>H179/DAY(B2)</f>
        <v>0</v>
      </c>
    </row>
    <row r="180" spans="1:10" ht="27.75">
      <c r="A180" s="786" t="s">
        <v>214</v>
      </c>
      <c r="B180" s="787"/>
      <c r="C180" s="354"/>
      <c r="D180" s="228" t="s">
        <v>142</v>
      </c>
      <c r="E180" s="95">
        <f>'30'!F180</f>
        <v>14009</v>
      </c>
      <c r="F180" s="157">
        <v>14031</v>
      </c>
      <c r="G180" s="157">
        <f>F180-E180</f>
        <v>22</v>
      </c>
      <c r="H180" s="99">
        <f>G180+'30'!H180</f>
        <v>0</v>
      </c>
      <c r="I180" s="155"/>
      <c r="J180" s="178">
        <f>H180/DAY(B2)</f>
        <v>0</v>
      </c>
    </row>
    <row r="181" spans="1:10" ht="27.75">
      <c r="A181" s="786" t="s">
        <v>215</v>
      </c>
      <c r="B181" s="787"/>
      <c r="C181" s="354"/>
      <c r="D181" s="228" t="s">
        <v>142</v>
      </c>
      <c r="E181" s="95">
        <f>'30'!F181</f>
        <v>9742</v>
      </c>
      <c r="F181" s="157">
        <v>9754</v>
      </c>
      <c r="G181" s="157">
        <f t="shared" ref="G181:G182" si="16">F181-E181</f>
        <v>12</v>
      </c>
      <c r="H181" s="99">
        <f>G181+'30'!H181</f>
        <v>0</v>
      </c>
      <c r="I181" s="155"/>
      <c r="J181" s="178">
        <f>H181/DAY(B2)</f>
        <v>0</v>
      </c>
    </row>
    <row r="182" spans="1:10" ht="27.75">
      <c r="A182" s="786" t="s">
        <v>216</v>
      </c>
      <c r="B182" s="787"/>
      <c r="C182" s="354"/>
      <c r="D182" s="228" t="s">
        <v>142</v>
      </c>
      <c r="E182" s="95">
        <f>'30'!F182</f>
        <v>0</v>
      </c>
      <c r="F182" s="157"/>
      <c r="G182" s="157">
        <f t="shared" si="16"/>
        <v>0</v>
      </c>
      <c r="H182" s="99">
        <f>G182+'30'!H182</f>
        <v>0</v>
      </c>
      <c r="I182" s="155"/>
      <c r="J182" s="178">
        <f>H182/DAY(B2)</f>
        <v>0</v>
      </c>
    </row>
    <row r="183" spans="1:10" ht="27.75">
      <c r="A183" s="775" t="s">
        <v>196</v>
      </c>
      <c r="B183" s="776"/>
      <c r="C183" s="546"/>
      <c r="D183" s="228" t="s">
        <v>142</v>
      </c>
      <c r="E183" s="95"/>
      <c r="F183" s="157"/>
      <c r="G183" s="157">
        <f>SUM(G180:G182)</f>
        <v>34</v>
      </c>
      <c r="H183" s="99">
        <f>G183+'30'!H183</f>
        <v>0</v>
      </c>
      <c r="I183" s="157"/>
      <c r="J183" s="178">
        <f>H183/DAY(B2)</f>
        <v>0</v>
      </c>
    </row>
    <row r="184" spans="1:10" ht="27.75">
      <c r="A184" s="777" t="s">
        <v>217</v>
      </c>
      <c r="B184" s="778"/>
      <c r="C184" s="353"/>
      <c r="D184" s="230" t="s">
        <v>142</v>
      </c>
      <c r="E184" s="95">
        <f>'30'!F184</f>
        <v>0</v>
      </c>
      <c r="F184" s="159"/>
      <c r="G184" s="524">
        <f>G62+G19</f>
        <v>194</v>
      </c>
      <c r="H184" s="99">
        <f>G184+'30'!H184</f>
        <v>0</v>
      </c>
      <c r="I184" s="158"/>
      <c r="J184" s="179">
        <f>H184/DAY(B2)</f>
        <v>0</v>
      </c>
    </row>
    <row r="185" spans="1:10" ht="27.75">
      <c r="A185" s="777" t="s">
        <v>218</v>
      </c>
      <c r="B185" s="778"/>
      <c r="C185" s="353"/>
      <c r="D185" s="230" t="s">
        <v>142</v>
      </c>
      <c r="E185" s="95">
        <f>'30'!F185</f>
        <v>0</v>
      </c>
      <c r="F185" s="159"/>
      <c r="G185" s="524">
        <f>G65+G66+G67+G69+G70</f>
        <v>200</v>
      </c>
      <c r="H185" s="99">
        <f>G185+'30'!H185</f>
        <v>-2426</v>
      </c>
      <c r="I185" s="158"/>
      <c r="J185" s="179">
        <f>H185/DAY(B2)</f>
        <v>-78.258064516129039</v>
      </c>
    </row>
    <row r="186" spans="1:10" ht="27.75">
      <c r="A186" s="777" t="s">
        <v>219</v>
      </c>
      <c r="B186" s="778"/>
      <c r="C186" s="353"/>
      <c r="D186" s="230" t="s">
        <v>142</v>
      </c>
      <c r="E186" s="95">
        <f>'30'!F186</f>
        <v>0</v>
      </c>
      <c r="F186" s="157"/>
      <c r="G186" s="521">
        <f>G178</f>
        <v>115</v>
      </c>
      <c r="H186" s="99">
        <f>G186+'30'!H186</f>
        <v>-1680</v>
      </c>
      <c r="I186" s="158"/>
      <c r="J186" s="179">
        <f>H186/DAY(B2)</f>
        <v>-54.193548387096776</v>
      </c>
    </row>
    <row r="187" spans="1:10" ht="27.75">
      <c r="A187" s="784"/>
      <c r="B187" s="785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  <row r="310" ht="29.25"/>
    <row r="311" ht="29.25"/>
    <row r="312" ht="29.25"/>
    <row r="313" ht="29.25"/>
    <row r="314" ht="29.25"/>
    <row r="315" ht="29.25"/>
    <row r="316" ht="29.25"/>
    <row r="317" ht="29.25"/>
  </sheetData>
  <mergeCells count="119">
    <mergeCell ref="A150:C150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45:C145"/>
    <mergeCell ref="A146:C146"/>
    <mergeCell ref="A147:C147"/>
    <mergeCell ref="A148:C148"/>
    <mergeCell ref="A149:C149"/>
    <mergeCell ref="A143:C143"/>
    <mergeCell ref="A81:C81"/>
    <mergeCell ref="A95:C95"/>
    <mergeCell ref="A96:C96"/>
    <mergeCell ref="A93:C93"/>
    <mergeCell ref="A94:C94"/>
    <mergeCell ref="A109:B109"/>
    <mergeCell ref="A138:C138"/>
    <mergeCell ref="A139:C139"/>
    <mergeCell ref="A140:C140"/>
    <mergeCell ref="A141:C141"/>
    <mergeCell ref="A144:C144"/>
    <mergeCell ref="A142:C142"/>
    <mergeCell ref="A120:C120"/>
    <mergeCell ref="A121:C121"/>
    <mergeCell ref="A122:C122"/>
    <mergeCell ref="A131:C131"/>
    <mergeCell ref="A133:C133"/>
    <mergeCell ref="A102:C102"/>
    <mergeCell ref="A163:B163"/>
    <mergeCell ref="A164:B164"/>
    <mergeCell ref="A165:B165"/>
    <mergeCell ref="A65:C65"/>
    <mergeCell ref="A76:C76"/>
    <mergeCell ref="A77:C77"/>
    <mergeCell ref="A79:C79"/>
    <mergeCell ref="A80:C80"/>
    <mergeCell ref="A73:C73"/>
    <mergeCell ref="A74:C74"/>
    <mergeCell ref="A75:C75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136:J136"/>
    <mergeCell ref="A153:C153"/>
    <mergeCell ref="A119:C119"/>
    <mergeCell ref="A134:C134"/>
    <mergeCell ref="A135:C135"/>
    <mergeCell ref="A124:C124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23:C123"/>
    <mergeCell ref="A132:C132"/>
    <mergeCell ref="A125:C125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73:C173"/>
    <mergeCell ref="A154:J154"/>
    <mergeCell ref="A155:C155"/>
    <mergeCell ref="A156:C156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72:C172"/>
    <mergeCell ref="A168:J168"/>
    <mergeCell ref="A169:B169"/>
    <mergeCell ref="A170:B170"/>
    <mergeCell ref="A171:B171"/>
    <mergeCell ref="A157:J157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673"/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</row>
    <row r="2" spans="1:15" ht="28.5" customHeight="1">
      <c r="A2" s="1" t="s">
        <v>0</v>
      </c>
      <c r="B2" s="1" t="s">
        <v>0</v>
      </c>
      <c r="C2" s="268" t="s">
        <v>1</v>
      </c>
      <c r="D2" s="4" t="s">
        <v>4</v>
      </c>
      <c r="E2" s="675" t="s">
        <v>6</v>
      </c>
      <c r="F2" s="675"/>
      <c r="G2" s="675"/>
      <c r="H2" s="681" t="s">
        <v>14</v>
      </c>
      <c r="I2" s="681"/>
      <c r="J2" s="681"/>
      <c r="K2" s="268" t="s">
        <v>15</v>
      </c>
      <c r="L2" s="681" t="s">
        <v>16</v>
      </c>
      <c r="M2" s="681"/>
      <c r="N2" s="681"/>
      <c r="O2" s="268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734972.87</v>
      </c>
      <c r="E4" s="19">
        <f>'1'!G97</f>
        <v>0.25965246222888627</v>
      </c>
      <c r="F4" s="19">
        <f>'1'!F142</f>
        <v>16977.55</v>
      </c>
      <c r="G4" s="21">
        <f>E4*F4</f>
        <v>4408.2626601140282</v>
      </c>
      <c r="H4" s="19">
        <f>'1'!G68</f>
        <v>41</v>
      </c>
      <c r="I4" s="19">
        <f>'1'!G69</f>
        <v>9</v>
      </c>
      <c r="J4" s="19">
        <f>'1'!G70</f>
        <v>7</v>
      </c>
      <c r="K4" s="23">
        <f>H4+I4</f>
        <v>50</v>
      </c>
      <c r="L4" s="19">
        <f>'1'!G71</f>
        <v>207</v>
      </c>
      <c r="M4" s="19">
        <f>'1'!G72</f>
        <v>0</v>
      </c>
      <c r="N4" s="19">
        <v>0</v>
      </c>
      <c r="O4" s="23">
        <f>L4+M4+N4</f>
        <v>207</v>
      </c>
    </row>
    <row r="5" spans="1:15">
      <c r="A5" s="16">
        <v>2</v>
      </c>
      <c r="B5" s="26">
        <v>2</v>
      </c>
      <c r="C5" s="26"/>
      <c r="D5" s="19">
        <f>'2'!F8</f>
        <v>757926.95</v>
      </c>
      <c r="E5" s="19">
        <f>'2'!G96</f>
        <v>6250.2900000000081</v>
      </c>
      <c r="F5" s="19">
        <f>'2'!F123</f>
        <v>126334.94</v>
      </c>
      <c r="G5" s="21">
        <f t="shared" ref="G5:G18" si="0">E5*F5</f>
        <v>789630012.13260102</v>
      </c>
      <c r="H5" s="19">
        <f>'2'!G68</f>
        <v>26</v>
      </c>
      <c r="I5" s="19">
        <f>'2'!G69</f>
        <v>6</v>
      </c>
      <c r="J5" s="19">
        <f>'2'!G70</f>
        <v>10</v>
      </c>
      <c r="K5" s="23">
        <f t="shared" ref="K5:K18" si="1">H5+I5</f>
        <v>32</v>
      </c>
      <c r="L5" s="19">
        <f>'2'!G71</f>
        <v>193</v>
      </c>
      <c r="M5" s="19">
        <f>'2'!G72</f>
        <v>0</v>
      </c>
      <c r="N5" s="19">
        <v>0</v>
      </c>
      <c r="O5" s="23">
        <f t="shared" ref="O5:O18" si="2">L5+M5+N5</f>
        <v>193</v>
      </c>
    </row>
    <row r="6" spans="1:15">
      <c r="A6" s="16">
        <v>3</v>
      </c>
      <c r="B6" s="26">
        <v>3</v>
      </c>
      <c r="C6" s="26"/>
      <c r="D6" s="19">
        <f>'4'!F8</f>
        <v>801248.11</v>
      </c>
      <c r="E6" s="19">
        <f>'3'!G96</f>
        <v>5371.2200000000084</v>
      </c>
      <c r="F6" s="19">
        <f>'3'!F123</f>
        <v>126639.92</v>
      </c>
      <c r="G6" s="21">
        <f t="shared" si="0"/>
        <v>680210871.10240102</v>
      </c>
      <c r="H6" s="19">
        <f>'4'!G68</f>
        <v>40</v>
      </c>
      <c r="I6" s="19">
        <f>'4'!G69</f>
        <v>7</v>
      </c>
      <c r="J6" s="19">
        <f>'4'!G70</f>
        <v>13</v>
      </c>
      <c r="K6" s="23">
        <f t="shared" si="1"/>
        <v>47</v>
      </c>
      <c r="L6" s="19">
        <f>'4'!G71</f>
        <v>179</v>
      </c>
      <c r="M6" s="19">
        <f>'4'!G72</f>
        <v>0</v>
      </c>
      <c r="N6" s="19">
        <v>0</v>
      </c>
      <c r="O6" s="23">
        <f t="shared" si="2"/>
        <v>179</v>
      </c>
    </row>
    <row r="7" spans="1:15">
      <c r="A7" s="16">
        <v>4</v>
      </c>
      <c r="B7" s="27">
        <v>4</v>
      </c>
      <c r="C7" s="27"/>
      <c r="D7" s="19">
        <f>'3'!F8</f>
        <v>780414.7</v>
      </c>
      <c r="E7" s="19">
        <f>'4'!G96</f>
        <v>5066.4999999999927</v>
      </c>
      <c r="F7" s="19">
        <f>'1'!F142</f>
        <v>16977.55</v>
      </c>
      <c r="G7" s="21">
        <f t="shared" si="0"/>
        <v>86016757.074999869</v>
      </c>
      <c r="H7" s="19">
        <f>'3'!G68</f>
        <v>35</v>
      </c>
      <c r="I7" s="19">
        <f>'3'!G69</f>
        <v>30</v>
      </c>
      <c r="J7" s="19">
        <f>'3'!G70</f>
        <v>15</v>
      </c>
      <c r="K7" s="23">
        <f t="shared" si="1"/>
        <v>65</v>
      </c>
      <c r="L7" s="19">
        <f>'3'!G71</f>
        <v>237</v>
      </c>
      <c r="M7" s="19">
        <f>'3'!G72</f>
        <v>0</v>
      </c>
      <c r="N7" s="19">
        <v>0</v>
      </c>
      <c r="O7" s="23">
        <f t="shared" si="2"/>
        <v>237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16977.55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848272.55</v>
      </c>
      <c r="E9" s="19">
        <f>'6'!G96</f>
        <v>5959.0099999999948</v>
      </c>
      <c r="F9" s="19">
        <f>'1'!F142</f>
        <v>16977.55</v>
      </c>
      <c r="G9" s="21">
        <f t="shared" si="0"/>
        <v>101169390.22549991</v>
      </c>
      <c r="H9" s="19">
        <f>'6'!G68</f>
        <v>14</v>
      </c>
      <c r="I9" s="19">
        <f>'6'!G69</f>
        <v>22</v>
      </c>
      <c r="J9" s="19">
        <f>'6'!G70</f>
        <v>17</v>
      </c>
      <c r="K9" s="23">
        <f t="shared" si="1"/>
        <v>36</v>
      </c>
      <c r="L9" s="19">
        <f>'6'!G71</f>
        <v>236</v>
      </c>
      <c r="M9" s="19">
        <f>'6'!G72</f>
        <v>0</v>
      </c>
      <c r="N9" s="19">
        <v>0</v>
      </c>
      <c r="O9" s="23">
        <f t="shared" si="2"/>
        <v>236</v>
      </c>
    </row>
    <row r="10" spans="1:15">
      <c r="A10" s="16">
        <v>7</v>
      </c>
      <c r="B10" s="26">
        <v>7</v>
      </c>
      <c r="C10" s="27"/>
      <c r="D10" s="19">
        <f>'7'!F8</f>
        <v>870223.59</v>
      </c>
      <c r="E10" s="19">
        <f>'7'!G96</f>
        <v>5341.6399999999994</v>
      </c>
      <c r="F10" s="19">
        <f>'1'!F142</f>
        <v>16977.55</v>
      </c>
      <c r="G10" s="21">
        <f t="shared" si="0"/>
        <v>90687960.181999981</v>
      </c>
      <c r="H10" s="19">
        <f>'7'!G68</f>
        <v>25</v>
      </c>
      <c r="I10" s="19">
        <f>'7'!G69</f>
        <v>17</v>
      </c>
      <c r="J10" s="19">
        <f>'7'!G70</f>
        <v>11</v>
      </c>
      <c r="K10" s="23">
        <f t="shared" si="1"/>
        <v>42</v>
      </c>
      <c r="L10" s="19">
        <f>'7'!G71</f>
        <v>207</v>
      </c>
      <c r="M10" s="19">
        <f>'7'!G72</f>
        <v>0</v>
      </c>
      <c r="N10" s="19">
        <v>0</v>
      </c>
      <c r="O10" s="23">
        <f t="shared" si="2"/>
        <v>207</v>
      </c>
    </row>
    <row r="11" spans="1:15">
      <c r="A11" s="16">
        <v>8</v>
      </c>
      <c r="B11" s="26">
        <v>8</v>
      </c>
      <c r="C11" s="18"/>
      <c r="D11" s="19">
        <f>'8'!F8</f>
        <v>892195.83</v>
      </c>
      <c r="E11" s="19">
        <f>'8'!G96</f>
        <v>5181.820000000007</v>
      </c>
      <c r="F11" s="19">
        <f>'1'!F142</f>
        <v>16977.55</v>
      </c>
      <c r="G11" s="21">
        <f t="shared" si="0"/>
        <v>87974608.141000122</v>
      </c>
      <c r="H11" s="19">
        <f>'8'!G68</f>
        <v>30</v>
      </c>
      <c r="I11" s="19">
        <f>'8'!G69</f>
        <v>12</v>
      </c>
      <c r="J11" s="19">
        <f>'8'!G70</f>
        <v>8</v>
      </c>
      <c r="K11" s="23">
        <f t="shared" si="1"/>
        <v>42</v>
      </c>
      <c r="L11" s="19">
        <f>'8'!G71</f>
        <v>202</v>
      </c>
      <c r="M11" s="19">
        <f>'8'!G72</f>
        <v>0</v>
      </c>
      <c r="N11" s="19">
        <v>0</v>
      </c>
      <c r="O11" s="23">
        <f t="shared" si="2"/>
        <v>202</v>
      </c>
    </row>
    <row r="12" spans="1:15">
      <c r="A12" s="16">
        <v>9</v>
      </c>
      <c r="B12" s="27">
        <v>9</v>
      </c>
      <c r="C12" s="26"/>
      <c r="D12" s="19">
        <f>'9'!F8</f>
        <v>914014</v>
      </c>
      <c r="E12" s="19">
        <f>'9'!G96</f>
        <v>5158.5299999999988</v>
      </c>
      <c r="F12" s="19">
        <f>'1'!F142</f>
        <v>16977.55</v>
      </c>
      <c r="G12" s="21">
        <f t="shared" si="0"/>
        <v>87579201.001499981</v>
      </c>
      <c r="H12" s="19">
        <f>'9'!G68</f>
        <v>22</v>
      </c>
      <c r="I12" s="19">
        <f>'9'!G69</f>
        <v>8</v>
      </c>
      <c r="J12" s="19">
        <f>'9'!G70</f>
        <v>9</v>
      </c>
      <c r="K12" s="23">
        <f t="shared" si="1"/>
        <v>30</v>
      </c>
      <c r="L12" s="19">
        <f>'9'!G71</f>
        <v>193</v>
      </c>
      <c r="M12" s="19">
        <f>'9'!G72</f>
        <v>0</v>
      </c>
      <c r="N12" s="19">
        <v>0</v>
      </c>
      <c r="O12" s="23">
        <f t="shared" si="2"/>
        <v>193</v>
      </c>
    </row>
    <row r="13" spans="1:15">
      <c r="A13" s="16">
        <v>10</v>
      </c>
      <c r="B13" s="27">
        <v>10</v>
      </c>
      <c r="C13" s="26"/>
      <c r="D13" s="19">
        <f>'10'!F8</f>
        <v>935024</v>
      </c>
      <c r="E13" s="19">
        <f>'10'!G96</f>
        <v>4843</v>
      </c>
      <c r="F13" s="19">
        <f>'1'!F142</f>
        <v>16977.55</v>
      </c>
      <c r="G13" s="21">
        <f t="shared" si="0"/>
        <v>82222274.649999991</v>
      </c>
      <c r="H13" s="19">
        <f>'10'!G68</f>
        <v>36</v>
      </c>
      <c r="I13" s="19">
        <f>'10'!G69</f>
        <v>11</v>
      </c>
      <c r="J13" s="19">
        <f>'10'!G70</f>
        <v>12</v>
      </c>
      <c r="K13" s="23">
        <f t="shared" si="1"/>
        <v>47</v>
      </c>
      <c r="L13" s="19">
        <f>'10'!G71</f>
        <v>197</v>
      </c>
      <c r="M13" s="19">
        <f>'10'!G72</f>
        <v>0</v>
      </c>
      <c r="N13" s="19">
        <v>0</v>
      </c>
      <c r="O13" s="23">
        <f t="shared" si="2"/>
        <v>197</v>
      </c>
    </row>
    <row r="14" spans="1:15">
      <c r="A14" s="16">
        <v>11</v>
      </c>
      <c r="B14" s="17">
        <v>11</v>
      </c>
      <c r="C14" s="27"/>
      <c r="D14" s="19">
        <f>'11'!F8</f>
        <v>955609</v>
      </c>
      <c r="E14" s="19">
        <f>'11'!G96</f>
        <v>4864</v>
      </c>
      <c r="F14" s="19">
        <f>'1'!F142</f>
        <v>16977.55</v>
      </c>
      <c r="G14" s="21">
        <f t="shared" si="0"/>
        <v>82578803.200000003</v>
      </c>
      <c r="H14" s="19">
        <f>'11'!G68</f>
        <v>38</v>
      </c>
      <c r="I14" s="19">
        <f>'11'!G69</f>
        <v>9</v>
      </c>
      <c r="J14" s="19">
        <f>'11'!G70</f>
        <v>11</v>
      </c>
      <c r="K14" s="23">
        <f t="shared" si="1"/>
        <v>47</v>
      </c>
      <c r="L14" s="19">
        <f>'11'!G71</f>
        <v>194</v>
      </c>
      <c r="M14" s="19">
        <f>'11'!G72</f>
        <v>0</v>
      </c>
      <c r="N14" s="19">
        <v>0</v>
      </c>
      <c r="O14" s="23">
        <f t="shared" si="2"/>
        <v>194</v>
      </c>
    </row>
    <row r="15" spans="1:15">
      <c r="A15" s="16">
        <v>12</v>
      </c>
      <c r="B15" s="26">
        <v>12</v>
      </c>
      <c r="C15" s="27"/>
      <c r="D15" s="19">
        <f>'12'!F8</f>
        <v>978033</v>
      </c>
      <c r="E15" s="19">
        <f>'12'!G96</f>
        <v>5360.2900000000373</v>
      </c>
      <c r="F15" s="19">
        <f>'1'!F142</f>
        <v>16977.55</v>
      </c>
      <c r="G15" s="20">
        <f t="shared" si="0"/>
        <v>91004591.489500627</v>
      </c>
      <c r="H15" s="19">
        <f>'12'!G68</f>
        <v>47</v>
      </c>
      <c r="I15" s="19">
        <f>'12'!G69</f>
        <v>12</v>
      </c>
      <c r="J15" s="19">
        <f>'12'!G70</f>
        <v>18</v>
      </c>
      <c r="K15" s="23">
        <f t="shared" si="1"/>
        <v>59</v>
      </c>
      <c r="L15" s="19">
        <f>'12'!G71</f>
        <v>239</v>
      </c>
      <c r="M15" s="19">
        <f>'12'!G72</f>
        <v>0</v>
      </c>
      <c r="N15" s="19">
        <v>0</v>
      </c>
      <c r="O15" s="23">
        <f t="shared" si="2"/>
        <v>239</v>
      </c>
    </row>
    <row r="16" spans="1:15">
      <c r="A16" s="16">
        <v>13</v>
      </c>
      <c r="B16" s="26">
        <v>13</v>
      </c>
      <c r="C16" s="26"/>
      <c r="D16" s="19">
        <f>'13'!F8</f>
        <v>1002383</v>
      </c>
      <c r="E16" s="19">
        <f>'13'!G96</f>
        <v>6131</v>
      </c>
      <c r="F16" s="19">
        <f>'1'!F142</f>
        <v>16977.55</v>
      </c>
      <c r="G16" s="20">
        <f t="shared" si="0"/>
        <v>104089359.05</v>
      </c>
      <c r="H16" s="19">
        <f>'13'!G68</f>
        <v>41</v>
      </c>
      <c r="I16" s="19">
        <f>'13'!G69</f>
        <v>19</v>
      </c>
      <c r="J16" s="19">
        <f>'13'!G70</f>
        <v>10</v>
      </c>
      <c r="K16" s="23">
        <f t="shared" si="1"/>
        <v>60</v>
      </c>
      <c r="L16" s="19">
        <f>'13'!G71</f>
        <v>233</v>
      </c>
      <c r="M16" s="19">
        <f>'13'!G72</f>
        <v>0</v>
      </c>
      <c r="N16" s="19">
        <v>0</v>
      </c>
      <c r="O16" s="23">
        <f t="shared" si="2"/>
        <v>233</v>
      </c>
    </row>
    <row r="17" spans="1:15">
      <c r="A17" s="16">
        <v>14</v>
      </c>
      <c r="B17" s="17">
        <v>14</v>
      </c>
      <c r="C17" s="27"/>
      <c r="D17" s="19">
        <f>'14'!F8</f>
        <v>1024765</v>
      </c>
      <c r="E17" s="19">
        <f>'14'!G96</f>
        <v>6179</v>
      </c>
      <c r="F17" s="19">
        <f>'1'!F142</f>
        <v>16977.55</v>
      </c>
      <c r="G17" s="20">
        <f t="shared" si="0"/>
        <v>104904281.44999999</v>
      </c>
      <c r="H17" s="19">
        <f>'14'!G68</f>
        <v>23</v>
      </c>
      <c r="I17" s="19">
        <f>'14'!G69</f>
        <v>10</v>
      </c>
      <c r="J17" s="19">
        <f>'14'!G71</f>
        <v>193</v>
      </c>
      <c r="K17" s="23">
        <f t="shared" si="1"/>
        <v>33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1049641.32</v>
      </c>
      <c r="E18" s="19">
        <f>'15'!G96</f>
        <v>7030.5100000000093</v>
      </c>
      <c r="F18" s="19">
        <f>'1'!F142</f>
        <v>16977.55</v>
      </c>
      <c r="G18" s="20">
        <f t="shared" si="0"/>
        <v>119360835.05050015</v>
      </c>
      <c r="H18" s="19">
        <f>'15'!G68</f>
        <v>28</v>
      </c>
      <c r="I18" s="19">
        <f>'15'!G69</f>
        <v>9</v>
      </c>
      <c r="J18" s="19">
        <f>'15'!G71</f>
        <v>202</v>
      </c>
      <c r="K18" s="23">
        <f t="shared" si="1"/>
        <v>37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R262"/>
  <sheetViews>
    <sheetView zoomScale="50" zoomScaleNormal="50" workbookViewId="0">
      <selection sqref="A1:XFD104857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32" t="s">
        <v>115</v>
      </c>
      <c r="B1" s="833"/>
      <c r="C1" s="833"/>
      <c r="D1" s="833"/>
      <c r="E1" s="833"/>
      <c r="F1" s="833"/>
      <c r="G1" s="833"/>
      <c r="H1" s="833"/>
      <c r="I1" s="833"/>
      <c r="J1" s="834"/>
    </row>
    <row r="2" spans="1:15" s="57" customFormat="1" ht="27">
      <c r="A2" s="191" t="s">
        <v>303</v>
      </c>
      <c r="B2" s="266">
        <v>44439</v>
      </c>
      <c r="C2" s="34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4" t="s">
        <v>118</v>
      </c>
      <c r="D3" s="219">
        <v>28</v>
      </c>
      <c r="E3" s="841" t="s">
        <v>119</v>
      </c>
      <c r="F3" s="84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835" t="s">
        <v>128</v>
      </c>
      <c r="B6" s="836"/>
      <c r="C6" s="83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'30'!F7</f>
        <v>401233</v>
      </c>
      <c r="F7" s="95">
        <v>298691</v>
      </c>
      <c r="G7" s="112">
        <f>F7-E7</f>
        <v>-102542</v>
      </c>
      <c r="H7" s="99">
        <f>G7+'30'!H7</f>
        <v>612427.69999999984</v>
      </c>
      <c r="I7" s="113">
        <f>'1'!I7</f>
        <v>12000</v>
      </c>
      <c r="J7" s="175">
        <f>H7/DAY(B2)</f>
        <v>19755.732258064512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'30'!F8</f>
        <v>438320.35</v>
      </c>
      <c r="F8" s="114">
        <v>309572</v>
      </c>
      <c r="G8" s="115">
        <f>F8-E8</f>
        <v>-128748.34999999998</v>
      </c>
      <c r="H8" s="99">
        <f>G8+'30'!H8</f>
        <v>596408.10000000009</v>
      </c>
      <c r="I8" s="116"/>
      <c r="J8" s="175">
        <f>H8/DAY(B2)</f>
        <v>19238.970967741938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v>62756</v>
      </c>
      <c r="F9" s="117">
        <v>82530</v>
      </c>
      <c r="G9" s="112">
        <f>F9-E9</f>
        <v>19774</v>
      </c>
      <c r="H9" s="99">
        <f>G9+'30'!H9</f>
        <v>486434.39999999991</v>
      </c>
      <c r="I9" s="124">
        <f>I7-J7</f>
        <v>-7755.7322580645123</v>
      </c>
      <c r="J9" s="175">
        <f>H9/DAY(B2)</f>
        <v>15691.432258064513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'30'!F10</f>
        <v>419700.03</v>
      </c>
      <c r="F10" s="117">
        <v>2607</v>
      </c>
      <c r="G10" s="112">
        <f t="shared" ref="G10:G12" si="0">F10-E10</f>
        <v>-417093.03</v>
      </c>
      <c r="H10" s="99">
        <f>G10+'30'!H10</f>
        <v>-165776.93</v>
      </c>
      <c r="I10" s="286"/>
      <c r="J10" s="175">
        <f>H10/DAY(B2)</f>
        <v>-5347.6429032258065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'5'!E11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'5'!E12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-397319.03</v>
      </c>
      <c r="H13" s="99">
        <f>G13+'30'!H13</f>
        <v>299851.00999999989</v>
      </c>
      <c r="I13" s="120">
        <f>G7-G13</f>
        <v>294777.03000000003</v>
      </c>
      <c r="J13" s="175">
        <f>H13/DAY(B2)</f>
        <v>9672.6132258064481</v>
      </c>
      <c r="K13" s="79"/>
      <c r="L13" s="66"/>
      <c r="N13" s="87"/>
      <c r="O13" s="71"/>
    </row>
    <row r="14" spans="1:15" ht="29.25">
      <c r="A14" s="838" t="s">
        <v>137</v>
      </c>
      <c r="B14" s="839"/>
      <c r="C14" s="84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2" t="s">
        <v>138</v>
      </c>
      <c r="B15" s="205"/>
      <c r="C15" s="205"/>
      <c r="D15" s="151" t="s">
        <v>139</v>
      </c>
      <c r="E15" s="123">
        <v>1755781</v>
      </c>
      <c r="F15" s="123">
        <v>1756530</v>
      </c>
      <c r="G15" s="112">
        <f>(F15-E15)</f>
        <v>749</v>
      </c>
      <c r="H15" s="99">
        <f>G15+'30'!H15</f>
        <v>2460.1899999999732</v>
      </c>
      <c r="I15" s="113">
        <f>'1'!I15</f>
        <v>800</v>
      </c>
      <c r="J15" s="175">
        <f>H15/DAY(B2)</f>
        <v>79.360967741934616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720.63903225806541</v>
      </c>
      <c r="J16" s="176"/>
      <c r="K16" s="79"/>
      <c r="L16" s="66"/>
      <c r="N16" s="87"/>
      <c r="O16" s="71"/>
    </row>
    <row r="17" spans="1:15" ht="29.25">
      <c r="A17" s="838" t="s">
        <v>140</v>
      </c>
      <c r="B17" s="839"/>
      <c r="C17" s="84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14" t="s">
        <v>141</v>
      </c>
      <c r="B18" s="815"/>
      <c r="C18" s="816"/>
      <c r="D18" s="151" t="s">
        <v>142</v>
      </c>
      <c r="E18" s="95">
        <f>'30'!F18</f>
        <v>18</v>
      </c>
      <c r="F18" s="122">
        <v>14</v>
      </c>
      <c r="G18" s="119">
        <f>F18*10</f>
        <v>140</v>
      </c>
      <c r="H18" s="99">
        <f>G18+'30'!H18</f>
        <v>6330</v>
      </c>
      <c r="I18" s="113">
        <f>'1'!I18</f>
        <v>65</v>
      </c>
      <c r="J18" s="175">
        <f>H18/DAY(B2)</f>
        <v>204.19354838709677</v>
      </c>
      <c r="K18" s="79"/>
      <c r="L18" s="66"/>
      <c r="N18" s="87"/>
      <c r="O18" s="71"/>
    </row>
    <row r="19" spans="1:15" ht="27.75">
      <c r="A19" s="814" t="s">
        <v>69</v>
      </c>
      <c r="B19" s="815"/>
      <c r="C19" s="816"/>
      <c r="D19" s="151" t="s">
        <v>142</v>
      </c>
      <c r="E19" s="95">
        <f>'30'!F19</f>
        <v>148848</v>
      </c>
      <c r="F19" s="122">
        <v>145338</v>
      </c>
      <c r="G19" s="112">
        <f t="shared" ref="G19" si="1">F19-E19</f>
        <v>-3510</v>
      </c>
      <c r="H19" s="99">
        <f>G19+'30'!H19</f>
        <v>-3579</v>
      </c>
      <c r="I19" s="355"/>
      <c r="J19" s="175">
        <f>H19/DAY(B2)</f>
        <v>-115.45161290322581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-3370</v>
      </c>
      <c r="H20" s="99">
        <f>G20+'30'!H20</f>
        <v>2751</v>
      </c>
      <c r="I20" s="356">
        <f>I18-J20</f>
        <v>-23.741935483870961</v>
      </c>
      <c r="J20" s="175">
        <f>H20/DAY(B2)</f>
        <v>88.741935483870961</v>
      </c>
      <c r="K20" s="79"/>
      <c r="L20" s="66"/>
      <c r="N20" s="87"/>
      <c r="O20" s="71"/>
    </row>
    <row r="21" spans="1:15" ht="29.25">
      <c r="A21" s="838" t="s">
        <v>144</v>
      </c>
      <c r="B21" s="839"/>
      <c r="C21" s="84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2" t="s">
        <v>145</v>
      </c>
      <c r="B22" s="205"/>
      <c r="C22" s="205"/>
      <c r="D22" s="151" t="s">
        <v>146</v>
      </c>
      <c r="E22" s="122">
        <f>'30'!F22</f>
        <v>2970</v>
      </c>
      <c r="F22" s="122">
        <v>2970</v>
      </c>
      <c r="G22" s="119">
        <f t="shared" ref="G22" si="2">(F22-E22)</f>
        <v>0</v>
      </c>
      <c r="H22" s="99">
        <f>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2" t="s">
        <v>147</v>
      </c>
      <c r="B23" s="205"/>
      <c r="C23" s="205"/>
      <c r="D23" s="151" t="s">
        <v>146</v>
      </c>
      <c r="E23" s="122">
        <f>'30'!F23</f>
        <v>2000</v>
      </c>
      <c r="F23" s="122">
        <v>2000</v>
      </c>
      <c r="G23" s="119">
        <v>0</v>
      </c>
      <c r="H23" s="99">
        <f>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122">
        <f>'30'!F24</f>
        <v>4970</v>
      </c>
      <c r="F24" s="128">
        <v>4970</v>
      </c>
      <c r="G24" s="119">
        <v>0</v>
      </c>
      <c r="H24" s="99">
        <f>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43" t="s">
        <v>149</v>
      </c>
      <c r="B25" s="844"/>
      <c r="C25" s="84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-128748.34999999998</v>
      </c>
      <c r="F27" s="136">
        <v>9</v>
      </c>
      <c r="G27" s="137">
        <f>E27*F27</f>
        <v>-1158735.1499999999</v>
      </c>
      <c r="H27" s="99">
        <f>G27+'30'!H27</f>
        <v>5367672.9000000004</v>
      </c>
      <c r="I27" s="138"/>
      <c r="J27" s="175">
        <f>H27/DAY(B2)</f>
        <v>173150.73870967742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749</v>
      </c>
      <c r="F28" s="136">
        <v>52</v>
      </c>
      <c r="G28" s="137">
        <f>E28*F28</f>
        <v>38948</v>
      </c>
      <c r="H28" s="99">
        <f>G28+'30'!H28</f>
        <v>127929.87999999849</v>
      </c>
      <c r="I28" s="140"/>
      <c r="J28" s="175">
        <f>H28/DAY(B2)</f>
        <v>4126.7703225805963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-3510</v>
      </c>
      <c r="F30" s="136">
        <v>146</v>
      </c>
      <c r="G30" s="137">
        <f>E30*F30</f>
        <v>-512460</v>
      </c>
      <c r="H30" s="99">
        <f>G30+'30'!H30</f>
        <v>-522534</v>
      </c>
      <c r="I30" s="140"/>
      <c r="J30" s="175">
        <f>H30/DAY(B2)</f>
        <v>-16855.935483870966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506400</v>
      </c>
      <c r="I31" s="140"/>
      <c r="J31" s="175">
        <f>H31/DAY(B2)</f>
        <v>16335.483870967742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-1621047.15</v>
      </c>
      <c r="H32" s="99">
        <f>G32+'30'!H32</f>
        <v>5479468.7799999993</v>
      </c>
      <c r="I32" s="144"/>
      <c r="J32" s="175">
        <f>H32/DAY(B2)</f>
        <v>176757.05741935482</v>
      </c>
      <c r="K32" s="63"/>
      <c r="L32" s="89"/>
      <c r="N32" s="87"/>
      <c r="O32" s="71"/>
    </row>
    <row r="33" spans="1:15" ht="34.5" customHeight="1">
      <c r="A33" s="846" t="s">
        <v>331</v>
      </c>
      <c r="B33" s="847"/>
      <c r="C33" s="84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145">
        <v>1058597</v>
      </c>
      <c r="F35" s="145">
        <v>1058597</v>
      </c>
      <c r="G35" s="112">
        <f t="shared" ref="G35:G46" si="3">F35-E35</f>
        <v>0</v>
      </c>
      <c r="H35" s="99">
        <f>G35+'30'!H35</f>
        <v>-1931.6699999999983</v>
      </c>
      <c r="I35" s="95"/>
      <c r="J35" s="175">
        <f>H35/DAY(B2)</f>
        <v>-62.311935483870911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145">
        <v>1165</v>
      </c>
      <c r="F36" s="145">
        <v>1833</v>
      </c>
      <c r="G36" s="112">
        <f t="shared" si="3"/>
        <v>668</v>
      </c>
      <c r="H36" s="99">
        <f>G36+'30'!H36</f>
        <v>-16.669999999998254</v>
      </c>
      <c r="I36" s="95"/>
      <c r="J36" s="175">
        <f>H36/DAY(B2)</f>
        <v>-0.53774193548381466</v>
      </c>
      <c r="K36" s="79"/>
      <c r="L36" s="66"/>
      <c r="N36" s="87"/>
      <c r="O36" s="364"/>
    </row>
    <row r="37" spans="1:15" ht="29.25">
      <c r="A37" s="194" t="s">
        <v>163</v>
      </c>
      <c r="B37" s="195"/>
      <c r="C37" s="195"/>
      <c r="D37" s="151" t="s">
        <v>130</v>
      </c>
      <c r="E37" s="145">
        <v>1612</v>
      </c>
      <c r="F37" s="145">
        <v>2775</v>
      </c>
      <c r="G37" s="112">
        <f t="shared" si="3"/>
        <v>1163</v>
      </c>
      <c r="H37" s="99">
        <f>G37+'30'!H37</f>
        <v>-431.83000000000175</v>
      </c>
      <c r="I37" s="95"/>
      <c r="J37" s="175">
        <f>H37/DAY(B2)</f>
        <v>-13.930000000000057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108">
        <v>3155</v>
      </c>
      <c r="F38" s="108">
        <v>4823</v>
      </c>
      <c r="G38" s="112">
        <f t="shared" si="3"/>
        <v>1668</v>
      </c>
      <c r="H38" s="99">
        <f>G38+'30'!H38</f>
        <v>-170.0399999999936</v>
      </c>
      <c r="I38" s="95"/>
      <c r="J38" s="175">
        <f>H38/DAY(B2)</f>
        <v>-5.4851612903223739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145">
        <v>634029</v>
      </c>
      <c r="F39" s="145">
        <v>637915</v>
      </c>
      <c r="G39" s="112">
        <f t="shared" si="3"/>
        <v>3886</v>
      </c>
      <c r="H39" s="99">
        <f>G39+'30'!H39</f>
        <v>897.95000000001164</v>
      </c>
      <c r="I39" s="95"/>
      <c r="J39" s="175">
        <f>H39/DAY(B2)</f>
        <v>28.96612903225844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145">
        <v>34221</v>
      </c>
      <c r="F40" s="145">
        <v>34599</v>
      </c>
      <c r="G40" s="112">
        <f t="shared" si="3"/>
        <v>378</v>
      </c>
      <c r="H40" s="99">
        <f>G40+'30'!H40</f>
        <v>445.63</v>
      </c>
      <c r="I40" s="95"/>
      <c r="J40" s="175">
        <f>H40/DAY(B2)</f>
        <v>14.37516129032258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145">
        <v>433281.79</v>
      </c>
      <c r="F41" s="145">
        <v>433281.79</v>
      </c>
      <c r="G41" s="112">
        <f t="shared" si="3"/>
        <v>0</v>
      </c>
      <c r="H41" s="99">
        <f>G41+'30'!H41</f>
        <v>-0.82999999995809048</v>
      </c>
      <c r="I41" s="95"/>
      <c r="J41" s="175">
        <f>H41/DAY(B2)</f>
        <v>-2.6774193547035176E-2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145">
        <v>170507</v>
      </c>
      <c r="F42" s="145">
        <v>175112</v>
      </c>
      <c r="G42" s="112">
        <f t="shared" si="3"/>
        <v>4605</v>
      </c>
      <c r="H42" s="99">
        <f>G42+'30'!H42</f>
        <v>4605.3300000000163</v>
      </c>
      <c r="I42" s="95"/>
      <c r="J42" s="175">
        <f>H42/DAY(B2)</f>
        <v>148.55903225806503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145">
        <v>1287250</v>
      </c>
      <c r="F43" s="145">
        <v>1289745</v>
      </c>
      <c r="G43" s="112">
        <f t="shared" si="3"/>
        <v>2495</v>
      </c>
      <c r="H43" s="99">
        <f>G43+'30'!H43</f>
        <v>-111.39999999990687</v>
      </c>
      <c r="I43" s="95"/>
      <c r="J43" s="175">
        <f>H43/DAY(B2)</f>
        <v>-3.5935483870937701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145">
        <v>614</v>
      </c>
      <c r="F45" s="145">
        <v>614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145">
        <v>187</v>
      </c>
      <c r="F46" s="145">
        <v>187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14863</v>
      </c>
      <c r="H47" s="99">
        <f>G47+'30'!H47</f>
        <v>3286.4700000002049</v>
      </c>
      <c r="I47" s="95"/>
      <c r="J47" s="175">
        <f>H47/DAY(B2)</f>
        <v>106.01516129032919</v>
      </c>
      <c r="K47" s="79"/>
      <c r="L47" s="66"/>
      <c r="N47" s="87"/>
      <c r="O47" s="71"/>
    </row>
    <row r="48" spans="1:15" ht="29.2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'30'!F49</f>
        <v>171199</v>
      </c>
      <c r="F49" s="145">
        <v>419822</v>
      </c>
      <c r="G49" s="112">
        <f t="shared" ref="G49:G58" si="4">F49-E49</f>
        <v>248623</v>
      </c>
      <c r="H49" s="99">
        <f>G49+'30'!H49</f>
        <v>247091.61</v>
      </c>
      <c r="I49" s="95"/>
      <c r="J49" s="175">
        <f>H49/DAY(B2)</f>
        <v>7970.6970967741927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'30'!F50</f>
        <v>683054</v>
      </c>
      <c r="F50" s="145">
        <v>607298</v>
      </c>
      <c r="G50" s="112">
        <f t="shared" si="4"/>
        <v>-75756</v>
      </c>
      <c r="H50" s="99">
        <f>G50+'30'!H50</f>
        <v>-77064.310000000056</v>
      </c>
      <c r="I50" s="95"/>
      <c r="J50" s="175">
        <f>H50/DAY(B2)</f>
        <v>-2485.9454838709694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144640</v>
      </c>
      <c r="G51" s="112">
        <f t="shared" si="4"/>
        <v>144640</v>
      </c>
      <c r="H51" s="99">
        <f>G51+'30'!H51</f>
        <v>144640</v>
      </c>
      <c r="I51" s="95"/>
      <c r="J51" s="175">
        <f>H51/DAY(B2)</f>
        <v>4665.8064516129034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539606</v>
      </c>
      <c r="G52" s="112">
        <f t="shared" si="4"/>
        <v>539606</v>
      </c>
      <c r="H52" s="99">
        <f>G52+'30'!H52</f>
        <v>539606</v>
      </c>
      <c r="I52" s="95"/>
      <c r="J52" s="175">
        <f>H52/DAY(B2)</f>
        <v>17406.645161290322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434232</v>
      </c>
      <c r="G53" s="112">
        <f t="shared" si="4"/>
        <v>434232</v>
      </c>
      <c r="H53" s="99">
        <f>G53+'30'!H53</f>
        <v>434232</v>
      </c>
      <c r="I53" s="95"/>
      <c r="J53" s="175">
        <f>H53/DAY(B2)</f>
        <v>14007.483870967742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'30'!F54</f>
        <v>2863</v>
      </c>
      <c r="F54" s="145">
        <v>14967</v>
      </c>
      <c r="G54" s="112">
        <f t="shared" si="4"/>
        <v>12104</v>
      </c>
      <c r="H54" s="99">
        <f>G54+'30'!H54</f>
        <v>12099.51</v>
      </c>
      <c r="I54" s="95"/>
      <c r="J54" s="175">
        <f>H54/DAY(B2)</f>
        <v>390.30677419354839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306268.99</v>
      </c>
      <c r="G55" s="112">
        <f t="shared" si="4"/>
        <v>306268.99</v>
      </c>
      <c r="H55" s="99">
        <f>G55+'30'!H55</f>
        <v>306268.99</v>
      </c>
      <c r="I55" s="95"/>
      <c r="J55" s="175">
        <f>H55/DAY(B2)</f>
        <v>9879.6448387096771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'30'!F56</f>
        <v>38034</v>
      </c>
      <c r="F56" s="145">
        <v>661019</v>
      </c>
      <c r="G56" s="112">
        <f t="shared" si="4"/>
        <v>622985</v>
      </c>
      <c r="H56" s="99">
        <f>G56+'30'!H56</f>
        <v>618178.71</v>
      </c>
      <c r="I56" s="95"/>
      <c r="J56" s="175">
        <f>H56/DAY(B2)</f>
        <v>19941.248709677417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7711</v>
      </c>
      <c r="G57" s="112">
        <f t="shared" si="4"/>
        <v>7711</v>
      </c>
      <c r="H57" s="99">
        <f>G57+'30'!H57</f>
        <v>7711</v>
      </c>
      <c r="I57" s="95"/>
      <c r="J57" s="175">
        <f>H57/DAY(B2)</f>
        <v>248.74193548387098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'30'!F58</f>
        <v>78810</v>
      </c>
      <c r="F58" s="145">
        <v>66014</v>
      </c>
      <c r="G58" s="112">
        <f t="shared" si="4"/>
        <v>-12796</v>
      </c>
      <c r="H58" s="99">
        <f>G58+'30'!H58</f>
        <v>-13005.899999999994</v>
      </c>
      <c r="I58" s="95"/>
      <c r="J58" s="175">
        <f>H58/DAY(B2)</f>
        <v>-419.54516129032237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2227617.9900000002</v>
      </c>
      <c r="H59" s="99">
        <f>G59+'30'!H59</f>
        <v>2219757.6100000003</v>
      </c>
      <c r="I59" s="95">
        <f>G7-G60</f>
        <v>-2345022.9900000002</v>
      </c>
      <c r="J59" s="175">
        <f>H59/DAY(B2)</f>
        <v>71605.084193548391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2242480.9900000002</v>
      </c>
      <c r="H60" s="99">
        <f>G60+'30'!H60</f>
        <v>2223044.08</v>
      </c>
      <c r="I60" s="95">
        <f>G13-G60</f>
        <v>-2639800.0200000005</v>
      </c>
      <c r="J60" s="175">
        <f>H60/DAY(B2)</f>
        <v>71711.099354838705</v>
      </c>
      <c r="K60" s="79"/>
      <c r="L60" s="66"/>
      <c r="N60" s="87"/>
      <c r="O60" s="71"/>
    </row>
    <row r="61" spans="1:15" s="68" customFormat="1" ht="29.25" customHeight="1">
      <c r="A61" s="848" t="s">
        <v>332</v>
      </c>
      <c r="B61" s="849"/>
      <c r="C61" s="85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>
      <c r="A62" s="814" t="s">
        <v>198</v>
      </c>
      <c r="B62" s="815"/>
      <c r="C62" s="816"/>
      <c r="D62" s="151" t="s">
        <v>142</v>
      </c>
      <c r="E62" s="95">
        <f>'30'!F93</f>
        <v>0</v>
      </c>
      <c r="F62" s="122">
        <v>253452</v>
      </c>
      <c r="G62" s="112">
        <f t="shared" ref="G62:G63" si="5">F62-E62</f>
        <v>253452</v>
      </c>
      <c r="H62" s="99">
        <f>G62+'30'!H93</f>
        <v>253452</v>
      </c>
      <c r="I62" s="118"/>
      <c r="J62" s="175">
        <f>H62/DAY(B2)</f>
        <v>8175.8709677419356</v>
      </c>
      <c r="K62" s="80"/>
      <c r="L62" s="66"/>
      <c r="N62" s="87"/>
      <c r="O62" s="71"/>
    </row>
    <row r="63" spans="1:15" ht="27.75">
      <c r="A63" s="814" t="s">
        <v>199</v>
      </c>
      <c r="B63" s="815"/>
      <c r="C63" s="816"/>
      <c r="D63" s="151" t="s">
        <v>142</v>
      </c>
      <c r="E63" s="95">
        <f>'30'!F94</f>
        <v>0</v>
      </c>
      <c r="F63" s="122">
        <v>197659</v>
      </c>
      <c r="G63" s="112">
        <f t="shared" si="5"/>
        <v>197659</v>
      </c>
      <c r="H63" s="99">
        <f>G63+'30'!H94</f>
        <v>191589.54000000004</v>
      </c>
      <c r="I63" s="118"/>
      <c r="J63" s="175">
        <f>H63/DAY(B2)</f>
        <v>6180.307741935485</v>
      </c>
      <c r="K63" s="69"/>
      <c r="L63" s="66"/>
      <c r="N63" s="87"/>
      <c r="O63" s="71"/>
    </row>
    <row r="64" spans="1:15" ht="29.25">
      <c r="A64" s="823" t="s">
        <v>200</v>
      </c>
      <c r="B64" s="824"/>
      <c r="C64" s="825"/>
      <c r="D64" s="151"/>
      <c r="E64" s="122"/>
      <c r="F64" s="122"/>
      <c r="G64" s="112">
        <f>G62+G63</f>
        <v>451111</v>
      </c>
      <c r="H64" s="99">
        <f>G64+'30'!H95</f>
        <v>451109.88992560742</v>
      </c>
      <c r="I64" s="118"/>
      <c r="J64" s="175">
        <f>H64/DAY(B2)</f>
        <v>14551.93193308411</v>
      </c>
      <c r="K64" s="69"/>
      <c r="L64" s="66"/>
      <c r="N64" s="87"/>
      <c r="O64" s="71"/>
    </row>
    <row r="65" spans="1:15" ht="27.75">
      <c r="A65" s="814" t="s">
        <v>201</v>
      </c>
      <c r="B65" s="815"/>
      <c r="C65" s="816"/>
      <c r="D65" s="151" t="s">
        <v>142</v>
      </c>
      <c r="E65" s="95">
        <f>'30'!F96</f>
        <v>0</v>
      </c>
      <c r="F65" s="122">
        <v>421019</v>
      </c>
      <c r="G65" s="112">
        <f t="shared" ref="G65:G70" si="6">F65-E65</f>
        <v>421019</v>
      </c>
      <c r="H65" s="99">
        <f>G65+'30'!H96</f>
        <v>416212.21000000008</v>
      </c>
      <c r="I65" s="118"/>
      <c r="J65" s="175">
        <f>H65/DAY(B2)</f>
        <v>13426.200322580647</v>
      </c>
      <c r="K65" s="69"/>
      <c r="L65" s="66"/>
      <c r="N65" s="87"/>
      <c r="O65" s="71"/>
    </row>
    <row r="66" spans="1:15" ht="27.75">
      <c r="A66" s="342" t="s">
        <v>202</v>
      </c>
      <c r="B66" s="343"/>
      <c r="C66" s="343"/>
      <c r="D66" s="151" t="s">
        <v>142</v>
      </c>
      <c r="E66" s="95">
        <f>'30'!F97</f>
        <v>0</v>
      </c>
      <c r="F66" s="122">
        <v>104636</v>
      </c>
      <c r="G66" s="112">
        <f t="shared" si="6"/>
        <v>104636</v>
      </c>
      <c r="H66" s="99">
        <f>G66+'30'!H97</f>
        <v>104634.77103792108</v>
      </c>
      <c r="I66" s="118"/>
      <c r="J66" s="175">
        <f>H66/DAY(B2)</f>
        <v>3375.3151947716478</v>
      </c>
      <c r="K66" s="78"/>
      <c r="L66" s="66"/>
      <c r="N66" s="87"/>
      <c r="O66" s="71"/>
    </row>
    <row r="67" spans="1:15" ht="27.75">
      <c r="A67" s="342" t="s">
        <v>203</v>
      </c>
      <c r="B67" s="343"/>
      <c r="C67" s="343"/>
      <c r="D67" s="151" t="s">
        <v>142</v>
      </c>
      <c r="E67" s="95">
        <f>'30'!F98</f>
        <v>0</v>
      </c>
      <c r="F67" s="122">
        <v>100370</v>
      </c>
      <c r="G67" s="112">
        <f t="shared" si="6"/>
        <v>100370</v>
      </c>
      <c r="H67" s="99">
        <f>G67+'30'!H98</f>
        <v>97381.950000000012</v>
      </c>
      <c r="I67" s="118"/>
      <c r="J67" s="175">
        <f>H67/DAY(B2)</f>
        <v>3141.353225806452</v>
      </c>
      <c r="K67" s="81"/>
      <c r="L67" s="66"/>
      <c r="N67" s="87"/>
      <c r="O67" s="71"/>
    </row>
    <row r="68" spans="1:15" ht="27.75">
      <c r="A68" s="342" t="s">
        <v>204</v>
      </c>
      <c r="B68" s="343"/>
      <c r="C68" s="343"/>
      <c r="D68" s="151" t="s">
        <v>142</v>
      </c>
      <c r="E68" s="95">
        <f>'30'!F99</f>
        <v>0</v>
      </c>
      <c r="F68" s="122">
        <v>152135</v>
      </c>
      <c r="G68" s="112">
        <f t="shared" si="6"/>
        <v>152135</v>
      </c>
      <c r="H68" s="99">
        <f>G68+'30'!H99</f>
        <v>152134.48530065772</v>
      </c>
      <c r="I68" s="118"/>
      <c r="J68" s="175">
        <f>H68/DAY(B2)</f>
        <v>4907.5640419567007</v>
      </c>
      <c r="K68" s="69"/>
      <c r="L68" s="66"/>
      <c r="N68" s="87"/>
      <c r="O68" s="71"/>
    </row>
    <row r="69" spans="1:15" ht="27.75">
      <c r="A69" s="342" t="s">
        <v>205</v>
      </c>
      <c r="B69" s="343"/>
      <c r="C69" s="343"/>
      <c r="D69" s="151" t="s">
        <v>142</v>
      </c>
      <c r="E69" s="95">
        <f>'30'!F100</f>
        <v>0</v>
      </c>
      <c r="F69" s="122">
        <v>8645</v>
      </c>
      <c r="G69" s="112">
        <f t="shared" si="6"/>
        <v>8645</v>
      </c>
      <c r="H69" s="99">
        <f>G69+'30'!H100</f>
        <v>6806.9600000000064</v>
      </c>
      <c r="I69" s="118"/>
      <c r="J69" s="175">
        <f>H69/DAY(B2)</f>
        <v>219.57935483870989</v>
      </c>
      <c r="K69" s="69"/>
      <c r="L69" s="66"/>
      <c r="N69" s="87"/>
      <c r="O69" s="71"/>
    </row>
    <row r="70" spans="1:15" ht="27.75">
      <c r="A70" s="342" t="s">
        <v>206</v>
      </c>
      <c r="B70" s="343"/>
      <c r="C70" s="343"/>
      <c r="D70" s="151" t="s">
        <v>142</v>
      </c>
      <c r="E70" s="95">
        <f>'30'!F101</f>
        <v>0</v>
      </c>
      <c r="F70" s="122">
        <v>6373</v>
      </c>
      <c r="G70" s="112">
        <f t="shared" si="6"/>
        <v>6373</v>
      </c>
      <c r="H70" s="99">
        <f>G70+'30'!H101</f>
        <v>6372.6744722317862</v>
      </c>
      <c r="I70" s="118"/>
      <c r="J70" s="175">
        <f>H70/DAY(B2)</f>
        <v>205.5701442655415</v>
      </c>
      <c r="K70" s="69"/>
      <c r="L70" s="66"/>
      <c r="N70" s="87"/>
      <c r="O70" s="71"/>
    </row>
    <row r="71" spans="1:15" ht="29.25">
      <c r="A71" s="823" t="s">
        <v>208</v>
      </c>
      <c r="B71" s="824"/>
      <c r="C71" s="825"/>
      <c r="D71" s="152"/>
      <c r="E71" s="152"/>
      <c r="F71" s="152"/>
      <c r="G71" s="153">
        <f>SUM(G65:G70)</f>
        <v>793178</v>
      </c>
      <c r="H71" s="99">
        <f>G71+'30'!H102</f>
        <v>791185.0199999999</v>
      </c>
      <c r="I71" s="154"/>
      <c r="J71" s="175">
        <f>H71/DAY(B2)</f>
        <v>25522.097419354835</v>
      </c>
      <c r="K71" s="69"/>
      <c r="L71" s="66"/>
      <c r="N71" s="87"/>
      <c r="O71" s="71"/>
    </row>
    <row r="72" spans="1:15" s="88" customFormat="1" ht="27.75">
      <c r="A72" s="810"/>
      <c r="B72" s="795"/>
      <c r="C72" s="341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20" t="s">
        <v>333</v>
      </c>
      <c r="B73" s="821"/>
      <c r="C73" s="82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>
      <c r="A74" s="814" t="s">
        <v>220</v>
      </c>
      <c r="B74" s="815"/>
      <c r="C74" s="816"/>
      <c r="D74" s="151" t="s">
        <v>139</v>
      </c>
      <c r="E74" s="95">
        <f>'30'!F124</f>
        <v>0</v>
      </c>
      <c r="F74" s="117">
        <v>856352</v>
      </c>
      <c r="G74" s="112">
        <f t="shared" ref="G74:G78" si="7">F74-E74</f>
        <v>856352</v>
      </c>
      <c r="H74" s="99">
        <f>G74+'30'!H124</f>
        <v>856352</v>
      </c>
      <c r="I74" s="154"/>
      <c r="J74" s="175">
        <f>H74/DAY(B2)</f>
        <v>27624.258064516129</v>
      </c>
      <c r="K74" s="69"/>
      <c r="L74" s="66"/>
      <c r="N74" s="87"/>
      <c r="O74" s="71"/>
    </row>
    <row r="75" spans="1:15" ht="27.75">
      <c r="A75" s="814" t="s">
        <v>221</v>
      </c>
      <c r="B75" s="815"/>
      <c r="C75" s="816"/>
      <c r="D75" s="151" t="s">
        <v>139</v>
      </c>
      <c r="E75" s="95">
        <f>'30'!F125</f>
        <v>0</v>
      </c>
      <c r="F75" s="232">
        <v>73583.399999999994</v>
      </c>
      <c r="G75" s="112">
        <f t="shared" si="7"/>
        <v>73583.399999999994</v>
      </c>
      <c r="H75" s="99">
        <f>G75+'30'!H125</f>
        <v>73583.399999999994</v>
      </c>
      <c r="I75" s="154"/>
      <c r="J75" s="175">
        <f>H75/DAY(B2)</f>
        <v>2373.6580645161289</v>
      </c>
      <c r="K75" s="69"/>
      <c r="L75" s="66"/>
      <c r="N75" s="87"/>
      <c r="O75" s="71"/>
    </row>
    <row r="76" spans="1:15" ht="27.75">
      <c r="A76" s="811" t="s">
        <v>222</v>
      </c>
      <c r="B76" s="812"/>
      <c r="C76" s="813"/>
      <c r="D76" s="151" t="s">
        <v>139</v>
      </c>
      <c r="E76" s="95">
        <f>'30'!F126</f>
        <v>0</v>
      </c>
      <c r="F76" s="117">
        <v>154077</v>
      </c>
      <c r="G76" s="112">
        <f t="shared" si="7"/>
        <v>154077</v>
      </c>
      <c r="H76" s="99">
        <f>G76+'30'!H126</f>
        <v>154077</v>
      </c>
      <c r="I76" s="154"/>
      <c r="J76" s="175">
        <f>H76/DAY(B2)</f>
        <v>4970.2258064516127</v>
      </c>
      <c r="K76" s="69"/>
      <c r="L76" s="66"/>
      <c r="N76" s="87"/>
      <c r="O76" s="71"/>
    </row>
    <row r="77" spans="1:15" ht="27.75">
      <c r="A77" s="811" t="s">
        <v>223</v>
      </c>
      <c r="B77" s="812"/>
      <c r="C77" s="813"/>
      <c r="D77" s="151" t="s">
        <v>139</v>
      </c>
      <c r="E77" s="95">
        <f>'30'!F127</f>
        <v>0</v>
      </c>
      <c r="F77" s="232">
        <v>34629</v>
      </c>
      <c r="G77" s="112">
        <f t="shared" si="7"/>
        <v>34629</v>
      </c>
      <c r="H77" s="99">
        <f>G77+'30'!H127</f>
        <v>34629</v>
      </c>
      <c r="I77" s="154"/>
      <c r="J77" s="175">
        <f>H77/DAY(B2)</f>
        <v>1117.0645161290322</v>
      </c>
      <c r="K77" s="69"/>
      <c r="L77" s="66"/>
      <c r="N77" s="87"/>
      <c r="O77" s="71"/>
    </row>
    <row r="78" spans="1:15" ht="27.75">
      <c r="A78" s="811" t="s">
        <v>224</v>
      </c>
      <c r="B78" s="812"/>
      <c r="C78" s="813"/>
      <c r="D78" s="151" t="s">
        <v>139</v>
      </c>
      <c r="E78" s="95">
        <f>'30'!F128</f>
        <v>17703</v>
      </c>
      <c r="F78" s="232">
        <v>9180</v>
      </c>
      <c r="G78" s="112">
        <f t="shared" si="7"/>
        <v>-8523</v>
      </c>
      <c r="H78" s="99">
        <f>G78+'30'!H128</f>
        <v>-8843.7200000000012</v>
      </c>
      <c r="I78" s="118"/>
      <c r="J78" s="175">
        <f>H78/DAY(B2)</f>
        <v>-285.28129032258067</v>
      </c>
      <c r="K78" s="69"/>
      <c r="L78" s="66"/>
      <c r="N78" s="87"/>
      <c r="O78" s="71"/>
    </row>
    <row r="79" spans="1:15" s="57" customFormat="1" ht="27.75">
      <c r="A79" s="811" t="s">
        <v>225</v>
      </c>
      <c r="B79" s="812"/>
      <c r="C79" s="813"/>
      <c r="D79" s="151"/>
      <c r="E79" s="117"/>
      <c r="F79" s="117"/>
      <c r="G79" s="112">
        <f>G15-SUM(G74:G78)</f>
        <v>-1109369.3999999999</v>
      </c>
      <c r="H79" s="99">
        <f>G79+'30'!H129</f>
        <v>-1109554.1099999999</v>
      </c>
      <c r="I79" s="118"/>
      <c r="J79" s="175"/>
      <c r="K79" s="59"/>
      <c r="L79" s="58"/>
      <c r="N79" s="87"/>
      <c r="O79" s="71"/>
    </row>
    <row r="80" spans="1:15" s="57" customFormat="1" ht="29.25">
      <c r="A80" s="823" t="s">
        <v>329</v>
      </c>
      <c r="B80" s="824"/>
      <c r="C80" s="825"/>
      <c r="D80" s="151"/>
      <c r="E80" s="117"/>
      <c r="F80" s="117"/>
      <c r="G80" s="112">
        <f>SUM(G74:G79)</f>
        <v>749</v>
      </c>
      <c r="H80" s="99"/>
      <c r="I80" s="118"/>
      <c r="J80" s="175"/>
      <c r="K80" s="59"/>
      <c r="L80" s="58"/>
      <c r="N80" s="87"/>
      <c r="O80" s="71"/>
    </row>
    <row r="81" spans="1:15" ht="29.25" customHeight="1">
      <c r="A81" s="828" t="s">
        <v>226</v>
      </c>
      <c r="B81" s="829"/>
      <c r="C81" s="83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2" t="s">
        <v>227</v>
      </c>
      <c r="B82" s="343"/>
      <c r="C82" s="343"/>
      <c r="D82" s="151" t="s">
        <v>228</v>
      </c>
      <c r="E82" s="95">
        <f>'30'!F131</f>
        <v>4055</v>
      </c>
      <c r="F82" s="122"/>
      <c r="G82" s="112">
        <f t="shared" ref="G82:G92" si="8">F82-E82</f>
        <v>-4055</v>
      </c>
      <c r="H82" s="99">
        <f>G82+'30'!H131</f>
        <v>-4146.47</v>
      </c>
      <c r="I82" s="118"/>
      <c r="J82" s="175">
        <f>H82/DAY(B2)</f>
        <v>-133.75709677419357</v>
      </c>
      <c r="O82" s="71"/>
    </row>
    <row r="83" spans="1:15" ht="27.75">
      <c r="A83" s="342" t="s">
        <v>229</v>
      </c>
      <c r="B83" s="343"/>
      <c r="C83" s="343"/>
      <c r="D83" s="151" t="s">
        <v>228</v>
      </c>
      <c r="E83" s="95">
        <f>'30'!F132</f>
        <v>11099</v>
      </c>
      <c r="F83" s="122"/>
      <c r="G83" s="112">
        <f t="shared" si="8"/>
        <v>-11099</v>
      </c>
      <c r="H83" s="99">
        <f>G83+'30'!H132</f>
        <v>-11537.72</v>
      </c>
      <c r="I83" s="118"/>
      <c r="J83" s="175">
        <f>H83/DAY(B2)</f>
        <v>-372.18451612903226</v>
      </c>
      <c r="O83" s="71"/>
    </row>
    <row r="84" spans="1:15" ht="27.75">
      <c r="A84" s="342" t="s">
        <v>230</v>
      </c>
      <c r="B84" s="343"/>
      <c r="C84" s="343"/>
      <c r="D84" s="151" t="s">
        <v>228</v>
      </c>
      <c r="E84" s="95">
        <f>'30'!F133</f>
        <v>40088</v>
      </c>
      <c r="F84" s="164">
        <v>40922</v>
      </c>
      <c r="G84" s="112">
        <f t="shared" si="8"/>
        <v>834</v>
      </c>
      <c r="H84" s="99">
        <f>G84+'30'!H133</f>
        <v>72.709999999999127</v>
      </c>
      <c r="I84" s="118"/>
      <c r="J84" s="175">
        <f>H84/DAY(B2)</f>
        <v>2.3454838709677137</v>
      </c>
      <c r="O84" s="71"/>
    </row>
    <row r="85" spans="1:15" ht="27.75">
      <c r="A85" s="342" t="s">
        <v>231</v>
      </c>
      <c r="B85" s="343"/>
      <c r="C85" s="343"/>
      <c r="D85" s="151" t="s">
        <v>228</v>
      </c>
      <c r="E85" s="95">
        <f>'30'!F134</f>
        <v>631591</v>
      </c>
      <c r="F85" s="164">
        <v>856</v>
      </c>
      <c r="G85" s="112">
        <f t="shared" si="8"/>
        <v>-630735</v>
      </c>
      <c r="H85" s="99">
        <f>G85+'30'!H134</f>
        <v>-631408</v>
      </c>
      <c r="I85" s="118">
        <f>G82+G83+G84+G85</f>
        <v>-645055</v>
      </c>
      <c r="J85" s="175">
        <f>H85/DAY(B2)</f>
        <v>-20368</v>
      </c>
      <c r="O85" s="71"/>
    </row>
    <row r="86" spans="1:15" ht="27.75">
      <c r="A86" s="342" t="s">
        <v>232</v>
      </c>
      <c r="B86" s="343"/>
      <c r="C86" s="343"/>
      <c r="D86" s="151" t="s">
        <v>228</v>
      </c>
      <c r="E86" s="95">
        <f>'30'!F135</f>
        <v>0</v>
      </c>
      <c r="F86" s="164">
        <v>42822</v>
      </c>
      <c r="G86" s="112">
        <f t="shared" si="8"/>
        <v>42822</v>
      </c>
      <c r="H86" s="99">
        <f>G86+'30'!H135</f>
        <v>41115.180000000008</v>
      </c>
      <c r="I86" s="118"/>
      <c r="J86" s="175">
        <f>H86/DAY(B2)</f>
        <v>1326.2961290322582</v>
      </c>
      <c r="O86" s="71"/>
    </row>
    <row r="87" spans="1:15" ht="27.75">
      <c r="A87" s="342" t="s">
        <v>233</v>
      </c>
      <c r="B87" s="343"/>
      <c r="C87" s="343"/>
      <c r="D87" s="151" t="s">
        <v>228</v>
      </c>
      <c r="E87" s="95">
        <f>'30'!F136</f>
        <v>0</v>
      </c>
      <c r="F87" s="164">
        <v>32928</v>
      </c>
      <c r="G87" s="112">
        <f t="shared" si="8"/>
        <v>32928</v>
      </c>
      <c r="H87" s="99">
        <f>G87+'30'!H136</f>
        <v>32928</v>
      </c>
      <c r="I87" s="118"/>
      <c r="J87" s="175">
        <f>H87/DAY(B2)</f>
        <v>1062.1935483870968</v>
      </c>
      <c r="O87" s="71"/>
    </row>
    <row r="88" spans="1:15" ht="27.75">
      <c r="A88" s="342" t="s">
        <v>234</v>
      </c>
      <c r="B88" s="343"/>
      <c r="C88" s="343"/>
      <c r="D88" s="151" t="s">
        <v>228</v>
      </c>
      <c r="E88" s="95">
        <f>'30'!F137</f>
        <v>0</v>
      </c>
      <c r="F88" s="164">
        <v>23356.43</v>
      </c>
      <c r="G88" s="112">
        <f t="shared" si="8"/>
        <v>23356.43</v>
      </c>
      <c r="H88" s="99">
        <f>G88+'30'!H137</f>
        <v>23356.43</v>
      </c>
      <c r="I88" s="118">
        <f>G86+G87+G88</f>
        <v>99106.43</v>
      </c>
      <c r="J88" s="175">
        <f>H88/DAY(B2)</f>
        <v>753.43322580645167</v>
      </c>
      <c r="O88" s="71"/>
    </row>
    <row r="89" spans="1:15" ht="27.75">
      <c r="A89" s="342" t="s">
        <v>235</v>
      </c>
      <c r="B89" s="343"/>
      <c r="C89" s="343"/>
      <c r="D89" s="151" t="s">
        <v>228</v>
      </c>
      <c r="E89" s="95">
        <f>'30'!F138</f>
        <v>859583</v>
      </c>
      <c r="F89" s="164">
        <v>25132.959999999999</v>
      </c>
      <c r="G89" s="112">
        <f t="shared" si="8"/>
        <v>-834450.04</v>
      </c>
      <c r="H89" s="99">
        <f>G89+'30'!H138</f>
        <v>-834514.04</v>
      </c>
      <c r="I89" s="118"/>
      <c r="J89" s="175">
        <f>H89/DAY(B2)</f>
        <v>-26919.807741935485</v>
      </c>
      <c r="O89" s="71"/>
    </row>
    <row r="90" spans="1:15" ht="27.75">
      <c r="A90" s="342" t="s">
        <v>236</v>
      </c>
      <c r="B90" s="343"/>
      <c r="C90" s="343"/>
      <c r="D90" s="151" t="s">
        <v>228</v>
      </c>
      <c r="E90" s="95">
        <f>'30'!F139</f>
        <v>886100</v>
      </c>
      <c r="F90" s="164">
        <v>70524.55</v>
      </c>
      <c r="G90" s="112">
        <f t="shared" si="8"/>
        <v>-815575.45</v>
      </c>
      <c r="H90" s="99">
        <f>G90+'30'!H139</f>
        <v>-815577.45</v>
      </c>
      <c r="I90" s="118">
        <f>G89+G90</f>
        <v>-1650025.49</v>
      </c>
      <c r="J90" s="175">
        <f>H90/DAY(B2)</f>
        <v>-26308.949999999997</v>
      </c>
      <c r="O90" s="71"/>
    </row>
    <row r="91" spans="1:15" ht="27.75">
      <c r="A91" s="342" t="s">
        <v>237</v>
      </c>
      <c r="B91" s="343"/>
      <c r="C91" s="343"/>
      <c r="D91" s="151" t="s">
        <v>228</v>
      </c>
      <c r="E91" s="95">
        <f>'30'!F140</f>
        <v>88809</v>
      </c>
      <c r="F91" s="122">
        <v>2627.98</v>
      </c>
      <c r="G91" s="112">
        <f t="shared" si="8"/>
        <v>-86181.02</v>
      </c>
      <c r="H91" s="99">
        <f>G91+'30'!H140</f>
        <v>-86189.02</v>
      </c>
      <c r="I91" s="165"/>
      <c r="J91" s="175">
        <f>H91/DAY(B2)</f>
        <v>-2780.2909677419357</v>
      </c>
      <c r="O91" s="71"/>
    </row>
    <row r="92" spans="1:15" ht="27.75">
      <c r="A92" s="342" t="s">
        <v>238</v>
      </c>
      <c r="B92" s="343"/>
      <c r="C92" s="343"/>
      <c r="D92" s="151" t="s">
        <v>228</v>
      </c>
      <c r="E92" s="95">
        <f>'30'!F141</f>
        <v>37102</v>
      </c>
      <c r="F92" s="122">
        <v>4754</v>
      </c>
      <c r="G92" s="112">
        <f t="shared" si="8"/>
        <v>-32348</v>
      </c>
      <c r="H92" s="99">
        <f>G92+'30'!H141</f>
        <v>-32533.949999999997</v>
      </c>
      <c r="I92" s="165"/>
      <c r="J92" s="175">
        <f>H92/DAY(B2)</f>
        <v>-1049.4822580645161</v>
      </c>
      <c r="O92" s="71"/>
    </row>
    <row r="93" spans="1:15" ht="29.25">
      <c r="A93" s="817" t="s">
        <v>239</v>
      </c>
      <c r="B93" s="818"/>
      <c r="C93" s="81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14" t="s">
        <v>240</v>
      </c>
      <c r="B94" s="815"/>
      <c r="C94" s="816"/>
      <c r="D94" s="151" t="s">
        <v>130</v>
      </c>
      <c r="E94" s="151"/>
      <c r="F94" s="151"/>
      <c r="G94" s="99">
        <f>G35+G43+G49+G57</f>
        <v>258829</v>
      </c>
      <c r="H94" s="99">
        <f>G94+'30'!H143</f>
        <v>258800.82</v>
      </c>
      <c r="I94" s="118"/>
      <c r="J94" s="175">
        <f>H94/DAY(B2)</f>
        <v>8348.4135483870978</v>
      </c>
      <c r="K94" s="69"/>
      <c r="L94" s="66"/>
      <c r="O94" s="71"/>
    </row>
    <row r="95" spans="1:15" ht="27.75">
      <c r="A95" s="814" t="s">
        <v>241</v>
      </c>
      <c r="B95" s="815"/>
      <c r="C95" s="816"/>
      <c r="D95" s="151" t="s">
        <v>23</v>
      </c>
      <c r="E95" s="146"/>
      <c r="F95" s="146"/>
      <c r="G95" s="166">
        <f>G94/G7</f>
        <v>-2.5241266993037001</v>
      </c>
      <c r="H95" s="99">
        <f>G95+'30'!H144</f>
        <v>-203.52412669930371</v>
      </c>
      <c r="I95" s="167"/>
      <c r="J95" s="175">
        <f>H95/DAY(B2)</f>
        <v>-6.5652944096549586</v>
      </c>
      <c r="K95" s="69"/>
      <c r="L95" s="66"/>
      <c r="O95" s="71"/>
    </row>
    <row r="96" spans="1:15" ht="27.75">
      <c r="A96" s="814" t="s">
        <v>242</v>
      </c>
      <c r="B96" s="815"/>
      <c r="C96" s="816"/>
      <c r="D96" s="151" t="s">
        <v>130</v>
      </c>
      <c r="E96" s="95"/>
      <c r="F96" s="95"/>
      <c r="G96" s="99">
        <f>G41+G42+G55+G56</f>
        <v>933858.99</v>
      </c>
      <c r="H96" s="99">
        <f>G96+'30'!H145</f>
        <v>933825.99</v>
      </c>
      <c r="I96" s="118"/>
      <c r="J96" s="175">
        <f>H96/DAY(B2)</f>
        <v>30123.419032258065</v>
      </c>
      <c r="K96" s="69"/>
      <c r="L96" s="66"/>
      <c r="O96" s="71"/>
    </row>
    <row r="97" spans="1:15" ht="27.75">
      <c r="A97" s="814" t="s">
        <v>243</v>
      </c>
      <c r="B97" s="815"/>
      <c r="C97" s="816"/>
      <c r="D97" s="151" t="s">
        <v>23</v>
      </c>
      <c r="E97" s="95"/>
      <c r="F97" s="95"/>
      <c r="G97" s="166">
        <f>G96/G7</f>
        <v>-9.1070877299057944</v>
      </c>
      <c r="H97" s="99">
        <f>G97+'30'!H146</f>
        <v>-407.1070877299058</v>
      </c>
      <c r="I97" s="167"/>
      <c r="J97" s="175">
        <f>H97/DAY(B2)</f>
        <v>-13.132486700964703</v>
      </c>
      <c r="K97" s="69"/>
      <c r="L97" s="66"/>
      <c r="O97" s="71"/>
    </row>
    <row r="98" spans="1:15" ht="27.75">
      <c r="A98" s="814" t="s">
        <v>244</v>
      </c>
      <c r="B98" s="815"/>
      <c r="C98" s="816"/>
      <c r="D98" s="151" t="s">
        <v>130</v>
      </c>
      <c r="E98" s="95"/>
      <c r="F98" s="95"/>
      <c r="G98" s="99">
        <f>G39+G53</f>
        <v>438118</v>
      </c>
      <c r="H98" s="99">
        <f>G98+'30'!H147</f>
        <v>437711.07999999996</v>
      </c>
      <c r="I98" s="168"/>
      <c r="J98" s="175">
        <f>H98/DAY(B2)</f>
        <v>14119.712258064515</v>
      </c>
      <c r="K98" s="69"/>
      <c r="L98" s="66"/>
      <c r="O98" s="71"/>
    </row>
    <row r="99" spans="1:15" ht="27.75">
      <c r="A99" s="814" t="s">
        <v>245</v>
      </c>
      <c r="B99" s="815"/>
      <c r="C99" s="816"/>
      <c r="D99" s="151" t="s">
        <v>23</v>
      </c>
      <c r="E99" s="95"/>
      <c r="F99" s="95"/>
      <c r="G99" s="166">
        <f>G98/G7</f>
        <v>-4.2725712391020263</v>
      </c>
      <c r="H99" s="99">
        <f>G99+'30'!H148</f>
        <v>-255.39257123909738</v>
      </c>
      <c r="I99" s="168"/>
      <c r="J99" s="175">
        <f>H99/DAY(B2)</f>
        <v>-8.238470039970883</v>
      </c>
      <c r="O99" s="71"/>
    </row>
    <row r="100" spans="1:15" ht="27.75">
      <c r="A100" s="814" t="s">
        <v>246</v>
      </c>
      <c r="B100" s="815"/>
      <c r="C100" s="816"/>
      <c r="D100" s="151" t="s">
        <v>180</v>
      </c>
      <c r="E100" s="95"/>
      <c r="F100" s="95"/>
      <c r="G100" s="99">
        <f>G38+G52</f>
        <v>541274</v>
      </c>
      <c r="H100" s="99">
        <f>G100+'30'!H149</f>
        <v>540933</v>
      </c>
      <c r="I100" s="118"/>
      <c r="J100" s="175">
        <f>H100/DAY(B2)</f>
        <v>17449.451612903227</v>
      </c>
      <c r="K100" s="70"/>
      <c r="O100" s="71"/>
    </row>
    <row r="101" spans="1:15" ht="27.75">
      <c r="A101" s="814" t="s">
        <v>247</v>
      </c>
      <c r="B101" s="815"/>
      <c r="C101" s="816"/>
      <c r="D101" s="151" t="s">
        <v>23</v>
      </c>
      <c r="E101" s="95"/>
      <c r="F101" s="95"/>
      <c r="G101" s="166">
        <f>G100/G7</f>
        <v>-5.2785590294708511</v>
      </c>
      <c r="H101" s="99">
        <f>G101+'30'!H150</f>
        <v>-5.2785590294708511</v>
      </c>
      <c r="I101" s="168"/>
      <c r="J101" s="175">
        <f>H101/DAY(B2)</f>
        <v>-0.17027609772486615</v>
      </c>
      <c r="O101" s="71"/>
    </row>
    <row r="102" spans="1:15" ht="27.75">
      <c r="A102" s="814" t="s">
        <v>248</v>
      </c>
      <c r="B102" s="815"/>
      <c r="C102" s="816"/>
      <c r="D102" s="151" t="s">
        <v>180</v>
      </c>
      <c r="E102" s="95"/>
      <c r="F102" s="95"/>
      <c r="G102" s="99">
        <f>G36+G50</f>
        <v>-75088</v>
      </c>
      <c r="H102" s="99">
        <f>G102+'30'!H156</f>
        <v>-75088</v>
      </c>
      <c r="I102" s="168"/>
      <c r="J102" s="175">
        <f>H102/DAY(B2)</f>
        <v>-2422.1935483870966</v>
      </c>
      <c r="O102" s="71"/>
    </row>
    <row r="103" spans="1:15" ht="27.75">
      <c r="A103" s="814" t="s">
        <v>249</v>
      </c>
      <c r="B103" s="815"/>
      <c r="C103" s="816"/>
      <c r="D103" s="151" t="s">
        <v>23</v>
      </c>
      <c r="E103" s="95"/>
      <c r="F103" s="95"/>
      <c r="G103" s="166">
        <f>G102/G7</f>
        <v>0.73226580328060698</v>
      </c>
      <c r="H103" s="99">
        <f>G103+'30'!H157</f>
        <v>0.73226580328060698</v>
      </c>
      <c r="I103" s="118"/>
      <c r="J103" s="175">
        <f>H103/DAY(B2)</f>
        <v>2.3621477525180869E-2</v>
      </c>
      <c r="O103" s="71"/>
    </row>
    <row r="104" spans="1:15" ht="27.75">
      <c r="A104" s="814" t="s">
        <v>250</v>
      </c>
      <c r="B104" s="815"/>
      <c r="C104" s="816"/>
      <c r="D104" s="151" t="s">
        <v>180</v>
      </c>
      <c r="E104" s="95"/>
      <c r="F104" s="95"/>
      <c r="G104" s="99">
        <f>G37+G51</f>
        <v>145803</v>
      </c>
      <c r="H104" s="99">
        <f>G104+'30'!H158</f>
        <v>145547.96000000002</v>
      </c>
      <c r="I104" s="118"/>
      <c r="J104" s="175">
        <f>H104/DAY(B2)</f>
        <v>4695.0954838709686</v>
      </c>
      <c r="O104" s="71"/>
    </row>
    <row r="105" spans="1:15" ht="28.5" thickBot="1">
      <c r="A105" s="807" t="s">
        <v>251</v>
      </c>
      <c r="B105" s="808"/>
      <c r="C105" s="809"/>
      <c r="D105" s="231" t="s">
        <v>23</v>
      </c>
      <c r="E105" s="185"/>
      <c r="F105" s="185"/>
      <c r="G105" s="186">
        <f>G104/G7</f>
        <v>-1.4218856663611008</v>
      </c>
      <c r="H105" s="99">
        <f>G105+'30'!H159</f>
        <v>-20.02188566636692</v>
      </c>
      <c r="I105" s="187"/>
      <c r="J105" s="188">
        <f>H105/DAY(B2)</f>
        <v>-0.64586727956022327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29.25" customHeight="1">
      <c r="A108" s="803" t="s">
        <v>324</v>
      </c>
      <c r="B108" s="803"/>
      <c r="C108" s="803"/>
      <c r="D108" s="803"/>
      <c r="E108" s="803"/>
      <c r="F108" s="803"/>
      <c r="G108" s="803"/>
      <c r="H108" s="803"/>
      <c r="I108" s="803"/>
      <c r="J108" s="803"/>
    </row>
    <row r="109" spans="1:15" ht="29.25">
      <c r="A109" s="831"/>
      <c r="B109" s="831"/>
    </row>
    <row r="110" spans="1:15" ht="29.25" customHeight="1">
      <c r="A110" s="804" t="s">
        <v>165</v>
      </c>
      <c r="B110" s="805"/>
      <c r="C110" s="805"/>
      <c r="D110" s="805"/>
      <c r="E110" s="805"/>
      <c r="F110" s="805"/>
      <c r="G110" s="805"/>
      <c r="H110" s="805"/>
      <c r="I110" s="805"/>
      <c r="J110" s="806"/>
    </row>
    <row r="111" spans="1:15" ht="29.25" customHeight="1">
      <c r="A111" s="797"/>
      <c r="B111" s="798"/>
      <c r="C111" s="799"/>
      <c r="D111" s="165"/>
      <c r="E111" s="165"/>
      <c r="F111" s="165"/>
      <c r="G111" s="165"/>
      <c r="H111" s="156"/>
      <c r="I111" s="165"/>
      <c r="J111" s="347"/>
    </row>
    <row r="112" spans="1:15" ht="29.25" customHeight="1">
      <c r="A112" s="793" t="s">
        <v>252</v>
      </c>
      <c r="B112" s="794"/>
      <c r="C112" s="795"/>
      <c r="D112" s="146" t="s">
        <v>183</v>
      </c>
      <c r="E112" s="237">
        <v>0</v>
      </c>
      <c r="F112" s="237">
        <v>38434</v>
      </c>
      <c r="G112" s="112">
        <f t="shared" ref="G112:G123" si="9">F112-E112</f>
        <v>38434</v>
      </c>
      <c r="H112" s="99">
        <f>G112+'30'!H166</f>
        <v>38434</v>
      </c>
      <c r="I112" s="165"/>
      <c r="J112" s="348" t="e">
        <f t="shared" ref="J112:J123" si="10">H112/DAY(B31)</f>
        <v>#DIV/0!</v>
      </c>
    </row>
    <row r="113" spans="1:18" ht="29.25" customHeight="1">
      <c r="A113" s="793" t="s">
        <v>253</v>
      </c>
      <c r="B113" s="794"/>
      <c r="C113" s="795"/>
      <c r="D113" s="146" t="s">
        <v>183</v>
      </c>
      <c r="E113" s="237">
        <v>0</v>
      </c>
      <c r="F113" s="237">
        <v>94790</v>
      </c>
      <c r="G113" s="112">
        <f t="shared" si="9"/>
        <v>94790</v>
      </c>
      <c r="H113" s="99">
        <f>G113+'30'!H167</f>
        <v>94790</v>
      </c>
      <c r="I113" s="165"/>
      <c r="J113" s="348" t="e">
        <f t="shared" si="10"/>
        <v>#DIV/0!</v>
      </c>
    </row>
    <row r="114" spans="1:18" ht="29.25" customHeight="1">
      <c r="A114" s="793" t="s">
        <v>254</v>
      </c>
      <c r="B114" s="794"/>
      <c r="C114" s="795"/>
      <c r="D114" s="146" t="s">
        <v>183</v>
      </c>
      <c r="E114" s="237">
        <v>0</v>
      </c>
      <c r="F114" s="237">
        <v>44933</v>
      </c>
      <c r="G114" s="112">
        <f t="shared" si="9"/>
        <v>44933</v>
      </c>
      <c r="H114" s="99">
        <f>G114+'30'!H168</f>
        <v>44933</v>
      </c>
      <c r="I114" s="165"/>
      <c r="J114" s="348" t="e">
        <f t="shared" si="10"/>
        <v>#DIV/0!</v>
      </c>
    </row>
    <row r="115" spans="1:18" ht="29.25" customHeight="1">
      <c r="A115" s="793" t="s">
        <v>255</v>
      </c>
      <c r="B115" s="794"/>
      <c r="C115" s="795"/>
      <c r="D115" s="146" t="s">
        <v>183</v>
      </c>
      <c r="E115" s="237">
        <v>0</v>
      </c>
      <c r="F115" s="237">
        <v>6560</v>
      </c>
      <c r="G115" s="112">
        <f t="shared" si="9"/>
        <v>6560</v>
      </c>
      <c r="H115" s="99">
        <f>G115+'30'!H169</f>
        <v>6560</v>
      </c>
      <c r="I115" s="165"/>
      <c r="J115" s="348" t="e">
        <f t="shared" si="10"/>
        <v>#DIV/0!</v>
      </c>
    </row>
    <row r="116" spans="1:18" ht="29.25" customHeight="1">
      <c r="A116" s="800" t="s">
        <v>96</v>
      </c>
      <c r="B116" s="801"/>
      <c r="C116" s="802"/>
      <c r="D116" s="146" t="s">
        <v>183</v>
      </c>
      <c r="E116" s="237">
        <v>0</v>
      </c>
      <c r="F116" s="237">
        <v>44933</v>
      </c>
      <c r="G116" s="112">
        <f t="shared" si="9"/>
        <v>44933</v>
      </c>
      <c r="H116" s="99">
        <f>G116+'30'!H170</f>
        <v>44933</v>
      </c>
      <c r="I116" s="165"/>
      <c r="J116" s="348" t="e">
        <f t="shared" si="10"/>
        <v>#DIV/0!</v>
      </c>
      <c r="Q116" s="793" t="s">
        <v>311</v>
      </c>
      <c r="R116" s="795"/>
    </row>
    <row r="117" spans="1:18" ht="29.25" customHeight="1">
      <c r="A117" s="800" t="s">
        <v>184</v>
      </c>
      <c r="B117" s="801"/>
      <c r="C117" s="802"/>
      <c r="D117" s="146" t="s">
        <v>183</v>
      </c>
      <c r="E117" s="237">
        <v>0</v>
      </c>
      <c r="F117" s="237">
        <v>44933</v>
      </c>
      <c r="G117" s="112">
        <f t="shared" si="9"/>
        <v>44933</v>
      </c>
      <c r="H117" s="99">
        <f>G117+'30'!H171</f>
        <v>44918</v>
      </c>
      <c r="I117" s="165"/>
      <c r="J117" s="348" t="e">
        <f t="shared" si="10"/>
        <v>#DIV/0!</v>
      </c>
      <c r="Q117" s="793" t="s">
        <v>312</v>
      </c>
      <c r="R117" s="795"/>
    </row>
    <row r="118" spans="1:18" ht="27.75">
      <c r="A118" s="792" t="s">
        <v>97</v>
      </c>
      <c r="B118" s="792"/>
      <c r="C118" s="792"/>
      <c r="D118" s="151" t="s">
        <v>183</v>
      </c>
      <c r="E118" s="237">
        <v>0</v>
      </c>
      <c r="F118" s="237">
        <v>44933</v>
      </c>
      <c r="G118" s="112">
        <f t="shared" si="9"/>
        <v>44933</v>
      </c>
      <c r="H118" s="99">
        <f>G118+'30'!H172</f>
        <v>44923</v>
      </c>
      <c r="I118" s="165"/>
      <c r="J118" s="348" t="e">
        <f t="shared" si="10"/>
        <v>#DIV/0!</v>
      </c>
      <c r="Q118" s="793" t="s">
        <v>311</v>
      </c>
      <c r="R118" s="795"/>
    </row>
    <row r="119" spans="1:18" ht="27.75">
      <c r="A119" s="792" t="s">
        <v>98</v>
      </c>
      <c r="B119" s="792"/>
      <c r="C119" s="792"/>
      <c r="D119" s="151" t="s">
        <v>183</v>
      </c>
      <c r="E119" s="237">
        <v>0</v>
      </c>
      <c r="F119" s="237">
        <v>44933</v>
      </c>
      <c r="G119" s="112">
        <f t="shared" si="9"/>
        <v>44933</v>
      </c>
      <c r="H119" s="99">
        <f>G119+'30'!H173</f>
        <v>44908</v>
      </c>
      <c r="I119" s="165"/>
      <c r="J119" s="348" t="e">
        <f t="shared" si="10"/>
        <v>#DIV/0!</v>
      </c>
    </row>
    <row r="120" spans="1:18" ht="27.75">
      <c r="A120" s="792" t="s">
        <v>99</v>
      </c>
      <c r="B120" s="792"/>
      <c r="C120" s="792"/>
      <c r="D120" s="151" t="s">
        <v>183</v>
      </c>
      <c r="E120" s="237">
        <v>0</v>
      </c>
      <c r="F120" s="237">
        <v>44933</v>
      </c>
      <c r="G120" s="112">
        <f t="shared" si="9"/>
        <v>44933</v>
      </c>
      <c r="H120" s="99">
        <f>G120+'30'!H174</f>
        <v>44933</v>
      </c>
      <c r="I120" s="165"/>
      <c r="J120" s="348" t="e">
        <f t="shared" si="10"/>
        <v>#DIV/0!</v>
      </c>
    </row>
    <row r="121" spans="1:18" ht="27.75">
      <c r="A121" s="792" t="s">
        <v>100</v>
      </c>
      <c r="B121" s="792"/>
      <c r="C121" s="792"/>
      <c r="D121" s="151" t="s">
        <v>183</v>
      </c>
      <c r="E121" s="237">
        <v>0</v>
      </c>
      <c r="F121" s="237">
        <v>44933</v>
      </c>
      <c r="G121" s="112">
        <f t="shared" si="9"/>
        <v>44933</v>
      </c>
      <c r="H121" s="99">
        <f>G121+'30'!H175</f>
        <v>44819</v>
      </c>
      <c r="I121" s="165"/>
      <c r="J121" s="348" t="e">
        <f t="shared" si="10"/>
        <v>#DIV/0!</v>
      </c>
    </row>
    <row r="122" spans="1:18" ht="27.75">
      <c r="A122" s="792" t="s">
        <v>101</v>
      </c>
      <c r="B122" s="792"/>
      <c r="C122" s="792"/>
      <c r="D122" s="151" t="s">
        <v>183</v>
      </c>
      <c r="E122" s="237">
        <v>0</v>
      </c>
      <c r="F122" s="237">
        <v>44933</v>
      </c>
      <c r="G122" s="112">
        <f t="shared" si="9"/>
        <v>44933</v>
      </c>
      <c r="H122" s="99">
        <f>G122+'30'!H176</f>
        <v>44933</v>
      </c>
      <c r="I122" s="165"/>
      <c r="J122" s="348" t="e">
        <f t="shared" si="10"/>
        <v>#DIV/0!</v>
      </c>
    </row>
    <row r="123" spans="1:18" ht="27.75">
      <c r="A123" s="792" t="s">
        <v>102</v>
      </c>
      <c r="B123" s="792"/>
      <c r="C123" s="792"/>
      <c r="D123" s="151" t="s">
        <v>183</v>
      </c>
      <c r="E123" s="237">
        <v>0</v>
      </c>
      <c r="F123" s="237">
        <v>44933</v>
      </c>
      <c r="G123" s="112">
        <f t="shared" si="9"/>
        <v>44933</v>
      </c>
      <c r="H123" s="99">
        <f>G123+'30'!H177</f>
        <v>47684</v>
      </c>
      <c r="I123" s="165"/>
      <c r="J123" s="348" t="e">
        <f t="shared" si="10"/>
        <v>#DIV/0!</v>
      </c>
    </row>
    <row r="124" spans="1:18" ht="29.25" customHeight="1">
      <c r="A124" s="797"/>
      <c r="B124" s="798"/>
      <c r="C124" s="799"/>
      <c r="D124" s="165"/>
      <c r="E124" s="165"/>
      <c r="F124" s="165"/>
      <c r="G124" s="347"/>
      <c r="H124" s="156"/>
      <c r="I124" s="165"/>
      <c r="J124" s="347"/>
    </row>
    <row r="125" spans="1:18" ht="27.75">
      <c r="A125" s="780"/>
      <c r="B125" s="780"/>
      <c r="C125" s="246"/>
      <c r="D125" s="317"/>
      <c r="E125" s="318"/>
      <c r="F125" s="318"/>
      <c r="G125" s="319"/>
      <c r="H125" s="156"/>
      <c r="I125" s="165"/>
      <c r="J125" s="347"/>
    </row>
    <row r="126" spans="1:18" ht="27.7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7.75">
      <c r="A127" s="780"/>
      <c r="B127" s="780"/>
      <c r="C127" s="246"/>
      <c r="D127" s="317"/>
      <c r="E127" s="318"/>
      <c r="F127" s="318"/>
      <c r="G127" s="319"/>
      <c r="H127" s="99">
        <f>G127+'30'!H181</f>
        <v>-12</v>
      </c>
      <c r="I127" s="165"/>
      <c r="J127" s="348" t="e">
        <f t="shared" ref="J127:J135" si="11">H127/DAY(B46)</f>
        <v>#DIV/0!</v>
      </c>
    </row>
    <row r="128" spans="1:18" ht="29.25" customHeight="1">
      <c r="A128" s="793" t="s">
        <v>318</v>
      </c>
      <c r="B128" s="794"/>
      <c r="C128" s="795"/>
      <c r="D128" s="151" t="s">
        <v>183</v>
      </c>
      <c r="E128" s="95">
        <f>'30'!F182</f>
        <v>0</v>
      </c>
      <c r="F128" s="165"/>
      <c r="G128" s="112">
        <f t="shared" ref="G128:G133" si="12">F128-E128</f>
        <v>0</v>
      </c>
      <c r="H128" s="99">
        <f>G128+'30'!H182</f>
        <v>0</v>
      </c>
      <c r="I128" s="165"/>
      <c r="J128" s="348" t="e">
        <f t="shared" si="11"/>
        <v>#DIV/0!</v>
      </c>
    </row>
    <row r="129" spans="1:15" ht="29.25" customHeight="1">
      <c r="A129" s="349" t="s">
        <v>319</v>
      </c>
      <c r="B129" s="350"/>
      <c r="C129" s="351"/>
      <c r="D129" s="151" t="s">
        <v>183</v>
      </c>
      <c r="E129" s="95">
        <f>'30'!F183</f>
        <v>0</v>
      </c>
      <c r="F129" s="165"/>
      <c r="G129" s="112">
        <f t="shared" si="12"/>
        <v>0</v>
      </c>
      <c r="H129" s="99">
        <f>G129+'30'!H183</f>
        <v>-34</v>
      </c>
      <c r="I129" s="165"/>
      <c r="J129" s="348" t="e">
        <f t="shared" si="11"/>
        <v>#DIV/0!</v>
      </c>
      <c r="N129" s="240"/>
      <c r="O129" s="241"/>
    </row>
    <row r="130" spans="1:15" ht="29.25" customHeight="1">
      <c r="A130" s="349" t="s">
        <v>320</v>
      </c>
      <c r="B130" s="350"/>
      <c r="C130" s="351"/>
      <c r="D130" s="151" t="s">
        <v>183</v>
      </c>
      <c r="E130" s="95">
        <f>'30'!F184</f>
        <v>0</v>
      </c>
      <c r="F130" s="165"/>
      <c r="G130" s="112">
        <f t="shared" si="12"/>
        <v>0</v>
      </c>
      <c r="H130" s="99">
        <f>G130+'30'!H184</f>
        <v>-194</v>
      </c>
      <c r="I130" s="165"/>
      <c r="J130" s="348" t="e">
        <f t="shared" si="11"/>
        <v>#DIV/0!</v>
      </c>
      <c r="N130" s="240"/>
      <c r="O130" s="241"/>
    </row>
    <row r="131" spans="1:15" ht="29.25" customHeight="1">
      <c r="A131" s="793" t="s">
        <v>321</v>
      </c>
      <c r="B131" s="794"/>
      <c r="C131" s="795"/>
      <c r="D131" s="151" t="s">
        <v>183</v>
      </c>
      <c r="E131" s="95">
        <f>'30'!F185</f>
        <v>0</v>
      </c>
      <c r="F131" s="165"/>
      <c r="G131" s="112">
        <f t="shared" si="12"/>
        <v>0</v>
      </c>
      <c r="H131" s="99">
        <f>G131+'30'!H185</f>
        <v>-2626</v>
      </c>
      <c r="I131" s="165"/>
      <c r="J131" s="348" t="e">
        <f t="shared" si="11"/>
        <v>#DIV/0!</v>
      </c>
      <c r="N131" s="240"/>
      <c r="O131" s="241"/>
    </row>
    <row r="132" spans="1:15" ht="29.25" customHeight="1">
      <c r="A132" s="793" t="s">
        <v>322</v>
      </c>
      <c r="B132" s="794"/>
      <c r="C132" s="795"/>
      <c r="D132" s="151" t="s">
        <v>183</v>
      </c>
      <c r="E132" s="95">
        <f>'30'!F186</f>
        <v>0</v>
      </c>
      <c r="F132" s="165"/>
      <c r="G132" s="112">
        <f t="shared" si="12"/>
        <v>0</v>
      </c>
      <c r="H132" s="99">
        <f>G132+'30'!H186</f>
        <v>-1795</v>
      </c>
      <c r="I132" s="165"/>
      <c r="J132" s="348" t="e">
        <f t="shared" si="11"/>
        <v>#DIV/0!</v>
      </c>
    </row>
    <row r="133" spans="1:15" ht="29.25" customHeight="1">
      <c r="A133" s="793" t="s">
        <v>323</v>
      </c>
      <c r="B133" s="794"/>
      <c r="C133" s="795"/>
      <c r="D133" s="151" t="s">
        <v>183</v>
      </c>
      <c r="E133" s="95">
        <f>'30'!F187</f>
        <v>0</v>
      </c>
      <c r="F133" s="165"/>
      <c r="G133" s="112">
        <f t="shared" si="12"/>
        <v>0</v>
      </c>
      <c r="H133" s="99">
        <f>G133+'30'!H187</f>
        <v>0</v>
      </c>
      <c r="I133" s="165"/>
      <c r="J133" s="348" t="e">
        <f t="shared" si="11"/>
        <v>#DIV/0!</v>
      </c>
    </row>
    <row r="134" spans="1:15" ht="29.25" customHeight="1">
      <c r="A134" s="797"/>
      <c r="B134" s="798"/>
      <c r="C134" s="799"/>
      <c r="D134" s="151"/>
      <c r="E134" s="95"/>
      <c r="F134" s="165"/>
      <c r="G134" s="112"/>
      <c r="H134" s="99">
        <f>G134+'30'!H188</f>
        <v>0</v>
      </c>
      <c r="I134" s="165"/>
      <c r="J134" s="348" t="e">
        <f t="shared" si="11"/>
        <v>#DIV/0!</v>
      </c>
    </row>
    <row r="135" spans="1:15" ht="29.25" customHeight="1">
      <c r="A135" s="797"/>
      <c r="B135" s="798"/>
      <c r="C135" s="799"/>
      <c r="D135" s="151"/>
      <c r="E135" s="95"/>
      <c r="F135" s="165"/>
      <c r="G135" s="112"/>
      <c r="H135" s="99">
        <f>G135+'30'!H189</f>
        <v>0</v>
      </c>
      <c r="I135" s="165"/>
      <c r="J135" s="348" t="e">
        <f t="shared" si="11"/>
        <v>#DIV/0!</v>
      </c>
    </row>
    <row r="136" spans="1:15" ht="35.25" customHeight="1">
      <c r="A136" s="779" t="s">
        <v>325</v>
      </c>
      <c r="B136" s="779"/>
      <c r="C136" s="779"/>
      <c r="D136" s="779"/>
      <c r="E136" s="779"/>
      <c r="F136" s="779"/>
      <c r="G136" s="779"/>
      <c r="H136" s="779"/>
      <c r="I136" s="779"/>
      <c r="J136" s="779"/>
    </row>
    <row r="137" spans="1:15" ht="29.2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>
      <c r="A138" s="792" t="s">
        <v>185</v>
      </c>
      <c r="B138" s="792"/>
      <c r="C138" s="792"/>
      <c r="D138" s="151" t="s">
        <v>183</v>
      </c>
      <c r="E138" s="95">
        <f>'30'!F192</f>
        <v>0</v>
      </c>
      <c r="F138" s="147">
        <v>857022</v>
      </c>
      <c r="G138" s="112">
        <f t="shared" ref="G138:G150" si="13">F138-E138</f>
        <v>857022</v>
      </c>
      <c r="H138" s="99">
        <f>G138+'30'!H192</f>
        <v>857022</v>
      </c>
      <c r="I138" s="118"/>
      <c r="J138" s="348" t="e">
        <f>H138/DAY(B77)</f>
        <v>#DIV/0!</v>
      </c>
    </row>
    <row r="139" spans="1:15" ht="27.75">
      <c r="A139" s="792" t="s">
        <v>186</v>
      </c>
      <c r="B139" s="792"/>
      <c r="C139" s="792"/>
      <c r="D139" s="151" t="s">
        <v>183</v>
      </c>
      <c r="E139" s="95">
        <f>'30'!F193</f>
        <v>0</v>
      </c>
      <c r="F139" s="148">
        <v>886051</v>
      </c>
      <c r="G139" s="112">
        <f t="shared" si="13"/>
        <v>886051</v>
      </c>
      <c r="H139" s="99">
        <f>G139+'30'!H193</f>
        <v>886051</v>
      </c>
      <c r="I139" s="118"/>
      <c r="J139" s="348" t="e">
        <f>H139/DAY(B77)</f>
        <v>#DIV/0!</v>
      </c>
    </row>
    <row r="140" spans="1:15" ht="27.75">
      <c r="A140" s="792" t="s">
        <v>187</v>
      </c>
      <c r="B140" s="792"/>
      <c r="C140" s="792"/>
      <c r="D140" s="151" t="s">
        <v>183</v>
      </c>
      <c r="E140" s="95">
        <f>'30'!F194</f>
        <v>0</v>
      </c>
      <c r="F140" s="149">
        <v>88776</v>
      </c>
      <c r="G140" s="112">
        <f t="shared" si="13"/>
        <v>88776</v>
      </c>
      <c r="H140" s="99">
        <f>G140+'30'!H194</f>
        <v>88776</v>
      </c>
      <c r="I140" s="118"/>
      <c r="J140" s="348" t="e">
        <f>H140/DAY(B77)</f>
        <v>#DIV/0!</v>
      </c>
    </row>
    <row r="141" spans="1:15" ht="27.75">
      <c r="A141" s="771" t="s">
        <v>188</v>
      </c>
      <c r="B141" s="771"/>
      <c r="C141" s="771"/>
      <c r="D141" s="151" t="s">
        <v>183</v>
      </c>
      <c r="E141" s="95">
        <f>'30'!F195</f>
        <v>0</v>
      </c>
      <c r="F141" s="149">
        <v>26308</v>
      </c>
      <c r="G141" s="112">
        <f t="shared" si="13"/>
        <v>26308</v>
      </c>
      <c r="H141" s="99">
        <f>G141+'30'!H195</f>
        <v>26308</v>
      </c>
      <c r="I141" s="118"/>
      <c r="J141" s="348" t="e">
        <f>H141/DAY(B77)</f>
        <v>#DIV/0!</v>
      </c>
    </row>
    <row r="142" spans="1:15" ht="27.75">
      <c r="A142" s="771" t="s">
        <v>189</v>
      </c>
      <c r="B142" s="771"/>
      <c r="C142" s="771"/>
      <c r="D142" s="151" t="s">
        <v>183</v>
      </c>
      <c r="E142" s="95">
        <f>'30'!F196</f>
        <v>0</v>
      </c>
      <c r="F142" s="148">
        <v>13277</v>
      </c>
      <c r="G142" s="112">
        <f t="shared" si="13"/>
        <v>13277</v>
      </c>
      <c r="H142" s="99">
        <f>G142+'30'!H196</f>
        <v>13277</v>
      </c>
      <c r="I142" s="140"/>
      <c r="J142" s="348" t="e">
        <f>H142/DAY(B77)</f>
        <v>#DIV/0!</v>
      </c>
    </row>
    <row r="143" spans="1:15" ht="27.75">
      <c r="A143" s="792" t="s">
        <v>190</v>
      </c>
      <c r="B143" s="792"/>
      <c r="C143" s="792"/>
      <c r="D143" s="151" t="s">
        <v>183</v>
      </c>
      <c r="E143" s="95">
        <f>'30'!F197</f>
        <v>0</v>
      </c>
      <c r="F143" s="149">
        <v>708289</v>
      </c>
      <c r="G143" s="112">
        <f t="shared" si="13"/>
        <v>708289</v>
      </c>
      <c r="H143" s="99">
        <f>G143+'30'!H197</f>
        <v>708289</v>
      </c>
      <c r="I143" s="140"/>
      <c r="J143" s="348" t="e">
        <f>H143/DAY(B77)</f>
        <v>#DIV/0!</v>
      </c>
    </row>
    <row r="144" spans="1:15" ht="27.75">
      <c r="A144" s="827" t="s">
        <v>191</v>
      </c>
      <c r="B144" s="812"/>
      <c r="C144" s="813"/>
      <c r="D144" s="151" t="s">
        <v>183</v>
      </c>
      <c r="E144" s="95">
        <f>'30'!F198</f>
        <v>0</v>
      </c>
      <c r="F144" s="149">
        <v>682413</v>
      </c>
      <c r="G144" s="112">
        <f t="shared" si="13"/>
        <v>682413</v>
      </c>
      <c r="H144" s="99">
        <f>G144+'30'!H198</f>
        <v>682413</v>
      </c>
      <c r="I144" s="140"/>
      <c r="J144" s="348" t="e">
        <f>H144/DAY(B77)</f>
        <v>#DIV/0!</v>
      </c>
    </row>
    <row r="145" spans="1:10" ht="27.75">
      <c r="A145" s="771" t="s">
        <v>90</v>
      </c>
      <c r="B145" s="771"/>
      <c r="C145" s="771"/>
      <c r="D145" s="152" t="s">
        <v>183</v>
      </c>
      <c r="E145" s="95">
        <f>'30'!F199</f>
        <v>0</v>
      </c>
      <c r="F145" s="149">
        <v>845049</v>
      </c>
      <c r="G145" s="112">
        <f t="shared" si="13"/>
        <v>845049</v>
      </c>
      <c r="H145" s="99">
        <f>G145+'30'!H199</f>
        <v>845049</v>
      </c>
      <c r="I145" s="140"/>
      <c r="J145" s="348" t="e">
        <f>H145/DAY(B77)</f>
        <v>#DIV/0!</v>
      </c>
    </row>
    <row r="146" spans="1:10" ht="27.75">
      <c r="A146" s="771" t="s">
        <v>192</v>
      </c>
      <c r="B146" s="771"/>
      <c r="C146" s="771"/>
      <c r="D146" s="152" t="s">
        <v>183</v>
      </c>
      <c r="E146" s="95">
        <f>'30'!F200</f>
        <v>0</v>
      </c>
      <c r="F146" s="148">
        <v>564298</v>
      </c>
      <c r="G146" s="112">
        <f t="shared" si="13"/>
        <v>564298</v>
      </c>
      <c r="H146" s="99">
        <f>G146+'30'!H200</f>
        <v>564298</v>
      </c>
      <c r="I146" s="140"/>
      <c r="J146" s="348" t="e">
        <f>H146/DAY(B77)</f>
        <v>#DIV/0!</v>
      </c>
    </row>
    <row r="147" spans="1:10" ht="27.75">
      <c r="A147" s="771" t="s">
        <v>193</v>
      </c>
      <c r="B147" s="771"/>
      <c r="C147" s="771"/>
      <c r="D147" s="152" t="s">
        <v>183</v>
      </c>
      <c r="E147" s="95">
        <f>'30'!F201</f>
        <v>0</v>
      </c>
      <c r="F147" s="148">
        <v>654178</v>
      </c>
      <c r="G147" s="112">
        <f t="shared" si="13"/>
        <v>654178</v>
      </c>
      <c r="H147" s="99">
        <f>G147+'30'!H201</f>
        <v>654178</v>
      </c>
      <c r="I147" s="140"/>
      <c r="J147" s="348" t="e">
        <f>H147/DAY(B77)</f>
        <v>#DIV/0!</v>
      </c>
    </row>
    <row r="148" spans="1:10" ht="27.75">
      <c r="A148" s="771" t="s">
        <v>91</v>
      </c>
      <c r="B148" s="771"/>
      <c r="C148" s="771"/>
      <c r="D148" s="123" t="s">
        <v>130</v>
      </c>
      <c r="E148" s="95">
        <f>'30'!F202</f>
        <v>0</v>
      </c>
      <c r="F148" s="150">
        <v>109925</v>
      </c>
      <c r="G148" s="112">
        <f t="shared" si="13"/>
        <v>109925</v>
      </c>
      <c r="H148" s="99">
        <f>G148+'30'!H202</f>
        <v>109925</v>
      </c>
      <c r="I148" s="124"/>
      <c r="J148" s="348" t="e">
        <f>H148/DAY(B77)</f>
        <v>#DIV/0!</v>
      </c>
    </row>
    <row r="149" spans="1:10" ht="27.75">
      <c r="A149" s="771" t="s">
        <v>194</v>
      </c>
      <c r="B149" s="771"/>
      <c r="C149" s="771"/>
      <c r="D149" s="227" t="s">
        <v>130</v>
      </c>
      <c r="E149" s="95">
        <f>'30'!F203</f>
        <v>0</v>
      </c>
      <c r="F149" s="146">
        <v>44323</v>
      </c>
      <c r="G149" s="112">
        <f t="shared" si="13"/>
        <v>44323</v>
      </c>
      <c r="H149" s="99">
        <f>G149+'30'!H203</f>
        <v>44323</v>
      </c>
      <c r="I149" s="119"/>
      <c r="J149" s="348" t="e">
        <f>H149/DAY(B77)</f>
        <v>#DIV/0!</v>
      </c>
    </row>
    <row r="150" spans="1:10" ht="29.25">
      <c r="A150" s="345" t="s">
        <v>195</v>
      </c>
      <c r="B150" s="190"/>
      <c r="C150" s="190"/>
      <c r="D150" s="117" t="s">
        <v>130</v>
      </c>
      <c r="E150" s="95">
        <f>'30'!F204</f>
        <v>0</v>
      </c>
      <c r="F150" s="233">
        <v>570379</v>
      </c>
      <c r="G150" s="112">
        <f t="shared" si="13"/>
        <v>570379</v>
      </c>
      <c r="H150" s="99">
        <f>G150+'30'!H204</f>
        <v>570379</v>
      </c>
      <c r="I150" s="119"/>
      <c r="J150" s="348" t="e">
        <f>H150/DAY(B77)</f>
        <v>#DIV/0!</v>
      </c>
    </row>
    <row r="151" spans="1:10" ht="29.25"/>
    <row r="152" spans="1:10" ht="31.5">
      <c r="A152" s="779" t="s">
        <v>326</v>
      </c>
      <c r="B152" s="779"/>
      <c r="C152" s="779"/>
      <c r="D152" s="779"/>
      <c r="E152" s="779"/>
      <c r="F152" s="779"/>
      <c r="G152" s="779"/>
      <c r="H152" s="779"/>
      <c r="I152" s="779"/>
      <c r="J152" s="779"/>
    </row>
    <row r="153" spans="1:10" ht="29.25">
      <c r="A153" s="242" t="s">
        <v>92</v>
      </c>
      <c r="B153" s="243"/>
      <c r="C153" s="243"/>
      <c r="D153" s="244" t="s">
        <v>180</v>
      </c>
      <c r="E153" s="95">
        <f>'30'!F207</f>
        <v>0</v>
      </c>
      <c r="F153" s="235">
        <v>463315</v>
      </c>
      <c r="G153" s="238">
        <f t="shared" ref="G153:G157" si="14">F153-E153</f>
        <v>463315</v>
      </c>
      <c r="H153" s="99">
        <f>G153+'30'!H207</f>
        <v>463315</v>
      </c>
      <c r="I153" s="236"/>
      <c r="J153" s="239" t="e">
        <f>H153/DAY(B92)</f>
        <v>#DIV/0!</v>
      </c>
    </row>
    <row r="154" spans="1:10" ht="29.25">
      <c r="A154" s="242" t="s">
        <v>93</v>
      </c>
      <c r="B154" s="243"/>
      <c r="C154" s="243"/>
      <c r="D154" s="244" t="s">
        <v>180</v>
      </c>
      <c r="E154" s="95">
        <f>'30'!F208</f>
        <v>0</v>
      </c>
      <c r="F154" s="235">
        <v>83899</v>
      </c>
      <c r="G154" s="238">
        <f t="shared" si="14"/>
        <v>83899</v>
      </c>
      <c r="H154" s="99">
        <f>G154+'30'!H208</f>
        <v>83899</v>
      </c>
      <c r="I154" s="236"/>
      <c r="J154" s="239" t="e">
        <f>H154/DAY(B92)</f>
        <v>#DIV/0!</v>
      </c>
    </row>
    <row r="155" spans="1:10" ht="29.25">
      <c r="A155" s="242" t="s">
        <v>197</v>
      </c>
      <c r="B155" s="243"/>
      <c r="C155" s="243"/>
      <c r="D155" s="244" t="s">
        <v>180</v>
      </c>
      <c r="E155" s="95">
        <f>'30'!F210</f>
        <v>0</v>
      </c>
      <c r="F155" s="235">
        <v>69089</v>
      </c>
      <c r="G155" s="238">
        <f t="shared" si="14"/>
        <v>69089</v>
      </c>
      <c r="H155" s="99">
        <f>G155+'30'!H210</f>
        <v>69089</v>
      </c>
      <c r="I155" s="236"/>
      <c r="J155" s="239" t="e">
        <f>H155/DAY(B92)</f>
        <v>#DIV/0!</v>
      </c>
    </row>
    <row r="156" spans="1:10" ht="29.25">
      <c r="A156" s="242" t="s">
        <v>197</v>
      </c>
      <c r="B156" s="243"/>
      <c r="C156" s="243"/>
      <c r="D156" s="244" t="s">
        <v>180</v>
      </c>
      <c r="E156" s="95">
        <f>'30'!F211</f>
        <v>0</v>
      </c>
      <c r="F156" s="235">
        <v>3611</v>
      </c>
      <c r="G156" s="238">
        <f t="shared" si="14"/>
        <v>3611</v>
      </c>
      <c r="H156" s="99">
        <f>G156+'30'!H211</f>
        <v>3611</v>
      </c>
      <c r="I156" s="236"/>
      <c r="J156" s="239" t="e">
        <f>H156/DAY(B92)</f>
        <v>#DIV/0!</v>
      </c>
    </row>
    <row r="157" spans="1:10" ht="29.25">
      <c r="A157" s="242" t="s">
        <v>309</v>
      </c>
      <c r="B157" s="243"/>
      <c r="C157" s="243"/>
      <c r="D157" s="244" t="s">
        <v>180</v>
      </c>
      <c r="E157" s="95">
        <f>'30'!F212</f>
        <v>0</v>
      </c>
      <c r="F157" s="235">
        <v>28746</v>
      </c>
      <c r="G157" s="238">
        <f t="shared" si="14"/>
        <v>28746</v>
      </c>
      <c r="H157" s="99">
        <f>G157+'30'!H212</f>
        <v>28746</v>
      </c>
      <c r="I157" s="236"/>
      <c r="J157" s="239" t="e">
        <f>H157/DAY(B92)</f>
        <v>#DIV/0!</v>
      </c>
    </row>
    <row r="158" spans="1:10" ht="29.25">
      <c r="A158" s="780" t="s">
        <v>328</v>
      </c>
      <c r="B158" s="780"/>
      <c r="C158" s="247"/>
      <c r="D158" s="244" t="s">
        <v>180</v>
      </c>
      <c r="E158" s="165"/>
      <c r="F158" s="165"/>
      <c r="G158" s="165"/>
      <c r="H158" s="156"/>
      <c r="I158" s="165"/>
      <c r="J158" s="347"/>
    </row>
    <row r="159" spans="1:10" ht="29.25">
      <c r="A159" s="780" t="s">
        <v>327</v>
      </c>
      <c r="B159" s="780"/>
      <c r="C159" s="247"/>
      <c r="D159" s="244" t="s">
        <v>180</v>
      </c>
      <c r="E159" s="165"/>
      <c r="F159" s="165"/>
      <c r="G159" s="165"/>
      <c r="H159" s="156"/>
      <c r="I159" s="165"/>
      <c r="J159" s="347"/>
    </row>
    <row r="160" spans="1:10" ht="29.25">
      <c r="A160" s="780" t="s">
        <v>328</v>
      </c>
      <c r="B160" s="780"/>
      <c r="C160" s="247"/>
      <c r="D160" s="244" t="s">
        <v>180</v>
      </c>
      <c r="E160" s="165"/>
      <c r="F160" s="165"/>
      <c r="G160" s="165"/>
      <c r="H160" s="156"/>
      <c r="I160" s="165"/>
      <c r="J160" s="347"/>
    </row>
    <row r="161" spans="1:10" ht="29.25"/>
    <row r="162" spans="1:10" ht="29.25"/>
    <row r="163" spans="1:10" ht="34.5" customHeight="1">
      <c r="A163" s="781" t="s">
        <v>330</v>
      </c>
      <c r="B163" s="782"/>
      <c r="C163" s="782"/>
      <c r="D163" s="782"/>
      <c r="E163" s="782"/>
      <c r="F163" s="782"/>
      <c r="G163" s="782"/>
      <c r="H163" s="782"/>
      <c r="I163" s="782"/>
      <c r="J163" s="783"/>
    </row>
    <row r="164" spans="1:10" ht="27.75">
      <c r="A164" s="790"/>
      <c r="B164" s="791"/>
      <c r="C164" s="352"/>
      <c r="D164" s="228"/>
      <c r="E164" s="155"/>
      <c r="F164" s="155"/>
      <c r="G164" s="155"/>
      <c r="H164" s="156"/>
      <c r="I164" s="155"/>
      <c r="J164" s="178"/>
    </row>
    <row r="165" spans="1:10" ht="27.75">
      <c r="A165" s="786" t="s">
        <v>209</v>
      </c>
      <c r="B165" s="787"/>
      <c r="C165" s="353"/>
      <c r="D165" s="228" t="s">
        <v>142</v>
      </c>
      <c r="E165" s="155">
        <f>'30'!F219</f>
        <v>0</v>
      </c>
      <c r="F165" s="155">
        <v>7961</v>
      </c>
      <c r="G165" s="155">
        <f>F165-E165</f>
        <v>7961</v>
      </c>
      <c r="H165" s="99">
        <f>G165+'30'!H219</f>
        <v>7961</v>
      </c>
      <c r="I165" s="155"/>
      <c r="J165" s="178" t="e">
        <f>H165/DAY(B93)</f>
        <v>#DIV/0!</v>
      </c>
    </row>
    <row r="166" spans="1:10" ht="27.75">
      <c r="A166" s="786" t="s">
        <v>75</v>
      </c>
      <c r="B166" s="787"/>
      <c r="C166" s="353"/>
      <c r="D166" s="228" t="s">
        <v>142</v>
      </c>
      <c r="E166" s="155">
        <f>'30'!F220</f>
        <v>0</v>
      </c>
      <c r="F166" s="157">
        <v>36765</v>
      </c>
      <c r="G166" s="155">
        <f t="shared" ref="G166:G167" si="15">F166-E166</f>
        <v>36765</v>
      </c>
      <c r="H166" s="99">
        <f>G166+'30'!H220</f>
        <v>36765</v>
      </c>
      <c r="I166" s="155"/>
      <c r="J166" s="178" t="e">
        <f>H166/DAY(B93)</f>
        <v>#DIV/0!</v>
      </c>
    </row>
    <row r="167" spans="1:10" ht="27.75">
      <c r="A167" s="786" t="s">
        <v>76</v>
      </c>
      <c r="B167" s="826"/>
      <c r="C167" s="787"/>
      <c r="D167" s="228" t="s">
        <v>142</v>
      </c>
      <c r="E167" s="155">
        <f>'30'!F221</f>
        <v>0</v>
      </c>
      <c r="F167" s="155">
        <v>20214</v>
      </c>
      <c r="G167" s="155">
        <f t="shared" si="15"/>
        <v>20214</v>
      </c>
      <c r="H167" s="99">
        <f>G167+'30'!H221</f>
        <v>20214</v>
      </c>
      <c r="I167" s="155"/>
      <c r="J167" s="178" t="e">
        <f>H167/DAY(B93)</f>
        <v>#DIV/0!</v>
      </c>
    </row>
    <row r="168" spans="1:10" ht="27.75">
      <c r="A168" s="786" t="s">
        <v>196</v>
      </c>
      <c r="B168" s="787"/>
      <c r="C168" s="353"/>
      <c r="D168" s="228"/>
      <c r="E168" s="155"/>
      <c r="F168" s="155"/>
      <c r="G168" s="155">
        <f>SUM(G165:G167)</f>
        <v>64940</v>
      </c>
      <c r="H168" s="99">
        <f>G168+'30'!H222</f>
        <v>64940</v>
      </c>
      <c r="I168" s="155"/>
      <c r="J168" s="178" t="e">
        <f>H168/DAY(B93)</f>
        <v>#DIV/0!</v>
      </c>
    </row>
    <row r="169" spans="1:10" ht="27.75">
      <c r="A169" s="786" t="s">
        <v>77</v>
      </c>
      <c r="B169" s="787"/>
      <c r="C169" s="353"/>
      <c r="D169" s="228" t="s">
        <v>142</v>
      </c>
      <c r="E169" s="155"/>
      <c r="F169" s="155"/>
      <c r="G169" s="155"/>
      <c r="H169" s="99">
        <f>G169+'30'!H223</f>
        <v>0</v>
      </c>
      <c r="I169" s="155"/>
      <c r="J169" s="178"/>
    </row>
    <row r="170" spans="1:10" ht="27.75">
      <c r="A170" s="786" t="s">
        <v>210</v>
      </c>
      <c r="B170" s="787"/>
      <c r="C170" s="353"/>
      <c r="D170" s="228" t="s">
        <v>142</v>
      </c>
      <c r="E170" s="155">
        <f>'30'!F224</f>
        <v>0</v>
      </c>
      <c r="F170" s="155">
        <v>69524</v>
      </c>
      <c r="G170" s="155">
        <f>F170-E170</f>
        <v>69524</v>
      </c>
      <c r="H170" s="99">
        <f>G170+'30'!H224</f>
        <v>69524</v>
      </c>
      <c r="I170" s="155"/>
      <c r="J170" s="178" t="e">
        <f>H170/DAY(B93)</f>
        <v>#DIV/0!</v>
      </c>
    </row>
    <row r="171" spans="1:10" ht="27.75">
      <c r="A171" s="786" t="s">
        <v>211</v>
      </c>
      <c r="B171" s="787"/>
      <c r="C171" s="353"/>
      <c r="D171" s="228" t="s">
        <v>142</v>
      </c>
      <c r="E171" s="155">
        <f>'30'!F225</f>
        <v>0</v>
      </c>
      <c r="F171" s="155">
        <v>33886</v>
      </c>
      <c r="G171" s="155">
        <f t="shared" ref="G171:G172" si="16">F171-E171</f>
        <v>33886</v>
      </c>
      <c r="H171" s="99">
        <f>G171+'30'!H225</f>
        <v>33886</v>
      </c>
      <c r="I171" s="155"/>
      <c r="J171" s="178" t="e">
        <f>H171/DAY(B93)</f>
        <v>#DIV/0!</v>
      </c>
    </row>
    <row r="172" spans="1:10" ht="27.75">
      <c r="A172" s="786" t="s">
        <v>212</v>
      </c>
      <c r="B172" s="787"/>
      <c r="C172" s="353"/>
      <c r="D172" s="228" t="s">
        <v>142</v>
      </c>
      <c r="E172" s="155">
        <f>'30'!F226</f>
        <v>0</v>
      </c>
      <c r="F172" s="155">
        <v>4788</v>
      </c>
      <c r="G172" s="155">
        <f t="shared" si="16"/>
        <v>4788</v>
      </c>
      <c r="H172" s="99">
        <f>G172+'30'!H226</f>
        <v>4788</v>
      </c>
      <c r="I172" s="155"/>
      <c r="J172" s="178" t="e">
        <f>H172/DAY(B93)</f>
        <v>#DIV/0!</v>
      </c>
    </row>
    <row r="173" spans="1:10" ht="27.75">
      <c r="A173" s="777" t="s">
        <v>108</v>
      </c>
      <c r="B173" s="778"/>
      <c r="C173" s="353"/>
      <c r="D173" s="228"/>
      <c r="E173" s="155"/>
      <c r="F173" s="155"/>
      <c r="G173" s="155">
        <f>SUM(G170:G172)</f>
        <v>108198</v>
      </c>
      <c r="H173" s="99">
        <f>G173+'30'!H227</f>
        <v>108198</v>
      </c>
      <c r="I173" s="155"/>
      <c r="J173" s="178" t="e">
        <f>H173/DAY(B93)</f>
        <v>#DIV/0!</v>
      </c>
    </row>
    <row r="174" spans="1:10" ht="27.75">
      <c r="A174" s="786" t="s">
        <v>213</v>
      </c>
      <c r="B174" s="787"/>
      <c r="C174" s="353"/>
      <c r="D174" s="228"/>
      <c r="E174" s="155"/>
      <c r="F174" s="155"/>
      <c r="G174" s="155"/>
      <c r="H174" s="99">
        <f>G174+'30'!H228</f>
        <v>0</v>
      </c>
      <c r="I174" s="155"/>
      <c r="J174" s="178" t="e">
        <f>H174/DAY(B93)</f>
        <v>#DIV/0!</v>
      </c>
    </row>
    <row r="175" spans="1:10" ht="27.75">
      <c r="A175" s="786" t="s">
        <v>214</v>
      </c>
      <c r="B175" s="787"/>
      <c r="C175" s="354"/>
      <c r="D175" s="228" t="s">
        <v>142</v>
      </c>
      <c r="E175" s="155">
        <f>'30'!F229</f>
        <v>0</v>
      </c>
      <c r="F175" s="157">
        <v>13038</v>
      </c>
      <c r="G175" s="157">
        <f>F175-E175</f>
        <v>13038</v>
      </c>
      <c r="H175" s="99">
        <f>G175+'30'!H229</f>
        <v>13038</v>
      </c>
      <c r="I175" s="155"/>
      <c r="J175" s="178" t="e">
        <f>H175/DAY(B93)</f>
        <v>#DIV/0!</v>
      </c>
    </row>
    <row r="176" spans="1:10" ht="27.75">
      <c r="A176" s="786" t="s">
        <v>215</v>
      </c>
      <c r="B176" s="787"/>
      <c r="C176" s="354"/>
      <c r="D176" s="228" t="s">
        <v>142</v>
      </c>
      <c r="E176" s="155">
        <f>'30'!F230</f>
        <v>0</v>
      </c>
      <c r="F176" s="157">
        <v>9126</v>
      </c>
      <c r="G176" s="157">
        <f t="shared" ref="G176:G177" si="17">F176-E176</f>
        <v>9126</v>
      </c>
      <c r="H176" s="99">
        <f>G176+'30'!H230</f>
        <v>9126</v>
      </c>
      <c r="I176" s="155"/>
      <c r="J176" s="178" t="e">
        <f>H176/DAY(B93)</f>
        <v>#DIV/0!</v>
      </c>
    </row>
    <row r="177" spans="1:10" ht="27.75">
      <c r="A177" s="786" t="s">
        <v>216</v>
      </c>
      <c r="B177" s="787"/>
      <c r="C177" s="354"/>
      <c r="D177" s="228" t="s">
        <v>142</v>
      </c>
      <c r="E177" s="157"/>
      <c r="F177" s="157"/>
      <c r="G177" s="157">
        <f t="shared" si="17"/>
        <v>0</v>
      </c>
      <c r="H177" s="99">
        <f>G177+'30'!H231</f>
        <v>0</v>
      </c>
      <c r="I177" s="155"/>
      <c r="J177" s="178" t="e">
        <f>H177/DAY(B93)</f>
        <v>#DIV/0!</v>
      </c>
    </row>
    <row r="178" spans="1:10" ht="27.75">
      <c r="A178" s="786" t="s">
        <v>196</v>
      </c>
      <c r="B178" s="787"/>
      <c r="C178" s="354"/>
      <c r="D178" s="229"/>
      <c r="E178" s="157"/>
      <c r="F178" s="157"/>
      <c r="G178" s="157">
        <f>SUM(G175:G177)</f>
        <v>22164</v>
      </c>
      <c r="H178" s="99">
        <f>G178+'30'!H232</f>
        <v>22164</v>
      </c>
      <c r="I178" s="157"/>
      <c r="J178" s="178" t="e">
        <f>H178/DAY(B93)</f>
        <v>#DIV/0!</v>
      </c>
    </row>
    <row r="179" spans="1:10" ht="27.75">
      <c r="A179" s="777" t="s">
        <v>217</v>
      </c>
      <c r="B179" s="778"/>
      <c r="C179" s="353"/>
      <c r="D179" s="230" t="s">
        <v>142</v>
      </c>
      <c r="E179" s="159"/>
      <c r="F179" s="159"/>
      <c r="G179" s="159">
        <f>SUM(G110+G153)</f>
        <v>463315</v>
      </c>
      <c r="H179" s="99">
        <f>G179+'30'!H233</f>
        <v>463315</v>
      </c>
      <c r="I179" s="158"/>
      <c r="J179" s="179" t="e">
        <f>H179/DAY(B93)</f>
        <v>#DIV/0!</v>
      </c>
    </row>
    <row r="180" spans="1:10" ht="27.75">
      <c r="A180" s="777" t="s">
        <v>218</v>
      </c>
      <c r="B180" s="778"/>
      <c r="C180" s="353"/>
      <c r="D180" s="230" t="s">
        <v>142</v>
      </c>
      <c r="E180" s="159"/>
      <c r="F180" s="159"/>
      <c r="G180" s="159">
        <f>SUM(G156,G157,G158,G160,G161)</f>
        <v>32357</v>
      </c>
      <c r="H180" s="99">
        <f>G180+'30'!H234</f>
        <v>32357</v>
      </c>
      <c r="I180" s="158"/>
      <c r="J180" s="179" t="e">
        <f>H180/DAY(B93)</f>
        <v>#DIV/0!</v>
      </c>
    </row>
    <row r="181" spans="1:10" ht="27.75">
      <c r="A181" s="777" t="s">
        <v>219</v>
      </c>
      <c r="B181" s="778"/>
      <c r="C181" s="353"/>
      <c r="D181" s="230" t="s">
        <v>142</v>
      </c>
      <c r="E181" s="157"/>
      <c r="F181" s="157"/>
      <c r="G181" s="157">
        <f>SUM(G173)</f>
        <v>108198</v>
      </c>
      <c r="H181" s="99">
        <f>G181+'30'!H235</f>
        <v>108198</v>
      </c>
      <c r="I181" s="158"/>
      <c r="J181" s="179" t="e">
        <f>H181/DAY(B93)</f>
        <v>#DIV/0!</v>
      </c>
    </row>
    <row r="182" spans="1:10" ht="27.75">
      <c r="A182" s="777"/>
      <c r="B182" s="778"/>
      <c r="C182" s="353"/>
      <c r="D182" s="180"/>
      <c r="E182" s="180" t="s">
        <v>207</v>
      </c>
      <c r="F182" s="180"/>
      <c r="G182" s="180"/>
      <c r="H182" s="181"/>
      <c r="I182" s="180"/>
      <c r="J182" s="182"/>
    </row>
    <row r="183" spans="1:10" ht="29.25"/>
    <row r="184" spans="1:10" ht="29.25"/>
    <row r="185" spans="1:10" ht="29.25"/>
    <row r="186" spans="1:10" ht="29.25"/>
    <row r="187" spans="1:10" ht="29.25"/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</sheetData>
  <mergeCells count="105"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Ramesh.Kadam</cp:lastModifiedBy>
  <cp:revision/>
  <cp:lastPrinted>2021-08-31T02:26:59Z</cp:lastPrinted>
  <dcterms:created xsi:type="dcterms:W3CDTF">2013-11-14T06:06:34Z</dcterms:created>
  <dcterms:modified xsi:type="dcterms:W3CDTF">2021-11-29T20:06:43Z</dcterms:modified>
</cp:coreProperties>
</file>