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<sst xmlns="http://schemas.openxmlformats.org/spreadsheetml/2006/main" count="61" uniqueCount="29">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</sst>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2023</v>
      </c>
      <c r="E2" s="9">
        <f>'Macao Daily'!D5</f>
        <v>30118</v>
      </c>
      <c r="F2" s="30">
        <v>1.2419</v>
      </c>
      <c r="G2" s="9">
        <f>'Macao Daily'!F5</f>
        <v>192.3548387096962</v>
      </c>
      <c r="H2" s="30">
        <v>6.09</v>
      </c>
      <c r="I2" s="9">
        <f>'Macao Daily'!H5</f>
        <v>15375</v>
      </c>
      <c r="J2" s="30">
        <v>0.22</v>
      </c>
      <c r="K2" s="9">
        <f>'Macao Daily'!J5</f>
        <v>447</v>
      </c>
      <c r="L2" s="30">
        <v>7.7629999999999999</v>
      </c>
      <c r="M2" s="9">
        <f>'Macao Daily'!K5</f>
        <v>128</v>
      </c>
      <c r="N2" s="9">
        <f>'Macao Daily'!L5</f>
        <v>475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2023</v>
      </c>
      <c r="E3" s="9">
        <f>'Macao Daily'!D6</f>
        <v>29093</v>
      </c>
      <c r="F3" s="30">
        <v>1.2419</v>
      </c>
      <c r="G3" s="9">
        <f>'Macao Daily'!F6</f>
        <v>190.3548387096962</v>
      </c>
      <c r="H3" s="30">
        <v>6.09</v>
      </c>
      <c r="I3" s="9">
        <f>'Macao Daily'!H6</f>
        <v>19265</v>
      </c>
      <c r="J3" s="30">
        <v>0.22</v>
      </c>
      <c r="K3" s="9">
        <f>'Macao Daily'!J6</f>
        <v>456</v>
      </c>
      <c r="L3" s="30">
        <v>7.7629999999999999</v>
      </c>
      <c r="M3" s="9">
        <f>'Macao Daily'!K6</f>
        <v>154</v>
      </c>
      <c r="N3" s="9">
        <f>'Macao Daily'!L6</f>
        <v>409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29945</v>
      </c>
      <c r="F4" s="30">
        <v>1.2419</v>
      </c>
      <c r="G4" s="9">
        <f>'Macao Daily'!F7</f>
        <v>191.3548387096962</v>
      </c>
      <c r="H4" s="30">
        <v>6.09</v>
      </c>
      <c r="I4" s="9">
        <f>'Macao Daily'!H7</f>
        <v>17258</v>
      </c>
      <c r="J4" s="30">
        <v>0.22</v>
      </c>
      <c r="K4" s="9">
        <f>'Macao Daily'!J7</f>
        <v>421</v>
      </c>
      <c r="L4" s="30">
        <v>7.7629999999999999</v>
      </c>
      <c r="M4" s="9">
        <f>'Macao Daily'!K7</f>
        <v>172</v>
      </c>
      <c r="N4" s="9">
        <f>'Macao Daily'!L7</f>
        <v>383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2023</v>
      </c>
      <c r="E5" s="9">
        <f>'Macao Daily'!D8</f>
        <v>30531</v>
      </c>
      <c r="F5" s="30">
        <v>1.2419</v>
      </c>
      <c r="G5" s="9">
        <f>'Macao Daily'!F8</f>
        <v>188.3548387096962</v>
      </c>
      <c r="H5" s="30">
        <v>6.09</v>
      </c>
      <c r="I5" s="9">
        <f>'Macao Daily'!H8</f>
        <v>18344</v>
      </c>
      <c r="J5" s="30">
        <v>0.22</v>
      </c>
      <c r="K5" s="9">
        <f>'Macao Daily'!J8</f>
        <v>482</v>
      </c>
      <c r="L5" s="30">
        <v>7.7629999999999999</v>
      </c>
      <c r="M5" s="9">
        <f>'Macao Daily'!K8</f>
        <v>181</v>
      </c>
      <c r="N5" s="9">
        <f>'Macao Daily'!L8</f>
        <v>268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2023</v>
      </c>
      <c r="E6" s="9">
        <f>'Macao Daily'!D9</f>
        <v>30571</v>
      </c>
      <c r="F6" s="30">
        <v>1.2419</v>
      </c>
      <c r="G6" s="9">
        <f>'Macao Daily'!F9</f>
        <v>190.3548387096962</v>
      </c>
      <c r="H6" s="30">
        <v>6.09</v>
      </c>
      <c r="I6" s="9">
        <f>'Macao Daily'!H9</f>
        <v>21992</v>
      </c>
      <c r="J6" s="30">
        <v>0.22</v>
      </c>
      <c r="K6" s="9">
        <f>'Macao Daily'!J9</f>
        <v>527</v>
      </c>
      <c r="L6" s="30">
        <v>7.7629999999999999</v>
      </c>
      <c r="M6" s="9">
        <f>'Macao Daily'!K9</f>
        <v>150</v>
      </c>
      <c r="N6" s="9">
        <f>'Macao Daily'!L9</f>
        <v>255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2023</v>
      </c>
      <c r="E7" s="9">
        <f>'Macao Daily'!D10</f>
        <v>32530</v>
      </c>
      <c r="F7" s="30">
        <v>1.2419</v>
      </c>
      <c r="G7" s="9">
        <f>'Macao Daily'!F10</f>
        <v>201.3548387096962</v>
      </c>
      <c r="H7" s="30">
        <v>6.09</v>
      </c>
      <c r="I7" s="9">
        <f>'Macao Daily'!H10</f>
        <v>24195</v>
      </c>
      <c r="J7" s="30">
        <v>0.22</v>
      </c>
      <c r="K7" s="9">
        <f>'Macao Daily'!J10</f>
        <v>485</v>
      </c>
      <c r="L7" s="30">
        <v>7.7629999999999999</v>
      </c>
      <c r="M7" s="9">
        <f>'Macao Daily'!K10</f>
        <v>219</v>
      </c>
      <c r="N7" s="9">
        <f>'Macao Daily'!L10</f>
        <v>301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2023</v>
      </c>
      <c r="E8" s="9">
        <f>'Macao Daily'!D11</f>
        <v>32206</v>
      </c>
      <c r="F8" s="30">
        <v>1.2419</v>
      </c>
      <c r="G8" s="9">
        <f>'Macao Daily'!F11</f>
        <v>210.3548387096962</v>
      </c>
      <c r="H8" s="30">
        <v>6.09</v>
      </c>
      <c r="I8" s="9">
        <f>'Macao Daily'!H11</f>
        <v>22681</v>
      </c>
      <c r="J8" s="30">
        <v>0.22</v>
      </c>
      <c r="K8" s="9">
        <f>'Macao Daily'!J11</f>
        <v>505</v>
      </c>
      <c r="L8" s="30">
        <v>7.7629999999999999</v>
      </c>
      <c r="M8" s="9">
        <f>'Macao Daily'!K11</f>
        <v>253</v>
      </c>
      <c r="N8" s="9">
        <f>'Macao Daily'!L11</f>
        <v>450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2023</v>
      </c>
      <c r="E9" s="9">
        <f>'Macao Daily'!D12</f>
        <v>30358</v>
      </c>
      <c r="F9" s="30">
        <v>1.2419</v>
      </c>
      <c r="G9" s="9">
        <f>'Macao Daily'!F12</f>
        <v>211.3548387096962</v>
      </c>
      <c r="H9" s="30">
        <v>6.09</v>
      </c>
      <c r="I9" s="9">
        <f>'Macao Daily'!H12</f>
        <v>22881</v>
      </c>
      <c r="J9" s="30">
        <v>0.22</v>
      </c>
      <c r="K9" s="9">
        <f>'Macao Daily'!J12</f>
        <v>542</v>
      </c>
      <c r="L9" s="30">
        <v>7.7629999999999999</v>
      </c>
      <c r="M9" s="9">
        <f>'Macao Daily'!K12</f>
        <v>229</v>
      </c>
      <c r="N9" s="9">
        <f>'Macao Daily'!L12</f>
        <v>600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2023</v>
      </c>
      <c r="E10" s="9">
        <f>'Macao Daily'!D13</f>
        <v>30749</v>
      </c>
      <c r="F10" s="30">
        <v>1.2419</v>
      </c>
      <c r="G10" s="9">
        <f>'Macao Daily'!F13</f>
        <v>204.3548387096962</v>
      </c>
      <c r="H10" s="30">
        <v>6.09</v>
      </c>
      <c r="I10" s="9">
        <f>'Macao Daily'!H13</f>
        <v>17308</v>
      </c>
      <c r="J10" s="30">
        <v>0.22</v>
      </c>
      <c r="K10" s="9">
        <f>'Macao Daily'!J13</f>
        <v>466</v>
      </c>
      <c r="L10" s="30">
        <v>7.7629999999999999</v>
      </c>
      <c r="M10" s="9">
        <f>'Macao Daily'!K13</f>
        <v>227</v>
      </c>
      <c r="N10" s="9">
        <f>'Macao Daily'!L13</f>
        <v>375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2023</v>
      </c>
      <c r="E11" s="9">
        <f>'Macao Daily'!D14</f>
        <v>30828</v>
      </c>
      <c r="F11" s="30">
        <v>1.2419</v>
      </c>
      <c r="G11" s="9">
        <f>'Macao Daily'!F14</f>
        <v>196.3548387096962</v>
      </c>
      <c r="H11" s="30">
        <v>6.09</v>
      </c>
      <c r="I11" s="9">
        <f>'Macao Daily'!H14</f>
        <v>17308</v>
      </c>
      <c r="J11" s="30">
        <v>0.22</v>
      </c>
      <c r="K11" s="9">
        <f>'Macao Daily'!J14</f>
        <v>489</v>
      </c>
      <c r="L11" s="30">
        <v>7.7629999999999999</v>
      </c>
      <c r="M11" s="9">
        <f>'Macao Daily'!K14</f>
        <v>239</v>
      </c>
      <c r="N11" s="9">
        <f>'Macao Daily'!L14</f>
        <v>294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2023</v>
      </c>
      <c r="E12" s="9">
        <f>'Macao Daily'!D15</f>
        <v>30870</v>
      </c>
      <c r="F12" s="30">
        <v>1.2419</v>
      </c>
      <c r="G12" s="9">
        <f>'Macao Daily'!F15</f>
        <v>197.3548387096962</v>
      </c>
      <c r="H12" s="30">
        <v>6.09</v>
      </c>
      <c r="I12" s="9">
        <f>'Macao Daily'!H15</f>
        <v>17308</v>
      </c>
      <c r="J12" s="30">
        <v>0.22</v>
      </c>
      <c r="K12" s="9">
        <f>'Macao Daily'!J15</f>
        <v>505</v>
      </c>
      <c r="L12" s="30">
        <v>7.7629999999999999</v>
      </c>
      <c r="M12" s="9">
        <f>'Macao Daily'!K15</f>
        <v>249</v>
      </c>
      <c r="N12" s="9">
        <f>'Macao Daily'!L15</f>
        <v>309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2023</v>
      </c>
      <c r="E13" s="9">
        <f>'Macao Daily'!D16</f>
        <v>31100</v>
      </c>
      <c r="F13" s="30">
        <v>1.2419</v>
      </c>
      <c r="G13" s="9">
        <f>'Macao Daily'!F16</f>
        <v>200.3548387096962</v>
      </c>
      <c r="H13" s="30">
        <v>6.09</v>
      </c>
      <c r="I13" s="9">
        <f>'Macao Daily'!H16</f>
        <v>17308</v>
      </c>
      <c r="J13" s="30">
        <v>0.22</v>
      </c>
      <c r="K13" s="9">
        <f>'Macao Daily'!J16</f>
        <v>569</v>
      </c>
      <c r="L13" s="30">
        <v>7.7629999999999999</v>
      </c>
      <c r="M13" s="9">
        <f>'Macao Daily'!K16</f>
        <v>260</v>
      </c>
      <c r="N13" s="9">
        <f>'Macao Daily'!L16</f>
        <v>327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2023</v>
      </c>
      <c r="E14" s="9">
        <f>'Macao Daily'!D17</f>
        <v>32591</v>
      </c>
      <c r="F14" s="30">
        <v>1.2419</v>
      </c>
      <c r="G14" s="9">
        <f>'Macao Daily'!F17</f>
        <v>211.3548387096962</v>
      </c>
      <c r="H14" s="30">
        <v>6.09</v>
      </c>
      <c r="I14" s="9">
        <f>'Macao Daily'!H17</f>
        <v>17308</v>
      </c>
      <c r="J14" s="30">
        <v>0.22</v>
      </c>
      <c r="K14" s="9">
        <f>'Macao Daily'!J17</f>
        <v>564</v>
      </c>
      <c r="L14" s="30">
        <v>7.7629999999999999</v>
      </c>
      <c r="M14" s="9">
        <f>'Macao Daily'!K17</f>
        <v>271</v>
      </c>
      <c r="N14" s="9">
        <f>'Macao Daily'!L17</f>
        <v>563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2023</v>
      </c>
      <c r="E15" s="9">
        <f>'Macao Daily'!D18</f>
        <v>33590</v>
      </c>
      <c r="F15" s="30">
        <v>1.2419</v>
      </c>
      <c r="G15" s="9">
        <f>'Macao Daily'!F18</f>
        <v>225.3548387096962</v>
      </c>
      <c r="H15" s="30">
        <v>6.09</v>
      </c>
      <c r="I15" s="9">
        <f>'Macao Daily'!H18</f>
        <v>17308</v>
      </c>
      <c r="J15" s="30">
        <v>0.22</v>
      </c>
      <c r="K15" s="9">
        <f>'Macao Daily'!J18</f>
        <v>644</v>
      </c>
      <c r="L15" s="30">
        <v>7.7629999999999999</v>
      </c>
      <c r="M15" s="9">
        <f>'Macao Daily'!K18</f>
        <v>283</v>
      </c>
      <c r="N15" s="9">
        <f>'Macao Daily'!L18</f>
        <v>855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2023</v>
      </c>
      <c r="E16" s="9">
        <f>'Macao Daily'!D19</f>
        <v>31190</v>
      </c>
      <c r="F16" s="30">
        <v>1.2419</v>
      </c>
      <c r="G16" s="9">
        <f>'Macao Daily'!F19</f>
        <v>225.3548387096962</v>
      </c>
      <c r="H16" s="30">
        <v>6.09</v>
      </c>
      <c r="I16" s="9">
        <f>'Macao Daily'!H19</f>
        <v>17308</v>
      </c>
      <c r="J16" s="30">
        <v>0.22</v>
      </c>
      <c r="K16" s="9">
        <f>'Macao Daily'!J19</f>
        <v>550</v>
      </c>
      <c r="L16" s="30">
        <v>7.7629999999999999</v>
      </c>
      <c r="M16" s="9">
        <f>'Macao Daily'!K19</f>
        <v>258</v>
      </c>
      <c r="N16" s="9">
        <f>'Macao Daily'!L19</f>
        <v>899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2023</v>
      </c>
      <c r="E17" s="9">
        <f>'Macao Daily'!D20</f>
        <v>32052</v>
      </c>
      <c r="F17" s="30">
        <v>1.2419</v>
      </c>
      <c r="G17" s="9">
        <f>'Macao Daily'!F20</f>
        <v>217.3548387096962</v>
      </c>
      <c r="H17" s="30">
        <v>6.09</v>
      </c>
      <c r="I17" s="9">
        <f>'Macao Daily'!H20</f>
        <v>17308</v>
      </c>
      <c r="J17" s="30">
        <v>0.22</v>
      </c>
      <c r="K17" s="9">
        <f>'Macao Daily'!J20</f>
        <v>616</v>
      </c>
      <c r="L17" s="30">
        <v>7.7629999999999999</v>
      </c>
      <c r="M17" s="9">
        <f>'Macao Daily'!K20</f>
        <v>265</v>
      </c>
      <c r="N17" s="9">
        <f>'Macao Daily'!L20</f>
        <v>456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2023</v>
      </c>
      <c r="E18" s="9">
        <f>'Macao Daily'!D21</f>
        <v>30633</v>
      </c>
      <c r="F18" s="30">
        <v>1.2419</v>
      </c>
      <c r="G18" s="9">
        <f>'Macao Daily'!F21</f>
        <v>200.3548387096962</v>
      </c>
      <c r="H18" s="30">
        <v>6.09</v>
      </c>
      <c r="I18" s="9">
        <f>'Macao Daily'!H21</f>
        <v>17308</v>
      </c>
      <c r="J18" s="30">
        <v>0.22</v>
      </c>
      <c r="K18" s="9">
        <f>'Macao Daily'!J21</f>
        <v>523</v>
      </c>
      <c r="L18" s="30">
        <v>7.7629999999999999</v>
      </c>
      <c r="M18" s="9">
        <f>'Macao Daily'!K21</f>
        <v>269</v>
      </c>
      <c r="N18" s="9">
        <f>'Macao Daily'!L21</f>
        <v>489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2023</v>
      </c>
      <c r="E19" s="9">
        <f>'Macao Daily'!D22</f>
        <v>32920</v>
      </c>
      <c r="F19" s="30">
        <v>1.2419</v>
      </c>
      <c r="G19" s="9">
        <f>'Macao Daily'!F22</f>
        <v>209.3548387096962</v>
      </c>
      <c r="H19" s="30">
        <v>6.09</v>
      </c>
      <c r="I19" s="9">
        <f>'Macao Daily'!H22</f>
        <v>17308</v>
      </c>
      <c r="J19" s="30">
        <v>0.22</v>
      </c>
      <c r="K19" s="9">
        <f>'Macao Daily'!J22</f>
        <v>555</v>
      </c>
      <c r="L19" s="30">
        <v>7.7629999999999999</v>
      </c>
      <c r="M19" s="9">
        <f>'Macao Daily'!K22</f>
        <v>254</v>
      </c>
      <c r="N19" s="9">
        <f>'Macao Daily'!L22</f>
        <v>425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2023</v>
      </c>
      <c r="E20" s="9">
        <f>'Macao Daily'!D23</f>
        <v>33069</v>
      </c>
      <c r="F20" s="30">
        <v>1.2419</v>
      </c>
      <c r="G20" s="9">
        <f>'Macao Daily'!F23</f>
        <v>214.3548387096962</v>
      </c>
      <c r="H20" s="30">
        <v>6.09</v>
      </c>
      <c r="I20" s="9">
        <f>'Macao Daily'!H23</f>
        <v>17308</v>
      </c>
      <c r="J20" s="30">
        <v>0.22</v>
      </c>
      <c r="K20" s="9">
        <f>'Macao Daily'!J23</f>
        <v>583</v>
      </c>
      <c r="L20" s="30">
        <v>7.7629999999999999</v>
      </c>
      <c r="M20" s="9">
        <f>'Macao Daily'!K23</f>
        <v>232</v>
      </c>
      <c r="N20" s="9">
        <f>'Macao Daily'!L23</f>
        <v>535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2023</v>
      </c>
      <c r="E21" s="9">
        <f>'Macao Daily'!D24</f>
        <v>32919</v>
      </c>
      <c r="F21" s="30">
        <v>1.2419</v>
      </c>
      <c r="G21" s="9">
        <f>'Macao Daily'!F24</f>
        <v>228.3548387096962</v>
      </c>
      <c r="H21" s="30">
        <v>6.09</v>
      </c>
      <c r="I21" s="9">
        <f>'Macao Daily'!H24</f>
        <v>17308</v>
      </c>
      <c r="J21" s="30">
        <v>0.22</v>
      </c>
      <c r="K21" s="9">
        <f>'Macao Daily'!J24</f>
        <v>566</v>
      </c>
      <c r="L21" s="30">
        <v>7.7629999999999999</v>
      </c>
      <c r="M21" s="9">
        <f>'Macao Daily'!K24</f>
        <v>241</v>
      </c>
      <c r="N21" s="9">
        <f>'Macao Daily'!L24</f>
        <v>643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2023</v>
      </c>
      <c r="E22" s="9">
        <f>'Macao Daily'!D25</f>
        <v>33789</v>
      </c>
      <c r="F22" s="30">
        <v>1.2419</v>
      </c>
      <c r="G22" s="9">
        <f>'Macao Daily'!F25</f>
        <v>237.3548387096962</v>
      </c>
      <c r="H22" s="30">
        <v>6.09</v>
      </c>
      <c r="I22" s="9">
        <f>'Macao Daily'!H25</f>
        <v>17308</v>
      </c>
      <c r="J22" s="30">
        <v>0.22</v>
      </c>
      <c r="K22" s="9">
        <f>'Macao Daily'!J25</f>
        <v>607</v>
      </c>
      <c r="L22" s="30">
        <v>7.7629999999999999</v>
      </c>
      <c r="M22" s="9">
        <f>'Macao Daily'!K25</f>
        <v>287</v>
      </c>
      <c r="N22" s="9">
        <f>'Macao Daily'!L25</f>
        <v>855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2023</v>
      </c>
      <c r="E23" s="9">
        <f>'Macao Daily'!D26</f>
        <v>32393</v>
      </c>
      <c r="F23" s="30">
        <v>1.2419</v>
      </c>
      <c r="G23" s="9">
        <f>'Macao Daily'!F26</f>
        <v>239.3548387096962</v>
      </c>
      <c r="H23" s="30">
        <v>6.09</v>
      </c>
      <c r="I23" s="9">
        <f>'Macao Daily'!H26</f>
        <v>17308</v>
      </c>
      <c r="J23" s="30">
        <v>0.22</v>
      </c>
      <c r="K23" s="9">
        <f>'Macao Daily'!J26</f>
        <v>603</v>
      </c>
      <c r="L23" s="30">
        <v>7.7629999999999999</v>
      </c>
      <c r="M23" s="9">
        <f>'Macao Daily'!K26</f>
        <v>296</v>
      </c>
      <c r="N23" s="9">
        <f>'Macao Daily'!L26</f>
        <v>1001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2023</v>
      </c>
      <c r="E24" s="9">
        <f>'Macao Daily'!D27</f>
        <v>33765</v>
      </c>
      <c r="F24" s="30">
        <v>1.2419</v>
      </c>
      <c r="G24" s="9">
        <f>'Macao Daily'!F27</f>
        <v>237.3548387096962</v>
      </c>
      <c r="H24" s="30">
        <v>6.09</v>
      </c>
      <c r="I24" s="9">
        <f>'Macao Daily'!H27</f>
        <v>17308</v>
      </c>
      <c r="J24" s="30">
        <v>0.22</v>
      </c>
      <c r="K24" s="9">
        <f>'Macao Daily'!J27</f>
        <v>624</v>
      </c>
      <c r="L24" s="30">
        <v>7.7629999999999999</v>
      </c>
      <c r="M24" s="9">
        <f>'Macao Daily'!K27</f>
        <v>299</v>
      </c>
      <c r="N24" s="9">
        <f>'Macao Daily'!L27</f>
        <v>1172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2023</v>
      </c>
      <c r="E25" s="9">
        <f>'Macao Daily'!D28</f>
        <v>33878</v>
      </c>
      <c r="F25" s="30">
        <v>1.2419</v>
      </c>
      <c r="G25" s="9">
        <f>'Macao Daily'!F28</f>
        <v>244.3548387096962</v>
      </c>
      <c r="H25" s="30">
        <v>6.09</v>
      </c>
      <c r="I25" s="9">
        <f>'Macao Daily'!H28</f>
        <v>17308</v>
      </c>
      <c r="J25" s="30">
        <v>0.22</v>
      </c>
      <c r="K25" s="9">
        <f>'Macao Daily'!J28</f>
        <v>692</v>
      </c>
      <c r="L25" s="30">
        <v>7.7629999999999999</v>
      </c>
      <c r="M25" s="9">
        <f>'Macao Daily'!K28</f>
        <v>317</v>
      </c>
      <c r="N25" s="9">
        <f>'Macao Daily'!L28</f>
        <v>1297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2023</v>
      </c>
      <c r="E26" s="9">
        <f>'Macao Daily'!D29</f>
        <v>35078</v>
      </c>
      <c r="F26" s="30">
        <v>1.2419</v>
      </c>
      <c r="G26" s="9">
        <f>'Macao Daily'!F29</f>
        <v>242.3548387096962</v>
      </c>
      <c r="H26" s="30">
        <v>6.09</v>
      </c>
      <c r="I26" s="9">
        <f>'Macao Daily'!H29</f>
        <v>17308</v>
      </c>
      <c r="J26" s="30">
        <v>0.22</v>
      </c>
      <c r="K26" s="9">
        <f>'Macao Daily'!J29</f>
        <v>707</v>
      </c>
      <c r="L26" s="30">
        <v>7.7629999999999999</v>
      </c>
      <c r="M26" s="9">
        <f>'Macao Daily'!K29</f>
        <v>319</v>
      </c>
      <c r="N26" s="9">
        <f>'Macao Daily'!L29</f>
        <v>1416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2023</v>
      </c>
      <c r="E27" s="9">
        <f>'Macao Daily'!D30</f>
        <v>35228</v>
      </c>
      <c r="F27" s="30">
        <v>1.2419</v>
      </c>
      <c r="G27" s="9">
        <f>'Macao Daily'!F30</f>
        <v>245.3548387096962</v>
      </c>
      <c r="H27" s="30">
        <v>6.09</v>
      </c>
      <c r="I27" s="9">
        <f>'Macao Daily'!H30</f>
        <v>17308</v>
      </c>
      <c r="J27" s="30">
        <v>0.22</v>
      </c>
      <c r="K27" s="9">
        <f>'Macao Daily'!J30</f>
        <v>678</v>
      </c>
      <c r="L27" s="30">
        <v>7.7629999999999999</v>
      </c>
      <c r="M27" s="9">
        <f>'Macao Daily'!K30</f>
        <v>307</v>
      </c>
      <c r="N27" s="9">
        <f>'Macao Daily'!L30</f>
        <v>1240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2023</v>
      </c>
      <c r="E28" s="9">
        <f>'Macao Daily'!D31</f>
        <v>36233</v>
      </c>
      <c r="F28" s="30">
        <v>1.2419</v>
      </c>
      <c r="G28" s="9">
        <f>'Macao Daily'!F31</f>
        <v>242.3548387096962</v>
      </c>
      <c r="H28" s="30">
        <v>6.09</v>
      </c>
      <c r="I28" s="9">
        <f>'Macao Daily'!H31</f>
        <v>17308</v>
      </c>
      <c r="J28" s="30">
        <v>0.22</v>
      </c>
      <c r="K28" s="9">
        <f>'Macao Daily'!J31</f>
        <v>647</v>
      </c>
      <c r="L28" s="30">
        <v>7.7629999999999999</v>
      </c>
      <c r="M28" s="9">
        <f>'Macao Daily'!K31</f>
        <v>301</v>
      </c>
      <c r="N28" s="9">
        <f>'Macao Daily'!L31</f>
        <v>1341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2023</v>
      </c>
      <c r="E29" s="9">
        <f>'Macao Daily'!D32</f>
        <v>35247</v>
      </c>
      <c r="F29" s="30">
        <v>1.2419</v>
      </c>
      <c r="G29" s="9">
        <f>'Macao Daily'!F32</f>
        <v>240.3548387096962</v>
      </c>
      <c r="H29" s="30">
        <v>6.09</v>
      </c>
      <c r="I29" s="9">
        <f>'Macao Daily'!H32</f>
        <v>17308</v>
      </c>
      <c r="J29" s="30">
        <v>0.22</v>
      </c>
      <c r="K29" s="9">
        <f>'Macao Daily'!J32</f>
        <v>627</v>
      </c>
      <c r="L29" s="30">
        <v>7.7629999999999999</v>
      </c>
      <c r="M29" s="9">
        <f>'Macao Daily'!K32</f>
        <v>290</v>
      </c>
      <c r="N29" s="9">
        <f>'Macao Daily'!L32</f>
        <v>1198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2023</v>
      </c>
      <c r="E30" s="9">
        <f>'Macao Daily'!D33</f>
        <v>32579</v>
      </c>
      <c r="F30" s="30">
        <v>1.2419</v>
      </c>
      <c r="G30" s="9">
        <f>'Macao Daily'!F33</f>
        <v>229.3548387096962</v>
      </c>
      <c r="H30" s="30">
        <v>6.09</v>
      </c>
      <c r="I30" s="9">
        <f>'Macao Daily'!H33</f>
        <v>17308</v>
      </c>
      <c r="J30" s="30">
        <v>0.22</v>
      </c>
      <c r="K30" s="9">
        <f>'Macao Daily'!J33</f>
        <v>610</v>
      </c>
      <c r="L30" s="30">
        <v>7.7629999999999999</v>
      </c>
      <c r="M30" s="9">
        <f>'Macao Daily'!K33</f>
        <v>249</v>
      </c>
      <c r="N30" s="9">
        <f>'Macao Daily'!L33</f>
        <v>949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2023</v>
      </c>
      <c r="E31" s="9">
        <f>'Macao Daily'!D34</f>
        <v>31891</v>
      </c>
      <c r="F31" s="30">
        <v>1.2419</v>
      </c>
      <c r="G31" s="9">
        <f>'Macao Daily'!F34</f>
        <v>215.3548387096962</v>
      </c>
      <c r="H31" s="30">
        <v>6.09</v>
      </c>
      <c r="I31" s="9">
        <f>'Macao Daily'!H34</f>
        <v>17308</v>
      </c>
      <c r="J31" s="30">
        <v>0.22</v>
      </c>
      <c r="K31" s="9">
        <f>'Macao Daily'!J34</f>
        <v>565</v>
      </c>
      <c r="L31" s="30">
        <v>7.7629999999999999</v>
      </c>
      <c r="M31" s="9">
        <f>'Macao Daily'!K34</f>
        <v>234</v>
      </c>
      <c r="N31" s="9">
        <f>'Macao Daily'!L34</f>
        <v>664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2023</v>
      </c>
      <c r="E32" s="9">
        <f>'Macao Daily'!D35</f>
        <v>31401</v>
      </c>
      <c r="F32" s="30">
        <v>1.2419</v>
      </c>
      <c r="G32" s="9">
        <f>'Macao Daily'!F35</f>
        <v>200.3548387096962</v>
      </c>
      <c r="H32" s="30">
        <v>6.09</v>
      </c>
      <c r="I32" s="9">
        <f>'Macao Daily'!H35</f>
        <v>17308</v>
      </c>
      <c r="J32" s="30">
        <v>0.22</v>
      </c>
      <c r="K32" s="9">
        <f>'Macao Daily'!J35</f>
        <v>562</v>
      </c>
      <c r="L32" s="30">
        <v>7.7629999999999999</v>
      </c>
      <c r="M32" s="9">
        <f>'Macao Daily'!K35</f>
        <v>234</v>
      </c>
      <c r="N32" s="9">
        <f>'Macao Daily'!L35</f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G5" sqref="G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44926</v>
      </c>
      <c r="B4" s="37"/>
      <c r="C4" s="34">
        <v>43380531</v>
      </c>
      <c r="D4" s="24"/>
      <c r="E4" s="34">
        <v>625223.99999999197</v>
      </c>
      <c r="F4" s="24"/>
      <c r="G4" s="34">
        <v>127631963</v>
      </c>
      <c r="H4" s="24"/>
      <c r="I4" s="35">
        <v>1909270</v>
      </c>
      <c r="J4" s="32"/>
      <c r="K4" s="33">
        <v>143</v>
      </c>
      <c r="L4" s="33">
        <v>277</v>
      </c>
    </row>
    <row r="5" spans="1:12" ht="33" customHeight="1" x14ac:dyDescent="0.25">
      <c r="A5" s="22">
        <v>44927</v>
      </c>
      <c r="B5" s="37"/>
      <c r="C5" s="34">
        <v>43410649</v>
      </c>
      <c r="D5" s="24">
        <f t="shared" ref="D5:D19" si="0">IF((C5-C4&lt;0), "0",C5-C4)</f>
        <v>30118</v>
      </c>
      <c r="E5" s="34">
        <v>625416.35483870166</v>
      </c>
      <c r="F5" s="24">
        <f>IF((E5-E4&lt;0), "0",E5-E4)</f>
        <v>192.3548387096962</v>
      </c>
      <c r="G5" s="34">
        <v>127647338</v>
      </c>
      <c r="H5" s="24">
        <f>IF((G5-G4&lt;0), "0",G5-G4)</f>
        <v>15375</v>
      </c>
      <c r="I5" s="23">
        <v>1909717</v>
      </c>
      <c r="J5" s="32">
        <f>IF((I5-I4&lt;0), "0",I5-I4)</f>
        <v>447</v>
      </c>
      <c r="K5" s="33">
        <v>128</v>
      </c>
      <c r="L5" s="33">
        <v>475</v>
      </c>
    </row>
    <row r="6" spans="1:12" ht="45" customHeight="1" x14ac:dyDescent="0.25">
      <c r="A6" s="22">
        <v>44928</v>
      </c>
      <c r="B6" s="37"/>
      <c r="C6" s="34">
        <v>43439742</v>
      </c>
      <c r="D6" s="24">
        <f t="shared" si="0"/>
        <v>29093</v>
      </c>
      <c r="E6" s="34">
        <v>625606.70967741136</v>
      </c>
      <c r="F6" s="24">
        <f t="shared" ref="F6:F19" si="1">IF((E6-E5&lt;0), "0",E6-E5)</f>
        <v>190.3548387096962</v>
      </c>
      <c r="G6" s="34">
        <v>127666603</v>
      </c>
      <c r="H6" s="24">
        <f t="shared" ref="H6:H34" si="2">IF((G6-G5&lt;0), "0",G6-G5)</f>
        <v>19265</v>
      </c>
      <c r="I6" s="23">
        <v>1910173</v>
      </c>
      <c r="J6" s="32">
        <f t="shared" ref="J6:J34" si="3">IF((I6-I5&lt;0), "0",I6-I5)</f>
        <v>456</v>
      </c>
      <c r="K6" s="33">
        <v>154</v>
      </c>
      <c r="L6" s="33">
        <v>409</v>
      </c>
    </row>
    <row r="7" spans="1:12" ht="45" customHeight="1" x14ac:dyDescent="0.25">
      <c r="A7" s="22">
        <v>44929</v>
      </c>
      <c r="B7" s="37"/>
      <c r="C7" s="34">
        <v>43469687</v>
      </c>
      <c r="D7" s="24">
        <f t="shared" si="0"/>
        <v>29945</v>
      </c>
      <c r="E7" s="34">
        <v>625798.06451612106</v>
      </c>
      <c r="F7" s="24">
        <f t="shared" si="1"/>
        <v>191.3548387096962</v>
      </c>
      <c r="G7" s="34">
        <v>127683861</v>
      </c>
      <c r="H7" s="24">
        <f t="shared" si="2"/>
        <v>17258</v>
      </c>
      <c r="I7" s="23">
        <v>1910594</v>
      </c>
      <c r="J7" s="32">
        <f t="shared" si="3"/>
        <v>421</v>
      </c>
      <c r="K7" s="33">
        <v>172</v>
      </c>
      <c r="L7" s="33">
        <v>383</v>
      </c>
    </row>
    <row r="8" spans="1:12" ht="45" customHeight="1" x14ac:dyDescent="0.25">
      <c r="A8" s="22">
        <v>44930</v>
      </c>
      <c r="B8" s="37"/>
      <c r="C8" s="34">
        <v>43500218</v>
      </c>
      <c r="D8" s="24">
        <f t="shared" si="0"/>
        <v>30531</v>
      </c>
      <c r="E8" s="34">
        <v>625986.41935483075</v>
      </c>
      <c r="F8" s="24">
        <f t="shared" si="1"/>
        <v>188.3548387096962</v>
      </c>
      <c r="G8" s="34">
        <v>127702205</v>
      </c>
      <c r="H8" s="24">
        <f t="shared" si="2"/>
        <v>18344</v>
      </c>
      <c r="I8" s="23">
        <v>1911076</v>
      </c>
      <c r="J8" s="32">
        <f t="shared" si="3"/>
        <v>482</v>
      </c>
      <c r="K8" s="33">
        <v>181</v>
      </c>
      <c r="L8" s="33">
        <v>268</v>
      </c>
    </row>
    <row r="9" spans="1:12" ht="45" customHeight="1" x14ac:dyDescent="0.25">
      <c r="A9" s="22">
        <v>44931</v>
      </c>
      <c r="B9" s="37"/>
      <c r="C9" s="34">
        <v>43530789</v>
      </c>
      <c r="D9" s="24">
        <f t="shared" si="0"/>
        <v>30571</v>
      </c>
      <c r="E9" s="34">
        <v>626176.77419354045</v>
      </c>
      <c r="F9" s="24">
        <f t="shared" si="1"/>
        <v>190.3548387096962</v>
      </c>
      <c r="G9" s="34">
        <v>127724197</v>
      </c>
      <c r="H9" s="24">
        <f t="shared" si="2"/>
        <v>21992</v>
      </c>
      <c r="I9" s="23">
        <v>1911603</v>
      </c>
      <c r="J9" s="32">
        <f t="shared" si="3"/>
        <v>527</v>
      </c>
      <c r="K9" s="33">
        <v>150</v>
      </c>
      <c r="L9" s="33">
        <v>255</v>
      </c>
    </row>
    <row r="10" spans="1:12" ht="45" customHeight="1" x14ac:dyDescent="0.25">
      <c r="A10" s="22">
        <v>44932</v>
      </c>
      <c r="B10" s="37"/>
      <c r="C10" s="34">
        <v>43563319</v>
      </c>
      <c r="D10" s="24">
        <f t="shared" si="0"/>
        <v>32530</v>
      </c>
      <c r="E10" s="34">
        <v>626378.12903225014</v>
      </c>
      <c r="F10" s="24">
        <f t="shared" si="1"/>
        <v>201.3548387096962</v>
      </c>
      <c r="G10" s="34">
        <v>127748392</v>
      </c>
      <c r="H10" s="24">
        <f t="shared" si="2"/>
        <v>24195</v>
      </c>
      <c r="I10" s="23">
        <v>1912088</v>
      </c>
      <c r="J10" s="32">
        <f t="shared" si="3"/>
        <v>485</v>
      </c>
      <c r="K10" s="33">
        <v>219</v>
      </c>
      <c r="L10" s="33">
        <v>301</v>
      </c>
    </row>
    <row r="11" spans="1:12" ht="45" customHeight="1" x14ac:dyDescent="0.25">
      <c r="A11" s="22">
        <v>44933</v>
      </c>
      <c r="B11" s="37"/>
      <c r="C11" s="34">
        <v>43595525</v>
      </c>
      <c r="D11" s="24">
        <f t="shared" si="0"/>
        <v>32206</v>
      </c>
      <c r="E11" s="34">
        <v>626588.48387095984</v>
      </c>
      <c r="F11" s="24">
        <f t="shared" si="1"/>
        <v>210.3548387096962</v>
      </c>
      <c r="G11" s="34">
        <v>127771073</v>
      </c>
      <c r="H11" s="24">
        <f t="shared" si="2"/>
        <v>22681</v>
      </c>
      <c r="I11" s="23">
        <v>1912593</v>
      </c>
      <c r="J11" s="32">
        <f t="shared" si="3"/>
        <v>505</v>
      </c>
      <c r="K11" s="33">
        <v>253</v>
      </c>
      <c r="L11" s="33">
        <v>450</v>
      </c>
    </row>
    <row r="12" spans="1:12" ht="45" customHeight="1" x14ac:dyDescent="0.25">
      <c r="A12" s="22">
        <v>44934</v>
      </c>
      <c r="B12" s="37"/>
      <c r="C12" s="34">
        <v>43625883</v>
      </c>
      <c r="D12" s="24">
        <f t="shared" si="0"/>
        <v>30358</v>
      </c>
      <c r="E12" s="34">
        <v>626799.83870966954</v>
      </c>
      <c r="F12" s="24">
        <f t="shared" si="1"/>
        <v>211.3548387096962</v>
      </c>
      <c r="G12" s="34">
        <v>127793954</v>
      </c>
      <c r="H12" s="24">
        <f t="shared" si="2"/>
        <v>22881</v>
      </c>
      <c r="I12" s="23">
        <v>1913135</v>
      </c>
      <c r="J12" s="32">
        <f t="shared" si="3"/>
        <v>542</v>
      </c>
      <c r="K12" s="33">
        <v>229</v>
      </c>
      <c r="L12" s="33">
        <v>600</v>
      </c>
    </row>
    <row r="13" spans="1:12" ht="45" customHeight="1" x14ac:dyDescent="0.25">
      <c r="A13" s="22">
        <v>44935</v>
      </c>
      <c r="B13" s="37"/>
      <c r="C13" s="34">
        <v>43656632</v>
      </c>
      <c r="D13" s="24">
        <f t="shared" si="0"/>
        <v>30749</v>
      </c>
      <c r="E13" s="34">
        <v>627004.19354837923</v>
      </c>
      <c r="F13" s="24">
        <f t="shared" si="1"/>
        <v>204.3548387096962</v>
      </c>
      <c r="G13" s="34">
        <v>127811262</v>
      </c>
      <c r="H13" s="24">
        <f t="shared" si="2"/>
        <v>17308</v>
      </c>
      <c r="I13" s="23">
        <v>1913601</v>
      </c>
      <c r="J13" s="32">
        <f t="shared" si="3"/>
        <v>466</v>
      </c>
      <c r="K13" s="33">
        <v>227</v>
      </c>
      <c r="L13" s="33">
        <v>375</v>
      </c>
    </row>
    <row r="14" spans="1:12" ht="45" customHeight="1" x14ac:dyDescent="0.25">
      <c r="A14" s="22">
        <v>44936</v>
      </c>
      <c r="B14" s="37"/>
      <c r="C14" s="34">
        <v>43687460</v>
      </c>
      <c r="D14" s="24">
        <f t="shared" si="0"/>
        <v>30828</v>
      </c>
      <c r="E14" s="34">
        <v>627200.54838708893</v>
      </c>
      <c r="F14" s="24">
        <f t="shared" si="1"/>
        <v>196.3548387096962</v>
      </c>
      <c r="G14" s="34">
        <v>127828570</v>
      </c>
      <c r="H14" s="24">
        <f t="shared" si="2"/>
        <v>17308</v>
      </c>
      <c r="I14" s="23">
        <v>1914090</v>
      </c>
      <c r="J14" s="32">
        <f t="shared" si="3"/>
        <v>489</v>
      </c>
      <c r="K14" s="33">
        <v>239</v>
      </c>
      <c r="L14" s="33">
        <v>294</v>
      </c>
    </row>
    <row r="15" spans="1:12" ht="45" customHeight="1" x14ac:dyDescent="0.25">
      <c r="A15" s="22">
        <v>44937</v>
      </c>
      <c r="B15" s="37"/>
      <c r="C15" s="34">
        <v>43718330</v>
      </c>
      <c r="D15" s="24">
        <f t="shared" si="0"/>
        <v>30870</v>
      </c>
      <c r="E15" s="34">
        <v>627397.90322579863</v>
      </c>
      <c r="F15" s="24">
        <f t="shared" si="1"/>
        <v>197.3548387096962</v>
      </c>
      <c r="G15" s="34">
        <v>127845878</v>
      </c>
      <c r="H15" s="24">
        <f t="shared" si="2"/>
        <v>17308</v>
      </c>
      <c r="I15" s="23">
        <v>1914595</v>
      </c>
      <c r="J15" s="32">
        <f t="shared" si="3"/>
        <v>505</v>
      </c>
      <c r="K15" s="33">
        <v>249</v>
      </c>
      <c r="L15" s="33">
        <v>309</v>
      </c>
    </row>
    <row r="16" spans="1:12" ht="45" customHeight="1" x14ac:dyDescent="0.25">
      <c r="A16" s="22">
        <v>44938</v>
      </c>
      <c r="B16" s="37"/>
      <c r="C16" s="34">
        <v>43749430</v>
      </c>
      <c r="D16" s="24">
        <f t="shared" si="0"/>
        <v>31100</v>
      </c>
      <c r="E16" s="34">
        <v>627598.25806450832</v>
      </c>
      <c r="F16" s="24">
        <f t="shared" si="1"/>
        <v>200.3548387096962</v>
      </c>
      <c r="G16" s="34">
        <v>127863186</v>
      </c>
      <c r="H16" s="24">
        <f t="shared" si="2"/>
        <v>17308</v>
      </c>
      <c r="I16" s="23">
        <v>1915164</v>
      </c>
      <c r="J16" s="32">
        <f t="shared" si="3"/>
        <v>569</v>
      </c>
      <c r="K16" s="33">
        <v>260</v>
      </c>
      <c r="L16" s="33">
        <v>327</v>
      </c>
    </row>
    <row r="17" spans="1:12" ht="45" customHeight="1" x14ac:dyDescent="0.25">
      <c r="A17" s="22">
        <v>44939</v>
      </c>
      <c r="B17" s="37"/>
      <c r="C17" s="34">
        <v>43782021</v>
      </c>
      <c r="D17" s="24">
        <f t="shared" si="0"/>
        <v>32591</v>
      </c>
      <c r="E17" s="34">
        <v>627809.61290321802</v>
      </c>
      <c r="F17" s="24">
        <f t="shared" si="1"/>
        <v>211.3548387096962</v>
      </c>
      <c r="G17" s="34">
        <v>127880494</v>
      </c>
      <c r="H17" s="24">
        <f t="shared" si="2"/>
        <v>17308</v>
      </c>
      <c r="I17" s="23">
        <v>1915728</v>
      </c>
      <c r="J17" s="32">
        <f t="shared" si="3"/>
        <v>564</v>
      </c>
      <c r="K17" s="33">
        <v>271</v>
      </c>
      <c r="L17" s="33">
        <v>563</v>
      </c>
    </row>
    <row r="18" spans="1:12" ht="45" customHeight="1" x14ac:dyDescent="0.25">
      <c r="A18" s="22">
        <v>44940</v>
      </c>
      <c r="B18" s="37"/>
      <c r="C18" s="34">
        <v>43815611</v>
      </c>
      <c r="D18" s="24">
        <f t="shared" si="0"/>
        <v>33590</v>
      </c>
      <c r="E18" s="34">
        <v>628034.96774192771</v>
      </c>
      <c r="F18" s="24">
        <f t="shared" si="1"/>
        <v>225.3548387096962</v>
      </c>
      <c r="G18" s="34">
        <v>127897802</v>
      </c>
      <c r="H18" s="24">
        <f t="shared" si="2"/>
        <v>17308</v>
      </c>
      <c r="I18" s="23">
        <v>1916372</v>
      </c>
      <c r="J18" s="32">
        <f t="shared" si="3"/>
        <v>644</v>
      </c>
      <c r="K18" s="33">
        <v>283</v>
      </c>
      <c r="L18" s="33">
        <v>855</v>
      </c>
    </row>
    <row r="19" spans="1:12" ht="45" customHeight="1" x14ac:dyDescent="0.25">
      <c r="A19" s="22">
        <v>44941</v>
      </c>
      <c r="B19" s="37"/>
      <c r="C19" s="34">
        <v>43846801</v>
      </c>
      <c r="D19" s="24">
        <f t="shared" si="0"/>
        <v>31190</v>
      </c>
      <c r="E19" s="34">
        <v>628260.32258063741</v>
      </c>
      <c r="F19" s="24">
        <f t="shared" si="1"/>
        <v>225.3548387096962</v>
      </c>
      <c r="G19" s="34">
        <v>127915110</v>
      </c>
      <c r="H19" s="24">
        <f t="shared" si="2"/>
        <v>17308</v>
      </c>
      <c r="I19" s="23">
        <v>1916922</v>
      </c>
      <c r="J19" s="32">
        <f t="shared" si="3"/>
        <v>550</v>
      </c>
      <c r="K19" s="33">
        <v>258</v>
      </c>
      <c r="L19" s="33">
        <v>899</v>
      </c>
    </row>
    <row r="20" spans="1:12" ht="45" customHeight="1" x14ac:dyDescent="0.25">
      <c r="A20" s="22">
        <v>44942</v>
      </c>
      <c r="B20" s="37"/>
      <c r="C20" s="34">
        <v>43878853</v>
      </c>
      <c r="D20" s="24">
        <f t="shared" ref="D20:D34" si="4">IF((C20-C19&lt;0), "0",C20-C19)</f>
        <v>32052</v>
      </c>
      <c r="E20" s="34">
        <v>628477.67741934711</v>
      </c>
      <c r="F20" s="24">
        <f t="shared" ref="F20:F34" si="5">IF((E20-E19&lt;0), "0",E20-E19)</f>
        <v>217.3548387096962</v>
      </c>
      <c r="G20" s="34">
        <v>127932418</v>
      </c>
      <c r="H20" s="24">
        <f t="shared" si="2"/>
        <v>17308</v>
      </c>
      <c r="I20" s="23">
        <v>1917538</v>
      </c>
      <c r="J20" s="32">
        <f t="shared" si="3"/>
        <v>616</v>
      </c>
      <c r="K20" s="33">
        <v>265</v>
      </c>
      <c r="L20" s="33">
        <v>456</v>
      </c>
    </row>
    <row r="21" spans="1:12" ht="45" customHeight="1" x14ac:dyDescent="0.25">
      <c r="A21" s="22">
        <v>44943</v>
      </c>
      <c r="B21" s="37"/>
      <c r="C21" s="34">
        <v>43909486</v>
      </c>
      <c r="D21" s="24">
        <f t="shared" si="4"/>
        <v>30633</v>
      </c>
      <c r="E21" s="34">
        <v>628678.0322580568</v>
      </c>
      <c r="F21" s="24">
        <f t="shared" si="5"/>
        <v>200.3548387096962</v>
      </c>
      <c r="G21" s="34">
        <v>127949726</v>
      </c>
      <c r="H21" s="24">
        <f t="shared" si="2"/>
        <v>17308</v>
      </c>
      <c r="I21" s="23">
        <v>1918061</v>
      </c>
      <c r="J21" s="32">
        <f t="shared" si="3"/>
        <v>523</v>
      </c>
      <c r="K21" s="33">
        <v>269</v>
      </c>
      <c r="L21" s="33">
        <v>489</v>
      </c>
    </row>
    <row r="22" spans="1:12" ht="45" customHeight="1" x14ac:dyDescent="0.25">
      <c r="A22" s="22">
        <v>44944</v>
      </c>
      <c r="B22" s="37"/>
      <c r="C22" s="34">
        <v>43942406</v>
      </c>
      <c r="D22" s="24">
        <f t="shared" si="4"/>
        <v>32920</v>
      </c>
      <c r="E22" s="34">
        <v>628887.3870967665</v>
      </c>
      <c r="F22" s="24">
        <f t="shared" si="5"/>
        <v>209.3548387096962</v>
      </c>
      <c r="G22" s="34">
        <v>127967034</v>
      </c>
      <c r="H22" s="24">
        <f t="shared" si="2"/>
        <v>17308</v>
      </c>
      <c r="I22" s="23">
        <v>1918616</v>
      </c>
      <c r="J22" s="32">
        <f t="shared" si="3"/>
        <v>555</v>
      </c>
      <c r="K22" s="33">
        <v>254</v>
      </c>
      <c r="L22" s="33">
        <v>425</v>
      </c>
    </row>
    <row r="23" spans="1:12" ht="45" customHeight="1" x14ac:dyDescent="0.25">
      <c r="A23" s="22">
        <v>44945</v>
      </c>
      <c r="B23" s="37"/>
      <c r="C23" s="34">
        <v>43975475</v>
      </c>
      <c r="D23" s="24">
        <f t="shared" si="4"/>
        <v>33069</v>
      </c>
      <c r="E23" s="34">
        <v>629101.7419354762</v>
      </c>
      <c r="F23" s="24">
        <f t="shared" si="5"/>
        <v>214.3548387096962</v>
      </c>
      <c r="G23" s="34">
        <v>127984342</v>
      </c>
      <c r="H23" s="24">
        <f t="shared" si="2"/>
        <v>17308</v>
      </c>
      <c r="I23" s="23">
        <v>1919199</v>
      </c>
      <c r="J23" s="32">
        <f t="shared" si="3"/>
        <v>583</v>
      </c>
      <c r="K23" s="33">
        <v>232</v>
      </c>
      <c r="L23" s="33">
        <v>535</v>
      </c>
    </row>
    <row r="24" spans="1:12" ht="45" customHeight="1" x14ac:dyDescent="0.25">
      <c r="A24" s="22">
        <v>44946</v>
      </c>
      <c r="B24" s="37"/>
      <c r="C24" s="34">
        <v>44008394</v>
      </c>
      <c r="D24" s="24">
        <f t="shared" si="4"/>
        <v>32919</v>
      </c>
      <c r="E24" s="34">
        <v>629330.09677418589</v>
      </c>
      <c r="F24" s="24">
        <f t="shared" si="5"/>
        <v>228.3548387096962</v>
      </c>
      <c r="G24" s="34">
        <v>128001650</v>
      </c>
      <c r="H24" s="24">
        <f t="shared" si="2"/>
        <v>17308</v>
      </c>
      <c r="I24" s="23">
        <v>1919765</v>
      </c>
      <c r="J24" s="32">
        <f t="shared" si="3"/>
        <v>566</v>
      </c>
      <c r="K24" s="33">
        <v>241</v>
      </c>
      <c r="L24" s="33">
        <v>643</v>
      </c>
    </row>
    <row r="25" spans="1:12" ht="45" customHeight="1" x14ac:dyDescent="0.25">
      <c r="A25" s="22">
        <v>44947</v>
      </c>
      <c r="B25" s="37"/>
      <c r="C25" s="34">
        <v>44042183</v>
      </c>
      <c r="D25" s="24">
        <f t="shared" si="4"/>
        <v>33789</v>
      </c>
      <c r="E25" s="34">
        <v>629567.45161289559</v>
      </c>
      <c r="F25" s="24">
        <f t="shared" si="5"/>
        <v>237.3548387096962</v>
      </c>
      <c r="G25" s="34">
        <v>128018958</v>
      </c>
      <c r="H25" s="24">
        <f t="shared" si="2"/>
        <v>17308</v>
      </c>
      <c r="I25" s="23">
        <v>1920372</v>
      </c>
      <c r="J25" s="32">
        <f t="shared" si="3"/>
        <v>607</v>
      </c>
      <c r="K25" s="33">
        <v>287</v>
      </c>
      <c r="L25" s="33">
        <v>855</v>
      </c>
    </row>
    <row r="26" spans="1:12" ht="45" customHeight="1" x14ac:dyDescent="0.25">
      <c r="A26" s="22">
        <v>44948</v>
      </c>
      <c r="B26" s="37"/>
      <c r="C26" s="34">
        <v>44074576</v>
      </c>
      <c r="D26" s="24">
        <f t="shared" si="4"/>
        <v>32393</v>
      </c>
      <c r="E26" s="34">
        <v>629806.80645160528</v>
      </c>
      <c r="F26" s="24">
        <f t="shared" si="5"/>
        <v>239.3548387096962</v>
      </c>
      <c r="G26" s="34">
        <v>128036266</v>
      </c>
      <c r="H26" s="24">
        <f t="shared" si="2"/>
        <v>17308</v>
      </c>
      <c r="I26" s="23">
        <v>1920975</v>
      </c>
      <c r="J26" s="32">
        <f t="shared" si="3"/>
        <v>603</v>
      </c>
      <c r="K26" s="33">
        <v>296</v>
      </c>
      <c r="L26" s="33">
        <v>1001</v>
      </c>
    </row>
    <row r="27" spans="1:12" ht="45" customHeight="1" x14ac:dyDescent="0.25">
      <c r="A27" s="22">
        <v>44949</v>
      </c>
      <c r="B27" s="37"/>
      <c r="C27" s="34">
        <v>44108341</v>
      </c>
      <c r="D27" s="24">
        <f t="shared" si="4"/>
        <v>33765</v>
      </c>
      <c r="E27" s="34">
        <v>630044.16129031498</v>
      </c>
      <c r="F27" s="24">
        <f t="shared" si="5"/>
        <v>237.3548387096962</v>
      </c>
      <c r="G27" s="34">
        <v>128053574</v>
      </c>
      <c r="H27" s="24">
        <f t="shared" si="2"/>
        <v>17308</v>
      </c>
      <c r="I27" s="23">
        <v>1921599</v>
      </c>
      <c r="J27" s="32">
        <f t="shared" si="3"/>
        <v>624</v>
      </c>
      <c r="K27" s="33">
        <v>299</v>
      </c>
      <c r="L27" s="33">
        <v>1172</v>
      </c>
    </row>
    <row r="28" spans="1:12" ht="45" customHeight="1" x14ac:dyDescent="0.25">
      <c r="A28" s="22">
        <v>44950</v>
      </c>
      <c r="B28" s="37"/>
      <c r="C28" s="34">
        <v>44142219</v>
      </c>
      <c r="D28" s="24">
        <f t="shared" si="4"/>
        <v>33878</v>
      </c>
      <c r="E28" s="34">
        <v>630288.51612902468</v>
      </c>
      <c r="F28" s="24">
        <f t="shared" si="5"/>
        <v>244.3548387096962</v>
      </c>
      <c r="G28" s="34">
        <v>128070882</v>
      </c>
      <c r="H28" s="24">
        <f t="shared" si="2"/>
        <v>17308</v>
      </c>
      <c r="I28" s="23">
        <v>1922291</v>
      </c>
      <c r="J28" s="32">
        <f t="shared" si="3"/>
        <v>692</v>
      </c>
      <c r="K28" s="33">
        <v>317</v>
      </c>
      <c r="L28" s="33">
        <v>1297</v>
      </c>
    </row>
    <row r="29" spans="1:12" ht="45" customHeight="1" x14ac:dyDescent="0.25">
      <c r="A29" s="22">
        <v>44951</v>
      </c>
      <c r="B29" s="37"/>
      <c r="C29" s="34">
        <v>44177297</v>
      </c>
      <c r="D29" s="24">
        <f t="shared" si="4"/>
        <v>35078</v>
      </c>
      <c r="E29" s="34">
        <v>630530.87096773437</v>
      </c>
      <c r="F29" s="24">
        <f t="shared" si="5"/>
        <v>242.3548387096962</v>
      </c>
      <c r="G29" s="34">
        <v>128088190</v>
      </c>
      <c r="H29" s="24">
        <f t="shared" si="2"/>
        <v>17308</v>
      </c>
      <c r="I29" s="23">
        <v>1922998</v>
      </c>
      <c r="J29" s="32">
        <f t="shared" si="3"/>
        <v>707</v>
      </c>
      <c r="K29" s="33">
        <v>319</v>
      </c>
      <c r="L29" s="33">
        <v>1416</v>
      </c>
    </row>
    <row r="30" spans="1:12" ht="45" customHeight="1" x14ac:dyDescent="0.25">
      <c r="A30" s="22">
        <v>44952</v>
      </c>
      <c r="B30" s="37"/>
      <c r="C30" s="34">
        <v>44212525</v>
      </c>
      <c r="D30" s="24">
        <f t="shared" si="4"/>
        <v>35228</v>
      </c>
      <c r="E30" s="34">
        <v>630776.22580644407</v>
      </c>
      <c r="F30" s="24">
        <f t="shared" si="5"/>
        <v>245.3548387096962</v>
      </c>
      <c r="G30" s="34">
        <v>128105498</v>
      </c>
      <c r="H30" s="24">
        <f t="shared" si="2"/>
        <v>17308</v>
      </c>
      <c r="I30" s="23">
        <v>1923676</v>
      </c>
      <c r="J30" s="32">
        <f t="shared" si="3"/>
        <v>678</v>
      </c>
      <c r="K30" s="33">
        <v>307</v>
      </c>
      <c r="L30" s="33">
        <v>1240</v>
      </c>
    </row>
    <row r="31" spans="1:12" ht="45" customHeight="1" x14ac:dyDescent="0.25">
      <c r="A31" s="22">
        <v>44953</v>
      </c>
      <c r="B31" s="37"/>
      <c r="C31" s="34">
        <v>44248758</v>
      </c>
      <c r="D31" s="24">
        <f t="shared" si="4"/>
        <v>36233</v>
      </c>
      <c r="E31" s="34">
        <v>631018.58064515376</v>
      </c>
      <c r="F31" s="24">
        <f t="shared" si="5"/>
        <v>242.3548387096962</v>
      </c>
      <c r="G31" s="34">
        <v>128122806</v>
      </c>
      <c r="H31" s="24">
        <f t="shared" si="2"/>
        <v>17308</v>
      </c>
      <c r="I31" s="23">
        <v>1924323</v>
      </c>
      <c r="J31" s="32">
        <f t="shared" si="3"/>
        <v>647</v>
      </c>
      <c r="K31" s="33">
        <v>301</v>
      </c>
      <c r="L31" s="33">
        <v>1341</v>
      </c>
    </row>
    <row r="32" spans="1:12" ht="45" customHeight="1" x14ac:dyDescent="0.25">
      <c r="A32" s="22">
        <v>44954</v>
      </c>
      <c r="B32" s="37"/>
      <c r="C32" s="34">
        <v>44284005</v>
      </c>
      <c r="D32" s="24">
        <f t="shared" si="4"/>
        <v>35247</v>
      </c>
      <c r="E32" s="34">
        <v>631258.93548386346</v>
      </c>
      <c r="F32" s="24">
        <f t="shared" si="5"/>
        <v>240.3548387096962</v>
      </c>
      <c r="G32" s="34">
        <v>128140114</v>
      </c>
      <c r="H32" s="24">
        <f t="shared" si="2"/>
        <v>17308</v>
      </c>
      <c r="I32" s="23">
        <v>1924950</v>
      </c>
      <c r="J32" s="32">
        <f t="shared" si="3"/>
        <v>627</v>
      </c>
      <c r="K32" s="33">
        <v>290</v>
      </c>
      <c r="L32" s="33">
        <v>1198</v>
      </c>
    </row>
    <row r="33" spans="1:12" ht="45" customHeight="1" x14ac:dyDescent="0.25">
      <c r="A33" s="22">
        <v>44955</v>
      </c>
      <c r="B33" s="37"/>
      <c r="C33" s="34">
        <v>44316584</v>
      </c>
      <c r="D33" s="24">
        <f t="shared" si="4"/>
        <v>32579</v>
      </c>
      <c r="E33" s="34">
        <v>631488.29032257316</v>
      </c>
      <c r="F33" s="24">
        <f t="shared" si="5"/>
        <v>229.3548387096962</v>
      </c>
      <c r="G33" s="34">
        <v>128157422</v>
      </c>
      <c r="H33" s="24">
        <f t="shared" si="2"/>
        <v>17308</v>
      </c>
      <c r="I33" s="23">
        <v>1925560</v>
      </c>
      <c r="J33" s="32">
        <f t="shared" si="3"/>
        <v>610</v>
      </c>
      <c r="K33" s="33">
        <v>249</v>
      </c>
      <c r="L33" s="33">
        <v>949</v>
      </c>
    </row>
    <row r="34" spans="1:12" ht="45" customHeight="1" x14ac:dyDescent="0.25">
      <c r="A34" s="22">
        <v>44956</v>
      </c>
      <c r="B34" s="37"/>
      <c r="C34" s="34">
        <v>44348475</v>
      </c>
      <c r="D34" s="24">
        <f t="shared" si="4"/>
        <v>31891</v>
      </c>
      <c r="E34" s="34">
        <v>631703.64516128285</v>
      </c>
      <c r="F34" s="24">
        <f t="shared" si="5"/>
        <v>215.3548387096962</v>
      </c>
      <c r="G34" s="34">
        <v>128174730</v>
      </c>
      <c r="H34" s="24">
        <f t="shared" si="2"/>
        <v>17308</v>
      </c>
      <c r="I34" s="23">
        <v>1926125</v>
      </c>
      <c r="J34" s="32">
        <f t="shared" si="3"/>
        <v>565</v>
      </c>
      <c r="K34" s="33">
        <v>234</v>
      </c>
      <c r="L34" s="33">
        <v>664</v>
      </c>
    </row>
    <row r="35" spans="1:12" ht="45" customHeight="1" x14ac:dyDescent="0.25">
      <c r="A35" s="22">
        <v>44957</v>
      </c>
      <c r="B35" s="37"/>
      <c r="C35" s="34">
        <v>44379876</v>
      </c>
      <c r="D35" s="24">
        <f t="shared" ref="D35" si="6">IF((C35-C34&lt;0), "0",C35-C34)</f>
        <v>31401</v>
      </c>
      <c r="E35" s="34">
        <v>631903.99999999255</v>
      </c>
      <c r="F35" s="24">
        <f t="shared" ref="F35" si="7">IF((E35-E34&lt;0), "0",E35-E34)</f>
        <v>200.3548387096962</v>
      </c>
      <c r="G35" s="34">
        <v>128192038</v>
      </c>
      <c r="H35" s="24">
        <f t="shared" ref="H35" si="8">IF((G35-G34&lt;0), "0",G35-G34)</f>
        <v>17308</v>
      </c>
      <c r="I35" s="23">
        <v>1926687</v>
      </c>
      <c r="J35" s="32">
        <f t="shared" ref="J35" si="9">IF((I35-I34&lt;0), "0",I35-I34)</f>
        <v>562</v>
      </c>
      <c r="K35" s="33">
        <v>234</v>
      </c>
      <c r="L35" s="33">
        <v>642</v>
      </c>
    </row>
    <row r="37" spans="1:12" ht="15.75" customHeight="1" x14ac:dyDescent="0.25">
      <c r="C37" s="31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2023-02-23T06:12:42Z</dcterms:modified>
  <cp:category/>
  <cp:contentStatus/>
</cp:coreProperties>
</file>