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5360" windowHeight="7755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" i="9" l="1"/>
  <c r="H15" i="10"/>
  <c r="H14" i="10"/>
  <c r="E14" i="9" l="1"/>
  <c r="E13" i="9" l="1"/>
  <c r="E12" i="9"/>
  <c r="E11" i="9" l="1"/>
  <c r="F9" i="9" l="1"/>
  <c r="F10" i="9"/>
  <c r="E9" i="9"/>
  <c r="E10" i="9"/>
  <c r="H4" i="8" l="1"/>
  <c r="J4" i="9" l="1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8" i="9"/>
  <c r="F7" i="9"/>
  <c r="F6" i="9"/>
  <c r="F5" i="9"/>
  <c r="F4" i="9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8" i="8"/>
  <c r="E7" i="8"/>
  <c r="E6" i="8"/>
  <c r="E5" i="8"/>
  <c r="E4" i="8"/>
  <c r="E34" i="9" l="1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8" i="9"/>
  <c r="E7" i="9"/>
  <c r="E6" i="9"/>
  <c r="E5" i="9"/>
  <c r="E4" i="9"/>
  <c r="I4" i="10"/>
  <c r="J36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8" i="10"/>
  <c r="F7" i="10"/>
  <c r="F6" i="10"/>
  <c r="F5" i="10"/>
  <c r="F4" i="10"/>
  <c r="H18" i="10" l="1"/>
  <c r="H17" i="10"/>
  <c r="H16" i="10"/>
  <c r="H13" i="10"/>
  <c r="H12" i="10"/>
  <c r="H11" i="10"/>
  <c r="H10" i="10"/>
  <c r="H9" i="10"/>
  <c r="H8" i="10"/>
  <c r="H7" i="10"/>
  <c r="H6" i="10"/>
  <c r="H5" i="10"/>
  <c r="H4" i="10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I9" i="10"/>
  <c r="I13" i="10"/>
  <c r="I6" i="10"/>
  <c r="I5" i="10"/>
  <c r="I17" i="10"/>
  <c r="I10" i="10"/>
  <c r="I11" i="10"/>
  <c r="I15" i="10"/>
  <c r="I16" i="10"/>
  <c r="J18" i="9"/>
  <c r="H5" i="8"/>
  <c r="H15" i="8"/>
  <c r="H16" i="8"/>
  <c r="H11" i="8"/>
  <c r="H9" i="8"/>
  <c r="H17" i="8"/>
  <c r="H12" i="8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AX35" i="10" l="1"/>
  <c r="AV35" i="10"/>
  <c r="AS35" i="10"/>
  <c r="AQ35" i="10"/>
  <c r="AO35" i="10"/>
  <c r="AC35" i="10"/>
  <c r="AX34" i="10"/>
  <c r="AV34" i="10"/>
  <c r="AS34" i="10"/>
  <c r="AQ34" i="10"/>
  <c r="AO34" i="10"/>
  <c r="AC34" i="10"/>
  <c r="T34" i="10"/>
  <c r="H34" i="10"/>
  <c r="AX33" i="10"/>
  <c r="AV33" i="10"/>
  <c r="AS33" i="10"/>
  <c r="AT34" i="10" s="1"/>
  <c r="AQ33" i="10"/>
  <c r="AO33" i="10"/>
  <c r="AC33" i="10"/>
  <c r="T33" i="10"/>
  <c r="H33" i="10"/>
  <c r="AX32" i="10"/>
  <c r="AV32" i="10"/>
  <c r="AS32" i="10"/>
  <c r="AQ32" i="10"/>
  <c r="AO32" i="10"/>
  <c r="AC32" i="10"/>
  <c r="AD33" i="10" s="1"/>
  <c r="T32" i="10"/>
  <c r="H32" i="10"/>
  <c r="AX31" i="10"/>
  <c r="AV31" i="10"/>
  <c r="AS31" i="10"/>
  <c r="AQ31" i="10"/>
  <c r="AO31" i="10"/>
  <c r="AC31" i="10"/>
  <c r="T31" i="10"/>
  <c r="H31" i="10"/>
  <c r="AX30" i="10"/>
  <c r="AV30" i="10"/>
  <c r="AS30" i="10"/>
  <c r="AT31" i="10" s="1"/>
  <c r="AQ30" i="10"/>
  <c r="AO30" i="10"/>
  <c r="AC30" i="10"/>
  <c r="T30" i="10"/>
  <c r="H30" i="10"/>
  <c r="AX29" i="10"/>
  <c r="AV29" i="10"/>
  <c r="AS29" i="10"/>
  <c r="AQ29" i="10"/>
  <c r="AO29" i="10"/>
  <c r="AC29" i="10"/>
  <c r="AD30" i="10" s="1"/>
  <c r="T29" i="10"/>
  <c r="H29" i="10"/>
  <c r="AX28" i="10"/>
  <c r="AV28" i="10"/>
  <c r="AS28" i="10"/>
  <c r="AQ28" i="10"/>
  <c r="AO28" i="10"/>
  <c r="AC28" i="10"/>
  <c r="T28" i="10"/>
  <c r="H28" i="10"/>
  <c r="AX27" i="10"/>
  <c r="AV27" i="10"/>
  <c r="AS27" i="10"/>
  <c r="AQ27" i="10"/>
  <c r="AO27" i="10"/>
  <c r="AC27" i="10"/>
  <c r="AD28" i="10" s="1"/>
  <c r="T27" i="10"/>
  <c r="H27" i="10"/>
  <c r="AX26" i="10"/>
  <c r="AV26" i="10"/>
  <c r="AS26" i="10"/>
  <c r="AQ26" i="10"/>
  <c r="AR27" i="10" s="1"/>
  <c r="AO26" i="10"/>
  <c r="AC26" i="10"/>
  <c r="T26" i="10"/>
  <c r="U26" i="10" s="1"/>
  <c r="H26" i="10"/>
  <c r="AX25" i="10"/>
  <c r="AV25" i="10"/>
  <c r="AS25" i="10"/>
  <c r="AQ25" i="10"/>
  <c r="AR26" i="10" s="1"/>
  <c r="AO25" i="10"/>
  <c r="AP25" i="10" s="1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Q23" i="10"/>
  <c r="AO23" i="10"/>
  <c r="AC23" i="10"/>
  <c r="AD24" i="10" s="1"/>
  <c r="T23" i="10"/>
  <c r="U23" i="10" s="1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T21" i="10" s="1"/>
  <c r="AQ21" i="10"/>
  <c r="AO21" i="10"/>
  <c r="AC21" i="10"/>
  <c r="AD22" i="10" s="1"/>
  <c r="T21" i="10"/>
  <c r="H21" i="10"/>
  <c r="AX20" i="10"/>
  <c r="AV20" i="10"/>
  <c r="AS20" i="10"/>
  <c r="AQ20" i="10"/>
  <c r="AO20" i="10"/>
  <c r="AC20" i="10"/>
  <c r="AD21" i="10" s="1"/>
  <c r="T20" i="10"/>
  <c r="U20" i="10" s="1"/>
  <c r="H20" i="10"/>
  <c r="AX19" i="10"/>
  <c r="AV19" i="10"/>
  <c r="AS19" i="10"/>
  <c r="AQ19" i="10"/>
  <c r="AO19" i="10"/>
  <c r="AC19" i="10"/>
  <c r="T19" i="10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O17" i="10"/>
  <c r="AC17" i="10"/>
  <c r="AD18" i="10" s="1"/>
  <c r="T17" i="10"/>
  <c r="AX16" i="10"/>
  <c r="AV16" i="10"/>
  <c r="AS16" i="10"/>
  <c r="AT17" i="10" s="1"/>
  <c r="AQ16" i="10"/>
  <c r="AO16" i="10"/>
  <c r="AC16" i="10"/>
  <c r="AD17" i="10" s="1"/>
  <c r="T16" i="10"/>
  <c r="U17" i="10" s="1"/>
  <c r="E14" i="5"/>
  <c r="AX15" i="10"/>
  <c r="AV15" i="10"/>
  <c r="AS15" i="10"/>
  <c r="AQ15" i="10"/>
  <c r="AO15" i="10"/>
  <c r="AP15" i="10" s="1"/>
  <c r="AC15" i="10"/>
  <c r="T15" i="10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U8" i="10" s="1"/>
  <c r="E6" i="5"/>
  <c r="AX7" i="10"/>
  <c r="AV7" i="10"/>
  <c r="AS7" i="10"/>
  <c r="AQ7" i="10"/>
  <c r="AO7" i="10"/>
  <c r="AC7" i="10"/>
  <c r="AD7" i="10" s="1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P6" i="10" s="1"/>
  <c r="AC5" i="10"/>
  <c r="AD5" i="10" s="1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/>
  <c r="G19" i="9"/>
  <c r="I19" i="9" s="1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8" i="10"/>
  <c r="U22" i="10"/>
  <c r="U28" i="10"/>
  <c r="U30" i="10"/>
  <c r="U31" i="10"/>
  <c r="U34" i="10"/>
  <c r="AW8" i="10"/>
  <c r="AR13" i="10"/>
  <c r="V8" i="10"/>
  <c r="AD19" i="10"/>
  <c r="AD25" i="10"/>
  <c r="AD27" i="10"/>
  <c r="AD31" i="10"/>
  <c r="AD35" i="10"/>
  <c r="AT16" i="10"/>
  <c r="AT18" i="10"/>
  <c r="AT23" i="10"/>
  <c r="AT26" i="10"/>
  <c r="AT29" i="10"/>
  <c r="AT30" i="10"/>
  <c r="AP21" i="10"/>
  <c r="AP24" i="10"/>
  <c r="AP35" i="10"/>
  <c r="AW13" i="10"/>
  <c r="V13" i="10"/>
  <c r="AT22" i="10" l="1"/>
  <c r="AD29" i="10"/>
  <c r="AR35" i="10"/>
  <c r="AD23" i="10"/>
  <c r="AR11" i="10"/>
  <c r="AR8" i="10"/>
  <c r="AP16" i="10"/>
  <c r="AP20" i="10"/>
  <c r="AT25" i="10"/>
  <c r="U27" i="10"/>
  <c r="AP29" i="10"/>
  <c r="AP32" i="10"/>
  <c r="AD6" i="10"/>
  <c r="AT6" i="10"/>
  <c r="AR6" i="10"/>
  <c r="AT9" i="10"/>
  <c r="AR30" i="10"/>
  <c r="AD34" i="10"/>
  <c r="AP13" i="10"/>
  <c r="U15" i="10"/>
  <c r="AR18" i="10"/>
  <c r="U19" i="10"/>
  <c r="AT24" i="10"/>
  <c r="AT27" i="10"/>
  <c r="U29" i="10"/>
  <c r="AP31" i="10"/>
  <c r="U32" i="10"/>
  <c r="AT33" i="10"/>
  <c r="AP33" i="10"/>
  <c r="J20" i="9"/>
  <c r="G18" i="5" s="1"/>
  <c r="H33" i="8"/>
  <c r="I31" i="5" s="1"/>
  <c r="J31" i="9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G25" i="5" s="1"/>
  <c r="AX36" i="10"/>
  <c r="U11" i="10"/>
  <c r="AP14" i="10"/>
  <c r="AR19" i="10"/>
  <c r="AD20" i="10"/>
  <c r="AR22" i="10"/>
  <c r="AD26" i="10"/>
  <c r="AR31" i="10"/>
  <c r="AU31" i="10" s="1"/>
  <c r="AD32" i="10"/>
  <c r="AR34" i="10"/>
  <c r="J32" i="9"/>
  <c r="G30" i="5" s="1"/>
  <c r="AP5" i="10"/>
  <c r="AU5" i="10" s="1"/>
  <c r="AP9" i="10"/>
  <c r="AU9" i="10" s="1"/>
  <c r="AP19" i="10"/>
  <c r="U21" i="10"/>
  <c r="AT28" i="10"/>
  <c r="AP28" i="10"/>
  <c r="U33" i="10"/>
  <c r="AP11" i="10"/>
  <c r="H21" i="8"/>
  <c r="I19" i="5" s="1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H20" i="8"/>
  <c r="I18" i="5" s="1"/>
  <c r="H31" i="8"/>
  <c r="I29" i="5" s="1"/>
  <c r="G15" i="5"/>
  <c r="J22" i="9"/>
  <c r="G20" i="5" s="1"/>
  <c r="J34" i="9"/>
  <c r="G32" i="5" s="1"/>
  <c r="AT13" i="10"/>
  <c r="AU13" i="10" s="1"/>
  <c r="AR14" i="10"/>
  <c r="AD15" i="10"/>
  <c r="AP22" i="10"/>
  <c r="AP34" i="10"/>
  <c r="I9" i="5"/>
  <c r="I15" i="5"/>
  <c r="I14" i="5"/>
  <c r="H27" i="8"/>
  <c r="I25" i="5" s="1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U35" i="10" s="1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AU28" i="10"/>
  <c r="AU32" i="10"/>
  <c r="AT8" i="10"/>
  <c r="AR25" i="10"/>
  <c r="AU25" i="10" s="1"/>
  <c r="AR33" i="10"/>
  <c r="AP23" i="10"/>
  <c r="AU23" i="10" s="1"/>
  <c r="AT11" i="10"/>
  <c r="AP8" i="10"/>
  <c r="AR17" i="10"/>
  <c r="AU17" i="10" s="1"/>
  <c r="AR21" i="10"/>
  <c r="AU21" i="10" s="1"/>
  <c r="AR29" i="10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18" i="10"/>
  <c r="AE18" i="10"/>
  <c r="AF18" i="10" s="1"/>
  <c r="V18" i="10"/>
  <c r="W18" i="10" s="1"/>
  <c r="V16" i="10"/>
  <c r="AW16" i="10"/>
  <c r="AE16" i="10"/>
  <c r="AW7" i="10"/>
  <c r="AW5" i="10"/>
  <c r="AE7" i="10"/>
  <c r="AF7" i="10" s="1"/>
  <c r="AE8" i="10"/>
  <c r="AF8" i="10" s="1"/>
  <c r="AE9" i="10"/>
  <c r="V10" i="10"/>
  <c r="AU22" i="10" l="1"/>
  <c r="AU30" i="10"/>
  <c r="AU29" i="10"/>
  <c r="AU33" i="10"/>
  <c r="AU24" i="10"/>
  <c r="V27" i="10"/>
  <c r="W27" i="10" s="1"/>
  <c r="AW27" i="10"/>
  <c r="V21" i="10"/>
  <c r="W21" i="10" s="1"/>
  <c r="V28" i="10"/>
  <c r="W28" i="10" s="1"/>
  <c r="AW28" i="10"/>
  <c r="AE27" i="10"/>
  <c r="AF27" i="10" s="1"/>
  <c r="AW21" i="10"/>
  <c r="AE28" i="10"/>
  <c r="AF28" i="10" s="1"/>
  <c r="AW25" i="10"/>
  <c r="AE22" i="10"/>
  <c r="AF22" i="10" s="1"/>
  <c r="AE21" i="10"/>
  <c r="AF21" i="10" s="1"/>
  <c r="AE35" i="10"/>
  <c r="AF35" i="10" s="1"/>
  <c r="AW35" i="10"/>
  <c r="AW34" i="10"/>
  <c r="V34" i="10"/>
  <c r="W34" i="10" s="1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<sst xmlns="http://schemas.openxmlformats.org/spreadsheetml/2006/main" count="115" uniqueCount="57">
  <si>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</si>
  <si>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</si>
  <si>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</si>
  <si>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</si>
  <si>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</si>
  <si>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</si>
  <si>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</si>
  <si>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</si>
  <si>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</si>
  <si>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</si>
  <si>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</si>
  <si>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</si>
  <si>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</si>
  <si>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</si>
  <si>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</si>
  <si>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</si>
  <si>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</si>
  <si>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</si>
  <si>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</si>
  <si>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</si>
  <si>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</si>
  <si>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</si>
  <si>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</si>
  <si>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</si>
  <si>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</si>
  <si>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</si>
  <si>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</si>
  <si>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</si>
  <si>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</si>
  <si>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</si>
  <si>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</si>
  <si>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</si>
  <si>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</si>
  <si>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</si>
  <si>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</si>
  <si>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</si>
  <si>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</si>
  <si>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</si>
  <si>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</si>
  <si>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</si>
  <si>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</si>
  <si>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</si>
  <si>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</si>
  <si>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</si>
  <si>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</si>
  <si>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</si>
  <si>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</si>
  <si>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</si>
  <si>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</si>
  <si>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</si>
  <si>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</si>
  <si>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Istanbul at Sultanahmet</t>
  </si>
  <si>
    <t>BİRİM FİYAT :   12.93 TL/m3 + KDV x  91,0 = 1116,6 TL + KDV</t>
  </si>
  <si>
    <t>WATER CONSUMPTION , MAY.2021</t>
  </si>
  <si>
    <t>NATURAL GAS CONSUMPTION , MAY.2021</t>
  </si>
  <si>
    <t>BİRİM FİYAT : 0.72  x 44794,8 =28668,6 TL/Kwh+KDV</t>
  </si>
  <si>
    <t>BİRİM FİYAT : 1.66 TL/m3 + KDV  x 1764,5 = 2796,4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</si>
</sst>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1232"/>
        <c:axId val="367209272"/>
      </c:lineChart>
      <c:dateAx>
        <c:axId val="367211232"/>
        <c:scaling>
          <c:orientation val="minMax"/>
          <c:max val="44347"/>
          <c:min val="4431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720927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720927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7211232"/>
        <c:crossesAt val="4431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0840"/>
        <c:axId val="367208096"/>
      </c:lineChart>
      <c:dateAx>
        <c:axId val="36721084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8096"/>
        <c:crosses val="autoZero"/>
        <c:auto val="0"/>
        <c:lblOffset val="100"/>
        <c:baseTimeUnit val="days"/>
      </c:dateAx>
      <c:valAx>
        <c:axId val="36720809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084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2016"/>
        <c:axId val="367207704"/>
      </c:lineChart>
      <c:dateAx>
        <c:axId val="367212016"/>
        <c:scaling>
          <c:orientation val="minMax"/>
          <c:max val="44347"/>
          <c:min val="44317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7704"/>
        <c:crosses val="autoZero"/>
        <c:auto val="0"/>
        <c:lblOffset val="100"/>
        <c:baseTimeUnit val="days"/>
        <c:majorUnit val="1"/>
        <c:majorTimeUnit val="days"/>
      </c:dateAx>
      <c:valAx>
        <c:axId val="36720770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2016"/>
        <c:crossesAt val="44317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/>
      <sheetData sheetId="2" refreshError="1"/>
      <sheetData sheetId="3" refreshError="1"/>
      <sheetData sheetId="4">
        <row r="4">
          <cell r="E4">
            <v>9262</v>
          </cell>
          <cell r="H4">
            <v>6</v>
          </cell>
        </row>
        <row r="5">
          <cell r="E5">
            <v>9262</v>
          </cell>
        </row>
        <row r="6">
          <cell r="E6">
            <v>9277</v>
          </cell>
        </row>
        <row r="7">
          <cell r="E7">
            <v>9286</v>
          </cell>
        </row>
        <row r="8">
          <cell r="E8">
            <v>9289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4">
          <cell r="E4">
            <v>760788</v>
          </cell>
          <cell r="F4">
            <v>172133</v>
          </cell>
          <cell r="J4">
            <v>0</v>
          </cell>
        </row>
        <row r="5">
          <cell r="E5">
            <v>760788</v>
          </cell>
          <cell r="F5">
            <v>172133</v>
          </cell>
        </row>
        <row r="6">
          <cell r="E6">
            <v>760788</v>
          </cell>
          <cell r="F6">
            <v>172133</v>
          </cell>
        </row>
        <row r="7">
          <cell r="E7">
            <v>760788</v>
          </cell>
          <cell r="F7">
            <v>172133</v>
          </cell>
        </row>
        <row r="8">
          <cell r="E8">
            <v>760788</v>
          </cell>
          <cell r="F8">
            <v>172133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>
        <row r="4">
          <cell r="E4">
            <v>4672.4290000000001</v>
          </cell>
          <cell r="H4">
            <v>1173.0000000018626</v>
          </cell>
        </row>
        <row r="5">
          <cell r="E5">
            <v>4672.8379999999997</v>
          </cell>
        </row>
        <row r="6">
          <cell r="E6">
            <v>4673.2269999999999</v>
          </cell>
        </row>
        <row r="7">
          <cell r="E7">
            <v>4673.6319999999996</v>
          </cell>
        </row>
        <row r="8">
          <cell r="E8">
            <v>4674.0379999999996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M11" sqref="M1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5</v>
      </c>
      <c r="D2" s="12">
        <v>2021</v>
      </c>
      <c r="E2" s="13">
        <f>Electricity!I4</f>
        <v>1173.0000000018626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5</v>
      </c>
      <c r="D3" s="12">
        <v>2021</v>
      </c>
      <c r="E3" s="13">
        <f>Electricity!I5</f>
        <v>1128.8399999979883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2" si="0">B3+1</f>
        <v>3</v>
      </c>
      <c r="C4" s="3">
        <v>5</v>
      </c>
      <c r="D4" s="12">
        <v>2021</v>
      </c>
      <c r="E4" s="13">
        <f>Electricity!I6</f>
        <v>1073.640000000596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5</v>
      </c>
      <c r="D5" s="12">
        <v>2021</v>
      </c>
      <c r="E5" s="13">
        <f>Electricity!I7</f>
        <v>1117.7999999988824</v>
      </c>
      <c r="F5" s="3">
        <v>0.72</v>
      </c>
      <c r="G5" s="13">
        <f>Gas!J7</f>
        <v>0</v>
      </c>
      <c r="H5" s="3">
        <v>1.66</v>
      </c>
      <c r="I5" s="13">
        <f>Water!H7</f>
        <v>9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5</v>
      </c>
      <c r="D6" s="12">
        <v>2021</v>
      </c>
      <c r="E6" s="13">
        <f>Electricity!I8</f>
        <v>1120.5600000005215</v>
      </c>
      <c r="F6" s="3">
        <v>0.72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5</v>
      </c>
      <c r="D7" s="12">
        <v>2021</v>
      </c>
      <c r="E7" s="13">
        <f>Electricity!I9</f>
        <v>1150.9199999999255</v>
      </c>
      <c r="F7" s="3">
        <v>0.72</v>
      </c>
      <c r="G7" s="13">
        <f>Gas!J9</f>
        <v>0</v>
      </c>
      <c r="H7" s="3">
        <v>1.66</v>
      </c>
      <c r="I7" s="13">
        <f>Water!H9</f>
        <v>16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5</v>
      </c>
      <c r="D8" s="12">
        <v>2021</v>
      </c>
      <c r="E8" s="13">
        <f>Electricity!I10</f>
        <v>1167.480000000447</v>
      </c>
      <c r="F8" s="3">
        <v>0.72</v>
      </c>
      <c r="G8" s="13">
        <f>Gas!J10</f>
        <v>0</v>
      </c>
      <c r="H8" s="3">
        <v>1.66</v>
      </c>
      <c r="I8" s="13">
        <f>Water!H10</f>
        <v>15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5</v>
      </c>
      <c r="D9" s="12">
        <v>2021</v>
      </c>
      <c r="E9" s="13">
        <f>Electricity!I11</f>
        <v>1139.8800000008196</v>
      </c>
      <c r="F9" s="3">
        <v>0.72</v>
      </c>
      <c r="G9" s="13">
        <f>Gas!J11</f>
        <v>10.393767999950796</v>
      </c>
      <c r="H9" s="3">
        <v>1.66</v>
      </c>
      <c r="I9" s="13">
        <f>Water!H11</f>
        <v>9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5</v>
      </c>
      <c r="D10" s="12">
        <v>2021</v>
      </c>
      <c r="E10" s="13">
        <f>Electricity!I12</f>
        <v>1148.160000000149</v>
      </c>
      <c r="F10" s="3">
        <v>0.72</v>
      </c>
      <c r="G10" s="13">
        <f>Gas!J12</f>
        <v>0</v>
      </c>
      <c r="H10" s="3">
        <v>1.66</v>
      </c>
      <c r="I10" s="13">
        <f>Water!H12</f>
        <v>17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5</v>
      </c>
      <c r="D11" s="12">
        <v>2021</v>
      </c>
      <c r="E11" s="13">
        <f>Electricity!I13</f>
        <v>1161.9599999990314</v>
      </c>
      <c r="F11" s="3">
        <v>0.72</v>
      </c>
      <c r="G11" s="13">
        <f>Gas!J13</f>
        <v>0</v>
      </c>
      <c r="H11" s="3">
        <v>1.66</v>
      </c>
      <c r="I11" s="13">
        <f>Water!H13</f>
        <v>13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5</v>
      </c>
      <c r="D12" s="12">
        <v>2021</v>
      </c>
      <c r="E12" s="13">
        <f>Electricity!I14</f>
        <v>1192.3200000021607</v>
      </c>
      <c r="F12" s="3">
        <v>0.72</v>
      </c>
      <c r="G12" s="13">
        <f>Gas!J14</f>
        <v>0</v>
      </c>
      <c r="H12" s="3">
        <v>1.66</v>
      </c>
      <c r="I12" s="13">
        <f>Water!H14</f>
        <v>14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5</v>
      </c>
      <c r="D13" s="12">
        <v>2021</v>
      </c>
      <c r="E13" s="13">
        <f>Electricity!I15</f>
        <v>1137.1199999973178</v>
      </c>
      <c r="F13" s="3">
        <v>0.72</v>
      </c>
      <c r="G13" s="13">
        <f>Gas!J15</f>
        <v>0</v>
      </c>
      <c r="H13" s="3">
        <v>1.66</v>
      </c>
      <c r="I13" s="13">
        <f>Water!H15</f>
        <v>13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5</v>
      </c>
      <c r="D14" s="12">
        <v>2021</v>
      </c>
      <c r="E14" s="13">
        <f>Electricity!I16</f>
        <v>-12908442.719999999</v>
      </c>
      <c r="F14" s="3">
        <v>0.72</v>
      </c>
      <c r="G14" s="13">
        <f>Gas!J16</f>
        <v>-1212080.9483089999</v>
      </c>
      <c r="H14" s="3">
        <v>1.66</v>
      </c>
      <c r="I14" s="13">
        <f>Water!H16</f>
        <v>-9386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5</v>
      </c>
      <c r="D15" s="12">
        <v>2021</v>
      </c>
      <c r="E15" s="13">
        <f>Electricity!I17</f>
        <v>0</v>
      </c>
      <c r="F15" s="3">
        <v>0.72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5</v>
      </c>
      <c r="D16" s="12">
        <v>2021</v>
      </c>
      <c r="E16" s="13">
        <f>Electricity!I18</f>
        <v>0</v>
      </c>
      <c r="F16" s="3">
        <v>0.72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5</v>
      </c>
      <c r="D17" s="12">
        <v>2021</v>
      </c>
      <c r="E17" s="13">
        <f>Electricity!I19</f>
        <v>0</v>
      </c>
      <c r="F17" s="3">
        <v>0.72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5</v>
      </c>
      <c r="D18" s="12">
        <v>2021</v>
      </c>
      <c r="E18" s="13">
        <f>Electricity!I20</f>
        <v>0</v>
      </c>
      <c r="F18" s="3">
        <v>0.72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5</v>
      </c>
      <c r="D19" s="12">
        <v>2021</v>
      </c>
      <c r="E19" s="13">
        <f>Electricity!I21</f>
        <v>0</v>
      </c>
      <c r="F19" s="3">
        <v>0.72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5</v>
      </c>
      <c r="D20" s="12">
        <v>2021</v>
      </c>
      <c r="E20" s="13">
        <f>Electricity!I22</f>
        <v>0</v>
      </c>
      <c r="F20" s="3">
        <v>0.72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5</v>
      </c>
      <c r="D21" s="12">
        <v>2021</v>
      </c>
      <c r="E21" s="13">
        <f>Electricity!I23</f>
        <v>0</v>
      </c>
      <c r="F21" s="3">
        <v>0.72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5</v>
      </c>
      <c r="D22" s="12">
        <v>2021</v>
      </c>
      <c r="E22" s="13">
        <f>Electricity!I24</f>
        <v>0</v>
      </c>
      <c r="F22" s="3">
        <v>0.72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5</v>
      </c>
      <c r="D23" s="12">
        <v>2021</v>
      </c>
      <c r="E23" s="13">
        <f>Electricity!I25</f>
        <v>0</v>
      </c>
      <c r="F23" s="3">
        <v>0.72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5</v>
      </c>
      <c r="D24" s="12">
        <v>2021</v>
      </c>
      <c r="E24" s="13">
        <f>Electricity!I26</f>
        <v>0</v>
      </c>
      <c r="F24" s="3">
        <v>0.72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5</v>
      </c>
      <c r="D25" s="12">
        <v>2021</v>
      </c>
      <c r="E25" s="13">
        <f>Electricity!I27</f>
        <v>0</v>
      </c>
      <c r="F25" s="3">
        <v>0.72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5</v>
      </c>
      <c r="D26" s="12">
        <v>2021</v>
      </c>
      <c r="E26" s="13">
        <f>Electricity!I28</f>
        <v>0</v>
      </c>
      <c r="F26" s="3">
        <v>0.72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5</v>
      </c>
      <c r="D27" s="12">
        <v>2021</v>
      </c>
      <c r="E27" s="13">
        <f>Electricity!I29</f>
        <v>0</v>
      </c>
      <c r="F27" s="3">
        <v>0.72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5</v>
      </c>
      <c r="D28" s="12">
        <v>2021</v>
      </c>
      <c r="E28" s="13">
        <f>Electricity!I30</f>
        <v>0</v>
      </c>
      <c r="F28" s="3">
        <v>0.72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5</v>
      </c>
      <c r="D29" s="12">
        <v>2021</v>
      </c>
      <c r="E29" s="13">
        <f>Electricity!I31</f>
        <v>0</v>
      </c>
      <c r="F29" s="3">
        <v>0.72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5</v>
      </c>
      <c r="D30" s="12">
        <v>2021</v>
      </c>
      <c r="E30" s="13">
        <f>Electricity!I32</f>
        <v>0</v>
      </c>
      <c r="F30" s="3">
        <v>0.72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5</v>
      </c>
      <c r="D31" s="12">
        <v>2021</v>
      </c>
      <c r="E31" s="13">
        <f>Electricity!I33</f>
        <v>0</v>
      </c>
      <c r="F31" s="3">
        <v>0.72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51</v>
      </c>
      <c r="B32" s="15">
        <f t="shared" si="0"/>
        <v>31</v>
      </c>
      <c r="C32" s="3">
        <v>5</v>
      </c>
      <c r="D32" s="12">
        <v>2021</v>
      </c>
      <c r="E32" s="13">
        <f>Electricity!I34</f>
        <v>0</v>
      </c>
      <c r="F32" s="3">
        <v>0.72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workbookViewId="0">
      <selection activeCell="E16" sqref="E1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107" t="s">
        <v>53</v>
      </c>
      <c r="E1" s="107"/>
      <c r="F1" s="107"/>
      <c r="G1" s="107"/>
      <c r="H1" s="107"/>
      <c r="I1" s="107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</row>
    <row r="4" spans="2:14" s="33" customFormat="1" ht="11.25" x14ac:dyDescent="0.25">
      <c r="D4" s="39">
        <v>44317</v>
      </c>
      <c r="E4" s="105">
        <f>[1]May.2021!$E$4</f>
        <v>9262</v>
      </c>
      <c r="F4" s="24">
        <v>1065</v>
      </c>
      <c r="G4" s="24">
        <f t="shared" ref="G4:G9" si="0">E4+F4</f>
        <v>10327</v>
      </c>
      <c r="H4" s="25">
        <f>[1]May.2021!$H$4</f>
        <v>6</v>
      </c>
      <c r="I4" s="25">
        <v>48.387</v>
      </c>
      <c r="J4" s="40">
        <v>0</v>
      </c>
      <c r="K4" s="41">
        <v>71</v>
      </c>
      <c r="L4" s="42">
        <v>64</v>
      </c>
      <c r="M4" s="43">
        <v>45</v>
      </c>
    </row>
    <row r="5" spans="2:14" s="33" customFormat="1" ht="11.25" x14ac:dyDescent="0.25">
      <c r="D5" s="39">
        <v>44318</v>
      </c>
      <c r="E5" s="105">
        <f>[1]May.2021!$E$5</f>
        <v>9262</v>
      </c>
      <c r="F5" s="24">
        <v>1065</v>
      </c>
      <c r="G5" s="24">
        <f t="shared" si="0"/>
        <v>10327</v>
      </c>
      <c r="H5" s="25">
        <f t="shared" ref="H5:H18" si="1">G5-G4</f>
        <v>0</v>
      </c>
      <c r="I5" s="25">
        <v>48.387</v>
      </c>
      <c r="J5" s="40">
        <v>0</v>
      </c>
      <c r="K5" s="41">
        <v>79</v>
      </c>
      <c r="L5" s="42">
        <v>44</v>
      </c>
      <c r="M5" s="43">
        <v>49</v>
      </c>
    </row>
    <row r="6" spans="2:14" s="33" customFormat="1" ht="11.25" x14ac:dyDescent="0.25">
      <c r="D6" s="39">
        <v>44319</v>
      </c>
      <c r="E6" s="105">
        <f>[1]May.2021!$E$6</f>
        <v>9277</v>
      </c>
      <c r="F6" s="24">
        <v>1065</v>
      </c>
      <c r="G6" s="24">
        <f t="shared" si="0"/>
        <v>10342</v>
      </c>
      <c r="H6" s="25">
        <f t="shared" si="1"/>
        <v>15</v>
      </c>
      <c r="I6" s="25">
        <v>48.387</v>
      </c>
      <c r="J6" s="40">
        <v>0</v>
      </c>
      <c r="K6" s="41">
        <v>64</v>
      </c>
      <c r="L6" s="42">
        <v>10</v>
      </c>
      <c r="M6" s="43">
        <v>36</v>
      </c>
    </row>
    <row r="7" spans="2:14" s="33" customFormat="1" ht="11.25" x14ac:dyDescent="0.25">
      <c r="D7" s="39">
        <v>44320</v>
      </c>
      <c r="E7" s="105">
        <f>[1]May.2021!$E$7</f>
        <v>9286</v>
      </c>
      <c r="F7" s="24">
        <v>1065</v>
      </c>
      <c r="G7" s="24">
        <f t="shared" si="0"/>
        <v>10351</v>
      </c>
      <c r="H7" s="25">
        <f t="shared" si="1"/>
        <v>9</v>
      </c>
      <c r="I7" s="25">
        <v>48.387</v>
      </c>
      <c r="J7" s="40">
        <v>0</v>
      </c>
      <c r="K7" s="41">
        <v>66</v>
      </c>
      <c r="L7" s="42">
        <v>15</v>
      </c>
      <c r="M7" s="43">
        <v>35</v>
      </c>
    </row>
    <row r="8" spans="2:14" s="33" customFormat="1" ht="11.25" x14ac:dyDescent="0.25">
      <c r="D8" s="39">
        <v>44321</v>
      </c>
      <c r="E8" s="105">
        <f>[1]May.2021!$E$8</f>
        <v>9289</v>
      </c>
      <c r="F8" s="24">
        <v>1065</v>
      </c>
      <c r="G8" s="24">
        <f t="shared" si="0"/>
        <v>10354</v>
      </c>
      <c r="H8" s="25">
        <f t="shared" si="1"/>
        <v>3</v>
      </c>
      <c r="I8" s="25">
        <v>48.387</v>
      </c>
      <c r="J8" s="40">
        <v>73</v>
      </c>
      <c r="K8" s="41">
        <v>90</v>
      </c>
      <c r="L8" s="42">
        <v>151</v>
      </c>
      <c r="M8" s="43">
        <v>48</v>
      </c>
    </row>
    <row r="9" spans="2:14" s="33" customFormat="1" ht="11.25" x14ac:dyDescent="0.25">
      <c r="D9" s="39">
        <v>44322</v>
      </c>
      <c r="E9" s="105">
        <v>9305</v>
      </c>
      <c r="F9" s="24">
        <v>1065</v>
      </c>
      <c r="G9" s="24">
        <f t="shared" si="0"/>
        <v>10370</v>
      </c>
      <c r="H9" s="25">
        <f t="shared" si="1"/>
        <v>16</v>
      </c>
      <c r="I9" s="25">
        <v>48.387</v>
      </c>
      <c r="J9" s="40">
        <v>0</v>
      </c>
      <c r="K9" s="41">
        <v>71</v>
      </c>
      <c r="L9" s="42">
        <v>97</v>
      </c>
      <c r="M9" s="43">
        <v>63</v>
      </c>
    </row>
    <row r="10" spans="2:14" s="33" customFormat="1" ht="11.25" x14ac:dyDescent="0.25">
      <c r="D10" s="39">
        <v>44323</v>
      </c>
      <c r="E10" s="105">
        <v>9320</v>
      </c>
      <c r="F10" s="24">
        <v>1065</v>
      </c>
      <c r="G10" s="24">
        <f>E10+F10</f>
        <v>10385</v>
      </c>
      <c r="H10" s="25">
        <f t="shared" si="1"/>
        <v>15</v>
      </c>
      <c r="I10" s="25">
        <v>48.387</v>
      </c>
      <c r="J10" s="40">
        <v>0</v>
      </c>
      <c r="K10" s="41">
        <v>68</v>
      </c>
      <c r="L10" s="42">
        <v>44</v>
      </c>
      <c r="M10" s="43">
        <v>53</v>
      </c>
    </row>
    <row r="11" spans="2:14" s="33" customFormat="1" ht="11.25" x14ac:dyDescent="0.25">
      <c r="D11" s="39">
        <v>44324</v>
      </c>
      <c r="E11" s="105">
        <v>9329</v>
      </c>
      <c r="F11" s="24">
        <v>1065</v>
      </c>
      <c r="G11" s="24">
        <f>E11+F11</f>
        <v>10394</v>
      </c>
      <c r="H11" s="25">
        <f t="shared" si="1"/>
        <v>9</v>
      </c>
      <c r="I11" s="25">
        <v>48.387</v>
      </c>
      <c r="J11" s="40">
        <v>0</v>
      </c>
      <c r="K11" s="41">
        <v>55</v>
      </c>
      <c r="L11" s="42">
        <v>44</v>
      </c>
      <c r="M11" s="43">
        <v>47</v>
      </c>
    </row>
    <row r="12" spans="2:14" s="33" customFormat="1" ht="11.25" x14ac:dyDescent="0.25">
      <c r="D12" s="39">
        <v>44325</v>
      </c>
      <c r="E12" s="105">
        <v>9346</v>
      </c>
      <c r="F12" s="24">
        <v>1065</v>
      </c>
      <c r="G12" s="24">
        <f>E12+F12</f>
        <v>10411</v>
      </c>
      <c r="H12" s="25">
        <f t="shared" si="1"/>
        <v>17</v>
      </c>
      <c r="I12" s="25">
        <v>48.387</v>
      </c>
      <c r="J12" s="40">
        <v>101</v>
      </c>
      <c r="K12" s="41">
        <v>47</v>
      </c>
      <c r="L12" s="42">
        <v>54</v>
      </c>
      <c r="M12" s="43">
        <v>48</v>
      </c>
    </row>
    <row r="13" spans="2:14" s="33" customFormat="1" ht="11.25" x14ac:dyDescent="0.25">
      <c r="D13" s="39">
        <v>44326</v>
      </c>
      <c r="E13" s="105">
        <v>9359</v>
      </c>
      <c r="F13" s="24">
        <v>1065</v>
      </c>
      <c r="G13" s="24">
        <f>E13+F13</f>
        <v>10424</v>
      </c>
      <c r="H13" s="25">
        <f t="shared" si="1"/>
        <v>13</v>
      </c>
      <c r="I13" s="25">
        <v>48.387</v>
      </c>
      <c r="J13" s="40">
        <v>4</v>
      </c>
      <c r="K13" s="41">
        <v>48</v>
      </c>
      <c r="L13" s="42">
        <v>54</v>
      </c>
      <c r="M13" s="43">
        <v>35</v>
      </c>
    </row>
    <row r="14" spans="2:14" s="33" customFormat="1" ht="11.25" x14ac:dyDescent="0.25">
      <c r="D14" s="39">
        <v>44327</v>
      </c>
      <c r="E14" s="105">
        <v>9373</v>
      </c>
      <c r="F14" s="24">
        <v>1065</v>
      </c>
      <c r="G14" s="24">
        <f>E14+F14</f>
        <v>10438</v>
      </c>
      <c r="H14" s="25">
        <f t="shared" si="1"/>
        <v>14</v>
      </c>
      <c r="I14" s="25">
        <v>48.387</v>
      </c>
      <c r="J14" s="40">
        <v>5</v>
      </c>
      <c r="K14" s="41">
        <v>46</v>
      </c>
      <c r="L14" s="42">
        <v>57</v>
      </c>
      <c r="M14" s="43">
        <v>34</v>
      </c>
    </row>
    <row r="15" spans="2:14" s="45" customFormat="1" ht="11.25" x14ac:dyDescent="0.25">
      <c r="D15" s="39">
        <v>44328</v>
      </c>
      <c r="E15" s="105">
        <v>9386</v>
      </c>
      <c r="F15" s="46">
        <v>1065</v>
      </c>
      <c r="G15" s="46">
        <f t="shared" ref="G15:G18" si="2">E15+F15</f>
        <v>10451</v>
      </c>
      <c r="H15" s="25">
        <f t="shared" si="1"/>
        <v>13</v>
      </c>
      <c r="I15" s="25">
        <v>48.387</v>
      </c>
      <c r="J15" s="40">
        <v>26</v>
      </c>
      <c r="K15" s="41">
        <v>51</v>
      </c>
      <c r="L15" s="42">
        <v>65</v>
      </c>
      <c r="M15" s="43">
        <v>48</v>
      </c>
      <c r="N15" s="45" t="s">
        <v>28</v>
      </c>
    </row>
    <row r="16" spans="2:14" s="33" customFormat="1" ht="11.25" x14ac:dyDescent="0.25">
      <c r="D16" s="39">
        <v>44329</v>
      </c>
      <c r="E16" s="105">
        <f>[1]May.2021!$E$16</f>
        <v>0</v>
      </c>
      <c r="F16" s="24">
        <v>1065</v>
      </c>
      <c r="G16" s="24">
        <f t="shared" si="2"/>
        <v>1065</v>
      </c>
      <c r="H16" s="25">
        <f t="shared" si="1"/>
        <v>-9386</v>
      </c>
      <c r="I16" s="25">
        <v>48.387</v>
      </c>
      <c r="J16" s="40">
        <v>22</v>
      </c>
      <c r="K16" s="41">
        <v>55</v>
      </c>
      <c r="L16" s="42">
        <v>50</v>
      </c>
      <c r="M16" s="43">
        <v>40</v>
      </c>
    </row>
    <row r="17" spans="4:13" s="33" customFormat="1" ht="11.25" customHeight="1" x14ac:dyDescent="0.25">
      <c r="D17" s="39">
        <v>44330</v>
      </c>
      <c r="E17" s="105">
        <f>[1]May.2021!$E$17</f>
        <v>0</v>
      </c>
      <c r="F17" s="24">
        <v>1065</v>
      </c>
      <c r="G17" s="24">
        <f t="shared" si="2"/>
        <v>1065</v>
      </c>
      <c r="H17" s="25">
        <f t="shared" si="1"/>
        <v>0</v>
      </c>
      <c r="I17" s="25">
        <v>48.387</v>
      </c>
      <c r="J17" s="40">
        <v>27</v>
      </c>
      <c r="K17" s="41">
        <v>57</v>
      </c>
      <c r="L17" s="42">
        <v>76</v>
      </c>
      <c r="M17" s="43">
        <v>47</v>
      </c>
    </row>
    <row r="18" spans="4:13" s="33" customFormat="1" ht="11.25" customHeight="1" x14ac:dyDescent="0.25">
      <c r="D18" s="39">
        <v>44331</v>
      </c>
      <c r="E18" s="105">
        <f>[1]May.2021!$E$18</f>
        <v>0</v>
      </c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0">
        <v>22</v>
      </c>
      <c r="K18" s="41">
        <v>60</v>
      </c>
      <c r="L18" s="42">
        <v>27</v>
      </c>
      <c r="M18" s="43">
        <v>49</v>
      </c>
    </row>
    <row r="19" spans="4:13" s="33" customFormat="1" ht="11.25" customHeight="1" x14ac:dyDescent="0.25">
      <c r="D19" s="39">
        <v>44332</v>
      </c>
      <c r="E19" s="105">
        <f>[1]May.2021!$E$19</f>
        <v>0</v>
      </c>
      <c r="F19" s="24">
        <v>1065</v>
      </c>
      <c r="G19" s="24">
        <f t="shared" ref="G19:G34" si="3">E19+F19</f>
        <v>1065</v>
      </c>
      <c r="H19" s="25">
        <f t="shared" ref="H19:H34" si="4">IF((G19-G18)&gt;0,G19-G18,0)</f>
        <v>0</v>
      </c>
      <c r="I19" s="25">
        <v>48.387</v>
      </c>
      <c r="J19" s="40">
        <v>21</v>
      </c>
      <c r="K19" s="41">
        <v>56</v>
      </c>
      <c r="L19" s="42">
        <v>48</v>
      </c>
      <c r="M19" s="43">
        <v>32</v>
      </c>
    </row>
    <row r="20" spans="4:13" s="33" customFormat="1" ht="11.25" customHeight="1" x14ac:dyDescent="0.25">
      <c r="D20" s="39">
        <v>44333</v>
      </c>
      <c r="E20" s="105">
        <f>[1]May.2021!$E$20</f>
        <v>0</v>
      </c>
      <c r="F20" s="24">
        <v>1065</v>
      </c>
      <c r="G20" s="24">
        <f t="shared" si="3"/>
        <v>1065</v>
      </c>
      <c r="H20" s="25">
        <f t="shared" si="4"/>
        <v>0</v>
      </c>
      <c r="I20" s="25">
        <v>48.387</v>
      </c>
      <c r="J20" s="40">
        <v>16</v>
      </c>
      <c r="K20" s="41">
        <v>60</v>
      </c>
      <c r="L20" s="42">
        <v>40</v>
      </c>
      <c r="M20" s="43">
        <v>42</v>
      </c>
    </row>
    <row r="21" spans="4:13" s="33" customFormat="1" ht="11.25" customHeight="1" x14ac:dyDescent="0.25">
      <c r="D21" s="39">
        <v>44334</v>
      </c>
      <c r="E21" s="105">
        <f>[1]May.2021!$E$21</f>
        <v>0</v>
      </c>
      <c r="F21" s="24">
        <v>1065</v>
      </c>
      <c r="G21" s="24">
        <f t="shared" si="3"/>
        <v>1065</v>
      </c>
      <c r="H21" s="25">
        <f t="shared" si="4"/>
        <v>0</v>
      </c>
      <c r="I21" s="25">
        <v>48.387</v>
      </c>
      <c r="J21" s="40">
        <v>28</v>
      </c>
      <c r="K21" s="41">
        <v>51</v>
      </c>
      <c r="L21" s="42">
        <v>60</v>
      </c>
      <c r="M21" s="43">
        <v>28</v>
      </c>
    </row>
    <row r="22" spans="4:13" s="33" customFormat="1" ht="11.25" customHeight="1" x14ac:dyDescent="0.25">
      <c r="D22" s="39">
        <v>44335</v>
      </c>
      <c r="E22" s="105">
        <f>[1]May.2021!$E$22</f>
        <v>0</v>
      </c>
      <c r="F22" s="24">
        <v>1065</v>
      </c>
      <c r="G22" s="24">
        <f t="shared" si="3"/>
        <v>1065</v>
      </c>
      <c r="H22" s="25">
        <f t="shared" si="4"/>
        <v>0</v>
      </c>
      <c r="I22" s="25">
        <v>48.387</v>
      </c>
      <c r="J22" s="40">
        <v>17</v>
      </c>
      <c r="K22" s="41">
        <v>50</v>
      </c>
      <c r="L22" s="42">
        <v>38</v>
      </c>
      <c r="M22" s="43">
        <v>6</v>
      </c>
    </row>
    <row r="23" spans="4:13" s="33" customFormat="1" ht="11.25" customHeight="1" x14ac:dyDescent="0.25">
      <c r="D23" s="39">
        <v>44336</v>
      </c>
      <c r="E23" s="105">
        <f>[1]May.2021!$E$23</f>
        <v>0</v>
      </c>
      <c r="F23" s="24">
        <v>1065</v>
      </c>
      <c r="G23" s="24">
        <f t="shared" si="3"/>
        <v>1065</v>
      </c>
      <c r="H23" s="25">
        <f t="shared" si="4"/>
        <v>0</v>
      </c>
      <c r="I23" s="25">
        <v>48.387</v>
      </c>
      <c r="J23" s="40">
        <v>23</v>
      </c>
      <c r="K23" s="41">
        <v>64</v>
      </c>
      <c r="L23" s="42">
        <v>61</v>
      </c>
      <c r="M23" s="43">
        <v>42</v>
      </c>
    </row>
    <row r="24" spans="4:13" s="33" customFormat="1" ht="11.25" customHeight="1" x14ac:dyDescent="0.25">
      <c r="D24" s="39">
        <v>44337</v>
      </c>
      <c r="E24" s="105">
        <f>[1]May.2021!$E$24</f>
        <v>0</v>
      </c>
      <c r="F24" s="24">
        <v>1065</v>
      </c>
      <c r="G24" s="24">
        <f t="shared" si="3"/>
        <v>1065</v>
      </c>
      <c r="H24" s="25">
        <f t="shared" si="4"/>
        <v>0</v>
      </c>
      <c r="I24" s="25">
        <v>48.387</v>
      </c>
      <c r="J24" s="40">
        <v>32</v>
      </c>
      <c r="K24" s="41">
        <v>63</v>
      </c>
      <c r="L24" s="42">
        <v>33</v>
      </c>
      <c r="M24" s="43">
        <v>2</v>
      </c>
    </row>
    <row r="25" spans="4:13" s="33" customFormat="1" ht="11.25" customHeight="1" x14ac:dyDescent="0.25">
      <c r="D25" s="39">
        <v>44338</v>
      </c>
      <c r="E25" s="105">
        <f>[1]May.2021!$E$25</f>
        <v>0</v>
      </c>
      <c r="F25" s="24">
        <v>1065</v>
      </c>
      <c r="G25" s="24">
        <f t="shared" si="3"/>
        <v>1065</v>
      </c>
      <c r="H25" s="25">
        <f t="shared" si="4"/>
        <v>0</v>
      </c>
      <c r="I25" s="25">
        <v>48.387</v>
      </c>
      <c r="J25" s="40">
        <v>24</v>
      </c>
      <c r="K25" s="41">
        <v>62</v>
      </c>
      <c r="L25" s="42">
        <v>7</v>
      </c>
      <c r="M25" s="43">
        <v>0</v>
      </c>
    </row>
    <row r="26" spans="4:13" s="33" customFormat="1" ht="11.25" customHeight="1" x14ac:dyDescent="0.25">
      <c r="D26" s="39">
        <v>44339</v>
      </c>
      <c r="E26" s="105">
        <f>[1]May.2021!$E$26</f>
        <v>0</v>
      </c>
      <c r="F26" s="24">
        <v>1065</v>
      </c>
      <c r="G26" s="24">
        <f t="shared" si="3"/>
        <v>1065</v>
      </c>
      <c r="H26" s="25">
        <f t="shared" si="4"/>
        <v>0</v>
      </c>
      <c r="I26" s="25">
        <v>48.387</v>
      </c>
      <c r="J26" s="40">
        <v>30</v>
      </c>
      <c r="K26" s="41">
        <v>57</v>
      </c>
      <c r="L26" s="42">
        <v>59</v>
      </c>
      <c r="M26" s="43">
        <v>47</v>
      </c>
    </row>
    <row r="27" spans="4:13" s="33" customFormat="1" ht="11.25" customHeight="1" x14ac:dyDescent="0.25">
      <c r="D27" s="39">
        <v>44340</v>
      </c>
      <c r="E27" s="105">
        <f>[1]May.2021!$E$27</f>
        <v>0</v>
      </c>
      <c r="F27" s="24">
        <v>1065</v>
      </c>
      <c r="G27" s="24">
        <f t="shared" si="3"/>
        <v>1065</v>
      </c>
      <c r="H27" s="25">
        <f t="shared" si="4"/>
        <v>0</v>
      </c>
      <c r="I27" s="25">
        <v>48.387</v>
      </c>
      <c r="J27" s="40">
        <v>9</v>
      </c>
      <c r="K27" s="41">
        <v>64</v>
      </c>
      <c r="L27" s="42">
        <v>91</v>
      </c>
      <c r="M27" s="43">
        <v>44</v>
      </c>
    </row>
    <row r="28" spans="4:13" s="33" customFormat="1" ht="11.25" customHeight="1" x14ac:dyDescent="0.25">
      <c r="D28" s="39">
        <v>44341</v>
      </c>
      <c r="E28" s="105">
        <f>[1]May.2021!$E$28</f>
        <v>0</v>
      </c>
      <c r="F28" s="24">
        <v>1065</v>
      </c>
      <c r="G28" s="24">
        <f t="shared" si="3"/>
        <v>1065</v>
      </c>
      <c r="H28" s="25">
        <f t="shared" si="4"/>
        <v>0</v>
      </c>
      <c r="I28" s="25">
        <v>48.387</v>
      </c>
      <c r="J28" s="40">
        <v>0</v>
      </c>
      <c r="K28" s="41">
        <v>40</v>
      </c>
      <c r="L28" s="42">
        <v>95</v>
      </c>
      <c r="M28" s="43">
        <v>37</v>
      </c>
    </row>
    <row r="29" spans="4:13" s="33" customFormat="1" ht="11.25" customHeight="1" x14ac:dyDescent="0.25">
      <c r="D29" s="39">
        <v>44342</v>
      </c>
      <c r="E29" s="105">
        <f>[1]May.2021!$E$29</f>
        <v>0</v>
      </c>
      <c r="F29" s="24">
        <v>1065</v>
      </c>
      <c r="G29" s="24">
        <f t="shared" si="3"/>
        <v>1065</v>
      </c>
      <c r="H29" s="25">
        <f t="shared" si="4"/>
        <v>0</v>
      </c>
      <c r="I29" s="25">
        <v>48.387</v>
      </c>
      <c r="J29" s="40">
        <v>8</v>
      </c>
      <c r="K29" s="41">
        <v>78</v>
      </c>
      <c r="L29" s="42">
        <v>50</v>
      </c>
      <c r="M29" s="43">
        <v>121</v>
      </c>
    </row>
    <row r="30" spans="4:13" s="33" customFormat="1" ht="11.25" customHeight="1" x14ac:dyDescent="0.25">
      <c r="D30" s="39">
        <v>44343</v>
      </c>
      <c r="E30" s="105">
        <f>[1]May.2021!$E$30</f>
        <v>0</v>
      </c>
      <c r="F30" s="24">
        <v>1065</v>
      </c>
      <c r="G30" s="24">
        <f t="shared" si="3"/>
        <v>1065</v>
      </c>
      <c r="H30" s="25">
        <f t="shared" si="4"/>
        <v>0</v>
      </c>
      <c r="I30" s="25">
        <v>48.387</v>
      </c>
      <c r="J30" s="40">
        <v>9</v>
      </c>
      <c r="K30" s="41">
        <v>66</v>
      </c>
      <c r="L30" s="42">
        <v>55</v>
      </c>
      <c r="M30" s="43">
        <v>42</v>
      </c>
    </row>
    <row r="31" spans="4:13" s="33" customFormat="1" ht="11.25" customHeight="1" x14ac:dyDescent="0.25">
      <c r="D31" s="39">
        <v>44344</v>
      </c>
      <c r="E31" s="105">
        <f>[1]May.2021!$E$31</f>
        <v>0</v>
      </c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0">
        <v>12</v>
      </c>
      <c r="K31" s="41">
        <v>61</v>
      </c>
      <c r="L31" s="42">
        <v>45</v>
      </c>
      <c r="M31" s="43">
        <v>41</v>
      </c>
    </row>
    <row r="32" spans="4:13" s="33" customFormat="1" ht="11.25" customHeight="1" x14ac:dyDescent="0.25">
      <c r="D32" s="39">
        <v>44345</v>
      </c>
      <c r="E32" s="105">
        <f>[1]May.2021!$E$32</f>
        <v>0</v>
      </c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0">
        <v>12</v>
      </c>
      <c r="K32" s="41">
        <v>62</v>
      </c>
      <c r="L32" s="42">
        <v>46</v>
      </c>
      <c r="M32" s="43">
        <v>45</v>
      </c>
    </row>
    <row r="33" spans="2:13" s="33" customFormat="1" ht="11.25" customHeight="1" x14ac:dyDescent="0.25">
      <c r="B33" s="34"/>
      <c r="C33" s="34"/>
      <c r="D33" s="39">
        <v>44346</v>
      </c>
      <c r="E33" s="105">
        <f>[1]May.2021!$E$33</f>
        <v>0</v>
      </c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0">
        <v>11</v>
      </c>
      <c r="K33" s="41">
        <v>64</v>
      </c>
      <c r="L33" s="42">
        <v>38</v>
      </c>
      <c r="M33" s="43">
        <v>41</v>
      </c>
    </row>
    <row r="34" spans="2:13" s="33" customFormat="1" ht="11.25" customHeight="1" x14ac:dyDescent="0.25">
      <c r="D34" s="39">
        <v>44347</v>
      </c>
      <c r="E34" s="105">
        <f>[1]May.2021!$E$34</f>
        <v>0</v>
      </c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0">
        <v>37</v>
      </c>
      <c r="K34" s="41">
        <v>77</v>
      </c>
      <c r="L34" s="42">
        <v>44</v>
      </c>
      <c r="M34" s="43">
        <v>24</v>
      </c>
    </row>
    <row r="35" spans="2:13" s="33" customFormat="1" ht="11.25" x14ac:dyDescent="0.25">
      <c r="D35" s="47" t="s">
        <v>29</v>
      </c>
      <c r="E35" s="48"/>
      <c r="F35" s="48"/>
      <c r="G35" s="29"/>
      <c r="H35" s="49">
        <f>SUM(H4:H34)</f>
        <v>-9256</v>
      </c>
      <c r="I35" s="49">
        <f>SUM(I4:I34)</f>
        <v>1499.9969999999989</v>
      </c>
      <c r="J35" s="50">
        <v>569</v>
      </c>
      <c r="K35" s="51">
        <v>1903</v>
      </c>
      <c r="L35" s="42">
        <v>1662</v>
      </c>
      <c r="M35" s="43">
        <v>1271</v>
      </c>
    </row>
    <row r="36" spans="2:13" x14ac:dyDescent="0.25">
      <c r="H36" s="52"/>
      <c r="L36" s="32"/>
    </row>
    <row r="37" spans="2:13" x14ac:dyDescent="0.25">
      <c r="D37" s="53" t="s">
        <v>52</v>
      </c>
      <c r="L37" s="32"/>
    </row>
    <row r="38" spans="2:13" x14ac:dyDescent="0.25">
      <c r="L38" s="32"/>
    </row>
    <row r="39" spans="2:13" x14ac:dyDescent="0.25">
      <c r="D39" s="54" t="s">
        <v>30</v>
      </c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14" sqref="F14:F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54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5"/>
      <c r="E2" s="55"/>
      <c r="F2" s="55"/>
      <c r="G2" s="55"/>
      <c r="H2" s="55"/>
      <c r="I2" s="55"/>
      <c r="J2" s="55"/>
      <c r="K2" s="55"/>
    </row>
    <row r="3" spans="2:18" s="33" customFormat="1" ht="22.5" customHeight="1" x14ac:dyDescent="0.25">
      <c r="B3" s="33" t="s">
        <v>31</v>
      </c>
      <c r="C3" s="33" t="s">
        <v>32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6">
        <v>2015</v>
      </c>
      <c r="M3" s="57">
        <v>2014</v>
      </c>
      <c r="N3" s="58">
        <v>2013</v>
      </c>
      <c r="O3" s="59">
        <v>2020</v>
      </c>
      <c r="P3" s="42">
        <v>2019</v>
      </c>
      <c r="Q3" s="43">
        <v>2018</v>
      </c>
      <c r="R3" s="44">
        <v>2017</v>
      </c>
    </row>
    <row r="4" spans="2:18" s="33" customFormat="1" ht="11.25" customHeight="1" x14ac:dyDescent="0.25">
      <c r="D4" s="39">
        <v>44317</v>
      </c>
      <c r="E4" s="24">
        <f>[2]May.2021!$E$4</f>
        <v>760788</v>
      </c>
      <c r="F4" s="24">
        <f>[2]May.2021!$F$4</f>
        <v>172133</v>
      </c>
      <c r="G4" s="24">
        <f t="shared" ref="G4:G9" si="0">E4+F4</f>
        <v>932921</v>
      </c>
      <c r="H4" s="18">
        <v>1.299221</v>
      </c>
      <c r="I4" s="24">
        <f t="shared" ref="I4:I9" si="1">H4*G4</f>
        <v>1212070.5545409999</v>
      </c>
      <c r="J4" s="25">
        <f>[2]May.2021!$J$4</f>
        <v>0</v>
      </c>
      <c r="K4" s="23">
        <v>951.61289999999997</v>
      </c>
      <c r="L4" s="56">
        <v>1289</v>
      </c>
      <c r="M4" s="57">
        <v>886.25</v>
      </c>
      <c r="N4" s="58">
        <v>898.73799999989569</v>
      </c>
      <c r="O4" s="60">
        <v>52</v>
      </c>
      <c r="P4" s="61">
        <v>486</v>
      </c>
      <c r="Q4" s="62">
        <v>507.06229799997527</v>
      </c>
      <c r="R4" s="63">
        <v>437.7</v>
      </c>
    </row>
    <row r="5" spans="2:18" s="33" customFormat="1" ht="11.25" customHeight="1" x14ac:dyDescent="0.25">
      <c r="D5" s="39">
        <v>44318</v>
      </c>
      <c r="E5" s="24">
        <f>[2]May.2021!$E$5</f>
        <v>760788</v>
      </c>
      <c r="F5" s="24">
        <f>[2]May.2021!$F$5</f>
        <v>172133</v>
      </c>
      <c r="G5" s="24">
        <f t="shared" si="0"/>
        <v>932921</v>
      </c>
      <c r="H5" s="18">
        <v>1.299221</v>
      </c>
      <c r="I5" s="24">
        <f>H5*G5</f>
        <v>1212070.5545409999</v>
      </c>
      <c r="J5" s="25">
        <f t="shared" ref="J5:J18" si="2">I5-I4</f>
        <v>0</v>
      </c>
      <c r="K5" s="23">
        <v>951.61289999999997</v>
      </c>
      <c r="L5" s="56">
        <v>1336.6710000000021</v>
      </c>
      <c r="M5" s="57">
        <v>893.75</v>
      </c>
      <c r="N5" s="58">
        <v>906.37600000016391</v>
      </c>
      <c r="O5" s="60">
        <v>53.278925999999046</v>
      </c>
      <c r="P5" s="61">
        <v>512.5644719999982</v>
      </c>
      <c r="Q5" s="62">
        <v>496.97150600003079</v>
      </c>
      <c r="R5" s="63">
        <v>397.93150000006426</v>
      </c>
    </row>
    <row r="6" spans="2:18" s="33" customFormat="1" ht="11.25" customHeight="1" x14ac:dyDescent="0.25">
      <c r="D6" s="39">
        <v>44319</v>
      </c>
      <c r="E6" s="24">
        <f>[2]May.2021!$E$6</f>
        <v>760788</v>
      </c>
      <c r="F6" s="24">
        <f>[2]May.2021!$F$6</f>
        <v>172133</v>
      </c>
      <c r="G6" s="24">
        <f t="shared" si="0"/>
        <v>932921</v>
      </c>
      <c r="H6" s="18">
        <v>1.299221</v>
      </c>
      <c r="I6" s="24">
        <f t="shared" si="1"/>
        <v>1212070.5545409999</v>
      </c>
      <c r="J6" s="25">
        <f t="shared" si="2"/>
        <v>0</v>
      </c>
      <c r="K6" s="23">
        <v>951.61289999999997</v>
      </c>
      <c r="L6" s="56">
        <v>1422.4049999999988</v>
      </c>
      <c r="M6" s="57">
        <v>846.25</v>
      </c>
      <c r="N6" s="58">
        <v>956.0230000000447</v>
      </c>
      <c r="O6" s="60">
        <v>53.278925999999046</v>
      </c>
      <c r="P6" s="61">
        <v>529.13994000002276</v>
      </c>
      <c r="Q6" s="62">
        <v>500.75555300002452</v>
      </c>
      <c r="R6" s="63">
        <v>382.5276999999769</v>
      </c>
    </row>
    <row r="7" spans="2:18" s="33" customFormat="1" ht="11.25" customHeight="1" x14ac:dyDescent="0.25">
      <c r="D7" s="39">
        <v>44320</v>
      </c>
      <c r="E7" s="24">
        <f>[2]May.2021!$E$7</f>
        <v>760788</v>
      </c>
      <c r="F7" s="24">
        <f>[2]May.2021!$F$7</f>
        <v>172133</v>
      </c>
      <c r="G7" s="24">
        <f t="shared" si="0"/>
        <v>932921</v>
      </c>
      <c r="H7" s="18">
        <v>1.299221</v>
      </c>
      <c r="I7" s="24">
        <f t="shared" si="1"/>
        <v>1212070.5545409999</v>
      </c>
      <c r="J7" s="25">
        <f t="shared" si="2"/>
        <v>0</v>
      </c>
      <c r="K7" s="23">
        <v>951.61289999999997</v>
      </c>
      <c r="L7" s="56">
        <v>1354.8570000000182</v>
      </c>
      <c r="M7" s="57">
        <v>832.5</v>
      </c>
      <c r="N7" s="58">
        <v>933.10900000017136</v>
      </c>
      <c r="O7" s="60">
        <v>219</v>
      </c>
      <c r="P7" s="61">
        <v>511.28943600005005</v>
      </c>
      <c r="Q7" s="62">
        <v>495.71015699999407</v>
      </c>
      <c r="R7" s="63">
        <v>350.43645000003744</v>
      </c>
    </row>
    <row r="8" spans="2:18" s="33" customFormat="1" ht="11.25" customHeight="1" x14ac:dyDescent="0.25">
      <c r="D8" s="39">
        <v>44321</v>
      </c>
      <c r="E8" s="24">
        <f>[2]May.2021!$E$8</f>
        <v>760788</v>
      </c>
      <c r="F8" s="24">
        <f>[2]May.2021!$F$8</f>
        <v>172133</v>
      </c>
      <c r="G8" s="24">
        <f t="shared" si="0"/>
        <v>932921</v>
      </c>
      <c r="H8" s="18">
        <v>1.299221</v>
      </c>
      <c r="I8" s="24">
        <f t="shared" si="1"/>
        <v>1212070.5545409999</v>
      </c>
      <c r="J8" s="25">
        <f t="shared" si="2"/>
        <v>0</v>
      </c>
      <c r="K8" s="23">
        <v>951.61289999999997</v>
      </c>
      <c r="L8" s="56">
        <v>1241.8439999999828</v>
      </c>
      <c r="M8" s="57">
        <v>721.25</v>
      </c>
      <c r="N8" s="58">
        <v>882.18899999931455</v>
      </c>
      <c r="O8" s="60">
        <v>51.511360000120476</v>
      </c>
      <c r="P8" s="61">
        <v>569.94109199999366</v>
      </c>
      <c r="Q8" s="62">
        <v>484.35801600001287</v>
      </c>
      <c r="R8" s="63">
        <v>379.96039999998175</v>
      </c>
    </row>
    <row r="9" spans="2:18" s="33" customFormat="1" ht="11.25" customHeight="1" x14ac:dyDescent="0.25">
      <c r="D9" s="39">
        <v>44322</v>
      </c>
      <c r="E9" s="24">
        <f>[2]May.2021!$E$8</f>
        <v>760788</v>
      </c>
      <c r="F9" s="24">
        <f>[2]May.2021!$F$8</f>
        <v>172133</v>
      </c>
      <c r="G9" s="24">
        <f t="shared" si="0"/>
        <v>932921</v>
      </c>
      <c r="H9" s="18">
        <v>1.299221</v>
      </c>
      <c r="I9" s="24">
        <f t="shared" si="1"/>
        <v>1212070.5545409999</v>
      </c>
      <c r="J9" s="25">
        <f t="shared" si="2"/>
        <v>0</v>
      </c>
      <c r="K9" s="23">
        <v>951.61289999999997</v>
      </c>
      <c r="L9" s="56">
        <v>1287.3090000000084</v>
      </c>
      <c r="M9" s="57">
        <v>746.25</v>
      </c>
      <c r="N9" s="58">
        <v>846.54499999992549</v>
      </c>
      <c r="O9" s="60">
        <v>56.662496000062674</v>
      </c>
      <c r="P9" s="61">
        <v>516.3895799999591</v>
      </c>
      <c r="Q9" s="62">
        <v>590.31133199995384</v>
      </c>
      <c r="R9" s="63">
        <v>436.44099999999162</v>
      </c>
    </row>
    <row r="10" spans="2:18" s="33" customFormat="1" ht="11.25" x14ac:dyDescent="0.25">
      <c r="D10" s="39">
        <v>44323</v>
      </c>
      <c r="E10" s="24">
        <f>[2]May.2021!$E$8</f>
        <v>760788</v>
      </c>
      <c r="F10" s="24">
        <f>[2]May.2021!$F$8</f>
        <v>172133</v>
      </c>
      <c r="G10" s="24">
        <f>E10+F10</f>
        <v>932921</v>
      </c>
      <c r="H10" s="18">
        <v>1.299221</v>
      </c>
      <c r="I10" s="24">
        <f>H10*G10</f>
        <v>1212070.5545409999</v>
      </c>
      <c r="J10" s="25">
        <f t="shared" si="2"/>
        <v>0</v>
      </c>
      <c r="K10" s="23">
        <v>951.61289999999997</v>
      </c>
      <c r="L10" s="56">
        <v>1354.8569999999891</v>
      </c>
      <c r="M10" s="57">
        <v>788.75</v>
      </c>
      <c r="N10" s="58">
        <v>1033.6759999999776</v>
      </c>
      <c r="O10" s="60">
        <v>55.374711999902502</v>
      </c>
      <c r="P10" s="61">
        <v>488.33878799993545</v>
      </c>
      <c r="Q10" s="62">
        <v>481.83531800005585</v>
      </c>
      <c r="R10" s="63">
        <v>419.7535500000231</v>
      </c>
    </row>
    <row r="11" spans="2:18" s="33" customFormat="1" ht="11.25" customHeight="1" x14ac:dyDescent="0.25">
      <c r="D11" s="39">
        <v>44324</v>
      </c>
      <c r="E11" s="24">
        <f>[2]May.2021!$E$8</f>
        <v>760788</v>
      </c>
      <c r="F11" s="24">
        <v>172141</v>
      </c>
      <c r="G11" s="24">
        <f>E11+F11</f>
        <v>932929</v>
      </c>
      <c r="H11" s="18">
        <v>1.299221</v>
      </c>
      <c r="I11" s="24">
        <f t="shared" ref="I11:I18" si="3">H11*G11</f>
        <v>1212080.9483089999</v>
      </c>
      <c r="J11" s="25">
        <f t="shared" si="2"/>
        <v>10.393767999950796</v>
      </c>
      <c r="K11" s="23">
        <v>951.61289999999997</v>
      </c>
      <c r="L11" s="56">
        <v>1331.4750000000058</v>
      </c>
      <c r="M11" s="57">
        <v>751.25</v>
      </c>
      <c r="N11" s="58">
        <v>1000.578000000678</v>
      </c>
      <c r="O11" s="60">
        <v>61.813632000004873</v>
      </c>
      <c r="P11" s="61">
        <v>476.86346400005277</v>
      </c>
      <c r="Q11" s="62">
        <v>476.7899220000254</v>
      </c>
      <c r="R11" s="63">
        <v>394.08054999995511</v>
      </c>
    </row>
    <row r="12" spans="2:18" s="33" customFormat="1" ht="11.25" customHeight="1" x14ac:dyDescent="0.25">
      <c r="D12" s="39">
        <v>44325</v>
      </c>
      <c r="E12" s="24">
        <f>[2]May.2021!$E$8</f>
        <v>760788</v>
      </c>
      <c r="F12" s="24">
        <v>172141</v>
      </c>
      <c r="G12" s="24">
        <f t="shared" ref="G12:G18" si="4">E12+F12</f>
        <v>932929</v>
      </c>
      <c r="H12" s="18">
        <v>1.299221</v>
      </c>
      <c r="I12" s="24">
        <f t="shared" si="3"/>
        <v>1212080.9483089999</v>
      </c>
      <c r="J12" s="25">
        <f t="shared" si="2"/>
        <v>0</v>
      </c>
      <c r="K12" s="23">
        <v>951.61289999999997</v>
      </c>
      <c r="L12" s="56">
        <v>1383.4349999999977</v>
      </c>
      <c r="M12" s="57">
        <v>782.5</v>
      </c>
      <c r="N12" s="58">
        <v>892.37299999967217</v>
      </c>
      <c r="O12" s="60">
        <v>56.662496000062674</v>
      </c>
      <c r="P12" s="61">
        <v>484.51367999997456</v>
      </c>
      <c r="Q12" s="62">
        <v>418.76786799996626</v>
      </c>
      <c r="R12" s="63">
        <v>377.39309999998659</v>
      </c>
    </row>
    <row r="13" spans="2:18" s="33" customFormat="1" ht="11.25" customHeight="1" x14ac:dyDescent="0.25">
      <c r="D13" s="39">
        <v>44326</v>
      </c>
      <c r="E13" s="24">
        <f>[2]May.2021!$E$8</f>
        <v>760788</v>
      </c>
      <c r="F13" s="24">
        <v>172141</v>
      </c>
      <c r="G13" s="24">
        <f t="shared" si="4"/>
        <v>932929</v>
      </c>
      <c r="H13" s="18">
        <v>1.299221</v>
      </c>
      <c r="I13" s="24">
        <f t="shared" si="3"/>
        <v>1212080.9483089999</v>
      </c>
      <c r="J13" s="25">
        <f t="shared" si="2"/>
        <v>0</v>
      </c>
      <c r="K13" s="23">
        <v>951.61289999999997</v>
      </c>
      <c r="L13" s="56">
        <v>1326.2790000000095</v>
      </c>
      <c r="M13" s="57">
        <v>783.75</v>
      </c>
      <c r="N13" s="58">
        <v>990.39400000032037</v>
      </c>
      <c r="O13" s="60">
        <v>52.799144000047818</v>
      </c>
      <c r="P13" s="61">
        <v>493.43893200007733</v>
      </c>
      <c r="Q13" s="62">
        <v>409.93842499994207</v>
      </c>
      <c r="R13" s="63">
        <v>321.8</v>
      </c>
    </row>
    <row r="14" spans="2:18" s="33" customFormat="1" ht="11.25" customHeight="1" x14ac:dyDescent="0.25">
      <c r="D14" s="39">
        <v>44327</v>
      </c>
      <c r="E14" s="24">
        <f>[2]May.2021!$E$8</f>
        <v>760788</v>
      </c>
      <c r="F14" s="24">
        <v>172141</v>
      </c>
      <c r="G14" s="24">
        <f t="shared" si="4"/>
        <v>932929</v>
      </c>
      <c r="H14" s="18">
        <v>1.299221</v>
      </c>
      <c r="I14" s="24">
        <f t="shared" si="3"/>
        <v>1212080.9483089999</v>
      </c>
      <c r="J14" s="25">
        <f t="shared" si="2"/>
        <v>0</v>
      </c>
      <c r="K14" s="23">
        <v>951.61289999999997</v>
      </c>
      <c r="L14" s="56">
        <v>1226.2559999999939</v>
      </c>
      <c r="M14" s="57">
        <v>857.5</v>
      </c>
      <c r="N14" s="58">
        <v>1173.7060000002384</v>
      </c>
      <c r="O14" s="60">
        <v>56.662495999829844</v>
      </c>
      <c r="P14" s="61">
        <v>494.71396799990907</v>
      </c>
      <c r="Q14" s="62">
        <v>417.50651900004596</v>
      </c>
      <c r="R14" s="63">
        <v>340.76543399994262</v>
      </c>
    </row>
    <row r="15" spans="2:18" s="33" customFormat="1" ht="11.25" customHeight="1" x14ac:dyDescent="0.25">
      <c r="D15" s="39">
        <v>44328</v>
      </c>
      <c r="E15" s="24">
        <f>[2]May.2021!$E$8</f>
        <v>760788</v>
      </c>
      <c r="F15" s="24">
        <v>172141</v>
      </c>
      <c r="G15" s="24">
        <f t="shared" si="4"/>
        <v>932929</v>
      </c>
      <c r="H15" s="18">
        <v>1.299221</v>
      </c>
      <c r="I15" s="24">
        <f t="shared" si="3"/>
        <v>1212080.9483089999</v>
      </c>
      <c r="J15" s="25">
        <f t="shared" si="2"/>
        <v>0</v>
      </c>
      <c r="K15" s="23">
        <v>951.61289999999997</v>
      </c>
      <c r="L15" s="56">
        <v>935.27999999999884</v>
      </c>
      <c r="M15" s="57">
        <v>786.25</v>
      </c>
      <c r="N15" s="58">
        <v>1264.0889999996871</v>
      </c>
      <c r="O15" s="60">
        <v>55.374712000135332</v>
      </c>
      <c r="P15" s="61">
        <v>502.36418400006369</v>
      </c>
      <c r="Q15" s="62">
        <v>437.68810300005134</v>
      </c>
      <c r="R15" s="63">
        <v>345.83257800003048</v>
      </c>
    </row>
    <row r="16" spans="2:18" s="33" customFormat="1" ht="11.25" customHeight="1" x14ac:dyDescent="0.25">
      <c r="D16" s="39">
        <v>44329</v>
      </c>
      <c r="E16" s="24">
        <f>[2]May.2021!$E$16</f>
        <v>0</v>
      </c>
      <c r="F16" s="24">
        <f>[2]May.2021!$F$16</f>
        <v>0</v>
      </c>
      <c r="G16" s="24">
        <f t="shared" si="4"/>
        <v>0</v>
      </c>
      <c r="H16" s="18">
        <v>1.299221</v>
      </c>
      <c r="I16" s="24">
        <f t="shared" si="3"/>
        <v>0</v>
      </c>
      <c r="J16" s="25">
        <f t="shared" si="2"/>
        <v>-1212080.9483089999</v>
      </c>
      <c r="K16" s="23">
        <v>951.61289999999997</v>
      </c>
      <c r="L16" s="56">
        <v>1063.8809999999939</v>
      </c>
      <c r="M16" s="57">
        <v>825</v>
      </c>
      <c r="N16" s="58">
        <v>1218.2609999999404</v>
      </c>
      <c r="O16" s="60">
        <v>54.08692799997516</v>
      </c>
      <c r="P16" s="61">
        <v>489.61382400000002</v>
      </c>
      <c r="Q16" s="62">
        <v>427.59731099999044</v>
      </c>
      <c r="R16" s="63">
        <v>381.30258599994704</v>
      </c>
    </row>
    <row r="17" spans="4:18" s="33" customFormat="1" ht="11.25" customHeight="1" x14ac:dyDescent="0.25">
      <c r="D17" s="39">
        <v>44330</v>
      </c>
      <c r="E17" s="24">
        <f>[2]May.2021!$E$17</f>
        <v>0</v>
      </c>
      <c r="F17" s="24">
        <f>[2]May.2021!$F$17</f>
        <v>0</v>
      </c>
      <c r="G17" s="24">
        <f t="shared" si="4"/>
        <v>0</v>
      </c>
      <c r="H17" s="18">
        <v>1.299221</v>
      </c>
      <c r="I17" s="24">
        <f t="shared" si="3"/>
        <v>0</v>
      </c>
      <c r="J17" s="25">
        <f t="shared" si="2"/>
        <v>0</v>
      </c>
      <c r="K17" s="23">
        <v>951.61289999999997</v>
      </c>
      <c r="L17" s="56">
        <v>1088.5620000000054</v>
      </c>
      <c r="M17" s="57">
        <v>845</v>
      </c>
      <c r="N17" s="58">
        <v>1138.061999999918</v>
      </c>
      <c r="O17" s="60">
        <v>54.08692799997516</v>
      </c>
      <c r="P17" s="61">
        <v>507.46432799997274</v>
      </c>
      <c r="Q17" s="62">
        <v>420.02921700000297</v>
      </c>
      <c r="R17" s="63">
        <v>355.96686600008979</v>
      </c>
    </row>
    <row r="18" spans="4:18" s="33" customFormat="1" ht="11.25" customHeight="1" x14ac:dyDescent="0.25">
      <c r="D18" s="39">
        <v>44331</v>
      </c>
      <c r="E18" s="24">
        <f>[2]May.2021!$E$18</f>
        <v>0</v>
      </c>
      <c r="F18" s="24">
        <f>[2]May.2021!$F$18</f>
        <v>0</v>
      </c>
      <c r="G18" s="24">
        <f t="shared" si="4"/>
        <v>0</v>
      </c>
      <c r="H18" s="18">
        <v>1.299221</v>
      </c>
      <c r="I18" s="24">
        <f t="shared" si="3"/>
        <v>0</v>
      </c>
      <c r="J18" s="25">
        <f t="shared" si="2"/>
        <v>0</v>
      </c>
      <c r="K18" s="23">
        <v>951.61289999999997</v>
      </c>
      <c r="L18" s="56">
        <v>1121.0370000000112</v>
      </c>
      <c r="M18" s="57">
        <v>845</v>
      </c>
      <c r="N18" s="58">
        <v>1089.688000000082</v>
      </c>
      <c r="O18" s="60">
        <v>51.511359999887645</v>
      </c>
      <c r="P18" s="61">
        <v>511.28943600005005</v>
      </c>
      <c r="Q18" s="62">
        <v>399.84763299999759</v>
      </c>
      <c r="R18" s="63">
        <v>258.4243439999409</v>
      </c>
    </row>
    <row r="19" spans="4:18" s="33" customFormat="1" ht="11.25" customHeight="1" x14ac:dyDescent="0.25">
      <c r="D19" s="39">
        <v>44332</v>
      </c>
      <c r="E19" s="24">
        <f>[2]May.2021!$E$19</f>
        <v>0</v>
      </c>
      <c r="F19" s="24">
        <f>[2]May.2021!$F$19</f>
        <v>0</v>
      </c>
      <c r="G19" s="24">
        <f t="shared" ref="G19:G34" si="5">E19+F19</f>
        <v>0</v>
      </c>
      <c r="H19" s="18">
        <v>1.299221</v>
      </c>
      <c r="I19" s="24">
        <f t="shared" ref="I19:I34" si="6">H19*G19</f>
        <v>0</v>
      </c>
      <c r="J19" s="25">
        <f t="shared" ref="J19:J34" si="7">IF((I19-I18)&gt;0,I19-I18,0)</f>
        <v>0</v>
      </c>
      <c r="K19" s="23">
        <v>951.61289999999997</v>
      </c>
      <c r="L19" s="56">
        <v>918.39299999998184</v>
      </c>
      <c r="M19" s="57">
        <v>877.5</v>
      </c>
      <c r="N19" s="58">
        <v>1108.7829999998212</v>
      </c>
      <c r="O19" s="60">
        <v>52.799144000047818</v>
      </c>
      <c r="P19" s="61">
        <v>461.56303199997637</v>
      </c>
      <c r="Q19" s="62">
        <v>428.85865999991074</v>
      </c>
      <c r="R19" s="63">
        <v>231.82183799997438</v>
      </c>
    </row>
    <row r="20" spans="4:18" s="33" customFormat="1" ht="11.25" customHeight="1" x14ac:dyDescent="0.25">
      <c r="D20" s="39">
        <v>44333</v>
      </c>
      <c r="E20" s="24">
        <f>[2]May.2021!$E$20</f>
        <v>0</v>
      </c>
      <c r="F20" s="24">
        <f>[2]May.2021!$F$20</f>
        <v>0</v>
      </c>
      <c r="G20" s="24">
        <f t="shared" si="5"/>
        <v>0</v>
      </c>
      <c r="H20" s="18">
        <v>1.299221</v>
      </c>
      <c r="I20" s="24">
        <f t="shared" si="6"/>
        <v>0</v>
      </c>
      <c r="J20" s="25">
        <f t="shared" si="7"/>
        <v>0</v>
      </c>
      <c r="K20" s="23">
        <v>951.61289999999997</v>
      </c>
      <c r="L20" s="56">
        <v>1052.1900000000023</v>
      </c>
      <c r="M20" s="57">
        <v>811.25</v>
      </c>
      <c r="N20" s="58">
        <v>1106.2369999997318</v>
      </c>
      <c r="O20" s="60">
        <v>60.525848000077531</v>
      </c>
      <c r="P20" s="61">
        <v>422.03691599995364</v>
      </c>
      <c r="Q20" s="62">
        <v>392.27953900001012</v>
      </c>
      <c r="R20" s="63">
        <v>230.55505200009793</v>
      </c>
    </row>
    <row r="21" spans="4:18" s="33" customFormat="1" ht="11.25" customHeight="1" x14ac:dyDescent="0.25">
      <c r="D21" s="39">
        <v>44334</v>
      </c>
      <c r="E21" s="24">
        <f>[2]May.2021!$E$21</f>
        <v>0</v>
      </c>
      <c r="F21" s="24">
        <f>[2]May.2021!$F$21</f>
        <v>0</v>
      </c>
      <c r="G21" s="24">
        <f t="shared" si="5"/>
        <v>0</v>
      </c>
      <c r="H21" s="18">
        <v>1.299221</v>
      </c>
      <c r="I21" s="24">
        <f t="shared" si="6"/>
        <v>0</v>
      </c>
      <c r="J21" s="25">
        <f t="shared" si="7"/>
        <v>0</v>
      </c>
      <c r="K21" s="23">
        <v>951.61289999999997</v>
      </c>
      <c r="L21" s="56">
        <v>1069.0770000000193</v>
      </c>
      <c r="M21" s="57">
        <v>806.25</v>
      </c>
      <c r="N21" s="58">
        <v>1092.2340000001714</v>
      </c>
      <c r="O21" s="60">
        <v>57.950279999990016</v>
      </c>
      <c r="P21" s="61">
        <v>464.11310399998911</v>
      </c>
      <c r="Q21" s="62">
        <v>431.38135799998417</v>
      </c>
      <c r="R21" s="63">
        <v>272.3589899999788</v>
      </c>
    </row>
    <row r="22" spans="4:18" s="33" customFormat="1" ht="11.25" customHeight="1" x14ac:dyDescent="0.25">
      <c r="D22" s="39">
        <v>44335</v>
      </c>
      <c r="E22" s="24">
        <f>[2]May.2021!$E$22</f>
        <v>0</v>
      </c>
      <c r="F22" s="24">
        <f>[2]May.2021!$F$22</f>
        <v>0</v>
      </c>
      <c r="G22" s="24">
        <f t="shared" si="5"/>
        <v>0</v>
      </c>
      <c r="H22" s="18">
        <v>1.299221</v>
      </c>
      <c r="I22" s="24">
        <f t="shared" si="6"/>
        <v>0</v>
      </c>
      <c r="J22" s="25">
        <f t="shared" si="7"/>
        <v>0</v>
      </c>
      <c r="K22" s="23">
        <v>951.61289999999997</v>
      </c>
      <c r="L22" s="56">
        <v>972.95100000000093</v>
      </c>
      <c r="M22" s="57">
        <v>788.75</v>
      </c>
      <c r="N22" s="58">
        <v>1037.4950000001118</v>
      </c>
      <c r="O22" s="60">
        <v>50.223575999960303</v>
      </c>
      <c r="P22" s="61">
        <v>466.66317600000184</v>
      </c>
      <c r="Q22" s="62">
        <v>440.21080100000836</v>
      </c>
      <c r="R22" s="63">
        <v>292.62756599998102</v>
      </c>
    </row>
    <row r="23" spans="4:18" s="33" customFormat="1" ht="11.25" customHeight="1" x14ac:dyDescent="0.25">
      <c r="D23" s="39">
        <v>44336</v>
      </c>
      <c r="E23" s="24">
        <f>[2]May.2021!$E$23</f>
        <v>0</v>
      </c>
      <c r="F23" s="24">
        <f>[2]May.2021!$F$23</f>
        <v>0</v>
      </c>
      <c r="G23" s="24">
        <f t="shared" si="5"/>
        <v>0</v>
      </c>
      <c r="H23" s="18">
        <v>1.299221</v>
      </c>
      <c r="I23" s="24">
        <f t="shared" si="6"/>
        <v>0</v>
      </c>
      <c r="J23" s="25">
        <f t="shared" si="7"/>
        <v>0</v>
      </c>
      <c r="K23" s="23">
        <v>951.61289999999997</v>
      </c>
      <c r="L23" s="56">
        <v>914.49599999998463</v>
      </c>
      <c r="M23" s="57">
        <v>856.25</v>
      </c>
      <c r="N23" s="58">
        <v>1046.4060000004247</v>
      </c>
      <c r="O23" s="60">
        <v>63.101415999932215</v>
      </c>
      <c r="P23" s="61">
        <v>461.56303200009279</v>
      </c>
      <c r="Q23" s="62">
        <v>403.63167999999132</v>
      </c>
      <c r="R23" s="63">
        <v>344.56579200003762</v>
      </c>
    </row>
    <row r="24" spans="4:18" s="33" customFormat="1" ht="11.25" customHeight="1" x14ac:dyDescent="0.25">
      <c r="D24" s="39">
        <v>44337</v>
      </c>
      <c r="E24" s="24">
        <f>[2]May.2021!$E$24</f>
        <v>0</v>
      </c>
      <c r="F24" s="24">
        <f>[2]May.2021!$F$24</f>
        <v>0</v>
      </c>
      <c r="G24" s="24">
        <f t="shared" si="5"/>
        <v>0</v>
      </c>
      <c r="H24" s="18">
        <v>1.299221</v>
      </c>
      <c r="I24" s="24">
        <f t="shared" si="6"/>
        <v>0</v>
      </c>
      <c r="J24" s="25">
        <f t="shared" si="7"/>
        <v>0</v>
      </c>
      <c r="K24" s="23">
        <v>951.61289999999997</v>
      </c>
      <c r="L24" s="56">
        <v>814.47299999999814</v>
      </c>
      <c r="M24" s="57">
        <v>883.75</v>
      </c>
      <c r="N24" s="58">
        <v>1078.2309999996796</v>
      </c>
      <c r="O24" s="60">
        <v>61.813632000004873</v>
      </c>
      <c r="P24" s="61">
        <v>481.96360799996182</v>
      </c>
      <c r="Q24" s="62">
        <v>397.32493500004057</v>
      </c>
      <c r="R24" s="63">
        <v>305.29542599990964</v>
      </c>
    </row>
    <row r="25" spans="4:18" s="33" customFormat="1" ht="11.25" customHeight="1" x14ac:dyDescent="0.25">
      <c r="D25" s="39">
        <v>44338</v>
      </c>
      <c r="E25" s="24">
        <f>[2]May.2021!$E$25</f>
        <v>0</v>
      </c>
      <c r="F25" s="24">
        <f>[2]May.2021!$F$25</f>
        <v>0</v>
      </c>
      <c r="G25" s="24">
        <f t="shared" si="5"/>
        <v>0</v>
      </c>
      <c r="H25" s="18">
        <v>1.299221</v>
      </c>
      <c r="I25" s="24">
        <f t="shared" si="6"/>
        <v>0</v>
      </c>
      <c r="J25" s="25">
        <f t="shared" si="7"/>
        <v>0</v>
      </c>
      <c r="K25" s="23">
        <v>951.61289999999997</v>
      </c>
      <c r="L25" s="56">
        <v>832.6590000000142</v>
      </c>
      <c r="M25" s="57">
        <v>886.25</v>
      </c>
      <c r="N25" s="58">
        <v>1073.1390000004321</v>
      </c>
      <c r="O25" s="60">
        <v>60.525848000077531</v>
      </c>
      <c r="P25" s="61">
        <v>442.43749199993908</v>
      </c>
      <c r="Q25" s="62">
        <v>396.06358600000385</v>
      </c>
      <c r="R25" s="63">
        <v>311.62935599999037</v>
      </c>
    </row>
    <row r="26" spans="4:18" s="33" customFormat="1" ht="11.25" customHeight="1" x14ac:dyDescent="0.25">
      <c r="D26" s="39">
        <v>44339</v>
      </c>
      <c r="E26" s="24">
        <f>[2]May.2021!$E$26</f>
        <v>0</v>
      </c>
      <c r="F26" s="24">
        <f>[2]May.2021!$F$26</f>
        <v>0</v>
      </c>
      <c r="G26" s="24">
        <f t="shared" si="5"/>
        <v>0</v>
      </c>
      <c r="H26" s="18">
        <v>1.299221</v>
      </c>
      <c r="I26" s="24">
        <f t="shared" si="6"/>
        <v>0</v>
      </c>
      <c r="J26" s="25">
        <f t="shared" si="7"/>
        <v>0</v>
      </c>
      <c r="K26" s="23">
        <v>951.61289999999997</v>
      </c>
      <c r="L26" s="56">
        <v>814.47299999999814</v>
      </c>
      <c r="M26" s="57">
        <v>920</v>
      </c>
      <c r="N26" s="58">
        <v>1120.2399999992922</v>
      </c>
      <c r="O26" s="60">
        <v>61.813632000004873</v>
      </c>
      <c r="P26" s="61">
        <v>470.48828400007915</v>
      </c>
      <c r="Q26" s="62">
        <v>435.16540499997791</v>
      </c>
      <c r="R26" s="63">
        <v>279.95970600005239</v>
      </c>
    </row>
    <row r="27" spans="4:18" s="33" customFormat="1" ht="11.25" customHeight="1" x14ac:dyDescent="0.25">
      <c r="D27" s="39">
        <v>44340</v>
      </c>
      <c r="E27" s="24">
        <f>[2]May.2021!$E$27</f>
        <v>0</v>
      </c>
      <c r="F27" s="24">
        <f>[2]May.2021!$F$27</f>
        <v>0</v>
      </c>
      <c r="G27" s="24">
        <f t="shared" si="5"/>
        <v>0</v>
      </c>
      <c r="H27" s="18">
        <v>1.299221</v>
      </c>
      <c r="I27" s="24">
        <f t="shared" si="6"/>
        <v>0</v>
      </c>
      <c r="J27" s="25">
        <f t="shared" si="7"/>
        <v>0</v>
      </c>
      <c r="K27" s="23">
        <v>951.61289999999997</v>
      </c>
      <c r="L27" s="56">
        <v>759.91500000000815</v>
      </c>
      <c r="M27" s="57">
        <v>6414.4569999999949</v>
      </c>
      <c r="N27" s="58">
        <v>1154.6110000004992</v>
      </c>
      <c r="O27" s="60">
        <v>59.238063999917358</v>
      </c>
      <c r="P27" s="61">
        <v>530.41497599997092</v>
      </c>
      <c r="Q27" s="62">
        <v>355.70041799999308</v>
      </c>
      <c r="R27" s="63">
        <v>290.09399399999529</v>
      </c>
    </row>
    <row r="28" spans="4:18" s="33" customFormat="1" ht="11.25" customHeight="1" x14ac:dyDescent="0.25">
      <c r="D28" s="39">
        <v>44341</v>
      </c>
      <c r="E28" s="24">
        <f>[2]May.2021!$E$28</f>
        <v>0</v>
      </c>
      <c r="F28" s="24">
        <f>[2]May.2021!$F$28</f>
        <v>0</v>
      </c>
      <c r="G28" s="24">
        <f t="shared" si="5"/>
        <v>0</v>
      </c>
      <c r="H28" s="18">
        <v>1.299221</v>
      </c>
      <c r="I28" s="24">
        <f t="shared" si="6"/>
        <v>0</v>
      </c>
      <c r="J28" s="25">
        <f t="shared" si="7"/>
        <v>0</v>
      </c>
      <c r="K28" s="23">
        <v>951.61289999999997</v>
      </c>
      <c r="L28" s="56">
        <v>802.78199999997742</v>
      </c>
      <c r="M28" s="57">
        <v>1004.1270000000077</v>
      </c>
      <c r="N28" s="58">
        <v>1141.8810000000522</v>
      </c>
      <c r="O28" s="60">
        <v>66.964768000179902</v>
      </c>
      <c r="P28" s="61">
        <v>360.8</v>
      </c>
      <c r="Q28" s="62">
        <v>358.2</v>
      </c>
      <c r="R28" s="63">
        <v>296.4279239999596</v>
      </c>
    </row>
    <row r="29" spans="4:18" s="33" customFormat="1" ht="11.25" customHeight="1" x14ac:dyDescent="0.25">
      <c r="D29" s="39">
        <v>44342</v>
      </c>
      <c r="E29" s="24">
        <f>[2]May.2021!$E$29</f>
        <v>0</v>
      </c>
      <c r="F29" s="24">
        <f>[2]May.2021!$F$29</f>
        <v>0</v>
      </c>
      <c r="G29" s="24">
        <f t="shared" si="5"/>
        <v>0</v>
      </c>
      <c r="H29" s="18">
        <v>1.299221</v>
      </c>
      <c r="I29" s="24">
        <f t="shared" si="6"/>
        <v>0</v>
      </c>
      <c r="J29" s="25">
        <f t="shared" si="7"/>
        <v>0</v>
      </c>
      <c r="K29" s="23">
        <v>951.61289999999997</v>
      </c>
      <c r="L29" s="56">
        <v>771.60599999999977</v>
      </c>
      <c r="M29" s="57">
        <v>1030.1069999999891</v>
      </c>
      <c r="N29" s="58">
        <v>1158.429999999702</v>
      </c>
      <c r="O29" s="60">
        <v>56.662495999829844</v>
      </c>
      <c r="P29" s="61">
        <v>479.65747199999169</v>
      </c>
      <c r="Q29" s="62">
        <v>344.10382799990475</v>
      </c>
      <c r="R29" s="63">
        <v>315.42971400008537</v>
      </c>
    </row>
    <row r="30" spans="4:18" s="33" customFormat="1" ht="11.25" customHeight="1" x14ac:dyDescent="0.25">
      <c r="D30" s="39">
        <v>44343</v>
      </c>
      <c r="E30" s="24">
        <f>[2]May.2021!$E$30</f>
        <v>0</v>
      </c>
      <c r="F30" s="24">
        <f>[2]May.2021!$F$30</f>
        <v>0</v>
      </c>
      <c r="G30" s="24">
        <f t="shared" si="5"/>
        <v>0</v>
      </c>
      <c r="H30" s="18">
        <v>1.299221</v>
      </c>
      <c r="I30" s="24">
        <f>H30*G30</f>
        <v>0</v>
      </c>
      <c r="J30" s="25">
        <f t="shared" si="7"/>
        <v>0</v>
      </c>
      <c r="K30" s="23">
        <v>951.61289999999997</v>
      </c>
      <c r="L30" s="56">
        <v>840</v>
      </c>
      <c r="M30" s="57">
        <v>1036.6020000000135</v>
      </c>
      <c r="N30" s="58">
        <v>1069.320000000298</v>
      </c>
      <c r="O30" s="60">
        <v>57.950279999990016</v>
      </c>
      <c r="P30" s="61">
        <v>464.6681760000065</v>
      </c>
      <c r="Q30" s="62">
        <v>371.53239399997983</v>
      </c>
      <c r="R30" s="63">
        <v>324.29721599991899</v>
      </c>
    </row>
    <row r="31" spans="4:18" s="33" customFormat="1" ht="11.25" customHeight="1" x14ac:dyDescent="0.25">
      <c r="D31" s="39">
        <v>44344</v>
      </c>
      <c r="E31" s="24">
        <f>[2]May.2021!$E$31</f>
        <v>0</v>
      </c>
      <c r="F31" s="24">
        <f>[2]May.2021!$F$31</f>
        <v>0</v>
      </c>
      <c r="G31" s="24">
        <f t="shared" si="5"/>
        <v>0</v>
      </c>
      <c r="H31" s="18">
        <v>1.299221</v>
      </c>
      <c r="I31" s="24">
        <f t="shared" si="6"/>
        <v>0</v>
      </c>
      <c r="J31" s="25">
        <f t="shared" si="7"/>
        <v>0</v>
      </c>
      <c r="K31" s="23">
        <v>951.61289999999997</v>
      </c>
      <c r="L31" s="56">
        <v>856.67999999999302</v>
      </c>
      <c r="M31" s="57">
        <v>1117.1399999999849</v>
      </c>
      <c r="N31" s="58">
        <v>1169.8870000001043</v>
      </c>
      <c r="O31" s="60">
        <v>54.08692799997516</v>
      </c>
      <c r="P31" s="61">
        <v>443.43333999998868</v>
      </c>
      <c r="Q31" s="62">
        <v>334.12980400002562</v>
      </c>
      <c r="R31" s="63">
        <v>300.22828200005461</v>
      </c>
    </row>
    <row r="32" spans="4:18" s="33" customFormat="1" ht="11.25" customHeight="1" x14ac:dyDescent="0.25">
      <c r="D32" s="39">
        <v>44345</v>
      </c>
      <c r="E32" s="24">
        <f>[2]May.2021!$E$32</f>
        <v>0</v>
      </c>
      <c r="F32" s="24">
        <f>[2]May.2021!$F$32</f>
        <v>0</v>
      </c>
      <c r="G32" s="24">
        <f t="shared" si="5"/>
        <v>0</v>
      </c>
      <c r="H32" s="18">
        <v>1.299221</v>
      </c>
      <c r="I32" s="24">
        <f t="shared" si="6"/>
        <v>0</v>
      </c>
      <c r="J32" s="25">
        <f t="shared" si="7"/>
        <v>0</v>
      </c>
      <c r="K32" s="23">
        <v>951.61289999999997</v>
      </c>
      <c r="L32" s="56">
        <v>1159.1140000000014</v>
      </c>
      <c r="M32" s="57">
        <v>1111.9439999999886</v>
      </c>
      <c r="N32" s="58">
        <v>1127.8779999995604</v>
      </c>
      <c r="O32" s="60">
        <v>63.101416000165045</v>
      </c>
      <c r="P32" s="61">
        <v>443.43334000010509</v>
      </c>
      <c r="Q32" s="62">
        <v>322.90902700007427</v>
      </c>
      <c r="R32" s="63">
        <v>306.56221200001892</v>
      </c>
    </row>
    <row r="33" spans="4:18" s="33" customFormat="1" ht="11.25" customHeight="1" x14ac:dyDescent="0.25">
      <c r="D33" s="39">
        <v>44346</v>
      </c>
      <c r="E33" s="24">
        <f>[2]May.2021!$E$33</f>
        <v>0</v>
      </c>
      <c r="F33" s="24">
        <f>[2]May.2021!$F$33</f>
        <v>0</v>
      </c>
      <c r="G33" s="24">
        <f t="shared" si="5"/>
        <v>0</v>
      </c>
      <c r="H33" s="18">
        <v>1.299221</v>
      </c>
      <c r="I33" s="24">
        <f t="shared" si="6"/>
        <v>0</v>
      </c>
      <c r="J33" s="25">
        <f t="shared" si="7"/>
        <v>0</v>
      </c>
      <c r="K33" s="23">
        <v>951.61289999999997</v>
      </c>
      <c r="L33" s="56">
        <v>665.87400000001071</v>
      </c>
      <c r="M33" s="57">
        <v>1162.6050000000105</v>
      </c>
      <c r="N33" s="58">
        <v>1206.8040000004694</v>
      </c>
      <c r="O33" s="60">
        <v>64.389199999859557</v>
      </c>
      <c r="P33" s="61">
        <v>469.66460799996275</v>
      </c>
      <c r="Q33" s="62">
        <v>334.1298039999092</v>
      </c>
      <c r="R33" s="63">
        <v>287.56042200000957</v>
      </c>
    </row>
    <row r="34" spans="4:18" s="33" customFormat="1" ht="11.25" customHeight="1" x14ac:dyDescent="0.25">
      <c r="D34" s="39">
        <v>44347</v>
      </c>
      <c r="E34" s="24">
        <f>[2]May.2021!$E$34</f>
        <v>0</v>
      </c>
      <c r="F34" s="24">
        <f>[2]May.2021!$F$34</f>
        <v>0</v>
      </c>
      <c r="G34" s="24">
        <f t="shared" si="5"/>
        <v>0</v>
      </c>
      <c r="H34" s="18">
        <v>1.299221</v>
      </c>
      <c r="I34" s="24">
        <f t="shared" si="6"/>
        <v>0</v>
      </c>
      <c r="J34" s="25">
        <f t="shared" si="7"/>
        <v>0</v>
      </c>
      <c r="K34" s="23">
        <v>951.61289999999997</v>
      </c>
      <c r="L34" s="56">
        <v>846.29599999997299</v>
      </c>
      <c r="M34" s="57">
        <v>1239.2460000000137</v>
      </c>
      <c r="N34" s="58">
        <v>1206.8039999995381</v>
      </c>
      <c r="O34" s="60">
        <v>87.569312000181526</v>
      </c>
      <c r="P34" s="61">
        <v>450.92798799998127</v>
      </c>
      <c r="Q34" s="62">
        <v>344.10382800002117</v>
      </c>
      <c r="R34" s="63">
        <v>282.4932779999217</v>
      </c>
    </row>
    <row r="35" spans="4:18" s="33" customFormat="1" ht="11.25" customHeight="1" x14ac:dyDescent="0.25">
      <c r="D35" s="47" t="s">
        <v>29</v>
      </c>
      <c r="E35" s="64"/>
      <c r="F35" s="64"/>
      <c r="G35" s="64"/>
      <c r="H35" s="64"/>
      <c r="I35" s="65"/>
      <c r="J35" s="49">
        <f>SUM(J4:J34)</f>
        <v>-1212070.5545409999</v>
      </c>
      <c r="K35" s="49">
        <f>SUM(K4:K34)</f>
        <v>29499.999899999999</v>
      </c>
      <c r="L35" s="66">
        <v>32854.126999999979</v>
      </c>
      <c r="M35" s="67">
        <v>33137.478000000003</v>
      </c>
      <c r="N35" s="68">
        <v>33122.186999999918</v>
      </c>
      <c r="O35" s="69">
        <v>1962.8199560001958</v>
      </c>
      <c r="P35" s="70">
        <v>14887.753668000059</v>
      </c>
      <c r="Q35" s="71">
        <v>13054.894244999905</v>
      </c>
      <c r="R35" s="72">
        <v>10252.222825999954</v>
      </c>
    </row>
    <row r="36" spans="4:18" ht="9.9499999999999993" customHeight="1" x14ac:dyDescent="0.25"/>
    <row r="37" spans="4:18" ht="12.75" customHeight="1" x14ac:dyDescent="0.25">
      <c r="L37" s="52">
        <f>+AVERAGE(J4:J8)</f>
        <v>0</v>
      </c>
      <c r="M37" s="17">
        <f>+(L37*31)</f>
        <v>0</v>
      </c>
    </row>
    <row r="38" spans="4:18" ht="12.75" customHeight="1" x14ac:dyDescent="0.25">
      <c r="D38" s="53" t="s">
        <v>56</v>
      </c>
    </row>
    <row r="39" spans="4:18" ht="12.75" customHeight="1" x14ac:dyDescent="0.25">
      <c r="D39" s="54" t="s">
        <v>30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2" workbookViewId="0">
      <selection activeCell="F16" sqref="F16"/>
    </sheetView>
  </sheetViews>
  <sheetFormatPr defaultRowHeight="15" x14ac:dyDescent="0.25"/>
  <cols>
    <col min="2" max="2" width="3.140625" customWidth="1"/>
    <col min="3" max="3" width="9.140625" style="73" hidden="1" customWidth="1"/>
    <col min="4" max="4" width="7.7109375" style="73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50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48</v>
      </c>
      <c r="R1" s="107"/>
      <c r="S1" s="107"/>
      <c r="T1" s="107"/>
      <c r="U1" s="107"/>
      <c r="V1" s="107"/>
      <c r="W1" s="107"/>
      <c r="X1" s="107"/>
      <c r="Y1" s="17"/>
      <c r="Z1" s="107" t="s">
        <v>49</v>
      </c>
      <c r="AA1" s="107"/>
      <c r="AB1" s="107"/>
      <c r="AC1" s="107"/>
      <c r="AD1" s="107"/>
      <c r="AE1" s="107"/>
      <c r="AF1" s="107"/>
      <c r="AG1" s="107"/>
      <c r="AI1" s="107" t="s">
        <v>50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4" t="s">
        <v>33</v>
      </c>
      <c r="D3" s="74" t="s">
        <v>34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35</v>
      </c>
      <c r="K3" s="75">
        <v>2020</v>
      </c>
      <c r="L3" s="36">
        <v>2019</v>
      </c>
      <c r="M3" s="76">
        <v>2018</v>
      </c>
      <c r="N3" s="77">
        <v>2017</v>
      </c>
      <c r="O3" s="45"/>
      <c r="P3" s="33"/>
      <c r="Q3" s="18" t="s">
        <v>11</v>
      </c>
      <c r="R3" s="19" t="s">
        <v>36</v>
      </c>
      <c r="S3" s="19" t="s">
        <v>13</v>
      </c>
      <c r="T3" s="19" t="s">
        <v>37</v>
      </c>
      <c r="U3" s="19" t="s">
        <v>38</v>
      </c>
      <c r="V3" s="19" t="s">
        <v>39</v>
      </c>
      <c r="W3" s="19" t="s">
        <v>40</v>
      </c>
      <c r="X3" s="78" t="s">
        <v>41</v>
      </c>
      <c r="Y3" s="33"/>
      <c r="Z3" s="18" t="s">
        <v>11</v>
      </c>
      <c r="AA3" s="19" t="s">
        <v>36</v>
      </c>
      <c r="AB3" s="19" t="s">
        <v>13</v>
      </c>
      <c r="AC3" s="19" t="s">
        <v>37</v>
      </c>
      <c r="AD3" s="19" t="s">
        <v>42</v>
      </c>
      <c r="AE3" s="19" t="s">
        <v>39</v>
      </c>
      <c r="AF3" s="19" t="s">
        <v>43</v>
      </c>
      <c r="AG3" s="78" t="s">
        <v>41</v>
      </c>
      <c r="AI3" s="18" t="s">
        <v>11</v>
      </c>
      <c r="AJ3" s="19" t="s">
        <v>12</v>
      </c>
      <c r="AK3" s="78" t="s">
        <v>44</v>
      </c>
      <c r="AL3" s="78" t="s">
        <v>45</v>
      </c>
      <c r="AM3" s="78" t="s">
        <v>46</v>
      </c>
      <c r="AN3" s="19" t="s">
        <v>13</v>
      </c>
      <c r="AO3" s="108" t="s">
        <v>44</v>
      </c>
      <c r="AP3" s="109"/>
      <c r="AQ3" s="108" t="s">
        <v>45</v>
      </c>
      <c r="AR3" s="109"/>
      <c r="AS3" s="108" t="s">
        <v>46</v>
      </c>
      <c r="AT3" s="109"/>
      <c r="AU3" s="19"/>
      <c r="AV3" s="19" t="s">
        <v>14</v>
      </c>
      <c r="AW3" s="19" t="s">
        <v>15</v>
      </c>
      <c r="AX3" s="19" t="s">
        <v>35</v>
      </c>
    </row>
    <row r="4" spans="3:50" x14ac:dyDescent="0.25">
      <c r="C4" s="79">
        <v>1300</v>
      </c>
      <c r="D4" s="79">
        <v>3200</v>
      </c>
      <c r="E4" s="39">
        <v>44317</v>
      </c>
      <c r="F4" s="106">
        <f>'[4]Mayıs.2021 '!$E$4</f>
        <v>4672.4290000000001</v>
      </c>
      <c r="G4" s="23">
        <v>2760</v>
      </c>
      <c r="H4" s="24">
        <f>G4*F4</f>
        <v>12895904.040000001</v>
      </c>
      <c r="I4" s="25">
        <f>'[4]Mayıs.2021 '!$H$4</f>
        <v>1173.0000000018626</v>
      </c>
      <c r="J4" s="49">
        <v>8089.68</v>
      </c>
      <c r="K4" s="80"/>
      <c r="L4" s="41"/>
      <c r="M4" s="81"/>
      <c r="N4" s="82">
        <v>5914.679999999702</v>
      </c>
      <c r="O4" s="83"/>
      <c r="P4" s="84"/>
      <c r="Q4" s="39">
        <v>44256</v>
      </c>
      <c r="R4" s="85">
        <v>123.986</v>
      </c>
      <c r="S4" s="85">
        <v>2760</v>
      </c>
      <c r="T4" s="85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1173.0000000018626</v>
      </c>
      <c r="W4" s="86">
        <f t="shared" ref="W4:W34" si="2">U4/V4</f>
        <v>4.4705882352872171E-2</v>
      </c>
      <c r="X4" s="87">
        <v>0.2</v>
      </c>
      <c r="Y4" s="33"/>
      <c r="Z4" s="39">
        <v>44256</v>
      </c>
      <c r="AA4" s="85">
        <v>164.654</v>
      </c>
      <c r="AB4" s="85">
        <v>2760</v>
      </c>
      <c r="AC4" s="85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1173.0000000018626</v>
      </c>
      <c r="AF4" s="86">
        <f t="shared" ref="AF4:AF9" si="5">AD4/AE4</f>
        <v>4.2352941176397381E-2</v>
      </c>
      <c r="AG4" s="87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8">
        <v>4523.6400000000003</v>
      </c>
      <c r="AQ4" s="23">
        <f t="shared" ref="AQ4:AQ35" si="6">+(AL4*$AN$4)</f>
        <v>2797654.68</v>
      </c>
      <c r="AR4" s="89">
        <v>1686.36</v>
      </c>
      <c r="AS4" s="23">
        <f t="shared" ref="AS4:AS35" si="7">+(AM4*$AN$4)</f>
        <v>3382391.0399999996</v>
      </c>
      <c r="AT4" s="90">
        <v>1959.6</v>
      </c>
      <c r="AU4" s="91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1173.0000000018626</v>
      </c>
      <c r="AX4" s="25">
        <f t="shared" si="10"/>
        <v>8089.68</v>
      </c>
    </row>
    <row r="5" spans="3:50" x14ac:dyDescent="0.25">
      <c r="C5" s="79">
        <v>1000</v>
      </c>
      <c r="D5" s="79">
        <v>3400</v>
      </c>
      <c r="E5" s="39">
        <v>44318</v>
      </c>
      <c r="F5" s="106">
        <f>'[4]Mayıs.2021 '!$E$5</f>
        <v>4672.8379999999997</v>
      </c>
      <c r="G5" s="23">
        <v>2760</v>
      </c>
      <c r="H5" s="24">
        <f>G5*F5</f>
        <v>12897032.879999999</v>
      </c>
      <c r="I5" s="25">
        <f t="shared" ref="I5:I18" si="11">+(H5-H4)</f>
        <v>1128.8399999979883</v>
      </c>
      <c r="J5" s="49">
        <v>8089.68</v>
      </c>
      <c r="K5" s="92">
        <v>1631.1599999982864</v>
      </c>
      <c r="L5" s="41">
        <v>6897.2399999983609</v>
      </c>
      <c r="M5" s="81">
        <v>6792.359999999404</v>
      </c>
      <c r="N5" s="82">
        <v>5141.8800000003539</v>
      </c>
      <c r="O5" s="83"/>
      <c r="P5" s="84"/>
      <c r="Q5" s="39">
        <v>44257</v>
      </c>
      <c r="R5" s="85">
        <v>124.027</v>
      </c>
      <c r="S5" s="85">
        <v>2760</v>
      </c>
      <c r="T5" s="85">
        <f t="shared" si="0"/>
        <v>342314.52</v>
      </c>
      <c r="U5" s="25">
        <f t="shared" ref="U5:U10" si="12">T5-T4</f>
        <v>113.1600000000326</v>
      </c>
      <c r="V5" s="25">
        <f t="shared" si="1"/>
        <v>1128.8399999979883</v>
      </c>
      <c r="W5" s="86">
        <f t="shared" si="2"/>
        <v>0.10024449877771363</v>
      </c>
      <c r="X5" s="87">
        <v>0.2</v>
      </c>
      <c r="Y5" s="33"/>
      <c r="Z5" s="39">
        <v>44257</v>
      </c>
      <c r="AA5" s="85">
        <v>164.67400000000001</v>
      </c>
      <c r="AB5" s="85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1128.8399999979883</v>
      </c>
      <c r="AF5" s="86">
        <f t="shared" si="5"/>
        <v>4.8899755501319947E-2</v>
      </c>
      <c r="AG5" s="87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8">
        <f t="shared" ref="AP5:AP33" si="15">+(AO5-AO4)</f>
        <v>883.20000000111759</v>
      </c>
      <c r="AQ5" s="23">
        <f t="shared" si="6"/>
        <v>2798005.1999999997</v>
      </c>
      <c r="AR5" s="89">
        <f t="shared" ref="AR5:AR33" si="16">+(AQ5-AQ4)</f>
        <v>350.51999999955297</v>
      </c>
      <c r="AS5" s="23">
        <f t="shared" si="7"/>
        <v>3382940.28</v>
      </c>
      <c r="AT5" s="90">
        <f t="shared" ref="AT5:AT33" si="17">+(AS5-AS4)</f>
        <v>549.24000000022352</v>
      </c>
      <c r="AU5" s="91">
        <f t="shared" si="8"/>
        <v>1782.9600000008941</v>
      </c>
      <c r="AV5" s="24">
        <f t="shared" si="9"/>
        <v>12661436.52</v>
      </c>
      <c r="AW5" s="25">
        <f t="shared" si="10"/>
        <v>1128.8399999979883</v>
      </c>
      <c r="AX5" s="25">
        <f t="shared" si="10"/>
        <v>8089.68</v>
      </c>
    </row>
    <row r="6" spans="3:50" x14ac:dyDescent="0.25">
      <c r="C6" s="79">
        <v>1000</v>
      </c>
      <c r="D6" s="79">
        <v>3200</v>
      </c>
      <c r="E6" s="39">
        <v>44319</v>
      </c>
      <c r="F6" s="106">
        <f>'[4]Mayıs.2021 '!$E$6</f>
        <v>4673.2269999999999</v>
      </c>
      <c r="G6" s="23">
        <v>2760</v>
      </c>
      <c r="H6" s="24">
        <f t="shared" ref="H6:H10" si="18">G6*F6</f>
        <v>12898106.52</v>
      </c>
      <c r="I6" s="25">
        <f t="shared" si="11"/>
        <v>1073.640000000596</v>
      </c>
      <c r="J6" s="49">
        <v>8089.68</v>
      </c>
      <c r="K6" s="92">
        <v>1556.640000000596</v>
      </c>
      <c r="L6" s="41">
        <v>6720.5999999996275</v>
      </c>
      <c r="M6" s="81">
        <v>6946.9199999999255</v>
      </c>
      <c r="N6" s="82">
        <v>5249.5200000000186</v>
      </c>
      <c r="O6" s="83"/>
      <c r="P6" s="84"/>
      <c r="Q6" s="39">
        <v>44258</v>
      </c>
      <c r="R6" s="85">
        <v>124.063</v>
      </c>
      <c r="S6" s="85">
        <v>2760</v>
      </c>
      <c r="T6" s="85">
        <f t="shared" si="0"/>
        <v>342413.88</v>
      </c>
      <c r="U6" s="25">
        <f t="shared" si="12"/>
        <v>99.35999999998603</v>
      </c>
      <c r="V6" s="25">
        <f t="shared" si="1"/>
        <v>1073.640000000596</v>
      </c>
      <c r="W6" s="86">
        <f t="shared" si="2"/>
        <v>9.2544987146465169E-2</v>
      </c>
      <c r="X6" s="87">
        <v>0.2</v>
      </c>
      <c r="Y6" s="33"/>
      <c r="Z6" s="39">
        <v>44258</v>
      </c>
      <c r="AA6" s="85">
        <v>164.69300000000001</v>
      </c>
      <c r="AB6" s="85">
        <v>2760</v>
      </c>
      <c r="AC6" s="85">
        <f t="shared" si="3"/>
        <v>454552.68000000005</v>
      </c>
      <c r="AD6" s="25">
        <f t="shared" si="13"/>
        <v>52.440000000060536</v>
      </c>
      <c r="AE6" s="25">
        <f t="shared" si="4"/>
        <v>1073.640000000596</v>
      </c>
      <c r="AF6" s="86">
        <f t="shared" si="5"/>
        <v>4.8843187660697646E-2</v>
      </c>
      <c r="AG6" s="87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8">
        <f t="shared" si="15"/>
        <v>880.43999999947846</v>
      </c>
      <c r="AQ6" s="23">
        <f t="shared" si="6"/>
        <v>2798300.52</v>
      </c>
      <c r="AR6" s="89">
        <f t="shared" si="16"/>
        <v>295.32000000029802</v>
      </c>
      <c r="AS6" s="23">
        <f t="shared" si="7"/>
        <v>3383387.4</v>
      </c>
      <c r="AT6" s="90">
        <f t="shared" si="17"/>
        <v>447.12000000011176</v>
      </c>
      <c r="AU6" s="91">
        <f t="shared" si="8"/>
        <v>1622.8799999998882</v>
      </c>
      <c r="AV6" s="24">
        <f t="shared" si="9"/>
        <v>12663067.68</v>
      </c>
      <c r="AW6" s="25">
        <f t="shared" si="10"/>
        <v>1073.640000000596</v>
      </c>
      <c r="AX6" s="25">
        <f t="shared" si="10"/>
        <v>8089.68</v>
      </c>
    </row>
    <row r="7" spans="3:50" x14ac:dyDescent="0.25">
      <c r="C7" s="79">
        <v>700</v>
      </c>
      <c r="D7" s="79">
        <v>3300</v>
      </c>
      <c r="E7" s="39">
        <v>44320</v>
      </c>
      <c r="F7" s="106">
        <f>'[4]Mayıs.2021 '!$E$7</f>
        <v>4673.6319999999996</v>
      </c>
      <c r="G7" s="23">
        <v>2760</v>
      </c>
      <c r="H7" s="24">
        <f t="shared" si="18"/>
        <v>12899224.319999998</v>
      </c>
      <c r="I7" s="25">
        <f t="shared" si="11"/>
        <v>1117.7999999988824</v>
      </c>
      <c r="J7" s="49">
        <v>8089.68</v>
      </c>
      <c r="K7" s="92">
        <v>1669.8000000026077</v>
      </c>
      <c r="L7" s="41">
        <v>6949.6800000015646</v>
      </c>
      <c r="M7" s="81">
        <v>6753.7199999997392</v>
      </c>
      <c r="N7" s="82">
        <v>5310.2400000002235</v>
      </c>
      <c r="O7" s="83"/>
      <c r="P7" s="84"/>
      <c r="Q7" s="39">
        <v>44259</v>
      </c>
      <c r="R7" s="85"/>
      <c r="S7" s="85">
        <v>2760</v>
      </c>
      <c r="T7" s="85">
        <f t="shared" si="0"/>
        <v>0</v>
      </c>
      <c r="U7" s="25">
        <f t="shared" si="12"/>
        <v>-342413.88</v>
      </c>
      <c r="V7" s="25">
        <f t="shared" si="1"/>
        <v>1117.7999999988824</v>
      </c>
      <c r="W7" s="86">
        <f t="shared" si="2"/>
        <v>-306.32839506203464</v>
      </c>
      <c r="X7" s="87">
        <v>0.2</v>
      </c>
      <c r="Y7" s="33"/>
      <c r="Z7" s="39">
        <v>44259</v>
      </c>
      <c r="AA7" s="93"/>
      <c r="AB7" s="85">
        <v>2760</v>
      </c>
      <c r="AC7" s="85">
        <f t="shared" si="3"/>
        <v>0</v>
      </c>
      <c r="AD7" s="25">
        <f t="shared" si="13"/>
        <v>-454552.68000000005</v>
      </c>
      <c r="AE7" s="25">
        <f t="shared" si="4"/>
        <v>1117.7999999988824</v>
      </c>
      <c r="AF7" s="86">
        <f t="shared" si="5"/>
        <v>-406.64938271645599</v>
      </c>
      <c r="AG7" s="87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8">
        <f t="shared" si="15"/>
        <v>-6481374.2400000002</v>
      </c>
      <c r="AQ7" s="23">
        <f t="shared" si="6"/>
        <v>0</v>
      </c>
      <c r="AR7" s="89">
        <f t="shared" si="16"/>
        <v>-2798300.52</v>
      </c>
      <c r="AS7" s="23">
        <f t="shared" si="7"/>
        <v>0</v>
      </c>
      <c r="AT7" s="90">
        <f t="shared" si="17"/>
        <v>-3383387.4</v>
      </c>
      <c r="AU7" s="91">
        <f t="shared" si="8"/>
        <v>-12663062.16</v>
      </c>
      <c r="AV7" s="24">
        <f t="shared" si="9"/>
        <v>0</v>
      </c>
      <c r="AW7" s="25">
        <f t="shared" si="10"/>
        <v>1117.7999999988824</v>
      </c>
      <c r="AX7" s="25">
        <f t="shared" si="10"/>
        <v>8089.68</v>
      </c>
    </row>
    <row r="8" spans="3:50" x14ac:dyDescent="0.25">
      <c r="C8" s="79">
        <v>700</v>
      </c>
      <c r="D8" s="79">
        <v>2900</v>
      </c>
      <c r="E8" s="39">
        <v>44321</v>
      </c>
      <c r="F8" s="106">
        <f>'[4]Mayıs.2021 '!$E$8</f>
        <v>4674.0379999999996</v>
      </c>
      <c r="G8" s="23">
        <v>2760</v>
      </c>
      <c r="H8" s="24">
        <f t="shared" si="18"/>
        <v>12900344.879999999</v>
      </c>
      <c r="I8" s="25">
        <f t="shared" si="11"/>
        <v>1120.5600000005215</v>
      </c>
      <c r="J8" s="49">
        <v>8089.68</v>
      </c>
      <c r="K8" s="92">
        <v>1614.5999999996275</v>
      </c>
      <c r="L8" s="41">
        <v>8434.5599999986589</v>
      </c>
      <c r="M8" s="81">
        <v>6770.2800000002608</v>
      </c>
      <c r="N8" s="82">
        <v>6712.3199999998324</v>
      </c>
      <c r="O8" s="83"/>
      <c r="P8" s="84"/>
      <c r="Q8" s="39">
        <v>44260</v>
      </c>
      <c r="R8" s="85"/>
      <c r="S8" s="85">
        <v>2760</v>
      </c>
      <c r="T8" s="85">
        <f t="shared" si="0"/>
        <v>0</v>
      </c>
      <c r="U8" s="25">
        <f t="shared" si="12"/>
        <v>0</v>
      </c>
      <c r="V8" s="25">
        <f t="shared" si="1"/>
        <v>1120.5600000005215</v>
      </c>
      <c r="W8" s="86">
        <f t="shared" si="2"/>
        <v>0</v>
      </c>
      <c r="X8" s="87">
        <v>0.2</v>
      </c>
      <c r="Y8" s="33"/>
      <c r="Z8" s="39">
        <v>44260</v>
      </c>
      <c r="AA8" s="93"/>
      <c r="AB8" s="85">
        <v>2760</v>
      </c>
      <c r="AC8" s="85">
        <f t="shared" si="3"/>
        <v>0</v>
      </c>
      <c r="AD8" s="25">
        <f t="shared" si="13"/>
        <v>0</v>
      </c>
      <c r="AE8" s="25">
        <f t="shared" si="4"/>
        <v>1120.5600000005215</v>
      </c>
      <c r="AF8" s="86">
        <f t="shared" si="5"/>
        <v>0</v>
      </c>
      <c r="AG8" s="87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8">
        <f t="shared" si="15"/>
        <v>0</v>
      </c>
      <c r="AQ8" s="23">
        <f t="shared" si="6"/>
        <v>0</v>
      </c>
      <c r="AR8" s="89">
        <f t="shared" si="16"/>
        <v>0</v>
      </c>
      <c r="AS8" s="23">
        <f t="shared" si="7"/>
        <v>0</v>
      </c>
      <c r="AT8" s="90">
        <f t="shared" si="17"/>
        <v>0</v>
      </c>
      <c r="AU8" s="91">
        <f>+(AP8+AR8+AT8)</f>
        <v>0</v>
      </c>
      <c r="AV8" s="24">
        <f t="shared" si="9"/>
        <v>0</v>
      </c>
      <c r="AW8" s="25">
        <f t="shared" si="10"/>
        <v>1120.5600000005215</v>
      </c>
      <c r="AX8" s="25" t="e">
        <f>+(#REF!)</f>
        <v>#REF!</v>
      </c>
    </row>
    <row r="9" spans="3:50" x14ac:dyDescent="0.25">
      <c r="C9" s="79">
        <v>1500</v>
      </c>
      <c r="D9" s="79">
        <v>2600</v>
      </c>
      <c r="E9" s="39">
        <v>44322</v>
      </c>
      <c r="F9" s="106">
        <v>4674.4549999999999</v>
      </c>
      <c r="G9" s="23">
        <v>2760</v>
      </c>
      <c r="H9" s="24">
        <f t="shared" si="18"/>
        <v>12901495.799999999</v>
      </c>
      <c r="I9" s="25">
        <f t="shared" si="11"/>
        <v>1150.9199999999255</v>
      </c>
      <c r="J9" s="49">
        <v>8089.68</v>
      </c>
      <c r="K9" s="92">
        <v>1633.9199999999255</v>
      </c>
      <c r="L9" s="41">
        <v>7672.8000000007451</v>
      </c>
      <c r="M9" s="81">
        <v>7308.480000000447</v>
      </c>
      <c r="N9" s="82">
        <v>7043.519999999553</v>
      </c>
      <c r="O9" s="83"/>
      <c r="P9" s="84"/>
      <c r="Q9" s="39">
        <v>44261</v>
      </c>
      <c r="R9" s="85"/>
      <c r="S9" s="85">
        <v>2760</v>
      </c>
      <c r="T9" s="85">
        <f t="shared" si="0"/>
        <v>0</v>
      </c>
      <c r="U9" s="25">
        <f t="shared" si="12"/>
        <v>0</v>
      </c>
      <c r="V9" s="25">
        <f t="shared" si="1"/>
        <v>1150.9199999999255</v>
      </c>
      <c r="W9" s="86">
        <f t="shared" si="2"/>
        <v>0</v>
      </c>
      <c r="X9" s="87">
        <v>0.2</v>
      </c>
      <c r="Y9" s="33"/>
      <c r="Z9" s="39">
        <v>44261</v>
      </c>
      <c r="AA9" s="93"/>
      <c r="AB9" s="85">
        <v>2760</v>
      </c>
      <c r="AC9" s="85">
        <f t="shared" si="3"/>
        <v>0</v>
      </c>
      <c r="AD9" s="25">
        <f t="shared" si="13"/>
        <v>0</v>
      </c>
      <c r="AE9" s="25">
        <f t="shared" si="4"/>
        <v>1150.9199999999255</v>
      </c>
      <c r="AF9" s="86">
        <f t="shared" si="5"/>
        <v>0</v>
      </c>
      <c r="AG9" s="87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8">
        <f t="shared" si="15"/>
        <v>0</v>
      </c>
      <c r="AQ9" s="23">
        <f t="shared" si="6"/>
        <v>0</v>
      </c>
      <c r="AR9" s="89">
        <f t="shared" si="16"/>
        <v>0</v>
      </c>
      <c r="AS9" s="23">
        <f t="shared" si="7"/>
        <v>0</v>
      </c>
      <c r="AT9" s="90">
        <f t="shared" si="17"/>
        <v>0</v>
      </c>
      <c r="AU9" s="91">
        <f t="shared" si="8"/>
        <v>0</v>
      </c>
      <c r="AV9" s="24">
        <f>AN9*AJ9</f>
        <v>0</v>
      </c>
      <c r="AW9" s="25">
        <f t="shared" si="10"/>
        <v>1150.9199999999255</v>
      </c>
      <c r="AX9" s="25">
        <f>+(J9)</f>
        <v>8089.68</v>
      </c>
    </row>
    <row r="10" spans="3:50" x14ac:dyDescent="0.25">
      <c r="C10" s="79">
        <v>1900</v>
      </c>
      <c r="D10" s="79">
        <v>2700</v>
      </c>
      <c r="E10" s="39">
        <v>44323</v>
      </c>
      <c r="F10" s="106">
        <v>4674.8779999999997</v>
      </c>
      <c r="G10" s="23">
        <v>2760</v>
      </c>
      <c r="H10" s="24">
        <f t="shared" si="18"/>
        <v>12902663.279999999</v>
      </c>
      <c r="I10" s="25">
        <f t="shared" si="11"/>
        <v>1167.480000000447</v>
      </c>
      <c r="J10" s="49">
        <v>8089.68</v>
      </c>
      <c r="K10" s="92">
        <v>1678.0800000000745</v>
      </c>
      <c r="L10" s="41">
        <v>7532.0400000009686</v>
      </c>
      <c r="M10" s="81">
        <v>6839.2800000002608</v>
      </c>
      <c r="N10" s="82">
        <v>6331.4400000004098</v>
      </c>
      <c r="O10" s="83"/>
      <c r="P10" s="84"/>
      <c r="Q10" s="39">
        <v>44262</v>
      </c>
      <c r="R10" s="85"/>
      <c r="S10" s="85">
        <v>2760</v>
      </c>
      <c r="T10" s="85">
        <f>S10*R10</f>
        <v>0</v>
      </c>
      <c r="U10" s="25">
        <f t="shared" si="12"/>
        <v>0</v>
      </c>
      <c r="V10" s="25">
        <f>I10</f>
        <v>1167.480000000447</v>
      </c>
      <c r="W10" s="86">
        <f t="shared" si="2"/>
        <v>0</v>
      </c>
      <c r="X10" s="87">
        <v>0.2</v>
      </c>
      <c r="Y10" s="33"/>
      <c r="Z10" s="39">
        <v>44262</v>
      </c>
      <c r="AA10" s="93"/>
      <c r="AB10" s="85">
        <v>2760</v>
      </c>
      <c r="AC10" s="85">
        <f>AB10*AA10</f>
        <v>0</v>
      </c>
      <c r="AD10" s="25">
        <f t="shared" si="13"/>
        <v>0</v>
      </c>
      <c r="AE10" s="25">
        <f>I10</f>
        <v>1167.480000000447</v>
      </c>
      <c r="AF10" s="86">
        <f>AD10/AE10</f>
        <v>0</v>
      </c>
      <c r="AG10" s="87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8">
        <f t="shared" si="15"/>
        <v>0</v>
      </c>
      <c r="AQ10" s="23">
        <f t="shared" si="6"/>
        <v>0</v>
      </c>
      <c r="AR10" s="89">
        <f t="shared" si="16"/>
        <v>0</v>
      </c>
      <c r="AS10" s="23">
        <f t="shared" si="7"/>
        <v>0</v>
      </c>
      <c r="AT10" s="90">
        <f t="shared" si="17"/>
        <v>0</v>
      </c>
      <c r="AU10" s="91">
        <f t="shared" si="8"/>
        <v>0</v>
      </c>
      <c r="AV10" s="24">
        <f t="shared" si="9"/>
        <v>0</v>
      </c>
      <c r="AW10" s="25">
        <f t="shared" si="10"/>
        <v>1167.480000000447</v>
      </c>
      <c r="AX10" s="25">
        <f t="shared" si="10"/>
        <v>8089.68</v>
      </c>
    </row>
    <row r="11" spans="3:50" x14ac:dyDescent="0.25">
      <c r="C11" s="79">
        <v>2200</v>
      </c>
      <c r="D11" s="79">
        <v>2700</v>
      </c>
      <c r="E11" s="39">
        <v>44324</v>
      </c>
      <c r="F11" s="106">
        <v>4675.2910000000002</v>
      </c>
      <c r="G11" s="23">
        <v>2760</v>
      </c>
      <c r="H11" s="24">
        <f>G11*F11</f>
        <v>12903803.16</v>
      </c>
      <c r="I11" s="25">
        <f t="shared" si="11"/>
        <v>1139.8800000008196</v>
      </c>
      <c r="J11" s="49">
        <v>8089.68</v>
      </c>
      <c r="K11" s="92">
        <v>1636.679999999702</v>
      </c>
      <c r="L11" s="41">
        <v>7098.7199999988079</v>
      </c>
      <c r="M11" s="81">
        <v>6590.8799999998882</v>
      </c>
      <c r="N11" s="82">
        <v>6345.2399999997579</v>
      </c>
      <c r="O11" s="83"/>
      <c r="P11" s="84"/>
      <c r="Q11" s="39">
        <v>44263</v>
      </c>
      <c r="R11" s="85"/>
      <c r="S11" s="85">
        <v>2760</v>
      </c>
      <c r="T11" s="85">
        <f>S11*R11</f>
        <v>0</v>
      </c>
      <c r="U11" s="25">
        <f>T11-T10</f>
        <v>0</v>
      </c>
      <c r="V11" s="25">
        <f>I11</f>
        <v>1139.8800000008196</v>
      </c>
      <c r="W11" s="86">
        <f t="shared" si="2"/>
        <v>0</v>
      </c>
      <c r="X11" s="87">
        <v>0.2</v>
      </c>
      <c r="Y11" s="33"/>
      <c r="Z11" s="39">
        <v>44263</v>
      </c>
      <c r="AA11" s="93"/>
      <c r="AB11" s="85">
        <v>2760</v>
      </c>
      <c r="AC11" s="85">
        <f>AB11*AA11</f>
        <v>0</v>
      </c>
      <c r="AD11" s="25">
        <f>AC11-AC10</f>
        <v>0</v>
      </c>
      <c r="AE11" s="25">
        <f>I11</f>
        <v>1139.8800000008196</v>
      </c>
      <c r="AF11" s="86">
        <f>AD11/AE11</f>
        <v>0</v>
      </c>
      <c r="AG11" s="87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8">
        <f>+(AO11-AO10)</f>
        <v>0</v>
      </c>
      <c r="AQ11" s="23">
        <f t="shared" si="6"/>
        <v>0</v>
      </c>
      <c r="AR11" s="89">
        <f t="shared" si="16"/>
        <v>0</v>
      </c>
      <c r="AS11" s="23">
        <f>+(AM11*$AN$4)</f>
        <v>0</v>
      </c>
      <c r="AT11" s="90">
        <f>+(AS11-AS10)</f>
        <v>0</v>
      </c>
      <c r="AU11" s="91">
        <f>+(AP11+AR11+AT11)</f>
        <v>0</v>
      </c>
      <c r="AV11" s="24">
        <f>AN11*AJ11</f>
        <v>0</v>
      </c>
      <c r="AW11" s="25">
        <f t="shared" si="10"/>
        <v>1139.8800000008196</v>
      </c>
      <c r="AX11" s="25">
        <f t="shared" si="10"/>
        <v>8089.68</v>
      </c>
    </row>
    <row r="12" spans="3:50" x14ac:dyDescent="0.25">
      <c r="C12" s="79">
        <v>2600</v>
      </c>
      <c r="D12" s="79">
        <v>2700</v>
      </c>
      <c r="E12" s="39">
        <v>44325</v>
      </c>
      <c r="F12" s="106">
        <v>4675.7070000000003</v>
      </c>
      <c r="G12" s="23">
        <v>2760</v>
      </c>
      <c r="H12" s="24">
        <f>G12*F12</f>
        <v>12904951.32</v>
      </c>
      <c r="I12" s="25">
        <f t="shared" si="11"/>
        <v>1148.160000000149</v>
      </c>
      <c r="J12" s="49">
        <v>8089.68</v>
      </c>
      <c r="K12" s="92">
        <v>1653.2400000002235</v>
      </c>
      <c r="L12" s="41">
        <v>4882.4399999994785</v>
      </c>
      <c r="M12" s="81">
        <v>6797.8799999989569</v>
      </c>
      <c r="N12" s="82">
        <v>6762.0000000004657</v>
      </c>
      <c r="O12" s="83"/>
      <c r="P12" s="84"/>
      <c r="Q12" s="39">
        <v>44264</v>
      </c>
      <c r="R12" s="85"/>
      <c r="S12" s="85">
        <v>2760</v>
      </c>
      <c r="T12" s="85">
        <f>S12*R12</f>
        <v>0</v>
      </c>
      <c r="U12" s="25">
        <f>T12-T11</f>
        <v>0</v>
      </c>
      <c r="V12" s="25">
        <f>I12</f>
        <v>1148.160000000149</v>
      </c>
      <c r="W12" s="86">
        <f t="shared" si="2"/>
        <v>0</v>
      </c>
      <c r="X12" s="87">
        <v>0.2</v>
      </c>
      <c r="Y12" s="33"/>
      <c r="Z12" s="39">
        <v>44264</v>
      </c>
      <c r="AA12" s="48"/>
      <c r="AB12" s="85">
        <v>2760</v>
      </c>
      <c r="AC12" s="85">
        <f>AB12*AA12</f>
        <v>0</v>
      </c>
      <c r="AD12" s="25">
        <f>AC12-AC11</f>
        <v>0</v>
      </c>
      <c r="AE12" s="25">
        <f>I12</f>
        <v>1148.160000000149</v>
      </c>
      <c r="AF12" s="86">
        <f>AD12/AE12</f>
        <v>0</v>
      </c>
      <c r="AG12" s="87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8">
        <f t="shared" si="15"/>
        <v>0</v>
      </c>
      <c r="AQ12" s="23">
        <f t="shared" si="6"/>
        <v>0</v>
      </c>
      <c r="AR12" s="89">
        <f t="shared" si="16"/>
        <v>0</v>
      </c>
      <c r="AS12" s="23">
        <f t="shared" si="7"/>
        <v>0</v>
      </c>
      <c r="AT12" s="90">
        <f t="shared" si="17"/>
        <v>0</v>
      </c>
      <c r="AU12" s="91">
        <f t="shared" si="8"/>
        <v>0</v>
      </c>
      <c r="AV12" s="24">
        <f t="shared" si="9"/>
        <v>0</v>
      </c>
      <c r="AW12" s="25">
        <f t="shared" si="10"/>
        <v>1148.160000000149</v>
      </c>
      <c r="AX12" s="25">
        <f t="shared" si="10"/>
        <v>8089.68</v>
      </c>
    </row>
    <row r="13" spans="3:50" x14ac:dyDescent="0.25">
      <c r="C13" s="79">
        <v>1500</v>
      </c>
      <c r="D13" s="79">
        <v>2700</v>
      </c>
      <c r="E13" s="39">
        <v>44326</v>
      </c>
      <c r="F13" s="106">
        <v>4676.1279999999997</v>
      </c>
      <c r="G13" s="23">
        <v>2760</v>
      </c>
      <c r="H13" s="24">
        <f>G13*F13</f>
        <v>12906113.279999999</v>
      </c>
      <c r="I13" s="25">
        <f t="shared" si="11"/>
        <v>1161.9599999990314</v>
      </c>
      <c r="J13" s="49">
        <v>8089.68</v>
      </c>
      <c r="K13" s="92">
        <v>1603.5600000005215</v>
      </c>
      <c r="L13" s="41">
        <v>6922.0800000019372</v>
      </c>
      <c r="M13" s="81">
        <v>5097.7200000006706</v>
      </c>
      <c r="N13" s="82">
        <v>6256.9199999994598</v>
      </c>
      <c r="O13" s="83"/>
      <c r="P13" s="84"/>
      <c r="Q13" s="39">
        <v>44265</v>
      </c>
      <c r="R13" s="85"/>
      <c r="S13" s="85">
        <v>2760</v>
      </c>
      <c r="T13" s="85">
        <f>S13*R13</f>
        <v>0</v>
      </c>
      <c r="U13" s="25">
        <f>T13-T12</f>
        <v>0</v>
      </c>
      <c r="V13" s="25">
        <f>I13</f>
        <v>1161.9599999990314</v>
      </c>
      <c r="W13" s="86">
        <f t="shared" si="2"/>
        <v>0</v>
      </c>
      <c r="X13" s="87">
        <v>0.2</v>
      </c>
      <c r="Y13" s="33"/>
      <c r="Z13" s="39">
        <v>44265</v>
      </c>
      <c r="AA13" s="93"/>
      <c r="AB13" s="85">
        <v>2760</v>
      </c>
      <c r="AC13" s="85">
        <f>AB13*AA13</f>
        <v>0</v>
      </c>
      <c r="AD13" s="25">
        <f>AC13-AC12</f>
        <v>0</v>
      </c>
      <c r="AE13" s="25">
        <f>I13</f>
        <v>1161.9599999990314</v>
      </c>
      <c r="AF13" s="86">
        <f>AD13/AE13</f>
        <v>0</v>
      </c>
      <c r="AG13" s="87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8">
        <f t="shared" si="15"/>
        <v>0</v>
      </c>
      <c r="AQ13" s="23">
        <f t="shared" si="6"/>
        <v>0</v>
      </c>
      <c r="AR13" s="89">
        <f t="shared" si="16"/>
        <v>0</v>
      </c>
      <c r="AS13" s="23">
        <f t="shared" si="7"/>
        <v>0</v>
      </c>
      <c r="AT13" s="90">
        <f t="shared" si="17"/>
        <v>0</v>
      </c>
      <c r="AU13" s="91">
        <f t="shared" si="8"/>
        <v>0</v>
      </c>
      <c r="AV13" s="24">
        <f t="shared" si="9"/>
        <v>0</v>
      </c>
      <c r="AW13" s="25">
        <f t="shared" si="10"/>
        <v>1161.9599999990314</v>
      </c>
      <c r="AX13" s="25">
        <f t="shared" si="10"/>
        <v>8089.68</v>
      </c>
    </row>
    <row r="14" spans="3:50" x14ac:dyDescent="0.25">
      <c r="C14" s="79">
        <v>1800</v>
      </c>
      <c r="D14" s="79">
        <v>2700</v>
      </c>
      <c r="E14" s="39">
        <v>44327</v>
      </c>
      <c r="F14" s="106">
        <v>4676.5600000000004</v>
      </c>
      <c r="G14" s="23">
        <v>2760</v>
      </c>
      <c r="H14" s="24">
        <f>G14*F14</f>
        <v>12907305.600000001</v>
      </c>
      <c r="I14" s="25">
        <f t="shared" si="11"/>
        <v>1192.3200000021607</v>
      </c>
      <c r="J14" s="49">
        <v>8089.68</v>
      </c>
      <c r="K14" s="92">
        <v>1625.6399999987334</v>
      </c>
      <c r="L14" s="41">
        <v>6436.3199999984354</v>
      </c>
      <c r="M14" s="81">
        <v>6389.4000000003725</v>
      </c>
      <c r="N14" s="82">
        <v>5285.4000000003725</v>
      </c>
      <c r="O14" s="83"/>
      <c r="P14" s="33"/>
      <c r="Q14" s="39">
        <v>44266</v>
      </c>
      <c r="R14" s="85"/>
      <c r="S14" s="85">
        <v>2760</v>
      </c>
      <c r="T14" s="85">
        <f>S14*R14</f>
        <v>0</v>
      </c>
      <c r="U14" s="25">
        <f>T14-T13</f>
        <v>0</v>
      </c>
      <c r="V14" s="25">
        <f>I14</f>
        <v>1192.3200000021607</v>
      </c>
      <c r="W14" s="86">
        <f t="shared" si="2"/>
        <v>0</v>
      </c>
      <c r="X14" s="87">
        <v>0.2</v>
      </c>
      <c r="Y14" s="33"/>
      <c r="Z14" s="39">
        <v>44266</v>
      </c>
      <c r="AA14" s="93"/>
      <c r="AB14" s="85">
        <v>2760</v>
      </c>
      <c r="AC14" s="85">
        <f>AB14*AA14</f>
        <v>0</v>
      </c>
      <c r="AD14" s="25">
        <f>AC14-AC13</f>
        <v>0</v>
      </c>
      <c r="AE14" s="25">
        <f>I14</f>
        <v>1192.3200000021607</v>
      </c>
      <c r="AF14" s="86">
        <f>AD14/AE14</f>
        <v>0</v>
      </c>
      <c r="AG14" s="87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8">
        <f t="shared" si="15"/>
        <v>0</v>
      </c>
      <c r="AQ14" s="23">
        <f t="shared" si="6"/>
        <v>0</v>
      </c>
      <c r="AR14" s="89">
        <f t="shared" si="16"/>
        <v>0</v>
      </c>
      <c r="AS14" s="23">
        <f t="shared" si="7"/>
        <v>0</v>
      </c>
      <c r="AT14" s="90">
        <f t="shared" si="17"/>
        <v>0</v>
      </c>
      <c r="AU14" s="91">
        <f t="shared" si="8"/>
        <v>0</v>
      </c>
      <c r="AV14" s="24">
        <f t="shared" si="9"/>
        <v>0</v>
      </c>
      <c r="AW14" s="25">
        <f>+(I14)</f>
        <v>1192.3200000021607</v>
      </c>
      <c r="AX14" s="25">
        <f t="shared" si="10"/>
        <v>8089.68</v>
      </c>
    </row>
    <row r="15" spans="3:50" x14ac:dyDescent="0.25">
      <c r="C15" s="79">
        <v>1400</v>
      </c>
      <c r="D15" s="79">
        <v>2800</v>
      </c>
      <c r="E15" s="39">
        <v>44328</v>
      </c>
      <c r="F15" s="106">
        <v>4676.9719999999998</v>
      </c>
      <c r="G15" s="23">
        <v>2760</v>
      </c>
      <c r="H15" s="24">
        <f>G15*F15</f>
        <v>12908442.719999999</v>
      </c>
      <c r="I15" s="25">
        <f t="shared" si="11"/>
        <v>1137.1199999973178</v>
      </c>
      <c r="J15" s="49">
        <v>8089.68</v>
      </c>
      <c r="K15" s="92">
        <v>1642.1999999992549</v>
      </c>
      <c r="L15" s="41">
        <v>6585.3600000012666</v>
      </c>
      <c r="M15" s="81">
        <v>6731.6399999987334</v>
      </c>
      <c r="N15" s="82">
        <v>4451.8799999994226</v>
      </c>
      <c r="O15" s="83"/>
      <c r="P15" s="33"/>
      <c r="Q15" s="39">
        <v>44267</v>
      </c>
      <c r="R15" s="85"/>
      <c r="S15" s="85">
        <v>2760</v>
      </c>
      <c r="T15" s="85">
        <f t="shared" ref="T15:T34" si="19">S15*R15</f>
        <v>0</v>
      </c>
      <c r="U15" s="25">
        <f t="shared" ref="U15:U23" si="20">T15-T14</f>
        <v>0</v>
      </c>
      <c r="V15" s="25">
        <f t="shared" ref="V15:V36" si="21">I15</f>
        <v>1137.1199999973178</v>
      </c>
      <c r="W15" s="94">
        <f t="shared" si="2"/>
        <v>0</v>
      </c>
      <c r="X15" s="87">
        <v>0.2</v>
      </c>
      <c r="Y15" s="33"/>
      <c r="Z15" s="39">
        <v>44267</v>
      </c>
      <c r="AA15" s="93"/>
      <c r="AB15" s="85">
        <v>2760</v>
      </c>
      <c r="AC15" s="85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1137.1199999973178</v>
      </c>
      <c r="AF15" s="86">
        <f t="shared" ref="AF15:AF35" si="25">AD15/AE15</f>
        <v>0</v>
      </c>
      <c r="AG15" s="87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8">
        <f t="shared" si="15"/>
        <v>0</v>
      </c>
      <c r="AQ15" s="23">
        <f t="shared" si="6"/>
        <v>0</v>
      </c>
      <c r="AR15" s="89">
        <f t="shared" si="16"/>
        <v>0</v>
      </c>
      <c r="AS15" s="23">
        <f t="shared" si="7"/>
        <v>0</v>
      </c>
      <c r="AT15" s="90">
        <f t="shared" si="17"/>
        <v>0</v>
      </c>
      <c r="AU15" s="91">
        <f t="shared" si="8"/>
        <v>0</v>
      </c>
      <c r="AV15" s="24">
        <f t="shared" si="9"/>
        <v>0</v>
      </c>
      <c r="AW15" s="25">
        <f t="shared" ref="AW15:AX35" si="26">+(I15)</f>
        <v>1137.1199999973178</v>
      </c>
      <c r="AX15" s="25">
        <f t="shared" si="10"/>
        <v>8089.68</v>
      </c>
    </row>
    <row r="16" spans="3:50" x14ac:dyDescent="0.25">
      <c r="C16" s="79">
        <v>1600</v>
      </c>
      <c r="D16" s="79">
        <v>2900</v>
      </c>
      <c r="E16" s="39">
        <v>44329</v>
      </c>
      <c r="F16" s="106">
        <f>'[4]Mayıs.2021 '!$E$16</f>
        <v>0</v>
      </c>
      <c r="G16" s="23">
        <v>2760</v>
      </c>
      <c r="H16" s="24">
        <f t="shared" ref="H15:H18" si="27">G16*F16</f>
        <v>0</v>
      </c>
      <c r="I16" s="25">
        <f t="shared" si="11"/>
        <v>-12908442.719999999</v>
      </c>
      <c r="J16" s="49">
        <v>8089.68</v>
      </c>
      <c r="K16" s="92">
        <v>1432.4399999994785</v>
      </c>
      <c r="L16" s="41">
        <v>7300.1999999992549</v>
      </c>
      <c r="M16" s="81">
        <v>6715.0800000000745</v>
      </c>
      <c r="N16" s="82">
        <v>5351.640000000596</v>
      </c>
      <c r="O16" s="83"/>
      <c r="P16" s="33"/>
      <c r="Q16" s="39">
        <v>44268</v>
      </c>
      <c r="R16" s="85"/>
      <c r="S16" s="85">
        <v>2760</v>
      </c>
      <c r="T16" s="85">
        <f t="shared" si="19"/>
        <v>0</v>
      </c>
      <c r="U16" s="25">
        <f t="shared" si="20"/>
        <v>0</v>
      </c>
      <c r="V16" s="25">
        <f t="shared" si="21"/>
        <v>-12908442.719999999</v>
      </c>
      <c r="W16" s="94">
        <f t="shared" si="2"/>
        <v>0</v>
      </c>
      <c r="X16" s="87">
        <v>0.2</v>
      </c>
      <c r="Y16" s="33"/>
      <c r="Z16" s="39">
        <v>44268</v>
      </c>
      <c r="AA16" s="93"/>
      <c r="AB16" s="85">
        <v>2760</v>
      </c>
      <c r="AC16" s="85">
        <f t="shared" si="22"/>
        <v>0</v>
      </c>
      <c r="AD16" s="25">
        <f t="shared" si="23"/>
        <v>0</v>
      </c>
      <c r="AE16" s="25">
        <f t="shared" si="24"/>
        <v>-12908442.719999999</v>
      </c>
      <c r="AF16" s="86">
        <f t="shared" si="25"/>
        <v>0</v>
      </c>
      <c r="AG16" s="87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8">
        <f t="shared" si="15"/>
        <v>0</v>
      </c>
      <c r="AQ16" s="23">
        <f t="shared" si="6"/>
        <v>0</v>
      </c>
      <c r="AR16" s="89">
        <f t="shared" si="16"/>
        <v>0</v>
      </c>
      <c r="AS16" s="23">
        <f t="shared" si="7"/>
        <v>0</v>
      </c>
      <c r="AT16" s="90">
        <f t="shared" si="17"/>
        <v>0</v>
      </c>
      <c r="AU16" s="91">
        <f t="shared" si="8"/>
        <v>0</v>
      </c>
      <c r="AV16" s="24">
        <f t="shared" si="9"/>
        <v>0</v>
      </c>
      <c r="AW16" s="25">
        <f t="shared" si="26"/>
        <v>-12908442.719999999</v>
      </c>
      <c r="AX16" s="25">
        <f t="shared" si="10"/>
        <v>8089.68</v>
      </c>
    </row>
    <row r="17" spans="3:50" x14ac:dyDescent="0.25">
      <c r="C17" s="79">
        <v>1700</v>
      </c>
      <c r="D17" s="79">
        <v>3000</v>
      </c>
      <c r="E17" s="39">
        <v>44330</v>
      </c>
      <c r="F17" s="106">
        <f>'[4]Mayıs.2021 '!$E$17</f>
        <v>0</v>
      </c>
      <c r="G17" s="23">
        <v>2760</v>
      </c>
      <c r="H17" s="24">
        <f t="shared" si="27"/>
        <v>0</v>
      </c>
      <c r="I17" s="25">
        <f t="shared" si="11"/>
        <v>0</v>
      </c>
      <c r="J17" s="49">
        <v>8089.68</v>
      </c>
      <c r="K17" s="92">
        <v>2042.4000000003725</v>
      </c>
      <c r="L17" s="41">
        <v>7079.4000000003725</v>
      </c>
      <c r="M17" s="81">
        <v>6350.7599999997765</v>
      </c>
      <c r="N17" s="82">
        <v>5826.3599999998696</v>
      </c>
      <c r="O17" s="83"/>
      <c r="P17" s="33"/>
      <c r="Q17" s="39">
        <v>44269</v>
      </c>
      <c r="R17" s="85"/>
      <c r="S17" s="85">
        <v>2760</v>
      </c>
      <c r="T17" s="85">
        <f t="shared" si="19"/>
        <v>0</v>
      </c>
      <c r="U17" s="25">
        <f t="shared" si="20"/>
        <v>0</v>
      </c>
      <c r="V17" s="25">
        <f t="shared" si="21"/>
        <v>0</v>
      </c>
      <c r="W17" s="86" t="e">
        <f t="shared" si="2"/>
        <v>#DIV/0!</v>
      </c>
      <c r="X17" s="87">
        <v>0.2</v>
      </c>
      <c r="Y17" s="33"/>
      <c r="Z17" s="39">
        <v>44269</v>
      </c>
      <c r="AA17" s="93"/>
      <c r="AB17" s="85">
        <v>2760</v>
      </c>
      <c r="AC17" s="85">
        <f t="shared" si="22"/>
        <v>0</v>
      </c>
      <c r="AD17" s="25">
        <f t="shared" si="23"/>
        <v>0</v>
      </c>
      <c r="AE17" s="25">
        <f t="shared" si="24"/>
        <v>0</v>
      </c>
      <c r="AF17" s="86" t="e">
        <f t="shared" si="25"/>
        <v>#DIV/0!</v>
      </c>
      <c r="AG17" s="87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8">
        <f t="shared" si="15"/>
        <v>0</v>
      </c>
      <c r="AQ17" s="23">
        <f t="shared" si="6"/>
        <v>0</v>
      </c>
      <c r="AR17" s="89">
        <f t="shared" si="16"/>
        <v>0</v>
      </c>
      <c r="AS17" s="23">
        <f t="shared" si="7"/>
        <v>0</v>
      </c>
      <c r="AT17" s="90">
        <f t="shared" si="17"/>
        <v>0</v>
      </c>
      <c r="AU17" s="91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8089.68</v>
      </c>
    </row>
    <row r="18" spans="3:50" x14ac:dyDescent="0.25">
      <c r="C18" s="79">
        <v>1100</v>
      </c>
      <c r="D18" s="79">
        <v>3000</v>
      </c>
      <c r="E18" s="39">
        <v>44331</v>
      </c>
      <c r="F18" s="106">
        <f>'[4]Mayıs.2021 '!$E$18</f>
        <v>0</v>
      </c>
      <c r="G18" s="23">
        <v>2760</v>
      </c>
      <c r="H18" s="24">
        <f t="shared" si="27"/>
        <v>0</v>
      </c>
      <c r="I18" s="25">
        <f t="shared" si="11"/>
        <v>0</v>
      </c>
      <c r="J18" s="49">
        <v>8089.68</v>
      </c>
      <c r="K18" s="92">
        <v>1929.2400000002235</v>
      </c>
      <c r="L18" s="41">
        <v>7405.0800000000745</v>
      </c>
      <c r="M18" s="81">
        <v>6585.3600000003353</v>
      </c>
      <c r="N18" s="82">
        <v>6745.4399999999441</v>
      </c>
      <c r="O18" s="83"/>
      <c r="P18" s="33"/>
      <c r="Q18" s="39">
        <v>44270</v>
      </c>
      <c r="R18" s="85"/>
      <c r="S18" s="85">
        <v>2760</v>
      </c>
      <c r="T18" s="85">
        <f t="shared" si="19"/>
        <v>0</v>
      </c>
      <c r="U18" s="25">
        <f t="shared" si="20"/>
        <v>0</v>
      </c>
      <c r="V18" s="25">
        <f t="shared" si="21"/>
        <v>0</v>
      </c>
      <c r="W18" s="86" t="e">
        <f>U18/V18</f>
        <v>#DIV/0!</v>
      </c>
      <c r="X18" s="87">
        <v>0.2</v>
      </c>
      <c r="Y18" s="33"/>
      <c r="Z18" s="39">
        <v>44270</v>
      </c>
      <c r="AA18" s="93"/>
      <c r="AB18" s="85">
        <v>2760</v>
      </c>
      <c r="AC18" s="85">
        <f t="shared" si="22"/>
        <v>0</v>
      </c>
      <c r="AD18" s="25">
        <f t="shared" si="23"/>
        <v>0</v>
      </c>
      <c r="AE18" s="25">
        <f t="shared" si="24"/>
        <v>0</v>
      </c>
      <c r="AF18" s="86" t="e">
        <f t="shared" si="25"/>
        <v>#DIV/0!</v>
      </c>
      <c r="AG18" s="87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8">
        <f t="shared" si="15"/>
        <v>0</v>
      </c>
      <c r="AQ18" s="23">
        <f t="shared" si="6"/>
        <v>0</v>
      </c>
      <c r="AR18" s="89">
        <f t="shared" si="16"/>
        <v>0</v>
      </c>
      <c r="AS18" s="23">
        <f t="shared" si="7"/>
        <v>0</v>
      </c>
      <c r="AT18" s="90">
        <f t="shared" si="17"/>
        <v>0</v>
      </c>
      <c r="AU18" s="91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8089.68</v>
      </c>
    </row>
    <row r="19" spans="3:50" x14ac:dyDescent="0.25">
      <c r="C19" s="79">
        <v>500</v>
      </c>
      <c r="D19" s="79">
        <v>3500</v>
      </c>
      <c r="E19" s="39">
        <v>44332</v>
      </c>
      <c r="F19" s="106">
        <f>'[4]Mayıs.2021 '!$E$19</f>
        <v>0</v>
      </c>
      <c r="G19" s="23">
        <v>2760</v>
      </c>
      <c r="H19" s="24">
        <f t="shared" ref="H19:H34" si="28">G19*F19</f>
        <v>0</v>
      </c>
      <c r="I19" s="25">
        <f t="shared" ref="I19:I34" si="29">IF((H19-H18)&gt;0,H19-H18,0)</f>
        <v>0</v>
      </c>
      <c r="J19" s="49">
        <v>8089.68</v>
      </c>
      <c r="K19" s="92">
        <v>1573.1999999992549</v>
      </c>
      <c r="L19" s="41">
        <v>7545.839999999851</v>
      </c>
      <c r="M19" s="81">
        <v>7275.3600000012666</v>
      </c>
      <c r="N19" s="82">
        <v>5967.1200000001118</v>
      </c>
      <c r="O19" s="83"/>
      <c r="P19" s="33"/>
      <c r="Q19" s="39">
        <v>44271</v>
      </c>
      <c r="R19" s="85"/>
      <c r="S19" s="85">
        <v>2760</v>
      </c>
      <c r="T19" s="85">
        <f t="shared" si="19"/>
        <v>0</v>
      </c>
      <c r="U19" s="25">
        <f t="shared" si="20"/>
        <v>0</v>
      </c>
      <c r="V19" s="25">
        <f t="shared" si="21"/>
        <v>0</v>
      </c>
      <c r="W19" s="86" t="e">
        <f>U19/V19</f>
        <v>#DIV/0!</v>
      </c>
      <c r="X19" s="87">
        <v>0.2</v>
      </c>
      <c r="Y19" s="33"/>
      <c r="Z19" s="39">
        <v>44271</v>
      </c>
      <c r="AA19" s="93"/>
      <c r="AB19" s="85">
        <v>2760</v>
      </c>
      <c r="AC19" s="85">
        <f t="shared" si="22"/>
        <v>0</v>
      </c>
      <c r="AD19" s="25">
        <f t="shared" si="23"/>
        <v>0</v>
      </c>
      <c r="AE19" s="25">
        <f t="shared" si="24"/>
        <v>0</v>
      </c>
      <c r="AF19" s="86" t="e">
        <f t="shared" si="25"/>
        <v>#DIV/0!</v>
      </c>
      <c r="AG19" s="87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8">
        <f t="shared" si="15"/>
        <v>0</v>
      </c>
      <c r="AQ19" s="23">
        <f t="shared" si="6"/>
        <v>0</v>
      </c>
      <c r="AR19" s="89">
        <f t="shared" si="16"/>
        <v>0</v>
      </c>
      <c r="AS19" s="23">
        <f t="shared" si="7"/>
        <v>0</v>
      </c>
      <c r="AT19" s="90">
        <f>+(AS19-AS18)</f>
        <v>0</v>
      </c>
      <c r="AU19" s="91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8089.68</v>
      </c>
    </row>
    <row r="20" spans="3:50" x14ac:dyDescent="0.25">
      <c r="C20" s="79">
        <v>500</v>
      </c>
      <c r="D20" s="79">
        <v>2700</v>
      </c>
      <c r="E20" s="39">
        <v>44333</v>
      </c>
      <c r="F20" s="106">
        <f>'[4]Mayıs.2021 '!$E$20</f>
        <v>0</v>
      </c>
      <c r="G20" s="23">
        <v>2760</v>
      </c>
      <c r="H20" s="24">
        <f t="shared" si="28"/>
        <v>0</v>
      </c>
      <c r="I20" s="25">
        <f t="shared" si="29"/>
        <v>0</v>
      </c>
      <c r="J20" s="49">
        <v>8089.68</v>
      </c>
      <c r="K20" s="92">
        <v>1575.9600000008941</v>
      </c>
      <c r="L20" s="41">
        <v>7095.9599999990314</v>
      </c>
      <c r="M20" s="81">
        <v>7272.5999999986961</v>
      </c>
      <c r="N20" s="82">
        <v>5790.4799999999814</v>
      </c>
      <c r="O20" s="83"/>
      <c r="P20" s="33"/>
      <c r="Q20" s="39">
        <v>44272</v>
      </c>
      <c r="R20" s="85"/>
      <c r="S20" s="85">
        <v>2760</v>
      </c>
      <c r="T20" s="85">
        <f t="shared" si="19"/>
        <v>0</v>
      </c>
      <c r="U20" s="25">
        <f t="shared" si="20"/>
        <v>0</v>
      </c>
      <c r="V20" s="25">
        <f t="shared" si="21"/>
        <v>0</v>
      </c>
      <c r="W20" s="86" t="e">
        <f t="shared" si="2"/>
        <v>#DIV/0!</v>
      </c>
      <c r="X20" s="87">
        <v>0.2</v>
      </c>
      <c r="Y20" s="33"/>
      <c r="Z20" s="39">
        <v>44272</v>
      </c>
      <c r="AA20" s="93"/>
      <c r="AB20" s="85">
        <v>2760</v>
      </c>
      <c r="AC20" s="85">
        <f t="shared" si="22"/>
        <v>0</v>
      </c>
      <c r="AD20" s="25">
        <f t="shared" si="23"/>
        <v>0</v>
      </c>
      <c r="AE20" s="25">
        <f t="shared" si="24"/>
        <v>0</v>
      </c>
      <c r="AF20" s="86" t="e">
        <f t="shared" si="25"/>
        <v>#DIV/0!</v>
      </c>
      <c r="AG20" s="87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8">
        <f t="shared" si="15"/>
        <v>0</v>
      </c>
      <c r="AQ20" s="23">
        <f t="shared" si="6"/>
        <v>0</v>
      </c>
      <c r="AR20" s="89">
        <f t="shared" si="16"/>
        <v>0</v>
      </c>
      <c r="AS20" s="23">
        <f t="shared" si="7"/>
        <v>0</v>
      </c>
      <c r="AT20" s="90">
        <f>+(AS20-AS19)</f>
        <v>0</v>
      </c>
      <c r="AU20" s="91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8089.68</v>
      </c>
    </row>
    <row r="21" spans="3:50" x14ac:dyDescent="0.25">
      <c r="C21" s="79">
        <v>900</v>
      </c>
      <c r="D21" s="79">
        <v>2700</v>
      </c>
      <c r="E21" s="39">
        <v>44334</v>
      </c>
      <c r="F21" s="106">
        <f>'[4]Mayıs.2021 '!$E$21</f>
        <v>0</v>
      </c>
      <c r="G21" s="23">
        <v>2760</v>
      </c>
      <c r="H21" s="24">
        <f t="shared" si="28"/>
        <v>0</v>
      </c>
      <c r="I21" s="25">
        <f t="shared" si="29"/>
        <v>0</v>
      </c>
      <c r="J21" s="49">
        <v>8089.68</v>
      </c>
      <c r="K21" s="92">
        <v>1556.640000000596</v>
      </c>
      <c r="L21" s="41">
        <v>7289.160000000149</v>
      </c>
      <c r="M21" s="81">
        <v>7280.8799999998882</v>
      </c>
      <c r="N21" s="82">
        <v>5597.2800000002608</v>
      </c>
      <c r="O21" s="83"/>
      <c r="P21" s="33"/>
      <c r="Q21" s="39">
        <v>44273</v>
      </c>
      <c r="R21" s="85"/>
      <c r="S21" s="85">
        <v>2760</v>
      </c>
      <c r="T21" s="85">
        <f t="shared" si="19"/>
        <v>0</v>
      </c>
      <c r="U21" s="25">
        <f>T21-T20</f>
        <v>0</v>
      </c>
      <c r="V21" s="25">
        <f>I21</f>
        <v>0</v>
      </c>
      <c r="W21" s="86" t="e">
        <f t="shared" si="2"/>
        <v>#DIV/0!</v>
      </c>
      <c r="X21" s="87">
        <v>0.2</v>
      </c>
      <c r="Y21" s="33"/>
      <c r="Z21" s="39">
        <v>44273</v>
      </c>
      <c r="AA21" s="93"/>
      <c r="AB21" s="85">
        <v>2760</v>
      </c>
      <c r="AC21" s="85">
        <f t="shared" si="22"/>
        <v>0</v>
      </c>
      <c r="AD21" s="25">
        <f t="shared" si="23"/>
        <v>0</v>
      </c>
      <c r="AE21" s="25">
        <f>I21</f>
        <v>0</v>
      </c>
      <c r="AF21" s="86" t="e">
        <f>AD21/AE21</f>
        <v>#DIV/0!</v>
      </c>
      <c r="AG21" s="87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8">
        <f t="shared" si="15"/>
        <v>0</v>
      </c>
      <c r="AQ21" s="23">
        <f t="shared" si="6"/>
        <v>0</v>
      </c>
      <c r="AR21" s="89">
        <f t="shared" si="16"/>
        <v>0</v>
      </c>
      <c r="AS21" s="23">
        <f t="shared" si="7"/>
        <v>0</v>
      </c>
      <c r="AT21" s="90">
        <f>+(AS21-AS20)</f>
        <v>0</v>
      </c>
      <c r="AU21" s="91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8089.68</v>
      </c>
    </row>
    <row r="22" spans="3:50" x14ac:dyDescent="0.25">
      <c r="C22" s="79">
        <v>300</v>
      </c>
      <c r="D22" s="79">
        <v>2700</v>
      </c>
      <c r="E22" s="39">
        <v>44335</v>
      </c>
      <c r="F22" s="106">
        <f>'[4]Mayıs.2021 '!$E$22</f>
        <v>0</v>
      </c>
      <c r="G22" s="23">
        <v>2760</v>
      </c>
      <c r="H22" s="24">
        <f t="shared" si="28"/>
        <v>0</v>
      </c>
      <c r="I22" s="25">
        <f t="shared" si="29"/>
        <v>0</v>
      </c>
      <c r="J22" s="49">
        <v>8089.68</v>
      </c>
      <c r="K22" s="92">
        <v>1562.160000000149</v>
      </c>
      <c r="L22" s="41">
        <v>7521</v>
      </c>
      <c r="M22" s="81">
        <v>6085.7999999998137</v>
      </c>
      <c r="N22" s="82">
        <v>5787.7199999997392</v>
      </c>
      <c r="O22" s="83"/>
      <c r="P22" s="33"/>
      <c r="Q22" s="39">
        <v>44274</v>
      </c>
      <c r="R22" s="85"/>
      <c r="S22" s="85">
        <v>2760</v>
      </c>
      <c r="T22" s="85">
        <f t="shared" si="19"/>
        <v>0</v>
      </c>
      <c r="U22" s="25">
        <f t="shared" si="20"/>
        <v>0</v>
      </c>
      <c r="V22" s="25">
        <f t="shared" si="21"/>
        <v>0</v>
      </c>
      <c r="W22" s="86" t="e">
        <f t="shared" si="2"/>
        <v>#DIV/0!</v>
      </c>
      <c r="X22" s="87">
        <v>0.2</v>
      </c>
      <c r="Y22" s="33"/>
      <c r="Z22" s="39">
        <v>44274</v>
      </c>
      <c r="AA22" s="93"/>
      <c r="AB22" s="85">
        <v>2760</v>
      </c>
      <c r="AC22" s="85">
        <f t="shared" si="22"/>
        <v>0</v>
      </c>
      <c r="AD22" s="25">
        <f t="shared" si="23"/>
        <v>0</v>
      </c>
      <c r="AE22" s="25">
        <f t="shared" si="24"/>
        <v>0</v>
      </c>
      <c r="AF22" s="86" t="e">
        <f t="shared" si="25"/>
        <v>#DIV/0!</v>
      </c>
      <c r="AG22" s="87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8">
        <f t="shared" si="15"/>
        <v>0</v>
      </c>
      <c r="AQ22" s="23">
        <f t="shared" si="6"/>
        <v>0</v>
      </c>
      <c r="AR22" s="89">
        <f t="shared" si="16"/>
        <v>0</v>
      </c>
      <c r="AS22" s="23">
        <f t="shared" si="7"/>
        <v>0</v>
      </c>
      <c r="AT22" s="90">
        <f t="shared" si="17"/>
        <v>0</v>
      </c>
      <c r="AU22" s="91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8089.68</v>
      </c>
    </row>
    <row r="23" spans="3:50" x14ac:dyDescent="0.25">
      <c r="C23" s="79">
        <v>300</v>
      </c>
      <c r="D23" s="79">
        <v>2700</v>
      </c>
      <c r="E23" s="39">
        <v>44336</v>
      </c>
      <c r="F23" s="106">
        <f>'[4]Mayıs.2021 '!$E$23</f>
        <v>0</v>
      </c>
      <c r="G23" s="23">
        <v>2760</v>
      </c>
      <c r="H23" s="24">
        <f t="shared" si="28"/>
        <v>0</v>
      </c>
      <c r="I23" s="25">
        <f t="shared" si="29"/>
        <v>0</v>
      </c>
      <c r="J23" s="49">
        <v>8089.68</v>
      </c>
      <c r="K23" s="92">
        <v>1509.7200000006706</v>
      </c>
      <c r="L23" s="41">
        <v>7871.5200000014156</v>
      </c>
      <c r="M23" s="81">
        <v>9025.2000000001863</v>
      </c>
      <c r="N23" s="82">
        <v>5395.7999999998137</v>
      </c>
      <c r="O23" s="83"/>
      <c r="P23" s="33"/>
      <c r="Q23" s="39">
        <v>44275</v>
      </c>
      <c r="R23" s="85"/>
      <c r="S23" s="85">
        <v>2760</v>
      </c>
      <c r="T23" s="85">
        <f t="shared" si="19"/>
        <v>0</v>
      </c>
      <c r="U23" s="25">
        <f t="shared" si="20"/>
        <v>0</v>
      </c>
      <c r="V23" s="25">
        <f t="shared" si="21"/>
        <v>0</v>
      </c>
      <c r="W23" s="86" t="e">
        <f t="shared" si="2"/>
        <v>#DIV/0!</v>
      </c>
      <c r="X23" s="87">
        <v>0.2</v>
      </c>
      <c r="Y23" s="33"/>
      <c r="Z23" s="39">
        <v>44275</v>
      </c>
      <c r="AA23" s="93"/>
      <c r="AB23" s="85">
        <v>2760</v>
      </c>
      <c r="AC23" s="85">
        <f t="shared" si="22"/>
        <v>0</v>
      </c>
      <c r="AD23" s="25">
        <f t="shared" si="23"/>
        <v>0</v>
      </c>
      <c r="AE23" s="25">
        <f t="shared" si="24"/>
        <v>0</v>
      </c>
      <c r="AF23" s="86" t="e">
        <f t="shared" si="25"/>
        <v>#DIV/0!</v>
      </c>
      <c r="AG23" s="87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8">
        <f t="shared" si="15"/>
        <v>0</v>
      </c>
      <c r="AQ23" s="23">
        <f t="shared" si="6"/>
        <v>0</v>
      </c>
      <c r="AR23" s="89">
        <f t="shared" si="16"/>
        <v>0</v>
      </c>
      <c r="AS23" s="23">
        <f t="shared" si="7"/>
        <v>0</v>
      </c>
      <c r="AT23" s="90">
        <f t="shared" si="17"/>
        <v>0</v>
      </c>
      <c r="AU23" s="91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8089.68</v>
      </c>
    </row>
    <row r="24" spans="3:50" x14ac:dyDescent="0.25">
      <c r="C24" s="79">
        <v>1800</v>
      </c>
      <c r="D24" s="79">
        <v>2700</v>
      </c>
      <c r="E24" s="39">
        <v>44337</v>
      </c>
      <c r="F24" s="106">
        <f>'[4]Mayıs.2021 '!$E$24</f>
        <v>0</v>
      </c>
      <c r="G24" s="23">
        <v>2760</v>
      </c>
      <c r="H24" s="24">
        <f t="shared" si="28"/>
        <v>0</v>
      </c>
      <c r="I24" s="25">
        <f t="shared" si="29"/>
        <v>0</v>
      </c>
      <c r="J24" s="49">
        <v>8089.68</v>
      </c>
      <c r="K24" s="92">
        <v>2144.5199999976903</v>
      </c>
      <c r="L24" s="41">
        <v>8199.9599999990314</v>
      </c>
      <c r="M24" s="81">
        <v>7228.4400000004098</v>
      </c>
      <c r="N24" s="82">
        <v>5141.8800000003539</v>
      </c>
      <c r="O24" s="83"/>
      <c r="P24" s="33"/>
      <c r="Q24" s="39">
        <v>44276</v>
      </c>
      <c r="R24" s="85"/>
      <c r="S24" s="85">
        <v>2760</v>
      </c>
      <c r="T24" s="85">
        <f t="shared" si="19"/>
        <v>0</v>
      </c>
      <c r="U24" s="25">
        <f>T24-T23</f>
        <v>0</v>
      </c>
      <c r="V24" s="25">
        <f t="shared" si="21"/>
        <v>0</v>
      </c>
      <c r="W24" s="86" t="e">
        <f t="shared" si="2"/>
        <v>#DIV/0!</v>
      </c>
      <c r="X24" s="87">
        <v>0.2</v>
      </c>
      <c r="Y24" s="33"/>
      <c r="Z24" s="39">
        <v>44276</v>
      </c>
      <c r="AA24" s="93"/>
      <c r="AB24" s="85">
        <v>2760</v>
      </c>
      <c r="AC24" s="85">
        <f t="shared" si="22"/>
        <v>0</v>
      </c>
      <c r="AD24" s="25">
        <f t="shared" si="23"/>
        <v>0</v>
      </c>
      <c r="AE24" s="25">
        <f t="shared" si="24"/>
        <v>0</v>
      </c>
      <c r="AF24" s="86" t="e">
        <f t="shared" si="25"/>
        <v>#DIV/0!</v>
      </c>
      <c r="AG24" s="87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8">
        <f t="shared" si="15"/>
        <v>0</v>
      </c>
      <c r="AQ24" s="23">
        <f t="shared" si="6"/>
        <v>0</v>
      </c>
      <c r="AR24" s="89">
        <f t="shared" si="16"/>
        <v>0</v>
      </c>
      <c r="AS24" s="23">
        <f t="shared" si="7"/>
        <v>0</v>
      </c>
      <c r="AT24" s="90">
        <f t="shared" si="17"/>
        <v>0</v>
      </c>
      <c r="AU24" s="91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8089.68</v>
      </c>
    </row>
    <row r="25" spans="3:50" x14ac:dyDescent="0.25">
      <c r="C25" s="79">
        <v>600</v>
      </c>
      <c r="D25" s="79">
        <v>2700</v>
      </c>
      <c r="E25" s="39">
        <v>44338</v>
      </c>
      <c r="F25" s="106">
        <f>'[4]Mayıs.2021 '!$E$25</f>
        <v>0</v>
      </c>
      <c r="G25" s="23">
        <v>2760</v>
      </c>
      <c r="H25" s="24">
        <f t="shared" si="28"/>
        <v>0</v>
      </c>
      <c r="I25" s="25">
        <f t="shared" si="29"/>
        <v>0</v>
      </c>
      <c r="J25" s="49">
        <v>8089.68</v>
      </c>
      <c r="K25" s="92">
        <v>2428.8000000007451</v>
      </c>
      <c r="L25" s="41">
        <v>8095.0800000000745</v>
      </c>
      <c r="M25" s="81">
        <v>7766.6399999996647</v>
      </c>
      <c r="N25" s="82">
        <v>4553.9999999995343</v>
      </c>
      <c r="O25" s="83"/>
      <c r="P25" s="33"/>
      <c r="Q25" s="39">
        <v>44277</v>
      </c>
      <c r="R25" s="85"/>
      <c r="S25" s="85">
        <v>2760</v>
      </c>
      <c r="T25" s="85">
        <f t="shared" si="19"/>
        <v>0</v>
      </c>
      <c r="U25" s="25">
        <f t="shared" ref="U25:U33" si="30">T25-T24</f>
        <v>0</v>
      </c>
      <c r="V25" s="25">
        <f t="shared" si="21"/>
        <v>0</v>
      </c>
      <c r="W25" s="86" t="e">
        <f t="shared" si="2"/>
        <v>#DIV/0!</v>
      </c>
      <c r="X25" s="87">
        <v>0.2</v>
      </c>
      <c r="Y25" s="33"/>
      <c r="Z25" s="39">
        <v>44277</v>
      </c>
      <c r="AA25" s="93"/>
      <c r="AB25" s="85">
        <v>2760</v>
      </c>
      <c r="AC25" s="85">
        <f t="shared" si="22"/>
        <v>0</v>
      </c>
      <c r="AD25" s="25">
        <f t="shared" si="23"/>
        <v>0</v>
      </c>
      <c r="AE25" s="25">
        <f t="shared" si="24"/>
        <v>0</v>
      </c>
      <c r="AF25" s="86" t="e">
        <f t="shared" si="25"/>
        <v>#DIV/0!</v>
      </c>
      <c r="AG25" s="87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8">
        <f t="shared" si="15"/>
        <v>0</v>
      </c>
      <c r="AQ25" s="23">
        <f t="shared" si="6"/>
        <v>0</v>
      </c>
      <c r="AR25" s="89">
        <f t="shared" si="16"/>
        <v>0</v>
      </c>
      <c r="AS25" s="23">
        <f t="shared" si="7"/>
        <v>0</v>
      </c>
      <c r="AT25" s="90">
        <f t="shared" si="17"/>
        <v>0</v>
      </c>
      <c r="AU25" s="91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8089.68</v>
      </c>
    </row>
    <row r="26" spans="3:50" x14ac:dyDescent="0.25">
      <c r="C26" s="79">
        <v>1100</v>
      </c>
      <c r="D26" s="79">
        <v>2700</v>
      </c>
      <c r="E26" s="39">
        <v>44339</v>
      </c>
      <c r="F26" s="106">
        <f>'[4]Mayıs.2021 '!$E$26</f>
        <v>0</v>
      </c>
      <c r="G26" s="23">
        <v>2760</v>
      </c>
      <c r="H26" s="24">
        <f t="shared" si="28"/>
        <v>0</v>
      </c>
      <c r="I26" s="25">
        <f t="shared" si="29"/>
        <v>0</v>
      </c>
      <c r="J26" s="49">
        <v>8089.68</v>
      </c>
      <c r="K26" s="92">
        <v>2428.7999999988824</v>
      </c>
      <c r="L26" s="41">
        <v>8111.640000000596</v>
      </c>
      <c r="M26" s="81">
        <v>7595.5200000014156</v>
      </c>
      <c r="N26" s="82">
        <v>5006.6400000001304</v>
      </c>
      <c r="O26" s="95"/>
      <c r="P26" s="96"/>
      <c r="Q26" s="39">
        <v>44278</v>
      </c>
      <c r="R26" s="85"/>
      <c r="S26" s="97">
        <v>2760</v>
      </c>
      <c r="T26" s="85">
        <f t="shared" si="19"/>
        <v>0</v>
      </c>
      <c r="U26" s="25">
        <f t="shared" si="30"/>
        <v>0</v>
      </c>
      <c r="V26" s="98">
        <f t="shared" si="21"/>
        <v>0</v>
      </c>
      <c r="W26" s="99" t="e">
        <f t="shared" si="2"/>
        <v>#DIV/0!</v>
      </c>
      <c r="X26" s="87">
        <v>0.2</v>
      </c>
      <c r="Y26" s="33"/>
      <c r="Z26" s="39">
        <v>44278</v>
      </c>
      <c r="AA26" s="93"/>
      <c r="AB26" s="85">
        <v>2760</v>
      </c>
      <c r="AC26" s="85">
        <f t="shared" si="22"/>
        <v>0</v>
      </c>
      <c r="AD26" s="25">
        <f t="shared" si="23"/>
        <v>0</v>
      </c>
      <c r="AE26" s="25">
        <f t="shared" si="24"/>
        <v>0</v>
      </c>
      <c r="AF26" s="99" t="e">
        <f>AD26/AE26</f>
        <v>#DIV/0!</v>
      </c>
      <c r="AG26" s="87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8">
        <f t="shared" si="15"/>
        <v>0</v>
      </c>
      <c r="AQ26" s="28">
        <f t="shared" si="6"/>
        <v>0</v>
      </c>
      <c r="AR26" s="89">
        <f t="shared" si="16"/>
        <v>0</v>
      </c>
      <c r="AS26" s="28">
        <f t="shared" si="7"/>
        <v>0</v>
      </c>
      <c r="AT26" s="90">
        <f t="shared" si="17"/>
        <v>0</v>
      </c>
      <c r="AU26" s="91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8089.68</v>
      </c>
    </row>
    <row r="27" spans="3:50" x14ac:dyDescent="0.25">
      <c r="C27" s="79">
        <v>700</v>
      </c>
      <c r="D27" s="79">
        <v>3000</v>
      </c>
      <c r="E27" s="39">
        <v>44340</v>
      </c>
      <c r="F27" s="106">
        <f>'[4]Mayıs.2021 '!$E$27</f>
        <v>0</v>
      </c>
      <c r="G27" s="23">
        <v>2760</v>
      </c>
      <c r="H27" s="24">
        <f t="shared" si="28"/>
        <v>0</v>
      </c>
      <c r="I27" s="25">
        <f t="shared" si="29"/>
        <v>0</v>
      </c>
      <c r="J27" s="49">
        <v>8089.68</v>
      </c>
      <c r="K27" s="92">
        <v>1656.0000000018626</v>
      </c>
      <c r="L27" s="41">
        <v>10098.839999999851</v>
      </c>
      <c r="M27" s="81">
        <v>6508.0799999991432</v>
      </c>
      <c r="N27" s="82">
        <v>5939.5200000000186</v>
      </c>
      <c r="O27" s="95"/>
      <c r="P27" s="96"/>
      <c r="Q27" s="39">
        <v>44279</v>
      </c>
      <c r="R27" s="97"/>
      <c r="S27" s="97">
        <v>2760</v>
      </c>
      <c r="T27" s="85">
        <f t="shared" si="19"/>
        <v>0</v>
      </c>
      <c r="U27" s="25">
        <f t="shared" si="30"/>
        <v>0</v>
      </c>
      <c r="V27" s="98">
        <f t="shared" si="21"/>
        <v>0</v>
      </c>
      <c r="W27" s="99" t="e">
        <f t="shared" si="2"/>
        <v>#DIV/0!</v>
      </c>
      <c r="X27" s="87">
        <v>0.2</v>
      </c>
      <c r="Y27" s="33"/>
      <c r="Z27" s="39">
        <v>44279</v>
      </c>
      <c r="AA27" s="93"/>
      <c r="AB27" s="85">
        <v>2760</v>
      </c>
      <c r="AC27" s="85">
        <f>AB27*AA27</f>
        <v>0</v>
      </c>
      <c r="AD27" s="25">
        <f t="shared" si="23"/>
        <v>0</v>
      </c>
      <c r="AE27" s="25">
        <f>I27</f>
        <v>0</v>
      </c>
      <c r="AF27" s="99" t="e">
        <f>AD27/AE27</f>
        <v>#DIV/0!</v>
      </c>
      <c r="AG27" s="87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8">
        <f t="shared" si="15"/>
        <v>0</v>
      </c>
      <c r="AQ27" s="28">
        <f t="shared" si="6"/>
        <v>0</v>
      </c>
      <c r="AR27" s="89">
        <f t="shared" si="16"/>
        <v>0</v>
      </c>
      <c r="AS27" s="28">
        <f t="shared" si="7"/>
        <v>0</v>
      </c>
      <c r="AT27" s="90">
        <f t="shared" si="17"/>
        <v>0</v>
      </c>
      <c r="AU27" s="91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8089.68</v>
      </c>
    </row>
    <row r="28" spans="3:50" x14ac:dyDescent="0.25">
      <c r="C28" s="79">
        <v>700</v>
      </c>
      <c r="D28" s="79">
        <v>3000</v>
      </c>
      <c r="E28" s="39">
        <v>44341</v>
      </c>
      <c r="F28" s="106">
        <f>'[4]Mayıs.2021 '!$E$28</f>
        <v>0</v>
      </c>
      <c r="G28" s="23">
        <v>2760</v>
      </c>
      <c r="H28" s="24">
        <f t="shared" si="28"/>
        <v>0</v>
      </c>
      <c r="I28" s="25">
        <f t="shared" si="29"/>
        <v>0</v>
      </c>
      <c r="J28" s="49">
        <v>8089.68</v>
      </c>
      <c r="K28" s="92">
        <v>1672.5599999986589</v>
      </c>
      <c r="L28" s="41">
        <v>6568.7999999988824</v>
      </c>
      <c r="M28" s="81">
        <v>7311.2399999992922</v>
      </c>
      <c r="N28" s="82">
        <v>6016.8000000002794</v>
      </c>
      <c r="O28" s="95"/>
      <c r="P28" s="96"/>
      <c r="Q28" s="39">
        <v>44280</v>
      </c>
      <c r="R28" s="97"/>
      <c r="S28" s="97">
        <v>2760</v>
      </c>
      <c r="T28" s="85">
        <f t="shared" si="19"/>
        <v>0</v>
      </c>
      <c r="U28" s="25">
        <f t="shared" si="30"/>
        <v>0</v>
      </c>
      <c r="V28" s="98">
        <f t="shared" si="21"/>
        <v>0</v>
      </c>
      <c r="W28" s="99" t="e">
        <f t="shared" si="2"/>
        <v>#DIV/0!</v>
      </c>
      <c r="X28" s="87">
        <v>0.2</v>
      </c>
      <c r="Y28" s="33"/>
      <c r="Z28" s="39">
        <v>44280</v>
      </c>
      <c r="AA28" s="93"/>
      <c r="AB28" s="85">
        <v>2760</v>
      </c>
      <c r="AC28" s="85">
        <f>AB28*AA28</f>
        <v>0</v>
      </c>
      <c r="AD28" s="25">
        <f>AC28-AC27</f>
        <v>0</v>
      </c>
      <c r="AE28" s="25">
        <f>I28</f>
        <v>0</v>
      </c>
      <c r="AF28" s="99" t="e">
        <f>AD28/AE28</f>
        <v>#DIV/0!</v>
      </c>
      <c r="AG28" s="87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8">
        <f t="shared" si="15"/>
        <v>0</v>
      </c>
      <c r="AQ28" s="28">
        <f t="shared" si="6"/>
        <v>0</v>
      </c>
      <c r="AR28" s="89">
        <f t="shared" si="16"/>
        <v>0</v>
      </c>
      <c r="AS28" s="28">
        <f t="shared" si="7"/>
        <v>0</v>
      </c>
      <c r="AT28" s="90">
        <f t="shared" si="17"/>
        <v>0</v>
      </c>
      <c r="AU28" s="91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8089.68</v>
      </c>
    </row>
    <row r="29" spans="3:50" x14ac:dyDescent="0.25">
      <c r="C29" s="79">
        <v>900</v>
      </c>
      <c r="D29" s="79">
        <v>3000</v>
      </c>
      <c r="E29" s="39">
        <v>44342</v>
      </c>
      <c r="F29" s="106">
        <f>'[4]Mayıs.2021 '!$E$29</f>
        <v>0</v>
      </c>
      <c r="G29" s="23">
        <v>2760</v>
      </c>
      <c r="H29" s="24">
        <f t="shared" si="28"/>
        <v>0</v>
      </c>
      <c r="I29" s="25">
        <f t="shared" si="29"/>
        <v>0</v>
      </c>
      <c r="J29" s="49">
        <v>8089.68</v>
      </c>
      <c r="K29" s="92">
        <v>1614.6000000014901</v>
      </c>
      <c r="L29" s="41">
        <v>8865.1199999991804</v>
      </c>
      <c r="M29" s="81">
        <v>6850.3200000012293</v>
      </c>
      <c r="N29" s="82">
        <v>6022.3199999998324</v>
      </c>
      <c r="O29" s="95"/>
      <c r="P29" s="96"/>
      <c r="Q29" s="39">
        <v>44281</v>
      </c>
      <c r="R29" s="97"/>
      <c r="S29" s="97">
        <v>2760</v>
      </c>
      <c r="T29" s="85">
        <f t="shared" si="19"/>
        <v>0</v>
      </c>
      <c r="U29" s="98">
        <f t="shared" si="30"/>
        <v>0</v>
      </c>
      <c r="V29" s="98">
        <f t="shared" si="21"/>
        <v>0</v>
      </c>
      <c r="W29" s="99" t="e">
        <f t="shared" si="2"/>
        <v>#DIV/0!</v>
      </c>
      <c r="X29" s="87">
        <v>0.2</v>
      </c>
      <c r="Y29" s="33"/>
      <c r="Z29" s="39">
        <v>44281</v>
      </c>
      <c r="AA29" s="93"/>
      <c r="AB29" s="85">
        <v>2760</v>
      </c>
      <c r="AC29" s="85">
        <f t="shared" si="22"/>
        <v>0</v>
      </c>
      <c r="AD29" s="25">
        <f t="shared" si="23"/>
        <v>0</v>
      </c>
      <c r="AE29" s="25">
        <f t="shared" si="24"/>
        <v>0</v>
      </c>
      <c r="AF29" s="99" t="e">
        <f t="shared" si="25"/>
        <v>#DIV/0!</v>
      </c>
      <c r="AG29" s="87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8">
        <f t="shared" si="15"/>
        <v>0</v>
      </c>
      <c r="AQ29" s="28">
        <f t="shared" si="6"/>
        <v>0</v>
      </c>
      <c r="AR29" s="89">
        <f t="shared" si="16"/>
        <v>0</v>
      </c>
      <c r="AS29" s="28">
        <f t="shared" si="7"/>
        <v>0</v>
      </c>
      <c r="AT29" s="90">
        <f t="shared" si="17"/>
        <v>0</v>
      </c>
      <c r="AU29" s="91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8089.68</v>
      </c>
    </row>
    <row r="30" spans="3:50" x14ac:dyDescent="0.25">
      <c r="C30" s="79">
        <v>800</v>
      </c>
      <c r="D30" s="79">
        <v>3000</v>
      </c>
      <c r="E30" s="39">
        <v>44343</v>
      </c>
      <c r="F30" s="106">
        <f>'[4]Mayıs.2021 '!$E$30</f>
        <v>0</v>
      </c>
      <c r="G30" s="23">
        <v>2760</v>
      </c>
      <c r="H30" s="24">
        <f t="shared" si="28"/>
        <v>0</v>
      </c>
      <c r="I30" s="25">
        <f t="shared" si="29"/>
        <v>0</v>
      </c>
      <c r="J30" s="49">
        <v>8089.68</v>
      </c>
      <c r="K30" s="92">
        <v>1622.8799999989569</v>
      </c>
      <c r="L30" s="41">
        <v>8823.7200000006706</v>
      </c>
      <c r="M30" s="81">
        <v>7601.0400000000373</v>
      </c>
      <c r="N30" s="82">
        <v>6254.1599999996834</v>
      </c>
      <c r="O30" s="95"/>
      <c r="P30" s="96"/>
      <c r="Q30" s="39">
        <v>44282</v>
      </c>
      <c r="R30" s="97"/>
      <c r="S30" s="97">
        <v>2760</v>
      </c>
      <c r="T30" s="85">
        <f t="shared" si="19"/>
        <v>0</v>
      </c>
      <c r="U30" s="98">
        <f t="shared" si="30"/>
        <v>0</v>
      </c>
      <c r="V30" s="98">
        <f t="shared" si="21"/>
        <v>0</v>
      </c>
      <c r="W30" s="99" t="e">
        <f t="shared" si="2"/>
        <v>#DIV/0!</v>
      </c>
      <c r="X30" s="87">
        <v>0.2</v>
      </c>
      <c r="Y30" s="33"/>
      <c r="Z30" s="39">
        <v>44282</v>
      </c>
      <c r="AA30" s="93"/>
      <c r="AB30" s="85">
        <v>2760</v>
      </c>
      <c r="AC30" s="85">
        <f t="shared" si="22"/>
        <v>0</v>
      </c>
      <c r="AD30" s="25">
        <f t="shared" si="23"/>
        <v>0</v>
      </c>
      <c r="AE30" s="25">
        <f t="shared" si="24"/>
        <v>0</v>
      </c>
      <c r="AF30" s="99" t="e">
        <f t="shared" si="25"/>
        <v>#DIV/0!</v>
      </c>
      <c r="AG30" s="87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8">
        <f t="shared" si="15"/>
        <v>0</v>
      </c>
      <c r="AQ30" s="28">
        <f t="shared" si="6"/>
        <v>0</v>
      </c>
      <c r="AR30" s="89">
        <f t="shared" si="16"/>
        <v>0</v>
      </c>
      <c r="AS30" s="28">
        <f t="shared" si="7"/>
        <v>0</v>
      </c>
      <c r="AT30" s="90">
        <f t="shared" si="17"/>
        <v>0</v>
      </c>
      <c r="AU30" s="91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8089.68</v>
      </c>
    </row>
    <row r="31" spans="3:50" x14ac:dyDescent="0.25">
      <c r="C31" s="79">
        <v>700</v>
      </c>
      <c r="D31" s="79">
        <v>3000</v>
      </c>
      <c r="E31" s="39">
        <v>44344</v>
      </c>
      <c r="F31" s="106">
        <f>'[4]Mayıs.2021 '!$E$31</f>
        <v>0</v>
      </c>
      <c r="G31" s="23">
        <v>2760</v>
      </c>
      <c r="H31" s="24">
        <f t="shared" si="28"/>
        <v>0</v>
      </c>
      <c r="I31" s="25">
        <f t="shared" si="29"/>
        <v>0</v>
      </c>
      <c r="J31" s="49">
        <v>8089.68</v>
      </c>
      <c r="K31" s="92">
        <v>2260.4400000013411</v>
      </c>
      <c r="L31" s="41">
        <v>8572.5600000005215</v>
      </c>
      <c r="M31" s="81">
        <v>6640.5599999995902</v>
      </c>
      <c r="N31" s="82">
        <v>6000.2400000002235</v>
      </c>
      <c r="O31" s="95"/>
      <c r="P31" s="96"/>
      <c r="Q31" s="39">
        <v>44283</v>
      </c>
      <c r="R31" s="97"/>
      <c r="S31" s="97">
        <v>2760</v>
      </c>
      <c r="T31" s="85">
        <f t="shared" si="19"/>
        <v>0</v>
      </c>
      <c r="U31" s="98">
        <f t="shared" si="30"/>
        <v>0</v>
      </c>
      <c r="V31" s="98">
        <f t="shared" si="21"/>
        <v>0</v>
      </c>
      <c r="W31" s="99" t="e">
        <f t="shared" si="2"/>
        <v>#DIV/0!</v>
      </c>
      <c r="X31" s="87">
        <v>0.2</v>
      </c>
      <c r="Y31" s="33"/>
      <c r="Z31" s="39">
        <v>44283</v>
      </c>
      <c r="AA31" s="93"/>
      <c r="AB31" s="85">
        <v>2760</v>
      </c>
      <c r="AC31" s="85">
        <f t="shared" si="22"/>
        <v>0</v>
      </c>
      <c r="AD31" s="25">
        <f t="shared" si="23"/>
        <v>0</v>
      </c>
      <c r="AE31" s="25">
        <f t="shared" si="24"/>
        <v>0</v>
      </c>
      <c r="AF31" s="99" t="e">
        <f t="shared" si="25"/>
        <v>#DIV/0!</v>
      </c>
      <c r="AG31" s="87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8">
        <f t="shared" si="15"/>
        <v>0</v>
      </c>
      <c r="AQ31" s="28">
        <f t="shared" si="6"/>
        <v>0</v>
      </c>
      <c r="AR31" s="89">
        <f t="shared" si="16"/>
        <v>0</v>
      </c>
      <c r="AS31" s="28">
        <f t="shared" si="7"/>
        <v>0</v>
      </c>
      <c r="AT31" s="90">
        <f t="shared" si="17"/>
        <v>0</v>
      </c>
      <c r="AU31" s="91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8089.68</v>
      </c>
    </row>
    <row r="32" spans="3:50" x14ac:dyDescent="0.25">
      <c r="C32" s="79">
        <v>800</v>
      </c>
      <c r="D32" s="79">
        <v>3000</v>
      </c>
      <c r="E32" s="39">
        <v>44345</v>
      </c>
      <c r="F32" s="106">
        <f>'[4]Mayıs.2021 '!$E$32</f>
        <v>0</v>
      </c>
      <c r="G32" s="23">
        <v>2760</v>
      </c>
      <c r="H32" s="24">
        <f t="shared" si="28"/>
        <v>0</v>
      </c>
      <c r="I32" s="25">
        <f t="shared" si="29"/>
        <v>0</v>
      </c>
      <c r="J32" s="49">
        <v>8089.68</v>
      </c>
      <c r="K32" s="92">
        <v>2732.3999999985099</v>
      </c>
      <c r="L32" s="41">
        <v>9458.519999999553</v>
      </c>
      <c r="M32" s="81">
        <v>6955.2000000001863</v>
      </c>
      <c r="N32" s="82">
        <v>5978.160000000149</v>
      </c>
      <c r="O32" s="95"/>
      <c r="P32" s="96"/>
      <c r="Q32" s="39">
        <v>44284</v>
      </c>
      <c r="R32" s="97"/>
      <c r="S32" s="97">
        <v>2760</v>
      </c>
      <c r="T32" s="85">
        <f t="shared" si="19"/>
        <v>0</v>
      </c>
      <c r="U32" s="98">
        <f t="shared" si="30"/>
        <v>0</v>
      </c>
      <c r="V32" s="98">
        <f t="shared" si="21"/>
        <v>0</v>
      </c>
      <c r="W32" s="99" t="e">
        <f t="shared" si="2"/>
        <v>#DIV/0!</v>
      </c>
      <c r="X32" s="87">
        <v>0.2</v>
      </c>
      <c r="Y32" s="33"/>
      <c r="Z32" s="39">
        <v>44284</v>
      </c>
      <c r="AA32" s="93"/>
      <c r="AB32" s="85">
        <v>2760</v>
      </c>
      <c r="AC32" s="85">
        <f t="shared" si="22"/>
        <v>0</v>
      </c>
      <c r="AD32" s="25">
        <f t="shared" si="23"/>
        <v>0</v>
      </c>
      <c r="AE32" s="25">
        <f t="shared" si="24"/>
        <v>0</v>
      </c>
      <c r="AF32" s="99" t="e">
        <f t="shared" si="25"/>
        <v>#DIV/0!</v>
      </c>
      <c r="AG32" s="87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8">
        <f t="shared" si="15"/>
        <v>0</v>
      </c>
      <c r="AQ32" s="28">
        <f t="shared" si="6"/>
        <v>0</v>
      </c>
      <c r="AR32" s="89">
        <f t="shared" si="16"/>
        <v>0</v>
      </c>
      <c r="AS32" s="28">
        <f t="shared" si="7"/>
        <v>0</v>
      </c>
      <c r="AT32" s="90">
        <f t="shared" si="17"/>
        <v>0</v>
      </c>
      <c r="AU32" s="91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8089.68</v>
      </c>
    </row>
    <row r="33" spans="3:50" x14ac:dyDescent="0.25">
      <c r="C33" s="79">
        <v>900</v>
      </c>
      <c r="D33" s="79">
        <v>3000</v>
      </c>
      <c r="E33" s="39">
        <v>44346</v>
      </c>
      <c r="F33" s="106">
        <f>'[4]Mayıs.2021 '!$E$33</f>
        <v>0</v>
      </c>
      <c r="G33" s="23">
        <v>2760</v>
      </c>
      <c r="H33" s="24">
        <f t="shared" si="28"/>
        <v>0</v>
      </c>
      <c r="I33" s="25">
        <f t="shared" si="29"/>
        <v>0</v>
      </c>
      <c r="J33" s="49">
        <v>8089.68</v>
      </c>
      <c r="K33" s="92">
        <v>2721.359999999404</v>
      </c>
      <c r="L33" s="41">
        <v>9524.7599999997765</v>
      </c>
      <c r="M33" s="81">
        <v>6844.7999999998137</v>
      </c>
      <c r="N33" s="82">
        <v>5983.679999999702</v>
      </c>
      <c r="O33" s="95"/>
      <c r="P33" s="96"/>
      <c r="Q33" s="39">
        <v>44285</v>
      </c>
      <c r="R33" s="97"/>
      <c r="S33" s="97">
        <v>2760</v>
      </c>
      <c r="T33" s="85">
        <f t="shared" si="19"/>
        <v>0</v>
      </c>
      <c r="U33" s="98">
        <f t="shared" si="30"/>
        <v>0</v>
      </c>
      <c r="V33" s="98">
        <f t="shared" si="21"/>
        <v>0</v>
      </c>
      <c r="W33" s="99" t="e">
        <f t="shared" si="2"/>
        <v>#DIV/0!</v>
      </c>
      <c r="X33" s="87">
        <v>0.2</v>
      </c>
      <c r="Y33" s="33"/>
      <c r="Z33" s="39">
        <v>44285</v>
      </c>
      <c r="AA33" s="93"/>
      <c r="AB33" s="85">
        <v>2760</v>
      </c>
      <c r="AC33" s="85">
        <f t="shared" si="22"/>
        <v>0</v>
      </c>
      <c r="AD33" s="25">
        <f t="shared" si="23"/>
        <v>0</v>
      </c>
      <c r="AE33" s="25">
        <f t="shared" si="24"/>
        <v>0</v>
      </c>
      <c r="AF33" s="99" t="e">
        <f t="shared" si="25"/>
        <v>#DIV/0!</v>
      </c>
      <c r="AG33" s="87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8">
        <f t="shared" si="15"/>
        <v>0</v>
      </c>
      <c r="AQ33" s="28">
        <f t="shared" si="6"/>
        <v>0</v>
      </c>
      <c r="AR33" s="89">
        <f t="shared" si="16"/>
        <v>0</v>
      </c>
      <c r="AS33" s="28">
        <f t="shared" si="7"/>
        <v>0</v>
      </c>
      <c r="AT33" s="90">
        <f t="shared" si="17"/>
        <v>0</v>
      </c>
      <c r="AU33" s="91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8089.68</v>
      </c>
    </row>
    <row r="34" spans="3:50" x14ac:dyDescent="0.25">
      <c r="C34" s="79"/>
      <c r="D34" s="79"/>
      <c r="E34" s="39">
        <v>44347</v>
      </c>
      <c r="F34" s="106">
        <f>'[4]Mayıs.2021 '!$E$34</f>
        <v>0</v>
      </c>
      <c r="G34" s="23">
        <v>2760</v>
      </c>
      <c r="H34" s="24">
        <f t="shared" si="28"/>
        <v>0</v>
      </c>
      <c r="I34" s="25">
        <f t="shared" si="29"/>
        <v>0</v>
      </c>
      <c r="J34" s="49">
        <v>8089.68</v>
      </c>
      <c r="K34" s="92">
        <v>2782.0800000000745</v>
      </c>
      <c r="L34" s="41">
        <v>9326.0400000009686</v>
      </c>
      <c r="M34" s="81">
        <v>7325.0400000000373</v>
      </c>
      <c r="N34" s="82">
        <v>5448.2399999997579</v>
      </c>
      <c r="O34" s="95"/>
      <c r="P34" s="96"/>
      <c r="Q34" s="39">
        <v>44286</v>
      </c>
      <c r="R34" s="97"/>
      <c r="S34" s="97">
        <v>2760</v>
      </c>
      <c r="T34" s="85">
        <f t="shared" si="19"/>
        <v>0</v>
      </c>
      <c r="U34" s="98">
        <f>T34-T33</f>
        <v>0</v>
      </c>
      <c r="V34" s="98">
        <f t="shared" si="21"/>
        <v>0</v>
      </c>
      <c r="W34" s="99" t="e">
        <f t="shared" si="2"/>
        <v>#DIV/0!</v>
      </c>
      <c r="X34" s="87">
        <v>0.2</v>
      </c>
      <c r="Y34" s="33"/>
      <c r="Z34" s="39">
        <v>44286</v>
      </c>
      <c r="AA34" s="93"/>
      <c r="AB34" s="85">
        <v>2760</v>
      </c>
      <c r="AC34" s="85">
        <f t="shared" si="22"/>
        <v>0</v>
      </c>
      <c r="AD34" s="25">
        <f t="shared" si="23"/>
        <v>0</v>
      </c>
      <c r="AE34" s="25">
        <f t="shared" si="24"/>
        <v>0</v>
      </c>
      <c r="AF34" s="99" t="e">
        <f t="shared" si="25"/>
        <v>#DIV/0!</v>
      </c>
      <c r="AG34" s="87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8">
        <f>+(AO34-AO33)</f>
        <v>0</v>
      </c>
      <c r="AQ34" s="28">
        <f t="shared" si="6"/>
        <v>0</v>
      </c>
      <c r="AR34" s="89">
        <f>+(AQ34-AQ33)</f>
        <v>0</v>
      </c>
      <c r="AS34" s="28">
        <f t="shared" si="7"/>
        <v>0</v>
      </c>
      <c r="AT34" s="90">
        <f>+(AS34-AS33)</f>
        <v>0</v>
      </c>
      <c r="AU34" s="91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8089.68</v>
      </c>
    </row>
    <row r="35" spans="3:50" x14ac:dyDescent="0.25">
      <c r="C35" s="79"/>
      <c r="D35" s="79"/>
      <c r="E35" s="39"/>
      <c r="F35" s="27"/>
      <c r="G35" s="23"/>
      <c r="H35" s="24"/>
      <c r="I35" s="25"/>
      <c r="J35" s="49"/>
      <c r="K35" s="92">
        <v>3240.2400000020862</v>
      </c>
      <c r="L35" s="41">
        <v>9894.5999999996275</v>
      </c>
      <c r="M35" s="81">
        <v>6944.160000000149</v>
      </c>
      <c r="N35" s="82"/>
      <c r="O35" s="95"/>
      <c r="P35" s="96"/>
      <c r="Q35" s="39"/>
      <c r="R35" s="97"/>
      <c r="S35" s="97"/>
      <c r="T35" s="85"/>
      <c r="U35" s="98"/>
      <c r="V35" s="98"/>
      <c r="W35" s="99"/>
      <c r="X35" s="87"/>
      <c r="Y35" s="33"/>
      <c r="Z35" s="39"/>
      <c r="AA35" s="93"/>
      <c r="AB35" s="85">
        <v>2760</v>
      </c>
      <c r="AC35" s="85">
        <f t="shared" si="22"/>
        <v>0</v>
      </c>
      <c r="AD35" s="25">
        <f t="shared" si="23"/>
        <v>0</v>
      </c>
      <c r="AE35" s="25">
        <f t="shared" si="24"/>
        <v>0</v>
      </c>
      <c r="AF35" s="99" t="e">
        <f t="shared" si="25"/>
        <v>#DIV/0!</v>
      </c>
      <c r="AG35" s="87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88">
        <f>+(AO35-AO34)</f>
        <v>0</v>
      </c>
      <c r="AQ35" s="28">
        <f t="shared" si="6"/>
        <v>0</v>
      </c>
      <c r="AR35" s="89">
        <f>+(AQ35-AQ34)</f>
        <v>0</v>
      </c>
      <c r="AS35" s="28">
        <f t="shared" si="7"/>
        <v>0</v>
      </c>
      <c r="AT35" s="90">
        <f>+(AS35-AS34)</f>
        <v>0</v>
      </c>
      <c r="AU35" s="91">
        <f t="shared" si="8"/>
        <v>0</v>
      </c>
      <c r="AV35" s="29">
        <f t="shared" si="9"/>
        <v>0</v>
      </c>
      <c r="AW35" s="25">
        <f t="shared" si="26"/>
        <v>0</v>
      </c>
      <c r="AX35" s="25">
        <f t="shared" si="26"/>
        <v>0</v>
      </c>
    </row>
    <row r="36" spans="3:50" x14ac:dyDescent="0.25">
      <c r="C36" s="79"/>
      <c r="D36" s="79"/>
      <c r="E36" s="47" t="s">
        <v>29</v>
      </c>
      <c r="F36" s="48"/>
      <c r="G36" s="48"/>
      <c r="H36" s="29"/>
      <c r="I36" s="98">
        <f>SUM(I5:I35)</f>
        <v>-12895904.040000001</v>
      </c>
      <c r="J36" s="49">
        <f>SUM(J4:J35)</f>
        <v>250780.07999999984</v>
      </c>
      <c r="K36" s="92">
        <v>58431.960000000894</v>
      </c>
      <c r="L36" s="41">
        <v>240779.63999999873</v>
      </c>
      <c r="M36" s="100">
        <v>215180.63999999966</v>
      </c>
      <c r="N36" s="82">
        <v>184991.75999999978</v>
      </c>
      <c r="O36" s="95"/>
      <c r="P36" s="96"/>
      <c r="Q36" s="101" t="s">
        <v>29</v>
      </c>
      <c r="R36" s="48"/>
      <c r="S36" s="48"/>
      <c r="T36" s="29"/>
      <c r="U36" s="98"/>
      <c r="V36" s="98">
        <f t="shared" si="21"/>
        <v>-12895904.040000001</v>
      </c>
      <c r="W36" s="99">
        <f>U36/V36</f>
        <v>0</v>
      </c>
      <c r="X36" s="87">
        <v>0.2</v>
      </c>
      <c r="Y36" s="33"/>
      <c r="Z36" s="101" t="s">
        <v>29</v>
      </c>
      <c r="AA36" s="39"/>
      <c r="AB36" s="48"/>
      <c r="AC36" s="29"/>
      <c r="AD36" s="98"/>
      <c r="AE36" s="98">
        <f>V36</f>
        <v>-12895904.040000001</v>
      </c>
      <c r="AF36" s="99">
        <f>AD36/AE36</f>
        <v>0</v>
      </c>
      <c r="AG36" s="87">
        <v>0.15</v>
      </c>
      <c r="AI36" s="47" t="s">
        <v>29</v>
      </c>
      <c r="AJ36" s="48"/>
      <c r="AK36" s="48"/>
      <c r="AL36" s="48"/>
      <c r="AM36" s="48"/>
      <c r="AN36" s="48"/>
      <c r="AO36" s="48"/>
      <c r="AP36" s="28">
        <f>SUM(AP4:AP34)</f>
        <v>-6475086.96</v>
      </c>
      <c r="AQ36" s="48"/>
      <c r="AR36" s="28">
        <f>SUM(AR4:AR34)</f>
        <v>-2795968.3200000003</v>
      </c>
      <c r="AS36" s="48"/>
      <c r="AT36" s="28">
        <f>SUM(AT4:AT34)</f>
        <v>-3380431.4399999995</v>
      </c>
      <c r="AU36" s="48">
        <f t="shared" si="8"/>
        <v>-12651486.720000001</v>
      </c>
      <c r="AV36" s="29"/>
      <c r="AW36" s="98">
        <f>SUM(AW4:AW33)</f>
        <v>-12894731.039999999</v>
      </c>
      <c r="AX36" s="98" t="e">
        <f>SUM(AX4:AX34)</f>
        <v>#REF!</v>
      </c>
    </row>
    <row r="37" spans="3:50" x14ac:dyDescent="0.25">
      <c r="E37" s="17"/>
      <c r="F37" s="17"/>
      <c r="G37" s="17"/>
      <c r="H37" s="17"/>
      <c r="I37" s="52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2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2"/>
      <c r="AX37" s="17"/>
    </row>
    <row r="38" spans="3:50" x14ac:dyDescent="0.25">
      <c r="D38" s="53" t="s">
        <v>47</v>
      </c>
      <c r="E38" s="53" t="s">
        <v>55</v>
      </c>
      <c r="F38" s="103"/>
      <c r="G38" s="32"/>
      <c r="H38" s="17"/>
      <c r="I38" s="17"/>
      <c r="N38" s="104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3"/>
      <c r="AK38" s="53"/>
      <c r="AL38" s="53"/>
      <c r="AM38" s="53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2"/>
    </row>
    <row r="39" spans="3:50" x14ac:dyDescent="0.25">
      <c r="E39" s="17"/>
      <c r="F39" s="17"/>
      <c r="G39" s="17"/>
      <c r="H39" s="17"/>
      <c r="I39" s="17"/>
      <c r="J39" s="52"/>
      <c r="K39" s="52"/>
      <c r="L39" s="52"/>
      <c r="M39" s="52"/>
      <c r="N39" s="52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4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4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4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4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4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4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4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4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2021-05-12T04:26:17Z</dcterms:modified>
</cp:coreProperties>
</file>