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Sep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30" i="9" l="1"/>
  <c r="R31" i="9"/>
  <c r="R32" i="9"/>
  <c r="Q30" i="9"/>
  <c r="Q31" i="9"/>
  <c r="Q32" i="9"/>
  <c r="P29" i="9"/>
  <c r="P30" i="9"/>
  <c r="O30" i="9"/>
  <c r="O31" i="9"/>
  <c r="O32" i="9"/>
  <c r="N30" i="9"/>
  <c r="N31" i="9"/>
  <c r="M30" i="9"/>
  <c r="M31" i="9"/>
  <c r="M32" i="9"/>
  <c r="L30" i="9"/>
  <c r="L31" i="9"/>
  <c r="L32" i="9"/>
  <c r="K30" i="9"/>
  <c r="K31" i="9"/>
  <c r="K32" i="9"/>
  <c r="J30" i="9"/>
  <c r="J31" i="9"/>
  <c r="J32" i="9"/>
  <c r="I30" i="9"/>
  <c r="I31" i="9"/>
  <c r="I32" i="9"/>
  <c r="H30" i="9"/>
  <c r="H31" i="9"/>
  <c r="H32" i="9"/>
  <c r="G30" i="9"/>
  <c r="G31" i="9"/>
  <c r="G32" i="9"/>
  <c r="F30" i="9"/>
  <c r="F31" i="9"/>
  <c r="F32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AB36" i="7"/>
  <c r="P31" i="9" s="1"/>
  <c r="AB37" i="7"/>
  <c r="P32" i="9" s="1"/>
  <c r="AC31" i="7" l="1"/>
  <c r="Q26" i="9" s="1"/>
  <c r="AC32" i="7"/>
  <c r="Q27" i="9" s="1"/>
  <c r="AC33" i="7"/>
  <c r="Q28" i="9" s="1"/>
  <c r="AC34" i="7"/>
  <c r="Q29" i="9" s="1"/>
  <c r="AC35" i="7"/>
  <c r="AC36" i="7"/>
  <c r="AC37" i="7"/>
  <c r="I29" i="5" l="1"/>
  <c r="S29" i="9"/>
  <c r="Q35" i="7" l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W34" i="7" l="1"/>
  <c r="R29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AO33" i="7"/>
  <c r="N28" i="9"/>
  <c r="AN33" i="7"/>
  <c r="M28" i="9"/>
  <c r="AM33" i="7"/>
  <c r="L28" i="9"/>
  <c r="AG33" i="7"/>
  <c r="F28" i="9"/>
  <c r="AW32" i="7"/>
  <c r="R27" i="9"/>
  <c r="AW31" i="7"/>
  <c r="R26" i="9"/>
  <c r="G26" i="5" s="1"/>
  <c r="AO32" i="7"/>
  <c r="N27" i="9"/>
  <c r="AN32" i="7"/>
  <c r="M27" i="9"/>
  <c r="AJ32" i="7"/>
  <c r="I27" i="9"/>
  <c r="AI32" i="7"/>
  <c r="H27" i="9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<sst xmlns="http://schemas.openxmlformats.org/spreadsheetml/2006/main" count="128" uniqueCount="49">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</sst>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4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9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60830</v>
      </c>
      <c r="F2" s="11">
        <v>5.0000000000000001E-3</v>
      </c>
      <c r="G2" s="12">
        <f>Submetering!R2</f>
        <v>1379.4034039999999</v>
      </c>
      <c r="H2" s="11">
        <v>0.52800000000000002</v>
      </c>
      <c r="I2" s="12">
        <f>Hotel!B7</f>
        <v>94</v>
      </c>
    </row>
    <row r="3" spans="1:9" s="15" customFormat="1" x14ac:dyDescent="0.25">
      <c r="A3" s="21" t="s">
        <v>31</v>
      </c>
      <c r="B3" s="14">
        <f>B2+1</f>
        <v>2</v>
      </c>
      <c r="C3" s="3">
        <v>9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58890</v>
      </c>
      <c r="F3" s="11">
        <v>5.0000000000000001E-3</v>
      </c>
      <c r="G3" s="12">
        <f>Submetering!R3</f>
        <v>817.64855999999997</v>
      </c>
      <c r="H3" s="11">
        <v>0.52800000000000002</v>
      </c>
      <c r="I3" s="12">
        <f>Hotel!B8</f>
        <v>114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9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64880</v>
      </c>
      <c r="F4" s="11">
        <v>5.0000000000000001E-3</v>
      </c>
      <c r="G4" s="12">
        <f>Submetering!R4</f>
        <v>1097.390359</v>
      </c>
      <c r="H4" s="11">
        <v>0.52800000000000002</v>
      </c>
      <c r="I4" s="12">
        <f>Hotel!B9</f>
        <v>162</v>
      </c>
    </row>
    <row r="5" spans="1:9" s="15" customFormat="1" x14ac:dyDescent="0.25">
      <c r="A5" s="21" t="s">
        <v>31</v>
      </c>
      <c r="B5" s="14">
        <f t="shared" si="0"/>
        <v>4</v>
      </c>
      <c r="C5" s="3">
        <v>9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60430</v>
      </c>
      <c r="F5" s="11">
        <v>5.0000000000000001E-3</v>
      </c>
      <c r="G5" s="12">
        <f>Submetering!R5</f>
        <v>805.15670699999987</v>
      </c>
      <c r="H5" s="11">
        <v>0.52800000000000002</v>
      </c>
      <c r="I5" s="12">
        <f>Hotel!B10</f>
        <v>174</v>
      </c>
    </row>
    <row r="6" spans="1:9" s="15" customFormat="1" x14ac:dyDescent="0.25">
      <c r="A6" s="21" t="s">
        <v>31</v>
      </c>
      <c r="B6" s="14">
        <f t="shared" si="0"/>
        <v>5</v>
      </c>
      <c r="C6" s="3">
        <v>9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58310</v>
      </c>
      <c r="F6" s="11">
        <v>5.0000000000000001E-3</v>
      </c>
      <c r="G6" s="12">
        <f>Submetering!R6</f>
        <v>863.45202099999995</v>
      </c>
      <c r="H6" s="11">
        <v>0.52800000000000002</v>
      </c>
      <c r="I6" s="12">
        <f>Hotel!B11</f>
        <v>101</v>
      </c>
    </row>
    <row r="7" spans="1:9" s="15" customFormat="1" x14ac:dyDescent="0.25">
      <c r="A7" s="21" t="s">
        <v>31</v>
      </c>
      <c r="B7" s="14">
        <f t="shared" si="0"/>
        <v>6</v>
      </c>
      <c r="C7" s="3">
        <v>9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63070</v>
      </c>
      <c r="F7" s="11">
        <v>5.0000000000000001E-3</v>
      </c>
      <c r="G7" s="12">
        <f>Submetering!R7</f>
        <v>957.70873000000006</v>
      </c>
      <c r="H7" s="11">
        <v>0.52800000000000002</v>
      </c>
      <c r="I7" s="12">
        <f>Hotel!B12</f>
        <v>113</v>
      </c>
    </row>
    <row r="8" spans="1:9" s="15" customFormat="1" x14ac:dyDescent="0.25">
      <c r="A8" s="21" t="s">
        <v>31</v>
      </c>
      <c r="B8" s="14">
        <f t="shared" si="0"/>
        <v>7</v>
      </c>
      <c r="C8" s="3">
        <v>9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59130</v>
      </c>
      <c r="F8" s="11">
        <v>5.0000000000000001E-3</v>
      </c>
      <c r="G8" s="12">
        <f>Submetering!R8</f>
        <v>984.96368200000006</v>
      </c>
      <c r="H8" s="11">
        <v>0.52800000000000002</v>
      </c>
      <c r="I8" s="12">
        <f>Hotel!B13</f>
        <v>91</v>
      </c>
    </row>
    <row r="9" spans="1:9" s="15" customFormat="1" x14ac:dyDescent="0.25">
      <c r="A9" s="21" t="s">
        <v>31</v>
      </c>
      <c r="B9" s="14">
        <f t="shared" si="0"/>
        <v>8</v>
      </c>
      <c r="C9" s="3">
        <v>9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61610</v>
      </c>
      <c r="F9" s="11">
        <v>5.0000000000000001E-3</v>
      </c>
      <c r="G9" s="12">
        <f>Submetering!R9</f>
        <v>1022.439241</v>
      </c>
      <c r="H9" s="11">
        <v>0.52800000000000002</v>
      </c>
      <c r="I9" s="12">
        <f>Hotel!B14</f>
        <v>117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9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60600</v>
      </c>
      <c r="F10" s="11">
        <v>5.0000000000000001E-3</v>
      </c>
      <c r="G10" s="12">
        <f>Submetering!R10</f>
        <v>944.45979499999999</v>
      </c>
      <c r="H10" s="11">
        <v>0.52800000000000002</v>
      </c>
      <c r="I10" s="12">
        <f>Hotel!B15</f>
        <v>114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9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66780</v>
      </c>
      <c r="F11" s="11">
        <v>5.0000000000000001E-3</v>
      </c>
      <c r="G11" s="12">
        <f>Submetering!R11</f>
        <v>1471.0103260000001</v>
      </c>
      <c r="H11" s="11">
        <v>0.52800000000000002</v>
      </c>
      <c r="I11" s="12">
        <f>Hotel!B16</f>
        <v>161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9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62400</v>
      </c>
      <c r="F12" s="11">
        <v>5.0000000000000001E-3</v>
      </c>
      <c r="G12" s="12">
        <f>Submetering!R12</f>
        <v>837.71123299999988</v>
      </c>
      <c r="H12" s="11">
        <v>0.52800000000000002</v>
      </c>
      <c r="I12" s="12">
        <f>Hotel!B17</f>
        <v>197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9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54210</v>
      </c>
      <c r="F13" s="11">
        <v>5.0000000000000001E-3</v>
      </c>
      <c r="G13" s="12">
        <f>Submetering!R13</f>
        <v>844.90351199999998</v>
      </c>
      <c r="H13" s="11">
        <v>0.52800000000000002</v>
      </c>
      <c r="I13" s="12">
        <f>Hotel!B18</f>
        <v>73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9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63000</v>
      </c>
      <c r="F14" s="11">
        <v>5.0000000000000001E-3</v>
      </c>
      <c r="G14" s="12">
        <f>Submetering!R14</f>
        <v>898.27779299999997</v>
      </c>
      <c r="H14" s="11">
        <v>0.52800000000000002</v>
      </c>
      <c r="I14" s="12">
        <f>Hotel!B19</f>
        <v>89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9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63060</v>
      </c>
      <c r="F15" s="11">
        <v>5.0000000000000001E-3</v>
      </c>
      <c r="G15" s="12">
        <f>Submetering!R15</f>
        <v>1008.054683</v>
      </c>
      <c r="H15" s="11">
        <v>0.52800000000000002</v>
      </c>
      <c r="I15" s="12">
        <f>Hotel!B20</f>
        <v>84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9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55040</v>
      </c>
      <c r="F16" s="11">
        <v>5.0000000000000001E-3</v>
      </c>
      <c r="G16" s="12">
        <f>Submetering!R16</f>
        <v>874.42970999999989</v>
      </c>
      <c r="H16" s="11">
        <v>0.52800000000000002</v>
      </c>
      <c r="I16" s="12">
        <f>Hotel!B21</f>
        <v>109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9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60050</v>
      </c>
      <c r="F17" s="11">
        <v>5.0000000000000001E-3</v>
      </c>
      <c r="G17" s="12">
        <f>Submetering!R17</f>
        <v>830.14041299999997</v>
      </c>
      <c r="H17" s="11">
        <v>0.52800000000000002</v>
      </c>
      <c r="I17" s="12">
        <f>Hotel!B22</f>
        <v>105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9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65860</v>
      </c>
      <c r="F18" s="11">
        <v>5.0000000000000001E-3</v>
      </c>
      <c r="G18" s="12">
        <f>Submetering!R18</f>
        <v>828.24770799999999</v>
      </c>
      <c r="H18" s="11">
        <v>0.52800000000000002</v>
      </c>
      <c r="I18" s="12">
        <f>Hotel!B23</f>
        <v>181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9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55940</v>
      </c>
      <c r="F19" s="11">
        <v>5.0000000000000001E-3</v>
      </c>
      <c r="G19" s="12">
        <f>Submetering!R19</f>
        <v>901.68466199999989</v>
      </c>
      <c r="H19" s="11">
        <v>0.52800000000000002</v>
      </c>
      <c r="I19" s="12">
        <f>Hotel!B24</f>
        <v>187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9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61960</v>
      </c>
      <c r="F20" s="11">
        <v>5.0000000000000001E-3</v>
      </c>
      <c r="G20" s="12">
        <f>Submetering!R20</f>
        <v>874.05116899999996</v>
      </c>
      <c r="H20" s="11">
        <v>0.52800000000000002</v>
      </c>
      <c r="I20" s="12">
        <f>Hotel!B25</f>
        <v>115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9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58710</v>
      </c>
      <c r="F21" s="11">
        <v>5.0000000000000001E-3</v>
      </c>
      <c r="G21" s="12">
        <f>Submetering!R21</f>
        <v>883.13615300000004</v>
      </c>
      <c r="H21" s="11">
        <v>0.52800000000000002</v>
      </c>
      <c r="I21" s="12">
        <f>Hotel!B26</f>
        <v>176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9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60230</v>
      </c>
      <c r="F22" s="11">
        <v>5.0000000000000001E-3</v>
      </c>
      <c r="G22" s="12">
        <f>Submetering!R22</f>
        <v>923.26149899999996</v>
      </c>
      <c r="H22" s="11">
        <v>0.52800000000000002</v>
      </c>
      <c r="I22" s="12">
        <f>Hotel!B27</f>
        <v>117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9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61020</v>
      </c>
      <c r="F23" s="11">
        <v>5.0000000000000001E-3</v>
      </c>
      <c r="G23" s="12">
        <f>Submetering!R23</f>
        <v>851.71724999999992</v>
      </c>
      <c r="H23" s="11">
        <v>0.52800000000000002</v>
      </c>
      <c r="I23" s="12">
        <f>Hotel!B28</f>
        <v>110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9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62280</v>
      </c>
      <c r="F24" s="11">
        <v>5.0000000000000001E-3</v>
      </c>
      <c r="G24" s="12">
        <f>Submetering!R24</f>
        <v>969.06496000000004</v>
      </c>
      <c r="H24" s="11">
        <v>0.52800000000000002</v>
      </c>
      <c r="I24" s="12">
        <f>Hotel!B29</f>
        <v>111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9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59570</v>
      </c>
      <c r="F25" s="11">
        <v>5.0000000000000001E-3</v>
      </c>
      <c r="G25" s="12">
        <f>Submetering!R25</f>
        <v>925.91128600000002</v>
      </c>
      <c r="H25" s="11">
        <v>0.52800000000000002</v>
      </c>
      <c r="I25" s="12">
        <f>Hotel!B30</f>
        <v>192</v>
      </c>
    </row>
    <row r="26" spans="1:9" s="15" customFormat="1" x14ac:dyDescent="0.25">
      <c r="A26" s="21" t="s">
        <v>31</v>
      </c>
      <c r="B26" s="14">
        <f>B25+1</f>
        <v>25</v>
      </c>
      <c r="C26" s="3">
        <v>9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63260</v>
      </c>
      <c r="F26" s="11">
        <v>5.0000000000000001E-3</v>
      </c>
      <c r="G26" s="12">
        <f>Submetering!R26</f>
        <v>1077.3276859999999</v>
      </c>
      <c r="H26" s="11">
        <v>0.52800000000000002</v>
      </c>
      <c r="I26" s="12">
        <f>Hotel!B31</f>
        <v>206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9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62500</v>
      </c>
      <c r="F27" s="11">
        <v>5.0000000000000001E-3</v>
      </c>
      <c r="G27" s="12">
        <f>Submetering!R27</f>
        <v>956.1945659999999</v>
      </c>
      <c r="H27" s="11">
        <v>0.52800000000000002</v>
      </c>
      <c r="I27" s="12">
        <f>Hotel!B32</f>
        <v>117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9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57730</v>
      </c>
      <c r="F28" s="11">
        <v>5.0000000000000001E-3</v>
      </c>
      <c r="G28" s="12">
        <f>Submetering!R28</f>
        <v>1090.1980800000001</v>
      </c>
      <c r="H28" s="11">
        <v>0.52800000000000002</v>
      </c>
      <c r="I28" s="12">
        <f>Hotel!B33</f>
        <v>104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9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9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9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9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9</v>
      </c>
      <c r="D2" s="2">
        <v>2020</v>
      </c>
      <c r="E2" s="4">
        <f>Hotel!Q7</f>
        <v>1000</v>
      </c>
      <c r="F2" s="4">
        <f>Hotel!R7</f>
        <v>15850</v>
      </c>
      <c r="G2" s="4">
        <f>Hotel!S7</f>
        <v>4260</v>
      </c>
      <c r="H2" s="4">
        <f>Hotel!T7</f>
        <v>1620</v>
      </c>
      <c r="I2" s="4">
        <f>Hotel!U7</f>
        <v>4800</v>
      </c>
      <c r="J2" s="4">
        <f>Hotel!V7</f>
        <v>2910</v>
      </c>
      <c r="K2" s="4">
        <f>Hotel!W7</f>
        <v>2360</v>
      </c>
      <c r="L2" s="4">
        <f>Hotel!X7</f>
        <v>2850</v>
      </c>
      <c r="M2" s="4">
        <f>Hotel!Y7</f>
        <v>4510</v>
      </c>
      <c r="N2" s="4">
        <f>Hotel!Z7</f>
        <v>2640</v>
      </c>
      <c r="O2" s="4">
        <f>Hotel!AA7</f>
        <v>3130</v>
      </c>
      <c r="P2" s="4">
        <f>Hotel!AB7</f>
        <v>6260</v>
      </c>
      <c r="Q2" s="4">
        <f>Hotel!AC7</f>
        <v>8640</v>
      </c>
      <c r="R2" s="4">
        <f>Hotel!AV7*0.00378541*100</f>
        <v>1379.4034039999999</v>
      </c>
      <c r="S2" s="4">
        <f>Hotel!B7</f>
        <v>94</v>
      </c>
    </row>
    <row r="3" spans="1:19" x14ac:dyDescent="0.25">
      <c r="A3" s="21" t="s">
        <v>31</v>
      </c>
      <c r="B3" s="2">
        <f>B2+1</f>
        <v>2</v>
      </c>
      <c r="C3" s="10">
        <v>9</v>
      </c>
      <c r="D3" s="2">
        <v>2020</v>
      </c>
      <c r="E3" s="4">
        <f>Hotel!Q8</f>
        <v>980</v>
      </c>
      <c r="F3" s="4">
        <f>Hotel!R8</f>
        <v>14970</v>
      </c>
      <c r="G3" s="4">
        <f>Hotel!S8</f>
        <v>3990</v>
      </c>
      <c r="H3" s="4">
        <f>Hotel!T8</f>
        <v>1590</v>
      </c>
      <c r="I3" s="4">
        <f>Hotel!U8</f>
        <v>4640</v>
      </c>
      <c r="J3" s="4">
        <f>Hotel!V8</f>
        <v>3080</v>
      </c>
      <c r="K3" s="4">
        <f>Hotel!W8</f>
        <v>2280</v>
      </c>
      <c r="L3" s="4">
        <f>Hotel!X8</f>
        <v>3030</v>
      </c>
      <c r="M3" s="4">
        <f>Hotel!Y8</f>
        <v>4310</v>
      </c>
      <c r="N3" s="4">
        <f>Hotel!Z8</f>
        <v>2800</v>
      </c>
      <c r="O3" s="4">
        <f>Hotel!AA8</f>
        <v>3140</v>
      </c>
      <c r="P3" s="4">
        <f>Hotel!AB8</f>
        <v>6330</v>
      </c>
      <c r="Q3" s="4">
        <f>Hotel!AC8</f>
        <v>7750</v>
      </c>
      <c r="R3" s="4">
        <f>Hotel!AV8*0.00378541*100</f>
        <v>817.64855999999997</v>
      </c>
      <c r="S3" s="4">
        <f>Hotel!B8</f>
        <v>114</v>
      </c>
    </row>
    <row r="4" spans="1:19" x14ac:dyDescent="0.25">
      <c r="A4" s="21" t="s">
        <v>31</v>
      </c>
      <c r="B4" s="2">
        <f t="shared" ref="B4:B29" si="0">B3+1</f>
        <v>3</v>
      </c>
      <c r="C4" s="10">
        <v>9</v>
      </c>
      <c r="D4" s="2">
        <v>2020</v>
      </c>
      <c r="E4" s="4">
        <f>Hotel!Q9</f>
        <v>1060</v>
      </c>
      <c r="F4" s="4">
        <f>Hotel!R9</f>
        <v>15010</v>
      </c>
      <c r="G4" s="4">
        <f>Hotel!S9</f>
        <v>3840</v>
      </c>
      <c r="H4" s="4">
        <f>Hotel!T9</f>
        <v>1700</v>
      </c>
      <c r="I4" s="4">
        <f>Hotel!U9</f>
        <v>5170</v>
      </c>
      <c r="J4" s="4">
        <f>Hotel!V9</f>
        <v>3480</v>
      </c>
      <c r="K4" s="4">
        <f>Hotel!W9</f>
        <v>2500</v>
      </c>
      <c r="L4" s="4">
        <f>Hotel!X9</f>
        <v>3420</v>
      </c>
      <c r="M4" s="4">
        <f>Hotel!Y9</f>
        <v>5080</v>
      </c>
      <c r="N4" s="4">
        <f>Hotel!Z9</f>
        <v>3170</v>
      </c>
      <c r="O4" s="4">
        <f>Hotel!AA9</f>
        <v>3750</v>
      </c>
      <c r="P4" s="4">
        <f>Hotel!AB9</f>
        <v>6960</v>
      </c>
      <c r="Q4" s="4">
        <f>Hotel!AC9</f>
        <v>9740</v>
      </c>
      <c r="R4" s="4">
        <f>Hotel!AV9*0.00378541*100</f>
        <v>1097.390359</v>
      </c>
      <c r="S4" s="4">
        <f>Hotel!B9</f>
        <v>162</v>
      </c>
    </row>
    <row r="5" spans="1:19" x14ac:dyDescent="0.25">
      <c r="A5" s="21" t="s">
        <v>31</v>
      </c>
      <c r="B5" s="2">
        <f t="shared" si="0"/>
        <v>4</v>
      </c>
      <c r="C5" s="10">
        <v>9</v>
      </c>
      <c r="D5" s="2">
        <v>2020</v>
      </c>
      <c r="E5" s="4">
        <f>Hotel!Q10</f>
        <v>960</v>
      </c>
      <c r="F5" s="4">
        <f>Hotel!R10</f>
        <v>13830</v>
      </c>
      <c r="G5" s="4">
        <f>Hotel!S10</f>
        <v>3570</v>
      </c>
      <c r="H5" s="4">
        <f>Hotel!T10</f>
        <v>1550</v>
      </c>
      <c r="I5" s="4">
        <f>Hotel!U10</f>
        <v>4970</v>
      </c>
      <c r="J5" s="4">
        <f>Hotel!V10</f>
        <v>3320</v>
      </c>
      <c r="K5" s="4">
        <f>Hotel!W10</f>
        <v>2280</v>
      </c>
      <c r="L5" s="4">
        <f>Hotel!X10</f>
        <v>3210</v>
      </c>
      <c r="M5" s="4">
        <f>Hotel!Y10</f>
        <v>4760</v>
      </c>
      <c r="N5" s="4">
        <f>Hotel!Z10</f>
        <v>2990</v>
      </c>
      <c r="O5" s="4">
        <f>Hotel!AA10</f>
        <v>3440</v>
      </c>
      <c r="P5" s="4">
        <f>Hotel!AB10</f>
        <v>6560</v>
      </c>
      <c r="Q5" s="4">
        <f>Hotel!AC10</f>
        <v>8990</v>
      </c>
      <c r="R5" s="4">
        <f>Hotel!AV10*0.00378541*100</f>
        <v>805.15670699999987</v>
      </c>
      <c r="S5" s="4">
        <f>Hotel!B10</f>
        <v>174</v>
      </c>
    </row>
    <row r="6" spans="1:19" x14ac:dyDescent="0.25">
      <c r="A6" s="21" t="s">
        <v>31</v>
      </c>
      <c r="B6" s="2">
        <f t="shared" si="0"/>
        <v>5</v>
      </c>
      <c r="C6" s="10">
        <v>9</v>
      </c>
      <c r="D6" s="2">
        <v>2020</v>
      </c>
      <c r="E6" s="4">
        <f>Hotel!Q11</f>
        <v>940</v>
      </c>
      <c r="F6" s="4">
        <f>Hotel!R11</f>
        <v>12790</v>
      </c>
      <c r="G6" s="4">
        <f>Hotel!S11</f>
        <v>3530</v>
      </c>
      <c r="H6" s="4">
        <f>Hotel!T11</f>
        <v>1540</v>
      </c>
      <c r="I6" s="4">
        <f>Hotel!U11</f>
        <v>4900</v>
      </c>
      <c r="J6" s="4">
        <f>Hotel!V11</f>
        <v>3320</v>
      </c>
      <c r="K6" s="4">
        <f>Hotel!W11</f>
        <v>2260</v>
      </c>
      <c r="L6" s="4">
        <f>Hotel!X11</f>
        <v>3200</v>
      </c>
      <c r="M6" s="4">
        <f>Hotel!Y11</f>
        <v>4570</v>
      </c>
      <c r="N6" s="4">
        <f>Hotel!Z11</f>
        <v>2760</v>
      </c>
      <c r="O6" s="4">
        <f>Hotel!AA11</f>
        <v>3250</v>
      </c>
      <c r="P6" s="4">
        <f>Hotel!AB11</f>
        <v>6420</v>
      </c>
      <c r="Q6" s="4">
        <f>Hotel!AC11</f>
        <v>8830</v>
      </c>
      <c r="R6" s="4">
        <f>Hotel!AV11*0.00378541*100</f>
        <v>863.45202099999995</v>
      </c>
      <c r="S6" s="4">
        <f>Hotel!B11</f>
        <v>101</v>
      </c>
    </row>
    <row r="7" spans="1:19" x14ac:dyDescent="0.25">
      <c r="A7" s="21" t="s">
        <v>31</v>
      </c>
      <c r="B7" s="2">
        <f t="shared" si="0"/>
        <v>6</v>
      </c>
      <c r="C7" s="10">
        <v>9</v>
      </c>
      <c r="D7" s="2">
        <v>2020</v>
      </c>
      <c r="E7" s="4">
        <f>Hotel!Q12</f>
        <v>1010</v>
      </c>
      <c r="F7" s="4">
        <f>Hotel!R12</f>
        <v>16830</v>
      </c>
      <c r="G7" s="4">
        <f>Hotel!S12</f>
        <v>4290</v>
      </c>
      <c r="H7" s="4">
        <f>Hotel!T12</f>
        <v>1610</v>
      </c>
      <c r="I7" s="4">
        <f>Hotel!U12</f>
        <v>4790</v>
      </c>
      <c r="J7" s="4">
        <f>Hotel!V12</f>
        <v>3430</v>
      </c>
      <c r="K7" s="4">
        <f>Hotel!W12</f>
        <v>2360</v>
      </c>
      <c r="L7" s="4">
        <f>Hotel!X12</f>
        <v>3190</v>
      </c>
      <c r="M7" s="4">
        <f>Hotel!Y12</f>
        <v>4900</v>
      </c>
      <c r="N7" s="4">
        <f>Hotel!Z12</f>
        <v>2760</v>
      </c>
      <c r="O7" s="4">
        <f>Hotel!AA12</f>
        <v>3160</v>
      </c>
      <c r="P7" s="4">
        <f>Hotel!AB12</f>
        <v>6640</v>
      </c>
      <c r="Q7" s="4">
        <f>Hotel!AC12</f>
        <v>8100</v>
      </c>
      <c r="R7" s="4">
        <f>Hotel!AV12*0.00378541*100</f>
        <v>957.70873000000006</v>
      </c>
      <c r="S7" s="4">
        <f>Hotel!B12</f>
        <v>113</v>
      </c>
    </row>
    <row r="8" spans="1:19" x14ac:dyDescent="0.25">
      <c r="A8" s="21" t="s">
        <v>31</v>
      </c>
      <c r="B8" s="2">
        <f t="shared" si="0"/>
        <v>7</v>
      </c>
      <c r="C8" s="10">
        <v>9</v>
      </c>
      <c r="D8" s="2">
        <v>2020</v>
      </c>
      <c r="E8" s="4">
        <f>Hotel!Q13</f>
        <v>970</v>
      </c>
      <c r="F8" s="4">
        <f>Hotel!R13</f>
        <v>14010</v>
      </c>
      <c r="G8" s="4">
        <f>Hotel!S13</f>
        <v>3630</v>
      </c>
      <c r="H8" s="4">
        <f>Hotel!T13</f>
        <v>1570</v>
      </c>
      <c r="I8" s="4">
        <f>Hotel!U13</f>
        <v>4660</v>
      </c>
      <c r="J8" s="4">
        <f>Hotel!V13</f>
        <v>3280</v>
      </c>
      <c r="K8" s="4">
        <f>Hotel!W13</f>
        <v>2290</v>
      </c>
      <c r="L8" s="4">
        <f>Hotel!X13</f>
        <v>3150</v>
      </c>
      <c r="M8" s="4">
        <f>Hotel!Y13</f>
        <v>4730</v>
      </c>
      <c r="N8" s="4">
        <f>Hotel!Z13</f>
        <v>2760</v>
      </c>
      <c r="O8" s="4">
        <f>Hotel!AA13</f>
        <v>3350</v>
      </c>
      <c r="P8" s="4">
        <f>Hotel!AB13</f>
        <v>6580</v>
      </c>
      <c r="Q8" s="4">
        <f>Hotel!AC13</f>
        <v>8150</v>
      </c>
      <c r="R8" s="4">
        <f>Hotel!AV13*0.00378541*100</f>
        <v>984.96368200000006</v>
      </c>
      <c r="S8" s="4">
        <f>Hotel!B13</f>
        <v>91</v>
      </c>
    </row>
    <row r="9" spans="1:19" x14ac:dyDescent="0.25">
      <c r="A9" s="21" t="s">
        <v>31</v>
      </c>
      <c r="B9" s="2">
        <f t="shared" si="0"/>
        <v>8</v>
      </c>
      <c r="C9" s="10">
        <v>9</v>
      </c>
      <c r="D9" s="2">
        <v>2020</v>
      </c>
      <c r="E9" s="4">
        <f>Hotel!Q14</f>
        <v>1020</v>
      </c>
      <c r="F9" s="4">
        <f>Hotel!R14</f>
        <v>13810</v>
      </c>
      <c r="G9" s="4">
        <f>Hotel!S14</f>
        <v>3520</v>
      </c>
      <c r="H9" s="4">
        <f>Hotel!T14</f>
        <v>1620</v>
      </c>
      <c r="I9" s="4">
        <f>Hotel!U14</f>
        <v>4790</v>
      </c>
      <c r="J9" s="4">
        <f>Hotel!V14</f>
        <v>3300</v>
      </c>
      <c r="K9" s="4">
        <f>Hotel!W14</f>
        <v>2370</v>
      </c>
      <c r="L9" s="4">
        <f>Hotel!X14</f>
        <v>3450</v>
      </c>
      <c r="M9" s="4">
        <f>Hotel!Y14</f>
        <v>5010</v>
      </c>
      <c r="N9" s="4">
        <f>Hotel!Z14</f>
        <v>2790</v>
      </c>
      <c r="O9" s="4">
        <f>Hotel!AA14</f>
        <v>3330</v>
      </c>
      <c r="P9" s="4">
        <f>Hotel!AB14</f>
        <v>6910</v>
      </c>
      <c r="Q9" s="4">
        <f>Hotel!AC14</f>
        <v>9690</v>
      </c>
      <c r="R9" s="4">
        <f>Hotel!AV14*0.00378541*100</f>
        <v>1022.439241</v>
      </c>
      <c r="S9" s="4">
        <f>Hotel!B14</f>
        <v>117</v>
      </c>
    </row>
    <row r="10" spans="1:19" x14ac:dyDescent="0.25">
      <c r="A10" s="21" t="s">
        <v>31</v>
      </c>
      <c r="B10" s="2">
        <f t="shared" si="0"/>
        <v>9</v>
      </c>
      <c r="C10" s="10">
        <v>9</v>
      </c>
      <c r="D10" s="2">
        <v>2020</v>
      </c>
      <c r="E10" s="4">
        <f>Hotel!Q15</f>
        <v>110</v>
      </c>
      <c r="F10" s="4">
        <f>Hotel!R15</f>
        <v>13960</v>
      </c>
      <c r="G10" s="4">
        <f>Hotel!S15</f>
        <v>3560</v>
      </c>
      <c r="H10" s="4">
        <f>Hotel!T15</f>
        <v>1610</v>
      </c>
      <c r="I10" s="4">
        <f>Hotel!U15</f>
        <v>4840</v>
      </c>
      <c r="J10" s="4">
        <f>Hotel!V15</f>
        <v>3140</v>
      </c>
      <c r="K10" s="4">
        <f>Hotel!W15</f>
        <v>2390</v>
      </c>
      <c r="L10" s="4">
        <f>Hotel!X15</f>
        <v>3500</v>
      </c>
      <c r="M10" s="4">
        <f>Hotel!Y15</f>
        <v>4950</v>
      </c>
      <c r="N10" s="4">
        <f>Hotel!Z15</f>
        <v>2890</v>
      </c>
      <c r="O10" s="4">
        <f>Hotel!AA15</f>
        <v>3260</v>
      </c>
      <c r="P10" s="4">
        <f>Hotel!AB15</f>
        <v>6900</v>
      </c>
      <c r="Q10" s="4">
        <f>Hotel!AC15</f>
        <v>9490</v>
      </c>
      <c r="R10" s="4">
        <f>Hotel!AV15*0.00378541*100</f>
        <v>944.45979499999999</v>
      </c>
      <c r="S10" s="4">
        <f>Hotel!B15</f>
        <v>114</v>
      </c>
    </row>
    <row r="11" spans="1:19" x14ac:dyDescent="0.25">
      <c r="A11" s="21" t="s">
        <v>31</v>
      </c>
      <c r="B11" s="2">
        <f t="shared" si="0"/>
        <v>10</v>
      </c>
      <c r="C11" s="10">
        <v>9</v>
      </c>
      <c r="D11" s="2">
        <v>2020</v>
      </c>
      <c r="E11" s="4">
        <f>Hotel!Q16</f>
        <v>1940</v>
      </c>
      <c r="F11" s="4">
        <f>Hotel!R16</f>
        <v>15140</v>
      </c>
      <c r="G11" s="4">
        <f>Hotel!S16</f>
        <v>3880</v>
      </c>
      <c r="H11" s="4">
        <f>Hotel!T16</f>
        <v>1680</v>
      </c>
      <c r="I11" s="4">
        <f>Hotel!U16</f>
        <v>5200</v>
      </c>
      <c r="J11" s="4">
        <f>Hotel!V16</f>
        <v>3540</v>
      </c>
      <c r="K11" s="4">
        <f>Hotel!W16</f>
        <v>2550</v>
      </c>
      <c r="L11" s="4">
        <f>Hotel!X16</f>
        <v>4040</v>
      </c>
      <c r="M11" s="4">
        <f>Hotel!Y16</f>
        <v>5430</v>
      </c>
      <c r="N11" s="4">
        <f>Hotel!Z16</f>
        <v>3140</v>
      </c>
      <c r="O11" s="4">
        <f>Hotel!AA16</f>
        <v>3540</v>
      </c>
      <c r="P11" s="4">
        <f>Hotel!AB16</f>
        <v>7840</v>
      </c>
      <c r="Q11" s="4">
        <f>Hotel!AC16</f>
        <v>8860</v>
      </c>
      <c r="R11" s="4">
        <f>Hotel!AV16*0.00378541*100</f>
        <v>1471.0103260000001</v>
      </c>
      <c r="S11" s="4">
        <f>Hotel!B16</f>
        <v>161</v>
      </c>
    </row>
    <row r="12" spans="1:19" x14ac:dyDescent="0.25">
      <c r="A12" s="21" t="s">
        <v>31</v>
      </c>
      <c r="B12" s="2">
        <f t="shared" si="0"/>
        <v>11</v>
      </c>
      <c r="C12" s="10">
        <v>9</v>
      </c>
      <c r="D12" s="2">
        <v>2020</v>
      </c>
      <c r="E12" s="4">
        <f>Hotel!Q17</f>
        <v>1020</v>
      </c>
      <c r="F12" s="4">
        <f>Hotel!R17</f>
        <v>14250</v>
      </c>
      <c r="G12" s="4">
        <f>Hotel!S17</f>
        <v>3720</v>
      </c>
      <c r="H12" s="4">
        <f>Hotel!T17</f>
        <v>1630</v>
      </c>
      <c r="I12" s="4">
        <f>Hotel!U17</f>
        <v>4970</v>
      </c>
      <c r="J12" s="4">
        <f>Hotel!V17</f>
        <v>3220</v>
      </c>
      <c r="K12" s="4">
        <f>Hotel!W17</f>
        <v>2350</v>
      </c>
      <c r="L12" s="4">
        <f>Hotel!X17</f>
        <v>3680</v>
      </c>
      <c r="M12" s="4">
        <f>Hotel!Y17</f>
        <v>4880</v>
      </c>
      <c r="N12" s="4">
        <f>Hotel!Z17</f>
        <v>3070</v>
      </c>
      <c r="O12" s="4">
        <f>Hotel!AA17</f>
        <v>3550</v>
      </c>
      <c r="P12" s="4">
        <f>Hotel!AB17</f>
        <v>7370</v>
      </c>
      <c r="Q12" s="4">
        <f>Hotel!AC17</f>
        <v>8690</v>
      </c>
      <c r="R12" s="4">
        <f>Hotel!AV17*0.00378541*100</f>
        <v>837.71123299999988</v>
      </c>
      <c r="S12" s="4">
        <f>Hotel!B17</f>
        <v>197</v>
      </c>
    </row>
    <row r="13" spans="1:19" x14ac:dyDescent="0.25">
      <c r="A13" s="21" t="s">
        <v>31</v>
      </c>
      <c r="B13" s="2">
        <f t="shared" si="0"/>
        <v>12</v>
      </c>
      <c r="C13" s="10">
        <v>9</v>
      </c>
      <c r="D13" s="2">
        <v>2020</v>
      </c>
      <c r="E13" s="4">
        <f>Hotel!Q18</f>
        <v>910</v>
      </c>
      <c r="F13" s="4">
        <f>Hotel!R18</f>
        <v>12650</v>
      </c>
      <c r="G13" s="4">
        <f>Hotel!S18</f>
        <v>3250</v>
      </c>
      <c r="H13" s="4">
        <f>Hotel!T18</f>
        <v>1470</v>
      </c>
      <c r="I13" s="4">
        <f>Hotel!U18</f>
        <v>4590</v>
      </c>
      <c r="J13" s="4">
        <f>Hotel!V18</f>
        <v>2960</v>
      </c>
      <c r="K13" s="4">
        <f>Hotel!W18</f>
        <v>2060</v>
      </c>
      <c r="L13" s="4">
        <f>Hotel!X18</f>
        <v>3300</v>
      </c>
      <c r="M13" s="4">
        <f>Hotel!Y18</f>
        <v>4160</v>
      </c>
      <c r="N13" s="4">
        <f>Hotel!Z18</f>
        <v>2530</v>
      </c>
      <c r="O13" s="4">
        <f>Hotel!AA18</f>
        <v>3070</v>
      </c>
      <c r="P13" s="4">
        <f>Hotel!AB18</f>
        <v>5770</v>
      </c>
      <c r="Q13" s="4">
        <f>Hotel!AC18</f>
        <v>7490</v>
      </c>
      <c r="R13" s="4">
        <f>Hotel!AV18*0.00378541*100</f>
        <v>844.90351199999998</v>
      </c>
      <c r="S13" s="4">
        <f>Hotel!B18</f>
        <v>73</v>
      </c>
    </row>
    <row r="14" spans="1:19" x14ac:dyDescent="0.25">
      <c r="A14" s="21" t="s">
        <v>31</v>
      </c>
      <c r="B14" s="2">
        <f t="shared" si="0"/>
        <v>13</v>
      </c>
      <c r="C14" s="10">
        <v>9</v>
      </c>
      <c r="D14" s="2">
        <v>2020</v>
      </c>
      <c r="E14" s="4">
        <f>Hotel!Q19</f>
        <v>1050</v>
      </c>
      <c r="F14" s="4">
        <f>Hotel!R19</f>
        <v>14500</v>
      </c>
      <c r="G14" s="4">
        <f>Hotel!S19</f>
        <v>3710</v>
      </c>
      <c r="H14" s="4">
        <f>Hotel!T19</f>
        <v>1670</v>
      </c>
      <c r="I14" s="4">
        <f>Hotel!U19</f>
        <v>4780</v>
      </c>
      <c r="J14" s="4">
        <f>Hotel!V19</f>
        <v>3300</v>
      </c>
      <c r="K14" s="4">
        <f>Hotel!W19</f>
        <v>2470</v>
      </c>
      <c r="L14" s="4">
        <f>Hotel!X19</f>
        <v>3350</v>
      </c>
      <c r="M14" s="4">
        <f>Hotel!Y19</f>
        <v>4710</v>
      </c>
      <c r="N14" s="4">
        <f>Hotel!Z19</f>
        <v>2720</v>
      </c>
      <c r="O14" s="4">
        <f>Hotel!AA19</f>
        <v>3390</v>
      </c>
      <c r="P14" s="4">
        <f>Hotel!AB19</f>
        <v>8090</v>
      </c>
      <c r="Q14" s="4">
        <f>Hotel!AC19</f>
        <v>9260</v>
      </c>
      <c r="R14" s="4">
        <f>Hotel!AV19*0.00378541*100</f>
        <v>898.27779299999997</v>
      </c>
      <c r="S14" s="4">
        <f>Hotel!B19</f>
        <v>89</v>
      </c>
    </row>
    <row r="15" spans="1:19" x14ac:dyDescent="0.25">
      <c r="A15" s="21" t="s">
        <v>31</v>
      </c>
      <c r="B15" s="2">
        <f t="shared" si="0"/>
        <v>14</v>
      </c>
      <c r="C15" s="10">
        <v>9</v>
      </c>
      <c r="D15" s="2">
        <v>2020</v>
      </c>
      <c r="E15" s="4">
        <f>Hotel!Q20</f>
        <v>960</v>
      </c>
      <c r="F15" s="4">
        <f>Hotel!R20</f>
        <v>13050</v>
      </c>
      <c r="G15" s="4">
        <f>Hotel!S20</f>
        <v>3310</v>
      </c>
      <c r="H15" s="4">
        <f>Hotel!T20</f>
        <v>1530</v>
      </c>
      <c r="I15" s="4">
        <f>Hotel!U20</f>
        <v>4320</v>
      </c>
      <c r="J15" s="4">
        <f>Hotel!V20</f>
        <v>3090</v>
      </c>
      <c r="K15" s="4">
        <f>Hotel!W20</f>
        <v>2310</v>
      </c>
      <c r="L15" s="4">
        <f>Hotel!X20</f>
        <v>3340</v>
      </c>
      <c r="M15" s="4">
        <f>Hotel!Y20</f>
        <v>6440</v>
      </c>
      <c r="N15" s="4">
        <f>Hotel!Z20</f>
        <v>2490</v>
      </c>
      <c r="O15" s="4">
        <f>Hotel!AA20</f>
        <v>3090</v>
      </c>
      <c r="P15" s="4">
        <f>Hotel!AB20</f>
        <v>10260</v>
      </c>
      <c r="Q15" s="4">
        <f>Hotel!AC20</f>
        <v>8870</v>
      </c>
      <c r="R15" s="4">
        <f>Hotel!AV20*0.00378541*100</f>
        <v>1008.054683</v>
      </c>
      <c r="S15" s="4">
        <f>Hotel!B20</f>
        <v>84</v>
      </c>
    </row>
    <row r="16" spans="1:19" x14ac:dyDescent="0.25">
      <c r="A16" s="21" t="s">
        <v>31</v>
      </c>
      <c r="B16" s="2">
        <f t="shared" si="0"/>
        <v>15</v>
      </c>
      <c r="C16" s="10">
        <v>9</v>
      </c>
      <c r="D16" s="2">
        <v>2020</v>
      </c>
      <c r="E16" s="4">
        <f>Hotel!Q21</f>
        <v>1020</v>
      </c>
      <c r="F16" s="4">
        <f>Hotel!R21</f>
        <v>13900</v>
      </c>
      <c r="G16" s="4">
        <f>Hotel!S21</f>
        <v>3530</v>
      </c>
      <c r="H16" s="4">
        <f>Hotel!T21</f>
        <v>1620</v>
      </c>
      <c r="I16" s="4">
        <f>Hotel!U21</f>
        <v>4460</v>
      </c>
      <c r="J16" s="4">
        <f>Hotel!V21</f>
        <v>3230</v>
      </c>
      <c r="K16" s="4">
        <f>Hotel!W21</f>
        <v>2400</v>
      </c>
      <c r="L16" s="4">
        <f>Hotel!X21</f>
        <v>3660</v>
      </c>
      <c r="M16" s="4">
        <f>Hotel!Y21</f>
        <v>2530</v>
      </c>
      <c r="N16" s="4">
        <f>Hotel!Z21</f>
        <v>2760</v>
      </c>
      <c r="O16" s="4">
        <f>Hotel!AA21</f>
        <v>3020</v>
      </c>
      <c r="P16" s="4">
        <f>Hotel!AB21</f>
        <v>3720</v>
      </c>
      <c r="Q16" s="4">
        <f>Hotel!AC21</f>
        <v>9190</v>
      </c>
      <c r="R16" s="4">
        <f>Hotel!AV21*0.00378541*100</f>
        <v>874.42970999999989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9</v>
      </c>
      <c r="D17" s="2">
        <v>2020</v>
      </c>
      <c r="E17" s="4">
        <f>Hotel!Q22</f>
        <v>970</v>
      </c>
      <c r="F17" s="4">
        <f>Hotel!R22</f>
        <v>15060</v>
      </c>
      <c r="G17" s="4">
        <f>Hotel!S22</f>
        <v>4000</v>
      </c>
      <c r="H17" s="4">
        <f>Hotel!T22</f>
        <v>1570</v>
      </c>
      <c r="I17" s="4">
        <f>Hotel!U22</f>
        <v>4560</v>
      </c>
      <c r="J17" s="4">
        <f>Hotel!V22</f>
        <v>3100</v>
      </c>
      <c r="K17" s="4">
        <f>Hotel!W22</f>
        <v>2350</v>
      </c>
      <c r="L17" s="4">
        <f>Hotel!X22</f>
        <v>3770</v>
      </c>
      <c r="M17" s="4">
        <f>Hotel!Y22</f>
        <v>4540</v>
      </c>
      <c r="N17" s="4">
        <f>Hotel!Z22</f>
        <v>2810</v>
      </c>
      <c r="O17" s="4">
        <f>Hotel!AA22</f>
        <v>2960</v>
      </c>
      <c r="P17" s="4">
        <f>Hotel!AB22</f>
        <v>6680</v>
      </c>
      <c r="Q17" s="4">
        <f>Hotel!AC22</f>
        <v>7680</v>
      </c>
      <c r="R17" s="4">
        <f>Hotel!AV22*0.00378541*100</f>
        <v>830.14041299999997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9</v>
      </c>
      <c r="D18" s="2">
        <v>2020</v>
      </c>
      <c r="E18" s="4">
        <f>Hotel!Q23</f>
        <v>1070</v>
      </c>
      <c r="F18" s="4">
        <f>Hotel!R23</f>
        <v>15840</v>
      </c>
      <c r="G18" s="4">
        <f>Hotel!S23</f>
        <v>4120</v>
      </c>
      <c r="H18" s="4">
        <f>Hotel!T23</f>
        <v>1710</v>
      </c>
      <c r="I18" s="4">
        <f>Hotel!U23</f>
        <v>4840</v>
      </c>
      <c r="J18" s="4">
        <f>Hotel!V23</f>
        <v>3500</v>
      </c>
      <c r="K18" s="4">
        <f>Hotel!W23</f>
        <v>2620</v>
      </c>
      <c r="L18" s="4">
        <f>Hotel!X23</f>
        <v>4110</v>
      </c>
      <c r="M18" s="4">
        <f>Hotel!Y23</f>
        <v>5080</v>
      </c>
      <c r="N18" s="4">
        <f>Hotel!Z23</f>
        <v>3120</v>
      </c>
      <c r="O18" s="4">
        <f>Hotel!AA23</f>
        <v>3640</v>
      </c>
      <c r="P18" s="4">
        <f>Hotel!AB23</f>
        <v>7400</v>
      </c>
      <c r="Q18" s="4">
        <f>Hotel!AC23</f>
        <v>8810</v>
      </c>
      <c r="R18" s="4">
        <f>Hotel!AV23*0.00378541*100</f>
        <v>828.24770799999999</v>
      </c>
      <c r="S18" s="4">
        <f>Hotel!B23</f>
        <v>181</v>
      </c>
    </row>
    <row r="19" spans="1:19" x14ac:dyDescent="0.25">
      <c r="A19" s="21" t="s">
        <v>31</v>
      </c>
      <c r="B19" s="2">
        <f t="shared" si="0"/>
        <v>18</v>
      </c>
      <c r="C19" s="10">
        <v>9</v>
      </c>
      <c r="D19" s="2">
        <v>2020</v>
      </c>
      <c r="E19" s="4">
        <f>Hotel!Q24</f>
        <v>930</v>
      </c>
      <c r="F19" s="4">
        <f>Hotel!R24</f>
        <v>12470</v>
      </c>
      <c r="G19" s="4">
        <f>Hotel!S24</f>
        <v>3170</v>
      </c>
      <c r="H19" s="4">
        <f>Hotel!T24</f>
        <v>1460</v>
      </c>
      <c r="I19" s="4">
        <f>Hotel!U24</f>
        <v>4570</v>
      </c>
      <c r="J19" s="4">
        <f>Hotel!V24</f>
        <v>2980</v>
      </c>
      <c r="K19" s="4">
        <f>Hotel!W24</f>
        <v>2180</v>
      </c>
      <c r="L19" s="4">
        <f>Hotel!X24</f>
        <v>3460</v>
      </c>
      <c r="M19" s="4">
        <f>Hotel!Y24</f>
        <v>4520</v>
      </c>
      <c r="N19" s="4">
        <f>Hotel!Z24</f>
        <v>2840</v>
      </c>
      <c r="O19" s="4">
        <f>Hotel!AA24</f>
        <v>3390</v>
      </c>
      <c r="P19" s="4">
        <f>Hotel!AB24</f>
        <v>6410</v>
      </c>
      <c r="Q19" s="4">
        <f>Hotel!AC24</f>
        <v>7560</v>
      </c>
      <c r="R19" s="4">
        <f>Hotel!AV24*0.00378541*100</f>
        <v>901.68466199999989</v>
      </c>
      <c r="S19" s="4">
        <f>Hotel!B24</f>
        <v>187</v>
      </c>
    </row>
    <row r="20" spans="1:19" x14ac:dyDescent="0.25">
      <c r="A20" s="21" t="s">
        <v>31</v>
      </c>
      <c r="B20" s="2">
        <f t="shared" si="0"/>
        <v>19</v>
      </c>
      <c r="C20" s="10">
        <v>9</v>
      </c>
      <c r="D20" s="2">
        <v>2020</v>
      </c>
      <c r="E20" s="4">
        <f>Hotel!Q25</f>
        <v>1020</v>
      </c>
      <c r="F20" s="4">
        <f>Hotel!R25</f>
        <v>13590</v>
      </c>
      <c r="G20" s="4">
        <f>Hotel!S25</f>
        <v>3410</v>
      </c>
      <c r="H20" s="4">
        <f>Hotel!T25</f>
        <v>1610</v>
      </c>
      <c r="I20" s="4">
        <f>Hotel!U25</f>
        <v>5060</v>
      </c>
      <c r="J20" s="4">
        <f>Hotel!V25</f>
        <v>3320</v>
      </c>
      <c r="K20" s="4">
        <f>Hotel!W25</f>
        <v>2430</v>
      </c>
      <c r="L20" s="4">
        <f>Hotel!X25</f>
        <v>3880</v>
      </c>
      <c r="M20" s="4">
        <f>Hotel!Y25</f>
        <v>5020</v>
      </c>
      <c r="N20" s="4">
        <f>Hotel!Z25</f>
        <v>2880</v>
      </c>
      <c r="O20" s="4">
        <f>Hotel!AA25</f>
        <v>3590</v>
      </c>
      <c r="P20" s="4">
        <f>Hotel!AB25</f>
        <v>7040</v>
      </c>
      <c r="Q20" s="4">
        <f>Hotel!AC25</f>
        <v>9110</v>
      </c>
      <c r="R20" s="4">
        <f>Hotel!AV25*0.00378541*100</f>
        <v>874.05116899999996</v>
      </c>
      <c r="S20" s="4">
        <f>Hotel!B25</f>
        <v>115</v>
      </c>
    </row>
    <row r="21" spans="1:19" x14ac:dyDescent="0.25">
      <c r="A21" s="21" t="s">
        <v>31</v>
      </c>
      <c r="B21" s="2">
        <f t="shared" si="0"/>
        <v>20</v>
      </c>
      <c r="C21" s="10">
        <v>9</v>
      </c>
      <c r="D21" s="2">
        <v>2020</v>
      </c>
      <c r="E21" s="4">
        <f>Hotel!Q26</f>
        <v>980</v>
      </c>
      <c r="F21" s="4">
        <f>Hotel!R26</f>
        <v>13210</v>
      </c>
      <c r="G21" s="4">
        <f>Hotel!S26</f>
        <v>3340</v>
      </c>
      <c r="H21" s="4">
        <f>Hotel!T26</f>
        <v>1530</v>
      </c>
      <c r="I21" s="4">
        <f>Hotel!U26</f>
        <v>4390</v>
      </c>
      <c r="J21" s="4">
        <f>Hotel!V26</f>
        <v>3080</v>
      </c>
      <c r="K21" s="4">
        <f>Hotel!W26</f>
        <v>2280</v>
      </c>
      <c r="L21" s="4">
        <f>Hotel!X26</f>
        <v>3280</v>
      </c>
      <c r="M21" s="4">
        <f>Hotel!Y26</f>
        <v>4460</v>
      </c>
      <c r="N21" s="4">
        <f>Hotel!Z26</f>
        <v>2610</v>
      </c>
      <c r="O21" s="4">
        <f>Hotel!AA26</f>
        <v>3070</v>
      </c>
      <c r="P21" s="4">
        <f>Hotel!AB26</f>
        <v>6560</v>
      </c>
      <c r="Q21" s="4">
        <f>Hotel!AC26</f>
        <v>9920</v>
      </c>
      <c r="R21" s="4">
        <f>Hotel!AV26*0.00378541*100</f>
        <v>883.13615300000004</v>
      </c>
      <c r="S21" s="4">
        <f>Hotel!B26</f>
        <v>176</v>
      </c>
    </row>
    <row r="22" spans="1:19" x14ac:dyDescent="0.25">
      <c r="A22" s="21" t="s">
        <v>31</v>
      </c>
      <c r="B22" s="2">
        <f t="shared" si="0"/>
        <v>21</v>
      </c>
      <c r="C22" s="10">
        <v>9</v>
      </c>
      <c r="D22" s="2">
        <v>2020</v>
      </c>
      <c r="E22" s="4">
        <f>Hotel!Q27</f>
        <v>990</v>
      </c>
      <c r="F22" s="4">
        <f>Hotel!R27</f>
        <v>13490</v>
      </c>
      <c r="G22" s="4">
        <f>Hotel!S27</f>
        <v>3400</v>
      </c>
      <c r="H22" s="4">
        <f>Hotel!T27</f>
        <v>1590</v>
      </c>
      <c r="I22" s="4">
        <f>Hotel!U27</f>
        <v>4550</v>
      </c>
      <c r="J22" s="4">
        <f>Hotel!V27</f>
        <v>3240</v>
      </c>
      <c r="K22" s="4">
        <f>Hotel!W27</f>
        <v>2350</v>
      </c>
      <c r="L22" s="4">
        <f>Hotel!X27</f>
        <v>3520</v>
      </c>
      <c r="M22" s="4">
        <f>Hotel!Y27</f>
        <v>4600</v>
      </c>
      <c r="N22" s="4">
        <f>Hotel!Z27</f>
        <v>2600</v>
      </c>
      <c r="O22" s="4">
        <f>Hotel!AA27</f>
        <v>2940</v>
      </c>
      <c r="P22" s="4">
        <f>Hotel!AB27</f>
        <v>6720</v>
      </c>
      <c r="Q22" s="4">
        <f>Hotel!AC27</f>
        <v>10240</v>
      </c>
      <c r="R22" s="4">
        <f>Hotel!AV27*0.00378541*100</f>
        <v>923.26149899999996</v>
      </c>
      <c r="S22" s="4">
        <f>Hotel!B27</f>
        <v>117</v>
      </c>
    </row>
    <row r="23" spans="1:19" x14ac:dyDescent="0.25">
      <c r="A23" s="21" t="s">
        <v>31</v>
      </c>
      <c r="B23" s="2">
        <f t="shared" si="0"/>
        <v>22</v>
      </c>
      <c r="C23" s="10">
        <v>9</v>
      </c>
      <c r="D23" s="2">
        <v>2020</v>
      </c>
      <c r="E23" s="4">
        <f>Hotel!Q28</f>
        <v>1030</v>
      </c>
      <c r="F23" s="4">
        <f>Hotel!R28</f>
        <v>13670</v>
      </c>
      <c r="G23" s="4">
        <f>Hotel!S28</f>
        <v>3430</v>
      </c>
      <c r="H23" s="4">
        <f>Hotel!T28</f>
        <v>1620</v>
      </c>
      <c r="I23" s="4">
        <f>Hotel!U28</f>
        <v>5050</v>
      </c>
      <c r="J23" s="4">
        <f>Hotel!V28</f>
        <v>3160</v>
      </c>
      <c r="K23" s="4">
        <f>Hotel!W28</f>
        <v>2440</v>
      </c>
      <c r="L23" s="4">
        <f>Hotel!X28</f>
        <v>3550</v>
      </c>
      <c r="M23" s="4">
        <f>Hotel!Y28</f>
        <v>4710</v>
      </c>
      <c r="N23" s="4">
        <f>Hotel!Z28</f>
        <v>2810</v>
      </c>
      <c r="O23" s="4">
        <f>Hotel!AA28</f>
        <v>3190</v>
      </c>
      <c r="P23" s="4">
        <f>Hotel!AB28</f>
        <v>6950</v>
      </c>
      <c r="Q23" s="4">
        <f>Hotel!AC28</f>
        <v>9410</v>
      </c>
      <c r="R23" s="4">
        <f>Hotel!AV28*0.00378541*100</f>
        <v>851.71724999999992</v>
      </c>
      <c r="S23" s="4">
        <f>Hotel!B28</f>
        <v>110</v>
      </c>
    </row>
    <row r="24" spans="1:19" x14ac:dyDescent="0.25">
      <c r="A24" s="21" t="s">
        <v>31</v>
      </c>
      <c r="B24" s="2">
        <f t="shared" si="0"/>
        <v>23</v>
      </c>
      <c r="C24" s="10">
        <v>9</v>
      </c>
      <c r="D24" s="2">
        <v>2020</v>
      </c>
      <c r="E24" s="4">
        <f>Hotel!Q29</f>
        <v>1050</v>
      </c>
      <c r="F24" s="4">
        <f>Hotel!R29</f>
        <v>14180</v>
      </c>
      <c r="G24" s="4">
        <f>Hotel!S29</f>
        <v>3600</v>
      </c>
      <c r="H24" s="4">
        <f>Hotel!T29</f>
        <v>1650</v>
      </c>
      <c r="I24" s="4">
        <f>Hotel!U29</f>
        <v>5120</v>
      </c>
      <c r="J24" s="4">
        <f>Hotel!V29</f>
        <v>3220</v>
      </c>
      <c r="K24" s="4">
        <f>Hotel!W29</f>
        <v>2480</v>
      </c>
      <c r="L24" s="4">
        <f>Hotel!X29</f>
        <v>3640</v>
      </c>
      <c r="M24" s="4">
        <f>Hotel!Y29</f>
        <v>4750</v>
      </c>
      <c r="N24" s="4">
        <f>Hotel!Z29</f>
        <v>2840</v>
      </c>
      <c r="O24" s="4">
        <f>Hotel!AA29</f>
        <v>3240</v>
      </c>
      <c r="P24" s="4">
        <f>Hotel!AB29</f>
        <v>7330</v>
      </c>
      <c r="Q24" s="4">
        <f>Hotel!AC29</f>
        <v>9180</v>
      </c>
      <c r="R24" s="4">
        <f>Hotel!AV29*0.00378541*100</f>
        <v>969.06496000000004</v>
      </c>
      <c r="S24" s="4">
        <f>Hotel!B29</f>
        <v>111</v>
      </c>
    </row>
    <row r="25" spans="1:19" x14ac:dyDescent="0.25">
      <c r="A25" s="21" t="s">
        <v>31</v>
      </c>
      <c r="B25" s="2">
        <f t="shared" si="0"/>
        <v>24</v>
      </c>
      <c r="C25" s="10">
        <v>9</v>
      </c>
      <c r="D25" s="2">
        <v>2020</v>
      </c>
      <c r="E25" s="4">
        <f>Hotel!Q30</f>
        <v>970</v>
      </c>
      <c r="F25" s="4">
        <f>Hotel!R30</f>
        <v>13050</v>
      </c>
      <c r="G25" s="4">
        <f>Hotel!S30</f>
        <v>3290</v>
      </c>
      <c r="H25" s="4">
        <f>Hotel!T30</f>
        <v>1540</v>
      </c>
      <c r="I25" s="4">
        <f>Hotel!U30</f>
        <v>4700</v>
      </c>
      <c r="J25" s="4">
        <f>Hotel!V30</f>
        <v>3070</v>
      </c>
      <c r="K25" s="4">
        <f>Hotel!W30</f>
        <v>2310</v>
      </c>
      <c r="L25" s="4">
        <f>Hotel!X30</f>
        <v>3540</v>
      </c>
      <c r="M25" s="4">
        <f>Hotel!Y30</f>
        <v>4550</v>
      </c>
      <c r="N25" s="4">
        <f>Hotel!Z30</f>
        <v>2930</v>
      </c>
      <c r="O25" s="4">
        <f>Hotel!AA30</f>
        <v>3370</v>
      </c>
      <c r="P25" s="4">
        <f>Hotel!AB30</f>
        <v>6910</v>
      </c>
      <c r="Q25" s="4">
        <f>Hotel!AC30</f>
        <v>9340</v>
      </c>
      <c r="R25" s="4">
        <f>Hotel!AV30*0.00378541*100</f>
        <v>925.91128600000002</v>
      </c>
      <c r="S25" s="4">
        <f>Hotel!B30</f>
        <v>192</v>
      </c>
    </row>
    <row r="26" spans="1:19" x14ac:dyDescent="0.25">
      <c r="A26" s="21" t="s">
        <v>31</v>
      </c>
      <c r="B26" s="2">
        <f>B25+1</f>
        <v>25</v>
      </c>
      <c r="C26" s="10">
        <v>9</v>
      </c>
      <c r="D26" s="2">
        <v>2020</v>
      </c>
      <c r="E26" s="4">
        <f>Hotel!Q31</f>
        <v>1000</v>
      </c>
      <c r="F26" s="4">
        <f>Hotel!R31</f>
        <v>13910</v>
      </c>
      <c r="G26" s="4">
        <f>Hotel!S31</f>
        <v>3520</v>
      </c>
      <c r="H26" s="4">
        <f>Hotel!T31</f>
        <v>1610</v>
      </c>
      <c r="I26" s="4">
        <f>Hotel!U31</f>
        <v>5070</v>
      </c>
      <c r="J26" s="4">
        <f>Hotel!V31</f>
        <v>3330</v>
      </c>
      <c r="K26" s="4">
        <f>Hotel!W31</f>
        <v>2400</v>
      </c>
      <c r="L26" s="4">
        <f>Hotel!X31</f>
        <v>3730</v>
      </c>
      <c r="M26" s="4">
        <f>Hotel!Y31</f>
        <v>4850</v>
      </c>
      <c r="N26" s="4">
        <f>Hotel!Z31</f>
        <v>3180</v>
      </c>
      <c r="O26" s="4">
        <f>Hotel!AA31</f>
        <v>3850</v>
      </c>
      <c r="P26" s="4">
        <f>Hotel!AB31</f>
        <v>7410</v>
      </c>
      <c r="Q26" s="4">
        <f>Hotel!AC31</f>
        <v>9400</v>
      </c>
      <c r="R26" s="4">
        <f>Hotel!AV31*0.00378541*100</f>
        <v>1077.3276859999999</v>
      </c>
      <c r="S26" s="4">
        <f>Hotel!B31</f>
        <v>206</v>
      </c>
    </row>
    <row r="27" spans="1:19" x14ac:dyDescent="0.25">
      <c r="A27" s="21" t="s">
        <v>31</v>
      </c>
      <c r="B27" s="2">
        <f t="shared" si="0"/>
        <v>26</v>
      </c>
      <c r="C27" s="10">
        <v>9</v>
      </c>
      <c r="D27" s="2">
        <v>2020</v>
      </c>
      <c r="E27" s="4">
        <f>Hotel!Q32</f>
        <v>1030</v>
      </c>
      <c r="F27" s="4">
        <f>Hotel!R32</f>
        <v>14010</v>
      </c>
      <c r="G27" s="4">
        <f>Hotel!S32</f>
        <v>3550</v>
      </c>
      <c r="H27" s="4">
        <f>Hotel!T32</f>
        <v>1640</v>
      </c>
      <c r="I27" s="4">
        <f>Hotel!U32</f>
        <v>5150</v>
      </c>
      <c r="J27" s="4">
        <f>Hotel!V32</f>
        <v>3340</v>
      </c>
      <c r="K27" s="4">
        <f>Hotel!W32</f>
        <v>2450</v>
      </c>
      <c r="L27" s="4">
        <f>Hotel!X32</f>
        <v>3750</v>
      </c>
      <c r="M27" s="4">
        <f>Hotel!Y32</f>
        <v>4830</v>
      </c>
      <c r="N27" s="4">
        <f>Hotel!Z32</f>
        <v>3030</v>
      </c>
      <c r="O27" s="4">
        <f>Hotel!AA32</f>
        <v>3740</v>
      </c>
      <c r="P27" s="4">
        <f>Hotel!AB32</f>
        <v>7440</v>
      </c>
      <c r="Q27" s="4">
        <f>Hotel!AC32</f>
        <v>8540</v>
      </c>
      <c r="R27" s="4">
        <f>Hotel!AV32*0.00378541*100</f>
        <v>956.1945659999999</v>
      </c>
      <c r="S27" s="4">
        <f>Hotel!B32</f>
        <v>117</v>
      </c>
    </row>
    <row r="28" spans="1:19" x14ac:dyDescent="0.25">
      <c r="A28" s="21" t="s">
        <v>31</v>
      </c>
      <c r="B28" s="2">
        <f t="shared" si="0"/>
        <v>27</v>
      </c>
      <c r="C28" s="10">
        <v>9</v>
      </c>
      <c r="D28" s="2">
        <v>2020</v>
      </c>
      <c r="E28" s="4">
        <f>Hotel!Q33</f>
        <v>960</v>
      </c>
      <c r="F28" s="4">
        <f>Hotel!R33</f>
        <v>13010</v>
      </c>
      <c r="G28" s="4">
        <f>Hotel!S33</f>
        <v>3310</v>
      </c>
      <c r="H28" s="4">
        <f>Hotel!T33</f>
        <v>1530</v>
      </c>
      <c r="I28" s="4">
        <f>Hotel!U33</f>
        <v>4580</v>
      </c>
      <c r="J28" s="4">
        <f>Hotel!V33</f>
        <v>2990</v>
      </c>
      <c r="K28" s="4">
        <f>Hotel!W33</f>
        <v>2250</v>
      </c>
      <c r="L28" s="4">
        <f>Hotel!X33</f>
        <v>3030</v>
      </c>
      <c r="M28" s="4">
        <f>Hotel!Y33</f>
        <v>4400</v>
      </c>
      <c r="N28" s="4">
        <f>Hotel!Z33</f>
        <v>2660</v>
      </c>
      <c r="O28" s="4">
        <f>Hotel!AA33</f>
        <v>3380</v>
      </c>
      <c r="P28" s="4">
        <f>Hotel!AB33</f>
        <v>6790</v>
      </c>
      <c r="Q28" s="4">
        <f>Hotel!AC33</f>
        <v>8840</v>
      </c>
      <c r="R28" s="4">
        <f>Hotel!AV33*0.00378541*100</f>
        <v>1090.1980800000001</v>
      </c>
      <c r="S28" s="4">
        <f>Hotel!B33</f>
        <v>104</v>
      </c>
    </row>
    <row r="29" spans="1:19" x14ac:dyDescent="0.25">
      <c r="A29" s="21" t="s">
        <v>31</v>
      </c>
      <c r="B29" s="2">
        <f t="shared" si="0"/>
        <v>28</v>
      </c>
      <c r="C29" s="10">
        <v>9</v>
      </c>
      <c r="D29" s="2">
        <v>2020</v>
      </c>
      <c r="E29" s="4" t="str">
        <f>Hotel!Q34</f>
        <v>0</v>
      </c>
      <c r="F29" s="4" t="str">
        <f>Hotel!R34</f>
        <v>0</v>
      </c>
      <c r="G29" s="4" t="str">
        <f>Hotel!S34</f>
        <v>0</v>
      </c>
      <c r="H29" s="4" t="str">
        <f>Hotel!T34</f>
        <v>0</v>
      </c>
      <c r="I29" s="4" t="str">
        <f>Hotel!U34</f>
        <v>0</v>
      </c>
      <c r="J29" s="4" t="str">
        <f>Hotel!V34</f>
        <v>0</v>
      </c>
      <c r="K29" s="4" t="str">
        <f>Hotel!W34</f>
        <v>0</v>
      </c>
      <c r="L29" s="4" t="str">
        <f>Hotel!X34</f>
        <v>0</v>
      </c>
      <c r="M29" s="4" t="str">
        <f>Hotel!Y34</f>
        <v>0</v>
      </c>
      <c r="N29" s="4" t="str">
        <f>Hotel!Z34</f>
        <v>0</v>
      </c>
      <c r="O29" s="4" t="str">
        <f>Hotel!AA34</f>
        <v>0</v>
      </c>
      <c r="P29" s="4">
        <f>Hotel!AB34</f>
        <v>0</v>
      </c>
      <c r="Q29" s="4" t="str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9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9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9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Q3" zoomScale="93" zoomScaleNormal="93" workbookViewId="0">
      <selection activeCell="AA26" sqref="AA26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0.7109375" style="2" bestFit="1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44074</v>
      </c>
      <c r="B2" s="40">
        <v>93</v>
      </c>
      <c r="C2" s="24">
        <v>6343020</v>
      </c>
      <c r="D2" s="24">
        <v>13910610</v>
      </c>
      <c r="E2" s="24">
        <v>1970900</v>
      </c>
      <c r="F2" s="24">
        <v>2999640</v>
      </c>
      <c r="G2" s="24">
        <v>9102010</v>
      </c>
      <c r="H2" s="24">
        <v>4608470</v>
      </c>
      <c r="I2" s="24">
        <v>4417990</v>
      </c>
      <c r="J2" s="24">
        <v>4934080</v>
      </c>
      <c r="K2" s="24">
        <v>7769680</v>
      </c>
      <c r="L2" s="24">
        <v>3116990</v>
      </c>
      <c r="M2" s="24">
        <v>6974360</v>
      </c>
      <c r="N2" s="24">
        <v>10113550</v>
      </c>
      <c r="O2" s="24">
        <v>13675080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135187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135187</v>
      </c>
    </row>
    <row r="7" spans="1:49" x14ac:dyDescent="0.25">
      <c r="A7" s="23">
        <v>44075</v>
      </c>
      <c r="B7" s="40">
        <v>94</v>
      </c>
      <c r="C7" s="24">
        <v>6344020</v>
      </c>
      <c r="D7" s="24">
        <v>13926460</v>
      </c>
      <c r="E7" s="24">
        <v>1975160</v>
      </c>
      <c r="F7" s="24">
        <v>3001260</v>
      </c>
      <c r="G7" s="24">
        <v>9106810</v>
      </c>
      <c r="H7" s="24">
        <v>4611380</v>
      </c>
      <c r="I7" s="24">
        <v>4420350</v>
      </c>
      <c r="J7" s="24">
        <v>4936930</v>
      </c>
      <c r="K7" s="24">
        <v>7774190</v>
      </c>
      <c r="L7" s="24">
        <v>3119630</v>
      </c>
      <c r="M7" s="24">
        <v>6977490</v>
      </c>
      <c r="N7" s="24">
        <v>10119810</v>
      </c>
      <c r="O7" s="24">
        <v>13683720</v>
      </c>
      <c r="Q7" s="37">
        <f>IF((C7-C2&lt;0), "0",C7-C2)</f>
        <v>1000</v>
      </c>
      <c r="R7" s="37">
        <f t="shared" ref="R7:AC7" si="0">IF((D7-D2&lt;0), "0",D7-D2)</f>
        <v>15850</v>
      </c>
      <c r="S7" s="37">
        <f>IF((E7-E2&lt;0), "0",E7-E2)</f>
        <v>4260</v>
      </c>
      <c r="T7" s="37">
        <f t="shared" si="0"/>
        <v>1620</v>
      </c>
      <c r="U7" s="37">
        <f t="shared" si="0"/>
        <v>4800</v>
      </c>
      <c r="V7" s="37">
        <f t="shared" si="0"/>
        <v>2910</v>
      </c>
      <c r="W7" s="37">
        <f t="shared" si="0"/>
        <v>2360</v>
      </c>
      <c r="X7" s="37">
        <f t="shared" si="0"/>
        <v>2850</v>
      </c>
      <c r="Y7" s="37">
        <f t="shared" si="0"/>
        <v>4510</v>
      </c>
      <c r="Z7" s="37">
        <f t="shared" si="0"/>
        <v>2640</v>
      </c>
      <c r="AA7" s="37">
        <f t="shared" si="0"/>
        <v>3130</v>
      </c>
      <c r="AB7" s="37">
        <f t="shared" si="0"/>
        <v>6260</v>
      </c>
      <c r="AC7" s="37">
        <f t="shared" si="0"/>
        <v>8640</v>
      </c>
      <c r="AD7" s="34">
        <f>SUM(Q7:AC7)</f>
        <v>60830</v>
      </c>
      <c r="AF7" s="20">
        <f t="shared" ref="AF7:AF36" si="1">Q7*$D$39</f>
        <v>5</v>
      </c>
      <c r="AG7" s="20">
        <f t="shared" ref="AG7:AG36" si="2">R7*$D$39</f>
        <v>79.25</v>
      </c>
      <c r="AH7" s="20">
        <f t="shared" ref="AH7:AH36" si="3">S7*$D$39</f>
        <v>21.3</v>
      </c>
      <c r="AI7" s="20">
        <f t="shared" ref="AI7:AI36" si="4">T7*$D$39</f>
        <v>8.1</v>
      </c>
      <c r="AJ7" s="20">
        <f t="shared" ref="AJ7:AJ36" si="5">U7*$D$39</f>
        <v>24</v>
      </c>
      <c r="AK7" s="20">
        <f t="shared" ref="AK7:AK36" si="6">V7*$D$39</f>
        <v>14.55</v>
      </c>
      <c r="AL7" s="20">
        <f t="shared" ref="AL7:AL36" si="7">W7*$D$39</f>
        <v>11.8</v>
      </c>
      <c r="AM7" s="20">
        <f t="shared" ref="AM7:AM36" si="8">X7*$D$39</f>
        <v>14.25</v>
      </c>
      <c r="AN7" s="20">
        <f t="shared" ref="AN7:AN36" si="9">Y7*$D$39</f>
        <v>22.55</v>
      </c>
      <c r="AO7" s="20">
        <f t="shared" ref="AO7:AO36" si="10">Z7*$D$39</f>
        <v>13.200000000000001</v>
      </c>
      <c r="AP7" s="20">
        <f t="shared" ref="AP7:AP36" si="11">AA7*$D$39</f>
        <v>15.65</v>
      </c>
      <c r="AQ7" s="20">
        <f t="shared" ref="AQ7:AQ36" si="12">AB7*$D$39</f>
        <v>31.3</v>
      </c>
      <c r="AR7" s="20">
        <f t="shared" ref="AR7:AR36" si="13">AC7*$D$39</f>
        <v>43.2</v>
      </c>
      <c r="AS7" s="35">
        <f>SUM(AF7:AR7)</f>
        <v>304.14999999999998</v>
      </c>
      <c r="AU7" s="47">
        <v>138831</v>
      </c>
      <c r="AV7" s="37">
        <f>IF((AU7-AU6&lt;0),"0",AU7-AU6)</f>
        <v>3644</v>
      </c>
      <c r="AW7" s="50">
        <v>0</v>
      </c>
    </row>
    <row r="8" spans="1:49" x14ac:dyDescent="0.25">
      <c r="A8" s="23">
        <v>44076</v>
      </c>
      <c r="B8" s="40">
        <v>114</v>
      </c>
      <c r="C8" s="24">
        <v>6345000</v>
      </c>
      <c r="D8" s="24">
        <v>13941430</v>
      </c>
      <c r="E8" s="24">
        <v>1979150</v>
      </c>
      <c r="F8" s="24">
        <v>3002850</v>
      </c>
      <c r="G8" s="24">
        <v>9111450</v>
      </c>
      <c r="H8" s="24">
        <v>4614460</v>
      </c>
      <c r="I8" s="24">
        <v>4422630</v>
      </c>
      <c r="J8" s="24">
        <v>4939960</v>
      </c>
      <c r="K8" s="24">
        <v>7778500</v>
      </c>
      <c r="L8" s="24">
        <v>3122430</v>
      </c>
      <c r="M8" s="24">
        <v>6980630</v>
      </c>
      <c r="N8" s="24">
        <v>10126140</v>
      </c>
      <c r="O8" s="24">
        <v>13691470</v>
      </c>
      <c r="Q8" s="37">
        <f>IF((C8-C7&lt;0), "0",C8-C7)</f>
        <v>980</v>
      </c>
      <c r="R8" s="37">
        <f t="shared" ref="R8:AC8" si="14">IF((D8-D7&lt;0), "0",D8-D7)</f>
        <v>14970</v>
      </c>
      <c r="S8" s="37">
        <f t="shared" ref="S8:S35" si="15">IF((E8-E7&lt;0), "0",E8-E7)</f>
        <v>3990</v>
      </c>
      <c r="T8" s="37">
        <f t="shared" si="14"/>
        <v>1590</v>
      </c>
      <c r="U8" s="37">
        <f t="shared" si="14"/>
        <v>4640</v>
      </c>
      <c r="V8" s="37">
        <f t="shared" si="14"/>
        <v>3080</v>
      </c>
      <c r="W8" s="37">
        <f t="shared" si="14"/>
        <v>2280</v>
      </c>
      <c r="X8" s="37">
        <f t="shared" si="14"/>
        <v>3030</v>
      </c>
      <c r="Y8" s="37">
        <f t="shared" si="14"/>
        <v>4310</v>
      </c>
      <c r="Z8" s="37">
        <f t="shared" si="14"/>
        <v>2800</v>
      </c>
      <c r="AA8" s="37">
        <f t="shared" si="14"/>
        <v>3140</v>
      </c>
      <c r="AB8" s="37">
        <f t="shared" si="14"/>
        <v>6330</v>
      </c>
      <c r="AC8" s="37">
        <f t="shared" si="14"/>
        <v>7750</v>
      </c>
      <c r="AD8" s="35">
        <f>SUM(Q8:AC8)</f>
        <v>58890</v>
      </c>
      <c r="AF8" s="20">
        <f t="shared" si="1"/>
        <v>4.9000000000000004</v>
      </c>
      <c r="AG8" s="20">
        <f t="shared" si="2"/>
        <v>74.850000000000009</v>
      </c>
      <c r="AH8" s="20">
        <f t="shared" si="3"/>
        <v>19.95</v>
      </c>
      <c r="AI8" s="20">
        <f t="shared" si="4"/>
        <v>7.95</v>
      </c>
      <c r="AJ8" s="20">
        <f t="shared" si="5"/>
        <v>23.2</v>
      </c>
      <c r="AK8" s="20">
        <f t="shared" si="6"/>
        <v>15.4</v>
      </c>
      <c r="AL8" s="20">
        <f t="shared" si="7"/>
        <v>11.4</v>
      </c>
      <c r="AM8" s="20">
        <f t="shared" si="8"/>
        <v>15.15</v>
      </c>
      <c r="AN8" s="20">
        <f t="shared" si="9"/>
        <v>21.55</v>
      </c>
      <c r="AO8" s="20">
        <f t="shared" si="10"/>
        <v>14</v>
      </c>
      <c r="AP8" s="20">
        <f t="shared" si="11"/>
        <v>15.700000000000001</v>
      </c>
      <c r="AQ8" s="20">
        <f t="shared" si="12"/>
        <v>31.650000000000002</v>
      </c>
      <c r="AR8" s="20">
        <f t="shared" si="13"/>
        <v>38.75</v>
      </c>
      <c r="AS8" s="35">
        <f>SUM(AF8:AR8)</f>
        <v>294.45000000000005</v>
      </c>
      <c r="AU8" s="47">
        <v>140991</v>
      </c>
      <c r="AV8" s="37">
        <f>IF((AU8-AU7&lt;0),"0",AU8-AU7)</f>
        <v>2160</v>
      </c>
      <c r="AW8" s="35">
        <v>0</v>
      </c>
    </row>
    <row r="9" spans="1:49" x14ac:dyDescent="0.25">
      <c r="A9" s="23">
        <v>44077</v>
      </c>
      <c r="B9" s="40">
        <v>162</v>
      </c>
      <c r="C9" s="24">
        <v>6346060</v>
      </c>
      <c r="D9" s="24">
        <v>13956440</v>
      </c>
      <c r="E9" s="24">
        <v>1982990</v>
      </c>
      <c r="F9" s="24">
        <v>3004550</v>
      </c>
      <c r="G9" s="24">
        <v>9116620</v>
      </c>
      <c r="H9" s="24">
        <v>4617940</v>
      </c>
      <c r="I9" s="24">
        <v>4425130</v>
      </c>
      <c r="J9" s="24">
        <v>4943380</v>
      </c>
      <c r="K9" s="24">
        <v>7783580</v>
      </c>
      <c r="L9" s="24">
        <v>3125600</v>
      </c>
      <c r="M9" s="24">
        <v>6984380</v>
      </c>
      <c r="N9" s="24">
        <v>10133100</v>
      </c>
      <c r="O9" s="24">
        <v>13701210</v>
      </c>
      <c r="Q9" s="37">
        <f t="shared" ref="Q9:Q30" si="16">IF((C9-C8&lt;0), "0",C9-C8)</f>
        <v>1060</v>
      </c>
      <c r="R9" s="37">
        <f t="shared" ref="R9:R35" si="17">IF((D9-D8&lt;0), "0",D9-D8)</f>
        <v>15010</v>
      </c>
      <c r="S9" s="37">
        <f t="shared" si="15"/>
        <v>3840</v>
      </c>
      <c r="T9" s="37">
        <f t="shared" ref="T9:T35" si="18">IF((F9-F8&lt;0), "0",F9-F8)</f>
        <v>1700</v>
      </c>
      <c r="U9" s="37">
        <f t="shared" ref="U9:U35" si="19">IF((G9-G8&lt;0), "0",G9-G8)</f>
        <v>5170</v>
      </c>
      <c r="V9" s="37">
        <f t="shared" ref="V9:V35" si="20">IF((H9-H8&lt;0), "0",H9-H8)</f>
        <v>3480</v>
      </c>
      <c r="W9" s="37">
        <f t="shared" ref="W9:W35" si="21">IF((I9-I8&lt;0), "0",I9-I8)</f>
        <v>2500</v>
      </c>
      <c r="X9" s="37">
        <f t="shared" ref="X9:X35" si="22">IF((J9-J8&lt;0), "0",J9-J8)</f>
        <v>3420</v>
      </c>
      <c r="Y9" s="37">
        <f t="shared" ref="Y9:Y35" si="23">IF((K9-K8&lt;0), "0",K9-K8)</f>
        <v>5080</v>
      </c>
      <c r="Z9" s="37">
        <f t="shared" ref="Z9:Z35" si="24">IF((L9-L8&lt;0), "0",L9-L8)</f>
        <v>3170</v>
      </c>
      <c r="AA9" s="37">
        <f t="shared" ref="AA9:AA35" si="25">IF((M9-M8&lt;0), "0",M9-M8)</f>
        <v>3750</v>
      </c>
      <c r="AB9" s="37">
        <f t="shared" ref="AB9:AB37" si="26">IF((N9-N8&lt;0), "0",N9-N8)</f>
        <v>6960</v>
      </c>
      <c r="AC9" s="37">
        <f t="shared" ref="AC9:AC37" si="27">IF((O9-O8&lt;0), "0",O9-O8)</f>
        <v>9740</v>
      </c>
      <c r="AD9" s="35">
        <f t="shared" ref="AD9:AD37" si="28">SUM(Q9:AC9)</f>
        <v>64880</v>
      </c>
      <c r="AF9" s="20">
        <f t="shared" si="1"/>
        <v>5.3</v>
      </c>
      <c r="AG9" s="20">
        <f t="shared" si="2"/>
        <v>75.05</v>
      </c>
      <c r="AH9" s="20">
        <f t="shared" si="3"/>
        <v>19.2</v>
      </c>
      <c r="AI9" s="20">
        <f t="shared" si="4"/>
        <v>8.5</v>
      </c>
      <c r="AJ9" s="20">
        <f t="shared" si="5"/>
        <v>25.85</v>
      </c>
      <c r="AK9" s="20">
        <f t="shared" si="6"/>
        <v>17.400000000000002</v>
      </c>
      <c r="AL9" s="20">
        <f t="shared" si="7"/>
        <v>12.5</v>
      </c>
      <c r="AM9" s="20">
        <f t="shared" si="8"/>
        <v>17.100000000000001</v>
      </c>
      <c r="AN9" s="20">
        <f t="shared" si="9"/>
        <v>25.400000000000002</v>
      </c>
      <c r="AO9" s="20">
        <f t="shared" si="10"/>
        <v>15.85</v>
      </c>
      <c r="AP9" s="20">
        <f t="shared" si="11"/>
        <v>18.75</v>
      </c>
      <c r="AQ9" s="20">
        <f t="shared" si="12"/>
        <v>34.800000000000004</v>
      </c>
      <c r="AR9" s="20">
        <f t="shared" si="13"/>
        <v>48.7</v>
      </c>
      <c r="AS9" s="35">
        <f t="shared" ref="AS9:AS33" si="29">SUM(AF9:AR9)</f>
        <v>324.39999999999998</v>
      </c>
      <c r="AU9" s="47">
        <v>143890</v>
      </c>
      <c r="AV9" s="37">
        <f>IF((AU9-AU8&lt;0),"0",AU9-AU8)</f>
        <v>2899</v>
      </c>
      <c r="AW9" s="35">
        <f t="shared" ref="AW9:AW35" si="30">AV9*$D$40</f>
        <v>5.798</v>
      </c>
    </row>
    <row r="10" spans="1:49" x14ac:dyDescent="0.25">
      <c r="A10" s="23">
        <v>44078</v>
      </c>
      <c r="B10" s="40">
        <v>174</v>
      </c>
      <c r="C10" s="24">
        <v>6347020</v>
      </c>
      <c r="D10" s="24">
        <v>13970270</v>
      </c>
      <c r="E10" s="24">
        <v>1986560</v>
      </c>
      <c r="F10" s="24">
        <v>3006100</v>
      </c>
      <c r="G10" s="24">
        <v>9121590</v>
      </c>
      <c r="H10" s="24">
        <v>4621260</v>
      </c>
      <c r="I10" s="24">
        <v>4427410</v>
      </c>
      <c r="J10" s="24">
        <v>4946590</v>
      </c>
      <c r="K10" s="24">
        <v>7788340</v>
      </c>
      <c r="L10" s="24">
        <v>3128590</v>
      </c>
      <c r="M10" s="24">
        <v>6987820</v>
      </c>
      <c r="N10" s="24">
        <v>10139660</v>
      </c>
      <c r="O10" s="24">
        <v>13710200</v>
      </c>
      <c r="Q10" s="37">
        <f t="shared" si="16"/>
        <v>960</v>
      </c>
      <c r="R10" s="37">
        <f t="shared" si="17"/>
        <v>13830</v>
      </c>
      <c r="S10" s="37">
        <f t="shared" si="15"/>
        <v>3570</v>
      </c>
      <c r="T10" s="37">
        <f t="shared" si="18"/>
        <v>1550</v>
      </c>
      <c r="U10" s="37">
        <f t="shared" si="19"/>
        <v>4970</v>
      </c>
      <c r="V10" s="37">
        <f t="shared" si="20"/>
        <v>3320</v>
      </c>
      <c r="W10" s="37">
        <f t="shared" si="21"/>
        <v>2280</v>
      </c>
      <c r="X10" s="37">
        <f t="shared" si="22"/>
        <v>3210</v>
      </c>
      <c r="Y10" s="37">
        <f t="shared" si="23"/>
        <v>4760</v>
      </c>
      <c r="Z10" s="37">
        <f t="shared" si="24"/>
        <v>2990</v>
      </c>
      <c r="AA10" s="37">
        <f t="shared" si="25"/>
        <v>3440</v>
      </c>
      <c r="AB10" s="37">
        <f t="shared" si="26"/>
        <v>6560</v>
      </c>
      <c r="AC10" s="37">
        <f t="shared" si="27"/>
        <v>8990</v>
      </c>
      <c r="AD10" s="35">
        <f t="shared" si="28"/>
        <v>60430</v>
      </c>
      <c r="AF10" s="20">
        <f t="shared" si="1"/>
        <v>4.8</v>
      </c>
      <c r="AG10" s="20">
        <f t="shared" si="2"/>
        <v>69.150000000000006</v>
      </c>
      <c r="AH10" s="20">
        <f t="shared" si="3"/>
        <v>17.850000000000001</v>
      </c>
      <c r="AI10" s="20">
        <f t="shared" si="4"/>
        <v>7.75</v>
      </c>
      <c r="AJ10" s="20">
        <f t="shared" si="5"/>
        <v>24.85</v>
      </c>
      <c r="AK10" s="20">
        <f t="shared" si="6"/>
        <v>16.600000000000001</v>
      </c>
      <c r="AL10" s="20">
        <f t="shared" si="7"/>
        <v>11.4</v>
      </c>
      <c r="AM10" s="20">
        <f t="shared" si="8"/>
        <v>16.05</v>
      </c>
      <c r="AN10" s="20">
        <f t="shared" si="9"/>
        <v>23.8</v>
      </c>
      <c r="AO10" s="20">
        <f t="shared" si="10"/>
        <v>14.950000000000001</v>
      </c>
      <c r="AP10" s="20">
        <f t="shared" si="11"/>
        <v>17.2</v>
      </c>
      <c r="AQ10" s="20">
        <f t="shared" si="12"/>
        <v>32.799999999999997</v>
      </c>
      <c r="AR10" s="20">
        <f t="shared" si="13"/>
        <v>44.95</v>
      </c>
      <c r="AS10" s="35">
        <f t="shared" si="29"/>
        <v>302.14999999999998</v>
      </c>
      <c r="AU10" s="47">
        <v>146017</v>
      </c>
      <c r="AV10" s="37">
        <f t="shared" ref="AV10:AV26" si="31">IF((AU10-AU9&lt;0),"0",AU10-AU9)</f>
        <v>2127</v>
      </c>
      <c r="AW10" s="35">
        <f t="shared" si="30"/>
        <v>4.2540000000000004</v>
      </c>
    </row>
    <row r="11" spans="1:49" x14ac:dyDescent="0.25">
      <c r="A11" s="23">
        <v>44079</v>
      </c>
      <c r="B11" s="40">
        <v>101</v>
      </c>
      <c r="C11" s="24">
        <v>6347960</v>
      </c>
      <c r="D11" s="24">
        <v>13983060</v>
      </c>
      <c r="E11" s="24">
        <v>1990090</v>
      </c>
      <c r="F11" s="24">
        <v>3007640</v>
      </c>
      <c r="G11" s="24">
        <v>9126490</v>
      </c>
      <c r="H11" s="24">
        <v>4624580</v>
      </c>
      <c r="I11" s="24">
        <v>4429670</v>
      </c>
      <c r="J11" s="24">
        <v>4949790</v>
      </c>
      <c r="K11" s="24">
        <v>7792910</v>
      </c>
      <c r="L11" s="24">
        <v>3131350</v>
      </c>
      <c r="M11" s="24">
        <v>6991070</v>
      </c>
      <c r="N11" s="24">
        <v>10146080</v>
      </c>
      <c r="O11" s="24">
        <v>13719030</v>
      </c>
      <c r="Q11" s="37">
        <f t="shared" si="16"/>
        <v>940</v>
      </c>
      <c r="R11" s="37">
        <f t="shared" si="17"/>
        <v>12790</v>
      </c>
      <c r="S11" s="37">
        <f t="shared" si="15"/>
        <v>3530</v>
      </c>
      <c r="T11" s="37">
        <f t="shared" si="18"/>
        <v>1540</v>
      </c>
      <c r="U11" s="37">
        <f t="shared" si="19"/>
        <v>4900</v>
      </c>
      <c r="V11" s="37">
        <f t="shared" si="20"/>
        <v>3320</v>
      </c>
      <c r="W11" s="37">
        <f t="shared" si="21"/>
        <v>2260</v>
      </c>
      <c r="X11" s="37">
        <f t="shared" si="22"/>
        <v>3200</v>
      </c>
      <c r="Y11" s="37">
        <f t="shared" si="23"/>
        <v>4570</v>
      </c>
      <c r="Z11" s="37">
        <f t="shared" si="24"/>
        <v>2760</v>
      </c>
      <c r="AA11" s="37">
        <f t="shared" si="25"/>
        <v>3250</v>
      </c>
      <c r="AB11" s="37">
        <f t="shared" si="26"/>
        <v>6420</v>
      </c>
      <c r="AC11" s="37">
        <f t="shared" si="27"/>
        <v>8830</v>
      </c>
      <c r="AD11" s="35">
        <f t="shared" si="28"/>
        <v>58310</v>
      </c>
      <c r="AF11" s="20">
        <f t="shared" si="1"/>
        <v>4.7</v>
      </c>
      <c r="AG11" s="20">
        <f t="shared" si="2"/>
        <v>63.95</v>
      </c>
      <c r="AH11" s="20">
        <f t="shared" si="3"/>
        <v>17.650000000000002</v>
      </c>
      <c r="AI11" s="20">
        <f t="shared" si="4"/>
        <v>7.7</v>
      </c>
      <c r="AJ11" s="20">
        <f t="shared" si="5"/>
        <v>24.5</v>
      </c>
      <c r="AK11" s="20">
        <f t="shared" si="6"/>
        <v>16.600000000000001</v>
      </c>
      <c r="AL11" s="20">
        <f t="shared" si="7"/>
        <v>11.3</v>
      </c>
      <c r="AM11" s="20">
        <f t="shared" si="8"/>
        <v>16</v>
      </c>
      <c r="AN11" s="20">
        <f t="shared" si="9"/>
        <v>22.85</v>
      </c>
      <c r="AO11" s="20">
        <f t="shared" si="10"/>
        <v>13.8</v>
      </c>
      <c r="AP11" s="20">
        <f t="shared" si="11"/>
        <v>16.25</v>
      </c>
      <c r="AQ11" s="20">
        <f t="shared" si="12"/>
        <v>32.1</v>
      </c>
      <c r="AR11" s="20">
        <f t="shared" si="13"/>
        <v>44.15</v>
      </c>
      <c r="AS11" s="35">
        <f t="shared" si="29"/>
        <v>291.55</v>
      </c>
      <c r="AU11" s="47">
        <v>148298</v>
      </c>
      <c r="AV11" s="37">
        <f t="shared" si="31"/>
        <v>2281</v>
      </c>
      <c r="AW11" s="35">
        <f t="shared" si="30"/>
        <v>4.5620000000000003</v>
      </c>
    </row>
    <row r="12" spans="1:49" x14ac:dyDescent="0.25">
      <c r="A12" s="23">
        <v>44080</v>
      </c>
      <c r="B12" s="40">
        <v>113</v>
      </c>
      <c r="C12" s="49">
        <v>6348970</v>
      </c>
      <c r="D12" s="24">
        <v>13999890</v>
      </c>
      <c r="E12" s="24">
        <v>1994380</v>
      </c>
      <c r="F12" s="24">
        <v>3009250</v>
      </c>
      <c r="G12" s="24">
        <v>9131280</v>
      </c>
      <c r="H12" s="24">
        <v>4628010</v>
      </c>
      <c r="I12" s="24">
        <v>4432030</v>
      </c>
      <c r="J12" s="24">
        <v>4952980</v>
      </c>
      <c r="K12" s="24">
        <v>7797810</v>
      </c>
      <c r="L12" s="24">
        <v>3134110</v>
      </c>
      <c r="M12" s="24">
        <v>6994230</v>
      </c>
      <c r="N12" s="24">
        <v>10152720</v>
      </c>
      <c r="O12" s="24">
        <v>13727130</v>
      </c>
      <c r="Q12" s="37">
        <f t="shared" si="16"/>
        <v>1010</v>
      </c>
      <c r="R12" s="37">
        <f t="shared" si="17"/>
        <v>16830</v>
      </c>
      <c r="S12" s="37">
        <f t="shared" si="15"/>
        <v>4290</v>
      </c>
      <c r="T12" s="37">
        <f t="shared" ref="T12:W14" si="32">IF((F12-F11&lt;0), "0",F12-F11)</f>
        <v>1610</v>
      </c>
      <c r="U12" s="37">
        <f t="shared" si="32"/>
        <v>4790</v>
      </c>
      <c r="V12" s="37">
        <f t="shared" si="32"/>
        <v>3430</v>
      </c>
      <c r="W12" s="37">
        <f t="shared" si="32"/>
        <v>2360</v>
      </c>
      <c r="X12" s="37">
        <f t="shared" si="22"/>
        <v>3190</v>
      </c>
      <c r="Y12" s="37">
        <f t="shared" si="23"/>
        <v>4900</v>
      </c>
      <c r="Z12" s="37">
        <f>IF((L12-L11&lt;0), "0",L12-L11)</f>
        <v>2760</v>
      </c>
      <c r="AA12" s="37">
        <f t="shared" si="25"/>
        <v>3160</v>
      </c>
      <c r="AB12" s="37">
        <f t="shared" si="26"/>
        <v>6640</v>
      </c>
      <c r="AC12" s="37">
        <f t="shared" si="27"/>
        <v>8100</v>
      </c>
      <c r="AD12" s="35">
        <f t="shared" si="28"/>
        <v>63070</v>
      </c>
      <c r="AF12" s="20">
        <f t="shared" si="1"/>
        <v>5.05</v>
      </c>
      <c r="AG12" s="20">
        <f t="shared" si="2"/>
        <v>84.15</v>
      </c>
      <c r="AH12" s="20">
        <f t="shared" si="3"/>
        <v>21.45</v>
      </c>
      <c r="AI12" s="20">
        <f t="shared" si="4"/>
        <v>8.0500000000000007</v>
      </c>
      <c r="AJ12" s="20">
        <f t="shared" si="5"/>
        <v>23.95</v>
      </c>
      <c r="AK12" s="20">
        <f t="shared" si="6"/>
        <v>17.150000000000002</v>
      </c>
      <c r="AL12" s="20">
        <f t="shared" si="7"/>
        <v>11.8</v>
      </c>
      <c r="AM12" s="20">
        <f t="shared" si="8"/>
        <v>15.950000000000001</v>
      </c>
      <c r="AN12" s="20">
        <f t="shared" si="9"/>
        <v>24.5</v>
      </c>
      <c r="AO12" s="20">
        <f t="shared" si="10"/>
        <v>13.8</v>
      </c>
      <c r="AP12" s="20">
        <f t="shared" si="11"/>
        <v>15.8</v>
      </c>
      <c r="AQ12" s="20">
        <f t="shared" si="12"/>
        <v>33.200000000000003</v>
      </c>
      <c r="AR12" s="20">
        <f t="shared" si="13"/>
        <v>40.5</v>
      </c>
      <c r="AS12" s="35">
        <f t="shared" si="29"/>
        <v>315.35000000000002</v>
      </c>
      <c r="AU12" s="47">
        <v>150828</v>
      </c>
      <c r="AV12" s="37">
        <f t="shared" si="31"/>
        <v>2530</v>
      </c>
      <c r="AW12" s="35">
        <f t="shared" si="30"/>
        <v>5.0600000000000005</v>
      </c>
    </row>
    <row r="13" spans="1:49" x14ac:dyDescent="0.25">
      <c r="A13" s="23">
        <v>44081</v>
      </c>
      <c r="B13" s="40">
        <v>91</v>
      </c>
      <c r="C13" s="24">
        <v>6349940</v>
      </c>
      <c r="D13" s="24">
        <v>14013900</v>
      </c>
      <c r="E13" s="24">
        <v>1998010</v>
      </c>
      <c r="F13" s="24">
        <v>3010820</v>
      </c>
      <c r="G13" s="24">
        <v>9135940</v>
      </c>
      <c r="H13" s="24">
        <v>4631290</v>
      </c>
      <c r="I13" s="24">
        <v>4434320</v>
      </c>
      <c r="J13" s="24">
        <v>4956130</v>
      </c>
      <c r="K13" s="24">
        <v>7802540</v>
      </c>
      <c r="L13" s="24">
        <v>3136870</v>
      </c>
      <c r="M13" s="24">
        <v>6997580</v>
      </c>
      <c r="N13" s="24">
        <v>10159300</v>
      </c>
      <c r="O13" s="24">
        <v>13735280</v>
      </c>
      <c r="Q13" s="37">
        <f t="shared" si="16"/>
        <v>970</v>
      </c>
      <c r="R13" s="37">
        <f t="shared" si="17"/>
        <v>14010</v>
      </c>
      <c r="S13" s="37">
        <f t="shared" si="15"/>
        <v>3630</v>
      </c>
      <c r="T13" s="37">
        <f t="shared" si="32"/>
        <v>1570</v>
      </c>
      <c r="U13" s="37">
        <f t="shared" si="32"/>
        <v>4660</v>
      </c>
      <c r="V13" s="37">
        <f t="shared" si="32"/>
        <v>3280</v>
      </c>
      <c r="W13" s="37">
        <f t="shared" si="32"/>
        <v>2290</v>
      </c>
      <c r="X13" s="37">
        <f t="shared" si="22"/>
        <v>3150</v>
      </c>
      <c r="Y13" s="37">
        <f t="shared" si="23"/>
        <v>4730</v>
      </c>
      <c r="Z13" s="37">
        <f>IF((L13-L12&lt;0), "0",L13-L12)</f>
        <v>2760</v>
      </c>
      <c r="AA13" s="37">
        <f t="shared" si="25"/>
        <v>3350</v>
      </c>
      <c r="AB13" s="37">
        <f t="shared" si="26"/>
        <v>6580</v>
      </c>
      <c r="AC13" s="37">
        <f t="shared" si="27"/>
        <v>8150</v>
      </c>
      <c r="AD13" s="35">
        <f t="shared" si="28"/>
        <v>59130</v>
      </c>
      <c r="AF13" s="20">
        <f t="shared" si="1"/>
        <v>4.8500000000000005</v>
      </c>
      <c r="AG13" s="20">
        <f t="shared" si="2"/>
        <v>70.05</v>
      </c>
      <c r="AH13" s="20">
        <f t="shared" si="3"/>
        <v>18.150000000000002</v>
      </c>
      <c r="AI13" s="20">
        <f t="shared" si="4"/>
        <v>7.8500000000000005</v>
      </c>
      <c r="AJ13" s="20">
        <f t="shared" si="5"/>
        <v>23.3</v>
      </c>
      <c r="AK13" s="20">
        <f t="shared" si="6"/>
        <v>16.399999999999999</v>
      </c>
      <c r="AL13" s="20">
        <f t="shared" si="7"/>
        <v>11.450000000000001</v>
      </c>
      <c r="AM13" s="20">
        <f t="shared" si="8"/>
        <v>15.75</v>
      </c>
      <c r="AN13" s="20">
        <f t="shared" si="9"/>
        <v>23.650000000000002</v>
      </c>
      <c r="AO13" s="20">
        <f t="shared" si="10"/>
        <v>13.8</v>
      </c>
      <c r="AP13" s="20">
        <f t="shared" si="11"/>
        <v>16.75</v>
      </c>
      <c r="AQ13" s="20">
        <f t="shared" si="12"/>
        <v>32.9</v>
      </c>
      <c r="AR13" s="20">
        <f t="shared" si="13"/>
        <v>40.75</v>
      </c>
      <c r="AS13" s="35">
        <f t="shared" si="29"/>
        <v>295.64999999999998</v>
      </c>
      <c r="AU13" s="47">
        <v>153430</v>
      </c>
      <c r="AV13" s="37">
        <f t="shared" si="31"/>
        <v>2602</v>
      </c>
      <c r="AW13" s="35">
        <f t="shared" si="30"/>
        <v>5.2039999999999997</v>
      </c>
    </row>
    <row r="14" spans="1:49" x14ac:dyDescent="0.25">
      <c r="A14" s="23">
        <v>44082</v>
      </c>
      <c r="B14" s="40">
        <v>117</v>
      </c>
      <c r="C14" s="24">
        <v>6350960</v>
      </c>
      <c r="D14" s="24">
        <v>14027710</v>
      </c>
      <c r="E14" s="24">
        <v>2001530</v>
      </c>
      <c r="F14" s="24">
        <v>3012440</v>
      </c>
      <c r="G14" s="24">
        <v>9140730</v>
      </c>
      <c r="H14" s="24">
        <v>4634590</v>
      </c>
      <c r="I14" s="24">
        <v>4436690</v>
      </c>
      <c r="J14" s="24">
        <v>4959580</v>
      </c>
      <c r="K14" s="24">
        <v>7807550</v>
      </c>
      <c r="L14" s="24">
        <v>3139660</v>
      </c>
      <c r="M14" s="24">
        <v>7000910</v>
      </c>
      <c r="N14" s="24">
        <v>10166210</v>
      </c>
      <c r="O14" s="24">
        <v>13744970</v>
      </c>
      <c r="P14" s="54"/>
      <c r="Q14" s="37">
        <f t="shared" si="16"/>
        <v>1020</v>
      </c>
      <c r="R14" s="37">
        <f t="shared" si="17"/>
        <v>13810</v>
      </c>
      <c r="S14" s="37">
        <f t="shared" si="15"/>
        <v>3520</v>
      </c>
      <c r="T14" s="37">
        <f t="shared" si="32"/>
        <v>1620</v>
      </c>
      <c r="U14" s="37">
        <f t="shared" si="32"/>
        <v>4790</v>
      </c>
      <c r="V14" s="37">
        <f t="shared" si="32"/>
        <v>3300</v>
      </c>
      <c r="W14" s="37">
        <f t="shared" si="32"/>
        <v>2370</v>
      </c>
      <c r="X14" s="37">
        <f t="shared" si="22"/>
        <v>3450</v>
      </c>
      <c r="Y14" s="37">
        <f t="shared" si="23"/>
        <v>5010</v>
      </c>
      <c r="Z14" s="37">
        <f>IF((L14-L13&lt;0), "0",L14-L13)</f>
        <v>2790</v>
      </c>
      <c r="AA14" s="37">
        <f t="shared" si="25"/>
        <v>3330</v>
      </c>
      <c r="AB14" s="37">
        <f t="shared" si="26"/>
        <v>6910</v>
      </c>
      <c r="AC14" s="37">
        <f t="shared" si="27"/>
        <v>9690</v>
      </c>
      <c r="AD14" s="35">
        <f t="shared" si="28"/>
        <v>61610</v>
      </c>
      <c r="AF14" s="20">
        <f t="shared" si="1"/>
        <v>5.1000000000000005</v>
      </c>
      <c r="AG14" s="20">
        <f t="shared" si="2"/>
        <v>69.05</v>
      </c>
      <c r="AH14" s="20">
        <f t="shared" si="3"/>
        <v>17.600000000000001</v>
      </c>
      <c r="AI14" s="20">
        <f t="shared" si="4"/>
        <v>8.1</v>
      </c>
      <c r="AJ14" s="20">
        <f t="shared" si="5"/>
        <v>23.95</v>
      </c>
      <c r="AK14" s="20">
        <f t="shared" si="6"/>
        <v>16.5</v>
      </c>
      <c r="AL14" s="20">
        <f t="shared" si="7"/>
        <v>11.85</v>
      </c>
      <c r="AM14" s="20">
        <f t="shared" si="8"/>
        <v>17.25</v>
      </c>
      <c r="AN14" s="20">
        <f t="shared" si="9"/>
        <v>25.05</v>
      </c>
      <c r="AO14" s="20">
        <f t="shared" si="10"/>
        <v>13.950000000000001</v>
      </c>
      <c r="AP14" s="20">
        <f t="shared" si="11"/>
        <v>16.649999999999999</v>
      </c>
      <c r="AQ14" s="20">
        <f t="shared" si="12"/>
        <v>34.550000000000004</v>
      </c>
      <c r="AR14" s="20">
        <f t="shared" si="13"/>
        <v>48.45</v>
      </c>
      <c r="AS14" s="35">
        <f t="shared" si="29"/>
        <v>308.05</v>
      </c>
      <c r="AU14" s="47">
        <v>156131</v>
      </c>
      <c r="AV14" s="37">
        <f t="shared" si="31"/>
        <v>2701</v>
      </c>
      <c r="AW14" s="35">
        <f t="shared" si="30"/>
        <v>5.4020000000000001</v>
      </c>
    </row>
    <row r="15" spans="1:49" x14ac:dyDescent="0.25">
      <c r="A15" s="23">
        <v>44083</v>
      </c>
      <c r="B15" s="40">
        <v>114</v>
      </c>
      <c r="C15" s="24">
        <v>6351070</v>
      </c>
      <c r="D15" s="24">
        <v>14041670</v>
      </c>
      <c r="E15" s="24">
        <v>2005090</v>
      </c>
      <c r="F15" s="24">
        <v>3014050</v>
      </c>
      <c r="G15" s="24">
        <v>9145570</v>
      </c>
      <c r="H15" s="24">
        <v>4637730</v>
      </c>
      <c r="I15" s="24">
        <v>4439080</v>
      </c>
      <c r="J15" s="24">
        <v>4963080</v>
      </c>
      <c r="K15" s="24">
        <v>7812500</v>
      </c>
      <c r="L15" s="24">
        <v>3142550</v>
      </c>
      <c r="M15" s="24">
        <v>7004170</v>
      </c>
      <c r="N15" s="24">
        <v>10173110</v>
      </c>
      <c r="O15" s="24">
        <v>13754460</v>
      </c>
      <c r="Q15" s="37">
        <f t="shared" si="16"/>
        <v>110</v>
      </c>
      <c r="R15" s="37">
        <f t="shared" si="17"/>
        <v>13960</v>
      </c>
      <c r="S15" s="37">
        <f t="shared" si="15"/>
        <v>3560</v>
      </c>
      <c r="T15" s="37">
        <f t="shared" si="18"/>
        <v>1610</v>
      </c>
      <c r="U15" s="37">
        <f t="shared" si="19"/>
        <v>4840</v>
      </c>
      <c r="V15" s="37">
        <f t="shared" si="20"/>
        <v>3140</v>
      </c>
      <c r="W15" s="37">
        <f t="shared" si="21"/>
        <v>2390</v>
      </c>
      <c r="X15" s="37">
        <f t="shared" si="22"/>
        <v>3500</v>
      </c>
      <c r="Y15" s="37">
        <f t="shared" si="23"/>
        <v>4950</v>
      </c>
      <c r="Z15" s="37">
        <f t="shared" si="24"/>
        <v>2890</v>
      </c>
      <c r="AA15" s="37">
        <f t="shared" si="25"/>
        <v>3260</v>
      </c>
      <c r="AB15" s="37">
        <f t="shared" si="26"/>
        <v>6900</v>
      </c>
      <c r="AC15" s="37">
        <f t="shared" si="27"/>
        <v>9490</v>
      </c>
      <c r="AD15" s="35">
        <f t="shared" si="28"/>
        <v>60600</v>
      </c>
      <c r="AF15" s="20">
        <f t="shared" si="1"/>
        <v>0.55000000000000004</v>
      </c>
      <c r="AG15" s="20">
        <f t="shared" si="2"/>
        <v>69.8</v>
      </c>
      <c r="AH15" s="20">
        <f t="shared" si="3"/>
        <v>17.8</v>
      </c>
      <c r="AI15" s="20">
        <f t="shared" si="4"/>
        <v>8.0500000000000007</v>
      </c>
      <c r="AJ15" s="20">
        <f t="shared" si="5"/>
        <v>24.2</v>
      </c>
      <c r="AK15" s="20">
        <f t="shared" si="6"/>
        <v>15.700000000000001</v>
      </c>
      <c r="AL15" s="20">
        <f t="shared" si="7"/>
        <v>11.950000000000001</v>
      </c>
      <c r="AM15" s="20">
        <f t="shared" si="8"/>
        <v>17.5</v>
      </c>
      <c r="AN15" s="20">
        <f t="shared" si="9"/>
        <v>24.75</v>
      </c>
      <c r="AO15" s="20">
        <f t="shared" si="10"/>
        <v>14.450000000000001</v>
      </c>
      <c r="AP15" s="20">
        <f t="shared" si="11"/>
        <v>16.3</v>
      </c>
      <c r="AQ15" s="20">
        <f t="shared" si="12"/>
        <v>34.5</v>
      </c>
      <c r="AR15" s="20">
        <f t="shared" si="13"/>
        <v>47.45</v>
      </c>
      <c r="AS15" s="35">
        <f t="shared" si="29"/>
        <v>303</v>
      </c>
      <c r="AU15" s="47">
        <v>158626</v>
      </c>
      <c r="AV15" s="37">
        <f t="shared" si="31"/>
        <v>2495</v>
      </c>
      <c r="AW15" s="35">
        <f t="shared" si="30"/>
        <v>4.99</v>
      </c>
    </row>
    <row r="16" spans="1:49" x14ac:dyDescent="0.25">
      <c r="A16" s="23">
        <v>44084</v>
      </c>
      <c r="B16" s="40">
        <v>161</v>
      </c>
      <c r="C16" s="24">
        <v>6353010</v>
      </c>
      <c r="D16" s="24">
        <v>14056810</v>
      </c>
      <c r="E16" s="24">
        <v>2008970</v>
      </c>
      <c r="F16" s="24">
        <v>3015730</v>
      </c>
      <c r="G16" s="24">
        <v>9150770</v>
      </c>
      <c r="H16" s="24">
        <v>4641270</v>
      </c>
      <c r="I16" s="24">
        <v>4441630</v>
      </c>
      <c r="J16" s="24">
        <v>4967120</v>
      </c>
      <c r="K16" s="24">
        <v>7817930</v>
      </c>
      <c r="L16" s="24">
        <v>3145690</v>
      </c>
      <c r="M16" s="24">
        <v>7007710</v>
      </c>
      <c r="N16" s="24">
        <v>10180950</v>
      </c>
      <c r="O16" s="24">
        <v>13763320</v>
      </c>
      <c r="Q16" s="37">
        <f t="shared" si="16"/>
        <v>1940</v>
      </c>
      <c r="R16" s="37">
        <f t="shared" si="17"/>
        <v>15140</v>
      </c>
      <c r="S16" s="37">
        <f t="shared" si="15"/>
        <v>3880</v>
      </c>
      <c r="T16" s="37">
        <f t="shared" si="18"/>
        <v>1680</v>
      </c>
      <c r="U16" s="37">
        <f t="shared" si="19"/>
        <v>5200</v>
      </c>
      <c r="V16" s="37">
        <f t="shared" si="20"/>
        <v>3540</v>
      </c>
      <c r="W16" s="37">
        <f t="shared" si="21"/>
        <v>2550</v>
      </c>
      <c r="X16" s="37">
        <f t="shared" si="22"/>
        <v>4040</v>
      </c>
      <c r="Y16" s="37">
        <f t="shared" si="23"/>
        <v>5430</v>
      </c>
      <c r="Z16" s="37">
        <f t="shared" si="24"/>
        <v>3140</v>
      </c>
      <c r="AA16" s="37">
        <f t="shared" si="25"/>
        <v>3540</v>
      </c>
      <c r="AB16" s="37">
        <f t="shared" si="26"/>
        <v>7840</v>
      </c>
      <c r="AC16" s="37">
        <f t="shared" si="27"/>
        <v>8860</v>
      </c>
      <c r="AD16" s="35">
        <f t="shared" si="28"/>
        <v>66780</v>
      </c>
      <c r="AF16" s="20">
        <f t="shared" si="1"/>
        <v>9.7000000000000011</v>
      </c>
      <c r="AG16" s="20">
        <f t="shared" si="2"/>
        <v>75.7</v>
      </c>
      <c r="AH16" s="20">
        <f t="shared" si="3"/>
        <v>19.400000000000002</v>
      </c>
      <c r="AI16" s="20">
        <f t="shared" si="4"/>
        <v>8.4</v>
      </c>
      <c r="AJ16" s="20">
        <f t="shared" si="5"/>
        <v>26</v>
      </c>
      <c r="AK16" s="20">
        <f t="shared" si="6"/>
        <v>17.7</v>
      </c>
      <c r="AL16" s="20">
        <f t="shared" si="7"/>
        <v>12.75</v>
      </c>
      <c r="AM16" s="20">
        <f t="shared" si="8"/>
        <v>20.2</v>
      </c>
      <c r="AN16" s="20">
        <f t="shared" si="9"/>
        <v>27.150000000000002</v>
      </c>
      <c r="AO16" s="20">
        <f t="shared" si="10"/>
        <v>15.700000000000001</v>
      </c>
      <c r="AP16" s="20">
        <f t="shared" si="11"/>
        <v>17.7</v>
      </c>
      <c r="AQ16" s="20">
        <f t="shared" si="12"/>
        <v>39.200000000000003</v>
      </c>
      <c r="AR16" s="20">
        <f t="shared" si="13"/>
        <v>44.300000000000004</v>
      </c>
      <c r="AS16" s="35">
        <f t="shared" si="29"/>
        <v>333.9</v>
      </c>
      <c r="AU16" s="47">
        <v>162512</v>
      </c>
      <c r="AV16" s="37">
        <f t="shared" si="31"/>
        <v>3886</v>
      </c>
      <c r="AW16" s="35">
        <f t="shared" si="30"/>
        <v>7.7720000000000002</v>
      </c>
    </row>
    <row r="17" spans="1:49" x14ac:dyDescent="0.25">
      <c r="A17" s="23">
        <v>44085</v>
      </c>
      <c r="B17" s="40">
        <v>197</v>
      </c>
      <c r="C17" s="24">
        <v>6354030</v>
      </c>
      <c r="D17" s="24">
        <v>14071060</v>
      </c>
      <c r="E17" s="24">
        <v>2012690</v>
      </c>
      <c r="F17" s="24">
        <v>3017360</v>
      </c>
      <c r="G17" s="24">
        <v>9155740</v>
      </c>
      <c r="H17" s="24">
        <v>4644490</v>
      </c>
      <c r="I17" s="24">
        <v>4443980</v>
      </c>
      <c r="J17" s="24">
        <v>4970800</v>
      </c>
      <c r="K17" s="24">
        <v>7822810</v>
      </c>
      <c r="L17" s="24">
        <v>3148760</v>
      </c>
      <c r="M17" s="24">
        <v>7011260</v>
      </c>
      <c r="N17" s="24">
        <v>10188320</v>
      </c>
      <c r="O17" s="24">
        <v>13772010</v>
      </c>
      <c r="Q17" s="37">
        <f t="shared" si="16"/>
        <v>1020</v>
      </c>
      <c r="R17" s="37">
        <f t="shared" si="17"/>
        <v>14250</v>
      </c>
      <c r="S17" s="37">
        <f t="shared" si="15"/>
        <v>3720</v>
      </c>
      <c r="T17" s="37">
        <f t="shared" si="18"/>
        <v>1630</v>
      </c>
      <c r="U17" s="37">
        <f t="shared" si="19"/>
        <v>4970</v>
      </c>
      <c r="V17" s="37">
        <f t="shared" si="20"/>
        <v>3220</v>
      </c>
      <c r="W17" s="37">
        <f t="shared" si="21"/>
        <v>2350</v>
      </c>
      <c r="X17" s="37">
        <f t="shared" si="22"/>
        <v>3680</v>
      </c>
      <c r="Y17" s="37">
        <f t="shared" si="23"/>
        <v>4880</v>
      </c>
      <c r="Z17" s="37">
        <f t="shared" si="24"/>
        <v>3070</v>
      </c>
      <c r="AA17" s="37">
        <f t="shared" si="25"/>
        <v>3550</v>
      </c>
      <c r="AB17" s="37">
        <f t="shared" si="26"/>
        <v>7370</v>
      </c>
      <c r="AC17" s="37">
        <f t="shared" si="27"/>
        <v>8690</v>
      </c>
      <c r="AD17" s="35">
        <f t="shared" si="28"/>
        <v>62400</v>
      </c>
      <c r="AF17" s="20">
        <f t="shared" si="1"/>
        <v>5.1000000000000005</v>
      </c>
      <c r="AG17" s="20">
        <f t="shared" si="2"/>
        <v>71.25</v>
      </c>
      <c r="AH17" s="20">
        <f t="shared" si="3"/>
        <v>18.600000000000001</v>
      </c>
      <c r="AI17" s="20">
        <f t="shared" si="4"/>
        <v>8.15</v>
      </c>
      <c r="AJ17" s="20">
        <f t="shared" si="5"/>
        <v>24.85</v>
      </c>
      <c r="AK17" s="20">
        <f t="shared" si="6"/>
        <v>16.100000000000001</v>
      </c>
      <c r="AL17" s="20">
        <f t="shared" si="7"/>
        <v>11.75</v>
      </c>
      <c r="AM17" s="20">
        <f t="shared" si="8"/>
        <v>18.400000000000002</v>
      </c>
      <c r="AN17" s="20">
        <f t="shared" si="9"/>
        <v>24.400000000000002</v>
      </c>
      <c r="AO17" s="20">
        <f t="shared" si="10"/>
        <v>15.35</v>
      </c>
      <c r="AP17" s="20">
        <f t="shared" si="11"/>
        <v>17.75</v>
      </c>
      <c r="AQ17" s="20">
        <f t="shared" si="12"/>
        <v>36.85</v>
      </c>
      <c r="AR17" s="20">
        <f t="shared" si="13"/>
        <v>43.45</v>
      </c>
      <c r="AS17" s="35">
        <f t="shared" si="29"/>
        <v>312</v>
      </c>
      <c r="AU17" s="47">
        <v>164725</v>
      </c>
      <c r="AV17" s="37">
        <f t="shared" si="31"/>
        <v>2213</v>
      </c>
      <c r="AW17" s="35">
        <f t="shared" si="30"/>
        <v>4.4260000000000002</v>
      </c>
    </row>
    <row r="18" spans="1:49" x14ac:dyDescent="0.25">
      <c r="A18" s="23">
        <v>44086</v>
      </c>
      <c r="B18" s="40">
        <v>73</v>
      </c>
      <c r="C18" s="24">
        <v>6354940</v>
      </c>
      <c r="D18" s="24">
        <v>14083710</v>
      </c>
      <c r="E18" s="24">
        <v>2015940</v>
      </c>
      <c r="F18" s="24">
        <v>3018830</v>
      </c>
      <c r="G18" s="24">
        <v>9160330</v>
      </c>
      <c r="H18" s="24">
        <v>4647450</v>
      </c>
      <c r="I18" s="24">
        <v>4446040</v>
      </c>
      <c r="J18" s="24">
        <v>4974100</v>
      </c>
      <c r="K18" s="24">
        <v>7826970</v>
      </c>
      <c r="L18" s="24">
        <v>3151290</v>
      </c>
      <c r="M18" s="24">
        <v>7014330</v>
      </c>
      <c r="N18" s="24">
        <v>10194090</v>
      </c>
      <c r="O18" s="24">
        <v>13779500</v>
      </c>
      <c r="Q18" s="37">
        <f t="shared" si="16"/>
        <v>910</v>
      </c>
      <c r="R18" s="37">
        <f t="shared" si="17"/>
        <v>12650</v>
      </c>
      <c r="S18" s="37">
        <f t="shared" si="15"/>
        <v>3250</v>
      </c>
      <c r="T18" s="37">
        <f t="shared" si="18"/>
        <v>1470</v>
      </c>
      <c r="U18" s="37">
        <f t="shared" si="19"/>
        <v>4590</v>
      </c>
      <c r="V18" s="37">
        <f t="shared" si="20"/>
        <v>2960</v>
      </c>
      <c r="W18" s="37">
        <f t="shared" si="21"/>
        <v>2060</v>
      </c>
      <c r="X18" s="37">
        <f t="shared" si="22"/>
        <v>3300</v>
      </c>
      <c r="Y18" s="37">
        <f t="shared" si="23"/>
        <v>4160</v>
      </c>
      <c r="Z18" s="37">
        <f t="shared" si="24"/>
        <v>2530</v>
      </c>
      <c r="AA18" s="37">
        <f t="shared" si="25"/>
        <v>3070</v>
      </c>
      <c r="AB18" s="37">
        <f t="shared" si="26"/>
        <v>5770</v>
      </c>
      <c r="AC18" s="37">
        <f t="shared" si="27"/>
        <v>7490</v>
      </c>
      <c r="AD18" s="35">
        <f t="shared" si="28"/>
        <v>54210</v>
      </c>
      <c r="AF18" s="20">
        <f t="shared" si="1"/>
        <v>4.55</v>
      </c>
      <c r="AG18" s="20">
        <f t="shared" si="2"/>
        <v>63.25</v>
      </c>
      <c r="AH18" s="20">
        <f t="shared" si="3"/>
        <v>16.25</v>
      </c>
      <c r="AI18" s="20">
        <f t="shared" si="4"/>
        <v>7.3500000000000005</v>
      </c>
      <c r="AJ18" s="20">
        <f t="shared" si="5"/>
        <v>22.95</v>
      </c>
      <c r="AK18" s="20">
        <f t="shared" si="6"/>
        <v>14.8</v>
      </c>
      <c r="AL18" s="20">
        <f t="shared" si="7"/>
        <v>10.3</v>
      </c>
      <c r="AM18" s="20">
        <f t="shared" si="8"/>
        <v>16.5</v>
      </c>
      <c r="AN18" s="20">
        <f t="shared" si="9"/>
        <v>20.8</v>
      </c>
      <c r="AO18" s="20">
        <f t="shared" si="10"/>
        <v>12.65</v>
      </c>
      <c r="AP18" s="20">
        <f t="shared" si="11"/>
        <v>15.35</v>
      </c>
      <c r="AQ18" s="20">
        <f t="shared" si="12"/>
        <v>28.85</v>
      </c>
      <c r="AR18" s="20">
        <f t="shared" si="13"/>
        <v>37.450000000000003</v>
      </c>
      <c r="AS18" s="35">
        <f t="shared" si="29"/>
        <v>271.05</v>
      </c>
      <c r="AU18" s="47">
        <v>166957</v>
      </c>
      <c r="AV18" s="37">
        <f t="shared" si="31"/>
        <v>2232</v>
      </c>
      <c r="AW18" s="35">
        <f t="shared" si="30"/>
        <v>4.4640000000000004</v>
      </c>
    </row>
    <row r="19" spans="1:49" x14ac:dyDescent="0.25">
      <c r="A19" s="23">
        <v>44087</v>
      </c>
      <c r="B19" s="40">
        <v>89</v>
      </c>
      <c r="C19" s="24">
        <v>6355990</v>
      </c>
      <c r="D19" s="24">
        <v>14098210</v>
      </c>
      <c r="E19" s="24">
        <v>2019650</v>
      </c>
      <c r="F19" s="24">
        <v>3020500</v>
      </c>
      <c r="G19" s="24">
        <v>9165110</v>
      </c>
      <c r="H19" s="24">
        <v>4650750</v>
      </c>
      <c r="I19" s="24">
        <v>4448510</v>
      </c>
      <c r="J19" s="24">
        <v>4977450</v>
      </c>
      <c r="K19" s="24">
        <v>7831680</v>
      </c>
      <c r="L19" s="24">
        <v>3154010</v>
      </c>
      <c r="M19" s="24">
        <v>7017720</v>
      </c>
      <c r="N19" s="24">
        <v>10202180</v>
      </c>
      <c r="O19" s="24">
        <v>13788760</v>
      </c>
      <c r="Q19" s="37">
        <f t="shared" si="16"/>
        <v>1050</v>
      </c>
      <c r="R19" s="37">
        <f t="shared" si="17"/>
        <v>14500</v>
      </c>
      <c r="S19" s="37">
        <f t="shared" si="15"/>
        <v>3710</v>
      </c>
      <c r="T19" s="37">
        <f t="shared" si="18"/>
        <v>1670</v>
      </c>
      <c r="U19" s="37">
        <f t="shared" si="19"/>
        <v>4780</v>
      </c>
      <c r="V19" s="37">
        <f t="shared" si="20"/>
        <v>3300</v>
      </c>
      <c r="W19" s="37">
        <f t="shared" si="21"/>
        <v>2470</v>
      </c>
      <c r="X19" s="37">
        <f t="shared" si="22"/>
        <v>3350</v>
      </c>
      <c r="Y19" s="37">
        <f t="shared" si="23"/>
        <v>4710</v>
      </c>
      <c r="Z19" s="37">
        <f t="shared" si="24"/>
        <v>2720</v>
      </c>
      <c r="AA19" s="37">
        <f t="shared" si="25"/>
        <v>3390</v>
      </c>
      <c r="AB19" s="37">
        <f t="shared" si="26"/>
        <v>8090</v>
      </c>
      <c r="AC19" s="37">
        <f t="shared" si="27"/>
        <v>9260</v>
      </c>
      <c r="AD19" s="35">
        <f t="shared" si="28"/>
        <v>63000</v>
      </c>
      <c r="AF19" s="20">
        <f t="shared" si="1"/>
        <v>5.25</v>
      </c>
      <c r="AG19" s="20">
        <f t="shared" si="2"/>
        <v>72.5</v>
      </c>
      <c r="AH19" s="20">
        <f t="shared" si="3"/>
        <v>18.55</v>
      </c>
      <c r="AI19" s="20">
        <f t="shared" si="4"/>
        <v>8.35</v>
      </c>
      <c r="AJ19" s="20">
        <f t="shared" si="5"/>
        <v>23.900000000000002</v>
      </c>
      <c r="AK19" s="20">
        <f t="shared" si="6"/>
        <v>16.5</v>
      </c>
      <c r="AL19" s="20">
        <f t="shared" si="7"/>
        <v>12.35</v>
      </c>
      <c r="AM19" s="20">
        <f t="shared" si="8"/>
        <v>16.75</v>
      </c>
      <c r="AN19" s="20">
        <f t="shared" si="9"/>
        <v>23.55</v>
      </c>
      <c r="AO19" s="20">
        <f t="shared" si="10"/>
        <v>13.6</v>
      </c>
      <c r="AP19" s="20">
        <f t="shared" si="11"/>
        <v>16.95</v>
      </c>
      <c r="AQ19" s="20">
        <f t="shared" si="12"/>
        <v>40.450000000000003</v>
      </c>
      <c r="AR19" s="20">
        <f t="shared" si="13"/>
        <v>46.300000000000004</v>
      </c>
      <c r="AS19" s="35">
        <f t="shared" si="29"/>
        <v>315</v>
      </c>
      <c r="AU19" s="47">
        <v>169330</v>
      </c>
      <c r="AV19" s="37">
        <f t="shared" si="31"/>
        <v>2373</v>
      </c>
      <c r="AW19" s="35">
        <f t="shared" si="30"/>
        <v>4.7460000000000004</v>
      </c>
    </row>
    <row r="20" spans="1:49" x14ac:dyDescent="0.25">
      <c r="A20" s="23">
        <v>44088</v>
      </c>
      <c r="B20" s="40">
        <v>84</v>
      </c>
      <c r="C20" s="24">
        <v>6356950</v>
      </c>
      <c r="D20" s="24">
        <v>14111260</v>
      </c>
      <c r="E20" s="24">
        <v>2022960</v>
      </c>
      <c r="F20" s="24">
        <v>3022030</v>
      </c>
      <c r="G20" s="24">
        <v>9169430</v>
      </c>
      <c r="H20" s="24">
        <v>4653840</v>
      </c>
      <c r="I20" s="24">
        <v>4450820</v>
      </c>
      <c r="J20" s="24">
        <v>4980790</v>
      </c>
      <c r="K20" s="24">
        <v>7838120</v>
      </c>
      <c r="L20" s="24">
        <v>3156500</v>
      </c>
      <c r="M20" s="24">
        <v>7020810</v>
      </c>
      <c r="N20" s="24">
        <v>10212440</v>
      </c>
      <c r="O20" s="24">
        <v>13797630</v>
      </c>
      <c r="Q20" s="37">
        <f t="shared" si="16"/>
        <v>960</v>
      </c>
      <c r="R20" s="37">
        <f t="shared" si="17"/>
        <v>13050</v>
      </c>
      <c r="S20" s="37">
        <f t="shared" si="15"/>
        <v>3310</v>
      </c>
      <c r="T20" s="37">
        <f t="shared" si="18"/>
        <v>1530</v>
      </c>
      <c r="U20" s="37">
        <f t="shared" si="19"/>
        <v>4320</v>
      </c>
      <c r="V20" s="37">
        <f t="shared" si="20"/>
        <v>3090</v>
      </c>
      <c r="W20" s="37">
        <f t="shared" si="21"/>
        <v>2310</v>
      </c>
      <c r="X20" s="37">
        <f t="shared" si="22"/>
        <v>3340</v>
      </c>
      <c r="Y20" s="37">
        <f t="shared" si="23"/>
        <v>6440</v>
      </c>
      <c r="Z20" s="37">
        <f t="shared" si="24"/>
        <v>2490</v>
      </c>
      <c r="AA20" s="37">
        <f t="shared" si="25"/>
        <v>3090</v>
      </c>
      <c r="AB20" s="37">
        <f t="shared" si="26"/>
        <v>10260</v>
      </c>
      <c r="AC20" s="37">
        <f t="shared" si="27"/>
        <v>8870</v>
      </c>
      <c r="AD20" s="35">
        <f t="shared" si="28"/>
        <v>63060</v>
      </c>
      <c r="AF20" s="20">
        <f t="shared" si="1"/>
        <v>4.8</v>
      </c>
      <c r="AG20" s="20">
        <f t="shared" si="2"/>
        <v>65.25</v>
      </c>
      <c r="AH20" s="20">
        <f t="shared" si="3"/>
        <v>16.55</v>
      </c>
      <c r="AI20" s="20">
        <f t="shared" si="4"/>
        <v>7.65</v>
      </c>
      <c r="AJ20" s="20">
        <f t="shared" si="5"/>
        <v>21.6</v>
      </c>
      <c r="AK20" s="20">
        <f t="shared" si="6"/>
        <v>15.450000000000001</v>
      </c>
      <c r="AL20" s="20">
        <f t="shared" si="7"/>
        <v>11.55</v>
      </c>
      <c r="AM20" s="20">
        <f t="shared" si="8"/>
        <v>16.7</v>
      </c>
      <c r="AN20" s="20">
        <f t="shared" si="9"/>
        <v>32.200000000000003</v>
      </c>
      <c r="AO20" s="20">
        <f t="shared" si="10"/>
        <v>12.450000000000001</v>
      </c>
      <c r="AP20" s="20">
        <f t="shared" si="11"/>
        <v>15.450000000000001</v>
      </c>
      <c r="AQ20" s="20">
        <f t="shared" si="12"/>
        <v>51.300000000000004</v>
      </c>
      <c r="AR20" s="20">
        <f t="shared" si="13"/>
        <v>44.35</v>
      </c>
      <c r="AS20" s="35">
        <f t="shared" si="29"/>
        <v>315.3</v>
      </c>
      <c r="AU20" s="47">
        <v>171993</v>
      </c>
      <c r="AV20" s="37">
        <f t="shared" si="31"/>
        <v>2663</v>
      </c>
      <c r="AW20" s="35">
        <f t="shared" si="30"/>
        <v>5.3260000000000005</v>
      </c>
    </row>
    <row r="21" spans="1:49" x14ac:dyDescent="0.25">
      <c r="A21" s="23">
        <v>44089</v>
      </c>
      <c r="B21" s="40">
        <v>109</v>
      </c>
      <c r="C21" s="24">
        <v>6357970</v>
      </c>
      <c r="D21" s="24">
        <v>14125160</v>
      </c>
      <c r="E21" s="24">
        <v>2026490</v>
      </c>
      <c r="F21" s="24">
        <v>3023650</v>
      </c>
      <c r="G21" s="24">
        <v>9173890</v>
      </c>
      <c r="H21" s="24">
        <v>4657070</v>
      </c>
      <c r="I21" s="24">
        <v>4453220</v>
      </c>
      <c r="J21" s="24">
        <v>4984450</v>
      </c>
      <c r="K21" s="24">
        <v>7840650</v>
      </c>
      <c r="L21" s="24">
        <v>3159260</v>
      </c>
      <c r="M21" s="24">
        <v>7023830</v>
      </c>
      <c r="N21" s="24">
        <v>10216160</v>
      </c>
      <c r="O21" s="24">
        <v>13806820</v>
      </c>
      <c r="Q21" s="37">
        <f t="shared" si="16"/>
        <v>1020</v>
      </c>
      <c r="R21" s="37">
        <f t="shared" si="17"/>
        <v>13900</v>
      </c>
      <c r="S21" s="37">
        <f t="shared" si="15"/>
        <v>3530</v>
      </c>
      <c r="T21" s="37">
        <f t="shared" si="18"/>
        <v>1620</v>
      </c>
      <c r="U21" s="37">
        <f t="shared" si="19"/>
        <v>4460</v>
      </c>
      <c r="V21" s="37">
        <f t="shared" si="20"/>
        <v>3230</v>
      </c>
      <c r="W21" s="37">
        <f t="shared" si="21"/>
        <v>2400</v>
      </c>
      <c r="X21" s="37">
        <f t="shared" si="22"/>
        <v>3660</v>
      </c>
      <c r="Y21" s="37">
        <f t="shared" si="23"/>
        <v>2530</v>
      </c>
      <c r="Z21" s="37">
        <f t="shared" si="24"/>
        <v>2760</v>
      </c>
      <c r="AA21" s="37">
        <f t="shared" si="25"/>
        <v>3020</v>
      </c>
      <c r="AB21" s="37">
        <f t="shared" si="26"/>
        <v>3720</v>
      </c>
      <c r="AC21" s="37">
        <f t="shared" si="27"/>
        <v>9190</v>
      </c>
      <c r="AD21" s="35">
        <f t="shared" si="28"/>
        <v>55040</v>
      </c>
      <c r="AF21" s="20">
        <f t="shared" si="1"/>
        <v>5.1000000000000005</v>
      </c>
      <c r="AG21" s="20">
        <f t="shared" si="2"/>
        <v>69.5</v>
      </c>
      <c r="AH21" s="20">
        <f t="shared" si="3"/>
        <v>17.650000000000002</v>
      </c>
      <c r="AI21" s="20">
        <f t="shared" si="4"/>
        <v>8.1</v>
      </c>
      <c r="AJ21" s="20">
        <f t="shared" si="5"/>
        <v>22.3</v>
      </c>
      <c r="AK21" s="20">
        <f t="shared" si="6"/>
        <v>16.149999999999999</v>
      </c>
      <c r="AL21" s="20">
        <f t="shared" si="7"/>
        <v>12</v>
      </c>
      <c r="AM21" s="20">
        <f t="shared" si="8"/>
        <v>18.3</v>
      </c>
      <c r="AN21" s="20">
        <f t="shared" si="9"/>
        <v>12.65</v>
      </c>
      <c r="AO21" s="20">
        <f t="shared" si="10"/>
        <v>13.8</v>
      </c>
      <c r="AP21" s="20">
        <f t="shared" si="11"/>
        <v>15.1</v>
      </c>
      <c r="AQ21" s="20">
        <f t="shared" si="12"/>
        <v>18.600000000000001</v>
      </c>
      <c r="AR21" s="20">
        <f t="shared" si="13"/>
        <v>45.95</v>
      </c>
      <c r="AS21" s="35">
        <f t="shared" si="29"/>
        <v>275.2</v>
      </c>
      <c r="AU21" s="47">
        <v>174303</v>
      </c>
      <c r="AV21" s="37">
        <f t="shared" si="31"/>
        <v>2310</v>
      </c>
      <c r="AW21" s="35">
        <f t="shared" si="30"/>
        <v>4.62</v>
      </c>
    </row>
    <row r="22" spans="1:49" x14ac:dyDescent="0.25">
      <c r="A22" s="23">
        <v>44090</v>
      </c>
      <c r="B22" s="40">
        <v>105</v>
      </c>
      <c r="C22" s="24">
        <v>6358940</v>
      </c>
      <c r="D22" s="24">
        <v>14140220</v>
      </c>
      <c r="E22" s="24">
        <v>2030490</v>
      </c>
      <c r="F22" s="24">
        <v>3025220</v>
      </c>
      <c r="G22" s="24">
        <v>9178450</v>
      </c>
      <c r="H22" s="24">
        <v>4660170</v>
      </c>
      <c r="I22" s="24">
        <v>4455570</v>
      </c>
      <c r="J22" s="44">
        <v>4988220</v>
      </c>
      <c r="K22" s="24">
        <v>7845190</v>
      </c>
      <c r="L22" s="24">
        <v>3162070</v>
      </c>
      <c r="M22" s="24">
        <v>7026790</v>
      </c>
      <c r="N22" s="24">
        <v>10222840</v>
      </c>
      <c r="O22" s="44">
        <v>13814500</v>
      </c>
      <c r="Q22" s="37">
        <f t="shared" si="16"/>
        <v>970</v>
      </c>
      <c r="R22" s="37">
        <f t="shared" si="17"/>
        <v>15060</v>
      </c>
      <c r="S22" s="37">
        <f t="shared" si="15"/>
        <v>4000</v>
      </c>
      <c r="T22" s="37">
        <f t="shared" si="18"/>
        <v>1570</v>
      </c>
      <c r="U22" s="37">
        <f t="shared" si="19"/>
        <v>4560</v>
      </c>
      <c r="V22" s="37">
        <f t="shared" si="20"/>
        <v>3100</v>
      </c>
      <c r="W22" s="37">
        <f t="shared" si="21"/>
        <v>2350</v>
      </c>
      <c r="X22" s="37">
        <f t="shared" si="22"/>
        <v>3770</v>
      </c>
      <c r="Y22" s="37">
        <f t="shared" si="23"/>
        <v>4540</v>
      </c>
      <c r="Z22" s="37">
        <f t="shared" si="24"/>
        <v>2810</v>
      </c>
      <c r="AA22" s="37">
        <f t="shared" si="25"/>
        <v>2960</v>
      </c>
      <c r="AB22" s="37">
        <f t="shared" si="26"/>
        <v>6680</v>
      </c>
      <c r="AC22" s="37">
        <f t="shared" si="27"/>
        <v>7680</v>
      </c>
      <c r="AD22" s="35">
        <f t="shared" si="28"/>
        <v>60050</v>
      </c>
      <c r="AF22" s="20">
        <f t="shared" si="1"/>
        <v>4.8500000000000005</v>
      </c>
      <c r="AG22" s="20">
        <f t="shared" si="2"/>
        <v>75.3</v>
      </c>
      <c r="AH22" s="20">
        <f t="shared" si="3"/>
        <v>20</v>
      </c>
      <c r="AI22" s="20">
        <f t="shared" si="4"/>
        <v>7.8500000000000005</v>
      </c>
      <c r="AJ22" s="20">
        <f t="shared" si="5"/>
        <v>22.8</v>
      </c>
      <c r="AK22" s="20">
        <f t="shared" si="6"/>
        <v>15.5</v>
      </c>
      <c r="AL22" s="20">
        <f t="shared" si="7"/>
        <v>11.75</v>
      </c>
      <c r="AM22" s="20">
        <f t="shared" si="8"/>
        <v>18.850000000000001</v>
      </c>
      <c r="AN22" s="20">
        <f t="shared" si="9"/>
        <v>22.7</v>
      </c>
      <c r="AO22" s="20">
        <f t="shared" si="10"/>
        <v>14.05</v>
      </c>
      <c r="AP22" s="20">
        <f t="shared" si="11"/>
        <v>14.8</v>
      </c>
      <c r="AQ22" s="20">
        <f t="shared" si="12"/>
        <v>33.4</v>
      </c>
      <c r="AR22" s="20">
        <f t="shared" si="13"/>
        <v>38.4</v>
      </c>
      <c r="AS22" s="35">
        <f t="shared" si="29"/>
        <v>300.24999999999994</v>
      </c>
      <c r="AU22" s="47">
        <v>176496</v>
      </c>
      <c r="AV22" s="37">
        <f t="shared" si="31"/>
        <v>2193</v>
      </c>
      <c r="AW22" s="35">
        <f t="shared" si="30"/>
        <v>4.3860000000000001</v>
      </c>
    </row>
    <row r="23" spans="1:49" x14ac:dyDescent="0.25">
      <c r="A23" s="23">
        <v>44091</v>
      </c>
      <c r="B23" s="40">
        <v>181</v>
      </c>
      <c r="C23" s="24">
        <v>6360010</v>
      </c>
      <c r="D23" s="24">
        <v>14156060</v>
      </c>
      <c r="E23" s="24">
        <v>2034610</v>
      </c>
      <c r="F23" s="24">
        <v>3026930</v>
      </c>
      <c r="G23" s="24">
        <v>9183290</v>
      </c>
      <c r="H23" s="24">
        <v>4663670</v>
      </c>
      <c r="I23" s="24">
        <v>4458190</v>
      </c>
      <c r="J23" s="24">
        <v>4992330</v>
      </c>
      <c r="K23" s="24">
        <v>7850270</v>
      </c>
      <c r="L23" s="24">
        <v>3165190</v>
      </c>
      <c r="M23" s="24">
        <v>7030430</v>
      </c>
      <c r="N23" s="24">
        <v>10230240</v>
      </c>
      <c r="O23" s="24">
        <v>13823310</v>
      </c>
      <c r="Q23" s="37">
        <f t="shared" si="16"/>
        <v>1070</v>
      </c>
      <c r="R23" s="37">
        <f t="shared" si="17"/>
        <v>15840</v>
      </c>
      <c r="S23" s="37">
        <f t="shared" si="15"/>
        <v>4120</v>
      </c>
      <c r="T23" s="37">
        <f t="shared" si="18"/>
        <v>1710</v>
      </c>
      <c r="U23" s="37">
        <f t="shared" si="19"/>
        <v>4840</v>
      </c>
      <c r="V23" s="37">
        <f t="shared" si="20"/>
        <v>3500</v>
      </c>
      <c r="W23" s="37">
        <f t="shared" si="21"/>
        <v>2620</v>
      </c>
      <c r="X23" s="37">
        <f t="shared" si="22"/>
        <v>4110</v>
      </c>
      <c r="Y23" s="37">
        <f t="shared" si="23"/>
        <v>5080</v>
      </c>
      <c r="Z23" s="37">
        <f t="shared" si="24"/>
        <v>3120</v>
      </c>
      <c r="AA23" s="37">
        <f t="shared" si="25"/>
        <v>3640</v>
      </c>
      <c r="AB23" s="37">
        <f t="shared" si="26"/>
        <v>7400</v>
      </c>
      <c r="AC23" s="37">
        <f t="shared" si="27"/>
        <v>8810</v>
      </c>
      <c r="AD23" s="35">
        <f t="shared" si="28"/>
        <v>65860</v>
      </c>
      <c r="AF23" s="20">
        <f t="shared" si="1"/>
        <v>5.3500000000000005</v>
      </c>
      <c r="AG23" s="20">
        <f t="shared" si="2"/>
        <v>79.2</v>
      </c>
      <c r="AH23" s="20">
        <f t="shared" si="3"/>
        <v>20.6</v>
      </c>
      <c r="AI23" s="20">
        <f t="shared" si="4"/>
        <v>8.5500000000000007</v>
      </c>
      <c r="AJ23" s="20">
        <f t="shared" si="5"/>
        <v>24.2</v>
      </c>
      <c r="AK23" s="20">
        <f t="shared" si="6"/>
        <v>17.5</v>
      </c>
      <c r="AL23" s="20">
        <f t="shared" si="7"/>
        <v>13.1</v>
      </c>
      <c r="AM23" s="20">
        <f t="shared" si="8"/>
        <v>20.55</v>
      </c>
      <c r="AN23" s="20">
        <f t="shared" si="9"/>
        <v>25.400000000000002</v>
      </c>
      <c r="AO23" s="20">
        <f t="shared" si="10"/>
        <v>15.6</v>
      </c>
      <c r="AP23" s="20">
        <f t="shared" si="11"/>
        <v>18.2</v>
      </c>
      <c r="AQ23" s="20">
        <f t="shared" si="12"/>
        <v>37</v>
      </c>
      <c r="AR23" s="20">
        <f t="shared" si="13"/>
        <v>44.050000000000004</v>
      </c>
      <c r="AS23" s="35">
        <f t="shared" si="29"/>
        <v>329.3</v>
      </c>
      <c r="AU23" s="47">
        <v>178684</v>
      </c>
      <c r="AV23" s="37">
        <f t="shared" si="31"/>
        <v>2188</v>
      </c>
      <c r="AW23" s="35">
        <f t="shared" si="30"/>
        <v>4.3760000000000003</v>
      </c>
    </row>
    <row r="24" spans="1:49" x14ac:dyDescent="0.25">
      <c r="A24" s="23">
        <v>44092</v>
      </c>
      <c r="B24" s="40">
        <v>187</v>
      </c>
      <c r="C24" s="24">
        <v>6360940</v>
      </c>
      <c r="D24" s="24">
        <v>14168530</v>
      </c>
      <c r="E24" s="24">
        <v>2037780</v>
      </c>
      <c r="F24" s="24">
        <v>3028390</v>
      </c>
      <c r="G24" s="24">
        <v>9187860</v>
      </c>
      <c r="H24" s="24">
        <v>4666650</v>
      </c>
      <c r="I24" s="24">
        <v>4460370</v>
      </c>
      <c r="J24" s="24">
        <v>4995790</v>
      </c>
      <c r="K24" s="24">
        <v>7854790</v>
      </c>
      <c r="L24" s="24">
        <v>3168030</v>
      </c>
      <c r="M24" s="24">
        <v>7033820</v>
      </c>
      <c r="N24" s="24">
        <v>10236650</v>
      </c>
      <c r="O24" s="24">
        <v>13830870</v>
      </c>
      <c r="Q24" s="37">
        <f t="shared" si="16"/>
        <v>930</v>
      </c>
      <c r="R24" s="37">
        <f t="shared" si="17"/>
        <v>12470</v>
      </c>
      <c r="S24" s="37">
        <f t="shared" si="15"/>
        <v>3170</v>
      </c>
      <c r="T24" s="37">
        <f t="shared" si="18"/>
        <v>1460</v>
      </c>
      <c r="U24" s="37">
        <f t="shared" si="19"/>
        <v>4570</v>
      </c>
      <c r="V24" s="37">
        <f t="shared" si="20"/>
        <v>2980</v>
      </c>
      <c r="W24" s="37">
        <f t="shared" si="21"/>
        <v>2180</v>
      </c>
      <c r="X24" s="37">
        <f t="shared" si="22"/>
        <v>3460</v>
      </c>
      <c r="Y24" s="37">
        <f t="shared" si="23"/>
        <v>4520</v>
      </c>
      <c r="Z24" s="37">
        <f t="shared" si="24"/>
        <v>2840</v>
      </c>
      <c r="AA24" s="37">
        <f t="shared" si="25"/>
        <v>3390</v>
      </c>
      <c r="AB24" s="37">
        <f t="shared" si="26"/>
        <v>6410</v>
      </c>
      <c r="AC24" s="37">
        <f t="shared" si="27"/>
        <v>7560</v>
      </c>
      <c r="AD24" s="35">
        <f t="shared" si="28"/>
        <v>55940</v>
      </c>
      <c r="AF24" s="20">
        <f t="shared" si="1"/>
        <v>4.6500000000000004</v>
      </c>
      <c r="AG24" s="20">
        <f t="shared" si="2"/>
        <v>62.35</v>
      </c>
      <c r="AH24" s="20">
        <f t="shared" si="3"/>
        <v>15.85</v>
      </c>
      <c r="AI24" s="20">
        <f t="shared" si="4"/>
        <v>7.3</v>
      </c>
      <c r="AJ24" s="20">
        <f t="shared" si="5"/>
        <v>22.85</v>
      </c>
      <c r="AK24" s="20">
        <f t="shared" si="6"/>
        <v>14.9</v>
      </c>
      <c r="AL24" s="20">
        <f t="shared" si="7"/>
        <v>10.9</v>
      </c>
      <c r="AM24" s="20">
        <f t="shared" si="8"/>
        <v>17.3</v>
      </c>
      <c r="AN24" s="20">
        <f t="shared" si="9"/>
        <v>22.6</v>
      </c>
      <c r="AO24" s="20">
        <f t="shared" si="10"/>
        <v>14.200000000000001</v>
      </c>
      <c r="AP24" s="20">
        <f t="shared" si="11"/>
        <v>16.95</v>
      </c>
      <c r="AQ24" s="20">
        <f t="shared" si="12"/>
        <v>32.049999999999997</v>
      </c>
      <c r="AR24" s="20">
        <f t="shared" si="13"/>
        <v>37.800000000000004</v>
      </c>
      <c r="AS24" s="35">
        <f t="shared" si="29"/>
        <v>279.7</v>
      </c>
      <c r="AU24" s="47">
        <v>181066</v>
      </c>
      <c r="AV24" s="37">
        <f t="shared" si="31"/>
        <v>2382</v>
      </c>
      <c r="AW24" s="35">
        <f t="shared" si="30"/>
        <v>4.7640000000000002</v>
      </c>
    </row>
    <row r="25" spans="1:49" x14ac:dyDescent="0.25">
      <c r="A25" s="23">
        <v>44093</v>
      </c>
      <c r="B25" s="40">
        <v>115</v>
      </c>
      <c r="C25" s="24">
        <v>6361960</v>
      </c>
      <c r="D25" s="24">
        <v>14182120</v>
      </c>
      <c r="E25" s="24">
        <v>2041190</v>
      </c>
      <c r="F25" s="24">
        <v>3030000</v>
      </c>
      <c r="G25" s="24">
        <v>9192920</v>
      </c>
      <c r="H25" s="24">
        <v>4669970</v>
      </c>
      <c r="I25" s="24">
        <v>4462800</v>
      </c>
      <c r="J25" s="24">
        <v>4999670</v>
      </c>
      <c r="K25" s="24">
        <v>7859810</v>
      </c>
      <c r="L25" s="24">
        <v>3170910</v>
      </c>
      <c r="M25" s="24">
        <v>7037410</v>
      </c>
      <c r="N25" s="24">
        <v>10243690</v>
      </c>
      <c r="O25" s="24">
        <v>13839980</v>
      </c>
      <c r="Q25" s="37">
        <f t="shared" ref="Q25:AC27" si="33">IF((C25-C24&lt;0), "0",C25-C24)</f>
        <v>1020</v>
      </c>
      <c r="R25" s="37">
        <f t="shared" si="33"/>
        <v>13590</v>
      </c>
      <c r="S25" s="37">
        <f t="shared" si="33"/>
        <v>3410</v>
      </c>
      <c r="T25" s="37">
        <f t="shared" si="33"/>
        <v>1610</v>
      </c>
      <c r="U25" s="37">
        <f t="shared" si="33"/>
        <v>5060</v>
      </c>
      <c r="V25" s="37">
        <f t="shared" si="33"/>
        <v>3320</v>
      </c>
      <c r="W25" s="37">
        <f t="shared" si="33"/>
        <v>2430</v>
      </c>
      <c r="X25" s="37">
        <f t="shared" si="33"/>
        <v>3880</v>
      </c>
      <c r="Y25" s="37">
        <f t="shared" si="33"/>
        <v>5020</v>
      </c>
      <c r="Z25" s="37">
        <f t="shared" si="33"/>
        <v>2880</v>
      </c>
      <c r="AA25" s="37">
        <f t="shared" si="33"/>
        <v>3590</v>
      </c>
      <c r="AB25" s="37">
        <f t="shared" si="33"/>
        <v>7040</v>
      </c>
      <c r="AC25" s="37">
        <f t="shared" si="33"/>
        <v>9110</v>
      </c>
      <c r="AD25" s="35">
        <f t="shared" si="28"/>
        <v>61960</v>
      </c>
      <c r="AF25" s="20">
        <f t="shared" si="1"/>
        <v>5.1000000000000005</v>
      </c>
      <c r="AG25" s="20">
        <f t="shared" si="2"/>
        <v>67.95</v>
      </c>
      <c r="AH25" s="20">
        <f t="shared" si="3"/>
        <v>17.05</v>
      </c>
      <c r="AI25" s="20">
        <f t="shared" si="4"/>
        <v>8.0500000000000007</v>
      </c>
      <c r="AJ25" s="20">
        <f t="shared" si="5"/>
        <v>25.3</v>
      </c>
      <c r="AK25" s="20">
        <f t="shared" si="6"/>
        <v>16.600000000000001</v>
      </c>
      <c r="AL25" s="20">
        <f t="shared" si="7"/>
        <v>12.15</v>
      </c>
      <c r="AM25" s="20">
        <f t="shared" si="8"/>
        <v>19.400000000000002</v>
      </c>
      <c r="AN25" s="20">
        <f t="shared" si="9"/>
        <v>25.1</v>
      </c>
      <c r="AO25" s="20">
        <f t="shared" si="10"/>
        <v>14.4</v>
      </c>
      <c r="AP25" s="20">
        <f t="shared" si="11"/>
        <v>17.95</v>
      </c>
      <c r="AQ25" s="20">
        <f t="shared" si="12"/>
        <v>35.200000000000003</v>
      </c>
      <c r="AR25" s="20">
        <f t="shared" si="13"/>
        <v>45.550000000000004</v>
      </c>
      <c r="AS25" s="35">
        <f t="shared" si="29"/>
        <v>309.8</v>
      </c>
      <c r="AU25" s="47">
        <v>183375</v>
      </c>
      <c r="AV25" s="37">
        <f t="shared" si="31"/>
        <v>2309</v>
      </c>
      <c r="AW25" s="35">
        <f t="shared" si="30"/>
        <v>4.6180000000000003</v>
      </c>
    </row>
    <row r="26" spans="1:49" x14ac:dyDescent="0.25">
      <c r="A26" s="23">
        <v>44094</v>
      </c>
      <c r="B26" s="40">
        <v>176</v>
      </c>
      <c r="C26" s="24">
        <v>6362940</v>
      </c>
      <c r="D26" s="24">
        <v>14195330</v>
      </c>
      <c r="E26" s="24">
        <v>2044530</v>
      </c>
      <c r="F26" s="24">
        <v>3031530</v>
      </c>
      <c r="G26" s="24">
        <v>9197310</v>
      </c>
      <c r="H26" s="24">
        <v>4673050</v>
      </c>
      <c r="I26" s="24">
        <v>4465080</v>
      </c>
      <c r="J26" s="24">
        <v>5002950</v>
      </c>
      <c r="K26" s="24">
        <v>7864270</v>
      </c>
      <c r="L26" s="24">
        <v>3173520</v>
      </c>
      <c r="M26" s="24">
        <v>7040480</v>
      </c>
      <c r="N26" s="24">
        <v>10250250</v>
      </c>
      <c r="O26" s="24">
        <v>13849900</v>
      </c>
      <c r="Q26" s="37">
        <f t="shared" si="33"/>
        <v>980</v>
      </c>
      <c r="R26" s="37">
        <f t="shared" si="33"/>
        <v>13210</v>
      </c>
      <c r="S26" s="37">
        <f t="shared" si="33"/>
        <v>3340</v>
      </c>
      <c r="T26" s="37">
        <f t="shared" si="33"/>
        <v>1530</v>
      </c>
      <c r="U26" s="37">
        <f t="shared" si="33"/>
        <v>4390</v>
      </c>
      <c r="V26" s="37">
        <f t="shared" si="33"/>
        <v>3080</v>
      </c>
      <c r="W26" s="37">
        <f t="shared" si="33"/>
        <v>2280</v>
      </c>
      <c r="X26" s="37">
        <f t="shared" si="33"/>
        <v>3280</v>
      </c>
      <c r="Y26" s="37">
        <f t="shared" si="33"/>
        <v>4460</v>
      </c>
      <c r="Z26" s="37">
        <f t="shared" si="33"/>
        <v>2610</v>
      </c>
      <c r="AA26" s="37">
        <f t="shared" si="33"/>
        <v>3070</v>
      </c>
      <c r="AB26" s="37">
        <f t="shared" si="33"/>
        <v>6560</v>
      </c>
      <c r="AC26" s="37">
        <f t="shared" si="33"/>
        <v>9920</v>
      </c>
      <c r="AD26" s="35">
        <f t="shared" si="28"/>
        <v>58710</v>
      </c>
      <c r="AF26" s="20">
        <f t="shared" si="1"/>
        <v>4.9000000000000004</v>
      </c>
      <c r="AG26" s="20">
        <f t="shared" si="2"/>
        <v>66.05</v>
      </c>
      <c r="AH26" s="20">
        <f t="shared" si="3"/>
        <v>16.7</v>
      </c>
      <c r="AI26" s="20">
        <f t="shared" si="4"/>
        <v>7.65</v>
      </c>
      <c r="AJ26" s="20">
        <f t="shared" si="5"/>
        <v>21.95</v>
      </c>
      <c r="AK26" s="20">
        <f t="shared" si="6"/>
        <v>15.4</v>
      </c>
      <c r="AL26" s="20">
        <f t="shared" si="7"/>
        <v>11.4</v>
      </c>
      <c r="AM26" s="20">
        <f t="shared" si="8"/>
        <v>16.399999999999999</v>
      </c>
      <c r="AN26" s="20">
        <f t="shared" si="9"/>
        <v>22.3</v>
      </c>
      <c r="AO26" s="20">
        <f t="shared" si="10"/>
        <v>13.05</v>
      </c>
      <c r="AP26" s="20">
        <f t="shared" si="11"/>
        <v>15.35</v>
      </c>
      <c r="AQ26" s="20">
        <f t="shared" si="12"/>
        <v>32.799999999999997</v>
      </c>
      <c r="AR26" s="20">
        <f t="shared" si="13"/>
        <v>49.6</v>
      </c>
      <c r="AS26" s="35">
        <f t="shared" si="29"/>
        <v>293.55000000000007</v>
      </c>
      <c r="AU26" s="47">
        <v>185708</v>
      </c>
      <c r="AV26" s="37">
        <f t="shared" si="31"/>
        <v>2333</v>
      </c>
      <c r="AW26" s="35">
        <f t="shared" si="30"/>
        <v>4.6660000000000004</v>
      </c>
    </row>
    <row r="27" spans="1:49" x14ac:dyDescent="0.25">
      <c r="A27" s="23">
        <v>44095</v>
      </c>
      <c r="B27" s="40">
        <v>117</v>
      </c>
      <c r="C27" s="24">
        <v>6363930</v>
      </c>
      <c r="D27" s="24">
        <v>14208820</v>
      </c>
      <c r="E27" s="24">
        <v>2047930</v>
      </c>
      <c r="F27" s="24">
        <v>3033120</v>
      </c>
      <c r="G27" s="24">
        <v>9201860</v>
      </c>
      <c r="H27" s="24">
        <v>4676290</v>
      </c>
      <c r="I27" s="24">
        <v>4467430</v>
      </c>
      <c r="J27" s="24">
        <v>5006470</v>
      </c>
      <c r="K27" s="24">
        <v>7868870</v>
      </c>
      <c r="L27" s="24">
        <v>3176120</v>
      </c>
      <c r="M27" s="24">
        <v>7043420</v>
      </c>
      <c r="N27" s="24">
        <v>10256970</v>
      </c>
      <c r="O27" s="24">
        <v>13860140</v>
      </c>
      <c r="Q27" s="37">
        <f t="shared" si="33"/>
        <v>990</v>
      </c>
      <c r="R27" s="37">
        <f t="shared" si="33"/>
        <v>13490</v>
      </c>
      <c r="S27" s="37">
        <f t="shared" si="33"/>
        <v>3400</v>
      </c>
      <c r="T27" s="37">
        <f t="shared" si="33"/>
        <v>1590</v>
      </c>
      <c r="U27" s="37">
        <f t="shared" si="33"/>
        <v>4550</v>
      </c>
      <c r="V27" s="37">
        <f t="shared" si="33"/>
        <v>3240</v>
      </c>
      <c r="W27" s="37">
        <f t="shared" si="33"/>
        <v>2350</v>
      </c>
      <c r="X27" s="37">
        <f t="shared" si="33"/>
        <v>3520</v>
      </c>
      <c r="Y27" s="37">
        <f t="shared" si="33"/>
        <v>4600</v>
      </c>
      <c r="Z27" s="37">
        <f t="shared" si="33"/>
        <v>2600</v>
      </c>
      <c r="AA27" s="37">
        <f t="shared" si="33"/>
        <v>2940</v>
      </c>
      <c r="AB27" s="37">
        <f t="shared" si="33"/>
        <v>6720</v>
      </c>
      <c r="AC27" s="37">
        <f t="shared" si="33"/>
        <v>10240</v>
      </c>
      <c r="AD27" s="35">
        <f t="shared" si="28"/>
        <v>60230</v>
      </c>
      <c r="AF27" s="20">
        <f t="shared" si="1"/>
        <v>4.95</v>
      </c>
      <c r="AG27" s="20">
        <f t="shared" si="2"/>
        <v>67.45</v>
      </c>
      <c r="AH27" s="20">
        <f t="shared" si="3"/>
        <v>17</v>
      </c>
      <c r="AI27" s="20">
        <f t="shared" si="4"/>
        <v>7.95</v>
      </c>
      <c r="AJ27" s="20">
        <f t="shared" si="5"/>
        <v>22.75</v>
      </c>
      <c r="AK27" s="20">
        <f t="shared" si="6"/>
        <v>16.2</v>
      </c>
      <c r="AL27" s="20">
        <f t="shared" si="7"/>
        <v>11.75</v>
      </c>
      <c r="AM27" s="20">
        <f t="shared" si="8"/>
        <v>17.600000000000001</v>
      </c>
      <c r="AN27" s="20">
        <f t="shared" si="9"/>
        <v>23</v>
      </c>
      <c r="AO27" s="20">
        <f t="shared" si="10"/>
        <v>13</v>
      </c>
      <c r="AP27" s="20">
        <f t="shared" si="11"/>
        <v>14.700000000000001</v>
      </c>
      <c r="AQ27" s="20">
        <f t="shared" si="12"/>
        <v>33.6</v>
      </c>
      <c r="AR27" s="20">
        <f t="shared" si="13"/>
        <v>51.2</v>
      </c>
      <c r="AS27" s="35">
        <f t="shared" si="29"/>
        <v>301.14999999999998</v>
      </c>
      <c r="AU27" s="47">
        <v>188147</v>
      </c>
      <c r="AV27" s="37">
        <f>IF((AU27-AU26&lt;0),"0",AU27-AU26)</f>
        <v>2439</v>
      </c>
      <c r="AW27" s="35">
        <f t="shared" si="30"/>
        <v>4.8780000000000001</v>
      </c>
    </row>
    <row r="28" spans="1:49" x14ac:dyDescent="0.25">
      <c r="A28" s="23">
        <v>44096</v>
      </c>
      <c r="B28" s="40">
        <v>110</v>
      </c>
      <c r="C28" s="24">
        <v>6364960</v>
      </c>
      <c r="D28" s="24">
        <v>14222490</v>
      </c>
      <c r="E28" s="24">
        <v>2051360</v>
      </c>
      <c r="F28" s="24">
        <v>3034740</v>
      </c>
      <c r="G28" s="24">
        <v>9206910</v>
      </c>
      <c r="H28" s="24">
        <v>4679450</v>
      </c>
      <c r="I28" s="24">
        <v>4469870</v>
      </c>
      <c r="J28" s="24">
        <v>5010020</v>
      </c>
      <c r="K28" s="24">
        <v>7873580</v>
      </c>
      <c r="L28" s="24">
        <v>3178930</v>
      </c>
      <c r="M28" s="24">
        <v>7046610</v>
      </c>
      <c r="N28" s="24">
        <v>10263920</v>
      </c>
      <c r="O28" s="24">
        <v>13869550</v>
      </c>
      <c r="Q28" s="37">
        <f t="shared" si="16"/>
        <v>1030</v>
      </c>
      <c r="R28" s="37">
        <f t="shared" si="17"/>
        <v>13670</v>
      </c>
      <c r="S28" s="37">
        <f t="shared" si="15"/>
        <v>3430</v>
      </c>
      <c r="T28" s="37">
        <f t="shared" si="18"/>
        <v>1620</v>
      </c>
      <c r="U28" s="37">
        <f t="shared" si="19"/>
        <v>5050</v>
      </c>
      <c r="V28" s="37">
        <f t="shared" si="20"/>
        <v>3160</v>
      </c>
      <c r="W28" s="37">
        <f t="shared" si="21"/>
        <v>2440</v>
      </c>
      <c r="X28" s="37">
        <f t="shared" si="22"/>
        <v>3550</v>
      </c>
      <c r="Y28" s="37">
        <f t="shared" si="23"/>
        <v>4710</v>
      </c>
      <c r="Z28" s="37">
        <f t="shared" si="24"/>
        <v>2810</v>
      </c>
      <c r="AA28" s="37">
        <f t="shared" si="25"/>
        <v>3190</v>
      </c>
      <c r="AB28" s="37">
        <f t="shared" si="26"/>
        <v>6950</v>
      </c>
      <c r="AC28" s="37">
        <f t="shared" si="27"/>
        <v>9410</v>
      </c>
      <c r="AD28" s="35">
        <f t="shared" si="28"/>
        <v>61020</v>
      </c>
      <c r="AF28" s="20">
        <f t="shared" si="1"/>
        <v>5.15</v>
      </c>
      <c r="AG28" s="20">
        <f t="shared" si="2"/>
        <v>68.349999999999994</v>
      </c>
      <c r="AH28" s="20">
        <f t="shared" si="3"/>
        <v>17.150000000000002</v>
      </c>
      <c r="AI28" s="20">
        <f t="shared" si="4"/>
        <v>8.1</v>
      </c>
      <c r="AJ28" s="20">
        <f t="shared" si="5"/>
        <v>25.25</v>
      </c>
      <c r="AK28" s="20">
        <f t="shared" si="6"/>
        <v>15.8</v>
      </c>
      <c r="AL28" s="20">
        <f t="shared" si="7"/>
        <v>12.200000000000001</v>
      </c>
      <c r="AM28" s="20">
        <f t="shared" si="8"/>
        <v>17.75</v>
      </c>
      <c r="AN28" s="20">
        <f t="shared" si="9"/>
        <v>23.55</v>
      </c>
      <c r="AO28" s="20">
        <f t="shared" si="10"/>
        <v>14.05</v>
      </c>
      <c r="AP28" s="20">
        <f t="shared" si="11"/>
        <v>15.950000000000001</v>
      </c>
      <c r="AQ28" s="20">
        <f t="shared" si="12"/>
        <v>34.75</v>
      </c>
      <c r="AR28" s="20">
        <f t="shared" si="13"/>
        <v>47.050000000000004</v>
      </c>
      <c r="AS28" s="35">
        <f t="shared" si="29"/>
        <v>305.10000000000002</v>
      </c>
      <c r="AU28" s="47">
        <v>190397</v>
      </c>
      <c r="AV28" s="37">
        <f>IF((AU28-AU27&lt;0),"0",AU28-AU27)</f>
        <v>2250</v>
      </c>
      <c r="AW28" s="35">
        <f t="shared" si="30"/>
        <v>4.5</v>
      </c>
    </row>
    <row r="29" spans="1:49" x14ac:dyDescent="0.25">
      <c r="A29" s="23">
        <v>44097</v>
      </c>
      <c r="B29" s="40">
        <v>111</v>
      </c>
      <c r="C29" s="24">
        <v>6366010</v>
      </c>
      <c r="D29" s="24">
        <v>14236670</v>
      </c>
      <c r="E29" s="24">
        <v>2054960</v>
      </c>
      <c r="F29" s="24">
        <v>3036390</v>
      </c>
      <c r="G29" s="24">
        <v>9212030</v>
      </c>
      <c r="H29" s="24">
        <v>4682670</v>
      </c>
      <c r="I29" s="24">
        <v>4472350</v>
      </c>
      <c r="J29" s="24">
        <v>5013660</v>
      </c>
      <c r="K29" s="24">
        <v>7878330</v>
      </c>
      <c r="L29" s="24">
        <v>3181770</v>
      </c>
      <c r="M29" s="24">
        <v>7049850</v>
      </c>
      <c r="N29" s="24">
        <v>10271250</v>
      </c>
      <c r="O29" s="24">
        <v>13878730</v>
      </c>
      <c r="Q29" s="37">
        <f t="shared" si="16"/>
        <v>1050</v>
      </c>
      <c r="R29" s="37">
        <f t="shared" si="17"/>
        <v>14180</v>
      </c>
      <c r="S29" s="37">
        <f t="shared" si="15"/>
        <v>3600</v>
      </c>
      <c r="T29" s="37">
        <f t="shared" si="18"/>
        <v>1650</v>
      </c>
      <c r="U29" s="37">
        <f t="shared" si="19"/>
        <v>5120</v>
      </c>
      <c r="V29" s="37">
        <f t="shared" si="20"/>
        <v>3220</v>
      </c>
      <c r="W29" s="37">
        <f t="shared" si="21"/>
        <v>2480</v>
      </c>
      <c r="X29" s="37">
        <f t="shared" si="22"/>
        <v>3640</v>
      </c>
      <c r="Y29" s="37">
        <f t="shared" si="23"/>
        <v>4750</v>
      </c>
      <c r="Z29" s="37">
        <f t="shared" si="24"/>
        <v>2840</v>
      </c>
      <c r="AA29" s="37">
        <f t="shared" si="25"/>
        <v>3240</v>
      </c>
      <c r="AB29" s="37">
        <f t="shared" si="26"/>
        <v>7330</v>
      </c>
      <c r="AC29" s="37">
        <f t="shared" si="27"/>
        <v>9180</v>
      </c>
      <c r="AD29" s="35">
        <f t="shared" si="28"/>
        <v>62280</v>
      </c>
      <c r="AF29" s="20">
        <f t="shared" si="1"/>
        <v>5.25</v>
      </c>
      <c r="AG29" s="20">
        <f t="shared" si="2"/>
        <v>70.900000000000006</v>
      </c>
      <c r="AH29" s="20">
        <f t="shared" si="3"/>
        <v>18</v>
      </c>
      <c r="AI29" s="20">
        <f t="shared" si="4"/>
        <v>8.25</v>
      </c>
      <c r="AJ29" s="20">
        <f t="shared" si="5"/>
        <v>25.6</v>
      </c>
      <c r="AK29" s="20">
        <f t="shared" si="6"/>
        <v>16.100000000000001</v>
      </c>
      <c r="AL29" s="20">
        <f t="shared" si="7"/>
        <v>12.4</v>
      </c>
      <c r="AM29" s="20">
        <f t="shared" si="8"/>
        <v>18.2</v>
      </c>
      <c r="AN29" s="20">
        <f t="shared" si="9"/>
        <v>23.75</v>
      </c>
      <c r="AO29" s="20">
        <f t="shared" si="10"/>
        <v>14.200000000000001</v>
      </c>
      <c r="AP29" s="20">
        <f t="shared" si="11"/>
        <v>16.2</v>
      </c>
      <c r="AQ29" s="20">
        <f t="shared" si="12"/>
        <v>36.65</v>
      </c>
      <c r="AR29" s="20">
        <f t="shared" si="13"/>
        <v>45.9</v>
      </c>
      <c r="AS29" s="35">
        <f t="shared" si="29"/>
        <v>311.39999999999992</v>
      </c>
      <c r="AU29" s="47">
        <v>192957</v>
      </c>
      <c r="AV29" s="37">
        <f t="shared" ref="AV29:AV35" si="34">IF((AU29-AU28&lt;0),"0",AU29-AU28)</f>
        <v>2560</v>
      </c>
      <c r="AW29" s="35">
        <f t="shared" si="30"/>
        <v>5.12</v>
      </c>
    </row>
    <row r="30" spans="1:49" x14ac:dyDescent="0.25">
      <c r="A30" s="23">
        <v>44098</v>
      </c>
      <c r="B30" s="40">
        <v>192</v>
      </c>
      <c r="C30" s="24">
        <v>6366980</v>
      </c>
      <c r="D30" s="24">
        <v>14249720</v>
      </c>
      <c r="E30" s="24">
        <v>2058250</v>
      </c>
      <c r="F30" s="24">
        <v>3037930</v>
      </c>
      <c r="G30" s="24">
        <v>9216730</v>
      </c>
      <c r="H30" s="24">
        <v>4685740</v>
      </c>
      <c r="I30" s="24">
        <v>4474660</v>
      </c>
      <c r="J30" s="24">
        <v>5017200</v>
      </c>
      <c r="K30" s="24">
        <v>7882880</v>
      </c>
      <c r="L30" s="24">
        <v>3184700</v>
      </c>
      <c r="M30" s="24">
        <v>7053220</v>
      </c>
      <c r="N30" s="24">
        <v>10278160</v>
      </c>
      <c r="O30" s="24">
        <v>13888070</v>
      </c>
      <c r="Q30" s="37">
        <f t="shared" si="16"/>
        <v>970</v>
      </c>
      <c r="R30" s="37">
        <f t="shared" si="17"/>
        <v>13050</v>
      </c>
      <c r="S30" s="37">
        <f t="shared" si="15"/>
        <v>3290</v>
      </c>
      <c r="T30" s="37">
        <f t="shared" si="18"/>
        <v>1540</v>
      </c>
      <c r="U30" s="37">
        <f t="shared" si="19"/>
        <v>4700</v>
      </c>
      <c r="V30" s="37">
        <f t="shared" si="20"/>
        <v>3070</v>
      </c>
      <c r="W30" s="37">
        <f t="shared" si="21"/>
        <v>2310</v>
      </c>
      <c r="X30" s="37">
        <f t="shared" si="22"/>
        <v>3540</v>
      </c>
      <c r="Y30" s="37">
        <f t="shared" si="23"/>
        <v>4550</v>
      </c>
      <c r="Z30" s="37">
        <f t="shared" si="24"/>
        <v>2930</v>
      </c>
      <c r="AA30" s="37">
        <f t="shared" si="25"/>
        <v>3370</v>
      </c>
      <c r="AB30" s="37">
        <f t="shared" si="26"/>
        <v>6910</v>
      </c>
      <c r="AC30" s="37">
        <f t="shared" si="27"/>
        <v>9340</v>
      </c>
      <c r="AD30" s="35">
        <f t="shared" si="28"/>
        <v>59570</v>
      </c>
      <c r="AF30" s="20">
        <f t="shared" si="1"/>
        <v>4.8500000000000005</v>
      </c>
      <c r="AG30" s="20">
        <f t="shared" si="2"/>
        <v>65.25</v>
      </c>
      <c r="AH30" s="20">
        <f t="shared" si="3"/>
        <v>16.45</v>
      </c>
      <c r="AI30" s="20">
        <f t="shared" si="4"/>
        <v>7.7</v>
      </c>
      <c r="AJ30" s="20">
        <f t="shared" si="5"/>
        <v>23.5</v>
      </c>
      <c r="AK30" s="20">
        <f t="shared" si="6"/>
        <v>15.35</v>
      </c>
      <c r="AL30" s="20">
        <f t="shared" si="7"/>
        <v>11.55</v>
      </c>
      <c r="AM30" s="20">
        <f t="shared" si="8"/>
        <v>17.7</v>
      </c>
      <c r="AN30" s="20">
        <f t="shared" si="9"/>
        <v>22.75</v>
      </c>
      <c r="AO30" s="20">
        <f t="shared" si="10"/>
        <v>14.65</v>
      </c>
      <c r="AP30" s="20">
        <f t="shared" si="11"/>
        <v>16.850000000000001</v>
      </c>
      <c r="AQ30" s="20">
        <f t="shared" si="12"/>
        <v>34.550000000000004</v>
      </c>
      <c r="AR30" s="20">
        <f t="shared" si="13"/>
        <v>46.7</v>
      </c>
      <c r="AS30" s="35">
        <f t="shared" si="29"/>
        <v>297.85000000000002</v>
      </c>
      <c r="AU30" s="47">
        <v>195403</v>
      </c>
      <c r="AV30" s="37">
        <f t="shared" si="34"/>
        <v>2446</v>
      </c>
      <c r="AW30" s="35">
        <f t="shared" si="30"/>
        <v>4.8920000000000003</v>
      </c>
    </row>
    <row r="31" spans="1:49" x14ac:dyDescent="0.25">
      <c r="A31" s="23">
        <v>44099</v>
      </c>
      <c r="B31" s="40">
        <v>206</v>
      </c>
      <c r="C31" s="24">
        <v>6367980</v>
      </c>
      <c r="D31" s="24">
        <v>14263630</v>
      </c>
      <c r="E31" s="24">
        <v>2061770</v>
      </c>
      <c r="F31" s="24">
        <v>3039540</v>
      </c>
      <c r="G31" s="24">
        <v>9221800</v>
      </c>
      <c r="H31" s="24">
        <v>4689070</v>
      </c>
      <c r="I31" s="24">
        <v>4477060</v>
      </c>
      <c r="J31" s="24">
        <v>5020930</v>
      </c>
      <c r="K31" s="24">
        <v>7887730</v>
      </c>
      <c r="L31" s="24">
        <v>3187880</v>
      </c>
      <c r="M31" s="24">
        <v>7057070</v>
      </c>
      <c r="N31" s="24">
        <v>10285570</v>
      </c>
      <c r="O31" s="24">
        <v>13897470</v>
      </c>
      <c r="Q31" s="37">
        <f>IF((C31-C30&lt;0), "0",C31-C30)</f>
        <v>1000</v>
      </c>
      <c r="R31" s="37">
        <f t="shared" si="17"/>
        <v>13910</v>
      </c>
      <c r="S31" s="37">
        <f t="shared" si="15"/>
        <v>3520</v>
      </c>
      <c r="T31" s="37">
        <f t="shared" si="18"/>
        <v>1610</v>
      </c>
      <c r="U31" s="37">
        <f t="shared" si="19"/>
        <v>5070</v>
      </c>
      <c r="V31" s="37">
        <f t="shared" si="20"/>
        <v>3330</v>
      </c>
      <c r="W31" s="37">
        <f t="shared" si="21"/>
        <v>2400</v>
      </c>
      <c r="X31" s="37">
        <f t="shared" si="22"/>
        <v>3730</v>
      </c>
      <c r="Y31" s="37">
        <f t="shared" si="23"/>
        <v>4850</v>
      </c>
      <c r="Z31" s="37">
        <f t="shared" si="24"/>
        <v>3180</v>
      </c>
      <c r="AA31" s="37">
        <f t="shared" si="25"/>
        <v>3850</v>
      </c>
      <c r="AB31" s="37">
        <f t="shared" si="26"/>
        <v>7410</v>
      </c>
      <c r="AC31" s="37">
        <f t="shared" si="27"/>
        <v>9400</v>
      </c>
      <c r="AD31" s="35">
        <f t="shared" si="28"/>
        <v>63260</v>
      </c>
      <c r="AF31" s="20">
        <f t="shared" si="1"/>
        <v>5</v>
      </c>
      <c r="AG31" s="20">
        <f t="shared" si="2"/>
        <v>69.55</v>
      </c>
      <c r="AH31" s="20">
        <f t="shared" si="3"/>
        <v>17.600000000000001</v>
      </c>
      <c r="AI31" s="20">
        <f t="shared" si="4"/>
        <v>8.0500000000000007</v>
      </c>
      <c r="AJ31" s="20">
        <f t="shared" si="5"/>
        <v>25.35</v>
      </c>
      <c r="AK31" s="20">
        <f t="shared" si="6"/>
        <v>16.649999999999999</v>
      </c>
      <c r="AL31" s="20">
        <f t="shared" si="7"/>
        <v>12</v>
      </c>
      <c r="AM31" s="20">
        <f t="shared" si="8"/>
        <v>18.650000000000002</v>
      </c>
      <c r="AN31" s="20">
        <f t="shared" si="9"/>
        <v>24.25</v>
      </c>
      <c r="AO31" s="20">
        <f t="shared" si="10"/>
        <v>15.9</v>
      </c>
      <c r="AP31" s="20">
        <f t="shared" si="11"/>
        <v>19.25</v>
      </c>
      <c r="AQ31" s="20">
        <f t="shared" si="12"/>
        <v>37.050000000000004</v>
      </c>
      <c r="AR31" s="20">
        <f t="shared" si="13"/>
        <v>47</v>
      </c>
      <c r="AS31" s="35">
        <f t="shared" si="29"/>
        <v>316.3</v>
      </c>
      <c r="AU31" s="47">
        <v>198249</v>
      </c>
      <c r="AV31" s="37">
        <f t="shared" si="34"/>
        <v>2846</v>
      </c>
      <c r="AW31" s="35">
        <f t="shared" si="30"/>
        <v>5.6920000000000002</v>
      </c>
    </row>
    <row r="32" spans="1:49" x14ac:dyDescent="0.25">
      <c r="A32" s="23">
        <v>44100</v>
      </c>
      <c r="B32" s="40">
        <v>117</v>
      </c>
      <c r="C32" s="24">
        <v>6369010</v>
      </c>
      <c r="D32" s="24">
        <v>14277640</v>
      </c>
      <c r="E32" s="24">
        <v>2065320</v>
      </c>
      <c r="F32" s="24">
        <v>3041180</v>
      </c>
      <c r="G32" s="24">
        <v>9226950</v>
      </c>
      <c r="H32" s="24">
        <v>4692410</v>
      </c>
      <c r="I32" s="24">
        <v>4479510</v>
      </c>
      <c r="J32" s="24">
        <v>5024680</v>
      </c>
      <c r="K32" s="24">
        <v>7892560</v>
      </c>
      <c r="L32" s="24">
        <v>3190910</v>
      </c>
      <c r="M32" s="24">
        <v>7060810</v>
      </c>
      <c r="N32" s="24">
        <v>10293010</v>
      </c>
      <c r="O32" s="24">
        <v>13906010</v>
      </c>
      <c r="Q32" s="37">
        <f>IF((C32-C31&lt;0), "0",C32-C31)</f>
        <v>1030</v>
      </c>
      <c r="R32" s="37">
        <f t="shared" si="17"/>
        <v>14010</v>
      </c>
      <c r="S32" s="37">
        <f t="shared" si="15"/>
        <v>3550</v>
      </c>
      <c r="T32" s="37">
        <f t="shared" si="18"/>
        <v>1640</v>
      </c>
      <c r="U32" s="37">
        <f t="shared" si="19"/>
        <v>5150</v>
      </c>
      <c r="V32" s="37">
        <f t="shared" si="20"/>
        <v>3340</v>
      </c>
      <c r="W32" s="37">
        <f t="shared" si="21"/>
        <v>2450</v>
      </c>
      <c r="X32" s="37">
        <f t="shared" si="22"/>
        <v>3750</v>
      </c>
      <c r="Y32" s="37">
        <f t="shared" si="23"/>
        <v>4830</v>
      </c>
      <c r="Z32" s="37">
        <f t="shared" si="24"/>
        <v>3030</v>
      </c>
      <c r="AA32" s="37">
        <f t="shared" si="25"/>
        <v>3740</v>
      </c>
      <c r="AB32" s="37">
        <f t="shared" si="26"/>
        <v>7440</v>
      </c>
      <c r="AC32" s="37">
        <f t="shared" si="27"/>
        <v>8540</v>
      </c>
      <c r="AD32" s="35">
        <f t="shared" si="28"/>
        <v>62500</v>
      </c>
      <c r="AF32" s="20">
        <f t="shared" si="1"/>
        <v>5.15</v>
      </c>
      <c r="AG32" s="20">
        <f t="shared" si="2"/>
        <v>70.05</v>
      </c>
      <c r="AH32" s="20">
        <f t="shared" si="3"/>
        <v>17.75</v>
      </c>
      <c r="AI32" s="20">
        <f t="shared" si="4"/>
        <v>8.1999999999999993</v>
      </c>
      <c r="AJ32" s="20">
        <f t="shared" si="5"/>
        <v>25.75</v>
      </c>
      <c r="AK32" s="20">
        <f t="shared" si="6"/>
        <v>16.7</v>
      </c>
      <c r="AL32" s="20">
        <f t="shared" si="7"/>
        <v>12.25</v>
      </c>
      <c r="AM32" s="20">
        <f t="shared" si="8"/>
        <v>18.75</v>
      </c>
      <c r="AN32" s="20">
        <f t="shared" si="9"/>
        <v>24.150000000000002</v>
      </c>
      <c r="AO32" s="20">
        <f t="shared" si="10"/>
        <v>15.15</v>
      </c>
      <c r="AP32" s="20">
        <f t="shared" si="11"/>
        <v>18.7</v>
      </c>
      <c r="AQ32" s="20">
        <f t="shared" si="12"/>
        <v>37.200000000000003</v>
      </c>
      <c r="AR32" s="20">
        <f t="shared" si="13"/>
        <v>42.7</v>
      </c>
      <c r="AS32" s="35">
        <f t="shared" si="29"/>
        <v>312.5</v>
      </c>
      <c r="AU32" s="47">
        <v>200775</v>
      </c>
      <c r="AV32" s="37">
        <f t="shared" si="34"/>
        <v>2526</v>
      </c>
      <c r="AW32" s="35">
        <f t="shared" si="30"/>
        <v>5.0520000000000005</v>
      </c>
    </row>
    <row r="33" spans="1:49" x14ac:dyDescent="0.25">
      <c r="A33" s="23">
        <v>44101</v>
      </c>
      <c r="B33" s="40">
        <v>104</v>
      </c>
      <c r="C33" s="24">
        <v>6369970</v>
      </c>
      <c r="D33" s="24">
        <v>14290650</v>
      </c>
      <c r="E33" s="24">
        <v>2068630</v>
      </c>
      <c r="F33" s="24">
        <v>3042710</v>
      </c>
      <c r="G33" s="24">
        <v>9231530</v>
      </c>
      <c r="H33" s="24">
        <v>4695400</v>
      </c>
      <c r="I33" s="24">
        <v>4481760</v>
      </c>
      <c r="J33" s="24">
        <v>5027710</v>
      </c>
      <c r="K33" s="24">
        <v>7896960</v>
      </c>
      <c r="L33" s="24">
        <v>3193570</v>
      </c>
      <c r="M33" s="24">
        <v>7064190</v>
      </c>
      <c r="N33" s="24">
        <v>10299800</v>
      </c>
      <c r="O33" s="24">
        <v>13914850</v>
      </c>
      <c r="Q33" s="37">
        <f>IF((C33-C32&lt;0), "0",C33-C32)</f>
        <v>960</v>
      </c>
      <c r="R33" s="37">
        <f t="shared" si="17"/>
        <v>13010</v>
      </c>
      <c r="S33" s="37">
        <f t="shared" si="15"/>
        <v>3310</v>
      </c>
      <c r="T33" s="37">
        <f t="shared" si="18"/>
        <v>1530</v>
      </c>
      <c r="U33" s="37">
        <f t="shared" si="19"/>
        <v>4580</v>
      </c>
      <c r="V33" s="37">
        <f t="shared" si="20"/>
        <v>2990</v>
      </c>
      <c r="W33" s="37">
        <f t="shared" si="21"/>
        <v>2250</v>
      </c>
      <c r="X33" s="37">
        <f t="shared" si="22"/>
        <v>3030</v>
      </c>
      <c r="Y33" s="37">
        <f t="shared" si="23"/>
        <v>4400</v>
      </c>
      <c r="Z33" s="37">
        <f t="shared" si="24"/>
        <v>2660</v>
      </c>
      <c r="AA33" s="37">
        <f t="shared" si="25"/>
        <v>3380</v>
      </c>
      <c r="AB33" s="37">
        <f t="shared" si="26"/>
        <v>6790</v>
      </c>
      <c r="AC33" s="37">
        <f t="shared" si="27"/>
        <v>8840</v>
      </c>
      <c r="AD33" s="35">
        <f t="shared" si="28"/>
        <v>57730</v>
      </c>
      <c r="AF33" s="20">
        <f t="shared" si="1"/>
        <v>4.8</v>
      </c>
      <c r="AG33" s="20">
        <f t="shared" si="2"/>
        <v>65.05</v>
      </c>
      <c r="AH33" s="20">
        <f t="shared" si="3"/>
        <v>16.55</v>
      </c>
      <c r="AI33" s="20">
        <f t="shared" si="4"/>
        <v>7.65</v>
      </c>
      <c r="AJ33" s="20">
        <f t="shared" si="5"/>
        <v>22.900000000000002</v>
      </c>
      <c r="AK33" s="20">
        <f t="shared" si="6"/>
        <v>14.950000000000001</v>
      </c>
      <c r="AL33" s="20">
        <f t="shared" si="7"/>
        <v>11.25</v>
      </c>
      <c r="AM33" s="20">
        <f t="shared" si="8"/>
        <v>15.15</v>
      </c>
      <c r="AN33" s="20">
        <f t="shared" si="9"/>
        <v>22</v>
      </c>
      <c r="AO33" s="20">
        <f t="shared" si="10"/>
        <v>13.3</v>
      </c>
      <c r="AP33" s="20">
        <f t="shared" si="11"/>
        <v>16.899999999999999</v>
      </c>
      <c r="AQ33" s="20">
        <f t="shared" si="12"/>
        <v>33.950000000000003</v>
      </c>
      <c r="AR33" s="20">
        <f t="shared" si="13"/>
        <v>44.2</v>
      </c>
      <c r="AS33" s="35">
        <f t="shared" si="29"/>
        <v>288.65000000000003</v>
      </c>
      <c r="AU33" s="47">
        <v>203655</v>
      </c>
      <c r="AV33" s="37">
        <f t="shared" si="34"/>
        <v>2880</v>
      </c>
      <c r="AW33" s="35">
        <f t="shared" si="30"/>
        <v>5.76</v>
      </c>
    </row>
    <row r="34" spans="1:49" x14ac:dyDescent="0.25">
      <c r="A34" s="23">
        <v>44102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 t="str">
        <f>IF((C34-C33&lt;0), "0",C34-C33)</f>
        <v>0</v>
      </c>
      <c r="R34" s="37" t="str">
        <f t="shared" si="17"/>
        <v>0</v>
      </c>
      <c r="S34" s="37" t="str">
        <f t="shared" si="15"/>
        <v>0</v>
      </c>
      <c r="T34" s="37" t="str">
        <f t="shared" si="18"/>
        <v>0</v>
      </c>
      <c r="U34" s="37" t="str">
        <f t="shared" si="19"/>
        <v>0</v>
      </c>
      <c r="V34" s="37" t="str">
        <f t="shared" si="20"/>
        <v>0</v>
      </c>
      <c r="W34" s="37" t="str">
        <f t="shared" si="21"/>
        <v>0</v>
      </c>
      <c r="X34" s="37" t="str">
        <f t="shared" si="22"/>
        <v>0</v>
      </c>
      <c r="Y34" s="37" t="str">
        <f t="shared" si="23"/>
        <v>0</v>
      </c>
      <c r="Z34" s="37" t="str">
        <f t="shared" si="24"/>
        <v>0</v>
      </c>
      <c r="AA34" s="37" t="str">
        <f t="shared" si="25"/>
        <v>0</v>
      </c>
      <c r="AB34" s="37">
        <v>0</v>
      </c>
      <c r="AC34" s="37" t="str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 t="str">
        <f t="shared" si="34"/>
        <v>0</v>
      </c>
      <c r="AW34" s="35">
        <f t="shared" si="30"/>
        <v>0</v>
      </c>
    </row>
    <row r="35" spans="1:49" x14ac:dyDescent="0.25">
      <c r="A35" s="23">
        <v>44103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44104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26950</v>
      </c>
      <c r="R38" s="30">
        <f t="shared" si="62"/>
        <v>380040</v>
      </c>
      <c r="S38" s="30">
        <f t="shared" si="62"/>
        <v>97730</v>
      </c>
      <c r="T38" s="30">
        <f t="shared" si="62"/>
        <v>43070</v>
      </c>
      <c r="U38" s="30">
        <f t="shared" si="62"/>
        <v>129520</v>
      </c>
      <c r="V38" s="30">
        <f t="shared" si="62"/>
        <v>86930</v>
      </c>
      <c r="W38" s="30">
        <f t="shared" si="62"/>
        <v>63770</v>
      </c>
      <c r="X38" s="30">
        <f t="shared" si="62"/>
        <v>93630</v>
      </c>
      <c r="Y38" s="30">
        <f t="shared" si="62"/>
        <v>127280</v>
      </c>
      <c r="Z38" s="30">
        <f t="shared" si="62"/>
        <v>76580</v>
      </c>
      <c r="AA38" s="30">
        <f t="shared" si="62"/>
        <v>89830</v>
      </c>
      <c r="AB38" s="30">
        <f t="shared" si="62"/>
        <v>186250</v>
      </c>
      <c r="AC38" s="30">
        <f t="shared" si="62"/>
        <v>239770</v>
      </c>
      <c r="AD38" s="35">
        <f t="shared" si="62"/>
        <v>1641350</v>
      </c>
      <c r="AF38" s="35">
        <f t="shared" ref="AF38:AS38" si="63">SUM(AF7:AF34)</f>
        <v>134.75</v>
      </c>
      <c r="AG38" s="35">
        <f t="shared" si="63"/>
        <v>1900.1999999999998</v>
      </c>
      <c r="AH38" s="35">
        <f t="shared" si="63"/>
        <v>488.65000000000003</v>
      </c>
      <c r="AI38" s="35">
        <f t="shared" si="63"/>
        <v>215.35</v>
      </c>
      <c r="AJ38" s="35">
        <f t="shared" si="63"/>
        <v>647.6</v>
      </c>
      <c r="AK38" s="35">
        <f t="shared" si="63"/>
        <v>434.65</v>
      </c>
      <c r="AL38" s="35">
        <f t="shared" si="63"/>
        <v>318.85000000000002</v>
      </c>
      <c r="AM38" s="35">
        <f t="shared" si="63"/>
        <v>468.14999999999992</v>
      </c>
      <c r="AN38" s="35">
        <f t="shared" si="63"/>
        <v>636.4</v>
      </c>
      <c r="AO38" s="35">
        <f t="shared" si="63"/>
        <v>382.89999999999992</v>
      </c>
      <c r="AP38" s="35">
        <f t="shared" si="63"/>
        <v>449.14999999999992</v>
      </c>
      <c r="AQ38" s="35">
        <f t="shared" si="63"/>
        <v>931.25</v>
      </c>
      <c r="AR38" s="35">
        <f t="shared" si="63"/>
        <v>1198.8499999999999</v>
      </c>
      <c r="AS38" s="35">
        <f t="shared" si="63"/>
        <v>8206.7500000000018</v>
      </c>
      <c r="AU38" s="48"/>
      <c r="AV38" s="35">
        <f>SUM(AV7:AV34)</f>
        <v>68468</v>
      </c>
      <c r="AW38" s="35">
        <f>SUM(AW7:AW34)</f>
        <v>125.328</v>
      </c>
    </row>
    <row r="39" spans="1:49" x14ac:dyDescent="0.25">
      <c r="D39">
        <v>5.0000000000000001E-3</v>
      </c>
      <c r="AV39" s="36">
        <f>AV38*0.00378541*1000</f>
        <v>259179.45187999998</v>
      </c>
    </row>
    <row r="40" spans="1:49" x14ac:dyDescent="0.25">
      <c r="D40">
        <v>2E-3</v>
      </c>
      <c r="AV40">
        <f>AV39/31</f>
        <v>8360.6274799999992</v>
      </c>
    </row>
    <row r="41" spans="1:49" x14ac:dyDescent="0.25">
      <c r="AV41">
        <f>AV38*0.00378541</f>
        <v>259.17945187999999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2020-09-28T07:10:57Z</dcterms:modified>
</cp:coreProperties>
</file>