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<sst xmlns="http://schemas.openxmlformats.org/spreadsheetml/2006/main" count="107" uniqueCount="38">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</sst>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N17" sqref="N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8893</v>
      </c>
      <c r="F8" s="22">
        <v>0.11799999999999999</v>
      </c>
      <c r="G8" s="24">
        <f>(('10 - 2020'!E14-'10 - 2020'!E13)+('10 - 2020'!F14-'10 - 2020'!F13)+('10 - 2020'!G14-'10 - 2020'!G13))*1.81</f>
        <v>89.196800000002838</v>
      </c>
      <c r="H8" s="22">
        <v>0.99</v>
      </c>
      <c r="I8" s="24">
        <f>'10 - 2020'!J14-'10 - 2020'!J13</f>
        <v>35324</v>
      </c>
      <c r="J8" s="22">
        <v>8.1000000000000003E-2</v>
      </c>
      <c r="K8" s="56">
        <f>'10 - 2020'!H14-'10 - 2020'!H13</f>
        <v>0</v>
      </c>
      <c r="L8" s="24">
        <f>'10 - 2020'!I14-'10 - 2020'!I13</f>
        <v>54</v>
      </c>
      <c r="M8" s="23">
        <v>4.393629424766913</v>
      </c>
      <c r="N8" s="48">
        <v>34</v>
      </c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8410</v>
      </c>
      <c r="F9" s="22">
        <v>0.11799999999999999</v>
      </c>
      <c r="G9" s="24">
        <f>(('10 - 2020'!E15-'10 - 2020'!E14)+('10 - 2020'!F15-'10 - 2020'!F14)+('10 - 2020'!G15-'10 - 2020'!G14))*1.81</f>
        <v>90.934400000000437</v>
      </c>
      <c r="H9" s="22">
        <v>0.99</v>
      </c>
      <c r="I9" s="24">
        <f>'10 - 2020'!J15-'10 - 2020'!J14</f>
        <v>28012</v>
      </c>
      <c r="J9" s="22">
        <v>8.1000000000000003E-2</v>
      </c>
      <c r="K9" s="56">
        <f>'10 - 2020'!H15-'10 - 2020'!H14</f>
        <v>0</v>
      </c>
      <c r="L9" s="24">
        <f>'10 - 2020'!I15-'10 - 2020'!I14</f>
        <v>60</v>
      </c>
      <c r="M9" s="23">
        <v>4.393629424766913</v>
      </c>
      <c r="N9" s="48">
        <v>37</v>
      </c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9379</v>
      </c>
      <c r="F10" s="22">
        <v>0.11799999999999999</v>
      </c>
      <c r="G10" s="24">
        <f>(('10 - 2020'!E16-'10 - 2020'!E15)+('10 - 2020'!F16-'10 - 2020'!F15)+('10 - 2020'!G16-'10 - 2020'!G15))*1.81</f>
        <v>99.332799999998556</v>
      </c>
      <c r="H10" s="22">
        <v>0.99</v>
      </c>
      <c r="I10" s="24">
        <f>'10 - 2020'!J16-'10 - 2020'!J15</f>
        <v>35024</v>
      </c>
      <c r="J10" s="22">
        <v>8.1000000000000003E-2</v>
      </c>
      <c r="K10" s="56">
        <f>'10 - 2020'!H16-'10 - 2020'!H15</f>
        <v>0</v>
      </c>
      <c r="L10" s="24">
        <f>'10 - 2020'!I16-'10 - 2020'!I15</f>
        <v>73</v>
      </c>
      <c r="M10" s="23">
        <v>4.393629424766913</v>
      </c>
      <c r="N10" s="48">
        <v>44</v>
      </c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8811</v>
      </c>
      <c r="F11" s="22">
        <v>0.11799999999999999</v>
      </c>
      <c r="G11" s="24">
        <f>(('10 - 2020'!E17-'10 - 2020'!E16)+('10 - 2020'!F17-'10 - 2020'!F16)+('10 - 2020'!G17-'10 - 2020'!G16))*1.81</f>
        <v>101.74010000000089</v>
      </c>
      <c r="H11" s="22">
        <v>0.99</v>
      </c>
      <c r="I11" s="24">
        <f>'10 - 2020'!J17-'10 - 2020'!J16</f>
        <v>35500</v>
      </c>
      <c r="J11" s="22">
        <v>8.1000000000000003E-2</v>
      </c>
      <c r="K11" s="56">
        <f>'10 - 2020'!H17-'10 - 2020'!H16</f>
        <v>0</v>
      </c>
      <c r="L11" s="24">
        <f>'10 - 2020'!I17-'10 - 2020'!I16</f>
        <v>73</v>
      </c>
      <c r="M11" s="23">
        <v>4.393629424766913</v>
      </c>
      <c r="N11" s="48">
        <v>44</v>
      </c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8867</v>
      </c>
      <c r="F12" s="22">
        <v>0.11799999999999999</v>
      </c>
      <c r="G12" s="24">
        <f>(('10 - 2020'!E18-'10 - 2020'!E17)+('10 - 2020'!F18-'10 - 2020'!F17)+('10 - 2020'!G18-'10 - 2020'!G17))*1.81</f>
        <v>94.662999999999514</v>
      </c>
      <c r="H12" s="22">
        <v>0.99</v>
      </c>
      <c r="I12" s="24">
        <f>'10 - 2020'!J18-'10 - 2020'!J17</f>
        <v>28923</v>
      </c>
      <c r="J12" s="22">
        <v>8.1000000000000003E-2</v>
      </c>
      <c r="K12" s="56">
        <f>'10 - 2020'!H18-'10 - 2020'!H17</f>
        <v>0</v>
      </c>
      <c r="L12" s="24">
        <f>'10 - 2020'!I18-'10 - 2020'!I17</f>
        <v>55</v>
      </c>
      <c r="M12" s="23">
        <v>4.393629424766913</v>
      </c>
      <c r="N12" s="24">
        <v>34</v>
      </c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8961</v>
      </c>
      <c r="F13" s="22">
        <v>0.11799999999999999</v>
      </c>
      <c r="G13" s="24">
        <f>(('10 - 2020'!E19-'10 - 2020'!E18)+('10 - 2020'!F19-'10 - 2020'!F18)+('10 - 2020'!G19-'10 - 2020'!G18))*1.81</f>
        <v>91.803199999998</v>
      </c>
      <c r="H13" s="22">
        <v>0.99</v>
      </c>
      <c r="I13" s="24">
        <f>'10 - 2020'!J19-'10 - 2020'!J18</f>
        <v>26808</v>
      </c>
      <c r="J13" s="22">
        <v>8.1000000000000003E-2</v>
      </c>
      <c r="K13" s="56">
        <f>'10 - 2020'!H19-'10 - 2020'!H18</f>
        <v>0</v>
      </c>
      <c r="L13" s="24">
        <f>'10 - 2020'!I19-'10 - 2020'!I18</f>
        <v>60</v>
      </c>
      <c r="M13" s="23">
        <v>4.393629424766913</v>
      </c>
      <c r="N13" s="24">
        <v>28</v>
      </c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9411</v>
      </c>
      <c r="F14" s="22">
        <v>0.11799999999999999</v>
      </c>
      <c r="G14" s="24">
        <f>(('10 - 2020'!E20-'10 - 2020'!E19)+('10 - 2020'!F20-'10 - 2020'!F19)+('10 - 2020'!G20-'10 - 2020'!G19))*1.81</f>
        <v>98.626900000002081</v>
      </c>
      <c r="H14" s="22">
        <v>0.99</v>
      </c>
      <c r="I14" s="24">
        <f>'10 - 2020'!J20-'10 - 2020'!J19</f>
        <v>27642</v>
      </c>
      <c r="J14" s="22">
        <v>8.1000000000000003E-2</v>
      </c>
      <c r="K14" s="56">
        <f>'10 - 2020'!H20-'10 - 2020'!H19</f>
        <v>0</v>
      </c>
      <c r="L14" s="24">
        <f>'10 - 2020'!I20-'10 - 2020'!I19</f>
        <v>61</v>
      </c>
      <c r="M14" s="23">
        <v>4.393629424766913</v>
      </c>
      <c r="N14" s="24">
        <v>32</v>
      </c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8851</v>
      </c>
      <c r="F15" s="22">
        <v>0.11799999999999999</v>
      </c>
      <c r="G15" s="24">
        <f>(('10 - 2020'!E21-'10 - 2020'!E20)+('10 - 2020'!F21-'10 - 2020'!F20)+('10 - 2020'!G21-'10 - 2020'!G20))*1.81</f>
        <v>85.051899999997133</v>
      </c>
      <c r="H15" s="22">
        <v>0.99</v>
      </c>
      <c r="I15" s="24">
        <f>'10 - 2020'!J21-'10 - 2020'!J20</f>
        <v>24040</v>
      </c>
      <c r="J15" s="22">
        <v>8.1000000000000003E-2</v>
      </c>
      <c r="K15" s="56">
        <f>'10 - 2020'!H21-'10 - 2020'!H20</f>
        <v>0</v>
      </c>
      <c r="L15" s="24">
        <f>'10 - 2020'!I21-'10 - 2020'!I20</f>
        <v>64</v>
      </c>
      <c r="M15" s="23">
        <v>4.393629424766913</v>
      </c>
      <c r="N15" s="24">
        <v>34</v>
      </c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8058</v>
      </c>
      <c r="F16" s="22">
        <v>0.11799999999999999</v>
      </c>
      <c r="G16" s="24">
        <f>(('10 - 2020'!E22-'10 - 2020'!E21)+('10 - 2020'!F22-'10 - 2020'!F21)+('10 - 2020'!G22-'10 - 2020'!G21))*1.81</f>
        <v>84.128800000002499</v>
      </c>
      <c r="H16" s="22">
        <v>0.99</v>
      </c>
      <c r="I16" s="24">
        <f>'10 - 2020'!J22-'10 - 2020'!J21</f>
        <v>18639</v>
      </c>
      <c r="J16" s="22">
        <v>8.1000000000000003E-2</v>
      </c>
      <c r="K16" s="56">
        <f>'10 - 2020'!H22-'10 - 2020'!H21</f>
        <v>0</v>
      </c>
      <c r="L16" s="24">
        <f>'10 - 2020'!I22-'10 - 2020'!I21</f>
        <v>48</v>
      </c>
      <c r="M16" s="23">
        <v>4.393629424766913</v>
      </c>
      <c r="N16" s="24">
        <v>30</v>
      </c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v>0</v>
      </c>
      <c r="F17" s="22">
        <v>0.11799999999999999</v>
      </c>
      <c r="G17" s="24">
        <v>0</v>
      </c>
      <c r="H17" s="22">
        <v>0.99</v>
      </c>
      <c r="I17" s="24">
        <v>0</v>
      </c>
      <c r="J17" s="22">
        <v>8.1000000000000003E-2</v>
      </c>
      <c r="K17" s="56">
        <v>0</v>
      </c>
      <c r="L17" s="24">
        <v>0</v>
      </c>
      <c r="M17" s="23">
        <v>4.3936294247669103</v>
      </c>
      <c r="N17" s="24"/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0</v>
      </c>
      <c r="F18" s="22">
        <v>0.11799999999999999</v>
      </c>
      <c r="G18" s="24">
        <f>(('10 - 2020'!E24-'10 - 2020'!E23)+('10 - 2020'!F24-'10 - 2020'!F23)+('10 - 2020'!G24-'10 - 2020'!G23))*1.81</f>
        <v>0</v>
      </c>
      <c r="H18" s="22">
        <v>0.99</v>
      </c>
      <c r="I18" s="24">
        <f>'10 - 2020'!J24-'10 - 2020'!J23</f>
        <v>0</v>
      </c>
      <c r="J18" s="22">
        <v>8.1000000000000003E-2</v>
      </c>
      <c r="K18" s="56">
        <f>'10 - 2020'!H24-'10 - 2020'!H23</f>
        <v>0</v>
      </c>
      <c r="L18" s="24">
        <f>'10 - 2020'!I24-'10 - 2020'!I23</f>
        <v>0</v>
      </c>
      <c r="M18" s="23">
        <v>4.3936294247669103</v>
      </c>
      <c r="N18" s="24"/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0</v>
      </c>
      <c r="F19" s="22">
        <v>0.11799999999999999</v>
      </c>
      <c r="G19" s="24">
        <f>(('10 - 2020'!E25-'10 - 2020'!E24)+('10 - 2020'!F25-'10 - 2020'!F24)+('10 - 2020'!G25-'10 - 2020'!G24))*1.81</f>
        <v>0</v>
      </c>
      <c r="H19" s="22">
        <v>0.99</v>
      </c>
      <c r="I19" s="24">
        <f>'10 - 2020'!J25-'10 - 2020'!J24</f>
        <v>0</v>
      </c>
      <c r="J19" s="22">
        <v>8.1000000000000003E-2</v>
      </c>
      <c r="K19" s="56">
        <f>'10 - 2020'!H25-'10 - 2020'!H24</f>
        <v>0</v>
      </c>
      <c r="L19" s="24">
        <f>'10 - 2020'!I25-'10 - 2020'!I24</f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0</v>
      </c>
      <c r="F20" s="22">
        <v>0.11799999999999999</v>
      </c>
      <c r="G20" s="24">
        <f>(('10 - 2020'!E26-'10 - 2020'!E25)+('10 - 2020'!F26-'10 - 2020'!F25)+('10 - 2020'!G26-'10 - 2020'!G25))*1.81</f>
        <v>0</v>
      </c>
      <c r="H20" s="22">
        <v>0.99</v>
      </c>
      <c r="I20" s="24">
        <f>'10 - 2020'!J26-'10 - 2020'!J25</f>
        <v>0</v>
      </c>
      <c r="J20" s="22">
        <v>8.1000000000000003E-2</v>
      </c>
      <c r="K20" s="56">
        <f>'10 - 2020'!H26-'10 - 2020'!H25</f>
        <v>0</v>
      </c>
      <c r="L20" s="24">
        <f>'10 - 2020'!I26-'10 - 2020'!I25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0</v>
      </c>
      <c r="F21" s="22">
        <v>0.11799999999999999</v>
      </c>
      <c r="G21" s="24">
        <f>(('10 - 2020'!E27-'10 - 2020'!E26)+('10 - 2020'!F27-'10 - 2020'!F26)+('10 - 2020'!G27-'10 - 2020'!G26))*1.81</f>
        <v>0</v>
      </c>
      <c r="H21" s="22">
        <v>0.99</v>
      </c>
      <c r="I21" s="24">
        <f>'10 - 2020'!J27-'10 - 2020'!J26</f>
        <v>0</v>
      </c>
      <c r="J21" s="22">
        <v>8.1000000000000003E-2</v>
      </c>
      <c r="K21" s="56">
        <f>'10 - 2020'!H27-'10 - 2020'!H26</f>
        <v>0</v>
      </c>
      <c r="L21" s="24">
        <f>'10 - 2020'!I27-'10 - 2020'!I26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0</v>
      </c>
      <c r="F22" s="22">
        <v>0.11799999999999999</v>
      </c>
      <c r="G22" s="24">
        <f>(('10 - 2020'!E28-'10 - 2020'!E27)+('10 - 2020'!F28-'10 - 2020'!F27)+('10 - 2020'!G28-'10 - 2020'!G27))*1.81</f>
        <v>0</v>
      </c>
      <c r="H22" s="22">
        <v>0.99</v>
      </c>
      <c r="I22" s="24">
        <f>'10 - 2020'!J28-'10 - 2020'!J27</f>
        <v>0</v>
      </c>
      <c r="J22" s="22">
        <v>8.1000000000000003E-2</v>
      </c>
      <c r="K22" s="56">
        <f>'10 - 2020'!H28-'10 - 2020'!H27</f>
        <v>0</v>
      </c>
      <c r="L22" s="24">
        <f>'10 - 2020'!I28-'10 - 2020'!I27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0</v>
      </c>
      <c r="F23" s="22">
        <v>0.11799999999999999</v>
      </c>
      <c r="G23" s="24">
        <f>(('10 - 2020'!E29-'10 - 2020'!E28)+('10 - 2020'!F29-'10 - 2020'!F28)+('10 - 2020'!G29-'10 - 2020'!G28))*1.81</f>
        <v>0</v>
      </c>
      <c r="H23" s="22">
        <v>0.99</v>
      </c>
      <c r="I23" s="24">
        <f>'10 - 2020'!J29-'10 - 2020'!J28</f>
        <v>0</v>
      </c>
      <c r="J23" s="22">
        <v>8.1000000000000003E-2</v>
      </c>
      <c r="K23" s="56">
        <f>'10 - 2020'!H29-'10 - 2020'!H28</f>
        <v>0</v>
      </c>
      <c r="L23" s="24">
        <f>'10 - 2020'!I29-'10 - 2020'!I28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0</v>
      </c>
      <c r="F24" s="22">
        <v>0.11799999999999999</v>
      </c>
      <c r="G24" s="24">
        <f>(('10 - 2020'!E30-'10 - 2020'!E29)+('10 - 2020'!F30-'10 - 2020'!F29)+('10 - 2020'!G30-'10 - 2020'!G29))*1.81</f>
        <v>0</v>
      </c>
      <c r="H24" s="22">
        <v>0.99</v>
      </c>
      <c r="I24" s="24">
        <f>'10 - 2020'!J30-'10 - 2020'!J29</f>
        <v>0</v>
      </c>
      <c r="J24" s="22">
        <v>8.1000000000000003E-2</v>
      </c>
      <c r="K24" s="56">
        <f>'10 - 2020'!H30-'10 - 2020'!H29</f>
        <v>0</v>
      </c>
      <c r="L24" s="24">
        <f>'10 - 2020'!I30-'10 - 2020'!I29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0</v>
      </c>
      <c r="F25" s="22">
        <v>0.11799999999999999</v>
      </c>
      <c r="G25" s="24">
        <f>(('10 - 2020'!E31-'10 - 2020'!E30)+('10 - 2020'!F31-'10 - 2020'!F30)+('10 - 2020'!G31-'10 - 2020'!G30))*1.81</f>
        <v>0</v>
      </c>
      <c r="H25" s="22">
        <v>0.99</v>
      </c>
      <c r="I25" s="24">
        <f>'10 - 2020'!J31-'10 - 2020'!J30</f>
        <v>0</v>
      </c>
      <c r="J25" s="22">
        <v>8.1000000000000003E-2</v>
      </c>
      <c r="K25" s="56">
        <f>'10 - 2020'!H31-'10 - 2020'!H30</f>
        <v>0</v>
      </c>
      <c r="L25" s="24">
        <f>'10 - 2020'!I31-'10 - 2020'!I30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0</v>
      </c>
      <c r="F26" s="22">
        <v>0.11799999999999999</v>
      </c>
      <c r="G26" s="24">
        <f>(('10 - 2020'!E32-'10 - 2020'!E31)+('10 - 2020'!F32-'10 - 2020'!F31)+('10 - 2020'!G32-'10 - 2020'!G31))*1.81</f>
        <v>0</v>
      </c>
      <c r="H26" s="22">
        <v>0.99</v>
      </c>
      <c r="I26" s="24">
        <f>'10 - 2020'!J32-'10 - 2020'!J31</f>
        <v>0</v>
      </c>
      <c r="J26" s="22">
        <v>8.1000000000000003E-2</v>
      </c>
      <c r="K26" s="56">
        <f>'10 - 2020'!H32-'10 - 2020'!H31</f>
        <v>0</v>
      </c>
      <c r="L26" s="24">
        <f>'10 - 2020'!I32-'10 - 2020'!I31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0</v>
      </c>
      <c r="F27" s="22">
        <v>0.11799999999999999</v>
      </c>
      <c r="G27" s="24">
        <f>(('10 - 2020'!E33-'10 - 2020'!E32)+('10 - 2020'!F33-'10 - 2020'!F32)+('10 - 2020'!G33-'10 - 2020'!G32))*1.81</f>
        <v>0</v>
      </c>
      <c r="H27" s="22">
        <v>0.99</v>
      </c>
      <c r="I27" s="24">
        <f>'10 - 2020'!J33-'10 - 2020'!J32</f>
        <v>0</v>
      </c>
      <c r="J27" s="22">
        <v>8.1000000000000003E-2</v>
      </c>
      <c r="K27" s="56">
        <f>'10 - 2020'!H33-'10 - 2020'!H32</f>
        <v>0</v>
      </c>
      <c r="L27" s="24">
        <f>'10 - 2020'!I33-'10 - 2020'!I32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0</v>
      </c>
      <c r="F28" s="22">
        <v>0.11799999999999999</v>
      </c>
      <c r="G28" s="24">
        <f>(('10 - 2020'!E34-'10 - 2020'!E33)+('10 - 2020'!F34-'10 - 2020'!F33)+('10 - 2020'!G34-'10 - 2020'!G33))*1.81</f>
        <v>0</v>
      </c>
      <c r="H28" s="22">
        <v>0.99</v>
      </c>
      <c r="I28" s="24">
        <f>'10 - 2020'!J34-'10 - 2020'!J33</f>
        <v>0</v>
      </c>
      <c r="J28" s="22">
        <v>8.1000000000000003E-2</v>
      </c>
      <c r="K28" s="56">
        <f>'10 - 2020'!H34-'10 - 2020'!H33</f>
        <v>0</v>
      </c>
      <c r="L28" s="24">
        <f>'10 - 2020'!I34-'10 - 2020'!I33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22" sqref="O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3023</v>
      </c>
      <c r="F8" s="24">
        <f>'10 - 2020'!C14-'10 - 2020'!C13</f>
        <v>5870</v>
      </c>
      <c r="G8" s="22">
        <v>0.11799999999999999</v>
      </c>
      <c r="H8" s="24">
        <f>'10 - 2020'!E14-'10 - 2020'!E13</f>
        <v>18.599999999998545</v>
      </c>
      <c r="I8" s="24">
        <f>'10 - 2020'!F14-'10 - 2020'!F13</f>
        <v>4.9499999999998181</v>
      </c>
      <c r="J8" s="24">
        <f>'10 - 2020'!G14-'10 - 2020'!G13</f>
        <v>25.730000000003201</v>
      </c>
      <c r="K8" s="22">
        <v>0.74</v>
      </c>
      <c r="L8" s="48">
        <v>34</v>
      </c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2906</v>
      </c>
      <c r="F9" s="24">
        <f>'10 - 2020'!C15-'10 - 2020'!C14</f>
        <v>5504</v>
      </c>
      <c r="G9" s="22">
        <v>0.11799999999999999</v>
      </c>
      <c r="H9" s="24">
        <f>'10 - 2020'!E15-'10 - 2020'!E14</f>
        <v>18.780000000000655</v>
      </c>
      <c r="I9" s="24">
        <f>'10 - 2020'!F15-'10 - 2020'!F14</f>
        <v>4.3899999999998727</v>
      </c>
      <c r="J9" s="24">
        <f>'10 - 2020'!G15-'10 - 2020'!G14</f>
        <v>27.069999999999709</v>
      </c>
      <c r="K9" s="22">
        <v>0.74</v>
      </c>
      <c r="L9" s="48">
        <v>37</v>
      </c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3116</v>
      </c>
      <c r="F10" s="24">
        <f>'10 - 2020'!C16-'10 - 2020'!C15</f>
        <v>6263</v>
      </c>
      <c r="G10" s="22">
        <v>0.11799999999999999</v>
      </c>
      <c r="H10" s="24">
        <f>'10 - 2020'!E16-'10 - 2020'!E15</f>
        <v>20.600000000000364</v>
      </c>
      <c r="I10" s="24">
        <f>'10 - 2020'!F16-'10 - 2020'!F15</f>
        <v>5.180000000000291</v>
      </c>
      <c r="J10" s="24">
        <f>'10 - 2020'!G16-'10 - 2020'!G15</f>
        <v>29.099999999998545</v>
      </c>
      <c r="K10" s="22">
        <v>0.74</v>
      </c>
      <c r="L10" s="48">
        <v>44</v>
      </c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2867</v>
      </c>
      <c r="F11" s="24">
        <f>'10 - 2020'!C17-'10 - 2020'!C16</f>
        <v>5944</v>
      </c>
      <c r="G11" s="22">
        <v>0.11799999999999999</v>
      </c>
      <c r="H11" s="24">
        <f>'10 - 2020'!E17-'10 - 2020'!E16</f>
        <v>24.850000000000364</v>
      </c>
      <c r="I11" s="24">
        <f>'10 - 2020'!F17-'10 - 2020'!F16</f>
        <v>4.1100000000001273</v>
      </c>
      <c r="J11" s="24">
        <f>'10 - 2020'!G17-'10 - 2020'!G16</f>
        <v>27.25</v>
      </c>
      <c r="K11" s="22">
        <v>0.74</v>
      </c>
      <c r="L11" s="48">
        <v>44</v>
      </c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2992</v>
      </c>
      <c r="F12" s="24">
        <f>'10 - 2020'!C18-'10 - 2020'!C17</f>
        <v>5875</v>
      </c>
      <c r="G12" s="22">
        <v>0.11799999999999999</v>
      </c>
      <c r="H12" s="24">
        <f>'10 - 2020'!E18-'10 - 2020'!E17</f>
        <v>21.429999999998472</v>
      </c>
      <c r="I12" s="24">
        <f>'10 - 2020'!F18-'10 - 2020'!F17</f>
        <v>3.7199999999997999</v>
      </c>
      <c r="J12" s="24">
        <f>'10 - 2020'!G18-'10 - 2020'!G17</f>
        <v>27.150000000001455</v>
      </c>
      <c r="K12" s="22">
        <v>0.74</v>
      </c>
      <c r="L12" s="24">
        <v>34</v>
      </c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3108</v>
      </c>
      <c r="F13" s="24">
        <f>'10 - 2020'!C19-'10 - 2020'!C18</f>
        <v>5853</v>
      </c>
      <c r="G13" s="22">
        <v>0.11799999999999999</v>
      </c>
      <c r="H13" s="24">
        <f>'10 - 2020'!E19-'10 - 2020'!E18</f>
        <v>19.890000000001237</v>
      </c>
      <c r="I13" s="24">
        <f>'10 - 2020'!F19-'10 - 2020'!F18</f>
        <v>5.0199999999999818</v>
      </c>
      <c r="J13" s="24">
        <f>'10 - 2020'!G19-'10 - 2020'!G18</f>
        <v>25.809999999997672</v>
      </c>
      <c r="K13" s="22">
        <v>0.74</v>
      </c>
      <c r="L13" s="24">
        <v>28</v>
      </c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3303</v>
      </c>
      <c r="F14" s="24">
        <f>'10 - 2020'!C20-'10 - 2020'!C19</f>
        <v>6108</v>
      </c>
      <c r="G14" s="22">
        <v>0.11799999999999999</v>
      </c>
      <c r="H14" s="24">
        <f>'10 - 2020'!E20-'10 - 2020'!E19</f>
        <v>23.329999999999927</v>
      </c>
      <c r="I14" s="24">
        <f>'10 - 2020'!F20-'10 - 2020'!F19</f>
        <v>4.2800000000002001</v>
      </c>
      <c r="J14" s="24">
        <f>'10 - 2020'!G20-'10 - 2020'!G19</f>
        <v>26.880000000001019</v>
      </c>
      <c r="K14" s="22">
        <v>0.74</v>
      </c>
      <c r="L14" s="24">
        <v>32</v>
      </c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3112</v>
      </c>
      <c r="F15" s="24">
        <f>'10 - 2020'!C21-'10 - 2020'!C20</f>
        <v>5739</v>
      </c>
      <c r="G15" s="22">
        <v>0.11799999999999999</v>
      </c>
      <c r="H15" s="24">
        <f>'10 - 2020'!E21-'10 - 2020'!E20</f>
        <v>16.489999999999782</v>
      </c>
      <c r="I15" s="24">
        <f>'10 - 2020'!F21-'10 - 2020'!F20</f>
        <v>4.5599999999999454</v>
      </c>
      <c r="J15" s="24">
        <f>'10 - 2020'!G21-'10 - 2020'!G20</f>
        <v>25.93999999999869</v>
      </c>
      <c r="K15" s="22">
        <v>0.74</v>
      </c>
      <c r="L15" s="24">
        <v>34</v>
      </c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2882</v>
      </c>
      <c r="F16" s="24">
        <f>'10 - 2020'!C22-'10 - 2020'!C21</f>
        <v>5176</v>
      </c>
      <c r="G16" s="22">
        <v>0.11799999999999999</v>
      </c>
      <c r="H16" s="24">
        <f>'10 - 2020'!E22-'10 - 2020'!E21</f>
        <v>18.709999999999127</v>
      </c>
      <c r="I16" s="24">
        <f>'10 - 2020'!F22-'10 - 2020'!F21</f>
        <v>4.3299999999999272</v>
      </c>
      <c r="J16" s="24">
        <f>'10 - 2020'!G22-'10 - 2020'!G21</f>
        <v>23.440000000002328</v>
      </c>
      <c r="K16" s="22">
        <v>0.74</v>
      </c>
      <c r="L16" s="24">
        <v>30</v>
      </c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v>0</v>
      </c>
      <c r="F17" s="24">
        <v>0</v>
      </c>
      <c r="G17" s="22">
        <v>0.11799999999999999</v>
      </c>
      <c r="H17" s="24">
        <v>0</v>
      </c>
      <c r="I17" s="24">
        <v>0</v>
      </c>
      <c r="J17" s="24"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0</v>
      </c>
      <c r="F18" s="24">
        <f>'10 - 2020'!C24-'10 - 2020'!C23</f>
        <v>0</v>
      </c>
      <c r="G18" s="22">
        <v>0.11799999999999999</v>
      </c>
      <c r="H18" s="24">
        <f>'10 - 2020'!E24-'10 - 2020'!E23</f>
        <v>0</v>
      </c>
      <c r="I18" s="24">
        <f>'10 - 2020'!F24-'10 - 2020'!F23</f>
        <v>0</v>
      </c>
      <c r="J18" s="24">
        <f>'10 - 2020'!G24-'10 - 2020'!G23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0</v>
      </c>
      <c r="F19" s="24">
        <f>'10 - 2020'!C25-'10 - 2020'!C24</f>
        <v>0</v>
      </c>
      <c r="G19" s="22">
        <v>0.11799999999999999</v>
      </c>
      <c r="H19" s="24">
        <f>'10 - 2020'!E25-'10 - 2020'!E24</f>
        <v>0</v>
      </c>
      <c r="I19" s="24">
        <f>'10 - 2020'!F25-'10 - 2020'!F24</f>
        <v>0</v>
      </c>
      <c r="J19" s="24">
        <f>'10 - 2020'!G25-'10 - 2020'!G24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0</v>
      </c>
      <c r="F20" s="24">
        <f>'10 - 2020'!C26-'10 - 2020'!C25</f>
        <v>0</v>
      </c>
      <c r="G20" s="22">
        <v>0.11799999999999999</v>
      </c>
      <c r="H20" s="24">
        <f>'10 - 2020'!E26-'10 - 2020'!E25</f>
        <v>0</v>
      </c>
      <c r="I20" s="24">
        <f>'10 - 2020'!F26-'10 - 2020'!F25</f>
        <v>0</v>
      </c>
      <c r="J20" s="24">
        <f>'10 - 2020'!G26-'10 - 2020'!G25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0</v>
      </c>
      <c r="F21" s="24">
        <f>'10 - 2020'!C27-'10 - 2020'!C26</f>
        <v>0</v>
      </c>
      <c r="G21" s="22">
        <v>0.11799999999999999</v>
      </c>
      <c r="H21" s="24">
        <f>'10 - 2020'!E27-'10 - 2020'!E26</f>
        <v>0</v>
      </c>
      <c r="I21" s="24">
        <f>'10 - 2020'!F27-'10 - 2020'!F26</f>
        <v>0</v>
      </c>
      <c r="J21" s="24">
        <f>'10 - 2020'!G27-'10 - 2020'!G26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0</v>
      </c>
      <c r="F22" s="24">
        <f>'10 - 2020'!C28-'10 - 2020'!C27</f>
        <v>0</v>
      </c>
      <c r="G22" s="22">
        <v>0.11799999999999999</v>
      </c>
      <c r="H22" s="24">
        <f>'10 - 2020'!E28-'10 - 2020'!E27</f>
        <v>0</v>
      </c>
      <c r="I22" s="24">
        <f>'10 - 2020'!F28-'10 - 2020'!F27</f>
        <v>0</v>
      </c>
      <c r="J22" s="24">
        <f>'10 - 2020'!G28-'10 - 2020'!G27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0</v>
      </c>
      <c r="F23" s="24">
        <f>'10 - 2020'!C29-'10 - 2020'!C28</f>
        <v>0</v>
      </c>
      <c r="G23" s="22">
        <v>0.11799999999999999</v>
      </c>
      <c r="H23" s="24">
        <f>'10 - 2020'!E29-'10 - 2020'!E28</f>
        <v>0</v>
      </c>
      <c r="I23" s="24">
        <f>'10 - 2020'!F29-'10 - 2020'!F28</f>
        <v>0</v>
      </c>
      <c r="J23" s="24">
        <f>'10 - 2020'!G29-'10 - 2020'!G28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0</v>
      </c>
      <c r="F24" s="24">
        <f>'10 - 2020'!C30-'10 - 2020'!C29</f>
        <v>0</v>
      </c>
      <c r="G24" s="22">
        <v>0.11799999999999999</v>
      </c>
      <c r="H24" s="24">
        <f>'10 - 2020'!E30-'10 - 2020'!E29</f>
        <v>0</v>
      </c>
      <c r="I24" s="24">
        <f>'10 - 2020'!F30-'10 - 2020'!F29</f>
        <v>0</v>
      </c>
      <c r="J24" s="24">
        <f>'10 - 2020'!G30-'10 - 2020'!G29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0</v>
      </c>
      <c r="F25" s="24">
        <f>'10 - 2020'!C31-'10 - 2020'!C30</f>
        <v>0</v>
      </c>
      <c r="G25" s="22">
        <v>0.11799999999999999</v>
      </c>
      <c r="H25" s="24">
        <f>'10 - 2020'!E31-'10 - 2020'!E30</f>
        <v>0</v>
      </c>
      <c r="I25" s="24">
        <f>'10 - 2020'!F31-'10 - 2020'!F30</f>
        <v>0</v>
      </c>
      <c r="J25" s="24">
        <f>'10 - 2020'!G31-'10 - 2020'!G30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0</v>
      </c>
      <c r="F26" s="24">
        <f>'10 - 2020'!C32-'10 - 2020'!C31</f>
        <v>0</v>
      </c>
      <c r="G26" s="22">
        <v>0.11799999999999999</v>
      </c>
      <c r="H26" s="24">
        <f>'10 - 2020'!E32-'10 - 2020'!E31</f>
        <v>0</v>
      </c>
      <c r="I26" s="24">
        <f>'10 - 2020'!F32-'10 - 2020'!F31</f>
        <v>0</v>
      </c>
      <c r="J26" s="24">
        <f>'10 - 2020'!G32-'10 - 2020'!G31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0</v>
      </c>
      <c r="F27" s="24">
        <f>'10 - 2020'!C33-'10 - 2020'!C32</f>
        <v>0</v>
      </c>
      <c r="G27" s="22">
        <v>0.11799999999999999</v>
      </c>
      <c r="H27" s="24">
        <f>'10 - 2020'!E33-'10 - 2020'!E32</f>
        <v>0</v>
      </c>
      <c r="I27" s="24">
        <f>'10 - 2020'!F33-'10 - 2020'!F32</f>
        <v>0</v>
      </c>
      <c r="J27" s="24">
        <f>'10 - 2020'!G33-'10 - 2020'!G32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0</v>
      </c>
      <c r="F28" s="24">
        <f>'10 - 2020'!C34-'10 - 2020'!C33</f>
        <v>0</v>
      </c>
      <c r="G28" s="22">
        <v>0.11799999999999999</v>
      </c>
      <c r="H28" s="24">
        <f>'10 - 2020'!E34-'10 - 2020'!E33</f>
        <v>0</v>
      </c>
      <c r="I28" s="24">
        <f>'10 - 2020'!F34-'10 - 2020'!F33</f>
        <v>0</v>
      </c>
      <c r="J28" s="24">
        <f>'10 - 2020'!G34-'10 - 2020'!G33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4" zoomScaleNormal="100" workbookViewId="0">
      <selection activeCell="Q35" sqref="Q35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>
        <v>926216</v>
      </c>
      <c r="C14" s="15">
        <v>1479307</v>
      </c>
      <c r="D14" s="16">
        <v>0.7</v>
      </c>
      <c r="E14" s="21">
        <v>12503.72</v>
      </c>
      <c r="F14" s="21">
        <v>2478.6</v>
      </c>
      <c r="G14" s="17">
        <v>21927.9</v>
      </c>
      <c r="H14" s="15">
        <v>14528</v>
      </c>
      <c r="I14" s="15">
        <v>99319</v>
      </c>
      <c r="J14" s="15">
        <v>42287972</v>
      </c>
      <c r="K14" s="25"/>
      <c r="L14" s="30"/>
      <c r="M14" s="46"/>
      <c r="O14" s="24"/>
    </row>
    <row r="15" spans="1:15" ht="12.75" customHeight="1" x14ac:dyDescent="0.25">
      <c r="A15" s="45">
        <v>44112</v>
      </c>
      <c r="B15" s="19">
        <v>929122</v>
      </c>
      <c r="C15" s="15">
        <v>1484811</v>
      </c>
      <c r="D15" s="16">
        <v>0.65</v>
      </c>
      <c r="E15" s="21">
        <v>12522.5</v>
      </c>
      <c r="F15" s="21">
        <v>2482.9899999999998</v>
      </c>
      <c r="G15" s="17">
        <v>21954.97</v>
      </c>
      <c r="H15" s="15">
        <v>14528</v>
      </c>
      <c r="I15" s="15">
        <v>99379</v>
      </c>
      <c r="J15" s="15">
        <v>42315984</v>
      </c>
      <c r="K15" s="18"/>
      <c r="L15" s="30"/>
      <c r="M15" s="46"/>
      <c r="O15" s="24"/>
    </row>
    <row r="16" spans="1:15" ht="12.75" customHeight="1" x14ac:dyDescent="0.25">
      <c r="A16" s="45">
        <v>44113</v>
      </c>
      <c r="B16" s="46">
        <v>932238</v>
      </c>
      <c r="C16" s="15">
        <v>1491074</v>
      </c>
      <c r="D16" s="16">
        <v>0.6</v>
      </c>
      <c r="E16" s="21">
        <v>12543.1</v>
      </c>
      <c r="F16" s="21">
        <v>2488.17</v>
      </c>
      <c r="G16" s="17">
        <v>21984.07</v>
      </c>
      <c r="H16" s="15">
        <v>14528</v>
      </c>
      <c r="I16" s="15">
        <v>99452</v>
      </c>
      <c r="J16" s="15">
        <v>42351008</v>
      </c>
      <c r="K16" s="18"/>
      <c r="L16" s="30"/>
      <c r="M16" s="46"/>
    </row>
    <row r="17" spans="1:16" ht="12.75" customHeight="1" x14ac:dyDescent="0.25">
      <c r="A17" s="45">
        <v>44114</v>
      </c>
      <c r="B17" s="17">
        <v>935105</v>
      </c>
      <c r="C17" s="17">
        <v>1497018</v>
      </c>
      <c r="D17" s="26">
        <v>0.54</v>
      </c>
      <c r="E17" s="21">
        <v>12567.95</v>
      </c>
      <c r="F17" s="21">
        <v>2492.2800000000002</v>
      </c>
      <c r="G17" s="17">
        <v>22011.32</v>
      </c>
      <c r="H17" s="15">
        <v>14528</v>
      </c>
      <c r="I17" s="17">
        <v>99525</v>
      </c>
      <c r="J17" s="17">
        <v>42386508</v>
      </c>
      <c r="K17" s="18"/>
      <c r="L17" s="30"/>
      <c r="M17" s="46"/>
    </row>
    <row r="18" spans="1:16" ht="12.75" customHeight="1" x14ac:dyDescent="0.25">
      <c r="A18" s="45">
        <v>44115</v>
      </c>
      <c r="B18" s="15">
        <v>938097</v>
      </c>
      <c r="C18" s="15">
        <v>1502893</v>
      </c>
      <c r="D18" s="16">
        <v>0.44</v>
      </c>
      <c r="E18" s="21">
        <v>12589.38</v>
      </c>
      <c r="F18" s="21">
        <v>2496</v>
      </c>
      <c r="G18" s="17">
        <v>22038.47</v>
      </c>
      <c r="H18" s="15">
        <v>14528</v>
      </c>
      <c r="I18" s="15">
        <v>99580</v>
      </c>
      <c r="J18" s="15">
        <v>42415431</v>
      </c>
      <c r="K18" s="18"/>
      <c r="L18" s="30"/>
      <c r="M18" s="46"/>
      <c r="P18" s="24"/>
    </row>
    <row r="19" spans="1:16" ht="12.75" customHeight="1" x14ac:dyDescent="0.25">
      <c r="A19" s="45">
        <v>44116</v>
      </c>
      <c r="B19" s="57">
        <v>941205</v>
      </c>
      <c r="C19" s="57">
        <v>1508746</v>
      </c>
      <c r="D19" s="16">
        <v>0.39</v>
      </c>
      <c r="E19" s="58">
        <v>12609.27</v>
      </c>
      <c r="F19" s="21">
        <v>2501.02</v>
      </c>
      <c r="G19" s="58">
        <v>22064.28</v>
      </c>
      <c r="H19" s="15">
        <v>14528</v>
      </c>
      <c r="I19" s="57">
        <v>99640</v>
      </c>
      <c r="J19" s="57">
        <v>42442239</v>
      </c>
      <c r="K19" s="18"/>
      <c r="L19" s="30"/>
      <c r="M19" s="46"/>
      <c r="P19" s="24"/>
    </row>
    <row r="20" spans="1:16" ht="12.75" customHeight="1" x14ac:dyDescent="0.25">
      <c r="A20" s="45">
        <v>44117</v>
      </c>
      <c r="B20" s="57">
        <v>944508</v>
      </c>
      <c r="C20" s="57">
        <v>1514854</v>
      </c>
      <c r="D20" s="16">
        <v>0.85</v>
      </c>
      <c r="E20" s="58">
        <v>12632.6</v>
      </c>
      <c r="F20" s="21">
        <v>2505.3000000000002</v>
      </c>
      <c r="G20" s="58">
        <v>22091.16</v>
      </c>
      <c r="H20" s="15">
        <v>14528</v>
      </c>
      <c r="I20" s="57">
        <v>99701</v>
      </c>
      <c r="J20" s="57">
        <v>42469881</v>
      </c>
      <c r="K20" s="18">
        <v>3500</v>
      </c>
      <c r="L20" s="30"/>
      <c r="M20" s="46"/>
    </row>
    <row r="21" spans="1:16" ht="12.75" customHeight="1" x14ac:dyDescent="0.25">
      <c r="A21" s="45">
        <v>44118</v>
      </c>
      <c r="B21" s="57">
        <v>947620</v>
      </c>
      <c r="C21" s="57">
        <v>1520593</v>
      </c>
      <c r="D21" s="16">
        <v>0.8</v>
      </c>
      <c r="E21" s="58">
        <v>12649.09</v>
      </c>
      <c r="F21" s="21">
        <v>2509.86</v>
      </c>
      <c r="G21" s="58">
        <v>22117.1</v>
      </c>
      <c r="H21" s="15">
        <v>14528</v>
      </c>
      <c r="I21" s="57">
        <v>99765</v>
      </c>
      <c r="J21" s="57">
        <v>42493921</v>
      </c>
      <c r="K21" s="18"/>
      <c r="L21" s="30"/>
      <c r="M21" s="46"/>
    </row>
    <row r="22" spans="1:16" ht="12.75" customHeight="1" x14ac:dyDescent="0.25">
      <c r="A22" s="45">
        <v>44119</v>
      </c>
      <c r="B22" s="57">
        <v>950502</v>
      </c>
      <c r="C22" s="57">
        <v>1525769</v>
      </c>
      <c r="D22" s="16">
        <v>0.74</v>
      </c>
      <c r="E22" s="58">
        <v>12667.8</v>
      </c>
      <c r="F22" s="21">
        <v>2514.19</v>
      </c>
      <c r="G22" s="58">
        <v>22140.54</v>
      </c>
      <c r="H22" s="15">
        <v>14528</v>
      </c>
      <c r="I22" s="58">
        <v>99813</v>
      </c>
      <c r="J22" s="57">
        <v>42512560</v>
      </c>
      <c r="K22" s="25"/>
      <c r="L22" s="30"/>
      <c r="M22" s="46"/>
    </row>
    <row r="23" spans="1:16" ht="12.75" customHeight="1" x14ac:dyDescent="0.25">
      <c r="A23" s="45">
        <v>44120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44121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44122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44123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44124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44125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44126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44127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44128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44129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44130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8100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2020-10-15T05:32:46Z</dcterms:modified>
</cp:coreProperties>
</file>