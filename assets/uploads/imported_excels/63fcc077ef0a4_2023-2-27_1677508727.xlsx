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40" documentId="8_{9B439D3B-B023-4087-B27B-CB56FE35C246}" xr6:coauthVersionLast="47" xr6:coauthVersionMax="47" xr10:uidLastSave="{EA9E6761-252D-44AF-9CB2-F2400DF777C2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Q42" i="3" l="1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2" i="3"/>
  <c r="V44" i="3" s="1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<sst xmlns="http://schemas.openxmlformats.org/spreadsheetml/2006/main" count="90" uniqueCount="53">
  <si>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</si>
  <si>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</si>
  <si>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</si>
  <si>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</si>
  <si>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</si>
  <si>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</si>
  <si>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</si>
  <si>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</si>
  <si>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</si>
  <si>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</si>
  <si>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</si>
  <si>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</si>
  <si>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</si>
  <si>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</si>
  <si>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</si>
  <si>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</si>
  <si>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SEPTEMBER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</si>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</sst>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4</v>
      </c>
      <c r="D2" s="97">
        <v>2018</v>
      </c>
      <c r="E2" s="99">
        <f>'Localize Daily Bali Jimbaran'!P7</f>
        <v>11840.000000000487</v>
      </c>
      <c r="F2" s="100">
        <f>'Localize Daily Bali Jimbaran'!O7/'Localize Daily Bali Jimbaran'!P7</f>
        <v>1263.0129856418869</v>
      </c>
      <c r="G2" s="99">
        <f>'Localize Daily Bali Jimbaran'!AC7</f>
        <v>124.42148000001406</v>
      </c>
      <c r="H2" s="100">
        <f>'Localize Daily Bali Jimbaran'!AD7/'Localize Daily Bali Jimbaran'!AC7</f>
        <v>12541.203381602609</v>
      </c>
      <c r="I2" s="99">
        <f>'Localize Daily Bali Jimbaran'!AH7</f>
        <v>612.80000000000291</v>
      </c>
      <c r="J2" s="101">
        <f>'Localize Daily Bali Jimbaran'!AI7/'Localize Daily Bali Jimbaran'!AH7</f>
        <v>9500</v>
      </c>
      <c r="K2" s="99">
        <f>'Localize Daily Bali Jimbaran'!Q7</f>
        <v>715</v>
      </c>
      <c r="L2" s="100">
        <f>'Localize Daily Bali Jimbaran'!V7/'Localize Daily Bali Jimbaran'!Q7</f>
        <v>7777.626153846154</v>
      </c>
      <c r="M2" s="99">
        <f>'Localize Daily Bali Jimbaran'!C7</f>
        <v>34</v>
      </c>
      <c r="N2" s="99">
        <v>94</v>
      </c>
    </row>
    <row r="3" spans="1:14" ht="15">
      <c r="A3" s="96" t="s">
        <v>14</v>
      </c>
      <c r="B3" s="97">
        <v>2</v>
      </c>
      <c r="C3" s="98">
        <v>4</v>
      </c>
      <c r="D3" s="97">
        <v>2018</v>
      </c>
      <c r="E3" s="99">
        <f>'Localize Daily Bali Jimbaran'!P8</f>
        <v>21740.000000000065</v>
      </c>
      <c r="F3" s="100">
        <f>'Localize Daily Bali Jimbaran'!O8/'Localize Daily Bali Jimbaran'!P8</f>
        <v>1181.117943422259</v>
      </c>
      <c r="G3" s="99">
        <f>'Localize Daily Bali Jimbaran'!AC8</f>
        <v>184.08524000000702</v>
      </c>
      <c r="H3" s="100">
        <f>'Localize Daily Bali Jimbaran'!AD8/'Localize Daily Bali Jimbaran'!AC8</f>
        <v>12702.633564537817</v>
      </c>
      <c r="I3" s="99">
        <f>'Localize Daily Bali Jimbaran'!AH8</f>
        <v>605.69999999999709</v>
      </c>
      <c r="J3" s="101">
        <f>'Localize Daily Bali Jimbaran'!AI8/'Localize Daily Bali Jimbaran'!AH8</f>
        <v>9500</v>
      </c>
      <c r="K3" s="99">
        <f>'Localize Daily Bali Jimbaran'!Q8</f>
        <v>699.89999999999418</v>
      </c>
      <c r="L3" s="100">
        <f>'Localize Daily Bali Jimbaran'!V8/'Localize Daily Bali Jimbaran'!Q8</f>
        <v>8354.7527561080442</v>
      </c>
      <c r="M3" s="99">
        <f>'Localize Daily Bali Jimbaran'!C8</f>
        <v>40</v>
      </c>
      <c r="N3" s="99">
        <v>107</v>
      </c>
    </row>
    <row r="4" spans="1:14" ht="15">
      <c r="A4" s="96" t="s">
        <v>14</v>
      </c>
      <c r="B4" s="97">
        <v>3</v>
      </c>
      <c r="C4" s="98">
        <v>4</v>
      </c>
      <c r="D4" s="97">
        <v>2018</v>
      </c>
      <c r="E4" s="99">
        <f>'Localize Daily Bali Jimbaran'!P9</f>
        <v>21199.999999999818</v>
      </c>
      <c r="F4" s="100">
        <f>'Localize Daily Bali Jimbaran'!O9/'Localize Daily Bali Jimbaran'!P9</f>
        <v>1181.4487768867955</v>
      </c>
      <c r="G4" s="99">
        <f>'Localize Daily Bali Jimbaran'!AC9</f>
        <v>744.21491999999762</v>
      </c>
      <c r="H4" s="100">
        <f>'Localize Daily Bali Jimbaran'!AD9/'Localize Daily Bali Jimbaran'!AC9</f>
        <v>13268.724004995762</v>
      </c>
      <c r="I4" s="99">
        <f>'Localize Daily Bali Jimbaran'!AH9</f>
        <v>526.00000000000864</v>
      </c>
      <c r="J4" s="101">
        <f>'Localize Daily Bali Jimbaran'!AI9/'Localize Daily Bali Jimbaran'!AH9</f>
        <v>9500</v>
      </c>
      <c r="K4" s="99">
        <f>'Localize Daily Bali Jimbaran'!Q9</f>
        <v>568</v>
      </c>
      <c r="L4" s="100">
        <f>'Localize Daily Bali Jimbaran'!V9/'Localize Daily Bali Jimbaran'!Q9</f>
        <v>5163.0925352112672</v>
      </c>
      <c r="M4" s="99">
        <f>'Localize Daily Bali Jimbaran'!C9</f>
        <v>47</v>
      </c>
      <c r="N4" s="99">
        <v>112</v>
      </c>
    </row>
    <row r="5" spans="1:14" ht="15">
      <c r="A5" s="96" t="s">
        <v>14</v>
      </c>
      <c r="B5" s="97">
        <v>4</v>
      </c>
      <c r="C5" s="98">
        <v>4</v>
      </c>
      <c r="D5" s="97">
        <v>2018</v>
      </c>
      <c r="E5" s="99">
        <f>'Localize Daily Bali Jimbaran'!P10</f>
        <v>20279.999999999804</v>
      </c>
      <c r="F5" s="100">
        <f>'Localize Daily Bali Jimbaran'!O10/'Localize Daily Bali Jimbaran'!P10</f>
        <v>1186.7801760355067</v>
      </c>
      <c r="G5" s="99">
        <f>'Localize Daily Bali Jimbaran'!AC10</f>
        <v>24</v>
      </c>
      <c r="H5" s="100">
        <f>'Localize Daily Bali Jimbaran'!AD10/'Localize Daily Bali Jimbaran'!AC10</f>
        <v>11625</v>
      </c>
      <c r="I5" s="99">
        <f>'Localize Daily Bali Jimbaran'!AH10</f>
        <v>364.76999999998952</v>
      </c>
      <c r="J5" s="101">
        <f>'Localize Daily Bali Jimbaran'!AI10/'Localize Daily Bali Jimbaran'!AH10</f>
        <v>9500</v>
      </c>
      <c r="K5" s="99">
        <f>'Localize Daily Bali Jimbaran'!Q10</f>
        <v>255.10000000000582</v>
      </c>
      <c r="L5" s="100">
        <f>'Localize Daily Bali Jimbaran'!V10/'Localize Daily Bali Jimbaran'!Q10</f>
        <v>9394.6102940022447</v>
      </c>
      <c r="M5" s="99">
        <f>'Localize Daily Bali Jimbaran'!C10</f>
        <v>48</v>
      </c>
      <c r="N5" s="99">
        <v>116</v>
      </c>
    </row>
    <row r="6" spans="1:14" ht="15">
      <c r="A6" s="96" t="s">
        <v>14</v>
      </c>
      <c r="B6" s="97">
        <v>5</v>
      </c>
      <c r="C6" s="98">
        <v>4</v>
      </c>
      <c r="D6" s="97">
        <v>2018</v>
      </c>
      <c r="E6" s="99">
        <f>'Localize Daily Bali Jimbaran'!P11</f>
        <v>18419.999999999731</v>
      </c>
      <c r="F6" s="100">
        <f>'Localize Daily Bali Jimbaran'!O11/'Localize Daily Bali Jimbaran'!P11</f>
        <v>1199.7503843648178</v>
      </c>
      <c r="G6" s="99">
        <f>'Localize Daily Bali Jimbaran'!AC11</f>
        <v>107.42675999999295</v>
      </c>
      <c r="H6" s="100">
        <f>'Localize Daily Bali Jimbaran'!AD11/'Localize Daily Bali Jimbaran'!AC11</f>
        <v>12639</v>
      </c>
      <c r="I6" s="99">
        <f>'Localize Daily Bali Jimbaran'!AH11</f>
        <v>5857.33</v>
      </c>
      <c r="J6" s="101">
        <f>'Localize Daily Bali Jimbaran'!AI11/'Localize Daily Bali Jimbaran'!AH11</f>
        <v>9500</v>
      </c>
      <c r="K6" s="99">
        <f>'Localize Daily Bali Jimbaran'!Q11</f>
        <v>42</v>
      </c>
      <c r="L6" s="100">
        <f>'Localize Daily Bali Jimbaran'!V11/'Localize Daily Bali Jimbaran'!Q11</f>
        <v>4719.8599999999997</v>
      </c>
      <c r="M6" s="99">
        <f>'Localize Daily Bali Jimbaran'!C11</f>
        <v>58</v>
      </c>
      <c r="N6" s="99">
        <v>142</v>
      </c>
    </row>
    <row r="7" spans="1:14" ht="15">
      <c r="A7" s="96" t="s">
        <v>14</v>
      </c>
      <c r="B7" s="97">
        <v>6</v>
      </c>
      <c r="C7" s="98">
        <v>4</v>
      </c>
      <c r="D7" s="97">
        <v>2018</v>
      </c>
      <c r="E7" s="99">
        <f>'Localize Daily Bali Jimbaran'!P12</f>
        <v>23220.000000000709</v>
      </c>
      <c r="F7" s="100">
        <f>'Localize Daily Bali Jimbaran'!O12/'Localize Daily Bali Jimbaran'!P12</f>
        <v>1179.8390658914714</v>
      </c>
      <c r="G7" s="99">
        <f>'Localize Daily Bali Jimbaran'!AC12</f>
        <v>134.41091999999765</v>
      </c>
      <c r="H7" s="100">
        <f>'Localize Daily Bali Jimbaran'!AD12/'Localize Daily Bali Jimbaran'!AC12</f>
        <v>12548.471641143442</v>
      </c>
      <c r="I7" s="99">
        <f>'Localize Daily Bali Jimbaran'!AH12</f>
        <v>846</v>
      </c>
      <c r="J7" s="101">
        <f>'Localize Daily Bali Jimbaran'!AI12/'Localize Daily Bali Jimbaran'!AH12</f>
        <v>9500</v>
      </c>
      <c r="K7" s="99">
        <f>'Localize Daily Bali Jimbaran'!Q12</f>
        <v>126</v>
      </c>
      <c r="L7" s="100">
        <f>'Localize Daily Bali Jimbaran'!V12/'Localize Daily Bali Jimbaran'!Q12</f>
        <v>17970.18</v>
      </c>
      <c r="M7" s="99">
        <f>'Localize Daily Bali Jimbaran'!C12</f>
        <v>66</v>
      </c>
      <c r="N7" s="99">
        <v>149</v>
      </c>
    </row>
    <row r="8" spans="1:14" ht="15">
      <c r="A8" s="96" t="s">
        <v>14</v>
      </c>
      <c r="B8" s="97">
        <v>7</v>
      </c>
      <c r="C8" s="98">
        <v>4</v>
      </c>
      <c r="D8" s="97">
        <v>2018</v>
      </c>
      <c r="E8" s="99">
        <f>'Localize Daily Bali Jimbaran'!P13</f>
        <v>22799.999999999331</v>
      </c>
      <c r="F8" s="100">
        <f>'Localize Daily Bali Jimbaran'!O13/'Localize Daily Bali Jimbaran'!P13</f>
        <v>1182.0157815789523</v>
      </c>
      <c r="G8" s="99">
        <f>'Localize Daily Bali Jimbaran'!AC13</f>
        <v>134.49148000001406</v>
      </c>
      <c r="H8" s="100">
        <f>'Localize Daily Bali Jimbaran'!AD13/'Localize Daily Bali Jimbaran'!AC13</f>
        <v>12548.525867363502</v>
      </c>
      <c r="I8" s="99">
        <f>'Localize Daily Bali Jimbaran'!AH13</f>
        <v>593.10000000000582</v>
      </c>
      <c r="J8" s="101">
        <f>'Localize Daily Bali Jimbaran'!AI13/'Localize Daily Bali Jimbaran'!AH13</f>
        <v>9500</v>
      </c>
      <c r="K8" s="99">
        <f>'Localize Daily Bali Jimbaran'!Q13</f>
        <v>204</v>
      </c>
      <c r="L8" s="100">
        <f>'Localize Daily Bali Jimbaran'!V13/'Localize Daily Bali Jimbaran'!Q13</f>
        <v>17970.18</v>
      </c>
      <c r="M8" s="99">
        <f>'Localize Daily Bali Jimbaran'!C13</f>
        <v>67</v>
      </c>
      <c r="N8" s="99">
        <v>140</v>
      </c>
    </row>
    <row r="9" spans="1:14" ht="15">
      <c r="A9" s="96" t="s">
        <v>14</v>
      </c>
      <c r="B9" s="97">
        <v>8</v>
      </c>
      <c r="C9" s="98">
        <v>4</v>
      </c>
      <c r="D9" s="97">
        <v>2018</v>
      </c>
      <c r="E9" s="99">
        <f>'Localize Daily Bali Jimbaran'!P14</f>
        <v>22480.000000000357</v>
      </c>
      <c r="F9" s="100">
        <f>'Localize Daily Bali Jimbaran'!O14/'Localize Daily Bali Jimbaran'!P14</f>
        <v>1185.779189946614</v>
      </c>
      <c r="G9" s="99">
        <f>'Localize Daily Bali Jimbaran'!AC14</f>
        <v>544.71916000000465</v>
      </c>
      <c r="H9" s="100">
        <f>'Localize Daily Bali Jimbaran'!AD14/'Localize Daily Bali Jimbaran'!AC14</f>
        <v>13123.770904698851</v>
      </c>
      <c r="I9" s="99">
        <f>'Localize Daily Bali Jimbaran'!AH14</f>
        <v>533.69999999999709</v>
      </c>
      <c r="J9" s="101">
        <f>'Localize Daily Bali Jimbaran'!AI14/'Localize Daily Bali Jimbaran'!AH14</f>
        <v>9500</v>
      </c>
      <c r="K9" s="99">
        <f>'Localize Daily Bali Jimbaran'!Q14</f>
        <v>204</v>
      </c>
      <c r="L9" s="100">
        <f>'Localize Daily Bali Jimbaran'!V14/'Localize Daily Bali Jimbaran'!Q14</f>
        <v>17970.18</v>
      </c>
      <c r="M9" s="99">
        <f>'Localize Daily Bali Jimbaran'!C14</f>
        <v>76</v>
      </c>
      <c r="N9" s="99">
        <v>150</v>
      </c>
    </row>
    <row r="10" spans="1:14" ht="15">
      <c r="A10" s="96" t="s">
        <v>14</v>
      </c>
      <c r="B10" s="97">
        <v>9</v>
      </c>
      <c r="C10" s="98">
        <v>4</v>
      </c>
      <c r="D10" s="97">
        <v>2018</v>
      </c>
      <c r="E10" s="99">
        <f>'Localize Daily Bali Jimbaran'!P15</f>
        <v>23979.999999999505</v>
      </c>
      <c r="F10" s="100">
        <f>'Localize Daily Bali Jimbaran'!O15/'Localize Daily Bali Jimbaran'!P15</f>
        <v>1185.0783140116814</v>
      </c>
      <c r="G10" s="99">
        <f>'Localize Daily Bali Jimbaran'!AC15</f>
        <v>420.35664000001873</v>
      </c>
      <c r="H10" s="100">
        <f>'Localize Daily Bali Jimbaran'!AD15/'Localize Daily Bali Jimbaran'!AC15</f>
        <v>13153.563062450949</v>
      </c>
      <c r="I10" s="99">
        <f>'Localize Daily Bali Jimbaran'!AH15</f>
        <v>499.75</v>
      </c>
      <c r="J10" s="101">
        <f>'Localize Daily Bali Jimbaran'!AI15/'Localize Daily Bali Jimbaran'!AH15</f>
        <v>9500</v>
      </c>
      <c r="K10" s="99">
        <f>'Localize Daily Bali Jimbaran'!Q15</f>
        <v>212</v>
      </c>
      <c r="L10" s="100">
        <f>'Localize Daily Bali Jimbaran'!V15/'Localize Daily Bali Jimbaran'!Q15</f>
        <v>17970.18</v>
      </c>
      <c r="M10" s="99">
        <f>'Localize Daily Bali Jimbaran'!C15</f>
        <v>81</v>
      </c>
      <c r="N10" s="99">
        <v>170</v>
      </c>
    </row>
    <row r="11" spans="1:14" ht="15">
      <c r="A11" s="96" t="s">
        <v>14</v>
      </c>
      <c r="B11" s="97">
        <v>10</v>
      </c>
      <c r="C11" s="98">
        <v>4</v>
      </c>
      <c r="D11" s="97">
        <v>2018</v>
      </c>
      <c r="E11" s="99">
        <f>'Localize Daily Bali Jimbaran'!P16</f>
        <v>24540.000000000648</v>
      </c>
      <c r="F11" s="100">
        <f>'Localize Daily Bali Jimbaran'!O16/'Localize Daily Bali Jimbaran'!P16</f>
        <v>1185.0690733496276</v>
      </c>
      <c r="G11" s="99">
        <f>'Localize Daily Bali Jimbaran'!AC16</f>
        <v>141.65787999996718</v>
      </c>
      <c r="H11" s="100">
        <f>'Localize Daily Bali Jimbaran'!AD16/'Localize Daily Bali Jimbaran'!AC16</f>
        <v>12467.205815306528</v>
      </c>
      <c r="I11" s="99">
        <f>'Localize Daily Bali Jimbaran'!AH16</f>
        <v>518.35000000000582</v>
      </c>
      <c r="J11" s="101">
        <f>'Localize Daily Bali Jimbaran'!AI16/'Localize Daily Bali Jimbaran'!AH16</f>
        <v>9500</v>
      </c>
      <c r="K11" s="99">
        <f>'Localize Daily Bali Jimbaran'!Q16</f>
        <v>393</v>
      </c>
      <c r="L11" s="100">
        <f>'Localize Daily Bali Jimbaran'!V16/'Localize Daily Bali Jimbaran'!Q16</f>
        <v>10991.003816793893</v>
      </c>
      <c r="M11" s="99">
        <f>'Localize Daily Bali Jimbaran'!C16</f>
        <v>83</v>
      </c>
      <c r="N11" s="99">
        <v>181</v>
      </c>
    </row>
    <row r="12" spans="1:14" ht="15">
      <c r="A12" s="96" t="s">
        <v>14</v>
      </c>
      <c r="B12" s="97">
        <v>11</v>
      </c>
      <c r="C12" s="98">
        <v>4</v>
      </c>
      <c r="D12" s="97">
        <v>2018</v>
      </c>
      <c r="E12" s="99">
        <f>'Localize Daily Bali Jimbaran'!P17</f>
        <v>23700.000000000102</v>
      </c>
      <c r="F12" s="100">
        <f>'Localize Daily Bali Jimbaran'!O17/'Localize Daily Bali Jimbaran'!P17</f>
        <v>1184.8536531645582</v>
      </c>
      <c r="G12" s="99">
        <f>'Localize Daily Bali Jimbaran'!AC17</f>
        <v>152.21124000000702</v>
      </c>
      <c r="H12" s="100">
        <f>'Localize Daily Bali Jimbaran'!AD17/'Localize Daily Bali Jimbaran'!AC17</f>
        <v>12479.11693223182</v>
      </c>
      <c r="I12" s="99">
        <f>'Localize Daily Bali Jimbaran'!AH17</f>
        <v>408.26999999998952</v>
      </c>
      <c r="J12" s="101">
        <f>'Localize Daily Bali Jimbaran'!AI17/'Localize Daily Bali Jimbaran'!AH17</f>
        <v>9500</v>
      </c>
      <c r="K12" s="99">
        <f>'Localize Daily Bali Jimbaran'!Q17</f>
        <v>480</v>
      </c>
      <c r="L12" s="100">
        <f>'Localize Daily Bali Jimbaran'!V17/'Localize Daily Bali Jimbaran'!Q17</f>
        <v>10185.617</v>
      </c>
      <c r="M12" s="99">
        <f>'Localize Daily Bali Jimbaran'!C17</f>
        <v>74</v>
      </c>
      <c r="N12" s="99">
        <v>168</v>
      </c>
    </row>
    <row r="13" spans="1:14" ht="15">
      <c r="A13" s="96" t="s">
        <v>14</v>
      </c>
      <c r="B13" s="97">
        <v>12</v>
      </c>
      <c r="C13" s="98">
        <v>4</v>
      </c>
      <c r="D13" s="97">
        <v>2018</v>
      </c>
      <c r="E13" s="99">
        <f>'Localize Daily Bali Jimbaran'!P18</f>
        <v>22879.999999999654</v>
      </c>
      <c r="F13" s="100">
        <f>'Localize Daily Bali Jimbaran'!O18/'Localize Daily Bali Jimbaran'!P18</f>
        <v>1180.2595397727309</v>
      </c>
      <c r="G13" s="99">
        <f>'Localize Daily Bali Jimbaran'!AC18</f>
        <v>122.37064000001874</v>
      </c>
      <c r="H13" s="100">
        <f>'Localize Daily Bali Jimbaran'!AD18/'Localize Daily Bali Jimbaran'!AC18</f>
        <v>12639</v>
      </c>
      <c r="I13" s="99">
        <f>'Localize Daily Bali Jimbaran'!AH18</f>
        <v>599.3700000000099</v>
      </c>
      <c r="J13" s="101">
        <f>'Localize Daily Bali Jimbaran'!AI18/'Localize Daily Bali Jimbaran'!AH18</f>
        <v>9500</v>
      </c>
      <c r="K13" s="99">
        <f>'Localize Daily Bali Jimbaran'!Q18</f>
        <v>555</v>
      </c>
      <c r="L13" s="100">
        <f>'Localize Daily Bali Jimbaran'!V18/'Localize Daily Bali Jimbaran'!Q18</f>
        <v>9661.871243243244</v>
      </c>
      <c r="M13" s="99">
        <f>'Localize Daily Bali Jimbaran'!C18</f>
        <v>50</v>
      </c>
      <c r="N13" s="99">
        <v>126</v>
      </c>
    </row>
    <row r="14" spans="1:14" ht="15">
      <c r="A14" s="96" t="s">
        <v>14</v>
      </c>
      <c r="B14" s="97">
        <v>13</v>
      </c>
      <c r="C14" s="98">
        <v>4</v>
      </c>
      <c r="D14" s="97">
        <v>2018</v>
      </c>
      <c r="E14" s="99">
        <f>'Localize Daily Bali Jimbaran'!P19</f>
        <v>22560.000000000116</v>
      </c>
      <c r="F14" s="100">
        <f>'Localize Daily Bali Jimbaran'!O19/'Localize Daily Bali Jimbaran'!P19</f>
        <v>1179.6459853723372</v>
      </c>
      <c r="G14" s="99">
        <f>'Localize Daily Bali Jimbaran'!AC19</f>
        <v>518.5440399999718</v>
      </c>
      <c r="H14" s="100">
        <f>'Localize Daily Bali Jimbaran'!AD19/'Localize Daily Bali Jimbaran'!AC19</f>
        <v>13195.172625183419</v>
      </c>
      <c r="I14" s="99">
        <f>'Localize Daily Bali Jimbaran'!AH19</f>
        <v>726.86000000000058</v>
      </c>
      <c r="J14" s="101">
        <f>'Localize Daily Bali Jimbaran'!AI19/'Localize Daily Bali Jimbaran'!AH19</f>
        <v>9500</v>
      </c>
      <c r="K14" s="99">
        <f>'Localize Daily Bali Jimbaran'!Q19</f>
        <v>1026</v>
      </c>
      <c r="L14" s="100">
        <f>'Localize Daily Bali Jimbaran'!V19/'Localize Daily Bali Jimbaran'!Q19</f>
        <v>7173.6229629629634</v>
      </c>
      <c r="M14" s="99">
        <f>'Localize Daily Bali Jimbaran'!C19</f>
        <v>68</v>
      </c>
      <c r="N14" s="99">
        <v>156</v>
      </c>
    </row>
    <row r="15" spans="1:14" ht="15">
      <c r="A15" s="96" t="s">
        <v>14</v>
      </c>
      <c r="B15" s="97">
        <v>14</v>
      </c>
      <c r="C15" s="98">
        <v>4</v>
      </c>
      <c r="D15" s="97">
        <v>2018</v>
      </c>
      <c r="E15" s="99">
        <f>'Localize Daily Bali Jimbaran'!P20</f>
        <v>22339.999999999749</v>
      </c>
      <c r="F15" s="100">
        <f>'Localize Daily Bali Jimbaran'!O20/'Localize Daily Bali Jimbaran'!P20</f>
        <v>1184.9341745747563</v>
      </c>
      <c r="G15" s="99">
        <f>'Localize Daily Bali Jimbaran'!AC20</f>
        <v>396.21640000001173</v>
      </c>
      <c r="H15" s="100">
        <f>'Localize Daily Bali Jimbaran'!AD20/'Localize Daily Bali Jimbaran'!AC20</f>
        <v>13093.928165517616</v>
      </c>
      <c r="I15" s="99">
        <f>'Localize Daily Bali Jimbaran'!AH20</f>
        <v>565.94999999999709</v>
      </c>
      <c r="J15" s="101">
        <f>'Localize Daily Bali Jimbaran'!AI20/'Localize Daily Bali Jimbaran'!AH20</f>
        <v>9500</v>
      </c>
      <c r="K15" s="99">
        <f>'Localize Daily Bali Jimbaran'!Q20</f>
        <v>568</v>
      </c>
      <c r="L15" s="100">
        <f>'Localize Daily Bali Jimbaran'!V20/'Localize Daily Bali Jimbaran'!Q20</f>
        <v>9642.0739436619715</v>
      </c>
      <c r="M15" s="99">
        <f>'Localize Daily Bali Jimbaran'!C20</f>
        <v>67</v>
      </c>
      <c r="N15" s="99">
        <v>167</v>
      </c>
    </row>
    <row r="16" spans="1:14" ht="15">
      <c r="A16" s="96" t="s">
        <v>14</v>
      </c>
      <c r="B16" s="97">
        <v>15</v>
      </c>
      <c r="C16" s="98">
        <v>4</v>
      </c>
      <c r="D16" s="97">
        <v>2018</v>
      </c>
      <c r="E16" s="99">
        <f>'Localize Daily Bali Jimbaran'!P21</f>
        <v>21900.000000000095</v>
      </c>
      <c r="F16" s="100">
        <f>'Localize Daily Bali Jimbaran'!O21/'Localize Daily Bali Jimbaran'!P21</f>
        <v>1189.3734041095861</v>
      </c>
      <c r="G16" s="99">
        <f>'Localize Daily Bali Jimbaran'!AC21</f>
        <v>130.62804000003047</v>
      </c>
      <c r="H16" s="100">
        <f>'Localize Daily Bali Jimbaran'!AD21/'Localize Daily Bali Jimbaran'!AC21</f>
        <v>12639</v>
      </c>
      <c r="I16" s="99">
        <f>'Localize Daily Bali Jimbaran'!AH21</f>
        <v>590.36999999999534</v>
      </c>
      <c r="J16" s="101">
        <f>'Localize Daily Bali Jimbaran'!AI21/'Localize Daily Bali Jimbaran'!AH21</f>
        <v>9500</v>
      </c>
      <c r="K16" s="99">
        <f>'Localize Daily Bali Jimbaran'!Q21</f>
        <v>493</v>
      </c>
      <c r="L16" s="100">
        <f>'Localize Daily Bali Jimbaran'!V21/'Localize Daily Bali Jimbaran'!Q21</f>
        <v>8428.8745233265709</v>
      </c>
      <c r="M16" s="99">
        <f>'Localize Daily Bali Jimbaran'!C21</f>
        <v>96</v>
      </c>
      <c r="N16" s="99">
        <v>221</v>
      </c>
    </row>
    <row r="17" spans="1:14" ht="15">
      <c r="A17" s="96" t="s">
        <v>14</v>
      </c>
      <c r="B17" s="97">
        <v>16</v>
      </c>
      <c r="C17" s="98">
        <v>4</v>
      </c>
      <c r="D17" s="97">
        <v>2018</v>
      </c>
      <c r="E17" s="99">
        <f>'Localize Daily Bali Jimbaran'!P22</f>
        <v>24760.000000000502</v>
      </c>
      <c r="F17" s="100">
        <f>'Localize Daily Bali Jimbaran'!O22/'Localize Daily Bali Jimbaran'!P22</f>
        <v>1179.8103126009698</v>
      </c>
      <c r="G17" s="99">
        <f>'Localize Daily Bali Jimbaran'!AC22</f>
        <v>158.67543999998358</v>
      </c>
      <c r="H17" s="100">
        <f>'Localize Daily Bali Jimbaran'!AD22/'Localize Daily Bali Jimbaran'!AC22</f>
        <v>12866.193319898806</v>
      </c>
      <c r="I17" s="99">
        <f>'Localize Daily Bali Jimbaran'!AH22</f>
        <v>535.38000000000466</v>
      </c>
      <c r="J17" s="101">
        <f>'Localize Daily Bali Jimbaran'!AI22/'Localize Daily Bali Jimbaran'!AH22</f>
        <v>9500</v>
      </c>
      <c r="K17" s="99">
        <f>'Localize Daily Bali Jimbaran'!Q22</f>
        <v>370</v>
      </c>
      <c r="L17" s="100">
        <f>'Localize Daily Bali Jimbaran'!V22/'Localize Daily Bali Jimbaran'!Q22</f>
        <v>4719.8599999999997</v>
      </c>
      <c r="M17" s="99">
        <f>'Localize Daily Bali Jimbaran'!C22</f>
        <v>96</v>
      </c>
      <c r="N17" s="99">
        <v>212</v>
      </c>
    </row>
    <row r="18" spans="1:14" ht="15">
      <c r="A18" s="96" t="s">
        <v>14</v>
      </c>
      <c r="B18" s="97">
        <v>17</v>
      </c>
      <c r="C18" s="98">
        <v>4</v>
      </c>
      <c r="D18" s="97">
        <v>2018</v>
      </c>
      <c r="E18" s="99">
        <f>'Localize Daily Bali Jimbaran'!P23</f>
        <v>24339.999999999804</v>
      </c>
      <c r="F18" s="100">
        <f>'Localize Daily Bali Jimbaran'!O23/'Localize Daily Bali Jimbaran'!P23</f>
        <v>1183.1892818405895</v>
      </c>
      <c r="G18" s="99">
        <f>'Localize Daily Bali Jimbaran'!AC23</f>
        <v>175.07996000002811</v>
      </c>
      <c r="H18" s="100">
        <f>'Localize Daily Bali Jimbaran'!AD23/'Localize Daily Bali Jimbaran'!AC23</f>
        <v>12291.501634110551</v>
      </c>
      <c r="I18" s="99">
        <f>'Localize Daily Bali Jimbaran'!AH23</f>
        <v>485.39999999999418</v>
      </c>
      <c r="J18" s="101">
        <f>'Localize Daily Bali Jimbaran'!AI23/'Localize Daily Bali Jimbaran'!AH23</f>
        <v>9500</v>
      </c>
      <c r="K18" s="99">
        <f>'Localize Daily Bali Jimbaran'!Q23</f>
        <v>551</v>
      </c>
      <c r="L18" s="100">
        <f>'Localize Daily Bali Jimbaran'!V23/'Localize Daily Bali Jimbaran'!Q23</f>
        <v>5056.5287477313968</v>
      </c>
      <c r="M18" s="99">
        <f>'Localize Daily Bali Jimbaran'!C23</f>
        <v>72</v>
      </c>
      <c r="N18" s="99">
        <v>153</v>
      </c>
    </row>
    <row r="19" spans="1:14" ht="15">
      <c r="A19" s="96" t="s">
        <v>14</v>
      </c>
      <c r="B19" s="97">
        <v>18</v>
      </c>
      <c r="C19" s="98">
        <v>4</v>
      </c>
      <c r="D19" s="97">
        <v>2018</v>
      </c>
      <c r="E19" s="99">
        <f>'Localize Daily Bali Jimbaran'!P24</f>
        <v>25879.999999999996</v>
      </c>
      <c r="F19" s="100">
        <f>'Localize Daily Bali Jimbaran'!O24/'Localize Daily Bali Jimbaran'!P24</f>
        <v>1228.7680664605903</v>
      </c>
      <c r="G19" s="99">
        <f>'Localize Daily Bali Jimbaran'!AC24</f>
        <v>526.88199999999995</v>
      </c>
      <c r="H19" s="100">
        <f>'Localize Daily Bali Jimbaran'!AD24/'Localize Daily Bali Jimbaran'!AC24</f>
        <v>13186.371138129602</v>
      </c>
      <c r="I19" s="99">
        <f>'Localize Daily Bali Jimbaran'!AH24</f>
        <v>1451.5400000000081</v>
      </c>
      <c r="J19" s="101">
        <f>'Localize Daily Bali Jimbaran'!AI24/'Localize Daily Bali Jimbaran'!AH24</f>
        <v>9500</v>
      </c>
      <c r="K19" s="99">
        <f>'Localize Daily Bali Jimbaran'!Q24</f>
        <v>1099</v>
      </c>
      <c r="L19" s="100">
        <f>'Localize Daily Bali Jimbaran'!V24/'Localize Daily Bali Jimbaran'!Q24</f>
        <v>6721.2732120109185</v>
      </c>
      <c r="M19" s="99">
        <f>'Localize Daily Bali Jimbaran'!C24</f>
        <v>79</v>
      </c>
      <c r="N19" s="99">
        <v>172</v>
      </c>
    </row>
    <row r="20" spans="1:14" ht="15">
      <c r="A20" s="96" t="s">
        <v>14</v>
      </c>
      <c r="B20" s="97">
        <v>19</v>
      </c>
      <c r="C20" s="98">
        <v>4</v>
      </c>
      <c r="D20" s="97">
        <v>2018</v>
      </c>
      <c r="E20" s="99">
        <f>'Localize Daily Bali Jimbaran'!P25</f>
        <v>22259.999999999651</v>
      </c>
      <c r="F20" s="100">
        <f>'Localize Daily Bali Jimbaran'!O25/'Localize Daily Bali Jimbaran'!P25</f>
        <v>1136.4265471698095</v>
      </c>
      <c r="G20" s="99">
        <f>'Localize Daily Bali Jimbaran'!AC25</f>
        <v>123.25679999996481</v>
      </c>
      <c r="H20" s="100">
        <f>'Localize Daily Bali Jimbaran'!AD25/'Localize Daily Bali Jimbaran'!AC25</f>
        <v>12639</v>
      </c>
      <c r="I20" s="99">
        <f>'Localize Daily Bali Jimbaran'!AH25</f>
        <v>300.15999999998894</v>
      </c>
      <c r="J20" s="101">
        <f>'Localize Daily Bali Jimbaran'!AI25/'Localize Daily Bali Jimbaran'!AH25</f>
        <v>9500</v>
      </c>
      <c r="K20" s="99">
        <f>'Localize Daily Bali Jimbaran'!Q25</f>
        <v>757</v>
      </c>
      <c r="L20" s="100">
        <f>'Localize Daily Bali Jimbaran'!V25/'Localize Daily Bali Jimbaran'!Q25</f>
        <v>8745.7168031704077</v>
      </c>
      <c r="M20" s="99">
        <f>'Localize Daily Bali Jimbaran'!C25</f>
        <v>77</v>
      </c>
      <c r="N20" s="99">
        <v>168</v>
      </c>
    </row>
    <row r="21" spans="1:14" ht="15">
      <c r="A21" s="96" t="s">
        <v>14</v>
      </c>
      <c r="B21" s="97">
        <v>20</v>
      </c>
      <c r="C21" s="98">
        <v>4</v>
      </c>
      <c r="D21" s="97">
        <v>2018</v>
      </c>
      <c r="E21" s="99">
        <f>'Localize Daily Bali Jimbaran'!P26</f>
        <v>25020.000000000378</v>
      </c>
      <c r="F21" s="100">
        <f>'Localize Daily Bali Jimbaran'!O26/'Localize Daily Bali Jimbaran'!P26</f>
        <v>1180.5904892086348</v>
      </c>
      <c r="G21" s="99">
        <f>'Localize Daily Bali Jimbaran'!AC26</f>
        <v>381.31280000002346</v>
      </c>
      <c r="H21" s="100">
        <f>'Localize Daily Bali Jimbaran'!AD26/'Localize Daily Bali Jimbaran'!AC26</f>
        <v>13111.709019996151</v>
      </c>
      <c r="I21" s="99">
        <f>'Localize Daily Bali Jimbaran'!AH26</f>
        <v>117.81000000001177</v>
      </c>
      <c r="J21" s="101">
        <f>'Localize Daily Bali Jimbaran'!AI26/'Localize Daily Bali Jimbaran'!AH26</f>
        <v>9500</v>
      </c>
      <c r="K21" s="99">
        <f>'Localize Daily Bali Jimbaran'!Q26</f>
        <v>963</v>
      </c>
      <c r="L21" s="100">
        <f>'Localize Daily Bali Jimbaran'!V26/'Localize Daily Bali Jimbaran'!Q26</f>
        <v>7815.7291588785047</v>
      </c>
      <c r="M21" s="99">
        <f>'Localize Daily Bali Jimbaran'!C26</f>
        <v>67</v>
      </c>
      <c r="N21" s="99">
        <v>153</v>
      </c>
    </row>
    <row r="22" spans="1:14" ht="15">
      <c r="A22" s="96" t="s">
        <v>14</v>
      </c>
      <c r="B22" s="97">
        <v>21</v>
      </c>
      <c r="C22" s="98">
        <v>4</v>
      </c>
      <c r="D22" s="97">
        <v>2018</v>
      </c>
      <c r="E22" s="99">
        <f>'Localize Daily Bali Jimbaran'!P27</f>
        <v>24239.999999999498</v>
      </c>
      <c r="F22" s="100">
        <f>'Localize Daily Bali Jimbaran'!O27/'Localize Daily Bali Jimbaran'!P27</f>
        <v>1184.4810891089101</v>
      </c>
      <c r="G22" s="99">
        <f>'Localize Daily Bali Jimbaran'!AC27</f>
        <v>149.63332000000935</v>
      </c>
      <c r="H22" s="100">
        <f>'Localize Daily Bali Jimbaran'!AD27/'Localize Daily Bali Jimbaran'!AC27</f>
        <v>12476.362427031638</v>
      </c>
      <c r="I22" s="99">
        <f>'Localize Daily Bali Jimbaran'!AH27</f>
        <v>587.08999999999651</v>
      </c>
      <c r="J22" s="101">
        <f>'Localize Daily Bali Jimbaran'!AI27/'Localize Daily Bali Jimbaran'!AH27</f>
        <v>9500</v>
      </c>
      <c r="K22" s="99">
        <f>'Localize Daily Bali Jimbaran'!Q27</f>
        <v>974</v>
      </c>
      <c r="L22" s="100">
        <f>'Localize Daily Bali Jimbaran'!V27/'Localize Daily Bali Jimbaran'!Q27</f>
        <v>8080.0540862422995</v>
      </c>
      <c r="M22" s="99">
        <f>'Localize Daily Bali Jimbaran'!C27</f>
        <v>70</v>
      </c>
      <c r="N22" s="99">
        <v>155</v>
      </c>
    </row>
    <row r="23" spans="1:14" ht="15">
      <c r="A23" s="96" t="s">
        <v>14</v>
      </c>
      <c r="B23" s="97">
        <v>22</v>
      </c>
      <c r="C23" s="98">
        <v>4</v>
      </c>
      <c r="D23" s="97">
        <v>2018</v>
      </c>
      <c r="E23" s="99">
        <f>'Localize Daily Bali Jimbaran'!P28</f>
        <v>23700.000000000615</v>
      </c>
      <c r="F23" s="100">
        <f>'Localize Daily Bali Jimbaran'!O28/'Localize Daily Bali Jimbaran'!P28</f>
        <v>1185.7714329113919</v>
      </c>
      <c r="G23" s="99">
        <f>'Localize Daily Bali Jimbaran'!AC28</f>
        <v>543.71559999998829</v>
      </c>
      <c r="H23" s="100">
        <f>'Localize Daily Bali Jimbaran'!AD28/'Localize Daily Bali Jimbaran'!AC28</f>
        <v>13147.045014709907</v>
      </c>
      <c r="I23" s="99">
        <f>'Localize Daily Bali Jimbaran'!AH28</f>
        <v>583.84999999999127</v>
      </c>
      <c r="J23" s="101">
        <f>'Localize Daily Bali Jimbaran'!AI28/'Localize Daily Bali Jimbaran'!AH28</f>
        <v>9500</v>
      </c>
      <c r="K23" s="99">
        <f>'Localize Daily Bali Jimbaran'!Q28</f>
        <v>986</v>
      </c>
      <c r="L23" s="100">
        <f>'Localize Daily Bali Jimbaran'!V28/'Localize Daily Bali Jimbaran'!Q28</f>
        <v>7891.336186612577</v>
      </c>
      <c r="M23" s="99">
        <f>'Localize Daily Bali Jimbaran'!C28</f>
        <v>56</v>
      </c>
      <c r="N23" s="99">
        <v>144</v>
      </c>
    </row>
    <row r="24" spans="1:14" ht="15">
      <c r="A24" s="96" t="s">
        <v>14</v>
      </c>
      <c r="B24" s="97">
        <v>23</v>
      </c>
      <c r="C24" s="98">
        <v>4</v>
      </c>
      <c r="D24" s="97">
        <v>2018</v>
      </c>
      <c r="E24" s="99">
        <f>'Localize Daily Bali Jimbaran'!P29</f>
        <v>24839.999999999403</v>
      </c>
      <c r="F24" s="100">
        <f>'Localize Daily Bali Jimbaran'!O29/'Localize Daily Bali Jimbaran'!P29</f>
        <v>1181.2645579710152</v>
      </c>
      <c r="G24" s="99">
        <f>'Localize Daily Bali Jimbaran'!AC29</f>
        <v>183.60532000000939</v>
      </c>
      <c r="H24" s="100">
        <f>'Localize Daily Bali Jimbaran'!AD29/'Localize Daily Bali Jimbaran'!AC29</f>
        <v>12769.072483738482</v>
      </c>
      <c r="I24" s="99">
        <f>'Localize Daily Bali Jimbaran'!AH29</f>
        <v>590.45000000001164</v>
      </c>
      <c r="J24" s="101">
        <f>'Localize Daily Bali Jimbaran'!AI29/'Localize Daily Bali Jimbaran'!AH29</f>
        <v>9500</v>
      </c>
      <c r="K24" s="99">
        <f>'Localize Daily Bali Jimbaran'!Q29</f>
        <v>866.10000000000582</v>
      </c>
      <c r="L24" s="100">
        <f>'Localize Daily Bali Jimbaran'!V29/'Localize Daily Bali Jimbaran'!Q29</f>
        <v>8468.0742939614101</v>
      </c>
      <c r="M24" s="99">
        <f>'Localize Daily Bali Jimbaran'!C29</f>
        <v>49</v>
      </c>
      <c r="N24" s="99">
        <v>117</v>
      </c>
    </row>
    <row r="25" spans="1:14" ht="15">
      <c r="A25" s="96" t="s">
        <v>14</v>
      </c>
      <c r="B25" s="97">
        <v>24</v>
      </c>
      <c r="C25" s="98">
        <v>4</v>
      </c>
      <c r="D25" s="97">
        <v>2018</v>
      </c>
      <c r="E25" s="99">
        <f>'Localize Daily Bali Jimbaran'!P30</f>
        <v>23680.00000000012</v>
      </c>
      <c r="F25" s="100">
        <f>'Localize Daily Bali Jimbaran'!O30/'Localize Daily Bali Jimbaran'!P30</f>
        <v>1182.6394320101385</v>
      </c>
      <c r="G25" s="99">
        <f>'Localize Daily Bali Jimbaran'!AC30</f>
        <v>121.20251999998592</v>
      </c>
      <c r="H25" s="100">
        <f>'Localize Daily Bali Jimbaran'!AD30/'Localize Daily Bali Jimbaran'!AC30</f>
        <v>12639</v>
      </c>
      <c r="I25" s="99">
        <f>'Localize Daily Bali Jimbaran'!AH30</f>
        <v>483.299999999997</v>
      </c>
      <c r="J25" s="101">
        <f>'Localize Daily Bali Jimbaran'!AI30/'Localize Daily Bali Jimbaran'!AH30</f>
        <v>9500</v>
      </c>
      <c r="K25" s="99">
        <f>'Localize Daily Bali Jimbaran'!Q30</f>
        <v>688.59999999999127</v>
      </c>
      <c r="L25" s="100">
        <f>'Localize Daily Bali Jimbaran'!V30/'Localize Daily Bali Jimbaran'!Q30</f>
        <v>9222.582741795004</v>
      </c>
      <c r="M25" s="99">
        <f>'Localize Daily Bali Jimbaran'!C30</f>
        <v>44</v>
      </c>
      <c r="N25" s="99">
        <v>105</v>
      </c>
    </row>
    <row r="26" spans="1:14" ht="15">
      <c r="A26" s="96" t="s">
        <v>14</v>
      </c>
      <c r="B26" s="97">
        <v>25</v>
      </c>
      <c r="C26" s="98">
        <v>4</v>
      </c>
      <c r="D26" s="97">
        <v>2018</v>
      </c>
      <c r="E26" s="99">
        <f>'Localize Daily Bali Jimbaran'!P31</f>
        <v>23299.99999999984</v>
      </c>
      <c r="F26" s="100">
        <f>'Localize Daily Bali Jimbaran'!O31/'Localize Daily Bali Jimbaran'!P31</f>
        <v>1185.590240343347</v>
      </c>
      <c r="G26" s="99">
        <f>'Localize Daily Bali Jimbaran'!AC31</f>
        <v>365.64043999998358</v>
      </c>
      <c r="H26" s="100">
        <f>'Localize Daily Bali Jimbaran'!AD31/'Localize Daily Bali Jimbaran'!AC31</f>
        <v>13098.692040628786</v>
      </c>
      <c r="I26" s="99">
        <f>'Localize Daily Bali Jimbaran'!AH31</f>
        <v>366.55000000000291</v>
      </c>
      <c r="J26" s="101">
        <f>'Localize Daily Bali Jimbaran'!AI31/'Localize Daily Bali Jimbaran'!AH31</f>
        <v>9500</v>
      </c>
      <c r="K26" s="99">
        <f>'Localize Daily Bali Jimbaran'!Q31</f>
        <v>883.30000000000291</v>
      </c>
      <c r="L26" s="100">
        <f>'Localize Daily Bali Jimbaran'!V31/'Localize Daily Bali Jimbaran'!Q31</f>
        <v>8455.0911558926637</v>
      </c>
      <c r="M26" s="99">
        <f>'Localize Daily Bali Jimbaran'!C31</f>
        <v>47</v>
      </c>
      <c r="N26" s="99">
        <v>109</v>
      </c>
    </row>
    <row r="27" spans="1:14" ht="15">
      <c r="A27" s="96" t="s">
        <v>14</v>
      </c>
      <c r="B27" s="97">
        <v>26</v>
      </c>
      <c r="C27" s="98">
        <v>4</v>
      </c>
      <c r="D27" s="97">
        <v>2018</v>
      </c>
      <c r="E27" s="99">
        <f>'Localize Daily Bali Jimbaran'!P32</f>
        <v>20099.999999999796</v>
      </c>
      <c r="F27" s="100">
        <f>'Localize Daily Bali Jimbaran'!O32/'Localize Daily Bali Jimbaran'!P32</f>
        <v>1197.949137313429</v>
      </c>
      <c r="G27" s="99">
        <f>'Localize Daily Bali Jimbaran'!AC32</f>
        <v>96.306040000030478</v>
      </c>
      <c r="H27" s="100">
        <f>'Localize Daily Bali Jimbaran'!AD32/'Localize Daily Bali Jimbaran'!AC32</f>
        <v>12512.652784394457</v>
      </c>
      <c r="I27" s="99">
        <f>'Localize Daily Bali Jimbaran'!AH32</f>
        <v>550.22999999999911</v>
      </c>
      <c r="J27" s="101">
        <f>'Localize Daily Bali Jimbaran'!AI32/'Localize Daily Bali Jimbaran'!AH32</f>
        <v>9500</v>
      </c>
      <c r="K27" s="99">
        <f>'Localize Daily Bali Jimbaran'!Q32</f>
        <v>965</v>
      </c>
      <c r="L27" s="100">
        <f>'Localize Daily Bali Jimbaran'!V32/'Localize Daily Bali Jimbaran'!Q32</f>
        <v>7836.7746528497401</v>
      </c>
      <c r="M27" s="99">
        <f>'Localize Daily Bali Jimbaran'!C32</f>
        <v>46</v>
      </c>
      <c r="N27" s="99">
        <v>110</v>
      </c>
    </row>
    <row r="28" spans="1:14" ht="15">
      <c r="A28" s="96" t="s">
        <v>14</v>
      </c>
      <c r="B28" s="97">
        <v>27</v>
      </c>
      <c r="C28" s="98">
        <v>4</v>
      </c>
      <c r="D28" s="97">
        <v>2018</v>
      </c>
      <c r="E28" s="99">
        <f>'Localize Daily Bali Jimbaran'!P33</f>
        <v>27140.000000000669</v>
      </c>
      <c r="F28" s="100">
        <f>'Localize Daily Bali Jimbaran'!O33/'Localize Daily Bali Jimbaran'!P33</f>
        <v>1170.5191779661038</v>
      </c>
      <c r="G28" s="99">
        <f>'Localize Daily Bali Jimbaran'!AC33</f>
        <v>503.76127999997891</v>
      </c>
      <c r="H28" s="100">
        <f>'Localize Daily Bali Jimbaran'!AD33/'Localize Daily Bali Jimbaran'!AC33</f>
        <v>13211.493384168016</v>
      </c>
      <c r="I28" s="99">
        <f>'Localize Daily Bali Jimbaran'!AH33</f>
        <v>674.61999999999216</v>
      </c>
      <c r="J28" s="101">
        <f>'Localize Daily Bali Jimbaran'!AI33/'Localize Daily Bali Jimbaran'!AH33</f>
        <v>9500</v>
      </c>
      <c r="K28" s="99">
        <f>'Localize Daily Bali Jimbaran'!Q33</f>
        <v>656</v>
      </c>
      <c r="L28" s="100">
        <f>'Localize Daily Bali Jimbaran'!V33/'Localize Daily Bali Jimbaran'!Q33</f>
        <v>8598.0024390243889</v>
      </c>
      <c r="M28" s="99">
        <f>'Localize Daily Bali Jimbaran'!C33</f>
        <v>47</v>
      </c>
      <c r="N28" s="99">
        <v>121</v>
      </c>
    </row>
    <row r="29" spans="1:14" ht="15">
      <c r="A29" s="96" t="s">
        <v>14</v>
      </c>
      <c r="B29" s="97">
        <v>28</v>
      </c>
      <c r="C29" s="98">
        <v>4</v>
      </c>
      <c r="D29" s="97">
        <v>2018</v>
      </c>
      <c r="E29" s="99">
        <f>'Localize Daily Bali Jimbaran'!P34</f>
        <v>23700.000000000044</v>
      </c>
      <c r="F29" s="100">
        <f>'Localize Daily Bali Jimbaran'!O34/'Localize Daily Bali Jimbaran'!P34</f>
        <v>1187.606992405061</v>
      </c>
      <c r="G29" s="99">
        <f>'Localize Daily Bali Jimbaran'!AC34</f>
        <v>166.00295999996951</v>
      </c>
      <c r="H29" s="100">
        <f>'Localize Daily Bali Jimbaran'!AD34/'Localize Daily Bali Jimbaran'!AC34</f>
        <v>12782.864904577631</v>
      </c>
      <c r="I29" s="99">
        <f>'Localize Daily Bali Jimbaran'!AH34</f>
        <v>425.38000000000466</v>
      </c>
      <c r="J29" s="101">
        <f>'Localize Daily Bali Jimbaran'!AI34/'Localize Daily Bali Jimbaran'!AH34</f>
        <v>9500</v>
      </c>
      <c r="K29" s="99">
        <f>'Localize Daily Bali Jimbaran'!Q34</f>
        <v>1013</v>
      </c>
      <c r="L29" s="100">
        <f>'Localize Daily Bali Jimbaran'!V34/'Localize Daily Bali Jimbaran'!Q34</f>
        <v>7689.0827443237913</v>
      </c>
      <c r="M29" s="99">
        <f>'Localize Daily Bali Jimbaran'!C34</f>
        <v>86</v>
      </c>
      <c r="N29" s="99">
        <v>204</v>
      </c>
    </row>
    <row r="30" spans="1:14" ht="15">
      <c r="A30" s="96" t="s">
        <v>14</v>
      </c>
      <c r="B30" s="97">
        <v>29</v>
      </c>
      <c r="C30" s="98">
        <v>4</v>
      </c>
      <c r="D30" s="97">
        <v>2018</v>
      </c>
      <c r="E30" s="99">
        <f>'Localize Daily Bali Jimbaran'!P35</f>
        <v>24099.999999999909</v>
      </c>
      <c r="F30" s="100">
        <f>'Localize Daily Bali Jimbaran'!O35/'Localize Daily Bali Jimbaran'!P35</f>
        <v>1185.9466107883848</v>
      </c>
      <c r="G30" s="99">
        <f>'Localize Daily Bali Jimbaran'!AC35</f>
        <v>112.21664000001874</v>
      </c>
      <c r="H30" s="100">
        <f>'Localize Daily Bali Jimbaran'!AD35/'Localize Daily Bali Jimbaran'!AC35</f>
        <v>12530.56688348539</v>
      </c>
      <c r="I30" s="99">
        <f>'Localize Daily Bali Jimbaran'!AH35</f>
        <v>625.26999999999589</v>
      </c>
      <c r="J30" s="101">
        <f>'Localize Daily Bali Jimbaran'!AI35/'Localize Daily Bali Jimbaran'!AH35</f>
        <v>9500</v>
      </c>
      <c r="K30" s="99">
        <f>'Localize Daily Bali Jimbaran'!Q35</f>
        <v>940</v>
      </c>
      <c r="L30" s="100">
        <f>'Localize Daily Bali Jimbaran'!V35/'Localize Daily Bali Jimbaran'!Q35</f>
        <v>8159.3047659574459</v>
      </c>
      <c r="M30" s="99">
        <f>'Localize Daily Bali Jimbaran'!C35</f>
        <v>93</v>
      </c>
      <c r="N30" s="99">
        <v>229</v>
      </c>
    </row>
    <row r="31" spans="1:14" ht="15">
      <c r="A31" s="96" t="s">
        <v>14</v>
      </c>
      <c r="B31" s="97">
        <v>30</v>
      </c>
      <c r="C31" s="98">
        <v>4</v>
      </c>
      <c r="D31" s="97">
        <v>2018</v>
      </c>
      <c r="E31" s="99">
        <f>'Localize Daily Bali Jimbaran'!P36</f>
        <v>36059.999999999833</v>
      </c>
      <c r="F31" s="100">
        <f>'Localize Daily Bali Jimbaran'!O36/'Localize Daily Bali Jimbaran'!P36</f>
        <v>1155.4289625623946</v>
      </c>
      <c r="G31" s="99">
        <f>'Localize Daily Bali Jimbaran'!AC36</f>
        <v>394.07124000000704</v>
      </c>
      <c r="H31" s="100">
        <f>'Localize Daily Bali Jimbaran'!AD36/'Localize Daily Bali Jimbaran'!AC36</f>
        <v>13003.771608301071</v>
      </c>
      <c r="I31" s="99">
        <f>'Localize Daily Bali Jimbaran'!AH36</f>
        <v>492.47000000000116</v>
      </c>
      <c r="J31" s="101">
        <f>'Localize Daily Bali Jimbaran'!AI36/'Localize Daily Bali Jimbaran'!AH36</f>
        <v>9500</v>
      </c>
      <c r="K31" s="99">
        <f>'Localize Daily Bali Jimbaran'!Q36</f>
        <v>977.39999999999418</v>
      </c>
      <c r="L31" s="100">
        <f>'Localize Daily Bali Jimbaran'!V36/'Localize Daily Bali Jimbaran'!Q36</f>
        <v>7634.5508123593381</v>
      </c>
      <c r="M31" s="99">
        <f>'Localize Daily Bali Jimbaran'!C36</f>
        <v>73</v>
      </c>
      <c r="N31" s="99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34</v>
      </c>
      <c r="D7" s="103">
        <v>529</v>
      </c>
      <c r="E7" s="156">
        <v>7079.9999999999272</v>
      </c>
      <c r="F7" s="156">
        <v>7699988.5199999204</v>
      </c>
      <c r="G7" s="116">
        <v>3399.9999999999773</v>
      </c>
      <c r="H7" s="157">
        <v>5546601.8999999631</v>
      </c>
      <c r="I7" s="105">
        <f>F7+H7</f>
        <v>13246590.419999883</v>
      </c>
      <c r="J7" s="115">
        <v>940.00000000050932</v>
      </c>
      <c r="K7" s="115">
        <v>1022314.860000554</v>
      </c>
      <c r="L7" s="119">
        <v>420.00000000007276</v>
      </c>
      <c r="M7" s="121">
        <v>685168.47000011872</v>
      </c>
      <c r="N7" s="107">
        <f>K7+M7</f>
        <v>1707483.3300006727</v>
      </c>
      <c r="O7" s="105">
        <f>I7+N7</f>
        <v>14954073.750000555</v>
      </c>
      <c r="P7" s="107">
        <f>E7+G7+J7+L7</f>
        <v>11840.000000000487</v>
      </c>
      <c r="Q7" s="123">
        <f>R7+T7</f>
        <v>715</v>
      </c>
      <c r="R7" s="115">
        <v>165</v>
      </c>
      <c r="S7" s="115">
        <v>2965079.7</v>
      </c>
      <c r="T7" s="115">
        <v>550</v>
      </c>
      <c r="U7" s="115">
        <v>2595923</v>
      </c>
      <c r="V7" s="115">
        <f>S7+U7</f>
        <v>5561002.7000000002</v>
      </c>
      <c r="W7" s="115">
        <v>112.42148000001406</v>
      </c>
      <c r="X7" s="106"/>
      <c r="Y7" s="110"/>
      <c r="Z7" s="108"/>
      <c r="AA7" s="108"/>
      <c r="AB7" s="112">
        <v>12</v>
      </c>
      <c r="AC7" s="123">
        <f>W7+X7+Y7+Z7+AA7+AB7</f>
        <v>124.42148000001406</v>
      </c>
      <c r="AD7" s="104">
        <v>1560395.0857201777</v>
      </c>
      <c r="AE7" s="109"/>
      <c r="AF7" s="128">
        <v>612.80000000000291</v>
      </c>
      <c r="AG7" s="130">
        <v>0</v>
      </c>
      <c r="AH7" s="130">
        <f>AF7+AG7</f>
        <v>612.80000000000291</v>
      </c>
      <c r="AI7" s="132">
        <v>5821600.0000000279</v>
      </c>
      <c r="AJ7" s="18"/>
    </row>
    <row r="8" spans="1:36" ht="15">
      <c r="A8" s="19"/>
      <c r="B8" s="64">
        <v>2</v>
      </c>
      <c r="C8" s="65">
        <v>40</v>
      </c>
      <c r="D8" s="65">
        <v>474</v>
      </c>
      <c r="E8" s="124">
        <v>16200.000000000045</v>
      </c>
      <c r="F8" s="124">
        <v>17618617.800000053</v>
      </c>
      <c r="G8" s="111">
        <v>3319.9999999999932</v>
      </c>
      <c r="H8" s="111">
        <v>5416093.6199999889</v>
      </c>
      <c r="I8" s="105">
        <f>F8+H8</f>
        <v>23034711.420000043</v>
      </c>
      <c r="J8" s="158">
        <v>1800.0000000001819</v>
      </c>
      <c r="K8" s="158">
        <v>1957624.2000001979</v>
      </c>
      <c r="L8" s="120">
        <v>419.99999999984539</v>
      </c>
      <c r="M8" s="122">
        <v>685168.46999974793</v>
      </c>
      <c r="N8" s="107">
        <f>K8+M8</f>
        <v>2642792.6699999459</v>
      </c>
      <c r="O8" s="105">
        <f>I8+N8</f>
        <v>25677504.089999989</v>
      </c>
      <c r="P8" s="107">
        <f>E8+G8+J8+L8</f>
        <v>21740.000000000065</v>
      </c>
      <c r="Q8" s="123">
        <f>R8+T8</f>
        <v>699.89999999999418</v>
      </c>
      <c r="R8" s="124">
        <v>192</v>
      </c>
      <c r="S8" s="124">
        <v>3450274.56</v>
      </c>
      <c r="T8" s="117">
        <v>507.89999999999418</v>
      </c>
      <c r="U8" s="117">
        <v>2397216.8939999724</v>
      </c>
      <c r="V8" s="115">
        <f>S8+U8</f>
        <v>5847491.453999972</v>
      </c>
      <c r="W8" s="126">
        <v>110.08524000000702</v>
      </c>
      <c r="X8" s="112"/>
      <c r="Y8" s="110"/>
      <c r="Z8" s="112">
        <v>50</v>
      </c>
      <c r="AA8" s="112"/>
      <c r="AB8" s="112">
        <v>24</v>
      </c>
      <c r="AC8" s="123">
        <f>W8+X8+Y8+Z8+AA8+AB8</f>
        <v>184.08524000000702</v>
      </c>
      <c r="AD8" s="110">
        <v>2338367.3483600887</v>
      </c>
      <c r="AE8" s="113"/>
      <c r="AF8" s="129">
        <v>605.69999999999709</v>
      </c>
      <c r="AG8" s="131">
        <v>0</v>
      </c>
      <c r="AH8" s="130">
        <f>AF8+AG8</f>
        <v>605.69999999999709</v>
      </c>
      <c r="AI8" s="133">
        <v>5754149.9999999721</v>
      </c>
      <c r="AJ8" s="21"/>
    </row>
    <row r="9" spans="1:36" ht="15">
      <c r="A9" s="19"/>
      <c r="B9" s="81">
        <v>3</v>
      </c>
      <c r="C9" s="65">
        <v>47</v>
      </c>
      <c r="D9" s="65">
        <v>419</v>
      </c>
      <c r="E9" s="124">
        <v>15839.999999999918</v>
      </c>
      <c r="F9" s="124">
        <v>17227092.959999911</v>
      </c>
      <c r="G9" s="111">
        <v>3240.0000000000091</v>
      </c>
      <c r="H9" s="111">
        <v>5285585.3400000157</v>
      </c>
      <c r="I9" s="105">
        <f>F9+H9</f>
        <v>22512678.299999926</v>
      </c>
      <c r="J9" s="158">
        <v>1699.9999999998181</v>
      </c>
      <c r="K9" s="158">
        <v>1848867.2999998024</v>
      </c>
      <c r="L9" s="120">
        <v>420.00000000007276</v>
      </c>
      <c r="M9" s="122">
        <v>685168.47000011872</v>
      </c>
      <c r="N9" s="107">
        <f>K9+M9</f>
        <v>2534035.7699999213</v>
      </c>
      <c r="O9" s="105">
        <f>I9+N9</f>
        <v>25046714.069999848</v>
      </c>
      <c r="P9" s="107">
        <f>E9+G9+J9+L9</f>
        <v>21199.999999999818</v>
      </c>
      <c r="Q9" s="123">
        <f>R9+T9</f>
        <v>568</v>
      </c>
      <c r="R9" s="124">
        <v>19</v>
      </c>
      <c r="S9" s="124">
        <v>341433.42</v>
      </c>
      <c r="T9" s="117">
        <v>549</v>
      </c>
      <c r="U9" s="117">
        <v>2591203.1399999997</v>
      </c>
      <c r="V9" s="115">
        <f>S9+U9</f>
        <v>2932636.5599999996</v>
      </c>
      <c r="W9" s="126">
        <v>94.214919999997647</v>
      </c>
      <c r="X9" s="112">
        <v>250</v>
      </c>
      <c r="Y9" s="110">
        <v>400</v>
      </c>
      <c r="Z9" s="112"/>
      <c r="AA9" s="112"/>
      <c r="AB9" s="112">
        <v>0</v>
      </c>
      <c r="AC9" s="123">
        <f>W9+X9+Y9+Z9+AA9+AB9</f>
        <v>744.21491999999762</v>
      </c>
      <c r="AD9" s="110">
        <v>9874782.3738799691</v>
      </c>
      <c r="AE9" s="113"/>
      <c r="AF9" s="129">
        <v>525.90000000000873</v>
      </c>
      <c r="AG9" s="131">
        <v>9.9999999999909051E-2</v>
      </c>
      <c r="AH9" s="130">
        <f>AF9+AG9</f>
        <v>526.00000000000864</v>
      </c>
      <c r="AI9" s="133">
        <v>4997000.000000082</v>
      </c>
      <c r="AJ9" s="21"/>
    </row>
    <row r="10" spans="1:36" ht="15">
      <c r="A10" s="19"/>
      <c r="B10" s="64">
        <v>4</v>
      </c>
      <c r="C10" s="65">
        <v>48</v>
      </c>
      <c r="D10" s="65">
        <v>313</v>
      </c>
      <c r="E10" s="124">
        <v>14759.999999999991</v>
      </c>
      <c r="F10" s="124">
        <v>16052518.43999999</v>
      </c>
      <c r="G10" s="111">
        <v>3280.0000000000296</v>
      </c>
      <c r="H10" s="111">
        <v>5350839.4800000489</v>
      </c>
      <c r="I10" s="105">
        <f>F10+H10</f>
        <v>21403357.920000039</v>
      </c>
      <c r="J10" s="158">
        <v>1819.999999999709</v>
      </c>
      <c r="K10" s="158">
        <v>1979375.5799996837</v>
      </c>
      <c r="L10" s="120">
        <v>420.00000000007276</v>
      </c>
      <c r="M10" s="122">
        <v>685168.47000011872</v>
      </c>
      <c r="N10" s="107">
        <f>K10+M10</f>
        <v>2664544.0499998024</v>
      </c>
      <c r="O10" s="105">
        <f>I10+N10</f>
        <v>24067901.969999842</v>
      </c>
      <c r="P10" s="107">
        <f>E10+G10+J10+L10</f>
        <v>20279.999999999804</v>
      </c>
      <c r="Q10" s="123">
        <f>R10+T10</f>
        <v>255.10000000000582</v>
      </c>
      <c r="R10" s="124">
        <v>90</v>
      </c>
      <c r="S10" s="124">
        <v>1617316.2</v>
      </c>
      <c r="T10" s="117">
        <v>165.10000000000582</v>
      </c>
      <c r="U10" s="117">
        <v>779248.88600002741</v>
      </c>
      <c r="V10" s="115">
        <f>S10+U10</f>
        <v>2396565.0860000271</v>
      </c>
      <c r="W10" s="126">
        <v>0</v>
      </c>
      <c r="X10" s="112"/>
      <c r="Y10" s="110"/>
      <c r="Z10" s="112"/>
      <c r="AA10" s="112"/>
      <c r="AB10" s="112">
        <v>24</v>
      </c>
      <c r="AC10" s="123">
        <f>W10+X10+Y10+Z10+AA10+AB10</f>
        <v>24</v>
      </c>
      <c r="AD10" s="110">
        <v>279000</v>
      </c>
      <c r="AE10" s="113"/>
      <c r="AF10" s="129">
        <v>364.76999999998952</v>
      </c>
      <c r="AG10" s="131">
        <v>0</v>
      </c>
      <c r="AH10" s="130">
        <f>AF10+AG10</f>
        <v>364.76999999998952</v>
      </c>
      <c r="AI10" s="133">
        <v>3465314.9999999003</v>
      </c>
      <c r="AJ10" s="21"/>
    </row>
    <row r="11" spans="1:36" ht="15">
      <c r="A11" s="19"/>
      <c r="B11" s="81">
        <v>5</v>
      </c>
      <c r="C11" s="65">
        <v>58</v>
      </c>
      <c r="D11" s="65">
        <v>489</v>
      </c>
      <c r="E11" s="124">
        <v>13119.999999999891</v>
      </c>
      <c r="F11" s="124">
        <v>14268905.27999988</v>
      </c>
      <c r="G11" s="111">
        <v>3399.9999999999773</v>
      </c>
      <c r="H11" s="111">
        <v>5546601.8999999631</v>
      </c>
      <c r="I11" s="105">
        <f>F11+H11</f>
        <v>19815507.179999843</v>
      </c>
      <c r="J11" s="158">
        <v>1500</v>
      </c>
      <c r="K11" s="158">
        <v>1631353.5</v>
      </c>
      <c r="L11" s="120">
        <v>399.99999999986358</v>
      </c>
      <c r="M11" s="122">
        <v>652541.39999977755</v>
      </c>
      <c r="N11" s="107">
        <f>K11+M11</f>
        <v>2283894.8999997778</v>
      </c>
      <c r="O11" s="105">
        <f>I11+N11</f>
        <v>22099402.079999622</v>
      </c>
      <c r="P11" s="107">
        <f>E11+G11+J11+L11</f>
        <v>18419.999999999731</v>
      </c>
      <c r="Q11" s="123">
        <f>R11+T11</f>
        <v>42</v>
      </c>
      <c r="R11" s="124">
        <v>0</v>
      </c>
      <c r="S11" s="124">
        <v>0</v>
      </c>
      <c r="T11" s="117">
        <v>42</v>
      </c>
      <c r="U11" s="117">
        <v>198234.12</v>
      </c>
      <c r="V11" s="115">
        <f>S11+U11</f>
        <v>198234.12</v>
      </c>
      <c r="W11" s="126">
        <v>107.42675999999295</v>
      </c>
      <c r="X11" s="112"/>
      <c r="Y11" s="110"/>
      <c r="Z11" s="112"/>
      <c r="AA11" s="112"/>
      <c r="AB11" s="112">
        <v>0</v>
      </c>
      <c r="AC11" s="123">
        <f>W11+X11+Y11+Z11+AA11+AB11</f>
        <v>107.42675999999295</v>
      </c>
      <c r="AD11" s="110">
        <v>1357766.8196399109</v>
      </c>
      <c r="AE11" s="113"/>
      <c r="AF11" s="129">
        <v>540.83000000000175</v>
      </c>
      <c r="AG11" s="131">
        <v>5316.4999999999982</v>
      </c>
      <c r="AH11" s="130">
        <f>AF11+AG11</f>
        <v>5857.33</v>
      </c>
      <c r="AI11" s="133">
        <v>55644635</v>
      </c>
      <c r="AJ11" s="21"/>
    </row>
    <row r="12" spans="1:36" ht="15">
      <c r="A12" s="19"/>
      <c r="B12" s="64">
        <v>6</v>
      </c>
      <c r="C12" s="65">
        <v>66</v>
      </c>
      <c r="D12" s="65">
        <v>536</v>
      </c>
      <c r="E12" s="124">
        <v>17640.000000000327</v>
      </c>
      <c r="F12" s="124">
        <v>19184717.160000358</v>
      </c>
      <c r="G12" s="111">
        <v>3519.9999999999818</v>
      </c>
      <c r="H12" s="111">
        <v>5742364.3199999714</v>
      </c>
      <c r="I12" s="105">
        <f>F12+H12</f>
        <v>24927081.480000328</v>
      </c>
      <c r="J12" s="158">
        <v>1640.0000000003274</v>
      </c>
      <c r="K12" s="158">
        <v>1783613.1600003561</v>
      </c>
      <c r="L12" s="120">
        <v>420.00000000007276</v>
      </c>
      <c r="M12" s="122">
        <v>685168.47000011872</v>
      </c>
      <c r="N12" s="107">
        <f>K12+M12</f>
        <v>2468781.6300004749</v>
      </c>
      <c r="O12" s="105">
        <f>I12+N12</f>
        <v>27395863.110000804</v>
      </c>
      <c r="P12" s="107">
        <f>E12+G12+J12+L12</f>
        <v>23220.000000000709</v>
      </c>
      <c r="Q12" s="123">
        <f>R12+T12</f>
        <v>126</v>
      </c>
      <c r="R12" s="124">
        <v>126</v>
      </c>
      <c r="S12" s="124">
        <v>2264242.6800000002</v>
      </c>
      <c r="T12" s="117">
        <v>0</v>
      </c>
      <c r="U12" s="117">
        <v>0</v>
      </c>
      <c r="V12" s="115">
        <f>S12+U12</f>
        <v>2264242.6800000002</v>
      </c>
      <c r="W12" s="126">
        <v>122.41091999999765</v>
      </c>
      <c r="X12" s="112"/>
      <c r="Y12" s="110"/>
      <c r="Z12" s="112"/>
      <c r="AA12" s="112"/>
      <c r="AB12" s="112">
        <v>12</v>
      </c>
      <c r="AC12" s="123">
        <f>W12+X12+Y12+Z12+AA12+AB12</f>
        <v>134.41091999999765</v>
      </c>
      <c r="AD12" s="110">
        <v>1686651.6178799702</v>
      </c>
      <c r="AE12" s="113"/>
      <c r="AF12" s="129">
        <v>846</v>
      </c>
      <c r="AG12" s="131">
        <v>0</v>
      </c>
      <c r="AH12" s="130">
        <f>AF12+AG12</f>
        <v>846</v>
      </c>
      <c r="AI12" s="133">
        <v>8037000</v>
      </c>
      <c r="AJ12" s="21"/>
    </row>
    <row r="13" spans="1:36" ht="15">
      <c r="A13" s="19"/>
      <c r="B13" s="81">
        <v>7</v>
      </c>
      <c r="C13" s="65">
        <v>67</v>
      </c>
      <c r="D13" s="65">
        <v>430</v>
      </c>
      <c r="E13" s="124">
        <v>17159.999999999854</v>
      </c>
      <c r="F13" s="124">
        <v>18662684.039999843</v>
      </c>
      <c r="G13" s="111">
        <v>3560.0000000000023</v>
      </c>
      <c r="H13" s="111">
        <v>5807618.4600000046</v>
      </c>
      <c r="I13" s="105">
        <f>F13+H13</f>
        <v>24470302.499999847</v>
      </c>
      <c r="J13" s="158">
        <v>1679.9999999993815</v>
      </c>
      <c r="K13" s="158">
        <v>1827115.9199993275</v>
      </c>
      <c r="L13" s="120">
        <v>400.00000000009095</v>
      </c>
      <c r="M13" s="122">
        <v>652541.40000014845</v>
      </c>
      <c r="N13" s="107">
        <f>K13+M13</f>
        <v>2479657.319999476</v>
      </c>
      <c r="O13" s="105">
        <f>I13+N13</f>
        <v>26949959.819999322</v>
      </c>
      <c r="P13" s="107">
        <f>E13+G13+J13+L13</f>
        <v>22799.999999999331</v>
      </c>
      <c r="Q13" s="123">
        <f>R13+T13</f>
        <v>204</v>
      </c>
      <c r="R13" s="124">
        <v>204</v>
      </c>
      <c r="S13" s="124">
        <v>3665916.72</v>
      </c>
      <c r="T13" s="117">
        <v>0</v>
      </c>
      <c r="U13" s="117">
        <v>0</v>
      </c>
      <c r="V13" s="115">
        <f>S13+U13</f>
        <v>3665916.72</v>
      </c>
      <c r="W13" s="126">
        <v>122.49148000001405</v>
      </c>
      <c r="X13" s="112"/>
      <c r="Y13" s="110"/>
      <c r="Z13" s="112"/>
      <c r="AA13" s="112"/>
      <c r="AB13" s="112">
        <v>12</v>
      </c>
      <c r="AC13" s="123">
        <f>W13+X13+Y13+Z13+AA13+AB13</f>
        <v>134.49148000001406</v>
      </c>
      <c r="AD13" s="110">
        <v>1687669.8157201775</v>
      </c>
      <c r="AE13" s="113"/>
      <c r="AF13" s="129">
        <v>593.10000000000582</v>
      </c>
      <c r="AG13" s="131">
        <v>0</v>
      </c>
      <c r="AH13" s="130">
        <f>AF13+AG13</f>
        <v>593.10000000000582</v>
      </c>
      <c r="AI13" s="133">
        <v>5634450.0000000549</v>
      </c>
      <c r="AJ13" s="21"/>
    </row>
    <row r="14" spans="1:36" ht="15">
      <c r="A14" s="19"/>
      <c r="B14" s="64">
        <v>8</v>
      </c>
      <c r="C14" s="65">
        <v>76</v>
      </c>
      <c r="D14" s="65">
        <v>449</v>
      </c>
      <c r="E14" s="124">
        <v>16719.9999999998</v>
      </c>
      <c r="F14" s="124">
        <v>18184153.679999784</v>
      </c>
      <c r="G14" s="111">
        <v>3639.9999999999864</v>
      </c>
      <c r="H14" s="111">
        <v>5938126.7399999788</v>
      </c>
      <c r="I14" s="105">
        <f>F14+H14</f>
        <v>24122280.419999763</v>
      </c>
      <c r="J14" s="158">
        <v>1700.0000000007276</v>
      </c>
      <c r="K14" s="158">
        <v>1848867.3000007914</v>
      </c>
      <c r="L14" s="120">
        <v>419.99999999984539</v>
      </c>
      <c r="M14" s="122">
        <v>685168.46999974793</v>
      </c>
      <c r="N14" s="107">
        <f>K14+M14</f>
        <v>2534035.7700005393</v>
      </c>
      <c r="O14" s="105">
        <f>I14+N14</f>
        <v>26656316.190000303</v>
      </c>
      <c r="P14" s="107">
        <f>E14+G14+J14+L14</f>
        <v>22480.000000000357</v>
      </c>
      <c r="Q14" s="123">
        <f>R14+T14</f>
        <v>204</v>
      </c>
      <c r="R14" s="124">
        <v>204</v>
      </c>
      <c r="S14" s="124">
        <v>3665916.72</v>
      </c>
      <c r="T14" s="117">
        <v>0</v>
      </c>
      <c r="U14" s="117">
        <v>0</v>
      </c>
      <c r="V14" s="115">
        <f>S14+U14</f>
        <v>3665916.72</v>
      </c>
      <c r="W14" s="126">
        <v>120.71916000000468</v>
      </c>
      <c r="X14" s="112"/>
      <c r="Y14" s="110">
        <v>400</v>
      </c>
      <c r="Z14" s="112"/>
      <c r="AA14" s="112"/>
      <c r="AB14" s="112">
        <v>24</v>
      </c>
      <c r="AC14" s="123">
        <f>W14+X14+Y14+Z14+AA14+AB14</f>
        <v>544.71916000000465</v>
      </c>
      <c r="AD14" s="110">
        <v>7148769.4632400591</v>
      </c>
      <c r="AE14" s="113"/>
      <c r="AF14" s="129">
        <v>533.69999999999709</v>
      </c>
      <c r="AG14" s="131">
        <v>0</v>
      </c>
      <c r="AH14" s="130">
        <f>AF14+AG14</f>
        <v>533.69999999999709</v>
      </c>
      <c r="AI14" s="133">
        <v>5070149.9999999721</v>
      </c>
      <c r="AJ14" s="21"/>
    </row>
    <row r="15" spans="1:36" ht="15">
      <c r="A15" s="19"/>
      <c r="B15" s="81">
        <v>9</v>
      </c>
      <c r="C15" s="65">
        <v>81</v>
      </c>
      <c r="D15" s="65">
        <v>694</v>
      </c>
      <c r="E15" s="124">
        <v>17920.000000000073</v>
      </c>
      <c r="F15" s="124">
        <v>19489236.480000082</v>
      </c>
      <c r="G15" s="111">
        <v>3880.0000000000523</v>
      </c>
      <c r="H15" s="111">
        <v>6329651.5800000858</v>
      </c>
      <c r="I15" s="105">
        <f>F15+H15</f>
        <v>25818888.060000166</v>
      </c>
      <c r="J15" s="158">
        <v>1759.9999999993088</v>
      </c>
      <c r="K15" s="158">
        <v>1914121.4399992484</v>
      </c>
      <c r="L15" s="120">
        <v>420.00000000007276</v>
      </c>
      <c r="M15" s="122">
        <v>685168.47000011872</v>
      </c>
      <c r="N15" s="107">
        <f>K15+M15</f>
        <v>2599289.9099993668</v>
      </c>
      <c r="O15" s="105">
        <f>I15+N15</f>
        <v>28418177.969999533</v>
      </c>
      <c r="P15" s="107">
        <f>E15+G15+J15+L15</f>
        <v>23979.999999999505</v>
      </c>
      <c r="Q15" s="123">
        <f>R15+T15</f>
        <v>212</v>
      </c>
      <c r="R15" s="124">
        <v>212</v>
      </c>
      <c r="S15" s="124">
        <v>3809678.16</v>
      </c>
      <c r="T15" s="117">
        <v>0</v>
      </c>
      <c r="U15" s="117">
        <v>0</v>
      </c>
      <c r="V15" s="115">
        <f>S15+U15</f>
        <v>3809678.16</v>
      </c>
      <c r="W15" s="126">
        <v>120.35664000001874</v>
      </c>
      <c r="X15" s="112">
        <v>250</v>
      </c>
      <c r="Y15" s="110"/>
      <c r="Z15" s="112">
        <v>50</v>
      </c>
      <c r="AA15" s="112"/>
      <c r="AB15" s="112">
        <v>0</v>
      </c>
      <c r="AC15" s="123">
        <f>W15+X15+Y15+Z15+AA15+AB15</f>
        <v>420.35664000001873</v>
      </c>
      <c r="AD15" s="110">
        <v>5529187.572960237</v>
      </c>
      <c r="AE15" s="113"/>
      <c r="AF15" s="129">
        <v>499.75</v>
      </c>
      <c r="AG15" s="131">
        <v>0</v>
      </c>
      <c r="AH15" s="130">
        <f>AF15+AG15</f>
        <v>499.75</v>
      </c>
      <c r="AI15" s="133">
        <v>4747625</v>
      </c>
      <c r="AJ15" s="21"/>
    </row>
    <row r="16" spans="1:36" ht="15">
      <c r="A16" s="19"/>
      <c r="B16" s="64">
        <v>10</v>
      </c>
      <c r="C16" s="65">
        <v>83</v>
      </c>
      <c r="D16" s="65">
        <v>523</v>
      </c>
      <c r="E16" s="124">
        <v>18440.000000000055</v>
      </c>
      <c r="F16" s="124">
        <v>20054772.360000059</v>
      </c>
      <c r="G16" s="111">
        <v>4000</v>
      </c>
      <c r="H16" s="111">
        <v>6525414</v>
      </c>
      <c r="I16" s="105">
        <f>F16+H16</f>
        <v>26580186.360000059</v>
      </c>
      <c r="J16" s="158">
        <v>1700.0000000007276</v>
      </c>
      <c r="K16" s="158">
        <v>1848867.3000007914</v>
      </c>
      <c r="L16" s="120">
        <v>399.99999999986358</v>
      </c>
      <c r="M16" s="122">
        <v>652541.39999977755</v>
      </c>
      <c r="N16" s="107">
        <f>K16+M16</f>
        <v>2501408.7000005692</v>
      </c>
      <c r="O16" s="105">
        <f>I16+N16</f>
        <v>29081595.060000628</v>
      </c>
      <c r="P16" s="107">
        <f>E16+G16+J16+L16</f>
        <v>24540.000000000648</v>
      </c>
      <c r="Q16" s="123">
        <f>R16+T16</f>
        <v>393</v>
      </c>
      <c r="R16" s="124">
        <v>186</v>
      </c>
      <c r="S16" s="124">
        <v>3342453.48</v>
      </c>
      <c r="T16" s="117">
        <v>207</v>
      </c>
      <c r="U16" s="117">
        <v>977011.0199999999</v>
      </c>
      <c r="V16" s="115">
        <f>S16+U16</f>
        <v>4319464.5</v>
      </c>
      <c r="W16" s="126">
        <v>117.65787999996716</v>
      </c>
      <c r="X16" s="112"/>
      <c r="Y16" s="110"/>
      <c r="Z16" s="112"/>
      <c r="AA16" s="112"/>
      <c r="AB16" s="112">
        <v>24</v>
      </c>
      <c r="AC16" s="123">
        <f>W16+X16+Y16+Z16+AA16+AB16</f>
        <v>141.65787999996718</v>
      </c>
      <c r="AD16" s="110">
        <v>1766077.945319585</v>
      </c>
      <c r="AE16" s="113"/>
      <c r="AF16" s="129">
        <v>518.35000000000582</v>
      </c>
      <c r="AG16" s="131">
        <v>0</v>
      </c>
      <c r="AH16" s="130">
        <f>AF16+AG16</f>
        <v>518.35000000000582</v>
      </c>
      <c r="AI16" s="133">
        <v>4924325.0000000549</v>
      </c>
      <c r="AJ16" s="21"/>
    </row>
    <row r="17" spans="1:36" ht="15">
      <c r="A17" s="19"/>
      <c r="B17" s="81">
        <v>11</v>
      </c>
      <c r="C17" s="65">
        <v>74</v>
      </c>
      <c r="D17" s="65">
        <v>476</v>
      </c>
      <c r="E17" s="124">
        <v>17720.000000000255</v>
      </c>
      <c r="F17" s="124">
        <v>19271722.680000275</v>
      </c>
      <c r="G17" s="111">
        <v>3839.999999999975</v>
      </c>
      <c r="H17" s="111">
        <v>6264397.4399999604</v>
      </c>
      <c r="I17" s="105">
        <f>F17+H17</f>
        <v>25536120.120000236</v>
      </c>
      <c r="J17" s="158">
        <v>1739.9999999997817</v>
      </c>
      <c r="K17" s="158">
        <v>1892370.0599997626</v>
      </c>
      <c r="L17" s="120">
        <v>400.00000000009095</v>
      </c>
      <c r="M17" s="122">
        <v>652541.40000014845</v>
      </c>
      <c r="N17" s="107">
        <f>K17+M17</f>
        <v>2544911.459999911</v>
      </c>
      <c r="O17" s="105">
        <f>I17+N17</f>
        <v>28081031.580000147</v>
      </c>
      <c r="P17" s="107">
        <f>E17+G17+J17+L17</f>
        <v>23700.000000000102</v>
      </c>
      <c r="Q17" s="123">
        <f>R17+T17</f>
        <v>480</v>
      </c>
      <c r="R17" s="124">
        <v>198</v>
      </c>
      <c r="S17" s="124">
        <v>3558095.64</v>
      </c>
      <c r="T17" s="117">
        <v>282</v>
      </c>
      <c r="U17" s="117">
        <v>1331000.52</v>
      </c>
      <c r="V17" s="115">
        <f>S17+U17</f>
        <v>4889096.16</v>
      </c>
      <c r="W17" s="126">
        <v>128.21124000000702</v>
      </c>
      <c r="X17" s="112"/>
      <c r="Y17" s="110"/>
      <c r="Z17" s="112"/>
      <c r="AA17" s="112"/>
      <c r="AB17" s="112">
        <v>24</v>
      </c>
      <c r="AC17" s="123">
        <f>W17+X17+Y17+Z17+AA17+AB17</f>
        <v>152.21124000000702</v>
      </c>
      <c r="AD17" s="110">
        <v>1899461.8623600889</v>
      </c>
      <c r="AE17" s="113"/>
      <c r="AF17" s="129">
        <v>408.26999999998952</v>
      </c>
      <c r="AG17" s="131">
        <v>0</v>
      </c>
      <c r="AH17" s="130">
        <f>AF17+AG17</f>
        <v>408.26999999998952</v>
      </c>
      <c r="AI17" s="133">
        <v>3878564.9999999003</v>
      </c>
      <c r="AJ17" s="21"/>
    </row>
    <row r="18" spans="1:36" ht="15">
      <c r="A18" s="19"/>
      <c r="B18" s="64">
        <v>12</v>
      </c>
      <c r="C18" s="65">
        <v>50</v>
      </c>
      <c r="D18" s="65">
        <v>437</v>
      </c>
      <c r="E18" s="124">
        <v>17319.999999999709</v>
      </c>
      <c r="F18" s="124">
        <v>18836695.079999685</v>
      </c>
      <c r="G18" s="111">
        <v>3480.0000000000182</v>
      </c>
      <c r="H18" s="111">
        <v>5677110.1800000304</v>
      </c>
      <c r="I18" s="105">
        <f>F18+H18</f>
        <v>24513805.259999715</v>
      </c>
      <c r="J18" s="158">
        <v>1659.9999999998545</v>
      </c>
      <c r="K18" s="158">
        <v>1805364.5399998417</v>
      </c>
      <c r="L18" s="120">
        <v>420.00000000007276</v>
      </c>
      <c r="M18" s="122">
        <v>685168.47000011872</v>
      </c>
      <c r="N18" s="107">
        <f>K18+M18</f>
        <v>2490533.0099999607</v>
      </c>
      <c r="O18" s="105">
        <f>I18+N18</f>
        <v>27004338.269999675</v>
      </c>
      <c r="P18" s="107">
        <f>E18+G18+J18+L18</f>
        <v>22879.999999999654</v>
      </c>
      <c r="Q18" s="123">
        <f>R18+T18</f>
        <v>555</v>
      </c>
      <c r="R18" s="124">
        <v>207</v>
      </c>
      <c r="S18" s="124">
        <v>3719827.2600000002</v>
      </c>
      <c r="T18" s="117">
        <v>348</v>
      </c>
      <c r="U18" s="117">
        <v>1642511.2799999998</v>
      </c>
      <c r="V18" s="115">
        <f>S18+U18</f>
        <v>5362338.54</v>
      </c>
      <c r="W18" s="126">
        <v>122.37064000001874</v>
      </c>
      <c r="X18" s="112"/>
      <c r="Y18" s="110"/>
      <c r="Z18" s="112"/>
      <c r="AA18" s="112"/>
      <c r="AB18" s="112">
        <v>0</v>
      </c>
      <c r="AC18" s="123">
        <f>W18+X18+Y18+Z18+AA18+AB18</f>
        <v>122.37064000001874</v>
      </c>
      <c r="AD18" s="110">
        <v>1546642.5189602368</v>
      </c>
      <c r="AE18" s="113"/>
      <c r="AF18" s="129">
        <v>554.3700000000099</v>
      </c>
      <c r="AG18" s="131">
        <v>45</v>
      </c>
      <c r="AH18" s="130">
        <f>AF18+AG18</f>
        <v>599.3700000000099</v>
      </c>
      <c r="AI18" s="133">
        <v>5694015.0000000941</v>
      </c>
      <c r="AJ18" s="21"/>
    </row>
    <row r="19" spans="1:36" ht="15">
      <c r="A19" s="19"/>
      <c r="B19" s="81">
        <v>13</v>
      </c>
      <c r="C19" s="65">
        <v>68</v>
      </c>
      <c r="D19" s="65">
        <v>396</v>
      </c>
      <c r="E19" s="124">
        <v>17160.000000000309</v>
      </c>
      <c r="F19" s="124">
        <v>18662684.040000338</v>
      </c>
      <c r="G19" s="111">
        <v>3439.9999999999977</v>
      </c>
      <c r="H19" s="111">
        <v>5611856.0399999972</v>
      </c>
      <c r="I19" s="105">
        <f>F19+H19</f>
        <v>24274540.080000333</v>
      </c>
      <c r="J19" s="158">
        <v>1579.9999999999272</v>
      </c>
      <c r="K19" s="158">
        <v>1718359.0199999211</v>
      </c>
      <c r="L19" s="120">
        <v>379.99999999988177</v>
      </c>
      <c r="M19" s="122">
        <v>619914.32999980706</v>
      </c>
      <c r="N19" s="107">
        <f>K19+M19</f>
        <v>2338273.3499997281</v>
      </c>
      <c r="O19" s="105">
        <f>I19+N19</f>
        <v>26612813.430000063</v>
      </c>
      <c r="P19" s="107">
        <f>E19+G19+J19+L19</f>
        <v>22560.000000000116</v>
      </c>
      <c r="Q19" s="123">
        <f>R19+T19</f>
        <v>1026</v>
      </c>
      <c r="R19" s="124">
        <v>190</v>
      </c>
      <c r="S19" s="124">
        <v>3414334.2</v>
      </c>
      <c r="T19" s="117">
        <v>836</v>
      </c>
      <c r="U19" s="117">
        <v>3945802.9599999995</v>
      </c>
      <c r="V19" s="115">
        <f>S19+U19</f>
        <v>7360137.1600000001</v>
      </c>
      <c r="W19" s="126">
        <v>118.54403999997186</v>
      </c>
      <c r="X19" s="112"/>
      <c r="Y19" s="110">
        <v>400</v>
      </c>
      <c r="Z19" s="112"/>
      <c r="AA19" s="112"/>
      <c r="AB19" s="112">
        <v>0</v>
      </c>
      <c r="AC19" s="123">
        <f>W19+X19+Y19+Z19+AA19+AB19</f>
        <v>518.5440399999718</v>
      </c>
      <c r="AD19" s="110">
        <v>6842278.1215596441</v>
      </c>
      <c r="AE19" s="113"/>
      <c r="AF19" s="129">
        <v>726.86000000000058</v>
      </c>
      <c r="AG19" s="131">
        <v>0</v>
      </c>
      <c r="AH19" s="130">
        <f>AF19+AG19</f>
        <v>726.86000000000058</v>
      </c>
      <c r="AI19" s="133">
        <v>6905170.0000000056</v>
      </c>
      <c r="AJ19" s="21"/>
    </row>
    <row r="20" spans="1:36" ht="15">
      <c r="A20" s="19"/>
      <c r="B20" s="64">
        <v>14</v>
      </c>
      <c r="C20" s="65">
        <v>67</v>
      </c>
      <c r="D20" s="65">
        <v>540</v>
      </c>
      <c r="E20" s="124">
        <v>16719.9999999998</v>
      </c>
      <c r="F20" s="124">
        <v>18184153.679999784</v>
      </c>
      <c r="G20" s="111">
        <v>3599.9999999999659</v>
      </c>
      <c r="H20" s="111">
        <v>5872872.5999999447</v>
      </c>
      <c r="I20" s="105">
        <f>F20+H20</f>
        <v>24057026.279999729</v>
      </c>
      <c r="J20" s="158">
        <v>1619.9999999998909</v>
      </c>
      <c r="K20" s="158">
        <v>1761861.7799998813</v>
      </c>
      <c r="L20" s="120">
        <v>400.00000000009095</v>
      </c>
      <c r="M20" s="122">
        <v>652541.40000014845</v>
      </c>
      <c r="N20" s="107">
        <f>K20+M20</f>
        <v>2414403.1800000295</v>
      </c>
      <c r="O20" s="105">
        <f>I20+N20</f>
        <v>26471429.459999759</v>
      </c>
      <c r="P20" s="107">
        <f>E20+G20+J20+L20</f>
        <v>22339.999999999749</v>
      </c>
      <c r="Q20" s="123">
        <f>R20+T20</f>
        <v>568</v>
      </c>
      <c r="R20" s="124">
        <v>211</v>
      </c>
      <c r="S20" s="124">
        <v>3791707.98</v>
      </c>
      <c r="T20" s="117">
        <v>357</v>
      </c>
      <c r="U20" s="117">
        <v>1684990.0199999998</v>
      </c>
      <c r="V20" s="115">
        <f>S20+U20</f>
        <v>5476698</v>
      </c>
      <c r="W20" s="126">
        <v>146.2164000000117</v>
      </c>
      <c r="X20" s="112">
        <v>250</v>
      </c>
      <c r="Y20" s="110"/>
      <c r="Z20" s="112"/>
      <c r="AA20" s="112"/>
      <c r="AB20" s="112">
        <v>0</v>
      </c>
      <c r="AC20" s="123">
        <f>W20+X20+Y20+Z20+AA20+AB20</f>
        <v>396.21640000001173</v>
      </c>
      <c r="AD20" s="110">
        <v>5188029.0796001479</v>
      </c>
      <c r="AE20" s="113"/>
      <c r="AF20" s="129">
        <v>565.94999999999709</v>
      </c>
      <c r="AG20" s="131">
        <v>0</v>
      </c>
      <c r="AH20" s="130">
        <f>AF20+AG20</f>
        <v>565.94999999999709</v>
      </c>
      <c r="AI20" s="133">
        <v>5376524.9999999721</v>
      </c>
      <c r="AJ20" s="21"/>
    </row>
    <row r="21" spans="1:36" ht="15">
      <c r="A21" s="19"/>
      <c r="B21" s="81">
        <v>15</v>
      </c>
      <c r="C21" s="71">
        <v>96</v>
      </c>
      <c r="D21" s="71">
        <v>716</v>
      </c>
      <c r="E21" s="117">
        <v>16039.999999999964</v>
      </c>
      <c r="F21" s="117">
        <v>17444606.759999961</v>
      </c>
      <c r="G21" s="114">
        <v>3720.0000000000273</v>
      </c>
      <c r="H21" s="114">
        <v>6068635.0200000443</v>
      </c>
      <c r="I21" s="105">
        <f>F21+H21</f>
        <v>23513241.780000005</v>
      </c>
      <c r="J21" s="114">
        <v>1760.0000000002183</v>
      </c>
      <c r="K21" s="114">
        <v>1914121.4400002374</v>
      </c>
      <c r="L21" s="114">
        <v>379.99999999988177</v>
      </c>
      <c r="M21" s="117">
        <v>619914.32999980706</v>
      </c>
      <c r="N21" s="107">
        <f>K21+M21</f>
        <v>2534035.7700000443</v>
      </c>
      <c r="O21" s="105">
        <f>I21+N21</f>
        <v>26047277.550000049</v>
      </c>
      <c r="P21" s="107">
        <f>E21+G21+J21+L21</f>
        <v>21900.000000000095</v>
      </c>
      <c r="Q21" s="123">
        <f>R21+T21</f>
        <v>493</v>
      </c>
      <c r="R21" s="124">
        <v>138</v>
      </c>
      <c r="S21" s="124">
        <v>2479884.84</v>
      </c>
      <c r="T21" s="117">
        <v>355</v>
      </c>
      <c r="U21" s="117">
        <v>1675550.2999999998</v>
      </c>
      <c r="V21" s="115">
        <f>S21+U21</f>
        <v>4155435.1399999997</v>
      </c>
      <c r="W21" s="126">
        <v>130.62804000003047</v>
      </c>
      <c r="X21" s="112"/>
      <c r="Y21" s="110"/>
      <c r="Z21" s="112"/>
      <c r="AA21" s="112"/>
      <c r="AB21" s="112">
        <v>0</v>
      </c>
      <c r="AC21" s="123">
        <f>W21+X21+Y21+Z21+AA21+AB21</f>
        <v>130.62804000003047</v>
      </c>
      <c r="AD21" s="110">
        <v>1651007.797560385</v>
      </c>
      <c r="AE21" s="113"/>
      <c r="AF21" s="129">
        <v>590.36999999999534</v>
      </c>
      <c r="AG21" s="131">
        <v>0</v>
      </c>
      <c r="AH21" s="130">
        <f>AF21+AG21</f>
        <v>590.36999999999534</v>
      </c>
      <c r="AI21" s="133">
        <v>5608514.9999999553</v>
      </c>
      <c r="AJ21" s="21"/>
    </row>
    <row r="22" spans="1:36" ht="15">
      <c r="A22" s="19"/>
      <c r="B22" s="64">
        <v>16</v>
      </c>
      <c r="C22" s="71">
        <v>96</v>
      </c>
      <c r="D22" s="71">
        <v>708</v>
      </c>
      <c r="E22" s="117">
        <v>18840.000000000146</v>
      </c>
      <c r="F22" s="117">
        <v>20489799.960000161</v>
      </c>
      <c r="G22" s="114">
        <v>3800.0000000000114</v>
      </c>
      <c r="H22" s="114">
        <v>6199143.3000000184</v>
      </c>
      <c r="I22" s="105">
        <f>F22+H22</f>
        <v>26688943.26000018</v>
      </c>
      <c r="J22" s="114">
        <v>1720.0000000002547</v>
      </c>
      <c r="K22" s="114">
        <v>1870618.680000277</v>
      </c>
      <c r="L22" s="114">
        <v>400.00000000009095</v>
      </c>
      <c r="M22" s="117">
        <v>652541.40000014845</v>
      </c>
      <c r="N22" s="107">
        <f>K22+M22</f>
        <v>2523160.0800004257</v>
      </c>
      <c r="O22" s="105">
        <f>I22+N22</f>
        <v>29212103.340000607</v>
      </c>
      <c r="P22" s="107">
        <f>E22+G22+J22+L22</f>
        <v>24760.000000000502</v>
      </c>
      <c r="Q22" s="123">
        <f>R22+T22</f>
        <v>370</v>
      </c>
      <c r="R22" s="124">
        <v>0</v>
      </c>
      <c r="S22" s="124">
        <v>0</v>
      </c>
      <c r="T22" s="117">
        <v>370</v>
      </c>
      <c r="U22" s="117">
        <v>1746348.2</v>
      </c>
      <c r="V22" s="115">
        <f>S22+U22</f>
        <v>1746348.2</v>
      </c>
      <c r="W22" s="126">
        <v>108.67543999998358</v>
      </c>
      <c r="X22" s="112"/>
      <c r="Y22" s="110"/>
      <c r="Z22" s="112">
        <v>50</v>
      </c>
      <c r="AA22" s="112"/>
      <c r="AB22" s="112">
        <v>0</v>
      </c>
      <c r="AC22" s="123">
        <f>W22+X22+Y22+Z22+AA22+AB22</f>
        <v>158.67543999998358</v>
      </c>
      <c r="AD22" s="110">
        <v>2041548.8861597925</v>
      </c>
      <c r="AE22" s="113"/>
      <c r="AF22" s="129">
        <v>535.38000000000466</v>
      </c>
      <c r="AG22" s="131">
        <v>0</v>
      </c>
      <c r="AH22" s="130">
        <f>AF22+AG22</f>
        <v>535.38000000000466</v>
      </c>
      <c r="AI22" s="133">
        <v>5086110.0000000447</v>
      </c>
      <c r="AJ22" s="21"/>
    </row>
    <row r="23" spans="1:36" ht="15">
      <c r="A23" s="19"/>
      <c r="B23" s="81">
        <v>17</v>
      </c>
      <c r="C23" s="71">
        <v>72</v>
      </c>
      <c r="D23" s="71">
        <v>631</v>
      </c>
      <c r="E23" s="117">
        <v>18440.000000000055</v>
      </c>
      <c r="F23" s="117">
        <v>20054772.360000059</v>
      </c>
      <c r="G23" s="114">
        <v>3919.9999999999591</v>
      </c>
      <c r="H23" s="114">
        <v>6394905.7199999345</v>
      </c>
      <c r="I23" s="105">
        <f>F23+H23</f>
        <v>26449678.079999994</v>
      </c>
      <c r="J23" s="114">
        <v>1619.9999999998909</v>
      </c>
      <c r="K23" s="114">
        <v>1761861.7799998813</v>
      </c>
      <c r="L23" s="114">
        <v>359.99999999989996</v>
      </c>
      <c r="M23" s="117">
        <v>587287.2599998368</v>
      </c>
      <c r="N23" s="107">
        <f>K23+M23</f>
        <v>2349149.0399997178</v>
      </c>
      <c r="O23" s="105">
        <f>I23+N23</f>
        <v>28798827.119999714</v>
      </c>
      <c r="P23" s="107">
        <f>E23+G23+J23+L23</f>
        <v>24339.999999999804</v>
      </c>
      <c r="Q23" s="123">
        <f>R23+T23</f>
        <v>551</v>
      </c>
      <c r="R23" s="124">
        <v>14</v>
      </c>
      <c r="S23" s="124">
        <v>251582.52000000002</v>
      </c>
      <c r="T23" s="117">
        <v>537</v>
      </c>
      <c r="U23" s="117">
        <v>2534564.8199999998</v>
      </c>
      <c r="V23" s="115">
        <f>S23+U23</f>
        <v>2786147.34</v>
      </c>
      <c r="W23" s="126">
        <v>115.07996000002812</v>
      </c>
      <c r="X23" s="112"/>
      <c r="Y23" s="110"/>
      <c r="Z23" s="112"/>
      <c r="AA23" s="112"/>
      <c r="AB23" s="112">
        <v>60</v>
      </c>
      <c r="AC23" s="123">
        <f>W23+X23+Y23+Z23+AA23+AB23</f>
        <v>175.07996000002811</v>
      </c>
      <c r="AD23" s="110">
        <v>2151995.6144403554</v>
      </c>
      <c r="AE23" s="113"/>
      <c r="AF23" s="129">
        <v>485.39999999999418</v>
      </c>
      <c r="AG23" s="131">
        <v>0</v>
      </c>
      <c r="AH23" s="130">
        <f>AF23+AG23</f>
        <v>485.39999999999418</v>
      </c>
      <c r="AI23" s="133">
        <v>4611299.9999999451</v>
      </c>
      <c r="AJ23" s="21"/>
    </row>
    <row r="24" spans="1:36" ht="15">
      <c r="A24" s="19"/>
      <c r="B24" s="64">
        <v>18</v>
      </c>
      <c r="C24" s="71">
        <v>79</v>
      </c>
      <c r="D24" s="71">
        <v>385</v>
      </c>
      <c r="E24" s="117">
        <v>18119.999999999891</v>
      </c>
      <c r="F24" s="117">
        <v>19706750.279999882</v>
      </c>
      <c r="G24" s="114">
        <v>6360.0000000000136</v>
      </c>
      <c r="H24" s="114">
        <v>10375408.260000024</v>
      </c>
      <c r="I24" s="105">
        <f>F24+H24</f>
        <v>30082158.539999906</v>
      </c>
      <c r="J24" s="114">
        <v>1039.9999999999636</v>
      </c>
      <c r="K24" s="118">
        <v>1131071.7599999604</v>
      </c>
      <c r="L24" s="114">
        <v>360.00000000012733</v>
      </c>
      <c r="M24" s="117">
        <v>587287.26000020781</v>
      </c>
      <c r="N24" s="107">
        <f>K24+M24</f>
        <v>1718359.0200001681</v>
      </c>
      <c r="O24" s="105">
        <f>I24+N24</f>
        <v>31800517.560000073</v>
      </c>
      <c r="P24" s="107">
        <f>E24+G24+J24+L24</f>
        <v>25879.999999999996</v>
      </c>
      <c r="Q24" s="123">
        <f>R24+T24</f>
        <v>1099</v>
      </c>
      <c r="R24" s="124">
        <v>166</v>
      </c>
      <c r="S24" s="124">
        <v>2983049.88</v>
      </c>
      <c r="T24" s="117">
        <v>933</v>
      </c>
      <c r="U24" s="117">
        <v>4403629.38</v>
      </c>
      <c r="V24" s="115">
        <f>S24+U24</f>
        <v>7386679.2599999998</v>
      </c>
      <c r="W24" s="126">
        <v>126.88199999999999</v>
      </c>
      <c r="X24" s="112"/>
      <c r="Y24" s="110">
        <v>400</v>
      </c>
      <c r="Z24" s="112"/>
      <c r="AA24" s="112"/>
      <c r="AB24" s="112">
        <v>0</v>
      </c>
      <c r="AC24" s="123">
        <f>W24+X24+Y24+Z24+AA24+AB24</f>
        <v>526.88199999999995</v>
      </c>
      <c r="AD24" s="110">
        <v>6947661.5980000002</v>
      </c>
      <c r="AE24" s="113"/>
      <c r="AF24" s="129">
        <v>1451.5400000000081</v>
      </c>
      <c r="AG24" s="131">
        <v>0</v>
      </c>
      <c r="AH24" s="130">
        <f>AF24+AG24</f>
        <v>1451.5400000000081</v>
      </c>
      <c r="AI24" s="133">
        <v>13789630.000000078</v>
      </c>
      <c r="AJ24" s="21"/>
    </row>
    <row r="25" spans="1:36" ht="15">
      <c r="A25" s="19"/>
      <c r="B25" s="81">
        <v>19</v>
      </c>
      <c r="C25" s="71">
        <v>77</v>
      </c>
      <c r="D25" s="71">
        <v>581</v>
      </c>
      <c r="E25" s="117">
        <v>18719.9999999998</v>
      </c>
      <c r="F25" s="117">
        <v>20359291.679999784</v>
      </c>
      <c r="G25" s="114">
        <v>1639.9999999999864</v>
      </c>
      <c r="H25" s="114">
        <v>2675419.7399999779</v>
      </c>
      <c r="I25" s="105">
        <f>F25+H25</f>
        <v>23034711.419999763</v>
      </c>
      <c r="J25" s="114">
        <v>1539.9999999999636</v>
      </c>
      <c r="K25" s="114">
        <v>1674856.2599999604</v>
      </c>
      <c r="L25" s="114">
        <v>359.99999999989996</v>
      </c>
      <c r="M25" s="117">
        <v>587287.2599998368</v>
      </c>
      <c r="N25" s="107">
        <f>K25+M25</f>
        <v>2262143.5199997975</v>
      </c>
      <c r="O25" s="105">
        <f>I25+N25</f>
        <v>25296854.939999562</v>
      </c>
      <c r="P25" s="107">
        <f>E25+G25+J25+L25</f>
        <v>22259.999999999651</v>
      </c>
      <c r="Q25" s="123">
        <f>R25+T25</f>
        <v>757</v>
      </c>
      <c r="R25" s="124">
        <v>230</v>
      </c>
      <c r="S25" s="124">
        <v>4133141.4</v>
      </c>
      <c r="T25" s="117">
        <v>527</v>
      </c>
      <c r="U25" s="117">
        <v>2487366.2199999997</v>
      </c>
      <c r="V25" s="115">
        <f>S25+U25</f>
        <v>6620507.6199999992</v>
      </c>
      <c r="W25" s="126">
        <v>123.25679999996481</v>
      </c>
      <c r="X25" s="112"/>
      <c r="Y25" s="110"/>
      <c r="Z25" s="112"/>
      <c r="AA25" s="112"/>
      <c r="AB25" s="112">
        <v>0</v>
      </c>
      <c r="AC25" s="123">
        <f>W25+X25+Y25+Z25+AA25+AB25</f>
        <v>123.25679999996481</v>
      </c>
      <c r="AD25" s="110">
        <v>1557842.6951995553</v>
      </c>
      <c r="AE25" s="113"/>
      <c r="AF25" s="129">
        <v>300.15999999998894</v>
      </c>
      <c r="AG25" s="131">
        <v>0</v>
      </c>
      <c r="AH25" s="130">
        <f>AF25+AG25</f>
        <v>300.15999999998894</v>
      </c>
      <c r="AI25" s="133">
        <v>2851519.9999998948</v>
      </c>
      <c r="AJ25" s="21"/>
    </row>
    <row r="26" spans="1:36" ht="15">
      <c r="A26" s="19"/>
      <c r="B26" s="64">
        <v>20</v>
      </c>
      <c r="C26" s="71">
        <v>67</v>
      </c>
      <c r="D26" s="71">
        <v>490</v>
      </c>
      <c r="E26" s="117">
        <v>19280.0000000002</v>
      </c>
      <c r="F26" s="117">
        <v>20968330.32000022</v>
      </c>
      <c r="G26" s="114">
        <v>3920.0000000000159</v>
      </c>
      <c r="H26" s="114">
        <v>6394905.7200000258</v>
      </c>
      <c r="I26" s="105">
        <f>F26+H26</f>
        <v>27363236.040000245</v>
      </c>
      <c r="J26" s="114">
        <v>1460.0000000000364</v>
      </c>
      <c r="K26" s="114">
        <v>1587850.7400000396</v>
      </c>
      <c r="L26" s="114">
        <v>360.00000000012733</v>
      </c>
      <c r="M26" s="117">
        <v>587287.26000020781</v>
      </c>
      <c r="N26" s="107">
        <f>K26+M26</f>
        <v>2175138.0000002473</v>
      </c>
      <c r="O26" s="105">
        <f>I26+N26</f>
        <v>29538374.040000491</v>
      </c>
      <c r="P26" s="107">
        <f>E26+G26+J26+L26</f>
        <v>25020.000000000378</v>
      </c>
      <c r="Q26" s="123">
        <f>R26+T26</f>
        <v>963</v>
      </c>
      <c r="R26" s="124">
        <v>225</v>
      </c>
      <c r="S26" s="124">
        <v>4043290.5</v>
      </c>
      <c r="T26" s="117">
        <v>738</v>
      </c>
      <c r="U26" s="117">
        <v>3483256.6799999997</v>
      </c>
      <c r="V26" s="115">
        <f>S26+U26</f>
        <v>7526547.1799999997</v>
      </c>
      <c r="W26" s="126">
        <v>131.31280000002343</v>
      </c>
      <c r="X26" s="112">
        <v>250</v>
      </c>
      <c r="Y26" s="110"/>
      <c r="Z26" s="112"/>
      <c r="AA26" s="112"/>
      <c r="AB26" s="112">
        <v>0</v>
      </c>
      <c r="AC26" s="123">
        <f>W26+X26+Y26+Z26+AA26+AB26</f>
        <v>381.31280000002346</v>
      </c>
      <c r="AD26" s="110">
        <v>4999662.4792002961</v>
      </c>
      <c r="AE26" s="113"/>
      <c r="AF26" s="129">
        <v>72.310000000012224</v>
      </c>
      <c r="AG26" s="131">
        <v>45.499999999999545</v>
      </c>
      <c r="AH26" s="130">
        <f>AF26+AG26</f>
        <v>117.81000000001177</v>
      </c>
      <c r="AI26" s="133">
        <v>1119195.0000001118</v>
      </c>
      <c r="AJ26" s="21"/>
    </row>
    <row r="27" spans="1:36" ht="15">
      <c r="A27" s="19"/>
      <c r="B27" s="81">
        <v>21</v>
      </c>
      <c r="C27" s="65">
        <v>70</v>
      </c>
      <c r="D27" s="65">
        <v>579</v>
      </c>
      <c r="E27" s="124">
        <v>18440.000000000055</v>
      </c>
      <c r="F27" s="124">
        <v>20054772.360000059</v>
      </c>
      <c r="G27" s="111">
        <v>3920.0000000000159</v>
      </c>
      <c r="H27" s="111">
        <v>6394905.7200000258</v>
      </c>
      <c r="I27" s="105">
        <f>F27+H27</f>
        <v>26449678.080000084</v>
      </c>
      <c r="J27" s="158">
        <v>1479.9999999995634</v>
      </c>
      <c r="K27" s="158">
        <v>1609602.1199995251</v>
      </c>
      <c r="L27" s="120">
        <v>399.99999999986358</v>
      </c>
      <c r="M27" s="122">
        <v>652541.39999977755</v>
      </c>
      <c r="N27" s="107">
        <f>K27+M27</f>
        <v>2262143.5199993029</v>
      </c>
      <c r="O27" s="105">
        <f>I27+N27</f>
        <v>28711821.599999387</v>
      </c>
      <c r="P27" s="107">
        <f>E27+G27+J27+L27</f>
        <v>24239.999999999498</v>
      </c>
      <c r="Q27" s="123">
        <f>R27+T27</f>
        <v>974</v>
      </c>
      <c r="R27" s="124">
        <v>247</v>
      </c>
      <c r="S27" s="124">
        <v>4438634.46</v>
      </c>
      <c r="T27" s="117">
        <v>727</v>
      </c>
      <c r="U27" s="117">
        <v>3431338.2199999997</v>
      </c>
      <c r="V27" s="115">
        <f>S27+U27</f>
        <v>7869972.6799999997</v>
      </c>
      <c r="W27" s="126">
        <v>125.63332000000936</v>
      </c>
      <c r="X27" s="112"/>
      <c r="Y27" s="110"/>
      <c r="Z27" s="112"/>
      <c r="AA27" s="112"/>
      <c r="AB27" s="112">
        <v>24</v>
      </c>
      <c r="AC27" s="123">
        <f>W27+X27+Y27+Z27+AA27+AB27</f>
        <v>149.63332000000935</v>
      </c>
      <c r="AD27" s="110">
        <v>1866879.5314801184</v>
      </c>
      <c r="AE27" s="113"/>
      <c r="AF27" s="129">
        <v>587.08999999999651</v>
      </c>
      <c r="AG27" s="131">
        <v>0</v>
      </c>
      <c r="AH27" s="130">
        <f>AF27+AG27</f>
        <v>587.08999999999651</v>
      </c>
      <c r="AI27" s="133">
        <v>5577354.9999999665</v>
      </c>
      <c r="AJ27" s="21"/>
    </row>
    <row r="28" spans="1:36" ht="15">
      <c r="A28" s="19"/>
      <c r="B28" s="64">
        <v>22</v>
      </c>
      <c r="C28" s="65">
        <v>56</v>
      </c>
      <c r="D28" s="65">
        <v>601</v>
      </c>
      <c r="E28" s="124">
        <v>17719.9999999998</v>
      </c>
      <c r="F28" s="124">
        <v>19271722.679999784</v>
      </c>
      <c r="G28" s="111">
        <v>3919.9999999999591</v>
      </c>
      <c r="H28" s="111">
        <v>6394905.7199999345</v>
      </c>
      <c r="I28" s="105">
        <f>F28+H28</f>
        <v>25666628.399999719</v>
      </c>
      <c r="J28" s="158">
        <v>1700.0000000007276</v>
      </c>
      <c r="K28" s="158">
        <v>1848867.3000007914</v>
      </c>
      <c r="L28" s="120">
        <v>360.00000000012733</v>
      </c>
      <c r="M28" s="122">
        <v>587287.26000020781</v>
      </c>
      <c r="N28" s="107">
        <f>K28+M28</f>
        <v>2436154.5600009994</v>
      </c>
      <c r="O28" s="105">
        <f>I28+N28</f>
        <v>28102782.96000072</v>
      </c>
      <c r="P28" s="107">
        <f>E28+G28+J28+L28</f>
        <v>23700.000000000615</v>
      </c>
      <c r="Q28" s="123">
        <f>R28+T28</f>
        <v>986</v>
      </c>
      <c r="R28" s="124">
        <v>236</v>
      </c>
      <c r="S28" s="124">
        <v>4240962.4800000004</v>
      </c>
      <c r="T28" s="117">
        <v>750</v>
      </c>
      <c r="U28" s="117">
        <v>3539894.9999999995</v>
      </c>
      <c r="V28" s="115">
        <f>S28+U28</f>
        <v>7780857.4800000004</v>
      </c>
      <c r="W28" s="126">
        <v>131.71559999998826</v>
      </c>
      <c r="X28" s="112"/>
      <c r="Y28" s="110">
        <v>400</v>
      </c>
      <c r="Z28" s="112"/>
      <c r="AA28" s="112"/>
      <c r="AB28" s="112">
        <v>12</v>
      </c>
      <c r="AC28" s="123">
        <f>W28+X28+Y28+Z28+AA28+AB28</f>
        <v>543.71559999998829</v>
      </c>
      <c r="AD28" s="110">
        <v>7148253.4683998516</v>
      </c>
      <c r="AE28" s="113"/>
      <c r="AF28" s="129">
        <v>583.84999999999127</v>
      </c>
      <c r="AG28" s="131">
        <v>0</v>
      </c>
      <c r="AH28" s="130">
        <f>AF28+AG28</f>
        <v>583.84999999999127</v>
      </c>
      <c r="AI28" s="133">
        <v>5546574.9999999171</v>
      </c>
      <c r="AJ28" s="21"/>
    </row>
    <row r="29" spans="1:36" ht="15">
      <c r="A29" s="19"/>
      <c r="B29" s="81">
        <v>23</v>
      </c>
      <c r="C29" s="65">
        <v>49</v>
      </c>
      <c r="D29" s="65">
        <v>530</v>
      </c>
      <c r="E29" s="124">
        <v>18880.000000000109</v>
      </c>
      <c r="F29" s="124">
        <v>20533302.720000122</v>
      </c>
      <c r="G29" s="111">
        <v>3880.0000000000523</v>
      </c>
      <c r="H29" s="111">
        <v>6329651.5800000858</v>
      </c>
      <c r="I29" s="105">
        <f>F29+H29</f>
        <v>26862954.300000206</v>
      </c>
      <c r="J29" s="158">
        <v>1679.9999999993815</v>
      </c>
      <c r="K29" s="158">
        <v>1827115.9199993275</v>
      </c>
      <c r="L29" s="120">
        <v>399.99999999986358</v>
      </c>
      <c r="M29" s="122">
        <v>652541.39999977755</v>
      </c>
      <c r="N29" s="107">
        <f>K29+M29</f>
        <v>2479657.3199991053</v>
      </c>
      <c r="O29" s="105">
        <f>I29+N29</f>
        <v>29342611.619999312</v>
      </c>
      <c r="P29" s="107">
        <f>E29+G29+J29+L29</f>
        <v>24839.999999999403</v>
      </c>
      <c r="Q29" s="123">
        <f>R29+T29</f>
        <v>866.10000000000582</v>
      </c>
      <c r="R29" s="124">
        <v>245</v>
      </c>
      <c r="S29" s="124">
        <v>4402694.0999999996</v>
      </c>
      <c r="T29" s="117">
        <v>621.10000000000582</v>
      </c>
      <c r="U29" s="117">
        <v>2931505.0460000271</v>
      </c>
      <c r="V29" s="115">
        <f>S29+U29</f>
        <v>7334199.1460000267</v>
      </c>
      <c r="W29" s="126">
        <v>121.60532000000937</v>
      </c>
      <c r="X29" s="112"/>
      <c r="Y29" s="110"/>
      <c r="Z29" s="112">
        <v>50</v>
      </c>
      <c r="AA29" s="112"/>
      <c r="AB29" s="112">
        <v>12</v>
      </c>
      <c r="AC29" s="123">
        <f>W29+X29+Y29+Z29+AA29+AB29</f>
        <v>183.60532000000939</v>
      </c>
      <c r="AD29" s="110">
        <v>2344469.6394801186</v>
      </c>
      <c r="AE29" s="113"/>
      <c r="AF29" s="129">
        <v>590.45000000001164</v>
      </c>
      <c r="AG29" s="131">
        <v>0</v>
      </c>
      <c r="AH29" s="130">
        <f>AF29+AG29</f>
        <v>590.45000000001164</v>
      </c>
      <c r="AI29" s="133">
        <v>5609275.0000001108</v>
      </c>
      <c r="AJ29" s="21"/>
    </row>
    <row r="30" spans="1:36" ht="15">
      <c r="A30" s="19"/>
      <c r="B30" s="64">
        <v>24</v>
      </c>
      <c r="C30" s="65">
        <v>44</v>
      </c>
      <c r="D30" s="65">
        <v>473</v>
      </c>
      <c r="E30" s="124">
        <v>18159.999999999854</v>
      </c>
      <c r="F30" s="124">
        <v>19750253.039999843</v>
      </c>
      <c r="G30" s="111">
        <v>3839.999999999975</v>
      </c>
      <c r="H30" s="111">
        <v>6264397.4399999604</v>
      </c>
      <c r="I30" s="105">
        <f>F30+H30</f>
        <v>26014650.479999803</v>
      </c>
      <c r="J30" s="158">
        <v>1380.0000000001091</v>
      </c>
      <c r="K30" s="158">
        <v>1500845.2200001187</v>
      </c>
      <c r="L30" s="120">
        <v>300.0000000001819</v>
      </c>
      <c r="M30" s="122">
        <v>489406.05000029679</v>
      </c>
      <c r="N30" s="107">
        <f>K30+M30</f>
        <v>1990251.2700004154</v>
      </c>
      <c r="O30" s="105">
        <f>I30+N30</f>
        <v>28004901.75000022</v>
      </c>
      <c r="P30" s="107">
        <f>E30+G30+J30+L30</f>
        <v>23680.00000000012</v>
      </c>
      <c r="Q30" s="123">
        <f>R30+T30</f>
        <v>688.59999999999127</v>
      </c>
      <c r="R30" s="124">
        <v>234</v>
      </c>
      <c r="S30" s="124">
        <v>4205022.12</v>
      </c>
      <c r="T30" s="117">
        <v>454.59999999999127</v>
      </c>
      <c r="U30" s="117">
        <v>2145648.3559999587</v>
      </c>
      <c r="V30" s="115">
        <f>S30+U30</f>
        <v>6350670.4759999588</v>
      </c>
      <c r="W30" s="126">
        <v>121.20251999998592</v>
      </c>
      <c r="X30" s="112"/>
      <c r="Y30" s="110"/>
      <c r="Z30" s="112"/>
      <c r="AA30" s="112"/>
      <c r="AB30" s="112">
        <v>0</v>
      </c>
      <c r="AC30" s="123">
        <f>W30+X30+Y30+Z30+AA30+AB30</f>
        <v>121.20251999998592</v>
      </c>
      <c r="AD30" s="110">
        <v>1531878.6502798221</v>
      </c>
      <c r="AE30" s="113"/>
      <c r="AF30" s="129">
        <v>483.19999999999709</v>
      </c>
      <c r="AG30" s="131">
        <v>9.9999999999909051E-2</v>
      </c>
      <c r="AH30" s="130">
        <f>AF30+AG30</f>
        <v>483.299999999997</v>
      </c>
      <c r="AI30" s="133">
        <v>4591349.9999999711</v>
      </c>
      <c r="AJ30" s="21"/>
    </row>
    <row r="31" spans="1:36" ht="15">
      <c r="A31" s="19"/>
      <c r="B31" s="81">
        <v>25</v>
      </c>
      <c r="C31" s="65">
        <v>47</v>
      </c>
      <c r="D31" s="65">
        <v>349</v>
      </c>
      <c r="E31" s="124">
        <v>17480.000000000018</v>
      </c>
      <c r="F31" s="124">
        <v>19010706.12000002</v>
      </c>
      <c r="G31" s="111">
        <v>3840.0000000000318</v>
      </c>
      <c r="H31" s="111">
        <v>6264397.4400000526</v>
      </c>
      <c r="I31" s="105">
        <f>F31+H31</f>
        <v>25275103.560000073</v>
      </c>
      <c r="J31" s="158">
        <v>1619.9999999998909</v>
      </c>
      <c r="K31" s="158">
        <v>1761861.7799998813</v>
      </c>
      <c r="L31" s="120">
        <v>359.99999999989996</v>
      </c>
      <c r="M31" s="122">
        <v>587287.2599998368</v>
      </c>
      <c r="N31" s="107">
        <f>K31+M31</f>
        <v>2349149.0399997178</v>
      </c>
      <c r="O31" s="105">
        <f>I31+N31</f>
        <v>27624252.599999793</v>
      </c>
      <c r="P31" s="107">
        <f>E31+G31+J31+L31</f>
        <v>23299.99999999984</v>
      </c>
      <c r="Q31" s="123">
        <f>R31+T31</f>
        <v>883.30000000000291</v>
      </c>
      <c r="R31" s="124">
        <v>249</v>
      </c>
      <c r="S31" s="124">
        <v>4474574.82</v>
      </c>
      <c r="T31" s="117">
        <v>634.30000000000291</v>
      </c>
      <c r="U31" s="117">
        <v>2993807.1980000134</v>
      </c>
      <c r="V31" s="115">
        <f>S31+U31</f>
        <v>7468382.0180000141</v>
      </c>
      <c r="W31" s="126">
        <v>103.64043999998357</v>
      </c>
      <c r="X31" s="112">
        <v>250</v>
      </c>
      <c r="Y31" s="110"/>
      <c r="Z31" s="112"/>
      <c r="AA31" s="112"/>
      <c r="AB31" s="112">
        <v>12</v>
      </c>
      <c r="AC31" s="123">
        <f>W31+X31+Y31+Z31+AA31+AB31</f>
        <v>365.64043999998358</v>
      </c>
      <c r="AD31" s="110">
        <v>4789411.5211597923</v>
      </c>
      <c r="AE31" s="113"/>
      <c r="AF31" s="129">
        <v>366.55000000000291</v>
      </c>
      <c r="AG31" s="131">
        <v>0</v>
      </c>
      <c r="AH31" s="130">
        <f>AF31+AG31</f>
        <v>366.55000000000291</v>
      </c>
      <c r="AI31" s="133">
        <v>3482225.0000000275</v>
      </c>
      <c r="AJ31" s="21"/>
    </row>
    <row r="32" spans="1:36" ht="15">
      <c r="A32" s="19"/>
      <c r="B32" s="64">
        <v>26</v>
      </c>
      <c r="C32" s="65">
        <v>46</v>
      </c>
      <c r="D32" s="65">
        <v>395</v>
      </c>
      <c r="E32" s="124">
        <v>14440.000000000055</v>
      </c>
      <c r="F32" s="124">
        <v>15704496.360000061</v>
      </c>
      <c r="G32" s="111">
        <v>3719.9999999999136</v>
      </c>
      <c r="H32" s="111">
        <v>6068635.0199998599</v>
      </c>
      <c r="I32" s="105">
        <f>F32+H32</f>
        <v>21773131.379999921</v>
      </c>
      <c r="J32" s="158">
        <v>1579.9999999999272</v>
      </c>
      <c r="K32" s="158">
        <v>1718359.0199999211</v>
      </c>
      <c r="L32" s="120">
        <v>359.99999999989996</v>
      </c>
      <c r="M32" s="122">
        <v>587287.2599998368</v>
      </c>
      <c r="N32" s="107">
        <f>K32+M32</f>
        <v>2305646.2799997581</v>
      </c>
      <c r="O32" s="105">
        <f>I32+N32</f>
        <v>24078777.65999968</v>
      </c>
      <c r="P32" s="107">
        <f>E32+G32+J32+L32</f>
        <v>20099.999999999796</v>
      </c>
      <c r="Q32" s="123">
        <f>R32+T32</f>
        <v>965</v>
      </c>
      <c r="R32" s="124">
        <v>227</v>
      </c>
      <c r="S32" s="124">
        <v>4079230.86</v>
      </c>
      <c r="T32" s="117">
        <v>738</v>
      </c>
      <c r="U32" s="117">
        <v>3483256.6799999997</v>
      </c>
      <c r="V32" s="115">
        <f>S32+U32</f>
        <v>7562487.5399999991</v>
      </c>
      <c r="W32" s="126">
        <v>84.306040000030478</v>
      </c>
      <c r="X32" s="112"/>
      <c r="Y32" s="110"/>
      <c r="Z32" s="112"/>
      <c r="AA32" s="112"/>
      <c r="AB32" s="112">
        <v>12</v>
      </c>
      <c r="AC32" s="123">
        <f>W32+X32+Y32+Z32+AA32+AB32</f>
        <v>96.306040000030478</v>
      </c>
      <c r="AD32" s="110">
        <v>1205044.0395603853</v>
      </c>
      <c r="AE32" s="113"/>
      <c r="AF32" s="129">
        <v>513.02999999999884</v>
      </c>
      <c r="AG32" s="131">
        <v>37.200000000000273</v>
      </c>
      <c r="AH32" s="130">
        <f>AF32+AG32</f>
        <v>550.22999999999911</v>
      </c>
      <c r="AI32" s="133">
        <v>5227184.9999999916</v>
      </c>
      <c r="AJ32" s="21"/>
    </row>
    <row r="33" spans="1:36" ht="15">
      <c r="A33" s="19"/>
      <c r="B33" s="81">
        <v>27</v>
      </c>
      <c r="C33" s="65">
        <v>47</v>
      </c>
      <c r="D33" s="65">
        <v>459</v>
      </c>
      <c r="E33" s="124">
        <v>21400.000000000091</v>
      </c>
      <c r="F33" s="124">
        <v>23273976.600000098</v>
      </c>
      <c r="G33" s="111">
        <v>3760.0000000001046</v>
      </c>
      <c r="H33" s="111">
        <v>6133889.1600001715</v>
      </c>
      <c r="I33" s="105">
        <f>F33+H33</f>
        <v>29407865.76000027</v>
      </c>
      <c r="J33" s="158">
        <v>1600.0000000003638</v>
      </c>
      <c r="K33" s="158">
        <v>1740110.4000003957</v>
      </c>
      <c r="L33" s="120">
        <v>380.00000000010914</v>
      </c>
      <c r="M33" s="122">
        <v>619914.33000017807</v>
      </c>
      <c r="N33" s="107">
        <f>K33+M33</f>
        <v>2360024.7300005737</v>
      </c>
      <c r="O33" s="105">
        <f>I33+N33</f>
        <v>31767890.490000844</v>
      </c>
      <c r="P33" s="107">
        <f>E33+G33+J33+L33</f>
        <v>27140.000000000669</v>
      </c>
      <c r="Q33" s="123">
        <f>R33+T33</f>
        <v>656</v>
      </c>
      <c r="R33" s="124">
        <v>192</v>
      </c>
      <c r="S33" s="124">
        <v>3450274.56</v>
      </c>
      <c r="T33" s="117">
        <v>464</v>
      </c>
      <c r="U33" s="117">
        <v>2190015.04</v>
      </c>
      <c r="V33" s="115">
        <f>S33+U33</f>
        <v>5640289.5999999996</v>
      </c>
      <c r="W33" s="126">
        <v>103.76127999997888</v>
      </c>
      <c r="X33" s="112"/>
      <c r="Y33" s="110">
        <v>400</v>
      </c>
      <c r="Z33" s="112"/>
      <c r="AA33" s="112"/>
      <c r="AB33" s="112">
        <v>0</v>
      </c>
      <c r="AC33" s="123">
        <f>W33+X33+Y33+Z33+AA33+AB33</f>
        <v>503.76127999997891</v>
      </c>
      <c r="AD33" s="110">
        <v>6655438.817919733</v>
      </c>
      <c r="AE33" s="113"/>
      <c r="AF33" s="129">
        <v>669.31999999999243</v>
      </c>
      <c r="AG33" s="131">
        <v>5.2999999999997272</v>
      </c>
      <c r="AH33" s="130">
        <f>AF33+AG33</f>
        <v>674.61999999999216</v>
      </c>
      <c r="AI33" s="133">
        <v>6408889.9999999255</v>
      </c>
      <c r="AJ33" s="21"/>
    </row>
    <row r="34" spans="1:36" ht="15">
      <c r="A34" s="19"/>
      <c r="B34" s="64">
        <v>28</v>
      </c>
      <c r="C34" s="65">
        <v>86</v>
      </c>
      <c r="D34" s="65">
        <v>466</v>
      </c>
      <c r="E34" s="124">
        <v>17880.000000000109</v>
      </c>
      <c r="F34" s="124">
        <v>19445733.720000122</v>
      </c>
      <c r="G34" s="111">
        <v>4000</v>
      </c>
      <c r="H34" s="111">
        <v>6525414</v>
      </c>
      <c r="I34" s="105">
        <f>F34+H34</f>
        <v>25971147.720000122</v>
      </c>
      <c r="J34" s="158">
        <v>1460.0000000000364</v>
      </c>
      <c r="K34" s="158">
        <v>1587850.7400000396</v>
      </c>
      <c r="L34" s="120">
        <v>359.99999999989996</v>
      </c>
      <c r="M34" s="122">
        <v>587287.2599998368</v>
      </c>
      <c r="N34" s="107">
        <f>K34+M34</f>
        <v>2175137.9999998761</v>
      </c>
      <c r="O34" s="105">
        <f>I34+N34</f>
        <v>28146285.719999999</v>
      </c>
      <c r="P34" s="107">
        <f>E34+G34+J34+L34</f>
        <v>23700.000000000044</v>
      </c>
      <c r="Q34" s="123">
        <f>R34+T34</f>
        <v>1013</v>
      </c>
      <c r="R34" s="124">
        <v>227</v>
      </c>
      <c r="S34" s="124">
        <v>4079230.86</v>
      </c>
      <c r="T34" s="117">
        <v>786</v>
      </c>
      <c r="U34" s="117">
        <v>3709809.96</v>
      </c>
      <c r="V34" s="115">
        <f>S34+U34</f>
        <v>7789040.8200000003</v>
      </c>
      <c r="W34" s="126">
        <v>104.00295999996951</v>
      </c>
      <c r="X34" s="112"/>
      <c r="Y34" s="110"/>
      <c r="Z34" s="112">
        <v>50</v>
      </c>
      <c r="AA34" s="112"/>
      <c r="AB34" s="112">
        <v>12</v>
      </c>
      <c r="AC34" s="123">
        <f>W34+X34+Y34+Z34+AA34+AB34</f>
        <v>166.00295999996951</v>
      </c>
      <c r="AD34" s="110">
        <v>2121993.4114396144</v>
      </c>
      <c r="AE34" s="113"/>
      <c r="AF34" s="129">
        <v>425.38000000000466</v>
      </c>
      <c r="AG34" s="131">
        <v>0</v>
      </c>
      <c r="AH34" s="130">
        <f>AF34+AG34</f>
        <v>425.38000000000466</v>
      </c>
      <c r="AI34" s="133">
        <v>4041110.0000000442</v>
      </c>
      <c r="AJ34" s="21"/>
    </row>
    <row r="35" spans="1:36" ht="15">
      <c r="A35" s="19"/>
      <c r="B35" s="81">
        <v>29</v>
      </c>
      <c r="C35" s="65">
        <v>93</v>
      </c>
      <c r="D35" s="65">
        <v>590</v>
      </c>
      <c r="E35" s="124">
        <v>18199.999999999818</v>
      </c>
      <c r="F35" s="124">
        <v>19793755.7999998</v>
      </c>
      <c r="G35" s="111">
        <v>4000</v>
      </c>
      <c r="H35" s="111">
        <v>6525414</v>
      </c>
      <c r="I35" s="105">
        <f>F35+H35</f>
        <v>26319169.7999998</v>
      </c>
      <c r="J35" s="158">
        <v>1539.9999999999636</v>
      </c>
      <c r="K35" s="158">
        <v>1674856.2599999604</v>
      </c>
      <c r="L35" s="120">
        <v>360.00000000012733</v>
      </c>
      <c r="M35" s="122">
        <v>587287.26000020781</v>
      </c>
      <c r="N35" s="107">
        <f>K35+M35</f>
        <v>2262143.5200001681</v>
      </c>
      <c r="O35" s="105">
        <f>I35+N35</f>
        <v>28581313.319999967</v>
      </c>
      <c r="P35" s="107">
        <f>E35+G35+J35+L35</f>
        <v>24099.999999999909</v>
      </c>
      <c r="Q35" s="123">
        <f>R35+T35</f>
        <v>940</v>
      </c>
      <c r="R35" s="124">
        <v>244</v>
      </c>
      <c r="S35" s="124">
        <v>4384723.92</v>
      </c>
      <c r="T35" s="117">
        <v>696</v>
      </c>
      <c r="U35" s="117">
        <v>3285022.5599999996</v>
      </c>
      <c r="V35" s="115">
        <f>S35+U35</f>
        <v>7669746.4799999995</v>
      </c>
      <c r="W35" s="126">
        <v>100.21664000001874</v>
      </c>
      <c r="X35" s="112"/>
      <c r="Y35" s="110"/>
      <c r="Z35" s="112"/>
      <c r="AA35" s="112"/>
      <c r="AB35" s="112">
        <v>12</v>
      </c>
      <c r="AC35" s="123">
        <f>W35+X35+Y35+Z35+AA35+AB35</f>
        <v>112.21664000001874</v>
      </c>
      <c r="AD35" s="110">
        <v>1406138.1129602368</v>
      </c>
      <c r="AE35" s="113"/>
      <c r="AF35" s="129">
        <v>620.86999999999534</v>
      </c>
      <c r="AG35" s="131">
        <v>4.4000000000005457</v>
      </c>
      <c r="AH35" s="130">
        <f>AF35+AG35</f>
        <v>625.26999999999589</v>
      </c>
      <c r="AI35" s="133">
        <v>5940064.9999999609</v>
      </c>
      <c r="AJ35" s="21"/>
    </row>
    <row r="36" spans="1:36" ht="15">
      <c r="A36" s="19"/>
      <c r="B36" s="64">
        <v>30</v>
      </c>
      <c r="C36" s="65">
        <v>73</v>
      </c>
      <c r="D36" s="65">
        <v>751</v>
      </c>
      <c r="E36" s="124">
        <v>29320.000000000164</v>
      </c>
      <c r="F36" s="124">
        <v>31887523.080000181</v>
      </c>
      <c r="G36" s="111">
        <v>4120.0000000000045</v>
      </c>
      <c r="H36" s="111">
        <v>6721176.4200000083</v>
      </c>
      <c r="I36" s="105">
        <f>F36+H36</f>
        <v>38608699.500000186</v>
      </c>
      <c r="J36" s="158">
        <v>2239.9999999997817</v>
      </c>
      <c r="K36" s="158">
        <v>2436154.5599997626</v>
      </c>
      <c r="L36" s="120">
        <v>379.99999999988177</v>
      </c>
      <c r="M36" s="122">
        <v>619914.32999980706</v>
      </c>
      <c r="N36" s="107">
        <f>K36+M36</f>
        <v>3056068.8899995694</v>
      </c>
      <c r="O36" s="105">
        <f>I36+N36</f>
        <v>41664768.389999755</v>
      </c>
      <c r="P36" s="107">
        <f>E36+G36+J36+L36</f>
        <v>36059.999999999833</v>
      </c>
      <c r="Q36" s="123">
        <f>R36+T36</f>
        <v>977.39999999999418</v>
      </c>
      <c r="R36" s="124">
        <v>215</v>
      </c>
      <c r="S36" s="124">
        <v>3863588.7</v>
      </c>
      <c r="T36" s="117">
        <v>762.39999999999418</v>
      </c>
      <c r="U36" s="117">
        <v>3598421.2639999725</v>
      </c>
      <c r="V36" s="115">
        <f>S36+U36</f>
        <v>7462009.9639999727</v>
      </c>
      <c r="W36" s="126">
        <v>108.07124000000702</v>
      </c>
      <c r="X36" s="112">
        <v>250</v>
      </c>
      <c r="Y36" s="110"/>
      <c r="Z36" s="112"/>
      <c r="AA36" s="112"/>
      <c r="AB36" s="112">
        <v>36</v>
      </c>
      <c r="AC36" s="123">
        <f>W36+X36+Y36+Z36+AA36+AB36</f>
        <v>394.07124000000704</v>
      </c>
      <c r="AD36" s="110">
        <v>5124412.4023600891</v>
      </c>
      <c r="AE36" s="113"/>
      <c r="AF36" s="129">
        <v>492.47000000000116</v>
      </c>
      <c r="AG36" s="131">
        <v>0</v>
      </c>
      <c r="AH36" s="130">
        <f>AF36+AG36</f>
        <v>492.47000000000116</v>
      </c>
      <c r="AI36" s="133">
        <v>4678465.0000000112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1957</v>
      </c>
      <c r="D42" s="134">
        <f>SUM(D7:D36)</f>
        <v>15409</v>
      </c>
      <c r="E42" s="135">
        <f>SUM(E7:E36)</f>
        <v>525160.00000000012</v>
      </c>
      <c r="F42" s="135">
        <f>SUM(F7:F36)</f>
        <v>571147736.0400002</v>
      </c>
      <c r="G42" s="135">
        <f>SUM(G7:G36)</f>
        <v>111960.00000000001</v>
      </c>
      <c r="H42" s="135">
        <f>SUM(H7:H36)</f>
        <v>182646337.8600001</v>
      </c>
      <c r="I42" s="135">
        <f>SUM(I7:I36)</f>
        <v>753794073.90000033</v>
      </c>
      <c r="J42" s="135">
        <f>SUM(J7:J36)</f>
        <v>48260.000000000218</v>
      </c>
      <c r="K42" s="135">
        <f>SUM(K7:K36)</f>
        <v>52486079.940000251</v>
      </c>
      <c r="L42" s="135">
        <f>SUM(L7:L36)</f>
        <v>11619.999999999891</v>
      </c>
      <c r="M42" s="135">
        <f>SUM(M7:M36)</f>
        <v>18956327.669999827</v>
      </c>
      <c r="N42" s="135">
        <f>SUM(N7:N36)</f>
        <v>71442407.610000044</v>
      </c>
      <c r="O42" s="136">
        <f>SUM(O7:O36)</f>
        <v>825236481.51000035</v>
      </c>
      <c r="P42" s="137">
        <f>SUM(P7:P36)</f>
        <v>697000.00000000035</v>
      </c>
      <c r="Q42" s="138">
        <f>SUM(Q7:Q36)</f>
        <v>19230.399999999994</v>
      </c>
      <c r="R42" s="135">
        <f>SUM(R7:R36)</f>
        <v>5293</v>
      </c>
      <c r="S42" s="135">
        <f>SUM(S7:S36)</f>
        <v>95116162.74000001</v>
      </c>
      <c r="T42" s="135">
        <f>SUM(T7:T36)</f>
        <v>13937.399999999994</v>
      </c>
      <c r="U42" s="135">
        <f>SUM(U7:U36)</f>
        <v>65782576.763999969</v>
      </c>
      <c r="V42" s="139">
        <f>SUM(V8:V37)</f>
        <v>155337736.80399999</v>
      </c>
      <c r="W42" s="140">
        <f>SUM(W7:W36)</f>
        <v>3383.1172000000342</v>
      </c>
      <c r="X42" s="135">
        <f>SUM(X7:X36)</f>
        <v>1500</v>
      </c>
      <c r="Y42" s="135">
        <f>SUM(Y7:Y36)</f>
        <v>2400</v>
      </c>
      <c r="Z42" s="135">
        <f>SUM(Z7:Z36)</f>
        <v>250</v>
      </c>
      <c r="AA42" s="135">
        <f>SUM(AA7:AA36)</f>
        <v>0</v>
      </c>
      <c r="AB42" s="135">
        <f>SUM(AB7:AB36)</f>
        <v>348</v>
      </c>
      <c r="AC42" s="141">
        <f>SUM(AC7:AC36)</f>
        <v>7881.1172000000352</v>
      </c>
      <c r="AD42" s="141">
        <f>SUM(AD7:AD36)</f>
        <v>102248718.29080042</v>
      </c>
      <c r="AE42" s="142">
        <f>SUM(AE8:AE38)</f>
        <v>0</v>
      </c>
      <c r="AF42" s="135">
        <f>SUM(AF7:AF36)</f>
        <v>16663.72</v>
      </c>
      <c r="AG42" s="135">
        <f>SUM(AG7:AG36)</f>
        <v>5454.0999999999995</v>
      </c>
      <c r="AH42" s="143">
        <f>SUM(AH7:AH36)</f>
        <v>22117.82</v>
      </c>
      <c r="AI42" s="143">
        <f>SUM(AI7:AI36)</f>
        <v>210119290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1183.9834741893831</v>
      </c>
      <c r="Q44" s="43"/>
      <c r="R44" s="43"/>
      <c r="S44" s="43"/>
      <c r="T44" s="36"/>
      <c r="U44" s="36"/>
      <c r="V44" s="43">
        <f>V42/Q42</f>
        <v>8077.7174059821964</v>
      </c>
      <c r="W44" s="43"/>
      <c r="X44" s="36"/>
      <c r="Y44" s="43"/>
      <c r="Z44" s="43"/>
      <c r="AA44" s="43"/>
      <c r="AB44" s="43"/>
      <c r="AC44" s="36"/>
      <c r="AD44" s="36">
        <f>AD42/AC42</f>
        <v>12973.886277290732</v>
      </c>
      <c r="AE44" s="40"/>
      <c r="AF44" s="40"/>
      <c r="AG44" s="40"/>
      <c r="AH44" s="40"/>
      <c r="AI44" s="43">
        <f>AI42/AH42</f>
        <v>9500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