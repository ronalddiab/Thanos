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16" l="1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T31" i="18" l="1"/>
  <c r="Y31" s="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<sst xmlns="http://schemas.openxmlformats.org/spreadsheetml/2006/main" count="562" uniqueCount="336">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</sst>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0039296"/>
        <c:axId val="800451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0046720"/>
        <c:axId val="80064896"/>
      </c:lineChart>
      <c:catAx>
        <c:axId val="800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45184"/>
        <c:crosses val="autoZero"/>
        <c:auto val="1"/>
        <c:lblAlgn val="ctr"/>
        <c:lblOffset val="100"/>
      </c:catAx>
      <c:valAx>
        <c:axId val="800451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39296"/>
        <c:crosses val="autoZero"/>
        <c:crossBetween val="between"/>
        <c:majorUnit val="200"/>
      </c:valAx>
      <c:catAx>
        <c:axId val="80046720"/>
        <c:scaling>
          <c:orientation val="minMax"/>
        </c:scaling>
        <c:delete val="1"/>
        <c:axPos val="b"/>
        <c:tickLblPos val="none"/>
        <c:crossAx val="80064896"/>
        <c:crosses val="autoZero"/>
        <c:auto val="1"/>
        <c:lblAlgn val="ctr"/>
        <c:lblOffset val="100"/>
      </c:catAx>
      <c:valAx>
        <c:axId val="80064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46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0754176"/>
        <c:axId val="807557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0757504"/>
        <c:axId val="80759040"/>
      </c:lineChart>
      <c:catAx>
        <c:axId val="8075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5712"/>
        <c:crosses val="autoZero"/>
        <c:auto val="1"/>
        <c:lblAlgn val="ctr"/>
        <c:lblOffset val="100"/>
      </c:catAx>
      <c:valAx>
        <c:axId val="8075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4176"/>
        <c:crosses val="autoZero"/>
        <c:crossBetween val="between"/>
        <c:majorUnit val="200"/>
      </c:valAx>
      <c:catAx>
        <c:axId val="80757504"/>
        <c:scaling>
          <c:orientation val="minMax"/>
        </c:scaling>
        <c:delete val="1"/>
        <c:axPos val="b"/>
        <c:tickLblPos val="none"/>
        <c:crossAx val="80759040"/>
        <c:crosses val="autoZero"/>
        <c:auto val="1"/>
        <c:lblAlgn val="ctr"/>
        <c:lblOffset val="100"/>
      </c:catAx>
      <c:valAx>
        <c:axId val="80759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7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386112"/>
        <c:axId val="81133952"/>
      </c:lineChart>
      <c:catAx>
        <c:axId val="8138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33952"/>
        <c:crosses val="autoZero"/>
        <c:auto val="1"/>
        <c:lblAlgn val="ctr"/>
        <c:lblOffset val="200"/>
        <c:tickLblSkip val="1"/>
      </c:catAx>
      <c:valAx>
        <c:axId val="81133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8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170816"/>
        <c:axId val="81172352"/>
      </c:lineChart>
      <c:catAx>
        <c:axId val="811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72352"/>
        <c:crosses val="autoZero"/>
        <c:auto val="1"/>
        <c:lblAlgn val="ctr"/>
        <c:lblOffset val="100"/>
      </c:catAx>
      <c:valAx>
        <c:axId val="81172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7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1196928"/>
        <c:axId val="82071552"/>
      </c:lineChart>
      <c:catAx>
        <c:axId val="81196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071552"/>
        <c:crosses val="autoZero"/>
        <c:auto val="1"/>
        <c:lblAlgn val="ctr"/>
        <c:lblOffset val="100"/>
      </c:catAx>
      <c:valAx>
        <c:axId val="82071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96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256256"/>
        <c:axId val="82258176"/>
      </c:lineChart>
      <c:catAx>
        <c:axId val="82256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58176"/>
        <c:crosses val="autoZero"/>
        <c:auto val="1"/>
        <c:lblAlgn val="ctr"/>
        <c:lblOffset val="100"/>
      </c:catAx>
      <c:valAx>
        <c:axId val="822581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56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-334189.46000000002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279040"/>
        <c:axId val="82297216"/>
      </c:lineChart>
      <c:catAx>
        <c:axId val="8227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97216"/>
        <c:crosses val="autoZero"/>
        <c:auto val="1"/>
        <c:lblAlgn val="ctr"/>
        <c:lblOffset val="100"/>
      </c:catAx>
      <c:valAx>
        <c:axId val="8229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7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113088"/>
        <c:axId val="83114624"/>
      </c:lineChart>
      <c:catAx>
        <c:axId val="8311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4624"/>
        <c:crosses val="autoZero"/>
        <c:auto val="1"/>
        <c:lblAlgn val="ctr"/>
        <c:lblOffset val="100"/>
      </c:catAx>
      <c:valAx>
        <c:axId val="8311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159296"/>
        <c:axId val="121962496"/>
      </c:lineChart>
      <c:catAx>
        <c:axId val="8315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62496"/>
        <c:crosses val="autoZero"/>
        <c:auto val="1"/>
        <c:lblAlgn val="ctr"/>
        <c:lblOffset val="100"/>
      </c:catAx>
      <c:valAx>
        <c:axId val="12196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057"/>
          <c:y val="7.47132470511208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21999360"/>
        <c:axId val="122000896"/>
      </c:lineChart>
      <c:catAx>
        <c:axId val="12199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0896"/>
        <c:crosses val="autoZero"/>
        <c:auto val="1"/>
        <c:lblAlgn val="ctr"/>
        <c:lblOffset val="200"/>
        <c:tickLblSkip val="1"/>
      </c:catAx>
      <c:valAx>
        <c:axId val="122000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634048"/>
        <c:axId val="83635584"/>
      </c:lineChart>
      <c:catAx>
        <c:axId val="8363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5584"/>
        <c:crosses val="autoZero"/>
        <c:auto val="1"/>
        <c:lblAlgn val="ctr"/>
        <c:lblOffset val="100"/>
      </c:catAx>
      <c:valAx>
        <c:axId val="8363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647872"/>
        <c:axId val="83437056"/>
      </c:lineChart>
      <c:catAx>
        <c:axId val="8364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7056"/>
        <c:crosses val="autoZero"/>
        <c:auto val="1"/>
        <c:lblAlgn val="ctr"/>
        <c:lblOffset val="100"/>
      </c:catAx>
      <c:valAx>
        <c:axId val="83437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47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474304"/>
        <c:axId val="84025344"/>
      </c:lineChart>
      <c:catAx>
        <c:axId val="83474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25344"/>
        <c:crosses val="autoZero"/>
        <c:auto val="1"/>
        <c:lblAlgn val="ctr"/>
        <c:lblOffset val="100"/>
      </c:catAx>
      <c:valAx>
        <c:axId val="840253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43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050304"/>
        <c:axId val="84051840"/>
      </c:lineChart>
      <c:catAx>
        <c:axId val="840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1840"/>
        <c:crosses val="autoZero"/>
        <c:auto val="1"/>
        <c:lblAlgn val="ctr"/>
        <c:lblOffset val="100"/>
      </c:catAx>
      <c:valAx>
        <c:axId val="8405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081280"/>
        <c:axId val="84234624"/>
      </c:lineChart>
      <c:catAx>
        <c:axId val="840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4624"/>
        <c:crosses val="autoZero"/>
        <c:auto val="1"/>
        <c:lblAlgn val="ctr"/>
        <c:lblOffset val="100"/>
      </c:catAx>
      <c:valAx>
        <c:axId val="842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4254720"/>
        <c:axId val="84256256"/>
      </c:lineChart>
      <c:catAx>
        <c:axId val="842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6256"/>
        <c:crosses val="autoZero"/>
        <c:auto val="1"/>
        <c:lblAlgn val="ctr"/>
        <c:lblOffset val="100"/>
      </c:catAx>
      <c:valAx>
        <c:axId val="8425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434"/>
          <c:y val="7.47132470511212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5011072"/>
        <c:axId val="850210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5022592"/>
        <c:axId val="85024128"/>
      </c:lineChart>
      <c:catAx>
        <c:axId val="850110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1056"/>
        <c:crosses val="autoZero"/>
        <c:lblAlgn val="ctr"/>
        <c:lblOffset val="100"/>
        <c:tickMarkSkip val="1"/>
      </c:catAx>
      <c:valAx>
        <c:axId val="850210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1072"/>
        <c:crosses val="autoZero"/>
        <c:crossBetween val="between"/>
      </c:valAx>
      <c:catAx>
        <c:axId val="85022592"/>
        <c:scaling>
          <c:orientation val="minMax"/>
        </c:scaling>
        <c:delete val="1"/>
        <c:axPos val="b"/>
        <c:numFmt formatCode="[$-409]d\-mmm\-yy;@" sourceLinked="1"/>
        <c:tickLblPos val="none"/>
        <c:crossAx val="85024128"/>
        <c:crosses val="autoZero"/>
        <c:lblAlgn val="ctr"/>
        <c:lblOffset val="100"/>
      </c:catAx>
      <c:valAx>
        <c:axId val="850241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2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4745600"/>
        <c:axId val="84755584"/>
      </c:lineChart>
      <c:catAx>
        <c:axId val="847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55584"/>
        <c:crosses val="autoZero"/>
        <c:auto val="1"/>
        <c:lblAlgn val="ctr"/>
        <c:lblOffset val="100"/>
      </c:catAx>
      <c:valAx>
        <c:axId val="8475558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4784256"/>
        <c:axId val="84785792"/>
      </c:lineChart>
      <c:catAx>
        <c:axId val="8478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5792"/>
        <c:crosses val="autoZero"/>
        <c:auto val="1"/>
        <c:lblAlgn val="ctr"/>
        <c:lblOffset val="100"/>
      </c:catAx>
      <c:valAx>
        <c:axId val="847857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0966784"/>
        <c:axId val="809683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0990592"/>
        <c:axId val="80992128"/>
      </c:lineChart>
      <c:catAx>
        <c:axId val="80966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68320"/>
        <c:crosses val="autoZero"/>
        <c:lblAlgn val="ctr"/>
        <c:lblOffset val="100"/>
        <c:tickMarkSkip val="1"/>
      </c:catAx>
      <c:valAx>
        <c:axId val="8096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66784"/>
        <c:crosses val="autoZero"/>
        <c:crossBetween val="between"/>
      </c:valAx>
      <c:catAx>
        <c:axId val="80990592"/>
        <c:scaling>
          <c:orientation val="minMax"/>
        </c:scaling>
        <c:delete val="1"/>
        <c:axPos val="b"/>
        <c:numFmt formatCode="General" sourceLinked="1"/>
        <c:tickLblPos val="none"/>
        <c:crossAx val="80992128"/>
        <c:crosses val="autoZero"/>
        <c:lblAlgn val="ctr"/>
        <c:lblOffset val="100"/>
      </c:catAx>
      <c:valAx>
        <c:axId val="80992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90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119360"/>
        <c:axId val="87120896"/>
      </c:lineChart>
      <c:catAx>
        <c:axId val="8711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20896"/>
        <c:crosses val="autoZero"/>
        <c:auto val="1"/>
        <c:lblAlgn val="ctr"/>
        <c:lblOffset val="100"/>
      </c:catAx>
      <c:valAx>
        <c:axId val="8712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7149568"/>
        <c:axId val="87491328"/>
      </c:lineChart>
      <c:catAx>
        <c:axId val="8714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91328"/>
        <c:crosses val="autoZero"/>
        <c:auto val="1"/>
        <c:lblAlgn val="ctr"/>
        <c:lblOffset val="100"/>
      </c:catAx>
      <c:valAx>
        <c:axId val="8749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4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7743104"/>
        <c:axId val="877530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7754624"/>
        <c:axId val="87756160"/>
      </c:lineChart>
      <c:catAx>
        <c:axId val="87743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3088"/>
        <c:crosses val="autoZero"/>
        <c:lblAlgn val="ctr"/>
        <c:lblOffset val="100"/>
        <c:tickMarkSkip val="1"/>
      </c:catAx>
      <c:valAx>
        <c:axId val="87753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43104"/>
        <c:crosses val="autoZero"/>
        <c:crossBetween val="between"/>
      </c:valAx>
      <c:catAx>
        <c:axId val="87754624"/>
        <c:scaling>
          <c:orientation val="minMax"/>
        </c:scaling>
        <c:delete val="1"/>
        <c:axPos val="b"/>
        <c:numFmt formatCode="[$-409]d\-mmm\-yy;@" sourceLinked="1"/>
        <c:tickLblPos val="none"/>
        <c:crossAx val="87756160"/>
        <c:crosses val="autoZero"/>
        <c:lblAlgn val="ctr"/>
        <c:lblOffset val="100"/>
      </c:catAx>
      <c:valAx>
        <c:axId val="877561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7811200"/>
        <c:axId val="87812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7957888"/>
        <c:axId val="87959424"/>
      </c:lineChart>
      <c:catAx>
        <c:axId val="87811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2736"/>
        <c:crosses val="autoZero"/>
        <c:lblAlgn val="ctr"/>
        <c:lblOffset val="100"/>
        <c:tickMarkSkip val="1"/>
      </c:catAx>
      <c:valAx>
        <c:axId val="8781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1200"/>
        <c:crosses val="autoZero"/>
        <c:crossBetween val="between"/>
      </c:valAx>
      <c:catAx>
        <c:axId val="87957888"/>
        <c:scaling>
          <c:orientation val="minMax"/>
        </c:scaling>
        <c:delete val="1"/>
        <c:axPos val="b"/>
        <c:numFmt formatCode="General" sourceLinked="1"/>
        <c:tickLblPos val="none"/>
        <c:crossAx val="87959424"/>
        <c:crosses val="autoZero"/>
        <c:lblAlgn val="ctr"/>
        <c:lblOffset val="100"/>
      </c:catAx>
      <c:valAx>
        <c:axId val="87959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57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2749312"/>
        <c:axId val="12275084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2752384"/>
        <c:axId val="122762368"/>
      </c:lineChart>
      <c:catAx>
        <c:axId val="122749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0848"/>
        <c:crosses val="autoZero"/>
        <c:lblAlgn val="ctr"/>
        <c:lblOffset val="100"/>
        <c:tickMarkSkip val="1"/>
      </c:catAx>
      <c:valAx>
        <c:axId val="122750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49312"/>
        <c:crosses val="autoZero"/>
        <c:crossBetween val="between"/>
      </c:valAx>
      <c:catAx>
        <c:axId val="122752384"/>
        <c:scaling>
          <c:orientation val="minMax"/>
        </c:scaling>
        <c:delete val="1"/>
        <c:axPos val="b"/>
        <c:numFmt formatCode="[$-409]d\-mmm\-yy;@" sourceLinked="1"/>
        <c:tickLblPos val="none"/>
        <c:crossAx val="122762368"/>
        <c:crosses val="autoZero"/>
        <c:lblAlgn val="ctr"/>
        <c:lblOffset val="100"/>
      </c:catAx>
      <c:valAx>
        <c:axId val="1227623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2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6552704"/>
        <c:axId val="126554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6556032"/>
        <c:axId val="126557568"/>
      </c:lineChart>
      <c:catAx>
        <c:axId val="1265527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54496"/>
        <c:crosses val="autoZero"/>
        <c:lblAlgn val="ctr"/>
        <c:lblOffset val="100"/>
        <c:tickMarkSkip val="1"/>
      </c:catAx>
      <c:valAx>
        <c:axId val="12655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52704"/>
        <c:crosses val="autoZero"/>
        <c:crossBetween val="between"/>
      </c:valAx>
      <c:catAx>
        <c:axId val="126556032"/>
        <c:scaling>
          <c:orientation val="minMax"/>
        </c:scaling>
        <c:delete val="1"/>
        <c:axPos val="b"/>
        <c:numFmt formatCode="General" sourceLinked="1"/>
        <c:tickLblPos val="none"/>
        <c:crossAx val="126557568"/>
        <c:crosses val="autoZero"/>
        <c:lblAlgn val="ctr"/>
        <c:lblOffset val="100"/>
      </c:catAx>
      <c:valAx>
        <c:axId val="126557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5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1515136"/>
        <c:axId val="151517056"/>
      </c:lineChart>
      <c:catAx>
        <c:axId val="151515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7056"/>
        <c:crosses val="autoZero"/>
        <c:auto val="1"/>
        <c:lblAlgn val="ctr"/>
        <c:lblOffset val="100"/>
      </c:catAx>
      <c:valAx>
        <c:axId val="1515170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5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6761216"/>
        <c:axId val="126787968"/>
      </c:lineChart>
      <c:catAx>
        <c:axId val="126761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87968"/>
        <c:crosses val="autoZero"/>
        <c:auto val="1"/>
        <c:lblAlgn val="ctr"/>
        <c:lblOffset val="100"/>
      </c:catAx>
      <c:valAx>
        <c:axId val="126787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61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2195840"/>
        <c:axId val="152197376"/>
      </c:lineChart>
      <c:catAx>
        <c:axId val="15219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7376"/>
        <c:crosses val="autoZero"/>
        <c:auto val="1"/>
        <c:lblAlgn val="ctr"/>
        <c:lblOffset val="200"/>
        <c:tickLblSkip val="1"/>
      </c:catAx>
      <c:valAx>
        <c:axId val="152197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2226048"/>
        <c:axId val="152236032"/>
      </c:lineChart>
      <c:catAx>
        <c:axId val="15222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36032"/>
        <c:crosses val="autoZero"/>
        <c:auto val="1"/>
        <c:lblAlgn val="ctr"/>
        <c:lblOffset val="100"/>
      </c:catAx>
      <c:valAx>
        <c:axId val="1522360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2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-334189.46000000002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2125440"/>
        <c:axId val="152126976"/>
      </c:lineChart>
      <c:catAx>
        <c:axId val="15212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26976"/>
        <c:crosses val="autoZero"/>
        <c:auto val="1"/>
        <c:lblAlgn val="ctr"/>
        <c:lblOffset val="100"/>
      </c:catAx>
      <c:valAx>
        <c:axId val="152126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2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249280"/>
        <c:axId val="153251200"/>
      </c:lineChart>
      <c:catAx>
        <c:axId val="153249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51200"/>
        <c:crosses val="autoZero"/>
        <c:auto val="1"/>
        <c:lblAlgn val="ctr"/>
        <c:lblOffset val="100"/>
      </c:catAx>
      <c:valAx>
        <c:axId val="153251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9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436160"/>
        <c:axId val="153438080"/>
      </c:lineChart>
      <c:catAx>
        <c:axId val="15343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8080"/>
        <c:crosses val="autoZero"/>
        <c:auto val="1"/>
        <c:lblAlgn val="ctr"/>
        <c:lblOffset val="100"/>
      </c:catAx>
      <c:valAx>
        <c:axId val="1534380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61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3454848"/>
        <c:axId val="153460736"/>
      </c:lineChart>
      <c:catAx>
        <c:axId val="1534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60736"/>
        <c:crosses val="autoZero"/>
        <c:auto val="1"/>
        <c:lblAlgn val="ctr"/>
        <c:lblOffset val="200"/>
        <c:tickLblSkip val="1"/>
      </c:catAx>
      <c:valAx>
        <c:axId val="153460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2764416"/>
        <c:axId val="152765952"/>
      </c:lineChart>
      <c:catAx>
        <c:axId val="1527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5952"/>
        <c:crosses val="autoZero"/>
        <c:auto val="1"/>
        <c:lblAlgn val="ctr"/>
        <c:lblOffset val="100"/>
      </c:catAx>
      <c:valAx>
        <c:axId val="1527659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4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115.05999999997439</c:v>
                </c:pt>
                <c:pt idx="9">
                  <c:v>-334189.46000000002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2823296"/>
        <c:axId val="152824832"/>
      </c:lineChart>
      <c:catAx>
        <c:axId val="15282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24832"/>
        <c:crosses val="autoZero"/>
        <c:auto val="1"/>
        <c:lblAlgn val="ctr"/>
        <c:lblOffset val="100"/>
      </c:catAx>
      <c:valAx>
        <c:axId val="15282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2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2169472"/>
        <c:axId val="154514560"/>
      </c:lineChart>
      <c:catAx>
        <c:axId val="15216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14560"/>
        <c:crosses val="autoZero"/>
        <c:auto val="1"/>
        <c:lblAlgn val="ctr"/>
        <c:lblOffset val="100"/>
      </c:catAx>
      <c:valAx>
        <c:axId val="154514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69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5211264"/>
        <c:axId val="155213184"/>
      </c:lineChart>
      <c:catAx>
        <c:axId val="155211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13184"/>
        <c:crosses val="autoZero"/>
        <c:auto val="1"/>
        <c:lblAlgn val="ctr"/>
        <c:lblOffset val="100"/>
      </c:catAx>
      <c:valAx>
        <c:axId val="155213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11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5250688"/>
        <c:axId val="155252224"/>
      </c:lineChart>
      <c:catAx>
        <c:axId val="15525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2224"/>
        <c:crosses val="autoZero"/>
        <c:auto val="1"/>
        <c:lblAlgn val="ctr"/>
        <c:lblOffset val="200"/>
        <c:tickLblSkip val="1"/>
      </c:catAx>
      <c:valAx>
        <c:axId val="155252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018752"/>
        <c:axId val="155020288"/>
      </c:lineChart>
      <c:catAx>
        <c:axId val="1550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0288"/>
        <c:crosses val="autoZero"/>
        <c:auto val="1"/>
        <c:lblAlgn val="ctr"/>
        <c:lblOffset val="100"/>
      </c:catAx>
      <c:valAx>
        <c:axId val="15502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9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040768"/>
        <c:axId val="155525888"/>
      </c:lineChart>
      <c:catAx>
        <c:axId val="15504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5888"/>
        <c:crosses val="autoZero"/>
        <c:auto val="1"/>
        <c:lblAlgn val="ctr"/>
        <c:lblOffset val="100"/>
      </c:catAx>
      <c:valAx>
        <c:axId val="15552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570944"/>
        <c:axId val="155572864"/>
      </c:lineChart>
      <c:catAx>
        <c:axId val="155570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72864"/>
        <c:crosses val="autoZero"/>
        <c:auto val="1"/>
        <c:lblAlgn val="ctr"/>
        <c:lblOffset val="100"/>
      </c:catAx>
      <c:valAx>
        <c:axId val="1555728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70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876352"/>
        <c:axId val="155903104"/>
      </c:lineChart>
      <c:catAx>
        <c:axId val="15587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3104"/>
        <c:crosses val="autoZero"/>
        <c:auto val="1"/>
        <c:lblAlgn val="ctr"/>
        <c:lblOffset val="100"/>
      </c:catAx>
      <c:valAx>
        <c:axId val="1559031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6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063232"/>
        <c:axId val="156064768"/>
      </c:lineChart>
      <c:catAx>
        <c:axId val="15606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4768"/>
        <c:crosses val="autoZero"/>
        <c:auto val="1"/>
        <c:lblAlgn val="ctr"/>
        <c:lblOffset val="200"/>
        <c:tickLblSkip val="1"/>
      </c:catAx>
      <c:valAx>
        <c:axId val="156064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089344"/>
        <c:axId val="156091136"/>
      </c:lineChart>
      <c:catAx>
        <c:axId val="1560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91136"/>
        <c:crosses val="autoZero"/>
        <c:auto val="1"/>
        <c:lblAlgn val="ctr"/>
        <c:lblOffset val="100"/>
      </c:catAx>
      <c:valAx>
        <c:axId val="15609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9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263168"/>
        <c:axId val="156264704"/>
      </c:lineChart>
      <c:catAx>
        <c:axId val="1562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64704"/>
        <c:crosses val="autoZero"/>
        <c:auto val="1"/>
        <c:lblAlgn val="ctr"/>
        <c:lblOffset val="100"/>
      </c:catAx>
      <c:valAx>
        <c:axId val="15626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6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115.05999999997439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 t="str">
        <f>IF('Utility summery'!M15&lt;0,"0",'Utility summery'!M15)</f>
        <v>0</v>
      </c>
      <c r="H11" s="423">
        <v>0</v>
      </c>
      <c r="I11" s="418" t="str">
        <f>IF('UTILITY REPORT 1'!G12&lt;0,"0",'UTILITY REPORT 1'!G12)</f>
        <v>0</v>
      </c>
      <c r="J11" s="423">
        <v>0</v>
      </c>
      <c r="K11" s="417">
        <f>'UTILITY REPORT 1'!C12</f>
        <v>15.58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11.69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12.99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14.29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14.29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9.09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7.79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6.49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 t="str">
        <f>IF('Kit report'!F13&lt;0,"0",'Kit report'!F13)</f>
        <v>0</v>
      </c>
      <c r="I11" s="456" t="str">
        <f>IF('Kit report'!X13&lt;0,"0",'Kit report'!X13)</f>
        <v>0</v>
      </c>
      <c r="J11" s="456" t="str">
        <f>IF('Utility summery'!H15&lt;0,"0",'Utility summery'!H15)</f>
        <v>0</v>
      </c>
      <c r="K11" s="457" t="str">
        <f>IF('UTILITY REPORT 1'!H12&lt;0,"0",'UTILITY REPORT 1'!H12)</f>
        <v>0</v>
      </c>
      <c r="L11" s="456" t="str">
        <f>'Water-Meter'!K15</f>
        <v>0</v>
      </c>
      <c r="M11" s="457" t="str">
        <f>'Water-Meter'!H15</f>
        <v>0</v>
      </c>
      <c r="N11" s="457" t="str">
        <f>'Water-Meter'!Q15</f>
        <v>0</v>
      </c>
      <c r="O11" s="456" t="e">
        <f>K11*E11+H11*I11+#REF!*#REF!+J11*L11</f>
        <v>#REF!</v>
      </c>
      <c r="P11" s="462" t="str">
        <f>'Water-Meter'!E15</f>
        <v>0</v>
      </c>
      <c r="Q11" s="242" t="str">
        <f>IF('Water-Meter'!U15&lt;0,"0",'Water-Meter'!U15)</f>
        <v>0</v>
      </c>
      <c r="R11" s="242" t="str">
        <f>IF('Water-Meter'!X15&lt;0,"0",'Water-Meter'!X15)</f>
        <v>0</v>
      </c>
      <c r="S11" s="242" t="str">
        <f>IF('Water-Meter'!AA15&lt;0,"0",'Water-Meter'!AA15)</f>
        <v>0</v>
      </c>
      <c r="T11" s="242" t="str">
        <f>IF('Water-Meter'!AD15&lt;0,"0",'Water-Meter'!AD15)</f>
        <v>0</v>
      </c>
      <c r="U11" s="242" t="str">
        <f>IF('Water-Meter'!AG15&lt;0,"0",'Water-Meter'!AG15)</f>
        <v>0</v>
      </c>
      <c r="V11" s="242" t="str">
        <f>IF('Water-Meter'!AJ15&lt;0,"0",'Water-Meter'!AJ15)</f>
        <v>0</v>
      </c>
      <c r="W11" s="30">
        <f>'Water-Meter'!AN15</f>
        <v>0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0</v>
      </c>
      <c r="C12" s="405">
        <f>'Summery Report'!E14</f>
        <v>15.58</v>
      </c>
      <c r="D12" s="406">
        <v>1</v>
      </c>
      <c r="E12" s="405">
        <f>Gen!S20</f>
        <v>0</v>
      </c>
      <c r="F12" s="405">
        <f>Gen!T20</f>
        <v>0</v>
      </c>
      <c r="G12" s="405" t="str">
        <f>'Water-Meter'!E15</f>
        <v>0</v>
      </c>
      <c r="H12" s="405">
        <f>'Utility report '!AC15</f>
        <v>-48890</v>
      </c>
      <c r="I12" s="405">
        <f>Gen!AJ20</f>
        <v>0</v>
      </c>
    </row>
    <row r="13" spans="1:9" ht="13.5">
      <c r="A13" s="402">
        <f>Gen!A21</f>
        <v>44297</v>
      </c>
      <c r="B13" s="404">
        <f>Gen!B21</f>
        <v>0</v>
      </c>
      <c r="C13" s="405">
        <f>'Summery Report'!E15</f>
        <v>11.69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44298</v>
      </c>
      <c r="B14" s="404">
        <f>Gen!B22</f>
        <v>0</v>
      </c>
      <c r="C14" s="405">
        <f>'Summery Report'!E16</f>
        <v>12.99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44299</v>
      </c>
      <c r="B15" s="404">
        <f>Gen!B23</f>
        <v>0</v>
      </c>
      <c r="C15" s="405">
        <f>'Summery Report'!E17</f>
        <v>14.29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115.05999999997439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-48890</v>
      </c>
      <c r="H15" s="153">
        <f>'Utility report '!AE15</f>
        <v>-214704</v>
      </c>
      <c r="I15" s="296" t="str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-334189.46000000002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0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0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0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0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0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0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0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0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26204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805</v>
      </c>
      <c r="J39" s="453">
        <f t="shared" si="3"/>
        <v>85</v>
      </c>
      <c r="K39" s="453">
        <f t="shared" si="3"/>
        <v>98</v>
      </c>
      <c r="L39" s="453">
        <f t="shared" si="3"/>
        <v>655</v>
      </c>
      <c r="M39" s="453">
        <f t="shared" si="3"/>
        <v>-333476.88</v>
      </c>
      <c r="N39" s="453">
        <f t="shared" si="3"/>
        <v>36685.599999999999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S18" sqref="S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0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0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0</v>
      </c>
      <c r="G15" s="438">
        <f t="shared" si="0"/>
        <v>0</v>
      </c>
      <c r="H15" s="720">
        <f>Gen!C20</f>
        <v>39223.360000000008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617.48166598200839</v>
      </c>
      <c r="N15" s="715" t="str">
        <f>'Water-Meter'!E15</f>
        <v>0</v>
      </c>
      <c r="O15" s="706"/>
      <c r="P15" s="713"/>
      <c r="Q15" s="725">
        <f t="shared" si="2"/>
        <v>-19032</v>
      </c>
      <c r="R15" s="426">
        <f t="shared" si="5"/>
        <v>0</v>
      </c>
      <c r="S15" s="701"/>
      <c r="T15" s="702"/>
      <c r="U15" s="725">
        <f t="shared" si="6"/>
        <v>-17869</v>
      </c>
      <c r="V15" s="427">
        <f t="shared" si="16"/>
        <v>0</v>
      </c>
      <c r="W15" s="706"/>
      <c r="X15" s="707"/>
      <c r="Y15" s="725">
        <f t="shared" si="8"/>
        <v>-27752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-48890</v>
      </c>
      <c r="AD15" s="692"/>
      <c r="AE15" s="178">
        <f>AD15-AD14</f>
        <v>-214704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1929411.7647058824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0</v>
      </c>
      <c r="G16" s="438">
        <f t="shared" si="0"/>
        <v>0</v>
      </c>
      <c r="H16" s="720">
        <f>Gen!C21</f>
        <v>39223.360000000008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0</v>
      </c>
      <c r="G17" s="438">
        <f t="shared" si="0"/>
        <v>0</v>
      </c>
      <c r="H17" s="720">
        <f>Gen!C22</f>
        <v>39223.360000000008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0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0</v>
      </c>
      <c r="G18" s="438">
        <f t="shared" si="0"/>
        <v>0</v>
      </c>
      <c r="H18" s="720">
        <f>Gen!C23</f>
        <v>39223.360000000008</v>
      </c>
      <c r="I18" s="720">
        <f>Gen!E23</f>
        <v>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0</v>
      </c>
      <c r="G19" s="438">
        <f t="shared" si="0"/>
        <v>0</v>
      </c>
      <c r="H19" s="720">
        <f>Gen!C24</f>
        <v>39223.360000000008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0</v>
      </c>
      <c r="G20" s="438">
        <f t="shared" si="0"/>
        <v>0</v>
      </c>
      <c r="H20" s="720">
        <f>Gen!C25</f>
        <v>39223.360000000008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0</v>
      </c>
      <c r="G21" s="438">
        <f t="shared" si="0"/>
        <v>0</v>
      </c>
      <c r="H21" s="720">
        <f>Gen!C26</f>
        <v>39223.360000000008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0</v>
      </c>
      <c r="G22" s="438">
        <f t="shared" si="0"/>
        <v>0</v>
      </c>
      <c r="H22" s="720">
        <f>Gen!C27</f>
        <v>39223.360000000008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39223.360000000008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39223.360000000008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39223.360000000008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39223.360000000008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39223.360000000008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39223.360000000008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39223.360000000008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39223.360000000008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39223.360000000008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39223.360000000008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39223.360000000008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39223.360000000008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39223.360000000008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39223.360000000008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29379</v>
      </c>
      <c r="K37" s="770"/>
      <c r="L37" s="756">
        <f t="shared" si="17"/>
        <v>29379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5" sqref="W15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0</v>
      </c>
      <c r="B13" s="592">
        <f>Gen!A20</f>
        <v>44296</v>
      </c>
      <c r="C13" s="576"/>
      <c r="D13" s="581">
        <f t="shared" si="1"/>
        <v>9226</v>
      </c>
      <c r="E13" s="577"/>
      <c r="F13" s="581">
        <f t="shared" si="2"/>
        <v>-1107120</v>
      </c>
      <c r="G13" s="576"/>
      <c r="H13" s="623">
        <f t="shared" si="6"/>
        <v>44296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44296</v>
      </c>
      <c r="U13" s="576"/>
      <c r="V13" s="581">
        <f t="shared" si="5"/>
        <v>8092.3</v>
      </c>
      <c r="W13" s="578"/>
      <c r="X13" s="581">
        <f t="shared" si="0"/>
        <v>-1618460</v>
      </c>
      <c r="Y13" s="623">
        <f t="shared" si="10"/>
        <v>44296</v>
      </c>
      <c r="Z13" s="576"/>
      <c r="AA13" s="576"/>
      <c r="AB13" s="580">
        <f>'Water-Meter'!P15</f>
        <v>0</v>
      </c>
      <c r="AC13" s="633">
        <f t="shared" si="11"/>
        <v>-21155</v>
      </c>
    </row>
    <row r="14" spans="1:29" ht="19.5" thickBot="1">
      <c r="A14" s="642">
        <f>Gen!B21</f>
        <v>0</v>
      </c>
      <c r="B14" s="592">
        <f>Gen!A21</f>
        <v>44297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44297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44297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44297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44298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44298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44298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44298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44299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44299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44299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44299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44300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44300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44300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44301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44301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44301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44302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44302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44302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44303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44303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44303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44304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44304</v>
      </c>
      <c r="U21" s="579"/>
      <c r="V21" s="581">
        <f t="shared" si="5"/>
        <v>0</v>
      </c>
      <c r="W21" s="578"/>
      <c r="X21" s="581">
        <f t="shared" si="0"/>
        <v>0</v>
      </c>
      <c r="Y21" s="623">
        <f t="shared" si="10"/>
        <v>44304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44305</v>
      </c>
      <c r="U22" s="576"/>
      <c r="V22" s="581">
        <f t="shared" si="5"/>
        <v>0</v>
      </c>
      <c r="W22" s="578"/>
      <c r="X22" s="581">
        <f t="shared" si="0"/>
        <v>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-31027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115.05999999997439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0</v>
      </c>
      <c r="D14" s="434">
        <f t="shared" si="0"/>
        <v>15.58</v>
      </c>
      <c r="E14" s="74">
        <v>15.58</v>
      </c>
      <c r="F14" s="70" t="e">
        <f>Gen!U20</f>
        <v>#DIV/0!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 t="str">
        <f>'Water-Meter'!E15</f>
        <v>0</v>
      </c>
      <c r="L14" s="653">
        <f>'Lpg (2)'!G19</f>
        <v>-334189.46000000002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0</v>
      </c>
      <c r="C15" s="87">
        <f>Gen!B21</f>
        <v>0</v>
      </c>
      <c r="D15" s="434">
        <f t="shared" si="0"/>
        <v>11.69</v>
      </c>
      <c r="E15" s="74">
        <v>11.69</v>
      </c>
      <c r="F15" s="70" t="e">
        <f>Gen!U21</f>
        <v>#DIV/0!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39223.360000000008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0</v>
      </c>
      <c r="C16" s="87">
        <f>Gen!B22</f>
        <v>0</v>
      </c>
      <c r="D16" s="434">
        <f t="shared" si="0"/>
        <v>12.99</v>
      </c>
      <c r="E16" s="74">
        <v>12.99</v>
      </c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39223.360000000008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0</v>
      </c>
      <c r="C17" s="87">
        <f>Gen!B23</f>
        <v>0</v>
      </c>
      <c r="D17" s="434">
        <f t="shared" si="0"/>
        <v>14.29</v>
      </c>
      <c r="E17" s="74">
        <v>14.29</v>
      </c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39223.360000000008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0</v>
      </c>
      <c r="C18" s="87">
        <f>Gen!B24</f>
        <v>0</v>
      </c>
      <c r="D18" s="434">
        <f t="shared" si="0"/>
        <v>14.29</v>
      </c>
      <c r="E18" s="74">
        <v>14.29</v>
      </c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39223.360000000008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0</v>
      </c>
      <c r="C19" s="87">
        <f>Gen!B25</f>
        <v>0</v>
      </c>
      <c r="D19" s="434">
        <f t="shared" si="0"/>
        <v>9.09</v>
      </c>
      <c r="E19" s="74">
        <v>9.09</v>
      </c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39223.360000000008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0</v>
      </c>
      <c r="C20" s="87">
        <f>Gen!B26</f>
        <v>0</v>
      </c>
      <c r="D20" s="434">
        <f t="shared" si="0"/>
        <v>7.79</v>
      </c>
      <c r="E20" s="74">
        <v>7.79</v>
      </c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39223.360000000008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0</v>
      </c>
      <c r="C21" s="87">
        <f>Gen!B27</f>
        <v>0</v>
      </c>
      <c r="D21" s="434">
        <f t="shared" si="0"/>
        <v>6.49</v>
      </c>
      <c r="E21" s="74">
        <v>6.49</v>
      </c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39223.360000000008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39223.360000000008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39223.360000000008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39223.360000000008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39223.360000000008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39223.360000000008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39223.360000000008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39223.360000000008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39223.360000000008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39223.360000000008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39223.360000000008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39223.360000000008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39223.360000000008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39223.360000000008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39223.360000000008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39223.360000000008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18" sqref="AA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50" t="s">
        <v>87</v>
      </c>
      <c r="C4" s="850" t="s">
        <v>88</v>
      </c>
      <c r="D4" s="850" t="s">
        <v>89</v>
      </c>
      <c r="E4" s="850" t="s">
        <v>90</v>
      </c>
      <c r="F4" s="850" t="s">
        <v>242</v>
      </c>
      <c r="G4" s="855" t="s">
        <v>91</v>
      </c>
      <c r="H4" s="850" t="s">
        <v>92</v>
      </c>
      <c r="I4" s="855" t="s">
        <v>93</v>
      </c>
      <c r="J4" s="860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6"/>
      <c r="B5" s="852"/>
      <c r="C5" s="851">
        <v>13853.38</v>
      </c>
      <c r="D5" s="145">
        <v>22273</v>
      </c>
      <c r="E5" s="852"/>
      <c r="F5" s="852"/>
      <c r="G5" s="852"/>
      <c r="H5" s="852"/>
      <c r="I5" s="145">
        <v>31842.2</v>
      </c>
      <c r="J5" s="862">
        <v>21219.4</v>
      </c>
      <c r="K5" s="858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7">
        <f>Gen!A11</f>
        <v>44287</v>
      </c>
      <c r="B6" s="852"/>
      <c r="C6" s="851">
        <v>12242.97</v>
      </c>
      <c r="D6" s="145">
        <v>22273</v>
      </c>
      <c r="E6" s="853"/>
      <c r="F6" s="145"/>
      <c r="G6" s="145"/>
      <c r="H6" s="145"/>
      <c r="I6" s="145">
        <v>31847.200000000001</v>
      </c>
      <c r="J6" s="849">
        <v>21223.7</v>
      </c>
      <c r="K6" s="859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7">
        <f>Gen!A12</f>
        <v>44288</v>
      </c>
      <c r="B7" s="852"/>
      <c r="C7" s="851">
        <v>10771.09</v>
      </c>
      <c r="D7" s="145">
        <v>22273</v>
      </c>
      <c r="E7" s="853"/>
      <c r="F7" s="145"/>
      <c r="G7" s="145"/>
      <c r="H7" s="145"/>
      <c r="I7" s="145">
        <v>31852.7</v>
      </c>
      <c r="J7" s="849">
        <v>21227.1</v>
      </c>
      <c r="K7" s="859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7">
        <f>Gen!A13</f>
        <v>44289</v>
      </c>
      <c r="B8" s="852"/>
      <c r="C8" s="851">
        <v>9237.36</v>
      </c>
      <c r="D8" s="145">
        <v>22273</v>
      </c>
      <c r="E8" s="853"/>
      <c r="F8" s="851"/>
      <c r="G8" s="145">
        <v>139.29</v>
      </c>
      <c r="H8" s="145"/>
      <c r="I8" s="145">
        <v>31858.2</v>
      </c>
      <c r="J8" s="849">
        <v>21230.9</v>
      </c>
      <c r="K8" s="859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7">
        <f>Gen!A14</f>
        <v>44290</v>
      </c>
      <c r="B9" s="852"/>
      <c r="C9" s="851">
        <v>7917.58</v>
      </c>
      <c r="D9" s="145">
        <v>22273</v>
      </c>
      <c r="E9" s="853"/>
      <c r="F9" s="854"/>
      <c r="G9" s="145"/>
      <c r="H9" s="145"/>
      <c r="I9" s="145">
        <v>31863.8</v>
      </c>
      <c r="J9" s="849">
        <v>21235.5</v>
      </c>
      <c r="K9" s="859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7">
        <f>Gen!A15</f>
        <v>44291</v>
      </c>
      <c r="B10" s="852"/>
      <c r="C10" s="851">
        <v>6308.49</v>
      </c>
      <c r="D10" s="145">
        <v>22273</v>
      </c>
      <c r="E10" s="853"/>
      <c r="F10" s="145"/>
      <c r="G10" s="145">
        <v>218.51</v>
      </c>
      <c r="H10" s="145"/>
      <c r="I10" s="145">
        <v>31869.200000000001</v>
      </c>
      <c r="J10" s="849">
        <v>21239.8</v>
      </c>
      <c r="K10" s="859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7">
        <f>Gen!A16</f>
        <v>44292</v>
      </c>
      <c r="B11" s="852"/>
      <c r="C11" s="851">
        <v>4758.5</v>
      </c>
      <c r="D11" s="145">
        <v>22273</v>
      </c>
      <c r="E11" s="853"/>
      <c r="F11" s="145"/>
      <c r="G11" s="145">
        <v>42.44</v>
      </c>
      <c r="H11" s="145"/>
      <c r="I11" s="145">
        <v>31874.5</v>
      </c>
      <c r="J11" s="849">
        <v>21244.1</v>
      </c>
      <c r="K11" s="859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7">
        <f>Gen!A17</f>
        <v>44293</v>
      </c>
      <c r="B12" s="852"/>
      <c r="C12" s="851">
        <v>3448.96</v>
      </c>
      <c r="D12" s="145">
        <v>22273</v>
      </c>
      <c r="E12" s="853"/>
      <c r="F12" s="145"/>
      <c r="G12" s="145">
        <v>117.14</v>
      </c>
      <c r="H12" s="145"/>
      <c r="I12" s="145">
        <v>31879.8</v>
      </c>
      <c r="J12" s="849">
        <v>21247.599999999999</v>
      </c>
      <c r="K12" s="859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7">
        <f>Gen!A18</f>
        <v>44294</v>
      </c>
      <c r="B13" s="852"/>
      <c r="C13" s="851">
        <v>19981.400000000001</v>
      </c>
      <c r="D13" s="145">
        <v>22273</v>
      </c>
      <c r="E13" s="853"/>
      <c r="F13" s="145"/>
      <c r="G13" s="145">
        <v>156.32</v>
      </c>
      <c r="H13" s="145"/>
      <c r="I13" s="145">
        <v>31884.9</v>
      </c>
      <c r="J13" s="849">
        <v>21252.1</v>
      </c>
      <c r="K13" s="859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>
      <c r="A14" s="857">
        <f>Gen!A19</f>
        <v>44295</v>
      </c>
      <c r="B14" s="852"/>
      <c r="C14" s="851">
        <v>18558.759999999998</v>
      </c>
      <c r="D14" s="145">
        <v>22273</v>
      </c>
      <c r="E14" s="853"/>
      <c r="F14" s="145"/>
      <c r="G14" s="145">
        <v>302.12</v>
      </c>
      <c r="H14" s="145"/>
      <c r="I14" s="145">
        <v>31889.7</v>
      </c>
      <c r="J14" s="849">
        <v>21256.3</v>
      </c>
      <c r="K14" s="859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-31052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-31027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>
      <c r="A15" s="857">
        <f>Gen!A20</f>
        <v>44296</v>
      </c>
      <c r="B15" s="852"/>
      <c r="C15" s="851">
        <v>16950.36</v>
      </c>
      <c r="D15" s="145">
        <v>22273</v>
      </c>
      <c r="E15" s="853"/>
      <c r="F15" s="145"/>
      <c r="G15" s="145"/>
      <c r="H15" s="145"/>
      <c r="I15" s="145">
        <v>31894.5</v>
      </c>
      <c r="J15" s="849">
        <v>21260.799999999999</v>
      </c>
      <c r="K15" s="859">
        <f t="shared" si="0"/>
        <v>36140</v>
      </c>
      <c r="L15" s="305"/>
      <c r="M15" s="304">
        <f t="shared" si="1"/>
        <v>-36140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36368</v>
      </c>
      <c r="R15" s="125"/>
      <c r="S15" s="304">
        <f t="shared" si="5"/>
        <v>-36368</v>
      </c>
      <c r="T15" s="304">
        <f t="shared" si="6"/>
        <v>33539</v>
      </c>
      <c r="U15" s="305"/>
      <c r="V15" s="304">
        <f t="shared" si="7"/>
        <v>-33539</v>
      </c>
      <c r="W15" s="306">
        <f t="shared" si="8"/>
        <v>22034</v>
      </c>
      <c r="X15" s="305"/>
      <c r="Y15" s="304">
        <f t="shared" si="9"/>
        <v>-22034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>
      <c r="A16" s="857">
        <f>Gen!A21</f>
        <v>44297</v>
      </c>
      <c r="B16" s="852"/>
      <c r="C16" s="851"/>
      <c r="D16" s="145"/>
      <c r="E16" s="853"/>
      <c r="F16" s="145"/>
      <c r="G16" s="145"/>
      <c r="H16" s="145"/>
      <c r="I16" s="145"/>
      <c r="J16" s="849"/>
      <c r="K16" s="859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>
      <c r="A17" s="857">
        <f>Gen!A22</f>
        <v>44298</v>
      </c>
      <c r="B17" s="852"/>
      <c r="C17" s="851"/>
      <c r="D17" s="145"/>
      <c r="E17" s="853"/>
      <c r="F17" s="145"/>
      <c r="G17" s="145"/>
      <c r="H17" s="145"/>
      <c r="I17" s="145"/>
      <c r="J17" s="849"/>
      <c r="K17" s="859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>
      <c r="A18" s="857">
        <f>Gen!A23</f>
        <v>44299</v>
      </c>
      <c r="B18" s="852"/>
      <c r="C18" s="851"/>
      <c r="D18" s="145"/>
      <c r="E18" s="145"/>
      <c r="F18" s="145"/>
      <c r="G18" s="145"/>
      <c r="H18" s="145"/>
      <c r="I18" s="145"/>
      <c r="J18" s="849"/>
      <c r="K18" s="859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>
      <c r="A19" s="857">
        <f>Gen!A24</f>
        <v>44300</v>
      </c>
      <c r="B19" s="852"/>
      <c r="C19" s="851"/>
      <c r="D19" s="145"/>
      <c r="E19" s="145"/>
      <c r="F19" s="145"/>
      <c r="G19" s="145"/>
      <c r="H19" s="145"/>
      <c r="I19" s="145"/>
      <c r="J19" s="849"/>
      <c r="K19" s="859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7">
        <f>Gen!A25</f>
        <v>44301</v>
      </c>
      <c r="B20" s="852"/>
      <c r="C20" s="851"/>
      <c r="D20" s="145"/>
      <c r="E20" s="145"/>
      <c r="F20" s="145"/>
      <c r="G20" s="145"/>
      <c r="H20" s="145"/>
      <c r="I20" s="145"/>
      <c r="J20" s="849"/>
      <c r="K20" s="859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7">
        <f>Gen!A26</f>
        <v>44302</v>
      </c>
      <c r="B21" s="852"/>
      <c r="C21" s="851"/>
      <c r="D21" s="145"/>
      <c r="E21" s="145"/>
      <c r="F21" s="145"/>
      <c r="G21" s="145"/>
      <c r="H21" s="145"/>
      <c r="I21" s="145"/>
      <c r="J21" s="849"/>
      <c r="K21" s="859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7">
        <f>Gen!A27</f>
        <v>44303</v>
      </c>
      <c r="B22" s="852"/>
      <c r="C22" s="851"/>
      <c r="D22" s="145"/>
      <c r="E22" s="145"/>
      <c r="F22" s="145"/>
      <c r="G22" s="145"/>
      <c r="H22" s="145"/>
      <c r="I22" s="145"/>
      <c r="J22" s="849"/>
      <c r="K22" s="859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7">
        <f>Gen!A28</f>
        <v>44304</v>
      </c>
      <c r="B23" s="852"/>
      <c r="C23" s="851"/>
      <c r="D23" s="854"/>
      <c r="E23" s="853"/>
      <c r="F23" s="145"/>
      <c r="G23" s="145"/>
      <c r="H23" s="145"/>
      <c r="I23" s="145"/>
      <c r="J23" s="849"/>
      <c r="K23" s="859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7">
        <f>Gen!A29</f>
        <v>44305</v>
      </c>
      <c r="B24" s="852"/>
      <c r="C24" s="851"/>
      <c r="D24" s="854"/>
      <c r="E24" s="145"/>
      <c r="F24" s="145"/>
      <c r="G24" s="145"/>
      <c r="H24" s="145"/>
      <c r="I24" s="145"/>
      <c r="J24" s="849"/>
      <c r="K24" s="859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7">
        <f>Gen!A30</f>
        <v>44306</v>
      </c>
      <c r="B25" s="852"/>
      <c r="C25" s="851"/>
      <c r="D25" s="854"/>
      <c r="E25" s="145"/>
      <c r="F25" s="145"/>
      <c r="G25" s="145"/>
      <c r="H25" s="145"/>
      <c r="I25" s="145"/>
      <c r="J25" s="849"/>
      <c r="K25" s="859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7">
        <f>Gen!A31</f>
        <v>44307</v>
      </c>
      <c r="B26" s="852"/>
      <c r="C26" s="851"/>
      <c r="D26" s="854"/>
      <c r="E26" s="145"/>
      <c r="F26" s="145"/>
      <c r="G26" s="145"/>
      <c r="H26" s="145"/>
      <c r="I26" s="145"/>
      <c r="J26" s="849"/>
      <c r="K26" s="859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7">
        <f>Gen!A32</f>
        <v>44308</v>
      </c>
      <c r="B27" s="852"/>
      <c r="C27" s="851"/>
      <c r="D27" s="854"/>
      <c r="E27" s="145"/>
      <c r="F27" s="145"/>
      <c r="G27" s="145"/>
      <c r="H27" s="145"/>
      <c r="I27" s="145"/>
      <c r="J27" s="849"/>
      <c r="K27" s="859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7">
        <f>Gen!A33</f>
        <v>44309</v>
      </c>
      <c r="B28" s="861"/>
      <c r="C28" s="788"/>
      <c r="D28" s="789"/>
      <c r="E28" s="305"/>
      <c r="F28" s="305"/>
      <c r="G28" s="305"/>
      <c r="H28" s="305"/>
      <c r="I28" s="305"/>
      <c r="J28" s="305"/>
      <c r="K28" s="859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workbookViewId="0">
      <pane xSplit="1" topLeftCell="B1" activePane="topRight" state="frozen"/>
      <selection pane="topRight" activeCell="I24" sqref="I24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7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46"/>
      <c r="C20" s="802">
        <f t="shared" si="6"/>
        <v>39223.360000000008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46"/>
      <c r="C21" s="802">
        <f t="shared" si="6"/>
        <v>39223.360000000008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39223.360000000008</v>
      </c>
    </row>
    <row r="22" spans="1:46" ht="15.75">
      <c r="A22" s="575">
        <v>44298</v>
      </c>
      <c r="B22" s="846"/>
      <c r="C22" s="802">
        <f t="shared" si="6"/>
        <v>39223.360000000008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39223.360000000008</v>
      </c>
    </row>
    <row r="23" spans="1:46" ht="13.5" customHeight="1">
      <c r="A23" s="575">
        <v>44299</v>
      </c>
      <c r="B23" s="846"/>
      <c r="C23" s="802">
        <f t="shared" si="6"/>
        <v>39223.360000000008</v>
      </c>
      <c r="D23" s="803"/>
      <c r="E23" s="800"/>
      <c r="F23" s="805"/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39223.360000000008</v>
      </c>
    </row>
    <row r="24" spans="1:46" ht="15.75">
      <c r="A24" s="575">
        <v>44300</v>
      </c>
      <c r="B24" s="846"/>
      <c r="C24" s="802">
        <f t="shared" si="6"/>
        <v>39223.360000000008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 t="shared" si="0"/>
        <v>0</v>
      </c>
      <c r="T24" s="218">
        <f t="shared" si="1"/>
        <v>0</v>
      </c>
      <c r="U24" s="571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39223.360000000008</v>
      </c>
    </row>
    <row r="25" spans="1:46" ht="15.75">
      <c r="A25" s="575">
        <v>44301</v>
      </c>
      <c r="B25" s="826"/>
      <c r="C25" s="802">
        <f t="shared" si="6"/>
        <v>39223.360000000008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 t="shared" si="1"/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39223.360000000008</v>
      </c>
    </row>
    <row r="26" spans="1:46" ht="15.75">
      <c r="A26" s="575">
        <v>44302</v>
      </c>
      <c r="B26" s="826"/>
      <c r="C26" s="802">
        <f t="shared" si="6"/>
        <v>39223.360000000008</v>
      </c>
      <c r="D26" s="803"/>
      <c r="E26" s="800"/>
      <c r="F26" s="805"/>
      <c r="G26" s="801"/>
      <c r="H26" s="219"/>
      <c r="I26" s="223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 t="shared" si="1"/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39223.360000000008</v>
      </c>
    </row>
    <row r="27" spans="1:46" ht="15.75">
      <c r="A27" s="575">
        <v>44303</v>
      </c>
      <c r="B27" s="826"/>
      <c r="C27" s="802">
        <f t="shared" si="6"/>
        <v>39223.360000000008</v>
      </c>
      <c r="D27" s="803"/>
      <c r="E27" s="800"/>
      <c r="F27" s="804"/>
      <c r="G27" s="801"/>
      <c r="H27" s="219"/>
      <c r="I27" s="223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39223.360000000008</v>
      </c>
    </row>
    <row r="28" spans="1:46" ht="15.75">
      <c r="A28" s="575">
        <v>44304</v>
      </c>
      <c r="B28" s="826"/>
      <c r="C28" s="802">
        <f t="shared" si="6"/>
        <v>39223.360000000008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39223.360000000008</v>
      </c>
    </row>
    <row r="29" spans="1:46" ht="15.75">
      <c r="A29" s="575">
        <v>44305</v>
      </c>
      <c r="B29" s="826"/>
      <c r="C29" s="802">
        <f t="shared" si="6"/>
        <v>39223.360000000008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39223.360000000008</v>
      </c>
    </row>
    <row r="30" spans="1:46" ht="15.75">
      <c r="A30" s="575">
        <v>44306</v>
      </c>
      <c r="B30" s="826"/>
      <c r="C30" s="802">
        <f t="shared" si="6"/>
        <v>39223.360000000008</v>
      </c>
      <c r="D30" s="803"/>
      <c r="E30" s="800">
        <v>15000</v>
      </c>
      <c r="F30" s="848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39223.360000000008</v>
      </c>
    </row>
    <row r="31" spans="1:46" ht="15.75">
      <c r="A31" s="575">
        <v>44307</v>
      </c>
      <c r="B31" s="826"/>
      <c r="C31" s="802">
        <f t="shared" si="6"/>
        <v>39223.360000000008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39223.360000000008</v>
      </c>
    </row>
    <row r="32" spans="1:46" ht="15.75">
      <c r="A32" s="575">
        <v>44308</v>
      </c>
      <c r="B32" s="826"/>
      <c r="C32" s="802">
        <f t="shared" si="6"/>
        <v>39223.360000000008</v>
      </c>
      <c r="D32" s="803"/>
      <c r="E32" s="800"/>
      <c r="F32" s="804"/>
      <c r="G32" s="801"/>
      <c r="H32" s="219"/>
      <c r="I32" s="205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39223.360000000008</v>
      </c>
    </row>
    <row r="33" spans="1:46" ht="15.75">
      <c r="A33" s="575">
        <v>44309</v>
      </c>
      <c r="B33" s="826"/>
      <c r="C33" s="802">
        <f t="shared" si="6"/>
        <v>39223.360000000008</v>
      </c>
      <c r="D33" s="803"/>
      <c r="E33" s="800"/>
      <c r="F33" s="804"/>
      <c r="G33" s="801"/>
      <c r="H33" s="219"/>
      <c r="I33" s="205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39223.360000000008</v>
      </c>
    </row>
    <row r="34" spans="1:46" ht="15.75">
      <c r="A34" s="575">
        <v>44310</v>
      </c>
      <c r="B34" s="826"/>
      <c r="C34" s="802">
        <f t="shared" si="6"/>
        <v>39223.360000000008</v>
      </c>
      <c r="D34" s="803"/>
      <c r="E34" s="800"/>
      <c r="F34" s="804"/>
      <c r="G34" s="801"/>
      <c r="H34" s="204"/>
      <c r="I34" s="204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39223.360000000008</v>
      </c>
    </row>
    <row r="35" spans="1:46" ht="15.75">
      <c r="A35" s="575">
        <v>44311</v>
      </c>
      <c r="B35" s="826"/>
      <c r="C35" s="802">
        <f t="shared" si="6"/>
        <v>39223.360000000008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39223.360000000008</v>
      </c>
    </row>
    <row r="36" spans="1:46" ht="15.75">
      <c r="A36" s="575">
        <v>44312</v>
      </c>
      <c r="B36" s="826"/>
      <c r="C36" s="802">
        <f t="shared" si="6"/>
        <v>39223.360000000008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39223.360000000008</v>
      </c>
    </row>
    <row r="37" spans="1:46" ht="15.75">
      <c r="A37" s="575">
        <v>44313</v>
      </c>
      <c r="B37" s="826"/>
      <c r="C37" s="802">
        <f t="shared" si="6"/>
        <v>39223.360000000008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39223.360000000008</v>
      </c>
    </row>
    <row r="38" spans="1:46" ht="15.75">
      <c r="A38" s="575">
        <v>44314</v>
      </c>
      <c r="B38" s="826"/>
      <c r="C38" s="802">
        <f t="shared" si="6"/>
        <v>39223.360000000008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39223.360000000008</v>
      </c>
    </row>
    <row r="39" spans="1:46" ht="15.75">
      <c r="A39" s="575">
        <v>44315</v>
      </c>
      <c r="B39" s="826"/>
      <c r="C39" s="802">
        <f t="shared" si="6"/>
        <v>39223.360000000008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39223.360000000008</v>
      </c>
    </row>
    <row r="40" spans="1:46" ht="15.75">
      <c r="A40" s="575">
        <v>44316</v>
      </c>
      <c r="B40" s="826"/>
      <c r="C40" s="802">
        <f t="shared" si="6"/>
        <v>39223.360000000008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39223.360000000008</v>
      </c>
    </row>
    <row r="41" spans="1:46" ht="15.75">
      <c r="A41" s="575"/>
      <c r="B41" s="826"/>
      <c r="C41" s="802">
        <f t="shared" si="6"/>
        <v>39223.360000000008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39223.360000000008</v>
      </c>
    </row>
    <row r="42" spans="1:46" ht="14.25">
      <c r="A42" s="575"/>
      <c r="B42" s="574"/>
      <c r="C42" s="802">
        <f t="shared" si="6"/>
        <v>39223.360000000008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39223.360000000008</v>
      </c>
    </row>
    <row r="43" spans="1:46" ht="14.25">
      <c r="A43" s="495" t="s">
        <v>25</v>
      </c>
      <c r="B43" s="469">
        <f>AVERAGE(B11:B42)</f>
        <v>0.13822222222222222</v>
      </c>
      <c r="C43" s="798">
        <f t="shared" si="6"/>
        <v>39223.360000000008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39223.360000000008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2776.8900000000003</v>
      </c>
      <c r="H45" s="308">
        <f t="shared" si="8"/>
        <v>2593.5500000000002</v>
      </c>
      <c r="I45" s="313">
        <f t="shared" si="8"/>
        <v>0</v>
      </c>
      <c r="J45" s="308">
        <f t="shared" si="8"/>
        <v>3904.63</v>
      </c>
      <c r="K45" s="313">
        <f t="shared" si="8"/>
        <v>2669.3999999999996</v>
      </c>
      <c r="L45" s="308">
        <f t="shared" si="8"/>
        <v>0</v>
      </c>
      <c r="M45" s="313">
        <f t="shared" si="8"/>
        <v>9979</v>
      </c>
      <c r="N45" s="553">
        <f t="shared" si="8"/>
        <v>3175</v>
      </c>
      <c r="O45" s="313">
        <f t="shared" si="8"/>
        <v>0</v>
      </c>
      <c r="P45" s="308">
        <f>SUM(P11:P43)</f>
        <v>9583</v>
      </c>
      <c r="Q45" s="313">
        <f>SUM(Q11:Q44)</f>
        <v>6642</v>
      </c>
      <c r="R45" s="308">
        <f>SUM(R11:R44)</f>
        <v>0</v>
      </c>
      <c r="S45" s="551">
        <f>SUM(G45:L45)</f>
        <v>11944.47</v>
      </c>
      <c r="T45" s="308">
        <f>SUM(M45:R45)</f>
        <v>29379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235.08999999999997</v>
      </c>
      <c r="Y45" s="234">
        <f t="shared" si="9"/>
        <v>0</v>
      </c>
      <c r="Z45" s="546">
        <f t="shared" si="9"/>
        <v>363.95000000000005</v>
      </c>
      <c r="AA45" s="234">
        <f t="shared" si="9"/>
        <v>0</v>
      </c>
      <c r="AB45" s="546">
        <f t="shared" si="9"/>
        <v>0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464</v>
      </c>
      <c r="AI45" s="234">
        <f>SUM(AI9:AI39)</f>
        <v>230.2</v>
      </c>
      <c r="AJ45" s="546">
        <f>SUM(AJ9:AJ44)</f>
        <v>1348.1400000000003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13292.609999999997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385.30548387096781</v>
      </c>
      <c r="T47" s="316">
        <f>S45*2315</f>
        <v>27651448.049999997</v>
      </c>
      <c r="U47" s="317" t="s">
        <v>244</v>
      </c>
      <c r="AR47" s="522">
        <f>AR45*2143</f>
        <v>28486063.229999993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12080.143315858451</v>
      </c>
      <c r="U48" s="317" t="s">
        <v>245</v>
      </c>
      <c r="W48" s="191"/>
      <c r="X48" s="191"/>
      <c r="Y48" s="191"/>
      <c r="Z48" s="191"/>
      <c r="AA48" s="191"/>
      <c r="AR48" s="316">
        <f>AR47/2289</f>
        <v>12444.76331585845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2" sqref="F2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75952.149999999994</v>
      </c>
      <c r="G18" s="268">
        <f t="shared" si="0"/>
        <v>115.05999999997439</v>
      </c>
      <c r="H18" s="111">
        <f>[5]Gen!B19</f>
        <v>0.01</v>
      </c>
      <c r="I18" s="843">
        <f t="shared" si="2"/>
        <v>7595214.9999999991</v>
      </c>
      <c r="J18" s="844">
        <f t="shared" si="1"/>
        <v>1.5149011581630593E-5</v>
      </c>
      <c r="M18" s="156"/>
      <c r="N18" s="156"/>
    </row>
    <row r="19" spans="1:14" ht="18.75">
      <c r="A19" s="94">
        <f>Gen!A20</f>
        <v>44296</v>
      </c>
      <c r="B19" s="268"/>
      <c r="C19" s="268"/>
      <c r="D19" s="268"/>
      <c r="E19" s="268"/>
      <c r="F19" s="268"/>
      <c r="G19" s="268">
        <f t="shared" si="0"/>
        <v>-334189.46000000002</v>
      </c>
      <c r="H19" s="111">
        <f>[5]Gen!B20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44297</v>
      </c>
      <c r="B20" s="268"/>
      <c r="C20" s="268"/>
      <c r="D20" s="268"/>
      <c r="E20" s="268"/>
      <c r="F20" s="268"/>
      <c r="G20" s="268">
        <f t="shared" si="0"/>
        <v>0</v>
      </c>
      <c r="H20" s="111">
        <f>[5]Gen!B21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44298</v>
      </c>
      <c r="B21" s="268"/>
      <c r="C21" s="268"/>
      <c r="D21" s="268"/>
      <c r="E21" s="268"/>
      <c r="F21" s="268"/>
      <c r="G21" s="268">
        <f t="shared" si="0"/>
        <v>0</v>
      </c>
      <c r="H21" s="111">
        <f>[5]Gen!B22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44299</v>
      </c>
      <c r="B22" s="268"/>
      <c r="C22" s="268"/>
      <c r="D22" s="268"/>
      <c r="E22" s="268"/>
      <c r="F22" s="268"/>
      <c r="G22" s="268">
        <f t="shared" si="0"/>
        <v>0</v>
      </c>
      <c r="H22" s="111">
        <f>[5]Gen!B23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44300</v>
      </c>
      <c r="B23" s="268"/>
      <c r="C23" s="268"/>
      <c r="D23" s="268"/>
      <c r="E23" s="268"/>
      <c r="F23" s="268"/>
      <c r="G23" s="268">
        <f>(F23-F22)*4.4</f>
        <v>0</v>
      </c>
      <c r="H23" s="111">
        <f>[5]Gen!B24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44301</v>
      </c>
      <c r="B24" s="268"/>
      <c r="C24" s="268"/>
      <c r="D24" s="268"/>
      <c r="E24" s="268"/>
      <c r="F24" s="268"/>
      <c r="G24" s="268">
        <f t="shared" si="0"/>
        <v>0</v>
      </c>
      <c r="H24" s="111">
        <f>[5]Gen!B25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44302</v>
      </c>
      <c r="B25" s="268"/>
      <c r="C25" s="268"/>
      <c r="D25" s="268"/>
      <c r="E25" s="268"/>
      <c r="F25" s="268"/>
      <c r="G25" s="268">
        <f t="shared" si="0"/>
        <v>0</v>
      </c>
      <c r="H25" s="111">
        <f>[5]Gen!B26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44303</v>
      </c>
      <c r="B26" s="268"/>
      <c r="C26" s="268"/>
      <c r="D26" s="268"/>
      <c r="E26" s="268"/>
      <c r="F26" s="268"/>
      <c r="G26" s="268">
        <f t="shared" si="0"/>
        <v>0</v>
      </c>
      <c r="H26" s="111">
        <f>[5]Gen!B27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44304</v>
      </c>
      <c r="B27" s="268"/>
      <c r="C27" s="268"/>
      <c r="D27" s="268"/>
      <c r="E27" s="268"/>
      <c r="F27" s="268"/>
      <c r="G27" s="268">
        <f t="shared" si="0"/>
        <v>0</v>
      </c>
      <c r="H27" s="111">
        <f>[5]Gen!B28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44305</v>
      </c>
      <c r="B28" s="268"/>
      <c r="C28" s="268"/>
      <c r="D28" s="268"/>
      <c r="E28" s="268"/>
      <c r="F28" s="268"/>
      <c r="G28" s="268">
        <f t="shared" si="0"/>
        <v>0</v>
      </c>
      <c r="H28" s="111">
        <f>[5]Gen!B29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0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682823.46</v>
      </c>
      <c r="G42" s="101">
        <f>SUM(G10:G40)</f>
        <v>-332229.70000000007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I58" sqref="I5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/>
      <c r="E15" s="58" t="str">
        <f t="shared" si="1"/>
        <v>0</v>
      </c>
      <c r="F15" s="95">
        <f t="shared" si="2"/>
        <v>75790</v>
      </c>
      <c r="G15" s="387"/>
      <c r="H15" s="474" t="str">
        <f t="shared" si="13"/>
        <v>0</v>
      </c>
      <c r="I15" s="95">
        <f t="shared" si="3"/>
        <v>8377</v>
      </c>
      <c r="J15" s="1"/>
      <c r="K15" s="474" t="str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/>
      <c r="Q15" s="474" t="str">
        <f t="shared" si="7"/>
        <v>0</v>
      </c>
      <c r="R15" s="250"/>
      <c r="S15" s="245">
        <f t="shared" si="15"/>
        <v>68194</v>
      </c>
      <c r="T15" s="384"/>
      <c r="U15" s="475" t="str">
        <f t="shared" si="16"/>
        <v>0</v>
      </c>
      <c r="V15" s="245">
        <f t="shared" si="8"/>
        <v>73031</v>
      </c>
      <c r="W15" s="384"/>
      <c r="X15" s="475" t="str">
        <f t="shared" si="17"/>
        <v>0</v>
      </c>
      <c r="Y15" s="245">
        <f t="shared" si="9"/>
        <v>90129</v>
      </c>
      <c r="Z15" s="384"/>
      <c r="AA15" s="475" t="str">
        <f t="shared" si="18"/>
        <v>0</v>
      </c>
      <c r="AB15" s="606">
        <f t="shared" si="22"/>
        <v>18918</v>
      </c>
      <c r="AC15" s="610"/>
      <c r="AD15" s="609" t="str">
        <f t="shared" si="23"/>
        <v>0</v>
      </c>
      <c r="AE15" s="245">
        <f t="shared" si="27"/>
        <v>0</v>
      </c>
      <c r="AF15" s="385"/>
      <c r="AG15" s="475" t="str">
        <f t="shared" si="19"/>
        <v>0</v>
      </c>
      <c r="AH15" s="245">
        <f t="shared" si="11"/>
        <v>30557</v>
      </c>
      <c r="AI15" s="385"/>
      <c r="AJ15" s="475" t="str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44297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44298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44299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44300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44301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44302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44303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44304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44305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738</v>
      </c>
    </row>
    <row r="38" spans="1:41" ht="18.75">
      <c r="A38" s="57"/>
      <c r="B38" s="21"/>
      <c r="C38" s="927" t="s">
        <v>6</v>
      </c>
      <c r="D38" s="927"/>
      <c r="E38" s="22">
        <f>SUM(E6:E36)</f>
        <v>894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15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894</v>
      </c>
      <c r="S38" s="247"/>
      <c r="T38" s="247"/>
      <c r="U38" s="257">
        <f>SUM(U6:U37)</f>
        <v>738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738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44298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44299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44300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44301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44304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44305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115.05999999997439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142.59013888885715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 t="str">
        <f>'Water-Meter'!E15</f>
        <v>0</v>
      </c>
      <c r="L14" s="447">
        <f>'Lpg (2)'!G19</f>
        <v>-334189.46000000002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-414150.19569444447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894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B5" sqref="B5:B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39223.360000000008</v>
      </c>
      <c r="F14" s="396" t="str">
        <f>'Water-Meter'!E15</f>
        <v>0</v>
      </c>
      <c r="G14" s="397">
        <f>'Water-Meter'!AN15</f>
        <v>0</v>
      </c>
      <c r="H14" s="395">
        <f>'Utility report '!AC15</f>
        <v>-48890</v>
      </c>
      <c r="I14" s="394">
        <f>'Kit report'!F13</f>
        <v>-1107120</v>
      </c>
      <c r="J14" s="395">
        <f>'Kit report'!X13</f>
        <v>-1618460</v>
      </c>
    </row>
    <row r="15" spans="1:10" ht="17.100000000000001" customHeight="1" thickBot="1">
      <c r="A15" s="217">
        <f>Gen!A21</f>
        <v>44297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39223.360000000008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44298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39223.360000000008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44299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39223.360000000008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39223.360000000008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39223.360000000008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39223.360000000008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39223.360000000008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39223.360000000008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39223.360000000008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39223.360000000008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39223.360000000008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39223.360000000008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39223.360000000008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39223.360000000008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39223.360000000008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39223.360000000008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39223.360000000008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39223.360000000008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39223.360000000008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39223.360000000008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39223.360000000008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39223.360000000008</v>
      </c>
      <c r="F36" s="396">
        <f>'Water-Meter'!E37</f>
        <v>0</v>
      </c>
      <c r="G36" s="397">
        <f>'Water-Meter'!AN37</f>
        <v>738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2021-04-10T05:36:36Z</dcterms:modified>
</cp:coreProperties>
</file>