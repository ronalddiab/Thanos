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7" i="1" l="1"/>
  <c r="I368" i="4"/>
  <c r="I369" i="4"/>
  <c r="I370" i="4"/>
  <c r="E369" i="1" s="1"/>
  <c r="I371" i="4"/>
  <c r="I372" i="4"/>
  <c r="I373" i="4"/>
  <c r="E372" i="1" s="1"/>
  <c r="I374" i="4"/>
  <c r="I375" i="4"/>
  <c r="I376" i="4"/>
  <c r="I377" i="4"/>
  <c r="I378" i="4"/>
  <c r="I379" i="4"/>
  <c r="E378" i="1" s="1"/>
  <c r="I380" i="4"/>
  <c r="I381" i="4"/>
  <c r="I382" i="4"/>
  <c r="I383" i="4"/>
  <c r="I384" i="4"/>
  <c r="I385" i="4"/>
  <c r="E384" i="1" s="1"/>
  <c r="I386" i="4"/>
  <c r="I387" i="4"/>
  <c r="I388" i="4"/>
  <c r="I389" i="4"/>
  <c r="I390" i="4"/>
  <c r="I391" i="4"/>
  <c r="E390" i="1" s="1"/>
  <c r="I392" i="4"/>
  <c r="I393" i="4"/>
  <c r="I394" i="4"/>
  <c r="O367" i="4"/>
  <c r="I367" i="4"/>
  <c r="E368" i="1"/>
  <c r="I369" i="1"/>
  <c r="E370" i="1"/>
  <c r="I370" i="1"/>
  <c r="E371" i="1"/>
  <c r="G371" i="1"/>
  <c r="I371" i="1"/>
  <c r="G372" i="1"/>
  <c r="I372" i="1"/>
  <c r="E373" i="1"/>
  <c r="G373" i="1"/>
  <c r="I373" i="1"/>
  <c r="E374" i="1"/>
  <c r="G374" i="1"/>
  <c r="I374" i="1"/>
  <c r="E375" i="1"/>
  <c r="G375" i="1"/>
  <c r="I375" i="1"/>
  <c r="E376" i="1"/>
  <c r="G376" i="1"/>
  <c r="I376" i="1"/>
  <c r="E377" i="1"/>
  <c r="G377" i="1"/>
  <c r="I377" i="1"/>
  <c r="G378" i="1"/>
  <c r="I378" i="1"/>
  <c r="E379" i="1"/>
  <c r="G379" i="1"/>
  <c r="I379" i="1"/>
  <c r="E380" i="1"/>
  <c r="G380" i="1"/>
  <c r="I380" i="1"/>
  <c r="E381" i="1"/>
  <c r="G381" i="1"/>
  <c r="I381" i="1"/>
  <c r="E382" i="1"/>
  <c r="G382" i="1"/>
  <c r="I382" i="1"/>
  <c r="E383" i="1"/>
  <c r="G383" i="1"/>
  <c r="I383" i="1"/>
  <c r="G384" i="1"/>
  <c r="I384" i="1"/>
  <c r="E385" i="1"/>
  <c r="G385" i="1"/>
  <c r="I385" i="1"/>
  <c r="E386" i="1"/>
  <c r="G386" i="1"/>
  <c r="I386" i="1"/>
  <c r="E387" i="1"/>
  <c r="G387" i="1"/>
  <c r="I387" i="1"/>
  <c r="E388" i="1"/>
  <c r="G388" i="1"/>
  <c r="I388" i="1"/>
  <c r="E389" i="1"/>
  <c r="G389" i="1"/>
  <c r="I389" i="1"/>
  <c r="G390" i="1"/>
  <c r="I390" i="1"/>
  <c r="E391" i="1"/>
  <c r="G391" i="1"/>
  <c r="I391" i="1"/>
  <c r="E392" i="1"/>
  <c r="G392" i="1"/>
  <c r="I392" i="1"/>
  <c r="E393" i="1"/>
  <c r="G393" i="1"/>
  <c r="I393" i="1"/>
  <c r="E394" i="1"/>
  <c r="G394" i="1"/>
  <c r="I394" i="1"/>
  <c r="E395" i="1"/>
  <c r="G395" i="1"/>
  <c r="I395" i="1"/>
  <c r="E396" i="1"/>
  <c r="G396" i="1"/>
  <c r="I396" i="1"/>
  <c r="E397" i="1"/>
  <c r="G397" i="1"/>
  <c r="I397" i="1"/>
  <c r="E398" i="1"/>
  <c r="G398" i="1"/>
  <c r="I398" i="1"/>
  <c r="E399" i="1"/>
  <c r="G399" i="1"/>
  <c r="I399" i="1"/>
  <c r="E400" i="1"/>
  <c r="G400" i="1"/>
  <c r="I400" i="1"/>
  <c r="E401" i="1"/>
  <c r="G401" i="1"/>
  <c r="I401" i="1"/>
  <c r="E402" i="1"/>
  <c r="G402" i="1"/>
  <c r="I402" i="1"/>
  <c r="E403" i="1"/>
  <c r="G403" i="1"/>
  <c r="I403" i="1"/>
  <c r="E404" i="1"/>
  <c r="G404" i="1"/>
  <c r="I404" i="1"/>
  <c r="E405" i="1"/>
  <c r="G405" i="1"/>
  <c r="I405" i="1"/>
  <c r="E406" i="1"/>
  <c r="G406" i="1"/>
  <c r="I406" i="1"/>
  <c r="E407" i="1"/>
  <c r="G407" i="1"/>
  <c r="I407" i="1"/>
  <c r="E408" i="1"/>
  <c r="G408" i="1"/>
  <c r="I408" i="1"/>
  <c r="E409" i="1"/>
  <c r="G409" i="1"/>
  <c r="I409" i="1"/>
  <c r="E410" i="1"/>
  <c r="G410" i="1"/>
  <c r="I410" i="1"/>
  <c r="E411" i="1"/>
  <c r="G411" i="1"/>
  <c r="I411" i="1"/>
  <c r="E412" i="1"/>
  <c r="G412" i="1"/>
  <c r="I412" i="1"/>
  <c r="E413" i="1"/>
  <c r="G413" i="1"/>
  <c r="I413" i="1"/>
  <c r="E414" i="1"/>
  <c r="G414" i="1"/>
  <c r="I414" i="1"/>
  <c r="E415" i="1"/>
  <c r="G415" i="1"/>
  <c r="I415" i="1"/>
  <c r="E416" i="1"/>
  <c r="G416" i="1"/>
  <c r="I416" i="1"/>
  <c r="E417" i="1"/>
  <c r="G417" i="1"/>
  <c r="I417" i="1"/>
  <c r="E418" i="1"/>
  <c r="G418" i="1"/>
  <c r="I418" i="1"/>
  <c r="E419" i="1"/>
  <c r="G419" i="1"/>
  <c r="I419" i="1"/>
  <c r="E420" i="1"/>
  <c r="G420" i="1"/>
  <c r="I420" i="1"/>
  <c r="E421" i="1"/>
  <c r="G421" i="1"/>
  <c r="I421" i="1"/>
  <c r="E422" i="1"/>
  <c r="G422" i="1"/>
  <c r="I422" i="1"/>
  <c r="E423" i="1"/>
  <c r="G423" i="1"/>
  <c r="I423" i="1"/>
  <c r="E424" i="1"/>
  <c r="G424" i="1"/>
  <c r="I424" i="1"/>
  <c r="E425" i="1"/>
  <c r="G425" i="1"/>
  <c r="I425" i="1"/>
  <c r="E426" i="1"/>
  <c r="G426" i="1"/>
  <c r="I426" i="1"/>
  <c r="E427" i="1"/>
  <c r="G427" i="1"/>
  <c r="I427" i="1"/>
  <c r="E428" i="1"/>
  <c r="G428" i="1"/>
  <c r="I428" i="1"/>
  <c r="E429" i="1"/>
  <c r="G429" i="1"/>
  <c r="I429" i="1"/>
  <c r="E430" i="1"/>
  <c r="G430" i="1"/>
  <c r="I430" i="1"/>
  <c r="E431" i="1"/>
  <c r="G431" i="1"/>
  <c r="I431" i="1"/>
  <c r="E432" i="1"/>
  <c r="G432" i="1"/>
  <c r="I432" i="1"/>
  <c r="E433" i="1"/>
  <c r="G433" i="1"/>
  <c r="I433" i="1"/>
  <c r="E434" i="1"/>
  <c r="G434" i="1"/>
  <c r="I434" i="1"/>
  <c r="E435" i="1"/>
  <c r="G435" i="1"/>
  <c r="I435" i="1"/>
  <c r="E436" i="1"/>
  <c r="G436" i="1"/>
  <c r="I436" i="1"/>
  <c r="E437" i="1"/>
  <c r="G437" i="1"/>
  <c r="I437" i="1"/>
  <c r="E438" i="1"/>
  <c r="G438" i="1"/>
  <c r="I438" i="1"/>
  <c r="E439" i="1"/>
  <c r="G439" i="1"/>
  <c r="I439" i="1"/>
  <c r="E440" i="1"/>
  <c r="G440" i="1"/>
  <c r="I440" i="1"/>
  <c r="E441" i="1"/>
  <c r="G441" i="1"/>
  <c r="I441" i="1"/>
  <c r="E442" i="1"/>
  <c r="G442" i="1"/>
  <c r="I442" i="1"/>
  <c r="E443" i="1"/>
  <c r="G443" i="1"/>
  <c r="I443" i="1"/>
  <c r="E444" i="1"/>
  <c r="G444" i="1"/>
  <c r="I444" i="1"/>
  <c r="E445" i="1"/>
  <c r="G445" i="1"/>
  <c r="I445" i="1"/>
  <c r="E446" i="1"/>
  <c r="G446" i="1"/>
  <c r="I446" i="1"/>
  <c r="E447" i="1"/>
  <c r="G447" i="1"/>
  <c r="I447" i="1"/>
  <c r="E448" i="1"/>
  <c r="G448" i="1"/>
  <c r="I448" i="1"/>
  <c r="E449" i="1"/>
  <c r="G449" i="1"/>
  <c r="I449" i="1"/>
  <c r="E450" i="1"/>
  <c r="G450" i="1"/>
  <c r="I450" i="1"/>
  <c r="E451" i="1"/>
  <c r="G451" i="1"/>
  <c r="I451" i="1"/>
  <c r="E452" i="1"/>
  <c r="G452" i="1"/>
  <c r="I452" i="1"/>
  <c r="E453" i="1"/>
  <c r="G453" i="1"/>
  <c r="I453" i="1"/>
  <c r="E454" i="1"/>
  <c r="G454" i="1"/>
  <c r="I454" i="1"/>
  <c r="E455" i="1"/>
  <c r="G455" i="1"/>
  <c r="I455" i="1"/>
  <c r="E456" i="1"/>
  <c r="G456" i="1"/>
  <c r="I456" i="1"/>
  <c r="E457" i="1"/>
  <c r="G457" i="1"/>
  <c r="I457" i="1"/>
  <c r="E458" i="1"/>
  <c r="G458" i="1"/>
  <c r="I458" i="1"/>
  <c r="E459" i="1"/>
  <c r="G459" i="1"/>
  <c r="I459" i="1"/>
  <c r="E460" i="1"/>
  <c r="G460" i="1"/>
  <c r="I460" i="1"/>
  <c r="E461" i="1"/>
  <c r="G461" i="1"/>
  <c r="I461" i="1"/>
  <c r="E462" i="1"/>
  <c r="G462" i="1"/>
  <c r="I462" i="1"/>
  <c r="E463" i="1"/>
  <c r="G463" i="1"/>
  <c r="I463" i="1"/>
  <c r="E464" i="1"/>
  <c r="G464" i="1"/>
  <c r="I464" i="1"/>
  <c r="E465" i="1"/>
  <c r="G465" i="1"/>
  <c r="I465" i="1"/>
  <c r="E466" i="1"/>
  <c r="G466" i="1"/>
  <c r="I466" i="1"/>
  <c r="E467" i="1"/>
  <c r="G467" i="1"/>
  <c r="I467" i="1"/>
  <c r="E468" i="1"/>
  <c r="G468" i="1"/>
  <c r="I468" i="1"/>
  <c r="E469" i="1"/>
  <c r="G469" i="1"/>
  <c r="I469" i="1"/>
  <c r="E470" i="1"/>
  <c r="G470" i="1"/>
  <c r="I470" i="1"/>
  <c r="E471" i="1"/>
  <c r="G471" i="1"/>
  <c r="I471" i="1"/>
  <c r="E472" i="1"/>
  <c r="G472" i="1"/>
  <c r="I472" i="1"/>
  <c r="E473" i="1"/>
  <c r="G473" i="1"/>
  <c r="I473" i="1"/>
  <c r="E474" i="1"/>
  <c r="G474" i="1"/>
  <c r="I474" i="1"/>
  <c r="E475" i="1"/>
  <c r="G475" i="1"/>
  <c r="I475" i="1"/>
  <c r="E476" i="1"/>
  <c r="G476" i="1"/>
  <c r="I476" i="1"/>
  <c r="E477" i="1"/>
  <c r="G477" i="1"/>
  <c r="I477" i="1"/>
  <c r="E478" i="1"/>
  <c r="G478" i="1"/>
  <c r="I478" i="1"/>
  <c r="E479" i="1"/>
  <c r="G479" i="1"/>
  <c r="I479" i="1"/>
  <c r="E480" i="1"/>
  <c r="G480" i="1"/>
  <c r="I480" i="1"/>
  <c r="E481" i="1"/>
  <c r="G481" i="1"/>
  <c r="I481" i="1"/>
  <c r="E482" i="1"/>
  <c r="G482" i="1"/>
  <c r="I482" i="1"/>
  <c r="E483" i="1"/>
  <c r="G483" i="1"/>
  <c r="I483" i="1"/>
  <c r="E484" i="1"/>
  <c r="G484" i="1"/>
  <c r="I484" i="1"/>
  <c r="E485" i="1"/>
  <c r="G485" i="1"/>
  <c r="I485" i="1"/>
  <c r="E486" i="1"/>
  <c r="G486" i="1"/>
  <c r="I486" i="1"/>
  <c r="E487" i="1"/>
  <c r="G487" i="1"/>
  <c r="I487" i="1"/>
  <c r="E488" i="1"/>
  <c r="G488" i="1"/>
  <c r="I488" i="1"/>
  <c r="E489" i="1"/>
  <c r="G489" i="1"/>
  <c r="I489" i="1"/>
  <c r="E490" i="1"/>
  <c r="G490" i="1"/>
  <c r="I490" i="1"/>
  <c r="E491" i="1"/>
  <c r="G491" i="1"/>
  <c r="I491" i="1"/>
  <c r="E492" i="1"/>
  <c r="G492" i="1"/>
  <c r="I492" i="1"/>
  <c r="E493" i="1"/>
  <c r="G493" i="1"/>
  <c r="I493" i="1"/>
  <c r="E494" i="1"/>
  <c r="G494" i="1"/>
  <c r="I494" i="1"/>
  <c r="E495" i="1"/>
  <c r="G495" i="1"/>
  <c r="I495" i="1"/>
  <c r="E496" i="1"/>
  <c r="G496" i="1"/>
  <c r="I496" i="1"/>
  <c r="E497" i="1"/>
  <c r="G497" i="1"/>
  <c r="I497" i="1"/>
  <c r="E498" i="1"/>
  <c r="G498" i="1"/>
  <c r="I498" i="1"/>
  <c r="E499" i="1"/>
  <c r="G499" i="1"/>
  <c r="I499" i="1"/>
  <c r="E500" i="1"/>
  <c r="G500" i="1"/>
  <c r="I500" i="1"/>
  <c r="E501" i="1"/>
  <c r="G501" i="1"/>
  <c r="I501" i="1"/>
  <c r="E502" i="1"/>
  <c r="G502" i="1"/>
  <c r="I502" i="1"/>
  <c r="E503" i="1"/>
  <c r="G503" i="1"/>
  <c r="I503" i="1"/>
  <c r="E504" i="1"/>
  <c r="G504" i="1"/>
  <c r="I504" i="1"/>
  <c r="E505" i="1"/>
  <c r="G505" i="1"/>
  <c r="I505" i="1"/>
  <c r="E506" i="1"/>
  <c r="G506" i="1"/>
  <c r="I506" i="1"/>
  <c r="E507" i="1"/>
  <c r="G507" i="1"/>
  <c r="I507" i="1"/>
  <c r="E508" i="1"/>
  <c r="G508" i="1"/>
  <c r="I508" i="1"/>
  <c r="E509" i="1"/>
  <c r="G509" i="1"/>
  <c r="I509" i="1"/>
  <c r="E510" i="1"/>
  <c r="G510" i="1"/>
  <c r="I510" i="1"/>
  <c r="E511" i="1"/>
  <c r="G511" i="1"/>
  <c r="I511" i="1"/>
  <c r="E512" i="1"/>
  <c r="G512" i="1"/>
  <c r="I512" i="1"/>
  <c r="E513" i="1"/>
  <c r="G513" i="1"/>
  <c r="I513" i="1"/>
  <c r="E514" i="1"/>
  <c r="G514" i="1"/>
  <c r="I514" i="1"/>
  <c r="E515" i="1"/>
  <c r="G515" i="1"/>
  <c r="I515" i="1"/>
  <c r="E516" i="1"/>
  <c r="G516" i="1"/>
  <c r="I516" i="1"/>
  <c r="E517" i="1"/>
  <c r="G517" i="1"/>
  <c r="I517" i="1"/>
  <c r="E518" i="1"/>
  <c r="G518" i="1"/>
  <c r="I518" i="1"/>
  <c r="E519" i="1"/>
  <c r="G519" i="1"/>
  <c r="I519" i="1"/>
  <c r="E520" i="1"/>
  <c r="G520" i="1"/>
  <c r="I520" i="1"/>
  <c r="E521" i="1"/>
  <c r="G521" i="1"/>
  <c r="I521" i="1"/>
  <c r="E522" i="1"/>
  <c r="G522" i="1"/>
  <c r="I522" i="1"/>
  <c r="E523" i="1"/>
  <c r="G523" i="1"/>
  <c r="I523" i="1"/>
  <c r="E524" i="1"/>
  <c r="G524" i="1"/>
  <c r="I524" i="1"/>
  <c r="E525" i="1"/>
  <c r="G525" i="1"/>
  <c r="I525" i="1"/>
  <c r="E526" i="1"/>
  <c r="G526" i="1"/>
  <c r="I526" i="1"/>
  <c r="E527" i="1"/>
  <c r="G527" i="1"/>
  <c r="I527" i="1"/>
  <c r="E528" i="1"/>
  <c r="G528" i="1"/>
  <c r="I528" i="1"/>
  <c r="E529" i="1"/>
  <c r="G529" i="1"/>
  <c r="I529" i="1"/>
  <c r="E530" i="1"/>
  <c r="G530" i="1"/>
  <c r="I530" i="1"/>
  <c r="E531" i="1"/>
  <c r="G531" i="1"/>
  <c r="I531" i="1"/>
  <c r="E532" i="1"/>
  <c r="G532" i="1"/>
  <c r="I532" i="1"/>
  <c r="E533" i="1"/>
  <c r="G533" i="1"/>
  <c r="I533" i="1"/>
  <c r="E534" i="1"/>
  <c r="G534" i="1"/>
  <c r="I534" i="1"/>
  <c r="E535" i="1"/>
  <c r="G535" i="1"/>
  <c r="I535" i="1"/>
  <c r="E536" i="1"/>
  <c r="G536" i="1"/>
  <c r="I536" i="1"/>
  <c r="E537" i="1"/>
  <c r="G537" i="1"/>
  <c r="I537" i="1"/>
  <c r="E538" i="1"/>
  <c r="G538" i="1"/>
  <c r="I538" i="1"/>
  <c r="E539" i="1"/>
  <c r="G539" i="1"/>
  <c r="I539" i="1"/>
  <c r="E540" i="1"/>
  <c r="G540" i="1"/>
  <c r="I540" i="1"/>
  <c r="E541" i="1"/>
  <c r="G541" i="1"/>
  <c r="I541" i="1"/>
  <c r="E542" i="1"/>
  <c r="G542" i="1"/>
  <c r="I542" i="1"/>
  <c r="E543" i="1"/>
  <c r="G543" i="1"/>
  <c r="I543" i="1"/>
  <c r="E544" i="1"/>
  <c r="G544" i="1"/>
  <c r="I544" i="1"/>
  <c r="E545" i="1"/>
  <c r="G545" i="1"/>
  <c r="I545" i="1"/>
  <c r="E546" i="1"/>
  <c r="G546" i="1"/>
  <c r="I546" i="1"/>
  <c r="E547" i="1"/>
  <c r="G547" i="1"/>
  <c r="I547" i="1"/>
  <c r="E548" i="1"/>
  <c r="G548" i="1"/>
  <c r="I548" i="1"/>
  <c r="E549" i="1"/>
  <c r="G549" i="1"/>
  <c r="I549" i="1"/>
  <c r="E550" i="1"/>
  <c r="G550" i="1"/>
  <c r="I550" i="1"/>
  <c r="E551" i="1"/>
  <c r="G551" i="1"/>
  <c r="I551" i="1"/>
  <c r="E552" i="1"/>
  <c r="G552" i="1"/>
  <c r="I552" i="1"/>
  <c r="E553" i="1"/>
  <c r="G553" i="1"/>
  <c r="I553" i="1"/>
  <c r="E554" i="1"/>
  <c r="G554" i="1"/>
  <c r="I554" i="1"/>
  <c r="E555" i="1"/>
  <c r="G555" i="1"/>
  <c r="I555" i="1"/>
  <c r="E556" i="1"/>
  <c r="G556" i="1"/>
  <c r="I556" i="1"/>
  <c r="E557" i="1"/>
  <c r="G557" i="1"/>
  <c r="I557" i="1"/>
  <c r="E558" i="1"/>
  <c r="G558" i="1"/>
  <c r="I558" i="1"/>
  <c r="E559" i="1"/>
  <c r="G559" i="1"/>
  <c r="I559" i="1"/>
  <c r="E560" i="1"/>
  <c r="G560" i="1"/>
  <c r="I560" i="1"/>
  <c r="E561" i="1"/>
  <c r="G561" i="1"/>
  <c r="I561" i="1"/>
  <c r="E562" i="1"/>
  <c r="G562" i="1"/>
  <c r="I562" i="1"/>
  <c r="E563" i="1"/>
  <c r="G563" i="1"/>
  <c r="I563" i="1"/>
  <c r="E564" i="1"/>
  <c r="G564" i="1"/>
  <c r="I564" i="1"/>
  <c r="J368" i="4"/>
  <c r="K368" i="4" s="1"/>
  <c r="L368" i="4"/>
  <c r="J369" i="4"/>
  <c r="K369" i="4" s="1"/>
  <c r="L369" i="4"/>
  <c r="J370" i="4"/>
  <c r="K370" i="4" s="1"/>
  <c r="L370" i="4"/>
  <c r="M370" i="4" s="1"/>
  <c r="J371" i="4"/>
  <c r="K371" i="4"/>
  <c r="L371" i="4"/>
  <c r="M371" i="4"/>
  <c r="J372" i="4"/>
  <c r="K372" i="4"/>
  <c r="L372" i="4"/>
  <c r="M372" i="4"/>
  <c r="J373" i="4"/>
  <c r="K373" i="4"/>
  <c r="L373" i="4"/>
  <c r="M373" i="4"/>
  <c r="J374" i="4"/>
  <c r="K374" i="4"/>
  <c r="L374" i="4"/>
  <c r="M374" i="4"/>
  <c r="J375" i="4"/>
  <c r="K375" i="4"/>
  <c r="L375" i="4"/>
  <c r="M375" i="4"/>
  <c r="J376" i="4"/>
  <c r="K376" i="4"/>
  <c r="L376" i="4"/>
  <c r="M376" i="4"/>
  <c r="J377" i="4"/>
  <c r="K377" i="4"/>
  <c r="L377" i="4"/>
  <c r="M377" i="4"/>
  <c r="J378" i="4"/>
  <c r="K378" i="4"/>
  <c r="L378" i="4"/>
  <c r="M378" i="4"/>
  <c r="J379" i="4"/>
  <c r="K379" i="4"/>
  <c r="L379" i="4"/>
  <c r="M379" i="4"/>
  <c r="J380" i="4"/>
  <c r="K380" i="4"/>
  <c r="L380" i="4"/>
  <c r="M380" i="4"/>
  <c r="J381" i="4"/>
  <c r="K381" i="4"/>
  <c r="L381" i="4"/>
  <c r="M381" i="4"/>
  <c r="J382" i="4"/>
  <c r="K382" i="4"/>
  <c r="L382" i="4"/>
  <c r="M382" i="4"/>
  <c r="J383" i="4"/>
  <c r="K383" i="4"/>
  <c r="L383" i="4"/>
  <c r="M383" i="4"/>
  <c r="J384" i="4"/>
  <c r="K384" i="4"/>
  <c r="L384" i="4"/>
  <c r="M384" i="4"/>
  <c r="J385" i="4"/>
  <c r="K385" i="4"/>
  <c r="L385" i="4"/>
  <c r="M385" i="4"/>
  <c r="J386" i="4"/>
  <c r="K386" i="4"/>
  <c r="L386" i="4"/>
  <c r="M386" i="4"/>
  <c r="J387" i="4"/>
  <c r="K387" i="4"/>
  <c r="L387" i="4"/>
  <c r="M387" i="4"/>
  <c r="J388" i="4"/>
  <c r="K388" i="4"/>
  <c r="L388" i="4"/>
  <c r="M388" i="4"/>
  <c r="J389" i="4"/>
  <c r="K389" i="4"/>
  <c r="L389" i="4"/>
  <c r="M389" i="4"/>
  <c r="J390" i="4"/>
  <c r="K390" i="4"/>
  <c r="L390" i="4"/>
  <c r="M390" i="4"/>
  <c r="J391" i="4"/>
  <c r="K391" i="4"/>
  <c r="L391" i="4"/>
  <c r="M391" i="4"/>
  <c r="J392" i="4"/>
  <c r="K392" i="4"/>
  <c r="L392" i="4"/>
  <c r="M392" i="4"/>
  <c r="J393" i="4"/>
  <c r="K393" i="4"/>
  <c r="L393" i="4"/>
  <c r="M393" i="4"/>
  <c r="J394" i="4"/>
  <c r="K394" i="4"/>
  <c r="L394" i="4"/>
  <c r="M394" i="4"/>
  <c r="I395" i="4"/>
  <c r="J395" i="4"/>
  <c r="K395" i="4"/>
  <c r="L395" i="4"/>
  <c r="M395" i="4"/>
  <c r="I396" i="4"/>
  <c r="J396" i="4"/>
  <c r="K396" i="4"/>
  <c r="L396" i="4"/>
  <c r="M396" i="4"/>
  <c r="I397" i="4"/>
  <c r="J397" i="4"/>
  <c r="K397" i="4"/>
  <c r="L397" i="4"/>
  <c r="M397" i="4"/>
  <c r="I398" i="4"/>
  <c r="J398" i="4"/>
  <c r="K398" i="4"/>
  <c r="L398" i="4"/>
  <c r="M398" i="4"/>
  <c r="I399" i="4"/>
  <c r="J399" i="4"/>
  <c r="K399" i="4"/>
  <c r="L399" i="4"/>
  <c r="M399" i="4"/>
  <c r="I400" i="4"/>
  <c r="J400" i="4"/>
  <c r="K400" i="4"/>
  <c r="L400" i="4"/>
  <c r="M400" i="4"/>
  <c r="I401" i="4"/>
  <c r="J401" i="4"/>
  <c r="K401" i="4"/>
  <c r="L401" i="4"/>
  <c r="M401" i="4"/>
  <c r="I402" i="4"/>
  <c r="J402" i="4"/>
  <c r="K402" i="4"/>
  <c r="L402" i="4"/>
  <c r="M402" i="4"/>
  <c r="I403" i="4"/>
  <c r="J403" i="4"/>
  <c r="K403" i="4"/>
  <c r="L403" i="4"/>
  <c r="M403" i="4"/>
  <c r="I404" i="4"/>
  <c r="J404" i="4"/>
  <c r="K404" i="4"/>
  <c r="L404" i="4"/>
  <c r="M404" i="4"/>
  <c r="I405" i="4"/>
  <c r="J405" i="4"/>
  <c r="K405" i="4"/>
  <c r="L405" i="4"/>
  <c r="M405" i="4"/>
  <c r="I406" i="4"/>
  <c r="J406" i="4"/>
  <c r="K406" i="4"/>
  <c r="L406" i="4"/>
  <c r="M406" i="4"/>
  <c r="I407" i="4"/>
  <c r="J407" i="4"/>
  <c r="K407" i="4"/>
  <c r="L407" i="4"/>
  <c r="M407" i="4"/>
  <c r="I408" i="4"/>
  <c r="J408" i="4"/>
  <c r="K408" i="4"/>
  <c r="L408" i="4"/>
  <c r="M408" i="4"/>
  <c r="I409" i="4"/>
  <c r="J409" i="4"/>
  <c r="K409" i="4"/>
  <c r="L409" i="4"/>
  <c r="M409" i="4"/>
  <c r="I410" i="4"/>
  <c r="J410" i="4"/>
  <c r="K410" i="4"/>
  <c r="L410" i="4"/>
  <c r="M410" i="4"/>
  <c r="I411" i="4"/>
  <c r="J411" i="4"/>
  <c r="K411" i="4"/>
  <c r="L411" i="4"/>
  <c r="M411" i="4"/>
  <c r="I412" i="4"/>
  <c r="J412" i="4"/>
  <c r="K412" i="4"/>
  <c r="L412" i="4"/>
  <c r="M412" i="4"/>
  <c r="I413" i="4"/>
  <c r="J413" i="4"/>
  <c r="K413" i="4"/>
  <c r="L413" i="4"/>
  <c r="M413" i="4"/>
  <c r="I414" i="4"/>
  <c r="J414" i="4"/>
  <c r="K414" i="4"/>
  <c r="L414" i="4"/>
  <c r="M414" i="4"/>
  <c r="I415" i="4"/>
  <c r="J415" i="4"/>
  <c r="K415" i="4"/>
  <c r="L415" i="4"/>
  <c r="M415" i="4"/>
  <c r="I416" i="4"/>
  <c r="J416" i="4"/>
  <c r="K416" i="4"/>
  <c r="L416" i="4"/>
  <c r="M416" i="4"/>
  <c r="I417" i="4"/>
  <c r="J417" i="4"/>
  <c r="K417" i="4"/>
  <c r="L417" i="4"/>
  <c r="M417" i="4"/>
  <c r="I418" i="4"/>
  <c r="J418" i="4"/>
  <c r="K418" i="4"/>
  <c r="L418" i="4"/>
  <c r="M418" i="4"/>
  <c r="I419" i="4"/>
  <c r="J419" i="4"/>
  <c r="K419" i="4"/>
  <c r="L419" i="4"/>
  <c r="M419" i="4"/>
  <c r="I420" i="4"/>
  <c r="J420" i="4"/>
  <c r="K420" i="4"/>
  <c r="L420" i="4"/>
  <c r="M420" i="4"/>
  <c r="I421" i="4"/>
  <c r="J421" i="4"/>
  <c r="K421" i="4"/>
  <c r="L421" i="4"/>
  <c r="M421" i="4"/>
  <c r="I422" i="4"/>
  <c r="J422" i="4"/>
  <c r="K422" i="4"/>
  <c r="L422" i="4"/>
  <c r="M422" i="4"/>
  <c r="I423" i="4"/>
  <c r="J423" i="4"/>
  <c r="K423" i="4"/>
  <c r="L423" i="4"/>
  <c r="M423" i="4"/>
  <c r="I424" i="4"/>
  <c r="J424" i="4"/>
  <c r="K424" i="4"/>
  <c r="L424" i="4"/>
  <c r="M424" i="4"/>
  <c r="I425" i="4"/>
  <c r="J425" i="4"/>
  <c r="K425" i="4"/>
  <c r="L425" i="4"/>
  <c r="M425" i="4"/>
  <c r="I426" i="4"/>
  <c r="J426" i="4"/>
  <c r="K426" i="4"/>
  <c r="L426" i="4"/>
  <c r="M426" i="4"/>
  <c r="I427" i="4"/>
  <c r="J427" i="4"/>
  <c r="K427" i="4"/>
  <c r="L427" i="4"/>
  <c r="M427" i="4"/>
  <c r="I428" i="4"/>
  <c r="J428" i="4"/>
  <c r="K428" i="4"/>
  <c r="L428" i="4"/>
  <c r="M428" i="4"/>
  <c r="I429" i="4"/>
  <c r="J429" i="4"/>
  <c r="K429" i="4"/>
  <c r="L429" i="4"/>
  <c r="M429" i="4"/>
  <c r="I430" i="4"/>
  <c r="J430" i="4"/>
  <c r="K430" i="4"/>
  <c r="L430" i="4"/>
  <c r="M430" i="4"/>
  <c r="I431" i="4"/>
  <c r="J431" i="4"/>
  <c r="K431" i="4"/>
  <c r="L431" i="4"/>
  <c r="M431" i="4"/>
  <c r="I432" i="4"/>
  <c r="J432" i="4"/>
  <c r="K432" i="4"/>
  <c r="L432" i="4"/>
  <c r="M432" i="4"/>
  <c r="I433" i="4"/>
  <c r="J433" i="4"/>
  <c r="K433" i="4"/>
  <c r="L433" i="4"/>
  <c r="M433" i="4"/>
  <c r="I434" i="4"/>
  <c r="J434" i="4"/>
  <c r="K434" i="4"/>
  <c r="L434" i="4"/>
  <c r="M434" i="4"/>
  <c r="I435" i="4"/>
  <c r="J435" i="4"/>
  <c r="K435" i="4"/>
  <c r="L435" i="4"/>
  <c r="M435" i="4"/>
  <c r="I436" i="4"/>
  <c r="J436" i="4"/>
  <c r="K436" i="4"/>
  <c r="L436" i="4"/>
  <c r="M436" i="4"/>
  <c r="I437" i="4"/>
  <c r="J437" i="4"/>
  <c r="K437" i="4"/>
  <c r="L437" i="4"/>
  <c r="M437" i="4"/>
  <c r="I438" i="4"/>
  <c r="J438" i="4"/>
  <c r="K438" i="4"/>
  <c r="L438" i="4"/>
  <c r="M438" i="4"/>
  <c r="I439" i="4"/>
  <c r="J439" i="4"/>
  <c r="K439" i="4"/>
  <c r="L439" i="4"/>
  <c r="M439" i="4"/>
  <c r="I440" i="4"/>
  <c r="J440" i="4"/>
  <c r="K440" i="4"/>
  <c r="L440" i="4"/>
  <c r="M440" i="4"/>
  <c r="I441" i="4"/>
  <c r="J441" i="4"/>
  <c r="K441" i="4"/>
  <c r="L441" i="4"/>
  <c r="M441" i="4"/>
  <c r="I442" i="4"/>
  <c r="J442" i="4"/>
  <c r="K442" i="4"/>
  <c r="L442" i="4"/>
  <c r="M442" i="4"/>
  <c r="I443" i="4"/>
  <c r="J443" i="4"/>
  <c r="K443" i="4"/>
  <c r="L443" i="4"/>
  <c r="M443" i="4"/>
  <c r="I444" i="4"/>
  <c r="J444" i="4"/>
  <c r="K444" i="4"/>
  <c r="L444" i="4"/>
  <c r="M444" i="4"/>
  <c r="I445" i="4"/>
  <c r="J445" i="4"/>
  <c r="K445" i="4"/>
  <c r="L445" i="4"/>
  <c r="M445" i="4"/>
  <c r="I446" i="4"/>
  <c r="J446" i="4"/>
  <c r="K446" i="4"/>
  <c r="L446" i="4"/>
  <c r="M446" i="4"/>
  <c r="I447" i="4"/>
  <c r="J447" i="4"/>
  <c r="K447" i="4"/>
  <c r="L447" i="4"/>
  <c r="M447" i="4"/>
  <c r="I448" i="4"/>
  <c r="J448" i="4"/>
  <c r="K448" i="4"/>
  <c r="L448" i="4"/>
  <c r="M448" i="4"/>
  <c r="I449" i="4"/>
  <c r="J449" i="4"/>
  <c r="K449" i="4"/>
  <c r="L449" i="4"/>
  <c r="M449" i="4"/>
  <c r="I450" i="4"/>
  <c r="J450" i="4"/>
  <c r="K450" i="4"/>
  <c r="L450" i="4"/>
  <c r="M450" i="4"/>
  <c r="I451" i="4"/>
  <c r="J451" i="4"/>
  <c r="K451" i="4"/>
  <c r="L451" i="4"/>
  <c r="M451" i="4"/>
  <c r="I452" i="4"/>
  <c r="J452" i="4"/>
  <c r="K452" i="4"/>
  <c r="L452" i="4"/>
  <c r="M452" i="4"/>
  <c r="I453" i="4"/>
  <c r="J453" i="4"/>
  <c r="K453" i="4"/>
  <c r="L453" i="4"/>
  <c r="M453" i="4"/>
  <c r="I454" i="4"/>
  <c r="J454" i="4"/>
  <c r="K454" i="4"/>
  <c r="L454" i="4"/>
  <c r="M454" i="4"/>
  <c r="I455" i="4"/>
  <c r="J455" i="4"/>
  <c r="K455" i="4"/>
  <c r="L455" i="4"/>
  <c r="M455" i="4"/>
  <c r="I456" i="4"/>
  <c r="J456" i="4"/>
  <c r="K456" i="4"/>
  <c r="L456" i="4"/>
  <c r="M456" i="4"/>
  <c r="I457" i="4"/>
  <c r="J457" i="4"/>
  <c r="K457" i="4"/>
  <c r="L457" i="4"/>
  <c r="M457" i="4"/>
  <c r="I458" i="4"/>
  <c r="J458" i="4"/>
  <c r="K458" i="4"/>
  <c r="L458" i="4"/>
  <c r="M458" i="4"/>
  <c r="I459" i="4"/>
  <c r="J459" i="4"/>
  <c r="K459" i="4"/>
  <c r="L459" i="4"/>
  <c r="M459" i="4"/>
  <c r="I460" i="4"/>
  <c r="J460" i="4"/>
  <c r="K460" i="4"/>
  <c r="L460" i="4"/>
  <c r="M460" i="4"/>
  <c r="I461" i="4"/>
  <c r="J461" i="4"/>
  <c r="K461" i="4"/>
  <c r="L461" i="4"/>
  <c r="M461" i="4"/>
  <c r="I462" i="4"/>
  <c r="J462" i="4"/>
  <c r="K462" i="4"/>
  <c r="L462" i="4"/>
  <c r="M462" i="4"/>
  <c r="I463" i="4"/>
  <c r="J463" i="4"/>
  <c r="K463" i="4"/>
  <c r="L463" i="4"/>
  <c r="M463" i="4"/>
  <c r="I464" i="4"/>
  <c r="J464" i="4"/>
  <c r="K464" i="4"/>
  <c r="L464" i="4"/>
  <c r="M464" i="4"/>
  <c r="I465" i="4"/>
  <c r="J465" i="4"/>
  <c r="K465" i="4"/>
  <c r="L465" i="4"/>
  <c r="M465" i="4"/>
  <c r="I466" i="4"/>
  <c r="J466" i="4"/>
  <c r="K466" i="4"/>
  <c r="L466" i="4"/>
  <c r="M466" i="4"/>
  <c r="I467" i="4"/>
  <c r="J467" i="4"/>
  <c r="K467" i="4"/>
  <c r="L467" i="4"/>
  <c r="M467" i="4"/>
  <c r="I468" i="4"/>
  <c r="J468" i="4"/>
  <c r="K468" i="4"/>
  <c r="L468" i="4"/>
  <c r="M468" i="4"/>
  <c r="I469" i="4"/>
  <c r="J469" i="4"/>
  <c r="K469" i="4"/>
  <c r="L469" i="4"/>
  <c r="M469" i="4"/>
  <c r="I470" i="4"/>
  <c r="J470" i="4"/>
  <c r="K470" i="4"/>
  <c r="L470" i="4"/>
  <c r="M470" i="4"/>
  <c r="I471" i="4"/>
  <c r="J471" i="4"/>
  <c r="K471" i="4"/>
  <c r="L471" i="4"/>
  <c r="M471" i="4"/>
  <c r="I472" i="4"/>
  <c r="J472" i="4"/>
  <c r="K472" i="4"/>
  <c r="L472" i="4"/>
  <c r="M472" i="4"/>
  <c r="I473" i="4"/>
  <c r="J473" i="4"/>
  <c r="K473" i="4"/>
  <c r="L473" i="4"/>
  <c r="M473" i="4"/>
  <c r="I474" i="4"/>
  <c r="J474" i="4"/>
  <c r="K474" i="4"/>
  <c r="L474" i="4"/>
  <c r="M474" i="4"/>
  <c r="I475" i="4"/>
  <c r="J475" i="4"/>
  <c r="K475" i="4"/>
  <c r="L475" i="4"/>
  <c r="M475" i="4"/>
  <c r="I476" i="4"/>
  <c r="J476" i="4"/>
  <c r="K476" i="4"/>
  <c r="L476" i="4"/>
  <c r="M476" i="4"/>
  <c r="I477" i="4"/>
  <c r="J477" i="4"/>
  <c r="K477" i="4"/>
  <c r="L477" i="4"/>
  <c r="M477" i="4"/>
  <c r="I478" i="4"/>
  <c r="J478" i="4"/>
  <c r="K478" i="4"/>
  <c r="L478" i="4"/>
  <c r="M478" i="4"/>
  <c r="I479" i="4"/>
  <c r="J479" i="4"/>
  <c r="K479" i="4"/>
  <c r="L479" i="4"/>
  <c r="M479" i="4"/>
  <c r="I480" i="4"/>
  <c r="J480" i="4"/>
  <c r="K480" i="4"/>
  <c r="L480" i="4"/>
  <c r="M480" i="4"/>
  <c r="I481" i="4"/>
  <c r="J481" i="4"/>
  <c r="K481" i="4"/>
  <c r="L481" i="4"/>
  <c r="M481" i="4"/>
  <c r="I482" i="4"/>
  <c r="J482" i="4"/>
  <c r="K482" i="4"/>
  <c r="L482" i="4"/>
  <c r="M482" i="4"/>
  <c r="I483" i="4"/>
  <c r="J483" i="4"/>
  <c r="K483" i="4"/>
  <c r="L483" i="4"/>
  <c r="M483" i="4"/>
  <c r="I484" i="4"/>
  <c r="J484" i="4"/>
  <c r="K484" i="4"/>
  <c r="L484" i="4"/>
  <c r="M484" i="4"/>
  <c r="I485" i="4"/>
  <c r="J485" i="4"/>
  <c r="K485" i="4"/>
  <c r="L485" i="4"/>
  <c r="M485" i="4"/>
  <c r="I486" i="4"/>
  <c r="J486" i="4"/>
  <c r="K486" i="4"/>
  <c r="L486" i="4"/>
  <c r="M486" i="4"/>
  <c r="I487" i="4"/>
  <c r="J487" i="4"/>
  <c r="K487" i="4"/>
  <c r="L487" i="4"/>
  <c r="M487" i="4"/>
  <c r="I488" i="4"/>
  <c r="J488" i="4"/>
  <c r="K488" i="4"/>
  <c r="L488" i="4"/>
  <c r="M488" i="4"/>
  <c r="I489" i="4"/>
  <c r="J489" i="4"/>
  <c r="K489" i="4"/>
  <c r="L489" i="4"/>
  <c r="M489" i="4"/>
  <c r="I490" i="4"/>
  <c r="J490" i="4"/>
  <c r="K490" i="4"/>
  <c r="L490" i="4"/>
  <c r="M490" i="4"/>
  <c r="I491" i="4"/>
  <c r="J491" i="4"/>
  <c r="K491" i="4"/>
  <c r="L491" i="4"/>
  <c r="M491" i="4"/>
  <c r="I492" i="4"/>
  <c r="J492" i="4"/>
  <c r="K492" i="4"/>
  <c r="L492" i="4"/>
  <c r="M492" i="4"/>
  <c r="I493" i="4"/>
  <c r="J493" i="4"/>
  <c r="K493" i="4"/>
  <c r="L493" i="4"/>
  <c r="M493" i="4"/>
  <c r="I494" i="4"/>
  <c r="J494" i="4"/>
  <c r="K494" i="4"/>
  <c r="L494" i="4"/>
  <c r="M494" i="4"/>
  <c r="I495" i="4"/>
  <c r="J495" i="4"/>
  <c r="K495" i="4"/>
  <c r="L495" i="4"/>
  <c r="M495" i="4"/>
  <c r="I496" i="4"/>
  <c r="J496" i="4"/>
  <c r="K496" i="4"/>
  <c r="L496" i="4"/>
  <c r="M496" i="4"/>
  <c r="I497" i="4"/>
  <c r="J497" i="4"/>
  <c r="K497" i="4"/>
  <c r="L497" i="4"/>
  <c r="M497" i="4"/>
  <c r="I498" i="4"/>
  <c r="J498" i="4"/>
  <c r="K498" i="4"/>
  <c r="L498" i="4"/>
  <c r="M498" i="4"/>
  <c r="I499" i="4"/>
  <c r="J499" i="4"/>
  <c r="K499" i="4"/>
  <c r="L499" i="4"/>
  <c r="M499" i="4"/>
  <c r="I500" i="4"/>
  <c r="J500" i="4"/>
  <c r="K500" i="4"/>
  <c r="L500" i="4"/>
  <c r="M500" i="4"/>
  <c r="I501" i="4"/>
  <c r="J501" i="4"/>
  <c r="K501" i="4"/>
  <c r="L501" i="4"/>
  <c r="M501" i="4"/>
  <c r="I502" i="4"/>
  <c r="J502" i="4"/>
  <c r="K502" i="4"/>
  <c r="L502" i="4"/>
  <c r="M502" i="4"/>
  <c r="I503" i="4"/>
  <c r="J503" i="4"/>
  <c r="K503" i="4"/>
  <c r="L503" i="4"/>
  <c r="M503" i="4"/>
  <c r="I504" i="4"/>
  <c r="J504" i="4"/>
  <c r="K504" i="4"/>
  <c r="L504" i="4"/>
  <c r="M504" i="4"/>
  <c r="I505" i="4"/>
  <c r="J505" i="4"/>
  <c r="K505" i="4"/>
  <c r="L505" i="4"/>
  <c r="M505" i="4"/>
  <c r="I506" i="4"/>
  <c r="J506" i="4"/>
  <c r="K506" i="4"/>
  <c r="L506" i="4"/>
  <c r="M506" i="4"/>
  <c r="I507" i="4"/>
  <c r="J507" i="4"/>
  <c r="K507" i="4"/>
  <c r="L507" i="4"/>
  <c r="M507" i="4"/>
  <c r="I508" i="4"/>
  <c r="J508" i="4"/>
  <c r="K508" i="4"/>
  <c r="L508" i="4"/>
  <c r="M508" i="4"/>
  <c r="I509" i="4"/>
  <c r="J509" i="4"/>
  <c r="K509" i="4"/>
  <c r="L509" i="4"/>
  <c r="M509" i="4"/>
  <c r="I510" i="4"/>
  <c r="J510" i="4"/>
  <c r="K510" i="4"/>
  <c r="L510" i="4"/>
  <c r="M510" i="4"/>
  <c r="I511" i="4"/>
  <c r="J511" i="4"/>
  <c r="K511" i="4"/>
  <c r="L511" i="4"/>
  <c r="M511" i="4"/>
  <c r="I512" i="4"/>
  <c r="J512" i="4"/>
  <c r="K512" i="4"/>
  <c r="L512" i="4"/>
  <c r="M512" i="4"/>
  <c r="I513" i="4"/>
  <c r="J513" i="4"/>
  <c r="K513" i="4"/>
  <c r="L513" i="4"/>
  <c r="M513" i="4"/>
  <c r="I514" i="4"/>
  <c r="J514" i="4"/>
  <c r="K514" i="4"/>
  <c r="L514" i="4"/>
  <c r="M514" i="4"/>
  <c r="I515" i="4"/>
  <c r="J515" i="4"/>
  <c r="K515" i="4"/>
  <c r="L515" i="4"/>
  <c r="M515" i="4"/>
  <c r="I516" i="4"/>
  <c r="J516" i="4"/>
  <c r="K516" i="4"/>
  <c r="L516" i="4"/>
  <c r="M516" i="4"/>
  <c r="I517" i="4"/>
  <c r="J517" i="4"/>
  <c r="K517" i="4"/>
  <c r="L517" i="4"/>
  <c r="M517" i="4"/>
  <c r="I518" i="4"/>
  <c r="J518" i="4"/>
  <c r="K518" i="4"/>
  <c r="L518" i="4"/>
  <c r="M518" i="4"/>
  <c r="I519" i="4"/>
  <c r="J519" i="4"/>
  <c r="K519" i="4"/>
  <c r="L519" i="4"/>
  <c r="M519" i="4"/>
  <c r="I520" i="4"/>
  <c r="J520" i="4"/>
  <c r="K520" i="4"/>
  <c r="L520" i="4"/>
  <c r="M520" i="4"/>
  <c r="I521" i="4"/>
  <c r="J521" i="4"/>
  <c r="K521" i="4"/>
  <c r="L521" i="4"/>
  <c r="M521" i="4"/>
  <c r="I522" i="4"/>
  <c r="J522" i="4"/>
  <c r="K522" i="4"/>
  <c r="L522" i="4"/>
  <c r="M522" i="4"/>
  <c r="I523" i="4"/>
  <c r="J523" i="4"/>
  <c r="K523" i="4"/>
  <c r="L523" i="4"/>
  <c r="M523" i="4"/>
  <c r="I524" i="4"/>
  <c r="J524" i="4"/>
  <c r="K524" i="4"/>
  <c r="L524" i="4"/>
  <c r="M524" i="4"/>
  <c r="I525" i="4"/>
  <c r="J525" i="4"/>
  <c r="K525" i="4"/>
  <c r="L525" i="4"/>
  <c r="M525" i="4"/>
  <c r="I526" i="4"/>
  <c r="J526" i="4"/>
  <c r="K526" i="4"/>
  <c r="L526" i="4"/>
  <c r="M526" i="4"/>
  <c r="I527" i="4"/>
  <c r="J527" i="4"/>
  <c r="K527" i="4"/>
  <c r="L527" i="4"/>
  <c r="M527" i="4"/>
  <c r="I528" i="4"/>
  <c r="J528" i="4"/>
  <c r="K528" i="4"/>
  <c r="L528" i="4"/>
  <c r="M528" i="4"/>
  <c r="I529" i="4"/>
  <c r="J529" i="4"/>
  <c r="K529" i="4"/>
  <c r="L529" i="4"/>
  <c r="M529" i="4"/>
  <c r="I530" i="4"/>
  <c r="J530" i="4"/>
  <c r="K530" i="4"/>
  <c r="L530" i="4"/>
  <c r="M530" i="4"/>
  <c r="I531" i="4"/>
  <c r="J531" i="4"/>
  <c r="K531" i="4"/>
  <c r="L531" i="4"/>
  <c r="M531" i="4"/>
  <c r="I532" i="4"/>
  <c r="J532" i="4"/>
  <c r="K532" i="4"/>
  <c r="L532" i="4"/>
  <c r="M532" i="4"/>
  <c r="I533" i="4"/>
  <c r="J533" i="4"/>
  <c r="K533" i="4"/>
  <c r="L533" i="4"/>
  <c r="M533" i="4"/>
  <c r="I534" i="4"/>
  <c r="J534" i="4"/>
  <c r="K534" i="4"/>
  <c r="L534" i="4"/>
  <c r="M534" i="4"/>
  <c r="I535" i="4"/>
  <c r="J535" i="4"/>
  <c r="K535" i="4"/>
  <c r="L535" i="4"/>
  <c r="M535" i="4"/>
  <c r="I536" i="4"/>
  <c r="J536" i="4"/>
  <c r="K536" i="4"/>
  <c r="L536" i="4"/>
  <c r="M536" i="4"/>
  <c r="I537" i="4"/>
  <c r="J537" i="4"/>
  <c r="K537" i="4"/>
  <c r="L537" i="4"/>
  <c r="M537" i="4"/>
  <c r="I538" i="4"/>
  <c r="J538" i="4"/>
  <c r="K538" i="4"/>
  <c r="L538" i="4"/>
  <c r="M538" i="4"/>
  <c r="I539" i="4"/>
  <c r="J539" i="4"/>
  <c r="K539" i="4"/>
  <c r="L539" i="4"/>
  <c r="M539" i="4"/>
  <c r="I540" i="4"/>
  <c r="J540" i="4"/>
  <c r="K540" i="4"/>
  <c r="L540" i="4"/>
  <c r="M540" i="4"/>
  <c r="I541" i="4"/>
  <c r="J541" i="4"/>
  <c r="K541" i="4"/>
  <c r="L541" i="4"/>
  <c r="M541" i="4"/>
  <c r="I542" i="4"/>
  <c r="J542" i="4"/>
  <c r="K542" i="4"/>
  <c r="L542" i="4"/>
  <c r="M542" i="4"/>
  <c r="I543" i="4"/>
  <c r="J543" i="4"/>
  <c r="K543" i="4"/>
  <c r="L543" i="4"/>
  <c r="M543" i="4"/>
  <c r="I544" i="4"/>
  <c r="J544" i="4"/>
  <c r="K544" i="4"/>
  <c r="L544" i="4"/>
  <c r="M544" i="4"/>
  <c r="I545" i="4"/>
  <c r="J545" i="4"/>
  <c r="K545" i="4"/>
  <c r="L545" i="4"/>
  <c r="M545" i="4"/>
  <c r="I546" i="4"/>
  <c r="J546" i="4"/>
  <c r="K546" i="4"/>
  <c r="L546" i="4"/>
  <c r="M546" i="4"/>
  <c r="I547" i="4"/>
  <c r="J547" i="4"/>
  <c r="K547" i="4"/>
  <c r="L547" i="4"/>
  <c r="M547" i="4"/>
  <c r="I548" i="4"/>
  <c r="J548" i="4"/>
  <c r="K548" i="4"/>
  <c r="L548" i="4"/>
  <c r="M548" i="4"/>
  <c r="I549" i="4"/>
  <c r="J549" i="4"/>
  <c r="K549" i="4"/>
  <c r="L549" i="4"/>
  <c r="M549" i="4"/>
  <c r="I550" i="4"/>
  <c r="J550" i="4"/>
  <c r="K550" i="4"/>
  <c r="L550" i="4"/>
  <c r="M550" i="4"/>
  <c r="I551" i="4"/>
  <c r="J551" i="4"/>
  <c r="K551" i="4"/>
  <c r="L551" i="4"/>
  <c r="M551" i="4"/>
  <c r="I552" i="4"/>
  <c r="J552" i="4"/>
  <c r="K552" i="4"/>
  <c r="L552" i="4"/>
  <c r="M552" i="4"/>
  <c r="I553" i="4"/>
  <c r="J553" i="4"/>
  <c r="K553" i="4"/>
  <c r="L553" i="4"/>
  <c r="M553" i="4"/>
  <c r="I554" i="4"/>
  <c r="J554" i="4"/>
  <c r="K554" i="4"/>
  <c r="L554" i="4"/>
  <c r="M554" i="4"/>
  <c r="I555" i="4"/>
  <c r="J555" i="4"/>
  <c r="K555" i="4"/>
  <c r="L555" i="4"/>
  <c r="M555" i="4"/>
  <c r="I556" i="4"/>
  <c r="J556" i="4"/>
  <c r="K556" i="4"/>
  <c r="L556" i="4"/>
  <c r="M556" i="4"/>
  <c r="I557" i="4"/>
  <c r="J557" i="4"/>
  <c r="K557" i="4"/>
  <c r="L557" i="4"/>
  <c r="M557" i="4"/>
  <c r="I558" i="4"/>
  <c r="J558" i="4"/>
  <c r="K558" i="4"/>
  <c r="L558" i="4"/>
  <c r="M558" i="4"/>
  <c r="I559" i="4"/>
  <c r="J559" i="4"/>
  <c r="K559" i="4"/>
  <c r="L559" i="4"/>
  <c r="M559" i="4"/>
  <c r="I560" i="4"/>
  <c r="J560" i="4"/>
  <c r="K560" i="4"/>
  <c r="L560" i="4"/>
  <c r="M560" i="4"/>
  <c r="I561" i="4"/>
  <c r="J561" i="4"/>
  <c r="K561" i="4"/>
  <c r="L561" i="4"/>
  <c r="M561" i="4"/>
  <c r="I562" i="4"/>
  <c r="J562" i="4"/>
  <c r="K562" i="4"/>
  <c r="L562" i="4"/>
  <c r="M562" i="4"/>
  <c r="I563" i="4"/>
  <c r="J563" i="4"/>
  <c r="K563" i="4"/>
  <c r="L563" i="4"/>
  <c r="M563" i="4"/>
  <c r="I564" i="4"/>
  <c r="J564" i="4"/>
  <c r="K564" i="4"/>
  <c r="L564" i="4"/>
  <c r="M564" i="4"/>
  <c r="I565" i="4"/>
  <c r="J565" i="4"/>
  <c r="K565" i="4"/>
  <c r="L565" i="4"/>
  <c r="M565" i="4"/>
  <c r="I566" i="4"/>
  <c r="J566" i="4"/>
  <c r="K566" i="4"/>
  <c r="L566" i="4"/>
  <c r="M566" i="4"/>
  <c r="I567" i="4"/>
  <c r="J567" i="4"/>
  <c r="K567" i="4"/>
  <c r="L567" i="4"/>
  <c r="M567" i="4"/>
  <c r="I568" i="4"/>
  <c r="J568" i="4"/>
  <c r="K568" i="4"/>
  <c r="L568" i="4"/>
  <c r="M568" i="4"/>
  <c r="I569" i="4"/>
  <c r="J569" i="4"/>
  <c r="K569" i="4"/>
  <c r="L569" i="4"/>
  <c r="M569" i="4"/>
  <c r="I570" i="4"/>
  <c r="J570" i="4"/>
  <c r="K570" i="4"/>
  <c r="L570" i="4"/>
  <c r="M570" i="4"/>
  <c r="I571" i="4"/>
  <c r="J571" i="4"/>
  <c r="K571" i="4"/>
  <c r="L571" i="4"/>
  <c r="M571" i="4"/>
  <c r="I572" i="4"/>
  <c r="J572" i="4"/>
  <c r="K572" i="4"/>
  <c r="L572" i="4"/>
  <c r="M572" i="4"/>
  <c r="I573" i="4"/>
  <c r="J573" i="4"/>
  <c r="K573" i="4"/>
  <c r="L573" i="4"/>
  <c r="M573" i="4"/>
  <c r="I574" i="4"/>
  <c r="J574" i="4"/>
  <c r="K574" i="4"/>
  <c r="L574" i="4"/>
  <c r="M574" i="4"/>
  <c r="I575" i="4"/>
  <c r="J575" i="4"/>
  <c r="K575" i="4"/>
  <c r="L575" i="4"/>
  <c r="M575" i="4"/>
  <c r="I576" i="4"/>
  <c r="J576" i="4"/>
  <c r="K576" i="4"/>
  <c r="L576" i="4"/>
  <c r="M576" i="4"/>
  <c r="I577" i="4"/>
  <c r="J577" i="4"/>
  <c r="K577" i="4"/>
  <c r="L577" i="4"/>
  <c r="M577" i="4"/>
  <c r="I578" i="4"/>
  <c r="J578" i="4"/>
  <c r="K578" i="4" s="1"/>
  <c r="L578" i="4"/>
  <c r="M578" i="4"/>
  <c r="I579" i="4"/>
  <c r="J579" i="4"/>
  <c r="K579" i="4" s="1"/>
  <c r="L579" i="4"/>
  <c r="M579" i="4"/>
  <c r="I580" i="4"/>
  <c r="J580" i="4"/>
  <c r="K580" i="4" s="1"/>
  <c r="L580" i="4"/>
  <c r="M580" i="4"/>
  <c r="I581" i="4"/>
  <c r="J581" i="4"/>
  <c r="K581" i="4" s="1"/>
  <c r="L581" i="4"/>
  <c r="M581" i="4"/>
  <c r="I582" i="4"/>
  <c r="J582" i="4"/>
  <c r="K582" i="4" s="1"/>
  <c r="L582" i="4"/>
  <c r="M582" i="4"/>
  <c r="I583" i="4"/>
  <c r="J583" i="4"/>
  <c r="K583" i="4" s="1"/>
  <c r="L583" i="4"/>
  <c r="M583" i="4"/>
  <c r="I584" i="4"/>
  <c r="J584" i="4"/>
  <c r="K584" i="4" s="1"/>
  <c r="L584" i="4"/>
  <c r="M584" i="4"/>
  <c r="I585" i="4"/>
  <c r="J585" i="4"/>
  <c r="K585" i="4" s="1"/>
  <c r="L585" i="4"/>
  <c r="M585" i="4"/>
  <c r="I586" i="4"/>
  <c r="J586" i="4"/>
  <c r="K586" i="4" s="1"/>
  <c r="L586" i="4"/>
  <c r="M586" i="4"/>
  <c r="I587" i="4"/>
  <c r="J587" i="4"/>
  <c r="K587" i="4" s="1"/>
  <c r="L587" i="4"/>
  <c r="M587" i="4"/>
  <c r="I588" i="4"/>
  <c r="J588" i="4"/>
  <c r="K588" i="4" s="1"/>
  <c r="L588" i="4"/>
  <c r="M588" i="4"/>
  <c r="I589" i="4"/>
  <c r="J589" i="4"/>
  <c r="K589" i="4" s="1"/>
  <c r="L589" i="4"/>
  <c r="M589" i="4"/>
  <c r="I590" i="4"/>
  <c r="J590" i="4"/>
  <c r="K590" i="4" s="1"/>
  <c r="L590" i="4"/>
  <c r="M590" i="4"/>
  <c r="I591" i="4"/>
  <c r="J591" i="4"/>
  <c r="K591" i="4" s="1"/>
  <c r="L591" i="4"/>
  <c r="M591" i="4"/>
  <c r="I592" i="4"/>
  <c r="J592" i="4"/>
  <c r="K592" i="4" s="1"/>
  <c r="L592" i="4"/>
  <c r="M592" i="4"/>
  <c r="I593" i="4"/>
  <c r="J593" i="4"/>
  <c r="K593" i="4" s="1"/>
  <c r="L593" i="4"/>
  <c r="M593" i="4"/>
  <c r="I594" i="4"/>
  <c r="J594" i="4"/>
  <c r="K594" i="4" s="1"/>
  <c r="L594" i="4"/>
  <c r="M594" i="4"/>
  <c r="I595" i="4"/>
  <c r="J595" i="4"/>
  <c r="K595" i="4" s="1"/>
  <c r="L595" i="4"/>
  <c r="M595" i="4"/>
  <c r="I596" i="4"/>
  <c r="J596" i="4"/>
  <c r="K596" i="4" s="1"/>
  <c r="L596" i="4"/>
  <c r="M596" i="4"/>
  <c r="I597" i="4"/>
  <c r="J597" i="4"/>
  <c r="K597" i="4" s="1"/>
  <c r="L597" i="4"/>
  <c r="M597" i="4"/>
  <c r="I598" i="4"/>
  <c r="J598" i="4"/>
  <c r="K598" i="4" s="1"/>
  <c r="L598" i="4"/>
  <c r="M598" i="4"/>
  <c r="I599" i="4"/>
  <c r="J599" i="4"/>
  <c r="K599" i="4" s="1"/>
  <c r="L599" i="4"/>
  <c r="M599" i="4"/>
  <c r="I600" i="4"/>
  <c r="J600" i="4"/>
  <c r="K600" i="4" s="1"/>
  <c r="L600" i="4"/>
  <c r="M600" i="4"/>
  <c r="I601" i="4"/>
  <c r="J601" i="4"/>
  <c r="K601" i="4" s="1"/>
  <c r="L601" i="4"/>
  <c r="M601" i="4"/>
  <c r="I602" i="4"/>
  <c r="J602" i="4"/>
  <c r="K602" i="4" s="1"/>
  <c r="L602" i="4"/>
  <c r="M602" i="4"/>
  <c r="I603" i="4"/>
  <c r="J603" i="4"/>
  <c r="K603" i="4" s="1"/>
  <c r="L603" i="4"/>
  <c r="M603" i="4"/>
  <c r="I604" i="4"/>
  <c r="J604" i="4"/>
  <c r="K604" i="4" s="1"/>
  <c r="L604" i="4"/>
  <c r="M604" i="4"/>
  <c r="I605" i="4"/>
  <c r="J605" i="4"/>
  <c r="K605" i="4" s="1"/>
  <c r="L605" i="4"/>
  <c r="M605" i="4"/>
  <c r="I606" i="4"/>
  <c r="J606" i="4"/>
  <c r="K606" i="4" s="1"/>
  <c r="L606" i="4"/>
  <c r="M606" i="4"/>
  <c r="I607" i="4"/>
  <c r="J607" i="4"/>
  <c r="K607" i="4" s="1"/>
  <c r="L607" i="4"/>
  <c r="M607" i="4"/>
  <c r="I608" i="4"/>
  <c r="J608" i="4"/>
  <c r="K608" i="4" s="1"/>
  <c r="L608" i="4"/>
  <c r="M608" i="4"/>
  <c r="I609" i="4"/>
  <c r="J609" i="4"/>
  <c r="K609" i="4" s="1"/>
  <c r="L609" i="4"/>
  <c r="M609" i="4"/>
  <c r="I610" i="4"/>
  <c r="J610" i="4"/>
  <c r="K610" i="4" s="1"/>
  <c r="L610" i="4"/>
  <c r="M610" i="4"/>
  <c r="I611" i="4"/>
  <c r="J611" i="4"/>
  <c r="K611" i="4" s="1"/>
  <c r="L611" i="4"/>
  <c r="M611" i="4"/>
  <c r="I612" i="4"/>
  <c r="J612" i="4"/>
  <c r="K612" i="4" s="1"/>
  <c r="L612" i="4"/>
  <c r="M612" i="4"/>
  <c r="I613" i="4"/>
  <c r="J613" i="4"/>
  <c r="K613" i="4" s="1"/>
  <c r="L613" i="4"/>
  <c r="M613" i="4"/>
  <c r="I614" i="4"/>
  <c r="J614" i="4"/>
  <c r="K614" i="4" s="1"/>
  <c r="L614" i="4"/>
  <c r="M614" i="4"/>
  <c r="I615" i="4"/>
  <c r="J615" i="4"/>
  <c r="K615" i="4" s="1"/>
  <c r="L615" i="4"/>
  <c r="M615" i="4"/>
  <c r="I616" i="4"/>
  <c r="J616" i="4"/>
  <c r="K616" i="4" s="1"/>
  <c r="L616" i="4"/>
  <c r="M616" i="4"/>
  <c r="I617" i="4"/>
  <c r="J617" i="4"/>
  <c r="K617" i="4" s="1"/>
  <c r="L617" i="4"/>
  <c r="M617" i="4"/>
  <c r="I618" i="4"/>
  <c r="J618" i="4"/>
  <c r="K618" i="4" s="1"/>
  <c r="L618" i="4"/>
  <c r="M618" i="4"/>
  <c r="I619" i="4"/>
  <c r="J619" i="4"/>
  <c r="K619" i="4" s="1"/>
  <c r="L619" i="4"/>
  <c r="M619" i="4"/>
  <c r="I620" i="4"/>
  <c r="J620" i="4"/>
  <c r="K620" i="4" s="1"/>
  <c r="L620" i="4"/>
  <c r="M620" i="4"/>
  <c r="I621" i="4"/>
  <c r="J621" i="4"/>
  <c r="K621" i="4" s="1"/>
  <c r="L621" i="4"/>
  <c r="M621" i="4"/>
  <c r="I622" i="4"/>
  <c r="J622" i="4"/>
  <c r="K622" i="4" s="1"/>
  <c r="L622" i="4"/>
  <c r="M622" i="4"/>
  <c r="I623" i="4"/>
  <c r="J623" i="4"/>
  <c r="K623" i="4" s="1"/>
  <c r="L623" i="4"/>
  <c r="M623" i="4"/>
  <c r="I624" i="4"/>
  <c r="J624" i="4"/>
  <c r="K624" i="4" s="1"/>
  <c r="L624" i="4"/>
  <c r="M624" i="4"/>
  <c r="I625" i="4"/>
  <c r="J625" i="4"/>
  <c r="K625" i="4" s="1"/>
  <c r="L625" i="4"/>
  <c r="M625" i="4"/>
  <c r="I626" i="4"/>
  <c r="J626" i="4"/>
  <c r="K626" i="4" s="1"/>
  <c r="L626" i="4"/>
  <c r="M626" i="4"/>
  <c r="I627" i="4"/>
  <c r="J627" i="4"/>
  <c r="K627" i="4" s="1"/>
  <c r="L627" i="4"/>
  <c r="M627" i="4"/>
  <c r="I628" i="4"/>
  <c r="J628" i="4"/>
  <c r="K628" i="4" s="1"/>
  <c r="L628" i="4"/>
  <c r="M628" i="4"/>
  <c r="I629" i="4"/>
  <c r="J629" i="4"/>
  <c r="K629" i="4" s="1"/>
  <c r="L629" i="4"/>
  <c r="M629" i="4" s="1"/>
  <c r="I630" i="4"/>
  <c r="J630" i="4"/>
  <c r="K630" i="4" s="1"/>
  <c r="L630" i="4"/>
  <c r="M630" i="4" s="1"/>
  <c r="I631" i="4"/>
  <c r="J631" i="4"/>
  <c r="K631" i="4" s="1"/>
  <c r="L631" i="4"/>
  <c r="M631" i="4"/>
  <c r="I632" i="4"/>
  <c r="J632" i="4"/>
  <c r="K632" i="4" s="1"/>
  <c r="L632" i="4"/>
  <c r="M632" i="4"/>
  <c r="I633" i="4"/>
  <c r="J633" i="4"/>
  <c r="K633" i="4" s="1"/>
  <c r="L633" i="4"/>
  <c r="M633" i="4"/>
  <c r="I634" i="4"/>
  <c r="J634" i="4"/>
  <c r="K634" i="4" s="1"/>
  <c r="L634" i="4"/>
  <c r="M634" i="4"/>
  <c r="I635" i="4"/>
  <c r="J635" i="4"/>
  <c r="K635" i="4" s="1"/>
  <c r="L635" i="4"/>
  <c r="M635" i="4" s="1"/>
  <c r="I636" i="4"/>
  <c r="J636" i="4"/>
  <c r="K636" i="4" s="1"/>
  <c r="L636" i="4"/>
  <c r="M636" i="4" s="1"/>
  <c r="I637" i="4"/>
  <c r="J637" i="4"/>
  <c r="K637" i="4" s="1"/>
  <c r="L637" i="4"/>
  <c r="M637" i="4"/>
  <c r="I638" i="4"/>
  <c r="J638" i="4"/>
  <c r="K638" i="4" s="1"/>
  <c r="L638" i="4"/>
  <c r="M638" i="4"/>
  <c r="I639" i="4"/>
  <c r="J639" i="4"/>
  <c r="K639" i="4" s="1"/>
  <c r="L639" i="4"/>
  <c r="M639" i="4"/>
  <c r="I640" i="4"/>
  <c r="J640" i="4"/>
  <c r="K640" i="4" s="1"/>
  <c r="L640" i="4"/>
  <c r="M640" i="4"/>
  <c r="I641" i="4"/>
  <c r="J641" i="4"/>
  <c r="K641" i="4" s="1"/>
  <c r="L641" i="4"/>
  <c r="M641" i="4" s="1"/>
  <c r="I642" i="4"/>
  <c r="J642" i="4"/>
  <c r="K642" i="4" s="1"/>
  <c r="L642" i="4"/>
  <c r="M642" i="4" s="1"/>
  <c r="I643" i="4"/>
  <c r="J643" i="4"/>
  <c r="K643" i="4" s="1"/>
  <c r="L643" i="4"/>
  <c r="M643" i="4"/>
  <c r="I644" i="4"/>
  <c r="J644" i="4"/>
  <c r="K644" i="4" s="1"/>
  <c r="L644" i="4"/>
  <c r="M644" i="4"/>
  <c r="I645" i="4"/>
  <c r="J645" i="4"/>
  <c r="K645" i="4" s="1"/>
  <c r="L645" i="4"/>
  <c r="M645" i="4"/>
  <c r="I646" i="4"/>
  <c r="J646" i="4"/>
  <c r="K646" i="4" s="1"/>
  <c r="L646" i="4"/>
  <c r="M646" i="4"/>
  <c r="I647" i="4"/>
  <c r="J647" i="4"/>
  <c r="K647" i="4" s="1"/>
  <c r="L647" i="4"/>
  <c r="M647" i="4" s="1"/>
  <c r="I648" i="4"/>
  <c r="J648" i="4"/>
  <c r="K648" i="4" s="1"/>
  <c r="L648" i="4"/>
  <c r="M648" i="4" s="1"/>
  <c r="I649" i="4"/>
  <c r="J649" i="4"/>
  <c r="K649" i="4" s="1"/>
  <c r="L649" i="4"/>
  <c r="M649" i="4"/>
  <c r="I650" i="4"/>
  <c r="J650" i="4"/>
  <c r="K650" i="4" s="1"/>
  <c r="L650" i="4"/>
  <c r="M650" i="4"/>
  <c r="I651" i="4"/>
  <c r="J651" i="4"/>
  <c r="K651" i="4" s="1"/>
  <c r="L651" i="4"/>
  <c r="M651" i="4"/>
  <c r="I652" i="4"/>
  <c r="J652" i="4"/>
  <c r="K652" i="4" s="1"/>
  <c r="L652" i="4"/>
  <c r="M652" i="4"/>
  <c r="I653" i="4"/>
  <c r="J653" i="4"/>
  <c r="K653" i="4" s="1"/>
  <c r="L653" i="4"/>
  <c r="M653" i="4" s="1"/>
  <c r="I654" i="4"/>
  <c r="J654" i="4"/>
  <c r="K654" i="4" s="1"/>
  <c r="L654" i="4"/>
  <c r="M654" i="4" s="1"/>
  <c r="I655" i="4"/>
  <c r="J655" i="4"/>
  <c r="K655" i="4" s="1"/>
  <c r="L655" i="4"/>
  <c r="M655" i="4"/>
  <c r="I656" i="4"/>
  <c r="J656" i="4"/>
  <c r="K656" i="4" s="1"/>
  <c r="L656" i="4"/>
  <c r="M656" i="4"/>
  <c r="I657" i="4"/>
  <c r="J657" i="4"/>
  <c r="K657" i="4" s="1"/>
  <c r="L657" i="4"/>
  <c r="M657" i="4"/>
  <c r="I658" i="4"/>
  <c r="J658" i="4"/>
  <c r="K658" i="4" s="1"/>
  <c r="L658" i="4"/>
  <c r="M658" i="4"/>
  <c r="I659" i="4"/>
  <c r="J659" i="4"/>
  <c r="K659" i="4" s="1"/>
  <c r="L659" i="4"/>
  <c r="M659" i="4" s="1"/>
  <c r="I660" i="4"/>
  <c r="J660" i="4"/>
  <c r="K660" i="4" s="1"/>
  <c r="L660" i="4"/>
  <c r="M660" i="4" s="1"/>
  <c r="I661" i="4"/>
  <c r="J661" i="4"/>
  <c r="K661" i="4" s="1"/>
  <c r="L661" i="4"/>
  <c r="M661" i="4"/>
  <c r="I662" i="4"/>
  <c r="J662" i="4"/>
  <c r="K662" i="4" s="1"/>
  <c r="L662" i="4"/>
  <c r="M662" i="4"/>
  <c r="I663" i="4"/>
  <c r="J663" i="4"/>
  <c r="K663" i="4"/>
  <c r="L663" i="4"/>
  <c r="M663" i="4"/>
  <c r="I664" i="4"/>
  <c r="J664" i="4"/>
  <c r="K664" i="4"/>
  <c r="L664" i="4"/>
  <c r="M664" i="4"/>
  <c r="I665" i="4"/>
  <c r="J665" i="4"/>
  <c r="K665" i="4"/>
  <c r="L665" i="4"/>
  <c r="M665" i="4"/>
  <c r="I666" i="4"/>
  <c r="J666" i="4"/>
  <c r="K666" i="4"/>
  <c r="L666" i="4"/>
  <c r="M666" i="4"/>
  <c r="I667" i="4"/>
  <c r="J667" i="4"/>
  <c r="K667" i="4"/>
  <c r="L667" i="4"/>
  <c r="M667" i="4"/>
  <c r="I668" i="4"/>
  <c r="J668" i="4"/>
  <c r="K668" i="4"/>
  <c r="L668" i="4"/>
  <c r="M668" i="4"/>
  <c r="I669" i="4"/>
  <c r="J669" i="4"/>
  <c r="K669" i="4"/>
  <c r="L669" i="4"/>
  <c r="M669" i="4"/>
  <c r="I670" i="4"/>
  <c r="J670" i="4"/>
  <c r="K670" i="4"/>
  <c r="L670" i="4"/>
  <c r="M670" i="4"/>
  <c r="I671" i="4"/>
  <c r="J671" i="4"/>
  <c r="K671" i="4"/>
  <c r="L671" i="4"/>
  <c r="M671" i="4"/>
  <c r="I672" i="4"/>
  <c r="J672" i="4"/>
  <c r="K672" i="4"/>
  <c r="L672" i="4"/>
  <c r="M672" i="4"/>
  <c r="I673" i="4"/>
  <c r="J673" i="4"/>
  <c r="K673" i="4"/>
  <c r="L673" i="4"/>
  <c r="M673" i="4"/>
  <c r="I674" i="4"/>
  <c r="J674" i="4"/>
  <c r="K674" i="4"/>
  <c r="L674" i="4"/>
  <c r="M674" i="4"/>
  <c r="I675" i="4"/>
  <c r="J675" i="4"/>
  <c r="K675" i="4"/>
  <c r="L675" i="4"/>
  <c r="M675" i="4"/>
  <c r="I676" i="4"/>
  <c r="J676" i="4"/>
  <c r="K676" i="4"/>
  <c r="L676" i="4"/>
  <c r="M676" i="4"/>
  <c r="I677" i="4"/>
  <c r="J677" i="4"/>
  <c r="K677" i="4"/>
  <c r="L677" i="4"/>
  <c r="M677" i="4"/>
  <c r="I678" i="4"/>
  <c r="J678" i="4"/>
  <c r="K678" i="4"/>
  <c r="L678" i="4"/>
  <c r="M678" i="4"/>
  <c r="I679" i="4"/>
  <c r="J679" i="4"/>
  <c r="K679" i="4"/>
  <c r="L679" i="4"/>
  <c r="M679" i="4"/>
  <c r="I680" i="4"/>
  <c r="J680" i="4"/>
  <c r="K680" i="4"/>
  <c r="L680" i="4"/>
  <c r="M680" i="4"/>
  <c r="I681" i="4"/>
  <c r="J681" i="4"/>
  <c r="K681" i="4"/>
  <c r="L681" i="4"/>
  <c r="M681" i="4"/>
  <c r="I682" i="4"/>
  <c r="J682" i="4"/>
  <c r="K682" i="4"/>
  <c r="L682" i="4"/>
  <c r="M682" i="4"/>
  <c r="I683" i="4"/>
  <c r="J683" i="4"/>
  <c r="K683" i="4"/>
  <c r="L683" i="4"/>
  <c r="M683" i="4"/>
  <c r="I684" i="4"/>
  <c r="J684" i="4"/>
  <c r="K684" i="4"/>
  <c r="L684" i="4"/>
  <c r="M684" i="4"/>
  <c r="I685" i="4"/>
  <c r="J685" i="4"/>
  <c r="K685" i="4"/>
  <c r="L685" i="4"/>
  <c r="M685" i="4"/>
  <c r="I686" i="4"/>
  <c r="J686" i="4"/>
  <c r="K686" i="4"/>
  <c r="L686" i="4"/>
  <c r="M686" i="4"/>
  <c r="I687" i="4"/>
  <c r="J687" i="4"/>
  <c r="K687" i="4"/>
  <c r="L687" i="4"/>
  <c r="M687" i="4"/>
  <c r="I688" i="4"/>
  <c r="J688" i="4"/>
  <c r="K688" i="4"/>
  <c r="L688" i="4"/>
  <c r="M688" i="4"/>
  <c r="I689" i="4"/>
  <c r="J689" i="4"/>
  <c r="K689" i="4"/>
  <c r="L689" i="4"/>
  <c r="M689" i="4"/>
  <c r="I690" i="4"/>
  <c r="J690" i="4"/>
  <c r="K690" i="4"/>
  <c r="L690" i="4"/>
  <c r="M690" i="4"/>
  <c r="I691" i="4"/>
  <c r="J691" i="4"/>
  <c r="K691" i="4"/>
  <c r="L691" i="4"/>
  <c r="M691" i="4"/>
  <c r="I692" i="4"/>
  <c r="J692" i="4"/>
  <c r="K692" i="4"/>
  <c r="L692" i="4"/>
  <c r="M692" i="4"/>
  <c r="I693" i="4"/>
  <c r="J693" i="4"/>
  <c r="K693" i="4"/>
  <c r="L693" i="4"/>
  <c r="M693" i="4"/>
  <c r="I694" i="4"/>
  <c r="J694" i="4"/>
  <c r="K694" i="4"/>
  <c r="L694" i="4"/>
  <c r="M694" i="4"/>
  <c r="I695" i="4"/>
  <c r="J695" i="4"/>
  <c r="K695" i="4"/>
  <c r="L695" i="4"/>
  <c r="M695" i="4"/>
  <c r="I696" i="4"/>
  <c r="J696" i="4"/>
  <c r="K696" i="4"/>
  <c r="L696" i="4"/>
  <c r="M696" i="4"/>
  <c r="I697" i="4"/>
  <c r="J697" i="4"/>
  <c r="K697" i="4"/>
  <c r="L697" i="4"/>
  <c r="M697" i="4"/>
  <c r="I698" i="4"/>
  <c r="J698" i="4"/>
  <c r="K698" i="4"/>
  <c r="L698" i="4"/>
  <c r="M698" i="4"/>
  <c r="I699" i="4"/>
  <c r="J699" i="4"/>
  <c r="K699" i="4"/>
  <c r="L699" i="4"/>
  <c r="M699" i="4"/>
  <c r="I700" i="4"/>
  <c r="J700" i="4"/>
  <c r="K700" i="4"/>
  <c r="L700" i="4"/>
  <c r="M700" i="4"/>
  <c r="I701" i="4"/>
  <c r="J701" i="4"/>
  <c r="K701" i="4"/>
  <c r="L701" i="4"/>
  <c r="M701" i="4"/>
  <c r="I702" i="4"/>
  <c r="J702" i="4"/>
  <c r="K702" i="4"/>
  <c r="L702" i="4"/>
  <c r="M702" i="4"/>
  <c r="I703" i="4"/>
  <c r="J703" i="4"/>
  <c r="K703" i="4"/>
  <c r="L703" i="4"/>
  <c r="M703" i="4"/>
  <c r="I704" i="4"/>
  <c r="J704" i="4"/>
  <c r="K704" i="4"/>
  <c r="L704" i="4"/>
  <c r="M704" i="4"/>
  <c r="I705" i="4"/>
  <c r="J705" i="4"/>
  <c r="K705" i="4"/>
  <c r="L705" i="4"/>
  <c r="M705" i="4"/>
  <c r="I706" i="4"/>
  <c r="J706" i="4"/>
  <c r="K706" i="4"/>
  <c r="L706" i="4"/>
  <c r="M706" i="4"/>
  <c r="I707" i="4"/>
  <c r="J707" i="4"/>
  <c r="K707" i="4"/>
  <c r="L707" i="4"/>
  <c r="M707" i="4"/>
  <c r="I708" i="4"/>
  <c r="J708" i="4"/>
  <c r="K708" i="4"/>
  <c r="L708" i="4"/>
  <c r="M708" i="4"/>
  <c r="I709" i="4"/>
  <c r="J709" i="4"/>
  <c r="K709" i="4"/>
  <c r="L709" i="4"/>
  <c r="M709" i="4"/>
  <c r="I710" i="4"/>
  <c r="J710" i="4"/>
  <c r="K710" i="4"/>
  <c r="L710" i="4"/>
  <c r="M710" i="4"/>
  <c r="I711" i="4"/>
  <c r="J711" i="4"/>
  <c r="K711" i="4"/>
  <c r="L711" i="4"/>
  <c r="M711" i="4"/>
  <c r="I712" i="4"/>
  <c r="J712" i="4"/>
  <c r="K712" i="4"/>
  <c r="L712" i="4"/>
  <c r="M712" i="4"/>
  <c r="I713" i="4"/>
  <c r="J713" i="4"/>
  <c r="K713" i="4"/>
  <c r="L713" i="4"/>
  <c r="M713" i="4"/>
  <c r="I714" i="4"/>
  <c r="J714" i="4"/>
  <c r="K714" i="4"/>
  <c r="L714" i="4"/>
  <c r="M714" i="4"/>
  <c r="I715" i="4"/>
  <c r="J715" i="4"/>
  <c r="K715" i="4"/>
  <c r="L715" i="4"/>
  <c r="M715" i="4"/>
  <c r="I716" i="4"/>
  <c r="J716" i="4"/>
  <c r="K716" i="4"/>
  <c r="L716" i="4"/>
  <c r="M716" i="4"/>
  <c r="I717" i="4"/>
  <c r="J717" i="4"/>
  <c r="K717" i="4"/>
  <c r="L717" i="4"/>
  <c r="M717" i="4"/>
  <c r="I718" i="4"/>
  <c r="J718" i="4"/>
  <c r="K718" i="4"/>
  <c r="L718" i="4"/>
  <c r="M718" i="4"/>
  <c r="I719" i="4"/>
  <c r="J719" i="4"/>
  <c r="K719" i="4"/>
  <c r="L719" i="4"/>
  <c r="M719" i="4"/>
  <c r="I720" i="4"/>
  <c r="J720" i="4"/>
  <c r="K720" i="4"/>
  <c r="L720" i="4"/>
  <c r="M720" i="4"/>
  <c r="I721" i="4"/>
  <c r="J721" i="4"/>
  <c r="K721" i="4"/>
  <c r="L721" i="4"/>
  <c r="M721" i="4"/>
  <c r="I722" i="4"/>
  <c r="J722" i="4"/>
  <c r="K722" i="4"/>
  <c r="L722" i="4"/>
  <c r="M722" i="4"/>
  <c r="I723" i="4"/>
  <c r="J723" i="4"/>
  <c r="K723" i="4"/>
  <c r="L723" i="4"/>
  <c r="M723" i="4"/>
  <c r="I724" i="4"/>
  <c r="J724" i="4"/>
  <c r="K724" i="4"/>
  <c r="L724" i="4"/>
  <c r="M724" i="4"/>
  <c r="I725" i="4"/>
  <c r="J725" i="4"/>
  <c r="K725" i="4"/>
  <c r="L725" i="4"/>
  <c r="M725" i="4"/>
  <c r="I726" i="4"/>
  <c r="J726" i="4"/>
  <c r="K726" i="4"/>
  <c r="L726" i="4"/>
  <c r="M726" i="4"/>
  <c r="I727" i="4"/>
  <c r="J727" i="4"/>
  <c r="K727" i="4"/>
  <c r="L727" i="4"/>
  <c r="M727" i="4"/>
  <c r="I728" i="4"/>
  <c r="J728" i="4"/>
  <c r="K728" i="4"/>
  <c r="L728" i="4"/>
  <c r="M728" i="4"/>
  <c r="I729" i="4"/>
  <c r="J729" i="4"/>
  <c r="K729" i="4"/>
  <c r="L729" i="4"/>
  <c r="M729" i="4"/>
  <c r="I730" i="4"/>
  <c r="J730" i="4"/>
  <c r="K730" i="4"/>
  <c r="L730" i="4"/>
  <c r="M730" i="4"/>
  <c r="I731" i="4"/>
  <c r="J731" i="4"/>
  <c r="K731" i="4"/>
  <c r="L731" i="4"/>
  <c r="M731" i="4"/>
  <c r="I732" i="4"/>
  <c r="J732" i="4"/>
  <c r="K732" i="4"/>
  <c r="L732" i="4"/>
  <c r="M732" i="4"/>
  <c r="J367" i="4"/>
  <c r="L367" i="4"/>
  <c r="H369" i="3"/>
  <c r="I369" i="3"/>
  <c r="J369" i="3"/>
  <c r="K369" i="3"/>
  <c r="L369" i="3"/>
  <c r="I367" i="1" s="1"/>
  <c r="H370" i="3"/>
  <c r="I370" i="3"/>
  <c r="J370" i="3"/>
  <c r="K370" i="3"/>
  <c r="L370" i="3"/>
  <c r="H371" i="3"/>
  <c r="M371" i="3" s="1"/>
  <c r="G369" i="1" s="1"/>
  <c r="I371" i="3"/>
  <c r="J371" i="3"/>
  <c r="K371" i="3"/>
  <c r="L371" i="3"/>
  <c r="H372" i="3"/>
  <c r="M372" i="3" s="1"/>
  <c r="G370" i="1" s="1"/>
  <c r="I372" i="3"/>
  <c r="J372" i="3"/>
  <c r="K372" i="3"/>
  <c r="L372" i="3"/>
  <c r="H373" i="3"/>
  <c r="M373" i="3" s="1"/>
  <c r="I373" i="3"/>
  <c r="J373" i="3"/>
  <c r="K373" i="3"/>
  <c r="L373" i="3"/>
  <c r="H374" i="3"/>
  <c r="M374" i="3" s="1"/>
  <c r="I374" i="3"/>
  <c r="J374" i="3"/>
  <c r="K374" i="3"/>
  <c r="L374" i="3"/>
  <c r="H375" i="3"/>
  <c r="M375" i="3" s="1"/>
  <c r="I375" i="3"/>
  <c r="J375" i="3"/>
  <c r="K375" i="3"/>
  <c r="L375" i="3"/>
  <c r="H376" i="3"/>
  <c r="M376" i="3" s="1"/>
  <c r="I376" i="3"/>
  <c r="J376" i="3"/>
  <c r="K376" i="3"/>
  <c r="L376" i="3"/>
  <c r="H377" i="3"/>
  <c r="M377" i="3" s="1"/>
  <c r="I377" i="3"/>
  <c r="J377" i="3"/>
  <c r="K377" i="3"/>
  <c r="L377" i="3"/>
  <c r="H378" i="3"/>
  <c r="M378" i="3" s="1"/>
  <c r="I378" i="3"/>
  <c r="J378" i="3"/>
  <c r="K378" i="3"/>
  <c r="L378" i="3"/>
  <c r="H379" i="3"/>
  <c r="M379" i="3" s="1"/>
  <c r="I379" i="3"/>
  <c r="J379" i="3"/>
  <c r="K379" i="3"/>
  <c r="L379" i="3"/>
  <c r="H380" i="3"/>
  <c r="M380" i="3" s="1"/>
  <c r="I380" i="3"/>
  <c r="J380" i="3"/>
  <c r="K380" i="3"/>
  <c r="L380" i="3"/>
  <c r="H381" i="3"/>
  <c r="M381" i="3" s="1"/>
  <c r="I381" i="3"/>
  <c r="J381" i="3"/>
  <c r="K381" i="3"/>
  <c r="L381" i="3"/>
  <c r="H382" i="3"/>
  <c r="M382" i="3" s="1"/>
  <c r="I382" i="3"/>
  <c r="J382" i="3"/>
  <c r="K382" i="3"/>
  <c r="L382" i="3"/>
  <c r="H383" i="3"/>
  <c r="M383" i="3" s="1"/>
  <c r="I383" i="3"/>
  <c r="J383" i="3"/>
  <c r="K383" i="3"/>
  <c r="L383" i="3"/>
  <c r="H384" i="3"/>
  <c r="M384" i="3" s="1"/>
  <c r="I384" i="3"/>
  <c r="J384" i="3"/>
  <c r="K384" i="3"/>
  <c r="L384" i="3"/>
  <c r="H385" i="3"/>
  <c r="M385" i="3" s="1"/>
  <c r="I385" i="3"/>
  <c r="J385" i="3"/>
  <c r="K385" i="3"/>
  <c r="L385" i="3"/>
  <c r="H386" i="3"/>
  <c r="M386" i="3" s="1"/>
  <c r="I386" i="3"/>
  <c r="J386" i="3"/>
  <c r="K386" i="3"/>
  <c r="L386" i="3"/>
  <c r="H387" i="3"/>
  <c r="M387" i="3" s="1"/>
  <c r="I387" i="3"/>
  <c r="J387" i="3"/>
  <c r="K387" i="3"/>
  <c r="L387" i="3"/>
  <c r="H388" i="3"/>
  <c r="M388" i="3" s="1"/>
  <c r="I388" i="3"/>
  <c r="J388" i="3"/>
  <c r="K388" i="3"/>
  <c r="L388" i="3"/>
  <c r="H389" i="3"/>
  <c r="M389" i="3" s="1"/>
  <c r="I389" i="3"/>
  <c r="J389" i="3"/>
  <c r="K389" i="3"/>
  <c r="L389" i="3"/>
  <c r="H390" i="3"/>
  <c r="M390" i="3" s="1"/>
  <c r="I390" i="3"/>
  <c r="J390" i="3"/>
  <c r="K390" i="3"/>
  <c r="L390" i="3"/>
  <c r="H391" i="3"/>
  <c r="M391" i="3" s="1"/>
  <c r="I391" i="3"/>
  <c r="J391" i="3"/>
  <c r="K391" i="3"/>
  <c r="L391" i="3"/>
  <c r="H392" i="3"/>
  <c r="M392" i="3" s="1"/>
  <c r="I392" i="3"/>
  <c r="J392" i="3"/>
  <c r="K392" i="3"/>
  <c r="L392" i="3"/>
  <c r="H393" i="3"/>
  <c r="M393" i="3" s="1"/>
  <c r="I393" i="3"/>
  <c r="J393" i="3"/>
  <c r="K393" i="3"/>
  <c r="L393" i="3"/>
  <c r="H394" i="3"/>
  <c r="M394" i="3" s="1"/>
  <c r="I394" i="3"/>
  <c r="J394" i="3"/>
  <c r="K394" i="3"/>
  <c r="L394" i="3"/>
  <c r="H395" i="3"/>
  <c r="M395" i="3" s="1"/>
  <c r="I395" i="3"/>
  <c r="J395" i="3"/>
  <c r="K395" i="3"/>
  <c r="L395" i="3"/>
  <c r="H396" i="3"/>
  <c r="M396" i="3" s="1"/>
  <c r="I396" i="3"/>
  <c r="J396" i="3"/>
  <c r="K396" i="3"/>
  <c r="L396" i="3"/>
  <c r="H397" i="3"/>
  <c r="M397" i="3" s="1"/>
  <c r="I397" i="3"/>
  <c r="J397" i="3"/>
  <c r="K397" i="3"/>
  <c r="L397" i="3"/>
  <c r="H398" i="3"/>
  <c r="M398" i="3" s="1"/>
  <c r="I398" i="3"/>
  <c r="J398" i="3"/>
  <c r="K398" i="3"/>
  <c r="L398" i="3"/>
  <c r="H399" i="3"/>
  <c r="M399" i="3" s="1"/>
  <c r="I399" i="3"/>
  <c r="J399" i="3"/>
  <c r="K399" i="3"/>
  <c r="L399" i="3"/>
  <c r="H400" i="3"/>
  <c r="M400" i="3" s="1"/>
  <c r="I400" i="3"/>
  <c r="J400" i="3"/>
  <c r="K400" i="3"/>
  <c r="L400" i="3"/>
  <c r="H401" i="3"/>
  <c r="M401" i="3" s="1"/>
  <c r="I401" i="3"/>
  <c r="J401" i="3"/>
  <c r="K401" i="3"/>
  <c r="L401" i="3"/>
  <c r="H402" i="3"/>
  <c r="M402" i="3" s="1"/>
  <c r="I402" i="3"/>
  <c r="J402" i="3"/>
  <c r="K402" i="3"/>
  <c r="L402" i="3"/>
  <c r="H403" i="3"/>
  <c r="M403" i="3" s="1"/>
  <c r="I403" i="3"/>
  <c r="J403" i="3"/>
  <c r="K403" i="3"/>
  <c r="L403" i="3"/>
  <c r="H404" i="3"/>
  <c r="M404" i="3" s="1"/>
  <c r="I404" i="3"/>
  <c r="J404" i="3"/>
  <c r="K404" i="3"/>
  <c r="L404" i="3"/>
  <c r="H405" i="3"/>
  <c r="M405" i="3" s="1"/>
  <c r="I405" i="3"/>
  <c r="J405" i="3"/>
  <c r="K405" i="3"/>
  <c r="L405" i="3"/>
  <c r="H406" i="3"/>
  <c r="M406" i="3" s="1"/>
  <c r="I406" i="3"/>
  <c r="J406" i="3"/>
  <c r="K406" i="3"/>
  <c r="L406" i="3"/>
  <c r="H407" i="3"/>
  <c r="M407" i="3" s="1"/>
  <c r="I407" i="3"/>
  <c r="J407" i="3"/>
  <c r="K407" i="3"/>
  <c r="L407" i="3"/>
  <c r="H408" i="3"/>
  <c r="M408" i="3" s="1"/>
  <c r="I408" i="3"/>
  <c r="J408" i="3"/>
  <c r="K408" i="3"/>
  <c r="L408" i="3"/>
  <c r="H409" i="3"/>
  <c r="M409" i="3" s="1"/>
  <c r="I409" i="3"/>
  <c r="J409" i="3"/>
  <c r="K409" i="3"/>
  <c r="L409" i="3"/>
  <c r="H410" i="3"/>
  <c r="M410" i="3" s="1"/>
  <c r="I410" i="3"/>
  <c r="J410" i="3"/>
  <c r="K410" i="3"/>
  <c r="L410" i="3"/>
  <c r="H411" i="3"/>
  <c r="M411" i="3" s="1"/>
  <c r="I411" i="3"/>
  <c r="J411" i="3"/>
  <c r="K411" i="3"/>
  <c r="L411" i="3"/>
  <c r="H412" i="3"/>
  <c r="M412" i="3" s="1"/>
  <c r="I412" i="3"/>
  <c r="J412" i="3"/>
  <c r="K412" i="3"/>
  <c r="L412" i="3"/>
  <c r="H413" i="3"/>
  <c r="M413" i="3" s="1"/>
  <c r="I413" i="3"/>
  <c r="J413" i="3"/>
  <c r="K413" i="3"/>
  <c r="L413" i="3"/>
  <c r="H414" i="3"/>
  <c r="M414" i="3" s="1"/>
  <c r="I414" i="3"/>
  <c r="J414" i="3"/>
  <c r="K414" i="3"/>
  <c r="L414" i="3"/>
  <c r="H415" i="3"/>
  <c r="M415" i="3" s="1"/>
  <c r="I415" i="3"/>
  <c r="J415" i="3"/>
  <c r="K415" i="3"/>
  <c r="L415" i="3"/>
  <c r="H416" i="3"/>
  <c r="M416" i="3" s="1"/>
  <c r="I416" i="3"/>
  <c r="J416" i="3"/>
  <c r="K416" i="3"/>
  <c r="L416" i="3"/>
  <c r="H417" i="3"/>
  <c r="M417" i="3" s="1"/>
  <c r="I417" i="3"/>
  <c r="J417" i="3"/>
  <c r="K417" i="3"/>
  <c r="L417" i="3"/>
  <c r="H418" i="3"/>
  <c r="M418" i="3" s="1"/>
  <c r="I418" i="3"/>
  <c r="J418" i="3"/>
  <c r="K418" i="3"/>
  <c r="L418" i="3"/>
  <c r="H419" i="3"/>
  <c r="M419" i="3" s="1"/>
  <c r="I419" i="3"/>
  <c r="J419" i="3"/>
  <c r="K419" i="3"/>
  <c r="L419" i="3"/>
  <c r="H420" i="3"/>
  <c r="M420" i="3" s="1"/>
  <c r="I420" i="3"/>
  <c r="J420" i="3"/>
  <c r="K420" i="3"/>
  <c r="L420" i="3"/>
  <c r="H421" i="3"/>
  <c r="M421" i="3" s="1"/>
  <c r="I421" i="3"/>
  <c r="J421" i="3"/>
  <c r="K421" i="3"/>
  <c r="L421" i="3"/>
  <c r="H422" i="3"/>
  <c r="M422" i="3" s="1"/>
  <c r="I422" i="3"/>
  <c r="J422" i="3"/>
  <c r="K422" i="3"/>
  <c r="L422" i="3"/>
  <c r="H423" i="3"/>
  <c r="M423" i="3" s="1"/>
  <c r="I423" i="3"/>
  <c r="J423" i="3"/>
  <c r="K423" i="3"/>
  <c r="L423" i="3"/>
  <c r="H424" i="3"/>
  <c r="M424" i="3" s="1"/>
  <c r="I424" i="3"/>
  <c r="J424" i="3"/>
  <c r="K424" i="3"/>
  <c r="L424" i="3"/>
  <c r="H425" i="3"/>
  <c r="M425" i="3" s="1"/>
  <c r="I425" i="3"/>
  <c r="J425" i="3"/>
  <c r="K425" i="3"/>
  <c r="L425" i="3"/>
  <c r="H426" i="3"/>
  <c r="M426" i="3" s="1"/>
  <c r="I426" i="3"/>
  <c r="J426" i="3"/>
  <c r="K426" i="3"/>
  <c r="L426" i="3"/>
  <c r="H427" i="3"/>
  <c r="M427" i="3" s="1"/>
  <c r="I427" i="3"/>
  <c r="J427" i="3"/>
  <c r="K427" i="3"/>
  <c r="L427" i="3"/>
  <c r="H428" i="3"/>
  <c r="M428" i="3" s="1"/>
  <c r="I428" i="3"/>
  <c r="J428" i="3"/>
  <c r="K428" i="3"/>
  <c r="L428" i="3"/>
  <c r="H429" i="3"/>
  <c r="M429" i="3" s="1"/>
  <c r="I429" i="3"/>
  <c r="J429" i="3"/>
  <c r="K429" i="3"/>
  <c r="L429" i="3"/>
  <c r="H430" i="3"/>
  <c r="M430" i="3" s="1"/>
  <c r="I430" i="3"/>
  <c r="J430" i="3"/>
  <c r="K430" i="3"/>
  <c r="L430" i="3"/>
  <c r="H431" i="3"/>
  <c r="M431" i="3" s="1"/>
  <c r="I431" i="3"/>
  <c r="J431" i="3"/>
  <c r="K431" i="3"/>
  <c r="L431" i="3"/>
  <c r="H432" i="3"/>
  <c r="M432" i="3" s="1"/>
  <c r="I432" i="3"/>
  <c r="J432" i="3"/>
  <c r="K432" i="3"/>
  <c r="L432" i="3"/>
  <c r="H433" i="3"/>
  <c r="M433" i="3" s="1"/>
  <c r="I433" i="3"/>
  <c r="J433" i="3"/>
  <c r="K433" i="3"/>
  <c r="L433" i="3"/>
  <c r="H434" i="3"/>
  <c r="M434" i="3" s="1"/>
  <c r="I434" i="3"/>
  <c r="J434" i="3"/>
  <c r="K434" i="3"/>
  <c r="L434" i="3"/>
  <c r="H435" i="3"/>
  <c r="M435" i="3" s="1"/>
  <c r="I435" i="3"/>
  <c r="J435" i="3"/>
  <c r="K435" i="3"/>
  <c r="L435" i="3"/>
  <c r="H436" i="3"/>
  <c r="M436" i="3" s="1"/>
  <c r="I436" i="3"/>
  <c r="J436" i="3"/>
  <c r="K436" i="3"/>
  <c r="L436" i="3"/>
  <c r="H437" i="3"/>
  <c r="M437" i="3" s="1"/>
  <c r="I437" i="3"/>
  <c r="J437" i="3"/>
  <c r="K437" i="3"/>
  <c r="L437" i="3"/>
  <c r="H438" i="3"/>
  <c r="M438" i="3" s="1"/>
  <c r="I438" i="3"/>
  <c r="J438" i="3"/>
  <c r="K438" i="3"/>
  <c r="L438" i="3"/>
  <c r="H439" i="3"/>
  <c r="M439" i="3" s="1"/>
  <c r="I439" i="3"/>
  <c r="J439" i="3"/>
  <c r="K439" i="3"/>
  <c r="L439" i="3"/>
  <c r="H440" i="3"/>
  <c r="M440" i="3" s="1"/>
  <c r="I440" i="3"/>
  <c r="J440" i="3"/>
  <c r="K440" i="3"/>
  <c r="L440" i="3"/>
  <c r="H441" i="3"/>
  <c r="M441" i="3" s="1"/>
  <c r="I441" i="3"/>
  <c r="J441" i="3"/>
  <c r="K441" i="3"/>
  <c r="L441" i="3"/>
  <c r="H442" i="3"/>
  <c r="M442" i="3" s="1"/>
  <c r="I442" i="3"/>
  <c r="J442" i="3"/>
  <c r="K442" i="3"/>
  <c r="L442" i="3"/>
  <c r="H443" i="3"/>
  <c r="M443" i="3" s="1"/>
  <c r="I443" i="3"/>
  <c r="J443" i="3"/>
  <c r="K443" i="3"/>
  <c r="L443" i="3"/>
  <c r="H444" i="3"/>
  <c r="M444" i="3" s="1"/>
  <c r="I444" i="3"/>
  <c r="J444" i="3"/>
  <c r="K444" i="3"/>
  <c r="L444" i="3"/>
  <c r="H445" i="3"/>
  <c r="M445" i="3" s="1"/>
  <c r="I445" i="3"/>
  <c r="J445" i="3"/>
  <c r="K445" i="3"/>
  <c r="L445" i="3"/>
  <c r="H446" i="3"/>
  <c r="M446" i="3" s="1"/>
  <c r="I446" i="3"/>
  <c r="J446" i="3"/>
  <c r="K446" i="3"/>
  <c r="L446" i="3"/>
  <c r="H447" i="3"/>
  <c r="M447" i="3" s="1"/>
  <c r="I447" i="3"/>
  <c r="J447" i="3"/>
  <c r="K447" i="3"/>
  <c r="L447" i="3"/>
  <c r="H448" i="3"/>
  <c r="M448" i="3" s="1"/>
  <c r="I448" i="3"/>
  <c r="J448" i="3"/>
  <c r="K448" i="3"/>
  <c r="L448" i="3"/>
  <c r="H449" i="3"/>
  <c r="M449" i="3" s="1"/>
  <c r="I449" i="3"/>
  <c r="J449" i="3"/>
  <c r="K449" i="3"/>
  <c r="L449" i="3"/>
  <c r="H450" i="3"/>
  <c r="M450" i="3" s="1"/>
  <c r="I450" i="3"/>
  <c r="J450" i="3"/>
  <c r="K450" i="3"/>
  <c r="L450" i="3"/>
  <c r="H451" i="3"/>
  <c r="M451" i="3" s="1"/>
  <c r="I451" i="3"/>
  <c r="J451" i="3"/>
  <c r="K451" i="3"/>
  <c r="L451" i="3"/>
  <c r="H452" i="3"/>
  <c r="M452" i="3" s="1"/>
  <c r="I452" i="3"/>
  <c r="J452" i="3"/>
  <c r="K452" i="3"/>
  <c r="L452" i="3"/>
  <c r="H453" i="3"/>
  <c r="M453" i="3" s="1"/>
  <c r="I453" i="3"/>
  <c r="J453" i="3"/>
  <c r="K453" i="3"/>
  <c r="L453" i="3"/>
  <c r="H454" i="3"/>
  <c r="I454" i="3"/>
  <c r="J454" i="3"/>
  <c r="K454" i="3"/>
  <c r="L454" i="3"/>
  <c r="M454" i="3"/>
  <c r="H455" i="3"/>
  <c r="I455" i="3"/>
  <c r="J455" i="3"/>
  <c r="K455" i="3"/>
  <c r="L455" i="3"/>
  <c r="M455" i="3"/>
  <c r="H456" i="3"/>
  <c r="I456" i="3"/>
  <c r="J456" i="3"/>
  <c r="K456" i="3"/>
  <c r="L456" i="3"/>
  <c r="M456" i="3"/>
  <c r="H457" i="3"/>
  <c r="I457" i="3"/>
  <c r="J457" i="3"/>
  <c r="K457" i="3"/>
  <c r="L457" i="3"/>
  <c r="M457" i="3"/>
  <c r="H458" i="3"/>
  <c r="I458" i="3"/>
  <c r="J458" i="3"/>
  <c r="K458" i="3"/>
  <c r="L458" i="3"/>
  <c r="M458" i="3"/>
  <c r="H459" i="3"/>
  <c r="I459" i="3"/>
  <c r="J459" i="3"/>
  <c r="K459" i="3"/>
  <c r="L459" i="3"/>
  <c r="M459" i="3"/>
  <c r="H460" i="3"/>
  <c r="I460" i="3"/>
  <c r="J460" i="3"/>
  <c r="K460" i="3"/>
  <c r="L460" i="3"/>
  <c r="M460" i="3"/>
  <c r="H461" i="3"/>
  <c r="I461" i="3"/>
  <c r="J461" i="3"/>
  <c r="K461" i="3"/>
  <c r="L461" i="3"/>
  <c r="M461" i="3"/>
  <c r="H462" i="3"/>
  <c r="I462" i="3"/>
  <c r="J462" i="3"/>
  <c r="K462" i="3"/>
  <c r="L462" i="3"/>
  <c r="M462" i="3"/>
  <c r="H463" i="3"/>
  <c r="I463" i="3"/>
  <c r="J463" i="3"/>
  <c r="K463" i="3"/>
  <c r="L463" i="3"/>
  <c r="M463" i="3"/>
  <c r="H464" i="3"/>
  <c r="I464" i="3"/>
  <c r="J464" i="3"/>
  <c r="K464" i="3"/>
  <c r="L464" i="3"/>
  <c r="M464" i="3"/>
  <c r="H465" i="3"/>
  <c r="I465" i="3"/>
  <c r="J465" i="3"/>
  <c r="K465" i="3"/>
  <c r="L465" i="3"/>
  <c r="M465" i="3"/>
  <c r="H466" i="3"/>
  <c r="I466" i="3"/>
  <c r="J466" i="3"/>
  <c r="K466" i="3"/>
  <c r="L466" i="3"/>
  <c r="M466" i="3"/>
  <c r="H467" i="3"/>
  <c r="I467" i="3"/>
  <c r="J467" i="3"/>
  <c r="K467" i="3"/>
  <c r="L467" i="3"/>
  <c r="M467" i="3"/>
  <c r="H468" i="3"/>
  <c r="I468" i="3"/>
  <c r="J468" i="3"/>
  <c r="K468" i="3"/>
  <c r="L468" i="3"/>
  <c r="M468" i="3"/>
  <c r="H469" i="3"/>
  <c r="I469" i="3"/>
  <c r="J469" i="3"/>
  <c r="K469" i="3"/>
  <c r="L469" i="3"/>
  <c r="M469" i="3"/>
  <c r="H470" i="3"/>
  <c r="I470" i="3"/>
  <c r="J470" i="3"/>
  <c r="K470" i="3"/>
  <c r="L470" i="3"/>
  <c r="M470" i="3"/>
  <c r="H471" i="3"/>
  <c r="I471" i="3"/>
  <c r="J471" i="3"/>
  <c r="K471" i="3"/>
  <c r="L471" i="3"/>
  <c r="M471" i="3"/>
  <c r="H472" i="3"/>
  <c r="I472" i="3"/>
  <c r="J472" i="3"/>
  <c r="K472" i="3"/>
  <c r="L472" i="3"/>
  <c r="M472" i="3"/>
  <c r="H473" i="3"/>
  <c r="I473" i="3"/>
  <c r="J473" i="3"/>
  <c r="K473" i="3"/>
  <c r="L473" i="3"/>
  <c r="M473" i="3"/>
  <c r="H474" i="3"/>
  <c r="I474" i="3"/>
  <c r="J474" i="3"/>
  <c r="K474" i="3"/>
  <c r="L474" i="3"/>
  <c r="M474" i="3"/>
  <c r="H475" i="3"/>
  <c r="I475" i="3"/>
  <c r="J475" i="3"/>
  <c r="K475" i="3"/>
  <c r="L475" i="3"/>
  <c r="M475" i="3"/>
  <c r="H476" i="3"/>
  <c r="I476" i="3"/>
  <c r="J476" i="3"/>
  <c r="K476" i="3"/>
  <c r="L476" i="3"/>
  <c r="M476" i="3"/>
  <c r="H477" i="3"/>
  <c r="I477" i="3"/>
  <c r="J477" i="3"/>
  <c r="K477" i="3"/>
  <c r="L477" i="3"/>
  <c r="M477" i="3"/>
  <c r="H478" i="3"/>
  <c r="I478" i="3"/>
  <c r="J478" i="3"/>
  <c r="K478" i="3"/>
  <c r="L478" i="3"/>
  <c r="M478" i="3"/>
  <c r="H479" i="3"/>
  <c r="I479" i="3"/>
  <c r="J479" i="3"/>
  <c r="K479" i="3"/>
  <c r="L479" i="3"/>
  <c r="M479" i="3"/>
  <c r="H480" i="3"/>
  <c r="I480" i="3"/>
  <c r="J480" i="3"/>
  <c r="K480" i="3"/>
  <c r="L480" i="3"/>
  <c r="M480" i="3"/>
  <c r="H481" i="3"/>
  <c r="I481" i="3"/>
  <c r="J481" i="3"/>
  <c r="K481" i="3"/>
  <c r="L481" i="3"/>
  <c r="M481" i="3"/>
  <c r="H482" i="3"/>
  <c r="I482" i="3"/>
  <c r="J482" i="3"/>
  <c r="K482" i="3"/>
  <c r="L482" i="3"/>
  <c r="M482" i="3"/>
  <c r="H483" i="3"/>
  <c r="I483" i="3"/>
  <c r="J483" i="3"/>
  <c r="K483" i="3"/>
  <c r="L483" i="3"/>
  <c r="M483" i="3"/>
  <c r="H484" i="3"/>
  <c r="I484" i="3"/>
  <c r="J484" i="3"/>
  <c r="K484" i="3"/>
  <c r="L484" i="3"/>
  <c r="M484" i="3"/>
  <c r="H485" i="3"/>
  <c r="I485" i="3"/>
  <c r="J485" i="3"/>
  <c r="K485" i="3"/>
  <c r="L485" i="3"/>
  <c r="M485" i="3"/>
  <c r="H486" i="3"/>
  <c r="I486" i="3"/>
  <c r="J486" i="3"/>
  <c r="K486" i="3"/>
  <c r="L486" i="3"/>
  <c r="M486" i="3"/>
  <c r="H487" i="3"/>
  <c r="I487" i="3"/>
  <c r="J487" i="3"/>
  <c r="K487" i="3"/>
  <c r="L487" i="3"/>
  <c r="M487" i="3"/>
  <c r="H488" i="3"/>
  <c r="I488" i="3"/>
  <c r="J488" i="3"/>
  <c r="K488" i="3"/>
  <c r="L488" i="3"/>
  <c r="M488" i="3"/>
  <c r="H489" i="3"/>
  <c r="I489" i="3"/>
  <c r="J489" i="3"/>
  <c r="K489" i="3"/>
  <c r="L489" i="3"/>
  <c r="M489" i="3"/>
  <c r="H490" i="3"/>
  <c r="I490" i="3"/>
  <c r="J490" i="3"/>
  <c r="K490" i="3"/>
  <c r="L490" i="3"/>
  <c r="M490" i="3"/>
  <c r="H491" i="3"/>
  <c r="I491" i="3"/>
  <c r="J491" i="3"/>
  <c r="K491" i="3"/>
  <c r="L491" i="3"/>
  <c r="M491" i="3"/>
  <c r="H492" i="3"/>
  <c r="I492" i="3"/>
  <c r="J492" i="3"/>
  <c r="K492" i="3"/>
  <c r="L492" i="3"/>
  <c r="M492" i="3"/>
  <c r="H493" i="3"/>
  <c r="I493" i="3"/>
  <c r="J493" i="3"/>
  <c r="K493" i="3"/>
  <c r="L493" i="3"/>
  <c r="M493" i="3"/>
  <c r="H494" i="3"/>
  <c r="I494" i="3"/>
  <c r="J494" i="3"/>
  <c r="K494" i="3"/>
  <c r="L494" i="3"/>
  <c r="M494" i="3"/>
  <c r="H495" i="3"/>
  <c r="I495" i="3"/>
  <c r="J495" i="3"/>
  <c r="K495" i="3"/>
  <c r="L495" i="3"/>
  <c r="M495" i="3"/>
  <c r="H496" i="3"/>
  <c r="I496" i="3"/>
  <c r="J496" i="3"/>
  <c r="K496" i="3"/>
  <c r="L496" i="3"/>
  <c r="M496" i="3"/>
  <c r="H497" i="3"/>
  <c r="I497" i="3"/>
  <c r="J497" i="3"/>
  <c r="K497" i="3"/>
  <c r="L497" i="3"/>
  <c r="M497" i="3"/>
  <c r="H498" i="3"/>
  <c r="I498" i="3"/>
  <c r="J498" i="3"/>
  <c r="K498" i="3"/>
  <c r="L498" i="3"/>
  <c r="M498" i="3"/>
  <c r="H499" i="3"/>
  <c r="I499" i="3"/>
  <c r="J499" i="3"/>
  <c r="K499" i="3"/>
  <c r="L499" i="3"/>
  <c r="M499" i="3"/>
  <c r="H500" i="3"/>
  <c r="I500" i="3"/>
  <c r="J500" i="3"/>
  <c r="K500" i="3"/>
  <c r="L500" i="3"/>
  <c r="M500" i="3"/>
  <c r="H501" i="3"/>
  <c r="I501" i="3"/>
  <c r="J501" i="3"/>
  <c r="K501" i="3"/>
  <c r="L501" i="3"/>
  <c r="M501" i="3"/>
  <c r="H502" i="3"/>
  <c r="I502" i="3"/>
  <c r="J502" i="3"/>
  <c r="K502" i="3"/>
  <c r="L502" i="3"/>
  <c r="M502" i="3"/>
  <c r="H503" i="3"/>
  <c r="I503" i="3"/>
  <c r="J503" i="3"/>
  <c r="K503" i="3"/>
  <c r="L503" i="3"/>
  <c r="M503" i="3"/>
  <c r="H504" i="3"/>
  <c r="I504" i="3"/>
  <c r="J504" i="3"/>
  <c r="K504" i="3"/>
  <c r="L504" i="3"/>
  <c r="M504" i="3"/>
  <c r="H505" i="3"/>
  <c r="I505" i="3"/>
  <c r="J505" i="3"/>
  <c r="K505" i="3"/>
  <c r="L505" i="3"/>
  <c r="M505" i="3"/>
  <c r="H506" i="3"/>
  <c r="I506" i="3"/>
  <c r="J506" i="3"/>
  <c r="K506" i="3"/>
  <c r="L506" i="3"/>
  <c r="M506" i="3"/>
  <c r="H507" i="3"/>
  <c r="I507" i="3"/>
  <c r="J507" i="3"/>
  <c r="K507" i="3"/>
  <c r="L507" i="3"/>
  <c r="M507" i="3"/>
  <c r="H508" i="3"/>
  <c r="I508" i="3"/>
  <c r="J508" i="3"/>
  <c r="K508" i="3"/>
  <c r="L508" i="3"/>
  <c r="M508" i="3"/>
  <c r="H509" i="3"/>
  <c r="I509" i="3"/>
  <c r="J509" i="3"/>
  <c r="K509" i="3"/>
  <c r="L509" i="3"/>
  <c r="M509" i="3"/>
  <c r="H510" i="3"/>
  <c r="I510" i="3"/>
  <c r="J510" i="3"/>
  <c r="K510" i="3"/>
  <c r="L510" i="3"/>
  <c r="M510" i="3"/>
  <c r="H511" i="3"/>
  <c r="I511" i="3"/>
  <c r="J511" i="3"/>
  <c r="K511" i="3"/>
  <c r="L511" i="3"/>
  <c r="M511" i="3"/>
  <c r="H512" i="3"/>
  <c r="I512" i="3"/>
  <c r="J512" i="3"/>
  <c r="K512" i="3"/>
  <c r="L512" i="3"/>
  <c r="M512" i="3"/>
  <c r="H513" i="3"/>
  <c r="I513" i="3"/>
  <c r="J513" i="3"/>
  <c r="K513" i="3"/>
  <c r="L513" i="3"/>
  <c r="M513" i="3"/>
  <c r="H514" i="3"/>
  <c r="I514" i="3"/>
  <c r="J514" i="3"/>
  <c r="K514" i="3"/>
  <c r="L514" i="3"/>
  <c r="M514" i="3"/>
  <c r="H515" i="3"/>
  <c r="I515" i="3"/>
  <c r="J515" i="3"/>
  <c r="K515" i="3"/>
  <c r="L515" i="3"/>
  <c r="M515" i="3"/>
  <c r="H516" i="3"/>
  <c r="I516" i="3"/>
  <c r="J516" i="3"/>
  <c r="K516" i="3"/>
  <c r="L516" i="3"/>
  <c r="M516" i="3"/>
  <c r="H517" i="3"/>
  <c r="I517" i="3"/>
  <c r="J517" i="3"/>
  <c r="K517" i="3"/>
  <c r="L517" i="3"/>
  <c r="M517" i="3"/>
  <c r="H518" i="3"/>
  <c r="I518" i="3"/>
  <c r="J518" i="3"/>
  <c r="K518" i="3"/>
  <c r="L518" i="3"/>
  <c r="M518" i="3"/>
  <c r="H519" i="3"/>
  <c r="I519" i="3"/>
  <c r="J519" i="3"/>
  <c r="K519" i="3"/>
  <c r="L519" i="3"/>
  <c r="M519" i="3"/>
  <c r="H520" i="3"/>
  <c r="I520" i="3"/>
  <c r="J520" i="3"/>
  <c r="K520" i="3"/>
  <c r="L520" i="3"/>
  <c r="M520" i="3"/>
  <c r="H521" i="3"/>
  <c r="I521" i="3"/>
  <c r="J521" i="3"/>
  <c r="K521" i="3"/>
  <c r="L521" i="3"/>
  <c r="M521" i="3"/>
  <c r="H522" i="3"/>
  <c r="I522" i="3"/>
  <c r="J522" i="3"/>
  <c r="K522" i="3"/>
  <c r="L522" i="3"/>
  <c r="M522" i="3"/>
  <c r="H523" i="3"/>
  <c r="I523" i="3"/>
  <c r="J523" i="3"/>
  <c r="K523" i="3"/>
  <c r="L523" i="3"/>
  <c r="M523" i="3"/>
  <c r="H524" i="3"/>
  <c r="I524" i="3"/>
  <c r="J524" i="3"/>
  <c r="K524" i="3"/>
  <c r="L524" i="3"/>
  <c r="M524" i="3"/>
  <c r="H525" i="3"/>
  <c r="I525" i="3"/>
  <c r="J525" i="3"/>
  <c r="K525" i="3"/>
  <c r="L525" i="3"/>
  <c r="M525" i="3"/>
  <c r="H526" i="3"/>
  <c r="I526" i="3"/>
  <c r="J526" i="3"/>
  <c r="K526" i="3"/>
  <c r="L526" i="3"/>
  <c r="M526" i="3"/>
  <c r="H527" i="3"/>
  <c r="I527" i="3"/>
  <c r="J527" i="3"/>
  <c r="K527" i="3"/>
  <c r="L527" i="3"/>
  <c r="M527" i="3"/>
  <c r="H528" i="3"/>
  <c r="I528" i="3"/>
  <c r="J528" i="3"/>
  <c r="K528" i="3"/>
  <c r="L528" i="3"/>
  <c r="M528" i="3"/>
  <c r="H529" i="3"/>
  <c r="I529" i="3"/>
  <c r="J529" i="3"/>
  <c r="K529" i="3"/>
  <c r="L529" i="3"/>
  <c r="M529" i="3"/>
  <c r="H530" i="3"/>
  <c r="I530" i="3"/>
  <c r="J530" i="3"/>
  <c r="K530" i="3"/>
  <c r="L530" i="3"/>
  <c r="M530" i="3"/>
  <c r="H531" i="3"/>
  <c r="I531" i="3"/>
  <c r="J531" i="3"/>
  <c r="K531" i="3"/>
  <c r="L531" i="3"/>
  <c r="M531" i="3"/>
  <c r="H532" i="3"/>
  <c r="I532" i="3"/>
  <c r="J532" i="3"/>
  <c r="K532" i="3"/>
  <c r="L532" i="3"/>
  <c r="M532" i="3"/>
  <c r="H533" i="3"/>
  <c r="I533" i="3"/>
  <c r="J533" i="3"/>
  <c r="K533" i="3"/>
  <c r="L533" i="3"/>
  <c r="M533" i="3"/>
  <c r="H534" i="3"/>
  <c r="I534" i="3"/>
  <c r="J534" i="3"/>
  <c r="K534" i="3"/>
  <c r="L534" i="3"/>
  <c r="M534" i="3"/>
  <c r="H535" i="3"/>
  <c r="I535" i="3"/>
  <c r="J535" i="3"/>
  <c r="K535" i="3"/>
  <c r="L535" i="3"/>
  <c r="M535" i="3"/>
  <c r="H536" i="3"/>
  <c r="I536" i="3"/>
  <c r="J536" i="3"/>
  <c r="K536" i="3"/>
  <c r="L536" i="3"/>
  <c r="M536" i="3"/>
  <c r="H537" i="3"/>
  <c r="I537" i="3"/>
  <c r="J537" i="3"/>
  <c r="K537" i="3"/>
  <c r="L537" i="3"/>
  <c r="M537" i="3"/>
  <c r="H538" i="3"/>
  <c r="I538" i="3"/>
  <c r="J538" i="3"/>
  <c r="K538" i="3"/>
  <c r="L538" i="3"/>
  <c r="M538" i="3"/>
  <c r="H539" i="3"/>
  <c r="I539" i="3"/>
  <c r="J539" i="3"/>
  <c r="K539" i="3"/>
  <c r="L539" i="3"/>
  <c r="M539" i="3"/>
  <c r="H540" i="3"/>
  <c r="I540" i="3"/>
  <c r="J540" i="3"/>
  <c r="K540" i="3"/>
  <c r="L540" i="3"/>
  <c r="M540" i="3"/>
  <c r="H541" i="3"/>
  <c r="I541" i="3"/>
  <c r="J541" i="3"/>
  <c r="K541" i="3"/>
  <c r="L541" i="3"/>
  <c r="M541" i="3"/>
  <c r="H542" i="3"/>
  <c r="I542" i="3"/>
  <c r="J542" i="3"/>
  <c r="K542" i="3"/>
  <c r="L542" i="3"/>
  <c r="M542" i="3"/>
  <c r="H543" i="3"/>
  <c r="I543" i="3"/>
  <c r="J543" i="3"/>
  <c r="K543" i="3"/>
  <c r="L543" i="3"/>
  <c r="M543" i="3"/>
  <c r="H544" i="3"/>
  <c r="I544" i="3"/>
  <c r="J544" i="3"/>
  <c r="K544" i="3"/>
  <c r="L544" i="3"/>
  <c r="M544" i="3"/>
  <c r="H545" i="3"/>
  <c r="I545" i="3"/>
  <c r="J545" i="3"/>
  <c r="K545" i="3"/>
  <c r="L545" i="3"/>
  <c r="M545" i="3"/>
  <c r="H546" i="3"/>
  <c r="I546" i="3"/>
  <c r="J546" i="3"/>
  <c r="K546" i="3"/>
  <c r="L546" i="3"/>
  <c r="M546" i="3"/>
  <c r="H547" i="3"/>
  <c r="I547" i="3"/>
  <c r="J547" i="3"/>
  <c r="K547" i="3"/>
  <c r="L547" i="3"/>
  <c r="M547" i="3"/>
  <c r="H548" i="3"/>
  <c r="I548" i="3"/>
  <c r="J548" i="3"/>
  <c r="K548" i="3"/>
  <c r="L548" i="3"/>
  <c r="M548" i="3"/>
  <c r="H549" i="3"/>
  <c r="I549" i="3"/>
  <c r="J549" i="3"/>
  <c r="K549" i="3"/>
  <c r="L549" i="3"/>
  <c r="M549" i="3"/>
  <c r="H550" i="3"/>
  <c r="I550" i="3"/>
  <c r="J550" i="3"/>
  <c r="K550" i="3"/>
  <c r="L550" i="3"/>
  <c r="M550" i="3"/>
  <c r="H551" i="3"/>
  <c r="I551" i="3"/>
  <c r="J551" i="3"/>
  <c r="K551" i="3"/>
  <c r="L551" i="3"/>
  <c r="M551" i="3"/>
  <c r="H552" i="3"/>
  <c r="I552" i="3"/>
  <c r="J552" i="3"/>
  <c r="K552" i="3"/>
  <c r="L552" i="3"/>
  <c r="M552" i="3"/>
  <c r="H553" i="3"/>
  <c r="I553" i="3"/>
  <c r="J553" i="3"/>
  <c r="K553" i="3"/>
  <c r="L553" i="3"/>
  <c r="M553" i="3"/>
  <c r="H554" i="3"/>
  <c r="I554" i="3"/>
  <c r="J554" i="3"/>
  <c r="K554" i="3"/>
  <c r="L554" i="3"/>
  <c r="M554" i="3"/>
  <c r="H555" i="3"/>
  <c r="I555" i="3"/>
  <c r="J555" i="3"/>
  <c r="K555" i="3"/>
  <c r="L555" i="3"/>
  <c r="M555" i="3"/>
  <c r="H556" i="3"/>
  <c r="I556" i="3"/>
  <c r="J556" i="3"/>
  <c r="K556" i="3"/>
  <c r="L556" i="3"/>
  <c r="M556" i="3"/>
  <c r="H557" i="3"/>
  <c r="I557" i="3"/>
  <c r="J557" i="3"/>
  <c r="K557" i="3"/>
  <c r="L557" i="3"/>
  <c r="M557" i="3"/>
  <c r="H558" i="3"/>
  <c r="I558" i="3"/>
  <c r="J558" i="3"/>
  <c r="K558" i="3"/>
  <c r="L558" i="3"/>
  <c r="M558" i="3"/>
  <c r="H559" i="3"/>
  <c r="I559" i="3"/>
  <c r="J559" i="3"/>
  <c r="K559" i="3"/>
  <c r="L559" i="3"/>
  <c r="M559" i="3"/>
  <c r="H560" i="3"/>
  <c r="I560" i="3"/>
  <c r="J560" i="3"/>
  <c r="K560" i="3"/>
  <c r="L560" i="3"/>
  <c r="M560" i="3"/>
  <c r="H561" i="3"/>
  <c r="I561" i="3"/>
  <c r="J561" i="3"/>
  <c r="K561" i="3"/>
  <c r="L561" i="3"/>
  <c r="M561" i="3"/>
  <c r="H562" i="3"/>
  <c r="I562" i="3"/>
  <c r="J562" i="3"/>
  <c r="K562" i="3"/>
  <c r="L562" i="3"/>
  <c r="M562" i="3"/>
  <c r="H563" i="3"/>
  <c r="I563" i="3"/>
  <c r="J563" i="3"/>
  <c r="K563" i="3"/>
  <c r="L563" i="3"/>
  <c r="M563" i="3"/>
  <c r="H564" i="3"/>
  <c r="I564" i="3"/>
  <c r="J564" i="3"/>
  <c r="K564" i="3"/>
  <c r="L564" i="3"/>
  <c r="M564" i="3"/>
  <c r="H565" i="3"/>
  <c r="I565" i="3"/>
  <c r="J565" i="3"/>
  <c r="K565" i="3"/>
  <c r="L565" i="3"/>
  <c r="M565" i="3"/>
  <c r="H566" i="3"/>
  <c r="I566" i="3"/>
  <c r="J566" i="3"/>
  <c r="K566" i="3"/>
  <c r="L566" i="3"/>
  <c r="M566" i="3"/>
  <c r="H567" i="3"/>
  <c r="I567" i="3"/>
  <c r="J567" i="3"/>
  <c r="K567" i="3"/>
  <c r="L567" i="3"/>
  <c r="M567" i="3"/>
  <c r="H568" i="3"/>
  <c r="I568" i="3"/>
  <c r="J568" i="3"/>
  <c r="K568" i="3"/>
  <c r="L568" i="3"/>
  <c r="M568" i="3"/>
  <c r="H569" i="3"/>
  <c r="I569" i="3"/>
  <c r="J569" i="3"/>
  <c r="K569" i="3"/>
  <c r="L569" i="3"/>
  <c r="M569" i="3"/>
  <c r="H570" i="3"/>
  <c r="I570" i="3"/>
  <c r="J570" i="3"/>
  <c r="K570" i="3"/>
  <c r="L570" i="3"/>
  <c r="M570" i="3"/>
  <c r="H571" i="3"/>
  <c r="I571" i="3"/>
  <c r="J571" i="3"/>
  <c r="K571" i="3"/>
  <c r="L571" i="3"/>
  <c r="M571" i="3"/>
  <c r="H572" i="3"/>
  <c r="I572" i="3"/>
  <c r="J572" i="3"/>
  <c r="K572" i="3"/>
  <c r="L572" i="3"/>
  <c r="M572" i="3"/>
  <c r="H573" i="3"/>
  <c r="I573" i="3"/>
  <c r="J573" i="3"/>
  <c r="K573" i="3"/>
  <c r="L573" i="3"/>
  <c r="M573" i="3"/>
  <c r="H574" i="3"/>
  <c r="I574" i="3"/>
  <c r="J574" i="3"/>
  <c r="K574" i="3"/>
  <c r="L574" i="3"/>
  <c r="M574" i="3"/>
  <c r="H575" i="3"/>
  <c r="I575" i="3"/>
  <c r="J575" i="3"/>
  <c r="K575" i="3"/>
  <c r="L575" i="3"/>
  <c r="M575" i="3"/>
  <c r="H576" i="3"/>
  <c r="I576" i="3"/>
  <c r="J576" i="3"/>
  <c r="K576" i="3"/>
  <c r="L576" i="3"/>
  <c r="M576" i="3"/>
  <c r="H577" i="3"/>
  <c r="I577" i="3"/>
  <c r="J577" i="3"/>
  <c r="K577" i="3"/>
  <c r="L577" i="3"/>
  <c r="M577" i="3"/>
  <c r="H578" i="3"/>
  <c r="I578" i="3"/>
  <c r="J578" i="3"/>
  <c r="K578" i="3"/>
  <c r="L578" i="3"/>
  <c r="M578" i="3"/>
  <c r="H579" i="3"/>
  <c r="I579" i="3"/>
  <c r="J579" i="3"/>
  <c r="K579" i="3"/>
  <c r="L579" i="3"/>
  <c r="M579" i="3"/>
  <c r="H580" i="3"/>
  <c r="I580" i="3"/>
  <c r="J580" i="3"/>
  <c r="K580" i="3"/>
  <c r="L580" i="3"/>
  <c r="M580" i="3"/>
  <c r="H581" i="3"/>
  <c r="I581" i="3"/>
  <c r="J581" i="3"/>
  <c r="K581" i="3"/>
  <c r="L581" i="3"/>
  <c r="M581" i="3"/>
  <c r="H582" i="3"/>
  <c r="I582" i="3"/>
  <c r="J582" i="3"/>
  <c r="K582" i="3"/>
  <c r="L582" i="3"/>
  <c r="M582" i="3"/>
  <c r="H583" i="3"/>
  <c r="I583" i="3"/>
  <c r="J583" i="3"/>
  <c r="K583" i="3"/>
  <c r="L583" i="3"/>
  <c r="M583" i="3"/>
  <c r="H584" i="3"/>
  <c r="I584" i="3"/>
  <c r="J584" i="3"/>
  <c r="K584" i="3"/>
  <c r="L584" i="3"/>
  <c r="M584" i="3"/>
  <c r="H585" i="3"/>
  <c r="I585" i="3"/>
  <c r="J585" i="3"/>
  <c r="K585" i="3"/>
  <c r="L585" i="3"/>
  <c r="M585" i="3"/>
  <c r="H586" i="3"/>
  <c r="I586" i="3"/>
  <c r="J586" i="3"/>
  <c r="K586" i="3"/>
  <c r="L586" i="3"/>
  <c r="M586" i="3"/>
  <c r="H587" i="3"/>
  <c r="I587" i="3"/>
  <c r="J587" i="3"/>
  <c r="K587" i="3"/>
  <c r="L587" i="3"/>
  <c r="M587" i="3"/>
  <c r="H588" i="3"/>
  <c r="I588" i="3"/>
  <c r="J588" i="3"/>
  <c r="K588" i="3"/>
  <c r="L588" i="3"/>
  <c r="M588" i="3"/>
  <c r="H589" i="3"/>
  <c r="I589" i="3"/>
  <c r="J589" i="3"/>
  <c r="K589" i="3"/>
  <c r="L589" i="3"/>
  <c r="M589" i="3"/>
  <c r="H590" i="3"/>
  <c r="I590" i="3"/>
  <c r="J590" i="3"/>
  <c r="K590" i="3"/>
  <c r="L590" i="3"/>
  <c r="M590" i="3"/>
  <c r="H591" i="3"/>
  <c r="I591" i="3"/>
  <c r="J591" i="3"/>
  <c r="K591" i="3"/>
  <c r="L591" i="3"/>
  <c r="M591" i="3"/>
  <c r="H592" i="3"/>
  <c r="I592" i="3"/>
  <c r="J592" i="3"/>
  <c r="K592" i="3"/>
  <c r="L592" i="3"/>
  <c r="M592" i="3"/>
  <c r="H593" i="3"/>
  <c r="I593" i="3"/>
  <c r="J593" i="3"/>
  <c r="K593" i="3"/>
  <c r="L593" i="3"/>
  <c r="M593" i="3"/>
  <c r="H594" i="3"/>
  <c r="I594" i="3"/>
  <c r="J594" i="3"/>
  <c r="K594" i="3"/>
  <c r="L594" i="3"/>
  <c r="M594" i="3"/>
  <c r="H595" i="3"/>
  <c r="I595" i="3"/>
  <c r="J595" i="3"/>
  <c r="K595" i="3"/>
  <c r="L595" i="3"/>
  <c r="M595" i="3"/>
  <c r="H596" i="3"/>
  <c r="I596" i="3"/>
  <c r="J596" i="3"/>
  <c r="K596" i="3"/>
  <c r="L596" i="3"/>
  <c r="M596" i="3"/>
  <c r="H597" i="3"/>
  <c r="I597" i="3"/>
  <c r="J597" i="3"/>
  <c r="K597" i="3"/>
  <c r="L597" i="3"/>
  <c r="M597" i="3"/>
  <c r="H598" i="3"/>
  <c r="I598" i="3"/>
  <c r="J598" i="3"/>
  <c r="K598" i="3"/>
  <c r="L598" i="3"/>
  <c r="M598" i="3"/>
  <c r="H599" i="3"/>
  <c r="I599" i="3"/>
  <c r="J599" i="3"/>
  <c r="K599" i="3"/>
  <c r="L599" i="3"/>
  <c r="M599" i="3"/>
  <c r="H600" i="3"/>
  <c r="I600" i="3"/>
  <c r="J600" i="3"/>
  <c r="K600" i="3"/>
  <c r="L600" i="3"/>
  <c r="M600" i="3"/>
  <c r="H601" i="3"/>
  <c r="I601" i="3"/>
  <c r="J601" i="3"/>
  <c r="K601" i="3"/>
  <c r="L601" i="3"/>
  <c r="M601" i="3"/>
  <c r="H602" i="3"/>
  <c r="I602" i="3"/>
  <c r="J602" i="3"/>
  <c r="K602" i="3"/>
  <c r="L602" i="3"/>
  <c r="M602" i="3"/>
  <c r="H603" i="3"/>
  <c r="I603" i="3"/>
  <c r="J603" i="3"/>
  <c r="K603" i="3"/>
  <c r="L603" i="3"/>
  <c r="M603" i="3"/>
  <c r="H604" i="3"/>
  <c r="I604" i="3"/>
  <c r="J604" i="3"/>
  <c r="K604" i="3"/>
  <c r="L604" i="3"/>
  <c r="M604" i="3"/>
  <c r="H605" i="3"/>
  <c r="I605" i="3"/>
  <c r="J605" i="3"/>
  <c r="K605" i="3"/>
  <c r="L605" i="3"/>
  <c r="M605" i="3"/>
  <c r="H606" i="3"/>
  <c r="I606" i="3"/>
  <c r="J606" i="3"/>
  <c r="K606" i="3"/>
  <c r="L606" i="3"/>
  <c r="M606" i="3"/>
  <c r="H607" i="3"/>
  <c r="I607" i="3"/>
  <c r="J607" i="3"/>
  <c r="K607" i="3"/>
  <c r="L607" i="3"/>
  <c r="M607" i="3"/>
  <c r="H608" i="3"/>
  <c r="I608" i="3"/>
  <c r="J608" i="3"/>
  <c r="K608" i="3"/>
  <c r="L608" i="3"/>
  <c r="M608" i="3"/>
  <c r="H609" i="3"/>
  <c r="I609" i="3"/>
  <c r="J609" i="3"/>
  <c r="K609" i="3"/>
  <c r="L609" i="3"/>
  <c r="M609" i="3"/>
  <c r="H610" i="3"/>
  <c r="I610" i="3"/>
  <c r="J610" i="3"/>
  <c r="K610" i="3"/>
  <c r="L610" i="3"/>
  <c r="M610" i="3"/>
  <c r="H611" i="3"/>
  <c r="I611" i="3"/>
  <c r="J611" i="3"/>
  <c r="K611" i="3"/>
  <c r="L611" i="3"/>
  <c r="M611" i="3"/>
  <c r="H612" i="3"/>
  <c r="I612" i="3"/>
  <c r="J612" i="3"/>
  <c r="K612" i="3"/>
  <c r="L612" i="3"/>
  <c r="M612" i="3"/>
  <c r="H613" i="3"/>
  <c r="I613" i="3"/>
  <c r="J613" i="3"/>
  <c r="K613" i="3"/>
  <c r="L613" i="3"/>
  <c r="M613" i="3"/>
  <c r="H614" i="3"/>
  <c r="I614" i="3"/>
  <c r="J614" i="3"/>
  <c r="K614" i="3"/>
  <c r="L614" i="3"/>
  <c r="M614" i="3"/>
  <c r="H615" i="3"/>
  <c r="I615" i="3"/>
  <c r="J615" i="3"/>
  <c r="K615" i="3"/>
  <c r="L615" i="3"/>
  <c r="M615" i="3"/>
  <c r="H616" i="3"/>
  <c r="I616" i="3"/>
  <c r="J616" i="3"/>
  <c r="K616" i="3"/>
  <c r="L616" i="3"/>
  <c r="M616" i="3"/>
  <c r="H617" i="3"/>
  <c r="I617" i="3"/>
  <c r="J617" i="3"/>
  <c r="K617" i="3"/>
  <c r="L617" i="3"/>
  <c r="M617" i="3"/>
  <c r="H618" i="3"/>
  <c r="I618" i="3"/>
  <c r="J618" i="3"/>
  <c r="K618" i="3"/>
  <c r="L618" i="3"/>
  <c r="M618" i="3"/>
  <c r="H619" i="3"/>
  <c r="I619" i="3"/>
  <c r="J619" i="3"/>
  <c r="K619" i="3"/>
  <c r="L619" i="3"/>
  <c r="M619" i="3"/>
  <c r="H620" i="3"/>
  <c r="I620" i="3"/>
  <c r="J620" i="3"/>
  <c r="K620" i="3"/>
  <c r="L620" i="3"/>
  <c r="M620" i="3"/>
  <c r="H621" i="3"/>
  <c r="I621" i="3"/>
  <c r="J621" i="3"/>
  <c r="K621" i="3"/>
  <c r="L621" i="3"/>
  <c r="M621" i="3"/>
  <c r="H622" i="3"/>
  <c r="I622" i="3"/>
  <c r="J622" i="3"/>
  <c r="K622" i="3"/>
  <c r="L622" i="3"/>
  <c r="M622" i="3"/>
  <c r="H623" i="3"/>
  <c r="I623" i="3"/>
  <c r="J623" i="3"/>
  <c r="K623" i="3"/>
  <c r="L623" i="3"/>
  <c r="M623" i="3"/>
  <c r="H624" i="3"/>
  <c r="I624" i="3"/>
  <c r="J624" i="3"/>
  <c r="K624" i="3"/>
  <c r="L624" i="3"/>
  <c r="M624" i="3"/>
  <c r="H625" i="3"/>
  <c r="I625" i="3"/>
  <c r="J625" i="3"/>
  <c r="K625" i="3"/>
  <c r="L625" i="3"/>
  <c r="M625" i="3"/>
  <c r="H626" i="3"/>
  <c r="I626" i="3"/>
  <c r="J626" i="3"/>
  <c r="K626" i="3"/>
  <c r="L626" i="3"/>
  <c r="M626" i="3"/>
  <c r="H627" i="3"/>
  <c r="I627" i="3"/>
  <c r="J627" i="3"/>
  <c r="K627" i="3"/>
  <c r="L627" i="3"/>
  <c r="M627" i="3"/>
  <c r="H628" i="3"/>
  <c r="I628" i="3"/>
  <c r="J628" i="3"/>
  <c r="K628" i="3"/>
  <c r="L628" i="3"/>
  <c r="M628" i="3"/>
  <c r="H629" i="3"/>
  <c r="I629" i="3"/>
  <c r="J629" i="3"/>
  <c r="K629" i="3"/>
  <c r="L629" i="3"/>
  <c r="M629" i="3"/>
  <c r="H630" i="3"/>
  <c r="I630" i="3"/>
  <c r="J630" i="3"/>
  <c r="K630" i="3"/>
  <c r="L630" i="3"/>
  <c r="M630" i="3"/>
  <c r="H631" i="3"/>
  <c r="I631" i="3"/>
  <c r="J631" i="3"/>
  <c r="K631" i="3"/>
  <c r="L631" i="3"/>
  <c r="M631" i="3"/>
  <c r="H632" i="3"/>
  <c r="I632" i="3"/>
  <c r="J632" i="3"/>
  <c r="K632" i="3"/>
  <c r="L632" i="3"/>
  <c r="M632" i="3"/>
  <c r="H633" i="3"/>
  <c r="I633" i="3"/>
  <c r="J633" i="3"/>
  <c r="K633" i="3"/>
  <c r="L633" i="3"/>
  <c r="M633" i="3"/>
  <c r="H634" i="3"/>
  <c r="I634" i="3"/>
  <c r="J634" i="3"/>
  <c r="K634" i="3"/>
  <c r="L634" i="3"/>
  <c r="M634" i="3"/>
  <c r="H635" i="3"/>
  <c r="I635" i="3"/>
  <c r="J635" i="3"/>
  <c r="K635" i="3"/>
  <c r="L635" i="3"/>
  <c r="M635" i="3"/>
  <c r="H636" i="3"/>
  <c r="I636" i="3"/>
  <c r="J636" i="3"/>
  <c r="K636" i="3"/>
  <c r="L636" i="3"/>
  <c r="M636" i="3"/>
  <c r="H637" i="3"/>
  <c r="I637" i="3"/>
  <c r="J637" i="3"/>
  <c r="K637" i="3"/>
  <c r="L637" i="3"/>
  <c r="M637" i="3"/>
  <c r="H638" i="3"/>
  <c r="I638" i="3"/>
  <c r="J638" i="3"/>
  <c r="K638" i="3"/>
  <c r="L638" i="3"/>
  <c r="M638" i="3"/>
  <c r="H639" i="3"/>
  <c r="I639" i="3"/>
  <c r="J639" i="3"/>
  <c r="K639" i="3"/>
  <c r="L639" i="3"/>
  <c r="M639" i="3"/>
  <c r="H640" i="3"/>
  <c r="I640" i="3"/>
  <c r="J640" i="3"/>
  <c r="K640" i="3"/>
  <c r="L640" i="3"/>
  <c r="M640" i="3"/>
  <c r="H641" i="3"/>
  <c r="I641" i="3"/>
  <c r="J641" i="3"/>
  <c r="K641" i="3"/>
  <c r="L641" i="3"/>
  <c r="M641" i="3"/>
  <c r="H642" i="3"/>
  <c r="I642" i="3"/>
  <c r="J642" i="3"/>
  <c r="K642" i="3"/>
  <c r="L642" i="3"/>
  <c r="M642" i="3"/>
  <c r="H643" i="3"/>
  <c r="I643" i="3"/>
  <c r="J643" i="3"/>
  <c r="K643" i="3"/>
  <c r="L643" i="3"/>
  <c r="M643" i="3"/>
  <c r="H644" i="3"/>
  <c r="I644" i="3"/>
  <c r="J644" i="3"/>
  <c r="K644" i="3"/>
  <c r="L644" i="3"/>
  <c r="M644" i="3"/>
  <c r="H645" i="3"/>
  <c r="I645" i="3"/>
  <c r="J645" i="3"/>
  <c r="K645" i="3"/>
  <c r="L645" i="3"/>
  <c r="M645" i="3"/>
  <c r="H646" i="3"/>
  <c r="I646" i="3"/>
  <c r="J646" i="3"/>
  <c r="K646" i="3"/>
  <c r="L646" i="3"/>
  <c r="M646" i="3"/>
  <c r="H647" i="3"/>
  <c r="I647" i="3"/>
  <c r="J647" i="3"/>
  <c r="K647" i="3"/>
  <c r="L647" i="3"/>
  <c r="M647" i="3"/>
  <c r="H648" i="3"/>
  <c r="I648" i="3"/>
  <c r="J648" i="3"/>
  <c r="K648" i="3"/>
  <c r="L648" i="3"/>
  <c r="M648" i="3"/>
  <c r="H649" i="3"/>
  <c r="I649" i="3"/>
  <c r="J649" i="3"/>
  <c r="K649" i="3"/>
  <c r="L649" i="3"/>
  <c r="M649" i="3"/>
  <c r="H650" i="3"/>
  <c r="I650" i="3"/>
  <c r="J650" i="3"/>
  <c r="K650" i="3"/>
  <c r="L650" i="3"/>
  <c r="M650" i="3"/>
  <c r="H651" i="3"/>
  <c r="I651" i="3"/>
  <c r="J651" i="3"/>
  <c r="K651" i="3"/>
  <c r="L651" i="3"/>
  <c r="M651" i="3"/>
  <c r="H652" i="3"/>
  <c r="I652" i="3"/>
  <c r="J652" i="3"/>
  <c r="K652" i="3"/>
  <c r="L652" i="3"/>
  <c r="M652" i="3"/>
  <c r="H653" i="3"/>
  <c r="I653" i="3"/>
  <c r="J653" i="3"/>
  <c r="K653" i="3"/>
  <c r="L653" i="3"/>
  <c r="M653" i="3"/>
  <c r="H654" i="3"/>
  <c r="I654" i="3"/>
  <c r="J654" i="3"/>
  <c r="K654" i="3"/>
  <c r="L654" i="3"/>
  <c r="M654" i="3"/>
  <c r="H655" i="3"/>
  <c r="I655" i="3"/>
  <c r="J655" i="3"/>
  <c r="K655" i="3"/>
  <c r="L655" i="3"/>
  <c r="M655" i="3"/>
  <c r="H656" i="3"/>
  <c r="I656" i="3"/>
  <c r="J656" i="3"/>
  <c r="K656" i="3"/>
  <c r="L656" i="3"/>
  <c r="M656" i="3"/>
  <c r="H657" i="3"/>
  <c r="I657" i="3"/>
  <c r="J657" i="3"/>
  <c r="K657" i="3"/>
  <c r="L657" i="3"/>
  <c r="M657" i="3"/>
  <c r="H658" i="3"/>
  <c r="I658" i="3"/>
  <c r="J658" i="3"/>
  <c r="K658" i="3"/>
  <c r="L658" i="3"/>
  <c r="M658" i="3"/>
  <c r="H659" i="3"/>
  <c r="I659" i="3"/>
  <c r="J659" i="3"/>
  <c r="K659" i="3"/>
  <c r="L659" i="3"/>
  <c r="M659" i="3"/>
  <c r="H660" i="3"/>
  <c r="I660" i="3"/>
  <c r="J660" i="3"/>
  <c r="K660" i="3"/>
  <c r="L660" i="3"/>
  <c r="M660" i="3"/>
  <c r="H661" i="3"/>
  <c r="I661" i="3"/>
  <c r="J661" i="3"/>
  <c r="K661" i="3"/>
  <c r="L661" i="3"/>
  <c r="M661" i="3"/>
  <c r="H662" i="3"/>
  <c r="I662" i="3"/>
  <c r="J662" i="3"/>
  <c r="K662" i="3"/>
  <c r="L662" i="3"/>
  <c r="M662" i="3"/>
  <c r="H663" i="3"/>
  <c r="I663" i="3"/>
  <c r="J663" i="3"/>
  <c r="K663" i="3"/>
  <c r="L663" i="3"/>
  <c r="M663" i="3"/>
  <c r="H664" i="3"/>
  <c r="I664" i="3"/>
  <c r="J664" i="3"/>
  <c r="K664" i="3"/>
  <c r="L664" i="3"/>
  <c r="M664" i="3"/>
  <c r="H665" i="3"/>
  <c r="I665" i="3"/>
  <c r="J665" i="3"/>
  <c r="K665" i="3"/>
  <c r="L665" i="3"/>
  <c r="M665" i="3"/>
  <c r="H666" i="3"/>
  <c r="I666" i="3"/>
  <c r="J666" i="3"/>
  <c r="K666" i="3"/>
  <c r="L666" i="3"/>
  <c r="M666" i="3"/>
  <c r="H667" i="3"/>
  <c r="I667" i="3"/>
  <c r="J667" i="3"/>
  <c r="K667" i="3"/>
  <c r="L667" i="3"/>
  <c r="M667" i="3"/>
  <c r="H668" i="3"/>
  <c r="I668" i="3"/>
  <c r="J668" i="3"/>
  <c r="K668" i="3"/>
  <c r="L668" i="3"/>
  <c r="M668" i="3"/>
  <c r="H669" i="3"/>
  <c r="I669" i="3"/>
  <c r="J669" i="3"/>
  <c r="K669" i="3"/>
  <c r="L669" i="3"/>
  <c r="M669" i="3"/>
  <c r="H670" i="3"/>
  <c r="I670" i="3"/>
  <c r="J670" i="3"/>
  <c r="K670" i="3"/>
  <c r="L670" i="3"/>
  <c r="M670" i="3"/>
  <c r="H671" i="3"/>
  <c r="I671" i="3"/>
  <c r="J671" i="3"/>
  <c r="K671" i="3"/>
  <c r="L671" i="3"/>
  <c r="M671" i="3"/>
  <c r="H672" i="3"/>
  <c r="I672" i="3"/>
  <c r="J672" i="3"/>
  <c r="K672" i="3"/>
  <c r="L672" i="3"/>
  <c r="M672" i="3"/>
  <c r="H673" i="3"/>
  <c r="I673" i="3"/>
  <c r="J673" i="3"/>
  <c r="K673" i="3"/>
  <c r="L673" i="3"/>
  <c r="M673" i="3"/>
  <c r="H674" i="3"/>
  <c r="I674" i="3"/>
  <c r="J674" i="3"/>
  <c r="K674" i="3"/>
  <c r="L674" i="3"/>
  <c r="M674" i="3"/>
  <c r="H675" i="3"/>
  <c r="I675" i="3"/>
  <c r="J675" i="3"/>
  <c r="K675" i="3"/>
  <c r="L675" i="3"/>
  <c r="M675" i="3"/>
  <c r="H676" i="3"/>
  <c r="I676" i="3"/>
  <c r="J676" i="3"/>
  <c r="K676" i="3"/>
  <c r="L676" i="3"/>
  <c r="M676" i="3"/>
  <c r="H677" i="3"/>
  <c r="I677" i="3"/>
  <c r="J677" i="3"/>
  <c r="K677" i="3"/>
  <c r="L677" i="3"/>
  <c r="M677" i="3"/>
  <c r="H678" i="3"/>
  <c r="I678" i="3"/>
  <c r="J678" i="3"/>
  <c r="K678" i="3"/>
  <c r="L678" i="3"/>
  <c r="M678" i="3"/>
  <c r="H679" i="3"/>
  <c r="I679" i="3"/>
  <c r="J679" i="3"/>
  <c r="K679" i="3"/>
  <c r="L679" i="3"/>
  <c r="M679" i="3"/>
  <c r="H680" i="3"/>
  <c r="I680" i="3"/>
  <c r="J680" i="3"/>
  <c r="K680" i="3"/>
  <c r="L680" i="3"/>
  <c r="M680" i="3"/>
  <c r="H681" i="3"/>
  <c r="I681" i="3"/>
  <c r="J681" i="3"/>
  <c r="K681" i="3"/>
  <c r="L681" i="3"/>
  <c r="M681" i="3"/>
  <c r="H682" i="3"/>
  <c r="I682" i="3"/>
  <c r="J682" i="3"/>
  <c r="K682" i="3"/>
  <c r="L682" i="3"/>
  <c r="M682" i="3"/>
  <c r="H683" i="3"/>
  <c r="I683" i="3"/>
  <c r="J683" i="3"/>
  <c r="K683" i="3"/>
  <c r="L683" i="3"/>
  <c r="M683" i="3"/>
  <c r="H684" i="3"/>
  <c r="I684" i="3"/>
  <c r="J684" i="3"/>
  <c r="K684" i="3"/>
  <c r="L684" i="3"/>
  <c r="M684" i="3"/>
  <c r="H685" i="3"/>
  <c r="I685" i="3"/>
  <c r="J685" i="3"/>
  <c r="K685" i="3"/>
  <c r="L685" i="3"/>
  <c r="M685" i="3"/>
  <c r="H686" i="3"/>
  <c r="I686" i="3"/>
  <c r="J686" i="3"/>
  <c r="K686" i="3"/>
  <c r="L686" i="3"/>
  <c r="M686" i="3"/>
  <c r="H687" i="3"/>
  <c r="I687" i="3"/>
  <c r="J687" i="3"/>
  <c r="K687" i="3"/>
  <c r="L687" i="3"/>
  <c r="M687" i="3"/>
  <c r="H688" i="3"/>
  <c r="I688" i="3"/>
  <c r="J688" i="3"/>
  <c r="K688" i="3"/>
  <c r="L688" i="3"/>
  <c r="M688" i="3"/>
  <c r="H689" i="3"/>
  <c r="I689" i="3"/>
  <c r="J689" i="3"/>
  <c r="K689" i="3"/>
  <c r="L689" i="3"/>
  <c r="M689" i="3"/>
  <c r="H690" i="3"/>
  <c r="I690" i="3"/>
  <c r="J690" i="3"/>
  <c r="K690" i="3"/>
  <c r="L690" i="3"/>
  <c r="M690" i="3"/>
  <c r="H691" i="3"/>
  <c r="I691" i="3"/>
  <c r="J691" i="3"/>
  <c r="K691" i="3"/>
  <c r="L691" i="3"/>
  <c r="M691" i="3"/>
  <c r="H692" i="3"/>
  <c r="I692" i="3"/>
  <c r="J692" i="3"/>
  <c r="K692" i="3"/>
  <c r="L692" i="3"/>
  <c r="M692" i="3"/>
  <c r="H693" i="3"/>
  <c r="I693" i="3"/>
  <c r="J693" i="3"/>
  <c r="K693" i="3"/>
  <c r="L693" i="3"/>
  <c r="M693" i="3"/>
  <c r="H694" i="3"/>
  <c r="I694" i="3"/>
  <c r="J694" i="3"/>
  <c r="K694" i="3"/>
  <c r="L694" i="3"/>
  <c r="M694" i="3"/>
  <c r="H695" i="3"/>
  <c r="I695" i="3"/>
  <c r="J695" i="3"/>
  <c r="K695" i="3"/>
  <c r="L695" i="3"/>
  <c r="M695" i="3"/>
  <c r="H696" i="3"/>
  <c r="I696" i="3"/>
  <c r="J696" i="3"/>
  <c r="K696" i="3"/>
  <c r="L696" i="3"/>
  <c r="M696" i="3"/>
  <c r="H697" i="3"/>
  <c r="I697" i="3"/>
  <c r="J697" i="3"/>
  <c r="K697" i="3"/>
  <c r="L697" i="3"/>
  <c r="M697" i="3"/>
  <c r="H698" i="3"/>
  <c r="I698" i="3"/>
  <c r="J698" i="3"/>
  <c r="K698" i="3"/>
  <c r="L698" i="3"/>
  <c r="M698" i="3"/>
  <c r="H699" i="3"/>
  <c r="I699" i="3"/>
  <c r="J699" i="3"/>
  <c r="K699" i="3"/>
  <c r="L699" i="3"/>
  <c r="M699" i="3"/>
  <c r="H700" i="3"/>
  <c r="I700" i="3"/>
  <c r="J700" i="3"/>
  <c r="K700" i="3"/>
  <c r="L700" i="3"/>
  <c r="M700" i="3"/>
  <c r="H701" i="3"/>
  <c r="I701" i="3"/>
  <c r="J701" i="3"/>
  <c r="K701" i="3"/>
  <c r="L701" i="3"/>
  <c r="M701" i="3"/>
  <c r="H702" i="3"/>
  <c r="I702" i="3"/>
  <c r="J702" i="3"/>
  <c r="K702" i="3"/>
  <c r="L702" i="3"/>
  <c r="M702" i="3"/>
  <c r="H703" i="3"/>
  <c r="I703" i="3"/>
  <c r="J703" i="3"/>
  <c r="K703" i="3"/>
  <c r="L703" i="3"/>
  <c r="M703" i="3"/>
  <c r="H704" i="3"/>
  <c r="I704" i="3"/>
  <c r="J704" i="3"/>
  <c r="K704" i="3"/>
  <c r="L704" i="3"/>
  <c r="M704" i="3"/>
  <c r="H705" i="3"/>
  <c r="I705" i="3"/>
  <c r="J705" i="3"/>
  <c r="K705" i="3"/>
  <c r="L705" i="3"/>
  <c r="M705" i="3"/>
  <c r="H706" i="3"/>
  <c r="I706" i="3"/>
  <c r="J706" i="3"/>
  <c r="K706" i="3"/>
  <c r="L706" i="3"/>
  <c r="M706" i="3"/>
  <c r="H707" i="3"/>
  <c r="I707" i="3"/>
  <c r="J707" i="3"/>
  <c r="K707" i="3"/>
  <c r="L707" i="3"/>
  <c r="M707" i="3"/>
  <c r="H708" i="3"/>
  <c r="I708" i="3"/>
  <c r="J708" i="3"/>
  <c r="K708" i="3"/>
  <c r="L708" i="3"/>
  <c r="M708" i="3"/>
  <c r="H709" i="3"/>
  <c r="I709" i="3"/>
  <c r="J709" i="3"/>
  <c r="K709" i="3"/>
  <c r="L709" i="3"/>
  <c r="M709" i="3"/>
  <c r="H710" i="3"/>
  <c r="I710" i="3"/>
  <c r="J710" i="3"/>
  <c r="K710" i="3"/>
  <c r="L710" i="3"/>
  <c r="M710" i="3"/>
  <c r="H711" i="3"/>
  <c r="I711" i="3"/>
  <c r="J711" i="3"/>
  <c r="K711" i="3"/>
  <c r="L711" i="3"/>
  <c r="M711" i="3"/>
  <c r="H712" i="3"/>
  <c r="I712" i="3"/>
  <c r="J712" i="3"/>
  <c r="K712" i="3"/>
  <c r="L712" i="3"/>
  <c r="M712" i="3"/>
  <c r="H713" i="3"/>
  <c r="I713" i="3"/>
  <c r="J713" i="3"/>
  <c r="K713" i="3"/>
  <c r="L713" i="3"/>
  <c r="M713" i="3"/>
  <c r="H714" i="3"/>
  <c r="I714" i="3"/>
  <c r="J714" i="3"/>
  <c r="K714" i="3"/>
  <c r="L714" i="3"/>
  <c r="M714" i="3"/>
  <c r="H715" i="3"/>
  <c r="I715" i="3"/>
  <c r="J715" i="3"/>
  <c r="K715" i="3"/>
  <c r="L715" i="3"/>
  <c r="M715" i="3"/>
  <c r="H716" i="3"/>
  <c r="I716" i="3"/>
  <c r="J716" i="3"/>
  <c r="K716" i="3"/>
  <c r="L716" i="3"/>
  <c r="M716" i="3"/>
  <c r="H717" i="3"/>
  <c r="I717" i="3"/>
  <c r="J717" i="3"/>
  <c r="K717" i="3"/>
  <c r="L717" i="3"/>
  <c r="M717" i="3"/>
  <c r="H718" i="3"/>
  <c r="I718" i="3"/>
  <c r="J718" i="3"/>
  <c r="K718" i="3"/>
  <c r="L718" i="3"/>
  <c r="M718" i="3"/>
  <c r="H719" i="3"/>
  <c r="I719" i="3"/>
  <c r="J719" i="3"/>
  <c r="K719" i="3"/>
  <c r="L719" i="3"/>
  <c r="M719" i="3"/>
  <c r="H720" i="3"/>
  <c r="I720" i="3"/>
  <c r="J720" i="3"/>
  <c r="K720" i="3"/>
  <c r="L720" i="3"/>
  <c r="M720" i="3"/>
  <c r="H721" i="3"/>
  <c r="I721" i="3"/>
  <c r="J721" i="3"/>
  <c r="K721" i="3"/>
  <c r="L721" i="3"/>
  <c r="M721" i="3"/>
  <c r="H722" i="3"/>
  <c r="I722" i="3"/>
  <c r="J722" i="3"/>
  <c r="K722" i="3"/>
  <c r="L722" i="3"/>
  <c r="M722" i="3"/>
  <c r="H723" i="3"/>
  <c r="I723" i="3"/>
  <c r="J723" i="3"/>
  <c r="K723" i="3"/>
  <c r="L723" i="3"/>
  <c r="M723" i="3"/>
  <c r="H724" i="3"/>
  <c r="I724" i="3"/>
  <c r="J724" i="3"/>
  <c r="K724" i="3"/>
  <c r="L724" i="3"/>
  <c r="M724" i="3"/>
  <c r="H725" i="3"/>
  <c r="I725" i="3"/>
  <c r="J725" i="3"/>
  <c r="K725" i="3"/>
  <c r="L725" i="3"/>
  <c r="M725" i="3"/>
  <c r="H726" i="3"/>
  <c r="I726" i="3"/>
  <c r="J726" i="3"/>
  <c r="K726" i="3"/>
  <c r="L726" i="3"/>
  <c r="M726" i="3"/>
  <c r="H727" i="3"/>
  <c r="I727" i="3"/>
  <c r="J727" i="3"/>
  <c r="K727" i="3"/>
  <c r="L727" i="3"/>
  <c r="M727" i="3"/>
  <c r="H728" i="3"/>
  <c r="I728" i="3"/>
  <c r="J728" i="3"/>
  <c r="K728" i="3"/>
  <c r="L728" i="3"/>
  <c r="M728" i="3"/>
  <c r="H729" i="3"/>
  <c r="I729" i="3"/>
  <c r="J729" i="3"/>
  <c r="K729" i="3"/>
  <c r="L729" i="3"/>
  <c r="M729" i="3"/>
  <c r="H730" i="3"/>
  <c r="I730" i="3"/>
  <c r="J730" i="3"/>
  <c r="K730" i="3"/>
  <c r="L730" i="3"/>
  <c r="M730" i="3"/>
  <c r="H731" i="3"/>
  <c r="I731" i="3"/>
  <c r="J731" i="3"/>
  <c r="K731" i="3"/>
  <c r="L731" i="3"/>
  <c r="M731" i="3"/>
  <c r="H732" i="3"/>
  <c r="I732" i="3"/>
  <c r="J732" i="3"/>
  <c r="K732" i="3"/>
  <c r="L732" i="3"/>
  <c r="M732" i="3"/>
  <c r="H733" i="3"/>
  <c r="I733" i="3"/>
  <c r="J733" i="3"/>
  <c r="K733" i="3"/>
  <c r="L733" i="3"/>
  <c r="M733" i="3"/>
  <c r="M369" i="4" l="1"/>
  <c r="M368" i="4"/>
  <c r="K367" i="4"/>
  <c r="M367" i="4"/>
  <c r="N397" i="3"/>
  <c r="N394" i="3"/>
  <c r="I368" i="1"/>
  <c r="M369" i="3"/>
  <c r="G367" i="1" s="1"/>
  <c r="M370" i="3"/>
  <c r="G368" i="1" s="1"/>
  <c r="I366" i="4"/>
  <c r="O397" i="3" l="1"/>
  <c r="O394" i="3"/>
  <c r="J365" i="4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K326" i="4" l="1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4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6" i="1" s="1"/>
  <c r="L277" i="4"/>
  <c r="M277" i="4" s="1"/>
  <c r="K277" i="4"/>
  <c r="S276" i="4"/>
  <c r="R276" i="4"/>
  <c r="O276" i="4"/>
  <c r="E275" i="1" s="1"/>
  <c r="L276" i="4"/>
  <c r="S275" i="4"/>
  <c r="R275" i="4"/>
  <c r="O275" i="4"/>
  <c r="L275" i="4"/>
  <c r="M275" i="4" s="1"/>
  <c r="K275" i="4"/>
  <c r="S274" i="4"/>
  <c r="R274" i="4"/>
  <c r="O274" i="4"/>
  <c r="E273" i="1" s="1"/>
  <c r="L274" i="4"/>
  <c r="M274" i="4" s="1"/>
  <c r="K274" i="4"/>
  <c r="S273" i="4"/>
  <c r="R273" i="4"/>
  <c r="O273" i="4"/>
  <c r="E272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4" i="1" s="1"/>
  <c r="K346" i="3"/>
  <c r="I346" i="3"/>
  <c r="H346" i="3"/>
  <c r="L345" i="3"/>
  <c r="I343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66" i="4" l="1"/>
  <c r="M310" i="4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E339" i="1"/>
  <c r="E366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E341" i="1"/>
  <c r="E343" i="1"/>
  <c r="E345" i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E358" i="1"/>
  <c r="E363" i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E352" i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E308" i="1"/>
  <c r="E322" i="1"/>
  <c r="E327" i="1"/>
  <c r="E337" i="1"/>
  <c r="E342" i="1"/>
  <c r="E351" i="1"/>
  <c r="E355" i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E365" i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E10" i="1"/>
  <c r="E128" i="1"/>
  <c r="E359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Q346" i="3"/>
  <c r="Q349" i="3"/>
  <c r="Q352" i="3"/>
  <c r="I350" i="1"/>
  <c r="M363" i="3"/>
  <c r="G361" i="1" s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7" i="1"/>
  <c r="G23" i="1"/>
  <c r="G54" i="1"/>
  <c r="N240" i="3"/>
  <c r="Q217" i="3"/>
  <c r="N243" i="3"/>
  <c r="N334" i="3"/>
  <c r="G31" i="1"/>
  <c r="G68" i="1"/>
  <c r="M117" i="3"/>
  <c r="G115" i="1" s="1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<sst xmlns="http://schemas.openxmlformats.org/spreadsheetml/2006/main" count="809" uniqueCount="77">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</sst>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2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4"/>
  <sheetViews>
    <sheetView tabSelected="1" topLeftCell="A345" workbookViewId="0">
      <selection activeCell="J366" sqref="J366:J367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43" customWidth="1"/>
    <col min="7" max="7" width="11.140625" customWidth="1"/>
    <col min="8" max="8" width="11" style="143" customWidth="1"/>
    <col min="9" max="9" width="11.5703125" customWidth="1"/>
    <col min="10" max="10" width="13.140625" style="143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44" t="s">
        <v>4</v>
      </c>
      <c r="F1" s="145" t="s">
        <v>5</v>
      </c>
      <c r="G1" s="8" t="s">
        <v>73</v>
      </c>
      <c r="H1" s="141" t="s">
        <v>6</v>
      </c>
      <c r="I1" s="144" t="s">
        <v>71</v>
      </c>
      <c r="J1" s="145" t="s">
        <v>72</v>
      </c>
      <c r="K1" s="144" t="s">
        <v>7</v>
      </c>
      <c r="L1" s="144" t="s">
        <v>8</v>
      </c>
      <c r="M1" s="6"/>
    </row>
    <row r="2" spans="1:13" x14ac:dyDescent="0.25">
      <c r="A2" s="3" t="s">
        <v>74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42">
        <v>0.55000000000000004</v>
      </c>
      <c r="G2" s="4">
        <f>'Gas Water'!M4</f>
        <v>2196</v>
      </c>
      <c r="H2" s="142">
        <v>1.88</v>
      </c>
      <c r="I2" s="2">
        <f>'Gas Water'!L4</f>
        <v>128</v>
      </c>
      <c r="J2" s="142">
        <v>12.05</v>
      </c>
      <c r="K2" s="5">
        <v>88</v>
      </c>
      <c r="L2" s="5">
        <v>175</v>
      </c>
    </row>
    <row r="3" spans="1:13" x14ac:dyDescent="0.25">
      <c r="A3" s="3" t="s">
        <v>74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42">
        <v>0.55000000000000004</v>
      </c>
      <c r="G3" s="4">
        <f>'Gas Water'!M5</f>
        <v>2142</v>
      </c>
      <c r="H3" s="142">
        <v>1.88</v>
      </c>
      <c r="I3" s="2">
        <f>'Gas Water'!L5</f>
        <v>105</v>
      </c>
      <c r="J3" s="142">
        <v>12.05</v>
      </c>
      <c r="K3" s="5">
        <v>79</v>
      </c>
      <c r="L3" s="5">
        <v>157</v>
      </c>
    </row>
    <row r="4" spans="1:13" x14ac:dyDescent="0.25">
      <c r="A4" s="3" t="s">
        <v>74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42">
        <v>0.55000000000000004</v>
      </c>
      <c r="G4" s="4">
        <f>'Gas Water'!M6</f>
        <v>2437</v>
      </c>
      <c r="H4" s="142">
        <v>1.88</v>
      </c>
      <c r="I4" s="2">
        <f>'Gas Water'!L6</f>
        <v>104</v>
      </c>
      <c r="J4" s="142">
        <v>12.05</v>
      </c>
      <c r="K4" s="5">
        <v>65</v>
      </c>
      <c r="L4" s="5">
        <v>131</v>
      </c>
    </row>
    <row r="5" spans="1:13" x14ac:dyDescent="0.25">
      <c r="A5" s="3" t="s">
        <v>74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42">
        <v>0.55000000000000004</v>
      </c>
      <c r="G5" s="4">
        <f>'Gas Water'!M7</f>
        <v>2083</v>
      </c>
      <c r="H5" s="142">
        <v>1.88</v>
      </c>
      <c r="I5" s="2">
        <f>'Gas Water'!L7</f>
        <v>112</v>
      </c>
      <c r="J5" s="142">
        <v>12.05</v>
      </c>
      <c r="K5" s="5">
        <v>62</v>
      </c>
      <c r="L5" s="5">
        <v>118</v>
      </c>
    </row>
    <row r="6" spans="1:13" x14ac:dyDescent="0.25">
      <c r="A6" s="3" t="s">
        <v>74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42">
        <v>0.55000000000000004</v>
      </c>
      <c r="G6" s="4">
        <f>'Gas Water'!M8</f>
        <v>2135</v>
      </c>
      <c r="H6" s="142">
        <v>1.88</v>
      </c>
      <c r="I6" s="2">
        <f>'Gas Water'!L8</f>
        <v>100</v>
      </c>
      <c r="J6" s="142">
        <v>12.05</v>
      </c>
      <c r="K6" s="5">
        <v>70</v>
      </c>
      <c r="L6" s="5">
        <v>133</v>
      </c>
    </row>
    <row r="7" spans="1:13" x14ac:dyDescent="0.25">
      <c r="A7" s="3" t="s">
        <v>74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42">
        <v>0.55000000000000004</v>
      </c>
      <c r="G7" s="4">
        <f>'Gas Water'!M9</f>
        <v>2200</v>
      </c>
      <c r="H7" s="142">
        <v>1.88</v>
      </c>
      <c r="I7" s="2">
        <f>'Gas Water'!L9</f>
        <v>113</v>
      </c>
      <c r="J7" s="142">
        <v>12.05</v>
      </c>
      <c r="K7" s="5">
        <v>81</v>
      </c>
      <c r="L7" s="5">
        <v>147</v>
      </c>
    </row>
    <row r="8" spans="1:13" x14ac:dyDescent="0.25">
      <c r="A8" s="3" t="s">
        <v>74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42">
        <v>0.55000000000000004</v>
      </c>
      <c r="G8" s="4">
        <f>'Gas Water'!M10</f>
        <v>2075</v>
      </c>
      <c r="H8" s="142">
        <v>1.88</v>
      </c>
      <c r="I8" s="2">
        <f>'Gas Water'!L10</f>
        <v>106</v>
      </c>
      <c r="J8" s="142">
        <v>12.05</v>
      </c>
      <c r="K8" s="5">
        <v>82</v>
      </c>
      <c r="L8" s="5">
        <v>142</v>
      </c>
    </row>
    <row r="9" spans="1:13" x14ac:dyDescent="0.25">
      <c r="A9" s="3" t="s">
        <v>74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42">
        <v>0.55000000000000004</v>
      </c>
      <c r="G9" s="4">
        <f>'Gas Water'!M11</f>
        <v>1785</v>
      </c>
      <c r="H9" s="142">
        <v>1.88</v>
      </c>
      <c r="I9" s="2">
        <f>'Gas Water'!L11</f>
        <v>114</v>
      </c>
      <c r="J9" s="142">
        <v>12.05</v>
      </c>
      <c r="K9" s="5">
        <v>70</v>
      </c>
      <c r="L9" s="5">
        <v>128</v>
      </c>
    </row>
    <row r="10" spans="1:13" x14ac:dyDescent="0.25">
      <c r="A10" s="3" t="s">
        <v>74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42">
        <v>0.55000000000000004</v>
      </c>
      <c r="G10" s="4">
        <f>'Gas Water'!M12</f>
        <v>2155</v>
      </c>
      <c r="H10" s="142">
        <v>1.88</v>
      </c>
      <c r="I10" s="2">
        <f>'Gas Water'!L12</f>
        <v>76</v>
      </c>
      <c r="J10" s="142">
        <v>12.05</v>
      </c>
      <c r="K10" s="5">
        <v>50</v>
      </c>
      <c r="L10" s="5">
        <v>96</v>
      </c>
    </row>
    <row r="11" spans="1:13" x14ac:dyDescent="0.25">
      <c r="A11" s="3" t="s">
        <v>74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42">
        <v>0.55000000000000004</v>
      </c>
      <c r="G11" s="4">
        <f>'Gas Water'!M13</f>
        <v>2642</v>
      </c>
      <c r="H11" s="142">
        <v>1.88</v>
      </c>
      <c r="I11" s="2">
        <f>'Gas Water'!L13</f>
        <v>91</v>
      </c>
      <c r="J11" s="142">
        <v>12.05</v>
      </c>
      <c r="K11" s="5">
        <v>46</v>
      </c>
      <c r="L11" s="5">
        <v>86</v>
      </c>
    </row>
    <row r="12" spans="1:13" x14ac:dyDescent="0.25">
      <c r="A12" s="3" t="s">
        <v>74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42">
        <v>0.55000000000000004</v>
      </c>
      <c r="G12" s="4">
        <f>'Gas Water'!M14</f>
        <v>2005</v>
      </c>
      <c r="H12" s="142">
        <v>1.88</v>
      </c>
      <c r="I12" s="2">
        <f>'Gas Water'!L14</f>
        <v>111</v>
      </c>
      <c r="J12" s="142">
        <v>12.05</v>
      </c>
      <c r="K12" s="5">
        <v>47</v>
      </c>
      <c r="L12" s="5">
        <v>90</v>
      </c>
    </row>
    <row r="13" spans="1:13" x14ac:dyDescent="0.25">
      <c r="A13" s="3" t="s">
        <v>74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42">
        <v>0.55000000000000004</v>
      </c>
      <c r="G13" s="4">
        <f>'Gas Water'!M15</f>
        <v>2117</v>
      </c>
      <c r="H13" s="142">
        <v>1.88</v>
      </c>
      <c r="I13" s="2">
        <f>'Gas Water'!L15</f>
        <v>87</v>
      </c>
      <c r="J13" s="142">
        <v>12.05</v>
      </c>
      <c r="K13" s="5">
        <v>55</v>
      </c>
      <c r="L13" s="5">
        <v>103</v>
      </c>
    </row>
    <row r="14" spans="1:13" x14ac:dyDescent="0.25">
      <c r="A14" s="3" t="s">
        <v>74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42">
        <v>0.55000000000000004</v>
      </c>
      <c r="G14" s="4">
        <f>'Gas Water'!M16</f>
        <v>3142</v>
      </c>
      <c r="H14" s="142">
        <v>1.88</v>
      </c>
      <c r="I14" s="2">
        <f>'Gas Water'!L16</f>
        <v>98</v>
      </c>
      <c r="J14" s="142">
        <v>12.05</v>
      </c>
      <c r="K14" s="5">
        <v>72</v>
      </c>
      <c r="L14" s="5">
        <v>124</v>
      </c>
    </row>
    <row r="15" spans="1:13" x14ac:dyDescent="0.25">
      <c r="A15" s="3" t="s">
        <v>74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42">
        <v>0.55000000000000004</v>
      </c>
      <c r="G15" s="4">
        <f>'Gas Water'!M17</f>
        <v>3603</v>
      </c>
      <c r="H15" s="142">
        <v>1.88</v>
      </c>
      <c r="I15" s="2">
        <f>'Gas Water'!L17</f>
        <v>99</v>
      </c>
      <c r="J15" s="142">
        <v>12.05</v>
      </c>
      <c r="K15" s="5">
        <v>52</v>
      </c>
      <c r="L15" s="5">
        <v>94</v>
      </c>
    </row>
    <row r="16" spans="1:13" x14ac:dyDescent="0.25">
      <c r="A16" s="3" t="s">
        <v>74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42">
        <v>0.55000000000000004</v>
      </c>
      <c r="G16" s="4">
        <f>'Gas Water'!M18</f>
        <v>3668</v>
      </c>
      <c r="H16" s="142">
        <v>1.88</v>
      </c>
      <c r="I16" s="2">
        <f>'Gas Water'!L18</f>
        <v>88</v>
      </c>
      <c r="J16" s="142">
        <v>12.05</v>
      </c>
      <c r="K16" s="5">
        <v>49</v>
      </c>
      <c r="L16" s="5">
        <v>90</v>
      </c>
    </row>
    <row r="17" spans="1:12" x14ac:dyDescent="0.25">
      <c r="A17" s="3" t="s">
        <v>74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42">
        <v>0.55000000000000004</v>
      </c>
      <c r="G17" s="4">
        <f>'Gas Water'!M19</f>
        <v>3714</v>
      </c>
      <c r="H17" s="142">
        <v>1.88</v>
      </c>
      <c r="I17" s="2">
        <f>'Gas Water'!L19</f>
        <v>84</v>
      </c>
      <c r="J17" s="142">
        <v>12.05</v>
      </c>
      <c r="K17" s="5">
        <v>49</v>
      </c>
      <c r="L17" s="5">
        <v>90</v>
      </c>
    </row>
    <row r="18" spans="1:12" x14ac:dyDescent="0.25">
      <c r="A18" s="3" t="s">
        <v>74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42">
        <v>0.55000000000000004</v>
      </c>
      <c r="G18" s="4">
        <f>'Gas Water'!M20</f>
        <v>4504</v>
      </c>
      <c r="H18" s="142">
        <v>1.88</v>
      </c>
      <c r="I18" s="2">
        <f>'Gas Water'!L20</f>
        <v>67</v>
      </c>
      <c r="J18" s="142">
        <v>12.05</v>
      </c>
      <c r="K18" s="5">
        <v>42</v>
      </c>
      <c r="L18" s="5">
        <v>73</v>
      </c>
    </row>
    <row r="19" spans="1:12" x14ac:dyDescent="0.25">
      <c r="A19" s="3" t="s">
        <v>74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42">
        <v>0.55000000000000004</v>
      </c>
      <c r="G19" s="4">
        <f>'Gas Water'!M21</f>
        <v>4581</v>
      </c>
      <c r="H19" s="142">
        <v>1.88</v>
      </c>
      <c r="I19" s="2">
        <f>'Gas Water'!L21</f>
        <v>95</v>
      </c>
      <c r="J19" s="142">
        <v>12.05</v>
      </c>
      <c r="K19" s="5">
        <v>48</v>
      </c>
      <c r="L19" s="5">
        <v>78</v>
      </c>
    </row>
    <row r="20" spans="1:12" x14ac:dyDescent="0.25">
      <c r="A20" s="3" t="s">
        <v>74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42">
        <v>0.55000000000000004</v>
      </c>
      <c r="G20" s="4">
        <f>'Gas Water'!M22</f>
        <v>4505</v>
      </c>
      <c r="H20" s="142">
        <v>1.88</v>
      </c>
      <c r="I20" s="2">
        <f>'Gas Water'!L22</f>
        <v>84</v>
      </c>
      <c r="J20" s="142">
        <v>12.05</v>
      </c>
      <c r="K20" s="5">
        <v>51</v>
      </c>
      <c r="L20" s="5">
        <v>80</v>
      </c>
    </row>
    <row r="21" spans="1:12" x14ac:dyDescent="0.25">
      <c r="A21" s="3" t="s">
        <v>74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42">
        <v>0.55000000000000004</v>
      </c>
      <c r="G21" s="4">
        <f>'Gas Water'!M23</f>
        <v>3654</v>
      </c>
      <c r="H21" s="142">
        <v>1.88</v>
      </c>
      <c r="I21" s="2">
        <f>'Gas Water'!L23</f>
        <v>89</v>
      </c>
      <c r="J21" s="142">
        <v>12.05</v>
      </c>
      <c r="K21" s="5">
        <v>63</v>
      </c>
      <c r="L21" s="5">
        <v>98</v>
      </c>
    </row>
    <row r="22" spans="1:12" x14ac:dyDescent="0.25">
      <c r="A22" s="3" t="s">
        <v>74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42">
        <v>0.55000000000000004</v>
      </c>
      <c r="G22" s="4">
        <f>'Gas Water'!M24</f>
        <v>3456</v>
      </c>
      <c r="H22" s="142">
        <v>1.88</v>
      </c>
      <c r="I22" s="2">
        <f>'Gas Water'!L24</f>
        <v>101</v>
      </c>
      <c r="J22" s="142">
        <v>12.05</v>
      </c>
      <c r="K22" s="5">
        <v>65</v>
      </c>
      <c r="L22" s="5">
        <v>104</v>
      </c>
    </row>
    <row r="23" spans="1:12" x14ac:dyDescent="0.25">
      <c r="A23" s="3" t="s">
        <v>74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42">
        <v>0.55000000000000004</v>
      </c>
      <c r="G23" s="4">
        <f>'Gas Water'!M25</f>
        <v>2533</v>
      </c>
      <c r="H23" s="142">
        <v>1.88</v>
      </c>
      <c r="I23" s="2">
        <f>'Gas Water'!L25</f>
        <v>107</v>
      </c>
      <c r="J23" s="142">
        <v>12.05</v>
      </c>
      <c r="K23" s="5">
        <v>75</v>
      </c>
      <c r="L23" s="5">
        <v>142</v>
      </c>
    </row>
    <row r="24" spans="1:12" x14ac:dyDescent="0.25">
      <c r="A24" s="3" t="s">
        <v>74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42">
        <v>0.55000000000000004</v>
      </c>
      <c r="G24" s="4">
        <f>'Gas Water'!M26</f>
        <v>2686</v>
      </c>
      <c r="H24" s="142">
        <v>1.88</v>
      </c>
      <c r="I24" s="2">
        <f>'Gas Water'!L26</f>
        <v>115</v>
      </c>
      <c r="J24" s="142">
        <v>12.05</v>
      </c>
      <c r="K24" s="5">
        <v>67</v>
      </c>
      <c r="L24" s="5">
        <v>129</v>
      </c>
    </row>
    <row r="25" spans="1:12" x14ac:dyDescent="0.25">
      <c r="A25" s="3" t="s">
        <v>74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42">
        <v>0.55000000000000004</v>
      </c>
      <c r="G25" s="4">
        <f>'Gas Water'!M27</f>
        <v>2531</v>
      </c>
      <c r="H25" s="142">
        <v>1.88</v>
      </c>
      <c r="I25" s="2">
        <f>'Gas Water'!L27</f>
        <v>88</v>
      </c>
      <c r="J25" s="142">
        <v>12.05</v>
      </c>
      <c r="K25" s="5">
        <v>63</v>
      </c>
      <c r="L25" s="5">
        <v>121</v>
      </c>
    </row>
    <row r="26" spans="1:12" x14ac:dyDescent="0.25">
      <c r="A26" s="3" t="s">
        <v>74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42">
        <v>0.55000000000000004</v>
      </c>
      <c r="G26" s="4">
        <f>'Gas Water'!M28</f>
        <v>2751</v>
      </c>
      <c r="H26" s="142">
        <v>1.88</v>
      </c>
      <c r="I26" s="2">
        <f>'Gas Water'!L28</f>
        <v>87</v>
      </c>
      <c r="J26" s="142">
        <v>12.05</v>
      </c>
      <c r="K26" s="5">
        <v>74</v>
      </c>
      <c r="L26" s="5">
        <v>133</v>
      </c>
    </row>
    <row r="27" spans="1:12" x14ac:dyDescent="0.25">
      <c r="A27" s="3" t="s">
        <v>74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42">
        <v>0.55000000000000004</v>
      </c>
      <c r="G27" s="4">
        <f>'Gas Water'!M29</f>
        <v>2576</v>
      </c>
      <c r="H27" s="142">
        <v>1.88</v>
      </c>
      <c r="I27" s="2">
        <f>'Gas Water'!L29</f>
        <v>104</v>
      </c>
      <c r="J27" s="142">
        <v>12.05</v>
      </c>
      <c r="K27" s="5">
        <v>82</v>
      </c>
      <c r="L27" s="5">
        <v>140</v>
      </c>
    </row>
    <row r="28" spans="1:12" x14ac:dyDescent="0.25">
      <c r="A28" s="3" t="s">
        <v>74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42">
        <v>0.55000000000000004</v>
      </c>
      <c r="G28" s="4">
        <f>'Gas Water'!M30</f>
        <v>3910</v>
      </c>
      <c r="H28" s="142">
        <v>1.88</v>
      </c>
      <c r="I28" s="2">
        <f>'Gas Water'!L30</f>
        <v>91</v>
      </c>
      <c r="J28" s="142">
        <v>12.05</v>
      </c>
      <c r="K28" s="5">
        <v>95</v>
      </c>
      <c r="L28" s="5">
        <v>162</v>
      </c>
    </row>
    <row r="29" spans="1:12" x14ac:dyDescent="0.25">
      <c r="A29" s="3" t="s">
        <v>74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42">
        <v>0.55000000000000004</v>
      </c>
      <c r="G29" s="4">
        <f>'Gas Water'!M31</f>
        <v>3924</v>
      </c>
      <c r="H29" s="142">
        <v>1.88</v>
      </c>
      <c r="I29" s="2">
        <f>'Gas Water'!L31</f>
        <v>114</v>
      </c>
      <c r="J29" s="142">
        <v>12.05</v>
      </c>
      <c r="K29" s="5">
        <v>94</v>
      </c>
      <c r="L29" s="5">
        <v>183</v>
      </c>
    </row>
    <row r="30" spans="1:12" x14ac:dyDescent="0.25">
      <c r="A30" s="3" t="s">
        <v>74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42">
        <v>0.55000000000000004</v>
      </c>
      <c r="G30" s="4">
        <f>'Gas Water'!M32</f>
        <v>3489</v>
      </c>
      <c r="H30" s="142">
        <v>1.88</v>
      </c>
      <c r="I30" s="2">
        <f>'Gas Water'!L32</f>
        <v>111</v>
      </c>
      <c r="J30" s="142">
        <v>12.05</v>
      </c>
      <c r="K30" s="5">
        <v>58</v>
      </c>
      <c r="L30" s="5">
        <v>107</v>
      </c>
    </row>
    <row r="31" spans="1:12" x14ac:dyDescent="0.25">
      <c r="A31" s="3" t="s">
        <v>74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42">
        <v>0.55000000000000004</v>
      </c>
      <c r="G31" s="4">
        <f>'Gas Water'!M33</f>
        <v>2821</v>
      </c>
      <c r="H31" s="142">
        <v>1.88</v>
      </c>
      <c r="I31" s="2">
        <f>'Gas Water'!L33</f>
        <v>86</v>
      </c>
      <c r="J31" s="142">
        <v>12.05</v>
      </c>
      <c r="K31" s="5">
        <v>62</v>
      </c>
      <c r="L31" s="5">
        <v>115</v>
      </c>
    </row>
    <row r="32" spans="1:12" x14ac:dyDescent="0.25">
      <c r="A32" s="3" t="s">
        <v>74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42">
        <v>0.55000000000000004</v>
      </c>
      <c r="G32" s="4">
        <f>'Gas Water'!M34</f>
        <v>2609</v>
      </c>
      <c r="H32" s="142">
        <v>1.88</v>
      </c>
      <c r="I32" s="2">
        <f>'Gas Water'!L34</f>
        <v>79</v>
      </c>
      <c r="J32" s="142">
        <v>12.05</v>
      </c>
      <c r="K32" s="5">
        <v>42</v>
      </c>
      <c r="L32" s="5">
        <v>81</v>
      </c>
    </row>
    <row r="33" spans="1:12" x14ac:dyDescent="0.25">
      <c r="A33" s="3" t="s">
        <v>74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42">
        <f>('Electricity '!I34*0.58+'Gas Water'!H35*1.88)/(Total!E33)</f>
        <v>0.57999999999999996</v>
      </c>
      <c r="G33" s="4">
        <f>'Gas Water'!M35</f>
        <v>2117</v>
      </c>
      <c r="H33" s="142">
        <v>1.72</v>
      </c>
      <c r="I33" s="2">
        <f>'Gas Water'!L35</f>
        <v>88</v>
      </c>
      <c r="J33" s="142">
        <v>12.85</v>
      </c>
      <c r="K33" s="5">
        <v>43</v>
      </c>
      <c r="L33" s="5">
        <v>75</v>
      </c>
    </row>
    <row r="34" spans="1:12" x14ac:dyDescent="0.25">
      <c r="A34" s="3" t="s">
        <v>74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42">
        <f>('Electricity '!I35*0.58+'Gas Water'!H36*1.88)/(Total!E34)</f>
        <v>0.57999999999999996</v>
      </c>
      <c r="G34" s="4">
        <f>'Gas Water'!M36</f>
        <v>2297</v>
      </c>
      <c r="H34" s="142">
        <v>1.72</v>
      </c>
      <c r="I34" s="2">
        <f>'Gas Water'!L36</f>
        <v>126</v>
      </c>
      <c r="J34" s="142">
        <v>12.85</v>
      </c>
      <c r="K34" s="5">
        <v>59</v>
      </c>
      <c r="L34" s="5">
        <v>104</v>
      </c>
    </row>
    <row r="35" spans="1:12" x14ac:dyDescent="0.25">
      <c r="A35" s="3" t="s">
        <v>74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42">
        <f>('Electricity '!I36*0.58+'Gas Water'!H37*1.88)/(Total!E35)</f>
        <v>0.57999999999999996</v>
      </c>
      <c r="G35" s="4">
        <f>'Gas Water'!M37</f>
        <v>2397</v>
      </c>
      <c r="H35" s="142">
        <v>1.72</v>
      </c>
      <c r="I35" s="2">
        <f>'Gas Water'!L37</f>
        <v>171</v>
      </c>
      <c r="J35" s="142">
        <v>12.85</v>
      </c>
      <c r="K35" s="5">
        <v>84</v>
      </c>
      <c r="L35" s="5">
        <v>142</v>
      </c>
    </row>
    <row r="36" spans="1:12" x14ac:dyDescent="0.25">
      <c r="A36" s="3" t="s">
        <v>74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42">
        <f>('Electricity '!I37*0.58+'Gas Water'!H38*1.88)/(Total!E36)</f>
        <v>0.57999999999999996</v>
      </c>
      <c r="G36" s="4">
        <f>'Gas Water'!M38</f>
        <v>2456</v>
      </c>
      <c r="H36" s="142">
        <v>1.72</v>
      </c>
      <c r="I36" s="2">
        <f>'Gas Water'!L38</f>
        <v>154</v>
      </c>
      <c r="J36" s="142">
        <v>12.85</v>
      </c>
      <c r="K36" s="5">
        <v>90</v>
      </c>
      <c r="L36" s="5">
        <v>148</v>
      </c>
    </row>
    <row r="37" spans="1:12" x14ac:dyDescent="0.25">
      <c r="A37" s="3" t="s">
        <v>74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42">
        <f>('Electricity '!I38*0.58+'Gas Water'!H39*1.88)/(Total!E37)</f>
        <v>0.57999999999999996</v>
      </c>
      <c r="G37" s="4">
        <f>'Gas Water'!M39</f>
        <v>2549</v>
      </c>
      <c r="H37" s="142">
        <v>1.72</v>
      </c>
      <c r="I37" s="2">
        <f>'Gas Water'!L39</f>
        <v>131</v>
      </c>
      <c r="J37" s="142">
        <v>12.85</v>
      </c>
      <c r="K37" s="5">
        <v>103</v>
      </c>
      <c r="L37" s="5">
        <v>176</v>
      </c>
    </row>
    <row r="38" spans="1:12" x14ac:dyDescent="0.25">
      <c r="A38" s="3" t="s">
        <v>74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42">
        <f>('Electricity '!I39*0.58+'Gas Water'!H40*1.88)/(Total!E38)</f>
        <v>0.57999999999999996</v>
      </c>
      <c r="G38" s="4">
        <f>'Gas Water'!M40</f>
        <v>2543</v>
      </c>
      <c r="H38" s="142">
        <v>1.72</v>
      </c>
      <c r="I38" s="2">
        <f>'Gas Water'!L40</f>
        <v>131</v>
      </c>
      <c r="J38" s="142">
        <v>12.85</v>
      </c>
      <c r="K38" s="5">
        <v>99</v>
      </c>
      <c r="L38" s="5">
        <v>171</v>
      </c>
    </row>
    <row r="39" spans="1:12" x14ac:dyDescent="0.25">
      <c r="A39" s="3" t="s">
        <v>74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42">
        <f>('Electricity '!I40*0.58+'Gas Water'!H41*1.88)/(Total!E39)</f>
        <v>0.57999999999999996</v>
      </c>
      <c r="G39" s="4">
        <f>'Gas Water'!M41</f>
        <v>2280</v>
      </c>
      <c r="H39" s="142">
        <v>1.72</v>
      </c>
      <c r="I39" s="2">
        <f>'Gas Water'!L41</f>
        <v>123</v>
      </c>
      <c r="J39" s="142">
        <v>12.85</v>
      </c>
      <c r="K39" s="5">
        <v>64</v>
      </c>
      <c r="L39" s="5">
        <v>116</v>
      </c>
    </row>
    <row r="40" spans="1:12" x14ac:dyDescent="0.25">
      <c r="A40" s="3" t="s">
        <v>74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42">
        <f>('Electricity '!I41*0.58+'Gas Water'!H42*1.88)/(Total!E40)</f>
        <v>0.57999999999999996</v>
      </c>
      <c r="G40" s="4">
        <f>'Gas Water'!M42</f>
        <v>1872</v>
      </c>
      <c r="H40" s="142">
        <v>1.72</v>
      </c>
      <c r="I40" s="2">
        <f>'Gas Water'!L42</f>
        <v>95</v>
      </c>
      <c r="J40" s="142">
        <v>12.85</v>
      </c>
      <c r="K40" s="5">
        <v>74</v>
      </c>
      <c r="L40" s="5">
        <v>138</v>
      </c>
    </row>
    <row r="41" spans="1:12" x14ac:dyDescent="0.25">
      <c r="A41" s="3" t="s">
        <v>74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42">
        <f>('Electricity '!I42*0.58+'Gas Water'!H43*1.88)/(Total!E41)</f>
        <v>0.57999999999999996</v>
      </c>
      <c r="G41" s="4">
        <f>'Gas Water'!M43</f>
        <v>1976</v>
      </c>
      <c r="H41" s="142">
        <v>1.72</v>
      </c>
      <c r="I41" s="2">
        <f>'Gas Water'!L43</f>
        <v>99</v>
      </c>
      <c r="J41" s="142">
        <v>12.85</v>
      </c>
      <c r="K41" s="5">
        <v>76</v>
      </c>
      <c r="L41" s="5">
        <v>139</v>
      </c>
    </row>
    <row r="42" spans="1:12" x14ac:dyDescent="0.25">
      <c r="A42" s="3" t="s">
        <v>74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42">
        <f>('Electricity '!I43*0.58+'Gas Water'!H44*1.88)/(Total!E42)</f>
        <v>0.57999999999999996</v>
      </c>
      <c r="G42" s="4">
        <f>'Gas Water'!M44</f>
        <v>2160</v>
      </c>
      <c r="H42" s="142">
        <v>1.72</v>
      </c>
      <c r="I42" s="2">
        <f>'Gas Water'!L44</f>
        <v>102</v>
      </c>
      <c r="J42" s="142">
        <v>12.85</v>
      </c>
      <c r="K42" s="5">
        <v>85</v>
      </c>
      <c r="L42" s="5">
        <v>157</v>
      </c>
    </row>
    <row r="43" spans="1:12" x14ac:dyDescent="0.25">
      <c r="A43" s="3" t="s">
        <v>74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42">
        <f>('Electricity '!I44*0.58+'Gas Water'!H45*1.88)/(Total!E43)</f>
        <v>0.57999999999999996</v>
      </c>
      <c r="G43" s="4">
        <f>'Gas Water'!M45</f>
        <v>2024</v>
      </c>
      <c r="H43" s="142">
        <v>1.72</v>
      </c>
      <c r="I43" s="2">
        <f>'Gas Water'!L45</f>
        <v>172</v>
      </c>
      <c r="J43" s="142">
        <v>12.85</v>
      </c>
      <c r="K43" s="5">
        <v>93</v>
      </c>
      <c r="L43" s="5">
        <v>172</v>
      </c>
    </row>
    <row r="44" spans="1:12" x14ac:dyDescent="0.25">
      <c r="A44" s="3" t="s">
        <v>74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42">
        <f>('Electricity '!I45*0.58+'Gas Water'!H46*1.88)/(Total!E44)</f>
        <v>0.57999999999999996</v>
      </c>
      <c r="G44" s="4">
        <f>'Gas Water'!M46</f>
        <v>3716</v>
      </c>
      <c r="H44" s="142">
        <v>1.72</v>
      </c>
      <c r="I44" s="2">
        <f>'Gas Water'!L46</f>
        <v>122</v>
      </c>
      <c r="J44" s="142">
        <v>12.85</v>
      </c>
      <c r="K44" s="5">
        <v>86</v>
      </c>
      <c r="L44" s="5">
        <v>164</v>
      </c>
    </row>
    <row r="45" spans="1:12" x14ac:dyDescent="0.25">
      <c r="A45" s="3" t="s">
        <v>74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42">
        <f>('Electricity '!I46*0.58+'Gas Water'!H47*1.88)/(Total!E45)</f>
        <v>0.57999999999999996</v>
      </c>
      <c r="G45" s="4">
        <f>'Gas Water'!M47</f>
        <v>3813</v>
      </c>
      <c r="H45" s="142">
        <v>1.72</v>
      </c>
      <c r="I45" s="2">
        <f>'Gas Water'!L47</f>
        <v>189</v>
      </c>
      <c r="J45" s="142">
        <v>12.85</v>
      </c>
      <c r="K45" s="5">
        <v>132</v>
      </c>
      <c r="L45" s="5">
        <v>251</v>
      </c>
    </row>
    <row r="46" spans="1:12" x14ac:dyDescent="0.25">
      <c r="A46" s="3" t="s">
        <v>74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42">
        <f>('Electricity '!I47*0.58+'Gas Water'!H48*1.88)/(Total!E46)</f>
        <v>0.57999999999999996</v>
      </c>
      <c r="G46" s="4">
        <f>'Gas Water'!M48</f>
        <v>4589</v>
      </c>
      <c r="H46" s="142">
        <v>1.72</v>
      </c>
      <c r="I46" s="2">
        <f>'Gas Water'!L48</f>
        <v>78</v>
      </c>
      <c r="J46" s="142">
        <v>12.85</v>
      </c>
      <c r="K46" s="5">
        <v>123</v>
      </c>
      <c r="L46" s="5">
        <v>228</v>
      </c>
    </row>
    <row r="47" spans="1:12" x14ac:dyDescent="0.25">
      <c r="A47" s="3" t="s">
        <v>74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42">
        <f>('Electricity '!I48*0.58+'Gas Water'!H49*1.88)/(Total!E47)</f>
        <v>0.57999999999999996</v>
      </c>
      <c r="G47" s="4">
        <f>'Gas Water'!M49</f>
        <v>4540</v>
      </c>
      <c r="H47" s="142">
        <v>1.72</v>
      </c>
      <c r="I47" s="2">
        <f>'Gas Water'!L49</f>
        <v>19</v>
      </c>
      <c r="J47" s="142">
        <v>12.85</v>
      </c>
      <c r="K47" s="5">
        <v>72</v>
      </c>
      <c r="L47" s="5">
        <v>131</v>
      </c>
    </row>
    <row r="48" spans="1:12" x14ac:dyDescent="0.25">
      <c r="A48" s="3" t="s">
        <v>74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42">
        <f>('Electricity '!I49*0.58+'Gas Water'!H50*1.88)/(Total!E48)</f>
        <v>0.57999999999999996</v>
      </c>
      <c r="G48" s="4">
        <f>'Gas Water'!M50</f>
        <v>4482</v>
      </c>
      <c r="H48" s="142">
        <v>1.72</v>
      </c>
      <c r="I48" s="2">
        <f>'Gas Water'!L50</f>
        <v>9</v>
      </c>
      <c r="J48" s="142">
        <v>12.85</v>
      </c>
      <c r="K48" s="5">
        <v>75</v>
      </c>
      <c r="L48" s="5">
        <v>136</v>
      </c>
    </row>
    <row r="49" spans="1:12" x14ac:dyDescent="0.25">
      <c r="A49" s="3" t="s">
        <v>74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42">
        <f>('Electricity '!I50*0.58+'Gas Water'!H51*1.88)/(Total!E49)</f>
        <v>0.57999999999999996</v>
      </c>
      <c r="G49" s="4">
        <f>'Gas Water'!M51</f>
        <v>4562</v>
      </c>
      <c r="H49" s="142">
        <v>1.72</v>
      </c>
      <c r="I49" s="2">
        <f>'Gas Water'!L51</f>
        <v>179</v>
      </c>
      <c r="J49" s="142">
        <v>12.85</v>
      </c>
      <c r="K49" s="5">
        <v>78</v>
      </c>
      <c r="L49" s="5">
        <v>135</v>
      </c>
    </row>
    <row r="50" spans="1:12" x14ac:dyDescent="0.25">
      <c r="A50" s="3" t="s">
        <v>74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42">
        <f>('Electricity '!I51*0.58+'Gas Water'!H52*1.88)/(Total!E50)</f>
        <v>0.57999999999999996</v>
      </c>
      <c r="G50" s="4">
        <f>'Gas Water'!M52</f>
        <v>4290</v>
      </c>
      <c r="H50" s="142">
        <v>1.72</v>
      </c>
      <c r="I50" s="2">
        <f>'Gas Water'!L52</f>
        <v>346</v>
      </c>
      <c r="J50" s="142">
        <v>12.85</v>
      </c>
      <c r="K50" s="5">
        <v>74</v>
      </c>
      <c r="L50" s="5">
        <v>132</v>
      </c>
    </row>
    <row r="51" spans="1:12" x14ac:dyDescent="0.25">
      <c r="A51" s="3" t="s">
        <v>74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42">
        <f>('Electricity '!I52*0.58+'Gas Water'!H53*1.88)/(Total!E51)</f>
        <v>0.57999999999999996</v>
      </c>
      <c r="G51" s="4">
        <f>'Gas Water'!M53</f>
        <v>3856</v>
      </c>
      <c r="H51" s="142">
        <v>1.72</v>
      </c>
      <c r="I51" s="2">
        <f>'Gas Water'!L53</f>
        <v>20</v>
      </c>
      <c r="J51" s="142">
        <v>12.85</v>
      </c>
      <c r="K51" s="5">
        <v>74</v>
      </c>
      <c r="L51" s="5">
        <v>131</v>
      </c>
    </row>
    <row r="52" spans="1:12" x14ac:dyDescent="0.25">
      <c r="A52" s="3" t="s">
        <v>74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42">
        <f>('Electricity '!I53*0.58+'Gas Water'!H54*1.88)/(Total!E52)</f>
        <v>0.57999999999999996</v>
      </c>
      <c r="G52" s="4">
        <f>'Gas Water'!M54</f>
        <v>4592</v>
      </c>
      <c r="H52" s="142">
        <v>1.72</v>
      </c>
      <c r="I52" s="2">
        <f>'Gas Water'!L54</f>
        <v>214</v>
      </c>
      <c r="J52" s="142">
        <v>12.85</v>
      </c>
      <c r="K52" s="5">
        <v>90</v>
      </c>
      <c r="L52" s="5">
        <v>154</v>
      </c>
    </row>
    <row r="53" spans="1:12" x14ac:dyDescent="0.25">
      <c r="A53" s="3" t="s">
        <v>74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42">
        <f>('Electricity '!I54*0.58+'Gas Water'!H55*1.88)/(Total!E53)</f>
        <v>0.57999999999999996</v>
      </c>
      <c r="G53" s="4">
        <f>'Gas Water'!M55</f>
        <v>3740</v>
      </c>
      <c r="H53" s="142">
        <v>1.72</v>
      </c>
      <c r="I53" s="2">
        <f>'Gas Water'!L55</f>
        <v>197</v>
      </c>
      <c r="J53" s="142">
        <v>12.85</v>
      </c>
      <c r="K53" s="5">
        <v>98</v>
      </c>
      <c r="L53" s="5">
        <v>165</v>
      </c>
    </row>
    <row r="54" spans="1:12" x14ac:dyDescent="0.25">
      <c r="A54" s="3" t="s">
        <v>74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42">
        <f>('Electricity '!I55*0.58+'Gas Water'!H56*1.88)/(Total!E54)</f>
        <v>0.57999999999999996</v>
      </c>
      <c r="G54" s="4">
        <f>'Gas Water'!M56</f>
        <v>3772</v>
      </c>
      <c r="H54" s="142">
        <v>1.72</v>
      </c>
      <c r="I54" s="2">
        <f>'Gas Water'!L56</f>
        <v>178</v>
      </c>
      <c r="J54" s="142">
        <v>12.85</v>
      </c>
      <c r="K54" s="5">
        <v>126</v>
      </c>
      <c r="L54" s="5">
        <v>208</v>
      </c>
    </row>
    <row r="55" spans="1:12" x14ac:dyDescent="0.25">
      <c r="A55" s="3" t="s">
        <v>74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42">
        <f>('Electricity '!I56*0.58+'Gas Water'!H57*1.88)/(Total!E55)</f>
        <v>0.57999999999999996</v>
      </c>
      <c r="G55" s="4">
        <f>'Gas Water'!M57</f>
        <v>3562</v>
      </c>
      <c r="H55" s="142">
        <v>1.72</v>
      </c>
      <c r="I55" s="2">
        <f>'Gas Water'!L57</f>
        <v>184</v>
      </c>
      <c r="J55" s="142">
        <v>12.85</v>
      </c>
      <c r="K55" s="5">
        <v>122</v>
      </c>
      <c r="L55" s="5">
        <v>209</v>
      </c>
    </row>
    <row r="56" spans="1:12" x14ac:dyDescent="0.25">
      <c r="A56" s="3" t="s">
        <v>74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42">
        <f>('Electricity '!I57*0.58+'Gas Water'!H58*1.88)/(Total!E56)</f>
        <v>0.57999999999999996</v>
      </c>
      <c r="G56" s="4">
        <f>'Gas Water'!M58</f>
        <v>3732</v>
      </c>
      <c r="H56" s="142">
        <v>1.72</v>
      </c>
      <c r="I56" s="2">
        <f>'Gas Water'!L58</f>
        <v>128</v>
      </c>
      <c r="J56" s="142">
        <v>12.85</v>
      </c>
      <c r="K56" s="5">
        <v>111</v>
      </c>
      <c r="L56" s="5">
        <v>184</v>
      </c>
    </row>
    <row r="57" spans="1:12" x14ac:dyDescent="0.25">
      <c r="A57" s="3" t="s">
        <v>74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42">
        <f>('Electricity '!I58*0.58+'Gas Water'!H59*1.88)/(Total!E57)</f>
        <v>0.57999999999999996</v>
      </c>
      <c r="G57" s="4">
        <f>'Gas Water'!M59</f>
        <v>3641</v>
      </c>
      <c r="H57" s="142">
        <v>1.72</v>
      </c>
      <c r="I57" s="2">
        <f>'Gas Water'!L59</f>
        <v>134</v>
      </c>
      <c r="J57" s="142">
        <v>12.85</v>
      </c>
      <c r="K57" s="5">
        <v>118</v>
      </c>
      <c r="L57" s="5">
        <v>197</v>
      </c>
    </row>
    <row r="58" spans="1:12" x14ac:dyDescent="0.25">
      <c r="A58" s="3" t="s">
        <v>74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42">
        <f>('Electricity '!I59*0.58+'Gas Water'!H60*1.88)/(Total!E58)</f>
        <v>0.57999999999999996</v>
      </c>
      <c r="G58" s="4">
        <f>'Gas Water'!M60</f>
        <v>3247</v>
      </c>
      <c r="H58" s="142">
        <v>1.72</v>
      </c>
      <c r="I58" s="2">
        <f>'Gas Water'!L60</f>
        <v>122</v>
      </c>
      <c r="J58" s="142">
        <v>12.85</v>
      </c>
      <c r="K58" s="5">
        <v>120</v>
      </c>
      <c r="L58" s="5">
        <v>204</v>
      </c>
    </row>
    <row r="59" spans="1:12" x14ac:dyDescent="0.25">
      <c r="A59" s="3" t="s">
        <v>74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42">
        <f>('Electricity '!I60*0.58+'Gas Water'!H61*1.88)/(Total!E59)</f>
        <v>0.57999999999999996</v>
      </c>
      <c r="G59" s="4">
        <f>'Gas Water'!M61</f>
        <v>3359</v>
      </c>
      <c r="H59" s="142">
        <v>1.72</v>
      </c>
      <c r="I59" s="2">
        <f>'Gas Water'!L61</f>
        <v>143</v>
      </c>
      <c r="J59" s="142">
        <v>12.85</v>
      </c>
      <c r="K59" s="5">
        <v>136</v>
      </c>
      <c r="L59" s="5">
        <v>247</v>
      </c>
    </row>
    <row r="60" spans="1:12" x14ac:dyDescent="0.25">
      <c r="A60" s="3" t="s">
        <v>74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42">
        <f>('Electricity '!I61*0.58+'Gas Water'!H62*1.88)/(Total!E60)</f>
        <v>0.57999999999999996</v>
      </c>
      <c r="G60" s="4">
        <f>'Gas Water'!M62</f>
        <v>3496</v>
      </c>
      <c r="H60" s="142">
        <v>1.72</v>
      </c>
      <c r="I60" s="2">
        <f>'Gas Water'!L62</f>
        <v>153</v>
      </c>
      <c r="J60" s="142">
        <v>12.85</v>
      </c>
      <c r="K60" s="5">
        <v>122</v>
      </c>
      <c r="L60" s="5">
        <v>212</v>
      </c>
    </row>
    <row r="61" spans="1:12" x14ac:dyDescent="0.25">
      <c r="A61" s="3" t="s">
        <v>74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42">
        <f>('Electricity '!I62*0.58+'Gas Water'!H63*1.88)/(Total!E61)</f>
        <v>0.57999999999999996</v>
      </c>
      <c r="G61" s="4">
        <f>'Gas Water'!M63</f>
        <v>3402</v>
      </c>
      <c r="H61" s="142">
        <v>1.76</v>
      </c>
      <c r="I61" s="2">
        <f>'Gas Water'!L63</f>
        <v>130</v>
      </c>
      <c r="J61" s="142">
        <v>12.85</v>
      </c>
      <c r="K61" s="5">
        <v>100</v>
      </c>
      <c r="L61" s="5">
        <v>167</v>
      </c>
    </row>
    <row r="62" spans="1:12" x14ac:dyDescent="0.25">
      <c r="A62" s="3" t="s">
        <v>74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42">
        <f>('Electricity '!I63*0.58+'Gas Water'!H64*1.88)/(Total!E62)</f>
        <v>0.57999999999999996</v>
      </c>
      <c r="G62" s="4">
        <f>'Gas Water'!M64</f>
        <v>3548</v>
      </c>
      <c r="H62" s="142">
        <v>1.76</v>
      </c>
      <c r="I62" s="2">
        <f>'Gas Water'!L64</f>
        <v>108</v>
      </c>
      <c r="J62" s="142">
        <v>12.85</v>
      </c>
      <c r="K62" s="5">
        <v>72</v>
      </c>
      <c r="L62" s="5">
        <v>118</v>
      </c>
    </row>
    <row r="63" spans="1:12" x14ac:dyDescent="0.25">
      <c r="A63" s="3" t="s">
        <v>74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42">
        <f>('Electricity '!I64*0.58+'Gas Water'!H65*1.72)/(Total!E63)</f>
        <v>0.57999999999999996</v>
      </c>
      <c r="G63" s="4">
        <f>'Gas Water'!M65</f>
        <v>3407</v>
      </c>
      <c r="H63" s="142">
        <v>1.76</v>
      </c>
      <c r="I63" s="2">
        <f>'Gas Water'!L65</f>
        <v>128</v>
      </c>
      <c r="J63" s="142">
        <v>12.85</v>
      </c>
      <c r="K63" s="5">
        <v>102</v>
      </c>
      <c r="L63" s="5">
        <v>184</v>
      </c>
    </row>
    <row r="64" spans="1:12" x14ac:dyDescent="0.25">
      <c r="A64" s="3" t="s">
        <v>74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42">
        <f>('Electricity '!I65*0.58+'Gas Water'!H66*1.88)/(Total!E64)</f>
        <v>0.57999999999999996</v>
      </c>
      <c r="G64" s="4">
        <f>'Gas Water'!M66</f>
        <v>3183</v>
      </c>
      <c r="H64" s="142">
        <v>1.76</v>
      </c>
      <c r="I64" s="2">
        <f>'Gas Water'!L66</f>
        <v>140</v>
      </c>
      <c r="J64" s="142">
        <v>12.85</v>
      </c>
      <c r="K64" s="5">
        <v>115</v>
      </c>
      <c r="L64" s="5">
        <v>189</v>
      </c>
    </row>
    <row r="65" spans="1:12" x14ac:dyDescent="0.25">
      <c r="A65" s="3" t="s">
        <v>74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42">
        <f>('Electricity '!I66*0.58+'Gas Water'!H67*1.88)/(Total!E65)</f>
        <v>0.57999999999999996</v>
      </c>
      <c r="G65" s="4">
        <f>'Gas Water'!M67</f>
        <v>2739</v>
      </c>
      <c r="H65" s="142">
        <v>1.76</v>
      </c>
      <c r="I65" s="2">
        <f>'Gas Water'!L67</f>
        <v>305</v>
      </c>
      <c r="J65" s="142">
        <v>12.85</v>
      </c>
      <c r="K65" s="5">
        <v>131</v>
      </c>
      <c r="L65" s="5">
        <v>225</v>
      </c>
    </row>
    <row r="66" spans="1:12" x14ac:dyDescent="0.25">
      <c r="A66" s="3" t="s">
        <v>74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42">
        <f>('Electricity '!I67*0.58+'Gas Water'!H68*1.88)/(Total!E66)</f>
        <v>0.57999999999999996</v>
      </c>
      <c r="G66" s="4">
        <f>'Gas Water'!M68</f>
        <v>3255</v>
      </c>
      <c r="H66" s="142">
        <v>1.76</v>
      </c>
      <c r="I66" s="2">
        <f>'Gas Water'!L68</f>
        <v>168</v>
      </c>
      <c r="J66" s="142">
        <v>12.85</v>
      </c>
      <c r="K66" s="5">
        <v>129</v>
      </c>
      <c r="L66" s="5">
        <v>237</v>
      </c>
    </row>
    <row r="67" spans="1:12" x14ac:dyDescent="0.25">
      <c r="A67" s="3" t="s">
        <v>74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42">
        <f>('Electricity '!I68*0.58+'Gas Water'!H69*1.88)/(Total!E67)</f>
        <v>0.57999999999999996</v>
      </c>
      <c r="G67" s="4">
        <f>'Gas Water'!M69</f>
        <v>3750</v>
      </c>
      <c r="H67" s="142">
        <v>1.76</v>
      </c>
      <c r="I67" s="2">
        <f>'Gas Water'!L69</f>
        <v>155</v>
      </c>
      <c r="J67" s="142">
        <v>12.85</v>
      </c>
      <c r="K67" s="5">
        <v>107</v>
      </c>
      <c r="L67" s="5">
        <v>197</v>
      </c>
    </row>
    <row r="68" spans="1:12" x14ac:dyDescent="0.25">
      <c r="A68" s="3" t="s">
        <v>74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42">
        <f>('Electricity '!I69*0.58+'Gas Water'!H70*1.88)/(Total!E68)</f>
        <v>0.57999999999999996</v>
      </c>
      <c r="G68" s="4">
        <f>'Gas Water'!M70</f>
        <v>3482</v>
      </c>
      <c r="H68" s="142">
        <v>1.76</v>
      </c>
      <c r="I68" s="2">
        <f>'Gas Water'!L70</f>
        <v>143</v>
      </c>
      <c r="J68" s="142">
        <v>12.85</v>
      </c>
      <c r="K68" s="5">
        <v>89</v>
      </c>
      <c r="L68" s="5">
        <v>159</v>
      </c>
    </row>
    <row r="69" spans="1:12" x14ac:dyDescent="0.25">
      <c r="A69" s="3" t="s">
        <v>74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42">
        <f>('Electricity '!I70*0.58+'Gas Water'!H71*1.88)/(Total!E69)</f>
        <v>0.57999999999999996</v>
      </c>
      <c r="G69" s="4">
        <f>'Gas Water'!M71</f>
        <v>3037</v>
      </c>
      <c r="H69" s="142">
        <v>1.76</v>
      </c>
      <c r="I69" s="2">
        <f>'Gas Water'!L71</f>
        <v>141</v>
      </c>
      <c r="J69" s="142">
        <v>12.85</v>
      </c>
      <c r="K69" s="5">
        <v>115</v>
      </c>
      <c r="L69" s="5">
        <v>187</v>
      </c>
    </row>
    <row r="70" spans="1:12" x14ac:dyDescent="0.25">
      <c r="A70" s="3" t="s">
        <v>74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42">
        <f>('Electricity '!I71*0.58+'Gas Water'!H72*1.88)/(Total!E70)</f>
        <v>0.57999999999999996</v>
      </c>
      <c r="G70" s="4">
        <f>'Gas Water'!M72</f>
        <v>3049</v>
      </c>
      <c r="H70" s="142">
        <v>1.76</v>
      </c>
      <c r="I70" s="2">
        <f>'Gas Water'!L72</f>
        <v>147</v>
      </c>
      <c r="J70" s="142">
        <v>12.85</v>
      </c>
      <c r="K70" s="5">
        <v>121</v>
      </c>
      <c r="L70" s="5">
        <v>199</v>
      </c>
    </row>
    <row r="71" spans="1:12" x14ac:dyDescent="0.25">
      <c r="A71" s="3" t="s">
        <v>74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42">
        <f>('Electricity '!I72*0.58+'Gas Water'!H73*1.88)/(Total!E71)</f>
        <v>0.57999999999999996</v>
      </c>
      <c r="G71" s="4">
        <f>'Gas Water'!M73</f>
        <v>3802</v>
      </c>
      <c r="H71" s="142">
        <v>1.76</v>
      </c>
      <c r="I71" s="2">
        <f>'Gas Water'!L73</f>
        <v>142</v>
      </c>
      <c r="J71" s="142">
        <v>12.85</v>
      </c>
      <c r="K71" s="5">
        <v>107</v>
      </c>
      <c r="L71" s="5">
        <v>184</v>
      </c>
    </row>
    <row r="72" spans="1:12" x14ac:dyDescent="0.25">
      <c r="A72" s="3" t="s">
        <v>74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42">
        <f>('Electricity '!I73*0.58+'Gas Water'!H74*1.88)/(Total!E72)</f>
        <v>0.57999999999999996</v>
      </c>
      <c r="G72" s="4">
        <f>'Gas Water'!M74</f>
        <v>3566</v>
      </c>
      <c r="H72" s="142">
        <v>1.76</v>
      </c>
      <c r="I72" s="2">
        <f>'Gas Water'!L74</f>
        <v>160</v>
      </c>
      <c r="J72" s="142">
        <v>12.85</v>
      </c>
      <c r="K72" s="5">
        <v>115</v>
      </c>
      <c r="L72" s="5">
        <v>195</v>
      </c>
    </row>
    <row r="73" spans="1:12" x14ac:dyDescent="0.25">
      <c r="A73" s="3" t="s">
        <v>74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42">
        <f>('Electricity '!I74*0.58+'Gas Water'!H75*1.88)/(Total!E73)</f>
        <v>0.57999999999999996</v>
      </c>
      <c r="G73" s="4">
        <f>'Gas Water'!M75</f>
        <v>3112</v>
      </c>
      <c r="H73" s="142">
        <v>1.76</v>
      </c>
      <c r="I73" s="2">
        <f>'Gas Water'!L75</f>
        <v>135</v>
      </c>
      <c r="J73" s="142">
        <v>12.85</v>
      </c>
      <c r="K73" s="5">
        <v>117</v>
      </c>
      <c r="L73" s="5">
        <v>214</v>
      </c>
    </row>
    <row r="74" spans="1:12" x14ac:dyDescent="0.25">
      <c r="A74" s="3" t="s">
        <v>74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42">
        <f>('Electricity '!I75*0.58+'Gas Water'!H76*1.88)/(Total!E74)</f>
        <v>0.57999999999999996</v>
      </c>
      <c r="G74" s="4">
        <f>'Gas Water'!M76</f>
        <v>2984</v>
      </c>
      <c r="H74" s="142">
        <v>1.76</v>
      </c>
      <c r="I74" s="2">
        <f>'Gas Water'!L76</f>
        <v>156</v>
      </c>
      <c r="J74" s="142">
        <v>12.85</v>
      </c>
      <c r="K74" s="5">
        <v>88</v>
      </c>
      <c r="L74" s="5">
        <v>154</v>
      </c>
    </row>
    <row r="75" spans="1:12" x14ac:dyDescent="0.25">
      <c r="A75" s="3" t="s">
        <v>74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42">
        <f>('Electricity '!I76*0.58+'Gas Water'!H77*1.88)/(Total!E75)</f>
        <v>0.57999999999999996</v>
      </c>
      <c r="G75" s="4">
        <f>'Gas Water'!M77</f>
        <v>2571</v>
      </c>
      <c r="H75" s="142">
        <v>1.76</v>
      </c>
      <c r="I75" s="2">
        <f>'Gas Water'!L77</f>
        <v>143</v>
      </c>
      <c r="J75" s="142">
        <v>12.85</v>
      </c>
      <c r="K75" s="5">
        <v>91</v>
      </c>
      <c r="L75" s="5">
        <v>160</v>
      </c>
    </row>
    <row r="76" spans="1:12" x14ac:dyDescent="0.25">
      <c r="A76" s="3" t="s">
        <v>74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42">
        <v>0.57999999999999996</v>
      </c>
      <c r="G76" s="4">
        <f>'Gas Water'!M78</f>
        <v>2924</v>
      </c>
      <c r="H76" s="142">
        <v>1.76</v>
      </c>
      <c r="I76" s="2">
        <f>'Gas Water'!L78</f>
        <v>159</v>
      </c>
      <c r="J76" s="142">
        <v>12.85</v>
      </c>
      <c r="K76" s="5">
        <v>90</v>
      </c>
      <c r="L76" s="5">
        <v>157</v>
      </c>
    </row>
    <row r="77" spans="1:12" x14ac:dyDescent="0.25">
      <c r="A77" s="3" t="s">
        <v>74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42">
        <v>0.57999999999999996</v>
      </c>
      <c r="G77" s="4">
        <f>'Gas Water'!M79</f>
        <v>3416</v>
      </c>
      <c r="H77" s="142">
        <v>1.76</v>
      </c>
      <c r="I77" s="2">
        <f>'Gas Water'!L79</f>
        <v>121</v>
      </c>
      <c r="J77" s="142">
        <v>12.85</v>
      </c>
      <c r="K77" s="5">
        <v>90</v>
      </c>
      <c r="L77" s="5">
        <v>160</v>
      </c>
    </row>
    <row r="78" spans="1:12" x14ac:dyDescent="0.25">
      <c r="A78" s="3" t="s">
        <v>74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42">
        <v>0.57999999999999996</v>
      </c>
      <c r="G78" s="4">
        <f>'Gas Water'!M80</f>
        <v>3113</v>
      </c>
      <c r="H78" s="142">
        <v>1.76</v>
      </c>
      <c r="I78" s="2">
        <f>'Gas Water'!L80</f>
        <v>122</v>
      </c>
      <c r="J78" s="142">
        <v>12.85</v>
      </c>
      <c r="K78" s="5">
        <v>96</v>
      </c>
      <c r="L78" s="5">
        <v>176</v>
      </c>
    </row>
    <row r="79" spans="1:12" x14ac:dyDescent="0.25">
      <c r="A79" s="3" t="s">
        <v>74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42">
        <v>0.57999999999999996</v>
      </c>
      <c r="G79" s="4">
        <v>3403</v>
      </c>
      <c r="H79" s="142">
        <v>1.76</v>
      </c>
      <c r="I79" s="2">
        <v>153</v>
      </c>
      <c r="J79" s="142">
        <v>12.85</v>
      </c>
      <c r="K79" s="5">
        <v>106</v>
      </c>
      <c r="L79" s="5">
        <v>196</v>
      </c>
    </row>
    <row r="80" spans="1:12" x14ac:dyDescent="0.25">
      <c r="A80" s="3" t="s">
        <v>74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42">
        <v>0.57999999999999996</v>
      </c>
      <c r="G80" s="4">
        <f>'Gas Water'!M82</f>
        <v>2997</v>
      </c>
      <c r="H80" s="142">
        <v>1.76</v>
      </c>
      <c r="I80" s="2">
        <v>155</v>
      </c>
      <c r="J80" s="142">
        <v>12.85</v>
      </c>
      <c r="K80" s="5">
        <v>98</v>
      </c>
      <c r="L80" s="5">
        <v>183</v>
      </c>
    </row>
    <row r="81" spans="1:12" x14ac:dyDescent="0.25">
      <c r="A81" s="3" t="s">
        <v>74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42">
        <v>0.57999999999999996</v>
      </c>
      <c r="G81" s="4">
        <f>'Gas Water'!M83</f>
        <v>3217</v>
      </c>
      <c r="H81" s="142">
        <v>1.76</v>
      </c>
      <c r="I81" s="2">
        <f>'Gas Water'!L83</f>
        <v>141</v>
      </c>
      <c r="J81" s="142">
        <v>12.85</v>
      </c>
      <c r="K81" s="5">
        <v>102</v>
      </c>
      <c r="L81" s="5">
        <v>197</v>
      </c>
    </row>
    <row r="82" spans="1:12" x14ac:dyDescent="0.25">
      <c r="A82" s="3" t="s">
        <v>74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42">
        <v>0.57999999999999996</v>
      </c>
      <c r="G82" s="4">
        <f>'Gas Water'!M84</f>
        <v>3146</v>
      </c>
      <c r="H82" s="142">
        <v>1.76</v>
      </c>
      <c r="I82" s="2">
        <f>'Gas Water'!L84</f>
        <v>143</v>
      </c>
      <c r="J82" s="142">
        <v>12.85</v>
      </c>
      <c r="K82" s="5">
        <v>106</v>
      </c>
      <c r="L82" s="5">
        <v>199</v>
      </c>
    </row>
    <row r="83" spans="1:12" x14ac:dyDescent="0.25">
      <c r="A83" s="3" t="s">
        <v>74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42">
        <v>0.57999999999999996</v>
      </c>
      <c r="G83" s="4">
        <f>'Gas Water'!M85</f>
        <v>3823</v>
      </c>
      <c r="H83" s="142">
        <v>1.76</v>
      </c>
      <c r="I83" s="2">
        <f>'Gas Water'!L85</f>
        <v>164</v>
      </c>
      <c r="J83" s="142">
        <v>12.85</v>
      </c>
      <c r="K83" s="5">
        <v>116</v>
      </c>
      <c r="L83" s="5">
        <v>198</v>
      </c>
    </row>
    <row r="84" spans="1:12" x14ac:dyDescent="0.25">
      <c r="A84" s="3" t="s">
        <v>74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42">
        <v>0.57999999999999996</v>
      </c>
      <c r="G84" s="4">
        <f>'Gas Water'!M86</f>
        <v>3982</v>
      </c>
      <c r="H84" s="142">
        <v>1.76</v>
      </c>
      <c r="I84" s="2">
        <f>'Gas Water'!L86</f>
        <v>150</v>
      </c>
      <c r="J84" s="142">
        <v>12.85</v>
      </c>
      <c r="K84" s="5">
        <v>124</v>
      </c>
      <c r="L84" s="5">
        <v>210</v>
      </c>
    </row>
    <row r="85" spans="1:12" x14ac:dyDescent="0.25">
      <c r="A85" s="3" t="s">
        <v>74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42">
        <v>0.57999999999999996</v>
      </c>
      <c r="G85" s="4">
        <f>'Gas Water'!M87</f>
        <v>3769</v>
      </c>
      <c r="H85" s="142">
        <v>1.76</v>
      </c>
      <c r="I85" s="2">
        <f>'Gas Water'!L87</f>
        <v>139</v>
      </c>
      <c r="J85" s="142">
        <v>12.85</v>
      </c>
      <c r="K85" s="5">
        <v>128</v>
      </c>
      <c r="L85" s="5">
        <v>215</v>
      </c>
    </row>
    <row r="86" spans="1:12" x14ac:dyDescent="0.25">
      <c r="A86" s="3" t="s">
        <v>74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42">
        <v>0.57999999999999996</v>
      </c>
      <c r="G86" s="4">
        <v>3386</v>
      </c>
      <c r="H86" s="142">
        <v>1.76</v>
      </c>
      <c r="I86" s="2">
        <v>160</v>
      </c>
      <c r="J86" s="142">
        <v>12.85</v>
      </c>
      <c r="K86" s="5">
        <v>139</v>
      </c>
      <c r="L86" s="5">
        <v>252</v>
      </c>
    </row>
    <row r="87" spans="1:12" x14ac:dyDescent="0.25">
      <c r="A87" s="3" t="s">
        <v>74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42">
        <v>0.57999999999999996</v>
      </c>
      <c r="G87" s="4">
        <f>'Gas Water'!M89</f>
        <v>3322</v>
      </c>
      <c r="H87" s="142">
        <v>1.76</v>
      </c>
      <c r="I87" s="2">
        <f>'Gas Water'!L89</f>
        <v>168</v>
      </c>
      <c r="J87" s="142">
        <v>12.85</v>
      </c>
      <c r="K87" s="5">
        <v>156</v>
      </c>
      <c r="L87" s="5">
        <v>282</v>
      </c>
    </row>
    <row r="88" spans="1:12" x14ac:dyDescent="0.25">
      <c r="A88" s="3" t="s">
        <v>74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42">
        <v>0.57999999999999996</v>
      </c>
      <c r="G88" s="4">
        <v>2762</v>
      </c>
      <c r="H88" s="142">
        <v>1.76</v>
      </c>
      <c r="I88" s="2">
        <v>143</v>
      </c>
      <c r="J88" s="142">
        <v>12.85</v>
      </c>
      <c r="K88" s="5">
        <v>152</v>
      </c>
      <c r="L88" s="5">
        <v>283</v>
      </c>
    </row>
    <row r="89" spans="1:12" x14ac:dyDescent="0.25">
      <c r="A89" s="3" t="s">
        <v>74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42">
        <v>0.57999999999999996</v>
      </c>
      <c r="G89" s="4">
        <f>'Gas Water'!M91</f>
        <v>2893</v>
      </c>
      <c r="H89" s="142">
        <v>1.76</v>
      </c>
      <c r="I89" s="2">
        <f>'Gas Water'!L91</f>
        <v>161</v>
      </c>
      <c r="J89" s="142">
        <v>12.85</v>
      </c>
      <c r="K89" s="5">
        <v>152</v>
      </c>
      <c r="L89" s="5">
        <v>275</v>
      </c>
    </row>
    <row r="90" spans="1:12" x14ac:dyDescent="0.25">
      <c r="A90" s="3" t="s">
        <v>74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42">
        <v>0.57999999999999996</v>
      </c>
      <c r="G90" s="4">
        <f>'Gas Water'!M92</f>
        <v>3217</v>
      </c>
      <c r="H90" s="142">
        <v>1.76</v>
      </c>
      <c r="I90" s="2">
        <f>'Gas Water'!L92</f>
        <v>156</v>
      </c>
      <c r="J90" s="142">
        <v>12.85</v>
      </c>
      <c r="K90" s="5">
        <v>145</v>
      </c>
      <c r="L90" s="5">
        <v>269</v>
      </c>
    </row>
    <row r="91" spans="1:12" x14ac:dyDescent="0.25">
      <c r="A91" s="3" t="s">
        <v>74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42">
        <v>0.57999999999999996</v>
      </c>
      <c r="G91" s="4">
        <f>'Gas Water'!M93</f>
        <v>3340</v>
      </c>
      <c r="H91" s="142">
        <v>1.76</v>
      </c>
      <c r="I91" s="2">
        <f>'Gas Water'!L93</f>
        <v>163</v>
      </c>
      <c r="J91" s="142">
        <v>12.85</v>
      </c>
      <c r="K91" s="5">
        <v>148</v>
      </c>
      <c r="L91" s="5">
        <v>290</v>
      </c>
    </row>
    <row r="92" spans="1:12" x14ac:dyDescent="0.25">
      <c r="A92" s="3" t="s">
        <v>74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42">
        <v>0.67</v>
      </c>
      <c r="G92" s="4">
        <f>'Gas Water'!M94</f>
        <v>3206</v>
      </c>
      <c r="H92" s="142">
        <v>1.77</v>
      </c>
      <c r="I92" s="2">
        <f>'Gas Water'!L94</f>
        <v>195</v>
      </c>
      <c r="J92" s="142">
        <v>12.93</v>
      </c>
      <c r="K92" s="5">
        <v>136</v>
      </c>
      <c r="L92" s="5">
        <v>257</v>
      </c>
    </row>
    <row r="93" spans="1:12" x14ac:dyDescent="0.25">
      <c r="A93" s="3" t="s">
        <v>74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42">
        <v>0.67</v>
      </c>
      <c r="G93" s="4">
        <f>'Gas Water'!M95</f>
        <v>2841</v>
      </c>
      <c r="H93" s="142">
        <v>1.77</v>
      </c>
      <c r="I93" s="2">
        <f>'Gas Water'!L95</f>
        <v>144</v>
      </c>
      <c r="J93" s="142">
        <v>12.93</v>
      </c>
      <c r="K93" s="5">
        <v>141</v>
      </c>
      <c r="L93" s="5">
        <v>269</v>
      </c>
    </row>
    <row r="94" spans="1:12" x14ac:dyDescent="0.25">
      <c r="A94" s="3" t="s">
        <v>74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42">
        <v>0.67</v>
      </c>
      <c r="G94" s="4">
        <f>'Gas Water'!M96</f>
        <v>2274</v>
      </c>
      <c r="H94" s="142">
        <v>1.77</v>
      </c>
      <c r="I94" s="2">
        <f>'Gas Water'!L96</f>
        <v>153</v>
      </c>
      <c r="J94" s="142">
        <v>12.93</v>
      </c>
      <c r="K94" s="5">
        <v>130</v>
      </c>
      <c r="L94" s="5">
        <v>243</v>
      </c>
    </row>
    <row r="95" spans="1:12" x14ac:dyDescent="0.25">
      <c r="A95" s="3" t="s">
        <v>74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42">
        <v>0.67</v>
      </c>
      <c r="G95" s="4">
        <f>'Gas Water'!M97</f>
        <v>2784</v>
      </c>
      <c r="H95" s="142">
        <v>1.77</v>
      </c>
      <c r="I95" s="2">
        <f>'Gas Water'!L97</f>
        <v>201</v>
      </c>
      <c r="J95" s="142">
        <v>12.93</v>
      </c>
      <c r="K95" s="5">
        <v>138</v>
      </c>
      <c r="L95" s="5">
        <v>253</v>
      </c>
    </row>
    <row r="96" spans="1:12" x14ac:dyDescent="0.25">
      <c r="A96" s="3" t="s">
        <v>74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42">
        <v>0.67</v>
      </c>
      <c r="G96" s="4">
        <f>'Gas Water'!M98</f>
        <v>3071</v>
      </c>
      <c r="H96" s="142">
        <v>1.77</v>
      </c>
      <c r="I96" s="2">
        <f>'Gas Water'!L98</f>
        <v>163</v>
      </c>
      <c r="J96" s="142">
        <v>12.93</v>
      </c>
      <c r="K96" s="5">
        <v>128</v>
      </c>
      <c r="L96" s="5">
        <v>233</v>
      </c>
    </row>
    <row r="97" spans="1:12" x14ac:dyDescent="0.25">
      <c r="A97" s="3" t="s">
        <v>74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42">
        <v>0.67</v>
      </c>
      <c r="G97" s="4">
        <f>'Gas Water'!M99</f>
        <v>2265</v>
      </c>
      <c r="H97" s="142">
        <v>1.77</v>
      </c>
      <c r="I97" s="2">
        <f>'Gas Water'!L99</f>
        <v>167</v>
      </c>
      <c r="J97" s="142">
        <v>12.93</v>
      </c>
      <c r="K97" s="5">
        <v>125</v>
      </c>
      <c r="L97" s="5">
        <v>242</v>
      </c>
    </row>
    <row r="98" spans="1:12" x14ac:dyDescent="0.25">
      <c r="A98" s="3" t="s">
        <v>74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42">
        <v>0.67</v>
      </c>
      <c r="G98" s="4">
        <f>'Gas Water'!M100</f>
        <v>2268</v>
      </c>
      <c r="H98" s="142">
        <v>1.77</v>
      </c>
      <c r="I98" s="2">
        <f>'Gas Water'!L100</f>
        <v>175</v>
      </c>
      <c r="J98" s="142">
        <v>12.93</v>
      </c>
      <c r="K98" s="5">
        <v>135</v>
      </c>
      <c r="L98" s="5">
        <v>250</v>
      </c>
    </row>
    <row r="99" spans="1:12" x14ac:dyDescent="0.25">
      <c r="A99" s="3" t="s">
        <v>74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42">
        <v>0.67</v>
      </c>
      <c r="G99" s="4">
        <f>'Gas Water'!M101</f>
        <v>3194</v>
      </c>
      <c r="H99" s="142">
        <v>1.77</v>
      </c>
      <c r="I99" s="2">
        <f>'Gas Water'!L101</f>
        <v>150</v>
      </c>
      <c r="J99" s="142">
        <v>12.93</v>
      </c>
      <c r="K99" s="5">
        <v>116</v>
      </c>
      <c r="L99" s="5">
        <v>206</v>
      </c>
    </row>
    <row r="100" spans="1:12" x14ac:dyDescent="0.25">
      <c r="A100" s="3" t="s">
        <v>74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42">
        <v>0.67</v>
      </c>
      <c r="G100" s="4">
        <f>'Gas Water'!M102</f>
        <v>2998</v>
      </c>
      <c r="H100" s="142">
        <v>1.77</v>
      </c>
      <c r="I100" s="2">
        <f>'Gas Water'!L102</f>
        <v>204</v>
      </c>
      <c r="J100" s="142">
        <v>12.93</v>
      </c>
      <c r="K100" s="5">
        <v>104</v>
      </c>
      <c r="L100" s="5">
        <v>199</v>
      </c>
    </row>
    <row r="101" spans="1:12" x14ac:dyDescent="0.25">
      <c r="A101" s="3" t="s">
        <v>74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42">
        <v>0.67</v>
      </c>
      <c r="G101" s="4">
        <f>'Gas Water'!M103</f>
        <v>2872</v>
      </c>
      <c r="H101" s="142">
        <v>1.77</v>
      </c>
      <c r="I101" s="2">
        <f>'Gas Water'!L103</f>
        <v>126</v>
      </c>
      <c r="J101" s="142">
        <v>12.93</v>
      </c>
      <c r="K101" s="5">
        <v>101</v>
      </c>
      <c r="L101" s="5">
        <v>190</v>
      </c>
    </row>
    <row r="102" spans="1:12" x14ac:dyDescent="0.25">
      <c r="A102" s="3" t="s">
        <v>74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42">
        <v>0.67</v>
      </c>
      <c r="G102" s="4">
        <f>'Gas Water'!M104</f>
        <v>2640</v>
      </c>
      <c r="H102" s="142">
        <v>1.77</v>
      </c>
      <c r="I102" s="2">
        <f>'Gas Water'!L104</f>
        <v>131</v>
      </c>
      <c r="J102" s="142">
        <v>12.93</v>
      </c>
      <c r="K102" s="5">
        <v>69</v>
      </c>
      <c r="L102" s="5">
        <v>131</v>
      </c>
    </row>
    <row r="103" spans="1:12" x14ac:dyDescent="0.25">
      <c r="A103" s="3" t="s">
        <v>74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42">
        <v>0.67</v>
      </c>
      <c r="G103" s="4">
        <f>'Gas Water'!M105</f>
        <v>2653</v>
      </c>
      <c r="H103" s="142">
        <v>1.77</v>
      </c>
      <c r="I103" s="2">
        <f>'Gas Water'!L105</f>
        <v>134</v>
      </c>
      <c r="J103" s="142">
        <v>12.93</v>
      </c>
      <c r="K103" s="5">
        <v>64</v>
      </c>
      <c r="L103" s="5">
        <v>107</v>
      </c>
    </row>
    <row r="104" spans="1:12" x14ac:dyDescent="0.25">
      <c r="A104" s="3" t="s">
        <v>74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42">
        <v>0.67</v>
      </c>
      <c r="G104" s="4">
        <f>'Gas Water'!M106</f>
        <v>2257</v>
      </c>
      <c r="H104" s="142">
        <v>1.77</v>
      </c>
      <c r="I104" s="2">
        <f>'Gas Water'!L106</f>
        <v>120</v>
      </c>
      <c r="J104" s="142">
        <v>12.93</v>
      </c>
      <c r="K104" s="5">
        <v>64</v>
      </c>
      <c r="L104" s="5">
        <v>99</v>
      </c>
    </row>
    <row r="105" spans="1:12" x14ac:dyDescent="0.25">
      <c r="A105" s="3" t="s">
        <v>74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42">
        <v>0.67</v>
      </c>
      <c r="G105" s="4">
        <f>'Gas Water'!M107</f>
        <v>2019</v>
      </c>
      <c r="H105" s="142">
        <v>1.77</v>
      </c>
      <c r="I105" s="2">
        <f>'Gas Water'!L107</f>
        <v>246</v>
      </c>
      <c r="J105" s="142">
        <v>12.93</v>
      </c>
      <c r="K105" s="5">
        <v>75</v>
      </c>
      <c r="L105" s="5">
        <v>120</v>
      </c>
    </row>
    <row r="106" spans="1:12" x14ac:dyDescent="0.25">
      <c r="A106" s="3" t="s">
        <v>74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42">
        <v>0.67</v>
      </c>
      <c r="G106" s="4">
        <f>'Gas Water'!M108</f>
        <v>2801</v>
      </c>
      <c r="H106" s="142">
        <v>1.77</v>
      </c>
      <c r="I106" s="2">
        <f>'Gas Water'!L108</f>
        <v>395</v>
      </c>
      <c r="J106" s="142">
        <v>12.93</v>
      </c>
      <c r="K106" s="5">
        <v>71</v>
      </c>
      <c r="L106" s="5">
        <v>120</v>
      </c>
    </row>
    <row r="107" spans="1:12" x14ac:dyDescent="0.25">
      <c r="A107" s="3" t="s">
        <v>74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42">
        <v>0.67</v>
      </c>
      <c r="G107" s="4">
        <f>'Gas Water'!M109</f>
        <v>2603</v>
      </c>
      <c r="H107" s="142">
        <v>1.77</v>
      </c>
      <c r="I107" s="2">
        <f>'Gas Water'!L109</f>
        <v>108</v>
      </c>
      <c r="J107" s="142">
        <v>12.93</v>
      </c>
      <c r="K107" s="5">
        <v>71</v>
      </c>
      <c r="L107" s="5">
        <v>123</v>
      </c>
    </row>
    <row r="108" spans="1:12" x14ac:dyDescent="0.25">
      <c r="A108" s="3" t="s">
        <v>74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42">
        <v>0.67</v>
      </c>
      <c r="G108" s="4">
        <f>'Gas Water'!M110</f>
        <v>2702</v>
      </c>
      <c r="H108" s="142">
        <v>1.77</v>
      </c>
      <c r="I108" s="2">
        <f>'Gas Water'!L110</f>
        <v>97</v>
      </c>
      <c r="J108" s="142">
        <v>12.93</v>
      </c>
      <c r="K108" s="5">
        <v>53</v>
      </c>
      <c r="L108" s="5">
        <v>94</v>
      </c>
    </row>
    <row r="109" spans="1:12" x14ac:dyDescent="0.25">
      <c r="A109" s="3" t="s">
        <v>74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42">
        <v>0.67</v>
      </c>
      <c r="G109" s="4">
        <f>'Gas Water'!M111</f>
        <v>2621</v>
      </c>
      <c r="H109" s="142">
        <v>1.77</v>
      </c>
      <c r="I109" s="2">
        <f>'Gas Water'!L111</f>
        <v>130</v>
      </c>
      <c r="J109" s="142">
        <v>12.93</v>
      </c>
      <c r="K109" s="5">
        <v>46</v>
      </c>
      <c r="L109" s="5">
        <v>84</v>
      </c>
    </row>
    <row r="110" spans="1:12" x14ac:dyDescent="0.25">
      <c r="A110" s="3" t="s">
        <v>74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42">
        <v>0.67</v>
      </c>
      <c r="G110" s="4">
        <f>'Gas Water'!M112</f>
        <v>2760</v>
      </c>
      <c r="H110" s="142">
        <v>1.77</v>
      </c>
      <c r="I110" s="2">
        <f>'Gas Water'!L112</f>
        <v>115</v>
      </c>
      <c r="J110" s="142">
        <v>12.93</v>
      </c>
      <c r="K110" s="5">
        <v>55</v>
      </c>
      <c r="L110" s="5">
        <v>100</v>
      </c>
    </row>
    <row r="111" spans="1:12" x14ac:dyDescent="0.25">
      <c r="A111" s="3" t="s">
        <v>74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42">
        <v>0.67</v>
      </c>
      <c r="G111" s="4">
        <f>'Gas Water'!M113</f>
        <v>2542</v>
      </c>
      <c r="H111" s="142">
        <v>1.77</v>
      </c>
      <c r="I111" s="2">
        <f>'Gas Water'!L113</f>
        <v>120</v>
      </c>
      <c r="J111" s="142">
        <v>12.93</v>
      </c>
      <c r="K111" s="5">
        <v>56</v>
      </c>
      <c r="L111" s="5">
        <v>99</v>
      </c>
    </row>
    <row r="112" spans="1:12" x14ac:dyDescent="0.25">
      <c r="A112" s="3" t="s">
        <v>74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42">
        <v>0.67</v>
      </c>
      <c r="G112" s="4">
        <f>'Gas Water'!M114</f>
        <v>2507</v>
      </c>
      <c r="H112" s="142">
        <v>1.77</v>
      </c>
      <c r="I112" s="2">
        <f>'Gas Water'!L114</f>
        <v>166</v>
      </c>
      <c r="J112" s="142">
        <v>12.93</v>
      </c>
      <c r="K112" s="5">
        <v>52</v>
      </c>
      <c r="L112" s="5">
        <v>91</v>
      </c>
    </row>
    <row r="113" spans="1:12" x14ac:dyDescent="0.25">
      <c r="A113" s="3" t="s">
        <v>74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42">
        <v>0.67</v>
      </c>
      <c r="G113" s="4">
        <f>'Gas Water'!M115</f>
        <v>2444</v>
      </c>
      <c r="H113" s="142">
        <v>1.77</v>
      </c>
      <c r="I113" s="2">
        <f>'Gas Water'!L115</f>
        <v>167</v>
      </c>
      <c r="J113" s="142">
        <v>12.93</v>
      </c>
      <c r="K113" s="5">
        <v>88</v>
      </c>
      <c r="L113" s="5">
        <v>137</v>
      </c>
    </row>
    <row r="114" spans="1:12" x14ac:dyDescent="0.25">
      <c r="A114" s="3" t="s">
        <v>74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42">
        <v>0.67</v>
      </c>
      <c r="G114" s="4">
        <f>'Gas Water'!M116</f>
        <v>2328</v>
      </c>
      <c r="H114" s="142">
        <v>1.77</v>
      </c>
      <c r="I114" s="2">
        <f>'Gas Water'!L116</f>
        <v>126</v>
      </c>
      <c r="J114" s="142">
        <v>12.93</v>
      </c>
      <c r="K114" s="5">
        <v>70</v>
      </c>
      <c r="L114" s="5">
        <v>70</v>
      </c>
    </row>
    <row r="115" spans="1:12" x14ac:dyDescent="0.25">
      <c r="A115" s="3" t="s">
        <v>74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42">
        <v>0.67</v>
      </c>
      <c r="G115" s="4">
        <f>'Gas Water'!M117</f>
        <v>2516</v>
      </c>
      <c r="H115" s="142">
        <v>1.77</v>
      </c>
      <c r="I115" s="2">
        <f>'Gas Water'!L117</f>
        <v>114</v>
      </c>
      <c r="J115" s="142">
        <v>12.93</v>
      </c>
      <c r="K115" s="5">
        <v>58</v>
      </c>
      <c r="L115" s="5">
        <v>93</v>
      </c>
    </row>
    <row r="116" spans="1:12" x14ac:dyDescent="0.25">
      <c r="A116" s="3" t="s">
        <v>74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42">
        <v>0.67</v>
      </c>
      <c r="G116" s="4">
        <f>'Gas Water'!M118</f>
        <v>2715</v>
      </c>
      <c r="H116" s="142">
        <v>1.77</v>
      </c>
      <c r="I116" s="2">
        <f>'Gas Water'!L118</f>
        <v>104</v>
      </c>
      <c r="J116" s="142">
        <v>12.93</v>
      </c>
      <c r="K116" s="5">
        <v>48</v>
      </c>
      <c r="L116" s="5">
        <v>76</v>
      </c>
    </row>
    <row r="117" spans="1:12" x14ac:dyDescent="0.25">
      <c r="A117" s="3" t="s">
        <v>74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42">
        <v>0.67</v>
      </c>
      <c r="G117" s="4">
        <f>'Gas Water'!M119</f>
        <v>2473</v>
      </c>
      <c r="H117" s="142">
        <v>1.77</v>
      </c>
      <c r="I117" s="2">
        <f>'Gas Water'!L119</f>
        <v>110</v>
      </c>
      <c r="J117" s="142">
        <v>12.93</v>
      </c>
      <c r="K117" s="5">
        <v>32</v>
      </c>
      <c r="L117" s="5">
        <v>54</v>
      </c>
    </row>
    <row r="118" spans="1:12" x14ac:dyDescent="0.25">
      <c r="A118" s="3" t="s">
        <v>74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42">
        <v>0.67</v>
      </c>
      <c r="G118" s="4">
        <f>'Gas Water'!M120</f>
        <v>2239</v>
      </c>
      <c r="H118" s="142">
        <v>1.77</v>
      </c>
      <c r="I118" s="2">
        <f>'Gas Water'!L120</f>
        <v>90</v>
      </c>
      <c r="J118" s="142">
        <v>12.93</v>
      </c>
      <c r="K118" s="5">
        <v>35</v>
      </c>
      <c r="L118" s="5">
        <v>61</v>
      </c>
    </row>
    <row r="119" spans="1:12" x14ac:dyDescent="0.25">
      <c r="A119" s="3" t="s">
        <v>74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42">
        <v>0.67</v>
      </c>
      <c r="G119" s="4">
        <f>'Gas Water'!M121</f>
        <v>2034</v>
      </c>
      <c r="H119" s="142">
        <v>1.77</v>
      </c>
      <c r="I119" s="2">
        <f>'Gas Water'!L121</f>
        <v>104</v>
      </c>
      <c r="J119" s="142">
        <v>12.93</v>
      </c>
      <c r="K119" s="5">
        <v>44</v>
      </c>
      <c r="L119" s="5">
        <v>79</v>
      </c>
    </row>
    <row r="120" spans="1:12" x14ac:dyDescent="0.25">
      <c r="A120" s="3" t="s">
        <v>74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42">
        <v>0.67</v>
      </c>
      <c r="G120" s="4">
        <f>'Gas Water'!M122</f>
        <v>2005</v>
      </c>
      <c r="H120" s="142">
        <v>1.77</v>
      </c>
      <c r="I120" s="2">
        <f>'Gas Water'!L122</f>
        <v>94</v>
      </c>
      <c r="J120" s="142">
        <v>12.93</v>
      </c>
      <c r="K120" s="5">
        <v>46</v>
      </c>
      <c r="L120" s="5">
        <v>83</v>
      </c>
    </row>
    <row r="121" spans="1:12" x14ac:dyDescent="0.25">
      <c r="A121" s="3" t="s">
        <v>74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42">
        <v>0.67</v>
      </c>
      <c r="G121" s="4">
        <f>'Gas Water'!M123</f>
        <v>1781</v>
      </c>
      <c r="H121" s="142">
        <v>1.77</v>
      </c>
      <c r="I121" s="2">
        <f>'Gas Water'!L123</f>
        <v>151</v>
      </c>
      <c r="J121" s="142">
        <v>12.93</v>
      </c>
      <c r="K121" s="5">
        <v>50</v>
      </c>
      <c r="L121" s="5">
        <v>98</v>
      </c>
    </row>
    <row r="122" spans="1:12" x14ac:dyDescent="0.25">
      <c r="A122" s="3" t="s">
        <v>74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42">
        <v>0.67</v>
      </c>
      <c r="G122" s="4">
        <f>'Gas Water'!M124</f>
        <v>1497</v>
      </c>
      <c r="H122" s="142">
        <v>1.77</v>
      </c>
      <c r="I122" s="2">
        <f>'Gas Water'!L124</f>
        <v>126</v>
      </c>
      <c r="J122" s="142">
        <v>12.93</v>
      </c>
      <c r="K122" s="5">
        <v>34</v>
      </c>
      <c r="L122" s="5">
        <v>66</v>
      </c>
    </row>
    <row r="123" spans="1:12" x14ac:dyDescent="0.25">
      <c r="A123" s="3" t="s">
        <v>74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42">
        <v>0.67</v>
      </c>
      <c r="G123" s="4">
        <f>'Gas Water'!M125</f>
        <v>1421</v>
      </c>
      <c r="H123" s="142">
        <v>1.77</v>
      </c>
      <c r="I123" s="2">
        <f>'Gas Water'!L125</f>
        <v>156</v>
      </c>
      <c r="J123" s="142">
        <v>12.93</v>
      </c>
      <c r="K123" s="5">
        <v>20</v>
      </c>
      <c r="L123" s="5">
        <v>40</v>
      </c>
    </row>
    <row r="124" spans="1:12" x14ac:dyDescent="0.25">
      <c r="A124" s="3" t="s">
        <v>74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42">
        <v>0.67</v>
      </c>
      <c r="G124" s="4">
        <f>'Gas Water'!M126</f>
        <v>1499</v>
      </c>
      <c r="H124" s="142">
        <v>1.77</v>
      </c>
      <c r="I124" s="2">
        <f>'Gas Water'!L126</f>
        <v>133</v>
      </c>
      <c r="J124" s="142">
        <v>12.93</v>
      </c>
      <c r="K124" s="5">
        <v>21</v>
      </c>
      <c r="L124" s="5">
        <v>43</v>
      </c>
    </row>
    <row r="125" spans="1:12" x14ac:dyDescent="0.25">
      <c r="A125" s="3" t="s">
        <v>74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42">
        <v>0.67</v>
      </c>
      <c r="G125" s="4">
        <f>'Gas Water'!M127</f>
        <v>1683</v>
      </c>
      <c r="H125" s="142">
        <v>1.77</v>
      </c>
      <c r="I125" s="2">
        <f>'Gas Water'!L127</f>
        <v>129</v>
      </c>
      <c r="J125" s="142">
        <v>12.93</v>
      </c>
      <c r="K125" s="5">
        <v>15</v>
      </c>
      <c r="L125" s="5">
        <v>30</v>
      </c>
    </row>
    <row r="126" spans="1:12" x14ac:dyDescent="0.25">
      <c r="A126" s="3" t="s">
        <v>74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42">
        <v>0.67</v>
      </c>
      <c r="G126" s="4">
        <f>'Gas Water'!M128</f>
        <v>1510</v>
      </c>
      <c r="H126" s="142">
        <v>1.77</v>
      </c>
      <c r="I126" s="2">
        <f>'Gas Water'!L128</f>
        <v>137</v>
      </c>
      <c r="J126" s="142">
        <v>12.93</v>
      </c>
      <c r="K126" s="5">
        <v>19</v>
      </c>
      <c r="L126" s="5">
        <v>29</v>
      </c>
    </row>
    <row r="127" spans="1:12" x14ac:dyDescent="0.25">
      <c r="A127" s="3" t="s">
        <v>74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42">
        <v>0.67</v>
      </c>
      <c r="G127" s="4">
        <f>'Gas Water'!M129</f>
        <v>1661</v>
      </c>
      <c r="H127" s="142">
        <v>1.77</v>
      </c>
      <c r="I127" s="2">
        <f>'Gas Water'!L129</f>
        <v>141</v>
      </c>
      <c r="J127" s="142">
        <v>12.93</v>
      </c>
      <c r="K127" s="5">
        <v>24</v>
      </c>
      <c r="L127" s="5">
        <v>41</v>
      </c>
    </row>
    <row r="128" spans="1:12" x14ac:dyDescent="0.25">
      <c r="A128" s="3" t="s">
        <v>74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42">
        <v>0.67</v>
      </c>
      <c r="G128" s="4">
        <f>'Gas Water'!M130</f>
        <v>1261</v>
      </c>
      <c r="H128" s="142">
        <v>1.77</v>
      </c>
      <c r="I128" s="2">
        <f>'Gas Water'!L130</f>
        <v>167</v>
      </c>
      <c r="J128" s="142">
        <v>12.93</v>
      </c>
      <c r="K128" s="5">
        <v>26</v>
      </c>
      <c r="L128" s="5">
        <v>47</v>
      </c>
    </row>
    <row r="129" spans="1:12" x14ac:dyDescent="0.25">
      <c r="A129" s="3" t="s">
        <v>74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42">
        <v>0.67</v>
      </c>
      <c r="G129" s="4">
        <f>'Gas Water'!M131</f>
        <v>1684</v>
      </c>
      <c r="H129" s="142">
        <v>1.77</v>
      </c>
      <c r="I129" s="2">
        <f>'Gas Water'!L131</f>
        <v>163</v>
      </c>
      <c r="J129" s="142">
        <v>12.93</v>
      </c>
      <c r="K129" s="5">
        <v>25</v>
      </c>
      <c r="L129" s="5">
        <v>46</v>
      </c>
    </row>
    <row r="130" spans="1:12" x14ac:dyDescent="0.25">
      <c r="A130" s="3" t="s">
        <v>74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42">
        <v>0.67</v>
      </c>
      <c r="G130" s="4">
        <f>'Gas Water'!M132</f>
        <v>1989</v>
      </c>
      <c r="H130" s="142">
        <v>1.77</v>
      </c>
      <c r="I130" s="2">
        <f>'Gas Water'!L132</f>
        <v>61</v>
      </c>
      <c r="J130" s="142">
        <v>12.93</v>
      </c>
      <c r="K130" s="5">
        <v>26</v>
      </c>
      <c r="L130" s="5">
        <v>49</v>
      </c>
    </row>
    <row r="131" spans="1:12" x14ac:dyDescent="0.25">
      <c r="A131" s="3" t="s">
        <v>74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42">
        <v>0.67</v>
      </c>
      <c r="G131" s="4">
        <f>'Gas Water'!M133</f>
        <v>1868</v>
      </c>
      <c r="H131" s="142">
        <v>1.77</v>
      </c>
      <c r="I131" s="2">
        <f>'Gas Water'!L133</f>
        <v>182</v>
      </c>
      <c r="J131" s="142">
        <v>12.93</v>
      </c>
      <c r="K131" s="5">
        <v>30</v>
      </c>
      <c r="L131" s="5">
        <v>55</v>
      </c>
    </row>
    <row r="132" spans="1:12" x14ac:dyDescent="0.25">
      <c r="A132" s="3" t="s">
        <v>74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42">
        <v>0.67</v>
      </c>
      <c r="G132" s="4">
        <f>'Gas Water'!M134</f>
        <v>1876</v>
      </c>
      <c r="H132" s="142">
        <v>1.77</v>
      </c>
      <c r="I132" s="2">
        <f>'Gas Water'!L134</f>
        <v>129</v>
      </c>
      <c r="J132" s="142">
        <v>12.93</v>
      </c>
      <c r="K132" s="5">
        <v>24</v>
      </c>
      <c r="L132" s="5">
        <v>42</v>
      </c>
    </row>
    <row r="133" spans="1:12" x14ac:dyDescent="0.25">
      <c r="A133" s="3" t="s">
        <v>74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42">
        <v>0.67</v>
      </c>
      <c r="G133" s="4">
        <f>'Gas Water'!M135</f>
        <v>1696</v>
      </c>
      <c r="H133" s="142">
        <v>1.77</v>
      </c>
      <c r="I133" s="2">
        <f>'Gas Water'!L135</f>
        <v>153</v>
      </c>
      <c r="J133" s="142">
        <v>12.93</v>
      </c>
      <c r="K133" s="5">
        <v>21</v>
      </c>
      <c r="L133" s="5">
        <v>39</v>
      </c>
    </row>
    <row r="134" spans="1:12" x14ac:dyDescent="0.25">
      <c r="A134" s="3" t="s">
        <v>74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42">
        <v>0.67</v>
      </c>
      <c r="G134" s="4">
        <f>'Gas Water'!M136</f>
        <v>1558</v>
      </c>
      <c r="H134" s="142">
        <v>1.77</v>
      </c>
      <c r="I134" s="2">
        <f>'Gas Water'!L136</f>
        <v>119</v>
      </c>
      <c r="J134" s="142">
        <v>12.93</v>
      </c>
      <c r="K134" s="5">
        <v>22</v>
      </c>
      <c r="L134" s="5">
        <v>46</v>
      </c>
    </row>
    <row r="135" spans="1:12" x14ac:dyDescent="0.25">
      <c r="A135" s="3" t="s">
        <v>74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42">
        <v>0.67</v>
      </c>
      <c r="G135" s="4">
        <f>'Gas Water'!M137</f>
        <v>1491</v>
      </c>
      <c r="H135" s="142">
        <v>1.77</v>
      </c>
      <c r="I135" s="2">
        <f>'Gas Water'!L137</f>
        <v>151</v>
      </c>
      <c r="J135" s="142">
        <v>12.93</v>
      </c>
      <c r="K135" s="5">
        <v>31</v>
      </c>
      <c r="L135" s="5">
        <v>58</v>
      </c>
    </row>
    <row r="136" spans="1:12" x14ac:dyDescent="0.25">
      <c r="A136" s="3" t="s">
        <v>74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42">
        <v>0.67</v>
      </c>
      <c r="G136" s="4">
        <f>'Gas Water'!M138</f>
        <v>1324</v>
      </c>
      <c r="H136" s="142">
        <v>1.77</v>
      </c>
      <c r="I136" s="2">
        <f>'Gas Water'!L138</f>
        <v>135</v>
      </c>
      <c r="J136" s="142">
        <v>12.93</v>
      </c>
      <c r="K136" s="5">
        <v>29</v>
      </c>
      <c r="L136" s="5">
        <v>52</v>
      </c>
    </row>
    <row r="137" spans="1:12" x14ac:dyDescent="0.25">
      <c r="A137" s="3" t="s">
        <v>74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42">
        <v>0.67</v>
      </c>
      <c r="G137" s="4">
        <f>'Gas Water'!M139</f>
        <v>1519</v>
      </c>
      <c r="H137" s="142">
        <v>1.77</v>
      </c>
      <c r="I137" s="2">
        <f>'Gas Water'!L139</f>
        <v>153</v>
      </c>
      <c r="J137" s="142">
        <v>12.93</v>
      </c>
      <c r="K137" s="5">
        <v>37</v>
      </c>
      <c r="L137" s="5">
        <v>62</v>
      </c>
    </row>
    <row r="138" spans="1:12" x14ac:dyDescent="0.25">
      <c r="A138" s="3" t="s">
        <v>74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42">
        <v>0.67</v>
      </c>
      <c r="G138" s="4">
        <f>'Gas Water'!M140</f>
        <v>1512</v>
      </c>
      <c r="H138" s="142">
        <v>1.77</v>
      </c>
      <c r="I138" s="2">
        <f>'Gas Water'!L140</f>
        <v>139</v>
      </c>
      <c r="J138" s="142">
        <v>12.93</v>
      </c>
      <c r="K138" s="5">
        <v>56</v>
      </c>
      <c r="L138" s="5">
        <v>90</v>
      </c>
    </row>
    <row r="139" spans="1:12" x14ac:dyDescent="0.25">
      <c r="A139" s="3" t="s">
        <v>74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42">
        <v>0.67</v>
      </c>
      <c r="G139" s="4">
        <f>'Gas Water'!M141</f>
        <v>1612</v>
      </c>
      <c r="H139" s="142">
        <v>1.77</v>
      </c>
      <c r="I139" s="2">
        <f>'Gas Water'!L141</f>
        <v>132</v>
      </c>
      <c r="J139" s="142">
        <v>12.93</v>
      </c>
      <c r="K139" s="5">
        <v>81</v>
      </c>
      <c r="L139" s="5">
        <v>129</v>
      </c>
    </row>
    <row r="140" spans="1:12" x14ac:dyDescent="0.25">
      <c r="A140" s="3" t="s">
        <v>74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42">
        <v>0.67</v>
      </c>
      <c r="G140" s="4">
        <f>'Gas Water'!M142</f>
        <v>1483</v>
      </c>
      <c r="H140" s="142">
        <v>1.77</v>
      </c>
      <c r="I140" s="2">
        <f>'Gas Water'!L142</f>
        <v>146</v>
      </c>
      <c r="J140" s="142">
        <v>12.93</v>
      </c>
      <c r="K140" s="5">
        <v>77</v>
      </c>
      <c r="L140" s="5">
        <v>129</v>
      </c>
    </row>
    <row r="141" spans="1:12" x14ac:dyDescent="0.25">
      <c r="A141" s="3" t="s">
        <v>74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42">
        <v>0.67</v>
      </c>
      <c r="G141" s="4">
        <f>'Gas Water'!M143</f>
        <v>1470</v>
      </c>
      <c r="H141" s="142">
        <v>1.77</v>
      </c>
      <c r="I141" s="2">
        <f>'Gas Water'!L143</f>
        <v>147</v>
      </c>
      <c r="J141" s="142">
        <v>12.93</v>
      </c>
      <c r="K141" s="5">
        <v>70</v>
      </c>
      <c r="L141" s="5">
        <v>122</v>
      </c>
    </row>
    <row r="142" spans="1:12" x14ac:dyDescent="0.25">
      <c r="A142" s="3" t="s">
        <v>74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42">
        <v>0.67</v>
      </c>
      <c r="G142" s="4">
        <f>'Gas Water'!M144</f>
        <v>2037</v>
      </c>
      <c r="H142" s="142">
        <v>1.77</v>
      </c>
      <c r="I142" s="2">
        <f>'Gas Water'!L144</f>
        <v>141</v>
      </c>
      <c r="J142" s="142">
        <v>12.93</v>
      </c>
      <c r="K142" s="5">
        <v>87</v>
      </c>
      <c r="L142" s="5">
        <v>160</v>
      </c>
    </row>
    <row r="143" spans="1:12" x14ac:dyDescent="0.25">
      <c r="A143" s="3" t="s">
        <v>74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42">
        <v>0.67</v>
      </c>
      <c r="G143" s="4">
        <f>'Gas Water'!M145</f>
        <v>1745</v>
      </c>
      <c r="H143" s="142">
        <v>1.77</v>
      </c>
      <c r="I143" s="2">
        <f>'Gas Water'!L145</f>
        <v>144</v>
      </c>
      <c r="J143" s="142">
        <v>12.93</v>
      </c>
      <c r="K143" s="5">
        <v>83</v>
      </c>
      <c r="L143" s="5">
        <v>153</v>
      </c>
    </row>
    <row r="144" spans="1:12" x14ac:dyDescent="0.25">
      <c r="A144" s="3" t="s">
        <v>74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42">
        <v>0.67</v>
      </c>
      <c r="G144" s="4">
        <f>'Gas Water'!M146</f>
        <v>1580</v>
      </c>
      <c r="H144" s="142">
        <v>1.77</v>
      </c>
      <c r="I144" s="2">
        <f>'Gas Water'!L146</f>
        <v>119</v>
      </c>
      <c r="J144" s="142">
        <v>12.93</v>
      </c>
      <c r="K144" s="5">
        <v>85</v>
      </c>
      <c r="L144" s="5">
        <v>152</v>
      </c>
    </row>
    <row r="145" spans="1:12" x14ac:dyDescent="0.25">
      <c r="A145" s="3" t="s">
        <v>74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42">
        <v>0.67</v>
      </c>
      <c r="G145" s="4">
        <f>'Gas Water'!M147</f>
        <v>1472</v>
      </c>
      <c r="H145" s="142">
        <v>1.77</v>
      </c>
      <c r="I145" s="2">
        <f>'Gas Water'!L147</f>
        <v>185</v>
      </c>
      <c r="J145" s="142">
        <v>12.93</v>
      </c>
      <c r="K145" s="5">
        <v>91</v>
      </c>
      <c r="L145" s="5">
        <v>162</v>
      </c>
    </row>
    <row r="146" spans="1:12" x14ac:dyDescent="0.25">
      <c r="A146" s="3" t="s">
        <v>74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42">
        <v>0.67</v>
      </c>
      <c r="G146" s="4">
        <f>'Gas Water'!M148</f>
        <v>1469</v>
      </c>
      <c r="H146" s="142">
        <v>1.77</v>
      </c>
      <c r="I146" s="2">
        <f>'Gas Water'!L148</f>
        <v>208</v>
      </c>
      <c r="J146" s="142">
        <v>12.93</v>
      </c>
      <c r="K146" s="5">
        <v>99</v>
      </c>
      <c r="L146" s="5">
        <v>178</v>
      </c>
    </row>
    <row r="147" spans="1:12" x14ac:dyDescent="0.25">
      <c r="A147" s="3" t="s">
        <v>74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42">
        <v>0.67</v>
      </c>
      <c r="G147" s="4">
        <f>'Gas Water'!M149</f>
        <v>1777</v>
      </c>
      <c r="H147" s="142">
        <v>1.77</v>
      </c>
      <c r="I147" s="2">
        <f>'Gas Water'!L149</f>
        <v>190</v>
      </c>
      <c r="J147" s="142">
        <v>12.93</v>
      </c>
      <c r="K147" s="5">
        <v>118</v>
      </c>
      <c r="L147" s="5">
        <v>187</v>
      </c>
    </row>
    <row r="148" spans="1:12" x14ac:dyDescent="0.25">
      <c r="A148" s="3" t="s">
        <v>74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42">
        <v>0.67</v>
      </c>
      <c r="G148" s="4">
        <f>'Gas Water'!M150</f>
        <v>1565</v>
      </c>
      <c r="H148" s="142">
        <v>1.77</v>
      </c>
      <c r="I148" s="2">
        <f>'Gas Water'!L150</f>
        <v>134</v>
      </c>
      <c r="J148" s="142">
        <v>12.93</v>
      </c>
      <c r="K148" s="5">
        <v>139</v>
      </c>
      <c r="L148" s="5">
        <v>224</v>
      </c>
    </row>
    <row r="149" spans="1:12" x14ac:dyDescent="0.25">
      <c r="A149" s="3" t="s">
        <v>74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42">
        <v>0.67</v>
      </c>
      <c r="G149" s="4">
        <f>'Gas Water'!M151</f>
        <v>1774</v>
      </c>
      <c r="H149" s="142">
        <v>1.77</v>
      </c>
      <c r="I149" s="2">
        <f>'Gas Water'!L151</f>
        <v>154</v>
      </c>
      <c r="J149" s="142">
        <v>12.93</v>
      </c>
      <c r="K149" s="5">
        <v>119</v>
      </c>
      <c r="L149" s="5">
        <v>207</v>
      </c>
    </row>
    <row r="150" spans="1:12" x14ac:dyDescent="0.25">
      <c r="A150" s="3" t="s">
        <v>74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42">
        <v>0.67</v>
      </c>
      <c r="G150" s="4">
        <f>'Gas Water'!M152</f>
        <v>2103</v>
      </c>
      <c r="H150" s="142">
        <v>1.77</v>
      </c>
      <c r="I150" s="2">
        <f>'Gas Water'!L152</f>
        <v>143</v>
      </c>
      <c r="J150" s="142">
        <v>12.93</v>
      </c>
      <c r="K150" s="5">
        <v>102</v>
      </c>
      <c r="L150" s="5">
        <v>196</v>
      </c>
    </row>
    <row r="151" spans="1:12" x14ac:dyDescent="0.25">
      <c r="A151" s="3" t="s">
        <v>74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42">
        <v>0.67</v>
      </c>
      <c r="G151" s="4">
        <f>'Gas Water'!M153</f>
        <v>1923</v>
      </c>
      <c r="H151" s="142">
        <v>1.77</v>
      </c>
      <c r="I151" s="2">
        <f>'Gas Water'!L153</f>
        <v>171</v>
      </c>
      <c r="J151" s="142">
        <v>12.93</v>
      </c>
      <c r="K151" s="5">
        <v>102</v>
      </c>
      <c r="L151" s="5">
        <v>169</v>
      </c>
    </row>
    <row r="152" spans="1:12" x14ac:dyDescent="0.25">
      <c r="A152" s="3" t="s">
        <v>74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42">
        <v>0.67</v>
      </c>
      <c r="G152" s="4">
        <f>'Gas Water'!M154</f>
        <v>2072</v>
      </c>
      <c r="H152" s="142">
        <v>1.77</v>
      </c>
      <c r="I152" s="2">
        <f>'Gas Water'!L154</f>
        <v>220</v>
      </c>
      <c r="J152" s="142">
        <v>12.93</v>
      </c>
      <c r="K152" s="5">
        <v>97</v>
      </c>
      <c r="L152" s="5">
        <v>165</v>
      </c>
    </row>
    <row r="153" spans="1:12" x14ac:dyDescent="0.25">
      <c r="A153" s="3" t="s">
        <v>74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42">
        <v>0.75</v>
      </c>
      <c r="G153" s="4">
        <f>'Gas Water'!M155</f>
        <v>1816</v>
      </c>
      <c r="H153" s="142">
        <v>1.85</v>
      </c>
      <c r="I153" s="2">
        <f>'Gas Water'!L155</f>
        <v>137</v>
      </c>
      <c r="J153" s="142">
        <v>12.93</v>
      </c>
      <c r="K153" s="5">
        <v>96</v>
      </c>
      <c r="L153" s="5">
        <v>172</v>
      </c>
    </row>
    <row r="154" spans="1:12" x14ac:dyDescent="0.25">
      <c r="A154" s="3" t="s">
        <v>74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42">
        <v>0.75</v>
      </c>
      <c r="G154" s="4">
        <f>'Gas Water'!M156</f>
        <v>1894</v>
      </c>
      <c r="H154" s="142">
        <v>1.85</v>
      </c>
      <c r="I154" s="2">
        <f>'Gas Water'!L156</f>
        <v>169</v>
      </c>
      <c r="J154" s="142">
        <v>12.93</v>
      </c>
      <c r="K154" s="5">
        <v>102</v>
      </c>
      <c r="L154" s="5">
        <v>186</v>
      </c>
    </row>
    <row r="155" spans="1:12" x14ac:dyDescent="0.25">
      <c r="A155" s="3" t="s">
        <v>74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42">
        <v>0.75</v>
      </c>
      <c r="G155" s="4">
        <f>'Gas Water'!M157</f>
        <v>2090</v>
      </c>
      <c r="H155" s="142">
        <v>1.85</v>
      </c>
      <c r="I155" s="2">
        <f>'Gas Water'!L157</f>
        <v>161</v>
      </c>
      <c r="J155" s="142">
        <v>12.93</v>
      </c>
      <c r="K155" s="5">
        <v>115</v>
      </c>
      <c r="L155" s="5">
        <v>205</v>
      </c>
    </row>
    <row r="156" spans="1:12" x14ac:dyDescent="0.25">
      <c r="A156" s="3" t="s">
        <v>74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42">
        <v>0.75</v>
      </c>
      <c r="G156" s="4">
        <f>'Gas Water'!M158</f>
        <v>1843</v>
      </c>
      <c r="H156" s="142">
        <v>1.85</v>
      </c>
      <c r="I156" s="2">
        <f>'Gas Water'!L158</f>
        <v>218</v>
      </c>
      <c r="J156" s="142">
        <v>12.93</v>
      </c>
      <c r="K156" s="5">
        <v>108</v>
      </c>
      <c r="L156" s="5">
        <v>193</v>
      </c>
    </row>
    <row r="157" spans="1:12" x14ac:dyDescent="0.25">
      <c r="A157" s="3" t="s">
        <v>74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42">
        <v>0.75</v>
      </c>
      <c r="G157" s="4">
        <f>'Gas Water'!M159</f>
        <v>1664</v>
      </c>
      <c r="H157" s="142">
        <v>1.85</v>
      </c>
      <c r="I157" s="2">
        <f>'Gas Water'!L159</f>
        <v>127</v>
      </c>
      <c r="J157" s="142">
        <v>12.93</v>
      </c>
      <c r="K157" s="5">
        <v>109</v>
      </c>
      <c r="L157" s="5">
        <v>204</v>
      </c>
    </row>
    <row r="158" spans="1:12" x14ac:dyDescent="0.25">
      <c r="A158" s="3" t="s">
        <v>74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42">
        <v>0.75</v>
      </c>
      <c r="G158" s="4">
        <f>'Gas Water'!M160</f>
        <v>1481</v>
      </c>
      <c r="H158" s="142">
        <v>1.85</v>
      </c>
      <c r="I158" s="2">
        <f>'Gas Water'!L160</f>
        <v>154</v>
      </c>
      <c r="J158" s="142">
        <v>12.93</v>
      </c>
      <c r="K158" s="5">
        <v>104</v>
      </c>
      <c r="L158" s="5">
        <v>191</v>
      </c>
    </row>
    <row r="159" spans="1:12" x14ac:dyDescent="0.25">
      <c r="A159" s="3" t="s">
        <v>74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42">
        <v>0.75</v>
      </c>
      <c r="G159" s="4">
        <f>'Gas Water'!M161</f>
        <v>1578</v>
      </c>
      <c r="H159" s="142">
        <v>1.85</v>
      </c>
      <c r="I159" s="2">
        <f>'Gas Water'!L161</f>
        <v>162</v>
      </c>
      <c r="J159" s="142">
        <v>12.93</v>
      </c>
      <c r="K159" s="5">
        <v>95</v>
      </c>
      <c r="L159" s="5">
        <v>168</v>
      </c>
    </row>
    <row r="160" spans="1:12" x14ac:dyDescent="0.25">
      <c r="A160" s="3" t="s">
        <v>74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42">
        <v>0.75</v>
      </c>
      <c r="G160" s="4">
        <f>'Gas Water'!M162</f>
        <v>996</v>
      </c>
      <c r="H160" s="142">
        <v>1.85</v>
      </c>
      <c r="I160" s="2">
        <f>'Gas Water'!L162</f>
        <v>185</v>
      </c>
      <c r="J160" s="142">
        <v>12.93</v>
      </c>
      <c r="K160" s="5">
        <v>97</v>
      </c>
      <c r="L160" s="5">
        <v>181</v>
      </c>
    </row>
    <row r="161" spans="1:12" x14ac:dyDescent="0.25">
      <c r="A161" s="3" t="s">
        <v>74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42">
        <v>0.75</v>
      </c>
      <c r="G161" s="4">
        <f>'Gas Water'!M163</f>
        <v>1611</v>
      </c>
      <c r="H161" s="142">
        <v>1.85</v>
      </c>
      <c r="I161" s="2">
        <f>'Gas Water'!L163</f>
        <v>229</v>
      </c>
      <c r="J161" s="142">
        <v>12.93</v>
      </c>
      <c r="K161" s="5">
        <v>104</v>
      </c>
      <c r="L161" s="5">
        <v>198</v>
      </c>
    </row>
    <row r="162" spans="1:12" x14ac:dyDescent="0.25">
      <c r="A162" s="3" t="s">
        <v>74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42">
        <v>0.75</v>
      </c>
      <c r="G162" s="4">
        <f>'Gas Water'!M164</f>
        <v>1798</v>
      </c>
      <c r="H162" s="142">
        <v>1.85</v>
      </c>
      <c r="I162" s="2">
        <f>'Gas Water'!L164</f>
        <v>275</v>
      </c>
      <c r="J162" s="142">
        <v>12.93</v>
      </c>
      <c r="K162" s="5">
        <v>113</v>
      </c>
      <c r="L162" s="5">
        <v>215</v>
      </c>
    </row>
    <row r="163" spans="1:12" x14ac:dyDescent="0.25">
      <c r="A163" s="3" t="s">
        <v>74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42">
        <v>0.75</v>
      </c>
      <c r="G163" s="4">
        <f>'Gas Water'!M165</f>
        <v>1793</v>
      </c>
      <c r="H163" s="142">
        <v>1.85</v>
      </c>
      <c r="I163" s="2">
        <f>'Gas Water'!L165</f>
        <v>236</v>
      </c>
      <c r="J163" s="142">
        <v>12.93</v>
      </c>
      <c r="K163" s="5">
        <v>118</v>
      </c>
      <c r="L163" s="5">
        <v>220</v>
      </c>
    </row>
    <row r="164" spans="1:12" x14ac:dyDescent="0.25">
      <c r="A164" s="3" t="s">
        <v>74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42">
        <v>0.75</v>
      </c>
      <c r="G164" s="4">
        <f>'Gas Water'!M166</f>
        <v>2190</v>
      </c>
      <c r="H164" s="142">
        <v>1.85</v>
      </c>
      <c r="I164" s="2">
        <f>'Gas Water'!L166</f>
        <v>215</v>
      </c>
      <c r="J164" s="142">
        <v>12.93</v>
      </c>
      <c r="K164" s="5">
        <v>117</v>
      </c>
      <c r="L164" s="5">
        <v>218</v>
      </c>
    </row>
    <row r="165" spans="1:12" x14ac:dyDescent="0.25">
      <c r="A165" s="3" t="s">
        <v>74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42">
        <v>0.75</v>
      </c>
      <c r="G165" s="4">
        <f>'Gas Water'!M167</f>
        <v>1995</v>
      </c>
      <c r="H165" s="142">
        <v>1.85</v>
      </c>
      <c r="I165" s="2">
        <f>'Gas Water'!L167</f>
        <v>209</v>
      </c>
      <c r="J165" s="142">
        <v>12.93</v>
      </c>
      <c r="K165" s="5">
        <v>91</v>
      </c>
      <c r="L165" s="5">
        <v>164</v>
      </c>
    </row>
    <row r="166" spans="1:12" x14ac:dyDescent="0.25">
      <c r="A166" s="3" t="s">
        <v>74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42">
        <v>0.75</v>
      </c>
      <c r="G166" s="4">
        <f>'Gas Water'!M168</f>
        <v>1986</v>
      </c>
      <c r="H166" s="142">
        <v>1.85</v>
      </c>
      <c r="I166" s="2">
        <f>'Gas Water'!L168</f>
        <v>185</v>
      </c>
      <c r="J166" s="142">
        <v>12.93</v>
      </c>
      <c r="K166" s="5">
        <v>87</v>
      </c>
      <c r="L166" s="5">
        <v>158</v>
      </c>
    </row>
    <row r="167" spans="1:12" x14ac:dyDescent="0.25">
      <c r="A167" s="3" t="s">
        <v>74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42">
        <v>0.75</v>
      </c>
      <c r="G167" s="4">
        <f>'Gas Water'!M169</f>
        <v>2127</v>
      </c>
      <c r="H167" s="142">
        <v>1.85</v>
      </c>
      <c r="I167" s="2">
        <f>'Gas Water'!L169</f>
        <v>156</v>
      </c>
      <c r="J167" s="142">
        <v>12.93</v>
      </c>
      <c r="K167" s="5">
        <v>87</v>
      </c>
      <c r="L167" s="5">
        <v>161</v>
      </c>
    </row>
    <row r="168" spans="1:12" x14ac:dyDescent="0.25">
      <c r="A168" s="3" t="s">
        <v>74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42">
        <v>0.75</v>
      </c>
      <c r="G168" s="4">
        <f>'Gas Water'!M170</f>
        <v>1552</v>
      </c>
      <c r="H168" s="142">
        <v>1.85</v>
      </c>
      <c r="I168" s="2">
        <f>'Gas Water'!L170</f>
        <v>144</v>
      </c>
      <c r="J168" s="142">
        <v>12.93</v>
      </c>
      <c r="K168" s="5">
        <v>91</v>
      </c>
      <c r="L168" s="5">
        <v>165</v>
      </c>
    </row>
    <row r="169" spans="1:12" x14ac:dyDescent="0.25">
      <c r="A169" s="3" t="s">
        <v>74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42">
        <v>0.75</v>
      </c>
      <c r="G169" s="4">
        <f>'Gas Water'!M171</f>
        <v>1556</v>
      </c>
      <c r="H169" s="142">
        <v>1.85</v>
      </c>
      <c r="I169" s="2">
        <f>'Gas Water'!L171</f>
        <v>184</v>
      </c>
      <c r="J169" s="142">
        <v>12.93</v>
      </c>
      <c r="K169" s="5">
        <v>101</v>
      </c>
      <c r="L169" s="5">
        <v>194</v>
      </c>
    </row>
    <row r="170" spans="1:12" x14ac:dyDescent="0.25">
      <c r="A170" s="3" t="s">
        <v>74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42">
        <v>0.75</v>
      </c>
      <c r="G170" s="4">
        <f>'Gas Water'!M172</f>
        <v>1841</v>
      </c>
      <c r="H170" s="142">
        <v>1.85</v>
      </c>
      <c r="I170" s="2">
        <f>'Gas Water'!L172</f>
        <v>148</v>
      </c>
      <c r="J170" s="142">
        <v>12.93</v>
      </c>
      <c r="K170" s="5">
        <v>100</v>
      </c>
      <c r="L170" s="5">
        <v>197</v>
      </c>
    </row>
    <row r="171" spans="1:12" x14ac:dyDescent="0.25">
      <c r="A171" s="3" t="s">
        <v>74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42">
        <v>0.75</v>
      </c>
      <c r="G171" s="4">
        <f>'Gas Water'!M173</f>
        <v>1706</v>
      </c>
      <c r="H171" s="142">
        <v>1.85</v>
      </c>
      <c r="I171" s="2">
        <f>'Gas Water'!L173</f>
        <v>170</v>
      </c>
      <c r="J171" s="142">
        <v>12.93</v>
      </c>
      <c r="K171" s="5">
        <v>104</v>
      </c>
      <c r="L171" s="5">
        <v>204</v>
      </c>
    </row>
    <row r="172" spans="1:12" x14ac:dyDescent="0.25">
      <c r="A172" s="3" t="s">
        <v>74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42">
        <v>0.75</v>
      </c>
      <c r="G172" s="4">
        <f>'Gas Water'!M174</f>
        <v>2361</v>
      </c>
      <c r="H172" s="142">
        <v>1.85</v>
      </c>
      <c r="I172" s="2">
        <f>'Gas Water'!L174</f>
        <v>170</v>
      </c>
      <c r="J172" s="142">
        <v>12.93</v>
      </c>
      <c r="K172" s="5">
        <v>111</v>
      </c>
      <c r="L172" s="5">
        <v>223</v>
      </c>
    </row>
    <row r="173" spans="1:12" x14ac:dyDescent="0.25">
      <c r="A173" s="3" t="s">
        <v>74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42">
        <v>0.75</v>
      </c>
      <c r="G173" s="4">
        <f>'Gas Water'!M175</f>
        <v>2032</v>
      </c>
      <c r="H173" s="142">
        <v>1.85</v>
      </c>
      <c r="I173" s="2">
        <f>'Gas Water'!L175</f>
        <v>194</v>
      </c>
      <c r="J173" s="142">
        <v>12.93</v>
      </c>
      <c r="K173" s="5">
        <v>111</v>
      </c>
      <c r="L173" s="5">
        <v>212</v>
      </c>
    </row>
    <row r="174" spans="1:12" x14ac:dyDescent="0.25">
      <c r="A174" s="3" t="s">
        <v>74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42">
        <v>0.75</v>
      </c>
      <c r="G174" s="4">
        <f>'Gas Water'!M176</f>
        <v>1637</v>
      </c>
      <c r="H174" s="142">
        <v>1.85</v>
      </c>
      <c r="I174" s="2">
        <f>'Gas Water'!L176</f>
        <v>213</v>
      </c>
      <c r="J174" s="142">
        <v>12.93</v>
      </c>
      <c r="K174" s="5">
        <v>98</v>
      </c>
      <c r="L174" s="5">
        <v>188</v>
      </c>
    </row>
    <row r="175" spans="1:12" x14ac:dyDescent="0.25">
      <c r="A175" s="3" t="s">
        <v>74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42">
        <v>0.75</v>
      </c>
      <c r="G175" s="4">
        <f>'Gas Water'!M177</f>
        <v>1867</v>
      </c>
      <c r="H175" s="142">
        <v>1.85</v>
      </c>
      <c r="I175" s="2">
        <f>'Gas Water'!L177</f>
        <v>228</v>
      </c>
      <c r="J175" s="142">
        <v>12.93</v>
      </c>
      <c r="K175" s="5">
        <v>113</v>
      </c>
      <c r="L175" s="5">
        <v>205</v>
      </c>
    </row>
    <row r="176" spans="1:12" x14ac:dyDescent="0.25">
      <c r="A176" s="3" t="s">
        <v>74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42">
        <v>0.75</v>
      </c>
      <c r="G176" s="4">
        <f>'Gas Water'!M178</f>
        <v>1675</v>
      </c>
      <c r="H176" s="142">
        <v>1.85</v>
      </c>
      <c r="I176" s="2">
        <f>'Gas Water'!L178</f>
        <v>209</v>
      </c>
      <c r="J176" s="142">
        <v>12.93</v>
      </c>
      <c r="K176" s="5">
        <v>134</v>
      </c>
      <c r="L176" s="5">
        <v>246</v>
      </c>
    </row>
    <row r="177" spans="1:12" x14ac:dyDescent="0.25">
      <c r="A177" s="3" t="s">
        <v>74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42">
        <v>0.75</v>
      </c>
      <c r="G177" s="4">
        <f>'Gas Water'!M179</f>
        <v>1418</v>
      </c>
      <c r="H177" s="142">
        <v>1.85</v>
      </c>
      <c r="I177" s="2">
        <f>'Gas Water'!L179</f>
        <v>204</v>
      </c>
      <c r="J177" s="142">
        <v>12.93</v>
      </c>
      <c r="K177" s="5">
        <v>146</v>
      </c>
      <c r="L177" s="5">
        <v>276</v>
      </c>
    </row>
    <row r="178" spans="1:12" x14ac:dyDescent="0.25">
      <c r="A178" s="3" t="s">
        <v>74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42">
        <v>0.75</v>
      </c>
      <c r="G178" s="4">
        <f>'Gas Water'!M180</f>
        <v>1523</v>
      </c>
      <c r="H178" s="142">
        <v>1.85</v>
      </c>
      <c r="I178" s="2">
        <f>'Gas Water'!L180</f>
        <v>217</v>
      </c>
      <c r="J178" s="142">
        <v>12.93</v>
      </c>
      <c r="K178" s="5">
        <v>142</v>
      </c>
      <c r="L178" s="5">
        <v>271</v>
      </c>
    </row>
    <row r="179" spans="1:12" x14ac:dyDescent="0.25">
      <c r="A179" s="3" t="s">
        <v>74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42">
        <v>0.75</v>
      </c>
      <c r="G179" s="4">
        <f>'Gas Water'!M181</f>
        <v>1426</v>
      </c>
      <c r="H179" s="142">
        <v>1.85</v>
      </c>
      <c r="I179" s="2">
        <f>'Gas Water'!L181</f>
        <v>242</v>
      </c>
      <c r="J179" s="142">
        <v>12.93</v>
      </c>
      <c r="K179" s="5">
        <v>140</v>
      </c>
      <c r="L179" s="5">
        <v>255</v>
      </c>
    </row>
    <row r="180" spans="1:12" x14ac:dyDescent="0.25">
      <c r="A180" s="3" t="s">
        <v>74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42">
        <v>0.75</v>
      </c>
      <c r="G180" s="4">
        <f>'Gas Water'!M182</f>
        <v>1283</v>
      </c>
      <c r="H180" s="142">
        <v>1.85</v>
      </c>
      <c r="I180" s="2">
        <f>'Gas Water'!L182</f>
        <v>235</v>
      </c>
      <c r="J180" s="142">
        <v>12.93</v>
      </c>
      <c r="K180" s="5">
        <v>139</v>
      </c>
      <c r="L180" s="5">
        <v>261</v>
      </c>
    </row>
    <row r="181" spans="1:12" x14ac:dyDescent="0.25">
      <c r="A181" s="3" t="s">
        <v>74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42">
        <v>0.75</v>
      </c>
      <c r="G181" s="4">
        <f>'Gas Water'!M183</f>
        <v>1461</v>
      </c>
      <c r="H181" s="142">
        <v>1.85</v>
      </c>
      <c r="I181" s="2">
        <f>'Gas Water'!L183</f>
        <v>260</v>
      </c>
      <c r="J181" s="142">
        <v>12.93</v>
      </c>
      <c r="K181" s="5">
        <v>141</v>
      </c>
      <c r="L181" s="5">
        <v>253</v>
      </c>
    </row>
    <row r="182" spans="1:12" x14ac:dyDescent="0.25">
      <c r="A182" s="3" t="s">
        <v>74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42">
        <v>0.75</v>
      </c>
      <c r="G182" s="4">
        <f>'Gas Water'!M184</f>
        <v>1376</v>
      </c>
      <c r="H182" s="142">
        <v>1.85</v>
      </c>
      <c r="I182" s="2">
        <f>'Gas Water'!L184</f>
        <v>236</v>
      </c>
      <c r="J182" s="142">
        <v>12.93</v>
      </c>
      <c r="K182" s="5">
        <v>144</v>
      </c>
      <c r="L182" s="5">
        <v>268</v>
      </c>
    </row>
    <row r="183" spans="1:12" x14ac:dyDescent="0.25">
      <c r="A183" s="3" t="s">
        <v>74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42">
        <v>0.75</v>
      </c>
      <c r="G183" s="4">
        <f>'Gas Water'!M185</f>
        <v>1385</v>
      </c>
      <c r="H183" s="142">
        <v>1.85</v>
      </c>
      <c r="I183" s="2">
        <f>'Gas Water'!L185</f>
        <v>302</v>
      </c>
      <c r="J183" s="142">
        <v>12.93</v>
      </c>
      <c r="K183" s="5">
        <v>145</v>
      </c>
      <c r="L183" s="5">
        <v>275</v>
      </c>
    </row>
    <row r="184" spans="1:12" x14ac:dyDescent="0.25">
      <c r="A184" s="3" t="s">
        <v>74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42">
        <v>0.75</v>
      </c>
      <c r="G184" s="4">
        <f>'Gas Water'!M186</f>
        <v>1358</v>
      </c>
      <c r="H184" s="142">
        <v>1.85</v>
      </c>
      <c r="I184" s="2">
        <f>'Gas Water'!L186</f>
        <v>272</v>
      </c>
      <c r="J184" s="142">
        <v>12.93</v>
      </c>
      <c r="K184" s="5">
        <v>129</v>
      </c>
      <c r="L184" s="5">
        <v>248</v>
      </c>
    </row>
    <row r="185" spans="1:12" x14ac:dyDescent="0.25">
      <c r="A185" s="3" t="s">
        <v>74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42">
        <v>0.75</v>
      </c>
      <c r="G185" s="4">
        <f>'Gas Water'!M187</f>
        <v>1358</v>
      </c>
      <c r="H185" s="142">
        <v>1.85</v>
      </c>
      <c r="I185" s="2">
        <f>'Gas Water'!L187</f>
        <v>257</v>
      </c>
      <c r="J185" s="142">
        <v>12.93</v>
      </c>
      <c r="K185" s="5">
        <v>137</v>
      </c>
      <c r="L185" s="5">
        <v>272</v>
      </c>
    </row>
    <row r="186" spans="1:12" x14ac:dyDescent="0.25">
      <c r="A186" s="3" t="s">
        <v>74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42">
        <v>0.75</v>
      </c>
      <c r="G186" s="4">
        <f>'Gas Water'!M188</f>
        <v>1460</v>
      </c>
      <c r="H186" s="142">
        <v>1.85</v>
      </c>
      <c r="I186" s="2">
        <f>'Gas Water'!L188</f>
        <v>277</v>
      </c>
      <c r="J186" s="142">
        <v>12.93</v>
      </c>
      <c r="K186" s="5">
        <v>124</v>
      </c>
      <c r="L186" s="5">
        <v>245</v>
      </c>
    </row>
    <row r="187" spans="1:12" x14ac:dyDescent="0.25">
      <c r="A187" s="3" t="s">
        <v>74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42">
        <v>0.75</v>
      </c>
      <c r="G187" s="4">
        <f>'Gas Water'!M189</f>
        <v>1460</v>
      </c>
      <c r="H187" s="142">
        <v>1.85</v>
      </c>
      <c r="I187" s="2">
        <f>'Gas Water'!L189</f>
        <v>343</v>
      </c>
      <c r="J187" s="142">
        <v>12.93</v>
      </c>
      <c r="K187" s="5">
        <v>130</v>
      </c>
      <c r="L187" s="5">
        <v>246</v>
      </c>
    </row>
    <row r="188" spans="1:12" x14ac:dyDescent="0.25">
      <c r="A188" s="3" t="s">
        <v>74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42">
        <v>0.75</v>
      </c>
      <c r="G188" s="4">
        <f>'Gas Water'!M190</f>
        <v>1400</v>
      </c>
      <c r="H188" s="142">
        <v>1.85</v>
      </c>
      <c r="I188" s="2">
        <f>'Gas Water'!L190</f>
        <v>237</v>
      </c>
      <c r="J188" s="142">
        <v>12.93</v>
      </c>
      <c r="K188" s="5">
        <v>125</v>
      </c>
      <c r="L188" s="5">
        <v>238</v>
      </c>
    </row>
    <row r="189" spans="1:12" x14ac:dyDescent="0.25">
      <c r="A189" s="3" t="s">
        <v>74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42">
        <v>0.75</v>
      </c>
      <c r="G189" s="4">
        <f>'Gas Water'!M191</f>
        <v>1315</v>
      </c>
      <c r="H189" s="142">
        <v>1.85</v>
      </c>
      <c r="I189" s="2">
        <f>'Gas Water'!L191</f>
        <v>241</v>
      </c>
      <c r="J189" s="142">
        <v>12.93</v>
      </c>
      <c r="K189" s="5">
        <v>143</v>
      </c>
      <c r="L189" s="5">
        <v>267</v>
      </c>
    </row>
    <row r="190" spans="1:12" x14ac:dyDescent="0.25">
      <c r="A190" s="3" t="s">
        <v>74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42">
        <v>0.75</v>
      </c>
      <c r="G190" s="4">
        <f>'Gas Water'!M192</f>
        <v>1356</v>
      </c>
      <c r="H190" s="142">
        <v>1.85</v>
      </c>
      <c r="I190" s="2">
        <f>'Gas Water'!L192</f>
        <v>228</v>
      </c>
      <c r="J190" s="142">
        <v>12.93</v>
      </c>
      <c r="K190" s="5">
        <v>154</v>
      </c>
      <c r="L190" s="5">
        <v>276</v>
      </c>
    </row>
    <row r="191" spans="1:12" x14ac:dyDescent="0.25">
      <c r="A191" s="3" t="s">
        <v>74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42">
        <v>0.75</v>
      </c>
      <c r="G191" s="4">
        <f>'Gas Water'!M193</f>
        <v>1409</v>
      </c>
      <c r="H191" s="142">
        <v>1.85</v>
      </c>
      <c r="I191" s="2">
        <f>'Gas Water'!L193</f>
        <v>276</v>
      </c>
      <c r="J191" s="142">
        <v>12.93</v>
      </c>
      <c r="K191" s="5">
        <v>153</v>
      </c>
      <c r="L191" s="5">
        <v>283</v>
      </c>
    </row>
    <row r="192" spans="1:12" x14ac:dyDescent="0.25">
      <c r="A192" s="3" t="s">
        <v>74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42">
        <v>0.75</v>
      </c>
      <c r="G192" s="4">
        <f>'Gas Water'!M194</f>
        <v>1445</v>
      </c>
      <c r="H192" s="142">
        <v>1.85</v>
      </c>
      <c r="I192" s="2">
        <f>'Gas Water'!L194</f>
        <v>254</v>
      </c>
      <c r="J192" s="142">
        <v>12.93</v>
      </c>
      <c r="K192" s="5">
        <v>153</v>
      </c>
      <c r="L192" s="5">
        <v>288</v>
      </c>
    </row>
    <row r="193" spans="1:12" x14ac:dyDescent="0.25">
      <c r="A193" s="3" t="s">
        <v>74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42">
        <v>0.75</v>
      </c>
      <c r="G193" s="4">
        <f>'Gas Water'!M195</f>
        <v>1452</v>
      </c>
      <c r="H193" s="142">
        <v>1.85</v>
      </c>
      <c r="I193" s="2">
        <f>'Gas Water'!L195</f>
        <v>356</v>
      </c>
      <c r="J193" s="142">
        <v>12.93</v>
      </c>
      <c r="K193" s="5">
        <v>126</v>
      </c>
      <c r="L193" s="5">
        <v>255</v>
      </c>
    </row>
    <row r="194" spans="1:12" x14ac:dyDescent="0.25">
      <c r="A194" s="3" t="s">
        <v>74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42">
        <v>0.75</v>
      </c>
      <c r="G194" s="4">
        <f>'Gas Water'!M196</f>
        <v>1344</v>
      </c>
      <c r="H194" s="142">
        <v>1.85</v>
      </c>
      <c r="I194" s="2">
        <f>'Gas Water'!L196</f>
        <v>272</v>
      </c>
      <c r="J194" s="142">
        <v>12.93</v>
      </c>
      <c r="K194" s="5">
        <v>135</v>
      </c>
      <c r="L194" s="5">
        <v>283</v>
      </c>
    </row>
    <row r="195" spans="1:12" x14ac:dyDescent="0.25">
      <c r="A195" s="3" t="s">
        <v>74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42">
        <v>0.75</v>
      </c>
      <c r="G195" s="4">
        <f>'Gas Water'!M197</f>
        <v>1341</v>
      </c>
      <c r="H195" s="142">
        <v>1.85</v>
      </c>
      <c r="I195" s="2">
        <f>'Gas Water'!L197</f>
        <v>321</v>
      </c>
      <c r="J195" s="142">
        <v>12.93</v>
      </c>
      <c r="K195" s="5">
        <v>149</v>
      </c>
      <c r="L195" s="5">
        <v>296</v>
      </c>
    </row>
    <row r="196" spans="1:12" x14ac:dyDescent="0.25">
      <c r="A196" s="3" t="s">
        <v>74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42">
        <v>0.75</v>
      </c>
      <c r="G196" s="4">
        <f>'Gas Water'!M198</f>
        <v>1303</v>
      </c>
      <c r="H196" s="142">
        <v>1.85</v>
      </c>
      <c r="I196" s="2">
        <f>'Gas Water'!L198</f>
        <v>300</v>
      </c>
      <c r="J196" s="142">
        <v>12.93</v>
      </c>
      <c r="K196" s="5">
        <v>140</v>
      </c>
      <c r="L196" s="5">
        <v>274</v>
      </c>
    </row>
    <row r="197" spans="1:12" x14ac:dyDescent="0.25">
      <c r="A197" s="3" t="s">
        <v>74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42">
        <v>0.75</v>
      </c>
      <c r="G197" s="4">
        <f>'Gas Water'!M199</f>
        <v>1357</v>
      </c>
      <c r="H197" s="142">
        <v>1.85</v>
      </c>
      <c r="I197" s="2">
        <f>'Gas Water'!L199</f>
        <v>332</v>
      </c>
      <c r="J197" s="142">
        <v>12.93</v>
      </c>
      <c r="K197" s="5">
        <v>142</v>
      </c>
      <c r="L197" s="5">
        <v>293</v>
      </c>
    </row>
    <row r="198" spans="1:12" x14ac:dyDescent="0.25">
      <c r="A198" s="3" t="s">
        <v>74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42">
        <v>0.75</v>
      </c>
      <c r="G198" s="4">
        <f>'Gas Water'!M200</f>
        <v>1288</v>
      </c>
      <c r="H198" s="142">
        <v>1.85</v>
      </c>
      <c r="I198" s="2">
        <f>'Gas Water'!L200</f>
        <v>300</v>
      </c>
      <c r="J198" s="142">
        <v>12.93</v>
      </c>
      <c r="K198" s="5">
        <v>137</v>
      </c>
      <c r="L198" s="5">
        <v>285</v>
      </c>
    </row>
    <row r="199" spans="1:12" x14ac:dyDescent="0.25">
      <c r="A199" s="3" t="s">
        <v>74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42">
        <v>0.75</v>
      </c>
      <c r="G199" s="4">
        <f>'Gas Water'!M201</f>
        <v>1269</v>
      </c>
      <c r="H199" s="142">
        <v>1.85</v>
      </c>
      <c r="I199" s="2">
        <f>'Gas Water'!L201</f>
        <v>375</v>
      </c>
      <c r="J199" s="142">
        <v>12.93</v>
      </c>
      <c r="K199" s="5">
        <v>156</v>
      </c>
      <c r="L199" s="5">
        <v>326</v>
      </c>
    </row>
    <row r="200" spans="1:12" x14ac:dyDescent="0.25">
      <c r="A200" s="3" t="s">
        <v>74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42">
        <v>0.75</v>
      </c>
      <c r="G200" s="4">
        <f>'Gas Water'!M202</f>
        <v>1274</v>
      </c>
      <c r="H200" s="142">
        <v>1.85</v>
      </c>
      <c r="I200" s="2">
        <f>'Gas Water'!L202</f>
        <v>242</v>
      </c>
      <c r="J200" s="142">
        <v>12.93</v>
      </c>
      <c r="K200" s="5">
        <v>143</v>
      </c>
      <c r="L200" s="5">
        <v>287</v>
      </c>
    </row>
    <row r="201" spans="1:12" x14ac:dyDescent="0.25">
      <c r="A201" s="3" t="s">
        <v>74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42">
        <v>0.75</v>
      </c>
      <c r="G201" s="4">
        <f>'Gas Water'!M203</f>
        <v>1187</v>
      </c>
      <c r="H201" s="142">
        <v>1.85</v>
      </c>
      <c r="I201" s="2">
        <f>'Gas Water'!L203</f>
        <v>250</v>
      </c>
      <c r="J201" s="142">
        <v>12.93</v>
      </c>
      <c r="K201" s="5">
        <v>130</v>
      </c>
      <c r="L201" s="5">
        <v>262</v>
      </c>
    </row>
    <row r="202" spans="1:12" x14ac:dyDescent="0.25">
      <c r="A202" s="3" t="s">
        <v>74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42">
        <v>0.75</v>
      </c>
      <c r="G202" s="4">
        <f>'Gas Water'!M204</f>
        <v>1127</v>
      </c>
      <c r="H202" s="142">
        <v>1.85</v>
      </c>
      <c r="I202" s="2">
        <f>'Gas Water'!L204</f>
        <v>228</v>
      </c>
      <c r="J202" s="142">
        <v>12.93</v>
      </c>
      <c r="K202" s="5">
        <v>141</v>
      </c>
      <c r="L202" s="5">
        <v>287</v>
      </c>
    </row>
    <row r="203" spans="1:12" x14ac:dyDescent="0.25">
      <c r="A203" s="3" t="s">
        <v>74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42">
        <v>0.75</v>
      </c>
      <c r="G203" s="4">
        <f>'Gas Water'!M205</f>
        <v>1149</v>
      </c>
      <c r="H203" s="142">
        <v>1.85</v>
      </c>
      <c r="I203" s="2">
        <f>'Gas Water'!L205</f>
        <v>247</v>
      </c>
      <c r="J203" s="142">
        <v>12.93</v>
      </c>
      <c r="K203" s="5">
        <v>154</v>
      </c>
      <c r="L203" s="5">
        <v>307</v>
      </c>
    </row>
    <row r="204" spans="1:12" x14ac:dyDescent="0.25">
      <c r="A204" s="3" t="s">
        <v>74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42">
        <v>0.75</v>
      </c>
      <c r="G204" s="4">
        <f>'Gas Water'!M206</f>
        <v>1166</v>
      </c>
      <c r="H204" s="142">
        <v>1.85</v>
      </c>
      <c r="I204" s="2">
        <f>'Gas Water'!L206</f>
        <v>242</v>
      </c>
      <c r="J204" s="142">
        <v>12.93</v>
      </c>
      <c r="K204" s="5">
        <v>160</v>
      </c>
      <c r="L204" s="5">
        <v>309</v>
      </c>
    </row>
    <row r="205" spans="1:12" x14ac:dyDescent="0.25">
      <c r="A205" s="3" t="s">
        <v>74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42">
        <v>0.75</v>
      </c>
      <c r="G205" s="4">
        <f>'Gas Water'!M207</f>
        <v>1133</v>
      </c>
      <c r="H205" s="142">
        <v>1.85</v>
      </c>
      <c r="I205" s="2">
        <f>'Gas Water'!L207</f>
        <v>262</v>
      </c>
      <c r="J205" s="142">
        <v>12.93</v>
      </c>
      <c r="K205" s="5">
        <v>152</v>
      </c>
      <c r="L205" s="5">
        <v>296</v>
      </c>
    </row>
    <row r="206" spans="1:12" x14ac:dyDescent="0.25">
      <c r="A206" s="3" t="s">
        <v>74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42">
        <v>0.75</v>
      </c>
      <c r="G206" s="4">
        <f>'Gas Water'!M208</f>
        <v>1204</v>
      </c>
      <c r="H206" s="142">
        <v>1.85</v>
      </c>
      <c r="I206" s="2">
        <f>'Gas Water'!L208</f>
        <v>271</v>
      </c>
      <c r="J206" s="142">
        <v>12.93</v>
      </c>
      <c r="K206" s="5">
        <v>145</v>
      </c>
      <c r="L206" s="5">
        <v>291</v>
      </c>
    </row>
    <row r="207" spans="1:12" x14ac:dyDescent="0.25">
      <c r="A207" s="3" t="s">
        <v>74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42">
        <v>0.75</v>
      </c>
      <c r="G207" s="4">
        <f>'Gas Water'!M209</f>
        <v>1200</v>
      </c>
      <c r="H207" s="142">
        <v>1.85</v>
      </c>
      <c r="I207" s="2">
        <f>'Gas Water'!L209</f>
        <v>274</v>
      </c>
      <c r="J207" s="142">
        <v>12.93</v>
      </c>
      <c r="K207" s="5">
        <v>151</v>
      </c>
      <c r="L207" s="5">
        <v>301</v>
      </c>
    </row>
    <row r="208" spans="1:12" x14ac:dyDescent="0.25">
      <c r="A208" s="3" t="s">
        <v>74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42">
        <v>0.75</v>
      </c>
      <c r="G208" s="4">
        <f>'Gas Water'!M210</f>
        <v>1349</v>
      </c>
      <c r="H208" s="142">
        <v>1.85</v>
      </c>
      <c r="I208" s="2">
        <f>'Gas Water'!L210</f>
        <v>251</v>
      </c>
      <c r="J208" s="142">
        <v>12.93</v>
      </c>
      <c r="K208" s="5">
        <v>152</v>
      </c>
      <c r="L208" s="5">
        <v>301</v>
      </c>
    </row>
    <row r="209" spans="1:12" x14ac:dyDescent="0.25">
      <c r="A209" s="3" t="s">
        <v>74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42">
        <v>0.75</v>
      </c>
      <c r="G209" s="4">
        <f>'Gas Water'!M211</f>
        <v>1352</v>
      </c>
      <c r="H209" s="142">
        <v>1.85</v>
      </c>
      <c r="I209" s="2">
        <f>'Gas Water'!L211</f>
        <v>266</v>
      </c>
      <c r="J209" s="142">
        <v>12.93</v>
      </c>
      <c r="K209" s="5">
        <v>147</v>
      </c>
      <c r="L209" s="5">
        <v>275</v>
      </c>
    </row>
    <row r="210" spans="1:12" x14ac:dyDescent="0.25">
      <c r="A210" s="3" t="s">
        <v>74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42">
        <v>0.75</v>
      </c>
      <c r="G210" s="4">
        <f>'Gas Water'!M212</f>
        <v>1328</v>
      </c>
      <c r="H210" s="142">
        <v>1.85</v>
      </c>
      <c r="I210" s="2">
        <f>'Gas Water'!L212</f>
        <v>238</v>
      </c>
      <c r="J210" s="142">
        <v>12.93</v>
      </c>
      <c r="K210" s="5">
        <v>151</v>
      </c>
      <c r="L210" s="5">
        <v>284</v>
      </c>
    </row>
    <row r="211" spans="1:12" x14ac:dyDescent="0.25">
      <c r="A211" s="3" t="s">
        <v>74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42">
        <v>0.75</v>
      </c>
      <c r="G211" s="4">
        <f>'Gas Water'!M213</f>
        <v>1311</v>
      </c>
      <c r="H211" s="142">
        <v>1.85</v>
      </c>
      <c r="I211" s="2">
        <f>'Gas Water'!L213</f>
        <v>300</v>
      </c>
      <c r="J211" s="142">
        <v>12.93</v>
      </c>
      <c r="K211" s="5">
        <v>147</v>
      </c>
      <c r="L211" s="5">
        <v>279</v>
      </c>
    </row>
    <row r="212" spans="1:12" x14ac:dyDescent="0.25">
      <c r="A212" s="3" t="s">
        <v>74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42">
        <v>0.75</v>
      </c>
      <c r="G212" s="4">
        <f>'Gas Water'!M214</f>
        <v>1336</v>
      </c>
      <c r="H212" s="142">
        <v>1.85</v>
      </c>
      <c r="I212" s="2">
        <f>'Gas Water'!L214</f>
        <v>232</v>
      </c>
      <c r="J212" s="142">
        <v>12.93</v>
      </c>
      <c r="K212" s="5">
        <v>146</v>
      </c>
      <c r="L212" s="5">
        <v>291</v>
      </c>
    </row>
    <row r="213" spans="1:12" x14ac:dyDescent="0.25">
      <c r="A213" s="3" t="s">
        <v>74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42">
        <v>0.75</v>
      </c>
      <c r="G213" s="4">
        <f>'Gas Water'!M215</f>
        <v>1364</v>
      </c>
      <c r="H213" s="142">
        <v>1.85</v>
      </c>
      <c r="I213" s="2">
        <f>'Gas Water'!L215</f>
        <v>289</v>
      </c>
      <c r="J213" s="142">
        <v>12.93</v>
      </c>
      <c r="K213" s="5">
        <v>150</v>
      </c>
      <c r="L213" s="5">
        <v>307</v>
      </c>
    </row>
    <row r="214" spans="1:12" x14ac:dyDescent="0.25">
      <c r="A214" s="3" t="s">
        <v>74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42">
        <v>0.85</v>
      </c>
      <c r="G214" s="4">
        <f>'Gas Water'!M216</f>
        <v>1288</v>
      </c>
      <c r="H214" s="142">
        <v>1.9</v>
      </c>
      <c r="I214" s="2">
        <f>'Gas Water'!L216</f>
        <v>243</v>
      </c>
      <c r="J214" s="142">
        <v>13.9</v>
      </c>
      <c r="K214" s="5">
        <v>142</v>
      </c>
      <c r="L214" s="5">
        <v>276</v>
      </c>
    </row>
    <row r="215" spans="1:12" x14ac:dyDescent="0.25">
      <c r="A215" s="3" t="s">
        <v>74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42">
        <v>0.85</v>
      </c>
      <c r="G215" s="4">
        <f>'Gas Water'!M217</f>
        <v>1305</v>
      </c>
      <c r="H215" s="142">
        <v>1.9</v>
      </c>
      <c r="I215" s="2">
        <f>'Gas Water'!L217</f>
        <v>291</v>
      </c>
      <c r="J215" s="142">
        <v>13.9</v>
      </c>
      <c r="K215" s="5">
        <v>144</v>
      </c>
      <c r="L215" s="5">
        <v>271</v>
      </c>
    </row>
    <row r="216" spans="1:12" x14ac:dyDescent="0.25">
      <c r="A216" s="3" t="s">
        <v>74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42">
        <v>0.85</v>
      </c>
      <c r="G216" s="4">
        <f>'Gas Water'!M218</f>
        <v>1316</v>
      </c>
      <c r="H216" s="142">
        <v>1.9</v>
      </c>
      <c r="I216" s="2">
        <f>'Gas Water'!L218</f>
        <v>282</v>
      </c>
      <c r="J216" s="142">
        <v>13.9</v>
      </c>
      <c r="K216" s="5">
        <v>143</v>
      </c>
      <c r="L216" s="5">
        <v>274</v>
      </c>
    </row>
    <row r="217" spans="1:12" x14ac:dyDescent="0.25">
      <c r="A217" s="3" t="s">
        <v>74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42">
        <v>0.85</v>
      </c>
      <c r="G217" s="4">
        <f>'Gas Water'!M219</f>
        <v>1492</v>
      </c>
      <c r="H217" s="142">
        <v>1.9</v>
      </c>
      <c r="I217" s="2">
        <f>'Gas Water'!L219</f>
        <v>274</v>
      </c>
      <c r="J217" s="142">
        <v>13.9</v>
      </c>
      <c r="K217" s="5">
        <v>149</v>
      </c>
      <c r="L217" s="5">
        <v>280</v>
      </c>
    </row>
    <row r="218" spans="1:12" x14ac:dyDescent="0.25">
      <c r="A218" s="3" t="s">
        <v>74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42">
        <v>0.85</v>
      </c>
      <c r="G218" s="4">
        <f>'Gas Water'!M220</f>
        <v>1403</v>
      </c>
      <c r="H218" s="142">
        <v>1.9</v>
      </c>
      <c r="I218" s="2">
        <f>'Gas Water'!L220</f>
        <v>302</v>
      </c>
      <c r="J218" s="142">
        <v>13.9</v>
      </c>
      <c r="K218" s="5">
        <v>143</v>
      </c>
      <c r="L218" s="5">
        <v>274</v>
      </c>
    </row>
    <row r="219" spans="1:12" x14ac:dyDescent="0.25">
      <c r="A219" s="3" t="s">
        <v>74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42">
        <v>0.85</v>
      </c>
      <c r="G219" s="4">
        <f>'Gas Water'!M221</f>
        <v>1424</v>
      </c>
      <c r="H219" s="142">
        <v>1.9</v>
      </c>
      <c r="I219" s="2">
        <f>'Gas Water'!L221</f>
        <v>292</v>
      </c>
      <c r="J219" s="142">
        <v>13.9</v>
      </c>
      <c r="K219" s="5">
        <v>151</v>
      </c>
      <c r="L219" s="5">
        <v>284</v>
      </c>
    </row>
    <row r="220" spans="1:12" x14ac:dyDescent="0.25">
      <c r="A220" s="3" t="s">
        <v>74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42">
        <v>0.85</v>
      </c>
      <c r="G220" s="4">
        <f>'Gas Water'!M222</f>
        <v>1481</v>
      </c>
      <c r="H220" s="142">
        <v>1.9</v>
      </c>
      <c r="I220" s="2">
        <f>'Gas Water'!L222</f>
        <v>265</v>
      </c>
      <c r="J220" s="142">
        <v>13.9</v>
      </c>
      <c r="K220" s="5">
        <v>155</v>
      </c>
      <c r="L220" s="5">
        <v>307</v>
      </c>
    </row>
    <row r="221" spans="1:12" x14ac:dyDescent="0.25">
      <c r="A221" s="3" t="s">
        <v>74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42">
        <v>0.85</v>
      </c>
      <c r="G221" s="4">
        <f>'Gas Water'!M223</f>
        <v>1553</v>
      </c>
      <c r="H221" s="142">
        <v>1.9</v>
      </c>
      <c r="I221" s="2">
        <f>'Gas Water'!L223</f>
        <v>266</v>
      </c>
      <c r="J221" s="142">
        <v>13.9</v>
      </c>
      <c r="K221" s="5">
        <v>139</v>
      </c>
      <c r="L221" s="5">
        <v>265</v>
      </c>
    </row>
    <row r="222" spans="1:12" x14ac:dyDescent="0.25">
      <c r="A222" s="3" t="s">
        <v>74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42">
        <v>0.85</v>
      </c>
      <c r="G222" s="4">
        <f>'Gas Water'!M224</f>
        <v>1376</v>
      </c>
      <c r="H222" s="142">
        <v>1.9</v>
      </c>
      <c r="I222" s="2">
        <f>'Gas Water'!L224</f>
        <v>231</v>
      </c>
      <c r="J222" s="142">
        <v>13.9</v>
      </c>
      <c r="K222" s="5">
        <v>137</v>
      </c>
      <c r="L222" s="5">
        <v>246</v>
      </c>
    </row>
    <row r="223" spans="1:12" x14ac:dyDescent="0.25">
      <c r="A223" s="3" t="s">
        <v>74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42">
        <v>0.85</v>
      </c>
      <c r="G223" s="4">
        <f>'Gas Water'!M225</f>
        <v>1302</v>
      </c>
      <c r="H223" s="142">
        <v>1.9</v>
      </c>
      <c r="I223" s="2">
        <f>'Gas Water'!L225</f>
        <v>311</v>
      </c>
      <c r="J223" s="142">
        <v>13.9</v>
      </c>
      <c r="K223" s="5">
        <v>141</v>
      </c>
      <c r="L223" s="5">
        <v>253</v>
      </c>
    </row>
    <row r="224" spans="1:12" x14ac:dyDescent="0.25">
      <c r="A224" s="3" t="s">
        <v>74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42">
        <v>0.85</v>
      </c>
      <c r="G224" s="4">
        <f>'Gas Water'!M226</f>
        <v>1285</v>
      </c>
      <c r="H224" s="142">
        <v>1.9</v>
      </c>
      <c r="I224" s="2">
        <f>'Gas Water'!L226</f>
        <v>277</v>
      </c>
      <c r="J224" s="142">
        <v>13.9</v>
      </c>
      <c r="K224" s="5">
        <v>132</v>
      </c>
      <c r="L224" s="5">
        <v>245</v>
      </c>
    </row>
    <row r="225" spans="1:12" x14ac:dyDescent="0.25">
      <c r="A225" s="3" t="s">
        <v>74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42">
        <v>0.85</v>
      </c>
      <c r="G225" s="4">
        <f>'Gas Water'!M227</f>
        <v>1300</v>
      </c>
      <c r="H225" s="142">
        <v>1.9</v>
      </c>
      <c r="I225" s="2">
        <f>'Gas Water'!L227</f>
        <v>241</v>
      </c>
      <c r="J225" s="142">
        <v>13.9</v>
      </c>
      <c r="K225" s="5">
        <v>121</v>
      </c>
      <c r="L225" s="5">
        <v>218</v>
      </c>
    </row>
    <row r="226" spans="1:12" x14ac:dyDescent="0.25">
      <c r="A226" s="3" t="s">
        <v>74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42">
        <v>0.85</v>
      </c>
      <c r="G226" s="4">
        <f>'Gas Water'!M228</f>
        <v>1542</v>
      </c>
      <c r="H226" s="142">
        <v>1.9</v>
      </c>
      <c r="I226" s="2">
        <f>'Gas Water'!L228</f>
        <v>269</v>
      </c>
      <c r="J226" s="142">
        <v>13.9</v>
      </c>
      <c r="K226" s="5">
        <v>144</v>
      </c>
      <c r="L226" s="5">
        <v>294</v>
      </c>
    </row>
    <row r="227" spans="1:12" x14ac:dyDescent="0.25">
      <c r="A227" s="3" t="s">
        <v>74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42">
        <v>0.85</v>
      </c>
      <c r="G227" s="4">
        <f>'Gas Water'!M229</f>
        <v>1347</v>
      </c>
      <c r="H227" s="142">
        <v>1.9</v>
      </c>
      <c r="I227" s="2">
        <f>'Gas Water'!L229</f>
        <v>277</v>
      </c>
      <c r="J227" s="142">
        <v>13.9</v>
      </c>
      <c r="K227" s="5">
        <v>139</v>
      </c>
      <c r="L227" s="5">
        <v>272</v>
      </c>
    </row>
    <row r="228" spans="1:12" x14ac:dyDescent="0.25">
      <c r="A228" s="3" t="s">
        <v>74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42">
        <v>0.85</v>
      </c>
      <c r="G228" s="4">
        <f>'Gas Water'!M230</f>
        <v>1396</v>
      </c>
      <c r="H228" s="142">
        <v>1.9</v>
      </c>
      <c r="I228" s="2">
        <f>'Gas Water'!L230</f>
        <v>240</v>
      </c>
      <c r="J228" s="142">
        <v>13.9</v>
      </c>
      <c r="K228" s="5">
        <v>140</v>
      </c>
      <c r="L228" s="5">
        <v>284</v>
      </c>
    </row>
    <row r="229" spans="1:12" x14ac:dyDescent="0.25">
      <c r="A229" s="3" t="s">
        <v>74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42">
        <v>0.85</v>
      </c>
      <c r="G229" s="4">
        <f>'Gas Water'!M231</f>
        <v>1403</v>
      </c>
      <c r="H229" s="142">
        <v>1.9</v>
      </c>
      <c r="I229" s="2">
        <f>'Gas Water'!L231</f>
        <v>283</v>
      </c>
      <c r="J229" s="142">
        <v>13.9</v>
      </c>
      <c r="K229" s="5">
        <v>149</v>
      </c>
      <c r="L229" s="5">
        <v>288</v>
      </c>
    </row>
    <row r="230" spans="1:12" x14ac:dyDescent="0.25">
      <c r="A230" s="3" t="s">
        <v>74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42">
        <v>0.85</v>
      </c>
      <c r="G230" s="4">
        <f>'Gas Water'!M232</f>
        <v>1344</v>
      </c>
      <c r="H230" s="142">
        <v>1.9</v>
      </c>
      <c r="I230" s="2">
        <f>'Gas Water'!L232</f>
        <v>279</v>
      </c>
      <c r="J230" s="142">
        <v>13.9</v>
      </c>
      <c r="K230" s="5">
        <v>149</v>
      </c>
      <c r="L230" s="5">
        <v>269</v>
      </c>
    </row>
    <row r="231" spans="1:12" x14ac:dyDescent="0.25">
      <c r="A231" s="3" t="s">
        <v>74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42">
        <v>0.85</v>
      </c>
      <c r="G231" s="4">
        <f>'Gas Water'!M233</f>
        <v>1369</v>
      </c>
      <c r="H231" s="142">
        <v>1.9</v>
      </c>
      <c r="I231" s="2">
        <f>'Gas Water'!L233</f>
        <v>262</v>
      </c>
      <c r="J231" s="142">
        <v>13.9</v>
      </c>
      <c r="K231" s="5">
        <v>153</v>
      </c>
      <c r="L231" s="5">
        <v>266</v>
      </c>
    </row>
    <row r="232" spans="1:12" x14ac:dyDescent="0.25">
      <c r="A232" s="3" t="s">
        <v>74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42">
        <v>0.85</v>
      </c>
      <c r="G232" s="4">
        <f>'Gas Water'!M234</f>
        <v>1569</v>
      </c>
      <c r="H232" s="142">
        <v>1.9</v>
      </c>
      <c r="I232" s="2">
        <f>'Gas Water'!L234</f>
        <v>268</v>
      </c>
      <c r="J232" s="142">
        <v>13.9</v>
      </c>
      <c r="K232" s="5">
        <v>145</v>
      </c>
      <c r="L232" s="5">
        <v>259</v>
      </c>
    </row>
    <row r="233" spans="1:12" x14ac:dyDescent="0.25">
      <c r="A233" s="3" t="s">
        <v>74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42">
        <v>0.85</v>
      </c>
      <c r="G233" s="4">
        <f>'Gas Water'!M235</f>
        <v>1466</v>
      </c>
      <c r="H233" s="142">
        <v>1.9</v>
      </c>
      <c r="I233" s="2">
        <f>'Gas Water'!L235</f>
        <v>235</v>
      </c>
      <c r="J233" s="142">
        <v>13.9</v>
      </c>
      <c r="K233" s="5">
        <v>132</v>
      </c>
      <c r="L233" s="5">
        <v>247</v>
      </c>
    </row>
    <row r="234" spans="1:12" x14ac:dyDescent="0.25">
      <c r="A234" s="3" t="s">
        <v>74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42">
        <v>0.85</v>
      </c>
      <c r="G234" s="4">
        <f>'Gas Water'!M236</f>
        <v>1412</v>
      </c>
      <c r="H234" s="142">
        <v>1.9</v>
      </c>
      <c r="I234" s="2">
        <f>'Gas Water'!L236</f>
        <v>244</v>
      </c>
      <c r="J234" s="142">
        <v>13.9</v>
      </c>
      <c r="K234" s="5">
        <v>130</v>
      </c>
      <c r="L234" s="5">
        <v>253</v>
      </c>
    </row>
    <row r="235" spans="1:12" x14ac:dyDescent="0.25">
      <c r="A235" s="3" t="s">
        <v>74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42">
        <v>0.85</v>
      </c>
      <c r="G235" s="4">
        <f>'Gas Water'!M237</f>
        <v>1416</v>
      </c>
      <c r="H235" s="142">
        <v>1.9</v>
      </c>
      <c r="I235" s="2">
        <f>'Gas Water'!L237</f>
        <v>282</v>
      </c>
      <c r="J235" s="142">
        <v>13.9</v>
      </c>
      <c r="K235" s="5">
        <v>138</v>
      </c>
      <c r="L235" s="5">
        <v>278</v>
      </c>
    </row>
    <row r="236" spans="1:12" x14ac:dyDescent="0.25">
      <c r="A236" s="3" t="s">
        <v>74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42">
        <v>0.85</v>
      </c>
      <c r="G236" s="4">
        <f>'Gas Water'!M238</f>
        <v>1412</v>
      </c>
      <c r="H236" s="142">
        <v>1.9</v>
      </c>
      <c r="I236" s="2">
        <f>'Gas Water'!L238</f>
        <v>275</v>
      </c>
      <c r="J236" s="142">
        <v>13.9</v>
      </c>
      <c r="K236" s="5">
        <v>127</v>
      </c>
      <c r="L236" s="5">
        <v>254</v>
      </c>
    </row>
    <row r="237" spans="1:12" x14ac:dyDescent="0.25">
      <c r="A237" s="3" t="s">
        <v>74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42">
        <v>0.85</v>
      </c>
      <c r="G237" s="4">
        <f>'Gas Water'!M239</f>
        <v>1402</v>
      </c>
      <c r="H237" s="142">
        <v>1.9</v>
      </c>
      <c r="I237" s="2">
        <f>'Gas Water'!L239</f>
        <v>301</v>
      </c>
      <c r="J237" s="142">
        <v>13.9</v>
      </c>
      <c r="K237" s="5">
        <v>135</v>
      </c>
      <c r="L237" s="5">
        <v>266</v>
      </c>
    </row>
    <row r="238" spans="1:12" x14ac:dyDescent="0.25">
      <c r="A238" s="3" t="s">
        <v>74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42">
        <v>0.85</v>
      </c>
      <c r="G238" s="4">
        <f>'Gas Water'!M240</f>
        <v>1399</v>
      </c>
      <c r="H238" s="142">
        <v>1.9</v>
      </c>
      <c r="I238" s="2">
        <f>'Gas Water'!L240</f>
        <v>273</v>
      </c>
      <c r="J238" s="142">
        <v>13.9</v>
      </c>
      <c r="K238" s="5">
        <v>144</v>
      </c>
      <c r="L238" s="5">
        <v>286</v>
      </c>
    </row>
    <row r="239" spans="1:12" x14ac:dyDescent="0.25">
      <c r="A239" s="3" t="s">
        <v>74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42">
        <v>0.85</v>
      </c>
      <c r="G239" s="4">
        <f>'Gas Water'!M241</f>
        <v>1380</v>
      </c>
      <c r="H239" s="142">
        <v>1.9</v>
      </c>
      <c r="I239" s="2">
        <f>'Gas Water'!L241</f>
        <v>267</v>
      </c>
      <c r="J239" s="142">
        <v>13.9</v>
      </c>
      <c r="K239" s="5">
        <v>147</v>
      </c>
      <c r="L239" s="5">
        <v>298</v>
      </c>
    </row>
    <row r="240" spans="1:12" x14ac:dyDescent="0.25">
      <c r="A240" s="3" t="s">
        <v>74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42">
        <v>0.85</v>
      </c>
      <c r="G240" s="4">
        <f>'Gas Water'!M242</f>
        <v>1428</v>
      </c>
      <c r="H240" s="142">
        <v>1.9</v>
      </c>
      <c r="I240" s="2">
        <f>'Gas Water'!L242</f>
        <v>330</v>
      </c>
      <c r="J240" s="142">
        <v>13.9</v>
      </c>
      <c r="K240" s="5">
        <v>134</v>
      </c>
      <c r="L240" s="5">
        <v>273</v>
      </c>
    </row>
    <row r="241" spans="1:12" x14ac:dyDescent="0.25">
      <c r="A241" s="3" t="s">
        <v>74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42">
        <v>0.85</v>
      </c>
      <c r="G241" s="4">
        <f>'Gas Water'!M243</f>
        <v>1332</v>
      </c>
      <c r="H241" s="142">
        <v>1.9</v>
      </c>
      <c r="I241" s="2">
        <f>'Gas Water'!L243</f>
        <v>295</v>
      </c>
      <c r="J241" s="142">
        <v>13.9</v>
      </c>
      <c r="K241" s="5">
        <v>145</v>
      </c>
      <c r="L241" s="5">
        <v>286</v>
      </c>
    </row>
    <row r="242" spans="1:12" x14ac:dyDescent="0.25">
      <c r="A242" s="3" t="s">
        <v>74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42">
        <v>0.85</v>
      </c>
      <c r="G242" s="4">
        <f>'Gas Water'!M244</f>
        <v>1335</v>
      </c>
      <c r="H242" s="142">
        <v>1.9</v>
      </c>
      <c r="I242" s="2">
        <f>'Gas Water'!L244</f>
        <v>295</v>
      </c>
      <c r="J242" s="142">
        <v>13.9</v>
      </c>
      <c r="K242" s="5">
        <v>131</v>
      </c>
      <c r="L242" s="5">
        <v>264</v>
      </c>
    </row>
    <row r="243" spans="1:12" x14ac:dyDescent="0.25">
      <c r="A243" s="3" t="s">
        <v>74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42">
        <v>0.85</v>
      </c>
      <c r="G243" s="4">
        <f>'Gas Water'!M245</f>
        <v>1243</v>
      </c>
      <c r="H243" s="142">
        <v>1.9</v>
      </c>
      <c r="I243" s="2">
        <f>'Gas Water'!L245</f>
        <v>304</v>
      </c>
      <c r="J243" s="142">
        <v>13.9</v>
      </c>
      <c r="K243" s="5">
        <v>106</v>
      </c>
      <c r="L243" s="5">
        <v>295</v>
      </c>
    </row>
    <row r="244" spans="1:12" x14ac:dyDescent="0.25">
      <c r="A244" s="3" t="s">
        <v>74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42">
        <v>0.85</v>
      </c>
      <c r="G244" s="4">
        <f>'Gas Water'!M246</f>
        <v>1320</v>
      </c>
      <c r="H244" s="142">
        <v>1.9</v>
      </c>
      <c r="I244" s="2">
        <f>'Gas Water'!L246</f>
        <v>294</v>
      </c>
      <c r="J244" s="142">
        <v>13.9</v>
      </c>
      <c r="K244" s="5">
        <v>118</v>
      </c>
      <c r="L244" s="5">
        <v>214</v>
      </c>
    </row>
    <row r="245" spans="1:12" x14ac:dyDescent="0.25">
      <c r="A245" s="3" t="s">
        <v>74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42">
        <v>0.85</v>
      </c>
      <c r="G245" s="4">
        <f>'Gas Water'!M247</f>
        <v>1362</v>
      </c>
      <c r="H245" s="142">
        <v>2</v>
      </c>
      <c r="I245" s="2">
        <f>'Gas Water'!L247</f>
        <v>241</v>
      </c>
      <c r="J245" s="142">
        <v>14.15</v>
      </c>
      <c r="K245" s="5">
        <v>136</v>
      </c>
      <c r="L245" s="5">
        <v>245</v>
      </c>
    </row>
    <row r="246" spans="1:12" x14ac:dyDescent="0.25">
      <c r="A246" s="3" t="s">
        <v>74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42">
        <v>0.85</v>
      </c>
      <c r="G246" s="4">
        <f>'Gas Water'!M248</f>
        <v>1530</v>
      </c>
      <c r="H246" s="142">
        <v>2</v>
      </c>
      <c r="I246" s="2">
        <f>'Gas Water'!L248</f>
        <v>243</v>
      </c>
      <c r="J246" s="142">
        <v>14.15</v>
      </c>
      <c r="K246" s="5">
        <v>120</v>
      </c>
      <c r="L246" s="5">
        <v>217</v>
      </c>
    </row>
    <row r="247" spans="1:12" x14ac:dyDescent="0.25">
      <c r="A247" s="3" t="s">
        <v>74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42">
        <v>0.85</v>
      </c>
      <c r="G247" s="4">
        <f>'Gas Water'!M249</f>
        <v>1649</v>
      </c>
      <c r="H247" s="142">
        <v>2</v>
      </c>
      <c r="I247" s="2">
        <f>'Gas Water'!L249</f>
        <v>303</v>
      </c>
      <c r="J247" s="142">
        <v>14.15</v>
      </c>
      <c r="K247" s="5">
        <v>117</v>
      </c>
      <c r="L247" s="5">
        <v>229</v>
      </c>
    </row>
    <row r="248" spans="1:12" x14ac:dyDescent="0.25">
      <c r="A248" s="3" t="s">
        <v>74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42">
        <v>0.85</v>
      </c>
      <c r="G248" s="4">
        <f>'Gas Water'!M250</f>
        <v>1606</v>
      </c>
      <c r="H248" s="142">
        <v>2</v>
      </c>
      <c r="I248" s="2">
        <f>'Gas Water'!L250</f>
        <v>319</v>
      </c>
      <c r="J248" s="142">
        <v>14.15</v>
      </c>
      <c r="K248" s="5">
        <v>141</v>
      </c>
      <c r="L248" s="5">
        <v>276</v>
      </c>
    </row>
    <row r="249" spans="1:12" x14ac:dyDescent="0.25">
      <c r="A249" s="3" t="s">
        <v>74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42">
        <v>0.85</v>
      </c>
      <c r="G249" s="4">
        <f>'Gas Water'!M251</f>
        <v>1491</v>
      </c>
      <c r="H249" s="142">
        <v>2</v>
      </c>
      <c r="I249" s="2">
        <f>'Gas Water'!L251</f>
        <v>231</v>
      </c>
      <c r="J249" s="142">
        <v>14.15</v>
      </c>
      <c r="K249" s="5">
        <v>96</v>
      </c>
      <c r="L249" s="5">
        <v>173</v>
      </c>
    </row>
    <row r="250" spans="1:12" x14ac:dyDescent="0.25">
      <c r="A250" s="3" t="s">
        <v>74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42">
        <v>0.85</v>
      </c>
      <c r="G250" s="4">
        <f>'Gas Water'!M252</f>
        <v>1610</v>
      </c>
      <c r="H250" s="142">
        <v>2</v>
      </c>
      <c r="I250" s="2">
        <f>'Gas Water'!L252</f>
        <v>262</v>
      </c>
      <c r="J250" s="142">
        <v>14.15</v>
      </c>
      <c r="K250" s="5">
        <v>90</v>
      </c>
      <c r="L250" s="5">
        <v>158</v>
      </c>
    </row>
    <row r="251" spans="1:12" x14ac:dyDescent="0.25">
      <c r="A251" s="3" t="s">
        <v>74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42">
        <v>0.85</v>
      </c>
      <c r="G251" s="4">
        <f>'Gas Water'!M253</f>
        <v>1602</v>
      </c>
      <c r="H251" s="142">
        <v>2</v>
      </c>
      <c r="I251" s="2">
        <f>'Gas Water'!L253</f>
        <v>270</v>
      </c>
      <c r="J251" s="142">
        <v>14.15</v>
      </c>
      <c r="K251" s="5">
        <v>94</v>
      </c>
      <c r="L251" s="5">
        <v>177</v>
      </c>
    </row>
    <row r="252" spans="1:12" x14ac:dyDescent="0.25">
      <c r="A252" s="3" t="s">
        <v>74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42">
        <v>0.85</v>
      </c>
      <c r="G252" s="4">
        <f>'Gas Water'!M254</f>
        <v>1572</v>
      </c>
      <c r="H252" s="142">
        <v>2</v>
      </c>
      <c r="I252" s="2">
        <f>'Gas Water'!L254</f>
        <v>230</v>
      </c>
      <c r="J252" s="142">
        <v>14.15</v>
      </c>
      <c r="K252" s="5">
        <v>90</v>
      </c>
      <c r="L252" s="5">
        <v>167</v>
      </c>
    </row>
    <row r="253" spans="1:12" x14ac:dyDescent="0.25">
      <c r="A253" s="3" t="s">
        <v>74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42">
        <v>0.85</v>
      </c>
      <c r="G253" s="4">
        <f>'Gas Water'!M255</f>
        <v>1534</v>
      </c>
      <c r="H253" s="142">
        <v>2</v>
      </c>
      <c r="I253" s="2">
        <f>'Gas Water'!L255</f>
        <v>267</v>
      </c>
      <c r="J253" s="142">
        <v>14.15</v>
      </c>
      <c r="K253" s="5">
        <v>117</v>
      </c>
      <c r="L253" s="5">
        <v>216</v>
      </c>
    </row>
    <row r="254" spans="1:12" x14ac:dyDescent="0.25">
      <c r="A254" s="3" t="s">
        <v>74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42">
        <v>0.85</v>
      </c>
      <c r="G254" s="4">
        <f>'Gas Water'!M256</f>
        <v>1538</v>
      </c>
      <c r="H254" s="142">
        <v>2</v>
      </c>
      <c r="I254" s="2">
        <f>'Gas Water'!L256</f>
        <v>261</v>
      </c>
      <c r="J254" s="142">
        <v>14.15</v>
      </c>
      <c r="K254" s="5">
        <v>124</v>
      </c>
      <c r="L254" s="5">
        <v>234</v>
      </c>
    </row>
    <row r="255" spans="1:12" x14ac:dyDescent="0.25">
      <c r="A255" s="3" t="s">
        <v>74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42">
        <v>0.85</v>
      </c>
      <c r="G255" s="4">
        <f>'Gas Water'!M257</f>
        <v>1411</v>
      </c>
      <c r="H255" s="142">
        <v>2</v>
      </c>
      <c r="I255" s="2">
        <f>'Gas Water'!L257</f>
        <v>223</v>
      </c>
      <c r="J255" s="142">
        <v>14.15</v>
      </c>
      <c r="K255" s="5">
        <v>111</v>
      </c>
      <c r="L255" s="5">
        <v>200</v>
      </c>
    </row>
    <row r="256" spans="1:12" x14ac:dyDescent="0.25">
      <c r="A256" s="3" t="s">
        <v>74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42">
        <v>0.85</v>
      </c>
      <c r="G256" s="4">
        <f>'Gas Water'!M258</f>
        <v>1444</v>
      </c>
      <c r="H256" s="142">
        <v>2</v>
      </c>
      <c r="I256" s="2">
        <f>'Gas Water'!L258</f>
        <v>180</v>
      </c>
      <c r="J256" s="142">
        <v>14.15</v>
      </c>
      <c r="K256" s="5">
        <v>96</v>
      </c>
      <c r="L256" s="5">
        <v>177</v>
      </c>
    </row>
    <row r="257" spans="1:12" x14ac:dyDescent="0.25">
      <c r="A257" s="3" t="s">
        <v>74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42">
        <v>0.85</v>
      </c>
      <c r="G257" s="4">
        <f>'Gas Water'!M259</f>
        <v>1716</v>
      </c>
      <c r="H257" s="142">
        <v>2</v>
      </c>
      <c r="I257" s="2">
        <f>'Gas Water'!L259</f>
        <v>245</v>
      </c>
      <c r="J257" s="142">
        <v>14.15</v>
      </c>
      <c r="K257" s="5">
        <v>125</v>
      </c>
      <c r="L257" s="5">
        <v>224</v>
      </c>
    </row>
    <row r="258" spans="1:12" x14ac:dyDescent="0.25">
      <c r="A258" s="3" t="s">
        <v>74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42">
        <v>0.85</v>
      </c>
      <c r="G258" s="4">
        <f>'Gas Water'!M260</f>
        <v>1481</v>
      </c>
      <c r="H258" s="142">
        <v>2</v>
      </c>
      <c r="I258" s="2">
        <f>'Gas Water'!L260</f>
        <v>234</v>
      </c>
      <c r="J258" s="142">
        <v>14.15</v>
      </c>
      <c r="K258" s="5">
        <v>128</v>
      </c>
      <c r="L258" s="5">
        <v>236</v>
      </c>
    </row>
    <row r="259" spans="1:12" x14ac:dyDescent="0.25">
      <c r="A259" s="3" t="s">
        <v>74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42">
        <v>0.85</v>
      </c>
      <c r="G259" s="4">
        <f>'Gas Water'!M261</f>
        <v>1426</v>
      </c>
      <c r="H259" s="142">
        <v>2</v>
      </c>
      <c r="I259" s="2">
        <f>'Gas Water'!L261</f>
        <v>204</v>
      </c>
      <c r="J259" s="142">
        <v>14.15</v>
      </c>
      <c r="K259" s="5">
        <v>143</v>
      </c>
      <c r="L259" s="5">
        <v>263</v>
      </c>
    </row>
    <row r="260" spans="1:12" x14ac:dyDescent="0.25">
      <c r="A260" s="3" t="s">
        <v>74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42">
        <v>0.85</v>
      </c>
      <c r="G260" s="4">
        <f>'Gas Water'!M262</f>
        <v>1377</v>
      </c>
      <c r="H260" s="142">
        <v>2</v>
      </c>
      <c r="I260" s="2">
        <f>'Gas Water'!L262</f>
        <v>227</v>
      </c>
      <c r="J260" s="142">
        <v>14.15</v>
      </c>
      <c r="K260" s="5">
        <v>130</v>
      </c>
      <c r="L260" s="5">
        <v>241</v>
      </c>
    </row>
    <row r="261" spans="1:12" x14ac:dyDescent="0.25">
      <c r="A261" s="3" t="s">
        <v>74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42">
        <v>0.85</v>
      </c>
      <c r="G261" s="4">
        <f>'Gas Water'!M263</f>
        <v>1411</v>
      </c>
      <c r="H261" s="142">
        <v>2</v>
      </c>
      <c r="I261" s="2">
        <f>'Gas Water'!L263</f>
        <v>204</v>
      </c>
      <c r="J261" s="142">
        <v>14.15</v>
      </c>
      <c r="K261" s="5">
        <v>139</v>
      </c>
      <c r="L261" s="5">
        <v>257</v>
      </c>
    </row>
    <row r="262" spans="1:12" x14ac:dyDescent="0.25">
      <c r="A262" s="3" t="s">
        <v>74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42">
        <v>0.85</v>
      </c>
      <c r="G262" s="4">
        <f>'Gas Water'!M264</f>
        <v>1432</v>
      </c>
      <c r="H262" s="142">
        <v>2</v>
      </c>
      <c r="I262" s="2">
        <f>'Gas Water'!L264</f>
        <v>195</v>
      </c>
      <c r="J262" s="142">
        <v>14.15</v>
      </c>
      <c r="K262" s="5">
        <v>132</v>
      </c>
      <c r="L262" s="5">
        <v>247</v>
      </c>
    </row>
    <row r="263" spans="1:12" x14ac:dyDescent="0.25">
      <c r="A263" s="3" t="s">
        <v>74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42">
        <v>0.85</v>
      </c>
      <c r="G263" s="4">
        <f>'Gas Water'!M265</f>
        <v>1482</v>
      </c>
      <c r="H263" s="142">
        <v>2</v>
      </c>
      <c r="I263" s="2">
        <f>'Gas Water'!L265</f>
        <v>112</v>
      </c>
      <c r="J263" s="142">
        <v>14.15</v>
      </c>
      <c r="K263" s="5">
        <v>130</v>
      </c>
      <c r="L263" s="5">
        <v>241</v>
      </c>
    </row>
    <row r="264" spans="1:12" x14ac:dyDescent="0.25">
      <c r="A264" s="3" t="s">
        <v>74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42">
        <v>0.85</v>
      </c>
      <c r="G264" s="4">
        <f>'Gas Water'!M266</f>
        <v>1334</v>
      </c>
      <c r="H264" s="142">
        <v>2</v>
      </c>
      <c r="I264" s="2">
        <f>'Gas Water'!L266</f>
        <v>287</v>
      </c>
      <c r="J264" s="142">
        <v>14.15</v>
      </c>
      <c r="K264" s="5">
        <v>122</v>
      </c>
      <c r="L264" s="5">
        <v>213</v>
      </c>
    </row>
    <row r="265" spans="1:12" x14ac:dyDescent="0.25">
      <c r="A265" s="3" t="s">
        <v>74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42">
        <v>0.85</v>
      </c>
      <c r="G265" s="4">
        <f>'Gas Water'!M267</f>
        <v>1537</v>
      </c>
      <c r="H265" s="142">
        <v>2</v>
      </c>
      <c r="I265" s="2">
        <f>'Gas Water'!L267</f>
        <v>231</v>
      </c>
      <c r="J265" s="142">
        <v>14.15</v>
      </c>
      <c r="K265" s="5">
        <v>119</v>
      </c>
      <c r="L265" s="5">
        <v>203</v>
      </c>
    </row>
    <row r="266" spans="1:12" x14ac:dyDescent="0.25">
      <c r="A266" s="3" t="s">
        <v>74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42">
        <v>0.85</v>
      </c>
      <c r="G266" s="4">
        <f>'Gas Water'!M268</f>
        <v>1702</v>
      </c>
      <c r="H266" s="142">
        <v>2</v>
      </c>
      <c r="I266" s="2">
        <f>'Gas Water'!L268</f>
        <v>210</v>
      </c>
      <c r="J266" s="142">
        <v>14.15</v>
      </c>
      <c r="K266" s="5">
        <v>116</v>
      </c>
      <c r="L266" s="5">
        <v>196</v>
      </c>
    </row>
    <row r="267" spans="1:12" x14ac:dyDescent="0.25">
      <c r="A267" s="3" t="s">
        <v>74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42">
        <v>0.85</v>
      </c>
      <c r="G267" s="4">
        <f>'Gas Water'!M269</f>
        <v>1734</v>
      </c>
      <c r="H267" s="142">
        <v>2</v>
      </c>
      <c r="I267" s="2">
        <f>'Gas Water'!L269</f>
        <v>236</v>
      </c>
      <c r="J267" s="142">
        <v>14.15</v>
      </c>
      <c r="K267" s="5">
        <v>112</v>
      </c>
      <c r="L267" s="5">
        <v>182</v>
      </c>
    </row>
    <row r="268" spans="1:12" x14ac:dyDescent="0.25">
      <c r="A268" s="3" t="s">
        <v>74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42">
        <v>0.85</v>
      </c>
      <c r="G268" s="4">
        <f>'Gas Water'!M270</f>
        <v>1597</v>
      </c>
      <c r="H268" s="142">
        <v>2</v>
      </c>
      <c r="I268" s="2">
        <f>'Gas Water'!L270</f>
        <v>201</v>
      </c>
      <c r="J268" s="142">
        <v>14.15</v>
      </c>
      <c r="K268" s="5">
        <v>135</v>
      </c>
      <c r="L268" s="5">
        <v>218</v>
      </c>
    </row>
    <row r="269" spans="1:12" x14ac:dyDescent="0.25">
      <c r="A269" s="3" t="s">
        <v>74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42">
        <v>0.85</v>
      </c>
      <c r="G269" s="4">
        <f>'Gas Water'!M271</f>
        <v>1850</v>
      </c>
      <c r="H269" s="142">
        <v>2</v>
      </c>
      <c r="I269" s="2">
        <f>'Gas Water'!L271</f>
        <v>227</v>
      </c>
      <c r="J269" s="142">
        <v>14.15</v>
      </c>
      <c r="K269" s="5">
        <v>157</v>
      </c>
      <c r="L269" s="5">
        <v>259</v>
      </c>
    </row>
    <row r="270" spans="1:12" x14ac:dyDescent="0.25">
      <c r="A270" s="3" t="s">
        <v>74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42">
        <v>0.85</v>
      </c>
      <c r="G270" s="4">
        <f>'Gas Water'!M272</f>
        <v>1601</v>
      </c>
      <c r="H270" s="142">
        <v>2</v>
      </c>
      <c r="I270" s="2">
        <f>'Gas Water'!L272</f>
        <v>250</v>
      </c>
      <c r="J270" s="142">
        <v>14.15</v>
      </c>
      <c r="K270" s="5">
        <v>123</v>
      </c>
      <c r="L270" s="5">
        <v>207</v>
      </c>
    </row>
    <row r="271" spans="1:12" x14ac:dyDescent="0.25">
      <c r="A271" s="3" t="s">
        <v>74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42">
        <v>0.85</v>
      </c>
      <c r="G271" s="4">
        <f>'Gas Water'!M273</f>
        <v>1588</v>
      </c>
      <c r="H271" s="142">
        <v>2</v>
      </c>
      <c r="I271" s="2">
        <f>'Gas Water'!L273</f>
        <v>275</v>
      </c>
      <c r="J271" s="142">
        <v>14.15</v>
      </c>
      <c r="K271" s="5">
        <v>98</v>
      </c>
      <c r="L271" s="5">
        <v>171</v>
      </c>
    </row>
    <row r="272" spans="1:12" x14ac:dyDescent="0.25">
      <c r="A272" s="3" t="s">
        <v>74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42">
        <v>0.85</v>
      </c>
      <c r="G272" s="4">
        <f>'Gas Water'!M274</f>
        <v>1579</v>
      </c>
      <c r="H272" s="142">
        <v>2</v>
      </c>
      <c r="I272" s="2">
        <f>'Gas Water'!L274</f>
        <v>221</v>
      </c>
      <c r="J272" s="142">
        <v>14.15</v>
      </c>
      <c r="K272" s="5">
        <v>120</v>
      </c>
      <c r="L272" s="5">
        <v>194</v>
      </c>
    </row>
    <row r="273" spans="1:12" x14ac:dyDescent="0.25">
      <c r="A273" s="3" t="s">
        <v>74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42">
        <v>0.85</v>
      </c>
      <c r="G273" s="4">
        <f>'Gas Water'!M275</f>
        <v>1779</v>
      </c>
      <c r="H273" s="142">
        <v>2</v>
      </c>
      <c r="I273" s="2">
        <f>'Gas Water'!L275</f>
        <v>266</v>
      </c>
      <c r="J273" s="142">
        <v>14.15</v>
      </c>
      <c r="K273" s="5">
        <v>105</v>
      </c>
      <c r="L273" s="5">
        <v>200</v>
      </c>
    </row>
    <row r="274" spans="1:12" x14ac:dyDescent="0.25">
      <c r="A274" s="3" t="s">
        <v>74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42">
        <v>0.85</v>
      </c>
      <c r="G274" s="4">
        <f>'Gas Water'!M276</f>
        <v>1680</v>
      </c>
      <c r="H274" s="142">
        <v>2</v>
      </c>
      <c r="I274" s="2">
        <f>'Gas Water'!L276</f>
        <v>181</v>
      </c>
      <c r="J274" s="142">
        <v>14.15</v>
      </c>
      <c r="K274" s="5">
        <v>128</v>
      </c>
      <c r="L274" s="5">
        <v>228</v>
      </c>
    </row>
    <row r="275" spans="1:12" x14ac:dyDescent="0.25">
      <c r="A275" s="3" t="s">
        <v>74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42">
        <v>0.85</v>
      </c>
      <c r="G275" s="4">
        <f>'Gas Water'!M277</f>
        <v>1822</v>
      </c>
      <c r="H275" s="142">
        <v>2.65</v>
      </c>
      <c r="I275" s="2">
        <f>'Gas Water'!L277</f>
        <v>270</v>
      </c>
      <c r="J275" s="142">
        <v>14.95</v>
      </c>
      <c r="K275" s="5">
        <v>146</v>
      </c>
      <c r="L275" s="5">
        <v>265</v>
      </c>
    </row>
    <row r="276" spans="1:12" x14ac:dyDescent="0.25">
      <c r="A276" s="3" t="s">
        <v>74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42">
        <v>0.85</v>
      </c>
      <c r="G276" s="4">
        <f>'Gas Water'!M278</f>
        <v>1942</v>
      </c>
      <c r="H276" s="142">
        <v>2.65</v>
      </c>
      <c r="I276" s="2">
        <f>'Gas Water'!L278</f>
        <v>224</v>
      </c>
      <c r="J276" s="142">
        <v>14.95</v>
      </c>
      <c r="K276" s="5">
        <v>147</v>
      </c>
      <c r="L276" s="5">
        <v>259</v>
      </c>
    </row>
    <row r="277" spans="1:12" x14ac:dyDescent="0.25">
      <c r="A277" s="3" t="s">
        <v>74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42">
        <v>0.85</v>
      </c>
      <c r="G277" s="4">
        <f>'Gas Water'!M279</f>
        <v>1919</v>
      </c>
      <c r="H277" s="142">
        <v>2.65</v>
      </c>
      <c r="I277" s="2">
        <f>'Gas Water'!L279</f>
        <v>192</v>
      </c>
      <c r="J277" s="142">
        <v>14.95</v>
      </c>
      <c r="K277" s="5">
        <v>115</v>
      </c>
      <c r="L277" s="5">
        <v>210</v>
      </c>
    </row>
    <row r="278" spans="1:12" x14ac:dyDescent="0.25">
      <c r="A278" s="3" t="s">
        <v>74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42">
        <v>0.85</v>
      </c>
      <c r="G278" s="4">
        <f>'Gas Water'!M280</f>
        <v>1622</v>
      </c>
      <c r="H278" s="142">
        <v>2.65</v>
      </c>
      <c r="I278" s="2">
        <f>'Gas Water'!L280</f>
        <v>200</v>
      </c>
      <c r="J278" s="142">
        <v>14.95</v>
      </c>
      <c r="K278" s="5">
        <v>107</v>
      </c>
      <c r="L278" s="5">
        <v>193</v>
      </c>
    </row>
    <row r="279" spans="1:12" x14ac:dyDescent="0.25">
      <c r="A279" s="3" t="s">
        <v>74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42">
        <v>0.85</v>
      </c>
      <c r="G279" s="4">
        <f>'Gas Water'!M281</f>
        <v>1710</v>
      </c>
      <c r="H279" s="142">
        <v>2.65</v>
      </c>
      <c r="I279" s="2">
        <f>'Gas Water'!L281</f>
        <v>204</v>
      </c>
      <c r="J279" s="142">
        <v>14.95</v>
      </c>
      <c r="K279" s="5">
        <v>128</v>
      </c>
      <c r="L279" s="5">
        <v>217</v>
      </c>
    </row>
    <row r="280" spans="1:12" x14ac:dyDescent="0.25">
      <c r="A280" s="3" t="s">
        <v>74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42">
        <v>0.85</v>
      </c>
      <c r="G280" s="4">
        <f>'Gas Water'!M282</f>
        <v>1832</v>
      </c>
      <c r="H280" s="142">
        <v>2.65</v>
      </c>
      <c r="I280" s="2">
        <f>'Gas Water'!L282</f>
        <v>230</v>
      </c>
      <c r="J280" s="142">
        <v>14.95</v>
      </c>
      <c r="K280" s="5">
        <v>129</v>
      </c>
      <c r="L280" s="5">
        <v>211</v>
      </c>
    </row>
    <row r="281" spans="1:12" x14ac:dyDescent="0.25">
      <c r="A281" s="3" t="s">
        <v>74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42">
        <v>0.85</v>
      </c>
      <c r="G281" s="4">
        <f>'Gas Water'!M283</f>
        <v>1728</v>
      </c>
      <c r="H281" s="142">
        <v>2.65</v>
      </c>
      <c r="I281" s="2">
        <f>'Gas Water'!L283</f>
        <v>209</v>
      </c>
      <c r="J281" s="142">
        <v>14.95</v>
      </c>
      <c r="K281" s="5">
        <v>150</v>
      </c>
      <c r="L281" s="5">
        <v>247</v>
      </c>
    </row>
    <row r="282" spans="1:12" x14ac:dyDescent="0.25">
      <c r="A282" s="3" t="s">
        <v>74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42">
        <v>0.85</v>
      </c>
      <c r="G282" s="4">
        <f>'Gas Water'!M284</f>
        <v>1712</v>
      </c>
      <c r="H282" s="142">
        <v>2.65</v>
      </c>
      <c r="I282" s="2">
        <f>'Gas Water'!L284</f>
        <v>188</v>
      </c>
      <c r="J282" s="142">
        <v>14.95</v>
      </c>
      <c r="K282" s="5">
        <v>154</v>
      </c>
      <c r="L282" s="5">
        <v>266</v>
      </c>
    </row>
    <row r="283" spans="1:12" x14ac:dyDescent="0.25">
      <c r="A283" s="3" t="s">
        <v>74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42">
        <v>0.85</v>
      </c>
      <c r="G283" s="4">
        <f>'Gas Water'!M285</f>
        <v>2020</v>
      </c>
      <c r="H283" s="142">
        <v>2.65</v>
      </c>
      <c r="I283" s="2">
        <f>'Gas Water'!L285</f>
        <v>185</v>
      </c>
      <c r="J283" s="142">
        <v>14.95</v>
      </c>
      <c r="K283" s="5">
        <v>156</v>
      </c>
      <c r="L283" s="5">
        <v>259</v>
      </c>
    </row>
    <row r="284" spans="1:12" x14ac:dyDescent="0.25">
      <c r="A284" s="3" t="s">
        <v>74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42">
        <v>0.85</v>
      </c>
      <c r="G284" s="4">
        <f>'Gas Water'!M286</f>
        <v>1669</v>
      </c>
      <c r="H284" s="142">
        <v>2.65</v>
      </c>
      <c r="I284" s="2">
        <f>'Gas Water'!L286</f>
        <v>168</v>
      </c>
      <c r="J284" s="142">
        <v>14.95</v>
      </c>
      <c r="K284" s="5">
        <v>157</v>
      </c>
      <c r="L284" s="5">
        <v>257</v>
      </c>
    </row>
    <row r="285" spans="1:12" x14ac:dyDescent="0.25">
      <c r="A285" s="3" t="s">
        <v>74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42">
        <v>0.85</v>
      </c>
      <c r="G285" s="4">
        <f>'Gas Water'!M287</f>
        <v>1718</v>
      </c>
      <c r="H285" s="142">
        <v>2.65</v>
      </c>
      <c r="I285" s="2">
        <f>'Gas Water'!L287</f>
        <v>165</v>
      </c>
      <c r="J285" s="142">
        <v>14.95</v>
      </c>
      <c r="K285" s="5">
        <v>146</v>
      </c>
      <c r="L285" s="5">
        <v>248</v>
      </c>
    </row>
    <row r="286" spans="1:12" x14ac:dyDescent="0.25">
      <c r="A286" s="3" t="s">
        <v>74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42">
        <v>0.85</v>
      </c>
      <c r="G286" s="4">
        <f>'Gas Water'!M288</f>
        <v>1789</v>
      </c>
      <c r="H286" s="142">
        <v>2.65</v>
      </c>
      <c r="I286" s="2">
        <f>'Gas Water'!L288</f>
        <v>175</v>
      </c>
      <c r="J286" s="142">
        <v>14.95</v>
      </c>
      <c r="K286" s="5">
        <v>146</v>
      </c>
      <c r="L286" s="5">
        <v>249</v>
      </c>
    </row>
    <row r="287" spans="1:12" x14ac:dyDescent="0.25">
      <c r="A287" s="3" t="s">
        <v>74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42">
        <v>0.85</v>
      </c>
      <c r="G287" s="4">
        <f>'Gas Water'!M289</f>
        <v>2091</v>
      </c>
      <c r="H287" s="142">
        <v>2.65</v>
      </c>
      <c r="I287" s="2">
        <f>'Gas Water'!L289</f>
        <v>230</v>
      </c>
      <c r="J287" s="142">
        <v>14.95</v>
      </c>
      <c r="K287" s="5">
        <v>144</v>
      </c>
      <c r="L287" s="5">
        <v>253</v>
      </c>
    </row>
    <row r="288" spans="1:12" x14ac:dyDescent="0.25">
      <c r="A288" s="3" t="s">
        <v>74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42">
        <v>0.85</v>
      </c>
      <c r="G288" s="4">
        <f>'Gas Water'!M290</f>
        <v>1884</v>
      </c>
      <c r="H288" s="142">
        <v>2.65</v>
      </c>
      <c r="I288" s="2">
        <f>'Gas Water'!L290</f>
        <v>215</v>
      </c>
      <c r="J288" s="142">
        <v>14.95</v>
      </c>
      <c r="K288" s="5">
        <v>135</v>
      </c>
      <c r="L288" s="5">
        <v>240</v>
      </c>
    </row>
    <row r="289" spans="1:12" x14ac:dyDescent="0.25">
      <c r="A289" s="3" t="s">
        <v>74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42">
        <v>0.85</v>
      </c>
      <c r="G289" s="4">
        <f>'Gas Water'!M291</f>
        <v>1637</v>
      </c>
      <c r="H289" s="142">
        <v>2.65</v>
      </c>
      <c r="I289" s="2">
        <f>'Gas Water'!L291</f>
        <v>209</v>
      </c>
      <c r="J289" s="142">
        <v>14.95</v>
      </c>
      <c r="K289" s="5">
        <v>149</v>
      </c>
      <c r="L289" s="5">
        <v>270</v>
      </c>
    </row>
    <row r="290" spans="1:12" x14ac:dyDescent="0.25">
      <c r="A290" s="3" t="s">
        <v>74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42">
        <v>0.85</v>
      </c>
      <c r="G290" s="4">
        <f>'Gas Water'!M292</f>
        <v>1539</v>
      </c>
      <c r="H290" s="142">
        <v>2.65</v>
      </c>
      <c r="I290" s="2">
        <f>'Gas Water'!L292</f>
        <v>204</v>
      </c>
      <c r="J290" s="142">
        <v>14.95</v>
      </c>
      <c r="K290" s="5">
        <v>153</v>
      </c>
      <c r="L290" s="5">
        <v>285</v>
      </c>
    </row>
    <row r="291" spans="1:12" x14ac:dyDescent="0.25">
      <c r="A291" s="3" t="s">
        <v>74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42">
        <v>0.85</v>
      </c>
      <c r="G291" s="4">
        <f>'Gas Water'!M293</f>
        <v>2160</v>
      </c>
      <c r="H291" s="142">
        <v>2.65</v>
      </c>
      <c r="I291" s="2">
        <f>'Gas Water'!L293</f>
        <v>216</v>
      </c>
      <c r="J291" s="142">
        <v>14.95</v>
      </c>
      <c r="K291" s="5">
        <v>140</v>
      </c>
      <c r="L291" s="5">
        <v>244</v>
      </c>
    </row>
    <row r="292" spans="1:12" x14ac:dyDescent="0.25">
      <c r="A292" s="3" t="s">
        <v>74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42">
        <v>0.85</v>
      </c>
      <c r="G292" s="4">
        <f>'Gas Water'!M294</f>
        <v>1918</v>
      </c>
      <c r="H292" s="142">
        <v>2.65</v>
      </c>
      <c r="I292" s="2">
        <f>'Gas Water'!L294</f>
        <v>217</v>
      </c>
      <c r="J292" s="142">
        <v>14.95</v>
      </c>
      <c r="K292" s="5">
        <v>146</v>
      </c>
      <c r="L292" s="5">
        <v>276</v>
      </c>
    </row>
    <row r="293" spans="1:12" x14ac:dyDescent="0.25">
      <c r="A293" s="3" t="s">
        <v>74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42">
        <v>0.85</v>
      </c>
      <c r="G293" s="4">
        <f>'Gas Water'!M295</f>
        <v>2056</v>
      </c>
      <c r="H293" s="142">
        <v>2.65</v>
      </c>
      <c r="I293" s="2">
        <f>'Gas Water'!L295</f>
        <v>228</v>
      </c>
      <c r="J293" s="142">
        <v>14.95</v>
      </c>
      <c r="K293" s="5">
        <v>140</v>
      </c>
      <c r="L293" s="5">
        <v>263</v>
      </c>
    </row>
    <row r="294" spans="1:12" x14ac:dyDescent="0.25">
      <c r="A294" s="3" t="s">
        <v>74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42">
        <v>0.85</v>
      </c>
      <c r="G294" s="4">
        <f>'Gas Water'!M296</f>
        <v>2107</v>
      </c>
      <c r="H294" s="142">
        <v>2.65</v>
      </c>
      <c r="I294" s="2">
        <f>'Gas Water'!L296</f>
        <v>239</v>
      </c>
      <c r="J294" s="142">
        <v>14.95</v>
      </c>
      <c r="K294" s="5">
        <v>149</v>
      </c>
      <c r="L294" s="5">
        <v>289</v>
      </c>
    </row>
    <row r="295" spans="1:12" x14ac:dyDescent="0.25">
      <c r="A295" s="3" t="s">
        <v>74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42">
        <v>0.85</v>
      </c>
      <c r="G295" s="4">
        <f>'Gas Water'!M297</f>
        <v>1962</v>
      </c>
      <c r="H295" s="142">
        <v>2.65</v>
      </c>
      <c r="I295" s="2">
        <f>'Gas Water'!L297</f>
        <v>239</v>
      </c>
      <c r="J295" s="142">
        <v>14.95</v>
      </c>
      <c r="K295" s="5">
        <v>154</v>
      </c>
      <c r="L295" s="5">
        <v>269</v>
      </c>
    </row>
    <row r="296" spans="1:12" x14ac:dyDescent="0.25">
      <c r="A296" s="3" t="s">
        <v>74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42">
        <v>0.85</v>
      </c>
      <c r="G296" s="4">
        <f>'Gas Water'!M298</f>
        <v>1900</v>
      </c>
      <c r="H296" s="142">
        <v>2.65</v>
      </c>
      <c r="I296" s="2">
        <f>'Gas Water'!L298</f>
        <v>226</v>
      </c>
      <c r="J296" s="142">
        <v>14.95</v>
      </c>
      <c r="K296" s="5">
        <v>156</v>
      </c>
      <c r="L296" s="5">
        <v>267</v>
      </c>
    </row>
    <row r="297" spans="1:12" x14ac:dyDescent="0.25">
      <c r="A297" s="3" t="s">
        <v>74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42">
        <v>0.85</v>
      </c>
      <c r="G297" s="4">
        <f>'Gas Water'!M299</f>
        <v>1936</v>
      </c>
      <c r="H297" s="142">
        <v>2.65</v>
      </c>
      <c r="I297" s="2">
        <f>'Gas Water'!L299</f>
        <v>233</v>
      </c>
      <c r="J297" s="142">
        <v>14.95</v>
      </c>
      <c r="K297" s="5">
        <v>148</v>
      </c>
      <c r="L297" s="5">
        <v>268</v>
      </c>
    </row>
    <row r="298" spans="1:12" x14ac:dyDescent="0.25">
      <c r="A298" s="3" t="s">
        <v>74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42">
        <v>0.85</v>
      </c>
      <c r="G298" s="4">
        <f>'Gas Water'!M300</f>
        <v>2366</v>
      </c>
      <c r="H298" s="142">
        <v>2.65</v>
      </c>
      <c r="I298" s="2">
        <f>'Gas Water'!L300</f>
        <v>213</v>
      </c>
      <c r="J298" s="142">
        <v>14.95</v>
      </c>
      <c r="K298" s="5">
        <v>140</v>
      </c>
      <c r="L298" s="5">
        <v>251</v>
      </c>
    </row>
    <row r="299" spans="1:12" x14ac:dyDescent="0.25">
      <c r="A299" s="3" t="s">
        <v>74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42">
        <v>0.85</v>
      </c>
      <c r="G299" s="4">
        <f>'Gas Water'!M301</f>
        <v>2249</v>
      </c>
      <c r="H299" s="142">
        <v>2.65</v>
      </c>
      <c r="I299" s="2">
        <f>'Gas Water'!L301</f>
        <v>212</v>
      </c>
      <c r="J299" s="142">
        <v>14.95</v>
      </c>
      <c r="K299" s="5">
        <v>142</v>
      </c>
      <c r="L299" s="5">
        <v>252</v>
      </c>
    </row>
    <row r="300" spans="1:12" x14ac:dyDescent="0.25">
      <c r="A300" s="3" t="s">
        <v>74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42">
        <v>0.85</v>
      </c>
      <c r="G300" s="4">
        <f>'Gas Water'!M302</f>
        <v>2121</v>
      </c>
      <c r="H300" s="142">
        <v>2.65</v>
      </c>
      <c r="I300" s="2">
        <f>'Gas Water'!L302</f>
        <v>214</v>
      </c>
      <c r="J300" s="142">
        <v>14.95</v>
      </c>
      <c r="K300" s="5">
        <v>127</v>
      </c>
      <c r="L300" s="5">
        <v>233</v>
      </c>
    </row>
    <row r="301" spans="1:12" x14ac:dyDescent="0.25">
      <c r="A301" s="3" t="s">
        <v>74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42">
        <v>0.85</v>
      </c>
      <c r="G301" s="4">
        <f>'Gas Water'!M303</f>
        <v>2006</v>
      </c>
      <c r="H301" s="142">
        <v>2.65</v>
      </c>
      <c r="I301" s="2">
        <f>'Gas Water'!L303</f>
        <v>246</v>
      </c>
      <c r="J301" s="142">
        <v>14.95</v>
      </c>
      <c r="K301" s="5">
        <v>137</v>
      </c>
      <c r="L301" s="5">
        <v>240</v>
      </c>
    </row>
    <row r="302" spans="1:12" x14ac:dyDescent="0.25">
      <c r="A302" s="3" t="s">
        <v>74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42">
        <v>0.85</v>
      </c>
      <c r="G302" s="4">
        <f>'Gas Water'!M304</f>
        <v>1976</v>
      </c>
      <c r="H302" s="142">
        <v>2.65</v>
      </c>
      <c r="I302" s="2">
        <f>'Gas Water'!L304</f>
        <v>184</v>
      </c>
      <c r="J302" s="142">
        <v>14.95</v>
      </c>
      <c r="K302" s="5">
        <v>141</v>
      </c>
      <c r="L302" s="5">
        <v>252</v>
      </c>
    </row>
    <row r="303" spans="1:12" x14ac:dyDescent="0.25">
      <c r="A303" s="3" t="s">
        <v>74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42">
        <v>0.85</v>
      </c>
      <c r="G303" s="4">
        <f>'Gas Water'!M305</f>
        <v>2020</v>
      </c>
      <c r="H303" s="142">
        <v>2.65</v>
      </c>
      <c r="I303" s="2">
        <f>'Gas Water'!L305</f>
        <v>221</v>
      </c>
      <c r="J303" s="142">
        <v>14.95</v>
      </c>
      <c r="K303" s="5">
        <v>154</v>
      </c>
      <c r="L303" s="5">
        <v>288</v>
      </c>
    </row>
    <row r="304" spans="1:12" x14ac:dyDescent="0.25">
      <c r="A304" s="3" t="s">
        <v>74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42">
        <v>0.85</v>
      </c>
      <c r="G304" s="4">
        <f>'Gas Water'!M306</f>
        <v>2000</v>
      </c>
      <c r="H304" s="142">
        <v>2.65</v>
      </c>
      <c r="I304" s="2">
        <f>'Gas Water'!L306</f>
        <v>211</v>
      </c>
      <c r="J304" s="142">
        <v>14.95</v>
      </c>
      <c r="K304" s="5">
        <v>152</v>
      </c>
      <c r="L304" s="5">
        <v>290</v>
      </c>
    </row>
    <row r="305" spans="1:12" x14ac:dyDescent="0.25">
      <c r="A305" s="3" t="s">
        <v>74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42">
        <v>0.85</v>
      </c>
      <c r="G305" s="4">
        <f>'Gas Water'!M307</f>
        <v>1940</v>
      </c>
      <c r="H305" s="142">
        <v>2.65</v>
      </c>
      <c r="I305" s="2">
        <f>'Gas Water'!L307</f>
        <v>163</v>
      </c>
      <c r="J305" s="142">
        <v>14.95</v>
      </c>
      <c r="K305" s="5">
        <v>139</v>
      </c>
      <c r="L305" s="5">
        <v>250</v>
      </c>
    </row>
    <row r="306" spans="1:12" x14ac:dyDescent="0.25">
      <c r="A306" s="3" t="s">
        <v>74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42">
        <v>1.1599999999999999</v>
      </c>
      <c r="G306" s="4">
        <f>'Gas Water'!M308</f>
        <v>2103</v>
      </c>
      <c r="H306" s="142">
        <v>3.85</v>
      </c>
      <c r="I306" s="2">
        <f>'Gas Water'!L308</f>
        <v>277</v>
      </c>
      <c r="J306" s="142">
        <v>14.95</v>
      </c>
      <c r="K306" s="5">
        <v>150</v>
      </c>
      <c r="L306" s="5">
        <v>251</v>
      </c>
    </row>
    <row r="307" spans="1:12" x14ac:dyDescent="0.25">
      <c r="A307" s="3" t="s">
        <v>74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42">
        <v>1.1599999999999999</v>
      </c>
      <c r="G307" s="4">
        <f>'Gas Water'!M309</f>
        <v>2052</v>
      </c>
      <c r="H307" s="142">
        <v>3.85</v>
      </c>
      <c r="I307" s="2">
        <f>'Gas Water'!L309</f>
        <v>243</v>
      </c>
      <c r="J307" s="142">
        <v>14.95</v>
      </c>
      <c r="K307" s="5">
        <v>147</v>
      </c>
      <c r="L307" s="5">
        <v>241</v>
      </c>
    </row>
    <row r="308" spans="1:12" x14ac:dyDescent="0.25">
      <c r="A308" s="3" t="s">
        <v>74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42">
        <v>1.1599999999999999</v>
      </c>
      <c r="G308" s="4">
        <f>'Gas Water'!M310</f>
        <v>1612</v>
      </c>
      <c r="H308" s="142">
        <v>3.85</v>
      </c>
      <c r="I308" s="2">
        <f>'Gas Water'!L310</f>
        <v>233</v>
      </c>
      <c r="J308" s="142">
        <v>14.95</v>
      </c>
      <c r="K308" s="5">
        <v>144</v>
      </c>
      <c r="L308" s="5">
        <v>226</v>
      </c>
    </row>
    <row r="309" spans="1:12" x14ac:dyDescent="0.25">
      <c r="A309" s="3" t="s">
        <v>74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42">
        <v>1.1599999999999999</v>
      </c>
      <c r="G309" s="4">
        <f>'Gas Water'!M311</f>
        <v>1533</v>
      </c>
      <c r="H309" s="142">
        <v>3.85</v>
      </c>
      <c r="I309" s="2">
        <f>'Gas Water'!L311</f>
        <v>193</v>
      </c>
      <c r="J309" s="142">
        <v>14.95</v>
      </c>
      <c r="K309" s="5">
        <v>127</v>
      </c>
      <c r="L309" s="5">
        <v>202</v>
      </c>
    </row>
    <row r="310" spans="1:12" x14ac:dyDescent="0.25">
      <c r="A310" s="3" t="s">
        <v>74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42">
        <v>1.1599999999999999</v>
      </c>
      <c r="G310" s="4">
        <f>'Gas Water'!M312</f>
        <v>1593</v>
      </c>
      <c r="H310" s="142">
        <v>3.85</v>
      </c>
      <c r="I310" s="2">
        <f>'Gas Water'!L312</f>
        <v>168</v>
      </c>
      <c r="J310" s="142">
        <v>14.95</v>
      </c>
      <c r="K310" s="5">
        <v>112</v>
      </c>
      <c r="L310" s="5">
        <v>208</v>
      </c>
    </row>
    <row r="311" spans="1:12" x14ac:dyDescent="0.25">
      <c r="A311" s="3" t="s">
        <v>74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42">
        <v>1.1599999999999999</v>
      </c>
      <c r="G311" s="4">
        <f>'Gas Water'!M313</f>
        <v>1596</v>
      </c>
      <c r="H311" s="142">
        <v>3.85</v>
      </c>
      <c r="I311" s="2">
        <f>'Gas Water'!L313</f>
        <v>171</v>
      </c>
      <c r="J311" s="142">
        <v>14.95</v>
      </c>
      <c r="K311" s="5">
        <v>126</v>
      </c>
      <c r="L311" s="5">
        <v>236</v>
      </c>
    </row>
    <row r="312" spans="1:12" x14ac:dyDescent="0.25">
      <c r="A312" s="3" t="s">
        <v>74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42">
        <v>1.1599999999999999</v>
      </c>
      <c r="G312" s="4">
        <f>'Gas Water'!M314</f>
        <v>1741</v>
      </c>
      <c r="H312" s="142">
        <v>3.85</v>
      </c>
      <c r="I312" s="2">
        <f>'Gas Water'!L314</f>
        <v>184</v>
      </c>
      <c r="J312" s="142">
        <v>14.95</v>
      </c>
      <c r="K312" s="5">
        <v>127</v>
      </c>
      <c r="L312" s="5">
        <v>213</v>
      </c>
    </row>
    <row r="313" spans="1:12" x14ac:dyDescent="0.25">
      <c r="A313" s="3" t="s">
        <v>74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42">
        <v>1.1599999999999999</v>
      </c>
      <c r="G313" s="4">
        <f>'Gas Water'!M315</f>
        <v>1596</v>
      </c>
      <c r="H313" s="142">
        <v>3.85</v>
      </c>
      <c r="I313" s="2">
        <f>'Gas Water'!L315</f>
        <v>190</v>
      </c>
      <c r="J313" s="142">
        <v>14.95</v>
      </c>
      <c r="K313" s="5">
        <v>132</v>
      </c>
      <c r="L313" s="5">
        <v>209</v>
      </c>
    </row>
    <row r="314" spans="1:12" x14ac:dyDescent="0.25">
      <c r="A314" s="3" t="s">
        <v>74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42">
        <v>1.1599999999999999</v>
      </c>
      <c r="G314" s="4">
        <f>'Gas Water'!M316</f>
        <v>1752</v>
      </c>
      <c r="H314" s="142">
        <v>3.85</v>
      </c>
      <c r="I314" s="2">
        <f>'Gas Water'!L316</f>
        <v>179</v>
      </c>
      <c r="J314" s="142">
        <v>14.95</v>
      </c>
      <c r="K314" s="5">
        <v>143</v>
      </c>
      <c r="L314" s="5">
        <v>215</v>
      </c>
    </row>
    <row r="315" spans="1:12" x14ac:dyDescent="0.25">
      <c r="A315" s="3" t="s">
        <v>74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42">
        <v>1.1599999999999999</v>
      </c>
      <c r="G315" s="4">
        <f>'Gas Water'!M317</f>
        <v>2040</v>
      </c>
      <c r="H315" s="142">
        <v>3.85</v>
      </c>
      <c r="I315" s="2">
        <f>'Gas Water'!L317</f>
        <v>193</v>
      </c>
      <c r="J315" s="142">
        <v>14.95</v>
      </c>
      <c r="K315" s="5">
        <v>129</v>
      </c>
      <c r="L315" s="5">
        <v>192</v>
      </c>
    </row>
    <row r="316" spans="1:12" x14ac:dyDescent="0.25">
      <c r="A316" s="3" t="s">
        <v>74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42">
        <v>1.1599999999999999</v>
      </c>
      <c r="G316" s="4">
        <f>'Gas Water'!M318</f>
        <v>2064</v>
      </c>
      <c r="H316" s="142">
        <v>3.85</v>
      </c>
      <c r="I316" s="2">
        <f>'Gas Water'!L318</f>
        <v>179</v>
      </c>
      <c r="J316" s="142">
        <v>14.95</v>
      </c>
      <c r="K316" s="5">
        <v>149</v>
      </c>
      <c r="L316" s="5">
        <v>238</v>
      </c>
    </row>
    <row r="317" spans="1:12" x14ac:dyDescent="0.25">
      <c r="A317" s="3" t="s">
        <v>74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42">
        <v>1.1599999999999999</v>
      </c>
      <c r="G317" s="4">
        <f>'Gas Water'!M319</f>
        <v>1961</v>
      </c>
      <c r="H317" s="142">
        <v>3.85</v>
      </c>
      <c r="I317" s="2">
        <f>'Gas Water'!L319</f>
        <v>165</v>
      </c>
      <c r="J317" s="142">
        <v>14.95</v>
      </c>
      <c r="K317" s="5">
        <v>133</v>
      </c>
      <c r="L317" s="5">
        <v>224</v>
      </c>
    </row>
    <row r="318" spans="1:12" x14ac:dyDescent="0.25">
      <c r="A318" s="3" t="s">
        <v>74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42">
        <v>1.1599999999999999</v>
      </c>
      <c r="G318" s="4">
        <f>'Gas Water'!M320</f>
        <v>2032</v>
      </c>
      <c r="H318" s="142">
        <v>3.85</v>
      </c>
      <c r="I318" s="2">
        <f>'Gas Water'!L320</f>
        <v>164</v>
      </c>
      <c r="J318" s="142">
        <v>14.95</v>
      </c>
      <c r="K318" s="5">
        <v>134</v>
      </c>
      <c r="L318" s="5">
        <v>230</v>
      </c>
    </row>
    <row r="319" spans="1:12" x14ac:dyDescent="0.25">
      <c r="A319" s="3" t="s">
        <v>74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42">
        <v>1.1599999999999999</v>
      </c>
      <c r="G319" s="4">
        <f>'Gas Water'!M321</f>
        <v>1811</v>
      </c>
      <c r="H319" s="142">
        <v>3.85</v>
      </c>
      <c r="I319" s="2">
        <f>'Gas Water'!L321</f>
        <v>176</v>
      </c>
      <c r="J319" s="142">
        <v>14.95</v>
      </c>
      <c r="K319" s="5">
        <v>144</v>
      </c>
      <c r="L319" s="5">
        <v>217</v>
      </c>
    </row>
    <row r="320" spans="1:12" x14ac:dyDescent="0.25">
      <c r="A320" s="3" t="s">
        <v>74</v>
      </c>
      <c r="B320" s="3">
        <v>15</v>
      </c>
      <c r="C320" s="3">
        <v>11</v>
      </c>
      <c r="D320" s="3">
        <v>2021</v>
      </c>
      <c r="E320" s="4">
        <f>'Electricity '!I321+'Electricity '!O321</f>
        <v>22637.52000000031</v>
      </c>
      <c r="F320" s="142">
        <v>1.1599999999999999</v>
      </c>
      <c r="G320" s="4">
        <f>'Gas Water'!M322</f>
        <v>1757</v>
      </c>
      <c r="H320" s="142">
        <v>3.85</v>
      </c>
      <c r="I320" s="2">
        <f>'Gas Water'!L322</f>
        <v>210</v>
      </c>
      <c r="J320" s="142">
        <v>14.95</v>
      </c>
      <c r="K320" s="5">
        <v>128</v>
      </c>
      <c r="L320" s="5">
        <v>199</v>
      </c>
    </row>
    <row r="321" spans="1:12" x14ac:dyDescent="0.25">
      <c r="A321" s="3" t="s">
        <v>74</v>
      </c>
      <c r="B321" s="3">
        <v>16</v>
      </c>
      <c r="C321" s="3">
        <v>11</v>
      </c>
      <c r="D321" s="3">
        <v>2021</v>
      </c>
      <c r="E321" s="4">
        <f>'Electricity '!I322+'Electricity '!O322</f>
        <v>23308.200000000452</v>
      </c>
      <c r="F321" s="142">
        <v>1.1599999999999999</v>
      </c>
      <c r="G321" s="4">
        <f>'Gas Water'!M323</f>
        <v>1897</v>
      </c>
      <c r="H321" s="142">
        <v>3.85</v>
      </c>
      <c r="I321" s="2">
        <f>'Gas Water'!L323</f>
        <v>231</v>
      </c>
      <c r="J321" s="142">
        <v>14.95</v>
      </c>
      <c r="K321" s="5">
        <v>118</v>
      </c>
      <c r="L321" s="5">
        <v>183</v>
      </c>
    </row>
    <row r="322" spans="1:12" x14ac:dyDescent="0.25">
      <c r="A322" s="3" t="s">
        <v>74</v>
      </c>
      <c r="B322" s="3">
        <v>17</v>
      </c>
      <c r="C322" s="3">
        <v>11</v>
      </c>
      <c r="D322" s="3">
        <v>2021</v>
      </c>
      <c r="E322" s="4">
        <f>'Electricity '!I323+'Electricity '!O323</f>
        <v>22939.739999999751</v>
      </c>
      <c r="F322" s="142">
        <v>1.1599999999999999</v>
      </c>
      <c r="G322" s="4">
        <f>'Gas Water'!M324</f>
        <v>1954</v>
      </c>
      <c r="H322" s="142">
        <v>3.85</v>
      </c>
      <c r="I322" s="2">
        <f>'Gas Water'!L324</f>
        <v>159</v>
      </c>
      <c r="J322" s="142">
        <v>14.95</v>
      </c>
      <c r="K322" s="5">
        <v>98</v>
      </c>
      <c r="L322" s="5">
        <v>166</v>
      </c>
    </row>
    <row r="323" spans="1:12" x14ac:dyDescent="0.25">
      <c r="A323" s="3" t="s">
        <v>74</v>
      </c>
      <c r="B323" s="3">
        <v>18</v>
      </c>
      <c r="C323" s="3">
        <v>11</v>
      </c>
      <c r="D323" s="3">
        <v>2021</v>
      </c>
      <c r="E323" s="4">
        <f>'Electricity '!I324+'Electricity '!O324</f>
        <v>23614.559999999798</v>
      </c>
      <c r="F323" s="142">
        <v>1.1599999999999999</v>
      </c>
      <c r="G323" s="4">
        <f>'Gas Water'!M325</f>
        <v>2113</v>
      </c>
      <c r="H323" s="142">
        <v>3.85</v>
      </c>
      <c r="I323" s="2">
        <f>'Gas Water'!L325</f>
        <v>217</v>
      </c>
      <c r="J323" s="142">
        <v>14.95</v>
      </c>
      <c r="K323" s="5">
        <v>122</v>
      </c>
      <c r="L323" s="5">
        <v>205</v>
      </c>
    </row>
    <row r="324" spans="1:12" x14ac:dyDescent="0.25">
      <c r="A324" s="3" t="s">
        <v>74</v>
      </c>
      <c r="B324" s="3">
        <v>19</v>
      </c>
      <c r="C324" s="3">
        <v>11</v>
      </c>
      <c r="D324" s="3">
        <v>2021</v>
      </c>
      <c r="E324" s="4">
        <f>'Electricity '!I325+'Electricity '!O325</f>
        <v>25432.02000000012</v>
      </c>
      <c r="F324" s="142">
        <v>1.1599999999999999</v>
      </c>
      <c r="G324" s="4">
        <f>'Gas Water'!M326</f>
        <v>2339</v>
      </c>
      <c r="H324" s="142">
        <v>3.85</v>
      </c>
      <c r="I324" s="2">
        <f>'Gas Water'!L326</f>
        <v>178</v>
      </c>
      <c r="J324" s="142">
        <v>14.95</v>
      </c>
      <c r="K324" s="5">
        <v>141</v>
      </c>
      <c r="L324" s="5">
        <v>243</v>
      </c>
    </row>
    <row r="325" spans="1:12" x14ac:dyDescent="0.25">
      <c r="A325" s="3" t="s">
        <v>74</v>
      </c>
      <c r="B325" s="3">
        <v>20</v>
      </c>
      <c r="C325" s="3">
        <v>11</v>
      </c>
      <c r="D325" s="3">
        <v>2021</v>
      </c>
      <c r="E325" s="4">
        <f>'Electricity '!I326+'Electricity '!O326</f>
        <v>24202.440000000017</v>
      </c>
      <c r="F325" s="142">
        <v>1.1599999999999999</v>
      </c>
      <c r="G325" s="4">
        <f>'Gas Water'!M327</f>
        <v>2342</v>
      </c>
      <c r="H325" s="142">
        <v>3.85</v>
      </c>
      <c r="I325" s="2">
        <f>'Gas Water'!L327</f>
        <v>193</v>
      </c>
      <c r="J325" s="142">
        <v>14.95</v>
      </c>
      <c r="K325" s="5">
        <v>138</v>
      </c>
      <c r="L325" s="5">
        <v>237</v>
      </c>
    </row>
    <row r="326" spans="1:12" x14ac:dyDescent="0.25">
      <c r="A326" s="3" t="s">
        <v>74</v>
      </c>
      <c r="B326" s="3">
        <v>21</v>
      </c>
      <c r="C326" s="3">
        <v>11</v>
      </c>
      <c r="D326" s="3">
        <v>2021</v>
      </c>
      <c r="E326" s="4">
        <f>'Electricity '!I327+'Electricity '!O327</f>
        <v>22724.460000000137</v>
      </c>
      <c r="F326" s="142">
        <v>1.1599999999999999</v>
      </c>
      <c r="G326" s="4">
        <f>'Gas Water'!M328</f>
        <v>2017</v>
      </c>
      <c r="H326" s="142">
        <v>3.85</v>
      </c>
      <c r="I326" s="2">
        <f>'Gas Water'!L328</f>
        <v>169</v>
      </c>
      <c r="J326" s="142">
        <v>14.95</v>
      </c>
      <c r="K326" s="5">
        <v>117</v>
      </c>
      <c r="L326" s="5">
        <v>190</v>
      </c>
    </row>
    <row r="327" spans="1:12" x14ac:dyDescent="0.25">
      <c r="A327" s="3" t="s">
        <v>74</v>
      </c>
      <c r="B327" s="3">
        <v>22</v>
      </c>
      <c r="C327" s="3">
        <v>11</v>
      </c>
      <c r="D327" s="3">
        <v>2021</v>
      </c>
      <c r="E327" s="4">
        <f>'Electricity '!I328+'Electricity '!O328</f>
        <v>21921.300000000301</v>
      </c>
      <c r="F327" s="142">
        <v>1.1599999999999999</v>
      </c>
      <c r="G327" s="4">
        <f>'Gas Water'!M329</f>
        <v>1716</v>
      </c>
      <c r="H327" s="142">
        <v>3.85</v>
      </c>
      <c r="I327" s="2">
        <f>'Gas Water'!L329</f>
        <v>166</v>
      </c>
      <c r="J327" s="142">
        <v>14.95</v>
      </c>
      <c r="K327" s="5">
        <v>127</v>
      </c>
      <c r="L327" s="5">
        <v>198</v>
      </c>
    </row>
    <row r="328" spans="1:12" x14ac:dyDescent="0.25">
      <c r="A328" s="3" t="s">
        <v>74</v>
      </c>
      <c r="B328" s="3">
        <v>23</v>
      </c>
      <c r="C328" s="3">
        <v>11</v>
      </c>
      <c r="D328" s="3">
        <v>2021</v>
      </c>
      <c r="E328" s="4">
        <f>'Electricity '!I329+'Electricity '!O329</f>
        <v>24604.019999999931</v>
      </c>
      <c r="F328" s="142">
        <v>1.1599999999999999</v>
      </c>
      <c r="G328" s="4">
        <f>'Gas Water'!M330</f>
        <v>1923</v>
      </c>
      <c r="H328" s="142">
        <v>3.85</v>
      </c>
      <c r="I328" s="2">
        <f>'Gas Water'!L330</f>
        <v>171</v>
      </c>
      <c r="J328" s="142">
        <v>14.95</v>
      </c>
      <c r="K328" s="5">
        <v>142</v>
      </c>
      <c r="L328" s="5">
        <v>217</v>
      </c>
    </row>
    <row r="329" spans="1:12" x14ac:dyDescent="0.25">
      <c r="A329" s="3" t="s">
        <v>74</v>
      </c>
      <c r="B329" s="3">
        <v>24</v>
      </c>
      <c r="C329" s="3">
        <v>11</v>
      </c>
      <c r="D329" s="3">
        <v>2021</v>
      </c>
      <c r="E329" s="4">
        <f>'Electricity '!I330+'Electricity '!O330</f>
        <v>24111.359999999346</v>
      </c>
      <c r="F329" s="142">
        <v>1.1599999999999999</v>
      </c>
      <c r="G329" s="4">
        <f>'Gas Water'!M331</f>
        <v>2248</v>
      </c>
      <c r="H329" s="142">
        <v>3.85</v>
      </c>
      <c r="I329" s="2">
        <f>'Gas Water'!L331</f>
        <v>286</v>
      </c>
      <c r="J329" s="142">
        <v>14.95</v>
      </c>
      <c r="K329" s="5">
        <v>138</v>
      </c>
      <c r="L329" s="5">
        <v>229</v>
      </c>
    </row>
    <row r="330" spans="1:12" x14ac:dyDescent="0.25">
      <c r="A330" s="3" t="s">
        <v>74</v>
      </c>
      <c r="B330" s="3">
        <v>25</v>
      </c>
      <c r="C330" s="3">
        <v>11</v>
      </c>
      <c r="D330" s="3">
        <v>2021</v>
      </c>
      <c r="E330" s="4">
        <f>'Electricity '!I331+'Electricity '!O331</f>
        <v>24136.200000000641</v>
      </c>
      <c r="F330" s="142">
        <v>1.1599999999999999</v>
      </c>
      <c r="G330" s="4">
        <f>'Gas Water'!M332</f>
        <v>2253</v>
      </c>
      <c r="H330" s="142">
        <v>3.85</v>
      </c>
      <c r="I330" s="2">
        <f>'Gas Water'!L332</f>
        <v>159</v>
      </c>
      <c r="J330" s="142">
        <v>14.95</v>
      </c>
      <c r="K330" s="5">
        <v>147</v>
      </c>
      <c r="L330" s="5">
        <v>271</v>
      </c>
    </row>
    <row r="331" spans="1:12" x14ac:dyDescent="0.25">
      <c r="A331" s="3" t="s">
        <v>74</v>
      </c>
      <c r="B331" s="3">
        <v>26</v>
      </c>
      <c r="C331" s="3">
        <v>11</v>
      </c>
      <c r="D331" s="3">
        <v>2021</v>
      </c>
      <c r="E331" s="4">
        <f>'Electricity '!I332+'Electricity '!O332</f>
        <v>25324.379999999841</v>
      </c>
      <c r="F331" s="142">
        <v>1.1599999999999999</v>
      </c>
      <c r="G331" s="4">
        <f>'Gas Water'!M333</f>
        <v>1849</v>
      </c>
      <c r="H331" s="142">
        <v>3.85</v>
      </c>
      <c r="I331" s="2">
        <f>'Gas Water'!L333</f>
        <v>181</v>
      </c>
      <c r="J331" s="142">
        <v>14.95</v>
      </c>
      <c r="K331" s="5">
        <v>136</v>
      </c>
      <c r="L331" s="5">
        <v>265</v>
      </c>
    </row>
    <row r="332" spans="1:12" x14ac:dyDescent="0.25">
      <c r="A332" s="3" t="s">
        <v>74</v>
      </c>
      <c r="B332" s="3">
        <v>27</v>
      </c>
      <c r="C332" s="3">
        <v>11</v>
      </c>
      <c r="D332" s="3">
        <v>2021</v>
      </c>
      <c r="E332" s="4">
        <f>'Electricity '!I333+'Electricity '!O333</f>
        <v>22749.299999999548</v>
      </c>
      <c r="F332" s="142">
        <v>1.1599999999999999</v>
      </c>
      <c r="G332" s="4">
        <f>'Gas Water'!M334</f>
        <v>1632</v>
      </c>
      <c r="H332" s="142">
        <v>3.85</v>
      </c>
      <c r="I332" s="2">
        <f>'Gas Water'!L334</f>
        <v>219</v>
      </c>
      <c r="J332" s="142">
        <v>14.95</v>
      </c>
      <c r="K332" s="5">
        <v>141</v>
      </c>
      <c r="L332" s="5">
        <v>280</v>
      </c>
    </row>
    <row r="333" spans="1:12" x14ac:dyDescent="0.25">
      <c r="A333" s="3" t="s">
        <v>74</v>
      </c>
      <c r="B333" s="3">
        <v>28</v>
      </c>
      <c r="C333" s="3">
        <v>11</v>
      </c>
      <c r="D333" s="3">
        <v>2021</v>
      </c>
      <c r="E333" s="4">
        <f>'Electricity '!I334+'Electricity '!O334</f>
        <v>23573.159999999836</v>
      </c>
      <c r="F333" s="142">
        <v>1.1599999999999999</v>
      </c>
      <c r="G333" s="4">
        <f>'Gas Water'!M335</f>
        <v>1526</v>
      </c>
      <c r="H333" s="142">
        <v>3.85</v>
      </c>
      <c r="I333" s="2">
        <f>'Gas Water'!L335</f>
        <v>184</v>
      </c>
      <c r="J333" s="142">
        <v>14.95</v>
      </c>
      <c r="K333" s="5">
        <v>111</v>
      </c>
      <c r="L333" s="5">
        <v>206</v>
      </c>
    </row>
    <row r="334" spans="1:12" x14ac:dyDescent="0.25">
      <c r="A334" s="3" t="s">
        <v>74</v>
      </c>
      <c r="B334" s="3">
        <v>29</v>
      </c>
      <c r="C334" s="3">
        <v>11</v>
      </c>
      <c r="D334" s="3">
        <v>2021</v>
      </c>
      <c r="E334" s="4">
        <f>'Electricity '!I335+'Electricity '!O335</f>
        <v>19391.760000000813</v>
      </c>
      <c r="F334" s="142">
        <v>1.1599999999999999</v>
      </c>
      <c r="G334" s="4">
        <f>'Gas Water'!M336</f>
        <v>1550</v>
      </c>
      <c r="H334" s="142">
        <v>3.85</v>
      </c>
      <c r="I334" s="2">
        <f>'Gas Water'!L336</f>
        <v>145</v>
      </c>
      <c r="J334" s="142">
        <v>14.95</v>
      </c>
      <c r="K334" s="5">
        <v>86</v>
      </c>
      <c r="L334" s="5">
        <v>164</v>
      </c>
    </row>
    <row r="335" spans="1:12" x14ac:dyDescent="0.25">
      <c r="A335" s="3" t="s">
        <v>74</v>
      </c>
      <c r="B335" s="3">
        <v>30</v>
      </c>
      <c r="C335" s="3">
        <v>11</v>
      </c>
      <c r="D335" s="3">
        <v>2021</v>
      </c>
      <c r="E335" s="4">
        <f>'Electricity '!I336+'Electricity '!O336</f>
        <v>21565.259999999307</v>
      </c>
      <c r="F335" s="142">
        <v>1.1599999999999999</v>
      </c>
      <c r="G335" s="4">
        <f>'Gas Water'!M337</f>
        <v>2192</v>
      </c>
      <c r="H335" s="142">
        <v>3.85</v>
      </c>
      <c r="I335" s="2">
        <f>'Gas Water'!L337</f>
        <v>178</v>
      </c>
      <c r="J335" s="142">
        <v>14.95</v>
      </c>
      <c r="K335" s="5">
        <v>98</v>
      </c>
      <c r="L335" s="5">
        <v>184</v>
      </c>
    </row>
    <row r="336" spans="1:12" x14ac:dyDescent="0.25">
      <c r="A336" s="3" t="s">
        <v>74</v>
      </c>
      <c r="B336" s="3">
        <v>1</v>
      </c>
      <c r="C336" s="3">
        <v>12</v>
      </c>
      <c r="D336" s="3">
        <v>2021</v>
      </c>
      <c r="E336" s="4">
        <f>'Electricity '!I337+'Electricity '!O337</f>
        <v>20911.140000000654</v>
      </c>
      <c r="F336" s="142">
        <v>1.1599999999999999</v>
      </c>
      <c r="G336" s="4">
        <f>'Gas Water'!M338</f>
        <v>2217</v>
      </c>
      <c r="H336" s="142">
        <v>3.85</v>
      </c>
      <c r="I336" s="2">
        <f>'Gas Water'!L338</f>
        <v>189</v>
      </c>
      <c r="J336" s="142">
        <v>14.95</v>
      </c>
      <c r="K336" s="5">
        <v>95</v>
      </c>
      <c r="L336" s="5">
        <v>169</v>
      </c>
    </row>
    <row r="337" spans="1:12" x14ac:dyDescent="0.25">
      <c r="A337" s="3" t="s">
        <v>74</v>
      </c>
      <c r="B337" s="3">
        <v>2</v>
      </c>
      <c r="C337" s="3">
        <v>12</v>
      </c>
      <c r="D337" s="3">
        <v>2021</v>
      </c>
      <c r="E337" s="4">
        <f>'Electricity '!I338+'Electricity '!O338</f>
        <v>23366.160000000022</v>
      </c>
      <c r="F337" s="142">
        <v>1.1599999999999999</v>
      </c>
      <c r="G337" s="4">
        <f>'Gas Water'!M339</f>
        <v>1907</v>
      </c>
      <c r="H337" s="142">
        <v>3.85</v>
      </c>
      <c r="I337" s="2">
        <f>'Gas Water'!L339</f>
        <v>166</v>
      </c>
      <c r="J337" s="142">
        <v>14.95</v>
      </c>
      <c r="K337" s="5">
        <v>111</v>
      </c>
      <c r="L337" s="5">
        <v>192</v>
      </c>
    </row>
    <row r="338" spans="1:12" x14ac:dyDescent="0.25">
      <c r="A338" s="3" t="s">
        <v>74</v>
      </c>
      <c r="B338" s="3">
        <v>3</v>
      </c>
      <c r="C338" s="3">
        <v>12</v>
      </c>
      <c r="D338" s="3">
        <v>2021</v>
      </c>
      <c r="E338" s="4">
        <f>'Electricity '!I339+'Electricity '!O339</f>
        <v>24152.759999999307</v>
      </c>
      <c r="F338" s="142">
        <v>1.1599999999999999</v>
      </c>
      <c r="G338" s="4">
        <f>'Gas Water'!M340</f>
        <v>1777</v>
      </c>
      <c r="H338" s="142">
        <v>3.85</v>
      </c>
      <c r="I338" s="2">
        <f>'Gas Water'!L340</f>
        <v>168</v>
      </c>
      <c r="J338" s="142">
        <v>14.95</v>
      </c>
      <c r="K338" s="5">
        <v>129</v>
      </c>
      <c r="L338" s="5">
        <v>203</v>
      </c>
    </row>
    <row r="339" spans="1:12" x14ac:dyDescent="0.25">
      <c r="A339" s="3" t="s">
        <v>74</v>
      </c>
      <c r="B339" s="3">
        <v>4</v>
      </c>
      <c r="C339" s="3">
        <v>12</v>
      </c>
      <c r="D339" s="3">
        <v>2021</v>
      </c>
      <c r="E339" s="4">
        <f>'Electricity '!I340+'Electricity '!O340</f>
        <v>23175.720000000762</v>
      </c>
      <c r="F339" s="142">
        <v>1.1599999999999999</v>
      </c>
      <c r="G339" s="4">
        <f>'Gas Water'!M341</f>
        <v>2070</v>
      </c>
      <c r="H339" s="142">
        <v>3.85</v>
      </c>
      <c r="I339" s="2">
        <f>'Gas Water'!L341</f>
        <v>163</v>
      </c>
      <c r="J339" s="142">
        <v>14.95</v>
      </c>
      <c r="K339" s="5">
        <v>113</v>
      </c>
      <c r="L339" s="5">
        <v>206</v>
      </c>
    </row>
    <row r="340" spans="1:12" x14ac:dyDescent="0.25">
      <c r="A340" s="3" t="s">
        <v>74</v>
      </c>
      <c r="B340" s="3">
        <v>5</v>
      </c>
      <c r="C340" s="3">
        <v>12</v>
      </c>
      <c r="D340" s="3">
        <v>2021</v>
      </c>
      <c r="E340" s="4">
        <f>'Electricity '!I341+'Electricity '!O341</f>
        <v>24181.739999999561</v>
      </c>
      <c r="F340" s="142">
        <v>1.1599999999999999</v>
      </c>
      <c r="G340" s="4">
        <f>'Gas Water'!M342</f>
        <v>2060</v>
      </c>
      <c r="H340" s="142">
        <v>3.85</v>
      </c>
      <c r="I340" s="2">
        <f>'Gas Water'!L342</f>
        <v>178</v>
      </c>
      <c r="J340" s="142">
        <v>14.95</v>
      </c>
      <c r="K340" s="5">
        <v>91</v>
      </c>
      <c r="L340" s="5">
        <v>160</v>
      </c>
    </row>
    <row r="341" spans="1:12" x14ac:dyDescent="0.25">
      <c r="A341" s="3" t="s">
        <v>74</v>
      </c>
      <c r="B341" s="3">
        <v>6</v>
      </c>
      <c r="C341" s="3">
        <v>12</v>
      </c>
      <c r="D341" s="3">
        <v>2021</v>
      </c>
      <c r="E341" s="4">
        <f>'Electricity '!I342+'Electricity '!O342</f>
        <v>24223.139999999526</v>
      </c>
      <c r="F341" s="142">
        <v>1.1599999999999999</v>
      </c>
      <c r="G341" s="4">
        <f>'Gas Water'!M343</f>
        <v>1894</v>
      </c>
      <c r="H341" s="142">
        <v>3.85</v>
      </c>
      <c r="I341" s="2">
        <f>'Gas Water'!L343</f>
        <v>196</v>
      </c>
      <c r="J341" s="142">
        <v>14.95</v>
      </c>
      <c r="K341" s="5">
        <v>127</v>
      </c>
      <c r="L341" s="5">
        <v>189</v>
      </c>
    </row>
    <row r="342" spans="1:12" x14ac:dyDescent="0.25">
      <c r="A342" s="3" t="s">
        <v>74</v>
      </c>
      <c r="B342" s="3">
        <v>7</v>
      </c>
      <c r="C342" s="3">
        <v>12</v>
      </c>
      <c r="D342" s="3">
        <v>2021</v>
      </c>
      <c r="E342" s="4">
        <f>'Electricity '!I343+'Electricity '!O343</f>
        <v>25059.42000000046</v>
      </c>
      <c r="F342" s="142">
        <v>1.1599999999999999</v>
      </c>
      <c r="G342" s="4">
        <f>'Gas Water'!M344</f>
        <v>1912</v>
      </c>
      <c r="H342" s="142">
        <v>3.85</v>
      </c>
      <c r="I342" s="2">
        <f>'Gas Water'!L344</f>
        <v>157</v>
      </c>
      <c r="J342" s="142">
        <v>14.95</v>
      </c>
      <c r="K342" s="5">
        <v>154</v>
      </c>
      <c r="L342" s="5">
        <v>205</v>
      </c>
    </row>
    <row r="343" spans="1:12" x14ac:dyDescent="0.25">
      <c r="A343" s="3" t="s">
        <v>74</v>
      </c>
      <c r="B343" s="3">
        <v>8</v>
      </c>
      <c r="C343" s="3">
        <v>12</v>
      </c>
      <c r="D343" s="3">
        <v>2021</v>
      </c>
      <c r="E343" s="4">
        <f>'Electricity '!I344+'Electricity '!O344</f>
        <v>23577.299999999737</v>
      </c>
      <c r="F343" s="142">
        <v>1.1599999999999999</v>
      </c>
      <c r="G343" s="4">
        <f>'Gas Water'!M345</f>
        <v>2628</v>
      </c>
      <c r="H343" s="142">
        <v>3.85</v>
      </c>
      <c r="I343" s="2">
        <f>'Gas Water'!L345</f>
        <v>165</v>
      </c>
      <c r="J343" s="142">
        <v>14.95</v>
      </c>
      <c r="K343" s="5">
        <v>155</v>
      </c>
      <c r="L343" s="5">
        <v>216</v>
      </c>
    </row>
    <row r="344" spans="1:12" x14ac:dyDescent="0.25">
      <c r="A344" s="3" t="s">
        <v>74</v>
      </c>
      <c r="B344" s="3">
        <v>9</v>
      </c>
      <c r="C344" s="3">
        <v>12</v>
      </c>
      <c r="D344" s="3">
        <v>2021</v>
      </c>
      <c r="E344" s="4">
        <f>'Electricity '!I345+'Electricity '!O345</f>
        <v>22525.740000000129</v>
      </c>
      <c r="F344" s="142">
        <v>1.1599999999999999</v>
      </c>
      <c r="G344" s="4">
        <f>'Gas Water'!M346</f>
        <v>2057</v>
      </c>
      <c r="H344" s="142">
        <v>3.85</v>
      </c>
      <c r="I344" s="2">
        <f>'Gas Water'!L346</f>
        <v>182</v>
      </c>
      <c r="J344" s="142">
        <v>14.95</v>
      </c>
      <c r="K344" s="5">
        <v>147</v>
      </c>
      <c r="L344" s="5">
        <v>221</v>
      </c>
    </row>
    <row r="345" spans="1:12" x14ac:dyDescent="0.25">
      <c r="A345" s="3" t="s">
        <v>74</v>
      </c>
      <c r="B345" s="3">
        <v>10</v>
      </c>
      <c r="C345" s="3">
        <v>12</v>
      </c>
      <c r="D345" s="3">
        <v>2021</v>
      </c>
      <c r="E345" s="4">
        <f>'Electricity '!I346+'Electricity '!O346</f>
        <v>22505.039999999677</v>
      </c>
      <c r="F345" s="142">
        <v>1.1599999999999999</v>
      </c>
      <c r="G345" s="4">
        <f>'Gas Water'!M347</f>
        <v>2042</v>
      </c>
      <c r="H345" s="142">
        <v>3.85</v>
      </c>
      <c r="I345" s="2">
        <f>'Gas Water'!L347</f>
        <v>169</v>
      </c>
      <c r="J345" s="142">
        <v>14.95</v>
      </c>
      <c r="K345" s="5">
        <v>142</v>
      </c>
      <c r="L345" s="5">
        <v>224</v>
      </c>
    </row>
    <row r="346" spans="1:12" x14ac:dyDescent="0.25">
      <c r="A346" s="3" t="s">
        <v>74</v>
      </c>
      <c r="B346" s="3">
        <v>11</v>
      </c>
      <c r="C346" s="3">
        <v>12</v>
      </c>
      <c r="D346" s="3">
        <v>2021</v>
      </c>
      <c r="E346" s="4">
        <f>'Electricity '!I347+'Electricity '!O347</f>
        <v>24926.940000000766</v>
      </c>
      <c r="F346" s="142">
        <v>1.1599999999999999</v>
      </c>
      <c r="G346" s="4">
        <f>'Gas Water'!M348</f>
        <v>1816</v>
      </c>
      <c r="H346" s="142">
        <v>3.85</v>
      </c>
      <c r="I346" s="2">
        <f>'Gas Water'!L348</f>
        <v>179</v>
      </c>
      <c r="J346" s="142">
        <v>14.95</v>
      </c>
      <c r="K346" s="5">
        <v>91</v>
      </c>
      <c r="L346" s="5">
        <v>153</v>
      </c>
    </row>
    <row r="347" spans="1:12" x14ac:dyDescent="0.25">
      <c r="A347" s="3" t="s">
        <v>74</v>
      </c>
      <c r="B347" s="3">
        <v>12</v>
      </c>
      <c r="C347" s="3">
        <v>12</v>
      </c>
      <c r="D347" s="3">
        <v>2021</v>
      </c>
      <c r="E347" s="4">
        <f>'Electricity '!I348+'Electricity '!O348</f>
        <v>22782.419999999707</v>
      </c>
      <c r="F347" s="142">
        <v>1.1599999999999999</v>
      </c>
      <c r="G347" s="4">
        <f>'Gas Water'!M349</f>
        <v>2010</v>
      </c>
      <c r="H347" s="142">
        <v>3.85</v>
      </c>
      <c r="I347" s="2">
        <f>'Gas Water'!L349</f>
        <v>165</v>
      </c>
      <c r="J347" s="142">
        <v>14.95</v>
      </c>
      <c r="K347" s="5">
        <v>93</v>
      </c>
      <c r="L347" s="5">
        <v>153</v>
      </c>
    </row>
    <row r="348" spans="1:12" x14ac:dyDescent="0.25">
      <c r="A348" s="3" t="s">
        <v>74</v>
      </c>
      <c r="B348" s="3">
        <v>13</v>
      </c>
      <c r="C348" s="3">
        <v>12</v>
      </c>
      <c r="D348" s="3">
        <v>2021</v>
      </c>
      <c r="E348" s="4">
        <f>'Electricity '!I349+'Electricity '!O349</f>
        <v>24376.319999999669</v>
      </c>
      <c r="F348" s="142">
        <v>1.1599999999999999</v>
      </c>
      <c r="G348" s="4">
        <f>'Gas Water'!M350</f>
        <v>2301</v>
      </c>
      <c r="H348" s="142">
        <v>3.85</v>
      </c>
      <c r="I348" s="2">
        <f>'Gas Water'!L350</f>
        <v>155</v>
      </c>
      <c r="J348" s="142">
        <v>14.95</v>
      </c>
      <c r="K348" s="5">
        <v>125</v>
      </c>
      <c r="L348" s="5">
        <v>181</v>
      </c>
    </row>
    <row r="349" spans="1:12" x14ac:dyDescent="0.25">
      <c r="A349" s="3" t="s">
        <v>74</v>
      </c>
      <c r="B349" s="3">
        <v>14</v>
      </c>
      <c r="C349" s="3">
        <v>12</v>
      </c>
      <c r="D349" s="3">
        <v>2021</v>
      </c>
      <c r="E349" s="4">
        <f>'Electricity '!I350+'Electricity '!O350</f>
        <v>24633.000000000189</v>
      </c>
      <c r="F349" s="142">
        <v>1.1599999999999999</v>
      </c>
      <c r="G349" s="4">
        <f>'Gas Water'!M351</f>
        <v>2543</v>
      </c>
      <c r="H349" s="142">
        <v>3.85</v>
      </c>
      <c r="I349" s="2">
        <f>'Gas Water'!L351</f>
        <v>169</v>
      </c>
      <c r="J349" s="142">
        <v>14.95</v>
      </c>
      <c r="K349" s="5">
        <v>143</v>
      </c>
      <c r="L349" s="5">
        <v>197</v>
      </c>
    </row>
    <row r="350" spans="1:12" x14ac:dyDescent="0.25">
      <c r="A350" s="3" t="s">
        <v>74</v>
      </c>
      <c r="B350" s="3">
        <v>15</v>
      </c>
      <c r="C350" s="3">
        <v>12</v>
      </c>
      <c r="D350" s="3">
        <v>2021</v>
      </c>
      <c r="E350" s="4">
        <f>'Electricity '!I351+'Electricity '!O351</f>
        <v>26044.739999999751</v>
      </c>
      <c r="F350" s="142">
        <v>1.1599999999999999</v>
      </c>
      <c r="G350" s="4">
        <f>'Gas Water'!M352</f>
        <v>3272</v>
      </c>
      <c r="H350" s="142">
        <v>3.85</v>
      </c>
      <c r="I350" s="2">
        <f>'Gas Water'!L352</f>
        <v>160</v>
      </c>
      <c r="J350" s="142">
        <v>14.95</v>
      </c>
      <c r="K350" s="5">
        <v>141</v>
      </c>
      <c r="L350" s="5">
        <v>211</v>
      </c>
    </row>
    <row r="351" spans="1:12" x14ac:dyDescent="0.25">
      <c r="A351" s="3" t="s">
        <v>74</v>
      </c>
      <c r="B351" s="3">
        <v>16</v>
      </c>
      <c r="C351" s="3">
        <v>12</v>
      </c>
      <c r="D351" s="3">
        <v>2021</v>
      </c>
      <c r="E351" s="4">
        <f>'Electricity '!I352+'Electricity '!O352</f>
        <v>24500.520000000499</v>
      </c>
      <c r="F351" s="142">
        <v>1.1599999999999999</v>
      </c>
      <c r="G351" s="4">
        <f>'Gas Water'!M353</f>
        <v>3224</v>
      </c>
      <c r="H351" s="142">
        <v>3.85</v>
      </c>
      <c r="I351" s="2">
        <f>'Gas Water'!L353</f>
        <v>183</v>
      </c>
      <c r="J351" s="142">
        <v>14.95</v>
      </c>
      <c r="K351" s="5">
        <v>152</v>
      </c>
      <c r="L351" s="5">
        <v>240</v>
      </c>
    </row>
    <row r="352" spans="1:12" x14ac:dyDescent="0.25">
      <c r="A352" s="3" t="s">
        <v>74</v>
      </c>
      <c r="B352" s="3">
        <v>17</v>
      </c>
      <c r="C352" s="3">
        <v>12</v>
      </c>
      <c r="D352" s="3">
        <v>2021</v>
      </c>
      <c r="E352" s="4">
        <f>'Electricity '!I353+'Electricity '!O353</f>
        <v>25142.219999999441</v>
      </c>
      <c r="F352" s="142">
        <v>1.1599999999999999</v>
      </c>
      <c r="G352" s="4">
        <f>'Gas Water'!M354</f>
        <v>3264</v>
      </c>
      <c r="H352" s="142">
        <v>3.85</v>
      </c>
      <c r="I352" s="2">
        <f>'Gas Water'!L354</f>
        <v>163</v>
      </c>
      <c r="J352" s="142">
        <v>14.95</v>
      </c>
      <c r="K352" s="5">
        <v>141</v>
      </c>
      <c r="L352" s="5">
        <v>248</v>
      </c>
    </row>
    <row r="353" spans="1:12" x14ac:dyDescent="0.25">
      <c r="A353" s="3" t="s">
        <v>74</v>
      </c>
      <c r="B353" s="3">
        <v>18</v>
      </c>
      <c r="C353" s="3">
        <v>12</v>
      </c>
      <c r="D353" s="3">
        <v>2021</v>
      </c>
      <c r="E353" s="4">
        <f>'Electricity '!I354+'Electricity '!O354</f>
        <v>23304.060000000551</v>
      </c>
      <c r="F353" s="142">
        <v>1.1599999999999999</v>
      </c>
      <c r="G353" s="4">
        <f>'Gas Water'!M355</f>
        <v>2973</v>
      </c>
      <c r="H353" s="142">
        <v>3.85</v>
      </c>
      <c r="I353" s="2">
        <f>'Gas Water'!L355</f>
        <v>173</v>
      </c>
      <c r="J353" s="142">
        <v>14.95</v>
      </c>
      <c r="K353" s="5">
        <v>140</v>
      </c>
      <c r="L353" s="5">
        <v>256</v>
      </c>
    </row>
    <row r="354" spans="1:12" x14ac:dyDescent="0.25">
      <c r="A354" s="3" t="s">
        <v>74</v>
      </c>
      <c r="B354" s="3">
        <v>19</v>
      </c>
      <c r="C354" s="3">
        <v>12</v>
      </c>
      <c r="D354" s="3">
        <v>2021</v>
      </c>
      <c r="E354" s="4">
        <f>'Electricity '!I355+'Electricity '!O355</f>
        <v>23817.419999999707</v>
      </c>
      <c r="F354" s="142">
        <v>1.1599999999999999</v>
      </c>
      <c r="G354" s="4">
        <f>'Gas Water'!M356</f>
        <v>3010</v>
      </c>
      <c r="H354" s="142">
        <v>3.85</v>
      </c>
      <c r="I354" s="2">
        <f>'Gas Water'!L356</f>
        <v>196</v>
      </c>
      <c r="J354" s="142">
        <v>14.95</v>
      </c>
      <c r="K354" s="5">
        <v>122</v>
      </c>
      <c r="L354" s="5">
        <v>223</v>
      </c>
    </row>
    <row r="355" spans="1:12" x14ac:dyDescent="0.25">
      <c r="A355" s="3" t="s">
        <v>74</v>
      </c>
      <c r="B355" s="3">
        <v>20</v>
      </c>
      <c r="C355" s="3">
        <v>12</v>
      </c>
      <c r="D355" s="3">
        <v>2021</v>
      </c>
      <c r="E355" s="4">
        <f>'Electricity '!I356+'Electricity '!O356</f>
        <v>25696.980000000443</v>
      </c>
      <c r="F355" s="142">
        <v>1.1599999999999999</v>
      </c>
      <c r="G355" s="4">
        <f>'Gas Water'!M357</f>
        <v>3228</v>
      </c>
      <c r="H355" s="142">
        <v>3.85</v>
      </c>
      <c r="I355" s="2">
        <f>'Gas Water'!L357</f>
        <v>215</v>
      </c>
      <c r="J355" s="142">
        <v>14.95</v>
      </c>
      <c r="K355" s="5">
        <v>156</v>
      </c>
      <c r="L355" s="5">
        <v>288</v>
      </c>
    </row>
    <row r="356" spans="1:12" x14ac:dyDescent="0.25">
      <c r="A356" s="3" t="s">
        <v>74</v>
      </c>
      <c r="B356" s="3">
        <v>21</v>
      </c>
      <c r="C356" s="3">
        <v>12</v>
      </c>
      <c r="D356" s="3">
        <v>2021</v>
      </c>
      <c r="E356" s="4">
        <f>'Electricity '!I357+'Electricity '!O357</f>
        <v>24761.339999999978</v>
      </c>
      <c r="F356" s="142">
        <v>1.1599999999999999</v>
      </c>
      <c r="G356" s="4">
        <f>'Gas Water'!M358</f>
        <v>3545</v>
      </c>
      <c r="H356" s="142">
        <v>3.85</v>
      </c>
      <c r="I356" s="2">
        <f>'Gas Water'!L358</f>
        <v>197</v>
      </c>
      <c r="J356" s="142">
        <v>14.95</v>
      </c>
      <c r="K356" s="5">
        <v>149</v>
      </c>
      <c r="L356" s="5">
        <v>274</v>
      </c>
    </row>
    <row r="357" spans="1:12" x14ac:dyDescent="0.25">
      <c r="A357" s="3" t="s">
        <v>74</v>
      </c>
      <c r="B357" s="3">
        <v>22</v>
      </c>
      <c r="C357" s="3">
        <v>12</v>
      </c>
      <c r="D357" s="3">
        <v>2021</v>
      </c>
      <c r="E357" s="4">
        <f>'Electricity '!I358+'Electricity '!O358</f>
        <v>23821.559999999608</v>
      </c>
      <c r="F357" s="142">
        <v>1.1599999999999999</v>
      </c>
      <c r="G357" s="4">
        <f>'Gas Water'!M359</f>
        <v>3520</v>
      </c>
      <c r="H357" s="142">
        <v>3.85</v>
      </c>
      <c r="I357" s="2">
        <f>'Gas Water'!L359</f>
        <v>169</v>
      </c>
      <c r="J357" s="142">
        <v>14.95</v>
      </c>
      <c r="K357" s="5">
        <v>141</v>
      </c>
      <c r="L357" s="5">
        <v>286</v>
      </c>
    </row>
    <row r="358" spans="1:12" x14ac:dyDescent="0.25">
      <c r="A358" s="3" t="s">
        <v>74</v>
      </c>
      <c r="B358" s="3">
        <v>23</v>
      </c>
      <c r="C358" s="3">
        <v>12</v>
      </c>
      <c r="D358" s="3">
        <v>2021</v>
      </c>
      <c r="E358" s="4">
        <f>'Electricity '!I359+'Electricity '!O359</f>
        <v>22169.700000000077</v>
      </c>
      <c r="F358" s="142">
        <v>1.1599999999999999</v>
      </c>
      <c r="G358" s="4">
        <f>'Gas Water'!M360</f>
        <v>3676</v>
      </c>
      <c r="H358" s="142">
        <v>3.85</v>
      </c>
      <c r="I358" s="2">
        <f>'Gas Water'!L360</f>
        <v>180</v>
      </c>
      <c r="J358" s="142">
        <v>14.95</v>
      </c>
      <c r="K358" s="5">
        <v>132</v>
      </c>
      <c r="L358" s="5">
        <v>276</v>
      </c>
    </row>
    <row r="359" spans="1:12" x14ac:dyDescent="0.25">
      <c r="A359" s="3" t="s">
        <v>74</v>
      </c>
      <c r="B359" s="3">
        <v>24</v>
      </c>
      <c r="C359" s="3">
        <v>12</v>
      </c>
      <c r="D359" s="3">
        <v>2021</v>
      </c>
      <c r="E359" s="4">
        <f>'Electricity '!I360+'Electricity '!O360</f>
        <v>24297.659999999647</v>
      </c>
      <c r="F359" s="142">
        <v>1.1599999999999999</v>
      </c>
      <c r="G359" s="4">
        <f>'Gas Water'!M361</f>
        <v>3213</v>
      </c>
      <c r="H359" s="142">
        <v>3.85</v>
      </c>
      <c r="I359" s="2">
        <f>'Gas Water'!L361</f>
        <v>182</v>
      </c>
      <c r="J359" s="142">
        <v>14.95</v>
      </c>
      <c r="K359" s="5">
        <v>153</v>
      </c>
      <c r="L359" s="5">
        <v>312</v>
      </c>
    </row>
    <row r="360" spans="1:12" x14ac:dyDescent="0.25">
      <c r="A360" s="3" t="s">
        <v>74</v>
      </c>
      <c r="B360" s="3">
        <v>25</v>
      </c>
      <c r="C360" s="3">
        <v>12</v>
      </c>
      <c r="D360" s="3">
        <v>2021</v>
      </c>
      <c r="E360" s="4">
        <f>'Electricity '!I361+'Electricity '!O361</f>
        <v>23072.220000000383</v>
      </c>
      <c r="F360" s="142">
        <v>1.1599999999999999</v>
      </c>
      <c r="G360" s="4">
        <f>'Gas Water'!M362</f>
        <v>2824</v>
      </c>
      <c r="H360" s="142">
        <v>3.85</v>
      </c>
      <c r="I360" s="2">
        <f>'Gas Water'!L362</f>
        <v>184</v>
      </c>
      <c r="J360" s="142">
        <v>14.95</v>
      </c>
      <c r="K360" s="5">
        <v>149</v>
      </c>
      <c r="L360" s="5">
        <v>298</v>
      </c>
    </row>
    <row r="361" spans="1:12" x14ac:dyDescent="0.25">
      <c r="A361" s="3" t="s">
        <v>74</v>
      </c>
      <c r="B361" s="3">
        <v>26</v>
      </c>
      <c r="C361" s="3">
        <v>12</v>
      </c>
      <c r="D361" s="3">
        <v>2021</v>
      </c>
      <c r="E361" s="4">
        <f>'Electricity '!I362+'Electricity '!O362</f>
        <v>24852.419999999707</v>
      </c>
      <c r="F361" s="142">
        <v>1.1599999999999999</v>
      </c>
      <c r="G361" s="4">
        <f>'Gas Water'!M363</f>
        <v>2495</v>
      </c>
      <c r="H361" s="142">
        <v>3.85</v>
      </c>
      <c r="I361" s="2">
        <f>'Gas Water'!L363</f>
        <v>193</v>
      </c>
      <c r="J361" s="142">
        <v>14.95</v>
      </c>
      <c r="K361" s="5">
        <v>150</v>
      </c>
      <c r="L361" s="5">
        <v>291</v>
      </c>
    </row>
    <row r="362" spans="1:12" x14ac:dyDescent="0.25">
      <c r="A362" s="3" t="s">
        <v>74</v>
      </c>
      <c r="B362" s="3">
        <v>27</v>
      </c>
      <c r="C362" s="3">
        <v>12</v>
      </c>
      <c r="D362" s="3">
        <v>2021</v>
      </c>
      <c r="E362" s="4">
        <f>'Electricity '!I363+'Electricity '!O363</f>
        <v>20132.820000000233</v>
      </c>
      <c r="F362" s="142">
        <v>1.1599999999999999</v>
      </c>
      <c r="G362" s="4">
        <f>'Gas Water'!M364</f>
        <v>2194</v>
      </c>
      <c r="H362" s="142">
        <v>3.85</v>
      </c>
      <c r="I362" s="2">
        <f>'Gas Water'!L364</f>
        <v>170</v>
      </c>
      <c r="J362" s="142">
        <v>14.95</v>
      </c>
      <c r="K362" s="5">
        <v>140</v>
      </c>
      <c r="L362" s="5">
        <v>265</v>
      </c>
    </row>
    <row r="363" spans="1:12" x14ac:dyDescent="0.25">
      <c r="A363" s="3" t="s">
        <v>74</v>
      </c>
      <c r="B363" s="3">
        <v>28</v>
      </c>
      <c r="C363" s="3">
        <v>12</v>
      </c>
      <c r="D363" s="3">
        <v>2021</v>
      </c>
      <c r="E363" s="4">
        <f>'Electricity '!I364+'Electricity '!O364</f>
        <v>24761.339999999978</v>
      </c>
      <c r="F363" s="142">
        <v>1.1599999999999999</v>
      </c>
      <c r="G363" s="4">
        <f>'Gas Water'!M365</f>
        <v>2330</v>
      </c>
      <c r="H363" s="142">
        <v>3.85</v>
      </c>
      <c r="I363" s="2">
        <f>'Gas Water'!L365</f>
        <v>178</v>
      </c>
      <c r="J363" s="142">
        <v>14.95</v>
      </c>
      <c r="K363" s="5">
        <v>157</v>
      </c>
      <c r="L363" s="5">
        <v>291</v>
      </c>
    </row>
    <row r="364" spans="1:12" x14ac:dyDescent="0.25">
      <c r="A364" s="3" t="s">
        <v>74</v>
      </c>
      <c r="B364" s="3">
        <v>29</v>
      </c>
      <c r="C364" s="3">
        <v>12</v>
      </c>
      <c r="D364" s="3">
        <v>2021</v>
      </c>
      <c r="E364" s="4">
        <f>'Electricity '!I365+'Electricity '!O365</f>
        <v>23618.699999999699</v>
      </c>
      <c r="F364" s="142">
        <v>1.1599999999999999</v>
      </c>
      <c r="G364" s="4">
        <f>'Gas Water'!M366</f>
        <v>2358</v>
      </c>
      <c r="H364" s="142">
        <v>3.85</v>
      </c>
      <c r="I364" s="2">
        <f>'Gas Water'!L366</f>
        <v>195</v>
      </c>
      <c r="J364" s="142">
        <v>14.95</v>
      </c>
      <c r="K364" s="5">
        <v>148</v>
      </c>
      <c r="L364" s="5">
        <v>285</v>
      </c>
    </row>
    <row r="365" spans="1:12" x14ac:dyDescent="0.25">
      <c r="A365" s="3" t="s">
        <v>74</v>
      </c>
      <c r="B365" s="3">
        <v>30</v>
      </c>
      <c r="C365" s="3">
        <v>12</v>
      </c>
      <c r="D365" s="3">
        <v>2021</v>
      </c>
      <c r="E365" s="4">
        <f>'Electricity '!I366+'Electricity '!O366</f>
        <v>22546.440000000581</v>
      </c>
      <c r="F365" s="142">
        <v>1.1599999999999999</v>
      </c>
      <c r="G365" s="4">
        <f>'Gas Water'!M367</f>
        <v>2432</v>
      </c>
      <c r="H365" s="142">
        <v>3.85</v>
      </c>
      <c r="I365" s="2">
        <f>'Gas Water'!L367</f>
        <v>175</v>
      </c>
      <c r="J365" s="142">
        <v>14.95</v>
      </c>
      <c r="K365" s="5">
        <v>139</v>
      </c>
      <c r="L365" s="5">
        <v>275</v>
      </c>
    </row>
    <row r="366" spans="1:12" x14ac:dyDescent="0.25">
      <c r="A366" s="3" t="s">
        <v>74</v>
      </c>
      <c r="B366" s="3">
        <v>31</v>
      </c>
      <c r="C366" s="3">
        <v>12</v>
      </c>
      <c r="D366" s="3">
        <v>2021</v>
      </c>
      <c r="E366" s="4">
        <f>'Electricity '!I367+'Electricity '!O367</f>
        <v>24293.519999999742</v>
      </c>
      <c r="F366" s="142">
        <v>1.1599999999999999</v>
      </c>
      <c r="G366" s="4">
        <f>'Gas Water'!M368</f>
        <v>3172</v>
      </c>
      <c r="H366" s="142">
        <v>3.85</v>
      </c>
      <c r="I366" s="2">
        <f>'Gas Water'!L368</f>
        <v>196</v>
      </c>
      <c r="J366" s="142">
        <v>14.95</v>
      </c>
      <c r="K366" s="5">
        <v>154</v>
      </c>
      <c r="L366" s="5">
        <v>275</v>
      </c>
    </row>
    <row r="367" spans="1:12" x14ac:dyDescent="0.25">
      <c r="A367" s="3" t="s">
        <v>74</v>
      </c>
      <c r="B367" s="3">
        <v>1</v>
      </c>
      <c r="C367" s="3">
        <v>1</v>
      </c>
      <c r="D367" s="3">
        <v>2022</v>
      </c>
      <c r="E367" s="4">
        <f>'Electricity '!I368+'Electricity '!O368</f>
        <v>24202.440000000017</v>
      </c>
      <c r="F367" s="142">
        <v>2.06</v>
      </c>
      <c r="G367" s="4">
        <f>'Gas Water'!M369</f>
        <v>2537</v>
      </c>
      <c r="H367" s="142">
        <v>6.17</v>
      </c>
      <c r="I367" s="2">
        <f>'Gas Water'!L369</f>
        <v>184</v>
      </c>
      <c r="J367" s="142">
        <v>14.95</v>
      </c>
      <c r="K367" s="5">
        <v>145</v>
      </c>
      <c r="L367" s="5">
        <v>294</v>
      </c>
    </row>
    <row r="368" spans="1:12" x14ac:dyDescent="0.25">
      <c r="A368" s="3" t="s">
        <v>74</v>
      </c>
      <c r="B368" s="3">
        <v>2</v>
      </c>
      <c r="C368" s="3">
        <v>1</v>
      </c>
      <c r="D368" s="3">
        <v>2022</v>
      </c>
      <c r="E368" s="4">
        <f>'Electricity '!I369+'Electricity '!O369</f>
        <v>24239.700000000077</v>
      </c>
      <c r="F368" s="142">
        <v>2.06</v>
      </c>
      <c r="G368" s="4">
        <f>'Gas Water'!M370</f>
        <v>3007</v>
      </c>
      <c r="H368" s="142">
        <v>6.17</v>
      </c>
      <c r="I368" s="2">
        <f>'Gas Water'!L370</f>
        <v>202</v>
      </c>
      <c r="J368" s="142">
        <v>14.95</v>
      </c>
      <c r="K368" s="5">
        <v>127</v>
      </c>
      <c r="L368" s="5">
        <v>252</v>
      </c>
    </row>
    <row r="369" spans="1:12" x14ac:dyDescent="0.25">
      <c r="A369" s="3" t="s">
        <v>74</v>
      </c>
      <c r="B369" s="3">
        <v>3</v>
      </c>
      <c r="C369" s="3">
        <v>1</v>
      </c>
      <c r="D369" s="3">
        <v>2022</v>
      </c>
      <c r="E369" s="4" t="e">
        <f>'Electricity '!I370+'Electricity '!O370</f>
        <v>#VALUE!</v>
      </c>
      <c r="F369" s="142"/>
      <c r="G369" s="4" t="str">
        <f>'Gas Water'!M371</f>
        <v/>
      </c>
      <c r="H369" s="142"/>
      <c r="I369" s="2" t="str">
        <f>'Gas Water'!L371</f>
        <v/>
      </c>
      <c r="J369" s="142"/>
      <c r="K369" s="5"/>
      <c r="L369" s="5"/>
    </row>
    <row r="370" spans="1:12" x14ac:dyDescent="0.25">
      <c r="A370" s="3" t="s">
        <v>74</v>
      </c>
      <c r="B370" s="3">
        <v>4</v>
      </c>
      <c r="C370" s="3">
        <v>1</v>
      </c>
      <c r="D370" s="3">
        <v>2022</v>
      </c>
      <c r="E370" s="4" t="e">
        <f>'Electricity '!I371+'Electricity '!O371</f>
        <v>#VALUE!</v>
      </c>
      <c r="F370" s="142"/>
      <c r="G370" s="4" t="str">
        <f>'Gas Water'!M372</f>
        <v/>
      </c>
      <c r="H370" s="142"/>
      <c r="I370" s="2" t="str">
        <f>'Gas Water'!L372</f>
        <v/>
      </c>
      <c r="J370" s="142"/>
      <c r="K370" s="5"/>
      <c r="L370" s="5"/>
    </row>
    <row r="371" spans="1:12" x14ac:dyDescent="0.25">
      <c r="A371" s="3" t="s">
        <v>74</v>
      </c>
      <c r="B371" s="3">
        <v>5</v>
      </c>
      <c r="C371" s="3">
        <v>1</v>
      </c>
      <c r="D371" s="3">
        <v>2022</v>
      </c>
      <c r="E371" s="4" t="e">
        <f>'Electricity '!I372+'Electricity '!O372</f>
        <v>#VALUE!</v>
      </c>
      <c r="F371" s="142"/>
      <c r="G371" s="4" t="str">
        <f>'Gas Water'!M373</f>
        <v/>
      </c>
      <c r="H371" s="142"/>
      <c r="I371" s="2" t="str">
        <f>'Gas Water'!L373</f>
        <v/>
      </c>
      <c r="J371" s="142"/>
      <c r="K371" s="5"/>
      <c r="L371" s="5"/>
    </row>
    <row r="372" spans="1:12" x14ac:dyDescent="0.25">
      <c r="A372" s="3" t="s">
        <v>74</v>
      </c>
      <c r="B372" s="3">
        <v>6</v>
      </c>
      <c r="C372" s="3">
        <v>1</v>
      </c>
      <c r="D372" s="3">
        <v>2022</v>
      </c>
      <c r="E372" s="4" t="e">
        <f>'Electricity '!I373+'Electricity '!O373</f>
        <v>#VALUE!</v>
      </c>
      <c r="F372" s="142"/>
      <c r="G372" s="4" t="str">
        <f>'Gas Water'!M374</f>
        <v/>
      </c>
      <c r="H372" s="142"/>
      <c r="I372" s="2" t="str">
        <f>'Gas Water'!L374</f>
        <v/>
      </c>
      <c r="J372" s="142"/>
      <c r="K372" s="5"/>
      <c r="L372" s="5"/>
    </row>
    <row r="373" spans="1:12" x14ac:dyDescent="0.25">
      <c r="A373" s="3" t="s">
        <v>74</v>
      </c>
      <c r="B373" s="3">
        <v>7</v>
      </c>
      <c r="C373" s="3">
        <v>1</v>
      </c>
      <c r="D373" s="3">
        <v>2022</v>
      </c>
      <c r="E373" s="4" t="e">
        <f>'Electricity '!I374+'Electricity '!O374</f>
        <v>#VALUE!</v>
      </c>
      <c r="F373" s="142"/>
      <c r="G373" s="4" t="str">
        <f>'Gas Water'!M375</f>
        <v/>
      </c>
      <c r="H373" s="142"/>
      <c r="I373" s="2" t="str">
        <f>'Gas Water'!L375</f>
        <v/>
      </c>
      <c r="J373" s="142"/>
      <c r="K373" s="5"/>
      <c r="L373" s="5"/>
    </row>
    <row r="374" spans="1:12" x14ac:dyDescent="0.25">
      <c r="A374" s="3" t="s">
        <v>74</v>
      </c>
      <c r="B374" s="3">
        <v>8</v>
      </c>
      <c r="C374" s="3">
        <v>1</v>
      </c>
      <c r="D374" s="3">
        <v>2022</v>
      </c>
      <c r="E374" s="4" t="e">
        <f>'Electricity '!I375+'Electricity '!O375</f>
        <v>#VALUE!</v>
      </c>
      <c r="F374" s="142"/>
      <c r="G374" s="4" t="str">
        <f>'Gas Water'!M376</f>
        <v/>
      </c>
      <c r="H374" s="142"/>
      <c r="I374" s="2" t="str">
        <f>'Gas Water'!L376</f>
        <v/>
      </c>
      <c r="J374" s="142"/>
      <c r="K374" s="5"/>
      <c r="L374" s="5"/>
    </row>
    <row r="375" spans="1:12" x14ac:dyDescent="0.25">
      <c r="A375" s="3" t="s">
        <v>74</v>
      </c>
      <c r="B375" s="3">
        <v>9</v>
      </c>
      <c r="C375" s="3">
        <v>1</v>
      </c>
      <c r="D375" s="3">
        <v>2022</v>
      </c>
      <c r="E375" s="4" t="e">
        <f>'Electricity '!I376+'Electricity '!O376</f>
        <v>#VALUE!</v>
      </c>
      <c r="F375" s="142"/>
      <c r="G375" s="4" t="str">
        <f>'Gas Water'!M377</f>
        <v/>
      </c>
      <c r="H375" s="142"/>
      <c r="I375" s="2" t="str">
        <f>'Gas Water'!L377</f>
        <v/>
      </c>
      <c r="J375" s="142"/>
      <c r="K375" s="5"/>
      <c r="L375" s="5"/>
    </row>
    <row r="376" spans="1:12" x14ac:dyDescent="0.25">
      <c r="A376" s="3" t="s">
        <v>74</v>
      </c>
      <c r="B376" s="3">
        <v>10</v>
      </c>
      <c r="C376" s="3">
        <v>1</v>
      </c>
      <c r="D376" s="3">
        <v>2022</v>
      </c>
      <c r="E376" s="4" t="e">
        <f>'Electricity '!I377+'Electricity '!O377</f>
        <v>#VALUE!</v>
      </c>
      <c r="F376" s="142"/>
      <c r="G376" s="4" t="str">
        <f>'Gas Water'!M378</f>
        <v/>
      </c>
      <c r="H376" s="142"/>
      <c r="I376" s="2" t="str">
        <f>'Gas Water'!L378</f>
        <v/>
      </c>
      <c r="J376" s="142"/>
      <c r="K376" s="5"/>
      <c r="L376" s="5"/>
    </row>
    <row r="377" spans="1:12" x14ac:dyDescent="0.25">
      <c r="A377" s="3" t="s">
        <v>74</v>
      </c>
      <c r="B377" s="3">
        <v>11</v>
      </c>
      <c r="C377" s="3">
        <v>1</v>
      </c>
      <c r="D377" s="3">
        <v>2022</v>
      </c>
      <c r="E377" s="4" t="e">
        <f>'Electricity '!I378+'Electricity '!O378</f>
        <v>#VALUE!</v>
      </c>
      <c r="F377" s="142"/>
      <c r="G377" s="4" t="str">
        <f>'Gas Water'!M379</f>
        <v/>
      </c>
      <c r="H377" s="142"/>
      <c r="I377" s="2" t="str">
        <f>'Gas Water'!L379</f>
        <v/>
      </c>
      <c r="J377" s="142"/>
      <c r="K377" s="5"/>
      <c r="L377" s="5"/>
    </row>
    <row r="378" spans="1:12" x14ac:dyDescent="0.25">
      <c r="A378" s="3" t="s">
        <v>74</v>
      </c>
      <c r="B378" s="3">
        <v>12</v>
      </c>
      <c r="C378" s="3">
        <v>1</v>
      </c>
      <c r="D378" s="3">
        <v>2022</v>
      </c>
      <c r="E378" s="4" t="e">
        <f>'Electricity '!I379+'Electricity '!O379</f>
        <v>#VALUE!</v>
      </c>
      <c r="F378" s="142"/>
      <c r="G378" s="4" t="str">
        <f>'Gas Water'!M380</f>
        <v/>
      </c>
      <c r="H378" s="142"/>
      <c r="I378" s="2" t="str">
        <f>'Gas Water'!L380</f>
        <v/>
      </c>
      <c r="J378" s="142"/>
      <c r="K378" s="5"/>
      <c r="L378" s="5"/>
    </row>
    <row r="379" spans="1:12" x14ac:dyDescent="0.25">
      <c r="A379" s="3" t="s">
        <v>74</v>
      </c>
      <c r="B379" s="3">
        <v>13</v>
      </c>
      <c r="C379" s="3">
        <v>1</v>
      </c>
      <c r="D379" s="3">
        <v>2022</v>
      </c>
      <c r="E379" s="4" t="e">
        <f>'Electricity '!I380+'Electricity '!O380</f>
        <v>#VALUE!</v>
      </c>
      <c r="F379" s="142"/>
      <c r="G379" s="4" t="str">
        <f>'Gas Water'!M381</f>
        <v/>
      </c>
      <c r="H379" s="142"/>
      <c r="I379" s="2" t="str">
        <f>'Gas Water'!L381</f>
        <v/>
      </c>
      <c r="J379" s="142"/>
      <c r="K379" s="5"/>
      <c r="L379" s="5"/>
    </row>
    <row r="380" spans="1:12" x14ac:dyDescent="0.25">
      <c r="A380" s="3" t="s">
        <v>74</v>
      </c>
      <c r="B380" s="3">
        <v>14</v>
      </c>
      <c r="C380" s="3">
        <v>1</v>
      </c>
      <c r="D380" s="3">
        <v>2022</v>
      </c>
      <c r="E380" s="4" t="e">
        <f>'Electricity '!I381+'Electricity '!O381</f>
        <v>#VALUE!</v>
      </c>
      <c r="F380" s="142"/>
      <c r="G380" s="4" t="str">
        <f>'Gas Water'!M382</f>
        <v/>
      </c>
      <c r="H380" s="142"/>
      <c r="I380" s="2" t="str">
        <f>'Gas Water'!L382</f>
        <v/>
      </c>
      <c r="J380" s="142"/>
      <c r="K380" s="5"/>
      <c r="L380" s="5"/>
    </row>
    <row r="381" spans="1:12" x14ac:dyDescent="0.25">
      <c r="A381" s="3" t="s">
        <v>74</v>
      </c>
      <c r="B381" s="3">
        <v>15</v>
      </c>
      <c r="C381" s="3">
        <v>1</v>
      </c>
      <c r="D381" s="3">
        <v>2022</v>
      </c>
      <c r="E381" s="4" t="e">
        <f>'Electricity '!I382+'Electricity '!O382</f>
        <v>#VALUE!</v>
      </c>
      <c r="F381" s="142"/>
      <c r="G381" s="4" t="str">
        <f>'Gas Water'!M383</f>
        <v/>
      </c>
      <c r="H381" s="142"/>
      <c r="I381" s="2" t="str">
        <f>'Gas Water'!L383</f>
        <v/>
      </c>
      <c r="J381" s="142"/>
      <c r="K381" s="5"/>
      <c r="L381" s="5"/>
    </row>
    <row r="382" spans="1:12" x14ac:dyDescent="0.25">
      <c r="A382" s="3" t="s">
        <v>74</v>
      </c>
      <c r="B382" s="3">
        <v>16</v>
      </c>
      <c r="C382" s="3">
        <v>1</v>
      </c>
      <c r="D382" s="3">
        <v>2022</v>
      </c>
      <c r="E382" s="4" t="e">
        <f>'Electricity '!I383+'Electricity '!O383</f>
        <v>#VALUE!</v>
      </c>
      <c r="F382" s="142"/>
      <c r="G382" s="4" t="str">
        <f>'Gas Water'!M384</f>
        <v/>
      </c>
      <c r="H382" s="142"/>
      <c r="I382" s="2" t="str">
        <f>'Gas Water'!L384</f>
        <v/>
      </c>
      <c r="J382" s="142"/>
      <c r="K382" s="5"/>
      <c r="L382" s="5"/>
    </row>
    <row r="383" spans="1:12" x14ac:dyDescent="0.25">
      <c r="A383" s="3" t="s">
        <v>74</v>
      </c>
      <c r="B383" s="3">
        <v>17</v>
      </c>
      <c r="C383" s="3">
        <v>1</v>
      </c>
      <c r="D383" s="3">
        <v>2022</v>
      </c>
      <c r="E383" s="4" t="e">
        <f>'Electricity '!I384+'Electricity '!O384</f>
        <v>#VALUE!</v>
      </c>
      <c r="F383" s="142"/>
      <c r="G383" s="4" t="str">
        <f>'Gas Water'!M385</f>
        <v/>
      </c>
      <c r="H383" s="142"/>
      <c r="I383" s="2" t="str">
        <f>'Gas Water'!L385</f>
        <v/>
      </c>
      <c r="J383" s="142"/>
      <c r="K383" s="5"/>
      <c r="L383" s="5"/>
    </row>
    <row r="384" spans="1:12" x14ac:dyDescent="0.25">
      <c r="A384" s="3" t="s">
        <v>74</v>
      </c>
      <c r="B384" s="3">
        <v>18</v>
      </c>
      <c r="C384" s="3">
        <v>1</v>
      </c>
      <c r="D384" s="3">
        <v>2022</v>
      </c>
      <c r="E384" s="4" t="e">
        <f>'Electricity '!I385+'Electricity '!O385</f>
        <v>#VALUE!</v>
      </c>
      <c r="F384" s="142"/>
      <c r="G384" s="4" t="str">
        <f>'Gas Water'!M386</f>
        <v/>
      </c>
      <c r="H384" s="142"/>
      <c r="I384" s="2" t="str">
        <f>'Gas Water'!L386</f>
        <v/>
      </c>
      <c r="J384" s="142"/>
      <c r="K384" s="5"/>
      <c r="L384" s="5"/>
    </row>
    <row r="385" spans="1:12" x14ac:dyDescent="0.25">
      <c r="A385" s="3" t="s">
        <v>74</v>
      </c>
      <c r="B385" s="3">
        <v>19</v>
      </c>
      <c r="C385" s="3">
        <v>1</v>
      </c>
      <c r="D385" s="3">
        <v>2022</v>
      </c>
      <c r="E385" s="4" t="e">
        <f>'Electricity '!I386+'Electricity '!O386</f>
        <v>#VALUE!</v>
      </c>
      <c r="F385" s="142"/>
      <c r="G385" s="4" t="str">
        <f>'Gas Water'!M387</f>
        <v/>
      </c>
      <c r="H385" s="142"/>
      <c r="I385" s="2" t="str">
        <f>'Gas Water'!L387</f>
        <v/>
      </c>
      <c r="J385" s="142"/>
      <c r="K385" s="5"/>
      <c r="L385" s="5"/>
    </row>
    <row r="386" spans="1:12" x14ac:dyDescent="0.25">
      <c r="A386" s="3" t="s">
        <v>74</v>
      </c>
      <c r="B386" s="3">
        <v>20</v>
      </c>
      <c r="C386" s="3">
        <v>1</v>
      </c>
      <c r="D386" s="3">
        <v>2022</v>
      </c>
      <c r="E386" s="4" t="e">
        <f>'Electricity '!I387+'Electricity '!O387</f>
        <v>#VALUE!</v>
      </c>
      <c r="F386" s="142"/>
      <c r="G386" s="4" t="str">
        <f>'Gas Water'!M388</f>
        <v/>
      </c>
      <c r="H386" s="142"/>
      <c r="I386" s="2" t="str">
        <f>'Gas Water'!L388</f>
        <v/>
      </c>
      <c r="J386" s="142"/>
      <c r="K386" s="5"/>
      <c r="L386" s="5"/>
    </row>
    <row r="387" spans="1:12" x14ac:dyDescent="0.25">
      <c r="A387" s="3" t="s">
        <v>74</v>
      </c>
      <c r="B387" s="3">
        <v>21</v>
      </c>
      <c r="C387" s="3">
        <v>1</v>
      </c>
      <c r="D387" s="3">
        <v>2022</v>
      </c>
      <c r="E387" s="4" t="e">
        <f>'Electricity '!I388+'Electricity '!O388</f>
        <v>#VALUE!</v>
      </c>
      <c r="F387" s="142"/>
      <c r="G387" s="4" t="str">
        <f>'Gas Water'!M389</f>
        <v/>
      </c>
      <c r="H387" s="142"/>
      <c r="I387" s="2" t="str">
        <f>'Gas Water'!L389</f>
        <v/>
      </c>
      <c r="J387" s="142"/>
      <c r="K387" s="5"/>
      <c r="L387" s="5"/>
    </row>
    <row r="388" spans="1:12" x14ac:dyDescent="0.25">
      <c r="A388" s="3" t="s">
        <v>74</v>
      </c>
      <c r="B388" s="3">
        <v>22</v>
      </c>
      <c r="C388" s="3">
        <v>1</v>
      </c>
      <c r="D388" s="3">
        <v>2022</v>
      </c>
      <c r="E388" s="4" t="e">
        <f>'Electricity '!I389+'Electricity '!O389</f>
        <v>#VALUE!</v>
      </c>
      <c r="F388" s="142"/>
      <c r="G388" s="4" t="str">
        <f>'Gas Water'!M390</f>
        <v/>
      </c>
      <c r="H388" s="142"/>
      <c r="I388" s="2" t="str">
        <f>'Gas Water'!L390</f>
        <v/>
      </c>
      <c r="J388" s="142"/>
      <c r="K388" s="5"/>
      <c r="L388" s="5"/>
    </row>
    <row r="389" spans="1:12" x14ac:dyDescent="0.25">
      <c r="A389" s="3" t="s">
        <v>74</v>
      </c>
      <c r="B389" s="3">
        <v>23</v>
      </c>
      <c r="C389" s="3">
        <v>1</v>
      </c>
      <c r="D389" s="3">
        <v>2022</v>
      </c>
      <c r="E389" s="4" t="e">
        <f>'Electricity '!I390+'Electricity '!O390</f>
        <v>#VALUE!</v>
      </c>
      <c r="F389" s="142"/>
      <c r="G389" s="4" t="str">
        <f>'Gas Water'!M391</f>
        <v/>
      </c>
      <c r="H389" s="142"/>
      <c r="I389" s="2" t="str">
        <f>'Gas Water'!L391</f>
        <v/>
      </c>
      <c r="J389" s="142"/>
      <c r="K389" s="5"/>
      <c r="L389" s="5"/>
    </row>
    <row r="390" spans="1:12" x14ac:dyDescent="0.25">
      <c r="A390" s="3" t="s">
        <v>74</v>
      </c>
      <c r="B390" s="3">
        <v>24</v>
      </c>
      <c r="C390" s="3">
        <v>1</v>
      </c>
      <c r="D390" s="3">
        <v>2022</v>
      </c>
      <c r="E390" s="4" t="e">
        <f>'Electricity '!I391+'Electricity '!O391</f>
        <v>#VALUE!</v>
      </c>
      <c r="F390" s="142"/>
      <c r="G390" s="4" t="str">
        <f>'Gas Water'!M392</f>
        <v/>
      </c>
      <c r="H390" s="142"/>
      <c r="I390" s="2" t="str">
        <f>'Gas Water'!L392</f>
        <v/>
      </c>
      <c r="J390" s="142"/>
      <c r="K390" s="5"/>
      <c r="L390" s="5"/>
    </row>
    <row r="391" spans="1:12" x14ac:dyDescent="0.25">
      <c r="A391" s="3" t="s">
        <v>74</v>
      </c>
      <c r="B391" s="3">
        <v>25</v>
      </c>
      <c r="C391" s="3">
        <v>1</v>
      </c>
      <c r="D391" s="3">
        <v>2022</v>
      </c>
      <c r="E391" s="4" t="e">
        <f>'Electricity '!I392+'Electricity '!O392</f>
        <v>#VALUE!</v>
      </c>
      <c r="F391" s="142"/>
      <c r="G391" s="4" t="str">
        <f>'Gas Water'!M393</f>
        <v/>
      </c>
      <c r="H391" s="142"/>
      <c r="I391" s="2" t="str">
        <f>'Gas Water'!L393</f>
        <v/>
      </c>
      <c r="J391" s="142"/>
      <c r="K391" s="5"/>
      <c r="L391" s="5"/>
    </row>
    <row r="392" spans="1:12" x14ac:dyDescent="0.25">
      <c r="A392" s="3" t="s">
        <v>74</v>
      </c>
      <c r="B392" s="3">
        <v>26</v>
      </c>
      <c r="C392" s="3">
        <v>1</v>
      </c>
      <c r="D392" s="3">
        <v>2022</v>
      </c>
      <c r="E392" s="4" t="e">
        <f>'Electricity '!I393+'Electricity '!O393</f>
        <v>#VALUE!</v>
      </c>
      <c r="F392" s="142"/>
      <c r="G392" s="4" t="str">
        <f>'Gas Water'!M394</f>
        <v/>
      </c>
      <c r="H392" s="142"/>
      <c r="I392" s="2" t="str">
        <f>'Gas Water'!L394</f>
        <v/>
      </c>
      <c r="J392" s="142"/>
      <c r="K392" s="5"/>
      <c r="L392" s="5"/>
    </row>
    <row r="393" spans="1:12" x14ac:dyDescent="0.25">
      <c r="A393" s="3" t="s">
        <v>74</v>
      </c>
      <c r="B393" s="3">
        <v>27</v>
      </c>
      <c r="C393" s="3">
        <v>1</v>
      </c>
      <c r="D393" s="3">
        <v>2022</v>
      </c>
      <c r="E393" s="4" t="e">
        <f>'Electricity '!I394+'Electricity '!O394</f>
        <v>#VALUE!</v>
      </c>
      <c r="F393" s="142"/>
      <c r="G393" s="4" t="str">
        <f>'Gas Water'!M395</f>
        <v/>
      </c>
      <c r="H393" s="142"/>
      <c r="I393" s="2" t="str">
        <f>'Gas Water'!L395</f>
        <v/>
      </c>
      <c r="J393" s="142"/>
      <c r="K393" s="5"/>
      <c r="L393" s="5"/>
    </row>
    <row r="394" spans="1:12" x14ac:dyDescent="0.25">
      <c r="A394" s="3" t="s">
        <v>74</v>
      </c>
      <c r="B394" s="3">
        <v>28</v>
      </c>
      <c r="C394" s="3">
        <v>1</v>
      </c>
      <c r="D394" s="3">
        <v>2022</v>
      </c>
      <c r="E394" s="4" t="e">
        <f>'Electricity '!I395+'Electricity '!O395</f>
        <v>#VALUE!</v>
      </c>
      <c r="F394" s="142"/>
      <c r="G394" s="4" t="str">
        <f>'Gas Water'!M396</f>
        <v/>
      </c>
      <c r="H394" s="142"/>
      <c r="I394" s="2" t="str">
        <f>'Gas Water'!L396</f>
        <v/>
      </c>
      <c r="J394" s="142"/>
      <c r="K394" s="5"/>
      <c r="L394" s="5"/>
    </row>
    <row r="395" spans="1:12" x14ac:dyDescent="0.25">
      <c r="A395" s="3" t="s">
        <v>74</v>
      </c>
      <c r="B395" s="3">
        <v>29</v>
      </c>
      <c r="C395" s="3">
        <v>1</v>
      </c>
      <c r="D395" s="3">
        <v>2022</v>
      </c>
      <c r="E395" s="4" t="e">
        <f>'Electricity '!I396+'Electricity '!O396</f>
        <v>#VALUE!</v>
      </c>
      <c r="F395" s="142"/>
      <c r="G395" s="4" t="str">
        <f>'Gas Water'!M397</f>
        <v/>
      </c>
      <c r="H395" s="142"/>
      <c r="I395" s="2" t="str">
        <f>'Gas Water'!L397</f>
        <v/>
      </c>
      <c r="J395" s="142"/>
      <c r="K395" s="5"/>
      <c r="L395" s="5"/>
    </row>
    <row r="396" spans="1:12" x14ac:dyDescent="0.25">
      <c r="A396" s="3" t="s">
        <v>74</v>
      </c>
      <c r="B396" s="3">
        <v>30</v>
      </c>
      <c r="C396" s="3">
        <v>1</v>
      </c>
      <c r="D396" s="3">
        <v>2022</v>
      </c>
      <c r="E396" s="4" t="e">
        <f>'Electricity '!I397+'Electricity '!O397</f>
        <v>#VALUE!</v>
      </c>
      <c r="F396" s="142"/>
      <c r="G396" s="4" t="str">
        <f>'Gas Water'!M398</f>
        <v/>
      </c>
      <c r="H396" s="142"/>
      <c r="I396" s="2" t="str">
        <f>'Gas Water'!L398</f>
        <v/>
      </c>
      <c r="J396" s="142"/>
      <c r="K396" s="5"/>
      <c r="L396" s="5"/>
    </row>
    <row r="397" spans="1:12" x14ac:dyDescent="0.25">
      <c r="A397" s="3" t="s">
        <v>74</v>
      </c>
      <c r="B397" s="3">
        <v>31</v>
      </c>
      <c r="C397" s="3">
        <v>1</v>
      </c>
      <c r="D397" s="3">
        <v>2022</v>
      </c>
      <c r="E397" s="4" t="e">
        <f>'Electricity '!I398+'Electricity '!O398</f>
        <v>#VALUE!</v>
      </c>
      <c r="F397" s="142"/>
      <c r="G397" s="4" t="str">
        <f>'Gas Water'!M399</f>
        <v/>
      </c>
      <c r="H397" s="142"/>
      <c r="I397" s="2" t="str">
        <f>'Gas Water'!L399</f>
        <v/>
      </c>
      <c r="J397" s="142"/>
      <c r="K397" s="5"/>
      <c r="L397" s="5"/>
    </row>
    <row r="398" spans="1:12" x14ac:dyDescent="0.25">
      <c r="A398" s="3" t="s">
        <v>74</v>
      </c>
      <c r="B398" s="3"/>
      <c r="C398" s="3"/>
      <c r="D398" s="3"/>
      <c r="E398" s="4" t="e">
        <f>'Electricity '!I399+'Electricity '!O399</f>
        <v>#VALUE!</v>
      </c>
      <c r="F398" s="142"/>
      <c r="G398" s="4" t="str">
        <f>'Gas Water'!M400</f>
        <v/>
      </c>
      <c r="H398" s="142"/>
      <c r="I398" s="2" t="str">
        <f>'Gas Water'!L400</f>
        <v/>
      </c>
      <c r="J398" s="142"/>
      <c r="K398" s="5"/>
      <c r="L398" s="5"/>
    </row>
    <row r="399" spans="1:12" x14ac:dyDescent="0.25">
      <c r="A399" s="3" t="s">
        <v>74</v>
      </c>
      <c r="B399" s="3"/>
      <c r="C399" s="3"/>
      <c r="D399" s="3"/>
      <c r="E399" s="4" t="e">
        <f>'Electricity '!I400+'Electricity '!O400</f>
        <v>#VALUE!</v>
      </c>
      <c r="F399" s="142"/>
      <c r="G399" s="4" t="str">
        <f>'Gas Water'!M401</f>
        <v/>
      </c>
      <c r="H399" s="142"/>
      <c r="I399" s="2" t="str">
        <f>'Gas Water'!L401</f>
        <v/>
      </c>
      <c r="J399" s="142"/>
      <c r="K399" s="5"/>
      <c r="L399" s="5"/>
    </row>
    <row r="400" spans="1:12" x14ac:dyDescent="0.25">
      <c r="A400" s="3" t="s">
        <v>74</v>
      </c>
      <c r="B400" s="3"/>
      <c r="C400" s="3"/>
      <c r="D400" s="3"/>
      <c r="E400" s="4" t="e">
        <f>'Electricity '!I401+'Electricity '!O401</f>
        <v>#VALUE!</v>
      </c>
      <c r="F400" s="142"/>
      <c r="G400" s="4" t="str">
        <f>'Gas Water'!M402</f>
        <v/>
      </c>
      <c r="H400" s="142"/>
      <c r="I400" s="2" t="str">
        <f>'Gas Water'!L402</f>
        <v/>
      </c>
      <c r="J400" s="142"/>
      <c r="K400" s="5"/>
      <c r="L400" s="5"/>
    </row>
    <row r="401" spans="1:12" x14ac:dyDescent="0.25">
      <c r="A401" s="3" t="s">
        <v>74</v>
      </c>
      <c r="B401" s="3"/>
      <c r="C401" s="3"/>
      <c r="D401" s="3"/>
      <c r="E401" s="4" t="e">
        <f>'Electricity '!I402+'Electricity '!O402</f>
        <v>#VALUE!</v>
      </c>
      <c r="F401" s="142"/>
      <c r="G401" s="4" t="str">
        <f>'Gas Water'!M403</f>
        <v/>
      </c>
      <c r="H401" s="142"/>
      <c r="I401" s="2" t="str">
        <f>'Gas Water'!L403</f>
        <v/>
      </c>
      <c r="J401" s="142"/>
      <c r="K401" s="5"/>
      <c r="L401" s="5"/>
    </row>
    <row r="402" spans="1:12" x14ac:dyDescent="0.25">
      <c r="A402" s="3" t="s">
        <v>74</v>
      </c>
      <c r="B402" s="3"/>
      <c r="C402" s="3"/>
      <c r="D402" s="3"/>
      <c r="E402" s="4" t="e">
        <f>'Electricity '!I403+'Electricity '!O403</f>
        <v>#VALUE!</v>
      </c>
      <c r="F402" s="142"/>
      <c r="G402" s="4" t="str">
        <f>'Gas Water'!M404</f>
        <v/>
      </c>
      <c r="H402" s="142"/>
      <c r="I402" s="2" t="str">
        <f>'Gas Water'!L404</f>
        <v/>
      </c>
      <c r="J402" s="142"/>
      <c r="K402" s="5"/>
      <c r="L402" s="5"/>
    </row>
    <row r="403" spans="1:12" x14ac:dyDescent="0.25">
      <c r="A403" s="3" t="s">
        <v>74</v>
      </c>
      <c r="B403" s="3"/>
      <c r="C403" s="3"/>
      <c r="D403" s="3"/>
      <c r="E403" s="4" t="e">
        <f>'Electricity '!I404+'Electricity '!O404</f>
        <v>#VALUE!</v>
      </c>
      <c r="F403" s="142"/>
      <c r="G403" s="4" t="str">
        <f>'Gas Water'!M405</f>
        <v/>
      </c>
      <c r="H403" s="142"/>
      <c r="I403" s="2" t="str">
        <f>'Gas Water'!L405</f>
        <v/>
      </c>
      <c r="J403" s="142"/>
      <c r="K403" s="5"/>
      <c r="L403" s="5"/>
    </row>
    <row r="404" spans="1:12" x14ac:dyDescent="0.25">
      <c r="A404" s="3" t="s">
        <v>74</v>
      </c>
      <c r="B404" s="3"/>
      <c r="C404" s="3"/>
      <c r="D404" s="3"/>
      <c r="E404" s="4" t="e">
        <f>'Electricity '!I405+'Electricity '!O405</f>
        <v>#VALUE!</v>
      </c>
      <c r="F404" s="142"/>
      <c r="G404" s="4" t="str">
        <f>'Gas Water'!M406</f>
        <v/>
      </c>
      <c r="H404" s="142"/>
      <c r="I404" s="2" t="str">
        <f>'Gas Water'!L406</f>
        <v/>
      </c>
      <c r="J404" s="142"/>
      <c r="K404" s="5"/>
      <c r="L404" s="5"/>
    </row>
    <row r="405" spans="1:12" x14ac:dyDescent="0.25">
      <c r="A405" s="3" t="s">
        <v>74</v>
      </c>
      <c r="B405" s="3"/>
      <c r="C405" s="3"/>
      <c r="D405" s="3"/>
      <c r="E405" s="4" t="e">
        <f>'Electricity '!I406+'Electricity '!O406</f>
        <v>#VALUE!</v>
      </c>
      <c r="F405" s="142"/>
      <c r="G405" s="4" t="str">
        <f>'Gas Water'!M407</f>
        <v/>
      </c>
      <c r="H405" s="142"/>
      <c r="I405" s="2" t="str">
        <f>'Gas Water'!L407</f>
        <v/>
      </c>
      <c r="J405" s="142"/>
      <c r="K405" s="5"/>
      <c r="L405" s="5"/>
    </row>
    <row r="406" spans="1:12" x14ac:dyDescent="0.25">
      <c r="A406" s="3" t="s">
        <v>74</v>
      </c>
      <c r="B406" s="3"/>
      <c r="C406" s="3"/>
      <c r="D406" s="3"/>
      <c r="E406" s="4" t="e">
        <f>'Electricity '!I407+'Electricity '!O407</f>
        <v>#VALUE!</v>
      </c>
      <c r="F406" s="142"/>
      <c r="G406" s="4" t="str">
        <f>'Gas Water'!M408</f>
        <v/>
      </c>
      <c r="H406" s="142"/>
      <c r="I406" s="2" t="str">
        <f>'Gas Water'!L408</f>
        <v/>
      </c>
      <c r="J406" s="142"/>
      <c r="K406" s="5"/>
      <c r="L406" s="5"/>
    </row>
    <row r="407" spans="1:12" x14ac:dyDescent="0.25">
      <c r="A407" s="3" t="s">
        <v>74</v>
      </c>
      <c r="B407" s="3"/>
      <c r="C407" s="3"/>
      <c r="D407" s="3"/>
      <c r="E407" s="4" t="e">
        <f>'Electricity '!I408+'Electricity '!O408</f>
        <v>#VALUE!</v>
      </c>
      <c r="F407" s="142"/>
      <c r="G407" s="4" t="str">
        <f>'Gas Water'!M409</f>
        <v/>
      </c>
      <c r="H407" s="142"/>
      <c r="I407" s="2" t="str">
        <f>'Gas Water'!L409</f>
        <v/>
      </c>
      <c r="J407" s="142"/>
      <c r="K407" s="5"/>
      <c r="L407" s="5"/>
    </row>
    <row r="408" spans="1:12" x14ac:dyDescent="0.25">
      <c r="A408" s="3" t="s">
        <v>74</v>
      </c>
      <c r="B408" s="3"/>
      <c r="C408" s="3"/>
      <c r="D408" s="3"/>
      <c r="E408" s="4" t="e">
        <f>'Electricity '!I409+'Electricity '!O409</f>
        <v>#VALUE!</v>
      </c>
      <c r="F408" s="142"/>
      <c r="G408" s="4" t="str">
        <f>'Gas Water'!M410</f>
        <v/>
      </c>
      <c r="H408" s="142"/>
      <c r="I408" s="2" t="str">
        <f>'Gas Water'!L410</f>
        <v/>
      </c>
      <c r="J408" s="142"/>
      <c r="K408" s="5"/>
      <c r="L408" s="5"/>
    </row>
    <row r="409" spans="1:12" x14ac:dyDescent="0.25">
      <c r="A409" s="3" t="s">
        <v>74</v>
      </c>
      <c r="B409" s="3"/>
      <c r="C409" s="3"/>
      <c r="D409" s="3"/>
      <c r="E409" s="4" t="e">
        <f>'Electricity '!I410+'Electricity '!O410</f>
        <v>#VALUE!</v>
      </c>
      <c r="F409" s="142"/>
      <c r="G409" s="4" t="str">
        <f>'Gas Water'!M411</f>
        <v/>
      </c>
      <c r="H409" s="142"/>
      <c r="I409" s="2" t="str">
        <f>'Gas Water'!L411</f>
        <v/>
      </c>
      <c r="J409" s="142"/>
      <c r="K409" s="5"/>
      <c r="L409" s="5"/>
    </row>
    <row r="410" spans="1:12" x14ac:dyDescent="0.25">
      <c r="A410" s="3" t="s">
        <v>74</v>
      </c>
      <c r="B410" s="3"/>
      <c r="C410" s="3"/>
      <c r="D410" s="3"/>
      <c r="E410" s="4" t="e">
        <f>'Electricity '!I411+'Electricity '!O411</f>
        <v>#VALUE!</v>
      </c>
      <c r="F410" s="142"/>
      <c r="G410" s="4" t="str">
        <f>'Gas Water'!M412</f>
        <v/>
      </c>
      <c r="H410" s="142"/>
      <c r="I410" s="2" t="str">
        <f>'Gas Water'!L412</f>
        <v/>
      </c>
      <c r="J410" s="142"/>
      <c r="K410" s="5"/>
      <c r="L410" s="5"/>
    </row>
    <row r="411" spans="1:12" x14ac:dyDescent="0.25">
      <c r="A411" s="3" t="s">
        <v>74</v>
      </c>
      <c r="B411" s="3"/>
      <c r="C411" s="3"/>
      <c r="D411" s="3"/>
      <c r="E411" s="4" t="e">
        <f>'Electricity '!I412+'Electricity '!O412</f>
        <v>#VALUE!</v>
      </c>
      <c r="F411" s="142"/>
      <c r="G411" s="4" t="str">
        <f>'Gas Water'!M413</f>
        <v/>
      </c>
      <c r="H411" s="142"/>
      <c r="I411" s="2" t="str">
        <f>'Gas Water'!L413</f>
        <v/>
      </c>
      <c r="J411" s="142"/>
      <c r="K411" s="5"/>
      <c r="L411" s="5"/>
    </row>
    <row r="412" spans="1:12" x14ac:dyDescent="0.25">
      <c r="A412" s="3" t="s">
        <v>74</v>
      </c>
      <c r="B412" s="3"/>
      <c r="C412" s="3"/>
      <c r="D412" s="3"/>
      <c r="E412" s="4" t="e">
        <f>'Electricity '!I413+'Electricity '!O413</f>
        <v>#VALUE!</v>
      </c>
      <c r="F412" s="142"/>
      <c r="G412" s="4" t="str">
        <f>'Gas Water'!M414</f>
        <v/>
      </c>
      <c r="H412" s="142"/>
      <c r="I412" s="2" t="str">
        <f>'Gas Water'!L414</f>
        <v/>
      </c>
      <c r="J412" s="142"/>
      <c r="K412" s="5"/>
      <c r="L412" s="5"/>
    </row>
    <row r="413" spans="1:12" x14ac:dyDescent="0.25">
      <c r="A413" s="3" t="s">
        <v>74</v>
      </c>
      <c r="B413" s="3"/>
      <c r="C413" s="3"/>
      <c r="D413" s="3"/>
      <c r="E413" s="4" t="e">
        <f>'Electricity '!I414+'Electricity '!O414</f>
        <v>#VALUE!</v>
      </c>
      <c r="F413" s="142"/>
      <c r="G413" s="4" t="str">
        <f>'Gas Water'!M415</f>
        <v/>
      </c>
      <c r="H413" s="142"/>
      <c r="I413" s="2" t="str">
        <f>'Gas Water'!L415</f>
        <v/>
      </c>
      <c r="J413" s="142"/>
      <c r="K413" s="5"/>
      <c r="L413" s="5"/>
    </row>
    <row r="414" spans="1:12" x14ac:dyDescent="0.25">
      <c r="A414" s="3" t="s">
        <v>74</v>
      </c>
      <c r="B414" s="3"/>
      <c r="C414" s="3"/>
      <c r="D414" s="3"/>
      <c r="E414" s="4" t="e">
        <f>'Electricity '!I415+'Electricity '!O415</f>
        <v>#VALUE!</v>
      </c>
      <c r="F414" s="142"/>
      <c r="G414" s="4" t="str">
        <f>'Gas Water'!M416</f>
        <v/>
      </c>
      <c r="H414" s="142"/>
      <c r="I414" s="2" t="str">
        <f>'Gas Water'!L416</f>
        <v/>
      </c>
      <c r="J414" s="142"/>
      <c r="K414" s="5"/>
      <c r="L414" s="5"/>
    </row>
    <row r="415" spans="1:12" x14ac:dyDescent="0.25">
      <c r="A415" s="3" t="s">
        <v>74</v>
      </c>
      <c r="B415" s="3"/>
      <c r="C415" s="3"/>
      <c r="D415" s="3"/>
      <c r="E415" s="4" t="e">
        <f>'Electricity '!I416+'Electricity '!O416</f>
        <v>#VALUE!</v>
      </c>
      <c r="F415" s="142"/>
      <c r="G415" s="4" t="str">
        <f>'Gas Water'!M417</f>
        <v/>
      </c>
      <c r="H415" s="142"/>
      <c r="I415" s="2" t="str">
        <f>'Gas Water'!L417</f>
        <v/>
      </c>
      <c r="J415" s="142"/>
      <c r="K415" s="5"/>
      <c r="L415" s="5"/>
    </row>
    <row r="416" spans="1:12" x14ac:dyDescent="0.25">
      <c r="A416" s="3" t="s">
        <v>74</v>
      </c>
      <c r="B416" s="3"/>
      <c r="C416" s="3"/>
      <c r="D416" s="3"/>
      <c r="E416" s="4" t="e">
        <f>'Electricity '!I417+'Electricity '!O417</f>
        <v>#VALUE!</v>
      </c>
      <c r="F416" s="142"/>
      <c r="G416" s="4" t="str">
        <f>'Gas Water'!M418</f>
        <v/>
      </c>
      <c r="H416" s="142"/>
      <c r="I416" s="2" t="str">
        <f>'Gas Water'!L418</f>
        <v/>
      </c>
      <c r="J416" s="142"/>
      <c r="K416" s="5"/>
      <c r="L416" s="5"/>
    </row>
    <row r="417" spans="1:12" x14ac:dyDescent="0.25">
      <c r="A417" s="3" t="s">
        <v>74</v>
      </c>
      <c r="B417" s="3"/>
      <c r="C417" s="3"/>
      <c r="D417" s="3"/>
      <c r="E417" s="4" t="e">
        <f>'Electricity '!I418+'Electricity '!O418</f>
        <v>#VALUE!</v>
      </c>
      <c r="F417" s="142"/>
      <c r="G417" s="4" t="str">
        <f>'Gas Water'!M419</f>
        <v/>
      </c>
      <c r="H417" s="142"/>
      <c r="I417" s="2" t="str">
        <f>'Gas Water'!L419</f>
        <v/>
      </c>
      <c r="J417" s="142"/>
      <c r="K417" s="5"/>
      <c r="L417" s="5"/>
    </row>
    <row r="418" spans="1:12" x14ac:dyDescent="0.25">
      <c r="A418" s="3" t="s">
        <v>74</v>
      </c>
      <c r="B418" s="3"/>
      <c r="C418" s="3"/>
      <c r="D418" s="3"/>
      <c r="E418" s="4" t="e">
        <f>'Electricity '!I419+'Electricity '!O419</f>
        <v>#VALUE!</v>
      </c>
      <c r="F418" s="142"/>
      <c r="G418" s="4" t="str">
        <f>'Gas Water'!M420</f>
        <v/>
      </c>
      <c r="H418" s="142"/>
      <c r="I418" s="2" t="str">
        <f>'Gas Water'!L420</f>
        <v/>
      </c>
      <c r="J418" s="142"/>
      <c r="K418" s="5"/>
      <c r="L418" s="5"/>
    </row>
    <row r="419" spans="1:12" x14ac:dyDescent="0.25">
      <c r="A419" s="3" t="s">
        <v>74</v>
      </c>
      <c r="B419" s="3"/>
      <c r="C419" s="3"/>
      <c r="D419" s="3"/>
      <c r="E419" s="4" t="e">
        <f>'Electricity '!I420+'Electricity '!O420</f>
        <v>#VALUE!</v>
      </c>
      <c r="F419" s="142"/>
      <c r="G419" s="4" t="str">
        <f>'Gas Water'!M421</f>
        <v/>
      </c>
      <c r="H419" s="142"/>
      <c r="I419" s="2" t="str">
        <f>'Gas Water'!L421</f>
        <v/>
      </c>
      <c r="J419" s="142"/>
      <c r="K419" s="5"/>
      <c r="L419" s="5"/>
    </row>
    <row r="420" spans="1:12" x14ac:dyDescent="0.25">
      <c r="A420" s="3" t="s">
        <v>74</v>
      </c>
      <c r="B420" s="3"/>
      <c r="C420" s="3"/>
      <c r="D420" s="3"/>
      <c r="E420" s="4" t="e">
        <f>'Electricity '!I421+'Electricity '!O421</f>
        <v>#VALUE!</v>
      </c>
      <c r="F420" s="142"/>
      <c r="G420" s="4" t="str">
        <f>'Gas Water'!M422</f>
        <v/>
      </c>
      <c r="H420" s="142"/>
      <c r="I420" s="2" t="str">
        <f>'Gas Water'!L422</f>
        <v/>
      </c>
      <c r="J420" s="142"/>
      <c r="K420" s="5"/>
      <c r="L420" s="5"/>
    </row>
    <row r="421" spans="1:12" x14ac:dyDescent="0.25">
      <c r="A421" s="3" t="s">
        <v>74</v>
      </c>
      <c r="B421" s="3"/>
      <c r="C421" s="3"/>
      <c r="D421" s="3"/>
      <c r="E421" s="4" t="e">
        <f>'Electricity '!I422+'Electricity '!O422</f>
        <v>#VALUE!</v>
      </c>
      <c r="F421" s="142"/>
      <c r="G421" s="4" t="str">
        <f>'Gas Water'!M423</f>
        <v/>
      </c>
      <c r="H421" s="142"/>
      <c r="I421" s="2" t="str">
        <f>'Gas Water'!L423</f>
        <v/>
      </c>
      <c r="J421" s="142"/>
      <c r="K421" s="5"/>
      <c r="L421" s="5"/>
    </row>
    <row r="422" spans="1:12" x14ac:dyDescent="0.25">
      <c r="A422" s="3" t="s">
        <v>74</v>
      </c>
      <c r="B422" s="3"/>
      <c r="C422" s="3"/>
      <c r="D422" s="3"/>
      <c r="E422" s="4" t="e">
        <f>'Electricity '!I423+'Electricity '!O423</f>
        <v>#VALUE!</v>
      </c>
      <c r="F422" s="142"/>
      <c r="G422" s="4" t="str">
        <f>'Gas Water'!M424</f>
        <v/>
      </c>
      <c r="H422" s="142"/>
      <c r="I422" s="2" t="str">
        <f>'Gas Water'!L424</f>
        <v/>
      </c>
      <c r="J422" s="142"/>
      <c r="K422" s="5"/>
      <c r="L422" s="5"/>
    </row>
    <row r="423" spans="1:12" x14ac:dyDescent="0.25">
      <c r="A423" s="3" t="s">
        <v>74</v>
      </c>
      <c r="B423" s="3"/>
      <c r="C423" s="3"/>
      <c r="D423" s="3"/>
      <c r="E423" s="4" t="e">
        <f>'Electricity '!I424+'Electricity '!O424</f>
        <v>#VALUE!</v>
      </c>
      <c r="F423" s="142"/>
      <c r="G423" s="4" t="str">
        <f>'Gas Water'!M425</f>
        <v/>
      </c>
      <c r="H423" s="142"/>
      <c r="I423" s="2" t="str">
        <f>'Gas Water'!L425</f>
        <v/>
      </c>
      <c r="J423" s="142"/>
      <c r="K423" s="5"/>
      <c r="L423" s="5"/>
    </row>
    <row r="424" spans="1:12" x14ac:dyDescent="0.25">
      <c r="A424" s="3" t="s">
        <v>74</v>
      </c>
      <c r="B424" s="3"/>
      <c r="C424" s="3"/>
      <c r="D424" s="3"/>
      <c r="E424" s="4" t="e">
        <f>'Electricity '!I425+'Electricity '!O425</f>
        <v>#VALUE!</v>
      </c>
      <c r="F424" s="142"/>
      <c r="G424" s="4" t="str">
        <f>'Gas Water'!M426</f>
        <v/>
      </c>
      <c r="H424" s="142"/>
      <c r="I424" s="2" t="str">
        <f>'Gas Water'!L426</f>
        <v/>
      </c>
      <c r="J424" s="142"/>
      <c r="K424" s="5"/>
      <c r="L424" s="5"/>
    </row>
    <row r="425" spans="1:12" x14ac:dyDescent="0.25">
      <c r="A425" s="3" t="s">
        <v>74</v>
      </c>
      <c r="B425" s="3"/>
      <c r="C425" s="3"/>
      <c r="D425" s="3"/>
      <c r="E425" s="4" t="e">
        <f>'Electricity '!I426+'Electricity '!O426</f>
        <v>#VALUE!</v>
      </c>
      <c r="F425" s="142"/>
      <c r="G425" s="4" t="str">
        <f>'Gas Water'!M427</f>
        <v/>
      </c>
      <c r="H425" s="142"/>
      <c r="I425" s="2" t="str">
        <f>'Gas Water'!L427</f>
        <v/>
      </c>
      <c r="J425" s="142"/>
      <c r="K425" s="5"/>
      <c r="L425" s="5"/>
    </row>
    <row r="426" spans="1:12" x14ac:dyDescent="0.25">
      <c r="A426" s="3" t="s">
        <v>74</v>
      </c>
      <c r="B426" s="3"/>
      <c r="C426" s="3"/>
      <c r="D426" s="3"/>
      <c r="E426" s="4" t="e">
        <f>'Electricity '!I427+'Electricity '!O427</f>
        <v>#VALUE!</v>
      </c>
      <c r="F426" s="142"/>
      <c r="G426" s="4" t="str">
        <f>'Gas Water'!M428</f>
        <v/>
      </c>
      <c r="H426" s="142"/>
      <c r="I426" s="2" t="str">
        <f>'Gas Water'!L428</f>
        <v/>
      </c>
      <c r="J426" s="142"/>
      <c r="K426" s="5"/>
      <c r="L426" s="5"/>
    </row>
    <row r="427" spans="1:12" x14ac:dyDescent="0.25">
      <c r="A427" s="3" t="s">
        <v>74</v>
      </c>
      <c r="B427" s="3"/>
      <c r="C427" s="3"/>
      <c r="D427" s="3"/>
      <c r="E427" s="4" t="e">
        <f>'Electricity '!I428+'Electricity '!O428</f>
        <v>#VALUE!</v>
      </c>
      <c r="F427" s="142"/>
      <c r="G427" s="4" t="str">
        <f>'Gas Water'!M429</f>
        <v/>
      </c>
      <c r="H427" s="142"/>
      <c r="I427" s="2" t="str">
        <f>'Gas Water'!L429</f>
        <v/>
      </c>
      <c r="J427" s="142"/>
      <c r="K427" s="5"/>
      <c r="L427" s="5"/>
    </row>
    <row r="428" spans="1:12" x14ac:dyDescent="0.25">
      <c r="A428" s="3" t="s">
        <v>74</v>
      </c>
      <c r="B428" s="3"/>
      <c r="C428" s="3"/>
      <c r="D428" s="3"/>
      <c r="E428" s="4" t="e">
        <f>'Electricity '!I429+'Electricity '!O429</f>
        <v>#VALUE!</v>
      </c>
      <c r="F428" s="142"/>
      <c r="G428" s="4" t="str">
        <f>'Gas Water'!M430</f>
        <v/>
      </c>
      <c r="H428" s="142"/>
      <c r="I428" s="2" t="str">
        <f>'Gas Water'!L430</f>
        <v/>
      </c>
      <c r="J428" s="142"/>
      <c r="K428" s="5"/>
      <c r="L428" s="5"/>
    </row>
    <row r="429" spans="1:12" x14ac:dyDescent="0.25">
      <c r="A429" s="3" t="s">
        <v>74</v>
      </c>
      <c r="B429" s="3"/>
      <c r="C429" s="3"/>
      <c r="D429" s="3"/>
      <c r="E429" s="4" t="e">
        <f>'Electricity '!I430+'Electricity '!O430</f>
        <v>#VALUE!</v>
      </c>
      <c r="F429" s="142"/>
      <c r="G429" s="4" t="str">
        <f>'Gas Water'!M431</f>
        <v/>
      </c>
      <c r="H429" s="142"/>
      <c r="I429" s="2" t="str">
        <f>'Gas Water'!L431</f>
        <v/>
      </c>
      <c r="J429" s="142"/>
      <c r="K429" s="5"/>
      <c r="L429" s="5"/>
    </row>
    <row r="430" spans="1:12" x14ac:dyDescent="0.25">
      <c r="A430" s="3" t="s">
        <v>74</v>
      </c>
      <c r="B430" s="3"/>
      <c r="C430" s="3"/>
      <c r="D430" s="3"/>
      <c r="E430" s="4" t="e">
        <f>'Electricity '!I431+'Electricity '!O431</f>
        <v>#VALUE!</v>
      </c>
      <c r="F430" s="142"/>
      <c r="G430" s="4" t="str">
        <f>'Gas Water'!M432</f>
        <v/>
      </c>
      <c r="H430" s="142"/>
      <c r="I430" s="2" t="str">
        <f>'Gas Water'!L432</f>
        <v/>
      </c>
      <c r="J430" s="142"/>
      <c r="K430" s="5"/>
      <c r="L430" s="5"/>
    </row>
    <row r="431" spans="1:12" x14ac:dyDescent="0.25">
      <c r="A431" s="3" t="s">
        <v>74</v>
      </c>
      <c r="B431" s="3"/>
      <c r="C431" s="3"/>
      <c r="D431" s="3"/>
      <c r="E431" s="4" t="e">
        <f>'Electricity '!I432+'Electricity '!O432</f>
        <v>#VALUE!</v>
      </c>
      <c r="F431" s="142"/>
      <c r="G431" s="4" t="str">
        <f>'Gas Water'!M433</f>
        <v/>
      </c>
      <c r="H431" s="142"/>
      <c r="I431" s="2" t="str">
        <f>'Gas Water'!L433</f>
        <v/>
      </c>
      <c r="J431" s="142"/>
      <c r="K431" s="5"/>
      <c r="L431" s="5"/>
    </row>
    <row r="432" spans="1:12" x14ac:dyDescent="0.25">
      <c r="A432" s="3" t="s">
        <v>74</v>
      </c>
      <c r="B432" s="3"/>
      <c r="C432" s="3"/>
      <c r="D432" s="3"/>
      <c r="E432" s="4" t="e">
        <f>'Electricity '!I433+'Electricity '!O433</f>
        <v>#VALUE!</v>
      </c>
      <c r="F432" s="142"/>
      <c r="G432" s="4" t="str">
        <f>'Gas Water'!M434</f>
        <v/>
      </c>
      <c r="H432" s="142"/>
      <c r="I432" s="2" t="str">
        <f>'Gas Water'!L434</f>
        <v/>
      </c>
      <c r="J432" s="142"/>
      <c r="K432" s="5"/>
      <c r="L432" s="5"/>
    </row>
    <row r="433" spans="1:12" x14ac:dyDescent="0.25">
      <c r="A433" s="3" t="s">
        <v>74</v>
      </c>
      <c r="B433" s="3"/>
      <c r="C433" s="3"/>
      <c r="D433" s="3"/>
      <c r="E433" s="4" t="e">
        <f>'Electricity '!I434+'Electricity '!O434</f>
        <v>#VALUE!</v>
      </c>
      <c r="F433" s="142"/>
      <c r="G433" s="4" t="str">
        <f>'Gas Water'!M435</f>
        <v/>
      </c>
      <c r="H433" s="142"/>
      <c r="I433" s="2" t="str">
        <f>'Gas Water'!L435</f>
        <v/>
      </c>
      <c r="J433" s="142"/>
      <c r="K433" s="5"/>
      <c r="L433" s="5"/>
    </row>
    <row r="434" spans="1:12" x14ac:dyDescent="0.25">
      <c r="A434" s="3" t="s">
        <v>74</v>
      </c>
      <c r="B434" s="3"/>
      <c r="C434" s="3"/>
      <c r="D434" s="3"/>
      <c r="E434" s="4" t="e">
        <f>'Electricity '!I435+'Electricity '!O435</f>
        <v>#VALUE!</v>
      </c>
      <c r="F434" s="142"/>
      <c r="G434" s="4" t="str">
        <f>'Gas Water'!M436</f>
        <v/>
      </c>
      <c r="H434" s="142"/>
      <c r="I434" s="2" t="str">
        <f>'Gas Water'!L436</f>
        <v/>
      </c>
      <c r="J434" s="142"/>
      <c r="K434" s="5"/>
      <c r="L434" s="5"/>
    </row>
    <row r="435" spans="1:12" x14ac:dyDescent="0.25">
      <c r="A435" s="3" t="s">
        <v>74</v>
      </c>
      <c r="B435" s="3"/>
      <c r="C435" s="3"/>
      <c r="D435" s="3"/>
      <c r="E435" s="4" t="e">
        <f>'Electricity '!I436+'Electricity '!O436</f>
        <v>#VALUE!</v>
      </c>
      <c r="F435" s="142"/>
      <c r="G435" s="4" t="str">
        <f>'Gas Water'!M437</f>
        <v/>
      </c>
      <c r="H435" s="142"/>
      <c r="I435" s="2" t="str">
        <f>'Gas Water'!L437</f>
        <v/>
      </c>
      <c r="J435" s="142"/>
      <c r="K435" s="5"/>
      <c r="L435" s="5"/>
    </row>
    <row r="436" spans="1:12" x14ac:dyDescent="0.25">
      <c r="A436" s="3" t="s">
        <v>74</v>
      </c>
      <c r="B436" s="3"/>
      <c r="C436" s="3"/>
      <c r="D436" s="3"/>
      <c r="E436" s="4" t="e">
        <f>'Electricity '!I437+'Electricity '!O437</f>
        <v>#VALUE!</v>
      </c>
      <c r="F436" s="142"/>
      <c r="G436" s="4" t="str">
        <f>'Gas Water'!M438</f>
        <v/>
      </c>
      <c r="H436" s="142"/>
      <c r="I436" s="2" t="str">
        <f>'Gas Water'!L438</f>
        <v/>
      </c>
      <c r="J436" s="142"/>
      <c r="K436" s="5"/>
      <c r="L436" s="5"/>
    </row>
    <row r="437" spans="1:12" x14ac:dyDescent="0.25">
      <c r="A437" s="3" t="s">
        <v>74</v>
      </c>
      <c r="B437" s="3"/>
      <c r="C437" s="3"/>
      <c r="D437" s="3"/>
      <c r="E437" s="4" t="e">
        <f>'Electricity '!I438+'Electricity '!O438</f>
        <v>#VALUE!</v>
      </c>
      <c r="F437" s="142"/>
      <c r="G437" s="4" t="str">
        <f>'Gas Water'!M439</f>
        <v/>
      </c>
      <c r="H437" s="142"/>
      <c r="I437" s="2" t="str">
        <f>'Gas Water'!L439</f>
        <v/>
      </c>
      <c r="J437" s="142"/>
      <c r="K437" s="5"/>
      <c r="L437" s="5"/>
    </row>
    <row r="438" spans="1:12" x14ac:dyDescent="0.25">
      <c r="A438" s="3" t="s">
        <v>74</v>
      </c>
      <c r="B438" s="3"/>
      <c r="C438" s="3"/>
      <c r="D438" s="3"/>
      <c r="E438" s="4" t="e">
        <f>'Electricity '!I439+'Electricity '!O439</f>
        <v>#VALUE!</v>
      </c>
      <c r="F438" s="142"/>
      <c r="G438" s="4" t="str">
        <f>'Gas Water'!M440</f>
        <v/>
      </c>
      <c r="H438" s="142"/>
      <c r="I438" s="2" t="str">
        <f>'Gas Water'!L440</f>
        <v/>
      </c>
      <c r="J438" s="142"/>
      <c r="K438" s="5"/>
      <c r="L438" s="5"/>
    </row>
    <row r="439" spans="1:12" x14ac:dyDescent="0.25">
      <c r="A439" s="3" t="s">
        <v>74</v>
      </c>
      <c r="B439" s="3"/>
      <c r="C439" s="3"/>
      <c r="D439" s="3"/>
      <c r="E439" s="4" t="e">
        <f>'Electricity '!I440+'Electricity '!O440</f>
        <v>#VALUE!</v>
      </c>
      <c r="F439" s="142"/>
      <c r="G439" s="4" t="str">
        <f>'Gas Water'!M441</f>
        <v/>
      </c>
      <c r="H439" s="142"/>
      <c r="I439" s="2" t="str">
        <f>'Gas Water'!L441</f>
        <v/>
      </c>
      <c r="J439" s="142"/>
      <c r="K439" s="5"/>
      <c r="L439" s="5"/>
    </row>
    <row r="440" spans="1:12" x14ac:dyDescent="0.25">
      <c r="A440" s="3" t="s">
        <v>74</v>
      </c>
      <c r="B440" s="3"/>
      <c r="C440" s="3"/>
      <c r="D440" s="3"/>
      <c r="E440" s="4" t="e">
        <f>'Electricity '!I441+'Electricity '!O441</f>
        <v>#VALUE!</v>
      </c>
      <c r="F440" s="142"/>
      <c r="G440" s="4" t="str">
        <f>'Gas Water'!M442</f>
        <v/>
      </c>
      <c r="H440" s="142"/>
      <c r="I440" s="2" t="str">
        <f>'Gas Water'!L442</f>
        <v/>
      </c>
      <c r="J440" s="142"/>
      <c r="K440" s="5"/>
      <c r="L440" s="5"/>
    </row>
    <row r="441" spans="1:12" x14ac:dyDescent="0.25">
      <c r="A441" s="3" t="s">
        <v>74</v>
      </c>
      <c r="B441" s="3"/>
      <c r="C441" s="3"/>
      <c r="D441" s="3"/>
      <c r="E441" s="4" t="e">
        <f>'Electricity '!I442+'Electricity '!O442</f>
        <v>#VALUE!</v>
      </c>
      <c r="F441" s="142"/>
      <c r="G441" s="4" t="str">
        <f>'Gas Water'!M443</f>
        <v/>
      </c>
      <c r="H441" s="142"/>
      <c r="I441" s="2" t="str">
        <f>'Gas Water'!L443</f>
        <v/>
      </c>
      <c r="J441" s="142"/>
      <c r="K441" s="5"/>
      <c r="L441" s="5"/>
    </row>
    <row r="442" spans="1:12" x14ac:dyDescent="0.25">
      <c r="A442" s="3" t="s">
        <v>74</v>
      </c>
      <c r="B442" s="3"/>
      <c r="C442" s="3"/>
      <c r="D442" s="3"/>
      <c r="E442" s="4" t="e">
        <f>'Electricity '!I443+'Electricity '!O443</f>
        <v>#VALUE!</v>
      </c>
      <c r="F442" s="142"/>
      <c r="G442" s="4" t="str">
        <f>'Gas Water'!M444</f>
        <v/>
      </c>
      <c r="H442" s="142"/>
      <c r="I442" s="2" t="str">
        <f>'Gas Water'!L444</f>
        <v/>
      </c>
      <c r="J442" s="142"/>
      <c r="K442" s="5"/>
      <c r="L442" s="5"/>
    </row>
    <row r="443" spans="1:12" x14ac:dyDescent="0.25">
      <c r="A443" s="3" t="s">
        <v>74</v>
      </c>
      <c r="B443" s="3"/>
      <c r="C443" s="3"/>
      <c r="D443" s="3"/>
      <c r="E443" s="4" t="e">
        <f>'Electricity '!I444+'Electricity '!O444</f>
        <v>#VALUE!</v>
      </c>
      <c r="F443" s="142"/>
      <c r="G443" s="4" t="str">
        <f>'Gas Water'!M445</f>
        <v/>
      </c>
      <c r="H443" s="142"/>
      <c r="I443" s="2" t="str">
        <f>'Gas Water'!L445</f>
        <v/>
      </c>
      <c r="J443" s="142"/>
      <c r="K443" s="5"/>
      <c r="L443" s="5"/>
    </row>
    <row r="444" spans="1:12" x14ac:dyDescent="0.25">
      <c r="A444" s="3" t="s">
        <v>74</v>
      </c>
      <c r="B444" s="3"/>
      <c r="C444" s="3"/>
      <c r="D444" s="3"/>
      <c r="E444" s="4" t="e">
        <f>'Electricity '!I445+'Electricity '!O445</f>
        <v>#VALUE!</v>
      </c>
      <c r="F444" s="142"/>
      <c r="G444" s="4" t="str">
        <f>'Gas Water'!M446</f>
        <v/>
      </c>
      <c r="H444" s="142"/>
      <c r="I444" s="2" t="str">
        <f>'Gas Water'!L446</f>
        <v/>
      </c>
      <c r="J444" s="142"/>
      <c r="K444" s="5"/>
      <c r="L444" s="5"/>
    </row>
    <row r="445" spans="1:12" x14ac:dyDescent="0.25">
      <c r="A445" s="3" t="s">
        <v>74</v>
      </c>
      <c r="B445" s="3"/>
      <c r="C445" s="3"/>
      <c r="D445" s="3"/>
      <c r="E445" s="4" t="e">
        <f>'Electricity '!I446+'Electricity '!O446</f>
        <v>#VALUE!</v>
      </c>
      <c r="F445" s="142"/>
      <c r="G445" s="4" t="str">
        <f>'Gas Water'!M447</f>
        <v/>
      </c>
      <c r="H445" s="142"/>
      <c r="I445" s="2" t="str">
        <f>'Gas Water'!L447</f>
        <v/>
      </c>
      <c r="J445" s="142"/>
      <c r="K445" s="5"/>
      <c r="L445" s="5"/>
    </row>
    <row r="446" spans="1:12" x14ac:dyDescent="0.25">
      <c r="A446" s="3" t="s">
        <v>74</v>
      </c>
      <c r="B446" s="3"/>
      <c r="C446" s="3"/>
      <c r="D446" s="3"/>
      <c r="E446" s="4" t="e">
        <f>'Electricity '!I447+'Electricity '!O447</f>
        <v>#VALUE!</v>
      </c>
      <c r="F446" s="142"/>
      <c r="G446" s="4" t="str">
        <f>'Gas Water'!M448</f>
        <v/>
      </c>
      <c r="H446" s="142"/>
      <c r="I446" s="2" t="str">
        <f>'Gas Water'!L448</f>
        <v/>
      </c>
      <c r="J446" s="142"/>
      <c r="K446" s="5"/>
      <c r="L446" s="5"/>
    </row>
    <row r="447" spans="1:12" x14ac:dyDescent="0.25">
      <c r="A447" s="3" t="s">
        <v>74</v>
      </c>
      <c r="B447" s="3"/>
      <c r="C447" s="3"/>
      <c r="D447" s="3"/>
      <c r="E447" s="4" t="e">
        <f>'Electricity '!I448+'Electricity '!O448</f>
        <v>#VALUE!</v>
      </c>
      <c r="F447" s="142"/>
      <c r="G447" s="4" t="str">
        <f>'Gas Water'!M449</f>
        <v/>
      </c>
      <c r="H447" s="142"/>
      <c r="I447" s="2" t="str">
        <f>'Gas Water'!L449</f>
        <v/>
      </c>
      <c r="J447" s="142"/>
      <c r="K447" s="5"/>
      <c r="L447" s="5"/>
    </row>
    <row r="448" spans="1:12" x14ac:dyDescent="0.25">
      <c r="A448" s="3" t="s">
        <v>74</v>
      </c>
      <c r="B448" s="3"/>
      <c r="C448" s="3"/>
      <c r="D448" s="3"/>
      <c r="E448" s="4" t="e">
        <f>'Electricity '!I449+'Electricity '!O449</f>
        <v>#VALUE!</v>
      </c>
      <c r="F448" s="142"/>
      <c r="G448" s="4" t="str">
        <f>'Gas Water'!M450</f>
        <v/>
      </c>
      <c r="H448" s="142"/>
      <c r="I448" s="2" t="str">
        <f>'Gas Water'!L450</f>
        <v/>
      </c>
      <c r="J448" s="142"/>
      <c r="K448" s="5"/>
      <c r="L448" s="5"/>
    </row>
    <row r="449" spans="1:12" x14ac:dyDescent="0.25">
      <c r="A449" s="3" t="s">
        <v>74</v>
      </c>
      <c r="B449" s="3"/>
      <c r="C449" s="3"/>
      <c r="D449" s="3"/>
      <c r="E449" s="4" t="e">
        <f>'Electricity '!I450+'Electricity '!O450</f>
        <v>#VALUE!</v>
      </c>
      <c r="F449" s="142"/>
      <c r="G449" s="4" t="str">
        <f>'Gas Water'!M451</f>
        <v/>
      </c>
      <c r="H449" s="142"/>
      <c r="I449" s="2" t="str">
        <f>'Gas Water'!L451</f>
        <v/>
      </c>
      <c r="J449" s="142"/>
      <c r="K449" s="5"/>
      <c r="L449" s="5"/>
    </row>
    <row r="450" spans="1:12" x14ac:dyDescent="0.25">
      <c r="A450" s="3" t="s">
        <v>74</v>
      </c>
      <c r="B450" s="3"/>
      <c r="C450" s="3"/>
      <c r="D450" s="3"/>
      <c r="E450" s="4" t="e">
        <f>'Electricity '!I451+'Electricity '!O451</f>
        <v>#VALUE!</v>
      </c>
      <c r="F450" s="142"/>
      <c r="G450" s="4" t="str">
        <f>'Gas Water'!M452</f>
        <v/>
      </c>
      <c r="H450" s="142"/>
      <c r="I450" s="2" t="str">
        <f>'Gas Water'!L452</f>
        <v/>
      </c>
      <c r="J450" s="142"/>
      <c r="K450" s="5"/>
      <c r="L450" s="5"/>
    </row>
    <row r="451" spans="1:12" x14ac:dyDescent="0.25">
      <c r="A451" s="3" t="s">
        <v>74</v>
      </c>
      <c r="B451" s="3"/>
      <c r="C451" s="3"/>
      <c r="D451" s="3"/>
      <c r="E451" s="4" t="e">
        <f>'Electricity '!I452+'Electricity '!O452</f>
        <v>#VALUE!</v>
      </c>
      <c r="F451" s="142"/>
      <c r="G451" s="4" t="str">
        <f>'Gas Water'!M453</f>
        <v/>
      </c>
      <c r="H451" s="142"/>
      <c r="I451" s="2" t="str">
        <f>'Gas Water'!L453</f>
        <v/>
      </c>
      <c r="J451" s="142"/>
      <c r="K451" s="5"/>
      <c r="L451" s="5"/>
    </row>
    <row r="452" spans="1:12" x14ac:dyDescent="0.25">
      <c r="A452" s="3" t="s">
        <v>74</v>
      </c>
      <c r="B452" s="3"/>
      <c r="C452" s="3"/>
      <c r="D452" s="3"/>
      <c r="E452" s="4" t="e">
        <f>'Electricity '!I453+'Electricity '!O453</f>
        <v>#VALUE!</v>
      </c>
      <c r="F452" s="142"/>
      <c r="G452" s="4" t="str">
        <f>'Gas Water'!M454</f>
        <v/>
      </c>
      <c r="H452" s="142"/>
      <c r="I452" s="2" t="str">
        <f>'Gas Water'!L454</f>
        <v/>
      </c>
      <c r="J452" s="142"/>
      <c r="K452" s="5"/>
      <c r="L452" s="5"/>
    </row>
    <row r="453" spans="1:12" x14ac:dyDescent="0.25">
      <c r="A453" s="3" t="s">
        <v>74</v>
      </c>
      <c r="B453" s="3"/>
      <c r="C453" s="3"/>
      <c r="D453" s="3"/>
      <c r="E453" s="4" t="e">
        <f>'Electricity '!I454+'Electricity '!O454</f>
        <v>#VALUE!</v>
      </c>
      <c r="F453" s="142"/>
      <c r="G453" s="4" t="str">
        <f>'Gas Water'!M455</f>
        <v/>
      </c>
      <c r="H453" s="142"/>
      <c r="I453" s="2" t="str">
        <f>'Gas Water'!L455</f>
        <v/>
      </c>
      <c r="J453" s="142"/>
      <c r="K453" s="5"/>
      <c r="L453" s="5"/>
    </row>
    <row r="454" spans="1:12" x14ac:dyDescent="0.25">
      <c r="A454" s="3" t="s">
        <v>74</v>
      </c>
      <c r="B454" s="3"/>
      <c r="C454" s="3"/>
      <c r="D454" s="3"/>
      <c r="E454" s="4" t="e">
        <f>'Electricity '!I455+'Electricity '!O455</f>
        <v>#VALUE!</v>
      </c>
      <c r="F454" s="142"/>
      <c r="G454" s="4" t="str">
        <f>'Gas Water'!M456</f>
        <v/>
      </c>
      <c r="H454" s="142"/>
      <c r="I454" s="2" t="str">
        <f>'Gas Water'!L456</f>
        <v/>
      </c>
      <c r="J454" s="142"/>
      <c r="K454" s="5"/>
      <c r="L454" s="5"/>
    </row>
    <row r="455" spans="1:12" x14ac:dyDescent="0.25">
      <c r="A455" s="3" t="s">
        <v>74</v>
      </c>
      <c r="B455" s="3"/>
      <c r="C455" s="3"/>
      <c r="D455" s="3"/>
      <c r="E455" s="4" t="e">
        <f>'Electricity '!I456+'Electricity '!O456</f>
        <v>#VALUE!</v>
      </c>
      <c r="F455" s="142"/>
      <c r="G455" s="4" t="str">
        <f>'Gas Water'!M457</f>
        <v/>
      </c>
      <c r="H455" s="142"/>
      <c r="I455" s="2" t="str">
        <f>'Gas Water'!L457</f>
        <v/>
      </c>
      <c r="J455" s="142"/>
      <c r="K455" s="5"/>
      <c r="L455" s="5"/>
    </row>
    <row r="456" spans="1:12" x14ac:dyDescent="0.25">
      <c r="A456" s="3" t="s">
        <v>74</v>
      </c>
      <c r="B456" s="3"/>
      <c r="C456" s="3"/>
      <c r="D456" s="3"/>
      <c r="E456" s="4" t="e">
        <f>'Electricity '!I457+'Electricity '!O457</f>
        <v>#VALUE!</v>
      </c>
      <c r="F456" s="142"/>
      <c r="G456" s="4" t="str">
        <f>'Gas Water'!M458</f>
        <v/>
      </c>
      <c r="H456" s="142"/>
      <c r="I456" s="2" t="str">
        <f>'Gas Water'!L458</f>
        <v/>
      </c>
      <c r="J456" s="142"/>
      <c r="K456" s="5"/>
      <c r="L456" s="5"/>
    </row>
    <row r="457" spans="1:12" x14ac:dyDescent="0.25">
      <c r="A457" s="3" t="s">
        <v>74</v>
      </c>
      <c r="B457" s="3"/>
      <c r="C457" s="3"/>
      <c r="D457" s="3"/>
      <c r="E457" s="4" t="e">
        <f>'Electricity '!I458+'Electricity '!O458</f>
        <v>#VALUE!</v>
      </c>
      <c r="F457" s="142"/>
      <c r="G457" s="4" t="str">
        <f>'Gas Water'!M459</f>
        <v/>
      </c>
      <c r="H457" s="142"/>
      <c r="I457" s="2" t="str">
        <f>'Gas Water'!L459</f>
        <v/>
      </c>
      <c r="J457" s="142"/>
      <c r="K457" s="5"/>
      <c r="L457" s="5"/>
    </row>
    <row r="458" spans="1:12" x14ac:dyDescent="0.25">
      <c r="A458" s="3" t="s">
        <v>74</v>
      </c>
      <c r="B458" s="3"/>
      <c r="C458" s="3"/>
      <c r="D458" s="3"/>
      <c r="E458" s="4" t="e">
        <f>'Electricity '!I459+'Electricity '!O459</f>
        <v>#VALUE!</v>
      </c>
      <c r="F458" s="142"/>
      <c r="G458" s="4" t="str">
        <f>'Gas Water'!M460</f>
        <v/>
      </c>
      <c r="H458" s="142"/>
      <c r="I458" s="2" t="str">
        <f>'Gas Water'!L460</f>
        <v/>
      </c>
      <c r="J458" s="142"/>
      <c r="K458" s="5"/>
      <c r="L458" s="5"/>
    </row>
    <row r="459" spans="1:12" x14ac:dyDescent="0.25">
      <c r="A459" s="3" t="s">
        <v>74</v>
      </c>
      <c r="B459" s="3"/>
      <c r="C459" s="3"/>
      <c r="D459" s="3"/>
      <c r="E459" s="4" t="e">
        <f>'Electricity '!I460+'Electricity '!O460</f>
        <v>#VALUE!</v>
      </c>
      <c r="F459" s="142"/>
      <c r="G459" s="4" t="str">
        <f>'Gas Water'!M461</f>
        <v/>
      </c>
      <c r="H459" s="142"/>
      <c r="I459" s="2" t="str">
        <f>'Gas Water'!L461</f>
        <v/>
      </c>
      <c r="J459" s="142"/>
      <c r="K459" s="5"/>
      <c r="L459" s="5"/>
    </row>
    <row r="460" spans="1:12" x14ac:dyDescent="0.25">
      <c r="A460" s="3" t="s">
        <v>74</v>
      </c>
      <c r="B460" s="3"/>
      <c r="C460" s="3"/>
      <c r="D460" s="3"/>
      <c r="E460" s="4" t="e">
        <f>'Electricity '!I461+'Electricity '!O461</f>
        <v>#VALUE!</v>
      </c>
      <c r="F460" s="142"/>
      <c r="G460" s="4" t="str">
        <f>'Gas Water'!M462</f>
        <v/>
      </c>
      <c r="H460" s="142"/>
      <c r="I460" s="2" t="str">
        <f>'Gas Water'!L462</f>
        <v/>
      </c>
      <c r="J460" s="142"/>
      <c r="K460" s="5"/>
      <c r="L460" s="5"/>
    </row>
    <row r="461" spans="1:12" x14ac:dyDescent="0.25">
      <c r="A461" s="3" t="s">
        <v>74</v>
      </c>
      <c r="B461" s="3"/>
      <c r="C461" s="3"/>
      <c r="D461" s="3"/>
      <c r="E461" s="4" t="e">
        <f>'Electricity '!I462+'Electricity '!O462</f>
        <v>#VALUE!</v>
      </c>
      <c r="F461" s="142"/>
      <c r="G461" s="4" t="str">
        <f>'Gas Water'!M463</f>
        <v/>
      </c>
      <c r="H461" s="142"/>
      <c r="I461" s="2" t="str">
        <f>'Gas Water'!L463</f>
        <v/>
      </c>
      <c r="J461" s="142"/>
      <c r="K461" s="5"/>
      <c r="L461" s="5"/>
    </row>
    <row r="462" spans="1:12" x14ac:dyDescent="0.25">
      <c r="A462" s="3" t="s">
        <v>74</v>
      </c>
      <c r="B462" s="3"/>
      <c r="C462" s="3"/>
      <c r="D462" s="3"/>
      <c r="E462" s="4" t="e">
        <f>'Electricity '!I463+'Electricity '!O463</f>
        <v>#VALUE!</v>
      </c>
      <c r="F462" s="142"/>
      <c r="G462" s="4" t="str">
        <f>'Gas Water'!M464</f>
        <v/>
      </c>
      <c r="H462" s="142"/>
      <c r="I462" s="2" t="str">
        <f>'Gas Water'!L464</f>
        <v/>
      </c>
      <c r="J462" s="142"/>
      <c r="K462" s="5"/>
      <c r="L462" s="5"/>
    </row>
    <row r="463" spans="1:12" x14ac:dyDescent="0.25">
      <c r="A463" s="3" t="s">
        <v>74</v>
      </c>
      <c r="B463" s="3"/>
      <c r="C463" s="3"/>
      <c r="D463" s="3"/>
      <c r="E463" s="4" t="e">
        <f>'Electricity '!I464+'Electricity '!O464</f>
        <v>#VALUE!</v>
      </c>
      <c r="F463" s="142"/>
      <c r="G463" s="4" t="str">
        <f>'Gas Water'!M465</f>
        <v/>
      </c>
      <c r="H463" s="142"/>
      <c r="I463" s="2" t="str">
        <f>'Gas Water'!L465</f>
        <v/>
      </c>
      <c r="J463" s="142"/>
      <c r="K463" s="5"/>
      <c r="L463" s="5"/>
    </row>
    <row r="464" spans="1:12" x14ac:dyDescent="0.25">
      <c r="A464" s="3" t="s">
        <v>74</v>
      </c>
      <c r="B464" s="3"/>
      <c r="C464" s="3"/>
      <c r="D464" s="3"/>
      <c r="E464" s="4" t="e">
        <f>'Electricity '!I465+'Electricity '!O465</f>
        <v>#VALUE!</v>
      </c>
      <c r="F464" s="142"/>
      <c r="G464" s="4" t="str">
        <f>'Gas Water'!M466</f>
        <v/>
      </c>
      <c r="H464" s="142"/>
      <c r="I464" s="2" t="str">
        <f>'Gas Water'!L466</f>
        <v/>
      </c>
      <c r="J464" s="142"/>
      <c r="K464" s="5"/>
      <c r="L464" s="5"/>
    </row>
    <row r="465" spans="1:12" x14ac:dyDescent="0.25">
      <c r="A465" s="3" t="s">
        <v>74</v>
      </c>
      <c r="B465" s="3"/>
      <c r="C465" s="3"/>
      <c r="D465" s="3"/>
      <c r="E465" s="4" t="e">
        <f>'Electricity '!I466+'Electricity '!O466</f>
        <v>#VALUE!</v>
      </c>
      <c r="F465" s="142"/>
      <c r="G465" s="4" t="str">
        <f>'Gas Water'!M467</f>
        <v/>
      </c>
      <c r="H465" s="142"/>
      <c r="I465" s="2" t="str">
        <f>'Gas Water'!L467</f>
        <v/>
      </c>
      <c r="J465" s="142"/>
      <c r="K465" s="5"/>
      <c r="L465" s="5"/>
    </row>
    <row r="466" spans="1:12" x14ac:dyDescent="0.25">
      <c r="A466" s="3" t="s">
        <v>74</v>
      </c>
      <c r="B466" s="3"/>
      <c r="C466" s="3"/>
      <c r="D466" s="3"/>
      <c r="E466" s="4" t="e">
        <f>'Electricity '!I467+'Electricity '!O467</f>
        <v>#VALUE!</v>
      </c>
      <c r="F466" s="142"/>
      <c r="G466" s="4" t="str">
        <f>'Gas Water'!M468</f>
        <v/>
      </c>
      <c r="H466" s="142"/>
      <c r="I466" s="2" t="str">
        <f>'Gas Water'!L468</f>
        <v/>
      </c>
      <c r="J466" s="142"/>
      <c r="K466" s="5"/>
      <c r="L466" s="5"/>
    </row>
    <row r="467" spans="1:12" x14ac:dyDescent="0.25">
      <c r="A467" s="3" t="s">
        <v>74</v>
      </c>
      <c r="B467" s="3"/>
      <c r="C467" s="3"/>
      <c r="D467" s="3"/>
      <c r="E467" s="4" t="e">
        <f>'Electricity '!I468+'Electricity '!O468</f>
        <v>#VALUE!</v>
      </c>
      <c r="F467" s="142"/>
      <c r="G467" s="4" t="str">
        <f>'Gas Water'!M469</f>
        <v/>
      </c>
      <c r="H467" s="142"/>
      <c r="I467" s="2" t="str">
        <f>'Gas Water'!L469</f>
        <v/>
      </c>
      <c r="J467" s="142"/>
      <c r="K467" s="5"/>
      <c r="L467" s="5"/>
    </row>
    <row r="468" spans="1:12" x14ac:dyDescent="0.25">
      <c r="A468" s="3" t="s">
        <v>74</v>
      </c>
      <c r="B468" s="3"/>
      <c r="C468" s="3"/>
      <c r="D468" s="3"/>
      <c r="E468" s="4" t="e">
        <f>'Electricity '!I469+'Electricity '!O469</f>
        <v>#VALUE!</v>
      </c>
      <c r="F468" s="142"/>
      <c r="G468" s="4" t="str">
        <f>'Gas Water'!M470</f>
        <v/>
      </c>
      <c r="H468" s="142"/>
      <c r="I468" s="2" t="str">
        <f>'Gas Water'!L470</f>
        <v/>
      </c>
      <c r="J468" s="142"/>
      <c r="K468" s="5"/>
      <c r="L468" s="5"/>
    </row>
    <row r="469" spans="1:12" x14ac:dyDescent="0.25">
      <c r="A469" s="3" t="s">
        <v>74</v>
      </c>
      <c r="B469" s="3"/>
      <c r="C469" s="3"/>
      <c r="D469" s="3"/>
      <c r="E469" s="4" t="e">
        <f>'Electricity '!I470+'Electricity '!O470</f>
        <v>#VALUE!</v>
      </c>
      <c r="F469" s="142"/>
      <c r="G469" s="4" t="str">
        <f>'Gas Water'!M471</f>
        <v/>
      </c>
      <c r="H469" s="142"/>
      <c r="I469" s="2" t="str">
        <f>'Gas Water'!L471</f>
        <v/>
      </c>
      <c r="J469" s="142"/>
      <c r="K469" s="5"/>
      <c r="L469" s="5"/>
    </row>
    <row r="470" spans="1:12" x14ac:dyDescent="0.25">
      <c r="A470" s="3" t="s">
        <v>74</v>
      </c>
      <c r="B470" s="3"/>
      <c r="C470" s="3"/>
      <c r="D470" s="3"/>
      <c r="E470" s="4" t="e">
        <f>'Electricity '!I471+'Electricity '!O471</f>
        <v>#VALUE!</v>
      </c>
      <c r="F470" s="142"/>
      <c r="G470" s="4" t="str">
        <f>'Gas Water'!M472</f>
        <v/>
      </c>
      <c r="H470" s="142"/>
      <c r="I470" s="2" t="str">
        <f>'Gas Water'!L472</f>
        <v/>
      </c>
      <c r="J470" s="142"/>
      <c r="K470" s="5"/>
      <c r="L470" s="5"/>
    </row>
    <row r="471" spans="1:12" x14ac:dyDescent="0.25">
      <c r="A471" s="3" t="s">
        <v>74</v>
      </c>
      <c r="B471" s="3"/>
      <c r="C471" s="3"/>
      <c r="D471" s="3"/>
      <c r="E471" s="4" t="e">
        <f>'Electricity '!I472+'Electricity '!O472</f>
        <v>#VALUE!</v>
      </c>
      <c r="F471" s="142"/>
      <c r="G471" s="4" t="str">
        <f>'Gas Water'!M473</f>
        <v/>
      </c>
      <c r="H471" s="142"/>
      <c r="I471" s="2" t="str">
        <f>'Gas Water'!L473</f>
        <v/>
      </c>
      <c r="J471" s="142"/>
      <c r="K471" s="5"/>
      <c r="L471" s="5"/>
    </row>
    <row r="472" spans="1:12" x14ac:dyDescent="0.25">
      <c r="A472" s="3" t="s">
        <v>74</v>
      </c>
      <c r="B472" s="3"/>
      <c r="C472" s="3"/>
      <c r="D472" s="3"/>
      <c r="E472" s="4" t="e">
        <f>'Electricity '!I473+'Electricity '!O473</f>
        <v>#VALUE!</v>
      </c>
      <c r="F472" s="142"/>
      <c r="G472" s="4" t="str">
        <f>'Gas Water'!M474</f>
        <v/>
      </c>
      <c r="H472" s="142"/>
      <c r="I472" s="2" t="str">
        <f>'Gas Water'!L474</f>
        <v/>
      </c>
      <c r="J472" s="142"/>
      <c r="K472" s="5"/>
      <c r="L472" s="5"/>
    </row>
    <row r="473" spans="1:12" x14ac:dyDescent="0.25">
      <c r="A473" s="3" t="s">
        <v>74</v>
      </c>
      <c r="B473" s="3"/>
      <c r="C473" s="3"/>
      <c r="D473" s="3"/>
      <c r="E473" s="4" t="e">
        <f>'Electricity '!I474+'Electricity '!O474</f>
        <v>#VALUE!</v>
      </c>
      <c r="F473" s="142"/>
      <c r="G473" s="4" t="str">
        <f>'Gas Water'!M475</f>
        <v/>
      </c>
      <c r="H473" s="142"/>
      <c r="I473" s="2" t="str">
        <f>'Gas Water'!L475</f>
        <v/>
      </c>
      <c r="J473" s="142"/>
      <c r="K473" s="5"/>
      <c r="L473" s="5"/>
    </row>
    <row r="474" spans="1:12" x14ac:dyDescent="0.25">
      <c r="A474" s="3" t="s">
        <v>74</v>
      </c>
      <c r="B474" s="3"/>
      <c r="C474" s="3"/>
      <c r="D474" s="3"/>
      <c r="E474" s="4" t="e">
        <f>'Electricity '!I475+'Electricity '!O475</f>
        <v>#VALUE!</v>
      </c>
      <c r="F474" s="142"/>
      <c r="G474" s="4" t="str">
        <f>'Gas Water'!M476</f>
        <v/>
      </c>
      <c r="H474" s="142"/>
      <c r="I474" s="2" t="str">
        <f>'Gas Water'!L476</f>
        <v/>
      </c>
      <c r="J474" s="142"/>
      <c r="K474" s="5"/>
      <c r="L474" s="5"/>
    </row>
    <row r="475" spans="1:12" x14ac:dyDescent="0.25">
      <c r="A475" s="3" t="s">
        <v>74</v>
      </c>
      <c r="B475" s="3"/>
      <c r="C475" s="3"/>
      <c r="D475" s="3"/>
      <c r="E475" s="4" t="e">
        <f>'Electricity '!I476+'Electricity '!O476</f>
        <v>#VALUE!</v>
      </c>
      <c r="F475" s="142"/>
      <c r="G475" s="4" t="str">
        <f>'Gas Water'!M477</f>
        <v/>
      </c>
      <c r="H475" s="142"/>
      <c r="I475" s="2" t="str">
        <f>'Gas Water'!L477</f>
        <v/>
      </c>
      <c r="J475" s="142"/>
      <c r="K475" s="5"/>
      <c r="L475" s="5"/>
    </row>
    <row r="476" spans="1:12" x14ac:dyDescent="0.25">
      <c r="A476" s="3" t="s">
        <v>74</v>
      </c>
      <c r="B476" s="3"/>
      <c r="C476" s="3"/>
      <c r="D476" s="3"/>
      <c r="E476" s="4" t="e">
        <f>'Electricity '!I477+'Electricity '!O477</f>
        <v>#VALUE!</v>
      </c>
      <c r="F476" s="142"/>
      <c r="G476" s="4" t="str">
        <f>'Gas Water'!M478</f>
        <v/>
      </c>
      <c r="H476" s="142"/>
      <c r="I476" s="2" t="str">
        <f>'Gas Water'!L478</f>
        <v/>
      </c>
      <c r="J476" s="142"/>
      <c r="K476" s="5"/>
      <c r="L476" s="5"/>
    </row>
    <row r="477" spans="1:12" x14ac:dyDescent="0.25">
      <c r="A477" s="3" t="s">
        <v>74</v>
      </c>
      <c r="B477" s="3"/>
      <c r="C477" s="3"/>
      <c r="D477" s="3"/>
      <c r="E477" s="4" t="e">
        <f>'Electricity '!I478+'Electricity '!O478</f>
        <v>#VALUE!</v>
      </c>
      <c r="F477" s="142"/>
      <c r="G477" s="4" t="str">
        <f>'Gas Water'!M479</f>
        <v/>
      </c>
      <c r="H477" s="142"/>
      <c r="I477" s="2" t="str">
        <f>'Gas Water'!L479</f>
        <v/>
      </c>
      <c r="J477" s="142"/>
      <c r="K477" s="5"/>
      <c r="L477" s="5"/>
    </row>
    <row r="478" spans="1:12" x14ac:dyDescent="0.25">
      <c r="A478" s="3" t="s">
        <v>74</v>
      </c>
      <c r="B478" s="3"/>
      <c r="C478" s="3"/>
      <c r="D478" s="3"/>
      <c r="E478" s="4" t="e">
        <f>'Electricity '!I479+'Electricity '!O479</f>
        <v>#VALUE!</v>
      </c>
      <c r="F478" s="142"/>
      <c r="G478" s="4" t="str">
        <f>'Gas Water'!M480</f>
        <v/>
      </c>
      <c r="H478" s="142"/>
      <c r="I478" s="2" t="str">
        <f>'Gas Water'!L480</f>
        <v/>
      </c>
      <c r="J478" s="142"/>
      <c r="K478" s="5"/>
      <c r="L478" s="5"/>
    </row>
    <row r="479" spans="1:12" x14ac:dyDescent="0.25">
      <c r="A479" s="3" t="s">
        <v>74</v>
      </c>
      <c r="B479" s="3"/>
      <c r="C479" s="3"/>
      <c r="D479" s="3"/>
      <c r="E479" s="4" t="e">
        <f>'Electricity '!I480+'Electricity '!O480</f>
        <v>#VALUE!</v>
      </c>
      <c r="F479" s="142"/>
      <c r="G479" s="4" t="str">
        <f>'Gas Water'!M481</f>
        <v/>
      </c>
      <c r="H479" s="142"/>
      <c r="I479" s="2" t="str">
        <f>'Gas Water'!L481</f>
        <v/>
      </c>
      <c r="J479" s="142"/>
      <c r="K479" s="5"/>
      <c r="L479" s="5"/>
    </row>
    <row r="480" spans="1:12" x14ac:dyDescent="0.25">
      <c r="A480" s="3" t="s">
        <v>74</v>
      </c>
      <c r="B480" s="3"/>
      <c r="C480" s="3"/>
      <c r="D480" s="3"/>
      <c r="E480" s="4" t="e">
        <f>'Electricity '!I481+'Electricity '!O481</f>
        <v>#VALUE!</v>
      </c>
      <c r="F480" s="142"/>
      <c r="G480" s="4" t="str">
        <f>'Gas Water'!M482</f>
        <v/>
      </c>
      <c r="H480" s="142"/>
      <c r="I480" s="2" t="str">
        <f>'Gas Water'!L482</f>
        <v/>
      </c>
      <c r="J480" s="142"/>
      <c r="K480" s="5"/>
      <c r="L480" s="5"/>
    </row>
    <row r="481" spans="1:12" x14ac:dyDescent="0.25">
      <c r="A481" s="3" t="s">
        <v>74</v>
      </c>
      <c r="B481" s="3"/>
      <c r="C481" s="3"/>
      <c r="D481" s="3"/>
      <c r="E481" s="4" t="e">
        <f>'Electricity '!I482+'Electricity '!O482</f>
        <v>#VALUE!</v>
      </c>
      <c r="F481" s="142"/>
      <c r="G481" s="4" t="str">
        <f>'Gas Water'!M483</f>
        <v/>
      </c>
      <c r="H481" s="142"/>
      <c r="I481" s="2" t="str">
        <f>'Gas Water'!L483</f>
        <v/>
      </c>
      <c r="J481" s="142"/>
      <c r="K481" s="5"/>
      <c r="L481" s="5"/>
    </row>
    <row r="482" spans="1:12" x14ac:dyDescent="0.25">
      <c r="A482" s="3" t="s">
        <v>74</v>
      </c>
      <c r="B482" s="3"/>
      <c r="C482" s="3"/>
      <c r="D482" s="3"/>
      <c r="E482" s="4" t="e">
        <f>'Electricity '!I483+'Electricity '!O483</f>
        <v>#VALUE!</v>
      </c>
      <c r="F482" s="142"/>
      <c r="G482" s="4" t="str">
        <f>'Gas Water'!M484</f>
        <v/>
      </c>
      <c r="H482" s="142"/>
      <c r="I482" s="2" t="str">
        <f>'Gas Water'!L484</f>
        <v/>
      </c>
      <c r="J482" s="142"/>
      <c r="K482" s="5"/>
      <c r="L482" s="5"/>
    </row>
    <row r="483" spans="1:12" x14ac:dyDescent="0.25">
      <c r="A483" s="3" t="s">
        <v>74</v>
      </c>
      <c r="B483" s="3"/>
      <c r="C483" s="3"/>
      <c r="D483" s="3"/>
      <c r="E483" s="4" t="e">
        <f>'Electricity '!I484+'Electricity '!O484</f>
        <v>#VALUE!</v>
      </c>
      <c r="F483" s="142"/>
      <c r="G483" s="4" t="str">
        <f>'Gas Water'!M485</f>
        <v/>
      </c>
      <c r="H483" s="142"/>
      <c r="I483" s="2" t="str">
        <f>'Gas Water'!L485</f>
        <v/>
      </c>
      <c r="J483" s="142"/>
      <c r="K483" s="5"/>
      <c r="L483" s="5"/>
    </row>
    <row r="484" spans="1:12" x14ac:dyDescent="0.25">
      <c r="A484" s="3" t="s">
        <v>74</v>
      </c>
      <c r="B484" s="3"/>
      <c r="C484" s="3"/>
      <c r="D484" s="3"/>
      <c r="E484" s="4" t="e">
        <f>'Electricity '!I485+'Electricity '!O485</f>
        <v>#VALUE!</v>
      </c>
      <c r="F484" s="142"/>
      <c r="G484" s="4" t="str">
        <f>'Gas Water'!M486</f>
        <v/>
      </c>
      <c r="H484" s="142"/>
      <c r="I484" s="2" t="str">
        <f>'Gas Water'!L486</f>
        <v/>
      </c>
      <c r="J484" s="142"/>
      <c r="K484" s="5"/>
      <c r="L484" s="5"/>
    </row>
    <row r="485" spans="1:12" x14ac:dyDescent="0.25">
      <c r="A485" s="3" t="s">
        <v>74</v>
      </c>
      <c r="B485" s="3"/>
      <c r="C485" s="3"/>
      <c r="D485" s="3"/>
      <c r="E485" s="4" t="e">
        <f>'Electricity '!I486+'Electricity '!O486</f>
        <v>#VALUE!</v>
      </c>
      <c r="F485" s="142"/>
      <c r="G485" s="4" t="str">
        <f>'Gas Water'!M487</f>
        <v/>
      </c>
      <c r="H485" s="142"/>
      <c r="I485" s="2" t="str">
        <f>'Gas Water'!L487</f>
        <v/>
      </c>
      <c r="J485" s="142"/>
      <c r="K485" s="5"/>
      <c r="L485" s="5"/>
    </row>
    <row r="486" spans="1:12" x14ac:dyDescent="0.25">
      <c r="A486" s="3" t="s">
        <v>74</v>
      </c>
      <c r="B486" s="3"/>
      <c r="C486" s="3"/>
      <c r="D486" s="3"/>
      <c r="E486" s="4" t="e">
        <f>'Electricity '!I487+'Electricity '!O487</f>
        <v>#VALUE!</v>
      </c>
      <c r="F486" s="142"/>
      <c r="G486" s="4" t="str">
        <f>'Gas Water'!M488</f>
        <v/>
      </c>
      <c r="H486" s="142"/>
      <c r="I486" s="2" t="str">
        <f>'Gas Water'!L488</f>
        <v/>
      </c>
      <c r="J486" s="142"/>
      <c r="K486" s="5"/>
      <c r="L486" s="5"/>
    </row>
    <row r="487" spans="1:12" x14ac:dyDescent="0.25">
      <c r="A487" s="3" t="s">
        <v>74</v>
      </c>
      <c r="B487" s="3"/>
      <c r="C487" s="3"/>
      <c r="D487" s="3"/>
      <c r="E487" s="4" t="e">
        <f>'Electricity '!I488+'Electricity '!O488</f>
        <v>#VALUE!</v>
      </c>
      <c r="F487" s="142"/>
      <c r="G487" s="4" t="str">
        <f>'Gas Water'!M489</f>
        <v/>
      </c>
      <c r="H487" s="142"/>
      <c r="I487" s="2" t="str">
        <f>'Gas Water'!L489</f>
        <v/>
      </c>
      <c r="J487" s="142"/>
      <c r="K487" s="5"/>
      <c r="L487" s="5"/>
    </row>
    <row r="488" spans="1:12" x14ac:dyDescent="0.25">
      <c r="A488" s="3" t="s">
        <v>74</v>
      </c>
      <c r="B488" s="3"/>
      <c r="C488" s="3"/>
      <c r="D488" s="3"/>
      <c r="E488" s="4" t="e">
        <f>'Electricity '!I489+'Electricity '!O489</f>
        <v>#VALUE!</v>
      </c>
      <c r="F488" s="142"/>
      <c r="G488" s="4" t="str">
        <f>'Gas Water'!M490</f>
        <v/>
      </c>
      <c r="H488" s="142"/>
      <c r="I488" s="2" t="str">
        <f>'Gas Water'!L490</f>
        <v/>
      </c>
      <c r="J488" s="142"/>
      <c r="K488" s="5"/>
      <c r="L488" s="5"/>
    </row>
    <row r="489" spans="1:12" x14ac:dyDescent="0.25">
      <c r="A489" s="3" t="s">
        <v>74</v>
      </c>
      <c r="B489" s="3"/>
      <c r="C489" s="3"/>
      <c r="D489" s="3"/>
      <c r="E489" s="4" t="e">
        <f>'Electricity '!I490+'Electricity '!O490</f>
        <v>#VALUE!</v>
      </c>
      <c r="F489" s="142"/>
      <c r="G489" s="4" t="str">
        <f>'Gas Water'!M491</f>
        <v/>
      </c>
      <c r="H489" s="142"/>
      <c r="I489" s="2" t="str">
        <f>'Gas Water'!L491</f>
        <v/>
      </c>
      <c r="J489" s="142"/>
      <c r="K489" s="5"/>
      <c r="L489" s="5"/>
    </row>
    <row r="490" spans="1:12" x14ac:dyDescent="0.25">
      <c r="A490" s="3" t="s">
        <v>74</v>
      </c>
      <c r="B490" s="3"/>
      <c r="C490" s="3"/>
      <c r="D490" s="3"/>
      <c r="E490" s="4" t="e">
        <f>'Electricity '!I491+'Electricity '!O491</f>
        <v>#VALUE!</v>
      </c>
      <c r="F490" s="142"/>
      <c r="G490" s="4" t="str">
        <f>'Gas Water'!M492</f>
        <v/>
      </c>
      <c r="H490" s="142"/>
      <c r="I490" s="2" t="str">
        <f>'Gas Water'!L492</f>
        <v/>
      </c>
      <c r="J490" s="142"/>
      <c r="K490" s="5"/>
      <c r="L490" s="5"/>
    </row>
    <row r="491" spans="1:12" x14ac:dyDescent="0.25">
      <c r="A491" s="3" t="s">
        <v>74</v>
      </c>
      <c r="B491" s="3"/>
      <c r="C491" s="3"/>
      <c r="D491" s="3"/>
      <c r="E491" s="4" t="e">
        <f>'Electricity '!I492+'Electricity '!O492</f>
        <v>#VALUE!</v>
      </c>
      <c r="F491" s="142"/>
      <c r="G491" s="4" t="str">
        <f>'Gas Water'!M493</f>
        <v/>
      </c>
      <c r="H491" s="142"/>
      <c r="I491" s="2" t="str">
        <f>'Gas Water'!L493</f>
        <v/>
      </c>
      <c r="J491" s="142"/>
      <c r="K491" s="5"/>
      <c r="L491" s="5"/>
    </row>
    <row r="492" spans="1:12" x14ac:dyDescent="0.25">
      <c r="A492" s="3" t="s">
        <v>74</v>
      </c>
      <c r="B492" s="3"/>
      <c r="C492" s="3"/>
      <c r="D492" s="3"/>
      <c r="E492" s="4" t="e">
        <f>'Electricity '!I493+'Electricity '!O493</f>
        <v>#VALUE!</v>
      </c>
      <c r="F492" s="142"/>
      <c r="G492" s="4" t="str">
        <f>'Gas Water'!M494</f>
        <v/>
      </c>
      <c r="H492" s="142"/>
      <c r="I492" s="2" t="str">
        <f>'Gas Water'!L494</f>
        <v/>
      </c>
      <c r="J492" s="142"/>
      <c r="K492" s="5"/>
      <c r="L492" s="5"/>
    </row>
    <row r="493" spans="1:12" x14ac:dyDescent="0.25">
      <c r="A493" s="3" t="s">
        <v>74</v>
      </c>
      <c r="B493" s="3"/>
      <c r="C493" s="3"/>
      <c r="D493" s="3"/>
      <c r="E493" s="4" t="e">
        <f>'Electricity '!I494+'Electricity '!O494</f>
        <v>#VALUE!</v>
      </c>
      <c r="F493" s="142"/>
      <c r="G493" s="4" t="str">
        <f>'Gas Water'!M495</f>
        <v/>
      </c>
      <c r="H493" s="142"/>
      <c r="I493" s="2" t="str">
        <f>'Gas Water'!L495</f>
        <v/>
      </c>
      <c r="J493" s="142"/>
      <c r="K493" s="5"/>
      <c r="L493" s="5"/>
    </row>
    <row r="494" spans="1:12" x14ac:dyDescent="0.25">
      <c r="A494" s="3" t="s">
        <v>74</v>
      </c>
      <c r="B494" s="3"/>
      <c r="C494" s="3"/>
      <c r="D494" s="3"/>
      <c r="E494" s="4" t="e">
        <f>'Electricity '!I495+'Electricity '!O495</f>
        <v>#VALUE!</v>
      </c>
      <c r="F494" s="142"/>
      <c r="G494" s="4" t="str">
        <f>'Gas Water'!M496</f>
        <v/>
      </c>
      <c r="H494" s="142"/>
      <c r="I494" s="2" t="str">
        <f>'Gas Water'!L496</f>
        <v/>
      </c>
      <c r="J494" s="142"/>
      <c r="K494" s="5"/>
      <c r="L494" s="5"/>
    </row>
    <row r="495" spans="1:12" x14ac:dyDescent="0.25">
      <c r="A495" s="3" t="s">
        <v>74</v>
      </c>
      <c r="B495" s="3"/>
      <c r="C495" s="3"/>
      <c r="D495" s="3"/>
      <c r="E495" s="4" t="e">
        <f>'Electricity '!I496+'Electricity '!O496</f>
        <v>#VALUE!</v>
      </c>
      <c r="F495" s="142"/>
      <c r="G495" s="4" t="str">
        <f>'Gas Water'!M497</f>
        <v/>
      </c>
      <c r="H495" s="142"/>
      <c r="I495" s="2" t="str">
        <f>'Gas Water'!L497</f>
        <v/>
      </c>
      <c r="J495" s="142"/>
      <c r="K495" s="5"/>
      <c r="L495" s="5"/>
    </row>
    <row r="496" spans="1:12" x14ac:dyDescent="0.25">
      <c r="A496" s="3" t="s">
        <v>74</v>
      </c>
      <c r="B496" s="3"/>
      <c r="C496" s="3"/>
      <c r="D496" s="3"/>
      <c r="E496" s="4" t="e">
        <f>'Electricity '!I497+'Electricity '!O497</f>
        <v>#VALUE!</v>
      </c>
      <c r="F496" s="142"/>
      <c r="G496" s="4" t="str">
        <f>'Gas Water'!M498</f>
        <v/>
      </c>
      <c r="H496" s="142"/>
      <c r="I496" s="2" t="str">
        <f>'Gas Water'!L498</f>
        <v/>
      </c>
      <c r="J496" s="142"/>
      <c r="K496" s="5"/>
      <c r="L496" s="5"/>
    </row>
    <row r="497" spans="1:12" x14ac:dyDescent="0.25">
      <c r="A497" s="3" t="s">
        <v>74</v>
      </c>
      <c r="B497" s="3"/>
      <c r="C497" s="3"/>
      <c r="D497" s="3"/>
      <c r="E497" s="4" t="e">
        <f>'Electricity '!I498+'Electricity '!O498</f>
        <v>#VALUE!</v>
      </c>
      <c r="F497" s="142"/>
      <c r="G497" s="4" t="str">
        <f>'Gas Water'!M499</f>
        <v/>
      </c>
      <c r="H497" s="142"/>
      <c r="I497" s="2" t="str">
        <f>'Gas Water'!L499</f>
        <v/>
      </c>
      <c r="J497" s="142"/>
      <c r="K497" s="5"/>
      <c r="L497" s="5"/>
    </row>
    <row r="498" spans="1:12" x14ac:dyDescent="0.25">
      <c r="A498" s="3" t="s">
        <v>74</v>
      </c>
      <c r="B498" s="3"/>
      <c r="C498" s="3"/>
      <c r="D498" s="3"/>
      <c r="E498" s="4" t="e">
        <f>'Electricity '!I499+'Electricity '!O499</f>
        <v>#VALUE!</v>
      </c>
      <c r="F498" s="142"/>
      <c r="G498" s="4" t="str">
        <f>'Gas Water'!M500</f>
        <v/>
      </c>
      <c r="H498" s="142"/>
      <c r="I498" s="2" t="str">
        <f>'Gas Water'!L500</f>
        <v/>
      </c>
      <c r="J498" s="142"/>
      <c r="K498" s="5"/>
      <c r="L498" s="5"/>
    </row>
    <row r="499" spans="1:12" x14ac:dyDescent="0.25">
      <c r="A499" s="3" t="s">
        <v>74</v>
      </c>
      <c r="B499" s="3"/>
      <c r="C499" s="3"/>
      <c r="D499" s="3"/>
      <c r="E499" s="4" t="e">
        <f>'Electricity '!I500+'Electricity '!O500</f>
        <v>#VALUE!</v>
      </c>
      <c r="F499" s="142"/>
      <c r="G499" s="4" t="str">
        <f>'Gas Water'!M501</f>
        <v/>
      </c>
      <c r="H499" s="142"/>
      <c r="I499" s="2" t="str">
        <f>'Gas Water'!L501</f>
        <v/>
      </c>
      <c r="J499" s="142"/>
      <c r="K499" s="5"/>
      <c r="L499" s="5"/>
    </row>
    <row r="500" spans="1:12" x14ac:dyDescent="0.25">
      <c r="A500" s="3" t="s">
        <v>74</v>
      </c>
      <c r="B500" s="3"/>
      <c r="C500" s="3"/>
      <c r="D500" s="3"/>
      <c r="E500" s="4" t="e">
        <f>'Electricity '!I501+'Electricity '!O501</f>
        <v>#VALUE!</v>
      </c>
      <c r="F500" s="142"/>
      <c r="G500" s="4" t="str">
        <f>'Gas Water'!M502</f>
        <v/>
      </c>
      <c r="H500" s="142"/>
      <c r="I500" s="2" t="str">
        <f>'Gas Water'!L502</f>
        <v/>
      </c>
      <c r="J500" s="142"/>
      <c r="K500" s="5"/>
      <c r="L500" s="5"/>
    </row>
    <row r="501" spans="1:12" x14ac:dyDescent="0.25">
      <c r="A501" s="3" t="s">
        <v>74</v>
      </c>
      <c r="B501" s="3"/>
      <c r="C501" s="3"/>
      <c r="D501" s="3"/>
      <c r="E501" s="4" t="e">
        <f>'Electricity '!I502+'Electricity '!O502</f>
        <v>#VALUE!</v>
      </c>
      <c r="F501" s="142"/>
      <c r="G501" s="4" t="str">
        <f>'Gas Water'!M503</f>
        <v/>
      </c>
      <c r="H501" s="142"/>
      <c r="I501" s="2" t="str">
        <f>'Gas Water'!L503</f>
        <v/>
      </c>
      <c r="J501" s="142"/>
      <c r="K501" s="5"/>
      <c r="L501" s="5"/>
    </row>
    <row r="502" spans="1:12" x14ac:dyDescent="0.25">
      <c r="A502" s="3" t="s">
        <v>74</v>
      </c>
      <c r="B502" s="3"/>
      <c r="C502" s="3"/>
      <c r="D502" s="3"/>
      <c r="E502" s="4" t="e">
        <f>'Electricity '!I503+'Electricity '!O503</f>
        <v>#VALUE!</v>
      </c>
      <c r="F502" s="142"/>
      <c r="G502" s="4" t="str">
        <f>'Gas Water'!M504</f>
        <v/>
      </c>
      <c r="H502" s="142"/>
      <c r="I502" s="2" t="str">
        <f>'Gas Water'!L504</f>
        <v/>
      </c>
      <c r="J502" s="142"/>
      <c r="K502" s="5"/>
      <c r="L502" s="5"/>
    </row>
    <row r="503" spans="1:12" x14ac:dyDescent="0.25">
      <c r="A503" s="3" t="s">
        <v>74</v>
      </c>
      <c r="B503" s="3"/>
      <c r="C503" s="3"/>
      <c r="D503" s="3"/>
      <c r="E503" s="4" t="e">
        <f>'Electricity '!I504+'Electricity '!O504</f>
        <v>#VALUE!</v>
      </c>
      <c r="F503" s="142"/>
      <c r="G503" s="4" t="str">
        <f>'Gas Water'!M505</f>
        <v/>
      </c>
      <c r="H503" s="142"/>
      <c r="I503" s="2" t="str">
        <f>'Gas Water'!L505</f>
        <v/>
      </c>
      <c r="J503" s="142"/>
      <c r="K503" s="5"/>
      <c r="L503" s="5"/>
    </row>
    <row r="504" spans="1:12" x14ac:dyDescent="0.25">
      <c r="A504" s="3" t="s">
        <v>74</v>
      </c>
      <c r="B504" s="3"/>
      <c r="C504" s="3"/>
      <c r="D504" s="3"/>
      <c r="E504" s="4" t="e">
        <f>'Electricity '!I505+'Electricity '!O505</f>
        <v>#VALUE!</v>
      </c>
      <c r="F504" s="142"/>
      <c r="G504" s="4" t="str">
        <f>'Gas Water'!M506</f>
        <v/>
      </c>
      <c r="H504" s="142"/>
      <c r="I504" s="2" t="str">
        <f>'Gas Water'!L506</f>
        <v/>
      </c>
      <c r="J504" s="142"/>
      <c r="K504" s="5"/>
      <c r="L504" s="5"/>
    </row>
    <row r="505" spans="1:12" x14ac:dyDescent="0.25">
      <c r="A505" s="3" t="s">
        <v>74</v>
      </c>
      <c r="B505" s="3"/>
      <c r="C505" s="3"/>
      <c r="D505" s="3"/>
      <c r="E505" s="4" t="e">
        <f>'Electricity '!I506+'Electricity '!O506</f>
        <v>#VALUE!</v>
      </c>
      <c r="F505" s="142"/>
      <c r="G505" s="4" t="str">
        <f>'Gas Water'!M507</f>
        <v/>
      </c>
      <c r="H505" s="142"/>
      <c r="I505" s="2" t="str">
        <f>'Gas Water'!L507</f>
        <v/>
      </c>
      <c r="J505" s="142"/>
      <c r="K505" s="5"/>
      <c r="L505" s="5"/>
    </row>
    <row r="506" spans="1:12" x14ac:dyDescent="0.25">
      <c r="A506" s="3" t="s">
        <v>74</v>
      </c>
      <c r="B506" s="3"/>
      <c r="C506" s="3"/>
      <c r="D506" s="3"/>
      <c r="E506" s="4" t="e">
        <f>'Electricity '!I507+'Electricity '!O507</f>
        <v>#VALUE!</v>
      </c>
      <c r="F506" s="142"/>
      <c r="G506" s="4" t="str">
        <f>'Gas Water'!M508</f>
        <v/>
      </c>
      <c r="H506" s="142"/>
      <c r="I506" s="2" t="str">
        <f>'Gas Water'!L508</f>
        <v/>
      </c>
      <c r="J506" s="142"/>
      <c r="K506" s="5"/>
      <c r="L506" s="5"/>
    </row>
    <row r="507" spans="1:12" x14ac:dyDescent="0.25">
      <c r="A507" s="3" t="s">
        <v>74</v>
      </c>
      <c r="B507" s="3"/>
      <c r="C507" s="3"/>
      <c r="D507" s="3"/>
      <c r="E507" s="4" t="e">
        <f>'Electricity '!I508+'Electricity '!O508</f>
        <v>#VALUE!</v>
      </c>
      <c r="F507" s="142"/>
      <c r="G507" s="4" t="str">
        <f>'Gas Water'!M509</f>
        <v/>
      </c>
      <c r="H507" s="142"/>
      <c r="I507" s="2" t="str">
        <f>'Gas Water'!L509</f>
        <v/>
      </c>
      <c r="J507" s="142"/>
      <c r="K507" s="5"/>
      <c r="L507" s="5"/>
    </row>
    <row r="508" spans="1:12" x14ac:dyDescent="0.25">
      <c r="A508" s="3" t="s">
        <v>74</v>
      </c>
      <c r="B508" s="3"/>
      <c r="C508" s="3"/>
      <c r="D508" s="3"/>
      <c r="E508" s="4" t="e">
        <f>'Electricity '!I509+'Electricity '!O509</f>
        <v>#VALUE!</v>
      </c>
      <c r="F508" s="142"/>
      <c r="G508" s="4" t="str">
        <f>'Gas Water'!M510</f>
        <v/>
      </c>
      <c r="H508" s="142"/>
      <c r="I508" s="2" t="str">
        <f>'Gas Water'!L510</f>
        <v/>
      </c>
      <c r="J508" s="142"/>
      <c r="K508" s="5"/>
      <c r="L508" s="5"/>
    </row>
    <row r="509" spans="1:12" x14ac:dyDescent="0.25">
      <c r="A509" s="3" t="s">
        <v>74</v>
      </c>
      <c r="B509" s="3"/>
      <c r="C509" s="3"/>
      <c r="D509" s="3"/>
      <c r="E509" s="4" t="e">
        <f>'Electricity '!I510+'Electricity '!O510</f>
        <v>#VALUE!</v>
      </c>
      <c r="F509" s="142"/>
      <c r="G509" s="4" t="str">
        <f>'Gas Water'!M511</f>
        <v/>
      </c>
      <c r="H509" s="142"/>
      <c r="I509" s="2" t="str">
        <f>'Gas Water'!L511</f>
        <v/>
      </c>
      <c r="J509" s="142"/>
      <c r="K509" s="5"/>
      <c r="L509" s="5"/>
    </row>
    <row r="510" spans="1:12" x14ac:dyDescent="0.25">
      <c r="A510" s="3" t="s">
        <v>74</v>
      </c>
      <c r="B510" s="3"/>
      <c r="C510" s="3"/>
      <c r="D510" s="3"/>
      <c r="E510" s="4" t="e">
        <f>'Electricity '!I511+'Electricity '!O511</f>
        <v>#VALUE!</v>
      </c>
      <c r="F510" s="142"/>
      <c r="G510" s="4" t="str">
        <f>'Gas Water'!M512</f>
        <v/>
      </c>
      <c r="H510" s="142"/>
      <c r="I510" s="2" t="str">
        <f>'Gas Water'!L512</f>
        <v/>
      </c>
      <c r="J510" s="142"/>
      <c r="K510" s="5"/>
      <c r="L510" s="5"/>
    </row>
    <row r="511" spans="1:12" x14ac:dyDescent="0.25">
      <c r="A511" s="3" t="s">
        <v>74</v>
      </c>
      <c r="B511" s="3"/>
      <c r="C511" s="3"/>
      <c r="D511" s="3"/>
      <c r="E511" s="4" t="e">
        <f>'Electricity '!I512+'Electricity '!O512</f>
        <v>#VALUE!</v>
      </c>
      <c r="F511" s="142"/>
      <c r="G511" s="4" t="str">
        <f>'Gas Water'!M513</f>
        <v/>
      </c>
      <c r="H511" s="142"/>
      <c r="I511" s="2" t="str">
        <f>'Gas Water'!L513</f>
        <v/>
      </c>
      <c r="J511" s="142"/>
      <c r="K511" s="5"/>
      <c r="L511" s="5"/>
    </row>
    <row r="512" spans="1:12" x14ac:dyDescent="0.25">
      <c r="A512" s="3" t="s">
        <v>74</v>
      </c>
      <c r="B512" s="3"/>
      <c r="C512" s="3"/>
      <c r="D512" s="3"/>
      <c r="E512" s="4" t="e">
        <f>'Electricity '!I513+'Electricity '!O513</f>
        <v>#VALUE!</v>
      </c>
      <c r="F512" s="142"/>
      <c r="G512" s="4" t="str">
        <f>'Gas Water'!M514</f>
        <v/>
      </c>
      <c r="H512" s="142"/>
      <c r="I512" s="2" t="str">
        <f>'Gas Water'!L514</f>
        <v/>
      </c>
      <c r="J512" s="142"/>
      <c r="K512" s="5"/>
      <c r="L512" s="5"/>
    </row>
    <row r="513" spans="1:12" x14ac:dyDescent="0.25">
      <c r="A513" s="3" t="s">
        <v>74</v>
      </c>
      <c r="B513" s="3"/>
      <c r="C513" s="3"/>
      <c r="D513" s="3"/>
      <c r="E513" s="4" t="e">
        <f>'Electricity '!I514+'Electricity '!O514</f>
        <v>#VALUE!</v>
      </c>
      <c r="F513" s="142"/>
      <c r="G513" s="4" t="str">
        <f>'Gas Water'!M515</f>
        <v/>
      </c>
      <c r="H513" s="142"/>
      <c r="I513" s="2" t="str">
        <f>'Gas Water'!L515</f>
        <v/>
      </c>
      <c r="J513" s="142"/>
      <c r="K513" s="5"/>
      <c r="L513" s="5"/>
    </row>
    <row r="514" spans="1:12" x14ac:dyDescent="0.25">
      <c r="A514" s="3" t="s">
        <v>74</v>
      </c>
      <c r="B514" s="3"/>
      <c r="C514" s="3"/>
      <c r="D514" s="3"/>
      <c r="E514" s="4" t="e">
        <f>'Electricity '!I515+'Electricity '!O515</f>
        <v>#VALUE!</v>
      </c>
      <c r="F514" s="142"/>
      <c r="G514" s="4" t="str">
        <f>'Gas Water'!M516</f>
        <v/>
      </c>
      <c r="H514" s="142"/>
      <c r="I514" s="2" t="str">
        <f>'Gas Water'!L516</f>
        <v/>
      </c>
      <c r="J514" s="142"/>
      <c r="K514" s="5"/>
      <c r="L514" s="5"/>
    </row>
    <row r="515" spans="1:12" x14ac:dyDescent="0.25">
      <c r="A515" s="3" t="s">
        <v>74</v>
      </c>
      <c r="B515" s="3"/>
      <c r="C515" s="3"/>
      <c r="D515" s="3"/>
      <c r="E515" s="4" t="e">
        <f>'Electricity '!I516+'Electricity '!O516</f>
        <v>#VALUE!</v>
      </c>
      <c r="F515" s="142"/>
      <c r="G515" s="4" t="str">
        <f>'Gas Water'!M517</f>
        <v/>
      </c>
      <c r="H515" s="142"/>
      <c r="I515" s="2" t="str">
        <f>'Gas Water'!L517</f>
        <v/>
      </c>
      <c r="J515" s="142"/>
      <c r="K515" s="5"/>
      <c r="L515" s="5"/>
    </row>
    <row r="516" spans="1:12" x14ac:dyDescent="0.25">
      <c r="A516" s="3" t="s">
        <v>74</v>
      </c>
      <c r="B516" s="3"/>
      <c r="C516" s="3"/>
      <c r="D516" s="3"/>
      <c r="E516" s="4" t="e">
        <f>'Electricity '!I517+'Electricity '!O517</f>
        <v>#VALUE!</v>
      </c>
      <c r="F516" s="142"/>
      <c r="G516" s="4" t="str">
        <f>'Gas Water'!M518</f>
        <v/>
      </c>
      <c r="H516" s="142"/>
      <c r="I516" s="2" t="str">
        <f>'Gas Water'!L518</f>
        <v/>
      </c>
      <c r="J516" s="142"/>
      <c r="K516" s="5"/>
      <c r="L516" s="5"/>
    </row>
    <row r="517" spans="1:12" x14ac:dyDescent="0.25">
      <c r="A517" s="3" t="s">
        <v>74</v>
      </c>
      <c r="B517" s="3"/>
      <c r="C517" s="3"/>
      <c r="D517" s="3"/>
      <c r="E517" s="4" t="e">
        <f>'Electricity '!I518+'Electricity '!O518</f>
        <v>#VALUE!</v>
      </c>
      <c r="F517" s="142"/>
      <c r="G517" s="4" t="str">
        <f>'Gas Water'!M519</f>
        <v/>
      </c>
      <c r="H517" s="142"/>
      <c r="I517" s="2" t="str">
        <f>'Gas Water'!L519</f>
        <v/>
      </c>
      <c r="J517" s="142"/>
      <c r="K517" s="5"/>
      <c r="L517" s="5"/>
    </row>
    <row r="518" spans="1:12" x14ac:dyDescent="0.25">
      <c r="A518" s="3" t="s">
        <v>74</v>
      </c>
      <c r="B518" s="3"/>
      <c r="C518" s="3"/>
      <c r="D518" s="3"/>
      <c r="E518" s="4" t="e">
        <f>'Electricity '!I519+'Electricity '!O519</f>
        <v>#VALUE!</v>
      </c>
      <c r="F518" s="142"/>
      <c r="G518" s="4" t="str">
        <f>'Gas Water'!M520</f>
        <v/>
      </c>
      <c r="H518" s="142"/>
      <c r="I518" s="2" t="str">
        <f>'Gas Water'!L520</f>
        <v/>
      </c>
      <c r="J518" s="142"/>
      <c r="K518" s="5"/>
      <c r="L518" s="5"/>
    </row>
    <row r="519" spans="1:12" x14ac:dyDescent="0.25">
      <c r="A519" s="3" t="s">
        <v>74</v>
      </c>
      <c r="B519" s="3"/>
      <c r="C519" s="3"/>
      <c r="D519" s="3"/>
      <c r="E519" s="4" t="e">
        <f>'Electricity '!I520+'Electricity '!O520</f>
        <v>#VALUE!</v>
      </c>
      <c r="F519" s="142"/>
      <c r="G519" s="4" t="str">
        <f>'Gas Water'!M521</f>
        <v/>
      </c>
      <c r="H519" s="142"/>
      <c r="I519" s="2" t="str">
        <f>'Gas Water'!L521</f>
        <v/>
      </c>
      <c r="J519" s="142"/>
      <c r="K519" s="5"/>
      <c r="L519" s="5"/>
    </row>
    <row r="520" spans="1:12" x14ac:dyDescent="0.25">
      <c r="A520" s="3" t="s">
        <v>74</v>
      </c>
      <c r="B520" s="3"/>
      <c r="C520" s="3"/>
      <c r="D520" s="3"/>
      <c r="E520" s="4" t="e">
        <f>'Electricity '!I521+'Electricity '!O521</f>
        <v>#VALUE!</v>
      </c>
      <c r="F520" s="142"/>
      <c r="G520" s="4" t="str">
        <f>'Gas Water'!M522</f>
        <v/>
      </c>
      <c r="H520" s="142"/>
      <c r="I520" s="2" t="str">
        <f>'Gas Water'!L522</f>
        <v/>
      </c>
      <c r="J520" s="142"/>
      <c r="K520" s="5"/>
      <c r="L520" s="5"/>
    </row>
    <row r="521" spans="1:12" x14ac:dyDescent="0.25">
      <c r="A521" s="3" t="s">
        <v>74</v>
      </c>
      <c r="B521" s="3"/>
      <c r="C521" s="3"/>
      <c r="D521" s="3"/>
      <c r="E521" s="4" t="e">
        <f>'Electricity '!I522+'Electricity '!O522</f>
        <v>#VALUE!</v>
      </c>
      <c r="F521" s="142"/>
      <c r="G521" s="4" t="str">
        <f>'Gas Water'!M523</f>
        <v/>
      </c>
      <c r="H521" s="142"/>
      <c r="I521" s="2" t="str">
        <f>'Gas Water'!L523</f>
        <v/>
      </c>
      <c r="J521" s="142"/>
      <c r="K521" s="5"/>
      <c r="L521" s="5"/>
    </row>
    <row r="522" spans="1:12" x14ac:dyDescent="0.25">
      <c r="A522" s="3" t="s">
        <v>74</v>
      </c>
      <c r="B522" s="3"/>
      <c r="C522" s="3"/>
      <c r="D522" s="3"/>
      <c r="E522" s="4" t="e">
        <f>'Electricity '!I523+'Electricity '!O523</f>
        <v>#VALUE!</v>
      </c>
      <c r="F522" s="142"/>
      <c r="G522" s="4" t="str">
        <f>'Gas Water'!M524</f>
        <v/>
      </c>
      <c r="H522" s="142"/>
      <c r="I522" s="2" t="str">
        <f>'Gas Water'!L524</f>
        <v/>
      </c>
      <c r="J522" s="142"/>
      <c r="K522" s="5"/>
      <c r="L522" s="5"/>
    </row>
    <row r="523" spans="1:12" x14ac:dyDescent="0.25">
      <c r="A523" s="3" t="s">
        <v>74</v>
      </c>
      <c r="B523" s="3"/>
      <c r="C523" s="3"/>
      <c r="D523" s="3"/>
      <c r="E523" s="4" t="e">
        <f>'Electricity '!I524+'Electricity '!O524</f>
        <v>#VALUE!</v>
      </c>
      <c r="F523" s="142"/>
      <c r="G523" s="4" t="str">
        <f>'Gas Water'!M525</f>
        <v/>
      </c>
      <c r="H523" s="142"/>
      <c r="I523" s="2" t="str">
        <f>'Gas Water'!L525</f>
        <v/>
      </c>
      <c r="J523" s="142"/>
      <c r="K523" s="5"/>
      <c r="L523" s="5"/>
    </row>
    <row r="524" spans="1:12" x14ac:dyDescent="0.25">
      <c r="A524" s="3" t="s">
        <v>74</v>
      </c>
      <c r="B524" s="3"/>
      <c r="C524" s="3"/>
      <c r="D524" s="3"/>
      <c r="E524" s="4" t="e">
        <f>'Electricity '!I525+'Electricity '!O525</f>
        <v>#VALUE!</v>
      </c>
      <c r="F524" s="142"/>
      <c r="G524" s="4" t="str">
        <f>'Gas Water'!M526</f>
        <v/>
      </c>
      <c r="H524" s="142"/>
      <c r="I524" s="2" t="str">
        <f>'Gas Water'!L526</f>
        <v/>
      </c>
      <c r="J524" s="142"/>
      <c r="K524" s="5"/>
      <c r="L524" s="5"/>
    </row>
    <row r="525" spans="1:12" x14ac:dyDescent="0.25">
      <c r="A525" s="3" t="s">
        <v>74</v>
      </c>
      <c r="B525" s="3"/>
      <c r="C525" s="3"/>
      <c r="D525" s="3"/>
      <c r="E525" s="4" t="e">
        <f>'Electricity '!I526+'Electricity '!O526</f>
        <v>#VALUE!</v>
      </c>
      <c r="F525" s="142"/>
      <c r="G525" s="4" t="str">
        <f>'Gas Water'!M527</f>
        <v/>
      </c>
      <c r="H525" s="142"/>
      <c r="I525" s="2" t="str">
        <f>'Gas Water'!L527</f>
        <v/>
      </c>
      <c r="J525" s="142"/>
      <c r="K525" s="5"/>
      <c r="L525" s="5"/>
    </row>
    <row r="526" spans="1:12" x14ac:dyDescent="0.25">
      <c r="A526" s="3" t="s">
        <v>74</v>
      </c>
      <c r="B526" s="3"/>
      <c r="C526" s="3"/>
      <c r="D526" s="3"/>
      <c r="E526" s="4" t="e">
        <f>'Electricity '!I527+'Electricity '!O527</f>
        <v>#VALUE!</v>
      </c>
      <c r="F526" s="142"/>
      <c r="G526" s="4" t="str">
        <f>'Gas Water'!M528</f>
        <v/>
      </c>
      <c r="H526" s="142"/>
      <c r="I526" s="2" t="str">
        <f>'Gas Water'!L528</f>
        <v/>
      </c>
      <c r="J526" s="142"/>
      <c r="K526" s="5"/>
      <c r="L526" s="5"/>
    </row>
    <row r="527" spans="1:12" x14ac:dyDescent="0.25">
      <c r="A527" s="3" t="s">
        <v>74</v>
      </c>
      <c r="B527" s="3"/>
      <c r="C527" s="3"/>
      <c r="D527" s="3"/>
      <c r="E527" s="4" t="e">
        <f>'Electricity '!I528+'Electricity '!O528</f>
        <v>#VALUE!</v>
      </c>
      <c r="F527" s="142"/>
      <c r="G527" s="4" t="str">
        <f>'Gas Water'!M529</f>
        <v/>
      </c>
      <c r="H527" s="142"/>
      <c r="I527" s="2" t="str">
        <f>'Gas Water'!L529</f>
        <v/>
      </c>
      <c r="J527" s="142"/>
      <c r="K527" s="5"/>
      <c r="L527" s="5"/>
    </row>
    <row r="528" spans="1:12" x14ac:dyDescent="0.25">
      <c r="A528" s="3" t="s">
        <v>74</v>
      </c>
      <c r="B528" s="3"/>
      <c r="C528" s="3"/>
      <c r="D528" s="3"/>
      <c r="E528" s="4" t="e">
        <f>'Electricity '!I529+'Electricity '!O529</f>
        <v>#VALUE!</v>
      </c>
      <c r="F528" s="142"/>
      <c r="G528" s="4" t="str">
        <f>'Gas Water'!M530</f>
        <v/>
      </c>
      <c r="H528" s="142"/>
      <c r="I528" s="2" t="str">
        <f>'Gas Water'!L530</f>
        <v/>
      </c>
      <c r="J528" s="142"/>
      <c r="K528" s="5"/>
      <c r="L528" s="5"/>
    </row>
    <row r="529" spans="1:12" x14ac:dyDescent="0.25">
      <c r="A529" s="3" t="s">
        <v>74</v>
      </c>
      <c r="B529" s="3"/>
      <c r="C529" s="3"/>
      <c r="D529" s="3"/>
      <c r="E529" s="4" t="e">
        <f>'Electricity '!I530+'Electricity '!O530</f>
        <v>#VALUE!</v>
      </c>
      <c r="F529" s="142"/>
      <c r="G529" s="4" t="str">
        <f>'Gas Water'!M531</f>
        <v/>
      </c>
      <c r="H529" s="142"/>
      <c r="I529" s="2" t="str">
        <f>'Gas Water'!L531</f>
        <v/>
      </c>
      <c r="J529" s="142"/>
      <c r="K529" s="5"/>
      <c r="L529" s="5"/>
    </row>
    <row r="530" spans="1:12" x14ac:dyDescent="0.25">
      <c r="A530" s="3" t="s">
        <v>74</v>
      </c>
      <c r="B530" s="3"/>
      <c r="C530" s="3"/>
      <c r="D530" s="3"/>
      <c r="E530" s="4" t="e">
        <f>'Electricity '!I531+'Electricity '!O531</f>
        <v>#VALUE!</v>
      </c>
      <c r="F530" s="142"/>
      <c r="G530" s="4" t="str">
        <f>'Gas Water'!M532</f>
        <v/>
      </c>
      <c r="H530" s="142"/>
      <c r="I530" s="2" t="str">
        <f>'Gas Water'!L532</f>
        <v/>
      </c>
      <c r="J530" s="142"/>
      <c r="K530" s="5"/>
      <c r="L530" s="5"/>
    </row>
    <row r="531" spans="1:12" x14ac:dyDescent="0.25">
      <c r="A531" s="3" t="s">
        <v>74</v>
      </c>
      <c r="B531" s="3"/>
      <c r="C531" s="3"/>
      <c r="D531" s="3"/>
      <c r="E531" s="4" t="e">
        <f>'Electricity '!I532+'Electricity '!O532</f>
        <v>#VALUE!</v>
      </c>
      <c r="F531" s="142"/>
      <c r="G531" s="4" t="str">
        <f>'Gas Water'!M533</f>
        <v/>
      </c>
      <c r="H531" s="142"/>
      <c r="I531" s="2" t="str">
        <f>'Gas Water'!L533</f>
        <v/>
      </c>
      <c r="J531" s="142"/>
      <c r="K531" s="5"/>
      <c r="L531" s="5"/>
    </row>
    <row r="532" spans="1:12" x14ac:dyDescent="0.25">
      <c r="A532" s="3" t="s">
        <v>74</v>
      </c>
      <c r="B532" s="3"/>
      <c r="C532" s="3"/>
      <c r="D532" s="3"/>
      <c r="E532" s="4" t="e">
        <f>'Electricity '!I533+'Electricity '!O533</f>
        <v>#VALUE!</v>
      </c>
      <c r="F532" s="142"/>
      <c r="G532" s="4" t="str">
        <f>'Gas Water'!M534</f>
        <v/>
      </c>
      <c r="H532" s="142"/>
      <c r="I532" s="2" t="str">
        <f>'Gas Water'!L534</f>
        <v/>
      </c>
      <c r="J532" s="142"/>
      <c r="K532" s="5"/>
      <c r="L532" s="5"/>
    </row>
    <row r="533" spans="1:12" x14ac:dyDescent="0.25">
      <c r="A533" s="3" t="s">
        <v>74</v>
      </c>
      <c r="B533" s="3"/>
      <c r="C533" s="3"/>
      <c r="D533" s="3"/>
      <c r="E533" s="4" t="e">
        <f>'Electricity '!I534+'Electricity '!O534</f>
        <v>#VALUE!</v>
      </c>
      <c r="F533" s="142"/>
      <c r="G533" s="4" t="str">
        <f>'Gas Water'!M535</f>
        <v/>
      </c>
      <c r="H533" s="142"/>
      <c r="I533" s="2" t="str">
        <f>'Gas Water'!L535</f>
        <v/>
      </c>
      <c r="J533" s="142"/>
      <c r="K533" s="5"/>
      <c r="L533" s="5"/>
    </row>
    <row r="534" spans="1:12" x14ac:dyDescent="0.25">
      <c r="A534" s="3" t="s">
        <v>74</v>
      </c>
      <c r="B534" s="3"/>
      <c r="C534" s="3"/>
      <c r="D534" s="3"/>
      <c r="E534" s="4" t="e">
        <f>'Electricity '!I535+'Electricity '!O535</f>
        <v>#VALUE!</v>
      </c>
      <c r="F534" s="142"/>
      <c r="G534" s="4" t="str">
        <f>'Gas Water'!M536</f>
        <v/>
      </c>
      <c r="H534" s="142"/>
      <c r="I534" s="2" t="str">
        <f>'Gas Water'!L536</f>
        <v/>
      </c>
      <c r="J534" s="142"/>
      <c r="K534" s="5"/>
      <c r="L534" s="5"/>
    </row>
    <row r="535" spans="1:12" x14ac:dyDescent="0.25">
      <c r="A535" s="3" t="s">
        <v>74</v>
      </c>
      <c r="B535" s="3"/>
      <c r="C535" s="3"/>
      <c r="D535" s="3"/>
      <c r="E535" s="4" t="e">
        <f>'Electricity '!I536+'Electricity '!O536</f>
        <v>#VALUE!</v>
      </c>
      <c r="F535" s="142"/>
      <c r="G535" s="4" t="str">
        <f>'Gas Water'!M537</f>
        <v/>
      </c>
      <c r="H535" s="142"/>
      <c r="I535" s="2" t="str">
        <f>'Gas Water'!L537</f>
        <v/>
      </c>
      <c r="J535" s="142"/>
      <c r="K535" s="5"/>
      <c r="L535" s="5"/>
    </row>
    <row r="536" spans="1:12" x14ac:dyDescent="0.25">
      <c r="A536" s="3" t="s">
        <v>74</v>
      </c>
      <c r="B536" s="3"/>
      <c r="C536" s="3"/>
      <c r="D536" s="3"/>
      <c r="E536" s="4" t="e">
        <f>'Electricity '!I537+'Electricity '!O537</f>
        <v>#VALUE!</v>
      </c>
      <c r="F536" s="142"/>
      <c r="G536" s="4" t="str">
        <f>'Gas Water'!M538</f>
        <v/>
      </c>
      <c r="H536" s="142"/>
      <c r="I536" s="2" t="str">
        <f>'Gas Water'!L538</f>
        <v/>
      </c>
      <c r="J536" s="142"/>
      <c r="K536" s="5"/>
      <c r="L536" s="5"/>
    </row>
    <row r="537" spans="1:12" x14ac:dyDescent="0.25">
      <c r="A537" s="3" t="s">
        <v>74</v>
      </c>
      <c r="B537" s="3"/>
      <c r="C537" s="3"/>
      <c r="D537" s="3"/>
      <c r="E537" s="4" t="e">
        <f>'Electricity '!I538+'Electricity '!O538</f>
        <v>#VALUE!</v>
      </c>
      <c r="F537" s="142"/>
      <c r="G537" s="4" t="str">
        <f>'Gas Water'!M539</f>
        <v/>
      </c>
      <c r="H537" s="142"/>
      <c r="I537" s="2" t="str">
        <f>'Gas Water'!L539</f>
        <v/>
      </c>
      <c r="J537" s="142"/>
      <c r="K537" s="5"/>
      <c r="L537" s="5"/>
    </row>
    <row r="538" spans="1:12" x14ac:dyDescent="0.25">
      <c r="A538" s="3" t="s">
        <v>74</v>
      </c>
      <c r="B538" s="3"/>
      <c r="C538" s="3"/>
      <c r="D538" s="3"/>
      <c r="E538" s="4" t="e">
        <f>'Electricity '!I539+'Electricity '!O539</f>
        <v>#VALUE!</v>
      </c>
      <c r="F538" s="142"/>
      <c r="G538" s="4" t="str">
        <f>'Gas Water'!M540</f>
        <v/>
      </c>
      <c r="H538" s="142"/>
      <c r="I538" s="2" t="str">
        <f>'Gas Water'!L540</f>
        <v/>
      </c>
      <c r="J538" s="142"/>
      <c r="K538" s="5"/>
      <c r="L538" s="5"/>
    </row>
    <row r="539" spans="1:12" x14ac:dyDescent="0.25">
      <c r="A539" s="3" t="s">
        <v>74</v>
      </c>
      <c r="B539" s="3"/>
      <c r="C539" s="3"/>
      <c r="D539" s="3"/>
      <c r="E539" s="4" t="e">
        <f>'Electricity '!I540+'Electricity '!O540</f>
        <v>#VALUE!</v>
      </c>
      <c r="F539" s="142"/>
      <c r="G539" s="4" t="str">
        <f>'Gas Water'!M541</f>
        <v/>
      </c>
      <c r="H539" s="142"/>
      <c r="I539" s="2" t="str">
        <f>'Gas Water'!L541</f>
        <v/>
      </c>
      <c r="J539" s="142"/>
      <c r="K539" s="5"/>
      <c r="L539" s="5"/>
    </row>
    <row r="540" spans="1:12" x14ac:dyDescent="0.25">
      <c r="A540" s="3" t="s">
        <v>74</v>
      </c>
      <c r="B540" s="3"/>
      <c r="C540" s="3"/>
      <c r="D540" s="3"/>
      <c r="E540" s="4" t="e">
        <f>'Electricity '!I541+'Electricity '!O541</f>
        <v>#VALUE!</v>
      </c>
      <c r="F540" s="142"/>
      <c r="G540" s="4" t="str">
        <f>'Gas Water'!M542</f>
        <v/>
      </c>
      <c r="H540" s="142"/>
      <c r="I540" s="2" t="str">
        <f>'Gas Water'!L542</f>
        <v/>
      </c>
      <c r="J540" s="142"/>
      <c r="K540" s="5"/>
      <c r="L540" s="5"/>
    </row>
    <row r="541" spans="1:12" x14ac:dyDescent="0.25">
      <c r="A541" s="3" t="s">
        <v>74</v>
      </c>
      <c r="B541" s="3"/>
      <c r="C541" s="3"/>
      <c r="D541" s="3"/>
      <c r="E541" s="4" t="e">
        <f>'Electricity '!I542+'Electricity '!O542</f>
        <v>#VALUE!</v>
      </c>
      <c r="F541" s="142"/>
      <c r="G541" s="4" t="str">
        <f>'Gas Water'!M543</f>
        <v/>
      </c>
      <c r="H541" s="142"/>
      <c r="I541" s="2" t="str">
        <f>'Gas Water'!L543</f>
        <v/>
      </c>
      <c r="J541" s="142"/>
      <c r="K541" s="5"/>
      <c r="L541" s="5"/>
    </row>
    <row r="542" spans="1:12" x14ac:dyDescent="0.25">
      <c r="A542" s="3" t="s">
        <v>74</v>
      </c>
      <c r="B542" s="3"/>
      <c r="C542" s="3"/>
      <c r="D542" s="3"/>
      <c r="E542" s="4" t="e">
        <f>'Electricity '!I543+'Electricity '!O543</f>
        <v>#VALUE!</v>
      </c>
      <c r="F542" s="142"/>
      <c r="G542" s="4" t="str">
        <f>'Gas Water'!M544</f>
        <v/>
      </c>
      <c r="H542" s="142"/>
      <c r="I542" s="2" t="str">
        <f>'Gas Water'!L544</f>
        <v/>
      </c>
      <c r="J542" s="142"/>
      <c r="K542" s="5"/>
      <c r="L542" s="5"/>
    </row>
    <row r="543" spans="1:12" x14ac:dyDescent="0.25">
      <c r="A543" s="3" t="s">
        <v>74</v>
      </c>
      <c r="B543" s="3"/>
      <c r="C543" s="3"/>
      <c r="D543" s="3"/>
      <c r="E543" s="4" t="e">
        <f>'Electricity '!I544+'Electricity '!O544</f>
        <v>#VALUE!</v>
      </c>
      <c r="F543" s="142"/>
      <c r="G543" s="4" t="str">
        <f>'Gas Water'!M545</f>
        <v/>
      </c>
      <c r="H543" s="142"/>
      <c r="I543" s="2" t="str">
        <f>'Gas Water'!L545</f>
        <v/>
      </c>
      <c r="J543" s="142"/>
      <c r="K543" s="5"/>
      <c r="L543" s="5"/>
    </row>
    <row r="544" spans="1:12" x14ac:dyDescent="0.25">
      <c r="A544" s="3" t="s">
        <v>74</v>
      </c>
      <c r="B544" s="3"/>
      <c r="C544" s="3"/>
      <c r="D544" s="3"/>
      <c r="E544" s="4" t="e">
        <f>'Electricity '!I545+'Electricity '!O545</f>
        <v>#VALUE!</v>
      </c>
      <c r="F544" s="142"/>
      <c r="G544" s="4" t="str">
        <f>'Gas Water'!M546</f>
        <v/>
      </c>
      <c r="H544" s="142"/>
      <c r="I544" s="2" t="str">
        <f>'Gas Water'!L546</f>
        <v/>
      </c>
      <c r="J544" s="142"/>
      <c r="K544" s="5"/>
      <c r="L544" s="5"/>
    </row>
    <row r="545" spans="1:12" x14ac:dyDescent="0.25">
      <c r="A545" s="3" t="s">
        <v>74</v>
      </c>
      <c r="B545" s="3"/>
      <c r="C545" s="3"/>
      <c r="D545" s="3"/>
      <c r="E545" s="4" t="e">
        <f>'Electricity '!I546+'Electricity '!O546</f>
        <v>#VALUE!</v>
      </c>
      <c r="F545" s="142"/>
      <c r="G545" s="4" t="str">
        <f>'Gas Water'!M547</f>
        <v/>
      </c>
      <c r="H545" s="142"/>
      <c r="I545" s="2" t="str">
        <f>'Gas Water'!L547</f>
        <v/>
      </c>
      <c r="J545" s="142"/>
      <c r="K545" s="5"/>
      <c r="L545" s="5"/>
    </row>
    <row r="546" spans="1:12" x14ac:dyDescent="0.25">
      <c r="A546" s="3" t="s">
        <v>74</v>
      </c>
      <c r="B546" s="3"/>
      <c r="C546" s="3"/>
      <c r="D546" s="3"/>
      <c r="E546" s="4" t="e">
        <f>'Electricity '!I547+'Electricity '!O547</f>
        <v>#VALUE!</v>
      </c>
      <c r="F546" s="142"/>
      <c r="G546" s="4" t="str">
        <f>'Gas Water'!M548</f>
        <v/>
      </c>
      <c r="H546" s="142"/>
      <c r="I546" s="2" t="str">
        <f>'Gas Water'!L548</f>
        <v/>
      </c>
      <c r="J546" s="142"/>
      <c r="K546" s="5"/>
      <c r="L546" s="5"/>
    </row>
    <row r="547" spans="1:12" x14ac:dyDescent="0.25">
      <c r="A547" s="3" t="s">
        <v>74</v>
      </c>
      <c r="B547" s="3"/>
      <c r="C547" s="3"/>
      <c r="D547" s="3"/>
      <c r="E547" s="4" t="e">
        <f>'Electricity '!I548+'Electricity '!O548</f>
        <v>#VALUE!</v>
      </c>
      <c r="F547" s="142"/>
      <c r="G547" s="4" t="str">
        <f>'Gas Water'!M549</f>
        <v/>
      </c>
      <c r="H547" s="142"/>
      <c r="I547" s="2" t="str">
        <f>'Gas Water'!L549</f>
        <v/>
      </c>
      <c r="J547" s="142"/>
      <c r="K547" s="5"/>
      <c r="L547" s="5"/>
    </row>
    <row r="548" spans="1:12" x14ac:dyDescent="0.25">
      <c r="A548" s="3" t="s">
        <v>74</v>
      </c>
      <c r="B548" s="3"/>
      <c r="C548" s="3"/>
      <c r="D548" s="3"/>
      <c r="E548" s="4" t="e">
        <f>'Electricity '!I549+'Electricity '!O549</f>
        <v>#VALUE!</v>
      </c>
      <c r="F548" s="142"/>
      <c r="G548" s="4" t="str">
        <f>'Gas Water'!M550</f>
        <v/>
      </c>
      <c r="H548" s="142"/>
      <c r="I548" s="2" t="str">
        <f>'Gas Water'!L550</f>
        <v/>
      </c>
      <c r="J548" s="142"/>
      <c r="K548" s="5"/>
      <c r="L548" s="5"/>
    </row>
    <row r="549" spans="1:12" x14ac:dyDescent="0.25">
      <c r="A549" s="3" t="s">
        <v>74</v>
      </c>
      <c r="B549" s="3"/>
      <c r="C549" s="3"/>
      <c r="D549" s="3"/>
      <c r="E549" s="4" t="e">
        <f>'Electricity '!I550+'Electricity '!O550</f>
        <v>#VALUE!</v>
      </c>
      <c r="F549" s="142"/>
      <c r="G549" s="4" t="str">
        <f>'Gas Water'!M551</f>
        <v/>
      </c>
      <c r="H549" s="142"/>
      <c r="I549" s="2" t="str">
        <f>'Gas Water'!L551</f>
        <v/>
      </c>
      <c r="J549" s="142"/>
      <c r="K549" s="5"/>
      <c r="L549" s="5"/>
    </row>
    <row r="550" spans="1:12" x14ac:dyDescent="0.25">
      <c r="A550" s="3" t="s">
        <v>74</v>
      </c>
      <c r="B550" s="3"/>
      <c r="C550" s="3"/>
      <c r="D550" s="3"/>
      <c r="E550" s="4" t="e">
        <f>'Electricity '!I551+'Electricity '!O551</f>
        <v>#VALUE!</v>
      </c>
      <c r="F550" s="142"/>
      <c r="G550" s="4" t="str">
        <f>'Gas Water'!M552</f>
        <v/>
      </c>
      <c r="H550" s="142"/>
      <c r="I550" s="2" t="str">
        <f>'Gas Water'!L552</f>
        <v/>
      </c>
      <c r="J550" s="142"/>
      <c r="K550" s="5"/>
      <c r="L550" s="5"/>
    </row>
    <row r="551" spans="1:12" x14ac:dyDescent="0.25">
      <c r="A551" s="3" t="s">
        <v>74</v>
      </c>
      <c r="B551" s="3"/>
      <c r="C551" s="3"/>
      <c r="D551" s="3"/>
      <c r="E551" s="4" t="e">
        <f>'Electricity '!I552+'Electricity '!O552</f>
        <v>#VALUE!</v>
      </c>
      <c r="F551" s="142"/>
      <c r="G551" s="4" t="str">
        <f>'Gas Water'!M553</f>
        <v/>
      </c>
      <c r="H551" s="142"/>
      <c r="I551" s="2" t="str">
        <f>'Gas Water'!L553</f>
        <v/>
      </c>
      <c r="J551" s="142"/>
      <c r="K551" s="5"/>
      <c r="L551" s="5"/>
    </row>
    <row r="552" spans="1:12" x14ac:dyDescent="0.25">
      <c r="A552" s="3" t="s">
        <v>74</v>
      </c>
      <c r="B552" s="3"/>
      <c r="C552" s="3"/>
      <c r="D552" s="3"/>
      <c r="E552" s="4" t="e">
        <f>'Electricity '!I553+'Electricity '!O553</f>
        <v>#VALUE!</v>
      </c>
      <c r="F552" s="142"/>
      <c r="G552" s="4" t="str">
        <f>'Gas Water'!M554</f>
        <v/>
      </c>
      <c r="H552" s="142"/>
      <c r="I552" s="2" t="str">
        <f>'Gas Water'!L554</f>
        <v/>
      </c>
      <c r="J552" s="142"/>
      <c r="K552" s="5"/>
      <c r="L552" s="5"/>
    </row>
    <row r="553" spans="1:12" x14ac:dyDescent="0.25">
      <c r="A553" s="3" t="s">
        <v>74</v>
      </c>
      <c r="B553" s="3"/>
      <c r="C553" s="3"/>
      <c r="D553" s="3"/>
      <c r="E553" s="4" t="e">
        <f>'Electricity '!I554+'Electricity '!O554</f>
        <v>#VALUE!</v>
      </c>
      <c r="F553" s="142"/>
      <c r="G553" s="4" t="str">
        <f>'Gas Water'!M555</f>
        <v/>
      </c>
      <c r="H553" s="142"/>
      <c r="I553" s="2" t="str">
        <f>'Gas Water'!L555</f>
        <v/>
      </c>
      <c r="J553" s="142"/>
      <c r="K553" s="5"/>
      <c r="L553" s="5"/>
    </row>
    <row r="554" spans="1:12" x14ac:dyDescent="0.25">
      <c r="A554" s="3" t="s">
        <v>74</v>
      </c>
      <c r="B554" s="3"/>
      <c r="C554" s="3"/>
      <c r="D554" s="3"/>
      <c r="E554" s="4" t="e">
        <f>'Electricity '!I555+'Electricity '!O555</f>
        <v>#VALUE!</v>
      </c>
      <c r="F554" s="142"/>
      <c r="G554" s="4" t="str">
        <f>'Gas Water'!M556</f>
        <v/>
      </c>
      <c r="H554" s="142"/>
      <c r="I554" s="2" t="str">
        <f>'Gas Water'!L556</f>
        <v/>
      </c>
      <c r="J554" s="142"/>
      <c r="K554" s="5"/>
      <c r="L554" s="5"/>
    </row>
    <row r="555" spans="1:12" x14ac:dyDescent="0.25">
      <c r="A555" s="3" t="s">
        <v>74</v>
      </c>
      <c r="B555" s="3"/>
      <c r="C555" s="3"/>
      <c r="D555" s="3"/>
      <c r="E555" s="4" t="e">
        <f>'Electricity '!I556+'Electricity '!O556</f>
        <v>#VALUE!</v>
      </c>
      <c r="F555" s="142"/>
      <c r="G555" s="4" t="str">
        <f>'Gas Water'!M557</f>
        <v/>
      </c>
      <c r="H555" s="142"/>
      <c r="I555" s="2" t="str">
        <f>'Gas Water'!L557</f>
        <v/>
      </c>
      <c r="J555" s="142"/>
      <c r="K555" s="5"/>
      <c r="L555" s="5"/>
    </row>
    <row r="556" spans="1:12" x14ac:dyDescent="0.25">
      <c r="A556" s="3" t="s">
        <v>74</v>
      </c>
      <c r="B556" s="3"/>
      <c r="C556" s="3"/>
      <c r="D556" s="3"/>
      <c r="E556" s="4" t="e">
        <f>'Electricity '!I557+'Electricity '!O557</f>
        <v>#VALUE!</v>
      </c>
      <c r="F556" s="142"/>
      <c r="G556" s="4" t="str">
        <f>'Gas Water'!M558</f>
        <v/>
      </c>
      <c r="H556" s="142"/>
      <c r="I556" s="2" t="str">
        <f>'Gas Water'!L558</f>
        <v/>
      </c>
      <c r="J556" s="142"/>
      <c r="K556" s="5"/>
      <c r="L556" s="5"/>
    </row>
    <row r="557" spans="1:12" x14ac:dyDescent="0.25">
      <c r="A557" s="3" t="s">
        <v>74</v>
      </c>
      <c r="B557" s="3"/>
      <c r="C557" s="3"/>
      <c r="D557" s="3"/>
      <c r="E557" s="4" t="e">
        <f>'Electricity '!I558+'Electricity '!O558</f>
        <v>#VALUE!</v>
      </c>
      <c r="F557" s="142"/>
      <c r="G557" s="4" t="str">
        <f>'Gas Water'!M559</f>
        <v/>
      </c>
      <c r="H557" s="142"/>
      <c r="I557" s="2" t="str">
        <f>'Gas Water'!L559</f>
        <v/>
      </c>
      <c r="J557" s="142"/>
      <c r="K557" s="5"/>
      <c r="L557" s="5"/>
    </row>
    <row r="558" spans="1:12" x14ac:dyDescent="0.25">
      <c r="A558" s="3" t="s">
        <v>74</v>
      </c>
      <c r="B558" s="3"/>
      <c r="C558" s="3"/>
      <c r="D558" s="3"/>
      <c r="E558" s="4" t="e">
        <f>'Electricity '!I559+'Electricity '!O559</f>
        <v>#VALUE!</v>
      </c>
      <c r="F558" s="142"/>
      <c r="G558" s="4" t="str">
        <f>'Gas Water'!M560</f>
        <v/>
      </c>
      <c r="H558" s="142"/>
      <c r="I558" s="2" t="str">
        <f>'Gas Water'!L560</f>
        <v/>
      </c>
      <c r="J558" s="142"/>
      <c r="K558" s="5"/>
      <c r="L558" s="5"/>
    </row>
    <row r="559" spans="1:12" x14ac:dyDescent="0.25">
      <c r="A559" s="3" t="s">
        <v>74</v>
      </c>
      <c r="B559" s="3"/>
      <c r="C559" s="3"/>
      <c r="D559" s="3"/>
      <c r="E559" s="4" t="e">
        <f>'Electricity '!I560+'Electricity '!O560</f>
        <v>#VALUE!</v>
      </c>
      <c r="F559" s="142"/>
      <c r="G559" s="4" t="str">
        <f>'Gas Water'!M561</f>
        <v/>
      </c>
      <c r="H559" s="142"/>
      <c r="I559" s="2" t="str">
        <f>'Gas Water'!L561</f>
        <v/>
      </c>
      <c r="J559" s="142"/>
      <c r="K559" s="5"/>
      <c r="L559" s="5"/>
    </row>
    <row r="560" spans="1:12" x14ac:dyDescent="0.25">
      <c r="A560" s="3" t="s">
        <v>74</v>
      </c>
      <c r="B560" s="3"/>
      <c r="C560" s="3"/>
      <c r="D560" s="3"/>
      <c r="E560" s="4" t="e">
        <f>'Electricity '!I561+'Electricity '!O561</f>
        <v>#VALUE!</v>
      </c>
      <c r="F560" s="142"/>
      <c r="G560" s="4" t="str">
        <f>'Gas Water'!M562</f>
        <v/>
      </c>
      <c r="H560" s="142"/>
      <c r="I560" s="2" t="str">
        <f>'Gas Water'!L562</f>
        <v/>
      </c>
      <c r="J560" s="142"/>
      <c r="K560" s="5"/>
      <c r="L560" s="5"/>
    </row>
    <row r="561" spans="1:12" x14ac:dyDescent="0.25">
      <c r="A561" s="3" t="s">
        <v>74</v>
      </c>
      <c r="B561" s="3"/>
      <c r="C561" s="3"/>
      <c r="D561" s="3"/>
      <c r="E561" s="4" t="e">
        <f>'Electricity '!I562+'Electricity '!O562</f>
        <v>#VALUE!</v>
      </c>
      <c r="F561" s="142"/>
      <c r="G561" s="4" t="str">
        <f>'Gas Water'!M563</f>
        <v/>
      </c>
      <c r="H561" s="142"/>
      <c r="I561" s="2" t="str">
        <f>'Gas Water'!L563</f>
        <v/>
      </c>
      <c r="J561" s="142"/>
      <c r="K561" s="5"/>
      <c r="L561" s="5"/>
    </row>
    <row r="562" spans="1:12" x14ac:dyDescent="0.25">
      <c r="A562" s="3" t="s">
        <v>74</v>
      </c>
      <c r="B562" s="3"/>
      <c r="C562" s="3"/>
      <c r="D562" s="3"/>
      <c r="E562" s="4" t="e">
        <f>'Electricity '!I563+'Electricity '!O563</f>
        <v>#VALUE!</v>
      </c>
      <c r="F562" s="142"/>
      <c r="G562" s="4" t="str">
        <f>'Gas Water'!M564</f>
        <v/>
      </c>
      <c r="H562" s="142"/>
      <c r="I562" s="2" t="str">
        <f>'Gas Water'!L564</f>
        <v/>
      </c>
      <c r="J562" s="142"/>
      <c r="K562" s="5"/>
      <c r="L562" s="5"/>
    </row>
    <row r="563" spans="1:12" x14ac:dyDescent="0.25">
      <c r="A563" s="3" t="s">
        <v>74</v>
      </c>
      <c r="B563" s="3"/>
      <c r="C563" s="3"/>
      <c r="D563" s="3"/>
      <c r="E563" s="4" t="e">
        <f>'Electricity '!I564+'Electricity '!O564</f>
        <v>#VALUE!</v>
      </c>
      <c r="F563" s="142"/>
      <c r="G563" s="4" t="str">
        <f>'Gas Water'!M565</f>
        <v/>
      </c>
      <c r="H563" s="142"/>
      <c r="I563" s="2" t="str">
        <f>'Gas Water'!L565</f>
        <v/>
      </c>
      <c r="J563" s="142"/>
      <c r="K563" s="5"/>
      <c r="L563" s="5"/>
    </row>
    <row r="564" spans="1:12" x14ac:dyDescent="0.25">
      <c r="A564" s="3" t="s">
        <v>74</v>
      </c>
      <c r="B564" s="3"/>
      <c r="C564" s="3"/>
      <c r="D564" s="3"/>
      <c r="E564" s="4" t="e">
        <f>'Electricity '!I565+'Electricity '!O565</f>
        <v>#VALUE!</v>
      </c>
      <c r="F564" s="142"/>
      <c r="G564" s="4" t="str">
        <f>'Gas Water'!M566</f>
        <v/>
      </c>
      <c r="H564" s="142"/>
      <c r="I564" s="2" t="str">
        <f>'Gas Water'!L566</f>
        <v/>
      </c>
      <c r="J564" s="142"/>
      <c r="K564" s="5"/>
      <c r="L564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33"/>
  <sheetViews>
    <sheetView topLeftCell="A358" workbookViewId="0">
      <selection activeCell="R385" sqref="R385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190"/>
      <c r="C1" s="190"/>
      <c r="D1" s="190"/>
      <c r="E1" s="190"/>
      <c r="F1" s="19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63">
        <v>16228335</v>
      </c>
      <c r="D4" s="164">
        <v>4463442</v>
      </c>
      <c r="E4" s="165">
        <v>277482</v>
      </c>
      <c r="F4" s="166">
        <v>575904</v>
      </c>
      <c r="G4" s="167">
        <v>225686</v>
      </c>
      <c r="H4" s="168">
        <v>0</v>
      </c>
      <c r="I4" s="168">
        <v>1954</v>
      </c>
      <c r="J4" s="168">
        <v>128</v>
      </c>
      <c r="K4" s="168">
        <v>114</v>
      </c>
      <c r="L4" s="170">
        <v>128</v>
      </c>
      <c r="M4" s="169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63">
        <v>16228335</v>
      </c>
      <c r="D5" s="164">
        <v>4465332</v>
      </c>
      <c r="E5" s="165">
        <v>277603</v>
      </c>
      <c r="F5" s="166">
        <v>576035</v>
      </c>
      <c r="G5" s="167">
        <v>225791</v>
      </c>
      <c r="H5" s="168">
        <v>0</v>
      </c>
      <c r="I5" s="168">
        <v>1890</v>
      </c>
      <c r="J5" s="168">
        <v>121</v>
      </c>
      <c r="K5" s="168">
        <v>131</v>
      </c>
      <c r="L5" s="170">
        <v>105</v>
      </c>
      <c r="M5" s="169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63">
        <v>16228335</v>
      </c>
      <c r="D6" s="164">
        <v>4467510</v>
      </c>
      <c r="E6" s="165">
        <v>277734</v>
      </c>
      <c r="F6" s="166">
        <v>576163</v>
      </c>
      <c r="G6" s="167">
        <v>225895</v>
      </c>
      <c r="H6" s="168">
        <v>0</v>
      </c>
      <c r="I6" s="168">
        <v>2178</v>
      </c>
      <c r="J6" s="168">
        <v>131</v>
      </c>
      <c r="K6" s="168">
        <v>128</v>
      </c>
      <c r="L6" s="170">
        <v>104</v>
      </c>
      <c r="M6" s="169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63">
        <v>16228335</v>
      </c>
      <c r="D7" s="164">
        <v>4469336</v>
      </c>
      <c r="E7" s="165">
        <v>277851</v>
      </c>
      <c r="F7" s="166">
        <v>576303</v>
      </c>
      <c r="G7" s="167">
        <v>226007</v>
      </c>
      <c r="H7" s="168">
        <v>0</v>
      </c>
      <c r="I7" s="168">
        <v>1826</v>
      </c>
      <c r="J7" s="168">
        <v>117</v>
      </c>
      <c r="K7" s="168">
        <v>140</v>
      </c>
      <c r="L7" s="170">
        <v>112</v>
      </c>
      <c r="M7" s="169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63">
        <v>16228335</v>
      </c>
      <c r="D8" s="164">
        <v>4471208</v>
      </c>
      <c r="E8" s="165">
        <v>277990</v>
      </c>
      <c r="F8" s="166">
        <v>576427</v>
      </c>
      <c r="G8" s="167">
        <v>226107</v>
      </c>
      <c r="H8" s="168">
        <v>0</v>
      </c>
      <c r="I8" s="168">
        <v>1872</v>
      </c>
      <c r="J8" s="168">
        <v>139</v>
      </c>
      <c r="K8" s="168">
        <v>124</v>
      </c>
      <c r="L8" s="170">
        <v>100</v>
      </c>
      <c r="M8" s="169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63">
        <v>16228335</v>
      </c>
      <c r="D9" s="164">
        <v>4473169</v>
      </c>
      <c r="E9" s="165">
        <v>278127</v>
      </c>
      <c r="F9" s="166">
        <v>576529</v>
      </c>
      <c r="G9" s="167">
        <v>226220</v>
      </c>
      <c r="H9" s="168">
        <v>0</v>
      </c>
      <c r="I9" s="168">
        <v>1961</v>
      </c>
      <c r="J9" s="168">
        <v>137</v>
      </c>
      <c r="K9" s="168">
        <v>102</v>
      </c>
      <c r="L9" s="170">
        <v>113</v>
      </c>
      <c r="M9" s="169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63">
        <v>16228335</v>
      </c>
      <c r="D10" s="164">
        <v>4474988</v>
      </c>
      <c r="E10" s="165">
        <v>278259</v>
      </c>
      <c r="F10" s="166">
        <v>576653</v>
      </c>
      <c r="G10" s="167">
        <v>226326</v>
      </c>
      <c r="H10" s="168">
        <v>0</v>
      </c>
      <c r="I10" s="168">
        <v>1819</v>
      </c>
      <c r="J10" s="168">
        <v>132</v>
      </c>
      <c r="K10" s="168">
        <v>124</v>
      </c>
      <c r="L10" s="170">
        <v>106</v>
      </c>
      <c r="M10" s="169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63">
        <v>16228335</v>
      </c>
      <c r="D11" s="164">
        <v>4476515</v>
      </c>
      <c r="E11" s="165">
        <v>278386</v>
      </c>
      <c r="F11" s="166">
        <v>576784</v>
      </c>
      <c r="G11" s="167">
        <v>226440</v>
      </c>
      <c r="H11" s="168">
        <v>0</v>
      </c>
      <c r="I11" s="168">
        <v>1527</v>
      </c>
      <c r="J11" s="168">
        <v>127</v>
      </c>
      <c r="K11" s="168">
        <v>131</v>
      </c>
      <c r="L11" s="170">
        <v>114</v>
      </c>
      <c r="M11" s="169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63">
        <v>16228335</v>
      </c>
      <c r="D12" s="164">
        <v>4478432</v>
      </c>
      <c r="E12" s="165">
        <v>278504</v>
      </c>
      <c r="F12" s="166">
        <v>576904</v>
      </c>
      <c r="G12" s="167">
        <v>226516</v>
      </c>
      <c r="H12" s="168">
        <v>0</v>
      </c>
      <c r="I12" s="168">
        <v>1917</v>
      </c>
      <c r="J12" s="168">
        <v>118</v>
      </c>
      <c r="K12" s="168">
        <v>120</v>
      </c>
      <c r="L12" s="170">
        <v>76</v>
      </c>
      <c r="M12" s="169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63">
        <v>16228335</v>
      </c>
      <c r="D13" s="164">
        <v>4480830</v>
      </c>
      <c r="E13" s="165">
        <v>278634</v>
      </c>
      <c r="F13" s="166">
        <v>577018</v>
      </c>
      <c r="G13" s="167">
        <v>226607</v>
      </c>
      <c r="H13" s="168">
        <v>0</v>
      </c>
      <c r="I13" s="168">
        <v>2398</v>
      </c>
      <c r="J13" s="168">
        <v>130</v>
      </c>
      <c r="K13" s="168">
        <v>114</v>
      </c>
      <c r="L13" s="170">
        <v>91</v>
      </c>
      <c r="M13" s="169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63">
        <v>16228335</v>
      </c>
      <c r="D14" s="164">
        <v>4482588</v>
      </c>
      <c r="E14" s="165">
        <v>278774</v>
      </c>
      <c r="F14" s="166">
        <v>577125</v>
      </c>
      <c r="G14" s="167">
        <v>226718</v>
      </c>
      <c r="H14" s="168">
        <v>0</v>
      </c>
      <c r="I14" s="168">
        <v>1758</v>
      </c>
      <c r="J14" s="168">
        <v>140</v>
      </c>
      <c r="K14" s="168">
        <v>107</v>
      </c>
      <c r="L14" s="170">
        <v>111</v>
      </c>
      <c r="M14" s="169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63">
        <v>16228335</v>
      </c>
      <c r="D15" s="164">
        <v>4484455</v>
      </c>
      <c r="E15" s="165">
        <v>278913</v>
      </c>
      <c r="F15" s="166">
        <v>577236</v>
      </c>
      <c r="G15" s="167">
        <v>226805</v>
      </c>
      <c r="H15" s="168">
        <v>0</v>
      </c>
      <c r="I15" s="168">
        <v>1867</v>
      </c>
      <c r="J15" s="168">
        <v>139</v>
      </c>
      <c r="K15" s="168">
        <v>111</v>
      </c>
      <c r="L15" s="170">
        <v>87</v>
      </c>
      <c r="M15" s="169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63">
        <v>16228335</v>
      </c>
      <c r="D16" s="164">
        <v>4487372</v>
      </c>
      <c r="E16" s="165">
        <v>279043</v>
      </c>
      <c r="F16" s="166">
        <v>577331</v>
      </c>
      <c r="G16" s="167">
        <v>226903</v>
      </c>
      <c r="H16" s="168">
        <v>0</v>
      </c>
      <c r="I16" s="168">
        <v>2917</v>
      </c>
      <c r="J16" s="168">
        <v>130</v>
      </c>
      <c r="K16" s="168">
        <v>95</v>
      </c>
      <c r="L16" s="170">
        <v>98</v>
      </c>
      <c r="M16" s="169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63">
        <v>16228335</v>
      </c>
      <c r="D17" s="164">
        <v>4490725</v>
      </c>
      <c r="E17" s="165">
        <v>279185</v>
      </c>
      <c r="F17" s="166">
        <v>577439</v>
      </c>
      <c r="G17" s="167">
        <v>227002</v>
      </c>
      <c r="H17" s="168">
        <v>0</v>
      </c>
      <c r="I17" s="168">
        <v>3353</v>
      </c>
      <c r="J17" s="168">
        <v>142</v>
      </c>
      <c r="K17" s="168">
        <v>108</v>
      </c>
      <c r="L17" s="170">
        <v>99</v>
      </c>
      <c r="M17" s="169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63">
        <v>16228335</v>
      </c>
      <c r="D18" s="164">
        <v>4494133</v>
      </c>
      <c r="E18" s="165">
        <v>279307</v>
      </c>
      <c r="F18" s="166">
        <v>577577</v>
      </c>
      <c r="G18" s="167">
        <v>227090</v>
      </c>
      <c r="H18" s="168">
        <v>0</v>
      </c>
      <c r="I18" s="168">
        <v>3408</v>
      </c>
      <c r="J18" s="168">
        <v>122</v>
      </c>
      <c r="K18" s="168">
        <v>138</v>
      </c>
      <c r="L18" s="170">
        <v>88</v>
      </c>
      <c r="M18" s="169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63">
        <v>16228335</v>
      </c>
      <c r="D19" s="164">
        <v>4497609</v>
      </c>
      <c r="E19" s="165">
        <v>279439</v>
      </c>
      <c r="F19" s="166">
        <v>577683</v>
      </c>
      <c r="G19" s="167">
        <v>227174</v>
      </c>
      <c r="H19" s="168">
        <v>0</v>
      </c>
      <c r="I19" s="168">
        <v>3476</v>
      </c>
      <c r="J19" s="168">
        <v>132</v>
      </c>
      <c r="K19" s="168">
        <v>106</v>
      </c>
      <c r="L19" s="170">
        <v>84</v>
      </c>
      <c r="M19" s="169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63">
        <v>16228335</v>
      </c>
      <c r="D20" s="164">
        <v>4501910</v>
      </c>
      <c r="E20" s="165">
        <v>279564</v>
      </c>
      <c r="F20" s="166">
        <v>577761</v>
      </c>
      <c r="G20" s="167">
        <v>227241</v>
      </c>
      <c r="H20" s="168">
        <v>0</v>
      </c>
      <c r="I20" s="168">
        <v>4301</v>
      </c>
      <c r="J20" s="168">
        <v>125</v>
      </c>
      <c r="K20" s="168">
        <v>78</v>
      </c>
      <c r="L20" s="170">
        <v>67</v>
      </c>
      <c r="M20" s="169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63">
        <v>16228335</v>
      </c>
      <c r="D21" s="164">
        <v>4506254</v>
      </c>
      <c r="E21" s="165">
        <v>279689</v>
      </c>
      <c r="F21" s="166">
        <v>577873</v>
      </c>
      <c r="G21" s="167">
        <v>227336</v>
      </c>
      <c r="H21" s="168">
        <v>0</v>
      </c>
      <c r="I21" s="168">
        <v>4344</v>
      </c>
      <c r="J21" s="168">
        <v>125</v>
      </c>
      <c r="K21" s="168">
        <v>112</v>
      </c>
      <c r="L21" s="170">
        <v>95</v>
      </c>
      <c r="M21" s="169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63">
        <v>16228335</v>
      </c>
      <c r="D22" s="164">
        <v>4510552</v>
      </c>
      <c r="E22" s="165">
        <v>279807</v>
      </c>
      <c r="F22" s="166">
        <v>577962</v>
      </c>
      <c r="G22" s="167">
        <v>227420</v>
      </c>
      <c r="H22" s="168">
        <v>0</v>
      </c>
      <c r="I22" s="168">
        <v>4298</v>
      </c>
      <c r="J22" s="168">
        <v>118</v>
      </c>
      <c r="K22" s="168">
        <v>89</v>
      </c>
      <c r="L22" s="170">
        <v>84</v>
      </c>
      <c r="M22" s="169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63">
        <v>16228335</v>
      </c>
      <c r="D23" s="164">
        <v>4514006</v>
      </c>
      <c r="E23" s="165">
        <v>279917</v>
      </c>
      <c r="F23" s="166">
        <v>578052</v>
      </c>
      <c r="G23" s="167">
        <v>227509</v>
      </c>
      <c r="H23" s="168">
        <v>0</v>
      </c>
      <c r="I23" s="168">
        <v>3454</v>
      </c>
      <c r="J23" s="168">
        <v>110</v>
      </c>
      <c r="K23" s="168">
        <v>90</v>
      </c>
      <c r="L23" s="170">
        <v>89</v>
      </c>
      <c r="M23" s="169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63">
        <v>16228335</v>
      </c>
      <c r="D24" s="164">
        <v>4517220</v>
      </c>
      <c r="E24" s="165">
        <v>280051</v>
      </c>
      <c r="F24" s="166">
        <v>578160</v>
      </c>
      <c r="G24" s="167">
        <v>227610</v>
      </c>
      <c r="H24" s="168">
        <v>0</v>
      </c>
      <c r="I24" s="168">
        <v>3214</v>
      </c>
      <c r="J24" s="168">
        <v>134</v>
      </c>
      <c r="K24" s="168">
        <v>108</v>
      </c>
      <c r="L24" s="170">
        <v>101</v>
      </c>
      <c r="M24" s="169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63">
        <v>16228335</v>
      </c>
      <c r="D25" s="164">
        <v>4519533</v>
      </c>
      <c r="E25" s="165">
        <v>280158</v>
      </c>
      <c r="F25" s="166">
        <v>578273</v>
      </c>
      <c r="G25" s="167">
        <v>227717</v>
      </c>
      <c r="H25" s="168">
        <v>0</v>
      </c>
      <c r="I25" s="168">
        <v>2313</v>
      </c>
      <c r="J25" s="168">
        <v>107</v>
      </c>
      <c r="K25" s="168">
        <v>113</v>
      </c>
      <c r="L25" s="170">
        <v>107</v>
      </c>
      <c r="M25" s="169">
        <v>2533</v>
      </c>
      <c r="N25" s="187" t="s">
        <v>21</v>
      </c>
      <c r="O25" s="18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63">
        <v>16228335</v>
      </c>
      <c r="D26" s="164">
        <v>4521970</v>
      </c>
      <c r="E26" s="165">
        <v>280289</v>
      </c>
      <c r="F26" s="166">
        <v>578391</v>
      </c>
      <c r="G26" s="167">
        <v>227832</v>
      </c>
      <c r="H26" s="168">
        <v>0</v>
      </c>
      <c r="I26" s="168">
        <v>2437</v>
      </c>
      <c r="J26" s="168">
        <v>131</v>
      </c>
      <c r="K26" s="168">
        <v>118</v>
      </c>
      <c r="L26" s="170">
        <v>115</v>
      </c>
      <c r="M26" s="169">
        <v>2686</v>
      </c>
      <c r="N26" s="188"/>
      <c r="O26" s="18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63">
        <v>16228335</v>
      </c>
      <c r="D27" s="164">
        <v>4524269</v>
      </c>
      <c r="E27" s="165">
        <v>280407</v>
      </c>
      <c r="F27" s="166">
        <v>578505</v>
      </c>
      <c r="G27" s="167">
        <v>227920</v>
      </c>
      <c r="H27" s="168">
        <v>0</v>
      </c>
      <c r="I27" s="168">
        <v>2299</v>
      </c>
      <c r="J27" s="168">
        <v>118</v>
      </c>
      <c r="K27" s="168">
        <v>114</v>
      </c>
      <c r="L27" s="170">
        <v>88</v>
      </c>
      <c r="M27" s="169">
        <v>2531</v>
      </c>
      <c r="N27" s="189"/>
      <c r="O27" s="18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63">
        <v>16228335</v>
      </c>
      <c r="D28" s="164">
        <v>4526764</v>
      </c>
      <c r="E28" s="165">
        <v>280553</v>
      </c>
      <c r="F28" s="166">
        <v>578615</v>
      </c>
      <c r="G28" s="167">
        <v>228007</v>
      </c>
      <c r="H28" s="168">
        <v>0</v>
      </c>
      <c r="I28" s="168">
        <v>2495</v>
      </c>
      <c r="J28" s="168">
        <v>146</v>
      </c>
      <c r="K28" s="168">
        <v>110</v>
      </c>
      <c r="L28" s="170">
        <v>87</v>
      </c>
      <c r="M28" s="169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63">
        <v>16228335</v>
      </c>
      <c r="D29" s="164">
        <v>4529086</v>
      </c>
      <c r="E29" s="165">
        <v>280686</v>
      </c>
      <c r="F29" s="166">
        <v>578736</v>
      </c>
      <c r="G29" s="167">
        <v>228111</v>
      </c>
      <c r="H29" s="168">
        <v>0</v>
      </c>
      <c r="I29" s="168">
        <v>2322</v>
      </c>
      <c r="J29" s="168">
        <v>133</v>
      </c>
      <c r="K29" s="168">
        <v>121</v>
      </c>
      <c r="L29" s="170">
        <v>104</v>
      </c>
      <c r="M29" s="169">
        <v>2576</v>
      </c>
      <c r="N29" s="187" t="s">
        <v>23</v>
      </c>
      <c r="O29" s="18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63">
        <v>16228335</v>
      </c>
      <c r="D30" s="164">
        <v>4532734</v>
      </c>
      <c r="E30" s="165">
        <v>280825</v>
      </c>
      <c r="F30" s="166">
        <v>578859</v>
      </c>
      <c r="G30" s="167">
        <v>228202</v>
      </c>
      <c r="H30" s="168">
        <v>0</v>
      </c>
      <c r="I30" s="168">
        <v>3648</v>
      </c>
      <c r="J30" s="168">
        <v>139</v>
      </c>
      <c r="K30" s="168">
        <v>123</v>
      </c>
      <c r="L30" s="170">
        <v>91</v>
      </c>
      <c r="M30" s="169">
        <v>3910</v>
      </c>
      <c r="N30" s="189"/>
      <c r="O30" s="18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63">
        <v>16228335</v>
      </c>
      <c r="D31" s="164">
        <v>4536383</v>
      </c>
      <c r="E31" s="165">
        <v>280976</v>
      </c>
      <c r="F31" s="166">
        <v>578983</v>
      </c>
      <c r="G31" s="167">
        <v>228316</v>
      </c>
      <c r="H31" s="168">
        <v>0</v>
      </c>
      <c r="I31" s="168">
        <v>3649</v>
      </c>
      <c r="J31" s="168">
        <v>151</v>
      </c>
      <c r="K31" s="168">
        <v>124</v>
      </c>
      <c r="L31" s="170">
        <v>114</v>
      </c>
      <c r="M31" s="169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63">
        <v>16228335</v>
      </c>
      <c r="D32" s="164">
        <v>4539594</v>
      </c>
      <c r="E32" s="165">
        <v>281116</v>
      </c>
      <c r="F32" s="166">
        <v>579121</v>
      </c>
      <c r="G32" s="167">
        <v>228427</v>
      </c>
      <c r="H32" s="168">
        <v>0</v>
      </c>
      <c r="I32" s="168">
        <v>3211</v>
      </c>
      <c r="J32" s="168">
        <v>140</v>
      </c>
      <c r="K32" s="168">
        <v>138</v>
      </c>
      <c r="L32" s="170">
        <v>111</v>
      </c>
      <c r="M32" s="169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63">
        <v>16228335</v>
      </c>
      <c r="D33" s="164">
        <v>4542176</v>
      </c>
      <c r="E33" s="165">
        <v>281242</v>
      </c>
      <c r="F33" s="166">
        <v>579234</v>
      </c>
      <c r="G33" s="167">
        <v>228513</v>
      </c>
      <c r="H33" s="168">
        <v>0</v>
      </c>
      <c r="I33" s="168">
        <v>2582</v>
      </c>
      <c r="J33" s="168">
        <v>126</v>
      </c>
      <c r="K33" s="168">
        <v>113</v>
      </c>
      <c r="L33" s="170">
        <v>86</v>
      </c>
      <c r="M33" s="169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71">
        <v>16228335</v>
      </c>
      <c r="D34" s="161">
        <v>4544555</v>
      </c>
      <c r="E34" s="161">
        <v>281363</v>
      </c>
      <c r="F34" s="161">
        <v>579343</v>
      </c>
      <c r="G34" s="161">
        <v>228592</v>
      </c>
      <c r="H34" s="162">
        <v>0</v>
      </c>
      <c r="I34" s="162">
        <v>2379</v>
      </c>
      <c r="J34" s="162">
        <v>121</v>
      </c>
      <c r="K34" s="162">
        <v>109</v>
      </c>
      <c r="L34" s="172">
        <v>79</v>
      </c>
      <c r="M34" s="173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63">
        <v>16228335</v>
      </c>
      <c r="D35" s="164">
        <v>4546448</v>
      </c>
      <c r="E35" s="165">
        <v>281482</v>
      </c>
      <c r="F35" s="166">
        <v>579448</v>
      </c>
      <c r="G35" s="167">
        <v>228680</v>
      </c>
      <c r="H35" s="168">
        <v>0</v>
      </c>
      <c r="I35" s="168">
        <v>1893</v>
      </c>
      <c r="J35" s="168">
        <v>119</v>
      </c>
      <c r="K35" s="168">
        <v>105</v>
      </c>
      <c r="L35" s="170">
        <v>88</v>
      </c>
      <c r="M35" s="169">
        <v>2117</v>
      </c>
      <c r="N35" s="9"/>
      <c r="O35" s="9"/>
      <c r="Q35" s="20"/>
    </row>
    <row r="36" spans="2:17" ht="12.95" customHeight="1" x14ac:dyDescent="0.2">
      <c r="B36" s="22">
        <v>44229</v>
      </c>
      <c r="C36" s="163">
        <v>16228335</v>
      </c>
      <c r="D36" s="164">
        <v>4548532</v>
      </c>
      <c r="E36" s="165">
        <v>281601</v>
      </c>
      <c r="F36" s="166">
        <v>579542</v>
      </c>
      <c r="G36" s="167">
        <v>228806</v>
      </c>
      <c r="H36" s="168">
        <v>0</v>
      </c>
      <c r="I36" s="168">
        <v>2084</v>
      </c>
      <c r="J36" s="168">
        <v>119</v>
      </c>
      <c r="K36" s="168">
        <v>94</v>
      </c>
      <c r="L36" s="170">
        <v>126</v>
      </c>
      <c r="M36" s="169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63">
        <v>16228335</v>
      </c>
      <c r="D37" s="164">
        <v>4550676</v>
      </c>
      <c r="E37" s="165">
        <v>281742</v>
      </c>
      <c r="F37" s="166">
        <v>579654</v>
      </c>
      <c r="G37" s="167">
        <v>228977</v>
      </c>
      <c r="H37" s="168">
        <v>0</v>
      </c>
      <c r="I37" s="168">
        <v>2144</v>
      </c>
      <c r="J37" s="168">
        <v>141</v>
      </c>
      <c r="K37" s="168">
        <v>112</v>
      </c>
      <c r="L37" s="170">
        <v>171</v>
      </c>
      <c r="M37" s="169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63">
        <v>16228335</v>
      </c>
      <c r="D38" s="164">
        <v>4552886</v>
      </c>
      <c r="E38" s="165">
        <v>281882</v>
      </c>
      <c r="F38" s="166">
        <v>579760</v>
      </c>
      <c r="G38" s="167">
        <v>229131</v>
      </c>
      <c r="H38" s="168">
        <v>0</v>
      </c>
      <c r="I38" s="168">
        <v>2210</v>
      </c>
      <c r="J38" s="168">
        <v>140</v>
      </c>
      <c r="K38" s="168">
        <v>106</v>
      </c>
      <c r="L38" s="170">
        <v>154</v>
      </c>
      <c r="M38" s="169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63">
        <v>16228335</v>
      </c>
      <c r="D39" s="164">
        <v>4555153</v>
      </c>
      <c r="E39" s="165">
        <v>282033</v>
      </c>
      <c r="F39" s="166">
        <v>579891</v>
      </c>
      <c r="G39" s="167">
        <v>229262</v>
      </c>
      <c r="H39" s="168">
        <v>0</v>
      </c>
      <c r="I39" s="168">
        <v>2267</v>
      </c>
      <c r="J39" s="168">
        <v>151</v>
      </c>
      <c r="K39" s="168">
        <v>131</v>
      </c>
      <c r="L39" s="170">
        <v>131</v>
      </c>
      <c r="M39" s="169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63">
        <v>16228335</v>
      </c>
      <c r="D40" s="164">
        <v>4557430</v>
      </c>
      <c r="E40" s="165">
        <v>282160</v>
      </c>
      <c r="F40" s="166">
        <v>580030</v>
      </c>
      <c r="G40" s="167">
        <v>229393</v>
      </c>
      <c r="H40" s="168">
        <v>0</v>
      </c>
      <c r="I40" s="168">
        <v>2277</v>
      </c>
      <c r="J40" s="168">
        <v>127</v>
      </c>
      <c r="K40" s="168">
        <v>139</v>
      </c>
      <c r="L40" s="170">
        <v>131</v>
      </c>
      <c r="M40" s="169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63">
        <v>16228335</v>
      </c>
      <c r="D41" s="164">
        <v>4559442</v>
      </c>
      <c r="E41" s="165">
        <v>282285</v>
      </c>
      <c r="F41" s="166">
        <v>580173</v>
      </c>
      <c r="G41" s="167">
        <v>229516</v>
      </c>
      <c r="H41" s="168">
        <v>0</v>
      </c>
      <c r="I41" s="168">
        <v>2012</v>
      </c>
      <c r="J41" s="168">
        <v>125</v>
      </c>
      <c r="K41" s="168">
        <v>143</v>
      </c>
      <c r="L41" s="170">
        <v>123</v>
      </c>
      <c r="M41" s="169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63">
        <v>16228335</v>
      </c>
      <c r="D42" s="164">
        <v>4561022</v>
      </c>
      <c r="E42" s="165">
        <v>282439</v>
      </c>
      <c r="F42" s="166">
        <v>580311</v>
      </c>
      <c r="G42" s="167">
        <v>229611</v>
      </c>
      <c r="H42" s="168">
        <v>0</v>
      </c>
      <c r="I42" s="168">
        <v>1580</v>
      </c>
      <c r="J42" s="168">
        <v>154</v>
      </c>
      <c r="K42" s="168">
        <v>138</v>
      </c>
      <c r="L42" s="170">
        <v>95</v>
      </c>
      <c r="M42" s="169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63">
        <v>16228335</v>
      </c>
      <c r="D43" s="164">
        <v>4562745</v>
      </c>
      <c r="E43" s="165">
        <v>282581</v>
      </c>
      <c r="F43" s="166">
        <v>580422</v>
      </c>
      <c r="G43" s="167">
        <v>229710</v>
      </c>
      <c r="H43" s="168">
        <v>0</v>
      </c>
      <c r="I43" s="168">
        <v>1723</v>
      </c>
      <c r="J43" s="168">
        <v>142</v>
      </c>
      <c r="K43" s="168">
        <v>111</v>
      </c>
      <c r="L43" s="170">
        <v>99</v>
      </c>
      <c r="M43" s="169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63">
        <v>16228335</v>
      </c>
      <c r="D44" s="164">
        <v>4564656</v>
      </c>
      <c r="E44" s="165">
        <v>282701</v>
      </c>
      <c r="F44" s="166">
        <v>580551</v>
      </c>
      <c r="G44" s="167">
        <v>229812</v>
      </c>
      <c r="H44" s="168">
        <v>0</v>
      </c>
      <c r="I44" s="168">
        <v>1911</v>
      </c>
      <c r="J44" s="168">
        <v>120</v>
      </c>
      <c r="K44" s="168">
        <v>129</v>
      </c>
      <c r="L44" s="170">
        <v>102</v>
      </c>
      <c r="M44" s="169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63">
        <v>16228335</v>
      </c>
      <c r="D45" s="164">
        <v>4566425</v>
      </c>
      <c r="E45" s="165">
        <v>282827</v>
      </c>
      <c r="F45" s="166">
        <v>580680</v>
      </c>
      <c r="G45" s="167">
        <v>229984</v>
      </c>
      <c r="H45" s="168">
        <v>0</v>
      </c>
      <c r="I45" s="168">
        <v>1769</v>
      </c>
      <c r="J45" s="168">
        <v>126</v>
      </c>
      <c r="K45" s="168">
        <v>129</v>
      </c>
      <c r="L45" s="170">
        <v>172</v>
      </c>
      <c r="M45" s="169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63">
        <v>16228335</v>
      </c>
      <c r="D46" s="164">
        <v>4569862</v>
      </c>
      <c r="E46" s="165">
        <v>282962</v>
      </c>
      <c r="F46" s="166">
        <v>580824</v>
      </c>
      <c r="G46" s="167">
        <v>230106</v>
      </c>
      <c r="H46" s="168">
        <v>0</v>
      </c>
      <c r="I46" s="168">
        <v>3437</v>
      </c>
      <c r="J46" s="168">
        <v>135</v>
      </c>
      <c r="K46" s="168">
        <v>144</v>
      </c>
      <c r="L46" s="170">
        <v>122</v>
      </c>
      <c r="M46" s="169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63">
        <v>16228335</v>
      </c>
      <c r="D47" s="164">
        <v>4573447</v>
      </c>
      <c r="E47" s="165">
        <v>283081</v>
      </c>
      <c r="F47" s="166">
        <v>580933</v>
      </c>
      <c r="G47" s="167">
        <v>230295</v>
      </c>
      <c r="H47" s="168">
        <v>0</v>
      </c>
      <c r="I47" s="168">
        <v>3585</v>
      </c>
      <c r="J47" s="168">
        <v>119</v>
      </c>
      <c r="K47" s="168">
        <v>109</v>
      </c>
      <c r="L47" s="170">
        <v>189</v>
      </c>
      <c r="M47" s="169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63">
        <v>16228335</v>
      </c>
      <c r="D48" s="164">
        <v>4577765</v>
      </c>
      <c r="E48" s="165">
        <v>283222</v>
      </c>
      <c r="F48" s="166">
        <v>581063</v>
      </c>
      <c r="G48" s="167">
        <v>230373</v>
      </c>
      <c r="H48" s="168">
        <v>0</v>
      </c>
      <c r="I48" s="168">
        <v>4318</v>
      </c>
      <c r="J48" s="168">
        <v>141</v>
      </c>
      <c r="K48" s="168">
        <v>130</v>
      </c>
      <c r="L48" s="170">
        <v>78</v>
      </c>
      <c r="M48" s="169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63">
        <v>16228335</v>
      </c>
      <c r="D49" s="164">
        <v>4581994</v>
      </c>
      <c r="E49" s="165">
        <v>283360</v>
      </c>
      <c r="F49" s="166">
        <v>581236</v>
      </c>
      <c r="G49" s="167">
        <v>230392</v>
      </c>
      <c r="H49" s="168">
        <v>0</v>
      </c>
      <c r="I49" s="168">
        <v>4229</v>
      </c>
      <c r="J49" s="168">
        <v>138</v>
      </c>
      <c r="K49" s="168">
        <v>173</v>
      </c>
      <c r="L49" s="170">
        <v>19</v>
      </c>
      <c r="M49" s="169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63">
        <v>16228335</v>
      </c>
      <c r="D50" s="164">
        <v>4586195</v>
      </c>
      <c r="E50" s="165">
        <v>283494</v>
      </c>
      <c r="F50" s="166">
        <v>581383</v>
      </c>
      <c r="G50" s="167">
        <v>230401</v>
      </c>
      <c r="H50" s="168">
        <v>0</v>
      </c>
      <c r="I50" s="168">
        <v>4201</v>
      </c>
      <c r="J50" s="168">
        <v>134</v>
      </c>
      <c r="K50" s="168">
        <v>147</v>
      </c>
      <c r="L50" s="170">
        <v>9</v>
      </c>
      <c r="M50" s="169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63">
        <v>16228335</v>
      </c>
      <c r="D51" s="164">
        <v>4590465</v>
      </c>
      <c r="E51" s="165">
        <v>283646</v>
      </c>
      <c r="F51" s="166">
        <v>581523</v>
      </c>
      <c r="G51" s="167">
        <v>230580</v>
      </c>
      <c r="H51" s="168">
        <v>0</v>
      </c>
      <c r="I51" s="168">
        <v>4270</v>
      </c>
      <c r="J51" s="168">
        <v>152</v>
      </c>
      <c r="K51" s="168">
        <v>140</v>
      </c>
      <c r="L51" s="170">
        <v>179</v>
      </c>
      <c r="M51" s="169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63">
        <v>16228335</v>
      </c>
      <c r="D52" s="164">
        <v>4594466</v>
      </c>
      <c r="E52" s="165">
        <v>283813</v>
      </c>
      <c r="F52" s="166">
        <v>581645</v>
      </c>
      <c r="G52" s="167">
        <v>230926</v>
      </c>
      <c r="H52" s="168">
        <v>0</v>
      </c>
      <c r="I52" s="168">
        <v>4001</v>
      </c>
      <c r="J52" s="168">
        <v>167</v>
      </c>
      <c r="K52" s="168">
        <v>122</v>
      </c>
      <c r="L52" s="170">
        <v>346</v>
      </c>
      <c r="M52" s="169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63">
        <v>16228335</v>
      </c>
      <c r="D53" s="164">
        <v>4598082</v>
      </c>
      <c r="E53" s="165">
        <v>283934</v>
      </c>
      <c r="F53" s="166">
        <v>581764</v>
      </c>
      <c r="G53" s="167">
        <v>230946</v>
      </c>
      <c r="H53" s="168">
        <v>0</v>
      </c>
      <c r="I53" s="168">
        <v>3616</v>
      </c>
      <c r="J53" s="168">
        <v>121</v>
      </c>
      <c r="K53" s="168">
        <v>119</v>
      </c>
      <c r="L53" s="170">
        <v>20</v>
      </c>
      <c r="M53" s="169">
        <v>3856</v>
      </c>
      <c r="N53" s="187" t="s">
        <v>21</v>
      </c>
      <c r="O53" s="18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63">
        <v>16228335</v>
      </c>
      <c r="D54" s="164">
        <v>4602445</v>
      </c>
      <c r="E54" s="165">
        <v>284071</v>
      </c>
      <c r="F54" s="166">
        <v>581856</v>
      </c>
      <c r="G54" s="167">
        <v>231160</v>
      </c>
      <c r="H54" s="168">
        <v>0</v>
      </c>
      <c r="I54" s="168">
        <v>4363</v>
      </c>
      <c r="J54" s="168">
        <v>137</v>
      </c>
      <c r="K54" s="168">
        <v>92</v>
      </c>
      <c r="L54" s="170">
        <v>214</v>
      </c>
      <c r="M54" s="169">
        <v>4592</v>
      </c>
      <c r="N54" s="188"/>
      <c r="O54" s="188"/>
      <c r="Q54" s="20">
        <f t="shared" si="0"/>
        <v>0</v>
      </c>
    </row>
    <row r="55" spans="2:17" ht="12.95" customHeight="1" thickBot="1" x14ac:dyDescent="0.25">
      <c r="B55" s="22">
        <v>44248</v>
      </c>
      <c r="C55" s="163">
        <v>16228335</v>
      </c>
      <c r="D55" s="164">
        <v>4605943</v>
      </c>
      <c r="E55" s="165">
        <v>284193</v>
      </c>
      <c r="F55" s="166">
        <v>581976</v>
      </c>
      <c r="G55" s="167">
        <v>231357</v>
      </c>
      <c r="H55" s="168">
        <v>0</v>
      </c>
      <c r="I55" s="168">
        <v>3498</v>
      </c>
      <c r="J55" s="168">
        <v>122</v>
      </c>
      <c r="K55" s="168">
        <v>120</v>
      </c>
      <c r="L55" s="170">
        <v>197</v>
      </c>
      <c r="M55" s="169">
        <v>3740</v>
      </c>
      <c r="N55" s="189"/>
      <c r="O55" s="189"/>
      <c r="Q55" s="20">
        <f t="shared" si="0"/>
        <v>0</v>
      </c>
    </row>
    <row r="56" spans="2:17" ht="12.95" customHeight="1" thickBot="1" x14ac:dyDescent="0.25">
      <c r="B56" s="22">
        <v>44249</v>
      </c>
      <c r="C56" s="163">
        <v>16228335</v>
      </c>
      <c r="D56" s="164">
        <v>4609428</v>
      </c>
      <c r="E56" s="165">
        <v>284334</v>
      </c>
      <c r="F56" s="166">
        <v>582122</v>
      </c>
      <c r="G56" s="167">
        <v>231535</v>
      </c>
      <c r="H56" s="168">
        <v>0</v>
      </c>
      <c r="I56" s="168">
        <v>3485</v>
      </c>
      <c r="J56" s="168">
        <v>141</v>
      </c>
      <c r="K56" s="168">
        <v>146</v>
      </c>
      <c r="L56" s="170">
        <v>178</v>
      </c>
      <c r="M56" s="169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63">
        <v>16228335</v>
      </c>
      <c r="D57" s="164">
        <v>4612707</v>
      </c>
      <c r="E57" s="165">
        <v>284487</v>
      </c>
      <c r="F57" s="166">
        <v>582252</v>
      </c>
      <c r="G57" s="167">
        <v>231719</v>
      </c>
      <c r="H57" s="168">
        <v>0</v>
      </c>
      <c r="I57" s="168">
        <v>3279</v>
      </c>
      <c r="J57" s="168">
        <v>153</v>
      </c>
      <c r="K57" s="168">
        <v>130</v>
      </c>
      <c r="L57" s="170">
        <v>184</v>
      </c>
      <c r="M57" s="169">
        <v>3562</v>
      </c>
      <c r="N57" s="187" t="s">
        <v>23</v>
      </c>
      <c r="O57" s="18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63">
        <v>16228335</v>
      </c>
      <c r="D58" s="164">
        <v>4616132</v>
      </c>
      <c r="E58" s="165">
        <v>284654</v>
      </c>
      <c r="F58" s="166">
        <v>582392</v>
      </c>
      <c r="G58" s="167">
        <v>231847</v>
      </c>
      <c r="H58" s="168">
        <v>0</v>
      </c>
      <c r="I58" s="168">
        <v>3425</v>
      </c>
      <c r="J58" s="168">
        <v>167</v>
      </c>
      <c r="K58" s="168">
        <v>140</v>
      </c>
      <c r="L58" s="170">
        <v>128</v>
      </c>
      <c r="M58" s="169">
        <v>3732</v>
      </c>
      <c r="N58" s="189"/>
      <c r="O58" s="189"/>
      <c r="Q58" s="20">
        <f t="shared" si="0"/>
        <v>0</v>
      </c>
    </row>
    <row r="59" spans="2:17" ht="12.95" customHeight="1" thickBot="1" x14ac:dyDescent="0.25">
      <c r="B59" s="22">
        <v>44252</v>
      </c>
      <c r="C59" s="163">
        <v>16228335</v>
      </c>
      <c r="D59" s="164">
        <v>4619459</v>
      </c>
      <c r="E59" s="165">
        <v>284828</v>
      </c>
      <c r="F59" s="166">
        <v>582532</v>
      </c>
      <c r="G59" s="167">
        <v>231981</v>
      </c>
      <c r="H59" s="168">
        <v>0</v>
      </c>
      <c r="I59" s="168">
        <v>3327</v>
      </c>
      <c r="J59" s="168">
        <v>174</v>
      </c>
      <c r="K59" s="168">
        <v>140</v>
      </c>
      <c r="L59" s="170">
        <v>134</v>
      </c>
      <c r="M59" s="169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63">
        <v>16228335</v>
      </c>
      <c r="D60" s="164">
        <v>4622424</v>
      </c>
      <c r="E60" s="165">
        <v>284969</v>
      </c>
      <c r="F60" s="166">
        <v>582673</v>
      </c>
      <c r="G60" s="167">
        <v>232103</v>
      </c>
      <c r="H60" s="168">
        <v>0</v>
      </c>
      <c r="I60" s="168">
        <v>2965</v>
      </c>
      <c r="J60" s="168">
        <v>141</v>
      </c>
      <c r="K60" s="168">
        <v>141</v>
      </c>
      <c r="L60" s="170">
        <v>122</v>
      </c>
      <c r="M60" s="169">
        <v>3247</v>
      </c>
      <c r="N60" s="187" t="s">
        <v>25</v>
      </c>
      <c r="O60" s="18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63">
        <v>16228335</v>
      </c>
      <c r="D61" s="164">
        <v>4625493</v>
      </c>
      <c r="E61" s="165">
        <v>285116</v>
      </c>
      <c r="F61" s="166">
        <v>582816</v>
      </c>
      <c r="G61" s="167">
        <v>232246</v>
      </c>
      <c r="H61" s="168">
        <v>0</v>
      </c>
      <c r="I61" s="168">
        <v>3069</v>
      </c>
      <c r="J61" s="168">
        <v>147</v>
      </c>
      <c r="K61" s="168">
        <v>143</v>
      </c>
      <c r="L61" s="170">
        <v>143</v>
      </c>
      <c r="M61" s="169">
        <v>3359</v>
      </c>
      <c r="N61" s="189"/>
      <c r="O61" s="189"/>
      <c r="Q61" s="20">
        <f t="shared" si="0"/>
        <v>0</v>
      </c>
    </row>
    <row r="62" spans="2:17" ht="12.95" customHeight="1" thickBot="1" x14ac:dyDescent="0.25">
      <c r="B62" s="22">
        <v>44255</v>
      </c>
      <c r="C62" s="171">
        <v>16228335</v>
      </c>
      <c r="D62" s="161">
        <v>4628697</v>
      </c>
      <c r="E62" s="161">
        <v>285269</v>
      </c>
      <c r="F62" s="161">
        <v>582955</v>
      </c>
      <c r="G62" s="161">
        <v>232399</v>
      </c>
      <c r="H62" s="174">
        <v>0</v>
      </c>
      <c r="I62" s="162">
        <v>3204</v>
      </c>
      <c r="J62" s="162">
        <v>153</v>
      </c>
      <c r="K62" s="162">
        <v>139</v>
      </c>
      <c r="L62" s="172">
        <v>153</v>
      </c>
      <c r="M62" s="173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75">
        <v>16228335</v>
      </c>
      <c r="D63" s="176">
        <v>4631793</v>
      </c>
      <c r="E63" s="177">
        <v>285403</v>
      </c>
      <c r="F63" s="178">
        <v>583127</v>
      </c>
      <c r="G63" s="179">
        <v>232529</v>
      </c>
      <c r="H63" s="180">
        <v>0</v>
      </c>
      <c r="I63" s="180">
        <v>3096</v>
      </c>
      <c r="J63" s="180">
        <v>134</v>
      </c>
      <c r="K63" s="180">
        <v>172</v>
      </c>
      <c r="L63" s="182">
        <v>130</v>
      </c>
      <c r="M63" s="181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75">
        <v>16228335</v>
      </c>
      <c r="D64" s="176">
        <v>4635049</v>
      </c>
      <c r="E64" s="177">
        <v>285544</v>
      </c>
      <c r="F64" s="178">
        <v>583278</v>
      </c>
      <c r="G64" s="179">
        <v>232637</v>
      </c>
      <c r="H64" s="180">
        <v>0</v>
      </c>
      <c r="I64" s="180">
        <v>3256</v>
      </c>
      <c r="J64" s="180">
        <v>141</v>
      </c>
      <c r="K64" s="180">
        <v>151</v>
      </c>
      <c r="L64" s="182">
        <v>108</v>
      </c>
      <c r="M64" s="181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75">
        <v>16228335</v>
      </c>
      <c r="D65" s="176">
        <v>4638185</v>
      </c>
      <c r="E65" s="177">
        <v>285697</v>
      </c>
      <c r="F65" s="178">
        <v>583396</v>
      </c>
      <c r="G65" s="179">
        <v>232765</v>
      </c>
      <c r="H65" s="180">
        <v>0</v>
      </c>
      <c r="I65" s="180">
        <v>3136</v>
      </c>
      <c r="J65" s="180">
        <v>153</v>
      </c>
      <c r="K65" s="180">
        <v>118</v>
      </c>
      <c r="L65" s="182">
        <v>128</v>
      </c>
      <c r="M65" s="181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75">
        <v>16228335</v>
      </c>
      <c r="D66" s="176">
        <v>4641040</v>
      </c>
      <c r="E66" s="177">
        <v>285869</v>
      </c>
      <c r="F66" s="178">
        <v>583552</v>
      </c>
      <c r="G66" s="179">
        <v>232905</v>
      </c>
      <c r="H66" s="180">
        <v>0</v>
      </c>
      <c r="I66" s="180">
        <v>2855</v>
      </c>
      <c r="J66" s="180">
        <v>172</v>
      </c>
      <c r="K66" s="180">
        <v>156</v>
      </c>
      <c r="L66" s="182">
        <v>140</v>
      </c>
      <c r="M66" s="181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75">
        <v>16228335</v>
      </c>
      <c r="D67" s="176">
        <v>4643466</v>
      </c>
      <c r="E67" s="177">
        <v>286009</v>
      </c>
      <c r="F67" s="178">
        <v>583725</v>
      </c>
      <c r="G67" s="179">
        <v>233210</v>
      </c>
      <c r="H67" s="180">
        <v>0</v>
      </c>
      <c r="I67" s="180">
        <v>2426</v>
      </c>
      <c r="J67" s="180">
        <v>140</v>
      </c>
      <c r="K67" s="180">
        <v>173</v>
      </c>
      <c r="L67" s="182">
        <v>305</v>
      </c>
      <c r="M67" s="181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75">
        <v>16228335</v>
      </c>
      <c r="D68" s="176">
        <v>4646431</v>
      </c>
      <c r="E68" s="177">
        <v>286146</v>
      </c>
      <c r="F68" s="178">
        <v>583878</v>
      </c>
      <c r="G68" s="179">
        <v>233378</v>
      </c>
      <c r="H68" s="180">
        <v>0</v>
      </c>
      <c r="I68" s="180">
        <v>2965</v>
      </c>
      <c r="J68" s="180">
        <v>137</v>
      </c>
      <c r="K68" s="180">
        <v>153</v>
      </c>
      <c r="L68" s="182">
        <v>168</v>
      </c>
      <c r="M68" s="181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75">
        <v>16228335</v>
      </c>
      <c r="D69" s="176">
        <v>4649860</v>
      </c>
      <c r="E69" s="177">
        <v>286296</v>
      </c>
      <c r="F69" s="178">
        <v>584049</v>
      </c>
      <c r="G69" s="179">
        <v>233533</v>
      </c>
      <c r="H69" s="180">
        <v>0</v>
      </c>
      <c r="I69" s="180">
        <v>3429</v>
      </c>
      <c r="J69" s="180">
        <v>150</v>
      </c>
      <c r="K69" s="180">
        <v>171</v>
      </c>
      <c r="L69" s="182">
        <v>155</v>
      </c>
      <c r="M69" s="181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75">
        <v>16228335</v>
      </c>
      <c r="D70" s="176">
        <v>4653014</v>
      </c>
      <c r="E70" s="177">
        <v>286469</v>
      </c>
      <c r="F70" s="178">
        <v>584204</v>
      </c>
      <c r="G70" s="179">
        <v>233676</v>
      </c>
      <c r="H70" s="180">
        <v>0</v>
      </c>
      <c r="I70" s="180">
        <v>3154</v>
      </c>
      <c r="J70" s="180">
        <v>173</v>
      </c>
      <c r="K70" s="180">
        <v>155</v>
      </c>
      <c r="L70" s="182">
        <v>143</v>
      </c>
      <c r="M70" s="181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75">
        <v>16228335</v>
      </c>
      <c r="D71" s="176">
        <v>4655730</v>
      </c>
      <c r="E71" s="177">
        <v>286643</v>
      </c>
      <c r="F71" s="178">
        <v>584351</v>
      </c>
      <c r="G71" s="179">
        <v>233817</v>
      </c>
      <c r="H71" s="180">
        <v>0</v>
      </c>
      <c r="I71" s="180">
        <v>2716</v>
      </c>
      <c r="J71" s="180">
        <v>174</v>
      </c>
      <c r="K71" s="180">
        <v>147</v>
      </c>
      <c r="L71" s="182">
        <v>141</v>
      </c>
      <c r="M71" s="181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75">
        <v>16228335</v>
      </c>
      <c r="D72" s="176">
        <v>4658474</v>
      </c>
      <c r="E72" s="177">
        <v>286815</v>
      </c>
      <c r="F72" s="178">
        <v>584484</v>
      </c>
      <c r="G72" s="179">
        <v>233964</v>
      </c>
      <c r="H72" s="180">
        <v>0</v>
      </c>
      <c r="I72" s="180">
        <v>2744</v>
      </c>
      <c r="J72" s="180">
        <v>172</v>
      </c>
      <c r="K72" s="180">
        <v>133</v>
      </c>
      <c r="L72" s="182">
        <v>147</v>
      </c>
      <c r="M72" s="181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75">
        <v>16228335</v>
      </c>
      <c r="D73" s="176">
        <v>4661966</v>
      </c>
      <c r="E73" s="177">
        <v>286968</v>
      </c>
      <c r="F73" s="178">
        <v>584641</v>
      </c>
      <c r="G73" s="179">
        <v>234106</v>
      </c>
      <c r="H73" s="180">
        <v>0</v>
      </c>
      <c r="I73" s="180">
        <v>3492</v>
      </c>
      <c r="J73" s="180">
        <v>153</v>
      </c>
      <c r="K73" s="180">
        <v>157</v>
      </c>
      <c r="L73" s="182">
        <v>142</v>
      </c>
      <c r="M73" s="181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75">
        <v>16228335</v>
      </c>
      <c r="D74" s="176">
        <v>4665199</v>
      </c>
      <c r="E74" s="177">
        <v>287151</v>
      </c>
      <c r="F74" s="178">
        <v>584791</v>
      </c>
      <c r="G74" s="179">
        <v>234266</v>
      </c>
      <c r="H74" s="180">
        <v>0</v>
      </c>
      <c r="I74" s="180">
        <v>3233</v>
      </c>
      <c r="J74" s="180">
        <v>183</v>
      </c>
      <c r="K74" s="180">
        <v>150</v>
      </c>
      <c r="L74" s="182">
        <v>160</v>
      </c>
      <c r="M74" s="181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75">
        <v>16228335</v>
      </c>
      <c r="D75" s="176">
        <v>4668028</v>
      </c>
      <c r="E75" s="177">
        <v>287295</v>
      </c>
      <c r="F75" s="178">
        <v>584930</v>
      </c>
      <c r="G75" s="179">
        <v>234401</v>
      </c>
      <c r="H75" s="180">
        <v>0</v>
      </c>
      <c r="I75" s="180">
        <v>2829</v>
      </c>
      <c r="J75" s="180">
        <v>144</v>
      </c>
      <c r="K75" s="180">
        <v>139</v>
      </c>
      <c r="L75" s="182">
        <v>135</v>
      </c>
      <c r="M75" s="181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75">
        <v>16228335</v>
      </c>
      <c r="D76" s="176">
        <v>4670698</v>
      </c>
      <c r="E76" s="177">
        <v>287453</v>
      </c>
      <c r="F76" s="178">
        <v>585086</v>
      </c>
      <c r="G76" s="179">
        <v>234557</v>
      </c>
      <c r="H76" s="180">
        <v>0</v>
      </c>
      <c r="I76" s="180">
        <v>2670</v>
      </c>
      <c r="J76" s="180">
        <v>158</v>
      </c>
      <c r="K76" s="180">
        <v>156</v>
      </c>
      <c r="L76" s="182">
        <v>156</v>
      </c>
      <c r="M76" s="181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75">
        <v>16228335</v>
      </c>
      <c r="D77" s="176">
        <v>4672955</v>
      </c>
      <c r="E77" s="177">
        <v>287611</v>
      </c>
      <c r="F77" s="178">
        <v>585242</v>
      </c>
      <c r="G77" s="179">
        <v>234700</v>
      </c>
      <c r="H77" s="180">
        <v>0</v>
      </c>
      <c r="I77" s="180">
        <v>2257</v>
      </c>
      <c r="J77" s="180">
        <v>158</v>
      </c>
      <c r="K77" s="180">
        <v>156</v>
      </c>
      <c r="L77" s="182">
        <v>143</v>
      </c>
      <c r="M77" s="181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75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75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75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87" t="s">
        <v>21</v>
      </c>
      <c r="O84" s="18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88"/>
      <c r="O85" s="18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89"/>
      <c r="O86" s="18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87" t="s">
        <v>23</v>
      </c>
      <c r="O88" s="18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89"/>
      <c r="O89" s="18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87" t="s">
        <v>25</v>
      </c>
      <c r="O91" s="18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89"/>
      <c r="O92" s="18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87" t="s">
        <v>21</v>
      </c>
      <c r="O114" s="18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88"/>
      <c r="O115" s="18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89"/>
      <c r="O116" s="18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87" t="s">
        <v>23</v>
      </c>
      <c r="O118" s="18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89"/>
      <c r="O119" s="18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87" t="s">
        <v>21</v>
      </c>
      <c r="O145" s="187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88"/>
      <c r="O146" s="188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189"/>
      <c r="O147" s="189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87" t="s">
        <v>23</v>
      </c>
      <c r="O149" s="187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189"/>
      <c r="O150" s="189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87" t="s">
        <v>21</v>
      </c>
      <c r="O175" s="187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88"/>
      <c r="O176" s="188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189"/>
      <c r="O177" s="189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87" t="s">
        <v>23</v>
      </c>
      <c r="O179" s="187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189"/>
      <c r="O180" s="189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85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86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75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87" t="s">
        <v>21</v>
      </c>
      <c r="O206" s="187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88"/>
      <c r="O207" s="188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189"/>
      <c r="O208" s="189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87" t="s">
        <v>23</v>
      </c>
      <c r="O210" s="187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189"/>
      <c r="O211" s="189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87" t="s">
        <v>21</v>
      </c>
      <c r="O237" s="187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88"/>
      <c r="O238" s="188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189"/>
      <c r="O239" s="189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87" t="s">
        <v>23</v>
      </c>
      <c r="O241" s="187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189"/>
      <c r="O242" s="189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87" t="s">
        <v>21</v>
      </c>
      <c r="O267" s="187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88"/>
      <c r="O268" s="188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189"/>
      <c r="O269" s="189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87" t="s">
        <v>23</v>
      </c>
      <c r="O271" s="187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189"/>
      <c r="O272" s="189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87" t="s">
        <v>21</v>
      </c>
      <c r="O298" s="187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88"/>
      <c r="O299" s="188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189"/>
      <c r="O300" s="189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87" t="s">
        <v>23</v>
      </c>
      <c r="O302" s="187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189"/>
      <c r="O303" s="189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>
        <v>16228335</v>
      </c>
      <c r="D322" s="24">
        <v>5007711</v>
      </c>
      <c r="E322" s="25">
        <v>235204</v>
      </c>
      <c r="F322" s="26">
        <v>629994</v>
      </c>
      <c r="G322" s="27">
        <v>285652</v>
      </c>
      <c r="H322" s="28">
        <f t="shared" si="26"/>
        <v>0</v>
      </c>
      <c r="I322" s="28">
        <f t="shared" si="26"/>
        <v>1351</v>
      </c>
      <c r="J322" s="28">
        <f t="shared" si="26"/>
        <v>180</v>
      </c>
      <c r="K322" s="28">
        <f t="shared" si="26"/>
        <v>226</v>
      </c>
      <c r="L322" s="29">
        <f t="shared" si="26"/>
        <v>210</v>
      </c>
      <c r="M322" s="30">
        <f t="shared" si="24"/>
        <v>1757</v>
      </c>
      <c r="Q322" s="20">
        <f t="shared" si="25"/>
        <v>0</v>
      </c>
    </row>
    <row r="323" spans="1:17" ht="12.95" customHeight="1" x14ac:dyDescent="0.2">
      <c r="B323" s="22">
        <v>44516</v>
      </c>
      <c r="C323" s="41">
        <v>16228335</v>
      </c>
      <c r="D323" s="24">
        <v>5009210</v>
      </c>
      <c r="E323" s="25">
        <v>235422</v>
      </c>
      <c r="F323" s="26">
        <v>630174</v>
      </c>
      <c r="G323" s="27">
        <v>285883</v>
      </c>
      <c r="H323" s="28">
        <f t="shared" si="26"/>
        <v>0</v>
      </c>
      <c r="I323" s="28">
        <f t="shared" si="26"/>
        <v>1499</v>
      </c>
      <c r="J323" s="28">
        <f t="shared" si="26"/>
        <v>218</v>
      </c>
      <c r="K323" s="28">
        <f t="shared" si="26"/>
        <v>180</v>
      </c>
      <c r="L323" s="29">
        <f t="shared" si="26"/>
        <v>231</v>
      </c>
      <c r="M323" s="30">
        <f t="shared" si="24"/>
        <v>1897</v>
      </c>
      <c r="Q323" s="20">
        <f t="shared" si="25"/>
        <v>0</v>
      </c>
    </row>
    <row r="324" spans="1:17" ht="12.95" customHeight="1" x14ac:dyDescent="0.2">
      <c r="A324" s="9" t="s">
        <v>30</v>
      </c>
      <c r="B324" s="22">
        <v>44517</v>
      </c>
      <c r="C324" s="41">
        <v>16228335</v>
      </c>
      <c r="D324" s="24">
        <v>5010749</v>
      </c>
      <c r="E324" s="25">
        <v>235639</v>
      </c>
      <c r="F324" s="26">
        <v>630372</v>
      </c>
      <c r="G324" s="27">
        <v>286042</v>
      </c>
      <c r="H324" s="28">
        <f t="shared" si="26"/>
        <v>0</v>
      </c>
      <c r="I324" s="28">
        <f t="shared" si="26"/>
        <v>1539</v>
      </c>
      <c r="J324" s="28">
        <f t="shared" si="26"/>
        <v>217</v>
      </c>
      <c r="K324" s="28">
        <f t="shared" si="26"/>
        <v>198</v>
      </c>
      <c r="L324" s="29">
        <f t="shared" si="26"/>
        <v>159</v>
      </c>
      <c r="M324" s="30">
        <f t="shared" si="24"/>
        <v>1954</v>
      </c>
      <c r="Q324" s="20">
        <f t="shared" si="25"/>
        <v>0</v>
      </c>
    </row>
    <row r="325" spans="1:17" ht="12.95" customHeight="1" x14ac:dyDescent="0.2">
      <c r="B325" s="22">
        <v>44518</v>
      </c>
      <c r="C325" s="41">
        <v>16228335</v>
      </c>
      <c r="D325" s="24">
        <v>5012470</v>
      </c>
      <c r="E325" s="25">
        <v>235848</v>
      </c>
      <c r="F325" s="26">
        <v>630555</v>
      </c>
      <c r="G325" s="27">
        <v>286259</v>
      </c>
      <c r="H325" s="28">
        <f t="shared" si="26"/>
        <v>0</v>
      </c>
      <c r="I325" s="28">
        <f t="shared" si="26"/>
        <v>1721</v>
      </c>
      <c r="J325" s="28">
        <f t="shared" si="26"/>
        <v>209</v>
      </c>
      <c r="K325" s="28">
        <f t="shared" si="26"/>
        <v>183</v>
      </c>
      <c r="L325" s="29">
        <f t="shared" si="26"/>
        <v>217</v>
      </c>
      <c r="M325" s="30">
        <f t="shared" si="24"/>
        <v>2113</v>
      </c>
      <c r="Q325" s="20">
        <f t="shared" si="25"/>
        <v>0</v>
      </c>
    </row>
    <row r="326" spans="1:17" ht="12.95" customHeight="1" x14ac:dyDescent="0.2">
      <c r="B326" s="22">
        <v>44519</v>
      </c>
      <c r="C326" s="41">
        <v>16228335</v>
      </c>
      <c r="D326" s="24">
        <v>5014438</v>
      </c>
      <c r="E326" s="25">
        <v>236045</v>
      </c>
      <c r="F326" s="26">
        <v>630729</v>
      </c>
      <c r="G326" s="27">
        <v>286437</v>
      </c>
      <c r="H326" s="28">
        <f t="shared" si="26"/>
        <v>0</v>
      </c>
      <c r="I326" s="28">
        <f t="shared" si="26"/>
        <v>1968</v>
      </c>
      <c r="J326" s="28">
        <f t="shared" si="26"/>
        <v>197</v>
      </c>
      <c r="K326" s="28">
        <f t="shared" si="26"/>
        <v>174</v>
      </c>
      <c r="L326" s="29">
        <f t="shared" si="26"/>
        <v>178</v>
      </c>
      <c r="M326" s="30">
        <f t="shared" ref="M326:M369" si="27">IF(H326="","",+(H326+I326+J326+K326))</f>
        <v>2339</v>
      </c>
      <c r="Q326" s="20">
        <f t="shared" si="25"/>
        <v>0</v>
      </c>
    </row>
    <row r="327" spans="1:17" ht="12.95" customHeight="1" thickBot="1" x14ac:dyDescent="0.25">
      <c r="B327" s="22">
        <v>44520</v>
      </c>
      <c r="C327" s="41">
        <v>16228335</v>
      </c>
      <c r="D327" s="24">
        <v>5016362</v>
      </c>
      <c r="E327" s="25">
        <v>236264</v>
      </c>
      <c r="F327" s="26">
        <v>630928</v>
      </c>
      <c r="G327" s="27">
        <v>286630</v>
      </c>
      <c r="H327" s="28">
        <f t="shared" si="26"/>
        <v>0</v>
      </c>
      <c r="I327" s="28">
        <f t="shared" si="26"/>
        <v>1924</v>
      </c>
      <c r="J327" s="28">
        <f t="shared" si="26"/>
        <v>219</v>
      </c>
      <c r="K327" s="28">
        <f t="shared" si="26"/>
        <v>199</v>
      </c>
      <c r="L327" s="29">
        <f t="shared" si="26"/>
        <v>193</v>
      </c>
      <c r="M327" s="30">
        <f t="shared" si="27"/>
        <v>2342</v>
      </c>
      <c r="Q327" s="20">
        <f t="shared" si="25"/>
        <v>0</v>
      </c>
    </row>
    <row r="328" spans="1:17" ht="12.95" customHeight="1" x14ac:dyDescent="0.2">
      <c r="B328" s="22">
        <v>44521</v>
      </c>
      <c r="C328" s="41">
        <v>16228335</v>
      </c>
      <c r="D328" s="24">
        <v>5018004</v>
      </c>
      <c r="E328" s="25">
        <v>236415</v>
      </c>
      <c r="F328" s="26">
        <v>631152</v>
      </c>
      <c r="G328" s="27">
        <v>286799</v>
      </c>
      <c r="H328" s="28">
        <f t="shared" si="26"/>
        <v>0</v>
      </c>
      <c r="I328" s="28">
        <f t="shared" si="26"/>
        <v>1642</v>
      </c>
      <c r="J328" s="28">
        <f t="shared" si="26"/>
        <v>151</v>
      </c>
      <c r="K328" s="28">
        <f t="shared" si="26"/>
        <v>224</v>
      </c>
      <c r="L328" s="29">
        <f t="shared" si="26"/>
        <v>169</v>
      </c>
      <c r="M328" s="30">
        <f t="shared" si="27"/>
        <v>2017</v>
      </c>
      <c r="N328" s="187" t="s">
        <v>21</v>
      </c>
      <c r="O328" s="187" t="s">
        <v>22</v>
      </c>
      <c r="Q328" s="20">
        <f t="shared" si="25"/>
        <v>0</v>
      </c>
    </row>
    <row r="329" spans="1:17" ht="12.95" customHeight="1" x14ac:dyDescent="0.2">
      <c r="B329" s="22">
        <v>44522</v>
      </c>
      <c r="C329" s="41">
        <v>16228335</v>
      </c>
      <c r="D329" s="24">
        <v>5019350</v>
      </c>
      <c r="E329" s="25">
        <v>236570</v>
      </c>
      <c r="F329" s="26">
        <v>631367</v>
      </c>
      <c r="G329" s="27">
        <v>286965</v>
      </c>
      <c r="H329" s="28">
        <f t="shared" si="26"/>
        <v>0</v>
      </c>
      <c r="I329" s="28">
        <f t="shared" si="26"/>
        <v>1346</v>
      </c>
      <c r="J329" s="28">
        <f t="shared" si="26"/>
        <v>155</v>
      </c>
      <c r="K329" s="28">
        <f t="shared" si="26"/>
        <v>215</v>
      </c>
      <c r="L329" s="29">
        <f t="shared" si="26"/>
        <v>166</v>
      </c>
      <c r="M329" s="30">
        <f t="shared" si="27"/>
        <v>1716</v>
      </c>
      <c r="N329" s="188"/>
      <c r="O329" s="188"/>
      <c r="Q329" s="20">
        <f t="shared" si="25"/>
        <v>0</v>
      </c>
    </row>
    <row r="330" spans="1:17" ht="12.95" customHeight="1" thickBot="1" x14ac:dyDescent="0.25">
      <c r="B330" s="22">
        <v>44523</v>
      </c>
      <c r="C330" s="41">
        <v>16228335</v>
      </c>
      <c r="D330" s="24">
        <v>5020919</v>
      </c>
      <c r="E330" s="25">
        <v>236726</v>
      </c>
      <c r="F330" s="26">
        <v>631565</v>
      </c>
      <c r="G330" s="27">
        <v>287136</v>
      </c>
      <c r="H330" s="28">
        <f t="shared" si="26"/>
        <v>0</v>
      </c>
      <c r="I330" s="28">
        <f t="shared" si="26"/>
        <v>1569</v>
      </c>
      <c r="J330" s="28">
        <f t="shared" si="26"/>
        <v>156</v>
      </c>
      <c r="K330" s="28">
        <f t="shared" si="26"/>
        <v>198</v>
      </c>
      <c r="L330" s="29">
        <f t="shared" si="26"/>
        <v>171</v>
      </c>
      <c r="M330" s="30">
        <f t="shared" si="27"/>
        <v>1923</v>
      </c>
      <c r="N330" s="189"/>
      <c r="O330" s="189"/>
      <c r="Q330" s="20">
        <f t="shared" si="25"/>
        <v>0</v>
      </c>
    </row>
    <row r="331" spans="1:17" ht="12.95" customHeight="1" thickBot="1" x14ac:dyDescent="0.25">
      <c r="B331" s="22">
        <v>44524</v>
      </c>
      <c r="C331" s="41">
        <v>16228335</v>
      </c>
      <c r="D331" s="24">
        <v>5022778</v>
      </c>
      <c r="E331" s="25">
        <v>236927</v>
      </c>
      <c r="F331" s="26">
        <v>631753</v>
      </c>
      <c r="G331" s="27">
        <v>287422</v>
      </c>
      <c r="H331" s="28">
        <f t="shared" si="26"/>
        <v>0</v>
      </c>
      <c r="I331" s="28">
        <f t="shared" si="26"/>
        <v>1859</v>
      </c>
      <c r="J331" s="28">
        <f t="shared" si="26"/>
        <v>201</v>
      </c>
      <c r="K331" s="28">
        <f t="shared" si="26"/>
        <v>188</v>
      </c>
      <c r="L331" s="29">
        <f t="shared" si="26"/>
        <v>286</v>
      </c>
      <c r="M331" s="30">
        <f t="shared" si="27"/>
        <v>2248</v>
      </c>
      <c r="N331" s="32">
        <f>SUM(L309:L338)</f>
        <v>5673</v>
      </c>
      <c r="O331" s="32">
        <f>SUM(M309:M338)</f>
        <v>56908</v>
      </c>
      <c r="Q331" s="20">
        <f t="shared" si="25"/>
        <v>0</v>
      </c>
    </row>
    <row r="332" spans="1:17" ht="12.95" customHeight="1" x14ac:dyDescent="0.2">
      <c r="B332" s="22">
        <v>44525</v>
      </c>
      <c r="C332" s="41">
        <v>16228335</v>
      </c>
      <c r="D332" s="24">
        <v>5024644</v>
      </c>
      <c r="E332" s="25">
        <v>237121</v>
      </c>
      <c r="F332" s="26">
        <v>631946</v>
      </c>
      <c r="G332" s="27">
        <v>287581</v>
      </c>
      <c r="H332" s="28">
        <f t="shared" si="26"/>
        <v>0</v>
      </c>
      <c r="I332" s="28">
        <f t="shared" si="26"/>
        <v>1866</v>
      </c>
      <c r="J332" s="28">
        <f t="shared" si="26"/>
        <v>194</v>
      </c>
      <c r="K332" s="28">
        <f t="shared" si="26"/>
        <v>193</v>
      </c>
      <c r="L332" s="29">
        <f t="shared" si="26"/>
        <v>159</v>
      </c>
      <c r="M332" s="30">
        <f t="shared" si="27"/>
        <v>2253</v>
      </c>
      <c r="N332" s="187" t="s">
        <v>23</v>
      </c>
      <c r="O332" s="187" t="s">
        <v>24</v>
      </c>
      <c r="Q332" s="20">
        <f t="shared" si="25"/>
        <v>0</v>
      </c>
    </row>
    <row r="333" spans="1:17" ht="12.95" customHeight="1" thickBot="1" x14ac:dyDescent="0.25">
      <c r="B333" s="22">
        <v>44526</v>
      </c>
      <c r="C333" s="41">
        <v>16228335</v>
      </c>
      <c r="D333" s="24">
        <v>5026118</v>
      </c>
      <c r="E333" s="25">
        <v>237301</v>
      </c>
      <c r="F333" s="26">
        <v>632141</v>
      </c>
      <c r="G333" s="27">
        <v>287762</v>
      </c>
      <c r="H333" s="28">
        <f t="shared" si="26"/>
        <v>0</v>
      </c>
      <c r="I333" s="28">
        <f t="shared" si="26"/>
        <v>1474</v>
      </c>
      <c r="J333" s="28">
        <f t="shared" si="26"/>
        <v>180</v>
      </c>
      <c r="K333" s="28">
        <f t="shared" si="26"/>
        <v>195</v>
      </c>
      <c r="L333" s="29">
        <f t="shared" si="26"/>
        <v>181</v>
      </c>
      <c r="M333" s="30">
        <f t="shared" si="27"/>
        <v>1849</v>
      </c>
      <c r="N333" s="189"/>
      <c r="O333" s="189"/>
      <c r="Q333" s="20">
        <f t="shared" si="25"/>
        <v>0</v>
      </c>
    </row>
    <row r="334" spans="1:17" ht="12.95" customHeight="1" thickBot="1" x14ac:dyDescent="0.25">
      <c r="B334" s="22">
        <v>44527</v>
      </c>
      <c r="C334" s="41">
        <v>16228335</v>
      </c>
      <c r="D334" s="24">
        <v>5027374</v>
      </c>
      <c r="E334" s="25">
        <v>237440</v>
      </c>
      <c r="F334" s="26">
        <v>632378</v>
      </c>
      <c r="G334" s="27">
        <v>287981</v>
      </c>
      <c r="H334" s="28">
        <f t="shared" si="26"/>
        <v>0</v>
      </c>
      <c r="I334" s="28">
        <f t="shared" si="26"/>
        <v>1256</v>
      </c>
      <c r="J334" s="28">
        <f t="shared" si="26"/>
        <v>139</v>
      </c>
      <c r="K334" s="28">
        <f t="shared" si="26"/>
        <v>237</v>
      </c>
      <c r="L334" s="29">
        <f t="shared" si="26"/>
        <v>219</v>
      </c>
      <c r="M334" s="30">
        <f t="shared" si="27"/>
        <v>1632</v>
      </c>
      <c r="N334" s="32">
        <f>AVERAGE(L309:L338)</f>
        <v>189.1</v>
      </c>
      <c r="O334" s="32">
        <f>AVERAGE(M309:M338)</f>
        <v>1896.9333333333334</v>
      </c>
      <c r="Q334" s="20">
        <f t="shared" si="25"/>
        <v>0</v>
      </c>
    </row>
    <row r="335" spans="1:17" ht="12.95" customHeight="1" x14ac:dyDescent="0.2">
      <c r="B335" s="22">
        <v>44528</v>
      </c>
      <c r="C335" s="41">
        <v>16228335</v>
      </c>
      <c r="D335" s="24">
        <v>5028519</v>
      </c>
      <c r="E335" s="25">
        <v>237609</v>
      </c>
      <c r="F335" s="26">
        <v>632590</v>
      </c>
      <c r="G335" s="27">
        <v>288165</v>
      </c>
      <c r="H335" s="28">
        <f t="shared" si="26"/>
        <v>0</v>
      </c>
      <c r="I335" s="28">
        <f t="shared" si="26"/>
        <v>1145</v>
      </c>
      <c r="J335" s="28">
        <f t="shared" si="26"/>
        <v>169</v>
      </c>
      <c r="K335" s="28">
        <f t="shared" si="26"/>
        <v>212</v>
      </c>
      <c r="L335" s="29">
        <f t="shared" si="26"/>
        <v>184</v>
      </c>
      <c r="M335" s="30">
        <f t="shared" si="27"/>
        <v>1526</v>
      </c>
      <c r="O335" s="20">
        <f>IF(L335="",1,0)</f>
        <v>0</v>
      </c>
    </row>
    <row r="336" spans="1:17" ht="12.95" customHeight="1" x14ac:dyDescent="0.2">
      <c r="B336" s="22">
        <v>44529</v>
      </c>
      <c r="C336" s="41">
        <v>16228335</v>
      </c>
      <c r="D336" s="24">
        <v>5029676</v>
      </c>
      <c r="E336" s="25">
        <v>237773</v>
      </c>
      <c r="F336" s="26">
        <v>632819</v>
      </c>
      <c r="G336" s="27">
        <v>288310</v>
      </c>
      <c r="H336" s="28">
        <f t="shared" si="26"/>
        <v>0</v>
      </c>
      <c r="I336" s="28">
        <f t="shared" si="26"/>
        <v>1157</v>
      </c>
      <c r="J336" s="28">
        <f>IF(E336="","",+(E336-E335))</f>
        <v>164</v>
      </c>
      <c r="K336" s="28">
        <f t="shared" si="26"/>
        <v>229</v>
      </c>
      <c r="L336" s="29">
        <f t="shared" si="26"/>
        <v>145</v>
      </c>
      <c r="M336" s="30">
        <f t="shared" si="27"/>
        <v>1550</v>
      </c>
      <c r="O336" s="20">
        <f>IF(L336="",1,0)</f>
        <v>0</v>
      </c>
    </row>
    <row r="337" spans="2:17" ht="12.95" customHeight="1" x14ac:dyDescent="0.2">
      <c r="B337" s="22">
        <v>44530</v>
      </c>
      <c r="C337" s="41">
        <v>16228335</v>
      </c>
      <c r="D337" s="24">
        <v>5031550</v>
      </c>
      <c r="E337" s="25">
        <v>237912</v>
      </c>
      <c r="F337" s="26">
        <v>632998</v>
      </c>
      <c r="G337" s="27">
        <v>288488</v>
      </c>
      <c r="H337" s="28">
        <f t="shared" si="26"/>
        <v>0</v>
      </c>
      <c r="I337" s="28">
        <f t="shared" si="26"/>
        <v>1874</v>
      </c>
      <c r="J337" s="28">
        <f>IF(E337="","",+(E337-E336))</f>
        <v>139</v>
      </c>
      <c r="K337" s="28">
        <f t="shared" si="26"/>
        <v>179</v>
      </c>
      <c r="L337" s="29">
        <f>IF(G337="","",+(G337-G336))</f>
        <v>178</v>
      </c>
      <c r="M337" s="30">
        <f t="shared" si="27"/>
        <v>2192</v>
      </c>
      <c r="O337" s="20">
        <f>IF(L337="",1,0)</f>
        <v>0</v>
      </c>
    </row>
    <row r="338" spans="2:17" ht="12.95" customHeight="1" x14ac:dyDescent="0.2">
      <c r="B338" s="22">
        <v>44531</v>
      </c>
      <c r="C338" s="41">
        <v>16228335</v>
      </c>
      <c r="D338" s="34">
        <v>5033393</v>
      </c>
      <c r="E338" s="34">
        <v>238107</v>
      </c>
      <c r="F338" s="34">
        <v>633177</v>
      </c>
      <c r="G338" s="34">
        <v>288677</v>
      </c>
      <c r="H338" s="35">
        <f t="shared" si="26"/>
        <v>0</v>
      </c>
      <c r="I338" s="39">
        <f t="shared" si="26"/>
        <v>1843</v>
      </c>
      <c r="J338" s="35">
        <f t="shared" si="26"/>
        <v>195</v>
      </c>
      <c r="K338" s="35">
        <f t="shared" si="26"/>
        <v>179</v>
      </c>
      <c r="L338" s="36">
        <f t="shared" si="26"/>
        <v>189</v>
      </c>
      <c r="M338" s="35">
        <f t="shared" si="27"/>
        <v>2217</v>
      </c>
      <c r="Q338" s="20">
        <f t="shared" si="25"/>
        <v>0</v>
      </c>
    </row>
    <row r="339" spans="2:17" ht="12.95" customHeight="1" x14ac:dyDescent="0.2">
      <c r="B339" s="22">
        <v>44532</v>
      </c>
      <c r="C339" s="41">
        <v>16228335</v>
      </c>
      <c r="D339" s="24">
        <v>5034906</v>
      </c>
      <c r="E339" s="25">
        <v>238333</v>
      </c>
      <c r="F339" s="26">
        <v>633345</v>
      </c>
      <c r="G339" s="27">
        <v>288843</v>
      </c>
      <c r="H339" s="28">
        <f t="shared" si="26"/>
        <v>0</v>
      </c>
      <c r="I339" s="28">
        <f t="shared" si="26"/>
        <v>1513</v>
      </c>
      <c r="J339" s="28">
        <f t="shared" si="26"/>
        <v>226</v>
      </c>
      <c r="K339" s="28">
        <f t="shared" si="26"/>
        <v>168</v>
      </c>
      <c r="L339" s="29">
        <f t="shared" si="26"/>
        <v>166</v>
      </c>
      <c r="M339" s="30">
        <f t="shared" si="27"/>
        <v>1907</v>
      </c>
      <c r="Q339" s="20">
        <f t="shared" si="25"/>
        <v>0</v>
      </c>
    </row>
    <row r="340" spans="2:17" ht="12.95" customHeight="1" x14ac:dyDescent="0.2">
      <c r="B340" s="22">
        <v>44533</v>
      </c>
      <c r="C340" s="41">
        <v>16228335</v>
      </c>
      <c r="D340" s="24">
        <v>5036298</v>
      </c>
      <c r="E340" s="25">
        <v>238541</v>
      </c>
      <c r="F340" s="26">
        <v>633522</v>
      </c>
      <c r="G340" s="27">
        <v>289011</v>
      </c>
      <c r="H340" s="28">
        <f t="shared" si="26"/>
        <v>0</v>
      </c>
      <c r="I340" s="28">
        <f t="shared" si="26"/>
        <v>1392</v>
      </c>
      <c r="J340" s="28">
        <f t="shared" si="26"/>
        <v>208</v>
      </c>
      <c r="K340" s="28">
        <f t="shared" si="26"/>
        <v>177</v>
      </c>
      <c r="L340" s="29">
        <f t="shared" si="26"/>
        <v>168</v>
      </c>
      <c r="M340" s="30">
        <f t="shared" si="27"/>
        <v>1777</v>
      </c>
      <c r="Q340" s="20">
        <f t="shared" si="25"/>
        <v>0</v>
      </c>
    </row>
    <row r="341" spans="2:17" ht="12.95" customHeight="1" x14ac:dyDescent="0.2">
      <c r="B341" s="22">
        <v>44534</v>
      </c>
      <c r="C341" s="41">
        <v>16228335</v>
      </c>
      <c r="D341" s="24">
        <v>5038011</v>
      </c>
      <c r="E341" s="25">
        <v>238711</v>
      </c>
      <c r="F341" s="26">
        <v>633709</v>
      </c>
      <c r="G341" s="27">
        <v>289174</v>
      </c>
      <c r="H341" s="28">
        <f t="shared" si="26"/>
        <v>0</v>
      </c>
      <c r="I341" s="28">
        <f t="shared" si="26"/>
        <v>1713</v>
      </c>
      <c r="J341" s="28">
        <f t="shared" si="26"/>
        <v>170</v>
      </c>
      <c r="K341" s="28">
        <f t="shared" si="26"/>
        <v>187</v>
      </c>
      <c r="L341" s="29">
        <f t="shared" si="26"/>
        <v>163</v>
      </c>
      <c r="M341" s="30">
        <f t="shared" si="27"/>
        <v>2070</v>
      </c>
      <c r="Q341" s="20">
        <f t="shared" si="25"/>
        <v>0</v>
      </c>
    </row>
    <row r="342" spans="2:17" ht="12.95" customHeight="1" x14ac:dyDescent="0.2">
      <c r="B342" s="22">
        <v>44535</v>
      </c>
      <c r="C342" s="41">
        <v>16228335</v>
      </c>
      <c r="D342" s="24">
        <v>5039691</v>
      </c>
      <c r="E342" s="25">
        <v>238912</v>
      </c>
      <c r="F342" s="26">
        <v>633888</v>
      </c>
      <c r="G342" s="27">
        <v>289352</v>
      </c>
      <c r="H342" s="28">
        <f t="shared" si="26"/>
        <v>0</v>
      </c>
      <c r="I342" s="28">
        <f t="shared" si="26"/>
        <v>1680</v>
      </c>
      <c r="J342" s="28">
        <f t="shared" si="26"/>
        <v>201</v>
      </c>
      <c r="K342" s="28">
        <f t="shared" si="26"/>
        <v>179</v>
      </c>
      <c r="L342" s="29">
        <f t="shared" si="26"/>
        <v>178</v>
      </c>
      <c r="M342" s="30">
        <f t="shared" si="27"/>
        <v>2060</v>
      </c>
      <c r="Q342" s="20">
        <f t="shared" si="25"/>
        <v>0</v>
      </c>
    </row>
    <row r="343" spans="2:17" ht="12.95" customHeight="1" x14ac:dyDescent="0.2">
      <c r="B343" s="22">
        <v>44536</v>
      </c>
      <c r="C343" s="41">
        <v>16228335</v>
      </c>
      <c r="D343" s="24">
        <v>5041198</v>
      </c>
      <c r="E343" s="25">
        <v>239111</v>
      </c>
      <c r="F343" s="26">
        <v>634076</v>
      </c>
      <c r="G343" s="27">
        <v>289548</v>
      </c>
      <c r="H343" s="28">
        <f t="shared" si="26"/>
        <v>0</v>
      </c>
      <c r="I343" s="28">
        <f t="shared" si="26"/>
        <v>1507</v>
      </c>
      <c r="J343" s="28">
        <f t="shared" si="26"/>
        <v>199</v>
      </c>
      <c r="K343" s="28">
        <f t="shared" si="26"/>
        <v>188</v>
      </c>
      <c r="L343" s="29">
        <f t="shared" si="26"/>
        <v>196</v>
      </c>
      <c r="M343" s="30">
        <f t="shared" si="27"/>
        <v>1894</v>
      </c>
      <c r="Q343" s="20">
        <f t="shared" si="25"/>
        <v>0</v>
      </c>
    </row>
    <row r="344" spans="2:17" ht="12.95" customHeight="1" x14ac:dyDescent="0.2">
      <c r="B344" s="22">
        <v>44537</v>
      </c>
      <c r="C344" s="41">
        <v>16228335</v>
      </c>
      <c r="D344" s="24">
        <v>5042744</v>
      </c>
      <c r="E344" s="25">
        <v>239299</v>
      </c>
      <c r="F344" s="26">
        <v>634254</v>
      </c>
      <c r="G344" s="27">
        <v>289705</v>
      </c>
      <c r="H344" s="28">
        <f t="shared" si="26"/>
        <v>0</v>
      </c>
      <c r="I344" s="28">
        <f t="shared" si="26"/>
        <v>1546</v>
      </c>
      <c r="J344" s="28">
        <f t="shared" ref="J344:J347" si="28">IF(E344="","",+(E344-E343))</f>
        <v>188</v>
      </c>
      <c r="K344" s="28">
        <f t="shared" si="26"/>
        <v>178</v>
      </c>
      <c r="L344" s="29">
        <f t="shared" si="26"/>
        <v>157</v>
      </c>
      <c r="M344" s="30">
        <f t="shared" si="27"/>
        <v>1912</v>
      </c>
      <c r="Q344" s="20">
        <f t="shared" ref="Q344:Q369" si="29">IF(L344="",1,0)</f>
        <v>0</v>
      </c>
    </row>
    <row r="345" spans="2:17" ht="12.95" customHeight="1" x14ac:dyDescent="0.2">
      <c r="B345" s="22">
        <v>44538</v>
      </c>
      <c r="C345" s="41">
        <v>16228335</v>
      </c>
      <c r="D345" s="24">
        <v>5044951</v>
      </c>
      <c r="E345" s="25">
        <v>239535</v>
      </c>
      <c r="F345" s="26">
        <v>634439</v>
      </c>
      <c r="G345" s="27">
        <v>289870</v>
      </c>
      <c r="H345" s="28">
        <f t="shared" si="26"/>
        <v>0</v>
      </c>
      <c r="I345" s="28">
        <f t="shared" si="26"/>
        <v>2207</v>
      </c>
      <c r="J345" s="28">
        <f t="shared" si="28"/>
        <v>236</v>
      </c>
      <c r="K345" s="28">
        <f t="shared" si="26"/>
        <v>185</v>
      </c>
      <c r="L345" s="29">
        <f t="shared" si="26"/>
        <v>165</v>
      </c>
      <c r="M345" s="30">
        <f t="shared" si="27"/>
        <v>2628</v>
      </c>
      <c r="Q345" s="20">
        <f t="shared" si="29"/>
        <v>0</v>
      </c>
    </row>
    <row r="346" spans="2:17" ht="12.95" customHeight="1" x14ac:dyDescent="0.2">
      <c r="B346" s="22">
        <v>44539</v>
      </c>
      <c r="C346" s="41">
        <v>16228335</v>
      </c>
      <c r="D346" s="24">
        <v>5046625</v>
      </c>
      <c r="E346" s="25">
        <v>239738</v>
      </c>
      <c r="F346" s="26">
        <v>634619</v>
      </c>
      <c r="G346" s="27">
        <v>290052</v>
      </c>
      <c r="H346" s="28">
        <f t="shared" si="26"/>
        <v>0</v>
      </c>
      <c r="I346" s="28">
        <f t="shared" si="26"/>
        <v>1674</v>
      </c>
      <c r="J346" s="28">
        <f t="shared" si="28"/>
        <v>203</v>
      </c>
      <c r="K346" s="28">
        <f t="shared" si="26"/>
        <v>180</v>
      </c>
      <c r="L346" s="29">
        <f t="shared" si="26"/>
        <v>182</v>
      </c>
      <c r="M346" s="30">
        <f t="shared" si="27"/>
        <v>2057</v>
      </c>
      <c r="Q346" s="20">
        <f t="shared" si="29"/>
        <v>0</v>
      </c>
    </row>
    <row r="347" spans="2:17" ht="12.95" customHeight="1" x14ac:dyDescent="0.2">
      <c r="B347" s="22">
        <v>44540</v>
      </c>
      <c r="C347" s="41">
        <v>16228335</v>
      </c>
      <c r="D347" s="24">
        <v>5048240</v>
      </c>
      <c r="E347" s="25">
        <v>239966</v>
      </c>
      <c r="F347" s="26">
        <v>634818</v>
      </c>
      <c r="G347" s="27">
        <v>290221</v>
      </c>
      <c r="H347" s="28">
        <f t="shared" si="26"/>
        <v>0</v>
      </c>
      <c r="I347" s="28">
        <f t="shared" si="26"/>
        <v>1615</v>
      </c>
      <c r="J347" s="28">
        <f t="shared" si="28"/>
        <v>228</v>
      </c>
      <c r="K347" s="28">
        <f t="shared" si="26"/>
        <v>199</v>
      </c>
      <c r="L347" s="29">
        <f t="shared" si="26"/>
        <v>169</v>
      </c>
      <c r="M347" s="30">
        <f t="shared" si="27"/>
        <v>2042</v>
      </c>
      <c r="Q347" s="20">
        <f t="shared" si="29"/>
        <v>0</v>
      </c>
    </row>
    <row r="348" spans="2:17" ht="12.95" customHeight="1" x14ac:dyDescent="0.2">
      <c r="B348" s="22">
        <v>44541</v>
      </c>
      <c r="C348" s="41">
        <v>16228335</v>
      </c>
      <c r="D348" s="24">
        <v>5049628</v>
      </c>
      <c r="E348" s="25">
        <v>240143</v>
      </c>
      <c r="F348" s="26">
        <v>635069</v>
      </c>
      <c r="G348" s="27">
        <v>290400</v>
      </c>
      <c r="H348" s="28">
        <f t="shared" si="26"/>
        <v>0</v>
      </c>
      <c r="I348" s="28">
        <f t="shared" si="26"/>
        <v>1388</v>
      </c>
      <c r="J348" s="28">
        <f t="shared" si="26"/>
        <v>177</v>
      </c>
      <c r="K348" s="28">
        <f t="shared" si="26"/>
        <v>251</v>
      </c>
      <c r="L348" s="29">
        <f t="shared" si="26"/>
        <v>179</v>
      </c>
      <c r="M348" s="30">
        <f t="shared" si="27"/>
        <v>1816</v>
      </c>
      <c r="Q348" s="20">
        <f t="shared" si="29"/>
        <v>0</v>
      </c>
    </row>
    <row r="349" spans="2:17" ht="12.95" customHeight="1" x14ac:dyDescent="0.2">
      <c r="B349" s="22">
        <v>44542</v>
      </c>
      <c r="C349" s="41">
        <v>16228335</v>
      </c>
      <c r="D349" s="24">
        <v>5051291</v>
      </c>
      <c r="E349" s="25">
        <v>240285</v>
      </c>
      <c r="F349" s="26">
        <v>635274</v>
      </c>
      <c r="G349" s="27">
        <v>290565</v>
      </c>
      <c r="H349" s="28">
        <f t="shared" si="26"/>
        <v>0</v>
      </c>
      <c r="I349" s="28">
        <f t="shared" si="26"/>
        <v>1663</v>
      </c>
      <c r="J349" s="28">
        <f t="shared" si="26"/>
        <v>142</v>
      </c>
      <c r="K349" s="28">
        <f t="shared" si="26"/>
        <v>205</v>
      </c>
      <c r="L349" s="29">
        <f t="shared" si="26"/>
        <v>165</v>
      </c>
      <c r="M349" s="30">
        <f t="shared" si="27"/>
        <v>2010</v>
      </c>
      <c r="Q349" s="20">
        <f t="shared" si="29"/>
        <v>0</v>
      </c>
    </row>
    <row r="350" spans="2:17" ht="12.95" customHeight="1" x14ac:dyDescent="0.2">
      <c r="B350" s="22">
        <v>44543</v>
      </c>
      <c r="C350" s="41">
        <v>16228335</v>
      </c>
      <c r="D350" s="24">
        <v>5053237</v>
      </c>
      <c r="E350" s="25">
        <v>240475</v>
      </c>
      <c r="F350" s="26">
        <v>635439</v>
      </c>
      <c r="G350" s="27">
        <v>290720</v>
      </c>
      <c r="H350" s="28">
        <f t="shared" si="26"/>
        <v>0</v>
      </c>
      <c r="I350" s="28">
        <f t="shared" si="26"/>
        <v>1946</v>
      </c>
      <c r="J350" s="28">
        <f t="shared" si="26"/>
        <v>190</v>
      </c>
      <c r="K350" s="28">
        <f t="shared" si="26"/>
        <v>165</v>
      </c>
      <c r="L350" s="29">
        <f t="shared" si="26"/>
        <v>155</v>
      </c>
      <c r="M350" s="30">
        <f t="shared" si="27"/>
        <v>2301</v>
      </c>
      <c r="Q350" s="20">
        <f t="shared" si="29"/>
        <v>0</v>
      </c>
    </row>
    <row r="351" spans="2:17" ht="12.95" customHeight="1" x14ac:dyDescent="0.2">
      <c r="B351" s="22">
        <v>44544</v>
      </c>
      <c r="C351" s="41">
        <v>16228335</v>
      </c>
      <c r="D351" s="24">
        <v>5055422</v>
      </c>
      <c r="E351" s="25">
        <v>240666</v>
      </c>
      <c r="F351" s="26">
        <v>635606</v>
      </c>
      <c r="G351" s="27">
        <v>290889</v>
      </c>
      <c r="H351" s="28">
        <f t="shared" si="26"/>
        <v>0</v>
      </c>
      <c r="I351" s="28">
        <f t="shared" si="26"/>
        <v>2185</v>
      </c>
      <c r="J351" s="28">
        <f t="shared" si="26"/>
        <v>191</v>
      </c>
      <c r="K351" s="28">
        <f t="shared" si="26"/>
        <v>167</v>
      </c>
      <c r="L351" s="29">
        <f t="shared" si="26"/>
        <v>169</v>
      </c>
      <c r="M351" s="30">
        <f t="shared" si="27"/>
        <v>2543</v>
      </c>
      <c r="Q351" s="20">
        <f t="shared" si="29"/>
        <v>0</v>
      </c>
    </row>
    <row r="352" spans="2:17" ht="12.95" customHeight="1" x14ac:dyDescent="0.2">
      <c r="B352" s="22">
        <v>44545</v>
      </c>
      <c r="C352" s="41">
        <v>16228335</v>
      </c>
      <c r="D352" s="24">
        <v>5058277</v>
      </c>
      <c r="E352" s="25">
        <v>240907</v>
      </c>
      <c r="F352" s="26">
        <v>635782</v>
      </c>
      <c r="G352" s="27">
        <v>291049</v>
      </c>
      <c r="H352" s="28">
        <f t="shared" si="26"/>
        <v>0</v>
      </c>
      <c r="I352" s="28">
        <f t="shared" si="26"/>
        <v>2855</v>
      </c>
      <c r="J352" s="28">
        <f t="shared" si="26"/>
        <v>241</v>
      </c>
      <c r="K352" s="28">
        <f t="shared" si="26"/>
        <v>176</v>
      </c>
      <c r="L352" s="29">
        <f t="shared" si="26"/>
        <v>160</v>
      </c>
      <c r="M352" s="30">
        <f t="shared" si="27"/>
        <v>3272</v>
      </c>
      <c r="Q352" s="20">
        <f t="shared" si="29"/>
        <v>0</v>
      </c>
    </row>
    <row r="353" spans="2:17" ht="12.95" customHeight="1" x14ac:dyDescent="0.2">
      <c r="B353" s="22">
        <v>44546</v>
      </c>
      <c r="C353" s="41">
        <v>16228335</v>
      </c>
      <c r="D353" s="24">
        <v>5061091</v>
      </c>
      <c r="E353" s="25">
        <v>241132</v>
      </c>
      <c r="F353" s="26">
        <v>635967</v>
      </c>
      <c r="G353" s="27">
        <v>291232</v>
      </c>
      <c r="H353" s="28">
        <f t="shared" si="26"/>
        <v>0</v>
      </c>
      <c r="I353" s="28">
        <f t="shared" si="26"/>
        <v>2814</v>
      </c>
      <c r="J353" s="28">
        <f t="shared" si="26"/>
        <v>225</v>
      </c>
      <c r="K353" s="28">
        <f>IF(F353="","",+(F353-F352))</f>
        <v>185</v>
      </c>
      <c r="L353" s="29">
        <f t="shared" si="26"/>
        <v>183</v>
      </c>
      <c r="M353" s="30">
        <f t="shared" si="27"/>
        <v>3224</v>
      </c>
      <c r="Q353" s="20">
        <f t="shared" si="29"/>
        <v>0</v>
      </c>
    </row>
    <row r="354" spans="2:17" ht="12.95" customHeight="1" x14ac:dyDescent="0.2">
      <c r="B354" s="22">
        <v>44547</v>
      </c>
      <c r="C354" s="41">
        <v>16228335</v>
      </c>
      <c r="D354" s="24">
        <v>5063979</v>
      </c>
      <c r="E354" s="25">
        <v>241324</v>
      </c>
      <c r="F354" s="26">
        <v>636151</v>
      </c>
      <c r="G354" s="27">
        <v>291395</v>
      </c>
      <c r="H354" s="28">
        <f t="shared" si="26"/>
        <v>0</v>
      </c>
      <c r="I354" s="28">
        <f t="shared" si="26"/>
        <v>2888</v>
      </c>
      <c r="J354" s="28">
        <f t="shared" si="26"/>
        <v>192</v>
      </c>
      <c r="K354" s="28">
        <f t="shared" si="26"/>
        <v>184</v>
      </c>
      <c r="L354" s="29">
        <f t="shared" si="26"/>
        <v>163</v>
      </c>
      <c r="M354" s="30">
        <f t="shared" si="27"/>
        <v>3264</v>
      </c>
      <c r="Q354" s="20">
        <f t="shared" si="29"/>
        <v>0</v>
      </c>
    </row>
    <row r="355" spans="2:17" ht="12.95" customHeight="1" x14ac:dyDescent="0.2">
      <c r="B355" s="22">
        <v>44548</v>
      </c>
      <c r="C355" s="41">
        <v>16228335</v>
      </c>
      <c r="D355" s="24">
        <v>5066626</v>
      </c>
      <c r="E355" s="25">
        <v>241451</v>
      </c>
      <c r="F355" s="26">
        <v>636350</v>
      </c>
      <c r="G355" s="27">
        <v>291568</v>
      </c>
      <c r="H355" s="28">
        <f t="shared" si="26"/>
        <v>0</v>
      </c>
      <c r="I355" s="28">
        <f t="shared" si="26"/>
        <v>2647</v>
      </c>
      <c r="J355" s="28">
        <f t="shared" si="26"/>
        <v>127</v>
      </c>
      <c r="K355" s="28">
        <f t="shared" si="26"/>
        <v>199</v>
      </c>
      <c r="L355" s="29">
        <f t="shared" si="26"/>
        <v>173</v>
      </c>
      <c r="M355" s="30">
        <f t="shared" si="27"/>
        <v>2973</v>
      </c>
      <c r="Q355" s="20">
        <f t="shared" si="29"/>
        <v>0</v>
      </c>
    </row>
    <row r="356" spans="2:17" ht="12.95" customHeight="1" x14ac:dyDescent="0.2">
      <c r="B356" s="22">
        <v>44549</v>
      </c>
      <c r="C356" s="41">
        <v>16228335</v>
      </c>
      <c r="D356" s="24">
        <v>5069280</v>
      </c>
      <c r="E356" s="25">
        <v>241602</v>
      </c>
      <c r="F356" s="26">
        <v>636555</v>
      </c>
      <c r="G356" s="27">
        <v>291764</v>
      </c>
      <c r="H356" s="28">
        <f t="shared" si="26"/>
        <v>0</v>
      </c>
      <c r="I356" s="28">
        <f t="shared" si="26"/>
        <v>2654</v>
      </c>
      <c r="J356" s="28">
        <f t="shared" si="26"/>
        <v>151</v>
      </c>
      <c r="K356" s="28">
        <f t="shared" si="26"/>
        <v>205</v>
      </c>
      <c r="L356" s="29">
        <f t="shared" si="26"/>
        <v>196</v>
      </c>
      <c r="M356" s="30">
        <f t="shared" si="27"/>
        <v>3010</v>
      </c>
      <c r="Q356" s="20">
        <f t="shared" si="29"/>
        <v>0</v>
      </c>
    </row>
    <row r="357" spans="2:17" ht="12.95" customHeight="1" x14ac:dyDescent="0.2">
      <c r="B357" s="22">
        <v>44550</v>
      </c>
      <c r="C357" s="41">
        <v>16228335</v>
      </c>
      <c r="D357" s="24">
        <v>5072117</v>
      </c>
      <c r="E357" s="25">
        <v>241794</v>
      </c>
      <c r="F357" s="26">
        <v>636754</v>
      </c>
      <c r="G357" s="27">
        <v>291979</v>
      </c>
      <c r="H357" s="28">
        <f t="shared" si="26"/>
        <v>0</v>
      </c>
      <c r="I357" s="28">
        <f t="shared" si="26"/>
        <v>2837</v>
      </c>
      <c r="J357" s="28">
        <f t="shared" si="26"/>
        <v>192</v>
      </c>
      <c r="K357" s="28">
        <f t="shared" si="26"/>
        <v>199</v>
      </c>
      <c r="L357" s="29">
        <f t="shared" si="26"/>
        <v>215</v>
      </c>
      <c r="M357" s="30">
        <f t="shared" si="27"/>
        <v>3228</v>
      </c>
      <c r="Q357" s="20">
        <f t="shared" si="29"/>
        <v>0</v>
      </c>
    </row>
    <row r="358" spans="2:17" ht="12.95" customHeight="1" thickBot="1" x14ac:dyDescent="0.25">
      <c r="B358" s="22">
        <v>44551</v>
      </c>
      <c r="C358" s="41">
        <v>16228335</v>
      </c>
      <c r="D358" s="24">
        <v>5075308</v>
      </c>
      <c r="E358" s="25">
        <v>241941</v>
      </c>
      <c r="F358" s="26">
        <v>636961</v>
      </c>
      <c r="G358" s="27">
        <v>292176</v>
      </c>
      <c r="H358" s="28">
        <f t="shared" si="26"/>
        <v>0</v>
      </c>
      <c r="I358" s="28">
        <f t="shared" si="26"/>
        <v>3191</v>
      </c>
      <c r="J358" s="28">
        <f t="shared" si="26"/>
        <v>147</v>
      </c>
      <c r="K358" s="28">
        <f t="shared" si="26"/>
        <v>207</v>
      </c>
      <c r="L358" s="29">
        <f t="shared" si="26"/>
        <v>197</v>
      </c>
      <c r="M358" s="30">
        <f t="shared" si="27"/>
        <v>3545</v>
      </c>
      <c r="Q358" s="20">
        <f t="shared" si="29"/>
        <v>0</v>
      </c>
    </row>
    <row r="359" spans="2:17" ht="12.95" customHeight="1" x14ac:dyDescent="0.2">
      <c r="B359" s="22">
        <v>44552</v>
      </c>
      <c r="C359" s="41">
        <v>16228335</v>
      </c>
      <c r="D359" s="24">
        <v>5078487</v>
      </c>
      <c r="E359" s="25">
        <v>242090</v>
      </c>
      <c r="F359" s="26">
        <v>637153</v>
      </c>
      <c r="G359" s="27">
        <v>292345</v>
      </c>
      <c r="H359" s="28">
        <f t="shared" si="26"/>
        <v>0</v>
      </c>
      <c r="I359" s="28">
        <f t="shared" si="26"/>
        <v>3179</v>
      </c>
      <c r="J359" s="28">
        <f t="shared" si="26"/>
        <v>149</v>
      </c>
      <c r="K359" s="28">
        <f t="shared" si="26"/>
        <v>192</v>
      </c>
      <c r="L359" s="29">
        <f t="shared" si="26"/>
        <v>169</v>
      </c>
      <c r="M359" s="30">
        <f t="shared" si="27"/>
        <v>3520</v>
      </c>
      <c r="N359" s="187" t="s">
        <v>21</v>
      </c>
      <c r="O359" s="187" t="s">
        <v>22</v>
      </c>
      <c r="Q359" s="20">
        <f t="shared" si="29"/>
        <v>0</v>
      </c>
    </row>
    <row r="360" spans="2:17" ht="12.95" customHeight="1" x14ac:dyDescent="0.2">
      <c r="B360" s="22">
        <v>44553</v>
      </c>
      <c r="C360" s="41">
        <v>16228335</v>
      </c>
      <c r="D360" s="24">
        <v>5081780</v>
      </c>
      <c r="E360" s="25">
        <v>242289</v>
      </c>
      <c r="F360" s="26">
        <v>637337</v>
      </c>
      <c r="G360" s="27">
        <v>292525</v>
      </c>
      <c r="H360" s="28">
        <f t="shared" si="26"/>
        <v>0</v>
      </c>
      <c r="I360" s="28">
        <f t="shared" si="26"/>
        <v>3293</v>
      </c>
      <c r="J360" s="28">
        <f t="shared" si="26"/>
        <v>199</v>
      </c>
      <c r="K360" s="28">
        <f t="shared" si="26"/>
        <v>184</v>
      </c>
      <c r="L360" s="29">
        <f t="shared" si="26"/>
        <v>180</v>
      </c>
      <c r="M360" s="30">
        <f t="shared" si="27"/>
        <v>3676</v>
      </c>
      <c r="N360" s="188"/>
      <c r="O360" s="188"/>
      <c r="Q360" s="20">
        <f t="shared" si="29"/>
        <v>0</v>
      </c>
    </row>
    <row r="361" spans="2:17" ht="12.95" customHeight="1" thickBot="1" x14ac:dyDescent="0.25">
      <c r="B361" s="22">
        <v>44554</v>
      </c>
      <c r="C361" s="41">
        <v>16228335</v>
      </c>
      <c r="D361" s="24">
        <v>5084617</v>
      </c>
      <c r="E361" s="25">
        <v>242469</v>
      </c>
      <c r="F361" s="26">
        <v>637533</v>
      </c>
      <c r="G361" s="27">
        <v>292707</v>
      </c>
      <c r="H361" s="28">
        <f t="shared" si="26"/>
        <v>0</v>
      </c>
      <c r="I361" s="28">
        <f t="shared" si="26"/>
        <v>2837</v>
      </c>
      <c r="J361" s="28">
        <f t="shared" si="26"/>
        <v>180</v>
      </c>
      <c r="K361" s="28">
        <f t="shared" si="26"/>
        <v>196</v>
      </c>
      <c r="L361" s="29">
        <f t="shared" si="26"/>
        <v>182</v>
      </c>
      <c r="M361" s="30">
        <f t="shared" si="27"/>
        <v>3213</v>
      </c>
      <c r="N361" s="189"/>
      <c r="O361" s="189"/>
      <c r="Q361" s="20">
        <f t="shared" si="29"/>
        <v>0</v>
      </c>
    </row>
    <row r="362" spans="2:17" ht="12.95" customHeight="1" thickBot="1" x14ac:dyDescent="0.25">
      <c r="B362" s="22">
        <v>44555</v>
      </c>
      <c r="C362" s="41">
        <v>16228335</v>
      </c>
      <c r="D362" s="24">
        <v>5087062</v>
      </c>
      <c r="E362" s="25">
        <v>242652</v>
      </c>
      <c r="F362" s="26">
        <v>637729</v>
      </c>
      <c r="G362" s="27">
        <v>292891</v>
      </c>
      <c r="H362" s="28">
        <f t="shared" si="26"/>
        <v>0</v>
      </c>
      <c r="I362" s="28">
        <f t="shared" si="26"/>
        <v>2445</v>
      </c>
      <c r="J362" s="28">
        <f t="shared" si="26"/>
        <v>183</v>
      </c>
      <c r="K362" s="28">
        <f t="shared" si="26"/>
        <v>196</v>
      </c>
      <c r="L362" s="29">
        <f t="shared" si="26"/>
        <v>184</v>
      </c>
      <c r="M362" s="30">
        <f t="shared" si="27"/>
        <v>2824</v>
      </c>
      <c r="N362" s="32">
        <f>SUM(L339:L369)</f>
        <v>5505</v>
      </c>
      <c r="O362" s="32">
        <f>SUM(M339:M369)</f>
        <v>80284</v>
      </c>
      <c r="Q362" s="20">
        <f t="shared" si="29"/>
        <v>0</v>
      </c>
    </row>
    <row r="363" spans="2:17" ht="12.95" customHeight="1" x14ac:dyDescent="0.2">
      <c r="B363" s="22">
        <v>44556</v>
      </c>
      <c r="C363" s="41">
        <v>16228335</v>
      </c>
      <c r="D363" s="24">
        <v>5089145</v>
      </c>
      <c r="E363" s="25">
        <v>242861</v>
      </c>
      <c r="F363" s="26">
        <v>637932</v>
      </c>
      <c r="G363" s="27">
        <v>293084</v>
      </c>
      <c r="H363" s="28">
        <f t="shared" si="26"/>
        <v>0</v>
      </c>
      <c r="I363" s="28">
        <f t="shared" si="26"/>
        <v>2083</v>
      </c>
      <c r="J363" s="28">
        <f t="shared" si="26"/>
        <v>209</v>
      </c>
      <c r="K363" s="28">
        <f t="shared" si="26"/>
        <v>203</v>
      </c>
      <c r="L363" s="29">
        <f t="shared" si="26"/>
        <v>193</v>
      </c>
      <c r="M363" s="30">
        <f t="shared" si="27"/>
        <v>2495</v>
      </c>
      <c r="N363" s="187" t="s">
        <v>23</v>
      </c>
      <c r="O363" s="187" t="s">
        <v>24</v>
      </c>
      <c r="Q363" s="20">
        <f t="shared" si="29"/>
        <v>0</v>
      </c>
    </row>
    <row r="364" spans="2:17" ht="12.95" customHeight="1" thickBot="1" x14ac:dyDescent="0.25">
      <c r="B364" s="22">
        <v>44557</v>
      </c>
      <c r="C364" s="41">
        <v>16228335</v>
      </c>
      <c r="D364" s="24">
        <v>5090992</v>
      </c>
      <c r="E364" s="25">
        <v>242995</v>
      </c>
      <c r="F364" s="26">
        <v>638145</v>
      </c>
      <c r="G364" s="27">
        <v>293254</v>
      </c>
      <c r="H364" s="28">
        <f t="shared" si="26"/>
        <v>0</v>
      </c>
      <c r="I364" s="28">
        <f t="shared" si="26"/>
        <v>1847</v>
      </c>
      <c r="J364" s="28">
        <f t="shared" si="26"/>
        <v>134</v>
      </c>
      <c r="K364" s="28">
        <f t="shared" si="26"/>
        <v>213</v>
      </c>
      <c r="L364" s="29">
        <f t="shared" si="26"/>
        <v>170</v>
      </c>
      <c r="M364" s="30">
        <f t="shared" si="27"/>
        <v>2194</v>
      </c>
      <c r="N364" s="189"/>
      <c r="O364" s="189"/>
      <c r="Q364" s="20">
        <f t="shared" si="29"/>
        <v>0</v>
      </c>
    </row>
    <row r="365" spans="2:17" ht="12.95" customHeight="1" thickBot="1" x14ac:dyDescent="0.25">
      <c r="B365" s="22">
        <v>44558</v>
      </c>
      <c r="C365" s="41">
        <v>16228335</v>
      </c>
      <c r="D365" s="24">
        <v>5092921</v>
      </c>
      <c r="E365" s="25">
        <v>243191</v>
      </c>
      <c r="F365" s="26">
        <v>638350</v>
      </c>
      <c r="G365" s="27">
        <v>293432</v>
      </c>
      <c r="H365" s="28">
        <f t="shared" si="26"/>
        <v>0</v>
      </c>
      <c r="I365" s="28">
        <f t="shared" si="26"/>
        <v>1929</v>
      </c>
      <c r="J365" s="28">
        <f t="shared" si="26"/>
        <v>196</v>
      </c>
      <c r="K365" s="28">
        <f t="shared" si="26"/>
        <v>205</v>
      </c>
      <c r="L365" s="29">
        <f t="shared" si="26"/>
        <v>178</v>
      </c>
      <c r="M365" s="30">
        <f t="shared" si="27"/>
        <v>2330</v>
      </c>
      <c r="N365" s="32">
        <f>AVERAGE(L339:L369)</f>
        <v>177.58064516129033</v>
      </c>
      <c r="O365" s="32">
        <f>AVERAGE(M339:M369)</f>
        <v>2589.8064516129034</v>
      </c>
      <c r="Q365" s="20">
        <f t="shared" si="29"/>
        <v>0</v>
      </c>
    </row>
    <row r="366" spans="2:17" ht="12.95" customHeight="1" x14ac:dyDescent="0.2">
      <c r="B366" s="22">
        <v>44559</v>
      </c>
      <c r="C366" s="41">
        <v>16228335</v>
      </c>
      <c r="D366" s="24">
        <v>5094857</v>
      </c>
      <c r="E366" s="25">
        <v>243401</v>
      </c>
      <c r="F366" s="26">
        <v>638562</v>
      </c>
      <c r="G366" s="27">
        <v>293627</v>
      </c>
      <c r="H366" s="28">
        <f t="shared" si="26"/>
        <v>0</v>
      </c>
      <c r="I366" s="28">
        <f t="shared" si="26"/>
        <v>1936</v>
      </c>
      <c r="J366" s="28">
        <f t="shared" si="26"/>
        <v>210</v>
      </c>
      <c r="K366" s="28">
        <f t="shared" si="26"/>
        <v>212</v>
      </c>
      <c r="L366" s="29">
        <f t="shared" si="26"/>
        <v>195</v>
      </c>
      <c r="M366" s="30">
        <f t="shared" si="27"/>
        <v>2358</v>
      </c>
      <c r="O366" s="20">
        <f>IF(L366="",1,0)</f>
        <v>0</v>
      </c>
    </row>
    <row r="367" spans="2:17" ht="12.95" customHeight="1" x14ac:dyDescent="0.2">
      <c r="B367" s="22">
        <v>44560</v>
      </c>
      <c r="C367" s="41">
        <v>16228335</v>
      </c>
      <c r="D367" s="24">
        <v>5096892</v>
      </c>
      <c r="E367" s="25">
        <v>243610</v>
      </c>
      <c r="F367" s="26">
        <v>638750</v>
      </c>
      <c r="G367" s="27">
        <v>293802</v>
      </c>
      <c r="H367" s="28">
        <f t="shared" si="26"/>
        <v>0</v>
      </c>
      <c r="I367" s="28">
        <f t="shared" si="26"/>
        <v>2035</v>
      </c>
      <c r="J367" s="28">
        <f t="shared" si="26"/>
        <v>209</v>
      </c>
      <c r="K367" s="28">
        <f t="shared" si="26"/>
        <v>188</v>
      </c>
      <c r="L367" s="29">
        <f t="shared" si="26"/>
        <v>175</v>
      </c>
      <c r="M367" s="30">
        <f t="shared" si="27"/>
        <v>2432</v>
      </c>
      <c r="O367" s="20">
        <f>IF(L367="",1,0)</f>
        <v>0</v>
      </c>
    </row>
    <row r="368" spans="2:17" ht="12.95" customHeight="1" x14ac:dyDescent="0.2">
      <c r="B368" s="22">
        <v>44561</v>
      </c>
      <c r="C368" s="41">
        <v>16228335</v>
      </c>
      <c r="D368" s="24">
        <v>5099652</v>
      </c>
      <c r="E368" s="25">
        <v>243800</v>
      </c>
      <c r="F368" s="26">
        <v>638972</v>
      </c>
      <c r="G368" s="27">
        <v>293998</v>
      </c>
      <c r="H368" s="28">
        <f t="shared" ref="H368:L369" si="30">IF(C368="","",+(C368-C367))</f>
        <v>0</v>
      </c>
      <c r="I368" s="28">
        <f t="shared" si="30"/>
        <v>2760</v>
      </c>
      <c r="J368" s="28">
        <f t="shared" si="30"/>
        <v>190</v>
      </c>
      <c r="K368" s="28">
        <f t="shared" si="30"/>
        <v>222</v>
      </c>
      <c r="L368" s="29">
        <f t="shared" si="30"/>
        <v>196</v>
      </c>
      <c r="M368" s="30">
        <f t="shared" si="27"/>
        <v>3172</v>
      </c>
      <c r="O368" s="20">
        <f>IF(L368="",1,0)</f>
        <v>0</v>
      </c>
    </row>
    <row r="369" spans="2:17" ht="12.95" customHeight="1" x14ac:dyDescent="0.2">
      <c r="B369" s="22">
        <v>44562</v>
      </c>
      <c r="C369" s="41">
        <v>16228335</v>
      </c>
      <c r="D369" s="24">
        <v>5101985</v>
      </c>
      <c r="E369" s="25">
        <v>244004</v>
      </c>
      <c r="F369" s="26">
        <v>638972</v>
      </c>
      <c r="G369" s="27">
        <v>294182</v>
      </c>
      <c r="H369" s="28">
        <f t="shared" ref="H369:H432" si="31">IF(C369="","",+(C369-C368))</f>
        <v>0</v>
      </c>
      <c r="I369" s="28">
        <f t="shared" ref="I369:I432" si="32">IF(D369="","",+(D369-D368))</f>
        <v>2333</v>
      </c>
      <c r="J369" s="28">
        <f t="shared" ref="J369:J432" si="33">IF(E369="","",+(E369-E368))</f>
        <v>204</v>
      </c>
      <c r="K369" s="28">
        <f t="shared" ref="K369:K432" si="34">IF(F369="","",+(F369-F368))</f>
        <v>0</v>
      </c>
      <c r="L369" s="29">
        <f t="shared" ref="L369:L432" si="35">IF(G369="","",+(G369-G368))</f>
        <v>184</v>
      </c>
      <c r="M369" s="30">
        <f t="shared" ref="M369:M432" si="36">IF(H369="","",+(H369+I369+J369+K369))</f>
        <v>2537</v>
      </c>
      <c r="Q369" s="20">
        <f t="shared" si="29"/>
        <v>0</v>
      </c>
    </row>
    <row r="370" spans="2:17" x14ac:dyDescent="0.25">
      <c r="B370" s="22">
        <v>44563</v>
      </c>
      <c r="C370" s="41">
        <v>16228335</v>
      </c>
      <c r="D370" s="24">
        <v>5104352</v>
      </c>
      <c r="E370" s="25">
        <v>244192</v>
      </c>
      <c r="F370" s="26">
        <v>639424</v>
      </c>
      <c r="G370" s="27">
        <v>294384</v>
      </c>
      <c r="H370" s="28">
        <f t="shared" si="31"/>
        <v>0</v>
      </c>
      <c r="I370" s="28">
        <f t="shared" si="32"/>
        <v>2367</v>
      </c>
      <c r="J370" s="28">
        <f t="shared" si="33"/>
        <v>188</v>
      </c>
      <c r="K370" s="28">
        <f t="shared" si="34"/>
        <v>452</v>
      </c>
      <c r="L370" s="29">
        <f t="shared" si="35"/>
        <v>202</v>
      </c>
      <c r="M370" s="30">
        <f t="shared" si="36"/>
        <v>3007</v>
      </c>
    </row>
    <row r="371" spans="2:17" x14ac:dyDescent="0.25">
      <c r="B371" s="22">
        <v>44564</v>
      </c>
      <c r="C371" s="41"/>
      <c r="D371" s="24"/>
      <c r="E371" s="25"/>
      <c r="F371" s="26"/>
      <c r="G371" s="27"/>
      <c r="H371" s="28" t="str">
        <f t="shared" si="31"/>
        <v/>
      </c>
      <c r="I371" s="28" t="str">
        <f t="shared" si="32"/>
        <v/>
      </c>
      <c r="J371" s="28" t="str">
        <f t="shared" si="33"/>
        <v/>
      </c>
      <c r="K371" s="28" t="str">
        <f t="shared" si="34"/>
        <v/>
      </c>
      <c r="L371" s="29" t="str">
        <f t="shared" si="35"/>
        <v/>
      </c>
      <c r="M371" s="30" t="str">
        <f t="shared" si="36"/>
        <v/>
      </c>
    </row>
    <row r="372" spans="2:17" x14ac:dyDescent="0.25">
      <c r="B372" s="22">
        <v>44565</v>
      </c>
      <c r="C372" s="41"/>
      <c r="D372" s="24"/>
      <c r="E372" s="25"/>
      <c r="F372" s="26"/>
      <c r="G372" s="27"/>
      <c r="H372" s="28" t="str">
        <f t="shared" si="31"/>
        <v/>
      </c>
      <c r="I372" s="28" t="str">
        <f t="shared" si="32"/>
        <v/>
      </c>
      <c r="J372" s="28" t="str">
        <f t="shared" si="33"/>
        <v/>
      </c>
      <c r="K372" s="28" t="str">
        <f t="shared" si="34"/>
        <v/>
      </c>
      <c r="L372" s="29" t="str">
        <f t="shared" si="35"/>
        <v/>
      </c>
      <c r="M372" s="30" t="str">
        <f t="shared" si="36"/>
        <v/>
      </c>
    </row>
    <row r="373" spans="2:17" x14ac:dyDescent="0.25">
      <c r="B373" s="22">
        <v>44566</v>
      </c>
      <c r="C373" s="41"/>
      <c r="D373" s="24"/>
      <c r="E373" s="25"/>
      <c r="F373" s="26"/>
      <c r="G373" s="27"/>
      <c r="H373" s="28" t="str">
        <f t="shared" si="31"/>
        <v/>
      </c>
      <c r="I373" s="28" t="str">
        <f t="shared" si="32"/>
        <v/>
      </c>
      <c r="J373" s="28" t="str">
        <f t="shared" si="33"/>
        <v/>
      </c>
      <c r="K373" s="28" t="str">
        <f t="shared" si="34"/>
        <v/>
      </c>
      <c r="L373" s="29" t="str">
        <f t="shared" si="35"/>
        <v/>
      </c>
      <c r="M373" s="30" t="str">
        <f t="shared" si="36"/>
        <v/>
      </c>
    </row>
    <row r="374" spans="2:17" x14ac:dyDescent="0.25">
      <c r="B374" s="22">
        <v>44567</v>
      </c>
      <c r="C374" s="41"/>
      <c r="D374" s="24"/>
      <c r="E374" s="25"/>
      <c r="F374" s="26"/>
      <c r="G374" s="27"/>
      <c r="H374" s="28" t="str">
        <f t="shared" si="31"/>
        <v/>
      </c>
      <c r="I374" s="28" t="str">
        <f t="shared" si="32"/>
        <v/>
      </c>
      <c r="J374" s="28" t="str">
        <f t="shared" si="33"/>
        <v/>
      </c>
      <c r="K374" s="28" t="str">
        <f t="shared" si="34"/>
        <v/>
      </c>
      <c r="L374" s="29" t="str">
        <f t="shared" si="35"/>
        <v/>
      </c>
      <c r="M374" s="30" t="str">
        <f t="shared" si="36"/>
        <v/>
      </c>
    </row>
    <row r="375" spans="2:17" x14ac:dyDescent="0.25">
      <c r="B375" s="22">
        <v>44568</v>
      </c>
      <c r="C375" s="41"/>
      <c r="D375" s="24"/>
      <c r="E375" s="25"/>
      <c r="F375" s="26"/>
      <c r="G375" s="27"/>
      <c r="H375" s="28" t="str">
        <f t="shared" si="31"/>
        <v/>
      </c>
      <c r="I375" s="28" t="str">
        <f t="shared" si="32"/>
        <v/>
      </c>
      <c r="J375" s="28" t="str">
        <f t="shared" si="33"/>
        <v/>
      </c>
      <c r="K375" s="28" t="str">
        <f t="shared" si="34"/>
        <v/>
      </c>
      <c r="L375" s="29" t="str">
        <f t="shared" si="35"/>
        <v/>
      </c>
      <c r="M375" s="30" t="str">
        <f t="shared" si="36"/>
        <v/>
      </c>
    </row>
    <row r="376" spans="2:17" x14ac:dyDescent="0.25">
      <c r="B376" s="22">
        <v>44569</v>
      </c>
      <c r="C376" s="41"/>
      <c r="D376" s="24"/>
      <c r="E376" s="25"/>
      <c r="F376" s="26"/>
      <c r="G376" s="27"/>
      <c r="H376" s="28" t="str">
        <f t="shared" si="31"/>
        <v/>
      </c>
      <c r="I376" s="28" t="str">
        <f t="shared" si="32"/>
        <v/>
      </c>
      <c r="J376" s="28" t="str">
        <f t="shared" si="33"/>
        <v/>
      </c>
      <c r="K376" s="28" t="str">
        <f t="shared" si="34"/>
        <v/>
      </c>
      <c r="L376" s="29" t="str">
        <f t="shared" si="35"/>
        <v/>
      </c>
      <c r="M376" s="30" t="str">
        <f t="shared" si="36"/>
        <v/>
      </c>
    </row>
    <row r="377" spans="2:17" x14ac:dyDescent="0.25">
      <c r="B377" s="22">
        <v>44570</v>
      </c>
      <c r="C377" s="41"/>
      <c r="D377" s="24"/>
      <c r="E377" s="25"/>
      <c r="F377" s="26"/>
      <c r="G377" s="27"/>
      <c r="H377" s="28" t="str">
        <f t="shared" si="31"/>
        <v/>
      </c>
      <c r="I377" s="28" t="str">
        <f t="shared" si="32"/>
        <v/>
      </c>
      <c r="J377" s="28" t="str">
        <f t="shared" si="33"/>
        <v/>
      </c>
      <c r="K377" s="28" t="str">
        <f t="shared" si="34"/>
        <v/>
      </c>
      <c r="L377" s="29" t="str">
        <f t="shared" si="35"/>
        <v/>
      </c>
      <c r="M377" s="30" t="str">
        <f t="shared" si="36"/>
        <v/>
      </c>
    </row>
    <row r="378" spans="2:17" x14ac:dyDescent="0.25">
      <c r="B378" s="22">
        <v>44571</v>
      </c>
      <c r="C378" s="41"/>
      <c r="D378" s="24"/>
      <c r="E378" s="25"/>
      <c r="F378" s="26"/>
      <c r="G378" s="27"/>
      <c r="H378" s="28" t="str">
        <f t="shared" si="31"/>
        <v/>
      </c>
      <c r="I378" s="28" t="str">
        <f t="shared" si="32"/>
        <v/>
      </c>
      <c r="J378" s="28" t="str">
        <f t="shared" si="33"/>
        <v/>
      </c>
      <c r="K378" s="28" t="str">
        <f t="shared" si="34"/>
        <v/>
      </c>
      <c r="L378" s="29" t="str">
        <f t="shared" si="35"/>
        <v/>
      </c>
      <c r="M378" s="30" t="str">
        <f t="shared" si="36"/>
        <v/>
      </c>
    </row>
    <row r="379" spans="2:17" x14ac:dyDescent="0.25">
      <c r="B379" s="22">
        <v>44572</v>
      </c>
      <c r="C379" s="41"/>
      <c r="D379" s="24"/>
      <c r="E379" s="25"/>
      <c r="F379" s="26"/>
      <c r="G379" s="27"/>
      <c r="H379" s="28" t="str">
        <f t="shared" si="31"/>
        <v/>
      </c>
      <c r="I379" s="28" t="str">
        <f t="shared" si="32"/>
        <v/>
      </c>
      <c r="J379" s="28" t="str">
        <f t="shared" si="33"/>
        <v/>
      </c>
      <c r="K379" s="28" t="str">
        <f t="shared" si="34"/>
        <v/>
      </c>
      <c r="L379" s="29" t="str">
        <f t="shared" si="35"/>
        <v/>
      </c>
      <c r="M379" s="30" t="str">
        <f t="shared" si="36"/>
        <v/>
      </c>
    </row>
    <row r="380" spans="2:17" x14ac:dyDescent="0.25">
      <c r="B380" s="22">
        <v>44573</v>
      </c>
      <c r="C380" s="41"/>
      <c r="D380" s="24"/>
      <c r="E380" s="25"/>
      <c r="F380" s="26"/>
      <c r="G380" s="27"/>
      <c r="H380" s="28" t="str">
        <f t="shared" si="31"/>
        <v/>
      </c>
      <c r="I380" s="28" t="str">
        <f t="shared" si="32"/>
        <v/>
      </c>
      <c r="J380" s="28" t="str">
        <f t="shared" si="33"/>
        <v/>
      </c>
      <c r="K380" s="28" t="str">
        <f t="shared" si="34"/>
        <v/>
      </c>
      <c r="L380" s="29" t="str">
        <f t="shared" si="35"/>
        <v/>
      </c>
      <c r="M380" s="30" t="str">
        <f t="shared" si="36"/>
        <v/>
      </c>
    </row>
    <row r="381" spans="2:17" x14ac:dyDescent="0.25">
      <c r="B381" s="22">
        <v>44574</v>
      </c>
      <c r="C381" s="41"/>
      <c r="D381" s="24"/>
      <c r="E381" s="25"/>
      <c r="F381" s="26"/>
      <c r="G381" s="27"/>
      <c r="H381" s="28" t="str">
        <f t="shared" si="31"/>
        <v/>
      </c>
      <c r="I381" s="28" t="str">
        <f t="shared" si="32"/>
        <v/>
      </c>
      <c r="J381" s="28" t="str">
        <f t="shared" si="33"/>
        <v/>
      </c>
      <c r="K381" s="28" t="str">
        <f t="shared" si="34"/>
        <v/>
      </c>
      <c r="L381" s="29" t="str">
        <f t="shared" si="35"/>
        <v/>
      </c>
      <c r="M381" s="30" t="str">
        <f t="shared" si="36"/>
        <v/>
      </c>
    </row>
    <row r="382" spans="2:17" x14ac:dyDescent="0.25">
      <c r="B382" s="22">
        <v>44575</v>
      </c>
      <c r="C382" s="41"/>
      <c r="D382" s="24"/>
      <c r="E382" s="25"/>
      <c r="F382" s="26"/>
      <c r="G382" s="27"/>
      <c r="H382" s="28" t="str">
        <f t="shared" si="31"/>
        <v/>
      </c>
      <c r="I382" s="28" t="str">
        <f t="shared" si="32"/>
        <v/>
      </c>
      <c r="J382" s="28" t="str">
        <f t="shared" si="33"/>
        <v/>
      </c>
      <c r="K382" s="28" t="str">
        <f t="shared" si="34"/>
        <v/>
      </c>
      <c r="L382" s="29" t="str">
        <f t="shared" si="35"/>
        <v/>
      </c>
      <c r="M382" s="30" t="str">
        <f t="shared" si="36"/>
        <v/>
      </c>
    </row>
    <row r="383" spans="2:17" x14ac:dyDescent="0.25">
      <c r="B383" s="22">
        <v>44576</v>
      </c>
      <c r="C383" s="41"/>
      <c r="D383" s="24"/>
      <c r="E383" s="25"/>
      <c r="F383" s="26"/>
      <c r="G383" s="27"/>
      <c r="H383" s="28" t="str">
        <f t="shared" si="31"/>
        <v/>
      </c>
      <c r="I383" s="28" t="str">
        <f t="shared" si="32"/>
        <v/>
      </c>
      <c r="J383" s="28" t="str">
        <f t="shared" si="33"/>
        <v/>
      </c>
      <c r="K383" s="28" t="str">
        <f t="shared" si="34"/>
        <v/>
      </c>
      <c r="L383" s="29" t="str">
        <f t="shared" si="35"/>
        <v/>
      </c>
      <c r="M383" s="30" t="str">
        <f t="shared" si="36"/>
        <v/>
      </c>
    </row>
    <row r="384" spans="2:17" x14ac:dyDescent="0.25">
      <c r="B384" s="22">
        <v>44577</v>
      </c>
      <c r="C384" s="41"/>
      <c r="D384" s="24"/>
      <c r="E384" s="25"/>
      <c r="F384" s="26"/>
      <c r="G384" s="27"/>
      <c r="H384" s="28" t="str">
        <f t="shared" si="31"/>
        <v/>
      </c>
      <c r="I384" s="28" t="str">
        <f t="shared" si="32"/>
        <v/>
      </c>
      <c r="J384" s="28" t="str">
        <f t="shared" si="33"/>
        <v/>
      </c>
      <c r="K384" s="28" t="str">
        <f t="shared" si="34"/>
        <v/>
      </c>
      <c r="L384" s="29" t="str">
        <f t="shared" si="35"/>
        <v/>
      </c>
      <c r="M384" s="30" t="str">
        <f t="shared" si="36"/>
        <v/>
      </c>
    </row>
    <row r="385" spans="2:15" x14ac:dyDescent="0.25">
      <c r="B385" s="22">
        <v>44578</v>
      </c>
      <c r="C385" s="41"/>
      <c r="D385" s="24"/>
      <c r="E385" s="25"/>
      <c r="F385" s="26"/>
      <c r="G385" s="27"/>
      <c r="H385" s="28" t="str">
        <f t="shared" si="31"/>
        <v/>
      </c>
      <c r="I385" s="28" t="str">
        <f t="shared" si="32"/>
        <v/>
      </c>
      <c r="J385" s="28" t="str">
        <f t="shared" si="33"/>
        <v/>
      </c>
      <c r="K385" s="28" t="str">
        <f t="shared" si="34"/>
        <v/>
      </c>
      <c r="L385" s="29" t="str">
        <f t="shared" si="35"/>
        <v/>
      </c>
      <c r="M385" s="30" t="str">
        <f t="shared" si="36"/>
        <v/>
      </c>
    </row>
    <row r="386" spans="2:15" x14ac:dyDescent="0.25">
      <c r="B386" s="22">
        <v>44579</v>
      </c>
      <c r="C386" s="41"/>
      <c r="D386" s="24"/>
      <c r="E386" s="25"/>
      <c r="F386" s="26"/>
      <c r="G386" s="27"/>
      <c r="H386" s="28" t="str">
        <f t="shared" si="31"/>
        <v/>
      </c>
      <c r="I386" s="28" t="str">
        <f t="shared" si="32"/>
        <v/>
      </c>
      <c r="J386" s="28" t="str">
        <f t="shared" si="33"/>
        <v/>
      </c>
      <c r="K386" s="28" t="str">
        <f t="shared" si="34"/>
        <v/>
      </c>
      <c r="L386" s="29" t="str">
        <f t="shared" si="35"/>
        <v/>
      </c>
      <c r="M386" s="30" t="str">
        <f t="shared" si="36"/>
        <v/>
      </c>
    </row>
    <row r="387" spans="2:15" x14ac:dyDescent="0.25">
      <c r="B387" s="22">
        <v>44580</v>
      </c>
      <c r="C387" s="41"/>
      <c r="D387" s="24"/>
      <c r="E387" s="25"/>
      <c r="F387" s="26"/>
      <c r="G387" s="27"/>
      <c r="H387" s="28" t="str">
        <f t="shared" si="31"/>
        <v/>
      </c>
      <c r="I387" s="28" t="str">
        <f t="shared" si="32"/>
        <v/>
      </c>
      <c r="J387" s="28" t="str">
        <f t="shared" si="33"/>
        <v/>
      </c>
      <c r="K387" s="28" t="str">
        <f t="shared" si="34"/>
        <v/>
      </c>
      <c r="L387" s="29" t="str">
        <f t="shared" si="35"/>
        <v/>
      </c>
      <c r="M387" s="30" t="str">
        <f t="shared" si="36"/>
        <v/>
      </c>
    </row>
    <row r="388" spans="2:15" x14ac:dyDescent="0.25">
      <c r="B388" s="22">
        <v>44581</v>
      </c>
      <c r="C388" s="41"/>
      <c r="D388" s="24"/>
      <c r="E388" s="25"/>
      <c r="F388" s="26"/>
      <c r="G388" s="27"/>
      <c r="H388" s="28" t="str">
        <f t="shared" si="31"/>
        <v/>
      </c>
      <c r="I388" s="28" t="str">
        <f t="shared" si="32"/>
        <v/>
      </c>
      <c r="J388" s="28" t="str">
        <f t="shared" si="33"/>
        <v/>
      </c>
      <c r="K388" s="28" t="str">
        <f t="shared" si="34"/>
        <v/>
      </c>
      <c r="L388" s="29" t="str">
        <f t="shared" si="35"/>
        <v/>
      </c>
      <c r="M388" s="30" t="str">
        <f t="shared" si="36"/>
        <v/>
      </c>
    </row>
    <row r="389" spans="2:15" x14ac:dyDescent="0.25">
      <c r="B389" s="22">
        <v>44582</v>
      </c>
      <c r="C389" s="41"/>
      <c r="D389" s="24"/>
      <c r="E389" s="25"/>
      <c r="F389" s="26"/>
      <c r="G389" s="27"/>
      <c r="H389" s="28" t="str">
        <f t="shared" si="31"/>
        <v/>
      </c>
      <c r="I389" s="28" t="str">
        <f t="shared" si="32"/>
        <v/>
      </c>
      <c r="J389" s="28" t="str">
        <f t="shared" si="33"/>
        <v/>
      </c>
      <c r="K389" s="28" t="str">
        <f t="shared" si="34"/>
        <v/>
      </c>
      <c r="L389" s="29" t="str">
        <f t="shared" si="35"/>
        <v/>
      </c>
      <c r="M389" s="30" t="str">
        <f t="shared" si="36"/>
        <v/>
      </c>
    </row>
    <row r="390" spans="2:15" ht="13.5" thickBot="1" x14ac:dyDescent="0.3">
      <c r="B390" s="22">
        <v>44583</v>
      </c>
      <c r="C390" s="41"/>
      <c r="D390" s="24"/>
      <c r="E390" s="25"/>
      <c r="F390" s="26"/>
      <c r="G390" s="27"/>
      <c r="H390" s="28" t="str">
        <f t="shared" si="31"/>
        <v/>
      </c>
      <c r="I390" s="28" t="str">
        <f t="shared" si="32"/>
        <v/>
      </c>
      <c r="J390" s="28" t="str">
        <f t="shared" si="33"/>
        <v/>
      </c>
      <c r="K390" s="28" t="str">
        <f t="shared" si="34"/>
        <v/>
      </c>
      <c r="L390" s="29" t="str">
        <f t="shared" si="35"/>
        <v/>
      </c>
      <c r="M390" s="30" t="str">
        <f t="shared" si="36"/>
        <v/>
      </c>
    </row>
    <row r="391" spans="2:15" x14ac:dyDescent="0.25">
      <c r="B391" s="22">
        <v>44584</v>
      </c>
      <c r="C391" s="41"/>
      <c r="D391" s="24"/>
      <c r="E391" s="25"/>
      <c r="F391" s="26"/>
      <c r="G391" s="27"/>
      <c r="H391" s="28" t="str">
        <f t="shared" si="31"/>
        <v/>
      </c>
      <c r="I391" s="28" t="str">
        <f t="shared" si="32"/>
        <v/>
      </c>
      <c r="J391" s="28" t="str">
        <f t="shared" si="33"/>
        <v/>
      </c>
      <c r="K391" s="28" t="str">
        <f t="shared" si="34"/>
        <v/>
      </c>
      <c r="L391" s="29" t="str">
        <f t="shared" si="35"/>
        <v/>
      </c>
      <c r="M391" s="30" t="str">
        <f t="shared" si="36"/>
        <v/>
      </c>
      <c r="N391" s="187" t="s">
        <v>21</v>
      </c>
      <c r="O391" s="187" t="s">
        <v>22</v>
      </c>
    </row>
    <row r="392" spans="2:15" x14ac:dyDescent="0.25">
      <c r="B392" s="22">
        <v>44585</v>
      </c>
      <c r="C392" s="41"/>
      <c r="D392" s="24"/>
      <c r="E392" s="25"/>
      <c r="F392" s="26"/>
      <c r="G392" s="27"/>
      <c r="H392" s="28" t="str">
        <f t="shared" si="31"/>
        <v/>
      </c>
      <c r="I392" s="28" t="str">
        <f t="shared" si="32"/>
        <v/>
      </c>
      <c r="J392" s="28" t="str">
        <f t="shared" si="33"/>
        <v/>
      </c>
      <c r="K392" s="28" t="str">
        <f t="shared" si="34"/>
        <v/>
      </c>
      <c r="L392" s="29" t="str">
        <f t="shared" si="35"/>
        <v/>
      </c>
      <c r="M392" s="30" t="str">
        <f t="shared" si="36"/>
        <v/>
      </c>
      <c r="N392" s="188"/>
      <c r="O392" s="188"/>
    </row>
    <row r="393" spans="2:15" ht="13.5" thickBot="1" x14ac:dyDescent="0.3">
      <c r="B393" s="22">
        <v>44586</v>
      </c>
      <c r="C393" s="41"/>
      <c r="D393" s="24"/>
      <c r="E393" s="25"/>
      <c r="F393" s="26"/>
      <c r="G393" s="27"/>
      <c r="H393" s="28" t="str">
        <f t="shared" si="31"/>
        <v/>
      </c>
      <c r="I393" s="28" t="str">
        <f t="shared" si="32"/>
        <v/>
      </c>
      <c r="J393" s="28" t="str">
        <f t="shared" si="33"/>
        <v/>
      </c>
      <c r="K393" s="28" t="str">
        <f t="shared" si="34"/>
        <v/>
      </c>
      <c r="L393" s="29" t="str">
        <f t="shared" si="35"/>
        <v/>
      </c>
      <c r="M393" s="30" t="str">
        <f t="shared" si="36"/>
        <v/>
      </c>
      <c r="N393" s="189"/>
      <c r="O393" s="189"/>
    </row>
    <row r="394" spans="2:15" ht="13.5" thickBot="1" x14ac:dyDescent="0.3">
      <c r="B394" s="22">
        <v>44587</v>
      </c>
      <c r="C394" s="41"/>
      <c r="D394" s="24"/>
      <c r="E394" s="25"/>
      <c r="F394" s="26"/>
      <c r="G394" s="27"/>
      <c r="H394" s="28" t="str">
        <f t="shared" si="31"/>
        <v/>
      </c>
      <c r="I394" s="28" t="str">
        <f t="shared" si="32"/>
        <v/>
      </c>
      <c r="J394" s="28" t="str">
        <f t="shared" si="33"/>
        <v/>
      </c>
      <c r="K394" s="28" t="str">
        <f t="shared" si="34"/>
        <v/>
      </c>
      <c r="L394" s="29" t="str">
        <f t="shared" si="35"/>
        <v/>
      </c>
      <c r="M394" s="30" t="str">
        <f t="shared" si="36"/>
        <v/>
      </c>
      <c r="N394" s="32">
        <f>SUM(L370:L400)</f>
        <v>202</v>
      </c>
      <c r="O394" s="32">
        <f>SUM(M370:M400)</f>
        <v>3007</v>
      </c>
    </row>
    <row r="395" spans="2:15" x14ac:dyDescent="0.25">
      <c r="B395" s="22">
        <v>44588</v>
      </c>
      <c r="C395" s="41"/>
      <c r="D395" s="24"/>
      <c r="E395" s="25"/>
      <c r="F395" s="26"/>
      <c r="G395" s="27"/>
      <c r="H395" s="28" t="str">
        <f t="shared" si="31"/>
        <v/>
      </c>
      <c r="I395" s="28" t="str">
        <f t="shared" si="32"/>
        <v/>
      </c>
      <c r="J395" s="28" t="str">
        <f t="shared" si="33"/>
        <v/>
      </c>
      <c r="K395" s="28" t="str">
        <f t="shared" si="34"/>
        <v/>
      </c>
      <c r="L395" s="29" t="str">
        <f t="shared" si="35"/>
        <v/>
      </c>
      <c r="M395" s="30" t="str">
        <f t="shared" si="36"/>
        <v/>
      </c>
      <c r="N395" s="187" t="s">
        <v>23</v>
      </c>
      <c r="O395" s="187" t="s">
        <v>24</v>
      </c>
    </row>
    <row r="396" spans="2:15" ht="13.5" thickBot="1" x14ac:dyDescent="0.3">
      <c r="B396" s="22">
        <v>44589</v>
      </c>
      <c r="C396" s="41"/>
      <c r="D396" s="24"/>
      <c r="E396" s="25"/>
      <c r="F396" s="26"/>
      <c r="G396" s="27"/>
      <c r="H396" s="28" t="str">
        <f t="shared" si="31"/>
        <v/>
      </c>
      <c r="I396" s="28" t="str">
        <f t="shared" si="32"/>
        <v/>
      </c>
      <c r="J396" s="28" t="str">
        <f t="shared" si="33"/>
        <v/>
      </c>
      <c r="K396" s="28" t="str">
        <f t="shared" si="34"/>
        <v/>
      </c>
      <c r="L396" s="29" t="str">
        <f t="shared" si="35"/>
        <v/>
      </c>
      <c r="M396" s="30" t="str">
        <f t="shared" si="36"/>
        <v/>
      </c>
      <c r="N396" s="189"/>
      <c r="O396" s="189"/>
    </row>
    <row r="397" spans="2:15" ht="13.5" thickBot="1" x14ac:dyDescent="0.3">
      <c r="B397" s="22">
        <v>44590</v>
      </c>
      <c r="C397" s="41"/>
      <c r="D397" s="24"/>
      <c r="E397" s="25"/>
      <c r="F397" s="26"/>
      <c r="G397" s="27"/>
      <c r="H397" s="28" t="str">
        <f t="shared" si="31"/>
        <v/>
      </c>
      <c r="I397" s="28" t="str">
        <f t="shared" si="32"/>
        <v/>
      </c>
      <c r="J397" s="28" t="str">
        <f t="shared" si="33"/>
        <v/>
      </c>
      <c r="K397" s="28" t="str">
        <f t="shared" si="34"/>
        <v/>
      </c>
      <c r="L397" s="29" t="str">
        <f t="shared" si="35"/>
        <v/>
      </c>
      <c r="M397" s="30" t="str">
        <f t="shared" si="36"/>
        <v/>
      </c>
      <c r="N397" s="32">
        <f>AVERAGE(L370:L400)</f>
        <v>202</v>
      </c>
      <c r="O397" s="32">
        <f>AVERAGE(M370:M400)</f>
        <v>3007</v>
      </c>
    </row>
    <row r="398" spans="2:15" x14ac:dyDescent="0.25">
      <c r="B398" s="22">
        <v>44591</v>
      </c>
      <c r="C398" s="41"/>
      <c r="D398" s="24"/>
      <c r="E398" s="25"/>
      <c r="F398" s="26"/>
      <c r="G398" s="27"/>
      <c r="H398" s="28" t="str">
        <f t="shared" si="31"/>
        <v/>
      </c>
      <c r="I398" s="28" t="str">
        <f t="shared" si="32"/>
        <v/>
      </c>
      <c r="J398" s="28" t="str">
        <f t="shared" si="33"/>
        <v/>
      </c>
      <c r="K398" s="28" t="str">
        <f t="shared" si="34"/>
        <v/>
      </c>
      <c r="L398" s="29" t="str">
        <f t="shared" si="35"/>
        <v/>
      </c>
      <c r="M398" s="30" t="str">
        <f t="shared" si="36"/>
        <v/>
      </c>
    </row>
    <row r="399" spans="2:15" x14ac:dyDescent="0.25">
      <c r="B399" s="22">
        <v>44592</v>
      </c>
      <c r="C399" s="41"/>
      <c r="D399" s="24"/>
      <c r="E399" s="25"/>
      <c r="F399" s="26"/>
      <c r="G399" s="27"/>
      <c r="H399" s="28" t="str">
        <f t="shared" si="31"/>
        <v/>
      </c>
      <c r="I399" s="28" t="str">
        <f t="shared" si="32"/>
        <v/>
      </c>
      <c r="J399" s="28" t="str">
        <f t="shared" si="33"/>
        <v/>
      </c>
      <c r="K399" s="28" t="str">
        <f t="shared" si="34"/>
        <v/>
      </c>
      <c r="L399" s="29" t="str">
        <f t="shared" si="35"/>
        <v/>
      </c>
      <c r="M399" s="30" t="str">
        <f t="shared" si="36"/>
        <v/>
      </c>
    </row>
    <row r="400" spans="2:15" x14ac:dyDescent="0.25">
      <c r="B400" s="22">
        <v>44593</v>
      </c>
      <c r="C400" s="41"/>
      <c r="D400" s="24"/>
      <c r="E400" s="25"/>
      <c r="F400" s="26"/>
      <c r="G400" s="27"/>
      <c r="H400" s="28" t="str">
        <f t="shared" si="31"/>
        <v/>
      </c>
      <c r="I400" s="28" t="str">
        <f t="shared" si="32"/>
        <v/>
      </c>
      <c r="J400" s="28" t="str">
        <f t="shared" si="33"/>
        <v/>
      </c>
      <c r="K400" s="28" t="str">
        <f t="shared" si="34"/>
        <v/>
      </c>
      <c r="L400" s="29" t="str">
        <f t="shared" si="35"/>
        <v/>
      </c>
      <c r="M400" s="30" t="str">
        <f t="shared" si="36"/>
        <v/>
      </c>
    </row>
    <row r="401" spans="2:13" x14ac:dyDescent="0.25">
      <c r="B401" s="22">
        <v>44594</v>
      </c>
      <c r="C401" s="41"/>
      <c r="D401" s="24"/>
      <c r="E401" s="25"/>
      <c r="F401" s="26"/>
      <c r="G401" s="27"/>
      <c r="H401" s="28" t="str">
        <f t="shared" si="31"/>
        <v/>
      </c>
      <c r="I401" s="28" t="str">
        <f t="shared" si="32"/>
        <v/>
      </c>
      <c r="J401" s="28" t="str">
        <f t="shared" si="33"/>
        <v/>
      </c>
      <c r="K401" s="28" t="str">
        <f t="shared" si="34"/>
        <v/>
      </c>
      <c r="L401" s="29" t="str">
        <f t="shared" si="35"/>
        <v/>
      </c>
      <c r="M401" s="30" t="str">
        <f t="shared" si="36"/>
        <v/>
      </c>
    </row>
    <row r="402" spans="2:13" x14ac:dyDescent="0.25">
      <c r="B402" s="22">
        <v>44595</v>
      </c>
      <c r="C402" s="41"/>
      <c r="D402" s="24"/>
      <c r="E402" s="25"/>
      <c r="F402" s="26"/>
      <c r="G402" s="27"/>
      <c r="H402" s="28" t="str">
        <f t="shared" si="31"/>
        <v/>
      </c>
      <c r="I402" s="28" t="str">
        <f t="shared" si="32"/>
        <v/>
      </c>
      <c r="J402" s="28" t="str">
        <f t="shared" si="33"/>
        <v/>
      </c>
      <c r="K402" s="28" t="str">
        <f t="shared" si="34"/>
        <v/>
      </c>
      <c r="L402" s="29" t="str">
        <f t="shared" si="35"/>
        <v/>
      </c>
      <c r="M402" s="30" t="str">
        <f t="shared" si="36"/>
        <v/>
      </c>
    </row>
    <row r="403" spans="2:13" x14ac:dyDescent="0.25">
      <c r="B403" s="22">
        <v>44596</v>
      </c>
      <c r="C403" s="41"/>
      <c r="D403" s="24"/>
      <c r="E403" s="25"/>
      <c r="F403" s="26"/>
      <c r="G403" s="27"/>
      <c r="H403" s="28" t="str">
        <f t="shared" si="31"/>
        <v/>
      </c>
      <c r="I403" s="28" t="str">
        <f t="shared" si="32"/>
        <v/>
      </c>
      <c r="J403" s="28" t="str">
        <f t="shared" si="33"/>
        <v/>
      </c>
      <c r="K403" s="28" t="str">
        <f t="shared" si="34"/>
        <v/>
      </c>
      <c r="L403" s="29" t="str">
        <f t="shared" si="35"/>
        <v/>
      </c>
      <c r="M403" s="30" t="str">
        <f t="shared" si="36"/>
        <v/>
      </c>
    </row>
    <row r="404" spans="2:13" x14ac:dyDescent="0.25">
      <c r="B404" s="22">
        <v>44597</v>
      </c>
      <c r="C404" s="41"/>
      <c r="D404" s="24"/>
      <c r="E404" s="25"/>
      <c r="F404" s="26"/>
      <c r="G404" s="27"/>
      <c r="H404" s="28" t="str">
        <f t="shared" si="31"/>
        <v/>
      </c>
      <c r="I404" s="28" t="str">
        <f t="shared" si="32"/>
        <v/>
      </c>
      <c r="J404" s="28" t="str">
        <f t="shared" si="33"/>
        <v/>
      </c>
      <c r="K404" s="28" t="str">
        <f t="shared" si="34"/>
        <v/>
      </c>
      <c r="L404" s="29" t="str">
        <f t="shared" si="35"/>
        <v/>
      </c>
      <c r="M404" s="30" t="str">
        <f t="shared" si="36"/>
        <v/>
      </c>
    </row>
    <row r="405" spans="2:13" x14ac:dyDescent="0.25">
      <c r="B405" s="22">
        <v>44598</v>
      </c>
      <c r="C405" s="41"/>
      <c r="D405" s="24"/>
      <c r="E405" s="25"/>
      <c r="F405" s="26"/>
      <c r="G405" s="27"/>
      <c r="H405" s="28" t="str">
        <f t="shared" si="31"/>
        <v/>
      </c>
      <c r="I405" s="28" t="str">
        <f t="shared" si="32"/>
        <v/>
      </c>
      <c r="J405" s="28" t="str">
        <f t="shared" si="33"/>
        <v/>
      </c>
      <c r="K405" s="28" t="str">
        <f t="shared" si="34"/>
        <v/>
      </c>
      <c r="L405" s="29" t="str">
        <f t="shared" si="35"/>
        <v/>
      </c>
      <c r="M405" s="30" t="str">
        <f t="shared" si="36"/>
        <v/>
      </c>
    </row>
    <row r="406" spans="2:13" x14ac:dyDescent="0.25">
      <c r="B406" s="22">
        <v>44599</v>
      </c>
      <c r="C406" s="41"/>
      <c r="D406" s="24"/>
      <c r="E406" s="25"/>
      <c r="F406" s="26"/>
      <c r="G406" s="27"/>
      <c r="H406" s="28" t="str">
        <f t="shared" si="31"/>
        <v/>
      </c>
      <c r="I406" s="28" t="str">
        <f t="shared" si="32"/>
        <v/>
      </c>
      <c r="J406" s="28" t="str">
        <f t="shared" si="33"/>
        <v/>
      </c>
      <c r="K406" s="28" t="str">
        <f t="shared" si="34"/>
        <v/>
      </c>
      <c r="L406" s="29" t="str">
        <f t="shared" si="35"/>
        <v/>
      </c>
      <c r="M406" s="30" t="str">
        <f t="shared" si="36"/>
        <v/>
      </c>
    </row>
    <row r="407" spans="2:13" x14ac:dyDescent="0.25">
      <c r="B407" s="22">
        <v>44600</v>
      </c>
      <c r="C407" s="41"/>
      <c r="D407" s="24"/>
      <c r="E407" s="25"/>
      <c r="F407" s="26"/>
      <c r="G407" s="27"/>
      <c r="H407" s="28" t="str">
        <f t="shared" si="31"/>
        <v/>
      </c>
      <c r="I407" s="28" t="str">
        <f t="shared" si="32"/>
        <v/>
      </c>
      <c r="J407" s="28" t="str">
        <f t="shared" si="33"/>
        <v/>
      </c>
      <c r="K407" s="28" t="str">
        <f t="shared" si="34"/>
        <v/>
      </c>
      <c r="L407" s="29" t="str">
        <f t="shared" si="35"/>
        <v/>
      </c>
      <c r="M407" s="30" t="str">
        <f t="shared" si="36"/>
        <v/>
      </c>
    </row>
    <row r="408" spans="2:13" x14ac:dyDescent="0.25">
      <c r="B408" s="22">
        <v>44601</v>
      </c>
      <c r="C408" s="41"/>
      <c r="D408" s="24"/>
      <c r="E408" s="25"/>
      <c r="F408" s="26"/>
      <c r="G408" s="27"/>
      <c r="H408" s="28" t="str">
        <f t="shared" si="31"/>
        <v/>
      </c>
      <c r="I408" s="28" t="str">
        <f t="shared" si="32"/>
        <v/>
      </c>
      <c r="J408" s="28" t="str">
        <f t="shared" si="33"/>
        <v/>
      </c>
      <c r="K408" s="28" t="str">
        <f t="shared" si="34"/>
        <v/>
      </c>
      <c r="L408" s="29" t="str">
        <f t="shared" si="35"/>
        <v/>
      </c>
      <c r="M408" s="30" t="str">
        <f t="shared" si="36"/>
        <v/>
      </c>
    </row>
    <row r="409" spans="2:13" x14ac:dyDescent="0.25">
      <c r="B409" s="22">
        <v>44602</v>
      </c>
      <c r="C409" s="41"/>
      <c r="D409" s="24"/>
      <c r="E409" s="25"/>
      <c r="F409" s="26"/>
      <c r="G409" s="27"/>
      <c r="H409" s="28" t="str">
        <f t="shared" si="31"/>
        <v/>
      </c>
      <c r="I409" s="28" t="str">
        <f t="shared" si="32"/>
        <v/>
      </c>
      <c r="J409" s="28" t="str">
        <f t="shared" si="33"/>
        <v/>
      </c>
      <c r="K409" s="28" t="str">
        <f t="shared" si="34"/>
        <v/>
      </c>
      <c r="L409" s="29" t="str">
        <f t="shared" si="35"/>
        <v/>
      </c>
      <c r="M409" s="30" t="str">
        <f t="shared" si="36"/>
        <v/>
      </c>
    </row>
    <row r="410" spans="2:13" x14ac:dyDescent="0.25">
      <c r="B410" s="22">
        <v>44603</v>
      </c>
      <c r="C410" s="41"/>
      <c r="D410" s="24"/>
      <c r="E410" s="25"/>
      <c r="F410" s="26"/>
      <c r="G410" s="27"/>
      <c r="H410" s="28" t="str">
        <f t="shared" si="31"/>
        <v/>
      </c>
      <c r="I410" s="28" t="str">
        <f t="shared" si="32"/>
        <v/>
      </c>
      <c r="J410" s="28" t="str">
        <f t="shared" si="33"/>
        <v/>
      </c>
      <c r="K410" s="28" t="str">
        <f t="shared" si="34"/>
        <v/>
      </c>
      <c r="L410" s="29" t="str">
        <f t="shared" si="35"/>
        <v/>
      </c>
      <c r="M410" s="30" t="str">
        <f t="shared" si="36"/>
        <v/>
      </c>
    </row>
    <row r="411" spans="2:13" x14ac:dyDescent="0.25">
      <c r="B411" s="22">
        <v>44604</v>
      </c>
      <c r="C411" s="41"/>
      <c r="D411" s="24"/>
      <c r="E411" s="25"/>
      <c r="F411" s="26"/>
      <c r="G411" s="27"/>
      <c r="H411" s="28" t="str">
        <f t="shared" si="31"/>
        <v/>
      </c>
      <c r="I411" s="28" t="str">
        <f t="shared" si="32"/>
        <v/>
      </c>
      <c r="J411" s="28" t="str">
        <f t="shared" si="33"/>
        <v/>
      </c>
      <c r="K411" s="28" t="str">
        <f t="shared" si="34"/>
        <v/>
      </c>
      <c r="L411" s="29" t="str">
        <f t="shared" si="35"/>
        <v/>
      </c>
      <c r="M411" s="30" t="str">
        <f t="shared" si="36"/>
        <v/>
      </c>
    </row>
    <row r="412" spans="2:13" x14ac:dyDescent="0.25">
      <c r="B412" s="22">
        <v>44605</v>
      </c>
      <c r="C412" s="41"/>
      <c r="D412" s="24"/>
      <c r="E412" s="25"/>
      <c r="F412" s="26"/>
      <c r="G412" s="27"/>
      <c r="H412" s="28" t="str">
        <f t="shared" si="31"/>
        <v/>
      </c>
      <c r="I412" s="28" t="str">
        <f t="shared" si="32"/>
        <v/>
      </c>
      <c r="J412" s="28" t="str">
        <f t="shared" si="33"/>
        <v/>
      </c>
      <c r="K412" s="28" t="str">
        <f t="shared" si="34"/>
        <v/>
      </c>
      <c r="L412" s="29" t="str">
        <f t="shared" si="35"/>
        <v/>
      </c>
      <c r="M412" s="30" t="str">
        <f t="shared" si="36"/>
        <v/>
      </c>
    </row>
    <row r="413" spans="2:13" x14ac:dyDescent="0.25">
      <c r="B413" s="22">
        <v>44606</v>
      </c>
      <c r="C413" s="41"/>
      <c r="D413" s="24"/>
      <c r="E413" s="25"/>
      <c r="F413" s="26"/>
      <c r="G413" s="27"/>
      <c r="H413" s="28" t="str">
        <f t="shared" si="31"/>
        <v/>
      </c>
      <c r="I413" s="28" t="str">
        <f t="shared" si="32"/>
        <v/>
      </c>
      <c r="J413" s="28" t="str">
        <f t="shared" si="33"/>
        <v/>
      </c>
      <c r="K413" s="28" t="str">
        <f t="shared" si="34"/>
        <v/>
      </c>
      <c r="L413" s="29" t="str">
        <f t="shared" si="35"/>
        <v/>
      </c>
      <c r="M413" s="30" t="str">
        <f t="shared" si="36"/>
        <v/>
      </c>
    </row>
    <row r="414" spans="2:13" x14ac:dyDescent="0.25">
      <c r="B414" s="22">
        <v>44607</v>
      </c>
      <c r="C414" s="41"/>
      <c r="D414" s="24"/>
      <c r="E414" s="25"/>
      <c r="F414" s="26"/>
      <c r="G414" s="27"/>
      <c r="H414" s="28" t="str">
        <f t="shared" si="31"/>
        <v/>
      </c>
      <c r="I414" s="28" t="str">
        <f t="shared" si="32"/>
        <v/>
      </c>
      <c r="J414" s="28" t="str">
        <f t="shared" si="33"/>
        <v/>
      </c>
      <c r="K414" s="28" t="str">
        <f t="shared" si="34"/>
        <v/>
      </c>
      <c r="L414" s="29" t="str">
        <f t="shared" si="35"/>
        <v/>
      </c>
      <c r="M414" s="30" t="str">
        <f t="shared" si="36"/>
        <v/>
      </c>
    </row>
    <row r="415" spans="2:13" x14ac:dyDescent="0.25">
      <c r="B415" s="22">
        <v>44608</v>
      </c>
      <c r="C415" s="41"/>
      <c r="D415" s="24"/>
      <c r="E415" s="25"/>
      <c r="F415" s="26"/>
      <c r="G415" s="27"/>
      <c r="H415" s="28" t="str">
        <f t="shared" si="31"/>
        <v/>
      </c>
      <c r="I415" s="28" t="str">
        <f t="shared" si="32"/>
        <v/>
      </c>
      <c r="J415" s="28" t="str">
        <f t="shared" si="33"/>
        <v/>
      </c>
      <c r="K415" s="28" t="str">
        <f t="shared" si="34"/>
        <v/>
      </c>
      <c r="L415" s="29" t="str">
        <f t="shared" si="35"/>
        <v/>
      </c>
      <c r="M415" s="30" t="str">
        <f t="shared" si="36"/>
        <v/>
      </c>
    </row>
    <row r="416" spans="2:13" x14ac:dyDescent="0.25">
      <c r="B416" s="22">
        <v>44609</v>
      </c>
      <c r="C416" s="41"/>
      <c r="D416" s="24"/>
      <c r="E416" s="25"/>
      <c r="F416" s="26"/>
      <c r="G416" s="27"/>
      <c r="H416" s="28" t="str">
        <f t="shared" si="31"/>
        <v/>
      </c>
      <c r="I416" s="28" t="str">
        <f t="shared" si="32"/>
        <v/>
      </c>
      <c r="J416" s="28" t="str">
        <f t="shared" si="33"/>
        <v/>
      </c>
      <c r="K416" s="28" t="str">
        <f t="shared" si="34"/>
        <v/>
      </c>
      <c r="L416" s="29" t="str">
        <f t="shared" si="35"/>
        <v/>
      </c>
      <c r="M416" s="30" t="str">
        <f t="shared" si="36"/>
        <v/>
      </c>
    </row>
    <row r="417" spans="2:13" x14ac:dyDescent="0.25">
      <c r="B417" s="22">
        <v>44610</v>
      </c>
      <c r="C417" s="41"/>
      <c r="D417" s="24"/>
      <c r="E417" s="25"/>
      <c r="F417" s="26"/>
      <c r="G417" s="27"/>
      <c r="H417" s="28" t="str">
        <f t="shared" si="31"/>
        <v/>
      </c>
      <c r="I417" s="28" t="str">
        <f t="shared" si="32"/>
        <v/>
      </c>
      <c r="J417" s="28" t="str">
        <f t="shared" si="33"/>
        <v/>
      </c>
      <c r="K417" s="28" t="str">
        <f t="shared" si="34"/>
        <v/>
      </c>
      <c r="L417" s="29" t="str">
        <f t="shared" si="35"/>
        <v/>
      </c>
      <c r="M417" s="30" t="str">
        <f t="shared" si="36"/>
        <v/>
      </c>
    </row>
    <row r="418" spans="2:13" x14ac:dyDescent="0.25">
      <c r="B418" s="22">
        <v>44611</v>
      </c>
      <c r="C418" s="41"/>
      <c r="D418" s="24"/>
      <c r="E418" s="25"/>
      <c r="F418" s="26"/>
      <c r="G418" s="27"/>
      <c r="H418" s="28" t="str">
        <f t="shared" si="31"/>
        <v/>
      </c>
      <c r="I418" s="28" t="str">
        <f t="shared" si="32"/>
        <v/>
      </c>
      <c r="J418" s="28" t="str">
        <f t="shared" si="33"/>
        <v/>
      </c>
      <c r="K418" s="28" t="str">
        <f t="shared" si="34"/>
        <v/>
      </c>
      <c r="L418" s="29" t="str">
        <f t="shared" si="35"/>
        <v/>
      </c>
      <c r="M418" s="30" t="str">
        <f t="shared" si="36"/>
        <v/>
      </c>
    </row>
    <row r="419" spans="2:13" x14ac:dyDescent="0.25">
      <c r="B419" s="22">
        <v>44612</v>
      </c>
      <c r="C419" s="41"/>
      <c r="D419" s="24"/>
      <c r="E419" s="25"/>
      <c r="F419" s="26"/>
      <c r="G419" s="27"/>
      <c r="H419" s="28" t="str">
        <f t="shared" si="31"/>
        <v/>
      </c>
      <c r="I419" s="28" t="str">
        <f t="shared" si="32"/>
        <v/>
      </c>
      <c r="J419" s="28" t="str">
        <f t="shared" si="33"/>
        <v/>
      </c>
      <c r="K419" s="28" t="str">
        <f t="shared" si="34"/>
        <v/>
      </c>
      <c r="L419" s="29" t="str">
        <f t="shared" si="35"/>
        <v/>
      </c>
      <c r="M419" s="30" t="str">
        <f t="shared" si="36"/>
        <v/>
      </c>
    </row>
    <row r="420" spans="2:13" x14ac:dyDescent="0.25">
      <c r="B420" s="22">
        <v>44613</v>
      </c>
      <c r="C420" s="41"/>
      <c r="D420" s="24"/>
      <c r="E420" s="25"/>
      <c r="F420" s="26"/>
      <c r="G420" s="27"/>
      <c r="H420" s="28" t="str">
        <f t="shared" si="31"/>
        <v/>
      </c>
      <c r="I420" s="28" t="str">
        <f t="shared" si="32"/>
        <v/>
      </c>
      <c r="J420" s="28" t="str">
        <f t="shared" si="33"/>
        <v/>
      </c>
      <c r="K420" s="28" t="str">
        <f t="shared" si="34"/>
        <v/>
      </c>
      <c r="L420" s="29" t="str">
        <f t="shared" si="35"/>
        <v/>
      </c>
      <c r="M420" s="30" t="str">
        <f t="shared" si="36"/>
        <v/>
      </c>
    </row>
    <row r="421" spans="2:13" x14ac:dyDescent="0.25">
      <c r="B421" s="22">
        <v>44614</v>
      </c>
      <c r="C421" s="41"/>
      <c r="D421" s="24"/>
      <c r="E421" s="25"/>
      <c r="F421" s="26"/>
      <c r="G421" s="27"/>
      <c r="H421" s="28" t="str">
        <f t="shared" si="31"/>
        <v/>
      </c>
      <c r="I421" s="28" t="str">
        <f t="shared" si="32"/>
        <v/>
      </c>
      <c r="J421" s="28" t="str">
        <f t="shared" si="33"/>
        <v/>
      </c>
      <c r="K421" s="28" t="str">
        <f t="shared" si="34"/>
        <v/>
      </c>
      <c r="L421" s="29" t="str">
        <f t="shared" si="35"/>
        <v/>
      </c>
      <c r="M421" s="30" t="str">
        <f t="shared" si="36"/>
        <v/>
      </c>
    </row>
    <row r="422" spans="2:13" x14ac:dyDescent="0.25">
      <c r="B422" s="22">
        <v>44615</v>
      </c>
      <c r="C422" s="41"/>
      <c r="D422" s="24"/>
      <c r="E422" s="25"/>
      <c r="F422" s="26"/>
      <c r="G422" s="27"/>
      <c r="H422" s="28" t="str">
        <f t="shared" si="31"/>
        <v/>
      </c>
      <c r="I422" s="28" t="str">
        <f t="shared" si="32"/>
        <v/>
      </c>
      <c r="J422" s="28" t="str">
        <f t="shared" si="33"/>
        <v/>
      </c>
      <c r="K422" s="28" t="str">
        <f t="shared" si="34"/>
        <v/>
      </c>
      <c r="L422" s="29" t="str">
        <f t="shared" si="35"/>
        <v/>
      </c>
      <c r="M422" s="30" t="str">
        <f t="shared" si="36"/>
        <v/>
      </c>
    </row>
    <row r="423" spans="2:13" x14ac:dyDescent="0.25">
      <c r="B423" s="22">
        <v>44616</v>
      </c>
      <c r="C423" s="41"/>
      <c r="D423" s="24"/>
      <c r="E423" s="25"/>
      <c r="F423" s="26"/>
      <c r="G423" s="27"/>
      <c r="H423" s="28" t="str">
        <f t="shared" si="31"/>
        <v/>
      </c>
      <c r="I423" s="28" t="str">
        <f t="shared" si="32"/>
        <v/>
      </c>
      <c r="J423" s="28" t="str">
        <f t="shared" si="33"/>
        <v/>
      </c>
      <c r="K423" s="28" t="str">
        <f t="shared" si="34"/>
        <v/>
      </c>
      <c r="L423" s="29" t="str">
        <f t="shared" si="35"/>
        <v/>
      </c>
      <c r="M423" s="30" t="str">
        <f t="shared" si="36"/>
        <v/>
      </c>
    </row>
    <row r="424" spans="2:13" x14ac:dyDescent="0.25">
      <c r="B424" s="22">
        <v>44617</v>
      </c>
      <c r="C424" s="41"/>
      <c r="D424" s="24"/>
      <c r="E424" s="25"/>
      <c r="F424" s="26"/>
      <c r="G424" s="27"/>
      <c r="H424" s="28" t="str">
        <f t="shared" si="31"/>
        <v/>
      </c>
      <c r="I424" s="28" t="str">
        <f t="shared" si="32"/>
        <v/>
      </c>
      <c r="J424" s="28" t="str">
        <f t="shared" si="33"/>
        <v/>
      </c>
      <c r="K424" s="28" t="str">
        <f t="shared" si="34"/>
        <v/>
      </c>
      <c r="L424" s="29" t="str">
        <f t="shared" si="35"/>
        <v/>
      </c>
      <c r="M424" s="30" t="str">
        <f t="shared" si="36"/>
        <v/>
      </c>
    </row>
    <row r="425" spans="2:13" x14ac:dyDescent="0.25">
      <c r="B425" s="22">
        <v>44618</v>
      </c>
      <c r="C425" s="41"/>
      <c r="D425" s="24"/>
      <c r="E425" s="25"/>
      <c r="F425" s="26"/>
      <c r="G425" s="27"/>
      <c r="H425" s="28" t="str">
        <f t="shared" si="31"/>
        <v/>
      </c>
      <c r="I425" s="28" t="str">
        <f t="shared" si="32"/>
        <v/>
      </c>
      <c r="J425" s="28" t="str">
        <f t="shared" si="33"/>
        <v/>
      </c>
      <c r="K425" s="28" t="str">
        <f t="shared" si="34"/>
        <v/>
      </c>
      <c r="L425" s="29" t="str">
        <f t="shared" si="35"/>
        <v/>
      </c>
      <c r="M425" s="30" t="str">
        <f t="shared" si="36"/>
        <v/>
      </c>
    </row>
    <row r="426" spans="2:13" x14ac:dyDescent="0.25">
      <c r="B426" s="22">
        <v>44619</v>
      </c>
      <c r="C426" s="41"/>
      <c r="D426" s="24"/>
      <c r="E426" s="25"/>
      <c r="F426" s="26"/>
      <c r="G426" s="27"/>
      <c r="H426" s="28" t="str">
        <f t="shared" si="31"/>
        <v/>
      </c>
      <c r="I426" s="28" t="str">
        <f t="shared" si="32"/>
        <v/>
      </c>
      <c r="J426" s="28" t="str">
        <f t="shared" si="33"/>
        <v/>
      </c>
      <c r="K426" s="28" t="str">
        <f t="shared" si="34"/>
        <v/>
      </c>
      <c r="L426" s="29" t="str">
        <f t="shared" si="35"/>
        <v/>
      </c>
      <c r="M426" s="30" t="str">
        <f t="shared" si="36"/>
        <v/>
      </c>
    </row>
    <row r="427" spans="2:13" x14ac:dyDescent="0.25">
      <c r="B427" s="22">
        <v>44620</v>
      </c>
      <c r="C427" s="41"/>
      <c r="D427" s="24"/>
      <c r="E427" s="25"/>
      <c r="F427" s="26"/>
      <c r="G427" s="27"/>
      <c r="H427" s="28" t="str">
        <f t="shared" si="31"/>
        <v/>
      </c>
      <c r="I427" s="28" t="str">
        <f t="shared" si="32"/>
        <v/>
      </c>
      <c r="J427" s="28" t="str">
        <f t="shared" si="33"/>
        <v/>
      </c>
      <c r="K427" s="28" t="str">
        <f t="shared" si="34"/>
        <v/>
      </c>
      <c r="L427" s="29" t="str">
        <f t="shared" si="35"/>
        <v/>
      </c>
      <c r="M427" s="30" t="str">
        <f t="shared" si="36"/>
        <v/>
      </c>
    </row>
    <row r="428" spans="2:13" x14ac:dyDescent="0.25">
      <c r="B428" s="22">
        <v>44621</v>
      </c>
      <c r="C428" s="41"/>
      <c r="D428" s="24"/>
      <c r="E428" s="25"/>
      <c r="F428" s="26"/>
      <c r="G428" s="27"/>
      <c r="H428" s="28" t="str">
        <f t="shared" si="31"/>
        <v/>
      </c>
      <c r="I428" s="28" t="str">
        <f t="shared" si="32"/>
        <v/>
      </c>
      <c r="J428" s="28" t="str">
        <f t="shared" si="33"/>
        <v/>
      </c>
      <c r="K428" s="28" t="str">
        <f t="shared" si="34"/>
        <v/>
      </c>
      <c r="L428" s="29" t="str">
        <f t="shared" si="35"/>
        <v/>
      </c>
      <c r="M428" s="30" t="str">
        <f t="shared" si="36"/>
        <v/>
      </c>
    </row>
    <row r="429" spans="2:13" x14ac:dyDescent="0.25">
      <c r="B429" s="22">
        <v>44622</v>
      </c>
      <c r="C429" s="41"/>
      <c r="D429" s="24"/>
      <c r="E429" s="25"/>
      <c r="F429" s="26"/>
      <c r="G429" s="27"/>
      <c r="H429" s="28" t="str">
        <f t="shared" si="31"/>
        <v/>
      </c>
      <c r="I429" s="28" t="str">
        <f t="shared" si="32"/>
        <v/>
      </c>
      <c r="J429" s="28" t="str">
        <f t="shared" si="33"/>
        <v/>
      </c>
      <c r="K429" s="28" t="str">
        <f t="shared" si="34"/>
        <v/>
      </c>
      <c r="L429" s="29" t="str">
        <f t="shared" si="35"/>
        <v/>
      </c>
      <c r="M429" s="30" t="str">
        <f t="shared" si="36"/>
        <v/>
      </c>
    </row>
    <row r="430" spans="2:13" x14ac:dyDescent="0.25">
      <c r="B430" s="22">
        <v>44623</v>
      </c>
      <c r="C430" s="41"/>
      <c r="D430" s="24"/>
      <c r="E430" s="25"/>
      <c r="F430" s="26"/>
      <c r="G430" s="27"/>
      <c r="H430" s="28" t="str">
        <f t="shared" si="31"/>
        <v/>
      </c>
      <c r="I430" s="28" t="str">
        <f t="shared" si="32"/>
        <v/>
      </c>
      <c r="J430" s="28" t="str">
        <f t="shared" si="33"/>
        <v/>
      </c>
      <c r="K430" s="28" t="str">
        <f t="shared" si="34"/>
        <v/>
      </c>
      <c r="L430" s="29" t="str">
        <f t="shared" si="35"/>
        <v/>
      </c>
      <c r="M430" s="30" t="str">
        <f t="shared" si="36"/>
        <v/>
      </c>
    </row>
    <row r="431" spans="2:13" x14ac:dyDescent="0.25">
      <c r="B431" s="22">
        <v>44624</v>
      </c>
      <c r="C431" s="41"/>
      <c r="D431" s="24"/>
      <c r="E431" s="25"/>
      <c r="F431" s="26"/>
      <c r="G431" s="27"/>
      <c r="H431" s="28" t="str">
        <f t="shared" si="31"/>
        <v/>
      </c>
      <c r="I431" s="28" t="str">
        <f t="shared" si="32"/>
        <v/>
      </c>
      <c r="J431" s="28" t="str">
        <f t="shared" si="33"/>
        <v/>
      </c>
      <c r="K431" s="28" t="str">
        <f t="shared" si="34"/>
        <v/>
      </c>
      <c r="L431" s="29" t="str">
        <f t="shared" si="35"/>
        <v/>
      </c>
      <c r="M431" s="30" t="str">
        <f t="shared" si="36"/>
        <v/>
      </c>
    </row>
    <row r="432" spans="2:13" x14ac:dyDescent="0.25">
      <c r="B432" s="22">
        <v>44625</v>
      </c>
      <c r="C432" s="41"/>
      <c r="D432" s="24"/>
      <c r="E432" s="25"/>
      <c r="F432" s="26"/>
      <c r="G432" s="27"/>
      <c r="H432" s="28" t="str">
        <f t="shared" si="31"/>
        <v/>
      </c>
      <c r="I432" s="28" t="str">
        <f t="shared" si="32"/>
        <v/>
      </c>
      <c r="J432" s="28" t="str">
        <f t="shared" si="33"/>
        <v/>
      </c>
      <c r="K432" s="28" t="str">
        <f t="shared" si="34"/>
        <v/>
      </c>
      <c r="L432" s="29" t="str">
        <f t="shared" si="35"/>
        <v/>
      </c>
      <c r="M432" s="30" t="str">
        <f t="shared" si="36"/>
        <v/>
      </c>
    </row>
    <row r="433" spans="2:13" x14ac:dyDescent="0.25">
      <c r="B433" s="22">
        <v>44626</v>
      </c>
      <c r="C433" s="41"/>
      <c r="D433" s="24"/>
      <c r="E433" s="25"/>
      <c r="F433" s="26"/>
      <c r="G433" s="27"/>
      <c r="H433" s="28" t="str">
        <f t="shared" ref="H433:H496" si="37">IF(C433="","",+(C433-C432))</f>
        <v/>
      </c>
      <c r="I433" s="28" t="str">
        <f t="shared" ref="I433:I496" si="38">IF(D433="","",+(D433-D432))</f>
        <v/>
      </c>
      <c r="J433" s="28" t="str">
        <f t="shared" ref="J433:J496" si="39">IF(E433="","",+(E433-E432))</f>
        <v/>
      </c>
      <c r="K433" s="28" t="str">
        <f t="shared" ref="K433:K496" si="40">IF(F433="","",+(F433-F432))</f>
        <v/>
      </c>
      <c r="L433" s="29" t="str">
        <f t="shared" ref="L433:L496" si="41">IF(G433="","",+(G433-G432))</f>
        <v/>
      </c>
      <c r="M433" s="30" t="str">
        <f t="shared" ref="M433:M496" si="42">IF(H433="","",+(H433+I433+J433+K433))</f>
        <v/>
      </c>
    </row>
    <row r="434" spans="2:13" x14ac:dyDescent="0.25">
      <c r="B434" s="22">
        <v>44627</v>
      </c>
      <c r="C434" s="41"/>
      <c r="D434" s="24"/>
      <c r="E434" s="25"/>
      <c r="F434" s="26"/>
      <c r="G434" s="27"/>
      <c r="H434" s="28" t="str">
        <f t="shared" si="37"/>
        <v/>
      </c>
      <c r="I434" s="28" t="str">
        <f t="shared" si="38"/>
        <v/>
      </c>
      <c r="J434" s="28" t="str">
        <f t="shared" si="39"/>
        <v/>
      </c>
      <c r="K434" s="28" t="str">
        <f t="shared" si="40"/>
        <v/>
      </c>
      <c r="L434" s="29" t="str">
        <f t="shared" si="41"/>
        <v/>
      </c>
      <c r="M434" s="30" t="str">
        <f t="shared" si="42"/>
        <v/>
      </c>
    </row>
    <row r="435" spans="2:13" x14ac:dyDescent="0.25">
      <c r="B435" s="22">
        <v>44628</v>
      </c>
      <c r="C435" s="41"/>
      <c r="D435" s="24"/>
      <c r="E435" s="25"/>
      <c r="F435" s="26"/>
      <c r="G435" s="27"/>
      <c r="H435" s="28" t="str">
        <f t="shared" si="37"/>
        <v/>
      </c>
      <c r="I435" s="28" t="str">
        <f t="shared" si="38"/>
        <v/>
      </c>
      <c r="J435" s="28" t="str">
        <f t="shared" si="39"/>
        <v/>
      </c>
      <c r="K435" s="28" t="str">
        <f t="shared" si="40"/>
        <v/>
      </c>
      <c r="L435" s="29" t="str">
        <f t="shared" si="41"/>
        <v/>
      </c>
      <c r="M435" s="30" t="str">
        <f t="shared" si="42"/>
        <v/>
      </c>
    </row>
    <row r="436" spans="2:13" x14ac:dyDescent="0.25">
      <c r="B436" s="22">
        <v>44629</v>
      </c>
      <c r="C436" s="41"/>
      <c r="D436" s="24"/>
      <c r="E436" s="25"/>
      <c r="F436" s="26"/>
      <c r="G436" s="27"/>
      <c r="H436" s="28" t="str">
        <f t="shared" si="37"/>
        <v/>
      </c>
      <c r="I436" s="28" t="str">
        <f t="shared" si="38"/>
        <v/>
      </c>
      <c r="J436" s="28" t="str">
        <f t="shared" si="39"/>
        <v/>
      </c>
      <c r="K436" s="28" t="str">
        <f t="shared" si="40"/>
        <v/>
      </c>
      <c r="L436" s="29" t="str">
        <f t="shared" si="41"/>
        <v/>
      </c>
      <c r="M436" s="30" t="str">
        <f t="shared" si="42"/>
        <v/>
      </c>
    </row>
    <row r="437" spans="2:13" x14ac:dyDescent="0.25">
      <c r="B437" s="22">
        <v>44630</v>
      </c>
      <c r="C437" s="41"/>
      <c r="D437" s="24"/>
      <c r="E437" s="25"/>
      <c r="F437" s="26"/>
      <c r="G437" s="27"/>
      <c r="H437" s="28" t="str">
        <f t="shared" si="37"/>
        <v/>
      </c>
      <c r="I437" s="28" t="str">
        <f t="shared" si="38"/>
        <v/>
      </c>
      <c r="J437" s="28" t="str">
        <f t="shared" si="39"/>
        <v/>
      </c>
      <c r="K437" s="28" t="str">
        <f t="shared" si="40"/>
        <v/>
      </c>
      <c r="L437" s="29" t="str">
        <f t="shared" si="41"/>
        <v/>
      </c>
      <c r="M437" s="30" t="str">
        <f t="shared" si="42"/>
        <v/>
      </c>
    </row>
    <row r="438" spans="2:13" x14ac:dyDescent="0.25">
      <c r="B438" s="22">
        <v>44631</v>
      </c>
      <c r="C438" s="41"/>
      <c r="D438" s="24"/>
      <c r="E438" s="25"/>
      <c r="F438" s="26"/>
      <c r="G438" s="27"/>
      <c r="H438" s="28" t="str">
        <f t="shared" si="37"/>
        <v/>
      </c>
      <c r="I438" s="28" t="str">
        <f t="shared" si="38"/>
        <v/>
      </c>
      <c r="J438" s="28" t="str">
        <f t="shared" si="39"/>
        <v/>
      </c>
      <c r="K438" s="28" t="str">
        <f t="shared" si="40"/>
        <v/>
      </c>
      <c r="L438" s="29" t="str">
        <f t="shared" si="41"/>
        <v/>
      </c>
      <c r="M438" s="30" t="str">
        <f t="shared" si="42"/>
        <v/>
      </c>
    </row>
    <row r="439" spans="2:13" x14ac:dyDescent="0.25">
      <c r="B439" s="22">
        <v>44632</v>
      </c>
      <c r="C439" s="41"/>
      <c r="D439" s="24"/>
      <c r="E439" s="25"/>
      <c r="F439" s="26"/>
      <c r="G439" s="27"/>
      <c r="H439" s="28" t="str">
        <f t="shared" si="37"/>
        <v/>
      </c>
      <c r="I439" s="28" t="str">
        <f t="shared" si="38"/>
        <v/>
      </c>
      <c r="J439" s="28" t="str">
        <f t="shared" si="39"/>
        <v/>
      </c>
      <c r="K439" s="28" t="str">
        <f t="shared" si="40"/>
        <v/>
      </c>
      <c r="L439" s="29" t="str">
        <f t="shared" si="41"/>
        <v/>
      </c>
      <c r="M439" s="30" t="str">
        <f t="shared" si="42"/>
        <v/>
      </c>
    </row>
    <row r="440" spans="2:13" x14ac:dyDescent="0.25">
      <c r="B440" s="22">
        <v>44633</v>
      </c>
      <c r="C440" s="41"/>
      <c r="D440" s="24"/>
      <c r="E440" s="25"/>
      <c r="F440" s="26"/>
      <c r="G440" s="27"/>
      <c r="H440" s="28" t="str">
        <f t="shared" si="37"/>
        <v/>
      </c>
      <c r="I440" s="28" t="str">
        <f t="shared" si="38"/>
        <v/>
      </c>
      <c r="J440" s="28" t="str">
        <f t="shared" si="39"/>
        <v/>
      </c>
      <c r="K440" s="28" t="str">
        <f t="shared" si="40"/>
        <v/>
      </c>
      <c r="L440" s="29" t="str">
        <f t="shared" si="41"/>
        <v/>
      </c>
      <c r="M440" s="30" t="str">
        <f t="shared" si="42"/>
        <v/>
      </c>
    </row>
    <row r="441" spans="2:13" x14ac:dyDescent="0.25">
      <c r="B441" s="22">
        <v>44634</v>
      </c>
      <c r="C441" s="41"/>
      <c r="D441" s="24"/>
      <c r="E441" s="25"/>
      <c r="F441" s="26"/>
      <c r="G441" s="27"/>
      <c r="H441" s="28" t="str">
        <f t="shared" si="37"/>
        <v/>
      </c>
      <c r="I441" s="28" t="str">
        <f t="shared" si="38"/>
        <v/>
      </c>
      <c r="J441" s="28" t="str">
        <f t="shared" si="39"/>
        <v/>
      </c>
      <c r="K441" s="28" t="str">
        <f t="shared" si="40"/>
        <v/>
      </c>
      <c r="L441" s="29" t="str">
        <f t="shared" si="41"/>
        <v/>
      </c>
      <c r="M441" s="30" t="str">
        <f t="shared" si="42"/>
        <v/>
      </c>
    </row>
    <row r="442" spans="2:13" x14ac:dyDescent="0.25">
      <c r="B442" s="22">
        <v>44635</v>
      </c>
      <c r="C442" s="41"/>
      <c r="D442" s="24"/>
      <c r="E442" s="25"/>
      <c r="F442" s="26"/>
      <c r="G442" s="27"/>
      <c r="H442" s="28" t="str">
        <f t="shared" si="37"/>
        <v/>
      </c>
      <c r="I442" s="28" t="str">
        <f t="shared" si="38"/>
        <v/>
      </c>
      <c r="J442" s="28" t="str">
        <f t="shared" si="39"/>
        <v/>
      </c>
      <c r="K442" s="28" t="str">
        <f t="shared" si="40"/>
        <v/>
      </c>
      <c r="L442" s="29" t="str">
        <f t="shared" si="41"/>
        <v/>
      </c>
      <c r="M442" s="30" t="str">
        <f t="shared" si="42"/>
        <v/>
      </c>
    </row>
    <row r="443" spans="2:13" x14ac:dyDescent="0.25">
      <c r="B443" s="22">
        <v>44636</v>
      </c>
      <c r="C443" s="41"/>
      <c r="D443" s="24"/>
      <c r="E443" s="25"/>
      <c r="F443" s="26"/>
      <c r="G443" s="27"/>
      <c r="H443" s="28" t="str">
        <f t="shared" si="37"/>
        <v/>
      </c>
      <c r="I443" s="28" t="str">
        <f t="shared" si="38"/>
        <v/>
      </c>
      <c r="J443" s="28" t="str">
        <f t="shared" si="39"/>
        <v/>
      </c>
      <c r="K443" s="28" t="str">
        <f t="shared" si="40"/>
        <v/>
      </c>
      <c r="L443" s="29" t="str">
        <f t="shared" si="41"/>
        <v/>
      </c>
      <c r="M443" s="30" t="str">
        <f t="shared" si="42"/>
        <v/>
      </c>
    </row>
    <row r="444" spans="2:13" x14ac:dyDescent="0.25">
      <c r="B444" s="22">
        <v>44637</v>
      </c>
      <c r="C444" s="41"/>
      <c r="D444" s="24"/>
      <c r="E444" s="25"/>
      <c r="F444" s="26"/>
      <c r="G444" s="27"/>
      <c r="H444" s="28" t="str">
        <f t="shared" si="37"/>
        <v/>
      </c>
      <c r="I444" s="28" t="str">
        <f t="shared" si="38"/>
        <v/>
      </c>
      <c r="J444" s="28" t="str">
        <f t="shared" si="39"/>
        <v/>
      </c>
      <c r="K444" s="28" t="str">
        <f t="shared" si="40"/>
        <v/>
      </c>
      <c r="L444" s="29" t="str">
        <f t="shared" si="41"/>
        <v/>
      </c>
      <c r="M444" s="30" t="str">
        <f t="shared" si="42"/>
        <v/>
      </c>
    </row>
    <row r="445" spans="2:13" x14ac:dyDescent="0.25">
      <c r="B445" s="22">
        <v>44638</v>
      </c>
      <c r="C445" s="41"/>
      <c r="D445" s="24"/>
      <c r="E445" s="25"/>
      <c r="F445" s="26"/>
      <c r="G445" s="27"/>
      <c r="H445" s="28" t="str">
        <f t="shared" si="37"/>
        <v/>
      </c>
      <c r="I445" s="28" t="str">
        <f t="shared" si="38"/>
        <v/>
      </c>
      <c r="J445" s="28" t="str">
        <f t="shared" si="39"/>
        <v/>
      </c>
      <c r="K445" s="28" t="str">
        <f t="shared" si="40"/>
        <v/>
      </c>
      <c r="L445" s="29" t="str">
        <f t="shared" si="41"/>
        <v/>
      </c>
      <c r="M445" s="30" t="str">
        <f t="shared" si="42"/>
        <v/>
      </c>
    </row>
    <row r="446" spans="2:13" x14ac:dyDescent="0.25">
      <c r="B446" s="22">
        <v>44639</v>
      </c>
      <c r="C446" s="41"/>
      <c r="D446" s="24"/>
      <c r="E446" s="25"/>
      <c r="F446" s="26"/>
      <c r="G446" s="27"/>
      <c r="H446" s="28" t="str">
        <f t="shared" si="37"/>
        <v/>
      </c>
      <c r="I446" s="28" t="str">
        <f t="shared" si="38"/>
        <v/>
      </c>
      <c r="J446" s="28" t="str">
        <f t="shared" si="39"/>
        <v/>
      </c>
      <c r="K446" s="28" t="str">
        <f t="shared" si="40"/>
        <v/>
      </c>
      <c r="L446" s="29" t="str">
        <f t="shared" si="41"/>
        <v/>
      </c>
      <c r="M446" s="30" t="str">
        <f t="shared" si="42"/>
        <v/>
      </c>
    </row>
    <row r="447" spans="2:13" x14ac:dyDescent="0.25">
      <c r="B447" s="22">
        <v>44640</v>
      </c>
      <c r="C447" s="41"/>
      <c r="D447" s="24"/>
      <c r="E447" s="25"/>
      <c r="F447" s="26"/>
      <c r="G447" s="27"/>
      <c r="H447" s="28" t="str">
        <f t="shared" si="37"/>
        <v/>
      </c>
      <c r="I447" s="28" t="str">
        <f t="shared" si="38"/>
        <v/>
      </c>
      <c r="J447" s="28" t="str">
        <f t="shared" si="39"/>
        <v/>
      </c>
      <c r="K447" s="28" t="str">
        <f t="shared" si="40"/>
        <v/>
      </c>
      <c r="L447" s="29" t="str">
        <f t="shared" si="41"/>
        <v/>
      </c>
      <c r="M447" s="30" t="str">
        <f t="shared" si="42"/>
        <v/>
      </c>
    </row>
    <row r="448" spans="2:13" x14ac:dyDescent="0.25">
      <c r="B448" s="22">
        <v>44641</v>
      </c>
      <c r="C448" s="41"/>
      <c r="D448" s="24"/>
      <c r="E448" s="25"/>
      <c r="F448" s="26"/>
      <c r="G448" s="27"/>
      <c r="H448" s="28" t="str">
        <f t="shared" si="37"/>
        <v/>
      </c>
      <c r="I448" s="28" t="str">
        <f t="shared" si="38"/>
        <v/>
      </c>
      <c r="J448" s="28" t="str">
        <f t="shared" si="39"/>
        <v/>
      </c>
      <c r="K448" s="28" t="str">
        <f t="shared" si="40"/>
        <v/>
      </c>
      <c r="L448" s="29" t="str">
        <f t="shared" si="41"/>
        <v/>
      </c>
      <c r="M448" s="30" t="str">
        <f t="shared" si="42"/>
        <v/>
      </c>
    </row>
    <row r="449" spans="2:13" x14ac:dyDescent="0.25">
      <c r="B449" s="22">
        <v>44642</v>
      </c>
      <c r="C449" s="41"/>
      <c r="D449" s="24"/>
      <c r="E449" s="25"/>
      <c r="F449" s="26"/>
      <c r="G449" s="27"/>
      <c r="H449" s="28" t="str">
        <f t="shared" si="37"/>
        <v/>
      </c>
      <c r="I449" s="28" t="str">
        <f t="shared" si="38"/>
        <v/>
      </c>
      <c r="J449" s="28" t="str">
        <f t="shared" si="39"/>
        <v/>
      </c>
      <c r="K449" s="28" t="str">
        <f t="shared" si="40"/>
        <v/>
      </c>
      <c r="L449" s="29" t="str">
        <f t="shared" si="41"/>
        <v/>
      </c>
      <c r="M449" s="30" t="str">
        <f t="shared" si="42"/>
        <v/>
      </c>
    </row>
    <row r="450" spans="2:13" x14ac:dyDescent="0.25">
      <c r="B450" s="22">
        <v>44643</v>
      </c>
      <c r="C450" s="41"/>
      <c r="D450" s="24"/>
      <c r="E450" s="25"/>
      <c r="F450" s="26"/>
      <c r="G450" s="27"/>
      <c r="H450" s="28" t="str">
        <f t="shared" si="37"/>
        <v/>
      </c>
      <c r="I450" s="28" t="str">
        <f t="shared" si="38"/>
        <v/>
      </c>
      <c r="J450" s="28" t="str">
        <f t="shared" si="39"/>
        <v/>
      </c>
      <c r="K450" s="28" t="str">
        <f t="shared" si="40"/>
        <v/>
      </c>
      <c r="L450" s="29" t="str">
        <f t="shared" si="41"/>
        <v/>
      </c>
      <c r="M450" s="30" t="str">
        <f t="shared" si="42"/>
        <v/>
      </c>
    </row>
    <row r="451" spans="2:13" x14ac:dyDescent="0.25">
      <c r="B451" s="22">
        <v>44644</v>
      </c>
      <c r="C451" s="41"/>
      <c r="D451" s="24"/>
      <c r="E451" s="25"/>
      <c r="F451" s="26"/>
      <c r="G451" s="27"/>
      <c r="H451" s="28" t="str">
        <f t="shared" si="37"/>
        <v/>
      </c>
      <c r="I451" s="28" t="str">
        <f t="shared" si="38"/>
        <v/>
      </c>
      <c r="J451" s="28" t="str">
        <f t="shared" si="39"/>
        <v/>
      </c>
      <c r="K451" s="28" t="str">
        <f t="shared" si="40"/>
        <v/>
      </c>
      <c r="L451" s="29" t="str">
        <f t="shared" si="41"/>
        <v/>
      </c>
      <c r="M451" s="30" t="str">
        <f t="shared" si="42"/>
        <v/>
      </c>
    </row>
    <row r="452" spans="2:13" x14ac:dyDescent="0.25">
      <c r="B452" s="22">
        <v>44645</v>
      </c>
      <c r="C452" s="41"/>
      <c r="D452" s="24"/>
      <c r="E452" s="25"/>
      <c r="F452" s="26"/>
      <c r="G452" s="27"/>
      <c r="H452" s="28" t="str">
        <f t="shared" si="37"/>
        <v/>
      </c>
      <c r="I452" s="28" t="str">
        <f t="shared" si="38"/>
        <v/>
      </c>
      <c r="J452" s="28" t="str">
        <f t="shared" si="39"/>
        <v/>
      </c>
      <c r="K452" s="28" t="str">
        <f t="shared" si="40"/>
        <v/>
      </c>
      <c r="L452" s="29" t="str">
        <f t="shared" si="41"/>
        <v/>
      </c>
      <c r="M452" s="30" t="str">
        <f t="shared" si="42"/>
        <v/>
      </c>
    </row>
    <row r="453" spans="2:13" x14ac:dyDescent="0.25">
      <c r="B453" s="22">
        <v>44646</v>
      </c>
      <c r="C453" s="41"/>
      <c r="D453" s="24"/>
      <c r="E453" s="25"/>
      <c r="F453" s="26"/>
      <c r="G453" s="27"/>
      <c r="H453" s="28" t="str">
        <f t="shared" si="37"/>
        <v/>
      </c>
      <c r="I453" s="28" t="str">
        <f t="shared" si="38"/>
        <v/>
      </c>
      <c r="J453" s="28" t="str">
        <f t="shared" si="39"/>
        <v/>
      </c>
      <c r="K453" s="28" t="str">
        <f t="shared" si="40"/>
        <v/>
      </c>
      <c r="L453" s="29" t="str">
        <f t="shared" si="41"/>
        <v/>
      </c>
      <c r="M453" s="30" t="str">
        <f t="shared" si="42"/>
        <v/>
      </c>
    </row>
    <row r="454" spans="2:13" x14ac:dyDescent="0.25">
      <c r="B454" s="22">
        <v>44647</v>
      </c>
      <c r="C454" s="41"/>
      <c r="D454" s="24"/>
      <c r="E454" s="25"/>
      <c r="F454" s="26"/>
      <c r="G454" s="27"/>
      <c r="H454" s="28" t="str">
        <f t="shared" si="37"/>
        <v/>
      </c>
      <c r="I454" s="28" t="str">
        <f t="shared" si="38"/>
        <v/>
      </c>
      <c r="J454" s="28" t="str">
        <f t="shared" si="39"/>
        <v/>
      </c>
      <c r="K454" s="28" t="str">
        <f t="shared" si="40"/>
        <v/>
      </c>
      <c r="L454" s="29" t="str">
        <f t="shared" si="41"/>
        <v/>
      </c>
      <c r="M454" s="30" t="str">
        <f t="shared" si="42"/>
        <v/>
      </c>
    </row>
    <row r="455" spans="2:13" x14ac:dyDescent="0.25">
      <c r="B455" s="22">
        <v>44648</v>
      </c>
      <c r="C455" s="41"/>
      <c r="D455" s="24"/>
      <c r="E455" s="25"/>
      <c r="F455" s="26"/>
      <c r="G455" s="27"/>
      <c r="H455" s="28" t="str">
        <f t="shared" si="37"/>
        <v/>
      </c>
      <c r="I455" s="28" t="str">
        <f t="shared" si="38"/>
        <v/>
      </c>
      <c r="J455" s="28" t="str">
        <f t="shared" si="39"/>
        <v/>
      </c>
      <c r="K455" s="28" t="str">
        <f t="shared" si="40"/>
        <v/>
      </c>
      <c r="L455" s="29" t="str">
        <f t="shared" si="41"/>
        <v/>
      </c>
      <c r="M455" s="30" t="str">
        <f t="shared" si="42"/>
        <v/>
      </c>
    </row>
    <row r="456" spans="2:13" x14ac:dyDescent="0.25">
      <c r="B456" s="22">
        <v>44649</v>
      </c>
      <c r="C456" s="41"/>
      <c r="D456" s="24"/>
      <c r="E456" s="25"/>
      <c r="F456" s="26"/>
      <c r="G456" s="27"/>
      <c r="H456" s="28" t="str">
        <f t="shared" si="37"/>
        <v/>
      </c>
      <c r="I456" s="28" t="str">
        <f t="shared" si="38"/>
        <v/>
      </c>
      <c r="J456" s="28" t="str">
        <f t="shared" si="39"/>
        <v/>
      </c>
      <c r="K456" s="28" t="str">
        <f t="shared" si="40"/>
        <v/>
      </c>
      <c r="L456" s="29" t="str">
        <f t="shared" si="41"/>
        <v/>
      </c>
      <c r="M456" s="30" t="str">
        <f t="shared" si="42"/>
        <v/>
      </c>
    </row>
    <row r="457" spans="2:13" x14ac:dyDescent="0.25">
      <c r="B457" s="22">
        <v>44650</v>
      </c>
      <c r="C457" s="41"/>
      <c r="D457" s="24"/>
      <c r="E457" s="25"/>
      <c r="F457" s="26"/>
      <c r="G457" s="27"/>
      <c r="H457" s="28" t="str">
        <f t="shared" si="37"/>
        <v/>
      </c>
      <c r="I457" s="28" t="str">
        <f t="shared" si="38"/>
        <v/>
      </c>
      <c r="J457" s="28" t="str">
        <f t="shared" si="39"/>
        <v/>
      </c>
      <c r="K457" s="28" t="str">
        <f t="shared" si="40"/>
        <v/>
      </c>
      <c r="L457" s="29" t="str">
        <f t="shared" si="41"/>
        <v/>
      </c>
      <c r="M457" s="30" t="str">
        <f t="shared" si="42"/>
        <v/>
      </c>
    </row>
    <row r="458" spans="2:13" x14ac:dyDescent="0.25">
      <c r="B458" s="22">
        <v>44651</v>
      </c>
      <c r="C458" s="41"/>
      <c r="D458" s="24"/>
      <c r="E458" s="25"/>
      <c r="F458" s="26"/>
      <c r="G458" s="27"/>
      <c r="H458" s="28" t="str">
        <f t="shared" si="37"/>
        <v/>
      </c>
      <c r="I458" s="28" t="str">
        <f t="shared" si="38"/>
        <v/>
      </c>
      <c r="J458" s="28" t="str">
        <f t="shared" si="39"/>
        <v/>
      </c>
      <c r="K458" s="28" t="str">
        <f t="shared" si="40"/>
        <v/>
      </c>
      <c r="L458" s="29" t="str">
        <f t="shared" si="41"/>
        <v/>
      </c>
      <c r="M458" s="30" t="str">
        <f t="shared" si="42"/>
        <v/>
      </c>
    </row>
    <row r="459" spans="2:13" x14ac:dyDescent="0.25">
      <c r="B459" s="22">
        <v>44652</v>
      </c>
      <c r="C459" s="41"/>
      <c r="D459" s="24"/>
      <c r="E459" s="25"/>
      <c r="F459" s="26"/>
      <c r="G459" s="27"/>
      <c r="H459" s="28" t="str">
        <f t="shared" si="37"/>
        <v/>
      </c>
      <c r="I459" s="28" t="str">
        <f t="shared" si="38"/>
        <v/>
      </c>
      <c r="J459" s="28" t="str">
        <f t="shared" si="39"/>
        <v/>
      </c>
      <c r="K459" s="28" t="str">
        <f t="shared" si="40"/>
        <v/>
      </c>
      <c r="L459" s="29" t="str">
        <f t="shared" si="41"/>
        <v/>
      </c>
      <c r="M459" s="30" t="str">
        <f t="shared" si="42"/>
        <v/>
      </c>
    </row>
    <row r="460" spans="2:13" x14ac:dyDescent="0.25">
      <c r="B460" s="22">
        <v>44653</v>
      </c>
      <c r="C460" s="41"/>
      <c r="D460" s="24"/>
      <c r="E460" s="25"/>
      <c r="F460" s="26"/>
      <c r="G460" s="27"/>
      <c r="H460" s="28" t="str">
        <f t="shared" si="37"/>
        <v/>
      </c>
      <c r="I460" s="28" t="str">
        <f t="shared" si="38"/>
        <v/>
      </c>
      <c r="J460" s="28" t="str">
        <f t="shared" si="39"/>
        <v/>
      </c>
      <c r="K460" s="28" t="str">
        <f t="shared" si="40"/>
        <v/>
      </c>
      <c r="L460" s="29" t="str">
        <f t="shared" si="41"/>
        <v/>
      </c>
      <c r="M460" s="30" t="str">
        <f t="shared" si="42"/>
        <v/>
      </c>
    </row>
    <row r="461" spans="2:13" x14ac:dyDescent="0.25">
      <c r="B461" s="22">
        <v>44654</v>
      </c>
      <c r="C461" s="41"/>
      <c r="D461" s="24"/>
      <c r="E461" s="25"/>
      <c r="F461" s="26"/>
      <c r="G461" s="27"/>
      <c r="H461" s="28" t="str">
        <f t="shared" si="37"/>
        <v/>
      </c>
      <c r="I461" s="28" t="str">
        <f t="shared" si="38"/>
        <v/>
      </c>
      <c r="J461" s="28" t="str">
        <f t="shared" si="39"/>
        <v/>
      </c>
      <c r="K461" s="28" t="str">
        <f t="shared" si="40"/>
        <v/>
      </c>
      <c r="L461" s="29" t="str">
        <f t="shared" si="41"/>
        <v/>
      </c>
      <c r="M461" s="30" t="str">
        <f t="shared" si="42"/>
        <v/>
      </c>
    </row>
    <row r="462" spans="2:13" x14ac:dyDescent="0.25">
      <c r="B462" s="22">
        <v>44655</v>
      </c>
      <c r="C462" s="41"/>
      <c r="D462" s="24"/>
      <c r="E462" s="25"/>
      <c r="F462" s="26"/>
      <c r="G462" s="27"/>
      <c r="H462" s="28" t="str">
        <f t="shared" si="37"/>
        <v/>
      </c>
      <c r="I462" s="28" t="str">
        <f t="shared" si="38"/>
        <v/>
      </c>
      <c r="J462" s="28" t="str">
        <f t="shared" si="39"/>
        <v/>
      </c>
      <c r="K462" s="28" t="str">
        <f t="shared" si="40"/>
        <v/>
      </c>
      <c r="L462" s="29" t="str">
        <f t="shared" si="41"/>
        <v/>
      </c>
      <c r="M462" s="30" t="str">
        <f t="shared" si="42"/>
        <v/>
      </c>
    </row>
    <row r="463" spans="2:13" x14ac:dyDescent="0.25">
      <c r="B463" s="22">
        <v>44656</v>
      </c>
      <c r="C463" s="41"/>
      <c r="D463" s="24"/>
      <c r="E463" s="25"/>
      <c r="F463" s="26"/>
      <c r="G463" s="27"/>
      <c r="H463" s="28" t="str">
        <f t="shared" si="37"/>
        <v/>
      </c>
      <c r="I463" s="28" t="str">
        <f t="shared" si="38"/>
        <v/>
      </c>
      <c r="J463" s="28" t="str">
        <f t="shared" si="39"/>
        <v/>
      </c>
      <c r="K463" s="28" t="str">
        <f t="shared" si="40"/>
        <v/>
      </c>
      <c r="L463" s="29" t="str">
        <f t="shared" si="41"/>
        <v/>
      </c>
      <c r="M463" s="30" t="str">
        <f t="shared" si="42"/>
        <v/>
      </c>
    </row>
    <row r="464" spans="2:13" x14ac:dyDescent="0.25">
      <c r="B464" s="22">
        <v>44657</v>
      </c>
      <c r="C464" s="41"/>
      <c r="D464" s="24"/>
      <c r="E464" s="25"/>
      <c r="F464" s="26"/>
      <c r="G464" s="27"/>
      <c r="H464" s="28" t="str">
        <f t="shared" si="37"/>
        <v/>
      </c>
      <c r="I464" s="28" t="str">
        <f t="shared" si="38"/>
        <v/>
      </c>
      <c r="J464" s="28" t="str">
        <f t="shared" si="39"/>
        <v/>
      </c>
      <c r="K464" s="28" t="str">
        <f t="shared" si="40"/>
        <v/>
      </c>
      <c r="L464" s="29" t="str">
        <f t="shared" si="41"/>
        <v/>
      </c>
      <c r="M464" s="30" t="str">
        <f t="shared" si="42"/>
        <v/>
      </c>
    </row>
    <row r="465" spans="2:13" x14ac:dyDescent="0.25">
      <c r="B465" s="22">
        <v>44658</v>
      </c>
      <c r="C465" s="41"/>
      <c r="D465" s="24"/>
      <c r="E465" s="25"/>
      <c r="F465" s="26"/>
      <c r="G465" s="27"/>
      <c r="H465" s="28" t="str">
        <f t="shared" si="37"/>
        <v/>
      </c>
      <c r="I465" s="28" t="str">
        <f t="shared" si="38"/>
        <v/>
      </c>
      <c r="J465" s="28" t="str">
        <f t="shared" si="39"/>
        <v/>
      </c>
      <c r="K465" s="28" t="str">
        <f t="shared" si="40"/>
        <v/>
      </c>
      <c r="L465" s="29" t="str">
        <f t="shared" si="41"/>
        <v/>
      </c>
      <c r="M465" s="30" t="str">
        <f t="shared" si="42"/>
        <v/>
      </c>
    </row>
    <row r="466" spans="2:13" x14ac:dyDescent="0.25">
      <c r="B466" s="22">
        <v>44659</v>
      </c>
      <c r="C466" s="41"/>
      <c r="D466" s="24"/>
      <c r="E466" s="25"/>
      <c r="F466" s="26"/>
      <c r="G466" s="27"/>
      <c r="H466" s="28" t="str">
        <f t="shared" si="37"/>
        <v/>
      </c>
      <c r="I466" s="28" t="str">
        <f t="shared" si="38"/>
        <v/>
      </c>
      <c r="J466" s="28" t="str">
        <f t="shared" si="39"/>
        <v/>
      </c>
      <c r="K466" s="28" t="str">
        <f t="shared" si="40"/>
        <v/>
      </c>
      <c r="L466" s="29" t="str">
        <f t="shared" si="41"/>
        <v/>
      </c>
      <c r="M466" s="30" t="str">
        <f t="shared" si="42"/>
        <v/>
      </c>
    </row>
    <row r="467" spans="2:13" x14ac:dyDescent="0.25">
      <c r="B467" s="22">
        <v>44660</v>
      </c>
      <c r="C467" s="41"/>
      <c r="D467" s="24"/>
      <c r="E467" s="25"/>
      <c r="F467" s="26"/>
      <c r="G467" s="27"/>
      <c r="H467" s="28" t="str">
        <f t="shared" si="37"/>
        <v/>
      </c>
      <c r="I467" s="28" t="str">
        <f t="shared" si="38"/>
        <v/>
      </c>
      <c r="J467" s="28" t="str">
        <f t="shared" si="39"/>
        <v/>
      </c>
      <c r="K467" s="28" t="str">
        <f t="shared" si="40"/>
        <v/>
      </c>
      <c r="L467" s="29" t="str">
        <f t="shared" si="41"/>
        <v/>
      </c>
      <c r="M467" s="30" t="str">
        <f t="shared" si="42"/>
        <v/>
      </c>
    </row>
    <row r="468" spans="2:13" x14ac:dyDescent="0.25">
      <c r="B468" s="22">
        <v>44661</v>
      </c>
      <c r="C468" s="41"/>
      <c r="D468" s="24"/>
      <c r="E468" s="25"/>
      <c r="F468" s="26"/>
      <c r="G468" s="27"/>
      <c r="H468" s="28" t="str">
        <f t="shared" si="37"/>
        <v/>
      </c>
      <c r="I468" s="28" t="str">
        <f t="shared" si="38"/>
        <v/>
      </c>
      <c r="J468" s="28" t="str">
        <f t="shared" si="39"/>
        <v/>
      </c>
      <c r="K468" s="28" t="str">
        <f t="shared" si="40"/>
        <v/>
      </c>
      <c r="L468" s="29" t="str">
        <f t="shared" si="41"/>
        <v/>
      </c>
      <c r="M468" s="30" t="str">
        <f t="shared" si="42"/>
        <v/>
      </c>
    </row>
    <row r="469" spans="2:13" x14ac:dyDescent="0.25">
      <c r="B469" s="22">
        <v>44662</v>
      </c>
      <c r="C469" s="41"/>
      <c r="D469" s="24"/>
      <c r="E469" s="25"/>
      <c r="F469" s="26"/>
      <c r="G469" s="27"/>
      <c r="H469" s="28" t="str">
        <f t="shared" si="37"/>
        <v/>
      </c>
      <c r="I469" s="28" t="str">
        <f t="shared" si="38"/>
        <v/>
      </c>
      <c r="J469" s="28" t="str">
        <f t="shared" si="39"/>
        <v/>
      </c>
      <c r="K469" s="28" t="str">
        <f t="shared" si="40"/>
        <v/>
      </c>
      <c r="L469" s="29" t="str">
        <f t="shared" si="41"/>
        <v/>
      </c>
      <c r="M469" s="30" t="str">
        <f t="shared" si="42"/>
        <v/>
      </c>
    </row>
    <row r="470" spans="2:13" x14ac:dyDescent="0.25">
      <c r="B470" s="22">
        <v>44663</v>
      </c>
      <c r="C470" s="41"/>
      <c r="D470" s="24"/>
      <c r="E470" s="25"/>
      <c r="F470" s="26"/>
      <c r="G470" s="27"/>
      <c r="H470" s="28" t="str">
        <f t="shared" si="37"/>
        <v/>
      </c>
      <c r="I470" s="28" t="str">
        <f t="shared" si="38"/>
        <v/>
      </c>
      <c r="J470" s="28" t="str">
        <f t="shared" si="39"/>
        <v/>
      </c>
      <c r="K470" s="28" t="str">
        <f t="shared" si="40"/>
        <v/>
      </c>
      <c r="L470" s="29" t="str">
        <f t="shared" si="41"/>
        <v/>
      </c>
      <c r="M470" s="30" t="str">
        <f t="shared" si="42"/>
        <v/>
      </c>
    </row>
    <row r="471" spans="2:13" x14ac:dyDescent="0.25">
      <c r="B471" s="22">
        <v>44664</v>
      </c>
      <c r="C471" s="41"/>
      <c r="D471" s="24"/>
      <c r="E471" s="25"/>
      <c r="F471" s="26"/>
      <c r="G471" s="27"/>
      <c r="H471" s="28" t="str">
        <f t="shared" si="37"/>
        <v/>
      </c>
      <c r="I471" s="28" t="str">
        <f t="shared" si="38"/>
        <v/>
      </c>
      <c r="J471" s="28" t="str">
        <f t="shared" si="39"/>
        <v/>
      </c>
      <c r="K471" s="28" t="str">
        <f t="shared" si="40"/>
        <v/>
      </c>
      <c r="L471" s="29" t="str">
        <f t="shared" si="41"/>
        <v/>
      </c>
      <c r="M471" s="30" t="str">
        <f t="shared" si="42"/>
        <v/>
      </c>
    </row>
    <row r="472" spans="2:13" x14ac:dyDescent="0.25">
      <c r="B472" s="22">
        <v>44665</v>
      </c>
      <c r="C472" s="41"/>
      <c r="D472" s="24"/>
      <c r="E472" s="25"/>
      <c r="F472" s="26"/>
      <c r="G472" s="27"/>
      <c r="H472" s="28" t="str">
        <f t="shared" si="37"/>
        <v/>
      </c>
      <c r="I472" s="28" t="str">
        <f t="shared" si="38"/>
        <v/>
      </c>
      <c r="J472" s="28" t="str">
        <f t="shared" si="39"/>
        <v/>
      </c>
      <c r="K472" s="28" t="str">
        <f t="shared" si="40"/>
        <v/>
      </c>
      <c r="L472" s="29" t="str">
        <f t="shared" si="41"/>
        <v/>
      </c>
      <c r="M472" s="30" t="str">
        <f t="shared" si="42"/>
        <v/>
      </c>
    </row>
    <row r="473" spans="2:13" x14ac:dyDescent="0.25">
      <c r="B473" s="22">
        <v>44666</v>
      </c>
      <c r="C473" s="41"/>
      <c r="D473" s="24"/>
      <c r="E473" s="25"/>
      <c r="F473" s="26"/>
      <c r="G473" s="27"/>
      <c r="H473" s="28" t="str">
        <f t="shared" si="37"/>
        <v/>
      </c>
      <c r="I473" s="28" t="str">
        <f t="shared" si="38"/>
        <v/>
      </c>
      <c r="J473" s="28" t="str">
        <f t="shared" si="39"/>
        <v/>
      </c>
      <c r="K473" s="28" t="str">
        <f t="shared" si="40"/>
        <v/>
      </c>
      <c r="L473" s="29" t="str">
        <f t="shared" si="41"/>
        <v/>
      </c>
      <c r="M473" s="30" t="str">
        <f t="shared" si="42"/>
        <v/>
      </c>
    </row>
    <row r="474" spans="2:13" x14ac:dyDescent="0.25">
      <c r="B474" s="22">
        <v>44667</v>
      </c>
      <c r="C474" s="41"/>
      <c r="D474" s="24"/>
      <c r="E474" s="25"/>
      <c r="F474" s="26"/>
      <c r="G474" s="27"/>
      <c r="H474" s="28" t="str">
        <f t="shared" si="37"/>
        <v/>
      </c>
      <c r="I474" s="28" t="str">
        <f t="shared" si="38"/>
        <v/>
      </c>
      <c r="J474" s="28" t="str">
        <f t="shared" si="39"/>
        <v/>
      </c>
      <c r="K474" s="28" t="str">
        <f t="shared" si="40"/>
        <v/>
      </c>
      <c r="L474" s="29" t="str">
        <f t="shared" si="41"/>
        <v/>
      </c>
      <c r="M474" s="30" t="str">
        <f t="shared" si="42"/>
        <v/>
      </c>
    </row>
    <row r="475" spans="2:13" x14ac:dyDescent="0.25">
      <c r="B475" s="22">
        <v>44668</v>
      </c>
      <c r="C475" s="41"/>
      <c r="D475" s="24"/>
      <c r="E475" s="25"/>
      <c r="F475" s="26"/>
      <c r="G475" s="27"/>
      <c r="H475" s="28" t="str">
        <f t="shared" si="37"/>
        <v/>
      </c>
      <c r="I475" s="28" t="str">
        <f t="shared" si="38"/>
        <v/>
      </c>
      <c r="J475" s="28" t="str">
        <f t="shared" si="39"/>
        <v/>
      </c>
      <c r="K475" s="28" t="str">
        <f t="shared" si="40"/>
        <v/>
      </c>
      <c r="L475" s="29" t="str">
        <f t="shared" si="41"/>
        <v/>
      </c>
      <c r="M475" s="30" t="str">
        <f t="shared" si="42"/>
        <v/>
      </c>
    </row>
    <row r="476" spans="2:13" x14ac:dyDescent="0.25">
      <c r="B476" s="22">
        <v>44669</v>
      </c>
      <c r="C476" s="41"/>
      <c r="D476" s="24"/>
      <c r="E476" s="25"/>
      <c r="F476" s="26"/>
      <c r="G476" s="27"/>
      <c r="H476" s="28" t="str">
        <f t="shared" si="37"/>
        <v/>
      </c>
      <c r="I476" s="28" t="str">
        <f t="shared" si="38"/>
        <v/>
      </c>
      <c r="J476" s="28" t="str">
        <f t="shared" si="39"/>
        <v/>
      </c>
      <c r="K476" s="28" t="str">
        <f t="shared" si="40"/>
        <v/>
      </c>
      <c r="L476" s="29" t="str">
        <f t="shared" si="41"/>
        <v/>
      </c>
      <c r="M476" s="30" t="str">
        <f t="shared" si="42"/>
        <v/>
      </c>
    </row>
    <row r="477" spans="2:13" x14ac:dyDescent="0.25">
      <c r="B477" s="22">
        <v>44670</v>
      </c>
      <c r="C477" s="41"/>
      <c r="D477" s="24"/>
      <c r="E477" s="25"/>
      <c r="F477" s="26"/>
      <c r="G477" s="27"/>
      <c r="H477" s="28" t="str">
        <f t="shared" si="37"/>
        <v/>
      </c>
      <c r="I477" s="28" t="str">
        <f t="shared" si="38"/>
        <v/>
      </c>
      <c r="J477" s="28" t="str">
        <f t="shared" si="39"/>
        <v/>
      </c>
      <c r="K477" s="28" t="str">
        <f t="shared" si="40"/>
        <v/>
      </c>
      <c r="L477" s="29" t="str">
        <f t="shared" si="41"/>
        <v/>
      </c>
      <c r="M477" s="30" t="str">
        <f t="shared" si="42"/>
        <v/>
      </c>
    </row>
    <row r="478" spans="2:13" x14ac:dyDescent="0.25">
      <c r="B478" s="22">
        <v>44671</v>
      </c>
      <c r="C478" s="41"/>
      <c r="D478" s="24"/>
      <c r="E478" s="25"/>
      <c r="F478" s="26"/>
      <c r="G478" s="27"/>
      <c r="H478" s="28" t="str">
        <f t="shared" si="37"/>
        <v/>
      </c>
      <c r="I478" s="28" t="str">
        <f t="shared" si="38"/>
        <v/>
      </c>
      <c r="J478" s="28" t="str">
        <f t="shared" si="39"/>
        <v/>
      </c>
      <c r="K478" s="28" t="str">
        <f t="shared" si="40"/>
        <v/>
      </c>
      <c r="L478" s="29" t="str">
        <f t="shared" si="41"/>
        <v/>
      </c>
      <c r="M478" s="30" t="str">
        <f t="shared" si="42"/>
        <v/>
      </c>
    </row>
    <row r="479" spans="2:13" x14ac:dyDescent="0.25">
      <c r="B479" s="22">
        <v>44672</v>
      </c>
      <c r="C479" s="41"/>
      <c r="D479" s="24"/>
      <c r="E479" s="25"/>
      <c r="F479" s="26"/>
      <c r="G479" s="27"/>
      <c r="H479" s="28" t="str">
        <f t="shared" si="37"/>
        <v/>
      </c>
      <c r="I479" s="28" t="str">
        <f t="shared" si="38"/>
        <v/>
      </c>
      <c r="J479" s="28" t="str">
        <f t="shared" si="39"/>
        <v/>
      </c>
      <c r="K479" s="28" t="str">
        <f t="shared" si="40"/>
        <v/>
      </c>
      <c r="L479" s="29" t="str">
        <f t="shared" si="41"/>
        <v/>
      </c>
      <c r="M479" s="30" t="str">
        <f t="shared" si="42"/>
        <v/>
      </c>
    </row>
    <row r="480" spans="2:13" x14ac:dyDescent="0.25">
      <c r="B480" s="22">
        <v>44673</v>
      </c>
      <c r="C480" s="41"/>
      <c r="D480" s="24"/>
      <c r="E480" s="25"/>
      <c r="F480" s="26"/>
      <c r="G480" s="27"/>
      <c r="H480" s="28" t="str">
        <f t="shared" si="37"/>
        <v/>
      </c>
      <c r="I480" s="28" t="str">
        <f t="shared" si="38"/>
        <v/>
      </c>
      <c r="J480" s="28" t="str">
        <f t="shared" si="39"/>
        <v/>
      </c>
      <c r="K480" s="28" t="str">
        <f t="shared" si="40"/>
        <v/>
      </c>
      <c r="L480" s="29" t="str">
        <f t="shared" si="41"/>
        <v/>
      </c>
      <c r="M480" s="30" t="str">
        <f t="shared" si="42"/>
        <v/>
      </c>
    </row>
    <row r="481" spans="2:13" x14ac:dyDescent="0.25">
      <c r="B481" s="22">
        <v>44674</v>
      </c>
      <c r="C481" s="41"/>
      <c r="D481" s="24"/>
      <c r="E481" s="25"/>
      <c r="F481" s="26"/>
      <c r="G481" s="27"/>
      <c r="H481" s="28" t="str">
        <f t="shared" si="37"/>
        <v/>
      </c>
      <c r="I481" s="28" t="str">
        <f t="shared" si="38"/>
        <v/>
      </c>
      <c r="J481" s="28" t="str">
        <f t="shared" si="39"/>
        <v/>
      </c>
      <c r="K481" s="28" t="str">
        <f t="shared" si="40"/>
        <v/>
      </c>
      <c r="L481" s="29" t="str">
        <f t="shared" si="41"/>
        <v/>
      </c>
      <c r="M481" s="30" t="str">
        <f t="shared" si="42"/>
        <v/>
      </c>
    </row>
    <row r="482" spans="2:13" x14ac:dyDescent="0.25">
      <c r="B482" s="22">
        <v>44675</v>
      </c>
      <c r="C482" s="41"/>
      <c r="D482" s="24"/>
      <c r="E482" s="25"/>
      <c r="F482" s="26"/>
      <c r="G482" s="27"/>
      <c r="H482" s="28" t="str">
        <f t="shared" si="37"/>
        <v/>
      </c>
      <c r="I482" s="28" t="str">
        <f t="shared" si="38"/>
        <v/>
      </c>
      <c r="J482" s="28" t="str">
        <f t="shared" si="39"/>
        <v/>
      </c>
      <c r="K482" s="28" t="str">
        <f t="shared" si="40"/>
        <v/>
      </c>
      <c r="L482" s="29" t="str">
        <f t="shared" si="41"/>
        <v/>
      </c>
      <c r="M482" s="30" t="str">
        <f t="shared" si="42"/>
        <v/>
      </c>
    </row>
    <row r="483" spans="2:13" x14ac:dyDescent="0.25">
      <c r="B483" s="22">
        <v>44676</v>
      </c>
      <c r="C483" s="41"/>
      <c r="D483" s="24"/>
      <c r="E483" s="25"/>
      <c r="F483" s="26"/>
      <c r="G483" s="27"/>
      <c r="H483" s="28" t="str">
        <f t="shared" si="37"/>
        <v/>
      </c>
      <c r="I483" s="28" t="str">
        <f t="shared" si="38"/>
        <v/>
      </c>
      <c r="J483" s="28" t="str">
        <f t="shared" si="39"/>
        <v/>
      </c>
      <c r="K483" s="28" t="str">
        <f t="shared" si="40"/>
        <v/>
      </c>
      <c r="L483" s="29" t="str">
        <f t="shared" si="41"/>
        <v/>
      </c>
      <c r="M483" s="30" t="str">
        <f t="shared" si="42"/>
        <v/>
      </c>
    </row>
    <row r="484" spans="2:13" x14ac:dyDescent="0.25">
      <c r="B484" s="22">
        <v>44677</v>
      </c>
      <c r="C484" s="41"/>
      <c r="D484" s="24"/>
      <c r="E484" s="25"/>
      <c r="F484" s="26"/>
      <c r="G484" s="27"/>
      <c r="H484" s="28" t="str">
        <f t="shared" si="37"/>
        <v/>
      </c>
      <c r="I484" s="28" t="str">
        <f t="shared" si="38"/>
        <v/>
      </c>
      <c r="J484" s="28" t="str">
        <f t="shared" si="39"/>
        <v/>
      </c>
      <c r="K484" s="28" t="str">
        <f t="shared" si="40"/>
        <v/>
      </c>
      <c r="L484" s="29" t="str">
        <f t="shared" si="41"/>
        <v/>
      </c>
      <c r="M484" s="30" t="str">
        <f t="shared" si="42"/>
        <v/>
      </c>
    </row>
    <row r="485" spans="2:13" x14ac:dyDescent="0.25">
      <c r="B485" s="22">
        <v>44678</v>
      </c>
      <c r="C485" s="41"/>
      <c r="D485" s="24"/>
      <c r="E485" s="25"/>
      <c r="F485" s="26"/>
      <c r="G485" s="27"/>
      <c r="H485" s="28" t="str">
        <f t="shared" si="37"/>
        <v/>
      </c>
      <c r="I485" s="28" t="str">
        <f t="shared" si="38"/>
        <v/>
      </c>
      <c r="J485" s="28" t="str">
        <f t="shared" si="39"/>
        <v/>
      </c>
      <c r="K485" s="28" t="str">
        <f t="shared" si="40"/>
        <v/>
      </c>
      <c r="L485" s="29" t="str">
        <f t="shared" si="41"/>
        <v/>
      </c>
      <c r="M485" s="30" t="str">
        <f t="shared" si="42"/>
        <v/>
      </c>
    </row>
    <row r="486" spans="2:13" x14ac:dyDescent="0.25">
      <c r="B486" s="22">
        <v>44679</v>
      </c>
      <c r="C486" s="41"/>
      <c r="D486" s="24"/>
      <c r="E486" s="25"/>
      <c r="F486" s="26"/>
      <c r="G486" s="27"/>
      <c r="H486" s="28" t="str">
        <f t="shared" si="37"/>
        <v/>
      </c>
      <c r="I486" s="28" t="str">
        <f t="shared" si="38"/>
        <v/>
      </c>
      <c r="J486" s="28" t="str">
        <f t="shared" si="39"/>
        <v/>
      </c>
      <c r="K486" s="28" t="str">
        <f t="shared" si="40"/>
        <v/>
      </c>
      <c r="L486" s="29" t="str">
        <f t="shared" si="41"/>
        <v/>
      </c>
      <c r="M486" s="30" t="str">
        <f t="shared" si="42"/>
        <v/>
      </c>
    </row>
    <row r="487" spans="2:13" x14ac:dyDescent="0.25">
      <c r="B487" s="22">
        <v>44680</v>
      </c>
      <c r="C487" s="41"/>
      <c r="D487" s="24"/>
      <c r="E487" s="25"/>
      <c r="F487" s="26"/>
      <c r="G487" s="27"/>
      <c r="H487" s="28" t="str">
        <f t="shared" si="37"/>
        <v/>
      </c>
      <c r="I487" s="28" t="str">
        <f t="shared" si="38"/>
        <v/>
      </c>
      <c r="J487" s="28" t="str">
        <f t="shared" si="39"/>
        <v/>
      </c>
      <c r="K487" s="28" t="str">
        <f t="shared" si="40"/>
        <v/>
      </c>
      <c r="L487" s="29" t="str">
        <f t="shared" si="41"/>
        <v/>
      </c>
      <c r="M487" s="30" t="str">
        <f t="shared" si="42"/>
        <v/>
      </c>
    </row>
    <row r="488" spans="2:13" x14ac:dyDescent="0.25">
      <c r="B488" s="22">
        <v>44681</v>
      </c>
      <c r="C488" s="41"/>
      <c r="D488" s="24"/>
      <c r="E488" s="25"/>
      <c r="F488" s="26"/>
      <c r="G488" s="27"/>
      <c r="H488" s="28" t="str">
        <f t="shared" si="37"/>
        <v/>
      </c>
      <c r="I488" s="28" t="str">
        <f t="shared" si="38"/>
        <v/>
      </c>
      <c r="J488" s="28" t="str">
        <f t="shared" si="39"/>
        <v/>
      </c>
      <c r="K488" s="28" t="str">
        <f t="shared" si="40"/>
        <v/>
      </c>
      <c r="L488" s="29" t="str">
        <f t="shared" si="41"/>
        <v/>
      </c>
      <c r="M488" s="30" t="str">
        <f t="shared" si="42"/>
        <v/>
      </c>
    </row>
    <row r="489" spans="2:13" x14ac:dyDescent="0.25">
      <c r="B489" s="22">
        <v>44682</v>
      </c>
      <c r="C489" s="41"/>
      <c r="D489" s="24"/>
      <c r="E489" s="25"/>
      <c r="F489" s="26"/>
      <c r="G489" s="27"/>
      <c r="H489" s="28" t="str">
        <f t="shared" si="37"/>
        <v/>
      </c>
      <c r="I489" s="28" t="str">
        <f t="shared" si="38"/>
        <v/>
      </c>
      <c r="J489" s="28" t="str">
        <f t="shared" si="39"/>
        <v/>
      </c>
      <c r="K489" s="28" t="str">
        <f t="shared" si="40"/>
        <v/>
      </c>
      <c r="L489" s="29" t="str">
        <f t="shared" si="41"/>
        <v/>
      </c>
      <c r="M489" s="30" t="str">
        <f t="shared" si="42"/>
        <v/>
      </c>
    </row>
    <row r="490" spans="2:13" x14ac:dyDescent="0.25">
      <c r="B490" s="22">
        <v>44683</v>
      </c>
      <c r="C490" s="41"/>
      <c r="D490" s="24"/>
      <c r="E490" s="25"/>
      <c r="F490" s="26"/>
      <c r="G490" s="27"/>
      <c r="H490" s="28" t="str">
        <f t="shared" si="37"/>
        <v/>
      </c>
      <c r="I490" s="28" t="str">
        <f t="shared" si="38"/>
        <v/>
      </c>
      <c r="J490" s="28" t="str">
        <f t="shared" si="39"/>
        <v/>
      </c>
      <c r="K490" s="28" t="str">
        <f t="shared" si="40"/>
        <v/>
      </c>
      <c r="L490" s="29" t="str">
        <f t="shared" si="41"/>
        <v/>
      </c>
      <c r="M490" s="30" t="str">
        <f t="shared" si="42"/>
        <v/>
      </c>
    </row>
    <row r="491" spans="2:13" x14ac:dyDescent="0.25">
      <c r="B491" s="22">
        <v>44684</v>
      </c>
      <c r="C491" s="41"/>
      <c r="D491" s="24"/>
      <c r="E491" s="25"/>
      <c r="F491" s="26"/>
      <c r="G491" s="27"/>
      <c r="H491" s="28" t="str">
        <f t="shared" si="37"/>
        <v/>
      </c>
      <c r="I491" s="28" t="str">
        <f t="shared" si="38"/>
        <v/>
      </c>
      <c r="J491" s="28" t="str">
        <f t="shared" si="39"/>
        <v/>
      </c>
      <c r="K491" s="28" t="str">
        <f t="shared" si="40"/>
        <v/>
      </c>
      <c r="L491" s="29" t="str">
        <f t="shared" si="41"/>
        <v/>
      </c>
      <c r="M491" s="30" t="str">
        <f t="shared" si="42"/>
        <v/>
      </c>
    </row>
    <row r="492" spans="2:13" x14ac:dyDescent="0.25">
      <c r="B492" s="22">
        <v>44685</v>
      </c>
      <c r="C492" s="41"/>
      <c r="D492" s="24"/>
      <c r="E492" s="25"/>
      <c r="F492" s="26"/>
      <c r="G492" s="27"/>
      <c r="H492" s="28" t="str">
        <f t="shared" si="37"/>
        <v/>
      </c>
      <c r="I492" s="28" t="str">
        <f t="shared" si="38"/>
        <v/>
      </c>
      <c r="J492" s="28" t="str">
        <f t="shared" si="39"/>
        <v/>
      </c>
      <c r="K492" s="28" t="str">
        <f t="shared" si="40"/>
        <v/>
      </c>
      <c r="L492" s="29" t="str">
        <f t="shared" si="41"/>
        <v/>
      </c>
      <c r="M492" s="30" t="str">
        <f t="shared" si="42"/>
        <v/>
      </c>
    </row>
    <row r="493" spans="2:13" x14ac:dyDescent="0.25">
      <c r="B493" s="22">
        <v>44686</v>
      </c>
      <c r="C493" s="41"/>
      <c r="D493" s="24"/>
      <c r="E493" s="25"/>
      <c r="F493" s="26"/>
      <c r="G493" s="27"/>
      <c r="H493" s="28" t="str">
        <f t="shared" si="37"/>
        <v/>
      </c>
      <c r="I493" s="28" t="str">
        <f t="shared" si="38"/>
        <v/>
      </c>
      <c r="J493" s="28" t="str">
        <f t="shared" si="39"/>
        <v/>
      </c>
      <c r="K493" s="28" t="str">
        <f t="shared" si="40"/>
        <v/>
      </c>
      <c r="L493" s="29" t="str">
        <f t="shared" si="41"/>
        <v/>
      </c>
      <c r="M493" s="30" t="str">
        <f t="shared" si="42"/>
        <v/>
      </c>
    </row>
    <row r="494" spans="2:13" x14ac:dyDescent="0.25">
      <c r="B494" s="22">
        <v>44687</v>
      </c>
      <c r="C494" s="41"/>
      <c r="D494" s="24"/>
      <c r="E494" s="25"/>
      <c r="F494" s="26"/>
      <c r="G494" s="27"/>
      <c r="H494" s="28" t="str">
        <f t="shared" si="37"/>
        <v/>
      </c>
      <c r="I494" s="28" t="str">
        <f t="shared" si="38"/>
        <v/>
      </c>
      <c r="J494" s="28" t="str">
        <f t="shared" si="39"/>
        <v/>
      </c>
      <c r="K494" s="28" t="str">
        <f t="shared" si="40"/>
        <v/>
      </c>
      <c r="L494" s="29" t="str">
        <f t="shared" si="41"/>
        <v/>
      </c>
      <c r="M494" s="30" t="str">
        <f t="shared" si="42"/>
        <v/>
      </c>
    </row>
    <row r="495" spans="2:13" x14ac:dyDescent="0.25">
      <c r="B495" s="22">
        <v>44688</v>
      </c>
      <c r="C495" s="41"/>
      <c r="D495" s="24"/>
      <c r="E495" s="25"/>
      <c r="F495" s="26"/>
      <c r="G495" s="27"/>
      <c r="H495" s="28" t="str">
        <f t="shared" si="37"/>
        <v/>
      </c>
      <c r="I495" s="28" t="str">
        <f t="shared" si="38"/>
        <v/>
      </c>
      <c r="J495" s="28" t="str">
        <f t="shared" si="39"/>
        <v/>
      </c>
      <c r="K495" s="28" t="str">
        <f t="shared" si="40"/>
        <v/>
      </c>
      <c r="L495" s="29" t="str">
        <f t="shared" si="41"/>
        <v/>
      </c>
      <c r="M495" s="30" t="str">
        <f t="shared" si="42"/>
        <v/>
      </c>
    </row>
    <row r="496" spans="2:13" x14ac:dyDescent="0.25">
      <c r="B496" s="22">
        <v>44689</v>
      </c>
      <c r="C496" s="41"/>
      <c r="D496" s="24"/>
      <c r="E496" s="25"/>
      <c r="F496" s="26"/>
      <c r="G496" s="27"/>
      <c r="H496" s="28" t="str">
        <f t="shared" si="37"/>
        <v/>
      </c>
      <c r="I496" s="28" t="str">
        <f t="shared" si="38"/>
        <v/>
      </c>
      <c r="J496" s="28" t="str">
        <f t="shared" si="39"/>
        <v/>
      </c>
      <c r="K496" s="28" t="str">
        <f t="shared" si="40"/>
        <v/>
      </c>
      <c r="L496" s="29" t="str">
        <f t="shared" si="41"/>
        <v/>
      </c>
      <c r="M496" s="30" t="str">
        <f t="shared" si="42"/>
        <v/>
      </c>
    </row>
    <row r="497" spans="2:13" x14ac:dyDescent="0.25">
      <c r="B497" s="22">
        <v>44690</v>
      </c>
      <c r="C497" s="41"/>
      <c r="D497" s="24"/>
      <c r="E497" s="25"/>
      <c r="F497" s="26"/>
      <c r="G497" s="27"/>
      <c r="H497" s="28" t="str">
        <f t="shared" ref="H497:H560" si="43">IF(C497="","",+(C497-C496))</f>
        <v/>
      </c>
      <c r="I497" s="28" t="str">
        <f t="shared" ref="I497:I560" si="44">IF(D497="","",+(D497-D496))</f>
        <v/>
      </c>
      <c r="J497" s="28" t="str">
        <f t="shared" ref="J497:J560" si="45">IF(E497="","",+(E497-E496))</f>
        <v/>
      </c>
      <c r="K497" s="28" t="str">
        <f t="shared" ref="K497:K560" si="46">IF(F497="","",+(F497-F496))</f>
        <v/>
      </c>
      <c r="L497" s="29" t="str">
        <f t="shared" ref="L497:L560" si="47">IF(G497="","",+(G497-G496))</f>
        <v/>
      </c>
      <c r="M497" s="30" t="str">
        <f t="shared" ref="M497:M560" si="48">IF(H497="","",+(H497+I497+J497+K497))</f>
        <v/>
      </c>
    </row>
    <row r="498" spans="2:13" x14ac:dyDescent="0.25">
      <c r="B498" s="22">
        <v>44691</v>
      </c>
      <c r="C498" s="41"/>
      <c r="D498" s="24"/>
      <c r="E498" s="25"/>
      <c r="F498" s="26"/>
      <c r="G498" s="27"/>
      <c r="H498" s="28" t="str">
        <f t="shared" si="43"/>
        <v/>
      </c>
      <c r="I498" s="28" t="str">
        <f t="shared" si="44"/>
        <v/>
      </c>
      <c r="J498" s="28" t="str">
        <f t="shared" si="45"/>
        <v/>
      </c>
      <c r="K498" s="28" t="str">
        <f t="shared" si="46"/>
        <v/>
      </c>
      <c r="L498" s="29" t="str">
        <f t="shared" si="47"/>
        <v/>
      </c>
      <c r="M498" s="30" t="str">
        <f t="shared" si="48"/>
        <v/>
      </c>
    </row>
    <row r="499" spans="2:13" x14ac:dyDescent="0.25">
      <c r="B499" s="22">
        <v>44692</v>
      </c>
      <c r="C499" s="41"/>
      <c r="D499" s="24"/>
      <c r="E499" s="25"/>
      <c r="F499" s="26"/>
      <c r="G499" s="27"/>
      <c r="H499" s="28" t="str">
        <f t="shared" si="43"/>
        <v/>
      </c>
      <c r="I499" s="28" t="str">
        <f t="shared" si="44"/>
        <v/>
      </c>
      <c r="J499" s="28" t="str">
        <f t="shared" si="45"/>
        <v/>
      </c>
      <c r="K499" s="28" t="str">
        <f t="shared" si="46"/>
        <v/>
      </c>
      <c r="L499" s="29" t="str">
        <f t="shared" si="47"/>
        <v/>
      </c>
      <c r="M499" s="30" t="str">
        <f t="shared" si="48"/>
        <v/>
      </c>
    </row>
    <row r="500" spans="2:13" x14ac:dyDescent="0.25">
      <c r="B500" s="22">
        <v>44693</v>
      </c>
      <c r="C500" s="41"/>
      <c r="D500" s="24"/>
      <c r="E500" s="25"/>
      <c r="F500" s="26"/>
      <c r="G500" s="27"/>
      <c r="H500" s="28" t="str">
        <f t="shared" si="43"/>
        <v/>
      </c>
      <c r="I500" s="28" t="str">
        <f t="shared" si="44"/>
        <v/>
      </c>
      <c r="J500" s="28" t="str">
        <f t="shared" si="45"/>
        <v/>
      </c>
      <c r="K500" s="28" t="str">
        <f t="shared" si="46"/>
        <v/>
      </c>
      <c r="L500" s="29" t="str">
        <f t="shared" si="47"/>
        <v/>
      </c>
      <c r="M500" s="30" t="str">
        <f t="shared" si="48"/>
        <v/>
      </c>
    </row>
    <row r="501" spans="2:13" x14ac:dyDescent="0.25">
      <c r="B501" s="22">
        <v>44694</v>
      </c>
      <c r="C501" s="41"/>
      <c r="D501" s="24"/>
      <c r="E501" s="25"/>
      <c r="F501" s="26"/>
      <c r="G501" s="27"/>
      <c r="H501" s="28" t="str">
        <f t="shared" si="43"/>
        <v/>
      </c>
      <c r="I501" s="28" t="str">
        <f t="shared" si="44"/>
        <v/>
      </c>
      <c r="J501" s="28" t="str">
        <f t="shared" si="45"/>
        <v/>
      </c>
      <c r="K501" s="28" t="str">
        <f t="shared" si="46"/>
        <v/>
      </c>
      <c r="L501" s="29" t="str">
        <f t="shared" si="47"/>
        <v/>
      </c>
      <c r="M501" s="30" t="str">
        <f t="shared" si="48"/>
        <v/>
      </c>
    </row>
    <row r="502" spans="2:13" x14ac:dyDescent="0.25">
      <c r="B502" s="22">
        <v>44695</v>
      </c>
      <c r="C502" s="41"/>
      <c r="D502" s="24"/>
      <c r="E502" s="25"/>
      <c r="F502" s="26"/>
      <c r="G502" s="27"/>
      <c r="H502" s="28" t="str">
        <f t="shared" si="43"/>
        <v/>
      </c>
      <c r="I502" s="28" t="str">
        <f t="shared" si="44"/>
        <v/>
      </c>
      <c r="J502" s="28" t="str">
        <f t="shared" si="45"/>
        <v/>
      </c>
      <c r="K502" s="28" t="str">
        <f t="shared" si="46"/>
        <v/>
      </c>
      <c r="L502" s="29" t="str">
        <f t="shared" si="47"/>
        <v/>
      </c>
      <c r="M502" s="30" t="str">
        <f t="shared" si="48"/>
        <v/>
      </c>
    </row>
    <row r="503" spans="2:13" x14ac:dyDescent="0.25">
      <c r="B503" s="22">
        <v>44696</v>
      </c>
      <c r="C503" s="41"/>
      <c r="D503" s="24"/>
      <c r="E503" s="25"/>
      <c r="F503" s="26"/>
      <c r="G503" s="27"/>
      <c r="H503" s="28" t="str">
        <f t="shared" si="43"/>
        <v/>
      </c>
      <c r="I503" s="28" t="str">
        <f t="shared" si="44"/>
        <v/>
      </c>
      <c r="J503" s="28" t="str">
        <f t="shared" si="45"/>
        <v/>
      </c>
      <c r="K503" s="28" t="str">
        <f t="shared" si="46"/>
        <v/>
      </c>
      <c r="L503" s="29" t="str">
        <f t="shared" si="47"/>
        <v/>
      </c>
      <c r="M503" s="30" t="str">
        <f t="shared" si="48"/>
        <v/>
      </c>
    </row>
    <row r="504" spans="2:13" x14ac:dyDescent="0.25">
      <c r="B504" s="22">
        <v>44697</v>
      </c>
      <c r="C504" s="41"/>
      <c r="D504" s="24"/>
      <c r="E504" s="25"/>
      <c r="F504" s="26"/>
      <c r="G504" s="27"/>
      <c r="H504" s="28" t="str">
        <f t="shared" si="43"/>
        <v/>
      </c>
      <c r="I504" s="28" t="str">
        <f t="shared" si="44"/>
        <v/>
      </c>
      <c r="J504" s="28" t="str">
        <f t="shared" si="45"/>
        <v/>
      </c>
      <c r="K504" s="28" t="str">
        <f t="shared" si="46"/>
        <v/>
      </c>
      <c r="L504" s="29" t="str">
        <f t="shared" si="47"/>
        <v/>
      </c>
      <c r="M504" s="30" t="str">
        <f t="shared" si="48"/>
        <v/>
      </c>
    </row>
    <row r="505" spans="2:13" x14ac:dyDescent="0.25">
      <c r="B505" s="22">
        <v>44698</v>
      </c>
      <c r="C505" s="41"/>
      <c r="D505" s="24"/>
      <c r="E505" s="25"/>
      <c r="F505" s="26"/>
      <c r="G505" s="27"/>
      <c r="H505" s="28" t="str">
        <f t="shared" si="43"/>
        <v/>
      </c>
      <c r="I505" s="28" t="str">
        <f t="shared" si="44"/>
        <v/>
      </c>
      <c r="J505" s="28" t="str">
        <f t="shared" si="45"/>
        <v/>
      </c>
      <c r="K505" s="28" t="str">
        <f t="shared" si="46"/>
        <v/>
      </c>
      <c r="L505" s="29" t="str">
        <f t="shared" si="47"/>
        <v/>
      </c>
      <c r="M505" s="30" t="str">
        <f t="shared" si="48"/>
        <v/>
      </c>
    </row>
    <row r="506" spans="2:13" x14ac:dyDescent="0.25">
      <c r="B506" s="22">
        <v>44699</v>
      </c>
      <c r="C506" s="41"/>
      <c r="D506" s="24"/>
      <c r="E506" s="25"/>
      <c r="F506" s="26"/>
      <c r="G506" s="27"/>
      <c r="H506" s="28" t="str">
        <f t="shared" si="43"/>
        <v/>
      </c>
      <c r="I506" s="28" t="str">
        <f t="shared" si="44"/>
        <v/>
      </c>
      <c r="J506" s="28" t="str">
        <f t="shared" si="45"/>
        <v/>
      </c>
      <c r="K506" s="28" t="str">
        <f t="shared" si="46"/>
        <v/>
      </c>
      <c r="L506" s="29" t="str">
        <f t="shared" si="47"/>
        <v/>
      </c>
      <c r="M506" s="30" t="str">
        <f t="shared" si="48"/>
        <v/>
      </c>
    </row>
    <row r="507" spans="2:13" x14ac:dyDescent="0.25">
      <c r="B507" s="22">
        <v>44700</v>
      </c>
      <c r="C507" s="41"/>
      <c r="D507" s="24"/>
      <c r="E507" s="25"/>
      <c r="F507" s="26"/>
      <c r="G507" s="27"/>
      <c r="H507" s="28" t="str">
        <f t="shared" si="43"/>
        <v/>
      </c>
      <c r="I507" s="28" t="str">
        <f t="shared" si="44"/>
        <v/>
      </c>
      <c r="J507" s="28" t="str">
        <f t="shared" si="45"/>
        <v/>
      </c>
      <c r="K507" s="28" t="str">
        <f t="shared" si="46"/>
        <v/>
      </c>
      <c r="L507" s="29" t="str">
        <f t="shared" si="47"/>
        <v/>
      </c>
      <c r="M507" s="30" t="str">
        <f t="shared" si="48"/>
        <v/>
      </c>
    </row>
    <row r="508" spans="2:13" x14ac:dyDescent="0.25">
      <c r="B508" s="22">
        <v>44701</v>
      </c>
      <c r="C508" s="41"/>
      <c r="D508" s="24"/>
      <c r="E508" s="25"/>
      <c r="F508" s="26"/>
      <c r="G508" s="27"/>
      <c r="H508" s="28" t="str">
        <f t="shared" si="43"/>
        <v/>
      </c>
      <c r="I508" s="28" t="str">
        <f t="shared" si="44"/>
        <v/>
      </c>
      <c r="J508" s="28" t="str">
        <f t="shared" si="45"/>
        <v/>
      </c>
      <c r="K508" s="28" t="str">
        <f t="shared" si="46"/>
        <v/>
      </c>
      <c r="L508" s="29" t="str">
        <f t="shared" si="47"/>
        <v/>
      </c>
      <c r="M508" s="30" t="str">
        <f t="shared" si="48"/>
        <v/>
      </c>
    </row>
    <row r="509" spans="2:13" x14ac:dyDescent="0.25">
      <c r="B509" s="22">
        <v>44702</v>
      </c>
      <c r="C509" s="41"/>
      <c r="D509" s="24"/>
      <c r="E509" s="25"/>
      <c r="F509" s="26"/>
      <c r="G509" s="27"/>
      <c r="H509" s="28" t="str">
        <f t="shared" si="43"/>
        <v/>
      </c>
      <c r="I509" s="28" t="str">
        <f t="shared" si="44"/>
        <v/>
      </c>
      <c r="J509" s="28" t="str">
        <f t="shared" si="45"/>
        <v/>
      </c>
      <c r="K509" s="28" t="str">
        <f t="shared" si="46"/>
        <v/>
      </c>
      <c r="L509" s="29" t="str">
        <f t="shared" si="47"/>
        <v/>
      </c>
      <c r="M509" s="30" t="str">
        <f t="shared" si="48"/>
        <v/>
      </c>
    </row>
    <row r="510" spans="2:13" x14ac:dyDescent="0.25">
      <c r="B510" s="22">
        <v>44703</v>
      </c>
      <c r="C510" s="41"/>
      <c r="D510" s="24"/>
      <c r="E510" s="25"/>
      <c r="F510" s="26"/>
      <c r="G510" s="27"/>
      <c r="H510" s="28" t="str">
        <f t="shared" si="43"/>
        <v/>
      </c>
      <c r="I510" s="28" t="str">
        <f t="shared" si="44"/>
        <v/>
      </c>
      <c r="J510" s="28" t="str">
        <f t="shared" si="45"/>
        <v/>
      </c>
      <c r="K510" s="28" t="str">
        <f t="shared" si="46"/>
        <v/>
      </c>
      <c r="L510" s="29" t="str">
        <f t="shared" si="47"/>
        <v/>
      </c>
      <c r="M510" s="30" t="str">
        <f t="shared" si="48"/>
        <v/>
      </c>
    </row>
    <row r="511" spans="2:13" x14ac:dyDescent="0.25">
      <c r="B511" s="22">
        <v>44704</v>
      </c>
      <c r="C511" s="41"/>
      <c r="D511" s="24"/>
      <c r="E511" s="25"/>
      <c r="F511" s="26"/>
      <c r="G511" s="27"/>
      <c r="H511" s="28" t="str">
        <f t="shared" si="43"/>
        <v/>
      </c>
      <c r="I511" s="28" t="str">
        <f t="shared" si="44"/>
        <v/>
      </c>
      <c r="J511" s="28" t="str">
        <f t="shared" si="45"/>
        <v/>
      </c>
      <c r="K511" s="28" t="str">
        <f t="shared" si="46"/>
        <v/>
      </c>
      <c r="L511" s="29" t="str">
        <f t="shared" si="47"/>
        <v/>
      </c>
      <c r="M511" s="30" t="str">
        <f t="shared" si="48"/>
        <v/>
      </c>
    </row>
    <row r="512" spans="2:13" x14ac:dyDescent="0.25">
      <c r="B512" s="22">
        <v>44705</v>
      </c>
      <c r="C512" s="41"/>
      <c r="D512" s="24"/>
      <c r="E512" s="25"/>
      <c r="F512" s="26"/>
      <c r="G512" s="27"/>
      <c r="H512" s="28" t="str">
        <f t="shared" si="43"/>
        <v/>
      </c>
      <c r="I512" s="28" t="str">
        <f t="shared" si="44"/>
        <v/>
      </c>
      <c r="J512" s="28" t="str">
        <f t="shared" si="45"/>
        <v/>
      </c>
      <c r="K512" s="28" t="str">
        <f t="shared" si="46"/>
        <v/>
      </c>
      <c r="L512" s="29" t="str">
        <f t="shared" si="47"/>
        <v/>
      </c>
      <c r="M512" s="30" t="str">
        <f t="shared" si="48"/>
        <v/>
      </c>
    </row>
    <row r="513" spans="2:13" x14ac:dyDescent="0.25">
      <c r="B513" s="22">
        <v>44706</v>
      </c>
      <c r="C513" s="41"/>
      <c r="D513" s="24"/>
      <c r="E513" s="25"/>
      <c r="F513" s="26"/>
      <c r="G513" s="27"/>
      <c r="H513" s="28" t="str">
        <f t="shared" si="43"/>
        <v/>
      </c>
      <c r="I513" s="28" t="str">
        <f t="shared" si="44"/>
        <v/>
      </c>
      <c r="J513" s="28" t="str">
        <f t="shared" si="45"/>
        <v/>
      </c>
      <c r="K513" s="28" t="str">
        <f t="shared" si="46"/>
        <v/>
      </c>
      <c r="L513" s="29" t="str">
        <f t="shared" si="47"/>
        <v/>
      </c>
      <c r="M513" s="30" t="str">
        <f t="shared" si="48"/>
        <v/>
      </c>
    </row>
    <row r="514" spans="2:13" x14ac:dyDescent="0.25">
      <c r="B514" s="22">
        <v>44707</v>
      </c>
      <c r="C514" s="41"/>
      <c r="D514" s="24"/>
      <c r="E514" s="25"/>
      <c r="F514" s="26"/>
      <c r="G514" s="27"/>
      <c r="H514" s="28" t="str">
        <f t="shared" si="43"/>
        <v/>
      </c>
      <c r="I514" s="28" t="str">
        <f t="shared" si="44"/>
        <v/>
      </c>
      <c r="J514" s="28" t="str">
        <f t="shared" si="45"/>
        <v/>
      </c>
      <c r="K514" s="28" t="str">
        <f t="shared" si="46"/>
        <v/>
      </c>
      <c r="L514" s="29" t="str">
        <f t="shared" si="47"/>
        <v/>
      </c>
      <c r="M514" s="30" t="str">
        <f t="shared" si="48"/>
        <v/>
      </c>
    </row>
    <row r="515" spans="2:13" x14ac:dyDescent="0.25">
      <c r="B515" s="22">
        <v>44708</v>
      </c>
      <c r="C515" s="41"/>
      <c r="D515" s="24"/>
      <c r="E515" s="25"/>
      <c r="F515" s="26"/>
      <c r="G515" s="27"/>
      <c r="H515" s="28" t="str">
        <f t="shared" si="43"/>
        <v/>
      </c>
      <c r="I515" s="28" t="str">
        <f t="shared" si="44"/>
        <v/>
      </c>
      <c r="J515" s="28" t="str">
        <f t="shared" si="45"/>
        <v/>
      </c>
      <c r="K515" s="28" t="str">
        <f t="shared" si="46"/>
        <v/>
      </c>
      <c r="L515" s="29" t="str">
        <f t="shared" si="47"/>
        <v/>
      </c>
      <c r="M515" s="30" t="str">
        <f t="shared" si="48"/>
        <v/>
      </c>
    </row>
    <row r="516" spans="2:13" x14ac:dyDescent="0.25">
      <c r="B516" s="22">
        <v>44709</v>
      </c>
      <c r="C516" s="41"/>
      <c r="D516" s="24"/>
      <c r="E516" s="25"/>
      <c r="F516" s="26"/>
      <c r="G516" s="27"/>
      <c r="H516" s="28" t="str">
        <f t="shared" si="43"/>
        <v/>
      </c>
      <c r="I516" s="28" t="str">
        <f t="shared" si="44"/>
        <v/>
      </c>
      <c r="J516" s="28" t="str">
        <f t="shared" si="45"/>
        <v/>
      </c>
      <c r="K516" s="28" t="str">
        <f t="shared" si="46"/>
        <v/>
      </c>
      <c r="L516" s="29" t="str">
        <f t="shared" si="47"/>
        <v/>
      </c>
      <c r="M516" s="30" t="str">
        <f t="shared" si="48"/>
        <v/>
      </c>
    </row>
    <row r="517" spans="2:13" x14ac:dyDescent="0.25">
      <c r="B517" s="22">
        <v>44710</v>
      </c>
      <c r="C517" s="41"/>
      <c r="D517" s="24"/>
      <c r="E517" s="25"/>
      <c r="F517" s="26"/>
      <c r="G517" s="27"/>
      <c r="H517" s="28" t="str">
        <f t="shared" si="43"/>
        <v/>
      </c>
      <c r="I517" s="28" t="str">
        <f t="shared" si="44"/>
        <v/>
      </c>
      <c r="J517" s="28" t="str">
        <f t="shared" si="45"/>
        <v/>
      </c>
      <c r="K517" s="28" t="str">
        <f t="shared" si="46"/>
        <v/>
      </c>
      <c r="L517" s="29" t="str">
        <f t="shared" si="47"/>
        <v/>
      </c>
      <c r="M517" s="30" t="str">
        <f t="shared" si="48"/>
        <v/>
      </c>
    </row>
    <row r="518" spans="2:13" x14ac:dyDescent="0.25">
      <c r="B518" s="22">
        <v>44711</v>
      </c>
      <c r="C518" s="41"/>
      <c r="D518" s="24"/>
      <c r="E518" s="25"/>
      <c r="F518" s="26"/>
      <c r="G518" s="27"/>
      <c r="H518" s="28" t="str">
        <f t="shared" si="43"/>
        <v/>
      </c>
      <c r="I518" s="28" t="str">
        <f t="shared" si="44"/>
        <v/>
      </c>
      <c r="J518" s="28" t="str">
        <f t="shared" si="45"/>
        <v/>
      </c>
      <c r="K518" s="28" t="str">
        <f t="shared" si="46"/>
        <v/>
      </c>
      <c r="L518" s="29" t="str">
        <f t="shared" si="47"/>
        <v/>
      </c>
      <c r="M518" s="30" t="str">
        <f t="shared" si="48"/>
        <v/>
      </c>
    </row>
    <row r="519" spans="2:13" x14ac:dyDescent="0.25">
      <c r="B519" s="22">
        <v>44712</v>
      </c>
      <c r="C519" s="41"/>
      <c r="D519" s="24"/>
      <c r="E519" s="25"/>
      <c r="F519" s="26"/>
      <c r="G519" s="27"/>
      <c r="H519" s="28" t="str">
        <f t="shared" si="43"/>
        <v/>
      </c>
      <c r="I519" s="28" t="str">
        <f t="shared" si="44"/>
        <v/>
      </c>
      <c r="J519" s="28" t="str">
        <f t="shared" si="45"/>
        <v/>
      </c>
      <c r="K519" s="28" t="str">
        <f t="shared" si="46"/>
        <v/>
      </c>
      <c r="L519" s="29" t="str">
        <f t="shared" si="47"/>
        <v/>
      </c>
      <c r="M519" s="30" t="str">
        <f t="shared" si="48"/>
        <v/>
      </c>
    </row>
    <row r="520" spans="2:13" x14ac:dyDescent="0.25">
      <c r="B520" s="22">
        <v>44713</v>
      </c>
      <c r="C520" s="41"/>
      <c r="D520" s="24"/>
      <c r="E520" s="25"/>
      <c r="F520" s="26"/>
      <c r="G520" s="27"/>
      <c r="H520" s="28" t="str">
        <f t="shared" si="43"/>
        <v/>
      </c>
      <c r="I520" s="28" t="str">
        <f t="shared" si="44"/>
        <v/>
      </c>
      <c r="J520" s="28" t="str">
        <f t="shared" si="45"/>
        <v/>
      </c>
      <c r="K520" s="28" t="str">
        <f t="shared" si="46"/>
        <v/>
      </c>
      <c r="L520" s="29" t="str">
        <f t="shared" si="47"/>
        <v/>
      </c>
      <c r="M520" s="30" t="str">
        <f t="shared" si="48"/>
        <v/>
      </c>
    </row>
    <row r="521" spans="2:13" x14ac:dyDescent="0.25">
      <c r="B521" s="22">
        <v>44714</v>
      </c>
      <c r="C521" s="41"/>
      <c r="D521" s="24"/>
      <c r="E521" s="25"/>
      <c r="F521" s="26"/>
      <c r="G521" s="27"/>
      <c r="H521" s="28" t="str">
        <f t="shared" si="43"/>
        <v/>
      </c>
      <c r="I521" s="28" t="str">
        <f t="shared" si="44"/>
        <v/>
      </c>
      <c r="J521" s="28" t="str">
        <f t="shared" si="45"/>
        <v/>
      </c>
      <c r="K521" s="28" t="str">
        <f t="shared" si="46"/>
        <v/>
      </c>
      <c r="L521" s="29" t="str">
        <f t="shared" si="47"/>
        <v/>
      </c>
      <c r="M521" s="30" t="str">
        <f t="shared" si="48"/>
        <v/>
      </c>
    </row>
    <row r="522" spans="2:13" x14ac:dyDescent="0.25">
      <c r="B522" s="22">
        <v>44715</v>
      </c>
      <c r="C522" s="41"/>
      <c r="D522" s="24"/>
      <c r="E522" s="25"/>
      <c r="F522" s="26"/>
      <c r="G522" s="27"/>
      <c r="H522" s="28" t="str">
        <f t="shared" si="43"/>
        <v/>
      </c>
      <c r="I522" s="28" t="str">
        <f t="shared" si="44"/>
        <v/>
      </c>
      <c r="J522" s="28" t="str">
        <f t="shared" si="45"/>
        <v/>
      </c>
      <c r="K522" s="28" t="str">
        <f t="shared" si="46"/>
        <v/>
      </c>
      <c r="L522" s="29" t="str">
        <f t="shared" si="47"/>
        <v/>
      </c>
      <c r="M522" s="30" t="str">
        <f t="shared" si="48"/>
        <v/>
      </c>
    </row>
    <row r="523" spans="2:13" x14ac:dyDescent="0.25">
      <c r="B523" s="22">
        <v>44716</v>
      </c>
      <c r="C523" s="41"/>
      <c r="D523" s="24"/>
      <c r="E523" s="25"/>
      <c r="F523" s="26"/>
      <c r="G523" s="27"/>
      <c r="H523" s="28" t="str">
        <f t="shared" si="43"/>
        <v/>
      </c>
      <c r="I523" s="28" t="str">
        <f t="shared" si="44"/>
        <v/>
      </c>
      <c r="J523" s="28" t="str">
        <f t="shared" si="45"/>
        <v/>
      </c>
      <c r="K523" s="28" t="str">
        <f t="shared" si="46"/>
        <v/>
      </c>
      <c r="L523" s="29" t="str">
        <f t="shared" si="47"/>
        <v/>
      </c>
      <c r="M523" s="30" t="str">
        <f t="shared" si="48"/>
        <v/>
      </c>
    </row>
    <row r="524" spans="2:13" x14ac:dyDescent="0.25">
      <c r="B524" s="22">
        <v>44717</v>
      </c>
      <c r="C524" s="41"/>
      <c r="D524" s="24"/>
      <c r="E524" s="25"/>
      <c r="F524" s="26"/>
      <c r="G524" s="27"/>
      <c r="H524" s="28" t="str">
        <f t="shared" si="43"/>
        <v/>
      </c>
      <c r="I524" s="28" t="str">
        <f t="shared" si="44"/>
        <v/>
      </c>
      <c r="J524" s="28" t="str">
        <f t="shared" si="45"/>
        <v/>
      </c>
      <c r="K524" s="28" t="str">
        <f t="shared" si="46"/>
        <v/>
      </c>
      <c r="L524" s="29" t="str">
        <f t="shared" si="47"/>
        <v/>
      </c>
      <c r="M524" s="30" t="str">
        <f t="shared" si="48"/>
        <v/>
      </c>
    </row>
    <row r="525" spans="2:13" x14ac:dyDescent="0.25">
      <c r="B525" s="22">
        <v>44718</v>
      </c>
      <c r="C525" s="41"/>
      <c r="D525" s="24"/>
      <c r="E525" s="25"/>
      <c r="F525" s="26"/>
      <c r="G525" s="27"/>
      <c r="H525" s="28" t="str">
        <f t="shared" si="43"/>
        <v/>
      </c>
      <c r="I525" s="28" t="str">
        <f t="shared" si="44"/>
        <v/>
      </c>
      <c r="J525" s="28" t="str">
        <f t="shared" si="45"/>
        <v/>
      </c>
      <c r="K525" s="28" t="str">
        <f t="shared" si="46"/>
        <v/>
      </c>
      <c r="L525" s="29" t="str">
        <f t="shared" si="47"/>
        <v/>
      </c>
      <c r="M525" s="30" t="str">
        <f t="shared" si="48"/>
        <v/>
      </c>
    </row>
    <row r="526" spans="2:13" x14ac:dyDescent="0.25">
      <c r="B526" s="22">
        <v>44719</v>
      </c>
      <c r="C526" s="41"/>
      <c r="D526" s="24"/>
      <c r="E526" s="25"/>
      <c r="F526" s="26"/>
      <c r="G526" s="27"/>
      <c r="H526" s="28" t="str">
        <f t="shared" si="43"/>
        <v/>
      </c>
      <c r="I526" s="28" t="str">
        <f t="shared" si="44"/>
        <v/>
      </c>
      <c r="J526" s="28" t="str">
        <f t="shared" si="45"/>
        <v/>
      </c>
      <c r="K526" s="28" t="str">
        <f t="shared" si="46"/>
        <v/>
      </c>
      <c r="L526" s="29" t="str">
        <f t="shared" si="47"/>
        <v/>
      </c>
      <c r="M526" s="30" t="str">
        <f t="shared" si="48"/>
        <v/>
      </c>
    </row>
    <row r="527" spans="2:13" x14ac:dyDescent="0.25">
      <c r="B527" s="22">
        <v>44720</v>
      </c>
      <c r="C527" s="41"/>
      <c r="D527" s="24"/>
      <c r="E527" s="25"/>
      <c r="F527" s="26"/>
      <c r="G527" s="27"/>
      <c r="H527" s="28" t="str">
        <f t="shared" si="43"/>
        <v/>
      </c>
      <c r="I527" s="28" t="str">
        <f t="shared" si="44"/>
        <v/>
      </c>
      <c r="J527" s="28" t="str">
        <f t="shared" si="45"/>
        <v/>
      </c>
      <c r="K527" s="28" t="str">
        <f t="shared" si="46"/>
        <v/>
      </c>
      <c r="L527" s="29" t="str">
        <f t="shared" si="47"/>
        <v/>
      </c>
      <c r="M527" s="30" t="str">
        <f t="shared" si="48"/>
        <v/>
      </c>
    </row>
    <row r="528" spans="2:13" x14ac:dyDescent="0.25">
      <c r="B528" s="22">
        <v>44721</v>
      </c>
      <c r="C528" s="41"/>
      <c r="D528" s="24"/>
      <c r="E528" s="25"/>
      <c r="F528" s="26"/>
      <c r="G528" s="27"/>
      <c r="H528" s="28" t="str">
        <f t="shared" si="43"/>
        <v/>
      </c>
      <c r="I528" s="28" t="str">
        <f t="shared" si="44"/>
        <v/>
      </c>
      <c r="J528" s="28" t="str">
        <f t="shared" si="45"/>
        <v/>
      </c>
      <c r="K528" s="28" t="str">
        <f t="shared" si="46"/>
        <v/>
      </c>
      <c r="L528" s="29" t="str">
        <f t="shared" si="47"/>
        <v/>
      </c>
      <c r="M528" s="30" t="str">
        <f t="shared" si="48"/>
        <v/>
      </c>
    </row>
    <row r="529" spans="2:13" x14ac:dyDescent="0.25">
      <c r="B529" s="22">
        <v>44722</v>
      </c>
      <c r="C529" s="41"/>
      <c r="D529" s="24"/>
      <c r="E529" s="25"/>
      <c r="F529" s="26"/>
      <c r="G529" s="27"/>
      <c r="H529" s="28" t="str">
        <f t="shared" si="43"/>
        <v/>
      </c>
      <c r="I529" s="28" t="str">
        <f t="shared" si="44"/>
        <v/>
      </c>
      <c r="J529" s="28" t="str">
        <f t="shared" si="45"/>
        <v/>
      </c>
      <c r="K529" s="28" t="str">
        <f t="shared" si="46"/>
        <v/>
      </c>
      <c r="L529" s="29" t="str">
        <f t="shared" si="47"/>
        <v/>
      </c>
      <c r="M529" s="30" t="str">
        <f t="shared" si="48"/>
        <v/>
      </c>
    </row>
    <row r="530" spans="2:13" x14ac:dyDescent="0.25">
      <c r="B530" s="22">
        <v>44723</v>
      </c>
      <c r="C530" s="41"/>
      <c r="D530" s="24"/>
      <c r="E530" s="25"/>
      <c r="F530" s="26"/>
      <c r="G530" s="27"/>
      <c r="H530" s="28" t="str">
        <f t="shared" si="43"/>
        <v/>
      </c>
      <c r="I530" s="28" t="str">
        <f t="shared" si="44"/>
        <v/>
      </c>
      <c r="J530" s="28" t="str">
        <f t="shared" si="45"/>
        <v/>
      </c>
      <c r="K530" s="28" t="str">
        <f t="shared" si="46"/>
        <v/>
      </c>
      <c r="L530" s="29" t="str">
        <f t="shared" si="47"/>
        <v/>
      </c>
      <c r="M530" s="30" t="str">
        <f t="shared" si="48"/>
        <v/>
      </c>
    </row>
    <row r="531" spans="2:13" x14ac:dyDescent="0.25">
      <c r="B531" s="22">
        <v>44724</v>
      </c>
      <c r="C531" s="41"/>
      <c r="D531" s="24"/>
      <c r="E531" s="25"/>
      <c r="F531" s="26"/>
      <c r="G531" s="27"/>
      <c r="H531" s="28" t="str">
        <f t="shared" si="43"/>
        <v/>
      </c>
      <c r="I531" s="28" t="str">
        <f t="shared" si="44"/>
        <v/>
      </c>
      <c r="J531" s="28" t="str">
        <f t="shared" si="45"/>
        <v/>
      </c>
      <c r="K531" s="28" t="str">
        <f t="shared" si="46"/>
        <v/>
      </c>
      <c r="L531" s="29" t="str">
        <f t="shared" si="47"/>
        <v/>
      </c>
      <c r="M531" s="30" t="str">
        <f t="shared" si="48"/>
        <v/>
      </c>
    </row>
    <row r="532" spans="2:13" x14ac:dyDescent="0.25">
      <c r="B532" s="22">
        <v>44725</v>
      </c>
      <c r="C532" s="41"/>
      <c r="D532" s="24"/>
      <c r="E532" s="25"/>
      <c r="F532" s="26"/>
      <c r="G532" s="27"/>
      <c r="H532" s="28" t="str">
        <f t="shared" si="43"/>
        <v/>
      </c>
      <c r="I532" s="28" t="str">
        <f t="shared" si="44"/>
        <v/>
      </c>
      <c r="J532" s="28" t="str">
        <f t="shared" si="45"/>
        <v/>
      </c>
      <c r="K532" s="28" t="str">
        <f t="shared" si="46"/>
        <v/>
      </c>
      <c r="L532" s="29" t="str">
        <f t="shared" si="47"/>
        <v/>
      </c>
      <c r="M532" s="30" t="str">
        <f t="shared" si="48"/>
        <v/>
      </c>
    </row>
    <row r="533" spans="2:13" x14ac:dyDescent="0.25">
      <c r="B533" s="22">
        <v>44726</v>
      </c>
      <c r="C533" s="41"/>
      <c r="D533" s="24"/>
      <c r="E533" s="25"/>
      <c r="F533" s="26"/>
      <c r="G533" s="27"/>
      <c r="H533" s="28" t="str">
        <f t="shared" si="43"/>
        <v/>
      </c>
      <c r="I533" s="28" t="str">
        <f t="shared" si="44"/>
        <v/>
      </c>
      <c r="J533" s="28" t="str">
        <f t="shared" si="45"/>
        <v/>
      </c>
      <c r="K533" s="28" t="str">
        <f t="shared" si="46"/>
        <v/>
      </c>
      <c r="L533" s="29" t="str">
        <f t="shared" si="47"/>
        <v/>
      </c>
      <c r="M533" s="30" t="str">
        <f t="shared" si="48"/>
        <v/>
      </c>
    </row>
    <row r="534" spans="2:13" x14ac:dyDescent="0.25">
      <c r="B534" s="22">
        <v>44727</v>
      </c>
      <c r="C534" s="41"/>
      <c r="D534" s="24"/>
      <c r="E534" s="25"/>
      <c r="F534" s="26"/>
      <c r="G534" s="27"/>
      <c r="H534" s="28" t="str">
        <f t="shared" si="43"/>
        <v/>
      </c>
      <c r="I534" s="28" t="str">
        <f t="shared" si="44"/>
        <v/>
      </c>
      <c r="J534" s="28" t="str">
        <f t="shared" si="45"/>
        <v/>
      </c>
      <c r="K534" s="28" t="str">
        <f t="shared" si="46"/>
        <v/>
      </c>
      <c r="L534" s="29" t="str">
        <f t="shared" si="47"/>
        <v/>
      </c>
      <c r="M534" s="30" t="str">
        <f t="shared" si="48"/>
        <v/>
      </c>
    </row>
    <row r="535" spans="2:13" x14ac:dyDescent="0.25">
      <c r="B535" s="22">
        <v>44728</v>
      </c>
      <c r="C535" s="41"/>
      <c r="D535" s="24"/>
      <c r="E535" s="25"/>
      <c r="F535" s="26"/>
      <c r="G535" s="27"/>
      <c r="H535" s="28" t="str">
        <f t="shared" si="43"/>
        <v/>
      </c>
      <c r="I535" s="28" t="str">
        <f t="shared" si="44"/>
        <v/>
      </c>
      <c r="J535" s="28" t="str">
        <f t="shared" si="45"/>
        <v/>
      </c>
      <c r="K535" s="28" t="str">
        <f t="shared" si="46"/>
        <v/>
      </c>
      <c r="L535" s="29" t="str">
        <f t="shared" si="47"/>
        <v/>
      </c>
      <c r="M535" s="30" t="str">
        <f t="shared" si="48"/>
        <v/>
      </c>
    </row>
    <row r="536" spans="2:13" x14ac:dyDescent="0.25">
      <c r="B536" s="22">
        <v>44729</v>
      </c>
      <c r="C536" s="41"/>
      <c r="D536" s="24"/>
      <c r="E536" s="25"/>
      <c r="F536" s="26"/>
      <c r="G536" s="27"/>
      <c r="H536" s="28" t="str">
        <f t="shared" si="43"/>
        <v/>
      </c>
      <c r="I536" s="28" t="str">
        <f t="shared" si="44"/>
        <v/>
      </c>
      <c r="J536" s="28" t="str">
        <f t="shared" si="45"/>
        <v/>
      </c>
      <c r="K536" s="28" t="str">
        <f t="shared" si="46"/>
        <v/>
      </c>
      <c r="L536" s="29" t="str">
        <f t="shared" si="47"/>
        <v/>
      </c>
      <c r="M536" s="30" t="str">
        <f t="shared" si="48"/>
        <v/>
      </c>
    </row>
    <row r="537" spans="2:13" x14ac:dyDescent="0.25">
      <c r="B537" s="22">
        <v>44730</v>
      </c>
      <c r="C537" s="41"/>
      <c r="D537" s="24"/>
      <c r="E537" s="25"/>
      <c r="F537" s="26"/>
      <c r="G537" s="27"/>
      <c r="H537" s="28" t="str">
        <f t="shared" si="43"/>
        <v/>
      </c>
      <c r="I537" s="28" t="str">
        <f t="shared" si="44"/>
        <v/>
      </c>
      <c r="J537" s="28" t="str">
        <f t="shared" si="45"/>
        <v/>
      </c>
      <c r="K537" s="28" t="str">
        <f t="shared" si="46"/>
        <v/>
      </c>
      <c r="L537" s="29" t="str">
        <f t="shared" si="47"/>
        <v/>
      </c>
      <c r="M537" s="30" t="str">
        <f t="shared" si="48"/>
        <v/>
      </c>
    </row>
    <row r="538" spans="2:13" x14ac:dyDescent="0.25">
      <c r="B538" s="22">
        <v>44731</v>
      </c>
      <c r="C538" s="41"/>
      <c r="D538" s="24"/>
      <c r="E538" s="25"/>
      <c r="F538" s="26"/>
      <c r="G538" s="27"/>
      <c r="H538" s="28" t="str">
        <f t="shared" si="43"/>
        <v/>
      </c>
      <c r="I538" s="28" t="str">
        <f t="shared" si="44"/>
        <v/>
      </c>
      <c r="J538" s="28" t="str">
        <f t="shared" si="45"/>
        <v/>
      </c>
      <c r="K538" s="28" t="str">
        <f t="shared" si="46"/>
        <v/>
      </c>
      <c r="L538" s="29" t="str">
        <f t="shared" si="47"/>
        <v/>
      </c>
      <c r="M538" s="30" t="str">
        <f t="shared" si="48"/>
        <v/>
      </c>
    </row>
    <row r="539" spans="2:13" x14ac:dyDescent="0.25">
      <c r="B539" s="22">
        <v>44732</v>
      </c>
      <c r="C539" s="41"/>
      <c r="D539" s="24"/>
      <c r="E539" s="25"/>
      <c r="F539" s="26"/>
      <c r="G539" s="27"/>
      <c r="H539" s="28" t="str">
        <f t="shared" si="43"/>
        <v/>
      </c>
      <c r="I539" s="28" t="str">
        <f t="shared" si="44"/>
        <v/>
      </c>
      <c r="J539" s="28" t="str">
        <f t="shared" si="45"/>
        <v/>
      </c>
      <c r="K539" s="28" t="str">
        <f t="shared" si="46"/>
        <v/>
      </c>
      <c r="L539" s="29" t="str">
        <f t="shared" si="47"/>
        <v/>
      </c>
      <c r="M539" s="30" t="str">
        <f t="shared" si="48"/>
        <v/>
      </c>
    </row>
    <row r="540" spans="2:13" x14ac:dyDescent="0.25">
      <c r="B540" s="22">
        <v>44733</v>
      </c>
      <c r="C540" s="41"/>
      <c r="D540" s="24"/>
      <c r="E540" s="25"/>
      <c r="F540" s="26"/>
      <c r="G540" s="27"/>
      <c r="H540" s="28" t="str">
        <f t="shared" si="43"/>
        <v/>
      </c>
      <c r="I540" s="28" t="str">
        <f t="shared" si="44"/>
        <v/>
      </c>
      <c r="J540" s="28" t="str">
        <f t="shared" si="45"/>
        <v/>
      </c>
      <c r="K540" s="28" t="str">
        <f t="shared" si="46"/>
        <v/>
      </c>
      <c r="L540" s="29" t="str">
        <f t="shared" si="47"/>
        <v/>
      </c>
      <c r="M540" s="30" t="str">
        <f t="shared" si="48"/>
        <v/>
      </c>
    </row>
    <row r="541" spans="2:13" x14ac:dyDescent="0.25">
      <c r="B541" s="22">
        <v>44734</v>
      </c>
      <c r="C541" s="41"/>
      <c r="D541" s="24"/>
      <c r="E541" s="25"/>
      <c r="F541" s="26"/>
      <c r="G541" s="27"/>
      <c r="H541" s="28" t="str">
        <f t="shared" si="43"/>
        <v/>
      </c>
      <c r="I541" s="28" t="str">
        <f t="shared" si="44"/>
        <v/>
      </c>
      <c r="J541" s="28" t="str">
        <f t="shared" si="45"/>
        <v/>
      </c>
      <c r="K541" s="28" t="str">
        <f t="shared" si="46"/>
        <v/>
      </c>
      <c r="L541" s="29" t="str">
        <f t="shared" si="47"/>
        <v/>
      </c>
      <c r="M541" s="30" t="str">
        <f t="shared" si="48"/>
        <v/>
      </c>
    </row>
    <row r="542" spans="2:13" x14ac:dyDescent="0.25">
      <c r="B542" s="22">
        <v>44735</v>
      </c>
      <c r="C542" s="41"/>
      <c r="D542" s="24"/>
      <c r="E542" s="25"/>
      <c r="F542" s="26"/>
      <c r="G542" s="27"/>
      <c r="H542" s="28" t="str">
        <f t="shared" si="43"/>
        <v/>
      </c>
      <c r="I542" s="28" t="str">
        <f t="shared" si="44"/>
        <v/>
      </c>
      <c r="J542" s="28" t="str">
        <f t="shared" si="45"/>
        <v/>
      </c>
      <c r="K542" s="28" t="str">
        <f t="shared" si="46"/>
        <v/>
      </c>
      <c r="L542" s="29" t="str">
        <f t="shared" si="47"/>
        <v/>
      </c>
      <c r="M542" s="30" t="str">
        <f t="shared" si="48"/>
        <v/>
      </c>
    </row>
    <row r="543" spans="2:13" x14ac:dyDescent="0.25">
      <c r="B543" s="22">
        <v>44736</v>
      </c>
      <c r="C543" s="41"/>
      <c r="D543" s="24"/>
      <c r="E543" s="25"/>
      <c r="F543" s="26"/>
      <c r="G543" s="27"/>
      <c r="H543" s="28" t="str">
        <f t="shared" si="43"/>
        <v/>
      </c>
      <c r="I543" s="28" t="str">
        <f t="shared" si="44"/>
        <v/>
      </c>
      <c r="J543" s="28" t="str">
        <f t="shared" si="45"/>
        <v/>
      </c>
      <c r="K543" s="28" t="str">
        <f t="shared" si="46"/>
        <v/>
      </c>
      <c r="L543" s="29" t="str">
        <f t="shared" si="47"/>
        <v/>
      </c>
      <c r="M543" s="30" t="str">
        <f t="shared" si="48"/>
        <v/>
      </c>
    </row>
    <row r="544" spans="2:13" x14ac:dyDescent="0.25">
      <c r="B544" s="22">
        <v>44737</v>
      </c>
      <c r="C544" s="41"/>
      <c r="D544" s="24"/>
      <c r="E544" s="25"/>
      <c r="F544" s="26"/>
      <c r="G544" s="27"/>
      <c r="H544" s="28" t="str">
        <f t="shared" si="43"/>
        <v/>
      </c>
      <c r="I544" s="28" t="str">
        <f t="shared" si="44"/>
        <v/>
      </c>
      <c r="J544" s="28" t="str">
        <f t="shared" si="45"/>
        <v/>
      </c>
      <c r="K544" s="28" t="str">
        <f t="shared" si="46"/>
        <v/>
      </c>
      <c r="L544" s="29" t="str">
        <f t="shared" si="47"/>
        <v/>
      </c>
      <c r="M544" s="30" t="str">
        <f t="shared" si="48"/>
        <v/>
      </c>
    </row>
    <row r="545" spans="2:13" x14ac:dyDescent="0.25">
      <c r="B545" s="22">
        <v>44738</v>
      </c>
      <c r="C545" s="41"/>
      <c r="D545" s="24"/>
      <c r="E545" s="25"/>
      <c r="F545" s="26"/>
      <c r="G545" s="27"/>
      <c r="H545" s="28" t="str">
        <f t="shared" si="43"/>
        <v/>
      </c>
      <c r="I545" s="28" t="str">
        <f t="shared" si="44"/>
        <v/>
      </c>
      <c r="J545" s="28" t="str">
        <f t="shared" si="45"/>
        <v/>
      </c>
      <c r="K545" s="28" t="str">
        <f t="shared" si="46"/>
        <v/>
      </c>
      <c r="L545" s="29" t="str">
        <f t="shared" si="47"/>
        <v/>
      </c>
      <c r="M545" s="30" t="str">
        <f t="shared" si="48"/>
        <v/>
      </c>
    </row>
    <row r="546" spans="2:13" x14ac:dyDescent="0.25">
      <c r="B546" s="22">
        <v>44739</v>
      </c>
      <c r="C546" s="41"/>
      <c r="D546" s="24"/>
      <c r="E546" s="25"/>
      <c r="F546" s="26"/>
      <c r="G546" s="27"/>
      <c r="H546" s="28" t="str">
        <f t="shared" si="43"/>
        <v/>
      </c>
      <c r="I546" s="28" t="str">
        <f t="shared" si="44"/>
        <v/>
      </c>
      <c r="J546" s="28" t="str">
        <f t="shared" si="45"/>
        <v/>
      </c>
      <c r="K546" s="28" t="str">
        <f t="shared" si="46"/>
        <v/>
      </c>
      <c r="L546" s="29" t="str">
        <f t="shared" si="47"/>
        <v/>
      </c>
      <c r="M546" s="30" t="str">
        <f t="shared" si="48"/>
        <v/>
      </c>
    </row>
    <row r="547" spans="2:13" x14ac:dyDescent="0.25">
      <c r="B547" s="22">
        <v>44740</v>
      </c>
      <c r="C547" s="41"/>
      <c r="D547" s="24"/>
      <c r="E547" s="25"/>
      <c r="F547" s="26"/>
      <c r="G547" s="27"/>
      <c r="H547" s="28" t="str">
        <f t="shared" si="43"/>
        <v/>
      </c>
      <c r="I547" s="28" t="str">
        <f t="shared" si="44"/>
        <v/>
      </c>
      <c r="J547" s="28" t="str">
        <f t="shared" si="45"/>
        <v/>
      </c>
      <c r="K547" s="28" t="str">
        <f t="shared" si="46"/>
        <v/>
      </c>
      <c r="L547" s="29" t="str">
        <f t="shared" si="47"/>
        <v/>
      </c>
      <c r="M547" s="30" t="str">
        <f t="shared" si="48"/>
        <v/>
      </c>
    </row>
    <row r="548" spans="2:13" x14ac:dyDescent="0.25">
      <c r="B548" s="22">
        <v>44741</v>
      </c>
      <c r="C548" s="41"/>
      <c r="D548" s="24"/>
      <c r="E548" s="25"/>
      <c r="F548" s="26"/>
      <c r="G548" s="27"/>
      <c r="H548" s="28" t="str">
        <f t="shared" si="43"/>
        <v/>
      </c>
      <c r="I548" s="28" t="str">
        <f t="shared" si="44"/>
        <v/>
      </c>
      <c r="J548" s="28" t="str">
        <f t="shared" si="45"/>
        <v/>
      </c>
      <c r="K548" s="28" t="str">
        <f t="shared" si="46"/>
        <v/>
      </c>
      <c r="L548" s="29" t="str">
        <f t="shared" si="47"/>
        <v/>
      </c>
      <c r="M548" s="30" t="str">
        <f t="shared" si="48"/>
        <v/>
      </c>
    </row>
    <row r="549" spans="2:13" x14ac:dyDescent="0.25">
      <c r="B549" s="22">
        <v>44742</v>
      </c>
      <c r="C549" s="41"/>
      <c r="D549" s="24"/>
      <c r="E549" s="25"/>
      <c r="F549" s="26"/>
      <c r="G549" s="27"/>
      <c r="H549" s="28" t="str">
        <f t="shared" si="43"/>
        <v/>
      </c>
      <c r="I549" s="28" t="str">
        <f t="shared" si="44"/>
        <v/>
      </c>
      <c r="J549" s="28" t="str">
        <f t="shared" si="45"/>
        <v/>
      </c>
      <c r="K549" s="28" t="str">
        <f t="shared" si="46"/>
        <v/>
      </c>
      <c r="L549" s="29" t="str">
        <f t="shared" si="47"/>
        <v/>
      </c>
      <c r="M549" s="30" t="str">
        <f t="shared" si="48"/>
        <v/>
      </c>
    </row>
    <row r="550" spans="2:13" x14ac:dyDescent="0.25">
      <c r="B550" s="22">
        <v>44743</v>
      </c>
      <c r="C550" s="41"/>
      <c r="D550" s="24"/>
      <c r="E550" s="25"/>
      <c r="F550" s="26"/>
      <c r="G550" s="27"/>
      <c r="H550" s="28" t="str">
        <f t="shared" si="43"/>
        <v/>
      </c>
      <c r="I550" s="28" t="str">
        <f t="shared" si="44"/>
        <v/>
      </c>
      <c r="J550" s="28" t="str">
        <f t="shared" si="45"/>
        <v/>
      </c>
      <c r="K550" s="28" t="str">
        <f t="shared" si="46"/>
        <v/>
      </c>
      <c r="L550" s="29" t="str">
        <f t="shared" si="47"/>
        <v/>
      </c>
      <c r="M550" s="30" t="str">
        <f t="shared" si="48"/>
        <v/>
      </c>
    </row>
    <row r="551" spans="2:13" x14ac:dyDescent="0.25">
      <c r="B551" s="22">
        <v>44744</v>
      </c>
      <c r="C551" s="41"/>
      <c r="D551" s="24"/>
      <c r="E551" s="25"/>
      <c r="F551" s="26"/>
      <c r="G551" s="27"/>
      <c r="H551" s="28" t="str">
        <f t="shared" si="43"/>
        <v/>
      </c>
      <c r="I551" s="28" t="str">
        <f t="shared" si="44"/>
        <v/>
      </c>
      <c r="J551" s="28" t="str">
        <f t="shared" si="45"/>
        <v/>
      </c>
      <c r="K551" s="28" t="str">
        <f t="shared" si="46"/>
        <v/>
      </c>
      <c r="L551" s="29" t="str">
        <f t="shared" si="47"/>
        <v/>
      </c>
      <c r="M551" s="30" t="str">
        <f t="shared" si="48"/>
        <v/>
      </c>
    </row>
    <row r="552" spans="2:13" x14ac:dyDescent="0.25">
      <c r="B552" s="22">
        <v>44745</v>
      </c>
      <c r="C552" s="41"/>
      <c r="D552" s="24"/>
      <c r="E552" s="25"/>
      <c r="F552" s="26"/>
      <c r="G552" s="27"/>
      <c r="H552" s="28" t="str">
        <f t="shared" si="43"/>
        <v/>
      </c>
      <c r="I552" s="28" t="str">
        <f t="shared" si="44"/>
        <v/>
      </c>
      <c r="J552" s="28" t="str">
        <f t="shared" si="45"/>
        <v/>
      </c>
      <c r="K552" s="28" t="str">
        <f t="shared" si="46"/>
        <v/>
      </c>
      <c r="L552" s="29" t="str">
        <f t="shared" si="47"/>
        <v/>
      </c>
      <c r="M552" s="30" t="str">
        <f t="shared" si="48"/>
        <v/>
      </c>
    </row>
    <row r="553" spans="2:13" x14ac:dyDescent="0.25">
      <c r="B553" s="22">
        <v>44746</v>
      </c>
      <c r="C553" s="41"/>
      <c r="D553" s="24"/>
      <c r="E553" s="25"/>
      <c r="F553" s="26"/>
      <c r="G553" s="27"/>
      <c r="H553" s="28" t="str">
        <f t="shared" si="43"/>
        <v/>
      </c>
      <c r="I553" s="28" t="str">
        <f t="shared" si="44"/>
        <v/>
      </c>
      <c r="J553" s="28" t="str">
        <f t="shared" si="45"/>
        <v/>
      </c>
      <c r="K553" s="28" t="str">
        <f t="shared" si="46"/>
        <v/>
      </c>
      <c r="L553" s="29" t="str">
        <f t="shared" si="47"/>
        <v/>
      </c>
      <c r="M553" s="30" t="str">
        <f t="shared" si="48"/>
        <v/>
      </c>
    </row>
    <row r="554" spans="2:13" x14ac:dyDescent="0.25">
      <c r="B554" s="22">
        <v>44747</v>
      </c>
      <c r="C554" s="41"/>
      <c r="D554" s="24"/>
      <c r="E554" s="25"/>
      <c r="F554" s="26"/>
      <c r="G554" s="27"/>
      <c r="H554" s="28" t="str">
        <f t="shared" si="43"/>
        <v/>
      </c>
      <c r="I554" s="28" t="str">
        <f t="shared" si="44"/>
        <v/>
      </c>
      <c r="J554" s="28" t="str">
        <f t="shared" si="45"/>
        <v/>
      </c>
      <c r="K554" s="28" t="str">
        <f t="shared" si="46"/>
        <v/>
      </c>
      <c r="L554" s="29" t="str">
        <f t="shared" si="47"/>
        <v/>
      </c>
      <c r="M554" s="30" t="str">
        <f t="shared" si="48"/>
        <v/>
      </c>
    </row>
    <row r="555" spans="2:13" x14ac:dyDescent="0.25">
      <c r="B555" s="22">
        <v>44748</v>
      </c>
      <c r="C555" s="41"/>
      <c r="D555" s="24"/>
      <c r="E555" s="25"/>
      <c r="F555" s="26"/>
      <c r="G555" s="27"/>
      <c r="H555" s="28" t="str">
        <f t="shared" si="43"/>
        <v/>
      </c>
      <c r="I555" s="28" t="str">
        <f t="shared" si="44"/>
        <v/>
      </c>
      <c r="J555" s="28" t="str">
        <f t="shared" si="45"/>
        <v/>
      </c>
      <c r="K555" s="28" t="str">
        <f t="shared" si="46"/>
        <v/>
      </c>
      <c r="L555" s="29" t="str">
        <f t="shared" si="47"/>
        <v/>
      </c>
      <c r="M555" s="30" t="str">
        <f t="shared" si="48"/>
        <v/>
      </c>
    </row>
    <row r="556" spans="2:13" x14ac:dyDescent="0.25">
      <c r="B556" s="22">
        <v>44749</v>
      </c>
      <c r="C556" s="41"/>
      <c r="D556" s="24"/>
      <c r="E556" s="25"/>
      <c r="F556" s="26"/>
      <c r="G556" s="27"/>
      <c r="H556" s="28" t="str">
        <f t="shared" si="43"/>
        <v/>
      </c>
      <c r="I556" s="28" t="str">
        <f t="shared" si="44"/>
        <v/>
      </c>
      <c r="J556" s="28" t="str">
        <f t="shared" si="45"/>
        <v/>
      </c>
      <c r="K556" s="28" t="str">
        <f t="shared" si="46"/>
        <v/>
      </c>
      <c r="L556" s="29" t="str">
        <f t="shared" si="47"/>
        <v/>
      </c>
      <c r="M556" s="30" t="str">
        <f t="shared" si="48"/>
        <v/>
      </c>
    </row>
    <row r="557" spans="2:13" x14ac:dyDescent="0.25">
      <c r="B557" s="22">
        <v>44750</v>
      </c>
      <c r="C557" s="41"/>
      <c r="D557" s="24"/>
      <c r="E557" s="25"/>
      <c r="F557" s="26"/>
      <c r="G557" s="27"/>
      <c r="H557" s="28" t="str">
        <f t="shared" si="43"/>
        <v/>
      </c>
      <c r="I557" s="28" t="str">
        <f t="shared" si="44"/>
        <v/>
      </c>
      <c r="J557" s="28" t="str">
        <f t="shared" si="45"/>
        <v/>
      </c>
      <c r="K557" s="28" t="str">
        <f t="shared" si="46"/>
        <v/>
      </c>
      <c r="L557" s="29" t="str">
        <f t="shared" si="47"/>
        <v/>
      </c>
      <c r="M557" s="30" t="str">
        <f t="shared" si="48"/>
        <v/>
      </c>
    </row>
    <row r="558" spans="2:13" x14ac:dyDescent="0.25">
      <c r="B558" s="22">
        <v>44751</v>
      </c>
      <c r="C558" s="41"/>
      <c r="D558" s="24"/>
      <c r="E558" s="25"/>
      <c r="F558" s="26"/>
      <c r="G558" s="27"/>
      <c r="H558" s="28" t="str">
        <f t="shared" si="43"/>
        <v/>
      </c>
      <c r="I558" s="28" t="str">
        <f t="shared" si="44"/>
        <v/>
      </c>
      <c r="J558" s="28" t="str">
        <f t="shared" si="45"/>
        <v/>
      </c>
      <c r="K558" s="28" t="str">
        <f t="shared" si="46"/>
        <v/>
      </c>
      <c r="L558" s="29" t="str">
        <f t="shared" si="47"/>
        <v/>
      </c>
      <c r="M558" s="30" t="str">
        <f t="shared" si="48"/>
        <v/>
      </c>
    </row>
    <row r="559" spans="2:13" x14ac:dyDescent="0.25">
      <c r="B559" s="22">
        <v>44752</v>
      </c>
      <c r="C559" s="41"/>
      <c r="D559" s="24"/>
      <c r="E559" s="25"/>
      <c r="F559" s="26"/>
      <c r="G559" s="27"/>
      <c r="H559" s="28" t="str">
        <f t="shared" si="43"/>
        <v/>
      </c>
      <c r="I559" s="28" t="str">
        <f t="shared" si="44"/>
        <v/>
      </c>
      <c r="J559" s="28" t="str">
        <f t="shared" si="45"/>
        <v/>
      </c>
      <c r="K559" s="28" t="str">
        <f t="shared" si="46"/>
        <v/>
      </c>
      <c r="L559" s="29" t="str">
        <f t="shared" si="47"/>
        <v/>
      </c>
      <c r="M559" s="30" t="str">
        <f t="shared" si="48"/>
        <v/>
      </c>
    </row>
    <row r="560" spans="2:13" x14ac:dyDescent="0.25">
      <c r="B560" s="22">
        <v>44753</v>
      </c>
      <c r="C560" s="41"/>
      <c r="D560" s="24"/>
      <c r="E560" s="25"/>
      <c r="F560" s="26"/>
      <c r="G560" s="27"/>
      <c r="H560" s="28" t="str">
        <f t="shared" si="43"/>
        <v/>
      </c>
      <c r="I560" s="28" t="str">
        <f t="shared" si="44"/>
        <v/>
      </c>
      <c r="J560" s="28" t="str">
        <f t="shared" si="45"/>
        <v/>
      </c>
      <c r="K560" s="28" t="str">
        <f t="shared" si="46"/>
        <v/>
      </c>
      <c r="L560" s="29" t="str">
        <f t="shared" si="47"/>
        <v/>
      </c>
      <c r="M560" s="30" t="str">
        <f t="shared" si="48"/>
        <v/>
      </c>
    </row>
    <row r="561" spans="2:13" x14ac:dyDescent="0.25">
      <c r="B561" s="22">
        <v>44754</v>
      </c>
      <c r="C561" s="41"/>
      <c r="D561" s="24"/>
      <c r="E561" s="25"/>
      <c r="F561" s="26"/>
      <c r="G561" s="27"/>
      <c r="H561" s="28" t="str">
        <f t="shared" ref="H561:H624" si="49">IF(C561="","",+(C561-C560))</f>
        <v/>
      </c>
      <c r="I561" s="28" t="str">
        <f t="shared" ref="I561:I624" si="50">IF(D561="","",+(D561-D560))</f>
        <v/>
      </c>
      <c r="J561" s="28" t="str">
        <f t="shared" ref="J561:J624" si="51">IF(E561="","",+(E561-E560))</f>
        <v/>
      </c>
      <c r="K561" s="28" t="str">
        <f t="shared" ref="K561:K624" si="52">IF(F561="","",+(F561-F560))</f>
        <v/>
      </c>
      <c r="L561" s="29" t="str">
        <f t="shared" ref="L561:L624" si="53">IF(G561="","",+(G561-G560))</f>
        <v/>
      </c>
      <c r="M561" s="30" t="str">
        <f t="shared" ref="M561:M624" si="54">IF(H561="","",+(H561+I561+J561+K561))</f>
        <v/>
      </c>
    </row>
    <row r="562" spans="2:13" x14ac:dyDescent="0.25">
      <c r="B562" s="22">
        <v>44755</v>
      </c>
      <c r="C562" s="41"/>
      <c r="D562" s="24"/>
      <c r="E562" s="25"/>
      <c r="F562" s="26"/>
      <c r="G562" s="27"/>
      <c r="H562" s="28" t="str">
        <f t="shared" si="49"/>
        <v/>
      </c>
      <c r="I562" s="28" t="str">
        <f t="shared" si="50"/>
        <v/>
      </c>
      <c r="J562" s="28" t="str">
        <f t="shared" si="51"/>
        <v/>
      </c>
      <c r="K562" s="28" t="str">
        <f t="shared" si="52"/>
        <v/>
      </c>
      <c r="L562" s="29" t="str">
        <f t="shared" si="53"/>
        <v/>
      </c>
      <c r="M562" s="30" t="str">
        <f t="shared" si="54"/>
        <v/>
      </c>
    </row>
    <row r="563" spans="2:13" x14ac:dyDescent="0.25">
      <c r="B563" s="22">
        <v>44756</v>
      </c>
      <c r="C563" s="41"/>
      <c r="D563" s="24"/>
      <c r="E563" s="25"/>
      <c r="F563" s="26"/>
      <c r="G563" s="27"/>
      <c r="H563" s="28" t="str">
        <f t="shared" si="49"/>
        <v/>
      </c>
      <c r="I563" s="28" t="str">
        <f t="shared" si="50"/>
        <v/>
      </c>
      <c r="J563" s="28" t="str">
        <f t="shared" si="51"/>
        <v/>
      </c>
      <c r="K563" s="28" t="str">
        <f t="shared" si="52"/>
        <v/>
      </c>
      <c r="L563" s="29" t="str">
        <f t="shared" si="53"/>
        <v/>
      </c>
      <c r="M563" s="30" t="str">
        <f t="shared" si="54"/>
        <v/>
      </c>
    </row>
    <row r="564" spans="2:13" x14ac:dyDescent="0.25">
      <c r="B564" s="22">
        <v>44757</v>
      </c>
      <c r="C564" s="41"/>
      <c r="D564" s="24"/>
      <c r="E564" s="25"/>
      <c r="F564" s="26"/>
      <c r="G564" s="27"/>
      <c r="H564" s="28" t="str">
        <f t="shared" si="49"/>
        <v/>
      </c>
      <c r="I564" s="28" t="str">
        <f t="shared" si="50"/>
        <v/>
      </c>
      <c r="J564" s="28" t="str">
        <f t="shared" si="51"/>
        <v/>
      </c>
      <c r="K564" s="28" t="str">
        <f t="shared" si="52"/>
        <v/>
      </c>
      <c r="L564" s="29" t="str">
        <f t="shared" si="53"/>
        <v/>
      </c>
      <c r="M564" s="30" t="str">
        <f t="shared" si="54"/>
        <v/>
      </c>
    </row>
    <row r="565" spans="2:13" x14ac:dyDescent="0.25">
      <c r="B565" s="22">
        <v>44758</v>
      </c>
      <c r="C565" s="41"/>
      <c r="D565" s="24"/>
      <c r="E565" s="25"/>
      <c r="F565" s="26"/>
      <c r="G565" s="27"/>
      <c r="H565" s="28" t="str">
        <f t="shared" si="49"/>
        <v/>
      </c>
      <c r="I565" s="28" t="str">
        <f t="shared" si="50"/>
        <v/>
      </c>
      <c r="J565" s="28" t="str">
        <f t="shared" si="51"/>
        <v/>
      </c>
      <c r="K565" s="28" t="str">
        <f t="shared" si="52"/>
        <v/>
      </c>
      <c r="L565" s="29" t="str">
        <f t="shared" si="53"/>
        <v/>
      </c>
      <c r="M565" s="30" t="str">
        <f t="shared" si="54"/>
        <v/>
      </c>
    </row>
    <row r="566" spans="2:13" x14ac:dyDescent="0.25">
      <c r="B566" s="22">
        <v>44759</v>
      </c>
      <c r="C566" s="41"/>
      <c r="D566" s="24"/>
      <c r="E566" s="25"/>
      <c r="F566" s="26"/>
      <c r="G566" s="27"/>
      <c r="H566" s="28" t="str">
        <f t="shared" si="49"/>
        <v/>
      </c>
      <c r="I566" s="28" t="str">
        <f t="shared" si="50"/>
        <v/>
      </c>
      <c r="J566" s="28" t="str">
        <f t="shared" si="51"/>
        <v/>
      </c>
      <c r="K566" s="28" t="str">
        <f t="shared" si="52"/>
        <v/>
      </c>
      <c r="L566" s="29" t="str">
        <f t="shared" si="53"/>
        <v/>
      </c>
      <c r="M566" s="30" t="str">
        <f t="shared" si="54"/>
        <v/>
      </c>
    </row>
    <row r="567" spans="2:13" x14ac:dyDescent="0.25">
      <c r="B567" s="22">
        <v>44760</v>
      </c>
      <c r="C567" s="41"/>
      <c r="D567" s="24"/>
      <c r="E567" s="25"/>
      <c r="F567" s="26"/>
      <c r="G567" s="27"/>
      <c r="H567" s="28" t="str">
        <f t="shared" si="49"/>
        <v/>
      </c>
      <c r="I567" s="28" t="str">
        <f t="shared" si="50"/>
        <v/>
      </c>
      <c r="J567" s="28" t="str">
        <f t="shared" si="51"/>
        <v/>
      </c>
      <c r="K567" s="28" t="str">
        <f t="shared" si="52"/>
        <v/>
      </c>
      <c r="L567" s="29" t="str">
        <f t="shared" si="53"/>
        <v/>
      </c>
      <c r="M567" s="30" t="str">
        <f t="shared" si="54"/>
        <v/>
      </c>
    </row>
    <row r="568" spans="2:13" x14ac:dyDescent="0.25">
      <c r="B568" s="22">
        <v>44761</v>
      </c>
      <c r="C568" s="41"/>
      <c r="D568" s="24"/>
      <c r="E568" s="25"/>
      <c r="F568" s="26"/>
      <c r="G568" s="27"/>
      <c r="H568" s="28" t="str">
        <f t="shared" si="49"/>
        <v/>
      </c>
      <c r="I568" s="28" t="str">
        <f t="shared" si="50"/>
        <v/>
      </c>
      <c r="J568" s="28" t="str">
        <f t="shared" si="51"/>
        <v/>
      </c>
      <c r="K568" s="28" t="str">
        <f t="shared" si="52"/>
        <v/>
      </c>
      <c r="L568" s="29" t="str">
        <f t="shared" si="53"/>
        <v/>
      </c>
      <c r="M568" s="30" t="str">
        <f t="shared" si="54"/>
        <v/>
      </c>
    </row>
    <row r="569" spans="2:13" x14ac:dyDescent="0.25">
      <c r="B569" s="22">
        <v>44762</v>
      </c>
      <c r="C569" s="41"/>
      <c r="D569" s="24"/>
      <c r="E569" s="25"/>
      <c r="F569" s="26"/>
      <c r="G569" s="27"/>
      <c r="H569" s="28" t="str">
        <f t="shared" si="49"/>
        <v/>
      </c>
      <c r="I569" s="28" t="str">
        <f t="shared" si="50"/>
        <v/>
      </c>
      <c r="J569" s="28" t="str">
        <f t="shared" si="51"/>
        <v/>
      </c>
      <c r="K569" s="28" t="str">
        <f t="shared" si="52"/>
        <v/>
      </c>
      <c r="L569" s="29" t="str">
        <f t="shared" si="53"/>
        <v/>
      </c>
      <c r="M569" s="30" t="str">
        <f t="shared" si="54"/>
        <v/>
      </c>
    </row>
    <row r="570" spans="2:13" x14ac:dyDescent="0.25">
      <c r="B570" s="22">
        <v>44763</v>
      </c>
      <c r="C570" s="41"/>
      <c r="D570" s="24"/>
      <c r="E570" s="25"/>
      <c r="F570" s="26"/>
      <c r="G570" s="27"/>
      <c r="H570" s="28" t="str">
        <f t="shared" si="49"/>
        <v/>
      </c>
      <c r="I570" s="28" t="str">
        <f t="shared" si="50"/>
        <v/>
      </c>
      <c r="J570" s="28" t="str">
        <f t="shared" si="51"/>
        <v/>
      </c>
      <c r="K570" s="28" t="str">
        <f t="shared" si="52"/>
        <v/>
      </c>
      <c r="L570" s="29" t="str">
        <f t="shared" si="53"/>
        <v/>
      </c>
      <c r="M570" s="30" t="str">
        <f t="shared" si="54"/>
        <v/>
      </c>
    </row>
    <row r="571" spans="2:13" x14ac:dyDescent="0.25">
      <c r="B571" s="22">
        <v>44764</v>
      </c>
      <c r="C571" s="41"/>
      <c r="D571" s="24"/>
      <c r="E571" s="25"/>
      <c r="F571" s="26"/>
      <c r="G571" s="27"/>
      <c r="H571" s="28" t="str">
        <f t="shared" si="49"/>
        <v/>
      </c>
      <c r="I571" s="28" t="str">
        <f t="shared" si="50"/>
        <v/>
      </c>
      <c r="J571" s="28" t="str">
        <f t="shared" si="51"/>
        <v/>
      </c>
      <c r="K571" s="28" t="str">
        <f t="shared" si="52"/>
        <v/>
      </c>
      <c r="L571" s="29" t="str">
        <f t="shared" si="53"/>
        <v/>
      </c>
      <c r="M571" s="30" t="str">
        <f t="shared" si="54"/>
        <v/>
      </c>
    </row>
    <row r="572" spans="2:13" x14ac:dyDescent="0.25">
      <c r="B572" s="22">
        <v>44765</v>
      </c>
      <c r="C572" s="41"/>
      <c r="D572" s="24"/>
      <c r="E572" s="25"/>
      <c r="F572" s="26"/>
      <c r="G572" s="27"/>
      <c r="H572" s="28" t="str">
        <f t="shared" si="49"/>
        <v/>
      </c>
      <c r="I572" s="28" t="str">
        <f t="shared" si="50"/>
        <v/>
      </c>
      <c r="J572" s="28" t="str">
        <f t="shared" si="51"/>
        <v/>
      </c>
      <c r="K572" s="28" t="str">
        <f t="shared" si="52"/>
        <v/>
      </c>
      <c r="L572" s="29" t="str">
        <f t="shared" si="53"/>
        <v/>
      </c>
      <c r="M572" s="30" t="str">
        <f t="shared" si="54"/>
        <v/>
      </c>
    </row>
    <row r="573" spans="2:13" x14ac:dyDescent="0.25">
      <c r="B573" s="22">
        <v>44766</v>
      </c>
      <c r="C573" s="41"/>
      <c r="D573" s="24"/>
      <c r="E573" s="25"/>
      <c r="F573" s="26"/>
      <c r="G573" s="27"/>
      <c r="H573" s="28" t="str">
        <f t="shared" si="49"/>
        <v/>
      </c>
      <c r="I573" s="28" t="str">
        <f t="shared" si="50"/>
        <v/>
      </c>
      <c r="J573" s="28" t="str">
        <f t="shared" si="51"/>
        <v/>
      </c>
      <c r="K573" s="28" t="str">
        <f t="shared" si="52"/>
        <v/>
      </c>
      <c r="L573" s="29" t="str">
        <f t="shared" si="53"/>
        <v/>
      </c>
      <c r="M573" s="30" t="str">
        <f t="shared" si="54"/>
        <v/>
      </c>
    </row>
    <row r="574" spans="2:13" x14ac:dyDescent="0.25">
      <c r="B574" s="22">
        <v>44767</v>
      </c>
      <c r="C574" s="41"/>
      <c r="D574" s="24"/>
      <c r="E574" s="25"/>
      <c r="F574" s="26"/>
      <c r="G574" s="27"/>
      <c r="H574" s="28" t="str">
        <f t="shared" si="49"/>
        <v/>
      </c>
      <c r="I574" s="28" t="str">
        <f t="shared" si="50"/>
        <v/>
      </c>
      <c r="J574" s="28" t="str">
        <f t="shared" si="51"/>
        <v/>
      </c>
      <c r="K574" s="28" t="str">
        <f t="shared" si="52"/>
        <v/>
      </c>
      <c r="L574" s="29" t="str">
        <f t="shared" si="53"/>
        <v/>
      </c>
      <c r="M574" s="30" t="str">
        <f t="shared" si="54"/>
        <v/>
      </c>
    </row>
    <row r="575" spans="2:13" x14ac:dyDescent="0.25">
      <c r="B575" s="22">
        <v>44768</v>
      </c>
      <c r="C575" s="41"/>
      <c r="D575" s="24"/>
      <c r="E575" s="25"/>
      <c r="F575" s="26"/>
      <c r="G575" s="27"/>
      <c r="H575" s="28" t="str">
        <f t="shared" si="49"/>
        <v/>
      </c>
      <c r="I575" s="28" t="str">
        <f t="shared" si="50"/>
        <v/>
      </c>
      <c r="J575" s="28" t="str">
        <f t="shared" si="51"/>
        <v/>
      </c>
      <c r="K575" s="28" t="str">
        <f t="shared" si="52"/>
        <v/>
      </c>
      <c r="L575" s="29" t="str">
        <f t="shared" si="53"/>
        <v/>
      </c>
      <c r="M575" s="30" t="str">
        <f t="shared" si="54"/>
        <v/>
      </c>
    </row>
    <row r="576" spans="2:13" x14ac:dyDescent="0.25">
      <c r="B576" s="22">
        <v>44769</v>
      </c>
      <c r="C576" s="41"/>
      <c r="D576" s="24"/>
      <c r="E576" s="25"/>
      <c r="F576" s="26"/>
      <c r="G576" s="27"/>
      <c r="H576" s="28" t="str">
        <f t="shared" si="49"/>
        <v/>
      </c>
      <c r="I576" s="28" t="str">
        <f t="shared" si="50"/>
        <v/>
      </c>
      <c r="J576" s="28" t="str">
        <f t="shared" si="51"/>
        <v/>
      </c>
      <c r="K576" s="28" t="str">
        <f t="shared" si="52"/>
        <v/>
      </c>
      <c r="L576" s="29" t="str">
        <f t="shared" si="53"/>
        <v/>
      </c>
      <c r="M576" s="30" t="str">
        <f t="shared" si="54"/>
        <v/>
      </c>
    </row>
    <row r="577" spans="2:13" x14ac:dyDescent="0.25">
      <c r="B577" s="22">
        <v>44770</v>
      </c>
      <c r="C577" s="41"/>
      <c r="D577" s="24"/>
      <c r="E577" s="25"/>
      <c r="F577" s="26"/>
      <c r="G577" s="27"/>
      <c r="H577" s="28" t="str">
        <f t="shared" si="49"/>
        <v/>
      </c>
      <c r="I577" s="28" t="str">
        <f t="shared" si="50"/>
        <v/>
      </c>
      <c r="J577" s="28" t="str">
        <f t="shared" si="51"/>
        <v/>
      </c>
      <c r="K577" s="28" t="str">
        <f t="shared" si="52"/>
        <v/>
      </c>
      <c r="L577" s="29" t="str">
        <f t="shared" si="53"/>
        <v/>
      </c>
      <c r="M577" s="30" t="str">
        <f t="shared" si="54"/>
        <v/>
      </c>
    </row>
    <row r="578" spans="2:13" x14ac:dyDescent="0.25">
      <c r="B578" s="22">
        <v>44771</v>
      </c>
      <c r="C578" s="41"/>
      <c r="D578" s="24"/>
      <c r="E578" s="25"/>
      <c r="F578" s="26"/>
      <c r="G578" s="27"/>
      <c r="H578" s="28" t="str">
        <f t="shared" si="49"/>
        <v/>
      </c>
      <c r="I578" s="28" t="str">
        <f t="shared" si="50"/>
        <v/>
      </c>
      <c r="J578" s="28" t="str">
        <f t="shared" si="51"/>
        <v/>
      </c>
      <c r="K578" s="28" t="str">
        <f t="shared" si="52"/>
        <v/>
      </c>
      <c r="L578" s="29" t="str">
        <f t="shared" si="53"/>
        <v/>
      </c>
      <c r="M578" s="30" t="str">
        <f t="shared" si="54"/>
        <v/>
      </c>
    </row>
    <row r="579" spans="2:13" x14ac:dyDescent="0.25">
      <c r="B579" s="22">
        <v>44772</v>
      </c>
      <c r="C579" s="41"/>
      <c r="D579" s="24"/>
      <c r="E579" s="25"/>
      <c r="F579" s="26"/>
      <c r="G579" s="27"/>
      <c r="H579" s="28" t="str">
        <f t="shared" si="49"/>
        <v/>
      </c>
      <c r="I579" s="28" t="str">
        <f t="shared" si="50"/>
        <v/>
      </c>
      <c r="J579" s="28" t="str">
        <f t="shared" si="51"/>
        <v/>
      </c>
      <c r="K579" s="28" t="str">
        <f t="shared" si="52"/>
        <v/>
      </c>
      <c r="L579" s="29" t="str">
        <f t="shared" si="53"/>
        <v/>
      </c>
      <c r="M579" s="30" t="str">
        <f t="shared" si="54"/>
        <v/>
      </c>
    </row>
    <row r="580" spans="2:13" x14ac:dyDescent="0.25">
      <c r="B580" s="22">
        <v>44773</v>
      </c>
      <c r="C580" s="41"/>
      <c r="D580" s="24"/>
      <c r="E580" s="25"/>
      <c r="F580" s="26"/>
      <c r="G580" s="27"/>
      <c r="H580" s="28" t="str">
        <f t="shared" si="49"/>
        <v/>
      </c>
      <c r="I580" s="28" t="str">
        <f t="shared" si="50"/>
        <v/>
      </c>
      <c r="J580" s="28" t="str">
        <f t="shared" si="51"/>
        <v/>
      </c>
      <c r="K580" s="28" t="str">
        <f t="shared" si="52"/>
        <v/>
      </c>
      <c r="L580" s="29" t="str">
        <f t="shared" si="53"/>
        <v/>
      </c>
      <c r="M580" s="30" t="str">
        <f t="shared" si="54"/>
        <v/>
      </c>
    </row>
    <row r="581" spans="2:13" x14ac:dyDescent="0.25">
      <c r="B581" s="22">
        <v>44774</v>
      </c>
      <c r="C581" s="41"/>
      <c r="D581" s="24"/>
      <c r="E581" s="25"/>
      <c r="F581" s="26"/>
      <c r="G581" s="27"/>
      <c r="H581" s="28" t="str">
        <f t="shared" si="49"/>
        <v/>
      </c>
      <c r="I581" s="28" t="str">
        <f t="shared" si="50"/>
        <v/>
      </c>
      <c r="J581" s="28" t="str">
        <f t="shared" si="51"/>
        <v/>
      </c>
      <c r="K581" s="28" t="str">
        <f t="shared" si="52"/>
        <v/>
      </c>
      <c r="L581" s="29" t="str">
        <f t="shared" si="53"/>
        <v/>
      </c>
      <c r="M581" s="30" t="str">
        <f t="shared" si="54"/>
        <v/>
      </c>
    </row>
    <row r="582" spans="2:13" x14ac:dyDescent="0.25">
      <c r="B582" s="22">
        <v>44775</v>
      </c>
      <c r="C582" s="41"/>
      <c r="D582" s="24"/>
      <c r="E582" s="25"/>
      <c r="F582" s="26"/>
      <c r="G582" s="27"/>
      <c r="H582" s="28" t="str">
        <f t="shared" si="49"/>
        <v/>
      </c>
      <c r="I582" s="28" t="str">
        <f t="shared" si="50"/>
        <v/>
      </c>
      <c r="J582" s="28" t="str">
        <f t="shared" si="51"/>
        <v/>
      </c>
      <c r="K582" s="28" t="str">
        <f t="shared" si="52"/>
        <v/>
      </c>
      <c r="L582" s="29" t="str">
        <f t="shared" si="53"/>
        <v/>
      </c>
      <c r="M582" s="30" t="str">
        <f t="shared" si="54"/>
        <v/>
      </c>
    </row>
    <row r="583" spans="2:13" x14ac:dyDescent="0.25">
      <c r="B583" s="22">
        <v>44776</v>
      </c>
      <c r="C583" s="41"/>
      <c r="D583" s="24"/>
      <c r="E583" s="25"/>
      <c r="F583" s="26"/>
      <c r="G583" s="27"/>
      <c r="H583" s="28" t="str">
        <f t="shared" si="49"/>
        <v/>
      </c>
      <c r="I583" s="28" t="str">
        <f t="shared" si="50"/>
        <v/>
      </c>
      <c r="J583" s="28" t="str">
        <f t="shared" si="51"/>
        <v/>
      </c>
      <c r="K583" s="28" t="str">
        <f t="shared" si="52"/>
        <v/>
      </c>
      <c r="L583" s="29" t="str">
        <f t="shared" si="53"/>
        <v/>
      </c>
      <c r="M583" s="30" t="str">
        <f t="shared" si="54"/>
        <v/>
      </c>
    </row>
    <row r="584" spans="2:13" x14ac:dyDescent="0.25">
      <c r="B584" s="22">
        <v>44777</v>
      </c>
      <c r="C584" s="41"/>
      <c r="D584" s="24"/>
      <c r="E584" s="25"/>
      <c r="F584" s="26"/>
      <c r="G584" s="27"/>
      <c r="H584" s="28" t="str">
        <f t="shared" si="49"/>
        <v/>
      </c>
      <c r="I584" s="28" t="str">
        <f t="shared" si="50"/>
        <v/>
      </c>
      <c r="J584" s="28" t="str">
        <f t="shared" si="51"/>
        <v/>
      </c>
      <c r="K584" s="28" t="str">
        <f t="shared" si="52"/>
        <v/>
      </c>
      <c r="L584" s="29" t="str">
        <f t="shared" si="53"/>
        <v/>
      </c>
      <c r="M584" s="30" t="str">
        <f t="shared" si="54"/>
        <v/>
      </c>
    </row>
    <row r="585" spans="2:13" x14ac:dyDescent="0.25">
      <c r="B585" s="22">
        <v>44778</v>
      </c>
      <c r="C585" s="41"/>
      <c r="D585" s="24"/>
      <c r="E585" s="25"/>
      <c r="F585" s="26"/>
      <c r="G585" s="27"/>
      <c r="H585" s="28" t="str">
        <f t="shared" si="49"/>
        <v/>
      </c>
      <c r="I585" s="28" t="str">
        <f t="shared" si="50"/>
        <v/>
      </c>
      <c r="J585" s="28" t="str">
        <f t="shared" si="51"/>
        <v/>
      </c>
      <c r="K585" s="28" t="str">
        <f t="shared" si="52"/>
        <v/>
      </c>
      <c r="L585" s="29" t="str">
        <f t="shared" si="53"/>
        <v/>
      </c>
      <c r="M585" s="30" t="str">
        <f t="shared" si="54"/>
        <v/>
      </c>
    </row>
    <row r="586" spans="2:13" x14ac:dyDescent="0.25">
      <c r="B586" s="22">
        <v>44779</v>
      </c>
      <c r="C586" s="41"/>
      <c r="D586" s="24"/>
      <c r="E586" s="25"/>
      <c r="F586" s="26"/>
      <c r="G586" s="27"/>
      <c r="H586" s="28" t="str">
        <f t="shared" si="49"/>
        <v/>
      </c>
      <c r="I586" s="28" t="str">
        <f t="shared" si="50"/>
        <v/>
      </c>
      <c r="J586" s="28" t="str">
        <f t="shared" si="51"/>
        <v/>
      </c>
      <c r="K586" s="28" t="str">
        <f t="shared" si="52"/>
        <v/>
      </c>
      <c r="L586" s="29" t="str">
        <f t="shared" si="53"/>
        <v/>
      </c>
      <c r="M586" s="30" t="str">
        <f t="shared" si="54"/>
        <v/>
      </c>
    </row>
    <row r="587" spans="2:13" x14ac:dyDescent="0.25">
      <c r="B587" s="22">
        <v>44780</v>
      </c>
      <c r="C587" s="41"/>
      <c r="D587" s="24"/>
      <c r="E587" s="25"/>
      <c r="F587" s="26"/>
      <c r="G587" s="27"/>
      <c r="H587" s="28" t="str">
        <f t="shared" si="49"/>
        <v/>
      </c>
      <c r="I587" s="28" t="str">
        <f t="shared" si="50"/>
        <v/>
      </c>
      <c r="J587" s="28" t="str">
        <f t="shared" si="51"/>
        <v/>
      </c>
      <c r="K587" s="28" t="str">
        <f t="shared" si="52"/>
        <v/>
      </c>
      <c r="L587" s="29" t="str">
        <f t="shared" si="53"/>
        <v/>
      </c>
      <c r="M587" s="30" t="str">
        <f t="shared" si="54"/>
        <v/>
      </c>
    </row>
    <row r="588" spans="2:13" x14ac:dyDescent="0.25">
      <c r="B588" s="22">
        <v>44781</v>
      </c>
      <c r="C588" s="41"/>
      <c r="D588" s="24"/>
      <c r="E588" s="25"/>
      <c r="F588" s="26"/>
      <c r="G588" s="27"/>
      <c r="H588" s="28" t="str">
        <f t="shared" si="49"/>
        <v/>
      </c>
      <c r="I588" s="28" t="str">
        <f t="shared" si="50"/>
        <v/>
      </c>
      <c r="J588" s="28" t="str">
        <f t="shared" si="51"/>
        <v/>
      </c>
      <c r="K588" s="28" t="str">
        <f t="shared" si="52"/>
        <v/>
      </c>
      <c r="L588" s="29" t="str">
        <f t="shared" si="53"/>
        <v/>
      </c>
      <c r="M588" s="30" t="str">
        <f t="shared" si="54"/>
        <v/>
      </c>
    </row>
    <row r="589" spans="2:13" x14ac:dyDescent="0.25">
      <c r="B589" s="22">
        <v>44782</v>
      </c>
      <c r="C589" s="41"/>
      <c r="D589" s="24"/>
      <c r="E589" s="25"/>
      <c r="F589" s="26"/>
      <c r="G589" s="27"/>
      <c r="H589" s="28" t="str">
        <f t="shared" si="49"/>
        <v/>
      </c>
      <c r="I589" s="28" t="str">
        <f t="shared" si="50"/>
        <v/>
      </c>
      <c r="J589" s="28" t="str">
        <f t="shared" si="51"/>
        <v/>
      </c>
      <c r="K589" s="28" t="str">
        <f t="shared" si="52"/>
        <v/>
      </c>
      <c r="L589" s="29" t="str">
        <f t="shared" si="53"/>
        <v/>
      </c>
      <c r="M589" s="30" t="str">
        <f t="shared" si="54"/>
        <v/>
      </c>
    </row>
    <row r="590" spans="2:13" x14ac:dyDescent="0.25">
      <c r="B590" s="22">
        <v>44783</v>
      </c>
      <c r="C590" s="41"/>
      <c r="D590" s="24"/>
      <c r="E590" s="25"/>
      <c r="F590" s="26"/>
      <c r="G590" s="27"/>
      <c r="H590" s="28" t="str">
        <f t="shared" si="49"/>
        <v/>
      </c>
      <c r="I590" s="28" t="str">
        <f t="shared" si="50"/>
        <v/>
      </c>
      <c r="J590" s="28" t="str">
        <f t="shared" si="51"/>
        <v/>
      </c>
      <c r="K590" s="28" t="str">
        <f t="shared" si="52"/>
        <v/>
      </c>
      <c r="L590" s="29" t="str">
        <f t="shared" si="53"/>
        <v/>
      </c>
      <c r="M590" s="30" t="str">
        <f t="shared" si="54"/>
        <v/>
      </c>
    </row>
    <row r="591" spans="2:13" x14ac:dyDescent="0.25">
      <c r="B591" s="22">
        <v>44784</v>
      </c>
      <c r="C591" s="41"/>
      <c r="D591" s="24"/>
      <c r="E591" s="25"/>
      <c r="F591" s="26"/>
      <c r="G591" s="27"/>
      <c r="H591" s="28" t="str">
        <f t="shared" si="49"/>
        <v/>
      </c>
      <c r="I591" s="28" t="str">
        <f t="shared" si="50"/>
        <v/>
      </c>
      <c r="J591" s="28" t="str">
        <f t="shared" si="51"/>
        <v/>
      </c>
      <c r="K591" s="28" t="str">
        <f t="shared" si="52"/>
        <v/>
      </c>
      <c r="L591" s="29" t="str">
        <f t="shared" si="53"/>
        <v/>
      </c>
      <c r="M591" s="30" t="str">
        <f t="shared" si="54"/>
        <v/>
      </c>
    </row>
    <row r="592" spans="2:13" x14ac:dyDescent="0.25">
      <c r="B592" s="22">
        <v>44785</v>
      </c>
      <c r="C592" s="41"/>
      <c r="D592" s="24"/>
      <c r="E592" s="25"/>
      <c r="F592" s="26"/>
      <c r="G592" s="27"/>
      <c r="H592" s="28" t="str">
        <f t="shared" si="49"/>
        <v/>
      </c>
      <c r="I592" s="28" t="str">
        <f t="shared" si="50"/>
        <v/>
      </c>
      <c r="J592" s="28" t="str">
        <f t="shared" si="51"/>
        <v/>
      </c>
      <c r="K592" s="28" t="str">
        <f t="shared" si="52"/>
        <v/>
      </c>
      <c r="L592" s="29" t="str">
        <f t="shared" si="53"/>
        <v/>
      </c>
      <c r="M592" s="30" t="str">
        <f t="shared" si="54"/>
        <v/>
      </c>
    </row>
    <row r="593" spans="2:13" x14ac:dyDescent="0.25">
      <c r="B593" s="22">
        <v>44786</v>
      </c>
      <c r="C593" s="41"/>
      <c r="D593" s="24"/>
      <c r="E593" s="25"/>
      <c r="F593" s="26"/>
      <c r="G593" s="27"/>
      <c r="H593" s="28" t="str">
        <f t="shared" si="49"/>
        <v/>
      </c>
      <c r="I593" s="28" t="str">
        <f t="shared" si="50"/>
        <v/>
      </c>
      <c r="J593" s="28" t="str">
        <f t="shared" si="51"/>
        <v/>
      </c>
      <c r="K593" s="28" t="str">
        <f t="shared" si="52"/>
        <v/>
      </c>
      <c r="L593" s="29" t="str">
        <f t="shared" si="53"/>
        <v/>
      </c>
      <c r="M593" s="30" t="str">
        <f t="shared" si="54"/>
        <v/>
      </c>
    </row>
    <row r="594" spans="2:13" x14ac:dyDescent="0.25">
      <c r="B594" s="22">
        <v>44787</v>
      </c>
      <c r="C594" s="41"/>
      <c r="D594" s="24"/>
      <c r="E594" s="25"/>
      <c r="F594" s="26"/>
      <c r="G594" s="27"/>
      <c r="H594" s="28" t="str">
        <f t="shared" si="49"/>
        <v/>
      </c>
      <c r="I594" s="28" t="str">
        <f t="shared" si="50"/>
        <v/>
      </c>
      <c r="J594" s="28" t="str">
        <f t="shared" si="51"/>
        <v/>
      </c>
      <c r="K594" s="28" t="str">
        <f t="shared" si="52"/>
        <v/>
      </c>
      <c r="L594" s="29" t="str">
        <f t="shared" si="53"/>
        <v/>
      </c>
      <c r="M594" s="30" t="str">
        <f t="shared" si="54"/>
        <v/>
      </c>
    </row>
    <row r="595" spans="2:13" x14ac:dyDescent="0.25">
      <c r="B595" s="22">
        <v>44788</v>
      </c>
      <c r="C595" s="41"/>
      <c r="D595" s="24"/>
      <c r="E595" s="25"/>
      <c r="F595" s="26"/>
      <c r="G595" s="27"/>
      <c r="H595" s="28" t="str">
        <f t="shared" si="49"/>
        <v/>
      </c>
      <c r="I595" s="28" t="str">
        <f t="shared" si="50"/>
        <v/>
      </c>
      <c r="J595" s="28" t="str">
        <f t="shared" si="51"/>
        <v/>
      </c>
      <c r="K595" s="28" t="str">
        <f t="shared" si="52"/>
        <v/>
      </c>
      <c r="L595" s="29" t="str">
        <f t="shared" si="53"/>
        <v/>
      </c>
      <c r="M595" s="30" t="str">
        <f t="shared" si="54"/>
        <v/>
      </c>
    </row>
    <row r="596" spans="2:13" x14ac:dyDescent="0.25">
      <c r="B596" s="22">
        <v>44789</v>
      </c>
      <c r="C596" s="41"/>
      <c r="D596" s="24"/>
      <c r="E596" s="25"/>
      <c r="F596" s="26"/>
      <c r="G596" s="27"/>
      <c r="H596" s="28" t="str">
        <f t="shared" si="49"/>
        <v/>
      </c>
      <c r="I596" s="28" t="str">
        <f t="shared" si="50"/>
        <v/>
      </c>
      <c r="J596" s="28" t="str">
        <f t="shared" si="51"/>
        <v/>
      </c>
      <c r="K596" s="28" t="str">
        <f t="shared" si="52"/>
        <v/>
      </c>
      <c r="L596" s="29" t="str">
        <f t="shared" si="53"/>
        <v/>
      </c>
      <c r="M596" s="30" t="str">
        <f t="shared" si="54"/>
        <v/>
      </c>
    </row>
    <row r="597" spans="2:13" x14ac:dyDescent="0.25">
      <c r="B597" s="22">
        <v>44790</v>
      </c>
      <c r="C597" s="41"/>
      <c r="D597" s="24"/>
      <c r="E597" s="25"/>
      <c r="F597" s="26"/>
      <c r="G597" s="27"/>
      <c r="H597" s="28" t="str">
        <f t="shared" si="49"/>
        <v/>
      </c>
      <c r="I597" s="28" t="str">
        <f t="shared" si="50"/>
        <v/>
      </c>
      <c r="J597" s="28" t="str">
        <f t="shared" si="51"/>
        <v/>
      </c>
      <c r="K597" s="28" t="str">
        <f t="shared" si="52"/>
        <v/>
      </c>
      <c r="L597" s="29" t="str">
        <f t="shared" si="53"/>
        <v/>
      </c>
      <c r="M597" s="30" t="str">
        <f t="shared" si="54"/>
        <v/>
      </c>
    </row>
    <row r="598" spans="2:13" x14ac:dyDescent="0.25">
      <c r="B598" s="22">
        <v>44791</v>
      </c>
      <c r="C598" s="41"/>
      <c r="D598" s="24"/>
      <c r="E598" s="25"/>
      <c r="F598" s="26"/>
      <c r="G598" s="27"/>
      <c r="H598" s="28" t="str">
        <f t="shared" si="49"/>
        <v/>
      </c>
      <c r="I598" s="28" t="str">
        <f t="shared" si="50"/>
        <v/>
      </c>
      <c r="J598" s="28" t="str">
        <f t="shared" si="51"/>
        <v/>
      </c>
      <c r="K598" s="28" t="str">
        <f t="shared" si="52"/>
        <v/>
      </c>
      <c r="L598" s="29" t="str">
        <f t="shared" si="53"/>
        <v/>
      </c>
      <c r="M598" s="30" t="str">
        <f t="shared" si="54"/>
        <v/>
      </c>
    </row>
    <row r="599" spans="2:13" x14ac:dyDescent="0.25">
      <c r="B599" s="22">
        <v>44792</v>
      </c>
      <c r="C599" s="41"/>
      <c r="D599" s="24"/>
      <c r="E599" s="25"/>
      <c r="F599" s="26"/>
      <c r="G599" s="27"/>
      <c r="H599" s="28" t="str">
        <f t="shared" si="49"/>
        <v/>
      </c>
      <c r="I599" s="28" t="str">
        <f t="shared" si="50"/>
        <v/>
      </c>
      <c r="J599" s="28" t="str">
        <f t="shared" si="51"/>
        <v/>
      </c>
      <c r="K599" s="28" t="str">
        <f t="shared" si="52"/>
        <v/>
      </c>
      <c r="L599" s="29" t="str">
        <f t="shared" si="53"/>
        <v/>
      </c>
      <c r="M599" s="30" t="str">
        <f t="shared" si="54"/>
        <v/>
      </c>
    </row>
    <row r="600" spans="2:13" x14ac:dyDescent="0.25">
      <c r="B600" s="22">
        <v>44793</v>
      </c>
      <c r="C600" s="41"/>
      <c r="D600" s="24"/>
      <c r="E600" s="25"/>
      <c r="F600" s="26"/>
      <c r="G600" s="27"/>
      <c r="H600" s="28" t="str">
        <f t="shared" si="49"/>
        <v/>
      </c>
      <c r="I600" s="28" t="str">
        <f t="shared" si="50"/>
        <v/>
      </c>
      <c r="J600" s="28" t="str">
        <f t="shared" si="51"/>
        <v/>
      </c>
      <c r="K600" s="28" t="str">
        <f t="shared" si="52"/>
        <v/>
      </c>
      <c r="L600" s="29" t="str">
        <f t="shared" si="53"/>
        <v/>
      </c>
      <c r="M600" s="30" t="str">
        <f t="shared" si="54"/>
        <v/>
      </c>
    </row>
    <row r="601" spans="2:13" x14ac:dyDescent="0.25">
      <c r="B601" s="22">
        <v>44794</v>
      </c>
      <c r="C601" s="41"/>
      <c r="D601" s="24"/>
      <c r="E601" s="25"/>
      <c r="F601" s="26"/>
      <c r="G601" s="27"/>
      <c r="H601" s="28" t="str">
        <f t="shared" si="49"/>
        <v/>
      </c>
      <c r="I601" s="28" t="str">
        <f t="shared" si="50"/>
        <v/>
      </c>
      <c r="J601" s="28" t="str">
        <f t="shared" si="51"/>
        <v/>
      </c>
      <c r="K601" s="28" t="str">
        <f t="shared" si="52"/>
        <v/>
      </c>
      <c r="L601" s="29" t="str">
        <f t="shared" si="53"/>
        <v/>
      </c>
      <c r="M601" s="30" t="str">
        <f t="shared" si="54"/>
        <v/>
      </c>
    </row>
    <row r="602" spans="2:13" x14ac:dyDescent="0.25">
      <c r="B602" s="22">
        <v>44795</v>
      </c>
      <c r="C602" s="41"/>
      <c r="D602" s="24"/>
      <c r="E602" s="25"/>
      <c r="F602" s="26"/>
      <c r="G602" s="27"/>
      <c r="H602" s="28" t="str">
        <f t="shared" si="49"/>
        <v/>
      </c>
      <c r="I602" s="28" t="str">
        <f t="shared" si="50"/>
        <v/>
      </c>
      <c r="J602" s="28" t="str">
        <f t="shared" si="51"/>
        <v/>
      </c>
      <c r="K602" s="28" t="str">
        <f t="shared" si="52"/>
        <v/>
      </c>
      <c r="L602" s="29" t="str">
        <f t="shared" si="53"/>
        <v/>
      </c>
      <c r="M602" s="30" t="str">
        <f t="shared" si="54"/>
        <v/>
      </c>
    </row>
    <row r="603" spans="2:13" x14ac:dyDescent="0.25">
      <c r="B603" s="22">
        <v>44796</v>
      </c>
      <c r="C603" s="41"/>
      <c r="D603" s="24"/>
      <c r="E603" s="25"/>
      <c r="F603" s="26"/>
      <c r="G603" s="27"/>
      <c r="H603" s="28" t="str">
        <f t="shared" si="49"/>
        <v/>
      </c>
      <c r="I603" s="28" t="str">
        <f t="shared" si="50"/>
        <v/>
      </c>
      <c r="J603" s="28" t="str">
        <f t="shared" si="51"/>
        <v/>
      </c>
      <c r="K603" s="28" t="str">
        <f t="shared" si="52"/>
        <v/>
      </c>
      <c r="L603" s="29" t="str">
        <f t="shared" si="53"/>
        <v/>
      </c>
      <c r="M603" s="30" t="str">
        <f t="shared" si="54"/>
        <v/>
      </c>
    </row>
    <row r="604" spans="2:13" x14ac:dyDescent="0.25">
      <c r="B604" s="22">
        <v>44797</v>
      </c>
      <c r="C604" s="41"/>
      <c r="D604" s="24"/>
      <c r="E604" s="25"/>
      <c r="F604" s="26"/>
      <c r="G604" s="27"/>
      <c r="H604" s="28" t="str">
        <f t="shared" si="49"/>
        <v/>
      </c>
      <c r="I604" s="28" t="str">
        <f t="shared" si="50"/>
        <v/>
      </c>
      <c r="J604" s="28" t="str">
        <f t="shared" si="51"/>
        <v/>
      </c>
      <c r="K604" s="28" t="str">
        <f t="shared" si="52"/>
        <v/>
      </c>
      <c r="L604" s="29" t="str">
        <f t="shared" si="53"/>
        <v/>
      </c>
      <c r="M604" s="30" t="str">
        <f t="shared" si="54"/>
        <v/>
      </c>
    </row>
    <row r="605" spans="2:13" x14ac:dyDescent="0.25">
      <c r="B605" s="22">
        <v>44798</v>
      </c>
      <c r="C605" s="41"/>
      <c r="D605" s="24"/>
      <c r="E605" s="25"/>
      <c r="F605" s="26"/>
      <c r="G605" s="27"/>
      <c r="H605" s="28" t="str">
        <f t="shared" si="49"/>
        <v/>
      </c>
      <c r="I605" s="28" t="str">
        <f t="shared" si="50"/>
        <v/>
      </c>
      <c r="J605" s="28" t="str">
        <f t="shared" si="51"/>
        <v/>
      </c>
      <c r="K605" s="28" t="str">
        <f t="shared" si="52"/>
        <v/>
      </c>
      <c r="L605" s="29" t="str">
        <f t="shared" si="53"/>
        <v/>
      </c>
      <c r="M605" s="30" t="str">
        <f t="shared" si="54"/>
        <v/>
      </c>
    </row>
    <row r="606" spans="2:13" x14ac:dyDescent="0.25">
      <c r="B606" s="22">
        <v>44799</v>
      </c>
      <c r="C606" s="41"/>
      <c r="D606" s="24"/>
      <c r="E606" s="25"/>
      <c r="F606" s="26"/>
      <c r="G606" s="27"/>
      <c r="H606" s="28" t="str">
        <f t="shared" si="49"/>
        <v/>
      </c>
      <c r="I606" s="28" t="str">
        <f t="shared" si="50"/>
        <v/>
      </c>
      <c r="J606" s="28" t="str">
        <f t="shared" si="51"/>
        <v/>
      </c>
      <c r="K606" s="28" t="str">
        <f t="shared" si="52"/>
        <v/>
      </c>
      <c r="L606" s="29" t="str">
        <f t="shared" si="53"/>
        <v/>
      </c>
      <c r="M606" s="30" t="str">
        <f t="shared" si="54"/>
        <v/>
      </c>
    </row>
    <row r="607" spans="2:13" x14ac:dyDescent="0.25">
      <c r="B607" s="22">
        <v>44800</v>
      </c>
      <c r="C607" s="41"/>
      <c r="D607" s="24"/>
      <c r="E607" s="25"/>
      <c r="F607" s="26"/>
      <c r="G607" s="27"/>
      <c r="H607" s="28" t="str">
        <f t="shared" si="49"/>
        <v/>
      </c>
      <c r="I607" s="28" t="str">
        <f t="shared" si="50"/>
        <v/>
      </c>
      <c r="J607" s="28" t="str">
        <f t="shared" si="51"/>
        <v/>
      </c>
      <c r="K607" s="28" t="str">
        <f t="shared" si="52"/>
        <v/>
      </c>
      <c r="L607" s="29" t="str">
        <f t="shared" si="53"/>
        <v/>
      </c>
      <c r="M607" s="30" t="str">
        <f t="shared" si="54"/>
        <v/>
      </c>
    </row>
    <row r="608" spans="2:13" x14ac:dyDescent="0.25">
      <c r="B608" s="22">
        <v>44801</v>
      </c>
      <c r="C608" s="41"/>
      <c r="D608" s="24"/>
      <c r="E608" s="25"/>
      <c r="F608" s="26"/>
      <c r="G608" s="27"/>
      <c r="H608" s="28" t="str">
        <f t="shared" si="49"/>
        <v/>
      </c>
      <c r="I608" s="28" t="str">
        <f t="shared" si="50"/>
        <v/>
      </c>
      <c r="J608" s="28" t="str">
        <f t="shared" si="51"/>
        <v/>
      </c>
      <c r="K608" s="28" t="str">
        <f t="shared" si="52"/>
        <v/>
      </c>
      <c r="L608" s="29" t="str">
        <f t="shared" si="53"/>
        <v/>
      </c>
      <c r="M608" s="30" t="str">
        <f t="shared" si="54"/>
        <v/>
      </c>
    </row>
    <row r="609" spans="2:13" x14ac:dyDescent="0.25">
      <c r="B609" s="22">
        <v>44802</v>
      </c>
      <c r="C609" s="41"/>
      <c r="D609" s="24"/>
      <c r="E609" s="25"/>
      <c r="F609" s="26"/>
      <c r="G609" s="27"/>
      <c r="H609" s="28" t="str">
        <f t="shared" si="49"/>
        <v/>
      </c>
      <c r="I609" s="28" t="str">
        <f t="shared" si="50"/>
        <v/>
      </c>
      <c r="J609" s="28" t="str">
        <f t="shared" si="51"/>
        <v/>
      </c>
      <c r="K609" s="28" t="str">
        <f t="shared" si="52"/>
        <v/>
      </c>
      <c r="L609" s="29" t="str">
        <f t="shared" si="53"/>
        <v/>
      </c>
      <c r="M609" s="30" t="str">
        <f t="shared" si="54"/>
        <v/>
      </c>
    </row>
    <row r="610" spans="2:13" x14ac:dyDescent="0.25">
      <c r="B610" s="22">
        <v>44803</v>
      </c>
      <c r="C610" s="41"/>
      <c r="D610" s="24"/>
      <c r="E610" s="25"/>
      <c r="F610" s="26"/>
      <c r="G610" s="27"/>
      <c r="H610" s="28" t="str">
        <f t="shared" si="49"/>
        <v/>
      </c>
      <c r="I610" s="28" t="str">
        <f t="shared" si="50"/>
        <v/>
      </c>
      <c r="J610" s="28" t="str">
        <f t="shared" si="51"/>
        <v/>
      </c>
      <c r="K610" s="28" t="str">
        <f t="shared" si="52"/>
        <v/>
      </c>
      <c r="L610" s="29" t="str">
        <f t="shared" si="53"/>
        <v/>
      </c>
      <c r="M610" s="30" t="str">
        <f t="shared" si="54"/>
        <v/>
      </c>
    </row>
    <row r="611" spans="2:13" x14ac:dyDescent="0.25">
      <c r="B611" s="22">
        <v>44804</v>
      </c>
      <c r="C611" s="41"/>
      <c r="D611" s="24"/>
      <c r="E611" s="25"/>
      <c r="F611" s="26"/>
      <c r="G611" s="27"/>
      <c r="H611" s="28" t="str">
        <f t="shared" si="49"/>
        <v/>
      </c>
      <c r="I611" s="28" t="str">
        <f t="shared" si="50"/>
        <v/>
      </c>
      <c r="J611" s="28" t="str">
        <f t="shared" si="51"/>
        <v/>
      </c>
      <c r="K611" s="28" t="str">
        <f t="shared" si="52"/>
        <v/>
      </c>
      <c r="L611" s="29" t="str">
        <f t="shared" si="53"/>
        <v/>
      </c>
      <c r="M611" s="30" t="str">
        <f t="shared" si="54"/>
        <v/>
      </c>
    </row>
    <row r="612" spans="2:13" x14ac:dyDescent="0.25">
      <c r="B612" s="22">
        <v>44805</v>
      </c>
      <c r="C612" s="41"/>
      <c r="D612" s="24"/>
      <c r="E612" s="25"/>
      <c r="F612" s="26"/>
      <c r="G612" s="27"/>
      <c r="H612" s="28" t="str">
        <f t="shared" si="49"/>
        <v/>
      </c>
      <c r="I612" s="28" t="str">
        <f t="shared" si="50"/>
        <v/>
      </c>
      <c r="J612" s="28" t="str">
        <f t="shared" si="51"/>
        <v/>
      </c>
      <c r="K612" s="28" t="str">
        <f t="shared" si="52"/>
        <v/>
      </c>
      <c r="L612" s="29" t="str">
        <f t="shared" si="53"/>
        <v/>
      </c>
      <c r="M612" s="30" t="str">
        <f t="shared" si="54"/>
        <v/>
      </c>
    </row>
    <row r="613" spans="2:13" x14ac:dyDescent="0.25">
      <c r="B613" s="22">
        <v>44806</v>
      </c>
      <c r="C613" s="41"/>
      <c r="D613" s="24"/>
      <c r="E613" s="25"/>
      <c r="F613" s="26"/>
      <c r="G613" s="27"/>
      <c r="H613" s="28" t="str">
        <f t="shared" si="49"/>
        <v/>
      </c>
      <c r="I613" s="28" t="str">
        <f t="shared" si="50"/>
        <v/>
      </c>
      <c r="J613" s="28" t="str">
        <f t="shared" si="51"/>
        <v/>
      </c>
      <c r="K613" s="28" t="str">
        <f t="shared" si="52"/>
        <v/>
      </c>
      <c r="L613" s="29" t="str">
        <f t="shared" si="53"/>
        <v/>
      </c>
      <c r="M613" s="30" t="str">
        <f t="shared" si="54"/>
        <v/>
      </c>
    </row>
    <row r="614" spans="2:13" x14ac:dyDescent="0.25">
      <c r="B614" s="22">
        <v>44807</v>
      </c>
      <c r="C614" s="41"/>
      <c r="D614" s="24"/>
      <c r="E614" s="25"/>
      <c r="F614" s="26"/>
      <c r="G614" s="27"/>
      <c r="H614" s="28" t="str">
        <f t="shared" si="49"/>
        <v/>
      </c>
      <c r="I614" s="28" t="str">
        <f t="shared" si="50"/>
        <v/>
      </c>
      <c r="J614" s="28" t="str">
        <f t="shared" si="51"/>
        <v/>
      </c>
      <c r="K614" s="28" t="str">
        <f t="shared" si="52"/>
        <v/>
      </c>
      <c r="L614" s="29" t="str">
        <f t="shared" si="53"/>
        <v/>
      </c>
      <c r="M614" s="30" t="str">
        <f t="shared" si="54"/>
        <v/>
      </c>
    </row>
    <row r="615" spans="2:13" x14ac:dyDescent="0.25">
      <c r="B615" s="22">
        <v>44808</v>
      </c>
      <c r="C615" s="41"/>
      <c r="D615" s="24"/>
      <c r="E615" s="25"/>
      <c r="F615" s="26"/>
      <c r="G615" s="27"/>
      <c r="H615" s="28" t="str">
        <f t="shared" si="49"/>
        <v/>
      </c>
      <c r="I615" s="28" t="str">
        <f t="shared" si="50"/>
        <v/>
      </c>
      <c r="J615" s="28" t="str">
        <f t="shared" si="51"/>
        <v/>
      </c>
      <c r="K615" s="28" t="str">
        <f t="shared" si="52"/>
        <v/>
      </c>
      <c r="L615" s="29" t="str">
        <f t="shared" si="53"/>
        <v/>
      </c>
      <c r="M615" s="30" t="str">
        <f t="shared" si="54"/>
        <v/>
      </c>
    </row>
    <row r="616" spans="2:13" x14ac:dyDescent="0.25">
      <c r="B616" s="22">
        <v>44809</v>
      </c>
      <c r="C616" s="41"/>
      <c r="D616" s="24"/>
      <c r="E616" s="25"/>
      <c r="F616" s="26"/>
      <c r="G616" s="27"/>
      <c r="H616" s="28" t="str">
        <f t="shared" si="49"/>
        <v/>
      </c>
      <c r="I616" s="28" t="str">
        <f t="shared" si="50"/>
        <v/>
      </c>
      <c r="J616" s="28" t="str">
        <f t="shared" si="51"/>
        <v/>
      </c>
      <c r="K616" s="28" t="str">
        <f t="shared" si="52"/>
        <v/>
      </c>
      <c r="L616" s="29" t="str">
        <f t="shared" si="53"/>
        <v/>
      </c>
      <c r="M616" s="30" t="str">
        <f t="shared" si="54"/>
        <v/>
      </c>
    </row>
    <row r="617" spans="2:13" x14ac:dyDescent="0.25">
      <c r="B617" s="22">
        <v>44810</v>
      </c>
      <c r="C617" s="41"/>
      <c r="D617" s="24"/>
      <c r="E617" s="25"/>
      <c r="F617" s="26"/>
      <c r="G617" s="27"/>
      <c r="H617" s="28" t="str">
        <f t="shared" si="49"/>
        <v/>
      </c>
      <c r="I617" s="28" t="str">
        <f t="shared" si="50"/>
        <v/>
      </c>
      <c r="J617" s="28" t="str">
        <f t="shared" si="51"/>
        <v/>
      </c>
      <c r="K617" s="28" t="str">
        <f t="shared" si="52"/>
        <v/>
      </c>
      <c r="L617" s="29" t="str">
        <f t="shared" si="53"/>
        <v/>
      </c>
      <c r="M617" s="30" t="str">
        <f t="shared" si="54"/>
        <v/>
      </c>
    </row>
    <row r="618" spans="2:13" x14ac:dyDescent="0.25">
      <c r="B618" s="22">
        <v>44811</v>
      </c>
      <c r="C618" s="41"/>
      <c r="D618" s="24"/>
      <c r="E618" s="25"/>
      <c r="F618" s="26"/>
      <c r="G618" s="27"/>
      <c r="H618" s="28" t="str">
        <f t="shared" si="49"/>
        <v/>
      </c>
      <c r="I618" s="28" t="str">
        <f t="shared" si="50"/>
        <v/>
      </c>
      <c r="J618" s="28" t="str">
        <f t="shared" si="51"/>
        <v/>
      </c>
      <c r="K618" s="28" t="str">
        <f t="shared" si="52"/>
        <v/>
      </c>
      <c r="L618" s="29" t="str">
        <f t="shared" si="53"/>
        <v/>
      </c>
      <c r="M618" s="30" t="str">
        <f t="shared" si="54"/>
        <v/>
      </c>
    </row>
    <row r="619" spans="2:13" x14ac:dyDescent="0.25">
      <c r="B619" s="22">
        <v>44812</v>
      </c>
      <c r="C619" s="41"/>
      <c r="D619" s="24"/>
      <c r="E619" s="25"/>
      <c r="F619" s="26"/>
      <c r="G619" s="27"/>
      <c r="H619" s="28" t="str">
        <f t="shared" si="49"/>
        <v/>
      </c>
      <c r="I619" s="28" t="str">
        <f t="shared" si="50"/>
        <v/>
      </c>
      <c r="J619" s="28" t="str">
        <f t="shared" si="51"/>
        <v/>
      </c>
      <c r="K619" s="28" t="str">
        <f t="shared" si="52"/>
        <v/>
      </c>
      <c r="L619" s="29" t="str">
        <f t="shared" si="53"/>
        <v/>
      </c>
      <c r="M619" s="30" t="str">
        <f t="shared" si="54"/>
        <v/>
      </c>
    </row>
    <row r="620" spans="2:13" x14ac:dyDescent="0.25">
      <c r="B620" s="22">
        <v>44813</v>
      </c>
      <c r="C620" s="41"/>
      <c r="D620" s="24"/>
      <c r="E620" s="25"/>
      <c r="F620" s="26"/>
      <c r="G620" s="27"/>
      <c r="H620" s="28" t="str">
        <f t="shared" si="49"/>
        <v/>
      </c>
      <c r="I620" s="28" t="str">
        <f t="shared" si="50"/>
        <v/>
      </c>
      <c r="J620" s="28" t="str">
        <f t="shared" si="51"/>
        <v/>
      </c>
      <c r="K620" s="28" t="str">
        <f t="shared" si="52"/>
        <v/>
      </c>
      <c r="L620" s="29" t="str">
        <f t="shared" si="53"/>
        <v/>
      </c>
      <c r="M620" s="30" t="str">
        <f t="shared" si="54"/>
        <v/>
      </c>
    </row>
    <row r="621" spans="2:13" x14ac:dyDescent="0.25">
      <c r="B621" s="22">
        <v>44814</v>
      </c>
      <c r="C621" s="41"/>
      <c r="D621" s="24"/>
      <c r="E621" s="25"/>
      <c r="F621" s="26"/>
      <c r="G621" s="27"/>
      <c r="H621" s="28" t="str">
        <f t="shared" si="49"/>
        <v/>
      </c>
      <c r="I621" s="28" t="str">
        <f t="shared" si="50"/>
        <v/>
      </c>
      <c r="J621" s="28" t="str">
        <f t="shared" si="51"/>
        <v/>
      </c>
      <c r="K621" s="28" t="str">
        <f t="shared" si="52"/>
        <v/>
      </c>
      <c r="L621" s="29" t="str">
        <f t="shared" si="53"/>
        <v/>
      </c>
      <c r="M621" s="30" t="str">
        <f t="shared" si="54"/>
        <v/>
      </c>
    </row>
    <row r="622" spans="2:13" x14ac:dyDescent="0.25">
      <c r="B622" s="22">
        <v>44815</v>
      </c>
      <c r="C622" s="41"/>
      <c r="D622" s="24"/>
      <c r="E622" s="25"/>
      <c r="F622" s="26"/>
      <c r="G622" s="27"/>
      <c r="H622" s="28" t="str">
        <f t="shared" si="49"/>
        <v/>
      </c>
      <c r="I622" s="28" t="str">
        <f t="shared" si="50"/>
        <v/>
      </c>
      <c r="J622" s="28" t="str">
        <f t="shared" si="51"/>
        <v/>
      </c>
      <c r="K622" s="28" t="str">
        <f t="shared" si="52"/>
        <v/>
      </c>
      <c r="L622" s="29" t="str">
        <f t="shared" si="53"/>
        <v/>
      </c>
      <c r="M622" s="30" t="str">
        <f t="shared" si="54"/>
        <v/>
      </c>
    </row>
    <row r="623" spans="2:13" x14ac:dyDescent="0.25">
      <c r="B623" s="22">
        <v>44816</v>
      </c>
      <c r="C623" s="41"/>
      <c r="D623" s="24"/>
      <c r="E623" s="25"/>
      <c r="F623" s="26"/>
      <c r="G623" s="27"/>
      <c r="H623" s="28" t="str">
        <f t="shared" si="49"/>
        <v/>
      </c>
      <c r="I623" s="28" t="str">
        <f t="shared" si="50"/>
        <v/>
      </c>
      <c r="J623" s="28" t="str">
        <f t="shared" si="51"/>
        <v/>
      </c>
      <c r="K623" s="28" t="str">
        <f t="shared" si="52"/>
        <v/>
      </c>
      <c r="L623" s="29" t="str">
        <f t="shared" si="53"/>
        <v/>
      </c>
      <c r="M623" s="30" t="str">
        <f t="shared" si="54"/>
        <v/>
      </c>
    </row>
    <row r="624" spans="2:13" x14ac:dyDescent="0.25">
      <c r="B624" s="22">
        <v>44817</v>
      </c>
      <c r="C624" s="41"/>
      <c r="D624" s="24"/>
      <c r="E624" s="25"/>
      <c r="F624" s="26"/>
      <c r="G624" s="27"/>
      <c r="H624" s="28" t="str">
        <f t="shared" si="49"/>
        <v/>
      </c>
      <c r="I624" s="28" t="str">
        <f t="shared" si="50"/>
        <v/>
      </c>
      <c r="J624" s="28" t="str">
        <f t="shared" si="51"/>
        <v/>
      </c>
      <c r="K624" s="28" t="str">
        <f t="shared" si="52"/>
        <v/>
      </c>
      <c r="L624" s="29" t="str">
        <f t="shared" si="53"/>
        <v/>
      </c>
      <c r="M624" s="30" t="str">
        <f t="shared" si="54"/>
        <v/>
      </c>
    </row>
    <row r="625" spans="2:13" x14ac:dyDescent="0.25">
      <c r="B625" s="22">
        <v>44818</v>
      </c>
      <c r="C625" s="41"/>
      <c r="D625" s="24"/>
      <c r="E625" s="25"/>
      <c r="F625" s="26"/>
      <c r="G625" s="27"/>
      <c r="H625" s="28" t="str">
        <f t="shared" ref="H625:H688" si="55">IF(C625="","",+(C625-C624))</f>
        <v/>
      </c>
      <c r="I625" s="28" t="str">
        <f t="shared" ref="I625:I688" si="56">IF(D625="","",+(D625-D624))</f>
        <v/>
      </c>
      <c r="J625" s="28" t="str">
        <f t="shared" ref="J625:J688" si="57">IF(E625="","",+(E625-E624))</f>
        <v/>
      </c>
      <c r="K625" s="28" t="str">
        <f t="shared" ref="K625:K688" si="58">IF(F625="","",+(F625-F624))</f>
        <v/>
      </c>
      <c r="L625" s="29" t="str">
        <f t="shared" ref="L625:L688" si="59">IF(G625="","",+(G625-G624))</f>
        <v/>
      </c>
      <c r="M625" s="30" t="str">
        <f t="shared" ref="M625:M688" si="60">IF(H625="","",+(H625+I625+J625+K625))</f>
        <v/>
      </c>
    </row>
    <row r="626" spans="2:13" x14ac:dyDescent="0.25">
      <c r="B626" s="22">
        <v>44819</v>
      </c>
      <c r="C626" s="41"/>
      <c r="D626" s="24"/>
      <c r="E626" s="25"/>
      <c r="F626" s="26"/>
      <c r="G626" s="27"/>
      <c r="H626" s="28" t="str">
        <f t="shared" si="55"/>
        <v/>
      </c>
      <c r="I626" s="28" t="str">
        <f t="shared" si="56"/>
        <v/>
      </c>
      <c r="J626" s="28" t="str">
        <f t="shared" si="57"/>
        <v/>
      </c>
      <c r="K626" s="28" t="str">
        <f t="shared" si="58"/>
        <v/>
      </c>
      <c r="L626" s="29" t="str">
        <f t="shared" si="59"/>
        <v/>
      </c>
      <c r="M626" s="30" t="str">
        <f t="shared" si="60"/>
        <v/>
      </c>
    </row>
    <row r="627" spans="2:13" x14ac:dyDescent="0.25">
      <c r="B627" s="22">
        <v>44820</v>
      </c>
      <c r="C627" s="41"/>
      <c r="D627" s="24"/>
      <c r="E627" s="25"/>
      <c r="F627" s="26"/>
      <c r="G627" s="27"/>
      <c r="H627" s="28" t="str">
        <f t="shared" si="55"/>
        <v/>
      </c>
      <c r="I627" s="28" t="str">
        <f t="shared" si="56"/>
        <v/>
      </c>
      <c r="J627" s="28" t="str">
        <f t="shared" si="57"/>
        <v/>
      </c>
      <c r="K627" s="28" t="str">
        <f t="shared" si="58"/>
        <v/>
      </c>
      <c r="L627" s="29" t="str">
        <f t="shared" si="59"/>
        <v/>
      </c>
      <c r="M627" s="30" t="str">
        <f t="shared" si="60"/>
        <v/>
      </c>
    </row>
    <row r="628" spans="2:13" x14ac:dyDescent="0.25">
      <c r="B628" s="22">
        <v>44821</v>
      </c>
      <c r="C628" s="41"/>
      <c r="D628" s="24"/>
      <c r="E628" s="25"/>
      <c r="F628" s="26"/>
      <c r="G628" s="27"/>
      <c r="H628" s="28" t="str">
        <f t="shared" si="55"/>
        <v/>
      </c>
      <c r="I628" s="28" t="str">
        <f t="shared" si="56"/>
        <v/>
      </c>
      <c r="J628" s="28" t="str">
        <f t="shared" si="57"/>
        <v/>
      </c>
      <c r="K628" s="28" t="str">
        <f t="shared" si="58"/>
        <v/>
      </c>
      <c r="L628" s="29" t="str">
        <f t="shared" si="59"/>
        <v/>
      </c>
      <c r="M628" s="30" t="str">
        <f t="shared" si="60"/>
        <v/>
      </c>
    </row>
    <row r="629" spans="2:13" x14ac:dyDescent="0.25">
      <c r="B629" s="22">
        <v>44822</v>
      </c>
      <c r="C629" s="41"/>
      <c r="D629" s="24"/>
      <c r="E629" s="25"/>
      <c r="F629" s="26"/>
      <c r="G629" s="27"/>
      <c r="H629" s="28" t="str">
        <f t="shared" si="55"/>
        <v/>
      </c>
      <c r="I629" s="28" t="str">
        <f t="shared" si="56"/>
        <v/>
      </c>
      <c r="J629" s="28" t="str">
        <f t="shared" si="57"/>
        <v/>
      </c>
      <c r="K629" s="28" t="str">
        <f t="shared" si="58"/>
        <v/>
      </c>
      <c r="L629" s="29" t="str">
        <f t="shared" si="59"/>
        <v/>
      </c>
      <c r="M629" s="30" t="str">
        <f t="shared" si="60"/>
        <v/>
      </c>
    </row>
    <row r="630" spans="2:13" x14ac:dyDescent="0.25">
      <c r="B630" s="22">
        <v>44823</v>
      </c>
      <c r="C630" s="41"/>
      <c r="D630" s="24"/>
      <c r="E630" s="25"/>
      <c r="F630" s="26"/>
      <c r="G630" s="27"/>
      <c r="H630" s="28" t="str">
        <f t="shared" si="55"/>
        <v/>
      </c>
      <c r="I630" s="28" t="str">
        <f t="shared" si="56"/>
        <v/>
      </c>
      <c r="J630" s="28" t="str">
        <f t="shared" si="57"/>
        <v/>
      </c>
      <c r="K630" s="28" t="str">
        <f t="shared" si="58"/>
        <v/>
      </c>
      <c r="L630" s="29" t="str">
        <f t="shared" si="59"/>
        <v/>
      </c>
      <c r="M630" s="30" t="str">
        <f t="shared" si="60"/>
        <v/>
      </c>
    </row>
    <row r="631" spans="2:13" x14ac:dyDescent="0.25">
      <c r="B631" s="22">
        <v>44824</v>
      </c>
      <c r="C631" s="41"/>
      <c r="D631" s="24"/>
      <c r="E631" s="25"/>
      <c r="F631" s="26"/>
      <c r="G631" s="27"/>
      <c r="H631" s="28" t="str">
        <f t="shared" si="55"/>
        <v/>
      </c>
      <c r="I631" s="28" t="str">
        <f t="shared" si="56"/>
        <v/>
      </c>
      <c r="J631" s="28" t="str">
        <f t="shared" si="57"/>
        <v/>
      </c>
      <c r="K631" s="28" t="str">
        <f t="shared" si="58"/>
        <v/>
      </c>
      <c r="L631" s="29" t="str">
        <f t="shared" si="59"/>
        <v/>
      </c>
      <c r="M631" s="30" t="str">
        <f t="shared" si="60"/>
        <v/>
      </c>
    </row>
    <row r="632" spans="2:13" x14ac:dyDescent="0.25">
      <c r="B632" s="22">
        <v>44825</v>
      </c>
      <c r="C632" s="41"/>
      <c r="D632" s="24"/>
      <c r="E632" s="25"/>
      <c r="F632" s="26"/>
      <c r="G632" s="27"/>
      <c r="H632" s="28" t="str">
        <f t="shared" si="55"/>
        <v/>
      </c>
      <c r="I632" s="28" t="str">
        <f t="shared" si="56"/>
        <v/>
      </c>
      <c r="J632" s="28" t="str">
        <f t="shared" si="57"/>
        <v/>
      </c>
      <c r="K632" s="28" t="str">
        <f t="shared" si="58"/>
        <v/>
      </c>
      <c r="L632" s="29" t="str">
        <f t="shared" si="59"/>
        <v/>
      </c>
      <c r="M632" s="30" t="str">
        <f t="shared" si="60"/>
        <v/>
      </c>
    </row>
    <row r="633" spans="2:13" x14ac:dyDescent="0.25">
      <c r="B633" s="22">
        <v>44826</v>
      </c>
      <c r="C633" s="41"/>
      <c r="D633" s="24"/>
      <c r="E633" s="25"/>
      <c r="F633" s="26"/>
      <c r="G633" s="27"/>
      <c r="H633" s="28" t="str">
        <f t="shared" si="55"/>
        <v/>
      </c>
      <c r="I633" s="28" t="str">
        <f t="shared" si="56"/>
        <v/>
      </c>
      <c r="J633" s="28" t="str">
        <f t="shared" si="57"/>
        <v/>
      </c>
      <c r="K633" s="28" t="str">
        <f t="shared" si="58"/>
        <v/>
      </c>
      <c r="L633" s="29" t="str">
        <f t="shared" si="59"/>
        <v/>
      </c>
      <c r="M633" s="30" t="str">
        <f t="shared" si="60"/>
        <v/>
      </c>
    </row>
    <row r="634" spans="2:13" x14ac:dyDescent="0.25">
      <c r="B634" s="22">
        <v>44827</v>
      </c>
      <c r="C634" s="41"/>
      <c r="D634" s="24"/>
      <c r="E634" s="25"/>
      <c r="F634" s="26"/>
      <c r="G634" s="27"/>
      <c r="H634" s="28" t="str">
        <f t="shared" si="55"/>
        <v/>
      </c>
      <c r="I634" s="28" t="str">
        <f t="shared" si="56"/>
        <v/>
      </c>
      <c r="J634" s="28" t="str">
        <f t="shared" si="57"/>
        <v/>
      </c>
      <c r="K634" s="28" t="str">
        <f t="shared" si="58"/>
        <v/>
      </c>
      <c r="L634" s="29" t="str">
        <f t="shared" si="59"/>
        <v/>
      </c>
      <c r="M634" s="30" t="str">
        <f t="shared" si="60"/>
        <v/>
      </c>
    </row>
    <row r="635" spans="2:13" x14ac:dyDescent="0.25">
      <c r="B635" s="22">
        <v>44828</v>
      </c>
      <c r="C635" s="41"/>
      <c r="D635" s="24"/>
      <c r="E635" s="25"/>
      <c r="F635" s="26"/>
      <c r="G635" s="27"/>
      <c r="H635" s="28" t="str">
        <f t="shared" si="55"/>
        <v/>
      </c>
      <c r="I635" s="28" t="str">
        <f t="shared" si="56"/>
        <v/>
      </c>
      <c r="J635" s="28" t="str">
        <f t="shared" si="57"/>
        <v/>
      </c>
      <c r="K635" s="28" t="str">
        <f t="shared" si="58"/>
        <v/>
      </c>
      <c r="L635" s="29" t="str">
        <f t="shared" si="59"/>
        <v/>
      </c>
      <c r="M635" s="30" t="str">
        <f t="shared" si="60"/>
        <v/>
      </c>
    </row>
    <row r="636" spans="2:13" x14ac:dyDescent="0.25">
      <c r="B636" s="22">
        <v>44829</v>
      </c>
      <c r="C636" s="41"/>
      <c r="D636" s="24"/>
      <c r="E636" s="25"/>
      <c r="F636" s="26"/>
      <c r="G636" s="27"/>
      <c r="H636" s="28" t="str">
        <f t="shared" si="55"/>
        <v/>
      </c>
      <c r="I636" s="28" t="str">
        <f t="shared" si="56"/>
        <v/>
      </c>
      <c r="J636" s="28" t="str">
        <f t="shared" si="57"/>
        <v/>
      </c>
      <c r="K636" s="28" t="str">
        <f t="shared" si="58"/>
        <v/>
      </c>
      <c r="L636" s="29" t="str">
        <f t="shared" si="59"/>
        <v/>
      </c>
      <c r="M636" s="30" t="str">
        <f t="shared" si="60"/>
        <v/>
      </c>
    </row>
    <row r="637" spans="2:13" x14ac:dyDescent="0.25">
      <c r="B637" s="22">
        <v>44830</v>
      </c>
      <c r="C637" s="41"/>
      <c r="D637" s="24"/>
      <c r="E637" s="25"/>
      <c r="F637" s="26"/>
      <c r="G637" s="27"/>
      <c r="H637" s="28" t="str">
        <f t="shared" si="55"/>
        <v/>
      </c>
      <c r="I637" s="28" t="str">
        <f t="shared" si="56"/>
        <v/>
      </c>
      <c r="J637" s="28" t="str">
        <f t="shared" si="57"/>
        <v/>
      </c>
      <c r="K637" s="28" t="str">
        <f t="shared" si="58"/>
        <v/>
      </c>
      <c r="L637" s="29" t="str">
        <f t="shared" si="59"/>
        <v/>
      </c>
      <c r="M637" s="30" t="str">
        <f t="shared" si="60"/>
        <v/>
      </c>
    </row>
    <row r="638" spans="2:13" x14ac:dyDescent="0.25">
      <c r="B638" s="22">
        <v>44831</v>
      </c>
      <c r="C638" s="41"/>
      <c r="D638" s="24"/>
      <c r="E638" s="25"/>
      <c r="F638" s="26"/>
      <c r="G638" s="27"/>
      <c r="H638" s="28" t="str">
        <f t="shared" si="55"/>
        <v/>
      </c>
      <c r="I638" s="28" t="str">
        <f t="shared" si="56"/>
        <v/>
      </c>
      <c r="J638" s="28" t="str">
        <f t="shared" si="57"/>
        <v/>
      </c>
      <c r="K638" s="28" t="str">
        <f t="shared" si="58"/>
        <v/>
      </c>
      <c r="L638" s="29" t="str">
        <f t="shared" si="59"/>
        <v/>
      </c>
      <c r="M638" s="30" t="str">
        <f t="shared" si="60"/>
        <v/>
      </c>
    </row>
    <row r="639" spans="2:13" x14ac:dyDescent="0.25">
      <c r="B639" s="22">
        <v>44832</v>
      </c>
      <c r="C639" s="41"/>
      <c r="D639" s="24"/>
      <c r="E639" s="25"/>
      <c r="F639" s="26"/>
      <c r="G639" s="27"/>
      <c r="H639" s="28" t="str">
        <f t="shared" si="55"/>
        <v/>
      </c>
      <c r="I639" s="28" t="str">
        <f t="shared" si="56"/>
        <v/>
      </c>
      <c r="J639" s="28" t="str">
        <f t="shared" si="57"/>
        <v/>
      </c>
      <c r="K639" s="28" t="str">
        <f t="shared" si="58"/>
        <v/>
      </c>
      <c r="L639" s="29" t="str">
        <f t="shared" si="59"/>
        <v/>
      </c>
      <c r="M639" s="30" t="str">
        <f t="shared" si="60"/>
        <v/>
      </c>
    </row>
    <row r="640" spans="2:13" x14ac:dyDescent="0.25">
      <c r="B640" s="22">
        <v>44833</v>
      </c>
      <c r="C640" s="41"/>
      <c r="D640" s="24"/>
      <c r="E640" s="25"/>
      <c r="F640" s="26"/>
      <c r="G640" s="27"/>
      <c r="H640" s="28" t="str">
        <f t="shared" si="55"/>
        <v/>
      </c>
      <c r="I640" s="28" t="str">
        <f t="shared" si="56"/>
        <v/>
      </c>
      <c r="J640" s="28" t="str">
        <f t="shared" si="57"/>
        <v/>
      </c>
      <c r="K640" s="28" t="str">
        <f t="shared" si="58"/>
        <v/>
      </c>
      <c r="L640" s="29" t="str">
        <f t="shared" si="59"/>
        <v/>
      </c>
      <c r="M640" s="30" t="str">
        <f t="shared" si="60"/>
        <v/>
      </c>
    </row>
    <row r="641" spans="2:13" x14ac:dyDescent="0.25">
      <c r="B641" s="22">
        <v>44834</v>
      </c>
      <c r="C641" s="41"/>
      <c r="D641" s="24"/>
      <c r="E641" s="25"/>
      <c r="F641" s="26"/>
      <c r="G641" s="27"/>
      <c r="H641" s="28" t="str">
        <f t="shared" si="55"/>
        <v/>
      </c>
      <c r="I641" s="28" t="str">
        <f t="shared" si="56"/>
        <v/>
      </c>
      <c r="J641" s="28" t="str">
        <f t="shared" si="57"/>
        <v/>
      </c>
      <c r="K641" s="28" t="str">
        <f t="shared" si="58"/>
        <v/>
      </c>
      <c r="L641" s="29" t="str">
        <f t="shared" si="59"/>
        <v/>
      </c>
      <c r="M641" s="30" t="str">
        <f t="shared" si="60"/>
        <v/>
      </c>
    </row>
    <row r="642" spans="2:13" x14ac:dyDescent="0.25">
      <c r="B642" s="22">
        <v>44835</v>
      </c>
      <c r="C642" s="41"/>
      <c r="D642" s="24"/>
      <c r="E642" s="25"/>
      <c r="F642" s="26"/>
      <c r="G642" s="27"/>
      <c r="H642" s="28" t="str">
        <f t="shared" si="55"/>
        <v/>
      </c>
      <c r="I642" s="28" t="str">
        <f t="shared" si="56"/>
        <v/>
      </c>
      <c r="J642" s="28" t="str">
        <f t="shared" si="57"/>
        <v/>
      </c>
      <c r="K642" s="28" t="str">
        <f t="shared" si="58"/>
        <v/>
      </c>
      <c r="L642" s="29" t="str">
        <f t="shared" si="59"/>
        <v/>
      </c>
      <c r="M642" s="30" t="str">
        <f t="shared" si="60"/>
        <v/>
      </c>
    </row>
    <row r="643" spans="2:13" x14ac:dyDescent="0.25">
      <c r="B643" s="22">
        <v>44836</v>
      </c>
      <c r="C643" s="41"/>
      <c r="D643" s="24"/>
      <c r="E643" s="25"/>
      <c r="F643" s="26"/>
      <c r="G643" s="27"/>
      <c r="H643" s="28" t="str">
        <f t="shared" si="55"/>
        <v/>
      </c>
      <c r="I643" s="28" t="str">
        <f t="shared" si="56"/>
        <v/>
      </c>
      <c r="J643" s="28" t="str">
        <f t="shared" si="57"/>
        <v/>
      </c>
      <c r="K643" s="28" t="str">
        <f t="shared" si="58"/>
        <v/>
      </c>
      <c r="L643" s="29" t="str">
        <f t="shared" si="59"/>
        <v/>
      </c>
      <c r="M643" s="30" t="str">
        <f t="shared" si="60"/>
        <v/>
      </c>
    </row>
    <row r="644" spans="2:13" x14ac:dyDescent="0.25">
      <c r="B644" s="22">
        <v>44837</v>
      </c>
      <c r="C644" s="41"/>
      <c r="D644" s="24"/>
      <c r="E644" s="25"/>
      <c r="F644" s="26"/>
      <c r="G644" s="27"/>
      <c r="H644" s="28" t="str">
        <f t="shared" si="55"/>
        <v/>
      </c>
      <c r="I644" s="28" t="str">
        <f t="shared" si="56"/>
        <v/>
      </c>
      <c r="J644" s="28" t="str">
        <f t="shared" si="57"/>
        <v/>
      </c>
      <c r="K644" s="28" t="str">
        <f t="shared" si="58"/>
        <v/>
      </c>
      <c r="L644" s="29" t="str">
        <f t="shared" si="59"/>
        <v/>
      </c>
      <c r="M644" s="30" t="str">
        <f t="shared" si="60"/>
        <v/>
      </c>
    </row>
    <row r="645" spans="2:13" x14ac:dyDescent="0.25">
      <c r="B645" s="22">
        <v>44838</v>
      </c>
      <c r="C645" s="41"/>
      <c r="D645" s="24"/>
      <c r="E645" s="25"/>
      <c r="F645" s="26"/>
      <c r="G645" s="27"/>
      <c r="H645" s="28" t="str">
        <f t="shared" si="55"/>
        <v/>
      </c>
      <c r="I645" s="28" t="str">
        <f t="shared" si="56"/>
        <v/>
      </c>
      <c r="J645" s="28" t="str">
        <f t="shared" si="57"/>
        <v/>
      </c>
      <c r="K645" s="28" t="str">
        <f t="shared" si="58"/>
        <v/>
      </c>
      <c r="L645" s="29" t="str">
        <f t="shared" si="59"/>
        <v/>
      </c>
      <c r="M645" s="30" t="str">
        <f t="shared" si="60"/>
        <v/>
      </c>
    </row>
    <row r="646" spans="2:13" x14ac:dyDescent="0.25">
      <c r="B646" s="22">
        <v>44839</v>
      </c>
      <c r="C646" s="41"/>
      <c r="D646" s="24"/>
      <c r="E646" s="25"/>
      <c r="F646" s="26"/>
      <c r="G646" s="27"/>
      <c r="H646" s="28" t="str">
        <f t="shared" si="55"/>
        <v/>
      </c>
      <c r="I646" s="28" t="str">
        <f t="shared" si="56"/>
        <v/>
      </c>
      <c r="J646" s="28" t="str">
        <f t="shared" si="57"/>
        <v/>
      </c>
      <c r="K646" s="28" t="str">
        <f t="shared" si="58"/>
        <v/>
      </c>
      <c r="L646" s="29" t="str">
        <f t="shared" si="59"/>
        <v/>
      </c>
      <c r="M646" s="30" t="str">
        <f t="shared" si="60"/>
        <v/>
      </c>
    </row>
    <row r="647" spans="2:13" x14ac:dyDescent="0.25">
      <c r="B647" s="22">
        <v>44840</v>
      </c>
      <c r="C647" s="41"/>
      <c r="D647" s="24"/>
      <c r="E647" s="25"/>
      <c r="F647" s="26"/>
      <c r="G647" s="27"/>
      <c r="H647" s="28" t="str">
        <f t="shared" si="55"/>
        <v/>
      </c>
      <c r="I647" s="28" t="str">
        <f t="shared" si="56"/>
        <v/>
      </c>
      <c r="J647" s="28" t="str">
        <f t="shared" si="57"/>
        <v/>
      </c>
      <c r="K647" s="28" t="str">
        <f t="shared" si="58"/>
        <v/>
      </c>
      <c r="L647" s="29" t="str">
        <f t="shared" si="59"/>
        <v/>
      </c>
      <c r="M647" s="30" t="str">
        <f t="shared" si="60"/>
        <v/>
      </c>
    </row>
    <row r="648" spans="2:13" x14ac:dyDescent="0.25">
      <c r="B648" s="22">
        <v>44841</v>
      </c>
      <c r="C648" s="41"/>
      <c r="D648" s="24"/>
      <c r="E648" s="25"/>
      <c r="F648" s="26"/>
      <c r="G648" s="27"/>
      <c r="H648" s="28" t="str">
        <f t="shared" si="55"/>
        <v/>
      </c>
      <c r="I648" s="28" t="str">
        <f t="shared" si="56"/>
        <v/>
      </c>
      <c r="J648" s="28" t="str">
        <f t="shared" si="57"/>
        <v/>
      </c>
      <c r="K648" s="28" t="str">
        <f t="shared" si="58"/>
        <v/>
      </c>
      <c r="L648" s="29" t="str">
        <f t="shared" si="59"/>
        <v/>
      </c>
      <c r="M648" s="30" t="str">
        <f t="shared" si="60"/>
        <v/>
      </c>
    </row>
    <row r="649" spans="2:13" x14ac:dyDescent="0.25">
      <c r="B649" s="22">
        <v>44842</v>
      </c>
      <c r="C649" s="41"/>
      <c r="D649" s="24"/>
      <c r="E649" s="25"/>
      <c r="F649" s="26"/>
      <c r="G649" s="27"/>
      <c r="H649" s="28" t="str">
        <f t="shared" si="55"/>
        <v/>
      </c>
      <c r="I649" s="28" t="str">
        <f t="shared" si="56"/>
        <v/>
      </c>
      <c r="J649" s="28" t="str">
        <f t="shared" si="57"/>
        <v/>
      </c>
      <c r="K649" s="28" t="str">
        <f t="shared" si="58"/>
        <v/>
      </c>
      <c r="L649" s="29" t="str">
        <f t="shared" si="59"/>
        <v/>
      </c>
      <c r="M649" s="30" t="str">
        <f t="shared" si="60"/>
        <v/>
      </c>
    </row>
    <row r="650" spans="2:13" x14ac:dyDescent="0.25">
      <c r="B650" s="22">
        <v>44843</v>
      </c>
      <c r="C650" s="41"/>
      <c r="D650" s="24"/>
      <c r="E650" s="25"/>
      <c r="F650" s="26"/>
      <c r="G650" s="27"/>
      <c r="H650" s="28" t="str">
        <f t="shared" si="55"/>
        <v/>
      </c>
      <c r="I650" s="28" t="str">
        <f t="shared" si="56"/>
        <v/>
      </c>
      <c r="J650" s="28" t="str">
        <f t="shared" si="57"/>
        <v/>
      </c>
      <c r="K650" s="28" t="str">
        <f t="shared" si="58"/>
        <v/>
      </c>
      <c r="L650" s="29" t="str">
        <f t="shared" si="59"/>
        <v/>
      </c>
      <c r="M650" s="30" t="str">
        <f t="shared" si="60"/>
        <v/>
      </c>
    </row>
    <row r="651" spans="2:13" x14ac:dyDescent="0.25">
      <c r="B651" s="22">
        <v>44844</v>
      </c>
      <c r="C651" s="41"/>
      <c r="D651" s="24"/>
      <c r="E651" s="25"/>
      <c r="F651" s="26"/>
      <c r="G651" s="27"/>
      <c r="H651" s="28" t="str">
        <f t="shared" si="55"/>
        <v/>
      </c>
      <c r="I651" s="28" t="str">
        <f t="shared" si="56"/>
        <v/>
      </c>
      <c r="J651" s="28" t="str">
        <f t="shared" si="57"/>
        <v/>
      </c>
      <c r="K651" s="28" t="str">
        <f t="shared" si="58"/>
        <v/>
      </c>
      <c r="L651" s="29" t="str">
        <f t="shared" si="59"/>
        <v/>
      </c>
      <c r="M651" s="30" t="str">
        <f t="shared" si="60"/>
        <v/>
      </c>
    </row>
    <row r="652" spans="2:13" x14ac:dyDescent="0.25">
      <c r="B652" s="22">
        <v>44845</v>
      </c>
      <c r="C652" s="41"/>
      <c r="D652" s="24"/>
      <c r="E652" s="25"/>
      <c r="F652" s="26"/>
      <c r="G652" s="27"/>
      <c r="H652" s="28" t="str">
        <f t="shared" si="55"/>
        <v/>
      </c>
      <c r="I652" s="28" t="str">
        <f t="shared" si="56"/>
        <v/>
      </c>
      <c r="J652" s="28" t="str">
        <f t="shared" si="57"/>
        <v/>
      </c>
      <c r="K652" s="28" t="str">
        <f t="shared" si="58"/>
        <v/>
      </c>
      <c r="L652" s="29" t="str">
        <f t="shared" si="59"/>
        <v/>
      </c>
      <c r="M652" s="30" t="str">
        <f t="shared" si="60"/>
        <v/>
      </c>
    </row>
    <row r="653" spans="2:13" x14ac:dyDescent="0.25">
      <c r="B653" s="22">
        <v>44846</v>
      </c>
      <c r="C653" s="41"/>
      <c r="D653" s="24"/>
      <c r="E653" s="25"/>
      <c r="F653" s="26"/>
      <c r="G653" s="27"/>
      <c r="H653" s="28" t="str">
        <f t="shared" si="55"/>
        <v/>
      </c>
      <c r="I653" s="28" t="str">
        <f t="shared" si="56"/>
        <v/>
      </c>
      <c r="J653" s="28" t="str">
        <f t="shared" si="57"/>
        <v/>
      </c>
      <c r="K653" s="28" t="str">
        <f t="shared" si="58"/>
        <v/>
      </c>
      <c r="L653" s="29" t="str">
        <f t="shared" si="59"/>
        <v/>
      </c>
      <c r="M653" s="30" t="str">
        <f t="shared" si="60"/>
        <v/>
      </c>
    </row>
    <row r="654" spans="2:13" x14ac:dyDescent="0.25">
      <c r="B654" s="22">
        <v>44847</v>
      </c>
      <c r="C654" s="41"/>
      <c r="D654" s="24"/>
      <c r="E654" s="25"/>
      <c r="F654" s="26"/>
      <c r="G654" s="27"/>
      <c r="H654" s="28" t="str">
        <f t="shared" si="55"/>
        <v/>
      </c>
      <c r="I654" s="28" t="str">
        <f t="shared" si="56"/>
        <v/>
      </c>
      <c r="J654" s="28" t="str">
        <f t="shared" si="57"/>
        <v/>
      </c>
      <c r="K654" s="28" t="str">
        <f t="shared" si="58"/>
        <v/>
      </c>
      <c r="L654" s="29" t="str">
        <f t="shared" si="59"/>
        <v/>
      </c>
      <c r="M654" s="30" t="str">
        <f t="shared" si="60"/>
        <v/>
      </c>
    </row>
    <row r="655" spans="2:13" x14ac:dyDescent="0.25">
      <c r="B655" s="22">
        <v>44848</v>
      </c>
      <c r="C655" s="41"/>
      <c r="D655" s="24"/>
      <c r="E655" s="25"/>
      <c r="F655" s="26"/>
      <c r="G655" s="27"/>
      <c r="H655" s="28" t="str">
        <f t="shared" si="55"/>
        <v/>
      </c>
      <c r="I655" s="28" t="str">
        <f t="shared" si="56"/>
        <v/>
      </c>
      <c r="J655" s="28" t="str">
        <f t="shared" si="57"/>
        <v/>
      </c>
      <c r="K655" s="28" t="str">
        <f t="shared" si="58"/>
        <v/>
      </c>
      <c r="L655" s="29" t="str">
        <f t="shared" si="59"/>
        <v/>
      </c>
      <c r="M655" s="30" t="str">
        <f t="shared" si="60"/>
        <v/>
      </c>
    </row>
    <row r="656" spans="2:13" x14ac:dyDescent="0.25">
      <c r="B656" s="22">
        <v>44849</v>
      </c>
      <c r="C656" s="41"/>
      <c r="D656" s="24"/>
      <c r="E656" s="25"/>
      <c r="F656" s="26"/>
      <c r="G656" s="27"/>
      <c r="H656" s="28" t="str">
        <f t="shared" si="55"/>
        <v/>
      </c>
      <c r="I656" s="28" t="str">
        <f t="shared" si="56"/>
        <v/>
      </c>
      <c r="J656" s="28" t="str">
        <f t="shared" si="57"/>
        <v/>
      </c>
      <c r="K656" s="28" t="str">
        <f t="shared" si="58"/>
        <v/>
      </c>
      <c r="L656" s="29" t="str">
        <f t="shared" si="59"/>
        <v/>
      </c>
      <c r="M656" s="30" t="str">
        <f t="shared" si="60"/>
        <v/>
      </c>
    </row>
    <row r="657" spans="2:13" x14ac:dyDescent="0.25">
      <c r="B657" s="22">
        <v>44850</v>
      </c>
      <c r="C657" s="41"/>
      <c r="D657" s="24"/>
      <c r="E657" s="25"/>
      <c r="F657" s="26"/>
      <c r="G657" s="27"/>
      <c r="H657" s="28" t="str">
        <f t="shared" si="55"/>
        <v/>
      </c>
      <c r="I657" s="28" t="str">
        <f t="shared" si="56"/>
        <v/>
      </c>
      <c r="J657" s="28" t="str">
        <f t="shared" si="57"/>
        <v/>
      </c>
      <c r="K657" s="28" t="str">
        <f t="shared" si="58"/>
        <v/>
      </c>
      <c r="L657" s="29" t="str">
        <f t="shared" si="59"/>
        <v/>
      </c>
      <c r="M657" s="30" t="str">
        <f t="shared" si="60"/>
        <v/>
      </c>
    </row>
    <row r="658" spans="2:13" x14ac:dyDescent="0.25">
      <c r="B658" s="22">
        <v>44851</v>
      </c>
      <c r="C658" s="41"/>
      <c r="D658" s="24"/>
      <c r="E658" s="25"/>
      <c r="F658" s="26"/>
      <c r="G658" s="27"/>
      <c r="H658" s="28" t="str">
        <f t="shared" si="55"/>
        <v/>
      </c>
      <c r="I658" s="28" t="str">
        <f t="shared" si="56"/>
        <v/>
      </c>
      <c r="J658" s="28" t="str">
        <f t="shared" si="57"/>
        <v/>
      </c>
      <c r="K658" s="28" t="str">
        <f t="shared" si="58"/>
        <v/>
      </c>
      <c r="L658" s="29" t="str">
        <f t="shared" si="59"/>
        <v/>
      </c>
      <c r="M658" s="30" t="str">
        <f t="shared" si="60"/>
        <v/>
      </c>
    </row>
    <row r="659" spans="2:13" x14ac:dyDescent="0.25">
      <c r="B659" s="22">
        <v>44852</v>
      </c>
      <c r="C659" s="41"/>
      <c r="D659" s="24"/>
      <c r="E659" s="25"/>
      <c r="F659" s="26"/>
      <c r="G659" s="27"/>
      <c r="H659" s="28" t="str">
        <f t="shared" si="55"/>
        <v/>
      </c>
      <c r="I659" s="28" t="str">
        <f t="shared" si="56"/>
        <v/>
      </c>
      <c r="J659" s="28" t="str">
        <f t="shared" si="57"/>
        <v/>
      </c>
      <c r="K659" s="28" t="str">
        <f t="shared" si="58"/>
        <v/>
      </c>
      <c r="L659" s="29" t="str">
        <f t="shared" si="59"/>
        <v/>
      </c>
      <c r="M659" s="30" t="str">
        <f t="shared" si="60"/>
        <v/>
      </c>
    </row>
    <row r="660" spans="2:13" x14ac:dyDescent="0.25">
      <c r="B660" s="22">
        <v>44853</v>
      </c>
      <c r="C660" s="41"/>
      <c r="D660" s="24"/>
      <c r="E660" s="25"/>
      <c r="F660" s="26"/>
      <c r="G660" s="27"/>
      <c r="H660" s="28" t="str">
        <f t="shared" si="55"/>
        <v/>
      </c>
      <c r="I660" s="28" t="str">
        <f t="shared" si="56"/>
        <v/>
      </c>
      <c r="J660" s="28" t="str">
        <f t="shared" si="57"/>
        <v/>
      </c>
      <c r="K660" s="28" t="str">
        <f t="shared" si="58"/>
        <v/>
      </c>
      <c r="L660" s="29" t="str">
        <f t="shared" si="59"/>
        <v/>
      </c>
      <c r="M660" s="30" t="str">
        <f t="shared" si="60"/>
        <v/>
      </c>
    </row>
    <row r="661" spans="2:13" x14ac:dyDescent="0.25">
      <c r="B661" s="22">
        <v>44854</v>
      </c>
      <c r="C661" s="41"/>
      <c r="D661" s="24"/>
      <c r="E661" s="25"/>
      <c r="F661" s="26"/>
      <c r="G661" s="27"/>
      <c r="H661" s="28" t="str">
        <f t="shared" si="55"/>
        <v/>
      </c>
      <c r="I661" s="28" t="str">
        <f t="shared" si="56"/>
        <v/>
      </c>
      <c r="J661" s="28" t="str">
        <f t="shared" si="57"/>
        <v/>
      </c>
      <c r="K661" s="28" t="str">
        <f t="shared" si="58"/>
        <v/>
      </c>
      <c r="L661" s="29" t="str">
        <f t="shared" si="59"/>
        <v/>
      </c>
      <c r="M661" s="30" t="str">
        <f t="shared" si="60"/>
        <v/>
      </c>
    </row>
    <row r="662" spans="2:13" x14ac:dyDescent="0.25">
      <c r="B662" s="22">
        <v>44855</v>
      </c>
      <c r="C662" s="41"/>
      <c r="D662" s="24"/>
      <c r="E662" s="25"/>
      <c r="F662" s="26"/>
      <c r="G662" s="27"/>
      <c r="H662" s="28" t="str">
        <f t="shared" si="55"/>
        <v/>
      </c>
      <c r="I662" s="28" t="str">
        <f t="shared" si="56"/>
        <v/>
      </c>
      <c r="J662" s="28" t="str">
        <f t="shared" si="57"/>
        <v/>
      </c>
      <c r="K662" s="28" t="str">
        <f t="shared" si="58"/>
        <v/>
      </c>
      <c r="L662" s="29" t="str">
        <f t="shared" si="59"/>
        <v/>
      </c>
      <c r="M662" s="30" t="str">
        <f t="shared" si="60"/>
        <v/>
      </c>
    </row>
    <row r="663" spans="2:13" x14ac:dyDescent="0.25">
      <c r="B663" s="22">
        <v>44856</v>
      </c>
      <c r="C663" s="41"/>
      <c r="D663" s="24"/>
      <c r="E663" s="25"/>
      <c r="F663" s="26"/>
      <c r="G663" s="27"/>
      <c r="H663" s="28" t="str">
        <f t="shared" si="55"/>
        <v/>
      </c>
      <c r="I663" s="28" t="str">
        <f t="shared" si="56"/>
        <v/>
      </c>
      <c r="J663" s="28" t="str">
        <f t="shared" si="57"/>
        <v/>
      </c>
      <c r="K663" s="28" t="str">
        <f t="shared" si="58"/>
        <v/>
      </c>
      <c r="L663" s="29" t="str">
        <f t="shared" si="59"/>
        <v/>
      </c>
      <c r="M663" s="30" t="str">
        <f t="shared" si="60"/>
        <v/>
      </c>
    </row>
    <row r="664" spans="2:13" x14ac:dyDescent="0.25">
      <c r="B664" s="22">
        <v>44857</v>
      </c>
      <c r="C664" s="41"/>
      <c r="D664" s="24"/>
      <c r="E664" s="25"/>
      <c r="F664" s="26"/>
      <c r="G664" s="27"/>
      <c r="H664" s="28" t="str">
        <f t="shared" si="55"/>
        <v/>
      </c>
      <c r="I664" s="28" t="str">
        <f t="shared" si="56"/>
        <v/>
      </c>
      <c r="J664" s="28" t="str">
        <f t="shared" si="57"/>
        <v/>
      </c>
      <c r="K664" s="28" t="str">
        <f t="shared" si="58"/>
        <v/>
      </c>
      <c r="L664" s="29" t="str">
        <f t="shared" si="59"/>
        <v/>
      </c>
      <c r="M664" s="30" t="str">
        <f t="shared" si="60"/>
        <v/>
      </c>
    </row>
    <row r="665" spans="2:13" x14ac:dyDescent="0.25">
      <c r="B665" s="22">
        <v>44858</v>
      </c>
      <c r="C665" s="41"/>
      <c r="D665" s="24"/>
      <c r="E665" s="25"/>
      <c r="F665" s="26"/>
      <c r="G665" s="27"/>
      <c r="H665" s="28" t="str">
        <f t="shared" si="55"/>
        <v/>
      </c>
      <c r="I665" s="28" t="str">
        <f t="shared" si="56"/>
        <v/>
      </c>
      <c r="J665" s="28" t="str">
        <f t="shared" si="57"/>
        <v/>
      </c>
      <c r="K665" s="28" t="str">
        <f t="shared" si="58"/>
        <v/>
      </c>
      <c r="L665" s="29" t="str">
        <f t="shared" si="59"/>
        <v/>
      </c>
      <c r="M665" s="30" t="str">
        <f t="shared" si="60"/>
        <v/>
      </c>
    </row>
    <row r="666" spans="2:13" x14ac:dyDescent="0.25">
      <c r="B666" s="22">
        <v>44859</v>
      </c>
      <c r="C666" s="41"/>
      <c r="D666" s="24"/>
      <c r="E666" s="25"/>
      <c r="F666" s="26"/>
      <c r="G666" s="27"/>
      <c r="H666" s="28" t="str">
        <f t="shared" si="55"/>
        <v/>
      </c>
      <c r="I666" s="28" t="str">
        <f t="shared" si="56"/>
        <v/>
      </c>
      <c r="J666" s="28" t="str">
        <f t="shared" si="57"/>
        <v/>
      </c>
      <c r="K666" s="28" t="str">
        <f t="shared" si="58"/>
        <v/>
      </c>
      <c r="L666" s="29" t="str">
        <f t="shared" si="59"/>
        <v/>
      </c>
      <c r="M666" s="30" t="str">
        <f t="shared" si="60"/>
        <v/>
      </c>
    </row>
    <row r="667" spans="2:13" x14ac:dyDescent="0.25">
      <c r="B667" s="22">
        <v>44860</v>
      </c>
      <c r="C667" s="41"/>
      <c r="D667" s="24"/>
      <c r="E667" s="25"/>
      <c r="F667" s="26"/>
      <c r="G667" s="27"/>
      <c r="H667" s="28" t="str">
        <f t="shared" si="55"/>
        <v/>
      </c>
      <c r="I667" s="28" t="str">
        <f t="shared" si="56"/>
        <v/>
      </c>
      <c r="J667" s="28" t="str">
        <f t="shared" si="57"/>
        <v/>
      </c>
      <c r="K667" s="28" t="str">
        <f t="shared" si="58"/>
        <v/>
      </c>
      <c r="L667" s="29" t="str">
        <f t="shared" si="59"/>
        <v/>
      </c>
      <c r="M667" s="30" t="str">
        <f t="shared" si="60"/>
        <v/>
      </c>
    </row>
    <row r="668" spans="2:13" x14ac:dyDescent="0.25">
      <c r="B668" s="22">
        <v>44861</v>
      </c>
      <c r="C668" s="41"/>
      <c r="D668" s="24"/>
      <c r="E668" s="25"/>
      <c r="F668" s="26"/>
      <c r="G668" s="27"/>
      <c r="H668" s="28" t="str">
        <f t="shared" si="55"/>
        <v/>
      </c>
      <c r="I668" s="28" t="str">
        <f t="shared" si="56"/>
        <v/>
      </c>
      <c r="J668" s="28" t="str">
        <f t="shared" si="57"/>
        <v/>
      </c>
      <c r="K668" s="28" t="str">
        <f t="shared" si="58"/>
        <v/>
      </c>
      <c r="L668" s="29" t="str">
        <f t="shared" si="59"/>
        <v/>
      </c>
      <c r="M668" s="30" t="str">
        <f t="shared" si="60"/>
        <v/>
      </c>
    </row>
    <row r="669" spans="2:13" x14ac:dyDescent="0.25">
      <c r="B669" s="22">
        <v>44862</v>
      </c>
      <c r="C669" s="41"/>
      <c r="D669" s="24"/>
      <c r="E669" s="25"/>
      <c r="F669" s="26"/>
      <c r="G669" s="27"/>
      <c r="H669" s="28" t="str">
        <f t="shared" si="55"/>
        <v/>
      </c>
      <c r="I669" s="28" t="str">
        <f t="shared" si="56"/>
        <v/>
      </c>
      <c r="J669" s="28" t="str">
        <f t="shared" si="57"/>
        <v/>
      </c>
      <c r="K669" s="28" t="str">
        <f t="shared" si="58"/>
        <v/>
      </c>
      <c r="L669" s="29" t="str">
        <f t="shared" si="59"/>
        <v/>
      </c>
      <c r="M669" s="30" t="str">
        <f t="shared" si="60"/>
        <v/>
      </c>
    </row>
    <row r="670" spans="2:13" x14ac:dyDescent="0.25">
      <c r="B670" s="22">
        <v>44863</v>
      </c>
      <c r="C670" s="41"/>
      <c r="D670" s="24"/>
      <c r="E670" s="25"/>
      <c r="F670" s="26"/>
      <c r="G670" s="27"/>
      <c r="H670" s="28" t="str">
        <f t="shared" si="55"/>
        <v/>
      </c>
      <c r="I670" s="28" t="str">
        <f t="shared" si="56"/>
        <v/>
      </c>
      <c r="J670" s="28" t="str">
        <f t="shared" si="57"/>
        <v/>
      </c>
      <c r="K670" s="28" t="str">
        <f t="shared" si="58"/>
        <v/>
      </c>
      <c r="L670" s="29" t="str">
        <f t="shared" si="59"/>
        <v/>
      </c>
      <c r="M670" s="30" t="str">
        <f t="shared" si="60"/>
        <v/>
      </c>
    </row>
    <row r="671" spans="2:13" x14ac:dyDescent="0.25">
      <c r="B671" s="22">
        <v>44864</v>
      </c>
      <c r="C671" s="41"/>
      <c r="D671" s="24"/>
      <c r="E671" s="25"/>
      <c r="F671" s="26"/>
      <c r="G671" s="27"/>
      <c r="H671" s="28" t="str">
        <f t="shared" si="55"/>
        <v/>
      </c>
      <c r="I671" s="28" t="str">
        <f t="shared" si="56"/>
        <v/>
      </c>
      <c r="J671" s="28" t="str">
        <f t="shared" si="57"/>
        <v/>
      </c>
      <c r="K671" s="28" t="str">
        <f t="shared" si="58"/>
        <v/>
      </c>
      <c r="L671" s="29" t="str">
        <f t="shared" si="59"/>
        <v/>
      </c>
      <c r="M671" s="30" t="str">
        <f t="shared" si="60"/>
        <v/>
      </c>
    </row>
    <row r="672" spans="2:13" x14ac:dyDescent="0.25">
      <c r="B672" s="22">
        <v>44865</v>
      </c>
      <c r="C672" s="41"/>
      <c r="D672" s="24"/>
      <c r="E672" s="25"/>
      <c r="F672" s="26"/>
      <c r="G672" s="27"/>
      <c r="H672" s="28" t="str">
        <f t="shared" si="55"/>
        <v/>
      </c>
      <c r="I672" s="28" t="str">
        <f t="shared" si="56"/>
        <v/>
      </c>
      <c r="J672" s="28" t="str">
        <f t="shared" si="57"/>
        <v/>
      </c>
      <c r="K672" s="28" t="str">
        <f t="shared" si="58"/>
        <v/>
      </c>
      <c r="L672" s="29" t="str">
        <f t="shared" si="59"/>
        <v/>
      </c>
      <c r="M672" s="30" t="str">
        <f t="shared" si="60"/>
        <v/>
      </c>
    </row>
    <row r="673" spans="2:13" x14ac:dyDescent="0.25">
      <c r="B673" s="22">
        <v>44866</v>
      </c>
      <c r="C673" s="41"/>
      <c r="D673" s="24"/>
      <c r="E673" s="25"/>
      <c r="F673" s="26"/>
      <c r="G673" s="27"/>
      <c r="H673" s="28" t="str">
        <f t="shared" si="55"/>
        <v/>
      </c>
      <c r="I673" s="28" t="str">
        <f t="shared" si="56"/>
        <v/>
      </c>
      <c r="J673" s="28" t="str">
        <f t="shared" si="57"/>
        <v/>
      </c>
      <c r="K673" s="28" t="str">
        <f t="shared" si="58"/>
        <v/>
      </c>
      <c r="L673" s="29" t="str">
        <f t="shared" si="59"/>
        <v/>
      </c>
      <c r="M673" s="30" t="str">
        <f t="shared" si="60"/>
        <v/>
      </c>
    </row>
    <row r="674" spans="2:13" x14ac:dyDescent="0.25">
      <c r="B674" s="22">
        <v>44867</v>
      </c>
      <c r="C674" s="41"/>
      <c r="D674" s="24"/>
      <c r="E674" s="25"/>
      <c r="F674" s="26"/>
      <c r="G674" s="27"/>
      <c r="H674" s="28" t="str">
        <f t="shared" si="55"/>
        <v/>
      </c>
      <c r="I674" s="28" t="str">
        <f t="shared" si="56"/>
        <v/>
      </c>
      <c r="J674" s="28" t="str">
        <f t="shared" si="57"/>
        <v/>
      </c>
      <c r="K674" s="28" t="str">
        <f t="shared" si="58"/>
        <v/>
      </c>
      <c r="L674" s="29" t="str">
        <f t="shared" si="59"/>
        <v/>
      </c>
      <c r="M674" s="30" t="str">
        <f t="shared" si="60"/>
        <v/>
      </c>
    </row>
    <row r="675" spans="2:13" x14ac:dyDescent="0.25">
      <c r="B675" s="22">
        <v>44868</v>
      </c>
      <c r="C675" s="41"/>
      <c r="D675" s="24"/>
      <c r="E675" s="25"/>
      <c r="F675" s="26"/>
      <c r="G675" s="27"/>
      <c r="H675" s="28" t="str">
        <f t="shared" si="55"/>
        <v/>
      </c>
      <c r="I675" s="28" t="str">
        <f t="shared" si="56"/>
        <v/>
      </c>
      <c r="J675" s="28" t="str">
        <f t="shared" si="57"/>
        <v/>
      </c>
      <c r="K675" s="28" t="str">
        <f t="shared" si="58"/>
        <v/>
      </c>
      <c r="L675" s="29" t="str">
        <f t="shared" si="59"/>
        <v/>
      </c>
      <c r="M675" s="30" t="str">
        <f t="shared" si="60"/>
        <v/>
      </c>
    </row>
    <row r="676" spans="2:13" x14ac:dyDescent="0.25">
      <c r="B676" s="22">
        <v>44869</v>
      </c>
      <c r="C676" s="41"/>
      <c r="D676" s="24"/>
      <c r="E676" s="25"/>
      <c r="F676" s="26"/>
      <c r="G676" s="27"/>
      <c r="H676" s="28" t="str">
        <f t="shared" si="55"/>
        <v/>
      </c>
      <c r="I676" s="28" t="str">
        <f t="shared" si="56"/>
        <v/>
      </c>
      <c r="J676" s="28" t="str">
        <f t="shared" si="57"/>
        <v/>
      </c>
      <c r="K676" s="28" t="str">
        <f t="shared" si="58"/>
        <v/>
      </c>
      <c r="L676" s="29" t="str">
        <f t="shared" si="59"/>
        <v/>
      </c>
      <c r="M676" s="30" t="str">
        <f t="shared" si="60"/>
        <v/>
      </c>
    </row>
    <row r="677" spans="2:13" x14ac:dyDescent="0.25">
      <c r="B677" s="22">
        <v>44870</v>
      </c>
      <c r="C677" s="41"/>
      <c r="D677" s="24"/>
      <c r="E677" s="25"/>
      <c r="F677" s="26"/>
      <c r="G677" s="27"/>
      <c r="H677" s="28" t="str">
        <f t="shared" si="55"/>
        <v/>
      </c>
      <c r="I677" s="28" t="str">
        <f t="shared" si="56"/>
        <v/>
      </c>
      <c r="J677" s="28" t="str">
        <f t="shared" si="57"/>
        <v/>
      </c>
      <c r="K677" s="28" t="str">
        <f t="shared" si="58"/>
        <v/>
      </c>
      <c r="L677" s="29" t="str">
        <f t="shared" si="59"/>
        <v/>
      </c>
      <c r="M677" s="30" t="str">
        <f t="shared" si="60"/>
        <v/>
      </c>
    </row>
    <row r="678" spans="2:13" x14ac:dyDescent="0.25">
      <c r="B678" s="22">
        <v>44871</v>
      </c>
      <c r="C678" s="41"/>
      <c r="D678" s="24"/>
      <c r="E678" s="25"/>
      <c r="F678" s="26"/>
      <c r="G678" s="27"/>
      <c r="H678" s="28" t="str">
        <f t="shared" si="55"/>
        <v/>
      </c>
      <c r="I678" s="28" t="str">
        <f t="shared" si="56"/>
        <v/>
      </c>
      <c r="J678" s="28" t="str">
        <f t="shared" si="57"/>
        <v/>
      </c>
      <c r="K678" s="28" t="str">
        <f t="shared" si="58"/>
        <v/>
      </c>
      <c r="L678" s="29" t="str">
        <f t="shared" si="59"/>
        <v/>
      </c>
      <c r="M678" s="30" t="str">
        <f t="shared" si="60"/>
        <v/>
      </c>
    </row>
    <row r="679" spans="2:13" x14ac:dyDescent="0.25">
      <c r="B679" s="22">
        <v>44872</v>
      </c>
      <c r="C679" s="41"/>
      <c r="D679" s="24"/>
      <c r="E679" s="25"/>
      <c r="F679" s="26"/>
      <c r="G679" s="27"/>
      <c r="H679" s="28" t="str">
        <f t="shared" si="55"/>
        <v/>
      </c>
      <c r="I679" s="28" t="str">
        <f t="shared" si="56"/>
        <v/>
      </c>
      <c r="J679" s="28" t="str">
        <f t="shared" si="57"/>
        <v/>
      </c>
      <c r="K679" s="28" t="str">
        <f t="shared" si="58"/>
        <v/>
      </c>
      <c r="L679" s="29" t="str">
        <f t="shared" si="59"/>
        <v/>
      </c>
      <c r="M679" s="30" t="str">
        <f t="shared" si="60"/>
        <v/>
      </c>
    </row>
    <row r="680" spans="2:13" x14ac:dyDescent="0.25">
      <c r="B680" s="22">
        <v>44873</v>
      </c>
      <c r="C680" s="41"/>
      <c r="D680" s="24"/>
      <c r="E680" s="25"/>
      <c r="F680" s="26"/>
      <c r="G680" s="27"/>
      <c r="H680" s="28" t="str">
        <f t="shared" si="55"/>
        <v/>
      </c>
      <c r="I680" s="28" t="str">
        <f t="shared" si="56"/>
        <v/>
      </c>
      <c r="J680" s="28" t="str">
        <f t="shared" si="57"/>
        <v/>
      </c>
      <c r="K680" s="28" t="str">
        <f t="shared" si="58"/>
        <v/>
      </c>
      <c r="L680" s="29" t="str">
        <f t="shared" si="59"/>
        <v/>
      </c>
      <c r="M680" s="30" t="str">
        <f t="shared" si="60"/>
        <v/>
      </c>
    </row>
    <row r="681" spans="2:13" x14ac:dyDescent="0.25">
      <c r="B681" s="22">
        <v>44874</v>
      </c>
      <c r="C681" s="41"/>
      <c r="D681" s="24"/>
      <c r="E681" s="25"/>
      <c r="F681" s="26"/>
      <c r="G681" s="27"/>
      <c r="H681" s="28" t="str">
        <f t="shared" si="55"/>
        <v/>
      </c>
      <c r="I681" s="28" t="str">
        <f t="shared" si="56"/>
        <v/>
      </c>
      <c r="J681" s="28" t="str">
        <f t="shared" si="57"/>
        <v/>
      </c>
      <c r="K681" s="28" t="str">
        <f t="shared" si="58"/>
        <v/>
      </c>
      <c r="L681" s="29" t="str">
        <f t="shared" si="59"/>
        <v/>
      </c>
      <c r="M681" s="30" t="str">
        <f t="shared" si="60"/>
        <v/>
      </c>
    </row>
    <row r="682" spans="2:13" x14ac:dyDescent="0.25">
      <c r="B682" s="22">
        <v>44875</v>
      </c>
      <c r="C682" s="41"/>
      <c r="D682" s="24"/>
      <c r="E682" s="25"/>
      <c r="F682" s="26"/>
      <c r="G682" s="27"/>
      <c r="H682" s="28" t="str">
        <f t="shared" si="55"/>
        <v/>
      </c>
      <c r="I682" s="28" t="str">
        <f t="shared" si="56"/>
        <v/>
      </c>
      <c r="J682" s="28" t="str">
        <f t="shared" si="57"/>
        <v/>
      </c>
      <c r="K682" s="28" t="str">
        <f t="shared" si="58"/>
        <v/>
      </c>
      <c r="L682" s="29" t="str">
        <f t="shared" si="59"/>
        <v/>
      </c>
      <c r="M682" s="30" t="str">
        <f t="shared" si="60"/>
        <v/>
      </c>
    </row>
    <row r="683" spans="2:13" x14ac:dyDescent="0.25">
      <c r="B683" s="22">
        <v>44876</v>
      </c>
      <c r="C683" s="41"/>
      <c r="D683" s="24"/>
      <c r="E683" s="25"/>
      <c r="F683" s="26"/>
      <c r="G683" s="27"/>
      <c r="H683" s="28" t="str">
        <f t="shared" si="55"/>
        <v/>
      </c>
      <c r="I683" s="28" t="str">
        <f t="shared" si="56"/>
        <v/>
      </c>
      <c r="J683" s="28" t="str">
        <f t="shared" si="57"/>
        <v/>
      </c>
      <c r="K683" s="28" t="str">
        <f t="shared" si="58"/>
        <v/>
      </c>
      <c r="L683" s="29" t="str">
        <f t="shared" si="59"/>
        <v/>
      </c>
      <c r="M683" s="30" t="str">
        <f t="shared" si="60"/>
        <v/>
      </c>
    </row>
    <row r="684" spans="2:13" x14ac:dyDescent="0.25">
      <c r="B684" s="22">
        <v>44877</v>
      </c>
      <c r="C684" s="41"/>
      <c r="D684" s="24"/>
      <c r="E684" s="25"/>
      <c r="F684" s="26"/>
      <c r="G684" s="27"/>
      <c r="H684" s="28" t="str">
        <f t="shared" si="55"/>
        <v/>
      </c>
      <c r="I684" s="28" t="str">
        <f t="shared" si="56"/>
        <v/>
      </c>
      <c r="J684" s="28" t="str">
        <f t="shared" si="57"/>
        <v/>
      </c>
      <c r="K684" s="28" t="str">
        <f t="shared" si="58"/>
        <v/>
      </c>
      <c r="L684" s="29" t="str">
        <f t="shared" si="59"/>
        <v/>
      </c>
      <c r="M684" s="30" t="str">
        <f t="shared" si="60"/>
        <v/>
      </c>
    </row>
    <row r="685" spans="2:13" x14ac:dyDescent="0.25">
      <c r="B685" s="22">
        <v>44878</v>
      </c>
      <c r="C685" s="41"/>
      <c r="D685" s="24"/>
      <c r="E685" s="25"/>
      <c r="F685" s="26"/>
      <c r="G685" s="27"/>
      <c r="H685" s="28" t="str">
        <f t="shared" si="55"/>
        <v/>
      </c>
      <c r="I685" s="28" t="str">
        <f t="shared" si="56"/>
        <v/>
      </c>
      <c r="J685" s="28" t="str">
        <f t="shared" si="57"/>
        <v/>
      </c>
      <c r="K685" s="28" t="str">
        <f t="shared" si="58"/>
        <v/>
      </c>
      <c r="L685" s="29" t="str">
        <f t="shared" si="59"/>
        <v/>
      </c>
      <c r="M685" s="30" t="str">
        <f t="shared" si="60"/>
        <v/>
      </c>
    </row>
    <row r="686" spans="2:13" x14ac:dyDescent="0.25">
      <c r="B686" s="22">
        <v>44879</v>
      </c>
      <c r="C686" s="41"/>
      <c r="D686" s="24"/>
      <c r="E686" s="25"/>
      <c r="F686" s="26"/>
      <c r="G686" s="27"/>
      <c r="H686" s="28" t="str">
        <f t="shared" si="55"/>
        <v/>
      </c>
      <c r="I686" s="28" t="str">
        <f t="shared" si="56"/>
        <v/>
      </c>
      <c r="J686" s="28" t="str">
        <f t="shared" si="57"/>
        <v/>
      </c>
      <c r="K686" s="28" t="str">
        <f t="shared" si="58"/>
        <v/>
      </c>
      <c r="L686" s="29" t="str">
        <f t="shared" si="59"/>
        <v/>
      </c>
      <c r="M686" s="30" t="str">
        <f t="shared" si="60"/>
        <v/>
      </c>
    </row>
    <row r="687" spans="2:13" x14ac:dyDescent="0.25">
      <c r="B687" s="22">
        <v>44880</v>
      </c>
      <c r="C687" s="41"/>
      <c r="D687" s="24"/>
      <c r="E687" s="25"/>
      <c r="F687" s="26"/>
      <c r="G687" s="27"/>
      <c r="H687" s="28" t="str">
        <f t="shared" si="55"/>
        <v/>
      </c>
      <c r="I687" s="28" t="str">
        <f t="shared" si="56"/>
        <v/>
      </c>
      <c r="J687" s="28" t="str">
        <f t="shared" si="57"/>
        <v/>
      </c>
      <c r="K687" s="28" t="str">
        <f t="shared" si="58"/>
        <v/>
      </c>
      <c r="L687" s="29" t="str">
        <f t="shared" si="59"/>
        <v/>
      </c>
      <c r="M687" s="30" t="str">
        <f t="shared" si="60"/>
        <v/>
      </c>
    </row>
    <row r="688" spans="2:13" x14ac:dyDescent="0.25">
      <c r="B688" s="22">
        <v>44881</v>
      </c>
      <c r="C688" s="41"/>
      <c r="D688" s="24"/>
      <c r="E688" s="25"/>
      <c r="F688" s="26"/>
      <c r="G688" s="27"/>
      <c r="H688" s="28" t="str">
        <f t="shared" si="55"/>
        <v/>
      </c>
      <c r="I688" s="28" t="str">
        <f t="shared" si="56"/>
        <v/>
      </c>
      <c r="J688" s="28" t="str">
        <f t="shared" si="57"/>
        <v/>
      </c>
      <c r="K688" s="28" t="str">
        <f t="shared" si="58"/>
        <v/>
      </c>
      <c r="L688" s="29" t="str">
        <f t="shared" si="59"/>
        <v/>
      </c>
      <c r="M688" s="30" t="str">
        <f t="shared" si="60"/>
        <v/>
      </c>
    </row>
    <row r="689" spans="2:13" x14ac:dyDescent="0.25">
      <c r="B689" s="22">
        <v>44882</v>
      </c>
      <c r="C689" s="41"/>
      <c r="D689" s="24"/>
      <c r="E689" s="25"/>
      <c r="F689" s="26"/>
      <c r="G689" s="27"/>
      <c r="H689" s="28" t="str">
        <f t="shared" ref="H689:H733" si="61">IF(C689="","",+(C689-C688))</f>
        <v/>
      </c>
      <c r="I689" s="28" t="str">
        <f t="shared" ref="I689:I733" si="62">IF(D689="","",+(D689-D688))</f>
        <v/>
      </c>
      <c r="J689" s="28" t="str">
        <f t="shared" ref="J689:J733" si="63">IF(E689="","",+(E689-E688))</f>
        <v/>
      </c>
      <c r="K689" s="28" t="str">
        <f t="shared" ref="K689:K733" si="64">IF(F689="","",+(F689-F688))</f>
        <v/>
      </c>
      <c r="L689" s="29" t="str">
        <f t="shared" ref="L689:L733" si="65">IF(G689="","",+(G689-G688))</f>
        <v/>
      </c>
      <c r="M689" s="30" t="str">
        <f t="shared" ref="M689:M733" si="66">IF(H689="","",+(H689+I689+J689+K689))</f>
        <v/>
      </c>
    </row>
    <row r="690" spans="2:13" x14ac:dyDescent="0.25">
      <c r="B690" s="22">
        <v>44883</v>
      </c>
      <c r="C690" s="41"/>
      <c r="D690" s="24"/>
      <c r="E690" s="25"/>
      <c r="F690" s="26"/>
      <c r="G690" s="27"/>
      <c r="H690" s="28" t="str">
        <f t="shared" si="61"/>
        <v/>
      </c>
      <c r="I690" s="28" t="str">
        <f t="shared" si="62"/>
        <v/>
      </c>
      <c r="J690" s="28" t="str">
        <f t="shared" si="63"/>
        <v/>
      </c>
      <c r="K690" s="28" t="str">
        <f t="shared" si="64"/>
        <v/>
      </c>
      <c r="L690" s="29" t="str">
        <f t="shared" si="65"/>
        <v/>
      </c>
      <c r="M690" s="30" t="str">
        <f t="shared" si="66"/>
        <v/>
      </c>
    </row>
    <row r="691" spans="2:13" x14ac:dyDescent="0.25">
      <c r="B691" s="22">
        <v>44884</v>
      </c>
      <c r="C691" s="41"/>
      <c r="D691" s="24"/>
      <c r="E691" s="25"/>
      <c r="F691" s="26"/>
      <c r="G691" s="27"/>
      <c r="H691" s="28" t="str">
        <f t="shared" si="61"/>
        <v/>
      </c>
      <c r="I691" s="28" t="str">
        <f t="shared" si="62"/>
        <v/>
      </c>
      <c r="J691" s="28" t="str">
        <f t="shared" si="63"/>
        <v/>
      </c>
      <c r="K691" s="28" t="str">
        <f t="shared" si="64"/>
        <v/>
      </c>
      <c r="L691" s="29" t="str">
        <f t="shared" si="65"/>
        <v/>
      </c>
      <c r="M691" s="30" t="str">
        <f t="shared" si="66"/>
        <v/>
      </c>
    </row>
    <row r="692" spans="2:13" x14ac:dyDescent="0.25">
      <c r="B692" s="22">
        <v>44885</v>
      </c>
      <c r="C692" s="41"/>
      <c r="D692" s="24"/>
      <c r="E692" s="25"/>
      <c r="F692" s="26"/>
      <c r="G692" s="27"/>
      <c r="H692" s="28" t="str">
        <f t="shared" si="61"/>
        <v/>
      </c>
      <c r="I692" s="28" t="str">
        <f t="shared" si="62"/>
        <v/>
      </c>
      <c r="J692" s="28" t="str">
        <f t="shared" si="63"/>
        <v/>
      </c>
      <c r="K692" s="28" t="str">
        <f t="shared" si="64"/>
        <v/>
      </c>
      <c r="L692" s="29" t="str">
        <f t="shared" si="65"/>
        <v/>
      </c>
      <c r="M692" s="30" t="str">
        <f t="shared" si="66"/>
        <v/>
      </c>
    </row>
    <row r="693" spans="2:13" x14ac:dyDescent="0.25">
      <c r="B693" s="22">
        <v>44886</v>
      </c>
      <c r="C693" s="41"/>
      <c r="D693" s="24"/>
      <c r="E693" s="25"/>
      <c r="F693" s="26"/>
      <c r="G693" s="27"/>
      <c r="H693" s="28" t="str">
        <f t="shared" si="61"/>
        <v/>
      </c>
      <c r="I693" s="28" t="str">
        <f t="shared" si="62"/>
        <v/>
      </c>
      <c r="J693" s="28" t="str">
        <f t="shared" si="63"/>
        <v/>
      </c>
      <c r="K693" s="28" t="str">
        <f t="shared" si="64"/>
        <v/>
      </c>
      <c r="L693" s="29" t="str">
        <f t="shared" si="65"/>
        <v/>
      </c>
      <c r="M693" s="30" t="str">
        <f t="shared" si="66"/>
        <v/>
      </c>
    </row>
    <row r="694" spans="2:13" x14ac:dyDescent="0.25">
      <c r="B694" s="22">
        <v>44887</v>
      </c>
      <c r="C694" s="41"/>
      <c r="D694" s="24"/>
      <c r="E694" s="25"/>
      <c r="F694" s="26"/>
      <c r="G694" s="27"/>
      <c r="H694" s="28" t="str">
        <f t="shared" si="61"/>
        <v/>
      </c>
      <c r="I694" s="28" t="str">
        <f t="shared" si="62"/>
        <v/>
      </c>
      <c r="J694" s="28" t="str">
        <f t="shared" si="63"/>
        <v/>
      </c>
      <c r="K694" s="28" t="str">
        <f t="shared" si="64"/>
        <v/>
      </c>
      <c r="L694" s="29" t="str">
        <f t="shared" si="65"/>
        <v/>
      </c>
      <c r="M694" s="30" t="str">
        <f t="shared" si="66"/>
        <v/>
      </c>
    </row>
    <row r="695" spans="2:13" x14ac:dyDescent="0.25">
      <c r="B695" s="22">
        <v>44888</v>
      </c>
      <c r="C695" s="41"/>
      <c r="D695" s="24"/>
      <c r="E695" s="25"/>
      <c r="F695" s="26"/>
      <c r="G695" s="27"/>
      <c r="H695" s="28" t="str">
        <f t="shared" si="61"/>
        <v/>
      </c>
      <c r="I695" s="28" t="str">
        <f t="shared" si="62"/>
        <v/>
      </c>
      <c r="J695" s="28" t="str">
        <f t="shared" si="63"/>
        <v/>
      </c>
      <c r="K695" s="28" t="str">
        <f t="shared" si="64"/>
        <v/>
      </c>
      <c r="L695" s="29" t="str">
        <f t="shared" si="65"/>
        <v/>
      </c>
      <c r="M695" s="30" t="str">
        <f t="shared" si="66"/>
        <v/>
      </c>
    </row>
    <row r="696" spans="2:13" x14ac:dyDescent="0.25">
      <c r="B696" s="22">
        <v>44889</v>
      </c>
      <c r="C696" s="41"/>
      <c r="D696" s="24"/>
      <c r="E696" s="25"/>
      <c r="F696" s="26"/>
      <c r="G696" s="27"/>
      <c r="H696" s="28" t="str">
        <f t="shared" si="61"/>
        <v/>
      </c>
      <c r="I696" s="28" t="str">
        <f t="shared" si="62"/>
        <v/>
      </c>
      <c r="J696" s="28" t="str">
        <f t="shared" si="63"/>
        <v/>
      </c>
      <c r="K696" s="28" t="str">
        <f t="shared" si="64"/>
        <v/>
      </c>
      <c r="L696" s="29" t="str">
        <f t="shared" si="65"/>
        <v/>
      </c>
      <c r="M696" s="30" t="str">
        <f t="shared" si="66"/>
        <v/>
      </c>
    </row>
    <row r="697" spans="2:13" x14ac:dyDescent="0.25">
      <c r="B697" s="22">
        <v>44890</v>
      </c>
      <c r="C697" s="41"/>
      <c r="D697" s="24"/>
      <c r="E697" s="25"/>
      <c r="F697" s="26"/>
      <c r="G697" s="27"/>
      <c r="H697" s="28" t="str">
        <f t="shared" si="61"/>
        <v/>
      </c>
      <c r="I697" s="28" t="str">
        <f t="shared" si="62"/>
        <v/>
      </c>
      <c r="J697" s="28" t="str">
        <f t="shared" si="63"/>
        <v/>
      </c>
      <c r="K697" s="28" t="str">
        <f t="shared" si="64"/>
        <v/>
      </c>
      <c r="L697" s="29" t="str">
        <f t="shared" si="65"/>
        <v/>
      </c>
      <c r="M697" s="30" t="str">
        <f t="shared" si="66"/>
        <v/>
      </c>
    </row>
    <row r="698" spans="2:13" x14ac:dyDescent="0.25">
      <c r="B698" s="22">
        <v>44891</v>
      </c>
      <c r="C698" s="41"/>
      <c r="D698" s="24"/>
      <c r="E698" s="25"/>
      <c r="F698" s="26"/>
      <c r="G698" s="27"/>
      <c r="H698" s="28" t="str">
        <f t="shared" si="61"/>
        <v/>
      </c>
      <c r="I698" s="28" t="str">
        <f t="shared" si="62"/>
        <v/>
      </c>
      <c r="J698" s="28" t="str">
        <f t="shared" si="63"/>
        <v/>
      </c>
      <c r="K698" s="28" t="str">
        <f t="shared" si="64"/>
        <v/>
      </c>
      <c r="L698" s="29" t="str">
        <f t="shared" si="65"/>
        <v/>
      </c>
      <c r="M698" s="30" t="str">
        <f t="shared" si="66"/>
        <v/>
      </c>
    </row>
    <row r="699" spans="2:13" x14ac:dyDescent="0.25">
      <c r="B699" s="22">
        <v>44892</v>
      </c>
      <c r="C699" s="41"/>
      <c r="D699" s="24"/>
      <c r="E699" s="25"/>
      <c r="F699" s="26"/>
      <c r="G699" s="27"/>
      <c r="H699" s="28" t="str">
        <f t="shared" si="61"/>
        <v/>
      </c>
      <c r="I699" s="28" t="str">
        <f t="shared" si="62"/>
        <v/>
      </c>
      <c r="J699" s="28" t="str">
        <f t="shared" si="63"/>
        <v/>
      </c>
      <c r="K699" s="28" t="str">
        <f t="shared" si="64"/>
        <v/>
      </c>
      <c r="L699" s="29" t="str">
        <f t="shared" si="65"/>
        <v/>
      </c>
      <c r="M699" s="30" t="str">
        <f t="shared" si="66"/>
        <v/>
      </c>
    </row>
    <row r="700" spans="2:13" x14ac:dyDescent="0.25">
      <c r="B700" s="22">
        <v>44893</v>
      </c>
      <c r="C700" s="41"/>
      <c r="D700" s="24"/>
      <c r="E700" s="25"/>
      <c r="F700" s="26"/>
      <c r="G700" s="27"/>
      <c r="H700" s="28" t="str">
        <f t="shared" si="61"/>
        <v/>
      </c>
      <c r="I700" s="28" t="str">
        <f t="shared" si="62"/>
        <v/>
      </c>
      <c r="J700" s="28" t="str">
        <f t="shared" si="63"/>
        <v/>
      </c>
      <c r="K700" s="28" t="str">
        <f t="shared" si="64"/>
        <v/>
      </c>
      <c r="L700" s="29" t="str">
        <f t="shared" si="65"/>
        <v/>
      </c>
      <c r="M700" s="30" t="str">
        <f t="shared" si="66"/>
        <v/>
      </c>
    </row>
    <row r="701" spans="2:13" x14ac:dyDescent="0.25">
      <c r="B701" s="22">
        <v>44894</v>
      </c>
      <c r="C701" s="41"/>
      <c r="D701" s="24"/>
      <c r="E701" s="25"/>
      <c r="F701" s="26"/>
      <c r="G701" s="27"/>
      <c r="H701" s="28" t="str">
        <f t="shared" si="61"/>
        <v/>
      </c>
      <c r="I701" s="28" t="str">
        <f t="shared" si="62"/>
        <v/>
      </c>
      <c r="J701" s="28" t="str">
        <f t="shared" si="63"/>
        <v/>
      </c>
      <c r="K701" s="28" t="str">
        <f t="shared" si="64"/>
        <v/>
      </c>
      <c r="L701" s="29" t="str">
        <f t="shared" si="65"/>
        <v/>
      </c>
      <c r="M701" s="30" t="str">
        <f t="shared" si="66"/>
        <v/>
      </c>
    </row>
    <row r="702" spans="2:13" x14ac:dyDescent="0.25">
      <c r="B702" s="22">
        <v>44895</v>
      </c>
      <c r="C702" s="41"/>
      <c r="D702" s="24"/>
      <c r="E702" s="25"/>
      <c r="F702" s="26"/>
      <c r="G702" s="27"/>
      <c r="H702" s="28" t="str">
        <f t="shared" si="61"/>
        <v/>
      </c>
      <c r="I702" s="28" t="str">
        <f t="shared" si="62"/>
        <v/>
      </c>
      <c r="J702" s="28" t="str">
        <f t="shared" si="63"/>
        <v/>
      </c>
      <c r="K702" s="28" t="str">
        <f t="shared" si="64"/>
        <v/>
      </c>
      <c r="L702" s="29" t="str">
        <f t="shared" si="65"/>
        <v/>
      </c>
      <c r="M702" s="30" t="str">
        <f t="shared" si="66"/>
        <v/>
      </c>
    </row>
    <row r="703" spans="2:13" x14ac:dyDescent="0.25">
      <c r="B703" s="22">
        <v>44896</v>
      </c>
      <c r="C703" s="41"/>
      <c r="D703" s="24"/>
      <c r="E703" s="25"/>
      <c r="F703" s="26"/>
      <c r="G703" s="27"/>
      <c r="H703" s="28" t="str">
        <f t="shared" si="61"/>
        <v/>
      </c>
      <c r="I703" s="28" t="str">
        <f t="shared" si="62"/>
        <v/>
      </c>
      <c r="J703" s="28" t="str">
        <f t="shared" si="63"/>
        <v/>
      </c>
      <c r="K703" s="28" t="str">
        <f t="shared" si="64"/>
        <v/>
      </c>
      <c r="L703" s="29" t="str">
        <f t="shared" si="65"/>
        <v/>
      </c>
      <c r="M703" s="30" t="str">
        <f t="shared" si="66"/>
        <v/>
      </c>
    </row>
    <row r="704" spans="2:13" x14ac:dyDescent="0.25">
      <c r="B704" s="22">
        <v>44897</v>
      </c>
      <c r="C704" s="41"/>
      <c r="D704" s="24"/>
      <c r="E704" s="25"/>
      <c r="F704" s="26"/>
      <c r="G704" s="27"/>
      <c r="H704" s="28" t="str">
        <f t="shared" si="61"/>
        <v/>
      </c>
      <c r="I704" s="28" t="str">
        <f t="shared" si="62"/>
        <v/>
      </c>
      <c r="J704" s="28" t="str">
        <f t="shared" si="63"/>
        <v/>
      </c>
      <c r="K704" s="28" t="str">
        <f t="shared" si="64"/>
        <v/>
      </c>
      <c r="L704" s="29" t="str">
        <f t="shared" si="65"/>
        <v/>
      </c>
      <c r="M704" s="30" t="str">
        <f t="shared" si="66"/>
        <v/>
      </c>
    </row>
    <row r="705" spans="2:13" x14ac:dyDescent="0.25">
      <c r="B705" s="22">
        <v>44898</v>
      </c>
      <c r="C705" s="41"/>
      <c r="D705" s="24"/>
      <c r="E705" s="25"/>
      <c r="F705" s="26"/>
      <c r="G705" s="27"/>
      <c r="H705" s="28" t="str">
        <f t="shared" si="61"/>
        <v/>
      </c>
      <c r="I705" s="28" t="str">
        <f t="shared" si="62"/>
        <v/>
      </c>
      <c r="J705" s="28" t="str">
        <f t="shared" si="63"/>
        <v/>
      </c>
      <c r="K705" s="28" t="str">
        <f t="shared" si="64"/>
        <v/>
      </c>
      <c r="L705" s="29" t="str">
        <f t="shared" si="65"/>
        <v/>
      </c>
      <c r="M705" s="30" t="str">
        <f t="shared" si="66"/>
        <v/>
      </c>
    </row>
    <row r="706" spans="2:13" x14ac:dyDescent="0.25">
      <c r="B706" s="22">
        <v>44899</v>
      </c>
      <c r="C706" s="41"/>
      <c r="D706" s="24"/>
      <c r="E706" s="25"/>
      <c r="F706" s="26"/>
      <c r="G706" s="27"/>
      <c r="H706" s="28" t="str">
        <f t="shared" si="61"/>
        <v/>
      </c>
      <c r="I706" s="28" t="str">
        <f t="shared" si="62"/>
        <v/>
      </c>
      <c r="J706" s="28" t="str">
        <f t="shared" si="63"/>
        <v/>
      </c>
      <c r="K706" s="28" t="str">
        <f t="shared" si="64"/>
        <v/>
      </c>
      <c r="L706" s="29" t="str">
        <f t="shared" si="65"/>
        <v/>
      </c>
      <c r="M706" s="30" t="str">
        <f t="shared" si="66"/>
        <v/>
      </c>
    </row>
    <row r="707" spans="2:13" x14ac:dyDescent="0.25">
      <c r="B707" s="22">
        <v>44900</v>
      </c>
      <c r="C707" s="41"/>
      <c r="D707" s="24"/>
      <c r="E707" s="25"/>
      <c r="F707" s="26"/>
      <c r="G707" s="27"/>
      <c r="H707" s="28" t="str">
        <f t="shared" si="61"/>
        <v/>
      </c>
      <c r="I707" s="28" t="str">
        <f t="shared" si="62"/>
        <v/>
      </c>
      <c r="J707" s="28" t="str">
        <f t="shared" si="63"/>
        <v/>
      </c>
      <c r="K707" s="28" t="str">
        <f t="shared" si="64"/>
        <v/>
      </c>
      <c r="L707" s="29" t="str">
        <f t="shared" si="65"/>
        <v/>
      </c>
      <c r="M707" s="30" t="str">
        <f t="shared" si="66"/>
        <v/>
      </c>
    </row>
    <row r="708" spans="2:13" x14ac:dyDescent="0.25">
      <c r="B708" s="22">
        <v>44901</v>
      </c>
      <c r="C708" s="41"/>
      <c r="D708" s="24"/>
      <c r="E708" s="25"/>
      <c r="F708" s="26"/>
      <c r="G708" s="27"/>
      <c r="H708" s="28" t="str">
        <f t="shared" si="61"/>
        <v/>
      </c>
      <c r="I708" s="28" t="str">
        <f t="shared" si="62"/>
        <v/>
      </c>
      <c r="J708" s="28" t="str">
        <f t="shared" si="63"/>
        <v/>
      </c>
      <c r="K708" s="28" t="str">
        <f t="shared" si="64"/>
        <v/>
      </c>
      <c r="L708" s="29" t="str">
        <f t="shared" si="65"/>
        <v/>
      </c>
      <c r="M708" s="30" t="str">
        <f t="shared" si="66"/>
        <v/>
      </c>
    </row>
    <row r="709" spans="2:13" x14ac:dyDescent="0.25">
      <c r="B709" s="22">
        <v>44902</v>
      </c>
      <c r="C709" s="41"/>
      <c r="D709" s="24"/>
      <c r="E709" s="25"/>
      <c r="F709" s="26"/>
      <c r="G709" s="27"/>
      <c r="H709" s="28" t="str">
        <f t="shared" si="61"/>
        <v/>
      </c>
      <c r="I709" s="28" t="str">
        <f t="shared" si="62"/>
        <v/>
      </c>
      <c r="J709" s="28" t="str">
        <f t="shared" si="63"/>
        <v/>
      </c>
      <c r="K709" s="28" t="str">
        <f t="shared" si="64"/>
        <v/>
      </c>
      <c r="L709" s="29" t="str">
        <f t="shared" si="65"/>
        <v/>
      </c>
      <c r="M709" s="30" t="str">
        <f t="shared" si="66"/>
        <v/>
      </c>
    </row>
    <row r="710" spans="2:13" x14ac:dyDescent="0.25">
      <c r="B710" s="22">
        <v>44903</v>
      </c>
      <c r="C710" s="41"/>
      <c r="D710" s="24"/>
      <c r="E710" s="25"/>
      <c r="F710" s="26"/>
      <c r="G710" s="27"/>
      <c r="H710" s="28" t="str">
        <f t="shared" si="61"/>
        <v/>
      </c>
      <c r="I710" s="28" t="str">
        <f t="shared" si="62"/>
        <v/>
      </c>
      <c r="J710" s="28" t="str">
        <f t="shared" si="63"/>
        <v/>
      </c>
      <c r="K710" s="28" t="str">
        <f t="shared" si="64"/>
        <v/>
      </c>
      <c r="L710" s="29" t="str">
        <f t="shared" si="65"/>
        <v/>
      </c>
      <c r="M710" s="30" t="str">
        <f t="shared" si="66"/>
        <v/>
      </c>
    </row>
    <row r="711" spans="2:13" x14ac:dyDescent="0.25">
      <c r="B711" s="22">
        <v>44904</v>
      </c>
      <c r="C711" s="41"/>
      <c r="D711" s="24"/>
      <c r="E711" s="25"/>
      <c r="F711" s="26"/>
      <c r="G711" s="27"/>
      <c r="H711" s="28" t="str">
        <f t="shared" si="61"/>
        <v/>
      </c>
      <c r="I711" s="28" t="str">
        <f t="shared" si="62"/>
        <v/>
      </c>
      <c r="J711" s="28" t="str">
        <f t="shared" si="63"/>
        <v/>
      </c>
      <c r="K711" s="28" t="str">
        <f t="shared" si="64"/>
        <v/>
      </c>
      <c r="L711" s="29" t="str">
        <f t="shared" si="65"/>
        <v/>
      </c>
      <c r="M711" s="30" t="str">
        <f t="shared" si="66"/>
        <v/>
      </c>
    </row>
    <row r="712" spans="2:13" x14ac:dyDescent="0.25">
      <c r="B712" s="22">
        <v>44905</v>
      </c>
      <c r="C712" s="41"/>
      <c r="D712" s="24"/>
      <c r="E712" s="25"/>
      <c r="F712" s="26"/>
      <c r="G712" s="27"/>
      <c r="H712" s="28" t="str">
        <f t="shared" si="61"/>
        <v/>
      </c>
      <c r="I712" s="28" t="str">
        <f t="shared" si="62"/>
        <v/>
      </c>
      <c r="J712" s="28" t="str">
        <f t="shared" si="63"/>
        <v/>
      </c>
      <c r="K712" s="28" t="str">
        <f t="shared" si="64"/>
        <v/>
      </c>
      <c r="L712" s="29" t="str">
        <f t="shared" si="65"/>
        <v/>
      </c>
      <c r="M712" s="30" t="str">
        <f t="shared" si="66"/>
        <v/>
      </c>
    </row>
    <row r="713" spans="2:13" x14ac:dyDescent="0.25">
      <c r="B713" s="22">
        <v>44906</v>
      </c>
      <c r="C713" s="41"/>
      <c r="D713" s="24"/>
      <c r="E713" s="25"/>
      <c r="F713" s="26"/>
      <c r="G713" s="27"/>
      <c r="H713" s="28" t="str">
        <f t="shared" si="61"/>
        <v/>
      </c>
      <c r="I713" s="28" t="str">
        <f t="shared" si="62"/>
        <v/>
      </c>
      <c r="J713" s="28" t="str">
        <f t="shared" si="63"/>
        <v/>
      </c>
      <c r="K713" s="28" t="str">
        <f t="shared" si="64"/>
        <v/>
      </c>
      <c r="L713" s="29" t="str">
        <f t="shared" si="65"/>
        <v/>
      </c>
      <c r="M713" s="30" t="str">
        <f t="shared" si="66"/>
        <v/>
      </c>
    </row>
    <row r="714" spans="2:13" x14ac:dyDescent="0.25">
      <c r="B714" s="22">
        <v>44907</v>
      </c>
      <c r="C714" s="41"/>
      <c r="D714" s="24"/>
      <c r="E714" s="25"/>
      <c r="F714" s="26"/>
      <c r="G714" s="27"/>
      <c r="H714" s="28" t="str">
        <f t="shared" si="61"/>
        <v/>
      </c>
      <c r="I714" s="28" t="str">
        <f t="shared" si="62"/>
        <v/>
      </c>
      <c r="J714" s="28" t="str">
        <f t="shared" si="63"/>
        <v/>
      </c>
      <c r="K714" s="28" t="str">
        <f t="shared" si="64"/>
        <v/>
      </c>
      <c r="L714" s="29" t="str">
        <f t="shared" si="65"/>
        <v/>
      </c>
      <c r="M714" s="30" t="str">
        <f t="shared" si="66"/>
        <v/>
      </c>
    </row>
    <row r="715" spans="2:13" x14ac:dyDescent="0.25">
      <c r="B715" s="22">
        <v>44908</v>
      </c>
      <c r="C715" s="41"/>
      <c r="D715" s="24"/>
      <c r="E715" s="25"/>
      <c r="F715" s="26"/>
      <c r="G715" s="27"/>
      <c r="H715" s="28" t="str">
        <f t="shared" si="61"/>
        <v/>
      </c>
      <c r="I715" s="28" t="str">
        <f t="shared" si="62"/>
        <v/>
      </c>
      <c r="J715" s="28" t="str">
        <f t="shared" si="63"/>
        <v/>
      </c>
      <c r="K715" s="28" t="str">
        <f t="shared" si="64"/>
        <v/>
      </c>
      <c r="L715" s="29" t="str">
        <f t="shared" si="65"/>
        <v/>
      </c>
      <c r="M715" s="30" t="str">
        <f t="shared" si="66"/>
        <v/>
      </c>
    </row>
    <row r="716" spans="2:13" x14ac:dyDescent="0.25">
      <c r="B716" s="22">
        <v>44909</v>
      </c>
      <c r="C716" s="41"/>
      <c r="D716" s="24"/>
      <c r="E716" s="25"/>
      <c r="F716" s="26"/>
      <c r="G716" s="27"/>
      <c r="H716" s="28" t="str">
        <f t="shared" si="61"/>
        <v/>
      </c>
      <c r="I716" s="28" t="str">
        <f t="shared" si="62"/>
        <v/>
      </c>
      <c r="J716" s="28" t="str">
        <f t="shared" si="63"/>
        <v/>
      </c>
      <c r="K716" s="28" t="str">
        <f t="shared" si="64"/>
        <v/>
      </c>
      <c r="L716" s="29" t="str">
        <f t="shared" si="65"/>
        <v/>
      </c>
      <c r="M716" s="30" t="str">
        <f t="shared" si="66"/>
        <v/>
      </c>
    </row>
    <row r="717" spans="2:13" x14ac:dyDescent="0.25">
      <c r="B717" s="22">
        <v>44910</v>
      </c>
      <c r="C717" s="41"/>
      <c r="D717" s="24"/>
      <c r="E717" s="25"/>
      <c r="F717" s="26"/>
      <c r="G717" s="27"/>
      <c r="H717" s="28" t="str">
        <f t="shared" si="61"/>
        <v/>
      </c>
      <c r="I717" s="28" t="str">
        <f t="shared" si="62"/>
        <v/>
      </c>
      <c r="J717" s="28" t="str">
        <f t="shared" si="63"/>
        <v/>
      </c>
      <c r="K717" s="28" t="str">
        <f t="shared" si="64"/>
        <v/>
      </c>
      <c r="L717" s="29" t="str">
        <f t="shared" si="65"/>
        <v/>
      </c>
      <c r="M717" s="30" t="str">
        <f t="shared" si="66"/>
        <v/>
      </c>
    </row>
    <row r="718" spans="2:13" x14ac:dyDescent="0.25">
      <c r="B718" s="22">
        <v>44911</v>
      </c>
      <c r="C718" s="41"/>
      <c r="D718" s="24"/>
      <c r="E718" s="25"/>
      <c r="F718" s="26"/>
      <c r="G718" s="27"/>
      <c r="H718" s="28" t="str">
        <f t="shared" si="61"/>
        <v/>
      </c>
      <c r="I718" s="28" t="str">
        <f t="shared" si="62"/>
        <v/>
      </c>
      <c r="J718" s="28" t="str">
        <f t="shared" si="63"/>
        <v/>
      </c>
      <c r="K718" s="28" t="str">
        <f t="shared" si="64"/>
        <v/>
      </c>
      <c r="L718" s="29" t="str">
        <f t="shared" si="65"/>
        <v/>
      </c>
      <c r="M718" s="30" t="str">
        <f t="shared" si="66"/>
        <v/>
      </c>
    </row>
    <row r="719" spans="2:13" x14ac:dyDescent="0.25">
      <c r="B719" s="22">
        <v>44912</v>
      </c>
      <c r="C719" s="41"/>
      <c r="D719" s="24"/>
      <c r="E719" s="25"/>
      <c r="F719" s="26"/>
      <c r="G719" s="27"/>
      <c r="H719" s="28" t="str">
        <f t="shared" si="61"/>
        <v/>
      </c>
      <c r="I719" s="28" t="str">
        <f t="shared" si="62"/>
        <v/>
      </c>
      <c r="J719" s="28" t="str">
        <f t="shared" si="63"/>
        <v/>
      </c>
      <c r="K719" s="28" t="str">
        <f t="shared" si="64"/>
        <v/>
      </c>
      <c r="L719" s="29" t="str">
        <f t="shared" si="65"/>
        <v/>
      </c>
      <c r="M719" s="30" t="str">
        <f t="shared" si="66"/>
        <v/>
      </c>
    </row>
    <row r="720" spans="2:13" x14ac:dyDescent="0.25">
      <c r="B720" s="22">
        <v>44913</v>
      </c>
      <c r="C720" s="41"/>
      <c r="D720" s="24"/>
      <c r="E720" s="25"/>
      <c r="F720" s="26"/>
      <c r="G720" s="27"/>
      <c r="H720" s="28" t="str">
        <f t="shared" si="61"/>
        <v/>
      </c>
      <c r="I720" s="28" t="str">
        <f t="shared" si="62"/>
        <v/>
      </c>
      <c r="J720" s="28" t="str">
        <f t="shared" si="63"/>
        <v/>
      </c>
      <c r="K720" s="28" t="str">
        <f t="shared" si="64"/>
        <v/>
      </c>
      <c r="L720" s="29" t="str">
        <f t="shared" si="65"/>
        <v/>
      </c>
      <c r="M720" s="30" t="str">
        <f t="shared" si="66"/>
        <v/>
      </c>
    </row>
    <row r="721" spans="2:13" x14ac:dyDescent="0.25">
      <c r="B721" s="22">
        <v>44914</v>
      </c>
      <c r="C721" s="41"/>
      <c r="D721" s="24"/>
      <c r="E721" s="25"/>
      <c r="F721" s="26"/>
      <c r="G721" s="27"/>
      <c r="H721" s="28" t="str">
        <f t="shared" si="61"/>
        <v/>
      </c>
      <c r="I721" s="28" t="str">
        <f t="shared" si="62"/>
        <v/>
      </c>
      <c r="J721" s="28" t="str">
        <f t="shared" si="63"/>
        <v/>
      </c>
      <c r="K721" s="28" t="str">
        <f t="shared" si="64"/>
        <v/>
      </c>
      <c r="L721" s="29" t="str">
        <f t="shared" si="65"/>
        <v/>
      </c>
      <c r="M721" s="30" t="str">
        <f t="shared" si="66"/>
        <v/>
      </c>
    </row>
    <row r="722" spans="2:13" x14ac:dyDescent="0.25">
      <c r="B722" s="22">
        <v>44915</v>
      </c>
      <c r="C722" s="41"/>
      <c r="D722" s="24"/>
      <c r="E722" s="25"/>
      <c r="F722" s="26"/>
      <c r="G722" s="27"/>
      <c r="H722" s="28" t="str">
        <f t="shared" si="61"/>
        <v/>
      </c>
      <c r="I722" s="28" t="str">
        <f t="shared" si="62"/>
        <v/>
      </c>
      <c r="J722" s="28" t="str">
        <f t="shared" si="63"/>
        <v/>
      </c>
      <c r="K722" s="28" t="str">
        <f t="shared" si="64"/>
        <v/>
      </c>
      <c r="L722" s="29" t="str">
        <f t="shared" si="65"/>
        <v/>
      </c>
      <c r="M722" s="30" t="str">
        <f t="shared" si="66"/>
        <v/>
      </c>
    </row>
    <row r="723" spans="2:13" x14ac:dyDescent="0.25">
      <c r="B723" s="22">
        <v>44916</v>
      </c>
      <c r="C723" s="41"/>
      <c r="D723" s="24"/>
      <c r="E723" s="25"/>
      <c r="F723" s="26"/>
      <c r="G723" s="27"/>
      <c r="H723" s="28" t="str">
        <f t="shared" si="61"/>
        <v/>
      </c>
      <c r="I723" s="28" t="str">
        <f t="shared" si="62"/>
        <v/>
      </c>
      <c r="J723" s="28" t="str">
        <f t="shared" si="63"/>
        <v/>
      </c>
      <c r="K723" s="28" t="str">
        <f t="shared" si="64"/>
        <v/>
      </c>
      <c r="L723" s="29" t="str">
        <f t="shared" si="65"/>
        <v/>
      </c>
      <c r="M723" s="30" t="str">
        <f t="shared" si="66"/>
        <v/>
      </c>
    </row>
    <row r="724" spans="2:13" x14ac:dyDescent="0.25">
      <c r="B724" s="22">
        <v>44917</v>
      </c>
      <c r="C724" s="41"/>
      <c r="D724" s="24"/>
      <c r="E724" s="25"/>
      <c r="F724" s="26"/>
      <c r="G724" s="27"/>
      <c r="H724" s="28" t="str">
        <f t="shared" si="61"/>
        <v/>
      </c>
      <c r="I724" s="28" t="str">
        <f t="shared" si="62"/>
        <v/>
      </c>
      <c r="J724" s="28" t="str">
        <f t="shared" si="63"/>
        <v/>
      </c>
      <c r="K724" s="28" t="str">
        <f t="shared" si="64"/>
        <v/>
      </c>
      <c r="L724" s="29" t="str">
        <f t="shared" si="65"/>
        <v/>
      </c>
      <c r="M724" s="30" t="str">
        <f t="shared" si="66"/>
        <v/>
      </c>
    </row>
    <row r="725" spans="2:13" x14ac:dyDescent="0.25">
      <c r="B725" s="22">
        <v>44918</v>
      </c>
      <c r="C725" s="41"/>
      <c r="D725" s="24"/>
      <c r="E725" s="25"/>
      <c r="F725" s="26"/>
      <c r="G725" s="27"/>
      <c r="H725" s="28" t="str">
        <f t="shared" si="61"/>
        <v/>
      </c>
      <c r="I725" s="28" t="str">
        <f t="shared" si="62"/>
        <v/>
      </c>
      <c r="J725" s="28" t="str">
        <f t="shared" si="63"/>
        <v/>
      </c>
      <c r="K725" s="28" t="str">
        <f t="shared" si="64"/>
        <v/>
      </c>
      <c r="L725" s="29" t="str">
        <f t="shared" si="65"/>
        <v/>
      </c>
      <c r="M725" s="30" t="str">
        <f t="shared" si="66"/>
        <v/>
      </c>
    </row>
    <row r="726" spans="2:13" x14ac:dyDescent="0.25">
      <c r="B726" s="22">
        <v>44919</v>
      </c>
      <c r="C726" s="41"/>
      <c r="D726" s="24"/>
      <c r="E726" s="25"/>
      <c r="F726" s="26"/>
      <c r="G726" s="27"/>
      <c r="H726" s="28" t="str">
        <f t="shared" si="61"/>
        <v/>
      </c>
      <c r="I726" s="28" t="str">
        <f t="shared" si="62"/>
        <v/>
      </c>
      <c r="J726" s="28" t="str">
        <f t="shared" si="63"/>
        <v/>
      </c>
      <c r="K726" s="28" t="str">
        <f t="shared" si="64"/>
        <v/>
      </c>
      <c r="L726" s="29" t="str">
        <f t="shared" si="65"/>
        <v/>
      </c>
      <c r="M726" s="30" t="str">
        <f t="shared" si="66"/>
        <v/>
      </c>
    </row>
    <row r="727" spans="2:13" x14ac:dyDescent="0.25">
      <c r="B727" s="22">
        <v>44920</v>
      </c>
      <c r="C727" s="41"/>
      <c r="D727" s="24"/>
      <c r="E727" s="25"/>
      <c r="F727" s="26"/>
      <c r="G727" s="27"/>
      <c r="H727" s="28" t="str">
        <f t="shared" si="61"/>
        <v/>
      </c>
      <c r="I727" s="28" t="str">
        <f t="shared" si="62"/>
        <v/>
      </c>
      <c r="J727" s="28" t="str">
        <f t="shared" si="63"/>
        <v/>
      </c>
      <c r="K727" s="28" t="str">
        <f t="shared" si="64"/>
        <v/>
      </c>
      <c r="L727" s="29" t="str">
        <f t="shared" si="65"/>
        <v/>
      </c>
      <c r="M727" s="30" t="str">
        <f t="shared" si="66"/>
        <v/>
      </c>
    </row>
    <row r="728" spans="2:13" x14ac:dyDescent="0.25">
      <c r="B728" s="22">
        <v>44921</v>
      </c>
      <c r="C728" s="41"/>
      <c r="D728" s="24"/>
      <c r="E728" s="25"/>
      <c r="F728" s="26"/>
      <c r="G728" s="27"/>
      <c r="H728" s="28" t="str">
        <f t="shared" si="61"/>
        <v/>
      </c>
      <c r="I728" s="28" t="str">
        <f t="shared" si="62"/>
        <v/>
      </c>
      <c r="J728" s="28" t="str">
        <f t="shared" si="63"/>
        <v/>
      </c>
      <c r="K728" s="28" t="str">
        <f t="shared" si="64"/>
        <v/>
      </c>
      <c r="L728" s="29" t="str">
        <f t="shared" si="65"/>
        <v/>
      </c>
      <c r="M728" s="30" t="str">
        <f t="shared" si="66"/>
        <v/>
      </c>
    </row>
    <row r="729" spans="2:13" x14ac:dyDescent="0.25">
      <c r="B729" s="22">
        <v>44922</v>
      </c>
      <c r="C729" s="41"/>
      <c r="D729" s="24"/>
      <c r="E729" s="25"/>
      <c r="F729" s="26"/>
      <c r="G729" s="27"/>
      <c r="H729" s="28" t="str">
        <f t="shared" si="61"/>
        <v/>
      </c>
      <c r="I729" s="28" t="str">
        <f t="shared" si="62"/>
        <v/>
      </c>
      <c r="J729" s="28" t="str">
        <f t="shared" si="63"/>
        <v/>
      </c>
      <c r="K729" s="28" t="str">
        <f t="shared" si="64"/>
        <v/>
      </c>
      <c r="L729" s="29" t="str">
        <f t="shared" si="65"/>
        <v/>
      </c>
      <c r="M729" s="30" t="str">
        <f t="shared" si="66"/>
        <v/>
      </c>
    </row>
    <row r="730" spans="2:13" x14ac:dyDescent="0.25">
      <c r="B730" s="22">
        <v>44923</v>
      </c>
      <c r="C730" s="41"/>
      <c r="D730" s="24"/>
      <c r="E730" s="25"/>
      <c r="F730" s="26"/>
      <c r="G730" s="27"/>
      <c r="H730" s="28" t="str">
        <f t="shared" si="61"/>
        <v/>
      </c>
      <c r="I730" s="28" t="str">
        <f t="shared" si="62"/>
        <v/>
      </c>
      <c r="J730" s="28" t="str">
        <f t="shared" si="63"/>
        <v/>
      </c>
      <c r="K730" s="28" t="str">
        <f t="shared" si="64"/>
        <v/>
      </c>
      <c r="L730" s="29" t="str">
        <f t="shared" si="65"/>
        <v/>
      </c>
      <c r="M730" s="30" t="str">
        <f t="shared" si="66"/>
        <v/>
      </c>
    </row>
    <row r="731" spans="2:13" x14ac:dyDescent="0.25">
      <c r="B731" s="22">
        <v>44924</v>
      </c>
      <c r="C731" s="41"/>
      <c r="D731" s="24"/>
      <c r="E731" s="25"/>
      <c r="F731" s="26"/>
      <c r="G731" s="27"/>
      <c r="H731" s="28" t="str">
        <f t="shared" si="61"/>
        <v/>
      </c>
      <c r="I731" s="28" t="str">
        <f t="shared" si="62"/>
        <v/>
      </c>
      <c r="J731" s="28" t="str">
        <f t="shared" si="63"/>
        <v/>
      </c>
      <c r="K731" s="28" t="str">
        <f t="shared" si="64"/>
        <v/>
      </c>
      <c r="L731" s="29" t="str">
        <f t="shared" si="65"/>
        <v/>
      </c>
      <c r="M731" s="30" t="str">
        <f t="shared" si="66"/>
        <v/>
      </c>
    </row>
    <row r="732" spans="2:13" x14ac:dyDescent="0.25">
      <c r="B732" s="22">
        <v>44925</v>
      </c>
      <c r="C732" s="41"/>
      <c r="D732" s="24"/>
      <c r="E732" s="25"/>
      <c r="F732" s="26"/>
      <c r="G732" s="27"/>
      <c r="H732" s="28" t="str">
        <f t="shared" si="61"/>
        <v/>
      </c>
      <c r="I732" s="28" t="str">
        <f t="shared" si="62"/>
        <v/>
      </c>
      <c r="J732" s="28" t="str">
        <f t="shared" si="63"/>
        <v/>
      </c>
      <c r="K732" s="28" t="str">
        <f t="shared" si="64"/>
        <v/>
      </c>
      <c r="L732" s="29" t="str">
        <f t="shared" si="65"/>
        <v/>
      </c>
      <c r="M732" s="30" t="str">
        <f t="shared" si="66"/>
        <v/>
      </c>
    </row>
    <row r="733" spans="2:13" x14ac:dyDescent="0.25">
      <c r="B733" s="22">
        <v>44926</v>
      </c>
      <c r="C733" s="41"/>
      <c r="D733" s="24"/>
      <c r="E733" s="25"/>
      <c r="F733" s="26"/>
      <c r="G733" s="27"/>
      <c r="H733" s="28" t="str">
        <f t="shared" si="61"/>
        <v/>
      </c>
      <c r="I733" s="28" t="str">
        <f t="shared" si="62"/>
        <v/>
      </c>
      <c r="J733" s="28" t="str">
        <f t="shared" si="63"/>
        <v/>
      </c>
      <c r="K733" s="28" t="str">
        <f t="shared" si="64"/>
        <v/>
      </c>
      <c r="L733" s="29" t="str">
        <f t="shared" si="65"/>
        <v/>
      </c>
      <c r="M733" s="30" t="str">
        <f t="shared" si="66"/>
        <v/>
      </c>
    </row>
  </sheetData>
  <mergeCells count="57">
    <mergeCell ref="N391:N393"/>
    <mergeCell ref="O391:O393"/>
    <mergeCell ref="N395:N396"/>
    <mergeCell ref="O395:O396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32"/>
  <sheetViews>
    <sheetView topLeftCell="A347" workbookViewId="0">
      <selection activeCell="Q378" sqref="Q378"/>
    </sheetView>
  </sheetViews>
  <sheetFormatPr defaultColWidth="9.140625" defaultRowHeight="15" x14ac:dyDescent="0.25"/>
  <cols>
    <col min="1" max="1" width="10.85546875" style="140" customWidth="1"/>
    <col min="2" max="2" width="0.140625" style="1" customWidth="1"/>
    <col min="3" max="3" width="4.42578125" style="1" hidden="1" customWidth="1"/>
    <col min="4" max="4" width="13.5703125" style="138" customWidth="1"/>
    <col min="5" max="5" width="10" style="138" customWidth="1"/>
    <col min="6" max="6" width="9.7109375" style="138" customWidth="1"/>
    <col min="7" max="7" width="11.28515625" style="65" hidden="1" customWidth="1"/>
    <col min="8" max="8" width="11.28515625" style="65" customWidth="1"/>
    <col min="9" max="9" width="11.7109375" style="65" customWidth="1"/>
    <col min="10" max="10" width="12" style="65" customWidth="1"/>
    <col min="11" max="11" width="10.42578125" style="65" customWidth="1"/>
    <col min="12" max="12" width="12.7109375" style="65" bestFit="1" customWidth="1"/>
    <col min="13" max="13" width="10.7109375" style="65" bestFit="1" customWidth="1"/>
    <col min="14" max="14" width="14.140625" style="65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6" t="s">
        <v>9</v>
      </c>
      <c r="B1" s="46" t="s">
        <v>31</v>
      </c>
      <c r="C1" s="46" t="s">
        <v>32</v>
      </c>
      <c r="D1" s="46" t="s">
        <v>33</v>
      </c>
      <c r="E1" s="46" t="s">
        <v>34</v>
      </c>
      <c r="F1" s="46" t="s">
        <v>35</v>
      </c>
      <c r="G1" s="46" t="s">
        <v>36</v>
      </c>
      <c r="H1" s="46" t="s">
        <v>37</v>
      </c>
      <c r="I1" s="46" t="s">
        <v>38</v>
      </c>
      <c r="J1" s="46" t="s">
        <v>39</v>
      </c>
      <c r="K1" s="46" t="s">
        <v>40</v>
      </c>
      <c r="L1" s="46" t="s">
        <v>41</v>
      </c>
      <c r="M1" s="46" t="s">
        <v>42</v>
      </c>
      <c r="N1" s="46" t="s">
        <v>43</v>
      </c>
      <c r="O1" s="46" t="s">
        <v>44</v>
      </c>
      <c r="P1" s="47"/>
      <c r="Q1" s="47"/>
    </row>
    <row r="2" spans="1:41" ht="15.75" thickBot="1" x14ac:dyDescent="0.3">
      <c r="A2" s="48">
        <v>43465</v>
      </c>
      <c r="B2" s="49"/>
      <c r="C2" s="49"/>
      <c r="D2" s="50">
        <v>4926.4570000000003</v>
      </c>
      <c r="E2" s="50">
        <v>220.02</v>
      </c>
      <c r="F2" s="50">
        <v>169.75</v>
      </c>
      <c r="G2" s="16"/>
      <c r="H2" s="16"/>
      <c r="I2" s="16"/>
      <c r="J2" s="16"/>
      <c r="K2" s="17"/>
      <c r="L2" s="16"/>
      <c r="M2" s="17"/>
      <c r="N2" s="51">
        <v>66068309</v>
      </c>
      <c r="O2" s="15"/>
      <c r="P2" s="15"/>
      <c r="Q2" s="52"/>
      <c r="S2" s="20"/>
    </row>
    <row r="3" spans="1:41" ht="15.75" thickBot="1" x14ac:dyDescent="0.3">
      <c r="A3" s="53">
        <v>44197</v>
      </c>
      <c r="B3" s="54"/>
      <c r="C3" s="54"/>
      <c r="D3" s="146">
        <v>0.14199999999999999</v>
      </c>
      <c r="E3" s="147">
        <v>6807.857</v>
      </c>
      <c r="F3" s="148">
        <v>322.33300000000003</v>
      </c>
      <c r="G3" s="149">
        <v>183.67</v>
      </c>
      <c r="H3" s="150"/>
      <c r="I3" s="150">
        <v>20488.859999998404</v>
      </c>
      <c r="J3" s="150">
        <v>1113.6600000000226</v>
      </c>
      <c r="K3" s="151">
        <v>5.4354415033345406E-2</v>
      </c>
      <c r="L3" s="150">
        <v>194.57999999998776</v>
      </c>
      <c r="M3" s="152">
        <v>9.496868054152497E-3</v>
      </c>
      <c r="N3" s="153">
        <v>66068309</v>
      </c>
      <c r="O3" s="153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3">
        <v>44198</v>
      </c>
      <c r="D4" s="146">
        <v>0.14199999999999999</v>
      </c>
      <c r="E4" s="147">
        <v>6812.8440000000001</v>
      </c>
      <c r="F4" s="148">
        <v>322.64999999999998</v>
      </c>
      <c r="G4" s="149">
        <v>183.709</v>
      </c>
      <c r="H4" s="150"/>
      <c r="I4" s="150">
        <v>20646.180000000331</v>
      </c>
      <c r="J4" s="150">
        <v>1312.3799999997948</v>
      </c>
      <c r="K4" s="151">
        <v>6.3565269701212221E-2</v>
      </c>
      <c r="L4" s="150">
        <v>161.46000000006495</v>
      </c>
      <c r="M4" s="152">
        <v>7.820332865453191E-3</v>
      </c>
      <c r="N4" s="153">
        <v>66068309</v>
      </c>
      <c r="O4" s="153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3">
        <v>44199</v>
      </c>
      <c r="D5" s="146">
        <v>0.14199999999999999</v>
      </c>
      <c r="E5" s="147">
        <v>6817.741</v>
      </c>
      <c r="F5" s="148">
        <v>322.85500000000002</v>
      </c>
      <c r="G5" s="149">
        <v>183.74100000000001</v>
      </c>
      <c r="H5" s="150"/>
      <c r="I5" s="150">
        <v>20273.579999999729</v>
      </c>
      <c r="J5" s="150">
        <v>848.70000000016944</v>
      </c>
      <c r="K5" s="151">
        <v>4.1862364713098565E-2</v>
      </c>
      <c r="L5" s="150">
        <v>132.48000000004424</v>
      </c>
      <c r="M5" s="152">
        <v>6.5346130283869949E-3</v>
      </c>
      <c r="N5" s="153">
        <v>66068309</v>
      </c>
      <c r="O5" s="153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3">
        <v>44200</v>
      </c>
      <c r="D6" s="146">
        <v>0.14199999999999999</v>
      </c>
      <c r="E6" s="147">
        <v>6822.43</v>
      </c>
      <c r="F6" s="148">
        <v>323.13099999999997</v>
      </c>
      <c r="G6" s="149">
        <v>183.78100000000001</v>
      </c>
      <c r="H6" s="150"/>
      <c r="I6" s="150">
        <v>19412.460000001265</v>
      </c>
      <c r="J6" s="150">
        <v>1142.639999999808</v>
      </c>
      <c r="K6" s="151">
        <v>5.8861164427369508E-2</v>
      </c>
      <c r="L6" s="150">
        <v>165.59999999996705</v>
      </c>
      <c r="M6" s="152">
        <v>8.5306035401982155E-3</v>
      </c>
      <c r="N6" s="153">
        <v>66068309</v>
      </c>
      <c r="O6" s="153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3">
        <v>44201</v>
      </c>
      <c r="D7" s="146">
        <v>0.14199999999999999</v>
      </c>
      <c r="E7" s="147">
        <v>6827.3609999999999</v>
      </c>
      <c r="F7" s="148">
        <v>323.40699999999998</v>
      </c>
      <c r="G7" s="149">
        <v>183.809</v>
      </c>
      <c r="H7" s="150"/>
      <c r="I7" s="150">
        <v>20414.339999998283</v>
      </c>
      <c r="J7" s="150">
        <v>1142.6400000000433</v>
      </c>
      <c r="K7" s="151">
        <v>5.5972419387554991E-2</v>
      </c>
      <c r="L7" s="150">
        <v>115.91999999996517</v>
      </c>
      <c r="M7" s="152">
        <v>5.6783613871413388E-3</v>
      </c>
      <c r="N7" s="153">
        <v>66068309</v>
      </c>
      <c r="O7" s="153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3">
        <v>44202</v>
      </c>
      <c r="D8" s="146">
        <v>0.14199999999999999</v>
      </c>
      <c r="E8" s="147">
        <v>6832.3890000000001</v>
      </c>
      <c r="F8" s="148">
        <v>323.7</v>
      </c>
      <c r="G8" s="149">
        <v>183.83199999999999</v>
      </c>
      <c r="H8" s="150"/>
      <c r="I8" s="150">
        <v>20815.920000001024</v>
      </c>
      <c r="J8" s="150">
        <v>1213.0200000000264</v>
      </c>
      <c r="K8" s="151">
        <v>5.8273667462210015E-2</v>
      </c>
      <c r="L8" s="150">
        <v>95.219999999983997</v>
      </c>
      <c r="M8" s="152">
        <v>4.574383452664082E-3</v>
      </c>
      <c r="N8" s="153">
        <v>66068309</v>
      </c>
      <c r="O8" s="153">
        <v>0</v>
      </c>
      <c r="P8" s="61"/>
      <c r="Q8" s="62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3">
        <v>44203</v>
      </c>
      <c r="D9" s="146">
        <v>0.14199999999999999</v>
      </c>
      <c r="E9" s="147">
        <v>6837.616</v>
      </c>
      <c r="F9" s="148">
        <v>323.923</v>
      </c>
      <c r="G9" s="149">
        <v>183.87200000000001</v>
      </c>
      <c r="H9" s="150"/>
      <c r="I9" s="150">
        <v>21639.779999999428</v>
      </c>
      <c r="J9" s="150">
        <v>923.2200000000546</v>
      </c>
      <c r="K9" s="151">
        <v>4.2663095465854041E-2</v>
      </c>
      <c r="L9" s="150">
        <v>165.60000000008472</v>
      </c>
      <c r="M9" s="152">
        <v>7.6525731777351298E-3</v>
      </c>
      <c r="N9" s="153">
        <v>66068309</v>
      </c>
      <c r="O9" s="153">
        <v>0</v>
      </c>
      <c r="P9" s="61"/>
      <c r="Q9" s="62"/>
      <c r="R9" s="20">
        <f t="shared" si="0"/>
        <v>1</v>
      </c>
      <c r="S9" s="20">
        <f t="shared" si="1"/>
        <v>0</v>
      </c>
    </row>
    <row r="10" spans="1:41" ht="15.75" thickBot="1" x14ac:dyDescent="0.3">
      <c r="A10" s="53">
        <v>44204</v>
      </c>
      <c r="D10" s="146">
        <v>0.14199999999999999</v>
      </c>
      <c r="E10" s="147">
        <v>6842.268</v>
      </c>
      <c r="F10" s="148">
        <v>324.10500000000002</v>
      </c>
      <c r="G10" s="149">
        <v>183.90899999999999</v>
      </c>
      <c r="H10" s="150"/>
      <c r="I10" s="150">
        <v>19259.280000000181</v>
      </c>
      <c r="J10" s="150">
        <v>753.48000000006778</v>
      </c>
      <c r="K10" s="151">
        <v>3.9122957867586988E-2</v>
      </c>
      <c r="L10" s="150">
        <v>153.17999999990775</v>
      </c>
      <c r="M10" s="152">
        <v>7.9535683576907497E-3</v>
      </c>
      <c r="N10" s="153">
        <v>66068309</v>
      </c>
      <c r="O10" s="153">
        <v>0</v>
      </c>
      <c r="P10" s="61"/>
      <c r="Q10" s="63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3">
        <v>44205</v>
      </c>
      <c r="D11" s="146">
        <v>0.14199999999999999</v>
      </c>
      <c r="E11" s="147">
        <v>6847.5590000000002</v>
      </c>
      <c r="F11" s="148">
        <v>324.29399999999998</v>
      </c>
      <c r="G11" s="149">
        <v>183.94399999999999</v>
      </c>
      <c r="H11" s="150"/>
      <c r="I11" s="150">
        <v>21904.740000000693</v>
      </c>
      <c r="J11" s="150">
        <v>782.45999999985315</v>
      </c>
      <c r="K11" s="151">
        <v>3.5721035721027888E-2</v>
      </c>
      <c r="L11" s="150">
        <v>144.89999999998588</v>
      </c>
      <c r="M11" s="152">
        <v>6.6150066150057613E-3</v>
      </c>
      <c r="N11" s="153">
        <v>66068309</v>
      </c>
      <c r="O11" s="153">
        <v>0</v>
      </c>
      <c r="P11" s="61"/>
      <c r="Q11" s="63"/>
      <c r="R11" s="20">
        <f t="shared" si="0"/>
        <v>1</v>
      </c>
      <c r="S11" s="20">
        <f t="shared" si="1"/>
        <v>0</v>
      </c>
      <c r="T11" s="64"/>
    </row>
    <row r="12" spans="1:41" ht="15.75" thickBot="1" x14ac:dyDescent="0.3">
      <c r="A12" s="53">
        <v>44206</v>
      </c>
      <c r="D12" s="146">
        <v>0.14199999999999999</v>
      </c>
      <c r="E12" s="147">
        <v>6852.2240000000002</v>
      </c>
      <c r="F12" s="148">
        <v>324.45400000000001</v>
      </c>
      <c r="G12" s="149">
        <v>183.98599999999999</v>
      </c>
      <c r="H12" s="150"/>
      <c r="I12" s="150">
        <v>19313.099999999849</v>
      </c>
      <c r="J12" s="150">
        <v>662.40000000010355</v>
      </c>
      <c r="K12" s="151">
        <v>3.4297963558419346E-2</v>
      </c>
      <c r="L12" s="150">
        <v>173.88000000000659</v>
      </c>
      <c r="M12" s="152">
        <v>9.003215434084012E-3</v>
      </c>
      <c r="N12" s="153">
        <v>66068309</v>
      </c>
      <c r="O12" s="153">
        <v>0</v>
      </c>
      <c r="P12" s="61"/>
      <c r="Q12" s="63"/>
      <c r="R12" s="20">
        <f t="shared" si="0"/>
        <v>1</v>
      </c>
      <c r="S12" s="20">
        <f t="shared" si="1"/>
        <v>0</v>
      </c>
      <c r="T12" s="64"/>
    </row>
    <row r="13" spans="1:41" ht="15.75" thickBot="1" x14ac:dyDescent="0.3">
      <c r="A13" s="53">
        <v>44207</v>
      </c>
      <c r="D13" s="146">
        <v>0.14199999999999999</v>
      </c>
      <c r="E13" s="147">
        <v>6856.8370000000004</v>
      </c>
      <c r="F13" s="148">
        <v>324.58600000000001</v>
      </c>
      <c r="G13" s="149">
        <v>184.02799999999999</v>
      </c>
      <c r="H13" s="150"/>
      <c r="I13" s="150">
        <v>19097.820000001175</v>
      </c>
      <c r="J13" s="150">
        <v>546.48000000002071</v>
      </c>
      <c r="K13" s="151">
        <v>2.8614784305223691E-2</v>
      </c>
      <c r="L13" s="150">
        <v>173.88000000000659</v>
      </c>
      <c r="M13" s="152">
        <v>9.1047040971166289E-3</v>
      </c>
      <c r="N13" s="153">
        <v>66068309</v>
      </c>
      <c r="O13" s="153">
        <v>0</v>
      </c>
      <c r="P13" s="61"/>
      <c r="Q13" s="62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3">
        <v>44208</v>
      </c>
      <c r="D14" s="146">
        <v>0.14199999999999999</v>
      </c>
      <c r="E14" s="147">
        <v>6862.0110000000004</v>
      </c>
      <c r="F14" s="148">
        <v>324.79399999999998</v>
      </c>
      <c r="G14" s="149">
        <v>184.07300000000001</v>
      </c>
      <c r="H14" s="150"/>
      <c r="I14" s="150">
        <v>21420.35999999991</v>
      </c>
      <c r="J14" s="150">
        <v>861.11999999987574</v>
      </c>
      <c r="K14" s="151">
        <v>4.0201005025119994E-2</v>
      </c>
      <c r="L14" s="150">
        <v>186.30000000006589</v>
      </c>
      <c r="M14" s="152">
        <v>8.6973328179389461E-3</v>
      </c>
      <c r="N14" s="153">
        <v>66068309</v>
      </c>
      <c r="O14" s="153">
        <v>0</v>
      </c>
      <c r="P14" s="61"/>
      <c r="Q14" s="62"/>
      <c r="R14" s="20">
        <f t="shared" si="0"/>
        <v>1</v>
      </c>
      <c r="S14" s="20">
        <f t="shared" si="1"/>
        <v>0</v>
      </c>
      <c r="W14" s="65"/>
      <c r="X14" s="65"/>
      <c r="Y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pans="1:41" ht="15.75" thickBot="1" x14ac:dyDescent="0.3">
      <c r="A15" s="53">
        <v>44209</v>
      </c>
      <c r="D15" s="146">
        <v>0.14199999999999999</v>
      </c>
      <c r="E15" s="147">
        <v>6867.2709999999997</v>
      </c>
      <c r="F15" s="148">
        <v>325.03800000000001</v>
      </c>
      <c r="G15" s="149">
        <v>184.107</v>
      </c>
      <c r="H15" s="150"/>
      <c r="I15" s="150">
        <v>21776.399999997138</v>
      </c>
      <c r="J15" s="150">
        <v>1010.1600000001167</v>
      </c>
      <c r="K15" s="151">
        <v>4.6387832699631225E-2</v>
      </c>
      <c r="L15" s="150">
        <v>140.75999999996611</v>
      </c>
      <c r="M15" s="152">
        <v>6.4638783269954907E-3</v>
      </c>
      <c r="N15" s="153">
        <v>66068309</v>
      </c>
      <c r="O15" s="153">
        <v>0</v>
      </c>
      <c r="P15" s="61"/>
      <c r="Q15" s="63"/>
      <c r="R15" s="20">
        <f t="shared" si="0"/>
        <v>1</v>
      </c>
      <c r="S15" s="20">
        <f t="shared" si="1"/>
        <v>0</v>
      </c>
      <c r="W15" s="65"/>
      <c r="X15" s="65"/>
      <c r="Y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spans="1:41" ht="15.75" thickBot="1" x14ac:dyDescent="0.3">
      <c r="A16" s="53">
        <v>44210</v>
      </c>
      <c r="D16" s="146">
        <v>0.14199999999999999</v>
      </c>
      <c r="E16" s="147">
        <v>6872.2489999999998</v>
      </c>
      <c r="F16" s="148">
        <v>325.25200000000001</v>
      </c>
      <c r="G16" s="149">
        <v>184.131</v>
      </c>
      <c r="H16" s="150"/>
      <c r="I16" s="150">
        <v>20608.920000000271</v>
      </c>
      <c r="J16" s="150">
        <v>885.95999999999435</v>
      </c>
      <c r="K16" s="151">
        <v>4.2989152269987105E-2</v>
      </c>
      <c r="L16" s="150">
        <v>99.360000000003765</v>
      </c>
      <c r="M16" s="152">
        <v>4.8212133386903566E-3</v>
      </c>
      <c r="N16" s="153">
        <v>66068309</v>
      </c>
      <c r="O16" s="153">
        <v>0</v>
      </c>
      <c r="P16" s="61"/>
      <c r="Q16" s="63"/>
      <c r="R16" s="20">
        <f t="shared" si="0"/>
        <v>1</v>
      </c>
      <c r="S16" s="20">
        <f t="shared" si="1"/>
        <v>0</v>
      </c>
      <c r="T16" s="64"/>
    </row>
    <row r="17" spans="1:21" ht="15.75" thickBot="1" x14ac:dyDescent="0.3">
      <c r="A17" s="53">
        <v>44211</v>
      </c>
      <c r="D17" s="146">
        <v>0.14199999999999999</v>
      </c>
      <c r="E17" s="147">
        <v>6877.2060000000001</v>
      </c>
      <c r="F17" s="148">
        <v>325.47399999999999</v>
      </c>
      <c r="G17" s="149">
        <v>184.166</v>
      </c>
      <c r="H17" s="150"/>
      <c r="I17" s="150">
        <v>20521.980000001386</v>
      </c>
      <c r="J17" s="150">
        <v>919.07999999991716</v>
      </c>
      <c r="K17" s="151">
        <v>4.478515230985778E-2</v>
      </c>
      <c r="L17" s="150">
        <v>144.89999999998588</v>
      </c>
      <c r="M17" s="152">
        <v>7.0607222110135618E-3</v>
      </c>
      <c r="N17" s="153">
        <v>66068309</v>
      </c>
      <c r="O17" s="153">
        <v>0</v>
      </c>
      <c r="P17" s="61"/>
      <c r="Q17" s="63"/>
      <c r="R17" s="20">
        <f t="shared" si="0"/>
        <v>1</v>
      </c>
      <c r="S17" s="20">
        <f t="shared" si="1"/>
        <v>0</v>
      </c>
      <c r="T17" s="64"/>
    </row>
    <row r="18" spans="1:21" ht="15.75" thickBot="1" x14ac:dyDescent="0.3">
      <c r="A18" s="53">
        <v>44212</v>
      </c>
      <c r="D18" s="146">
        <v>0.14199999999999999</v>
      </c>
      <c r="E18" s="147">
        <v>6882.08</v>
      </c>
      <c r="F18" s="148">
        <v>325.661</v>
      </c>
      <c r="G18" s="149">
        <v>184.20599999999999</v>
      </c>
      <c r="H18" s="150"/>
      <c r="I18" s="150">
        <v>20178.359999999157</v>
      </c>
      <c r="J18" s="150">
        <v>774.18000000004895</v>
      </c>
      <c r="K18" s="151">
        <v>3.8366844480923194E-2</v>
      </c>
      <c r="L18" s="150">
        <v>165.59999999996705</v>
      </c>
      <c r="M18" s="152">
        <v>8.2068116536712591E-3</v>
      </c>
      <c r="N18" s="153">
        <v>66068309</v>
      </c>
      <c r="O18" s="153">
        <v>0</v>
      </c>
      <c r="P18" s="61"/>
      <c r="Q18" s="62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3">
        <v>44213</v>
      </c>
      <c r="D19" s="146">
        <v>0.14199999999999999</v>
      </c>
      <c r="E19" s="147">
        <v>6886.78</v>
      </c>
      <c r="F19" s="148">
        <v>325.87</v>
      </c>
      <c r="G19" s="149">
        <v>184.245</v>
      </c>
      <c r="H19" s="150"/>
      <c r="I19" s="150">
        <v>19457.999999999247</v>
      </c>
      <c r="J19" s="150">
        <v>865.26000000001318</v>
      </c>
      <c r="K19" s="151">
        <v>4.4468085106385377E-2</v>
      </c>
      <c r="L19" s="150">
        <v>161.46000000006495</v>
      </c>
      <c r="M19" s="152">
        <v>8.2978723404291913E-3</v>
      </c>
      <c r="N19" s="153">
        <v>66068309</v>
      </c>
      <c r="O19" s="153">
        <v>0</v>
      </c>
      <c r="P19" s="61"/>
      <c r="Q19" s="62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3">
        <v>44214</v>
      </c>
      <c r="D20" s="146">
        <v>0.14199999999999999</v>
      </c>
      <c r="E20" s="147">
        <v>6891.4610000000002</v>
      </c>
      <c r="F20" s="148">
        <v>326.12599999999998</v>
      </c>
      <c r="G20" s="149">
        <v>184.28200000000001</v>
      </c>
      <c r="H20" s="150"/>
      <c r="I20" s="150">
        <v>19379.340000002048</v>
      </c>
      <c r="J20" s="150">
        <v>1059.8399999998833</v>
      </c>
      <c r="K20" s="151">
        <v>5.4689168980975165E-2</v>
      </c>
      <c r="L20" s="150">
        <v>153.18000000002542</v>
      </c>
      <c r="M20" s="152">
        <v>7.904293954283749E-3</v>
      </c>
      <c r="N20" s="153">
        <v>66068309</v>
      </c>
      <c r="O20" s="153">
        <v>0</v>
      </c>
      <c r="P20" s="66"/>
      <c r="Q20" s="67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3">
        <v>44215</v>
      </c>
      <c r="D21" s="146">
        <v>0.14199999999999999</v>
      </c>
      <c r="E21" s="147">
        <v>6896.3019999999997</v>
      </c>
      <c r="F21" s="148">
        <v>326.37099999999998</v>
      </c>
      <c r="G21" s="149">
        <v>184.31200000000001</v>
      </c>
      <c r="H21" s="150"/>
      <c r="I21" s="150">
        <v>20041.739999997681</v>
      </c>
      <c r="J21" s="150">
        <v>1014.3000000000188</v>
      </c>
      <c r="K21" s="151">
        <v>5.0609378227645711E-2</v>
      </c>
      <c r="L21" s="150">
        <v>124.20000000000471</v>
      </c>
      <c r="M21" s="152">
        <v>6.1970667217526561E-3</v>
      </c>
      <c r="N21" s="153">
        <v>66068309</v>
      </c>
      <c r="O21" s="153">
        <v>0</v>
      </c>
      <c r="P21" s="191" t="s">
        <v>45</v>
      </c>
      <c r="Q21" s="192"/>
      <c r="R21" s="20">
        <f t="shared" si="0"/>
        <v>1</v>
      </c>
      <c r="S21" s="20">
        <f t="shared" si="1"/>
        <v>0</v>
      </c>
      <c r="T21" s="64"/>
    </row>
    <row r="22" spans="1:21" ht="15.75" thickBot="1" x14ac:dyDescent="0.3">
      <c r="A22" s="53">
        <v>44216</v>
      </c>
      <c r="D22" s="146">
        <v>0.14199999999999999</v>
      </c>
      <c r="E22" s="147">
        <v>6901.1270000000004</v>
      </c>
      <c r="F22" s="148">
        <v>326.61</v>
      </c>
      <c r="G22" s="149">
        <v>184.34800000000001</v>
      </c>
      <c r="H22" s="150"/>
      <c r="I22" s="150">
        <v>19975.500000003012</v>
      </c>
      <c r="J22" s="150">
        <v>989.46000000013555</v>
      </c>
      <c r="K22" s="151">
        <v>4.9533678756475998E-2</v>
      </c>
      <c r="L22" s="150">
        <v>149.04000000000565</v>
      </c>
      <c r="M22" s="152">
        <v>7.4611398963722146E-3</v>
      </c>
      <c r="N22" s="153">
        <v>66068309</v>
      </c>
      <c r="O22" s="153">
        <v>0</v>
      </c>
      <c r="P22" s="193"/>
      <c r="Q22" s="194"/>
      <c r="R22" s="20">
        <f t="shared" si="0"/>
        <v>1</v>
      </c>
      <c r="S22" s="20">
        <f t="shared" si="1"/>
        <v>0</v>
      </c>
      <c r="T22" s="64"/>
    </row>
    <row r="23" spans="1:21" ht="15.75" thickBot="1" x14ac:dyDescent="0.3">
      <c r="A23" s="53">
        <v>44217</v>
      </c>
      <c r="D23" s="146">
        <v>0.14199999999999999</v>
      </c>
      <c r="E23" s="147">
        <v>6906.085</v>
      </c>
      <c r="F23" s="148">
        <v>326.83800000000002</v>
      </c>
      <c r="G23" s="149">
        <v>184.39</v>
      </c>
      <c r="H23" s="150"/>
      <c r="I23" s="150">
        <v>20526.119999998464</v>
      </c>
      <c r="J23" s="150">
        <v>943.92000000003577</v>
      </c>
      <c r="K23" s="151">
        <v>4.5986284792260128E-2</v>
      </c>
      <c r="L23" s="150">
        <v>173.87999999988892</v>
      </c>
      <c r="M23" s="152">
        <v>8.4711577248842915E-3</v>
      </c>
      <c r="N23" s="153">
        <v>66068309</v>
      </c>
      <c r="O23" s="153">
        <v>0</v>
      </c>
      <c r="P23" s="68" t="s">
        <v>46</v>
      </c>
      <c r="Q23" s="68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3">
        <v>44218</v>
      </c>
      <c r="D24" s="146">
        <v>0.14199999999999999</v>
      </c>
      <c r="E24" s="147">
        <v>6910.9539999999997</v>
      </c>
      <c r="F24" s="148">
        <v>327.09800000000001</v>
      </c>
      <c r="G24" s="149">
        <v>184.43799999999999</v>
      </c>
      <c r="H24" s="150"/>
      <c r="I24" s="150">
        <v>20157.659999998705</v>
      </c>
      <c r="J24" s="150">
        <v>1076.3999999999623</v>
      </c>
      <c r="K24" s="151">
        <v>5.3399055247485644E-2</v>
      </c>
      <c r="L24" s="150">
        <v>198.72000000000753</v>
      </c>
      <c r="M24" s="152">
        <v>9.8582871226134527E-3</v>
      </c>
      <c r="N24" s="153">
        <v>66068309</v>
      </c>
      <c r="O24" s="153">
        <v>0</v>
      </c>
      <c r="P24" s="69">
        <f>IF(J3="",0,+SUM(J3:J33)/SUM(I3:I33))</f>
        <v>4.6229911845838773E-2</v>
      </c>
      <c r="Q24" s="69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3">
        <v>44219</v>
      </c>
      <c r="D25" s="146">
        <v>0.14199999999999999</v>
      </c>
      <c r="E25" s="147">
        <v>6915.616</v>
      </c>
      <c r="F25" s="148">
        <v>327.34500000000003</v>
      </c>
      <c r="G25" s="149">
        <v>184.483</v>
      </c>
      <c r="H25" s="150"/>
      <c r="I25" s="150">
        <v>19300.680000001084</v>
      </c>
      <c r="J25" s="150">
        <v>1022.5800000000584</v>
      </c>
      <c r="K25" s="151">
        <v>5.2981552981553028E-2</v>
      </c>
      <c r="L25" s="150">
        <v>186.30000000006589</v>
      </c>
      <c r="M25" s="152">
        <v>9.652509652512525E-3</v>
      </c>
      <c r="N25" s="153">
        <v>66068309</v>
      </c>
      <c r="O25" s="153">
        <v>0</v>
      </c>
      <c r="P25" s="70">
        <f>IF(J3="",0,+(+(LOOKUP(9.99999999999999E+307,E3:E33)-E2))/(+(LOOKUP(9.99999999999999E+307,D3:D33)-D2)))</f>
        <v>-1.3671031998562819</v>
      </c>
      <c r="Q25" s="70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3">
        <v>44220</v>
      </c>
      <c r="D26" s="146">
        <v>0.14199999999999999</v>
      </c>
      <c r="E26" s="147">
        <v>6920.41</v>
      </c>
      <c r="F26" s="148">
        <v>327.54199999999997</v>
      </c>
      <c r="G26" s="149">
        <v>184.53800000000001</v>
      </c>
      <c r="H26" s="150"/>
      <c r="I26" s="150">
        <v>19847.159999999458</v>
      </c>
      <c r="J26" s="150">
        <v>815.57999999977596</v>
      </c>
      <c r="K26" s="151">
        <v>4.1093032957853833E-2</v>
      </c>
      <c r="L26" s="150">
        <v>227.70000000002824</v>
      </c>
      <c r="M26" s="152">
        <v>1.1472674176055136E-2</v>
      </c>
      <c r="N26" s="153">
        <v>66068309</v>
      </c>
      <c r="O26" s="153">
        <v>0</v>
      </c>
      <c r="P26" s="71" t="s">
        <v>48</v>
      </c>
      <c r="Q26" s="72" t="s">
        <v>49</v>
      </c>
      <c r="R26" s="20">
        <f t="shared" si="0"/>
        <v>1</v>
      </c>
      <c r="S26" s="20">
        <f t="shared" si="1"/>
        <v>0</v>
      </c>
      <c r="T26" s="64"/>
    </row>
    <row r="27" spans="1:21" ht="15.75" thickBot="1" x14ac:dyDescent="0.3">
      <c r="A27" s="53">
        <v>44221</v>
      </c>
      <c r="D27" s="146">
        <v>0.14199999999999999</v>
      </c>
      <c r="E27" s="147">
        <v>6925.4880000000003</v>
      </c>
      <c r="F27" s="148">
        <v>327.80200000000002</v>
      </c>
      <c r="G27" s="149">
        <v>184.571</v>
      </c>
      <c r="H27" s="150"/>
      <c r="I27" s="150">
        <v>21022.920000001777</v>
      </c>
      <c r="J27" s="150">
        <v>1076.4000000001977</v>
      </c>
      <c r="K27" s="151">
        <v>5.1201260338721105E-2</v>
      </c>
      <c r="L27" s="150">
        <v>136.61999999994634</v>
      </c>
      <c r="M27" s="152">
        <v>6.4986215045262407E-3</v>
      </c>
      <c r="N27" s="153">
        <v>66068309</v>
      </c>
      <c r="O27" s="153">
        <v>0</v>
      </c>
      <c r="P27" s="73">
        <f>IF(N2="",0,+(LOOKUP(9.99999999999999E+307,N2:N33)-N2))</f>
        <v>0</v>
      </c>
      <c r="Q27" s="74">
        <f>IF(P27="",0,+P27/SUM(R3:R33))</f>
        <v>0</v>
      </c>
      <c r="R27" s="20">
        <f t="shared" si="0"/>
        <v>1</v>
      </c>
      <c r="S27" s="20">
        <f t="shared" si="1"/>
        <v>0</v>
      </c>
      <c r="T27" s="64"/>
    </row>
    <row r="28" spans="1:21" ht="15.75" thickBot="1" x14ac:dyDescent="0.3">
      <c r="A28" s="53">
        <v>44222</v>
      </c>
      <c r="D28" s="146">
        <v>0.14199999999999999</v>
      </c>
      <c r="E28" s="147">
        <v>6930.433</v>
      </c>
      <c r="F28" s="148">
        <v>328.00400000000002</v>
      </c>
      <c r="G28" s="149">
        <v>184.61</v>
      </c>
      <c r="H28" s="150"/>
      <c r="I28" s="150">
        <v>20472.299999998795</v>
      </c>
      <c r="J28" s="150">
        <v>836.27999999999247</v>
      </c>
      <c r="K28" s="151">
        <v>4.0849342770477262E-2</v>
      </c>
      <c r="L28" s="150">
        <v>161.46000000006495</v>
      </c>
      <c r="M28" s="152">
        <v>7.8867542972736061E-3</v>
      </c>
      <c r="N28" s="153">
        <v>66068309</v>
      </c>
      <c r="O28" s="153">
        <v>0</v>
      </c>
      <c r="P28" s="75" t="s">
        <v>50</v>
      </c>
      <c r="Q28" s="76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3">
        <v>44223</v>
      </c>
      <c r="D29" s="146">
        <v>0.14199999999999999</v>
      </c>
      <c r="E29" s="147">
        <v>6935.5</v>
      </c>
      <c r="F29" s="148">
        <v>328.21600000000001</v>
      </c>
      <c r="G29" s="149">
        <v>184.66200000000001</v>
      </c>
      <c r="H29" s="150"/>
      <c r="I29" s="150">
        <v>20977.38000000003</v>
      </c>
      <c r="J29" s="150">
        <v>877.67999999995482</v>
      </c>
      <c r="K29" s="151">
        <v>4.1839352674163957E-2</v>
      </c>
      <c r="L29" s="150">
        <v>215.27999999996894</v>
      </c>
      <c r="M29" s="152">
        <v>1.0262482731397755E-2</v>
      </c>
      <c r="N29" s="153">
        <v>66068309</v>
      </c>
      <c r="O29" s="153">
        <v>0</v>
      </c>
      <c r="P29" s="77">
        <f>IF(D3="",0,+(LOOKUP(9.99999999999999E+307,D2:D33)-D2))*4140</f>
        <v>-20394944.100000001</v>
      </c>
      <c r="Q29" s="78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3">
        <v>44224</v>
      </c>
      <c r="D30" s="146">
        <v>0.14199999999999999</v>
      </c>
      <c r="E30" s="147">
        <v>6940.4390000000003</v>
      </c>
      <c r="F30" s="148">
        <v>328.416</v>
      </c>
      <c r="G30" s="149">
        <v>184.72200000000001</v>
      </c>
      <c r="H30" s="150"/>
      <c r="I30" s="150">
        <v>20447.460000001265</v>
      </c>
      <c r="J30" s="150">
        <v>827.99999999995293</v>
      </c>
      <c r="K30" s="151">
        <v>4.0494027130993371E-2</v>
      </c>
      <c r="L30" s="150">
        <v>248.40000000000941</v>
      </c>
      <c r="M30" s="152">
        <v>1.2148208139299161E-2</v>
      </c>
      <c r="N30" s="153">
        <v>66068309</v>
      </c>
      <c r="O30" s="153">
        <v>0</v>
      </c>
      <c r="P30" s="79" t="s">
        <v>52</v>
      </c>
      <c r="Q30" s="80" t="s">
        <v>53</v>
      </c>
      <c r="R30" s="20">
        <f t="shared" si="0"/>
        <v>1</v>
      </c>
      <c r="S30" s="20">
        <f t="shared" si="1"/>
        <v>0</v>
      </c>
      <c r="T30" s="64"/>
    </row>
    <row r="31" spans="1:21" ht="15.75" thickBot="1" x14ac:dyDescent="0.3">
      <c r="A31" s="53">
        <v>44225</v>
      </c>
      <c r="D31" s="146">
        <v>0.14199999999999999</v>
      </c>
      <c r="E31" s="147">
        <v>6945.5259999999998</v>
      </c>
      <c r="F31" s="148">
        <v>328.65699999999998</v>
      </c>
      <c r="G31" s="149">
        <v>184.76900000000001</v>
      </c>
      <c r="H31" s="150"/>
      <c r="I31" s="150">
        <v>21060.179999998072</v>
      </c>
      <c r="J31" s="150">
        <v>997.73999999993976</v>
      </c>
      <c r="K31" s="151">
        <v>4.7375663455869375E-2</v>
      </c>
      <c r="L31" s="150">
        <v>194.57999999998776</v>
      </c>
      <c r="M31" s="152">
        <v>9.2392372714765764E-3</v>
      </c>
      <c r="N31" s="153">
        <v>66068309</v>
      </c>
      <c r="O31" s="153">
        <v>0</v>
      </c>
      <c r="P31" s="81">
        <f>P29*Q34</f>
        <v>-11625118.137</v>
      </c>
      <c r="Q31" s="82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4"/>
      <c r="U31" s="83"/>
    </row>
    <row r="32" spans="1:21" ht="13.5" customHeight="1" thickBot="1" x14ac:dyDescent="0.3">
      <c r="A32" s="53">
        <v>44226</v>
      </c>
      <c r="D32" s="146">
        <v>0.14199999999999999</v>
      </c>
      <c r="E32" s="147">
        <v>6950.31</v>
      </c>
      <c r="F32" s="148">
        <v>328.78199999999998</v>
      </c>
      <c r="G32" s="149">
        <v>184.81</v>
      </c>
      <c r="H32" s="150"/>
      <c r="I32" s="150">
        <v>19805.760000002319</v>
      </c>
      <c r="J32" s="150">
        <v>517.5</v>
      </c>
      <c r="K32" s="151">
        <v>2.612876254180296E-2</v>
      </c>
      <c r="L32" s="150">
        <v>169.73999999998682</v>
      </c>
      <c r="M32" s="152">
        <v>8.5702341137107053E-3</v>
      </c>
      <c r="N32" s="153">
        <v>66068309</v>
      </c>
      <c r="O32" s="153">
        <v>0</v>
      </c>
      <c r="P32" s="84" t="s">
        <v>54</v>
      </c>
      <c r="Q32" s="85" t="s">
        <v>55</v>
      </c>
      <c r="R32" s="20">
        <f t="shared" si="0"/>
        <v>1</v>
      </c>
      <c r="S32" s="20">
        <f t="shared" si="1"/>
        <v>0</v>
      </c>
      <c r="T32" s="64"/>
      <c r="U32" s="83"/>
    </row>
    <row r="33" spans="1:20" ht="15.75" thickBot="1" x14ac:dyDescent="0.3">
      <c r="A33" s="53">
        <v>44227</v>
      </c>
      <c r="B33" s="86"/>
      <c r="C33" s="87"/>
      <c r="D33" s="154">
        <v>0.14199999999999999</v>
      </c>
      <c r="E33" s="154">
        <v>6954.8010000000004</v>
      </c>
      <c r="F33" s="154">
        <v>329.08600000000001</v>
      </c>
      <c r="G33" s="154">
        <v>184.857</v>
      </c>
      <c r="H33" s="155"/>
      <c r="I33" s="155">
        <v>18592.73999999994</v>
      </c>
      <c r="J33" s="155">
        <v>1258.5600000001261</v>
      </c>
      <c r="K33" s="156">
        <v>6.7690937430423398E-2</v>
      </c>
      <c r="L33" s="155">
        <v>194.57999999998776</v>
      </c>
      <c r="M33" s="156">
        <v>1.0465375194833489E-2</v>
      </c>
      <c r="N33" s="157">
        <v>66068309</v>
      </c>
      <c r="O33" s="158">
        <v>0</v>
      </c>
      <c r="P33" s="92">
        <f>(P31+Q29*SUM(S3:S33)*Q34)</f>
        <v>-11625118.137</v>
      </c>
      <c r="Q33" s="93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3">
        <v>44228</v>
      </c>
      <c r="D34" s="146">
        <v>0.14199999999999999</v>
      </c>
      <c r="E34" s="147">
        <v>6959.6890000000003</v>
      </c>
      <c r="F34" s="148">
        <v>329.34699999999998</v>
      </c>
      <c r="G34" s="149">
        <v>184.89</v>
      </c>
      <c r="H34" s="150"/>
      <c r="I34" s="150">
        <v>20236.319999999669</v>
      </c>
      <c r="J34" s="150">
        <v>1080.5399999998644</v>
      </c>
      <c r="K34" s="151">
        <v>5.3396072013087464E-2</v>
      </c>
      <c r="L34" s="150">
        <v>136.61999999994634</v>
      </c>
      <c r="M34" s="152">
        <v>6.7512274959058063E-3</v>
      </c>
      <c r="N34" s="153">
        <v>66068309</v>
      </c>
      <c r="O34" s="153">
        <v>0</v>
      </c>
      <c r="P34" s="94" t="s">
        <v>56</v>
      </c>
      <c r="Q34" s="95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3">
        <v>44229</v>
      </c>
      <c r="D35" s="146">
        <v>0.14199999999999999</v>
      </c>
      <c r="E35" s="147">
        <v>6964.4989999999998</v>
      </c>
      <c r="F35" s="148">
        <v>329.51900000000001</v>
      </c>
      <c r="G35" s="149">
        <v>184.91900000000001</v>
      </c>
      <c r="H35" s="150"/>
      <c r="I35" s="150">
        <v>19913.399999997891</v>
      </c>
      <c r="J35" s="150">
        <v>712.08000000010543</v>
      </c>
      <c r="K35" s="151">
        <v>3.5758835758844837E-2</v>
      </c>
      <c r="L35" s="150">
        <v>120.0600000001026</v>
      </c>
      <c r="M35" s="152">
        <v>6.0291060291118199E-3</v>
      </c>
      <c r="N35" s="153">
        <v>66068309</v>
      </c>
      <c r="O35" s="153">
        <v>0</v>
      </c>
      <c r="P35" s="96"/>
      <c r="Q35" s="97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3">
        <v>44230</v>
      </c>
      <c r="D36" s="146">
        <v>0.14199999999999999</v>
      </c>
      <c r="E36" s="147">
        <v>6969.5690000000004</v>
      </c>
      <c r="F36" s="148">
        <v>329.82900000000001</v>
      </c>
      <c r="G36" s="149">
        <v>184.96700000000001</v>
      </c>
      <c r="H36" s="150"/>
      <c r="I36" s="150">
        <v>20989.80000000256</v>
      </c>
      <c r="J36" s="150">
        <v>1283.4000000000094</v>
      </c>
      <c r="K36" s="151">
        <v>6.114398422090029E-2</v>
      </c>
      <c r="L36" s="150">
        <v>198.72000000000753</v>
      </c>
      <c r="M36" s="152">
        <v>9.467455621300979E-3</v>
      </c>
      <c r="N36" s="153">
        <v>66068309</v>
      </c>
      <c r="O36" s="153">
        <v>0</v>
      </c>
      <c r="P36" s="98"/>
      <c r="Q36" s="99"/>
      <c r="R36" s="20">
        <f t="shared" si="0"/>
        <v>1</v>
      </c>
      <c r="S36" s="20">
        <f t="shared" si="1"/>
        <v>0</v>
      </c>
      <c r="T36" s="64"/>
    </row>
    <row r="37" spans="1:20" ht="15.75" thickBot="1" x14ac:dyDescent="0.3">
      <c r="A37" s="53">
        <v>44231</v>
      </c>
      <c r="D37" s="146">
        <v>0.14199999999999999</v>
      </c>
      <c r="E37" s="147">
        <v>6974.4859999999999</v>
      </c>
      <c r="F37" s="148">
        <v>329.98700000000002</v>
      </c>
      <c r="G37" s="149">
        <v>185.077</v>
      </c>
      <c r="H37" s="150"/>
      <c r="I37" s="150">
        <v>20356.379999997771</v>
      </c>
      <c r="J37" s="150">
        <v>654.12000000006401</v>
      </c>
      <c r="K37" s="151">
        <v>3.2133414683756918E-2</v>
      </c>
      <c r="L37" s="150">
        <v>455.39999999993881</v>
      </c>
      <c r="M37" s="152">
        <v>2.2371364653243291E-2</v>
      </c>
      <c r="N37" s="153">
        <v>66068309</v>
      </c>
      <c r="O37" s="153">
        <v>0</v>
      </c>
      <c r="P37" s="100"/>
      <c r="Q37" s="101"/>
      <c r="R37" s="20">
        <f t="shared" si="0"/>
        <v>1</v>
      </c>
      <c r="S37" s="20">
        <f t="shared" si="1"/>
        <v>0</v>
      </c>
      <c r="T37" s="64"/>
    </row>
    <row r="38" spans="1:20" ht="15.75" thickBot="1" x14ac:dyDescent="0.3">
      <c r="A38" s="53">
        <v>44232</v>
      </c>
      <c r="D38" s="146">
        <v>0.14199999999999999</v>
      </c>
      <c r="E38" s="147">
        <v>6979.4279999999999</v>
      </c>
      <c r="F38" s="148">
        <v>330.24400000000003</v>
      </c>
      <c r="G38" s="149">
        <v>185.119</v>
      </c>
      <c r="H38" s="150"/>
      <c r="I38" s="150">
        <v>20459.88000000003</v>
      </c>
      <c r="J38" s="150">
        <v>1063.9800000000207</v>
      </c>
      <c r="K38" s="151">
        <v>5.2003237555646425E-2</v>
      </c>
      <c r="L38" s="150">
        <v>173.88000000000659</v>
      </c>
      <c r="M38" s="152">
        <v>8.4985835694054088E-3</v>
      </c>
      <c r="N38" s="153">
        <v>66068309</v>
      </c>
      <c r="O38" s="153">
        <v>0</v>
      </c>
      <c r="P38" s="100"/>
      <c r="Q38" s="99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3">
        <v>44233</v>
      </c>
      <c r="D39" s="146">
        <v>0.14199999999999999</v>
      </c>
      <c r="E39" s="147">
        <v>6983.8919999999998</v>
      </c>
      <c r="F39" s="148">
        <v>330.495</v>
      </c>
      <c r="G39" s="149">
        <v>185.148</v>
      </c>
      <c r="H39" s="150"/>
      <c r="I39" s="150">
        <v>18480.959999999759</v>
      </c>
      <c r="J39" s="150">
        <v>1039.1399999999021</v>
      </c>
      <c r="K39" s="151">
        <v>5.6227598566303681E-2</v>
      </c>
      <c r="L39" s="150">
        <v>120.05999999998494</v>
      </c>
      <c r="M39" s="152">
        <v>6.4964157706085884E-3</v>
      </c>
      <c r="N39" s="153">
        <v>66068309</v>
      </c>
      <c r="O39" s="153">
        <v>0</v>
      </c>
      <c r="P39" s="61"/>
      <c r="Q39" s="102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3">
        <v>44234</v>
      </c>
      <c r="D40" s="146">
        <v>0.14199999999999999</v>
      </c>
      <c r="E40" s="147">
        <v>6988.6379999999999</v>
      </c>
      <c r="F40" s="148">
        <v>330.70699999999999</v>
      </c>
      <c r="G40" s="149">
        <v>185.19200000000001</v>
      </c>
      <c r="H40" s="150"/>
      <c r="I40" s="150">
        <v>19648.440000000392</v>
      </c>
      <c r="J40" s="150">
        <v>877.67999999995482</v>
      </c>
      <c r="K40" s="151">
        <v>4.46691951116698E-2</v>
      </c>
      <c r="L40" s="150">
        <v>182.16000000004613</v>
      </c>
      <c r="M40" s="152">
        <v>9.2709650231795754E-3</v>
      </c>
      <c r="N40" s="153">
        <v>66068309</v>
      </c>
      <c r="O40" s="153">
        <v>0</v>
      </c>
      <c r="P40" s="61"/>
      <c r="Q40" s="102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3">
        <v>44235</v>
      </c>
      <c r="D41" s="146">
        <v>0.14199999999999999</v>
      </c>
      <c r="E41" s="147">
        <v>6993.3379999999997</v>
      </c>
      <c r="F41" s="148">
        <v>330.85199999999998</v>
      </c>
      <c r="G41" s="149">
        <v>185.26300000000001</v>
      </c>
      <c r="H41" s="150"/>
      <c r="I41" s="150">
        <v>19457.999999999247</v>
      </c>
      <c r="J41" s="150">
        <v>600.29999999992469</v>
      </c>
      <c r="K41" s="151">
        <v>3.0851063829784559E-2</v>
      </c>
      <c r="L41" s="150">
        <v>293.93999999999153</v>
      </c>
      <c r="M41" s="152">
        <v>1.5106382978723553E-2</v>
      </c>
      <c r="N41" s="153">
        <v>66068309</v>
      </c>
      <c r="O41" s="153">
        <v>0</v>
      </c>
      <c r="P41" s="61"/>
      <c r="Q41" s="102"/>
      <c r="R41" s="20">
        <f t="shared" si="0"/>
        <v>1</v>
      </c>
      <c r="S41" s="20">
        <f t="shared" si="1"/>
        <v>0</v>
      </c>
      <c r="T41" s="64"/>
    </row>
    <row r="42" spans="1:20" ht="15.75" thickBot="1" x14ac:dyDescent="0.3">
      <c r="A42" s="53">
        <v>44236</v>
      </c>
      <c r="D42" s="146">
        <v>0.14199999999999999</v>
      </c>
      <c r="E42" s="147">
        <v>6998.2250000000004</v>
      </c>
      <c r="F42" s="148">
        <v>331.012</v>
      </c>
      <c r="G42" s="149">
        <v>185.31800000000001</v>
      </c>
      <c r="H42" s="150"/>
      <c r="I42" s="150">
        <v>20232.180000002591</v>
      </c>
      <c r="J42" s="150">
        <v>662.40000000010355</v>
      </c>
      <c r="K42" s="151">
        <v>3.2739922242685598E-2</v>
      </c>
      <c r="L42" s="150">
        <v>227.70000000002824</v>
      </c>
      <c r="M42" s="152">
        <v>1.1254348270922811E-2</v>
      </c>
      <c r="N42" s="153">
        <v>66068309</v>
      </c>
      <c r="O42" s="153">
        <v>0</v>
      </c>
      <c r="P42" s="61"/>
      <c r="Q42" s="102"/>
      <c r="R42" s="20">
        <f t="shared" si="0"/>
        <v>1</v>
      </c>
      <c r="S42" s="20">
        <f t="shared" si="1"/>
        <v>0</v>
      </c>
      <c r="T42" s="64"/>
    </row>
    <row r="43" spans="1:20" ht="15.75" thickBot="1" x14ac:dyDescent="0.3">
      <c r="A43" s="53">
        <v>44237</v>
      </c>
      <c r="D43" s="146">
        <v>0.14199999999999999</v>
      </c>
      <c r="E43" s="147">
        <v>7002.27</v>
      </c>
      <c r="F43" s="148">
        <v>331.10599999999999</v>
      </c>
      <c r="G43" s="149">
        <v>185.46299999999999</v>
      </c>
      <c r="H43" s="150"/>
      <c r="I43" s="150">
        <v>16746.300000000301</v>
      </c>
      <c r="J43" s="150">
        <v>389.15999999997553</v>
      </c>
      <c r="K43" s="151">
        <v>2.3238566131024079E-2</v>
      </c>
      <c r="L43" s="150">
        <v>600.29999999992469</v>
      </c>
      <c r="M43" s="152">
        <v>3.5846724351045536E-2</v>
      </c>
      <c r="N43" s="153">
        <v>66068309</v>
      </c>
      <c r="O43" s="153">
        <v>0</v>
      </c>
      <c r="P43" s="61"/>
      <c r="Q43" s="102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3">
        <v>44238</v>
      </c>
      <c r="D44" s="146">
        <v>0.14199999999999999</v>
      </c>
      <c r="E44" s="147">
        <v>7007.9560000000001</v>
      </c>
      <c r="F44" s="148">
        <v>331.31900000000002</v>
      </c>
      <c r="G44" s="149">
        <v>185.536</v>
      </c>
      <c r="H44" s="150"/>
      <c r="I44" s="150">
        <v>23540.039999998735</v>
      </c>
      <c r="J44" s="150">
        <v>881.82000000009225</v>
      </c>
      <c r="K44" s="151">
        <v>3.7460429124170545E-2</v>
      </c>
      <c r="L44" s="150">
        <v>302.22000000003106</v>
      </c>
      <c r="M44" s="152">
        <v>1.2838550826593638E-2</v>
      </c>
      <c r="N44" s="153">
        <v>66068309</v>
      </c>
      <c r="O44" s="153">
        <v>0</v>
      </c>
      <c r="P44" s="61"/>
      <c r="Q44" s="102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3">
        <v>44239</v>
      </c>
      <c r="D45" s="146">
        <v>0.14199999999999999</v>
      </c>
      <c r="E45" s="147">
        <v>7013.1559999999999</v>
      </c>
      <c r="F45" s="148">
        <v>331.47899999999998</v>
      </c>
      <c r="G45" s="149">
        <v>185.636</v>
      </c>
      <c r="H45" s="150"/>
      <c r="I45" s="150">
        <v>21527.999999999247</v>
      </c>
      <c r="J45" s="150">
        <v>662.39999999986821</v>
      </c>
      <c r="K45" s="151">
        <v>3.0769230769225723E-2</v>
      </c>
      <c r="L45" s="150">
        <v>413.99999999997647</v>
      </c>
      <c r="M45" s="152">
        <v>1.9230769230768812E-2</v>
      </c>
      <c r="N45" s="153">
        <v>66068309</v>
      </c>
      <c r="O45" s="153">
        <v>0</v>
      </c>
      <c r="P45" s="61"/>
      <c r="Q45" s="102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3">
        <v>44240</v>
      </c>
      <c r="D46" s="146">
        <v>0.14199999999999999</v>
      </c>
      <c r="E46" s="147">
        <v>7018.23</v>
      </c>
      <c r="F46" s="148">
        <v>331.69</v>
      </c>
      <c r="G46" s="149">
        <v>185.68700000000001</v>
      </c>
      <c r="H46" s="150"/>
      <c r="I46" s="150">
        <v>21006.359999998404</v>
      </c>
      <c r="J46" s="150">
        <v>873.54000000005271</v>
      </c>
      <c r="K46" s="151">
        <v>4.1584548679548437E-2</v>
      </c>
      <c r="L46" s="150">
        <v>211.14000000006683</v>
      </c>
      <c r="M46" s="152">
        <v>1.0051241623969259E-2</v>
      </c>
      <c r="N46" s="153">
        <v>66068309</v>
      </c>
      <c r="O46" s="153">
        <v>0</v>
      </c>
      <c r="P46" s="61"/>
      <c r="Q46" s="102"/>
      <c r="R46" s="20">
        <f t="shared" si="0"/>
        <v>1</v>
      </c>
      <c r="S46" s="20">
        <f t="shared" si="1"/>
        <v>0</v>
      </c>
      <c r="T46" s="64"/>
    </row>
    <row r="47" spans="1:20" ht="15.75" thickBot="1" x14ac:dyDescent="0.3">
      <c r="A47" s="53">
        <v>44241</v>
      </c>
      <c r="D47" s="146">
        <v>0.14199999999999999</v>
      </c>
      <c r="E47" s="147">
        <v>7023.33</v>
      </c>
      <c r="F47" s="148">
        <v>331.86</v>
      </c>
      <c r="G47" s="149">
        <v>185.76</v>
      </c>
      <c r="H47" s="150"/>
      <c r="I47" s="150">
        <v>21114.000000001506</v>
      </c>
      <c r="J47" s="150">
        <v>703.80000000006589</v>
      </c>
      <c r="K47" s="151">
        <v>3.3333333333334075E-2</v>
      </c>
      <c r="L47" s="150">
        <v>302.2199999999134</v>
      </c>
      <c r="M47" s="152">
        <v>1.4313725490190955E-2</v>
      </c>
      <c r="N47" s="153">
        <v>66068309</v>
      </c>
      <c r="O47" s="153">
        <v>0</v>
      </c>
      <c r="P47" s="61"/>
      <c r="Q47" s="102"/>
      <c r="R47" s="20">
        <f t="shared" si="0"/>
        <v>1</v>
      </c>
      <c r="S47" s="20">
        <f t="shared" si="1"/>
        <v>0</v>
      </c>
      <c r="T47" s="64"/>
    </row>
    <row r="48" spans="1:20" ht="15.75" thickBot="1" x14ac:dyDescent="0.3">
      <c r="A48" s="53">
        <v>44242</v>
      </c>
      <c r="D48" s="146">
        <v>0.14199999999999999</v>
      </c>
      <c r="E48" s="147">
        <v>7028.53</v>
      </c>
      <c r="F48" s="148">
        <v>332.041</v>
      </c>
      <c r="G48" s="149">
        <v>185.84</v>
      </c>
      <c r="H48" s="150"/>
      <c r="I48" s="150">
        <v>21527.999999999247</v>
      </c>
      <c r="J48" s="150">
        <v>749.33999999993034</v>
      </c>
      <c r="K48" s="151">
        <v>3.4807692307690291E-2</v>
      </c>
      <c r="L48" s="150">
        <v>331.20000000005177</v>
      </c>
      <c r="M48" s="152">
        <v>1.5384615384618328E-2</v>
      </c>
      <c r="N48" s="153">
        <v>66068309</v>
      </c>
      <c r="O48" s="153">
        <v>0</v>
      </c>
      <c r="P48" s="66"/>
      <c r="Q48" s="103"/>
      <c r="R48" s="20">
        <f t="shared" si="0"/>
        <v>1</v>
      </c>
      <c r="S48" s="20">
        <f>IF(N48="",1,0)</f>
        <v>0</v>
      </c>
    </row>
    <row r="49" spans="1:20" ht="15.75" thickBot="1" x14ac:dyDescent="0.3">
      <c r="A49" s="53">
        <v>44243</v>
      </c>
      <c r="D49" s="146">
        <v>0.14199999999999999</v>
      </c>
      <c r="E49" s="147">
        <v>7033.6080000000002</v>
      </c>
      <c r="F49" s="148">
        <v>332.22</v>
      </c>
      <c r="G49" s="149">
        <v>185.916</v>
      </c>
      <c r="H49" s="150"/>
      <c r="I49" s="150">
        <v>21022.920000001777</v>
      </c>
      <c r="J49" s="150">
        <v>741.06000000012614</v>
      </c>
      <c r="K49" s="151">
        <v>3.5250098463965207E-2</v>
      </c>
      <c r="L49" s="150">
        <v>314.6399999999727</v>
      </c>
      <c r="M49" s="152">
        <v>1.4966522252852891E-2</v>
      </c>
      <c r="N49" s="153">
        <v>66068309</v>
      </c>
      <c r="O49" s="153">
        <v>0</v>
      </c>
      <c r="P49" s="191" t="s">
        <v>57</v>
      </c>
      <c r="Q49" s="19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3">
        <v>44244</v>
      </c>
      <c r="D50" s="146">
        <v>0.14199999999999999</v>
      </c>
      <c r="E50" s="147">
        <v>7038.723</v>
      </c>
      <c r="F50" s="148">
        <v>332.43</v>
      </c>
      <c r="G50" s="149">
        <v>185.96799999999999</v>
      </c>
      <c r="H50" s="150"/>
      <c r="I50" s="150">
        <v>21176.099999999096</v>
      </c>
      <c r="J50" s="150">
        <v>869.39999999991528</v>
      </c>
      <c r="K50" s="151">
        <v>4.1055718475071064E-2</v>
      </c>
      <c r="L50" s="150">
        <v>215.27999999996894</v>
      </c>
      <c r="M50" s="152">
        <v>1.0166177908112358E-2</v>
      </c>
      <c r="N50" s="153">
        <v>66068309</v>
      </c>
      <c r="O50" s="153">
        <v>0</v>
      </c>
      <c r="P50" s="193"/>
      <c r="Q50" s="19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3">
        <v>44245</v>
      </c>
      <c r="D51" s="146">
        <v>0.14199999999999999</v>
      </c>
      <c r="E51" s="147">
        <v>7043.9219999999996</v>
      </c>
      <c r="F51" s="148">
        <v>332.60399999999998</v>
      </c>
      <c r="G51" s="149">
        <v>186.03100000000001</v>
      </c>
      <c r="H51" s="150"/>
      <c r="I51" s="150">
        <v>21523.859999998404</v>
      </c>
      <c r="J51" s="150">
        <v>720.35999999990963</v>
      </c>
      <c r="K51" s="151">
        <v>3.3467974610500301E-2</v>
      </c>
      <c r="L51" s="150">
        <v>260.82000000006872</v>
      </c>
      <c r="M51" s="152">
        <v>1.2117714945185857E-2</v>
      </c>
      <c r="N51" s="153">
        <v>66068309</v>
      </c>
      <c r="O51" s="153">
        <v>0</v>
      </c>
      <c r="P51" s="68" t="s">
        <v>46</v>
      </c>
      <c r="Q51" s="68" t="s">
        <v>47</v>
      </c>
      <c r="R51" s="20">
        <f t="shared" si="0"/>
        <v>1</v>
      </c>
      <c r="S51" s="20">
        <f t="shared" si="1"/>
        <v>0</v>
      </c>
      <c r="T51" s="64"/>
    </row>
    <row r="52" spans="1:20" ht="15.75" thickBot="1" x14ac:dyDescent="0.3">
      <c r="A52" s="53">
        <v>44246</v>
      </c>
      <c r="D52" s="146">
        <v>0.14199999999999999</v>
      </c>
      <c r="E52" s="147">
        <v>7049.3530000000001</v>
      </c>
      <c r="F52" s="148">
        <v>332.73200000000003</v>
      </c>
      <c r="G52" s="149">
        <v>186.15700000000001</v>
      </c>
      <c r="H52" s="150"/>
      <c r="I52" s="150">
        <v>22484.340000002048</v>
      </c>
      <c r="J52" s="150">
        <v>529.92000000017697</v>
      </c>
      <c r="K52" s="151">
        <v>2.3568403608917526E-2</v>
      </c>
      <c r="L52" s="150">
        <v>521.64000000001977</v>
      </c>
      <c r="M52" s="152">
        <v>2.3200147302521321E-2</v>
      </c>
      <c r="N52" s="153">
        <v>66068309</v>
      </c>
      <c r="O52" s="153">
        <v>0</v>
      </c>
      <c r="P52" s="69">
        <f>IF(J34="",0,+SUM(J34:J61)/SUM(I34:I61))</f>
        <v>3.8431624389025552E-2</v>
      </c>
      <c r="Q52" s="69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4"/>
    </row>
    <row r="53" spans="1:20" ht="15.75" thickBot="1" x14ac:dyDescent="0.3">
      <c r="A53" s="53">
        <v>44247</v>
      </c>
      <c r="D53" s="146">
        <v>0.14199999999999999</v>
      </c>
      <c r="E53" s="147">
        <v>7054.1390000000001</v>
      </c>
      <c r="F53" s="148">
        <v>332.90699999999998</v>
      </c>
      <c r="G53" s="149">
        <v>186.21100000000001</v>
      </c>
      <c r="H53" s="150"/>
      <c r="I53" s="150">
        <v>19814.040000000241</v>
      </c>
      <c r="J53" s="150">
        <v>724.49999999981173</v>
      </c>
      <c r="K53" s="151">
        <v>3.6564981195142579E-2</v>
      </c>
      <c r="L53" s="150">
        <v>223.56000000000847</v>
      </c>
      <c r="M53" s="152">
        <v>1.1282908483075928E-2</v>
      </c>
      <c r="N53" s="153">
        <v>66068309</v>
      </c>
      <c r="O53" s="153">
        <v>0</v>
      </c>
      <c r="P53" s="70" t="e">
        <f>IF(J34="",0,+(+(LOOKUP(9.99999999999999E+307,E34:E61)-E33))/(+(LOOKUP(9.99999999999999E+307,D34:D61)-D33)))</f>
        <v>#DIV/0!</v>
      </c>
      <c r="Q53" s="70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3">
        <v>44248</v>
      </c>
      <c r="D54" s="146">
        <v>0.14199999999999999</v>
      </c>
      <c r="E54" s="147">
        <v>7058.82</v>
      </c>
      <c r="F54" s="148">
        <v>333.08199999999999</v>
      </c>
      <c r="G54" s="149">
        <v>186.25</v>
      </c>
      <c r="H54" s="150"/>
      <c r="I54" s="150">
        <v>19379.339999998283</v>
      </c>
      <c r="J54" s="150">
        <v>724.50000000004707</v>
      </c>
      <c r="K54" s="151">
        <v>3.7385174108102298E-2</v>
      </c>
      <c r="L54" s="150">
        <v>161.45999999994729</v>
      </c>
      <c r="M54" s="152">
        <v>8.3315530869452516E-3</v>
      </c>
      <c r="N54" s="153">
        <v>66068309</v>
      </c>
      <c r="O54" s="153">
        <v>0</v>
      </c>
      <c r="P54" s="71" t="s">
        <v>48</v>
      </c>
      <c r="Q54" s="72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3">
        <v>44249</v>
      </c>
      <c r="D55" s="146">
        <v>0.14199999999999999</v>
      </c>
      <c r="E55" s="147">
        <v>7063.9589999999998</v>
      </c>
      <c r="F55" s="148">
        <v>333.26100000000002</v>
      </c>
      <c r="G55" s="149">
        <v>186.30600000000001</v>
      </c>
      <c r="H55" s="150"/>
      <c r="I55" s="150">
        <v>21275.460000000512</v>
      </c>
      <c r="J55" s="150">
        <v>741.06000000012614</v>
      </c>
      <c r="K55" s="151">
        <v>3.483167931504693E-2</v>
      </c>
      <c r="L55" s="150">
        <v>231.84000000004801</v>
      </c>
      <c r="M55" s="152">
        <v>1.0897061685154748E-2</v>
      </c>
      <c r="N55" s="153">
        <v>66068309</v>
      </c>
      <c r="O55" s="153">
        <v>0</v>
      </c>
      <c r="P55" s="73">
        <f>IF(N33="",0,+(LOOKUP(9.99999999999999E+307,N33:N61)-N33))</f>
        <v>0</v>
      </c>
      <c r="Q55" s="74">
        <f>IF(P55="",0,+P55/SUM(R34:R61))</f>
        <v>0</v>
      </c>
      <c r="R55" s="20">
        <f t="shared" si="0"/>
        <v>1</v>
      </c>
      <c r="S55" s="20">
        <f t="shared" si="1"/>
        <v>0</v>
      </c>
      <c r="T55" s="64"/>
    </row>
    <row r="56" spans="1:20" ht="15.75" thickBot="1" x14ac:dyDescent="0.3">
      <c r="A56" s="53">
        <v>44250</v>
      </c>
      <c r="D56" s="146">
        <v>0.14199999999999999</v>
      </c>
      <c r="E56" s="147">
        <v>7069.058</v>
      </c>
      <c r="F56" s="148">
        <v>333.45699999999999</v>
      </c>
      <c r="G56" s="149">
        <v>186.36600000000001</v>
      </c>
      <c r="H56" s="150"/>
      <c r="I56" s="150">
        <v>21109.860000000663</v>
      </c>
      <c r="J56" s="150">
        <v>811.43999999987386</v>
      </c>
      <c r="K56" s="151">
        <v>3.8438909590108525E-2</v>
      </c>
      <c r="L56" s="150">
        <v>248.40000000000941</v>
      </c>
      <c r="M56" s="152">
        <v>1.1767013139831415E-2</v>
      </c>
      <c r="N56" s="153">
        <v>66068309</v>
      </c>
      <c r="O56" s="153">
        <v>0</v>
      </c>
      <c r="P56" s="75" t="s">
        <v>50</v>
      </c>
      <c r="Q56" s="76" t="s">
        <v>58</v>
      </c>
      <c r="R56" s="20">
        <f t="shared" si="0"/>
        <v>1</v>
      </c>
      <c r="S56" s="20">
        <f t="shared" si="1"/>
        <v>0</v>
      </c>
      <c r="T56" s="64"/>
    </row>
    <row r="57" spans="1:20" ht="15.75" thickBot="1" x14ac:dyDescent="0.3">
      <c r="A57" s="53">
        <v>44251</v>
      </c>
      <c r="D57" s="146">
        <v>0.14199999999999999</v>
      </c>
      <c r="E57" s="147">
        <v>7074.5020000000004</v>
      </c>
      <c r="F57" s="148">
        <v>333.69299999999998</v>
      </c>
      <c r="G57" s="149">
        <v>186.435</v>
      </c>
      <c r="H57" s="150"/>
      <c r="I57" s="150">
        <v>22538.160000001717</v>
      </c>
      <c r="J57" s="150">
        <v>977.03999999995858</v>
      </c>
      <c r="K57" s="151">
        <v>4.3350477590002205E-2</v>
      </c>
      <c r="L57" s="150">
        <v>285.65999999995199</v>
      </c>
      <c r="M57" s="152">
        <v>1.267450404114312E-2</v>
      </c>
      <c r="N57" s="153">
        <v>66068309</v>
      </c>
      <c r="O57" s="153">
        <v>0</v>
      </c>
      <c r="P57" s="77">
        <f>IF(D33="",0,+(LOOKUP(9.99999999999999E+307,D33:D62)-D33))*4140</f>
        <v>0</v>
      </c>
      <c r="Q57" s="78">
        <f>IF(P57="",0,+P57/SUM(R34:R62))</f>
        <v>0</v>
      </c>
      <c r="R57" s="20">
        <f t="shared" si="0"/>
        <v>1</v>
      </c>
      <c r="S57" s="20">
        <f t="shared" si="1"/>
        <v>0</v>
      </c>
      <c r="T57" s="64"/>
    </row>
    <row r="58" spans="1:20" ht="15.75" thickBot="1" x14ac:dyDescent="0.3">
      <c r="A58" s="53">
        <v>44252</v>
      </c>
      <c r="D58" s="146">
        <v>0.14199999999999999</v>
      </c>
      <c r="E58" s="147">
        <v>7079.22</v>
      </c>
      <c r="F58" s="148">
        <v>333.82900000000001</v>
      </c>
      <c r="G58" s="149">
        <v>186.5</v>
      </c>
      <c r="H58" s="150"/>
      <c r="I58" s="150">
        <v>19532.519999999367</v>
      </c>
      <c r="J58" s="150">
        <v>563.04000000009978</v>
      </c>
      <c r="K58" s="151">
        <v>2.8825773632901338E-2</v>
      </c>
      <c r="L58" s="150">
        <v>269.09999999999059</v>
      </c>
      <c r="M58" s="152">
        <v>1.3777024162780803E-2</v>
      </c>
      <c r="N58" s="153">
        <v>66068309</v>
      </c>
      <c r="O58" s="153">
        <v>0</v>
      </c>
      <c r="P58" s="79" t="s">
        <v>52</v>
      </c>
      <c r="Q58" s="80" t="s">
        <v>59</v>
      </c>
      <c r="R58" s="20">
        <f t="shared" si="0"/>
        <v>1</v>
      </c>
      <c r="S58" s="20">
        <f t="shared" si="1"/>
        <v>0</v>
      </c>
      <c r="T58" s="64"/>
    </row>
    <row r="59" spans="1:20" ht="15.75" thickBot="1" x14ac:dyDescent="0.3">
      <c r="A59" s="53">
        <v>44253</v>
      </c>
      <c r="D59" s="146">
        <v>0.14199999999999999</v>
      </c>
      <c r="E59" s="147">
        <v>7084.4129999999996</v>
      </c>
      <c r="F59" s="148">
        <v>333.995</v>
      </c>
      <c r="G59" s="149">
        <v>186.56299999999999</v>
      </c>
      <c r="H59" s="150"/>
      <c r="I59" s="150">
        <v>21499.019999997108</v>
      </c>
      <c r="J59" s="150">
        <v>687.23999999998682</v>
      </c>
      <c r="K59" s="151">
        <v>3.1966108222611041E-2</v>
      </c>
      <c r="L59" s="150">
        <v>260.81999999995105</v>
      </c>
      <c r="M59" s="152">
        <v>1.2131715771229857E-2</v>
      </c>
      <c r="N59" s="153">
        <v>66068309</v>
      </c>
      <c r="O59" s="153">
        <v>0</v>
      </c>
      <c r="P59" s="81">
        <f>P57*Q63</f>
        <v>0</v>
      </c>
      <c r="Q59" s="82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3">
        <v>44254</v>
      </c>
      <c r="D60" s="146">
        <v>0.14199999999999999</v>
      </c>
      <c r="E60" s="147">
        <v>7089.38</v>
      </c>
      <c r="F60" s="148">
        <v>334.23500000000001</v>
      </c>
      <c r="G60" s="149">
        <v>186.62200000000001</v>
      </c>
      <c r="H60" s="150"/>
      <c r="I60" s="150">
        <v>20563.380000002289</v>
      </c>
      <c r="J60" s="150">
        <v>993.60000000003765</v>
      </c>
      <c r="K60" s="151">
        <v>4.83189047714883E-2</v>
      </c>
      <c r="L60" s="150">
        <v>244.26000000010731</v>
      </c>
      <c r="M60" s="152">
        <v>1.1878397422995641E-2</v>
      </c>
      <c r="N60" s="153">
        <v>66068309</v>
      </c>
      <c r="O60" s="153">
        <v>0</v>
      </c>
      <c r="P60" s="84" t="s">
        <v>54</v>
      </c>
      <c r="Q60" s="85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3">
        <v>44255</v>
      </c>
      <c r="B61" s="104"/>
      <c r="C61" s="104"/>
      <c r="D61" s="159">
        <v>0.14199999999999999</v>
      </c>
      <c r="E61" s="159">
        <v>7094.9459999999999</v>
      </c>
      <c r="F61" s="159">
        <v>334.47199999999998</v>
      </c>
      <c r="G61" s="159">
        <v>186.69300000000001</v>
      </c>
      <c r="H61" s="160"/>
      <c r="I61" s="155">
        <v>23043.239999999187</v>
      </c>
      <c r="J61" s="155">
        <v>981.17999999986068</v>
      </c>
      <c r="K61" s="156">
        <v>4.2579949694569658E-2</v>
      </c>
      <c r="L61" s="155">
        <v>293.93999999999153</v>
      </c>
      <c r="M61" s="156">
        <v>1.2756018684872522E-2</v>
      </c>
      <c r="N61" s="157">
        <v>66068309</v>
      </c>
      <c r="O61" s="157">
        <v>0</v>
      </c>
      <c r="P61" s="92">
        <f>(P59+Q57*SUM(S34:S61)*Q63)</f>
        <v>0</v>
      </c>
      <c r="Q61" s="93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3">
        <v>44256</v>
      </c>
      <c r="B62" s="104"/>
      <c r="C62" s="104"/>
      <c r="D62" s="183">
        <v>0.14199999999999999</v>
      </c>
      <c r="E62" s="55">
        <v>7100.1189999999997</v>
      </c>
      <c r="F62" s="56">
        <v>334.62799999999999</v>
      </c>
      <c r="G62" s="57">
        <v>186.77500000000001</v>
      </c>
      <c r="H62" s="58"/>
      <c r="I62" s="58">
        <f>IF(E62="","",+(E62-E61)*4140)</f>
        <v>21416.219999999066</v>
      </c>
      <c r="J62" s="58">
        <f>IF(F62="","",+(F62-F61)*4140)</f>
        <v>645.84000000002447</v>
      </c>
      <c r="K62" s="59">
        <f>IF(J62="","",+(J62/I62))</f>
        <v>3.0156582254013669E-2</v>
      </c>
      <c r="L62" s="58">
        <f>IF(G62="","",+(G62-G61)*4140)</f>
        <v>339.47999999997364</v>
      </c>
      <c r="M62" s="184">
        <f>IF(L62="","",(L62/I62))</f>
        <v>1.5851536825825865E-2</v>
      </c>
      <c r="N62" s="60">
        <v>66068309</v>
      </c>
      <c r="O62" s="60">
        <f>IF(N62="","",N62-N61)</f>
        <v>0</v>
      </c>
      <c r="P62" s="105"/>
      <c r="Q62" s="106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3">
        <v>44257</v>
      </c>
      <c r="D63" s="183">
        <v>0.14199999999999999</v>
      </c>
      <c r="E63" s="55">
        <v>7105.5020000000004</v>
      </c>
      <c r="F63" s="56">
        <v>334.77499999999998</v>
      </c>
      <c r="G63" s="57">
        <v>186.875</v>
      </c>
      <c r="H63" s="58"/>
      <c r="I63" s="58">
        <f>IF(E63="","",+(E63-E62)*4140)</f>
        <v>22285.620000002982</v>
      </c>
      <c r="J63" s="58">
        <f t="shared" ref="J63:J76" si="2">IF(F63="","",+(F63-F62)*4140)</f>
        <v>608.57999999996423</v>
      </c>
      <c r="K63" s="59">
        <f t="shared" ref="K63:K76" si="3">IF(J63="","",+(J63/I63))</f>
        <v>2.7308192457732063E-2</v>
      </c>
      <c r="L63" s="58">
        <f t="shared" ref="L63:L76" si="4">IF(G63="","",+(G63-G62)*4140)</f>
        <v>413.99999999997647</v>
      </c>
      <c r="M63" s="184">
        <f t="shared" ref="M63:M76" si="5">IF(L63="","",(L63/I63))</f>
        <v>1.8577001671926607E-2</v>
      </c>
      <c r="N63" s="60">
        <v>66068309</v>
      </c>
      <c r="O63" s="60">
        <f t="shared" ref="O63:O76" si="6">IF(N63="","",N63-N62)</f>
        <v>0</v>
      </c>
      <c r="P63" s="94" t="s">
        <v>56</v>
      </c>
      <c r="Q63" s="95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3">
        <v>44258</v>
      </c>
      <c r="D64" s="183">
        <v>0.14199999999999999</v>
      </c>
      <c r="E64" s="55">
        <v>7110.9920000000002</v>
      </c>
      <c r="F64" s="56">
        <v>334.91899999999998</v>
      </c>
      <c r="G64" s="57">
        <v>187.01300000000001</v>
      </c>
      <c r="H64" s="58"/>
      <c r="I64" s="58">
        <f t="shared" ref="I64:I76" si="7">IF(E64="","",+(E64-E63)*4140)</f>
        <v>22728.599999999096</v>
      </c>
      <c r="J64" s="58">
        <f>IF(F64="","",+(F64-F63)*4140)</f>
        <v>596.16000000002259</v>
      </c>
      <c r="K64" s="59">
        <f t="shared" si="3"/>
        <v>2.6229508196723348E-2</v>
      </c>
      <c r="L64" s="58">
        <f t="shared" si="4"/>
        <v>571.32000000002165</v>
      </c>
      <c r="M64" s="184">
        <f t="shared" si="5"/>
        <v>2.5136612021859874E-2</v>
      </c>
      <c r="N64" s="60">
        <v>66068309</v>
      </c>
      <c r="O64" s="60">
        <f t="shared" si="6"/>
        <v>0</v>
      </c>
      <c r="P64" s="96"/>
      <c r="Q64" s="97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3">
        <v>44259</v>
      </c>
      <c r="D65" s="183">
        <v>0.14199999999999999</v>
      </c>
      <c r="E65" s="55">
        <v>7116.2340000000004</v>
      </c>
      <c r="F65" s="56">
        <v>335.1</v>
      </c>
      <c r="G65" s="57">
        <v>187.11799999999999</v>
      </c>
      <c r="H65" s="58"/>
      <c r="I65" s="58">
        <f t="shared" si="7"/>
        <v>21701.880000000783</v>
      </c>
      <c r="J65" s="58">
        <f t="shared" si="2"/>
        <v>749.34000000016567</v>
      </c>
      <c r="K65" s="59">
        <f t="shared" si="3"/>
        <v>3.4528805799319627E-2</v>
      </c>
      <c r="L65" s="58">
        <f t="shared" si="4"/>
        <v>434.69999999995764</v>
      </c>
      <c r="M65" s="184">
        <f t="shared" si="5"/>
        <v>2.0030522701256388E-2</v>
      </c>
      <c r="N65" s="60">
        <v>66068309</v>
      </c>
      <c r="O65" s="60">
        <f t="shared" si="6"/>
        <v>0</v>
      </c>
      <c r="P65" s="98"/>
      <c r="Q65" s="99"/>
      <c r="R65" s="20">
        <f t="shared" si="0"/>
        <v>1</v>
      </c>
      <c r="S65" s="20">
        <f t="shared" si="1"/>
        <v>0</v>
      </c>
      <c r="T65" s="64"/>
    </row>
    <row r="66" spans="1:20" ht="15.75" thickBot="1" x14ac:dyDescent="0.3">
      <c r="A66" s="53">
        <v>44260</v>
      </c>
      <c r="D66" s="183">
        <v>0.14199999999999999</v>
      </c>
      <c r="E66" s="55">
        <v>7121.2809999999999</v>
      </c>
      <c r="F66" s="56">
        <v>335.3</v>
      </c>
      <c r="G66" s="57">
        <v>187.22499999999999</v>
      </c>
      <c r="H66" s="58"/>
      <c r="I66" s="58">
        <f t="shared" si="7"/>
        <v>20894.579999998223</v>
      </c>
      <c r="J66" s="58">
        <f t="shared" si="2"/>
        <v>827.99999999995293</v>
      </c>
      <c r="K66" s="59">
        <f t="shared" si="3"/>
        <v>3.9627501486032425E-2</v>
      </c>
      <c r="L66" s="58">
        <f t="shared" si="4"/>
        <v>442.97999999999718</v>
      </c>
      <c r="M66" s="184">
        <f>IF(L66="","",(L66/I66))</f>
        <v>2.1200713295028418E-2</v>
      </c>
      <c r="N66" s="60">
        <v>66068309</v>
      </c>
      <c r="O66" s="60">
        <f t="shared" si="6"/>
        <v>0</v>
      </c>
      <c r="P66" s="100"/>
      <c r="Q66" s="101"/>
      <c r="R66" s="20">
        <f t="shared" si="0"/>
        <v>1</v>
      </c>
      <c r="S66" s="20">
        <f t="shared" si="1"/>
        <v>0</v>
      </c>
      <c r="T66" s="64"/>
    </row>
    <row r="67" spans="1:20" ht="15.75" thickBot="1" x14ac:dyDescent="0.3">
      <c r="A67" s="53">
        <v>44261</v>
      </c>
      <c r="D67" s="183">
        <v>0.14199999999999999</v>
      </c>
      <c r="E67" s="55">
        <v>7126.3149999999996</v>
      </c>
      <c r="F67" s="56">
        <v>335.49299999999999</v>
      </c>
      <c r="G67" s="57">
        <v>187.32300000000001</v>
      </c>
      <c r="H67" s="58"/>
      <c r="I67" s="58">
        <f t="shared" si="7"/>
        <v>20840.759999998554</v>
      </c>
      <c r="J67" s="58">
        <f t="shared" si="2"/>
        <v>799.01999999993222</v>
      </c>
      <c r="K67" s="59">
        <f t="shared" si="3"/>
        <v>3.8339292808898889E-2</v>
      </c>
      <c r="L67" s="58">
        <f t="shared" si="4"/>
        <v>405.7200000000546</v>
      </c>
      <c r="M67" s="184">
        <f t="shared" si="5"/>
        <v>1.9467620182761221E-2</v>
      </c>
      <c r="N67" s="60">
        <v>66068309</v>
      </c>
      <c r="O67" s="60">
        <f t="shared" si="6"/>
        <v>0</v>
      </c>
      <c r="P67" s="100"/>
      <c r="Q67" s="99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3">
        <v>44262</v>
      </c>
      <c r="D68" s="183">
        <v>0.14199999999999999</v>
      </c>
      <c r="E68" s="55">
        <v>7131.5780000000004</v>
      </c>
      <c r="F68" s="56">
        <v>335.63499999999999</v>
      </c>
      <c r="G68" s="57">
        <v>187.411</v>
      </c>
      <c r="H68" s="58"/>
      <c r="I68" s="58">
        <f t="shared" si="7"/>
        <v>21788.820000003434</v>
      </c>
      <c r="J68" s="58">
        <f t="shared" si="2"/>
        <v>587.87999999998306</v>
      </c>
      <c r="K68" s="59">
        <f t="shared" si="3"/>
        <v>2.6980809424277698E-2</v>
      </c>
      <c r="L68" s="58">
        <f t="shared" si="4"/>
        <v>364.31999999997458</v>
      </c>
      <c r="M68" s="184">
        <f t="shared" si="5"/>
        <v>1.6720501615044649E-2</v>
      </c>
      <c r="N68" s="60">
        <v>66068309</v>
      </c>
      <c r="O68" s="60">
        <f t="shared" si="6"/>
        <v>0</v>
      </c>
      <c r="P68" s="107"/>
      <c r="Q68" s="63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3">
        <v>44263</v>
      </c>
      <c r="D69" s="183">
        <v>0.14199999999999999</v>
      </c>
      <c r="E69" s="55">
        <v>7136.9129999999996</v>
      </c>
      <c r="F69" s="56">
        <v>335.916</v>
      </c>
      <c r="G69" s="57">
        <v>187.49199999999999</v>
      </c>
      <c r="H69" s="58"/>
      <c r="I69" s="58">
        <f t="shared" si="7"/>
        <v>22086.899999996385</v>
      </c>
      <c r="J69" s="58">
        <f t="shared" si="2"/>
        <v>1163.3400000000245</v>
      </c>
      <c r="K69" s="59">
        <f t="shared" si="3"/>
        <v>5.2671040299916004E-2</v>
      </c>
      <c r="L69" s="58">
        <f t="shared" si="4"/>
        <v>335.33999999995387</v>
      </c>
      <c r="M69" s="184">
        <f t="shared" si="5"/>
        <v>1.5182755388941352E-2</v>
      </c>
      <c r="N69" s="60">
        <v>66068309</v>
      </c>
      <c r="O69" s="60">
        <f>IF(N69="","",N69-N68)</f>
        <v>0</v>
      </c>
      <c r="P69" s="61"/>
      <c r="Q69" s="108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3">
        <v>44264</v>
      </c>
      <c r="D70" s="183">
        <v>0.14199999999999999</v>
      </c>
      <c r="E70" s="55">
        <v>7142.2449999999999</v>
      </c>
      <c r="F70" s="56">
        <v>336.14299999999997</v>
      </c>
      <c r="G70" s="57">
        <v>187.55099999999999</v>
      </c>
      <c r="H70" s="58"/>
      <c r="I70" s="58">
        <f t="shared" si="7"/>
        <v>22074.480000001386</v>
      </c>
      <c r="J70" s="58">
        <f t="shared" si="2"/>
        <v>939.77999999989834</v>
      </c>
      <c r="K70" s="59">
        <f t="shared" si="3"/>
        <v>4.2573143285814179E-2</v>
      </c>
      <c r="L70" s="58">
        <f>IF(G70="","",+(G70-G69)*4140)</f>
        <v>244.25999999998965</v>
      </c>
      <c r="M70" s="184">
        <f t="shared" si="5"/>
        <v>1.1065266316577982E-2</v>
      </c>
      <c r="N70" s="60">
        <v>66068309</v>
      </c>
      <c r="O70" s="60">
        <f t="shared" si="6"/>
        <v>0</v>
      </c>
      <c r="P70" s="61"/>
      <c r="Q70" s="63"/>
      <c r="R70" s="20">
        <f t="shared" si="0"/>
        <v>1</v>
      </c>
      <c r="S70" s="20">
        <f t="shared" si="1"/>
        <v>0</v>
      </c>
      <c r="T70" s="64"/>
    </row>
    <row r="71" spans="1:20" ht="15.75" thickBot="1" x14ac:dyDescent="0.3">
      <c r="A71" s="53">
        <v>44265</v>
      </c>
      <c r="D71" s="183">
        <v>0.14199999999999999</v>
      </c>
      <c r="E71" s="55">
        <v>7147.6170000000002</v>
      </c>
      <c r="F71" s="56">
        <v>336.41399999999999</v>
      </c>
      <c r="G71" s="57">
        <v>187.58600000000001</v>
      </c>
      <c r="H71" s="58"/>
      <c r="I71" s="58">
        <f t="shared" si="7"/>
        <v>22240.080000001235</v>
      </c>
      <c r="J71" s="58">
        <f t="shared" si="2"/>
        <v>1121.9400000000621</v>
      </c>
      <c r="K71" s="59">
        <f t="shared" si="3"/>
        <v>5.0446760982874157E-2</v>
      </c>
      <c r="L71" s="58">
        <f t="shared" si="4"/>
        <v>144.90000000010355</v>
      </c>
      <c r="M71" s="184">
        <f t="shared" si="5"/>
        <v>6.515264333585828E-3</v>
      </c>
      <c r="N71" s="60">
        <v>66068309</v>
      </c>
      <c r="O71" s="60">
        <f t="shared" si="6"/>
        <v>0</v>
      </c>
      <c r="P71" s="61"/>
      <c r="Q71" s="63"/>
      <c r="R71" s="20">
        <f t="shared" si="0"/>
        <v>1</v>
      </c>
      <c r="S71" s="20">
        <f t="shared" si="1"/>
        <v>0</v>
      </c>
      <c r="T71" s="64"/>
    </row>
    <row r="72" spans="1:20" ht="15.75" thickBot="1" x14ac:dyDescent="0.3">
      <c r="A72" s="53">
        <v>44266</v>
      </c>
      <c r="D72" s="183">
        <v>0.14199999999999999</v>
      </c>
      <c r="E72" s="55">
        <v>7153.2979999999998</v>
      </c>
      <c r="F72" s="56">
        <v>336.62599999999998</v>
      </c>
      <c r="G72" s="57">
        <v>187.63</v>
      </c>
      <c r="H72" s="58"/>
      <c r="I72" s="58">
        <f t="shared" si="7"/>
        <v>23519.339999998283</v>
      </c>
      <c r="J72" s="58">
        <f t="shared" si="2"/>
        <v>877.67999999995482</v>
      </c>
      <c r="K72" s="59">
        <f t="shared" si="3"/>
        <v>3.7317373701813865E-2</v>
      </c>
      <c r="L72" s="58">
        <f t="shared" si="4"/>
        <v>182.15999999992846</v>
      </c>
      <c r="M72" s="184">
        <f t="shared" si="5"/>
        <v>7.7451152966002343E-3</v>
      </c>
      <c r="N72" s="60">
        <v>66068309</v>
      </c>
      <c r="O72" s="60">
        <f t="shared" si="6"/>
        <v>0</v>
      </c>
      <c r="P72" s="61"/>
      <c r="Q72" s="63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3">
        <v>44267</v>
      </c>
      <c r="D73" s="183">
        <v>0.14199999999999999</v>
      </c>
      <c r="E73" s="55">
        <v>7158.576</v>
      </c>
      <c r="F73" s="56">
        <v>336.834</v>
      </c>
      <c r="G73" s="57">
        <v>187.70400000000001</v>
      </c>
      <c r="H73" s="58"/>
      <c r="I73" s="58">
        <f t="shared" si="7"/>
        <v>21850.920000001024</v>
      </c>
      <c r="J73" s="58">
        <f t="shared" si="2"/>
        <v>861.12000000011108</v>
      </c>
      <c r="K73" s="59">
        <f t="shared" si="3"/>
        <v>3.9408866995077126E-2</v>
      </c>
      <c r="L73" s="58">
        <f t="shared" si="4"/>
        <v>306.36000000005083</v>
      </c>
      <c r="M73" s="184">
        <f t="shared" si="5"/>
        <v>1.4020462296326034E-2</v>
      </c>
      <c r="N73" s="60">
        <v>66068309</v>
      </c>
      <c r="O73" s="60">
        <f t="shared" si="6"/>
        <v>0</v>
      </c>
      <c r="P73" s="61"/>
      <c r="Q73" s="62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3">
        <v>44268</v>
      </c>
      <c r="D74" s="183">
        <v>0.14199999999999999</v>
      </c>
      <c r="E74" s="55">
        <v>7163.9780000000001</v>
      </c>
      <c r="F74" s="56">
        <v>337.04399999999998</v>
      </c>
      <c r="G74" s="57">
        <v>187.773</v>
      </c>
      <c r="H74" s="58"/>
      <c r="I74" s="58">
        <f t="shared" si="7"/>
        <v>22364.280000000181</v>
      </c>
      <c r="J74" s="58">
        <f t="shared" si="2"/>
        <v>869.39999999991528</v>
      </c>
      <c r="K74" s="59">
        <f t="shared" si="3"/>
        <v>3.8874490929281351E-2</v>
      </c>
      <c r="L74" s="58">
        <f t="shared" si="4"/>
        <v>285.65999999995199</v>
      </c>
      <c r="M74" s="184">
        <f t="shared" si="5"/>
        <v>1.2773047019620112E-2</v>
      </c>
      <c r="N74" s="60">
        <v>66068309</v>
      </c>
      <c r="O74" s="60">
        <f t="shared" si="6"/>
        <v>0</v>
      </c>
      <c r="P74" s="61"/>
      <c r="Q74" s="63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3">
        <v>44269</v>
      </c>
      <c r="D75" s="183">
        <v>0.14199999999999999</v>
      </c>
      <c r="E75" s="55">
        <v>7169.0159999999996</v>
      </c>
      <c r="F75" s="56">
        <v>337.27800000000002</v>
      </c>
      <c r="G75" s="57">
        <v>187.822</v>
      </c>
      <c r="H75" s="58"/>
      <c r="I75" s="58">
        <f t="shared" si="7"/>
        <v>20857.319999998163</v>
      </c>
      <c r="J75" s="58">
        <f t="shared" si="2"/>
        <v>968.76000000015438</v>
      </c>
      <c r="K75" s="59">
        <f t="shared" si="3"/>
        <v>4.6447002778892001E-2</v>
      </c>
      <c r="L75" s="58">
        <f t="shared" si="4"/>
        <v>202.8600000000273</v>
      </c>
      <c r="M75" s="184">
        <f t="shared" si="5"/>
        <v>9.7260817784856901E-3</v>
      </c>
      <c r="N75" s="60">
        <v>66068309</v>
      </c>
      <c r="O75" s="60">
        <f t="shared" si="6"/>
        <v>0</v>
      </c>
      <c r="P75" s="61"/>
      <c r="Q75" s="63"/>
      <c r="R75" s="20">
        <f t="shared" si="8"/>
        <v>1</v>
      </c>
      <c r="S75" s="20">
        <f t="shared" si="9"/>
        <v>0</v>
      </c>
      <c r="T75" s="64"/>
    </row>
    <row r="76" spans="1:20" ht="15.75" thickBot="1" x14ac:dyDescent="0.3">
      <c r="A76" s="53">
        <v>44270</v>
      </c>
      <c r="D76" s="183">
        <v>0.14199999999999999</v>
      </c>
      <c r="E76" s="55">
        <v>7174.3810000000003</v>
      </c>
      <c r="F76" s="56">
        <v>337.53100000000001</v>
      </c>
      <c r="G76" s="57">
        <v>187.88300000000001</v>
      </c>
      <c r="H76" s="58"/>
      <c r="I76" s="58">
        <f t="shared" si="7"/>
        <v>22211.100000002862</v>
      </c>
      <c r="J76" s="58">
        <f t="shared" si="2"/>
        <v>1047.4199999999416</v>
      </c>
      <c r="K76" s="59">
        <f t="shared" si="3"/>
        <v>4.7157502329907418E-2</v>
      </c>
      <c r="L76" s="58">
        <f t="shared" si="4"/>
        <v>252.54000000002918</v>
      </c>
      <c r="M76" s="184">
        <f t="shared" si="5"/>
        <v>1.1369990680335357E-2</v>
      </c>
      <c r="N76" s="60">
        <v>66068309</v>
      </c>
      <c r="O76" s="60">
        <f t="shared" si="6"/>
        <v>0</v>
      </c>
      <c r="P76" s="61"/>
      <c r="Q76" s="62"/>
      <c r="R76" s="20">
        <f t="shared" si="8"/>
        <v>1</v>
      </c>
      <c r="S76" s="20">
        <f t="shared" si="9"/>
        <v>0</v>
      </c>
      <c r="T76" s="64"/>
    </row>
    <row r="77" spans="1:20" ht="15.75" thickBot="1" x14ac:dyDescent="0.3">
      <c r="A77" s="53">
        <v>44271</v>
      </c>
      <c r="D77" s="183">
        <v>0.14199999999999999</v>
      </c>
      <c r="E77" s="55">
        <v>7179.6710000000003</v>
      </c>
      <c r="F77" s="56">
        <v>337.70299999999997</v>
      </c>
      <c r="G77" s="58"/>
      <c r="H77" s="58"/>
      <c r="I77" s="58">
        <f>IF(D77="","",+(E77-E76)*4140)</f>
        <v>21900.599999999849</v>
      </c>
      <c r="J77" s="58">
        <f>IF(E77="","",+(F77-F76)*4140)</f>
        <v>712.0799999998701</v>
      </c>
      <c r="K77" s="59">
        <f t="shared" ref="K77:K140" si="10">IF(J77="","",+(J77/I77))</f>
        <v>3.2514177693756106E-2</v>
      </c>
      <c r="L77" s="58">
        <f t="shared" ref="L77:L140" si="11">IF(F77="","",+(F77-F76)*4140)</f>
        <v>712.0799999998701</v>
      </c>
      <c r="M77" s="59">
        <f t="shared" ref="M77:M140" si="12">IF(L77="","",(L77/I77))</f>
        <v>3.2514177693756106E-2</v>
      </c>
      <c r="N77" s="60">
        <v>66068309</v>
      </c>
      <c r="O77" s="60">
        <f t="shared" ref="O77:O131" si="13">IF(N77="","",N77-N76)</f>
        <v>0</v>
      </c>
      <c r="P77" s="61"/>
      <c r="Q77" s="102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3">
        <v>44272</v>
      </c>
      <c r="D78" s="183">
        <v>0.14199999999999999</v>
      </c>
      <c r="E78" s="55">
        <v>7185.3320000000003</v>
      </c>
      <c r="F78" s="56">
        <v>337.94099999999997</v>
      </c>
      <c r="G78" s="58"/>
      <c r="H78" s="58"/>
      <c r="I78" s="58">
        <f>IF(D78="","",+(E78-E77)*4140)</f>
        <v>23436.540000000241</v>
      </c>
      <c r="J78" s="58">
        <f>IF(E78="","",+(F78-F77)*4140)</f>
        <v>985.31999999999812</v>
      </c>
      <c r="K78" s="59">
        <f t="shared" si="10"/>
        <v>4.2042042042041532E-2</v>
      </c>
      <c r="L78" s="58">
        <f t="shared" si="11"/>
        <v>985.31999999999812</v>
      </c>
      <c r="M78" s="59">
        <f t="shared" si="12"/>
        <v>4.2042042042041532E-2</v>
      </c>
      <c r="N78" s="60">
        <v>66068309</v>
      </c>
      <c r="O78" s="60">
        <f t="shared" si="13"/>
        <v>0</v>
      </c>
      <c r="P78" s="61"/>
      <c r="Q78" s="102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3">
        <v>44273</v>
      </c>
      <c r="D79" s="183">
        <v>0.14199999999999999</v>
      </c>
      <c r="E79" s="55">
        <v>3.9</v>
      </c>
      <c r="F79" s="56">
        <v>0.2</v>
      </c>
      <c r="G79" s="58"/>
      <c r="H79" s="58"/>
      <c r="I79" s="58">
        <f>IF(D79="","",+(E79-E78)*4140)+29752656</f>
        <v>21527.519999995828</v>
      </c>
      <c r="J79" s="58">
        <f>IF(E79="","",+(F79-F78)*4140)+1398774</f>
        <v>526.26000000000931</v>
      </c>
      <c r="K79" s="59">
        <f t="shared" si="10"/>
        <v>2.4445918526616688E-2</v>
      </c>
      <c r="L79" s="58">
        <f>IF(F79="","",+(F79-F78)*4140)+1398774</f>
        <v>526.26000000000931</v>
      </c>
      <c r="M79" s="59">
        <f t="shared" si="12"/>
        <v>2.4445918526616688E-2</v>
      </c>
      <c r="N79" s="60">
        <v>66068309</v>
      </c>
      <c r="O79" s="60">
        <f t="shared" si="13"/>
        <v>0</v>
      </c>
      <c r="P79" s="61"/>
      <c r="Q79" s="102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3">
        <v>44274</v>
      </c>
      <c r="D80" s="183">
        <v>0.14199999999999999</v>
      </c>
      <c r="E80" s="56">
        <v>9.49</v>
      </c>
      <c r="F80" s="57">
        <v>0.36099999999999999</v>
      </c>
      <c r="G80" s="58"/>
      <c r="H80" s="58"/>
      <c r="I80" s="58">
        <f t="shared" ref="I80:I143" si="14">IF(D80="","",+(E80-E79)*4140)</f>
        <v>23142.6</v>
      </c>
      <c r="J80" s="58">
        <f t="shared" ref="J80:J143" si="15">IF(E80="","",+(F80-F79)*4140)</f>
        <v>666.53999999999985</v>
      </c>
      <c r="K80" s="59">
        <f t="shared" si="10"/>
        <v>2.8801431127012517E-2</v>
      </c>
      <c r="L80" s="58">
        <f t="shared" si="11"/>
        <v>666.53999999999985</v>
      </c>
      <c r="M80" s="59">
        <f t="shared" si="12"/>
        <v>2.8801431127012517E-2</v>
      </c>
      <c r="N80" s="60">
        <v>66068309</v>
      </c>
      <c r="O80" s="60">
        <f t="shared" si="13"/>
        <v>0</v>
      </c>
      <c r="P80" s="66"/>
      <c r="Q80" s="103"/>
      <c r="R80" s="20">
        <f t="shared" si="8"/>
        <v>1</v>
      </c>
      <c r="S80" s="20">
        <f t="shared" si="9"/>
        <v>0</v>
      </c>
      <c r="T80" s="64"/>
    </row>
    <row r="81" spans="1:20" ht="15.75" thickBot="1" x14ac:dyDescent="0.3">
      <c r="A81" s="53">
        <v>44275</v>
      </c>
      <c r="D81" s="183">
        <v>0.14199999999999999</v>
      </c>
      <c r="E81" s="56">
        <v>14.425000000000001</v>
      </c>
      <c r="F81" s="57">
        <v>0.49099999999999999</v>
      </c>
      <c r="G81" s="58"/>
      <c r="H81" s="58"/>
      <c r="I81" s="58">
        <f t="shared" si="14"/>
        <v>20430.900000000001</v>
      </c>
      <c r="J81" s="58">
        <f t="shared" si="15"/>
        <v>538.20000000000005</v>
      </c>
      <c r="K81" s="59">
        <f t="shared" si="10"/>
        <v>2.6342451874366769E-2</v>
      </c>
      <c r="L81" s="58">
        <f>IF(F81="","",+(F81-F80)*4140)</f>
        <v>538.20000000000005</v>
      </c>
      <c r="M81" s="59">
        <f t="shared" si="12"/>
        <v>2.6342451874366769E-2</v>
      </c>
      <c r="N81" s="60">
        <v>66068309</v>
      </c>
      <c r="O81" s="60">
        <f t="shared" si="13"/>
        <v>0</v>
      </c>
      <c r="P81" s="191" t="s">
        <v>60</v>
      </c>
      <c r="Q81" s="192"/>
      <c r="R81" s="20">
        <f t="shared" si="8"/>
        <v>1</v>
      </c>
      <c r="S81" s="20">
        <f t="shared" si="9"/>
        <v>0</v>
      </c>
      <c r="T81" s="64"/>
    </row>
    <row r="82" spans="1:20" ht="15.75" thickBot="1" x14ac:dyDescent="0.3">
      <c r="A82" s="53">
        <v>44276</v>
      </c>
      <c r="D82" s="183">
        <v>0.14199999999999999</v>
      </c>
      <c r="E82" s="56">
        <v>19.623999999999999</v>
      </c>
      <c r="F82" s="57">
        <v>0.61599999999999999</v>
      </c>
      <c r="G82" s="58"/>
      <c r="H82" s="58"/>
      <c r="I82" s="58">
        <f t="shared" si="14"/>
        <v>21523.859999999993</v>
      </c>
      <c r="J82" s="58">
        <f t="shared" si="15"/>
        <v>517.5</v>
      </c>
      <c r="K82" s="59">
        <f t="shared" si="10"/>
        <v>2.4043085208693988E-2</v>
      </c>
      <c r="L82" s="58">
        <f>IF(F82="","",+(F82-F81)*4140)</f>
        <v>517.5</v>
      </c>
      <c r="M82" s="59">
        <f t="shared" si="12"/>
        <v>2.4043085208693988E-2</v>
      </c>
      <c r="N82" s="60">
        <v>66068309</v>
      </c>
      <c r="O82" s="60">
        <f t="shared" si="13"/>
        <v>0</v>
      </c>
      <c r="P82" s="193"/>
      <c r="Q82" s="19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3">
        <v>44277</v>
      </c>
      <c r="D83" s="183">
        <v>0.14199999999999999</v>
      </c>
      <c r="E83" s="56">
        <v>24.913</v>
      </c>
      <c r="F83" s="57">
        <v>0.76900000000000002</v>
      </c>
      <c r="G83" s="58"/>
      <c r="H83" s="58"/>
      <c r="I83" s="58">
        <f t="shared" si="14"/>
        <v>21896.460000000006</v>
      </c>
      <c r="J83" s="58">
        <f t="shared" si="15"/>
        <v>633.42000000000007</v>
      </c>
      <c r="K83" s="59">
        <f t="shared" si="10"/>
        <v>2.8927963698241629E-2</v>
      </c>
      <c r="L83" s="58">
        <f t="shared" si="11"/>
        <v>633.42000000000007</v>
      </c>
      <c r="M83" s="59">
        <f t="shared" si="12"/>
        <v>2.8927963698241629E-2</v>
      </c>
      <c r="N83" s="60">
        <v>66068309</v>
      </c>
      <c r="O83" s="60">
        <f t="shared" si="13"/>
        <v>0</v>
      </c>
      <c r="P83" s="68" t="s">
        <v>46</v>
      </c>
      <c r="Q83" s="68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3">
        <v>44278</v>
      </c>
      <c r="D84" s="183">
        <v>0.14199999999999999</v>
      </c>
      <c r="E84" s="56">
        <v>30.405000000000001</v>
      </c>
      <c r="F84" s="57">
        <v>0.93799999999999994</v>
      </c>
      <c r="G84" s="58"/>
      <c r="H84" s="58"/>
      <c r="I84" s="58">
        <f t="shared" si="14"/>
        <v>22736.880000000005</v>
      </c>
      <c r="J84" s="58">
        <f t="shared" si="15"/>
        <v>699.65999999999974</v>
      </c>
      <c r="K84" s="59">
        <f>IF(J84="","",+(J84/I84))</f>
        <v>3.0772032046613239E-2</v>
      </c>
      <c r="L84" s="58">
        <f t="shared" si="11"/>
        <v>699.65999999999974</v>
      </c>
      <c r="M84" s="59">
        <f t="shared" si="12"/>
        <v>3.0772032046613239E-2</v>
      </c>
      <c r="N84" s="60">
        <v>66068309</v>
      </c>
      <c r="O84" s="60">
        <f t="shared" si="13"/>
        <v>0</v>
      </c>
      <c r="P84" s="69">
        <f>IF(J63="",0,+SUM(J63:J93)/SUM(I63:I93))</f>
        <v>3.6150734338660451E-2</v>
      </c>
      <c r="Q84" s="69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4"/>
    </row>
    <row r="85" spans="1:20" ht="15.75" thickBot="1" x14ac:dyDescent="0.3">
      <c r="A85" s="53">
        <v>44279</v>
      </c>
      <c r="D85" s="183">
        <v>0.14199999999999999</v>
      </c>
      <c r="E85" s="56">
        <v>35.539000000000001</v>
      </c>
      <c r="F85" s="57">
        <v>1.145</v>
      </c>
      <c r="G85" s="58"/>
      <c r="H85" s="58"/>
      <c r="I85" s="58">
        <f t="shared" si="14"/>
        <v>21254.760000000002</v>
      </c>
      <c r="J85" s="58">
        <f t="shared" si="15"/>
        <v>856.98000000000025</v>
      </c>
      <c r="K85" s="59">
        <f t="shared" si="10"/>
        <v>4.0319439033891707E-2</v>
      </c>
      <c r="L85" s="58">
        <f t="shared" si="11"/>
        <v>856.98000000000025</v>
      </c>
      <c r="M85" s="59">
        <f t="shared" si="12"/>
        <v>4.0319439033891707E-2</v>
      </c>
      <c r="N85" s="60">
        <v>66068309</v>
      </c>
      <c r="O85" s="60">
        <f t="shared" si="13"/>
        <v>0</v>
      </c>
      <c r="P85" s="70" t="e">
        <f>IF(J63="",0,+(+(LOOKUP(9.99999999999999E+307,E63:E93)-E61))/(+(LOOKUP(9.99999999999999E+307,D63:D93)-D62)))</f>
        <v>#DIV/0!</v>
      </c>
      <c r="Q85" s="70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4"/>
    </row>
    <row r="86" spans="1:20" ht="15.75" thickBot="1" x14ac:dyDescent="0.3">
      <c r="A86" s="53">
        <v>44280</v>
      </c>
      <c r="D86" s="183">
        <v>0.14199999999999999</v>
      </c>
      <c r="E86" s="56">
        <v>41.13</v>
      </c>
      <c r="F86" s="57">
        <v>1.3109999999999999</v>
      </c>
      <c r="G86" s="58"/>
      <c r="H86" s="58"/>
      <c r="I86" s="58">
        <f t="shared" si="14"/>
        <v>23146.740000000005</v>
      </c>
      <c r="J86" s="58">
        <f t="shared" si="15"/>
        <v>687.23999999999967</v>
      </c>
      <c r="K86" s="59">
        <f t="shared" si="10"/>
        <v>2.969057413700588E-2</v>
      </c>
      <c r="L86" s="58">
        <f t="shared" si="11"/>
        <v>687.23999999999967</v>
      </c>
      <c r="M86" s="59">
        <f t="shared" si="12"/>
        <v>2.969057413700588E-2</v>
      </c>
      <c r="N86" s="60">
        <v>66068309</v>
      </c>
      <c r="O86" s="60">
        <f t="shared" si="13"/>
        <v>0</v>
      </c>
      <c r="P86" s="71" t="s">
        <v>48</v>
      </c>
      <c r="Q86" s="72" t="s">
        <v>49</v>
      </c>
      <c r="R86" s="20">
        <f t="shared" si="8"/>
        <v>1</v>
      </c>
      <c r="S86" s="20">
        <f t="shared" si="9"/>
        <v>0</v>
      </c>
      <c r="T86" s="64"/>
    </row>
    <row r="87" spans="1:20" ht="15.75" thickBot="1" x14ac:dyDescent="0.3">
      <c r="A87" s="53">
        <v>44281</v>
      </c>
      <c r="D87" s="55">
        <v>0.14199999999999999</v>
      </c>
      <c r="E87" s="56">
        <v>46.662999999999997</v>
      </c>
      <c r="F87" s="57">
        <v>1.5189999999999999</v>
      </c>
      <c r="G87" s="58"/>
      <c r="H87" s="58"/>
      <c r="I87" s="58">
        <f t="shared" si="14"/>
        <v>22906.619999999977</v>
      </c>
      <c r="J87" s="58">
        <f t="shared" si="15"/>
        <v>861.11999999999989</v>
      </c>
      <c r="K87" s="59">
        <f t="shared" si="10"/>
        <v>3.7592626061810984E-2</v>
      </c>
      <c r="L87" s="58">
        <f>IF(F87="","",+(F87-F86)*4140)</f>
        <v>861.11999999999989</v>
      </c>
      <c r="M87" s="59">
        <f t="shared" si="12"/>
        <v>3.7592626061810984E-2</v>
      </c>
      <c r="N87" s="60">
        <v>66068309</v>
      </c>
      <c r="O87" s="60">
        <f t="shared" si="13"/>
        <v>0</v>
      </c>
      <c r="P87" s="73">
        <f>IF(N61="",0,+(LOOKUP(9.99999999999999E+307,N61:N93)-N61))</f>
        <v>0</v>
      </c>
      <c r="Q87" s="74">
        <f>IF(P87="",0,+P87/SUM(R63:R93))</f>
        <v>0</v>
      </c>
      <c r="R87" s="20">
        <f t="shared" si="8"/>
        <v>1</v>
      </c>
      <c r="S87" s="20">
        <f t="shared" si="9"/>
        <v>0</v>
      </c>
      <c r="T87" s="64"/>
    </row>
    <row r="88" spans="1:20" ht="15.75" thickBot="1" x14ac:dyDescent="0.3">
      <c r="A88" s="53">
        <v>44282</v>
      </c>
      <c r="D88" s="55">
        <v>0.14199999999999999</v>
      </c>
      <c r="E88" s="56">
        <v>51.892000000000003</v>
      </c>
      <c r="F88" s="57">
        <v>1.6859999999999999</v>
      </c>
      <c r="G88" s="58"/>
      <c r="H88" s="58"/>
      <c r="I88" s="58">
        <f t="shared" si="14"/>
        <v>21648.060000000027</v>
      </c>
      <c r="J88" s="58">
        <f t="shared" si="15"/>
        <v>691.38000000000011</v>
      </c>
      <c r="K88" s="59">
        <f t="shared" si="10"/>
        <v>3.1937272901128286E-2</v>
      </c>
      <c r="L88" s="58">
        <f>IF(F88="","",+(F88-F87)*4140)</f>
        <v>691.38000000000011</v>
      </c>
      <c r="M88" s="59">
        <f t="shared" si="12"/>
        <v>3.1937272901128286E-2</v>
      </c>
      <c r="N88" s="60">
        <v>66068309</v>
      </c>
      <c r="O88" s="60">
        <f t="shared" si="13"/>
        <v>0</v>
      </c>
      <c r="P88" s="75" t="s">
        <v>50</v>
      </c>
      <c r="Q88" s="76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3">
        <v>44283</v>
      </c>
      <c r="D89" s="55">
        <v>0.14199999999999999</v>
      </c>
      <c r="E89" s="56">
        <v>56.823</v>
      </c>
      <c r="F89" s="57">
        <v>1.863</v>
      </c>
      <c r="G89" s="58"/>
      <c r="H89" s="58"/>
      <c r="I89" s="58">
        <f t="shared" si="14"/>
        <v>20414.339999999989</v>
      </c>
      <c r="J89" s="58">
        <f t="shared" si="15"/>
        <v>732.7800000000002</v>
      </c>
      <c r="K89" s="59">
        <f t="shared" si="10"/>
        <v>3.5895355911579829E-2</v>
      </c>
      <c r="L89" s="58">
        <f>IF(F89="","",+(F89-F88)*4140)</f>
        <v>732.7800000000002</v>
      </c>
      <c r="M89" s="59">
        <f t="shared" si="12"/>
        <v>3.5895355911579829E-2</v>
      </c>
      <c r="N89" s="60">
        <v>66068309</v>
      </c>
      <c r="O89" s="60">
        <f t="shared" si="13"/>
        <v>0</v>
      </c>
      <c r="P89" s="77">
        <f>IF(D61="",0,+(LOOKUP(9.99999999999999E+307,D62:D93)-D62))*4140</f>
        <v>0</v>
      </c>
      <c r="Q89" s="78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3">
        <v>44284</v>
      </c>
      <c r="D90" s="55">
        <v>0.14199999999999999</v>
      </c>
      <c r="E90" s="56">
        <v>61.71</v>
      </c>
      <c r="F90" s="57">
        <v>2.0659999999999998</v>
      </c>
      <c r="G90" s="58"/>
      <c r="H90" s="58"/>
      <c r="I90" s="58">
        <f t="shared" si="14"/>
        <v>20232.18</v>
      </c>
      <c r="J90" s="58">
        <f t="shared" si="15"/>
        <v>840.41999999999939</v>
      </c>
      <c r="K90" s="59">
        <f t="shared" si="10"/>
        <v>4.1538776345406148E-2</v>
      </c>
      <c r="L90" s="58">
        <f t="shared" si="11"/>
        <v>840.41999999999939</v>
      </c>
      <c r="M90" s="59">
        <f t="shared" si="12"/>
        <v>4.1538776345406148E-2</v>
      </c>
      <c r="N90" s="60">
        <v>66068309</v>
      </c>
      <c r="O90" s="60">
        <f t="shared" si="13"/>
        <v>0</v>
      </c>
      <c r="P90" s="79" t="s">
        <v>52</v>
      </c>
      <c r="Q90" s="80" t="s">
        <v>59</v>
      </c>
      <c r="R90" s="20">
        <f t="shared" si="8"/>
        <v>1</v>
      </c>
      <c r="S90" s="20">
        <f t="shared" si="9"/>
        <v>0</v>
      </c>
      <c r="T90" s="64"/>
    </row>
    <row r="91" spans="1:20" ht="15.75" thickBot="1" x14ac:dyDescent="0.3">
      <c r="A91" s="53">
        <v>44285</v>
      </c>
      <c r="D91" s="55">
        <v>0.14199999999999999</v>
      </c>
      <c r="E91" s="56">
        <v>66.911000000000001</v>
      </c>
      <c r="F91" s="57">
        <v>2.2570000000000001</v>
      </c>
      <c r="G91" s="58"/>
      <c r="H91" s="58"/>
      <c r="I91" s="58">
        <f t="shared" si="14"/>
        <v>21532.140000000003</v>
      </c>
      <c r="J91" s="58">
        <f t="shared" si="15"/>
        <v>790.74000000000115</v>
      </c>
      <c r="K91" s="59">
        <f t="shared" si="10"/>
        <v>3.6723706979427083E-2</v>
      </c>
      <c r="L91" s="58">
        <f t="shared" si="11"/>
        <v>790.74000000000115</v>
      </c>
      <c r="M91" s="59">
        <f t="shared" si="12"/>
        <v>3.6723706979427083E-2</v>
      </c>
      <c r="N91" s="60">
        <v>66068309</v>
      </c>
      <c r="O91" s="60">
        <f t="shared" si="13"/>
        <v>0</v>
      </c>
      <c r="P91" s="81">
        <f>P89*Q94</f>
        <v>0</v>
      </c>
      <c r="Q91" s="82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4"/>
    </row>
    <row r="92" spans="1:20" ht="15.75" thickBot="1" x14ac:dyDescent="0.3">
      <c r="A92" s="53">
        <v>44286</v>
      </c>
      <c r="D92" s="55">
        <v>0.14199999999999999</v>
      </c>
      <c r="E92" s="56">
        <v>72.406000000000006</v>
      </c>
      <c r="F92" s="57">
        <v>2.492</v>
      </c>
      <c r="G92" s="58"/>
      <c r="H92" s="58"/>
      <c r="I92" s="58">
        <f t="shared" si="14"/>
        <v>22749.300000000017</v>
      </c>
      <c r="J92" s="58">
        <f t="shared" si="15"/>
        <v>972.89999999999952</v>
      </c>
      <c r="K92" s="59">
        <f t="shared" si="10"/>
        <v>4.276615104640577E-2</v>
      </c>
      <c r="L92" s="58">
        <f t="shared" si="11"/>
        <v>972.89999999999952</v>
      </c>
      <c r="M92" s="59">
        <f t="shared" si="12"/>
        <v>4.276615104640577E-2</v>
      </c>
      <c r="N92" s="60">
        <v>66068309</v>
      </c>
      <c r="O92" s="60">
        <f t="shared" si="13"/>
        <v>0</v>
      </c>
      <c r="P92" s="84" t="s">
        <v>54</v>
      </c>
      <c r="Q92" s="85" t="s">
        <v>55</v>
      </c>
      <c r="R92" s="20">
        <f t="shared" si="8"/>
        <v>1</v>
      </c>
      <c r="S92" s="20">
        <f t="shared" si="9"/>
        <v>0</v>
      </c>
      <c r="T92" s="64"/>
    </row>
    <row r="93" spans="1:20" ht="15.75" thickBot="1" x14ac:dyDescent="0.3">
      <c r="A93" s="53">
        <v>44287</v>
      </c>
      <c r="D93" s="55">
        <v>0.14199999999999999</v>
      </c>
      <c r="E93" s="56">
        <v>77.83</v>
      </c>
      <c r="F93" s="57">
        <v>2.7010000000000001</v>
      </c>
      <c r="G93" s="89"/>
      <c r="H93" s="58">
        <v>4140</v>
      </c>
      <c r="I93" s="58">
        <f t="shared" si="14"/>
        <v>22455.359999999968</v>
      </c>
      <c r="J93" s="58">
        <f t="shared" si="15"/>
        <v>865.26000000000033</v>
      </c>
      <c r="K93" s="59">
        <f t="shared" si="10"/>
        <v>3.8532448377581192E-2</v>
      </c>
      <c r="L93" s="58">
        <f t="shared" si="11"/>
        <v>865.26000000000033</v>
      </c>
      <c r="M93" s="59">
        <f t="shared" si="12"/>
        <v>3.8532448377581192E-2</v>
      </c>
      <c r="N93" s="60">
        <v>66068309</v>
      </c>
      <c r="O93" s="60">
        <f t="shared" si="13"/>
        <v>0</v>
      </c>
      <c r="P93" s="92">
        <f>(P91+Q89*SUM(S63:S93)*Q94)</f>
        <v>0</v>
      </c>
      <c r="Q93" s="93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3">
        <v>44288</v>
      </c>
      <c r="D94" s="55">
        <v>0.14199999999999999</v>
      </c>
      <c r="E94" s="56">
        <v>83.83</v>
      </c>
      <c r="F94" s="57">
        <v>2.9</v>
      </c>
      <c r="G94" s="58"/>
      <c r="H94" s="58">
        <v>4140</v>
      </c>
      <c r="I94" s="58">
        <f t="shared" si="14"/>
        <v>24840</v>
      </c>
      <c r="J94" s="58">
        <f t="shared" si="15"/>
        <v>823.85999999999933</v>
      </c>
      <c r="K94" s="59">
        <f t="shared" si="10"/>
        <v>3.3166666666666643E-2</v>
      </c>
      <c r="L94" s="58">
        <f t="shared" si="11"/>
        <v>823.85999999999933</v>
      </c>
      <c r="M94" s="59">
        <f t="shared" si="12"/>
        <v>3.3166666666666643E-2</v>
      </c>
      <c r="N94" s="60">
        <v>66068309</v>
      </c>
      <c r="O94" s="60">
        <f>IF(N94="","",N94-N93)</f>
        <v>0</v>
      </c>
      <c r="P94" s="94" t="s">
        <v>56</v>
      </c>
      <c r="Q94" s="95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3">
        <v>44289</v>
      </c>
      <c r="D95" s="55">
        <v>0.14199999999999999</v>
      </c>
      <c r="E95" s="56">
        <v>88.144000000000005</v>
      </c>
      <c r="F95" s="57">
        <v>3.0920000000000001</v>
      </c>
      <c r="G95" s="58"/>
      <c r="H95" s="58">
        <v>4140</v>
      </c>
      <c r="I95" s="58">
        <f t="shared" si="14"/>
        <v>17859.960000000028</v>
      </c>
      <c r="J95" s="58">
        <f t="shared" si="15"/>
        <v>794.88000000000068</v>
      </c>
      <c r="K95" s="59">
        <f t="shared" si="10"/>
        <v>4.4506258692628621E-2</v>
      </c>
      <c r="L95" s="58">
        <f t="shared" si="11"/>
        <v>794.88000000000068</v>
      </c>
      <c r="M95" s="59">
        <f t="shared" si="12"/>
        <v>4.4506258692628621E-2</v>
      </c>
      <c r="N95" s="60">
        <v>66068309</v>
      </c>
      <c r="O95" s="60">
        <f>IF(N95="","",N95-N94)</f>
        <v>0</v>
      </c>
      <c r="P95" s="61"/>
      <c r="Q95" s="102"/>
      <c r="R95" s="20">
        <f>IF(N95="",0,1)</f>
        <v>1</v>
      </c>
      <c r="S95" s="20">
        <f>IF(N95="",1,0)</f>
        <v>0</v>
      </c>
    </row>
    <row r="96" spans="1:20" ht="15.75" thickBot="1" x14ac:dyDescent="0.3">
      <c r="A96" s="53">
        <v>44290</v>
      </c>
      <c r="D96" s="55">
        <v>0.14199999999999999</v>
      </c>
      <c r="E96" s="56">
        <v>93.203000000000003</v>
      </c>
      <c r="F96" s="57">
        <v>3.323</v>
      </c>
      <c r="G96" s="58"/>
      <c r="H96" s="58">
        <v>4140</v>
      </c>
      <c r="I96" s="58">
        <f t="shared" si="14"/>
        <v>20944.259999999991</v>
      </c>
      <c r="J96" s="58">
        <f t="shared" si="15"/>
        <v>956.33999999999946</v>
      </c>
      <c r="K96" s="59">
        <f t="shared" si="10"/>
        <v>4.5661197865190746E-2</v>
      </c>
      <c r="L96" s="58">
        <f t="shared" si="11"/>
        <v>956.33999999999946</v>
      </c>
      <c r="M96" s="59">
        <f t="shared" si="12"/>
        <v>4.5661197865190746E-2</v>
      </c>
      <c r="N96" s="60">
        <v>66068309</v>
      </c>
      <c r="O96" s="60">
        <f>IF(N96="","",N96-N95)</f>
        <v>0</v>
      </c>
      <c r="P96" s="98"/>
      <c r="Q96" s="99"/>
      <c r="R96" s="20">
        <f>IF(N96="",0,1)</f>
        <v>1</v>
      </c>
      <c r="S96" s="20">
        <f>IF(N96="",1,0)</f>
        <v>0</v>
      </c>
      <c r="T96" s="64"/>
    </row>
    <row r="97" spans="1:20" ht="15.75" thickBot="1" x14ac:dyDescent="0.3">
      <c r="A97" s="53">
        <v>44291</v>
      </c>
      <c r="D97" s="55">
        <v>0.14199999999999999</v>
      </c>
      <c r="E97" s="56">
        <v>98.697000000000003</v>
      </c>
      <c r="F97" s="57">
        <v>3.5550000000000002</v>
      </c>
      <c r="G97" s="58"/>
      <c r="H97" s="58">
        <v>4140</v>
      </c>
      <c r="I97" s="58">
        <f t="shared" si="14"/>
        <v>22745.16</v>
      </c>
      <c r="J97" s="58">
        <f t="shared" si="15"/>
        <v>960.48000000000081</v>
      </c>
      <c r="K97" s="59">
        <f t="shared" si="10"/>
        <v>4.2227884965416858E-2</v>
      </c>
      <c r="L97" s="58">
        <f t="shared" si="11"/>
        <v>960.48000000000081</v>
      </c>
      <c r="M97" s="59">
        <f t="shared" si="12"/>
        <v>4.2227884965416858E-2</v>
      </c>
      <c r="N97" s="60">
        <v>66068309</v>
      </c>
      <c r="O97" s="60">
        <f>IF(N97="","",N97-N96)</f>
        <v>0</v>
      </c>
      <c r="P97" s="100"/>
      <c r="Q97" s="101"/>
      <c r="R97" s="20">
        <f t="shared" ref="R97:R160" si="16">IF(N97="",0,1)</f>
        <v>1</v>
      </c>
      <c r="S97" s="20">
        <f t="shared" si="9"/>
        <v>0</v>
      </c>
      <c r="T97" s="64"/>
    </row>
    <row r="98" spans="1:20" ht="15.75" thickBot="1" x14ac:dyDescent="0.3">
      <c r="A98" s="53">
        <v>44292</v>
      </c>
      <c r="D98" s="55">
        <v>0.14199999999999999</v>
      </c>
      <c r="E98" s="56">
        <v>103.75</v>
      </c>
      <c r="F98" s="57">
        <v>3.7050000000000001</v>
      </c>
      <c r="G98" s="58"/>
      <c r="H98" s="58">
        <v>4140</v>
      </c>
      <c r="I98" s="58">
        <f t="shared" si="14"/>
        <v>20919.419999999987</v>
      </c>
      <c r="J98" s="58">
        <f t="shared" si="15"/>
        <v>620.99999999999966</v>
      </c>
      <c r="K98" s="59">
        <f t="shared" si="10"/>
        <v>2.9685335444290521E-2</v>
      </c>
      <c r="L98" s="58">
        <f t="shared" si="11"/>
        <v>620.99999999999966</v>
      </c>
      <c r="M98" s="59">
        <f t="shared" si="12"/>
        <v>2.9685335444290521E-2</v>
      </c>
      <c r="N98" s="60">
        <v>66068309</v>
      </c>
      <c r="O98" s="60">
        <f t="shared" si="13"/>
        <v>0</v>
      </c>
      <c r="P98" s="100"/>
      <c r="Q98" s="99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3">
        <v>44293</v>
      </c>
      <c r="D99" s="55">
        <v>0.14199999999999999</v>
      </c>
      <c r="E99" s="56">
        <v>109.095</v>
      </c>
      <c r="F99" s="57">
        <v>3.94</v>
      </c>
      <c r="G99" s="58"/>
      <c r="H99" s="58">
        <v>4140</v>
      </c>
      <c r="I99" s="58">
        <f t="shared" si="14"/>
        <v>22128.299999999996</v>
      </c>
      <c r="J99" s="58">
        <f t="shared" si="15"/>
        <v>972.89999999999952</v>
      </c>
      <c r="K99" s="59">
        <f t="shared" si="10"/>
        <v>4.3966323666978474E-2</v>
      </c>
      <c r="L99" s="58">
        <f t="shared" si="11"/>
        <v>972.89999999999952</v>
      </c>
      <c r="M99" s="59">
        <f t="shared" si="12"/>
        <v>4.3966323666978474E-2</v>
      </c>
      <c r="N99" s="60">
        <v>66068309</v>
      </c>
      <c r="O99" s="60">
        <f t="shared" si="13"/>
        <v>0</v>
      </c>
      <c r="P99" s="61"/>
      <c r="Q99" s="62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3">
        <v>44294</v>
      </c>
      <c r="D100" s="55">
        <v>0.14199999999999999</v>
      </c>
      <c r="E100" s="56">
        <v>114.402</v>
      </c>
      <c r="F100" s="57">
        <v>4.1749999999999998</v>
      </c>
      <c r="G100" s="58"/>
      <c r="H100" s="58">
        <v>4140</v>
      </c>
      <c r="I100" s="58">
        <f t="shared" si="14"/>
        <v>21970.98000000001</v>
      </c>
      <c r="J100" s="58">
        <f t="shared" si="15"/>
        <v>972.89999999999952</v>
      </c>
      <c r="K100" s="59">
        <f t="shared" si="10"/>
        <v>4.4281138119464818E-2</v>
      </c>
      <c r="L100" s="58">
        <f t="shared" si="11"/>
        <v>972.89999999999952</v>
      </c>
      <c r="M100" s="59">
        <f t="shared" si="12"/>
        <v>4.4281138119464818E-2</v>
      </c>
      <c r="N100" s="60">
        <v>66068309</v>
      </c>
      <c r="O100" s="60">
        <f>IF(N100="","",N100-N99)</f>
        <v>0</v>
      </c>
      <c r="P100" s="61"/>
      <c r="Q100" s="63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3">
        <v>44295</v>
      </c>
      <c r="D101" s="55">
        <v>0.14199999999999999</v>
      </c>
      <c r="E101" s="56">
        <v>119.785</v>
      </c>
      <c r="F101" s="57">
        <v>4.37</v>
      </c>
      <c r="G101" s="58"/>
      <c r="H101" s="58">
        <v>4140</v>
      </c>
      <c r="I101" s="58">
        <f t="shared" si="14"/>
        <v>22285.619999999981</v>
      </c>
      <c r="J101" s="58">
        <f t="shared" si="15"/>
        <v>807.30000000000121</v>
      </c>
      <c r="K101" s="59">
        <f t="shared" si="10"/>
        <v>3.6225153260263876E-2</v>
      </c>
      <c r="L101" s="58">
        <f t="shared" si="11"/>
        <v>807.30000000000121</v>
      </c>
      <c r="M101" s="59">
        <f t="shared" si="12"/>
        <v>3.6225153260263876E-2</v>
      </c>
      <c r="N101" s="60">
        <v>66068309</v>
      </c>
      <c r="O101" s="60">
        <f t="shared" si="13"/>
        <v>0</v>
      </c>
      <c r="P101" s="61"/>
      <c r="Q101" s="63"/>
      <c r="R101" s="20">
        <f t="shared" si="16"/>
        <v>1</v>
      </c>
      <c r="S101" s="20">
        <f t="shared" si="9"/>
        <v>0</v>
      </c>
      <c r="T101" s="64"/>
    </row>
    <row r="102" spans="1:20" ht="15.75" thickBot="1" x14ac:dyDescent="0.3">
      <c r="A102" s="53">
        <v>44296</v>
      </c>
      <c r="D102" s="55">
        <v>0.14199999999999999</v>
      </c>
      <c r="E102" s="56">
        <v>124.723</v>
      </c>
      <c r="F102" s="57">
        <v>4.5679999999999996</v>
      </c>
      <c r="G102" s="58"/>
      <c r="H102" s="58">
        <v>4140</v>
      </c>
      <c r="I102" s="58">
        <f t="shared" si="14"/>
        <v>20443.320000000011</v>
      </c>
      <c r="J102" s="58">
        <f t="shared" si="15"/>
        <v>819.71999999999798</v>
      </c>
      <c r="K102" s="59">
        <f t="shared" si="10"/>
        <v>4.0097205346293928E-2</v>
      </c>
      <c r="L102" s="58">
        <f t="shared" si="11"/>
        <v>819.71999999999798</v>
      </c>
      <c r="M102" s="59">
        <f t="shared" si="12"/>
        <v>4.0097205346293928E-2</v>
      </c>
      <c r="N102" s="60">
        <v>66068309</v>
      </c>
      <c r="O102" s="60">
        <f t="shared" si="13"/>
        <v>0</v>
      </c>
      <c r="P102" s="61"/>
      <c r="Q102" s="63"/>
      <c r="R102" s="20">
        <f t="shared" si="16"/>
        <v>1</v>
      </c>
      <c r="S102" s="20">
        <f t="shared" si="9"/>
        <v>0</v>
      </c>
      <c r="T102" s="64"/>
    </row>
    <row r="103" spans="1:20" ht="15.75" thickBot="1" x14ac:dyDescent="0.3">
      <c r="A103" s="53">
        <v>44297</v>
      </c>
      <c r="D103" s="55">
        <v>0.14199999999999999</v>
      </c>
      <c r="E103" s="56">
        <v>129.55099999999999</v>
      </c>
      <c r="F103" s="57">
        <v>4.7670000000000003</v>
      </c>
      <c r="G103" s="58"/>
      <c r="H103" s="58">
        <v>4140</v>
      </c>
      <c r="I103" s="58">
        <f>IF(D103="","",+(E103-E102)*4140)</f>
        <v>19987.919999999955</v>
      </c>
      <c r="J103" s="58">
        <f t="shared" si="15"/>
        <v>823.86000000000308</v>
      </c>
      <c r="K103" s="59">
        <f t="shared" si="10"/>
        <v>4.1217895608948049E-2</v>
      </c>
      <c r="L103" s="58">
        <f t="shared" si="11"/>
        <v>823.86000000000308</v>
      </c>
      <c r="M103" s="59">
        <f t="shared" si="12"/>
        <v>4.1217895608948049E-2</v>
      </c>
      <c r="N103" s="60">
        <v>66068309</v>
      </c>
      <c r="O103" s="60">
        <f t="shared" si="13"/>
        <v>0</v>
      </c>
      <c r="P103" s="61"/>
      <c r="Q103" s="62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3">
        <v>44298</v>
      </c>
      <c r="D104" s="55">
        <v>0.14199999999999999</v>
      </c>
      <c r="E104" s="56">
        <v>134.613</v>
      </c>
      <c r="F104" s="57">
        <v>4.9690000000000003</v>
      </c>
      <c r="G104" s="58"/>
      <c r="H104" s="58">
        <v>4140</v>
      </c>
      <c r="I104" s="58">
        <f>IF(D104="","",+(E104-E103)*4140)</f>
        <v>20956.680000000048</v>
      </c>
      <c r="J104" s="58">
        <f t="shared" si="15"/>
        <v>836.27999999999986</v>
      </c>
      <c r="K104" s="59">
        <f t="shared" si="10"/>
        <v>3.9905175819833959E-2</v>
      </c>
      <c r="L104" s="58">
        <f t="shared" si="11"/>
        <v>836.27999999999986</v>
      </c>
      <c r="M104" s="59">
        <f t="shared" si="12"/>
        <v>3.9905175819833959E-2</v>
      </c>
      <c r="N104" s="60">
        <v>66068309</v>
      </c>
      <c r="O104" s="60">
        <f t="shared" si="13"/>
        <v>0</v>
      </c>
      <c r="P104" s="61"/>
      <c r="Q104" s="62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3">
        <v>44299</v>
      </c>
      <c r="D105" s="55">
        <v>0.14199999999999999</v>
      </c>
      <c r="E105" s="56">
        <v>139.66900000000001</v>
      </c>
      <c r="F105" s="57">
        <v>5.0940000000000003</v>
      </c>
      <c r="G105" s="58"/>
      <c r="H105" s="58">
        <v>4140</v>
      </c>
      <c r="I105" s="58">
        <f t="shared" si="14"/>
        <v>20931.840000000047</v>
      </c>
      <c r="J105" s="58">
        <f t="shared" si="15"/>
        <v>517.5</v>
      </c>
      <c r="K105" s="59">
        <f t="shared" si="10"/>
        <v>2.4723101265822729E-2</v>
      </c>
      <c r="L105" s="58">
        <f t="shared" si="11"/>
        <v>517.5</v>
      </c>
      <c r="M105" s="59">
        <f t="shared" si="12"/>
        <v>2.4723101265822729E-2</v>
      </c>
      <c r="N105" s="60">
        <v>66068309</v>
      </c>
      <c r="O105" s="60">
        <f t="shared" si="13"/>
        <v>0</v>
      </c>
      <c r="P105" s="61"/>
      <c r="Q105" s="63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3">
        <v>44300</v>
      </c>
      <c r="D106" s="55">
        <v>0.14199999999999999</v>
      </c>
      <c r="E106" s="56">
        <v>144.506</v>
      </c>
      <c r="F106" s="57">
        <v>5.3319999999999999</v>
      </c>
      <c r="G106" s="58"/>
      <c r="H106" s="58">
        <v>4140</v>
      </c>
      <c r="I106" s="58">
        <f t="shared" si="14"/>
        <v>20025.179999999957</v>
      </c>
      <c r="J106" s="58">
        <f t="shared" si="15"/>
        <v>985.31999999999812</v>
      </c>
      <c r="K106" s="59">
        <f t="shared" si="10"/>
        <v>4.920405209840812E-2</v>
      </c>
      <c r="L106" s="58">
        <f t="shared" si="11"/>
        <v>985.31999999999812</v>
      </c>
      <c r="M106" s="59">
        <f t="shared" si="12"/>
        <v>4.920405209840812E-2</v>
      </c>
      <c r="N106" s="60">
        <v>66068309</v>
      </c>
      <c r="O106" s="60">
        <f t="shared" si="13"/>
        <v>0</v>
      </c>
      <c r="P106" s="61"/>
      <c r="Q106" s="63"/>
      <c r="R106" s="20">
        <f t="shared" si="16"/>
        <v>1</v>
      </c>
      <c r="S106" s="20">
        <f t="shared" si="9"/>
        <v>0</v>
      </c>
      <c r="T106" s="64"/>
    </row>
    <row r="107" spans="1:20" ht="15.75" thickBot="1" x14ac:dyDescent="0.3">
      <c r="A107" s="53">
        <v>44301</v>
      </c>
      <c r="D107" s="55">
        <v>0.14199999999999999</v>
      </c>
      <c r="E107" s="56">
        <v>149.607</v>
      </c>
      <c r="F107" s="57">
        <v>5.5709999999999997</v>
      </c>
      <c r="G107" s="58"/>
      <c r="H107" s="58">
        <v>4140</v>
      </c>
      <c r="I107" s="58">
        <f t="shared" si="14"/>
        <v>21118.139999999996</v>
      </c>
      <c r="J107" s="58">
        <f t="shared" si="15"/>
        <v>989.45999999999947</v>
      </c>
      <c r="K107" s="59">
        <f t="shared" si="10"/>
        <v>4.6853558125857661E-2</v>
      </c>
      <c r="L107" s="58">
        <f t="shared" si="11"/>
        <v>989.45999999999947</v>
      </c>
      <c r="M107" s="59">
        <f t="shared" si="12"/>
        <v>4.6853558125857661E-2</v>
      </c>
      <c r="N107" s="60">
        <v>66068309</v>
      </c>
      <c r="O107" s="60">
        <f t="shared" si="13"/>
        <v>0</v>
      </c>
      <c r="P107" s="61"/>
      <c r="Q107" s="62"/>
      <c r="R107" s="20">
        <f t="shared" si="16"/>
        <v>1</v>
      </c>
      <c r="S107" s="20">
        <f t="shared" si="9"/>
        <v>0</v>
      </c>
      <c r="T107" s="64"/>
    </row>
    <row r="108" spans="1:20" ht="15.75" thickBot="1" x14ac:dyDescent="0.3">
      <c r="A108" s="53">
        <v>44302</v>
      </c>
      <c r="D108" s="55">
        <v>0.14199999999999999</v>
      </c>
      <c r="E108" s="56">
        <v>154.21700000000001</v>
      </c>
      <c r="F108" s="57">
        <v>5.734</v>
      </c>
      <c r="G108" s="58"/>
      <c r="H108" s="58">
        <v>4140</v>
      </c>
      <c r="I108" s="58">
        <f t="shared" si="14"/>
        <v>19085.400000000056</v>
      </c>
      <c r="J108" s="58">
        <f t="shared" si="15"/>
        <v>674.82000000000107</v>
      </c>
      <c r="K108" s="59">
        <f t="shared" si="10"/>
        <v>3.5357917570498866E-2</v>
      </c>
      <c r="L108" s="58">
        <f t="shared" si="11"/>
        <v>674.82000000000107</v>
      </c>
      <c r="M108" s="59">
        <f t="shared" si="12"/>
        <v>3.5357917570498866E-2</v>
      </c>
      <c r="N108" s="60">
        <v>66068309</v>
      </c>
      <c r="O108" s="60">
        <f t="shared" si="13"/>
        <v>0</v>
      </c>
      <c r="P108" s="61"/>
      <c r="Q108" s="62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3">
        <v>44303</v>
      </c>
      <c r="D109" s="55">
        <v>0.14199999999999999</v>
      </c>
      <c r="E109" s="56">
        <v>159.87100000000001</v>
      </c>
      <c r="F109" s="57">
        <v>5.9930000000000003</v>
      </c>
      <c r="G109" s="58"/>
      <c r="H109" s="58">
        <v>4140</v>
      </c>
      <c r="I109" s="58">
        <f t="shared" si="14"/>
        <v>23407.559999999983</v>
      </c>
      <c r="J109" s="58">
        <f t="shared" si="15"/>
        <v>1072.2600000000014</v>
      </c>
      <c r="K109" s="59">
        <f t="shared" si="10"/>
        <v>4.5808277325787142E-2</v>
      </c>
      <c r="L109" s="58">
        <f t="shared" si="11"/>
        <v>1072.2600000000014</v>
      </c>
      <c r="M109" s="59">
        <f t="shared" si="12"/>
        <v>4.5808277325787142E-2</v>
      </c>
      <c r="N109" s="60">
        <v>66068309</v>
      </c>
      <c r="O109" s="60">
        <f t="shared" si="13"/>
        <v>0</v>
      </c>
      <c r="P109" s="61"/>
      <c r="Q109" s="62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3">
        <v>44304</v>
      </c>
      <c r="D110" s="55">
        <v>0.14199999999999999</v>
      </c>
      <c r="E110" s="56">
        <v>164.57</v>
      </c>
      <c r="F110" s="57">
        <v>6.274</v>
      </c>
      <c r="G110" s="58"/>
      <c r="H110" s="58">
        <v>4140</v>
      </c>
      <c r="I110" s="58">
        <f t="shared" si="14"/>
        <v>19453.859999999931</v>
      </c>
      <c r="J110" s="58">
        <f t="shared" si="15"/>
        <v>1163.3399999999988</v>
      </c>
      <c r="K110" s="59">
        <f t="shared" si="10"/>
        <v>5.9799957437752863E-2</v>
      </c>
      <c r="L110" s="58">
        <f t="shared" si="11"/>
        <v>1163.3399999999988</v>
      </c>
      <c r="M110" s="59">
        <f t="shared" si="12"/>
        <v>5.9799957437752863E-2</v>
      </c>
      <c r="N110" s="60">
        <v>66068309</v>
      </c>
      <c r="O110" s="60">
        <f t="shared" si="13"/>
        <v>0</v>
      </c>
      <c r="P110" s="61"/>
      <c r="Q110" s="102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3">
        <v>44305</v>
      </c>
      <c r="D111" s="55">
        <v>0.14199999999999999</v>
      </c>
      <c r="E111" s="56">
        <v>170.108</v>
      </c>
      <c r="F111" s="57">
        <v>6.4720000000000004</v>
      </c>
      <c r="G111" s="58"/>
      <c r="H111" s="58">
        <v>4140</v>
      </c>
      <c r="I111" s="58">
        <f t="shared" si="14"/>
        <v>22927.320000000043</v>
      </c>
      <c r="J111" s="58">
        <f t="shared" si="15"/>
        <v>819.72000000000162</v>
      </c>
      <c r="K111" s="59">
        <f t="shared" si="10"/>
        <v>3.5752979414951251E-2</v>
      </c>
      <c r="L111" s="58">
        <f t="shared" si="11"/>
        <v>819.72000000000162</v>
      </c>
      <c r="M111" s="59">
        <f t="shared" si="12"/>
        <v>3.5752979414951251E-2</v>
      </c>
      <c r="N111" s="60">
        <v>66068309</v>
      </c>
      <c r="O111" s="60">
        <f t="shared" si="13"/>
        <v>0</v>
      </c>
      <c r="P111" s="191" t="s">
        <v>61</v>
      </c>
      <c r="Q111" s="192"/>
      <c r="R111" s="20">
        <f t="shared" si="16"/>
        <v>1</v>
      </c>
      <c r="S111" s="20">
        <f t="shared" si="9"/>
        <v>0</v>
      </c>
      <c r="T111" s="64"/>
    </row>
    <row r="112" spans="1:20" ht="15.75" thickBot="1" x14ac:dyDescent="0.3">
      <c r="A112" s="53">
        <v>44306</v>
      </c>
      <c r="D112" s="55">
        <v>0.14199999999999999</v>
      </c>
      <c r="E112" s="56">
        <v>175.12299999999999</v>
      </c>
      <c r="F112" s="57">
        <v>6.657</v>
      </c>
      <c r="G112" s="58"/>
      <c r="H112" s="58">
        <v>4140</v>
      </c>
      <c r="I112" s="58">
        <f t="shared" si="14"/>
        <v>20762.099999999944</v>
      </c>
      <c r="J112" s="58">
        <f t="shared" si="15"/>
        <v>765.89999999999839</v>
      </c>
      <c r="K112" s="59">
        <f t="shared" si="10"/>
        <v>3.6889332003988057E-2</v>
      </c>
      <c r="L112" s="58">
        <f t="shared" si="11"/>
        <v>765.89999999999839</v>
      </c>
      <c r="M112" s="59">
        <f t="shared" si="12"/>
        <v>3.6889332003988057E-2</v>
      </c>
      <c r="N112" s="60">
        <v>66068309</v>
      </c>
      <c r="O112" s="60">
        <f t="shared" si="13"/>
        <v>0</v>
      </c>
      <c r="P112" s="193"/>
      <c r="Q112" s="194"/>
      <c r="R112" s="20">
        <f t="shared" si="16"/>
        <v>1</v>
      </c>
      <c r="S112" s="20">
        <f t="shared" si="9"/>
        <v>0</v>
      </c>
      <c r="T112" s="64"/>
    </row>
    <row r="113" spans="1:20" ht="15.75" thickBot="1" x14ac:dyDescent="0.3">
      <c r="A113" s="53">
        <v>44307</v>
      </c>
      <c r="D113" s="55">
        <v>0.14199999999999999</v>
      </c>
      <c r="E113" s="56">
        <v>180.16200000000001</v>
      </c>
      <c r="F113" s="57">
        <v>6.8040000000000003</v>
      </c>
      <c r="G113" s="58"/>
      <c r="H113" s="58">
        <v>4140</v>
      </c>
      <c r="I113" s="58">
        <f t="shared" si="14"/>
        <v>20861.460000000065</v>
      </c>
      <c r="J113" s="58">
        <f t="shared" si="15"/>
        <v>608.58000000000095</v>
      </c>
      <c r="K113" s="59">
        <f t="shared" si="10"/>
        <v>2.9172454852153161E-2</v>
      </c>
      <c r="L113" s="58">
        <f t="shared" si="11"/>
        <v>608.58000000000095</v>
      </c>
      <c r="M113" s="59">
        <f t="shared" si="12"/>
        <v>2.9172454852153161E-2</v>
      </c>
      <c r="N113" s="60">
        <v>66068309</v>
      </c>
      <c r="O113" s="60">
        <f t="shared" si="13"/>
        <v>0</v>
      </c>
      <c r="P113" s="68" t="s">
        <v>46</v>
      </c>
      <c r="Q113" s="68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3">
        <v>44308</v>
      </c>
      <c r="D114" s="55">
        <v>0.14199999999999999</v>
      </c>
      <c r="E114" s="56">
        <v>185.22200000000001</v>
      </c>
      <c r="F114" s="57">
        <v>7.0170000000000003</v>
      </c>
      <c r="G114" s="58"/>
      <c r="H114" s="58">
        <v>4140</v>
      </c>
      <c r="I114" s="58">
        <f t="shared" si="14"/>
        <v>20948.400000000009</v>
      </c>
      <c r="J114" s="58">
        <f t="shared" si="15"/>
        <v>881.82000000000028</v>
      </c>
      <c r="K114" s="59">
        <f t="shared" si="10"/>
        <v>4.2094861660079044E-2</v>
      </c>
      <c r="L114" s="58">
        <f t="shared" si="11"/>
        <v>881.82000000000028</v>
      </c>
      <c r="M114" s="59">
        <f t="shared" si="12"/>
        <v>4.2094861660079044E-2</v>
      </c>
      <c r="N114" s="60">
        <v>66068309</v>
      </c>
      <c r="O114" s="60">
        <f t="shared" si="13"/>
        <v>0</v>
      </c>
      <c r="P114" s="69">
        <f>IF(J94="",0,+SUM(J94:J123)/SUM(I94:I123))</f>
        <v>4.0658511789591067E-2</v>
      </c>
      <c r="Q114" s="69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3">
        <v>44309</v>
      </c>
      <c r="D115" s="55">
        <v>0.14199999999999999</v>
      </c>
      <c r="E115" s="56">
        <v>190.05699999999999</v>
      </c>
      <c r="F115" s="57">
        <v>7.2220000000000004</v>
      </c>
      <c r="G115" s="58"/>
      <c r="H115" s="58">
        <v>4140</v>
      </c>
      <c r="I115" s="58">
        <f t="shared" si="14"/>
        <v>20016.899999999914</v>
      </c>
      <c r="J115" s="58">
        <f t="shared" si="15"/>
        <v>848.70000000000027</v>
      </c>
      <c r="K115" s="59">
        <f t="shared" si="10"/>
        <v>4.2399172699069482E-2</v>
      </c>
      <c r="L115" s="58">
        <f t="shared" si="11"/>
        <v>848.70000000000027</v>
      </c>
      <c r="M115" s="59">
        <f t="shared" si="12"/>
        <v>4.2399172699069482E-2</v>
      </c>
      <c r="N115" s="60">
        <v>66068309</v>
      </c>
      <c r="O115" s="60">
        <f t="shared" si="13"/>
        <v>0</v>
      </c>
      <c r="P115" s="70" t="e">
        <f>IF(J94="",0,+(+(LOOKUP(9.99999999999999E+307,E94:E123)-E93))/(+(LOOKUP(9.99999999999999E+307,D94:D123)-D93)))</f>
        <v>#DIV/0!</v>
      </c>
      <c r="Q115" s="70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4"/>
    </row>
    <row r="116" spans="1:20" ht="15.75" thickBot="1" x14ac:dyDescent="0.3">
      <c r="A116" s="53">
        <v>44310</v>
      </c>
      <c r="D116" s="55">
        <v>0.14199999999999999</v>
      </c>
      <c r="E116" s="56">
        <v>194.99299999999999</v>
      </c>
      <c r="F116" s="57">
        <v>7.6040000000000001</v>
      </c>
      <c r="G116" s="58"/>
      <c r="H116" s="58">
        <v>4140</v>
      </c>
      <c r="I116" s="58">
        <f>IF(D116="","",+(E116-E115)*4140)</f>
        <v>20435.04000000003</v>
      </c>
      <c r="J116" s="58">
        <f>IF(E116="","",+(F116-F115)*4140)</f>
        <v>1581.4799999999987</v>
      </c>
      <c r="K116" s="59">
        <f t="shared" si="10"/>
        <v>7.7390599675850713E-2</v>
      </c>
      <c r="L116" s="58">
        <f t="shared" si="11"/>
        <v>1581.4799999999987</v>
      </c>
      <c r="M116" s="59">
        <f t="shared" si="12"/>
        <v>7.7390599675850713E-2</v>
      </c>
      <c r="N116" s="60">
        <v>66068309</v>
      </c>
      <c r="O116" s="60">
        <f t="shared" si="13"/>
        <v>0</v>
      </c>
      <c r="P116" s="71" t="s">
        <v>48</v>
      </c>
      <c r="Q116" s="72" t="s">
        <v>49</v>
      </c>
      <c r="R116" s="20">
        <f t="shared" si="16"/>
        <v>1</v>
      </c>
      <c r="S116" s="20">
        <f t="shared" si="9"/>
        <v>0</v>
      </c>
      <c r="T116" s="64"/>
    </row>
    <row r="117" spans="1:20" ht="15.75" thickBot="1" x14ac:dyDescent="0.3">
      <c r="A117" s="53">
        <v>44311</v>
      </c>
      <c r="D117" s="55">
        <v>0.14199999999999999</v>
      </c>
      <c r="E117" s="56">
        <v>199.8</v>
      </c>
      <c r="F117" s="57">
        <v>7.4109999999999996</v>
      </c>
      <c r="G117" s="58"/>
      <c r="H117" s="58">
        <v>4140</v>
      </c>
      <c r="I117" s="58">
        <f>IF(D117="","",+(E117-E116)*4140)</f>
        <v>19900.980000000069</v>
      </c>
      <c r="J117" s="58">
        <f>IF(E117="","",+(F117-F116)*4140)</f>
        <v>-799.02000000000214</v>
      </c>
      <c r="K117" s="59">
        <f t="shared" si="10"/>
        <v>-4.0149781568545838E-2</v>
      </c>
      <c r="L117" s="58">
        <f t="shared" si="11"/>
        <v>-799.02000000000214</v>
      </c>
      <c r="M117" s="59">
        <f t="shared" si="12"/>
        <v>-4.0149781568545838E-2</v>
      </c>
      <c r="N117" s="60">
        <v>66068309</v>
      </c>
      <c r="O117" s="60">
        <f t="shared" si="13"/>
        <v>0</v>
      </c>
      <c r="P117" s="73">
        <f>IF(N93="",0,+(LOOKUP(9.99999999999999E+307,N93:N123)-N93))</f>
        <v>0</v>
      </c>
      <c r="Q117" s="74">
        <f>IF(P117="",0,+P117/SUM(R94:R123))</f>
        <v>0</v>
      </c>
      <c r="R117" s="20">
        <f t="shared" si="16"/>
        <v>1</v>
      </c>
      <c r="S117" s="20">
        <f t="shared" si="9"/>
        <v>0</v>
      </c>
      <c r="T117" s="64"/>
    </row>
    <row r="118" spans="1:20" ht="15.75" thickBot="1" x14ac:dyDescent="0.3">
      <c r="A118" s="53">
        <v>44312</v>
      </c>
      <c r="D118" s="55">
        <v>0.14199999999999999</v>
      </c>
      <c r="E118" s="56">
        <v>204.8</v>
      </c>
      <c r="F118" s="57">
        <v>7.8280000000000003</v>
      </c>
      <c r="G118" s="58"/>
      <c r="H118" s="58">
        <v>4140</v>
      </c>
      <c r="I118" s="58">
        <f>IF(D118="","",+(E118-E117)*4140)</f>
        <v>20700</v>
      </c>
      <c r="J118" s="58">
        <f t="shared" si="15"/>
        <v>1726.3800000000028</v>
      </c>
      <c r="K118" s="59">
        <f t="shared" si="10"/>
        <v>8.3400000000000141E-2</v>
      </c>
      <c r="L118" s="58">
        <f t="shared" si="11"/>
        <v>1726.3800000000028</v>
      </c>
      <c r="M118" s="59">
        <f t="shared" si="12"/>
        <v>8.3400000000000141E-2</v>
      </c>
      <c r="N118" s="60">
        <v>66068309</v>
      </c>
      <c r="O118" s="60">
        <f t="shared" si="13"/>
        <v>0</v>
      </c>
      <c r="P118" s="75" t="s">
        <v>50</v>
      </c>
      <c r="Q118" s="76" t="s">
        <v>58</v>
      </c>
      <c r="R118" s="20">
        <f t="shared" si="16"/>
        <v>1</v>
      </c>
      <c r="S118" s="20">
        <f t="shared" si="9"/>
        <v>0</v>
      </c>
      <c r="T118" s="64"/>
    </row>
    <row r="119" spans="1:20" ht="15.75" thickBot="1" x14ac:dyDescent="0.3">
      <c r="A119" s="53">
        <v>44313</v>
      </c>
      <c r="D119" s="55">
        <v>0.14199999999999999</v>
      </c>
      <c r="E119" s="56">
        <v>209.70599999999999</v>
      </c>
      <c r="F119" s="57">
        <v>7.99</v>
      </c>
      <c r="G119" s="58"/>
      <c r="H119" s="58">
        <v>4140</v>
      </c>
      <c r="I119" s="58">
        <f t="shared" si="14"/>
        <v>20310.839999999906</v>
      </c>
      <c r="J119" s="58">
        <f t="shared" si="15"/>
        <v>670.67999999999972</v>
      </c>
      <c r="K119" s="59">
        <f t="shared" si="10"/>
        <v>3.3020790868324643E-2</v>
      </c>
      <c r="L119" s="58">
        <f t="shared" si="11"/>
        <v>670.67999999999972</v>
      </c>
      <c r="M119" s="59">
        <f t="shared" si="12"/>
        <v>3.3020790868324643E-2</v>
      </c>
      <c r="N119" s="60">
        <v>66068309</v>
      </c>
      <c r="O119" s="60">
        <f t="shared" si="13"/>
        <v>0</v>
      </c>
      <c r="P119" s="77">
        <f>IF(D93="",0,+(LOOKUP(9.99999999999999E+307,D93:D123)-D93))*4140</f>
        <v>0</v>
      </c>
      <c r="Q119" s="78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3">
        <v>44314</v>
      </c>
      <c r="D120" s="55">
        <v>0.14199999999999999</v>
      </c>
      <c r="E120" s="56">
        <v>214.78899999999999</v>
      </c>
      <c r="F120" s="57">
        <v>8.1790000000000003</v>
      </c>
      <c r="G120" s="58"/>
      <c r="H120" s="58">
        <v>4140</v>
      </c>
      <c r="I120" s="58">
        <f t="shared" si="14"/>
        <v>21043.619999999992</v>
      </c>
      <c r="J120" s="58">
        <f t="shared" si="15"/>
        <v>782.46000000000026</v>
      </c>
      <c r="K120" s="59">
        <f t="shared" si="10"/>
        <v>3.7182766083021866E-2</v>
      </c>
      <c r="L120" s="58">
        <f t="shared" si="11"/>
        <v>782.46000000000026</v>
      </c>
      <c r="M120" s="59">
        <f t="shared" si="12"/>
        <v>3.7182766083021866E-2</v>
      </c>
      <c r="N120" s="60">
        <v>66068309</v>
      </c>
      <c r="O120" s="60">
        <f t="shared" si="13"/>
        <v>0</v>
      </c>
      <c r="P120" s="79" t="s">
        <v>52</v>
      </c>
      <c r="Q120" s="80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3">
        <v>44315</v>
      </c>
      <c r="D121" s="55">
        <v>0.14199999999999999</v>
      </c>
      <c r="E121" s="56">
        <v>220.12299999999999</v>
      </c>
      <c r="F121" s="57">
        <v>8.4190000000000005</v>
      </c>
      <c r="G121" s="58"/>
      <c r="H121" s="58">
        <v>4140</v>
      </c>
      <c r="I121" s="58">
        <f t="shared" si="14"/>
        <v>22082.760000000013</v>
      </c>
      <c r="J121" s="58">
        <f t="shared" si="15"/>
        <v>993.60000000000093</v>
      </c>
      <c r="K121" s="59">
        <f t="shared" si="10"/>
        <v>4.4994375703037139E-2</v>
      </c>
      <c r="L121" s="58">
        <f t="shared" si="11"/>
        <v>993.60000000000093</v>
      </c>
      <c r="M121" s="59">
        <f t="shared" si="12"/>
        <v>4.4994375703037139E-2</v>
      </c>
      <c r="N121" s="60">
        <v>66068309</v>
      </c>
      <c r="O121" s="60">
        <f t="shared" si="13"/>
        <v>0</v>
      </c>
      <c r="P121" s="81">
        <f>P119*Q124</f>
        <v>0</v>
      </c>
      <c r="Q121" s="82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4"/>
    </row>
    <row r="122" spans="1:20" ht="15.75" thickBot="1" x14ac:dyDescent="0.3">
      <c r="A122" s="53">
        <v>44316</v>
      </c>
      <c r="D122" s="55">
        <v>0.14199999999999999</v>
      </c>
      <c r="E122" s="56">
        <v>225.06100000000001</v>
      </c>
      <c r="F122" s="57">
        <v>8.6669999999999998</v>
      </c>
      <c r="G122" s="58"/>
      <c r="H122" s="58">
        <v>4140</v>
      </c>
      <c r="I122" s="58">
        <f t="shared" si="14"/>
        <v>20443.320000000069</v>
      </c>
      <c r="J122" s="58">
        <f t="shared" si="15"/>
        <v>1026.7199999999973</v>
      </c>
      <c r="K122" s="59">
        <f t="shared" si="10"/>
        <v>5.0222762251923556E-2</v>
      </c>
      <c r="L122" s="58">
        <f t="shared" si="11"/>
        <v>1026.7199999999973</v>
      </c>
      <c r="M122" s="59">
        <f t="shared" si="12"/>
        <v>5.0222762251923556E-2</v>
      </c>
      <c r="N122" s="60">
        <v>66068309</v>
      </c>
      <c r="O122" s="60">
        <f t="shared" si="13"/>
        <v>0</v>
      </c>
      <c r="P122" s="84" t="s">
        <v>54</v>
      </c>
      <c r="Q122" s="85" t="s">
        <v>55</v>
      </c>
      <c r="R122" s="20">
        <f t="shared" si="16"/>
        <v>1</v>
      </c>
      <c r="S122" s="20">
        <f t="shared" si="9"/>
        <v>0</v>
      </c>
      <c r="T122" s="64"/>
    </row>
    <row r="123" spans="1:20" ht="15.75" thickBot="1" x14ac:dyDescent="0.3">
      <c r="A123" s="53">
        <v>44317</v>
      </c>
      <c r="D123" s="55">
        <v>0.14199999999999999</v>
      </c>
      <c r="E123" s="56">
        <v>230.29499999999999</v>
      </c>
      <c r="F123" s="57">
        <v>8.9</v>
      </c>
      <c r="G123" s="89"/>
      <c r="H123" s="58">
        <v>4140</v>
      </c>
      <c r="I123" s="58">
        <f t="shared" si="14"/>
        <v>21668.759999999918</v>
      </c>
      <c r="J123" s="58">
        <f t="shared" si="15"/>
        <v>964.62000000000228</v>
      </c>
      <c r="K123" s="59">
        <f t="shared" si="10"/>
        <v>4.4516622086358697E-2</v>
      </c>
      <c r="L123" s="58">
        <f t="shared" si="11"/>
        <v>964.62000000000228</v>
      </c>
      <c r="M123" s="59">
        <f t="shared" si="12"/>
        <v>4.4516622086358697E-2</v>
      </c>
      <c r="N123" s="90">
        <v>66068309</v>
      </c>
      <c r="O123" s="91">
        <f t="shared" si="13"/>
        <v>0</v>
      </c>
      <c r="P123" s="92">
        <f>(P121+Q119*SUM(S94:S123)*Q124)</f>
        <v>0</v>
      </c>
      <c r="Q123" s="93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3">
        <v>44318</v>
      </c>
      <c r="D124" s="55">
        <v>0.14199999999999999</v>
      </c>
      <c r="E124" s="56">
        <v>235.566</v>
      </c>
      <c r="F124" s="57">
        <v>9.0809999999999995</v>
      </c>
      <c r="G124" s="58"/>
      <c r="H124" s="58">
        <v>4140</v>
      </c>
      <c r="I124" s="58">
        <f t="shared" si="14"/>
        <v>21821.940000000061</v>
      </c>
      <c r="J124" s="58">
        <f t="shared" si="15"/>
        <v>749.33999999999651</v>
      </c>
      <c r="K124" s="59">
        <f t="shared" si="10"/>
        <v>3.433883513564763E-2</v>
      </c>
      <c r="L124" s="58">
        <f t="shared" si="11"/>
        <v>749.33999999999651</v>
      </c>
      <c r="M124" s="59">
        <f t="shared" si="12"/>
        <v>3.433883513564763E-2</v>
      </c>
      <c r="N124" s="60">
        <v>66068309</v>
      </c>
      <c r="O124" s="60">
        <f t="shared" si="13"/>
        <v>0</v>
      </c>
      <c r="P124" s="94" t="s">
        <v>56</v>
      </c>
      <c r="Q124" s="95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3">
        <v>44319</v>
      </c>
      <c r="D125" s="55">
        <v>0.14199999999999999</v>
      </c>
      <c r="E125" s="56">
        <v>240.71600000000001</v>
      </c>
      <c r="F125" s="57">
        <v>9.2680000000000007</v>
      </c>
      <c r="G125" s="58"/>
      <c r="H125" s="58">
        <v>4140</v>
      </c>
      <c r="I125" s="58">
        <f t="shared" si="14"/>
        <v>21321.000000000022</v>
      </c>
      <c r="J125" s="58">
        <f t="shared" si="15"/>
        <v>774.18000000000484</v>
      </c>
      <c r="K125" s="59">
        <f t="shared" si="10"/>
        <v>3.6310679611650673E-2</v>
      </c>
      <c r="L125" s="58">
        <f t="shared" si="11"/>
        <v>774.18000000000484</v>
      </c>
      <c r="M125" s="59">
        <f t="shared" si="12"/>
        <v>3.6310679611650673E-2</v>
      </c>
      <c r="N125" s="60">
        <v>66068309</v>
      </c>
      <c r="O125" s="60">
        <f t="shared" si="13"/>
        <v>0</v>
      </c>
      <c r="P125" s="61"/>
      <c r="Q125" s="102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3">
        <v>44320</v>
      </c>
      <c r="D126" s="55">
        <v>0.14199999999999999</v>
      </c>
      <c r="E126" s="56">
        <v>245.99700000000001</v>
      </c>
      <c r="F126" s="57">
        <v>9.4809999999999999</v>
      </c>
      <c r="G126" s="58"/>
      <c r="H126" s="58">
        <v>4140</v>
      </c>
      <c r="I126" s="58">
        <f t="shared" si="14"/>
        <v>21863.340000000026</v>
      </c>
      <c r="J126" s="58">
        <f t="shared" si="15"/>
        <v>881.81999999999664</v>
      </c>
      <c r="K126" s="59">
        <f t="shared" si="10"/>
        <v>4.0333270213974426E-2</v>
      </c>
      <c r="L126" s="58">
        <f t="shared" si="11"/>
        <v>881.81999999999664</v>
      </c>
      <c r="M126" s="59">
        <f t="shared" si="12"/>
        <v>4.0333270213974426E-2</v>
      </c>
      <c r="N126" s="60">
        <v>66068309</v>
      </c>
      <c r="O126" s="60">
        <f t="shared" si="13"/>
        <v>0</v>
      </c>
      <c r="P126" s="98"/>
      <c r="Q126" s="99"/>
      <c r="R126" s="20">
        <f t="shared" si="16"/>
        <v>1</v>
      </c>
      <c r="S126" s="20">
        <f t="shared" si="9"/>
        <v>0</v>
      </c>
      <c r="T126" s="64"/>
    </row>
    <row r="127" spans="1:20" ht="15.75" thickBot="1" x14ac:dyDescent="0.3">
      <c r="A127" s="53">
        <v>44321</v>
      </c>
      <c r="D127" s="55">
        <v>0.14199999999999999</v>
      </c>
      <c r="E127" s="56">
        <v>251.00700000000001</v>
      </c>
      <c r="F127" s="57">
        <v>9.673</v>
      </c>
      <c r="G127" s="58"/>
      <c r="H127" s="58">
        <v>4140</v>
      </c>
      <c r="I127" s="58">
        <f t="shared" si="14"/>
        <v>20741.399999999961</v>
      </c>
      <c r="J127" s="58">
        <f t="shared" si="15"/>
        <v>794.88000000000068</v>
      </c>
      <c r="K127" s="59">
        <f t="shared" si="10"/>
        <v>3.8323353293413277E-2</v>
      </c>
      <c r="L127" s="58">
        <f t="shared" si="11"/>
        <v>794.88000000000068</v>
      </c>
      <c r="M127" s="59">
        <f t="shared" si="12"/>
        <v>3.8323353293413277E-2</v>
      </c>
      <c r="N127" s="60">
        <v>66068309</v>
      </c>
      <c r="O127" s="60">
        <f t="shared" si="13"/>
        <v>0</v>
      </c>
      <c r="P127" s="100"/>
      <c r="Q127" s="101"/>
      <c r="R127" s="20">
        <f t="shared" si="16"/>
        <v>1</v>
      </c>
      <c r="S127" s="20">
        <f t="shared" si="9"/>
        <v>0</v>
      </c>
      <c r="T127" s="64"/>
    </row>
    <row r="128" spans="1:20" ht="15.75" thickBot="1" x14ac:dyDescent="0.3">
      <c r="A128" s="53">
        <v>44322</v>
      </c>
      <c r="D128" s="55">
        <v>0.14199999999999999</v>
      </c>
      <c r="E128" s="56">
        <v>255.94300000000001</v>
      </c>
      <c r="F128" s="57">
        <v>9.9130000000000003</v>
      </c>
      <c r="G128" s="58"/>
      <c r="H128" s="58">
        <v>4140</v>
      </c>
      <c r="I128" s="58">
        <f t="shared" si="14"/>
        <v>20435.04000000003</v>
      </c>
      <c r="J128" s="58">
        <f t="shared" si="15"/>
        <v>993.60000000000093</v>
      </c>
      <c r="K128" s="59">
        <f t="shared" si="10"/>
        <v>4.8622366288492681E-2</v>
      </c>
      <c r="L128" s="58">
        <f t="shared" si="11"/>
        <v>993.60000000000093</v>
      </c>
      <c r="M128" s="59">
        <f t="shared" si="12"/>
        <v>4.8622366288492681E-2</v>
      </c>
      <c r="N128" s="60">
        <v>66068309</v>
      </c>
      <c r="O128" s="60">
        <f t="shared" si="13"/>
        <v>0</v>
      </c>
      <c r="P128" s="100"/>
      <c r="Q128" s="99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3">
        <v>44323</v>
      </c>
      <c r="D129" s="55">
        <v>0.14199999999999999</v>
      </c>
      <c r="E129" s="56">
        <v>261.34899999999999</v>
      </c>
      <c r="F129" s="57">
        <v>10.148</v>
      </c>
      <c r="G129" s="58"/>
      <c r="H129" s="58">
        <v>4140</v>
      </c>
      <c r="I129" s="58">
        <f t="shared" si="14"/>
        <v>22380.839999999906</v>
      </c>
      <c r="J129" s="58">
        <f t="shared" si="15"/>
        <v>972.89999999999759</v>
      </c>
      <c r="K129" s="59">
        <f t="shared" si="10"/>
        <v>4.3470218275989715E-2</v>
      </c>
      <c r="L129" s="58">
        <f t="shared" si="11"/>
        <v>972.89999999999759</v>
      </c>
      <c r="M129" s="59">
        <f t="shared" si="12"/>
        <v>4.3470218275989715E-2</v>
      </c>
      <c r="N129" s="60">
        <v>66068309</v>
      </c>
      <c r="O129" s="60">
        <f t="shared" si="13"/>
        <v>0</v>
      </c>
      <c r="P129" s="61"/>
      <c r="Q129" s="62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3">
        <v>44324</v>
      </c>
      <c r="D130" s="55">
        <v>0.14199999999999999</v>
      </c>
      <c r="E130" s="56">
        <v>266.37400000000002</v>
      </c>
      <c r="F130" s="57">
        <v>10.279</v>
      </c>
      <c r="G130" s="58"/>
      <c r="H130" s="58">
        <v>4140</v>
      </c>
      <c r="I130" s="58">
        <f t="shared" si="14"/>
        <v>20803.500000000142</v>
      </c>
      <c r="J130" s="58">
        <f t="shared" si="15"/>
        <v>542.34000000000094</v>
      </c>
      <c r="K130" s="59">
        <f t="shared" si="10"/>
        <v>2.6069651741293401E-2</v>
      </c>
      <c r="L130" s="58">
        <f t="shared" si="11"/>
        <v>542.34000000000094</v>
      </c>
      <c r="M130" s="59">
        <f t="shared" si="12"/>
        <v>2.6069651741293401E-2</v>
      </c>
      <c r="N130" s="60">
        <v>66068309</v>
      </c>
      <c r="O130" s="60">
        <f t="shared" si="13"/>
        <v>0</v>
      </c>
      <c r="P130" s="61"/>
      <c r="Q130" s="62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3">
        <v>44325</v>
      </c>
      <c r="D131" s="55">
        <v>0.14199999999999999</v>
      </c>
      <c r="E131" s="56">
        <v>270.89100000000002</v>
      </c>
      <c r="F131" s="57">
        <v>10.429</v>
      </c>
      <c r="G131" s="58"/>
      <c r="H131" s="58">
        <v>4140</v>
      </c>
      <c r="I131" s="58">
        <f t="shared" si="14"/>
        <v>18700.379999999983</v>
      </c>
      <c r="J131" s="58">
        <f t="shared" si="15"/>
        <v>621.00000000000148</v>
      </c>
      <c r="K131" s="59">
        <f t="shared" si="10"/>
        <v>3.32078813371708E-2</v>
      </c>
      <c r="L131" s="58">
        <f t="shared" si="11"/>
        <v>621.00000000000148</v>
      </c>
      <c r="M131" s="59">
        <f t="shared" si="12"/>
        <v>3.32078813371708E-2</v>
      </c>
      <c r="N131" s="60">
        <v>66068309</v>
      </c>
      <c r="O131" s="60">
        <f t="shared" si="13"/>
        <v>0</v>
      </c>
      <c r="P131" s="61"/>
      <c r="Q131" s="63"/>
      <c r="R131" s="20">
        <f t="shared" si="16"/>
        <v>1</v>
      </c>
      <c r="S131" s="20">
        <f t="shared" si="9"/>
        <v>0</v>
      </c>
      <c r="T131" s="64"/>
    </row>
    <row r="132" spans="1:20" ht="15.75" thickBot="1" x14ac:dyDescent="0.3">
      <c r="A132" s="53">
        <v>44326</v>
      </c>
      <c r="D132" s="55">
        <v>0.14199999999999999</v>
      </c>
      <c r="E132" s="56">
        <v>275.59699999999998</v>
      </c>
      <c r="F132" s="57">
        <v>10.613</v>
      </c>
      <c r="G132" s="58"/>
      <c r="H132" s="58">
        <v>4140</v>
      </c>
      <c r="I132" s="58">
        <f t="shared" si="14"/>
        <v>19482.839999999836</v>
      </c>
      <c r="J132" s="58">
        <f t="shared" si="15"/>
        <v>761.75999999999704</v>
      </c>
      <c r="K132" s="59">
        <f t="shared" si="10"/>
        <v>3.9099022524437067E-2</v>
      </c>
      <c r="L132" s="58">
        <f t="shared" si="11"/>
        <v>761.75999999999704</v>
      </c>
      <c r="M132" s="59">
        <f t="shared" si="12"/>
        <v>3.9099022524437067E-2</v>
      </c>
      <c r="N132" s="60">
        <v>66068309</v>
      </c>
      <c r="O132" s="60">
        <f>IF(N132="","",N132-N131)</f>
        <v>0</v>
      </c>
      <c r="P132" s="61"/>
      <c r="Q132" s="63"/>
      <c r="R132" s="20">
        <f t="shared" si="16"/>
        <v>1</v>
      </c>
      <c r="S132" s="20">
        <f t="shared" si="9"/>
        <v>0</v>
      </c>
      <c r="T132" s="64"/>
    </row>
    <row r="133" spans="1:20" ht="15.75" thickBot="1" x14ac:dyDescent="0.3">
      <c r="A133" s="53">
        <v>44327</v>
      </c>
      <c r="D133" s="55">
        <v>0.14199999999999999</v>
      </c>
      <c r="E133" s="56">
        <v>280.60500000000002</v>
      </c>
      <c r="F133" s="57">
        <v>10.787000000000001</v>
      </c>
      <c r="G133" s="58"/>
      <c r="H133" s="58">
        <v>4140</v>
      </c>
      <c r="I133" s="58">
        <f t="shared" si="14"/>
        <v>20733.120000000159</v>
      </c>
      <c r="J133" s="58">
        <f t="shared" si="15"/>
        <v>720.36000000000524</v>
      </c>
      <c r="K133" s="59">
        <f t="shared" si="10"/>
        <v>3.4744408945686887E-2</v>
      </c>
      <c r="L133" s="58">
        <f t="shared" si="11"/>
        <v>720.36000000000524</v>
      </c>
      <c r="M133" s="59">
        <f t="shared" si="12"/>
        <v>3.4744408945686887E-2</v>
      </c>
      <c r="N133" s="60">
        <v>66068309</v>
      </c>
      <c r="O133" s="60">
        <f>IF(N133="","",N133-N132)</f>
        <v>0</v>
      </c>
      <c r="P133" s="61"/>
      <c r="Q133" s="63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3">
        <v>44328</v>
      </c>
      <c r="D134" s="55">
        <v>0.14199999999999999</v>
      </c>
      <c r="E134" s="56">
        <v>285.303</v>
      </c>
      <c r="F134" s="57">
        <v>10.965999999999999</v>
      </c>
      <c r="G134" s="58"/>
      <c r="H134" s="58">
        <v>4140</v>
      </c>
      <c r="I134" s="58">
        <f t="shared" si="14"/>
        <v>19449.719999999914</v>
      </c>
      <c r="J134" s="58">
        <f t="shared" si="15"/>
        <v>741.05999999999381</v>
      </c>
      <c r="K134" s="59">
        <f t="shared" si="10"/>
        <v>3.8101319710514961E-2</v>
      </c>
      <c r="L134" s="58">
        <f t="shared" si="11"/>
        <v>741.05999999999381</v>
      </c>
      <c r="M134" s="59">
        <f t="shared" si="12"/>
        <v>3.8101319710514961E-2</v>
      </c>
      <c r="N134" s="60">
        <v>66068309</v>
      </c>
      <c r="O134" s="60">
        <f t="shared" ref="O134:O197" si="17">IF(N134="","",N134-N133)</f>
        <v>0</v>
      </c>
      <c r="P134" s="61"/>
      <c r="Q134" s="62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3">
        <v>44329</v>
      </c>
      <c r="D135" s="55">
        <v>0.14199999999999999</v>
      </c>
      <c r="E135" s="56">
        <v>289.959</v>
      </c>
      <c r="F135" s="57">
        <v>11.135999999999999</v>
      </c>
      <c r="G135" s="58"/>
      <c r="H135" s="58">
        <v>4140</v>
      </c>
      <c r="I135" s="58">
        <f t="shared" si="14"/>
        <v>19275.840000000026</v>
      </c>
      <c r="J135" s="58">
        <f t="shared" si="15"/>
        <v>703.79999999999973</v>
      </c>
      <c r="K135" s="59">
        <f t="shared" si="10"/>
        <v>3.6512027491408874E-2</v>
      </c>
      <c r="L135" s="58">
        <f t="shared" si="11"/>
        <v>703.79999999999973</v>
      </c>
      <c r="M135" s="59">
        <f t="shared" si="12"/>
        <v>3.6512027491408874E-2</v>
      </c>
      <c r="N135" s="60">
        <v>66068309</v>
      </c>
      <c r="O135" s="60">
        <f t="shared" si="17"/>
        <v>0</v>
      </c>
      <c r="P135" s="61"/>
      <c r="Q135" s="62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3">
        <v>44330</v>
      </c>
      <c r="D136" s="55">
        <v>0.14199999999999999</v>
      </c>
      <c r="E136" s="56">
        <v>295.416</v>
      </c>
      <c r="F136" s="57">
        <v>11.331</v>
      </c>
      <c r="G136" s="58"/>
      <c r="H136" s="58">
        <v>4140</v>
      </c>
      <c r="I136" s="58">
        <f t="shared" si="14"/>
        <v>22591.979999999974</v>
      </c>
      <c r="J136" s="58">
        <f t="shared" si="15"/>
        <v>807.30000000000121</v>
      </c>
      <c r="K136" s="59">
        <f t="shared" si="10"/>
        <v>3.5733919736118842E-2</v>
      </c>
      <c r="L136" s="58">
        <f t="shared" si="11"/>
        <v>807.30000000000121</v>
      </c>
      <c r="M136" s="59">
        <f t="shared" si="12"/>
        <v>3.5733919736118842E-2</v>
      </c>
      <c r="N136" s="60">
        <v>66068309</v>
      </c>
      <c r="O136" s="60">
        <f t="shared" si="17"/>
        <v>0</v>
      </c>
      <c r="P136" s="61"/>
      <c r="Q136" s="63"/>
      <c r="R136" s="20">
        <f t="shared" si="16"/>
        <v>1</v>
      </c>
      <c r="S136" s="20">
        <f t="shared" ref="S136:S199" si="18">IF(N136="",1,0)</f>
        <v>0</v>
      </c>
      <c r="T136" s="64"/>
    </row>
    <row r="137" spans="1:20" ht="15.75" thickBot="1" x14ac:dyDescent="0.3">
      <c r="A137" s="53">
        <v>44331</v>
      </c>
      <c r="D137" s="55">
        <v>0.14199999999999999</v>
      </c>
      <c r="E137" s="56">
        <v>300.64299999999997</v>
      </c>
      <c r="F137" s="57">
        <v>11.541</v>
      </c>
      <c r="G137" s="58"/>
      <c r="H137" s="58">
        <v>4140</v>
      </c>
      <c r="I137" s="58">
        <f t="shared" si="14"/>
        <v>21639.779999999897</v>
      </c>
      <c r="J137" s="58">
        <f t="shared" si="15"/>
        <v>869.4000000000035</v>
      </c>
      <c r="K137" s="59">
        <f t="shared" si="10"/>
        <v>4.0176009183088168E-2</v>
      </c>
      <c r="L137" s="58">
        <f t="shared" si="11"/>
        <v>869.4000000000035</v>
      </c>
      <c r="M137" s="59">
        <f t="shared" si="12"/>
        <v>4.0176009183088168E-2</v>
      </c>
      <c r="N137" s="60">
        <v>66068309</v>
      </c>
      <c r="O137" s="60">
        <f t="shared" si="17"/>
        <v>0</v>
      </c>
      <c r="P137" s="61"/>
      <c r="Q137" s="63"/>
      <c r="R137" s="20">
        <f t="shared" si="16"/>
        <v>1</v>
      </c>
      <c r="S137" s="20">
        <f t="shared" si="18"/>
        <v>0</v>
      </c>
      <c r="T137" s="64"/>
    </row>
    <row r="138" spans="1:20" ht="15.75" thickBot="1" x14ac:dyDescent="0.3">
      <c r="A138" s="53">
        <v>44332</v>
      </c>
      <c r="D138" s="55">
        <v>0.14199999999999999</v>
      </c>
      <c r="E138" s="56">
        <v>305.41500000000002</v>
      </c>
      <c r="F138" s="57">
        <v>11.718</v>
      </c>
      <c r="G138" s="58"/>
      <c r="H138" s="58">
        <v>4140</v>
      </c>
      <c r="I138" s="58">
        <f t="shared" si="14"/>
        <v>19756.080000000198</v>
      </c>
      <c r="J138" s="58">
        <f t="shared" si="15"/>
        <v>732.77999999999838</v>
      </c>
      <c r="K138" s="59">
        <f t="shared" si="10"/>
        <v>3.7091366303436263E-2</v>
      </c>
      <c r="L138" s="58">
        <f t="shared" si="11"/>
        <v>732.77999999999838</v>
      </c>
      <c r="M138" s="59">
        <f t="shared" si="12"/>
        <v>3.7091366303436263E-2</v>
      </c>
      <c r="N138" s="60">
        <v>66068309</v>
      </c>
      <c r="O138" s="60">
        <f t="shared" si="17"/>
        <v>0</v>
      </c>
      <c r="P138" s="61"/>
      <c r="Q138" s="62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3">
        <v>44333</v>
      </c>
      <c r="D139" s="55">
        <v>0.14199999999999999</v>
      </c>
      <c r="E139" s="56">
        <v>310.94</v>
      </c>
      <c r="F139" s="57">
        <v>11.944000000000001</v>
      </c>
      <c r="G139" s="58"/>
      <c r="H139" s="58">
        <v>4140</v>
      </c>
      <c r="I139" s="58">
        <f t="shared" si="14"/>
        <v>22873.499999999905</v>
      </c>
      <c r="J139" s="58">
        <f t="shared" si="15"/>
        <v>935.64000000000362</v>
      </c>
      <c r="K139" s="59">
        <f t="shared" si="10"/>
        <v>4.0904977375565942E-2</v>
      </c>
      <c r="L139" s="58">
        <f t="shared" si="11"/>
        <v>935.64000000000362</v>
      </c>
      <c r="M139" s="59">
        <f t="shared" si="12"/>
        <v>4.0904977375565942E-2</v>
      </c>
      <c r="N139" s="60">
        <v>66068309</v>
      </c>
      <c r="O139" s="60">
        <f t="shared" si="17"/>
        <v>0</v>
      </c>
      <c r="P139" s="61"/>
      <c r="Q139" s="62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3">
        <v>44334</v>
      </c>
      <c r="D140" s="55">
        <v>0.14199999999999999</v>
      </c>
      <c r="E140" s="56">
        <v>316.27800000000002</v>
      </c>
      <c r="F140" s="57">
        <v>12.167999999999999</v>
      </c>
      <c r="G140" s="58"/>
      <c r="H140" s="58">
        <v>4140</v>
      </c>
      <c r="I140" s="58">
        <f t="shared" si="14"/>
        <v>22099.320000000091</v>
      </c>
      <c r="J140" s="58">
        <f t="shared" si="15"/>
        <v>927.35999999999342</v>
      </c>
      <c r="K140" s="59">
        <f t="shared" si="10"/>
        <v>4.1963282128137408E-2</v>
      </c>
      <c r="L140" s="58">
        <f t="shared" si="11"/>
        <v>927.35999999999342</v>
      </c>
      <c r="M140" s="59">
        <f t="shared" si="12"/>
        <v>4.1963282128137408E-2</v>
      </c>
      <c r="N140" s="60">
        <v>66068309</v>
      </c>
      <c r="O140" s="60">
        <f t="shared" si="17"/>
        <v>0</v>
      </c>
      <c r="P140" s="61"/>
      <c r="Q140" s="62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3">
        <v>44335</v>
      </c>
      <c r="D141" s="55">
        <v>0.14199999999999999</v>
      </c>
      <c r="E141" s="56">
        <v>321.38499999999999</v>
      </c>
      <c r="F141" s="57">
        <v>12.362</v>
      </c>
      <c r="G141" s="58"/>
      <c r="H141" s="58">
        <v>4140</v>
      </c>
      <c r="I141" s="58">
        <f t="shared" si="14"/>
        <v>21142.97999999988</v>
      </c>
      <c r="J141" s="58">
        <f t="shared" si="15"/>
        <v>803.16000000000349</v>
      </c>
      <c r="K141" s="59">
        <f t="shared" ref="K141:K204" si="19">IF(J141="","",+(J141/I141))</f>
        <v>3.7987076561582525E-2</v>
      </c>
      <c r="L141" s="58">
        <f t="shared" ref="L141:L204" si="20">IF(F141="","",+(F141-F140)*4140)</f>
        <v>803.16000000000349</v>
      </c>
      <c r="M141" s="59">
        <f t="shared" ref="M141:M204" si="21">IF(L141="","",(L141/I141))</f>
        <v>3.7987076561582525E-2</v>
      </c>
      <c r="N141" s="60">
        <v>66068309</v>
      </c>
      <c r="O141" s="60">
        <f t="shared" si="17"/>
        <v>0</v>
      </c>
      <c r="P141" s="61"/>
      <c r="Q141" s="102"/>
      <c r="R141" s="20">
        <f t="shared" si="16"/>
        <v>1</v>
      </c>
      <c r="S141" s="20">
        <f t="shared" si="18"/>
        <v>0</v>
      </c>
      <c r="T141" s="64"/>
    </row>
    <row r="142" spans="1:20" ht="15.75" thickBot="1" x14ac:dyDescent="0.3">
      <c r="A142" s="53">
        <v>44336</v>
      </c>
      <c r="D142" s="55">
        <v>0.14199999999999999</v>
      </c>
      <c r="E142" s="56">
        <v>327.31900000000002</v>
      </c>
      <c r="F142" s="57">
        <v>12.587999999999999</v>
      </c>
      <c r="G142" s="58"/>
      <c r="H142" s="58">
        <v>4140</v>
      </c>
      <c r="I142" s="58">
        <f t="shared" si="14"/>
        <v>24566.760000000108</v>
      </c>
      <c r="J142" s="58">
        <f t="shared" si="15"/>
        <v>935.63999999999623</v>
      </c>
      <c r="K142" s="59">
        <f t="shared" si="19"/>
        <v>3.8085608358611071E-2</v>
      </c>
      <c r="L142" s="58">
        <f t="shared" si="20"/>
        <v>935.63999999999623</v>
      </c>
      <c r="M142" s="59">
        <f t="shared" si="21"/>
        <v>3.8085608358611071E-2</v>
      </c>
      <c r="N142" s="60">
        <v>66068309</v>
      </c>
      <c r="O142" s="60">
        <f t="shared" si="17"/>
        <v>0</v>
      </c>
      <c r="P142" s="191" t="s">
        <v>62</v>
      </c>
      <c r="Q142" s="192"/>
      <c r="R142" s="20">
        <f t="shared" si="16"/>
        <v>1</v>
      </c>
      <c r="S142" s="20">
        <f t="shared" si="18"/>
        <v>0</v>
      </c>
      <c r="T142" s="64"/>
    </row>
    <row r="143" spans="1:20" ht="15.75" thickBot="1" x14ac:dyDescent="0.3">
      <c r="A143" s="53">
        <v>44337</v>
      </c>
      <c r="D143" s="55">
        <v>0.14199999999999999</v>
      </c>
      <c r="E143" s="56">
        <v>332.46199999999999</v>
      </c>
      <c r="F143" s="57">
        <v>13.85</v>
      </c>
      <c r="G143" s="58"/>
      <c r="H143" s="58">
        <v>4140</v>
      </c>
      <c r="I143" s="58">
        <f t="shared" si="14"/>
        <v>21292.019999999884</v>
      </c>
      <c r="J143" s="58">
        <f t="shared" si="15"/>
        <v>5224.6800000000021</v>
      </c>
      <c r="K143" s="59">
        <f t="shared" si="19"/>
        <v>0.24538207272020365</v>
      </c>
      <c r="L143" s="58">
        <f t="shared" si="20"/>
        <v>5224.6800000000021</v>
      </c>
      <c r="M143" s="59">
        <f t="shared" si="21"/>
        <v>0.24538207272020365</v>
      </c>
      <c r="N143" s="60">
        <v>66068309</v>
      </c>
      <c r="O143" s="60">
        <f t="shared" si="17"/>
        <v>0</v>
      </c>
      <c r="P143" s="193"/>
      <c r="Q143" s="19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3">
        <v>44338</v>
      </c>
      <c r="D144" s="55">
        <v>0.14199999999999999</v>
      </c>
      <c r="E144" s="56">
        <v>337.65</v>
      </c>
      <c r="F144" s="57">
        <v>13.911</v>
      </c>
      <c r="G144" s="58"/>
      <c r="H144" s="58">
        <v>4140</v>
      </c>
      <c r="I144" s="58">
        <f t="shared" ref="I144:J159" si="22">IF(D144="","",+(E144-E143)*4140)</f>
        <v>21478.319999999952</v>
      </c>
      <c r="J144" s="58">
        <f t="shared" si="22"/>
        <v>252.53999999999976</v>
      </c>
      <c r="K144" s="59">
        <f t="shared" si="19"/>
        <v>1.17579028527371E-2</v>
      </c>
      <c r="L144" s="58">
        <f t="shared" si="20"/>
        <v>252.53999999999976</v>
      </c>
      <c r="M144" s="59">
        <f t="shared" si="21"/>
        <v>1.17579028527371E-2</v>
      </c>
      <c r="N144" s="60">
        <v>66068309</v>
      </c>
      <c r="O144" s="60">
        <f t="shared" si="17"/>
        <v>0</v>
      </c>
      <c r="P144" s="68" t="s">
        <v>46</v>
      </c>
      <c r="Q144" s="68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3">
        <v>44339</v>
      </c>
      <c r="D145" s="55">
        <v>0.14199999999999999</v>
      </c>
      <c r="E145" s="56">
        <v>342.79</v>
      </c>
      <c r="F145" s="57">
        <v>14.000999999999999</v>
      </c>
      <c r="G145" s="58"/>
      <c r="H145" s="58">
        <v>4140</v>
      </c>
      <c r="I145" s="58">
        <f t="shared" si="22"/>
        <v>21279.60000000018</v>
      </c>
      <c r="J145" s="58">
        <f t="shared" si="22"/>
        <v>372.5999999999994</v>
      </c>
      <c r="K145" s="59">
        <f t="shared" si="19"/>
        <v>1.7509727626458967E-2</v>
      </c>
      <c r="L145" s="58">
        <f t="shared" si="20"/>
        <v>372.5999999999994</v>
      </c>
      <c r="M145" s="59">
        <f t="shared" si="21"/>
        <v>1.7509727626458967E-2</v>
      </c>
      <c r="N145" s="60">
        <v>66068309</v>
      </c>
      <c r="O145" s="60">
        <f t="shared" si="17"/>
        <v>0</v>
      </c>
      <c r="P145" s="69">
        <f>IF(J124="",0,+SUM(J124:J154)/SUM(I124:I154))</f>
        <v>4.1956818209247036E-2</v>
      </c>
      <c r="Q145" s="69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4"/>
    </row>
    <row r="146" spans="1:20" ht="15.75" thickBot="1" x14ac:dyDescent="0.3">
      <c r="A146" s="53">
        <v>44340</v>
      </c>
      <c r="D146" s="55">
        <v>0.14199999999999999</v>
      </c>
      <c r="E146" s="56">
        <v>348.30700000000002</v>
      </c>
      <c r="F146" s="57">
        <v>14.26</v>
      </c>
      <c r="G146" s="58"/>
      <c r="H146" s="58">
        <v>4140</v>
      </c>
      <c r="I146" s="58">
        <f t="shared" si="22"/>
        <v>22840.379999999983</v>
      </c>
      <c r="J146" s="58">
        <f t="shared" si="22"/>
        <v>1072.2600000000014</v>
      </c>
      <c r="K146" s="59">
        <f t="shared" si="19"/>
        <v>4.6945803878919799E-2</v>
      </c>
      <c r="L146" s="58">
        <f t="shared" si="20"/>
        <v>1072.2600000000014</v>
      </c>
      <c r="M146" s="59">
        <f t="shared" si="21"/>
        <v>4.6945803878919799E-2</v>
      </c>
      <c r="N146" s="60">
        <v>66068309</v>
      </c>
      <c r="O146" s="60">
        <f t="shared" si="17"/>
        <v>0</v>
      </c>
      <c r="P146" s="70" t="e">
        <f>IF(J124="",0,+(+(LOOKUP(9.99999999999999E+307,E124:E154)-E123))/(+(LOOKUP(9.99999999999999E+307,D124:D154)-D123)))</f>
        <v>#DIV/0!</v>
      </c>
      <c r="Q146" s="70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4"/>
    </row>
    <row r="147" spans="1:20" ht="15.75" thickBot="1" x14ac:dyDescent="0.3">
      <c r="A147" s="53">
        <v>44341</v>
      </c>
      <c r="D147" s="55">
        <v>0.14199999999999999</v>
      </c>
      <c r="E147" s="56">
        <v>354.14299999999997</v>
      </c>
      <c r="F147" s="57">
        <v>14.481</v>
      </c>
      <c r="G147" s="58"/>
      <c r="H147" s="58">
        <v>4140</v>
      </c>
      <c r="I147" s="58">
        <f t="shared" si="22"/>
        <v>24161.039999999819</v>
      </c>
      <c r="J147" s="58">
        <f t="shared" si="22"/>
        <v>914.9400000000004</v>
      </c>
      <c r="K147" s="59">
        <f t="shared" si="19"/>
        <v>3.7868403015764524E-2</v>
      </c>
      <c r="L147" s="58">
        <f t="shared" si="20"/>
        <v>914.9400000000004</v>
      </c>
      <c r="M147" s="59">
        <f t="shared" si="21"/>
        <v>3.7868403015764524E-2</v>
      </c>
      <c r="N147" s="60">
        <v>66068309</v>
      </c>
      <c r="O147" s="60">
        <f t="shared" si="17"/>
        <v>0</v>
      </c>
      <c r="P147" s="71" t="s">
        <v>48</v>
      </c>
      <c r="Q147" s="72" t="s">
        <v>49</v>
      </c>
      <c r="R147" s="20">
        <f t="shared" si="16"/>
        <v>1</v>
      </c>
      <c r="S147" s="20">
        <f t="shared" si="18"/>
        <v>0</v>
      </c>
      <c r="T147" s="64"/>
    </row>
    <row r="148" spans="1:20" ht="15.75" thickBot="1" x14ac:dyDescent="0.3">
      <c r="A148" s="53">
        <v>44342</v>
      </c>
      <c r="D148" s="55">
        <v>0.14199999999999999</v>
      </c>
      <c r="E148" s="56">
        <v>360.358</v>
      </c>
      <c r="F148" s="57">
        <v>14.698</v>
      </c>
      <c r="G148" s="58"/>
      <c r="H148" s="58">
        <v>4140</v>
      </c>
      <c r="I148" s="58">
        <f t="shared" si="22"/>
        <v>25730.100000000133</v>
      </c>
      <c r="J148" s="58">
        <f t="shared" si="22"/>
        <v>898.38000000000216</v>
      </c>
      <c r="K148" s="59">
        <f t="shared" si="19"/>
        <v>3.4915526950925084E-2</v>
      </c>
      <c r="L148" s="58">
        <f t="shared" si="20"/>
        <v>898.38000000000216</v>
      </c>
      <c r="M148" s="59">
        <f t="shared" si="21"/>
        <v>3.4915526950925084E-2</v>
      </c>
      <c r="N148" s="60">
        <v>66068309</v>
      </c>
      <c r="O148" s="60">
        <f t="shared" si="17"/>
        <v>0</v>
      </c>
      <c r="P148" s="73">
        <f>IF(N123="",0,+(LOOKUP(9.99999999999999E+307,N123:N154)-N123))</f>
        <v>0</v>
      </c>
      <c r="Q148" s="74">
        <f>IF(P148="",0,+P148/SUM(R124:R154))</f>
        <v>0</v>
      </c>
      <c r="R148" s="20">
        <f t="shared" si="16"/>
        <v>1</v>
      </c>
      <c r="S148" s="20">
        <f t="shared" si="18"/>
        <v>0</v>
      </c>
      <c r="T148" s="64"/>
    </row>
    <row r="149" spans="1:20" ht="15.75" thickBot="1" x14ac:dyDescent="0.3">
      <c r="A149" s="53">
        <v>44343</v>
      </c>
      <c r="D149" s="55">
        <v>0.14199999999999999</v>
      </c>
      <c r="E149" s="56">
        <v>366.03699999999998</v>
      </c>
      <c r="F149" s="57">
        <v>14.864000000000001</v>
      </c>
      <c r="G149" s="58"/>
      <c r="H149" s="58">
        <v>4140</v>
      </c>
      <c r="I149" s="58">
        <f t="shared" si="22"/>
        <v>23511.059999999892</v>
      </c>
      <c r="J149" s="58">
        <f t="shared" si="22"/>
        <v>687.24000000000149</v>
      </c>
      <c r="K149" s="59">
        <f t="shared" si="19"/>
        <v>2.9230498327170475E-2</v>
      </c>
      <c r="L149" s="58">
        <f t="shared" si="20"/>
        <v>687.24000000000149</v>
      </c>
      <c r="M149" s="59">
        <f t="shared" si="21"/>
        <v>2.9230498327170475E-2</v>
      </c>
      <c r="N149" s="60">
        <v>66068309</v>
      </c>
      <c r="O149" s="60">
        <f t="shared" si="17"/>
        <v>0</v>
      </c>
      <c r="P149" s="75" t="s">
        <v>50</v>
      </c>
      <c r="Q149" s="76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3">
        <v>44344</v>
      </c>
      <c r="D150" s="55">
        <v>0.14199999999999999</v>
      </c>
      <c r="E150" s="56">
        <v>372.40300000000002</v>
      </c>
      <c r="F150" s="57">
        <v>15.093</v>
      </c>
      <c r="G150" s="58"/>
      <c r="H150" s="58">
        <v>4140</v>
      </c>
      <c r="I150" s="58">
        <f t="shared" si="22"/>
        <v>26355.240000000176</v>
      </c>
      <c r="J150" s="58">
        <f t="shared" si="22"/>
        <v>948.05999999999676</v>
      </c>
      <c r="K150" s="59">
        <f t="shared" si="19"/>
        <v>3.5972353125981411E-2</v>
      </c>
      <c r="L150" s="58">
        <f t="shared" si="20"/>
        <v>948.05999999999676</v>
      </c>
      <c r="M150" s="59">
        <f t="shared" si="21"/>
        <v>3.5972353125981411E-2</v>
      </c>
      <c r="N150" s="60">
        <v>66068309</v>
      </c>
      <c r="O150" s="60">
        <f t="shared" si="17"/>
        <v>0</v>
      </c>
      <c r="P150" s="77">
        <f>IF(D123="",0,+(LOOKUP(9.99999999999999E+307,D123:D154)-D123))*4140</f>
        <v>0</v>
      </c>
      <c r="Q150" s="78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3">
        <v>44345</v>
      </c>
      <c r="D151" s="55">
        <v>0.14199999999999999</v>
      </c>
      <c r="E151" s="56">
        <v>378.22199999999998</v>
      </c>
      <c r="F151" s="57">
        <v>15.298999999999999</v>
      </c>
      <c r="G151" s="58"/>
      <c r="H151" s="58">
        <v>4140</v>
      </c>
      <c r="I151" s="58">
        <f t="shared" si="22"/>
        <v>24090.659999999836</v>
      </c>
      <c r="J151" s="58">
        <f t="shared" si="22"/>
        <v>852.83999999999799</v>
      </c>
      <c r="K151" s="59">
        <f t="shared" si="19"/>
        <v>3.5401271696167885E-2</v>
      </c>
      <c r="L151" s="58">
        <f t="shared" si="20"/>
        <v>852.83999999999799</v>
      </c>
      <c r="M151" s="59">
        <f t="shared" si="21"/>
        <v>3.5401271696167885E-2</v>
      </c>
      <c r="N151" s="60">
        <v>66068309</v>
      </c>
      <c r="O151" s="60">
        <f t="shared" si="17"/>
        <v>0</v>
      </c>
      <c r="P151" s="79" t="s">
        <v>52</v>
      </c>
      <c r="Q151" s="80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3">
        <v>44346</v>
      </c>
      <c r="D152" s="55">
        <v>0.14199999999999999</v>
      </c>
      <c r="E152" s="56">
        <v>384.52300000000002</v>
      </c>
      <c r="F152" s="57">
        <v>15.457000000000001</v>
      </c>
      <c r="G152" s="58"/>
      <c r="H152" s="58">
        <v>4140</v>
      </c>
      <c r="I152" s="58">
        <f t="shared" si="22"/>
        <v>26086.140000000185</v>
      </c>
      <c r="J152" s="58">
        <f t="shared" si="22"/>
        <v>654.12000000000512</v>
      </c>
      <c r="K152" s="59">
        <f t="shared" si="19"/>
        <v>2.5075384859546121E-2</v>
      </c>
      <c r="L152" s="58">
        <f t="shared" si="20"/>
        <v>654.12000000000512</v>
      </c>
      <c r="M152" s="59">
        <f t="shared" si="21"/>
        <v>2.5075384859546121E-2</v>
      </c>
      <c r="N152" s="60">
        <v>66068309</v>
      </c>
      <c r="O152" s="60">
        <f t="shared" si="17"/>
        <v>0</v>
      </c>
      <c r="P152" s="81">
        <f>P150*Q155</f>
        <v>0</v>
      </c>
      <c r="Q152" s="82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3">
        <v>44347</v>
      </c>
      <c r="D153" s="55">
        <v>0.14199999999999999</v>
      </c>
      <c r="E153" s="56">
        <v>390.52699999999999</v>
      </c>
      <c r="F153" s="57">
        <v>15.669</v>
      </c>
      <c r="G153" s="58"/>
      <c r="H153" s="58">
        <v>4140</v>
      </c>
      <c r="I153" s="58">
        <f t="shared" si="22"/>
        <v>24856.559999999845</v>
      </c>
      <c r="J153" s="58">
        <f t="shared" si="22"/>
        <v>877.67999999999893</v>
      </c>
      <c r="K153" s="59">
        <f t="shared" si="19"/>
        <v>3.53097934710195E-2</v>
      </c>
      <c r="L153" s="58">
        <f t="shared" si="20"/>
        <v>877.67999999999893</v>
      </c>
      <c r="M153" s="59">
        <f t="shared" si="21"/>
        <v>3.53097934710195E-2</v>
      </c>
      <c r="N153" s="60">
        <v>66068309</v>
      </c>
      <c r="O153" s="60">
        <f t="shared" si="17"/>
        <v>0</v>
      </c>
      <c r="P153" s="84" t="s">
        <v>54</v>
      </c>
      <c r="Q153" s="85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3">
        <v>44348</v>
      </c>
      <c r="D154" s="88">
        <v>0.14199999999999999</v>
      </c>
      <c r="E154" s="88">
        <v>396.01299999999998</v>
      </c>
      <c r="F154" s="88">
        <v>15.853</v>
      </c>
      <c r="G154" s="89"/>
      <c r="H154" s="58">
        <v>4140</v>
      </c>
      <c r="I154" s="58">
        <f t="shared" si="22"/>
        <v>22712.039999999957</v>
      </c>
      <c r="J154" s="58">
        <f t="shared" si="22"/>
        <v>761.75999999999704</v>
      </c>
      <c r="K154" s="59">
        <f t="shared" si="19"/>
        <v>3.3539919795843899E-2</v>
      </c>
      <c r="L154" s="58">
        <f t="shared" si="20"/>
        <v>761.75999999999704</v>
      </c>
      <c r="M154" s="59">
        <f t="shared" si="21"/>
        <v>3.3539919795843899E-2</v>
      </c>
      <c r="N154" s="90">
        <v>66068309</v>
      </c>
      <c r="O154" s="91">
        <f t="shared" si="17"/>
        <v>0</v>
      </c>
      <c r="P154" s="92">
        <f>(P152+Q150*SUM(S124:S154)*Q155)</f>
        <v>0</v>
      </c>
      <c r="Q154" s="93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3">
        <v>44349</v>
      </c>
      <c r="D155" s="55">
        <v>0.14199999999999999</v>
      </c>
      <c r="E155" s="56">
        <v>401.6</v>
      </c>
      <c r="F155" s="57">
        <v>15.961</v>
      </c>
      <c r="G155" s="58"/>
      <c r="H155" s="58">
        <v>4140</v>
      </c>
      <c r="I155" s="58">
        <f t="shared" si="22"/>
        <v>23130.180000000189</v>
      </c>
      <c r="J155" s="58">
        <f t="shared" si="22"/>
        <v>447.12000000000222</v>
      </c>
      <c r="K155" s="59">
        <f t="shared" si="19"/>
        <v>1.9330588867012645E-2</v>
      </c>
      <c r="L155" s="58">
        <f t="shared" si="20"/>
        <v>447.12000000000222</v>
      </c>
      <c r="M155" s="59">
        <f t="shared" si="21"/>
        <v>1.9330588867012645E-2</v>
      </c>
      <c r="N155" s="60">
        <v>66068309</v>
      </c>
      <c r="O155" s="60">
        <f t="shared" si="17"/>
        <v>0</v>
      </c>
      <c r="P155" s="94" t="s">
        <v>56</v>
      </c>
      <c r="Q155" s="95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3">
        <v>44350</v>
      </c>
      <c r="D156" s="55">
        <v>0.14199999999999999</v>
      </c>
      <c r="E156" s="56">
        <v>407.226</v>
      </c>
      <c r="F156" s="57">
        <v>16.100999999999999</v>
      </c>
      <c r="G156" s="58"/>
      <c r="H156" s="58">
        <v>4140</v>
      </c>
      <c r="I156" s="58">
        <f t="shared" si="22"/>
        <v>23291.639999999901</v>
      </c>
      <c r="J156" s="58">
        <f t="shared" si="22"/>
        <v>579.59999999999502</v>
      </c>
      <c r="K156" s="59">
        <f t="shared" si="19"/>
        <v>2.4884464984002735E-2</v>
      </c>
      <c r="L156" s="58">
        <f t="shared" si="20"/>
        <v>579.59999999999502</v>
      </c>
      <c r="M156" s="59">
        <f t="shared" si="21"/>
        <v>2.4884464984002735E-2</v>
      </c>
      <c r="N156" s="60">
        <v>66068309</v>
      </c>
      <c r="O156" s="60">
        <f t="shared" si="17"/>
        <v>0</v>
      </c>
      <c r="P156" s="61"/>
      <c r="Q156" s="102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3">
        <v>44351</v>
      </c>
      <c r="D157" s="55">
        <v>0.14199999999999999</v>
      </c>
      <c r="E157" s="56">
        <v>413.31400000000002</v>
      </c>
      <c r="F157" s="57">
        <v>16.259</v>
      </c>
      <c r="G157" s="58"/>
      <c r="H157" s="58">
        <v>4140</v>
      </c>
      <c r="I157" s="58">
        <f t="shared" si="22"/>
        <v>25204.320000000091</v>
      </c>
      <c r="J157" s="58">
        <f t="shared" si="22"/>
        <v>654.12000000000512</v>
      </c>
      <c r="K157" s="59">
        <f t="shared" si="19"/>
        <v>2.5952693823916011E-2</v>
      </c>
      <c r="L157" s="58">
        <f t="shared" si="20"/>
        <v>654.12000000000512</v>
      </c>
      <c r="M157" s="59">
        <f t="shared" si="21"/>
        <v>2.5952693823916011E-2</v>
      </c>
      <c r="N157" s="60">
        <v>66068309</v>
      </c>
      <c r="O157" s="60">
        <f t="shared" si="17"/>
        <v>0</v>
      </c>
      <c r="P157" s="98"/>
      <c r="Q157" s="99"/>
      <c r="R157" s="20">
        <f t="shared" si="16"/>
        <v>1</v>
      </c>
      <c r="S157" s="20">
        <f t="shared" si="18"/>
        <v>0</v>
      </c>
      <c r="T157" s="64"/>
    </row>
    <row r="158" spans="1:20" ht="15.75" thickBot="1" x14ac:dyDescent="0.3">
      <c r="A158" s="53">
        <v>44352</v>
      </c>
      <c r="D158" s="55">
        <v>0.14199999999999999</v>
      </c>
      <c r="E158" s="56">
        <v>418.71</v>
      </c>
      <c r="F158" s="57">
        <v>16.393999999999998</v>
      </c>
      <c r="G158" s="58"/>
      <c r="H158" s="58">
        <v>4140</v>
      </c>
      <c r="I158" s="58">
        <f t="shared" si="22"/>
        <v>22339.439999999828</v>
      </c>
      <c r="J158" s="58">
        <f t="shared" si="22"/>
        <v>558.89999999999179</v>
      </c>
      <c r="K158" s="59">
        <f t="shared" si="19"/>
        <v>2.5018532246108054E-2</v>
      </c>
      <c r="L158" s="58">
        <f t="shared" si="20"/>
        <v>558.89999999999179</v>
      </c>
      <c r="M158" s="59">
        <f t="shared" si="21"/>
        <v>2.5018532246108054E-2</v>
      </c>
      <c r="N158" s="60">
        <v>66068309</v>
      </c>
      <c r="O158" s="60">
        <f t="shared" si="17"/>
        <v>0</v>
      </c>
      <c r="P158" s="100"/>
      <c r="Q158" s="101"/>
      <c r="R158" s="20">
        <f t="shared" si="16"/>
        <v>1</v>
      </c>
      <c r="S158" s="20">
        <f t="shared" si="18"/>
        <v>0</v>
      </c>
      <c r="T158" s="64"/>
    </row>
    <row r="159" spans="1:20" ht="15.75" thickBot="1" x14ac:dyDescent="0.3">
      <c r="A159" s="53">
        <v>44353</v>
      </c>
      <c r="D159" s="55">
        <v>0.14199999999999999</v>
      </c>
      <c r="E159" s="56">
        <v>424.43299999999999</v>
      </c>
      <c r="F159" s="57">
        <v>16.506</v>
      </c>
      <c r="G159" s="58"/>
      <c r="H159" s="58">
        <v>4140</v>
      </c>
      <c r="I159" s="58">
        <f t="shared" si="22"/>
        <v>23693.220000000056</v>
      </c>
      <c r="J159" s="58">
        <f t="shared" si="22"/>
        <v>463.68000000000779</v>
      </c>
      <c r="K159" s="59">
        <f t="shared" si="19"/>
        <v>1.9570155512843197E-2</v>
      </c>
      <c r="L159" s="58">
        <f t="shared" si="20"/>
        <v>463.68000000000779</v>
      </c>
      <c r="M159" s="59">
        <f t="shared" si="21"/>
        <v>1.9570155512843197E-2</v>
      </c>
      <c r="N159" s="60">
        <v>66068309</v>
      </c>
      <c r="O159" s="60">
        <f t="shared" si="17"/>
        <v>0</v>
      </c>
      <c r="P159" s="100"/>
      <c r="Q159" s="99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3">
        <v>44354</v>
      </c>
      <c r="D160" s="55">
        <v>0.14199999999999999</v>
      </c>
      <c r="E160" s="56">
        <v>430.46100000000001</v>
      </c>
      <c r="F160" s="57">
        <v>16.686</v>
      </c>
      <c r="G160" s="58"/>
      <c r="H160" s="58">
        <v>4140</v>
      </c>
      <c r="I160" s="58">
        <f t="shared" ref="I160:I235" si="23">IF(D160="","",+(E160-E159)*4140)</f>
        <v>24955.920000000082</v>
      </c>
      <c r="J160" s="58">
        <f t="shared" ref="J160:J235" si="24">IF(E160="","",+(F160-F159)*4140)</f>
        <v>745.19999999999879</v>
      </c>
      <c r="K160" s="59">
        <f t="shared" si="19"/>
        <v>2.9860650298606357E-2</v>
      </c>
      <c r="L160" s="58">
        <f t="shared" si="20"/>
        <v>745.19999999999879</v>
      </c>
      <c r="M160" s="59">
        <f t="shared" si="21"/>
        <v>2.9860650298606357E-2</v>
      </c>
      <c r="N160" s="60">
        <v>66068309</v>
      </c>
      <c r="O160" s="60">
        <f t="shared" si="17"/>
        <v>0</v>
      </c>
      <c r="P160" s="61"/>
      <c r="Q160" s="62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3">
        <v>44355</v>
      </c>
      <c r="D161" s="55">
        <v>0.14199999999999999</v>
      </c>
      <c r="E161" s="56">
        <v>437.37299999999999</v>
      </c>
      <c r="F161" s="57">
        <v>16.876999999999999</v>
      </c>
      <c r="G161" s="58"/>
      <c r="H161" s="58">
        <v>4140</v>
      </c>
      <c r="I161" s="58">
        <f t="shared" si="23"/>
        <v>28615.679999999909</v>
      </c>
      <c r="J161" s="58">
        <f t="shared" si="24"/>
        <v>790.73999999999569</v>
      </c>
      <c r="K161" s="59">
        <f t="shared" si="19"/>
        <v>2.7633101851851787E-2</v>
      </c>
      <c r="L161" s="58">
        <f t="shared" si="20"/>
        <v>790.73999999999569</v>
      </c>
      <c r="M161" s="59">
        <f t="shared" si="21"/>
        <v>2.7633101851851787E-2</v>
      </c>
      <c r="N161" s="60">
        <v>66068309</v>
      </c>
      <c r="O161" s="60">
        <f t="shared" si="17"/>
        <v>0</v>
      </c>
      <c r="P161" s="61"/>
      <c r="Q161" s="63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3">
        <v>44356</v>
      </c>
      <c r="D162" s="55">
        <v>0.14199999999999999</v>
      </c>
      <c r="E162" s="56">
        <v>444.34300000000002</v>
      </c>
      <c r="F162" s="57">
        <v>17.027999999999999</v>
      </c>
      <c r="G162" s="58"/>
      <c r="H162" s="58">
        <v>4140</v>
      </c>
      <c r="I162" s="58">
        <f t="shared" si="23"/>
        <v>28855.800000000112</v>
      </c>
      <c r="J162" s="58">
        <f t="shared" si="24"/>
        <v>625.13999999999919</v>
      </c>
      <c r="K162" s="59">
        <f t="shared" si="19"/>
        <v>2.1664275466283963E-2</v>
      </c>
      <c r="L162" s="58">
        <f t="shared" si="20"/>
        <v>625.13999999999919</v>
      </c>
      <c r="M162" s="59">
        <f t="shared" si="21"/>
        <v>2.1664275466283963E-2</v>
      </c>
      <c r="N162" s="60">
        <v>66068309</v>
      </c>
      <c r="O162" s="60">
        <f t="shared" si="17"/>
        <v>0</v>
      </c>
      <c r="P162" s="61"/>
      <c r="Q162" s="63"/>
      <c r="R162" s="20">
        <f t="shared" si="25"/>
        <v>1</v>
      </c>
      <c r="S162" s="20">
        <f t="shared" si="18"/>
        <v>0</v>
      </c>
      <c r="T162" s="64"/>
    </row>
    <row r="163" spans="1:20" ht="15.75" thickBot="1" x14ac:dyDescent="0.3">
      <c r="A163" s="53">
        <v>44357</v>
      </c>
      <c r="D163" s="55">
        <v>0.14199999999999999</v>
      </c>
      <c r="E163" s="56">
        <v>451.52300000000002</v>
      </c>
      <c r="F163" s="57">
        <v>17.213999999999999</v>
      </c>
      <c r="G163" s="58"/>
      <c r="H163" s="58">
        <v>4140</v>
      </c>
      <c r="I163" s="58">
        <f t="shared" si="23"/>
        <v>29725.20000000003</v>
      </c>
      <c r="J163" s="58">
        <f t="shared" si="24"/>
        <v>770.03999999999974</v>
      </c>
      <c r="K163" s="59">
        <f t="shared" si="19"/>
        <v>2.59052924791086E-2</v>
      </c>
      <c r="L163" s="58">
        <f t="shared" si="20"/>
        <v>770.03999999999974</v>
      </c>
      <c r="M163" s="59">
        <f t="shared" si="21"/>
        <v>2.59052924791086E-2</v>
      </c>
      <c r="N163" s="60">
        <v>66068309</v>
      </c>
      <c r="O163" s="60">
        <f t="shared" si="17"/>
        <v>0</v>
      </c>
      <c r="P163" s="61"/>
      <c r="Q163" s="63"/>
      <c r="R163" s="20">
        <f t="shared" si="25"/>
        <v>1</v>
      </c>
      <c r="S163" s="20">
        <f t="shared" si="18"/>
        <v>0</v>
      </c>
      <c r="T163" s="64"/>
    </row>
    <row r="164" spans="1:20" ht="15.75" thickBot="1" x14ac:dyDescent="0.3">
      <c r="A164" s="53">
        <v>44358</v>
      </c>
      <c r="D164" s="55">
        <v>0.14199999999999999</v>
      </c>
      <c r="E164" s="56">
        <v>457.99400000000003</v>
      </c>
      <c r="F164" s="57">
        <v>17.364000000000001</v>
      </c>
      <c r="G164" s="58"/>
      <c r="H164" s="58">
        <v>4140</v>
      </c>
      <c r="I164" s="58">
        <f t="shared" si="23"/>
        <v>26789.940000000017</v>
      </c>
      <c r="J164" s="58">
        <f t="shared" si="24"/>
        <v>621.00000000000887</v>
      </c>
      <c r="K164" s="59">
        <f t="shared" si="19"/>
        <v>2.3180343069077739E-2</v>
      </c>
      <c r="L164" s="58">
        <f t="shared" si="20"/>
        <v>621.00000000000887</v>
      </c>
      <c r="M164" s="59">
        <f t="shared" si="21"/>
        <v>2.3180343069077739E-2</v>
      </c>
      <c r="N164" s="60">
        <v>66068309</v>
      </c>
      <c r="O164" s="60">
        <f t="shared" si="17"/>
        <v>0</v>
      </c>
      <c r="P164" s="61"/>
      <c r="Q164" s="62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3">
        <v>44359</v>
      </c>
      <c r="D165" s="55">
        <v>0.14199999999999999</v>
      </c>
      <c r="E165" s="56">
        <v>464.56900000000002</v>
      </c>
      <c r="F165" s="57">
        <v>17.532</v>
      </c>
      <c r="G165" s="58"/>
      <c r="H165" s="58">
        <v>4140</v>
      </c>
      <c r="I165" s="58">
        <f t="shared" si="23"/>
        <v>27220.499999999953</v>
      </c>
      <c r="J165" s="58">
        <f t="shared" si="24"/>
        <v>695.51999999999691</v>
      </c>
      <c r="K165" s="59">
        <f t="shared" si="19"/>
        <v>2.555133079847902E-2</v>
      </c>
      <c r="L165" s="58">
        <f t="shared" si="20"/>
        <v>695.51999999999691</v>
      </c>
      <c r="M165" s="59">
        <f t="shared" si="21"/>
        <v>2.555133079847902E-2</v>
      </c>
      <c r="N165" s="60">
        <v>66068309</v>
      </c>
      <c r="O165" s="60">
        <f t="shared" si="17"/>
        <v>0</v>
      </c>
      <c r="P165" s="61"/>
      <c r="Q165" s="62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3">
        <v>44360</v>
      </c>
      <c r="D166" s="55">
        <v>0.14199999999999999</v>
      </c>
      <c r="E166" s="56">
        <v>471.69799999999998</v>
      </c>
      <c r="F166" s="57">
        <v>17.760000000000002</v>
      </c>
      <c r="G166" s="58"/>
      <c r="H166" s="58">
        <v>4140</v>
      </c>
      <c r="I166" s="58">
        <f t="shared" si="23"/>
        <v>29514.059999999845</v>
      </c>
      <c r="J166" s="58">
        <f t="shared" si="24"/>
        <v>943.92000000000633</v>
      </c>
      <c r="K166" s="59">
        <f t="shared" si="19"/>
        <v>3.1982045167625574E-2</v>
      </c>
      <c r="L166" s="58">
        <f t="shared" si="20"/>
        <v>943.92000000000633</v>
      </c>
      <c r="M166" s="59">
        <f t="shared" si="21"/>
        <v>3.1982045167625574E-2</v>
      </c>
      <c r="N166" s="60">
        <v>66068309</v>
      </c>
      <c r="O166" s="60">
        <f t="shared" si="17"/>
        <v>0</v>
      </c>
      <c r="P166" s="61"/>
      <c r="Q166" s="63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3">
        <v>44361</v>
      </c>
      <c r="D167" s="55">
        <v>0.14199999999999999</v>
      </c>
      <c r="E167" s="56">
        <v>477.51900000000001</v>
      </c>
      <c r="F167" s="57">
        <v>17.888000000000002</v>
      </c>
      <c r="G167" s="58"/>
      <c r="H167" s="58">
        <v>4140</v>
      </c>
      <c r="I167" s="58">
        <f t="shared" si="23"/>
        <v>24098.940000000108</v>
      </c>
      <c r="J167" s="58">
        <f t="shared" si="24"/>
        <v>529.92000000000053</v>
      </c>
      <c r="K167" s="59">
        <f t="shared" si="19"/>
        <v>2.1989348909122068E-2</v>
      </c>
      <c r="L167" s="58">
        <f t="shared" si="20"/>
        <v>529.92000000000053</v>
      </c>
      <c r="M167" s="59">
        <f t="shared" si="21"/>
        <v>2.1989348909122068E-2</v>
      </c>
      <c r="N167" s="60">
        <v>66068309</v>
      </c>
      <c r="O167" s="60">
        <f t="shared" si="17"/>
        <v>0</v>
      </c>
      <c r="P167" s="61"/>
      <c r="Q167" s="63"/>
      <c r="R167" s="20">
        <f t="shared" si="25"/>
        <v>1</v>
      </c>
      <c r="S167" s="20">
        <f t="shared" si="18"/>
        <v>0</v>
      </c>
      <c r="T167" s="64"/>
    </row>
    <row r="168" spans="1:20" ht="15.75" thickBot="1" x14ac:dyDescent="0.3">
      <c r="A168" s="53">
        <v>44362</v>
      </c>
      <c r="D168" s="55">
        <v>0.14199999999999999</v>
      </c>
      <c r="E168" s="56">
        <v>483.72199999999998</v>
      </c>
      <c r="F168" s="57">
        <v>17.988</v>
      </c>
      <c r="G168" s="58"/>
      <c r="H168" s="58">
        <v>4140</v>
      </c>
      <c r="I168" s="58">
        <f t="shared" si="23"/>
        <v>25680.419999999896</v>
      </c>
      <c r="J168" s="58">
        <f t="shared" si="24"/>
        <v>413.99999999999119</v>
      </c>
      <c r="K168" s="59">
        <f t="shared" si="19"/>
        <v>1.6121231662098705E-2</v>
      </c>
      <c r="L168" s="58">
        <f t="shared" si="20"/>
        <v>413.99999999999119</v>
      </c>
      <c r="M168" s="59">
        <f t="shared" si="21"/>
        <v>1.6121231662098705E-2</v>
      </c>
      <c r="N168" s="60">
        <v>66068309</v>
      </c>
      <c r="O168" s="60">
        <f t="shared" si="17"/>
        <v>0</v>
      </c>
      <c r="P168" s="61"/>
      <c r="Q168" s="62"/>
      <c r="R168" s="20">
        <f t="shared" si="25"/>
        <v>1</v>
      </c>
      <c r="S168" s="20">
        <f t="shared" si="18"/>
        <v>0</v>
      </c>
      <c r="T168" s="64"/>
    </row>
    <row r="169" spans="1:20" ht="15.75" thickBot="1" x14ac:dyDescent="0.3">
      <c r="A169" s="53">
        <v>44363</v>
      </c>
      <c r="D169" s="55">
        <v>0.14199999999999999</v>
      </c>
      <c r="E169" s="56">
        <v>489.74599999999998</v>
      </c>
      <c r="F169" s="57">
        <v>18.103999999999999</v>
      </c>
      <c r="G169" s="58"/>
      <c r="H169" s="58">
        <v>4140</v>
      </c>
      <c r="I169" s="58">
        <f t="shared" si="23"/>
        <v>24939.360000000004</v>
      </c>
      <c r="J169" s="58">
        <f t="shared" si="24"/>
        <v>480.23999999999859</v>
      </c>
      <c r="K169" s="59">
        <f t="shared" si="19"/>
        <v>1.9256308100929556E-2</v>
      </c>
      <c r="L169" s="58">
        <f t="shared" si="20"/>
        <v>480.23999999999859</v>
      </c>
      <c r="M169" s="59">
        <f t="shared" si="21"/>
        <v>1.9256308100929556E-2</v>
      </c>
      <c r="N169" s="60">
        <v>66068309</v>
      </c>
      <c r="O169" s="60">
        <f t="shared" si="17"/>
        <v>0</v>
      </c>
      <c r="P169" s="61"/>
      <c r="Q169" s="62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3">
        <v>44364</v>
      </c>
      <c r="D170" s="55">
        <v>0.14199999999999999</v>
      </c>
      <c r="E170" s="56">
        <v>496.43</v>
      </c>
      <c r="F170" s="57">
        <v>18.248000000000001</v>
      </c>
      <c r="G170" s="58"/>
      <c r="H170" s="58">
        <v>4140</v>
      </c>
      <c r="I170" s="58">
        <f t="shared" si="23"/>
        <v>27671.760000000108</v>
      </c>
      <c r="J170" s="58">
        <f t="shared" si="24"/>
        <v>596.16000000000793</v>
      </c>
      <c r="K170" s="59">
        <f t="shared" si="19"/>
        <v>2.154398563734311E-2</v>
      </c>
      <c r="L170" s="58">
        <f t="shared" si="20"/>
        <v>596.16000000000793</v>
      </c>
      <c r="M170" s="59">
        <f t="shared" si="21"/>
        <v>2.154398563734311E-2</v>
      </c>
      <c r="N170" s="60">
        <v>66068309</v>
      </c>
      <c r="O170" s="60">
        <f>IF(N170="","",N170-N169)</f>
        <v>0</v>
      </c>
      <c r="P170" s="61"/>
      <c r="Q170" s="62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3">
        <v>44365</v>
      </c>
      <c r="D171" s="55">
        <v>0.14199999999999999</v>
      </c>
      <c r="E171" s="56">
        <v>503.71</v>
      </c>
      <c r="F171" s="57">
        <v>18.428999999999998</v>
      </c>
      <c r="G171" s="58"/>
      <c r="H171" s="58">
        <v>4140</v>
      </c>
      <c r="I171" s="58">
        <f t="shared" si="23"/>
        <v>30139.199999999888</v>
      </c>
      <c r="J171" s="58">
        <f t="shared" si="24"/>
        <v>749.33999999998923</v>
      </c>
      <c r="K171" s="59">
        <f t="shared" si="19"/>
        <v>2.4862637362637097E-2</v>
      </c>
      <c r="L171" s="58">
        <f t="shared" si="20"/>
        <v>749.33999999998923</v>
      </c>
      <c r="M171" s="59">
        <f t="shared" si="21"/>
        <v>2.4862637362637097E-2</v>
      </c>
      <c r="N171" s="60">
        <v>66068309</v>
      </c>
      <c r="O171" s="60">
        <f t="shared" si="17"/>
        <v>0</v>
      </c>
      <c r="P171" s="61"/>
      <c r="Q171" s="102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3">
        <v>44366</v>
      </c>
      <c r="D172" s="55">
        <v>0.14199999999999999</v>
      </c>
      <c r="E172" s="56">
        <v>511.08300000000003</v>
      </c>
      <c r="F172" s="57">
        <v>18.687000000000001</v>
      </c>
      <c r="G172" s="58"/>
      <c r="H172" s="58">
        <v>4140</v>
      </c>
      <c r="I172" s="58">
        <f t="shared" si="23"/>
        <v>30524.220000000198</v>
      </c>
      <c r="J172" s="58">
        <f t="shared" si="24"/>
        <v>1068.120000000011</v>
      </c>
      <c r="K172" s="59">
        <f t="shared" si="19"/>
        <v>3.4992540349925536E-2</v>
      </c>
      <c r="L172" s="58">
        <f t="shared" si="20"/>
        <v>1068.120000000011</v>
      </c>
      <c r="M172" s="59">
        <f t="shared" si="21"/>
        <v>3.4992540349925536E-2</v>
      </c>
      <c r="N172" s="60">
        <v>66068309</v>
      </c>
      <c r="O172" s="60">
        <f t="shared" si="17"/>
        <v>0</v>
      </c>
      <c r="P172" s="191" t="s">
        <v>63</v>
      </c>
      <c r="Q172" s="192"/>
      <c r="R172" s="20">
        <f t="shared" si="25"/>
        <v>1</v>
      </c>
      <c r="S172" s="20">
        <f t="shared" si="18"/>
        <v>0</v>
      </c>
      <c r="T172" s="64"/>
    </row>
    <row r="173" spans="1:20" ht="15.75" thickBot="1" x14ac:dyDescent="0.3">
      <c r="A173" s="53">
        <v>44367</v>
      </c>
      <c r="D173" s="55">
        <v>0.14199999999999999</v>
      </c>
      <c r="E173" s="56">
        <v>518.23500000000001</v>
      </c>
      <c r="F173" s="57">
        <v>18.954999999999998</v>
      </c>
      <c r="G173" s="58"/>
      <c r="H173" s="58">
        <v>4140</v>
      </c>
      <c r="I173" s="58">
        <f t="shared" si="23"/>
        <v>29609.279999999944</v>
      </c>
      <c r="J173" s="58">
        <f t="shared" si="24"/>
        <v>1109.5199999999882</v>
      </c>
      <c r="K173" s="59">
        <f t="shared" si="19"/>
        <v>3.7472035794183116E-2</v>
      </c>
      <c r="L173" s="58">
        <f t="shared" si="20"/>
        <v>1109.5199999999882</v>
      </c>
      <c r="M173" s="59">
        <f t="shared" si="21"/>
        <v>3.7472035794183116E-2</v>
      </c>
      <c r="N173" s="60">
        <v>66068309</v>
      </c>
      <c r="O173" s="60">
        <f t="shared" si="17"/>
        <v>0</v>
      </c>
      <c r="P173" s="193"/>
      <c r="Q173" s="194"/>
      <c r="R173" s="20">
        <f t="shared" si="25"/>
        <v>1</v>
      </c>
      <c r="S173" s="20">
        <f t="shared" si="18"/>
        <v>0</v>
      </c>
      <c r="T173" s="64"/>
    </row>
    <row r="174" spans="1:20" ht="15.75" thickBot="1" x14ac:dyDescent="0.3">
      <c r="A174" s="53">
        <v>44368</v>
      </c>
      <c r="D174" s="55">
        <v>0.14199999999999999</v>
      </c>
      <c r="E174" s="56">
        <v>525.51800000000003</v>
      </c>
      <c r="F174" s="57">
        <v>19.170000000000002</v>
      </c>
      <c r="G174" s="58"/>
      <c r="H174" s="58">
        <v>4140</v>
      </c>
      <c r="I174" s="58">
        <f t="shared" si="23"/>
        <v>30151.620000000064</v>
      </c>
      <c r="J174" s="58">
        <f t="shared" si="24"/>
        <v>890.10000000001412</v>
      </c>
      <c r="K174" s="59">
        <f t="shared" si="19"/>
        <v>2.9520801867362757E-2</v>
      </c>
      <c r="L174" s="58">
        <f t="shared" si="20"/>
        <v>890.10000000001412</v>
      </c>
      <c r="M174" s="59">
        <f t="shared" si="21"/>
        <v>2.9520801867362757E-2</v>
      </c>
      <c r="N174" s="60">
        <v>66068309</v>
      </c>
      <c r="O174" s="60">
        <f t="shared" si="17"/>
        <v>0</v>
      </c>
      <c r="P174" s="68" t="s">
        <v>46</v>
      </c>
      <c r="Q174" s="68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3">
        <v>44369</v>
      </c>
      <c r="D175" s="55">
        <v>0.14199999999999999</v>
      </c>
      <c r="E175" s="56">
        <v>532.41399999999999</v>
      </c>
      <c r="F175" s="57">
        <v>19.331</v>
      </c>
      <c r="G175" s="58"/>
      <c r="H175" s="58">
        <v>4140</v>
      </c>
      <c r="I175" s="58">
        <f t="shared" si="23"/>
        <v>28549.439999999828</v>
      </c>
      <c r="J175" s="58">
        <f t="shared" si="24"/>
        <v>666.53999999999098</v>
      </c>
      <c r="K175" s="59">
        <f t="shared" si="19"/>
        <v>2.334686774941978E-2</v>
      </c>
      <c r="L175" s="58">
        <f t="shared" si="20"/>
        <v>666.53999999999098</v>
      </c>
      <c r="M175" s="59">
        <f t="shared" si="21"/>
        <v>2.334686774941978E-2</v>
      </c>
      <c r="N175" s="60">
        <v>66068309</v>
      </c>
      <c r="O175" s="60">
        <f t="shared" si="17"/>
        <v>0</v>
      </c>
      <c r="P175" s="69">
        <f>IF(J155="",0,+SUM(J155:J184)/SUM(I155:I184))</f>
        <v>3.0969101787351475E-2</v>
      </c>
      <c r="Q175" s="69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3">
        <v>44370</v>
      </c>
      <c r="D176" s="55">
        <v>0.14199999999999999</v>
      </c>
      <c r="E176" s="56">
        <v>540.71799999999996</v>
      </c>
      <c r="F176" s="57">
        <v>19.658000000000001</v>
      </c>
      <c r="G176" s="58"/>
      <c r="H176" s="58">
        <v>4140</v>
      </c>
      <c r="I176" s="58">
        <f t="shared" si="23"/>
        <v>34378.559999999889</v>
      </c>
      <c r="J176" s="58">
        <f t="shared" si="24"/>
        <v>1353.7800000000072</v>
      </c>
      <c r="K176" s="59">
        <f t="shared" si="19"/>
        <v>3.9378612716763343E-2</v>
      </c>
      <c r="L176" s="58">
        <f t="shared" si="20"/>
        <v>1353.7800000000072</v>
      </c>
      <c r="M176" s="59">
        <f t="shared" si="21"/>
        <v>3.9378612716763343E-2</v>
      </c>
      <c r="N176" s="60">
        <v>66068309</v>
      </c>
      <c r="O176" s="60">
        <f t="shared" si="17"/>
        <v>0</v>
      </c>
      <c r="P176" s="70" t="e">
        <f>IF(J155="",0,+(+(LOOKUP(9.99999999999999E+307,E155:E184)-E154))/(+(LOOKUP(9.99999999999999E+307,D155:D184)-D154)))</f>
        <v>#DIV/0!</v>
      </c>
      <c r="Q176" s="70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4"/>
    </row>
    <row r="177" spans="1:20" ht="15.75" thickBot="1" x14ac:dyDescent="0.3">
      <c r="A177" s="53">
        <v>44371</v>
      </c>
      <c r="D177" s="55">
        <v>0.14199999999999999</v>
      </c>
      <c r="E177" s="56">
        <v>548.72299999999996</v>
      </c>
      <c r="F177" s="57">
        <v>19.989999999999998</v>
      </c>
      <c r="G177" s="58"/>
      <c r="H177" s="58">
        <v>4140</v>
      </c>
      <c r="I177" s="58">
        <f t="shared" si="23"/>
        <v>33140.699999999983</v>
      </c>
      <c r="J177" s="58">
        <f t="shared" si="24"/>
        <v>1374.4799999999884</v>
      </c>
      <c r="K177" s="59">
        <f t="shared" si="19"/>
        <v>4.1474078700811663E-2</v>
      </c>
      <c r="L177" s="58">
        <f t="shared" si="20"/>
        <v>1374.4799999999884</v>
      </c>
      <c r="M177" s="59">
        <f t="shared" si="21"/>
        <v>4.1474078700811663E-2</v>
      </c>
      <c r="N177" s="60">
        <v>66068309</v>
      </c>
      <c r="O177" s="60">
        <f t="shared" si="17"/>
        <v>0</v>
      </c>
      <c r="P177" s="71" t="s">
        <v>48</v>
      </c>
      <c r="Q177" s="72" t="s">
        <v>49</v>
      </c>
      <c r="R177" s="20">
        <f t="shared" si="25"/>
        <v>1</v>
      </c>
      <c r="S177" s="20">
        <f t="shared" si="18"/>
        <v>0</v>
      </c>
      <c r="T177" s="64"/>
    </row>
    <row r="178" spans="1:20" ht="15.75" thickBot="1" x14ac:dyDescent="0.3">
      <c r="A178" s="53">
        <v>44372</v>
      </c>
      <c r="D178" s="55">
        <v>0.14199999999999999</v>
      </c>
      <c r="E178" s="56">
        <v>556.97199999999998</v>
      </c>
      <c r="F178" s="57">
        <v>20.370999999999999</v>
      </c>
      <c r="G178" s="58"/>
      <c r="H178" s="58">
        <v>4140</v>
      </c>
      <c r="I178" s="58">
        <f t="shared" si="23"/>
        <v>34150.860000000095</v>
      </c>
      <c r="J178" s="58">
        <f t="shared" si="24"/>
        <v>1577.3400000000011</v>
      </c>
      <c r="K178" s="59">
        <f t="shared" si="19"/>
        <v>4.6187416656564333E-2</v>
      </c>
      <c r="L178" s="58">
        <f t="shared" si="20"/>
        <v>1577.3400000000011</v>
      </c>
      <c r="M178" s="59">
        <f t="shared" si="21"/>
        <v>4.6187416656564333E-2</v>
      </c>
      <c r="N178" s="60">
        <v>66068309</v>
      </c>
      <c r="O178" s="60">
        <f t="shared" si="17"/>
        <v>0</v>
      </c>
      <c r="P178" s="73">
        <f>IF(D155="",0,+(LOOKUP(9.99999999999999E+307,N154:N184)-N154))</f>
        <v>0</v>
      </c>
      <c r="Q178" s="74">
        <f>IF(P178="",0,+P178/SUM(R155:R184))</f>
        <v>0</v>
      </c>
      <c r="R178" s="20">
        <f t="shared" si="25"/>
        <v>1</v>
      </c>
      <c r="S178" s="20">
        <f t="shared" si="18"/>
        <v>0</v>
      </c>
      <c r="T178" s="64"/>
    </row>
    <row r="179" spans="1:20" ht="15.75" thickBot="1" x14ac:dyDescent="0.3">
      <c r="A179" s="53">
        <v>44373</v>
      </c>
      <c r="D179" s="55">
        <v>0.14199999999999999</v>
      </c>
      <c r="E179" s="56">
        <v>565.03700000000003</v>
      </c>
      <c r="F179" s="57">
        <v>20.728000000000002</v>
      </c>
      <c r="G179" s="58"/>
      <c r="H179" s="58">
        <v>4140</v>
      </c>
      <c r="I179" s="58">
        <f t="shared" si="23"/>
        <v>33389.100000000224</v>
      </c>
      <c r="J179" s="58">
        <f t="shared" si="24"/>
        <v>1477.9800000000118</v>
      </c>
      <c r="K179" s="59">
        <f t="shared" si="19"/>
        <v>4.4265344079355298E-2</v>
      </c>
      <c r="L179" s="58">
        <f t="shared" si="20"/>
        <v>1477.9800000000118</v>
      </c>
      <c r="M179" s="59">
        <f t="shared" si="21"/>
        <v>4.4265344079355298E-2</v>
      </c>
      <c r="N179" s="60">
        <v>66068309</v>
      </c>
      <c r="O179" s="60">
        <f t="shared" si="17"/>
        <v>0</v>
      </c>
      <c r="P179" s="75" t="s">
        <v>50</v>
      </c>
      <c r="Q179" s="76" t="s">
        <v>58</v>
      </c>
      <c r="R179" s="20">
        <f t="shared" si="25"/>
        <v>1</v>
      </c>
      <c r="S179" s="20">
        <f t="shared" si="18"/>
        <v>0</v>
      </c>
      <c r="T179" s="64"/>
    </row>
    <row r="180" spans="1:20" ht="15.75" thickBot="1" x14ac:dyDescent="0.3">
      <c r="A180" s="53">
        <v>44374</v>
      </c>
      <c r="D180" s="55">
        <v>0.14199999999999999</v>
      </c>
      <c r="E180" s="56">
        <v>573.14</v>
      </c>
      <c r="F180" s="57">
        <v>21.113</v>
      </c>
      <c r="G180" s="58"/>
      <c r="H180" s="58">
        <v>4140</v>
      </c>
      <c r="I180" s="58">
        <f t="shared" si="23"/>
        <v>33546.419999999802</v>
      </c>
      <c r="J180" s="58">
        <f t="shared" si="24"/>
        <v>1593.8999999999917</v>
      </c>
      <c r="K180" s="59">
        <f t="shared" si="19"/>
        <v>4.7513266691348914E-2</v>
      </c>
      <c r="L180" s="58">
        <f t="shared" si="20"/>
        <v>1593.8999999999917</v>
      </c>
      <c r="M180" s="59">
        <f t="shared" si="21"/>
        <v>4.7513266691348914E-2</v>
      </c>
      <c r="N180" s="60">
        <v>66068309</v>
      </c>
      <c r="O180" s="60">
        <f t="shared" si="17"/>
        <v>0</v>
      </c>
      <c r="P180" s="77">
        <f>IF(D154="",0,+(LOOKUP(9.99999999999999E+307,D154:D184)-D154))*4140</f>
        <v>0</v>
      </c>
      <c r="Q180" s="78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3">
        <v>44375</v>
      </c>
      <c r="D181" s="55">
        <v>0.14199999999999999</v>
      </c>
      <c r="E181" s="56">
        <v>581.4</v>
      </c>
      <c r="F181" s="57">
        <v>21.446999999999999</v>
      </c>
      <c r="G181" s="58"/>
      <c r="H181" s="58">
        <v>4140</v>
      </c>
      <c r="I181" s="58">
        <f t="shared" si="23"/>
        <v>34196.399999999965</v>
      </c>
      <c r="J181" s="58">
        <f t="shared" si="24"/>
        <v>1382.7599999999984</v>
      </c>
      <c r="K181" s="59">
        <f t="shared" si="19"/>
        <v>4.0435835351089584E-2</v>
      </c>
      <c r="L181" s="58">
        <f t="shared" si="20"/>
        <v>1382.7599999999984</v>
      </c>
      <c r="M181" s="59">
        <f t="shared" si="21"/>
        <v>4.0435835351089584E-2</v>
      </c>
      <c r="N181" s="60">
        <v>66068309</v>
      </c>
      <c r="O181" s="60">
        <f t="shared" si="17"/>
        <v>0</v>
      </c>
      <c r="P181" s="79" t="s">
        <v>52</v>
      </c>
      <c r="Q181" s="80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3">
        <v>44376</v>
      </c>
      <c r="D182" s="55">
        <v>0.14199999999999999</v>
      </c>
      <c r="E182" s="56">
        <v>590.779</v>
      </c>
      <c r="F182" s="57">
        <v>21.803000000000001</v>
      </c>
      <c r="G182" s="58"/>
      <c r="H182" s="58">
        <v>4140</v>
      </c>
      <c r="I182" s="58">
        <f t="shared" si="23"/>
        <v>38829.060000000078</v>
      </c>
      <c r="J182" s="58">
        <f t="shared" si="24"/>
        <v>1473.8400000000067</v>
      </c>
      <c r="K182" s="59">
        <f t="shared" si="19"/>
        <v>3.7957138287664026E-2</v>
      </c>
      <c r="L182" s="58">
        <f t="shared" si="20"/>
        <v>1473.8400000000067</v>
      </c>
      <c r="M182" s="59">
        <f t="shared" si="21"/>
        <v>3.7957138287664026E-2</v>
      </c>
      <c r="N182" s="60">
        <v>66068309</v>
      </c>
      <c r="O182" s="60">
        <f t="shared" si="17"/>
        <v>0</v>
      </c>
      <c r="P182" s="81">
        <f>P180*Q185</f>
        <v>0</v>
      </c>
      <c r="Q182" s="82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3">
        <v>44377</v>
      </c>
      <c r="D183" s="55">
        <v>0.14199999999999999</v>
      </c>
      <c r="E183" s="56">
        <v>599.01</v>
      </c>
      <c r="F183" s="57">
        <v>22.135000000000002</v>
      </c>
      <c r="G183" s="58"/>
      <c r="H183" s="58">
        <v>4140</v>
      </c>
      <c r="I183" s="58">
        <f t="shared" si="23"/>
        <v>34076.339999999975</v>
      </c>
      <c r="J183" s="58">
        <f t="shared" si="24"/>
        <v>1374.480000000003</v>
      </c>
      <c r="K183" s="59">
        <f t="shared" si="19"/>
        <v>4.0335317701372976E-2</v>
      </c>
      <c r="L183" s="58">
        <f t="shared" si="20"/>
        <v>1374.480000000003</v>
      </c>
      <c r="M183" s="59">
        <f t="shared" si="21"/>
        <v>4.0335317701372976E-2</v>
      </c>
      <c r="N183" s="60">
        <v>66068309</v>
      </c>
      <c r="O183" s="60">
        <f t="shared" si="17"/>
        <v>0</v>
      </c>
      <c r="P183" s="84" t="s">
        <v>54</v>
      </c>
      <c r="Q183" s="85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3">
        <v>44378</v>
      </c>
      <c r="D184" s="55">
        <v>0.14199999999999999</v>
      </c>
      <c r="E184" s="56">
        <v>607.61099999999999</v>
      </c>
      <c r="F184" s="57">
        <v>22.405999999999999</v>
      </c>
      <c r="G184" s="89"/>
      <c r="H184" s="58">
        <v>4140</v>
      </c>
      <c r="I184" s="58">
        <f t="shared" si="23"/>
        <v>35608.14</v>
      </c>
      <c r="J184" s="58">
        <f t="shared" si="24"/>
        <v>1121.9399999999887</v>
      </c>
      <c r="K184" s="59">
        <f t="shared" si="19"/>
        <v>3.1507964190210125E-2</v>
      </c>
      <c r="L184" s="58">
        <f t="shared" si="20"/>
        <v>1121.9399999999887</v>
      </c>
      <c r="M184" s="59">
        <f t="shared" si="21"/>
        <v>3.1507964190210125E-2</v>
      </c>
      <c r="N184" s="90">
        <v>66068309</v>
      </c>
      <c r="O184" s="91">
        <f>IF(N184="","",N184-N183)</f>
        <v>0</v>
      </c>
      <c r="P184" s="92">
        <f>(P182+Q180*SUM(S155:S184)*Q185)</f>
        <v>0</v>
      </c>
      <c r="Q184" s="93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3">
        <v>44379</v>
      </c>
      <c r="D185" s="55">
        <v>0.14199999999999999</v>
      </c>
      <c r="E185" s="56">
        <v>616.39800000000002</v>
      </c>
      <c r="F185" s="57">
        <v>22.785</v>
      </c>
      <c r="G185" s="58"/>
      <c r="H185" s="58">
        <v>4140</v>
      </c>
      <c r="I185" s="58">
        <f t="shared" si="23"/>
        <v>36378.180000000146</v>
      </c>
      <c r="J185" s="58">
        <f t="shared" si="24"/>
        <v>1569.0600000000056</v>
      </c>
      <c r="K185" s="59">
        <f t="shared" si="19"/>
        <v>4.3131899396836218E-2</v>
      </c>
      <c r="L185" s="58">
        <f t="shared" si="20"/>
        <v>1569.0600000000056</v>
      </c>
      <c r="M185" s="59">
        <f t="shared" si="21"/>
        <v>4.3131899396836218E-2</v>
      </c>
      <c r="N185" s="60">
        <v>66068309</v>
      </c>
      <c r="O185" s="60">
        <f t="shared" si="17"/>
        <v>0</v>
      </c>
      <c r="P185" s="109" t="s">
        <v>56</v>
      </c>
      <c r="Q185" s="110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3">
        <v>44380</v>
      </c>
      <c r="D186" s="55">
        <v>0.14199999999999999</v>
      </c>
      <c r="E186" s="56">
        <v>624.93200000000002</v>
      </c>
      <c r="F186" s="57">
        <v>23.138000000000002</v>
      </c>
      <c r="G186" s="58"/>
      <c r="H186" s="58">
        <v>4140</v>
      </c>
      <c r="I186" s="58">
        <f t="shared" si="23"/>
        <v>35330.759999999966</v>
      </c>
      <c r="J186" s="58">
        <f t="shared" si="24"/>
        <v>1461.4200000000064</v>
      </c>
      <c r="K186" s="59">
        <f t="shared" si="19"/>
        <v>4.1363955940942339E-2</v>
      </c>
      <c r="L186" s="58">
        <f t="shared" si="20"/>
        <v>1461.4200000000064</v>
      </c>
      <c r="M186" s="59">
        <f t="shared" si="21"/>
        <v>4.1363955940942339E-2</v>
      </c>
      <c r="N186" s="60">
        <v>66068309</v>
      </c>
      <c r="O186" s="60">
        <f t="shared" si="17"/>
        <v>0</v>
      </c>
      <c r="P186" s="111"/>
      <c r="Q186" s="112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3">
        <v>44381</v>
      </c>
      <c r="D187" s="55">
        <v>0.14199999999999999</v>
      </c>
      <c r="E187" s="56">
        <v>632.51300000000003</v>
      </c>
      <c r="F187" s="57">
        <v>23.402000000000001</v>
      </c>
      <c r="G187" s="58"/>
      <c r="H187" s="58">
        <v>4140</v>
      </c>
      <c r="I187" s="58">
        <f t="shared" si="23"/>
        <v>31385.340000000073</v>
      </c>
      <c r="J187" s="58">
        <f t="shared" si="24"/>
        <v>1092.9599999999973</v>
      </c>
      <c r="K187" s="59">
        <f t="shared" si="19"/>
        <v>3.482390185991277E-2</v>
      </c>
      <c r="L187" s="58">
        <f t="shared" si="20"/>
        <v>1092.9599999999973</v>
      </c>
      <c r="M187" s="59">
        <f t="shared" si="21"/>
        <v>3.482390185991277E-2</v>
      </c>
      <c r="N187" s="60">
        <v>66068309</v>
      </c>
      <c r="O187" s="60">
        <f t="shared" si="17"/>
        <v>0</v>
      </c>
      <c r="P187" s="113"/>
      <c r="Q187" s="114"/>
      <c r="R187" s="20">
        <f t="shared" si="25"/>
        <v>1</v>
      </c>
      <c r="S187" s="20">
        <f t="shared" si="18"/>
        <v>0</v>
      </c>
      <c r="T187" s="64"/>
    </row>
    <row r="188" spans="1:20" ht="15.75" thickBot="1" x14ac:dyDescent="0.3">
      <c r="A188" s="53">
        <v>44382</v>
      </c>
      <c r="D188" s="55">
        <v>0.14199999999999999</v>
      </c>
      <c r="E188" s="56">
        <v>640.61099999999999</v>
      </c>
      <c r="F188" s="57">
        <v>23.684999999999999</v>
      </c>
      <c r="G188" s="58"/>
      <c r="H188" s="58">
        <v>4140</v>
      </c>
      <c r="I188" s="58">
        <f t="shared" si="23"/>
        <v>33525.719999999819</v>
      </c>
      <c r="J188" s="58">
        <f t="shared" si="24"/>
        <v>1171.6199999999906</v>
      </c>
      <c r="K188" s="59">
        <f t="shared" si="19"/>
        <v>3.4946900469251571E-2</v>
      </c>
      <c r="L188" s="58">
        <f t="shared" si="20"/>
        <v>1171.6199999999906</v>
      </c>
      <c r="M188" s="59">
        <f t="shared" si="21"/>
        <v>3.4946900469251571E-2</v>
      </c>
      <c r="N188" s="60">
        <v>66068309</v>
      </c>
      <c r="O188" s="60">
        <f t="shared" si="17"/>
        <v>0</v>
      </c>
      <c r="P188" s="113"/>
      <c r="Q188" s="114"/>
      <c r="R188" s="20">
        <f t="shared" si="25"/>
        <v>1</v>
      </c>
      <c r="S188" s="20">
        <f t="shared" si="18"/>
        <v>0</v>
      </c>
      <c r="T188" s="64"/>
    </row>
    <row r="189" spans="1:20" ht="15.75" thickBot="1" x14ac:dyDescent="0.3">
      <c r="A189" s="53">
        <v>44383</v>
      </c>
      <c r="D189" s="55">
        <v>0.14199999999999999</v>
      </c>
      <c r="E189" s="56">
        <v>648.19000000000005</v>
      </c>
      <c r="F189" s="57">
        <v>23.98</v>
      </c>
      <c r="G189" s="58"/>
      <c r="H189" s="58">
        <v>4140</v>
      </c>
      <c r="I189" s="58">
        <f t="shared" si="23"/>
        <v>31377.060000000267</v>
      </c>
      <c r="J189" s="58">
        <f t="shared" si="24"/>
        <v>1221.300000000007</v>
      </c>
      <c r="K189" s="59">
        <f t="shared" si="19"/>
        <v>3.8923340810133156E-2</v>
      </c>
      <c r="L189" s="58">
        <f t="shared" si="20"/>
        <v>1221.300000000007</v>
      </c>
      <c r="M189" s="59">
        <f t="shared" si="21"/>
        <v>3.8923340810133156E-2</v>
      </c>
      <c r="N189" s="60">
        <v>66068309</v>
      </c>
      <c r="O189" s="60">
        <f t="shared" si="17"/>
        <v>0</v>
      </c>
      <c r="P189" s="113"/>
      <c r="Q189" s="114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3">
        <v>44384</v>
      </c>
      <c r="D190" s="55">
        <v>0.14199999999999999</v>
      </c>
      <c r="E190" s="56">
        <v>656.75800000000004</v>
      </c>
      <c r="F190" s="57">
        <v>24.395</v>
      </c>
      <c r="G190" s="58"/>
      <c r="H190" s="58">
        <v>4140</v>
      </c>
      <c r="I190" s="58">
        <f t="shared" si="23"/>
        <v>35471.519999999931</v>
      </c>
      <c r="J190" s="58">
        <f t="shared" si="24"/>
        <v>1718.0999999999965</v>
      </c>
      <c r="K190" s="59">
        <f t="shared" si="19"/>
        <v>4.8436041083099901E-2</v>
      </c>
      <c r="L190" s="58">
        <f t="shared" si="20"/>
        <v>1718.0999999999965</v>
      </c>
      <c r="M190" s="59">
        <f t="shared" si="21"/>
        <v>4.8436041083099901E-2</v>
      </c>
      <c r="N190" s="60">
        <v>66068309</v>
      </c>
      <c r="O190" s="60">
        <f t="shared" si="17"/>
        <v>0</v>
      </c>
      <c r="P190" s="98"/>
      <c r="Q190" s="99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3">
        <v>44385</v>
      </c>
      <c r="D191" s="55">
        <v>0.14199999999999999</v>
      </c>
      <c r="E191" s="56">
        <v>665.13</v>
      </c>
      <c r="F191" s="57">
        <v>24.728000000000002</v>
      </c>
      <c r="G191" s="58"/>
      <c r="H191" s="58">
        <v>4140</v>
      </c>
      <c r="I191" s="58">
        <f t="shared" si="23"/>
        <v>34660.07999999982</v>
      </c>
      <c r="J191" s="58">
        <f t="shared" si="24"/>
        <v>1378.6200000000081</v>
      </c>
      <c r="K191" s="59">
        <f t="shared" si="19"/>
        <v>3.9775441949355429E-2</v>
      </c>
      <c r="L191" s="58">
        <f t="shared" si="20"/>
        <v>1378.6200000000081</v>
      </c>
      <c r="M191" s="59">
        <f t="shared" si="21"/>
        <v>3.9775441949355429E-2</v>
      </c>
      <c r="N191" s="60">
        <v>66068309</v>
      </c>
      <c r="O191" s="60">
        <f t="shared" si="17"/>
        <v>0</v>
      </c>
      <c r="P191" s="100"/>
      <c r="Q191" s="101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3">
        <v>44386</v>
      </c>
      <c r="D192" s="55">
        <v>0.14199999999999999</v>
      </c>
      <c r="E192" s="56">
        <v>673.84400000000005</v>
      </c>
      <c r="F192" s="57">
        <v>25.103000000000002</v>
      </c>
      <c r="G192" s="58"/>
      <c r="H192" s="58">
        <v>4140</v>
      </c>
      <c r="I192" s="58">
        <f t="shared" si="23"/>
        <v>36075.960000000232</v>
      </c>
      <c r="J192" s="58">
        <f t="shared" si="24"/>
        <v>1552.5</v>
      </c>
      <c r="K192" s="59">
        <f t="shared" si="19"/>
        <v>4.3034197842551941E-2</v>
      </c>
      <c r="L192" s="58">
        <f t="shared" si="20"/>
        <v>1552.5</v>
      </c>
      <c r="M192" s="59">
        <f t="shared" si="21"/>
        <v>4.3034197842551941E-2</v>
      </c>
      <c r="N192" s="60">
        <v>66068309</v>
      </c>
      <c r="O192" s="60">
        <f t="shared" si="17"/>
        <v>0</v>
      </c>
      <c r="P192" s="100"/>
      <c r="Q192" s="99"/>
      <c r="R192" s="20">
        <f t="shared" si="25"/>
        <v>1</v>
      </c>
      <c r="S192" s="20">
        <f t="shared" si="18"/>
        <v>0</v>
      </c>
      <c r="T192" s="64"/>
    </row>
    <row r="193" spans="1:20" ht="15.75" thickBot="1" x14ac:dyDescent="0.3">
      <c r="A193" s="53">
        <v>44387</v>
      </c>
      <c r="D193" s="55">
        <v>0.14199999999999999</v>
      </c>
      <c r="E193" s="56">
        <v>682.65200000000004</v>
      </c>
      <c r="F193" s="57">
        <v>25.42</v>
      </c>
      <c r="G193" s="58"/>
      <c r="H193" s="58">
        <v>4140</v>
      </c>
      <c r="I193" s="58">
        <f t="shared" si="23"/>
        <v>36465.119999999966</v>
      </c>
      <c r="J193" s="58">
        <f t="shared" si="24"/>
        <v>1312.3800000000008</v>
      </c>
      <c r="K193" s="59">
        <f t="shared" si="19"/>
        <v>3.5990009082652187E-2</v>
      </c>
      <c r="L193" s="58">
        <f t="shared" si="20"/>
        <v>1312.3800000000008</v>
      </c>
      <c r="M193" s="59">
        <f t="shared" si="21"/>
        <v>3.5990009082652187E-2</v>
      </c>
      <c r="N193" s="60">
        <v>66068309</v>
      </c>
      <c r="O193" s="60">
        <f t="shared" si="17"/>
        <v>0</v>
      </c>
      <c r="P193" s="113"/>
      <c r="Q193" s="115"/>
      <c r="R193" s="20">
        <f t="shared" si="25"/>
        <v>1</v>
      </c>
      <c r="S193" s="20">
        <f t="shared" si="18"/>
        <v>0</v>
      </c>
      <c r="T193" s="64"/>
    </row>
    <row r="194" spans="1:20" ht="15.75" thickBot="1" x14ac:dyDescent="0.3">
      <c r="A194" s="53">
        <v>44388</v>
      </c>
      <c r="D194" s="55">
        <v>0.14199999999999999</v>
      </c>
      <c r="E194" s="56">
        <v>691.53899999999999</v>
      </c>
      <c r="F194" s="57">
        <v>25.803000000000001</v>
      </c>
      <c r="G194" s="58"/>
      <c r="H194" s="58">
        <v>4140</v>
      </c>
      <c r="I194" s="58">
        <f t="shared" si="23"/>
        <v>36792.179999999767</v>
      </c>
      <c r="J194" s="58">
        <f t="shared" si="24"/>
        <v>1585.6199999999963</v>
      </c>
      <c r="K194" s="59">
        <f t="shared" si="19"/>
        <v>4.3096658039833632E-2</v>
      </c>
      <c r="L194" s="58">
        <f t="shared" si="20"/>
        <v>1585.6199999999963</v>
      </c>
      <c r="M194" s="59">
        <f t="shared" si="21"/>
        <v>4.3096658039833632E-2</v>
      </c>
      <c r="N194" s="60">
        <v>66068309</v>
      </c>
      <c r="O194" s="60">
        <f t="shared" si="17"/>
        <v>0</v>
      </c>
      <c r="P194" s="113"/>
      <c r="Q194" s="116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3">
        <v>44389</v>
      </c>
      <c r="D195" s="55">
        <v>0.14199999999999999</v>
      </c>
      <c r="E195" s="56">
        <v>700.66899999999998</v>
      </c>
      <c r="F195" s="57">
        <v>26.106000000000002</v>
      </c>
      <c r="G195" s="58"/>
      <c r="H195" s="58">
        <v>4140</v>
      </c>
      <c r="I195" s="58">
        <f t="shared" si="23"/>
        <v>37798.199999999983</v>
      </c>
      <c r="J195" s="58">
        <f t="shared" si="24"/>
        <v>1254.4200000000035</v>
      </c>
      <c r="K195" s="59">
        <f t="shared" si="19"/>
        <v>3.3187294633077874E-2</v>
      </c>
      <c r="L195" s="58">
        <f t="shared" si="20"/>
        <v>1254.4200000000035</v>
      </c>
      <c r="M195" s="59">
        <f t="shared" si="21"/>
        <v>3.3187294633077874E-2</v>
      </c>
      <c r="N195" s="60">
        <v>66068309</v>
      </c>
      <c r="O195" s="60">
        <f t="shared" si="17"/>
        <v>0</v>
      </c>
      <c r="P195" s="113"/>
      <c r="Q195" s="116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3">
        <v>44390</v>
      </c>
      <c r="D196" s="55">
        <v>0.14199999999999999</v>
      </c>
      <c r="E196" s="56">
        <v>709.35699999999997</v>
      </c>
      <c r="F196" s="57">
        <v>26.52</v>
      </c>
      <c r="G196" s="58"/>
      <c r="H196" s="58">
        <v>4140</v>
      </c>
      <c r="I196" s="58">
        <f t="shared" si="23"/>
        <v>35968.319999999949</v>
      </c>
      <c r="J196" s="58">
        <f t="shared" si="24"/>
        <v>1713.9599999999914</v>
      </c>
      <c r="K196" s="59">
        <f t="shared" si="19"/>
        <v>4.7651933701657288E-2</v>
      </c>
      <c r="L196" s="58">
        <f t="shared" si="20"/>
        <v>1713.9599999999914</v>
      </c>
      <c r="M196" s="59">
        <f t="shared" si="21"/>
        <v>4.7651933701657288E-2</v>
      </c>
      <c r="N196" s="60">
        <v>66068309</v>
      </c>
      <c r="O196" s="60">
        <f t="shared" si="17"/>
        <v>0</v>
      </c>
      <c r="P196" s="113"/>
      <c r="Q196" s="115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3">
        <v>44391</v>
      </c>
      <c r="D197" s="55">
        <v>0.14199999999999999</v>
      </c>
      <c r="E197" s="56">
        <v>718.65700000000004</v>
      </c>
      <c r="F197" s="57">
        <v>26.850999999999999</v>
      </c>
      <c r="G197" s="58"/>
      <c r="H197" s="58">
        <v>4140</v>
      </c>
      <c r="I197" s="58">
        <f t="shared" si="23"/>
        <v>38502.000000000284</v>
      </c>
      <c r="J197" s="58">
        <f t="shared" si="24"/>
        <v>1370.3399999999981</v>
      </c>
      <c r="K197" s="59">
        <f t="shared" si="19"/>
        <v>3.5591397849462053E-2</v>
      </c>
      <c r="L197" s="58">
        <f t="shared" si="20"/>
        <v>1370.3399999999981</v>
      </c>
      <c r="M197" s="59">
        <f t="shared" si="21"/>
        <v>3.5591397849462053E-2</v>
      </c>
      <c r="N197" s="60">
        <v>66068309</v>
      </c>
      <c r="O197" s="60">
        <f t="shared" si="17"/>
        <v>0</v>
      </c>
      <c r="P197" s="113"/>
      <c r="Q197" s="115"/>
      <c r="R197" s="20">
        <f t="shared" si="25"/>
        <v>1</v>
      </c>
      <c r="S197" s="20">
        <f t="shared" si="18"/>
        <v>0</v>
      </c>
      <c r="T197" s="64"/>
    </row>
    <row r="198" spans="1:20" ht="15.75" thickBot="1" x14ac:dyDescent="0.3">
      <c r="A198" s="53">
        <v>44392</v>
      </c>
      <c r="D198" s="55">
        <v>0.14199999999999999</v>
      </c>
      <c r="E198" s="56">
        <v>727.93399999999997</v>
      </c>
      <c r="F198" s="57">
        <v>27.225000000000001</v>
      </c>
      <c r="G198" s="58"/>
      <c r="H198" s="58">
        <v>4140</v>
      </c>
      <c r="I198" s="58">
        <f t="shared" si="23"/>
        <v>38406.779999999708</v>
      </c>
      <c r="J198" s="58">
        <f t="shared" si="24"/>
        <v>1548.3600000000097</v>
      </c>
      <c r="K198" s="59">
        <f t="shared" si="19"/>
        <v>4.031475692573086E-2</v>
      </c>
      <c r="L198" s="58">
        <f t="shared" si="20"/>
        <v>1548.3600000000097</v>
      </c>
      <c r="M198" s="59">
        <f t="shared" si="21"/>
        <v>4.031475692573086E-2</v>
      </c>
      <c r="N198" s="60">
        <v>66068309</v>
      </c>
      <c r="O198" s="60">
        <f t="shared" ref="O198:O261" si="26">IF(N198="","",N198-N197)</f>
        <v>0</v>
      </c>
      <c r="P198" s="113"/>
      <c r="Q198" s="116"/>
      <c r="R198" s="20">
        <f t="shared" si="25"/>
        <v>1</v>
      </c>
      <c r="S198" s="20">
        <f t="shared" si="18"/>
        <v>0</v>
      </c>
      <c r="T198" s="64"/>
    </row>
    <row r="199" spans="1:20" ht="15.75" thickBot="1" x14ac:dyDescent="0.3">
      <c r="A199" s="53">
        <v>44393</v>
      </c>
      <c r="D199" s="55">
        <v>0.14199999999999999</v>
      </c>
      <c r="E199" s="56">
        <v>737.03499999999997</v>
      </c>
      <c r="F199" s="57">
        <v>27.556999999999999</v>
      </c>
      <c r="G199" s="58"/>
      <c r="H199" s="58">
        <v>4140</v>
      </c>
      <c r="I199" s="58">
        <f t="shared" si="23"/>
        <v>37678.14</v>
      </c>
      <c r="J199" s="58">
        <f t="shared" si="24"/>
        <v>1374.4799999999884</v>
      </c>
      <c r="K199" s="59">
        <f t="shared" si="19"/>
        <v>3.6479507746401185E-2</v>
      </c>
      <c r="L199" s="58">
        <f t="shared" si="20"/>
        <v>1374.4799999999884</v>
      </c>
      <c r="M199" s="59">
        <f t="shared" si="21"/>
        <v>3.6479507746401185E-2</v>
      </c>
      <c r="N199" s="60">
        <v>66068309</v>
      </c>
      <c r="O199" s="60">
        <f t="shared" si="26"/>
        <v>0</v>
      </c>
      <c r="P199" s="113"/>
      <c r="Q199" s="116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3">
        <v>44394</v>
      </c>
      <c r="D200" s="55">
        <v>0.14199999999999999</v>
      </c>
      <c r="E200" s="56">
        <v>747.29499999999996</v>
      </c>
      <c r="F200" s="57">
        <v>27.866</v>
      </c>
      <c r="G200" s="58"/>
      <c r="H200" s="58">
        <v>4140</v>
      </c>
      <c r="I200" s="58">
        <f t="shared" si="23"/>
        <v>42476.399999999965</v>
      </c>
      <c r="J200" s="58">
        <f t="shared" si="24"/>
        <v>1279.2600000000043</v>
      </c>
      <c r="K200" s="59">
        <f t="shared" si="19"/>
        <v>3.0116959064327611E-2</v>
      </c>
      <c r="L200" s="58">
        <f t="shared" si="20"/>
        <v>1279.2600000000043</v>
      </c>
      <c r="M200" s="59">
        <f t="shared" si="21"/>
        <v>3.0116959064327611E-2</v>
      </c>
      <c r="N200" s="60">
        <v>66068309</v>
      </c>
      <c r="O200" s="60">
        <f t="shared" si="26"/>
        <v>0</v>
      </c>
      <c r="P200" s="113"/>
      <c r="Q200" s="116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3">
        <v>44395</v>
      </c>
      <c r="D201" s="55">
        <v>0.14199999999999999</v>
      </c>
      <c r="E201" s="56">
        <v>757.49099999999999</v>
      </c>
      <c r="F201" s="57">
        <v>28.25</v>
      </c>
      <c r="G201" s="58"/>
      <c r="H201" s="58">
        <v>4140</v>
      </c>
      <c r="I201" s="58">
        <f t="shared" si="23"/>
        <v>42211.440000000111</v>
      </c>
      <c r="J201" s="58">
        <f t="shared" si="24"/>
        <v>1589.7600000000014</v>
      </c>
      <c r="K201" s="59">
        <f t="shared" si="19"/>
        <v>3.7661828167908917E-2</v>
      </c>
      <c r="L201" s="58">
        <f t="shared" si="20"/>
        <v>1589.7600000000014</v>
      </c>
      <c r="M201" s="59">
        <f t="shared" si="21"/>
        <v>3.7661828167908917E-2</v>
      </c>
      <c r="N201" s="60">
        <v>66068309</v>
      </c>
      <c r="O201" s="60">
        <f t="shared" si="26"/>
        <v>0</v>
      </c>
      <c r="P201" s="113"/>
      <c r="Q201" s="114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3">
        <v>44396</v>
      </c>
      <c r="D202" s="55">
        <v>0.14199999999999999</v>
      </c>
      <c r="E202" s="56">
        <v>767.48199999999997</v>
      </c>
      <c r="F202" s="57">
        <v>28.606999999999999</v>
      </c>
      <c r="G202" s="58"/>
      <c r="H202" s="58">
        <v>4140</v>
      </c>
      <c r="I202" s="58">
        <f t="shared" si="23"/>
        <v>41362.73999999994</v>
      </c>
      <c r="J202" s="58">
        <f t="shared" si="24"/>
        <v>1477.9799999999973</v>
      </c>
      <c r="K202" s="59">
        <f t="shared" si="19"/>
        <v>3.5732158943048729E-2</v>
      </c>
      <c r="L202" s="58">
        <f t="shared" si="20"/>
        <v>1477.9799999999973</v>
      </c>
      <c r="M202" s="59">
        <f t="shared" si="21"/>
        <v>3.5732158943048729E-2</v>
      </c>
      <c r="N202" s="60">
        <v>66068309</v>
      </c>
      <c r="O202" s="60">
        <f t="shared" si="26"/>
        <v>0</v>
      </c>
      <c r="P202" s="117"/>
      <c r="Q202" s="118"/>
      <c r="R202" s="20">
        <f t="shared" si="25"/>
        <v>1</v>
      </c>
      <c r="S202" s="20">
        <f t="shared" si="27"/>
        <v>0</v>
      </c>
      <c r="T202" s="64"/>
    </row>
    <row r="203" spans="1:20" ht="15.75" thickBot="1" x14ac:dyDescent="0.3">
      <c r="A203" s="53">
        <v>44397</v>
      </c>
      <c r="D203" s="55">
        <v>0.14199999999999999</v>
      </c>
      <c r="E203" s="56">
        <v>775.82799999999997</v>
      </c>
      <c r="F203" s="57">
        <v>28.984999999999999</v>
      </c>
      <c r="G203" s="58"/>
      <c r="H203" s="58">
        <v>4140</v>
      </c>
      <c r="I203" s="58">
        <f t="shared" si="23"/>
        <v>34552.440000000017</v>
      </c>
      <c r="J203" s="58">
        <f t="shared" si="24"/>
        <v>1564.9200000000005</v>
      </c>
      <c r="K203" s="59">
        <f t="shared" si="19"/>
        <v>4.5291157440690143E-2</v>
      </c>
      <c r="L203" s="58">
        <f t="shared" si="20"/>
        <v>1564.9200000000005</v>
      </c>
      <c r="M203" s="59">
        <f t="shared" si="21"/>
        <v>4.5291157440690143E-2</v>
      </c>
      <c r="N203" s="60">
        <v>66068309</v>
      </c>
      <c r="O203" s="60">
        <f t="shared" si="26"/>
        <v>0</v>
      </c>
      <c r="P203" s="195" t="s">
        <v>64</v>
      </c>
      <c r="Q203" s="196"/>
      <c r="R203" s="20">
        <f t="shared" si="25"/>
        <v>1</v>
      </c>
      <c r="S203" s="20">
        <f t="shared" si="27"/>
        <v>0</v>
      </c>
      <c r="T203" s="64"/>
    </row>
    <row r="204" spans="1:20" ht="15.75" thickBot="1" x14ac:dyDescent="0.3">
      <c r="A204" s="53">
        <v>44398</v>
      </c>
      <c r="D204" s="55">
        <v>0.14199999999999999</v>
      </c>
      <c r="E204" s="56">
        <v>785.21400000000006</v>
      </c>
      <c r="F204" s="57">
        <v>29.338999999999999</v>
      </c>
      <c r="G204" s="58"/>
      <c r="H204" s="58">
        <v>4140</v>
      </c>
      <c r="I204" s="58">
        <f t="shared" si="23"/>
        <v>38858.040000000336</v>
      </c>
      <c r="J204" s="58">
        <f t="shared" si="24"/>
        <v>1465.5599999999968</v>
      </c>
      <c r="K204" s="59">
        <f t="shared" si="19"/>
        <v>3.7715746857020685E-2</v>
      </c>
      <c r="L204" s="58">
        <f t="shared" si="20"/>
        <v>1465.5599999999968</v>
      </c>
      <c r="M204" s="59">
        <f t="shared" si="21"/>
        <v>3.7715746857020685E-2</v>
      </c>
      <c r="N204" s="60">
        <v>66068309</v>
      </c>
      <c r="O204" s="60">
        <f t="shared" si="26"/>
        <v>0</v>
      </c>
      <c r="P204" s="193"/>
      <c r="Q204" s="194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3">
        <v>44399</v>
      </c>
      <c r="D205" s="55">
        <v>0.14199999999999999</v>
      </c>
      <c r="E205" s="56">
        <v>792.41899999999998</v>
      </c>
      <c r="F205" s="57">
        <v>29.486999999999998</v>
      </c>
      <c r="G205" s="58"/>
      <c r="H205" s="58">
        <v>4140</v>
      </c>
      <c r="I205" s="58">
        <f t="shared" si="23"/>
        <v>29828.699999999699</v>
      </c>
      <c r="J205" s="58">
        <f t="shared" si="24"/>
        <v>612.71999999999866</v>
      </c>
      <c r="K205" s="59">
        <f t="shared" ref="K205:K268" si="28">IF(J205="","",+(J205/I205))</f>
        <v>2.0541290770298568E-2</v>
      </c>
      <c r="L205" s="58">
        <f t="shared" ref="L205:L223" si="29">IF(F205="","",+(F205-F204)*4140)</f>
        <v>612.71999999999866</v>
      </c>
      <c r="M205" s="59">
        <f t="shared" ref="M205:M268" si="30">IF(L205="","",(L205/I205))</f>
        <v>2.0541290770298568E-2</v>
      </c>
      <c r="N205" s="60">
        <v>66068309</v>
      </c>
      <c r="O205" s="60">
        <f t="shared" si="26"/>
        <v>0</v>
      </c>
      <c r="P205" s="68" t="s">
        <v>46</v>
      </c>
      <c r="Q205" s="68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3">
        <v>44400</v>
      </c>
      <c r="D206" s="55">
        <v>0.14199999999999999</v>
      </c>
      <c r="E206" s="56">
        <v>799.60400000000004</v>
      </c>
      <c r="F206" s="57">
        <v>29.641999999999999</v>
      </c>
      <c r="G206" s="58"/>
      <c r="H206" s="58">
        <v>4140</v>
      </c>
      <c r="I206" s="58">
        <f t="shared" si="23"/>
        <v>29745.900000000245</v>
      </c>
      <c r="J206" s="58">
        <f t="shared" si="24"/>
        <v>641.70000000000471</v>
      </c>
      <c r="K206" s="59">
        <f t="shared" si="28"/>
        <v>2.1572720946416126E-2</v>
      </c>
      <c r="L206" s="58">
        <f t="shared" si="29"/>
        <v>641.70000000000471</v>
      </c>
      <c r="M206" s="59">
        <f t="shared" si="30"/>
        <v>2.1572720946416126E-2</v>
      </c>
      <c r="N206" s="60">
        <v>66068309</v>
      </c>
      <c r="O206" s="60">
        <f t="shared" si="26"/>
        <v>0</v>
      </c>
      <c r="P206" s="69">
        <f>IF(J185="",0,+SUM(J185:J215)/SUM(I185:I215))</f>
        <v>3.7288675881343429E-2</v>
      </c>
      <c r="Q206" s="69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4"/>
    </row>
    <row r="207" spans="1:20" ht="15.75" thickBot="1" x14ac:dyDescent="0.3">
      <c r="A207" s="53">
        <v>44401</v>
      </c>
      <c r="D207" s="55">
        <v>0.14199999999999999</v>
      </c>
      <c r="E207" s="56">
        <v>807.03499999999997</v>
      </c>
      <c r="F207" s="57">
        <v>29.873000000000001</v>
      </c>
      <c r="G207" s="58"/>
      <c r="H207" s="58">
        <v>4140</v>
      </c>
      <c r="I207" s="58">
        <f t="shared" si="23"/>
        <v>30764.339999999695</v>
      </c>
      <c r="J207" s="58">
        <f t="shared" si="24"/>
        <v>956.34000000000685</v>
      </c>
      <c r="K207" s="59">
        <f t="shared" si="28"/>
        <v>3.1085991118288782E-2</v>
      </c>
      <c r="L207" s="58">
        <f t="shared" si="29"/>
        <v>956.34000000000685</v>
      </c>
      <c r="M207" s="59">
        <f t="shared" si="30"/>
        <v>3.1085991118288782E-2</v>
      </c>
      <c r="N207" s="60">
        <v>66068309</v>
      </c>
      <c r="O207" s="60">
        <f t="shared" si="26"/>
        <v>0</v>
      </c>
      <c r="P207" s="70" t="e">
        <f>IF(J185="",0,+(+(LOOKUP(9.99999999999999E+307,E185:E215)-E184))/(+(LOOKUP(9.99999999999999E+307,D185:D215)-D184)))</f>
        <v>#DIV/0!</v>
      </c>
      <c r="Q207" s="70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4"/>
    </row>
    <row r="208" spans="1:20" ht="15.75" thickBot="1" x14ac:dyDescent="0.3">
      <c r="A208" s="53">
        <v>44402</v>
      </c>
      <c r="D208" s="55">
        <v>0.14199999999999999</v>
      </c>
      <c r="E208" s="56">
        <v>814.85199999999998</v>
      </c>
      <c r="F208" s="57">
        <v>30.132999999999999</v>
      </c>
      <c r="G208" s="58"/>
      <c r="H208" s="58">
        <v>4140</v>
      </c>
      <c r="I208" s="58">
        <f t="shared" si="23"/>
        <v>32362.38000000003</v>
      </c>
      <c r="J208" s="58">
        <f t="shared" si="24"/>
        <v>1076.3999999999917</v>
      </c>
      <c r="K208" s="59">
        <f t="shared" si="28"/>
        <v>3.3260841755148748E-2</v>
      </c>
      <c r="L208" s="58">
        <f t="shared" si="29"/>
        <v>1076.3999999999917</v>
      </c>
      <c r="M208" s="59">
        <f t="shared" si="30"/>
        <v>3.3260841755148748E-2</v>
      </c>
      <c r="N208" s="60">
        <v>66068309</v>
      </c>
      <c r="O208" s="60">
        <f t="shared" si="26"/>
        <v>0</v>
      </c>
      <c r="P208" s="71" t="s">
        <v>48</v>
      </c>
      <c r="Q208" s="72" t="s">
        <v>49</v>
      </c>
      <c r="R208" s="20">
        <f t="shared" si="25"/>
        <v>1</v>
      </c>
      <c r="S208" s="20">
        <f t="shared" si="27"/>
        <v>0</v>
      </c>
      <c r="T208" s="64"/>
    </row>
    <row r="209" spans="1:20" ht="15.75" thickBot="1" x14ac:dyDescent="0.3">
      <c r="A209" s="53">
        <v>44403</v>
      </c>
      <c r="D209" s="55">
        <v>0.14199999999999999</v>
      </c>
      <c r="E209" s="56">
        <v>823.87199999999996</v>
      </c>
      <c r="F209" s="57">
        <v>30.48</v>
      </c>
      <c r="G209" s="58"/>
      <c r="H209" s="58">
        <v>4140</v>
      </c>
      <c r="I209" s="58">
        <f t="shared" si="23"/>
        <v>37342.799999999923</v>
      </c>
      <c r="J209" s="58">
        <f t="shared" si="24"/>
        <v>1436.5800000000054</v>
      </c>
      <c r="K209" s="59">
        <f t="shared" si="28"/>
        <v>3.8470066518847233E-2</v>
      </c>
      <c r="L209" s="58">
        <f t="shared" si="29"/>
        <v>1436.5800000000054</v>
      </c>
      <c r="M209" s="59">
        <f t="shared" si="30"/>
        <v>3.8470066518847233E-2</v>
      </c>
      <c r="N209" s="60">
        <v>66068309</v>
      </c>
      <c r="O209" s="60">
        <f t="shared" si="26"/>
        <v>0</v>
      </c>
      <c r="P209" s="73">
        <f>IF(N184="",0,+(LOOKUP(9.99999999999999E+307,N184:N215)-N184))</f>
        <v>0</v>
      </c>
      <c r="Q209" s="74">
        <f>IF(P209="",0,+P209/SUM(R185:R215))</f>
        <v>0</v>
      </c>
      <c r="R209" s="20">
        <f t="shared" si="25"/>
        <v>1</v>
      </c>
      <c r="S209" s="20">
        <f t="shared" si="27"/>
        <v>0</v>
      </c>
      <c r="T209" s="64"/>
    </row>
    <row r="210" spans="1:20" ht="15.75" thickBot="1" x14ac:dyDescent="0.3">
      <c r="A210" s="53">
        <v>44404</v>
      </c>
      <c r="D210" s="55">
        <v>0.14199999999999999</v>
      </c>
      <c r="E210" s="56">
        <v>833.34299999999996</v>
      </c>
      <c r="F210" s="57">
        <v>30.923999999999999</v>
      </c>
      <c r="G210" s="58"/>
      <c r="H210" s="58">
        <v>4140</v>
      </c>
      <c r="I210" s="58">
        <f t="shared" si="23"/>
        <v>39209.940000000017</v>
      </c>
      <c r="J210" s="58">
        <f t="shared" si="24"/>
        <v>1838.1599999999962</v>
      </c>
      <c r="K210" s="59">
        <f t="shared" si="28"/>
        <v>4.6879949318973595E-2</v>
      </c>
      <c r="L210" s="58">
        <f t="shared" si="29"/>
        <v>1838.1599999999962</v>
      </c>
      <c r="M210" s="59">
        <f t="shared" si="30"/>
        <v>4.6879949318973595E-2</v>
      </c>
      <c r="N210" s="60">
        <v>66068309</v>
      </c>
      <c r="O210" s="60">
        <f t="shared" si="26"/>
        <v>0</v>
      </c>
      <c r="P210" s="75" t="s">
        <v>50</v>
      </c>
      <c r="Q210" s="76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3">
        <v>44405</v>
      </c>
      <c r="D211" s="55">
        <v>0.14199999999999999</v>
      </c>
      <c r="E211" s="56">
        <v>843.02200000000005</v>
      </c>
      <c r="F211" s="57">
        <v>31.347999999999999</v>
      </c>
      <c r="G211" s="58"/>
      <c r="H211" s="58">
        <v>4140</v>
      </c>
      <c r="I211" s="58">
        <f t="shared" si="23"/>
        <v>40071.060000000361</v>
      </c>
      <c r="J211" s="58">
        <f t="shared" si="24"/>
        <v>1755.3599999999979</v>
      </c>
      <c r="K211" s="59">
        <f t="shared" si="28"/>
        <v>4.38061783242066E-2</v>
      </c>
      <c r="L211" s="58">
        <f t="shared" si="29"/>
        <v>1755.3599999999979</v>
      </c>
      <c r="M211" s="59">
        <f t="shared" si="30"/>
        <v>4.38061783242066E-2</v>
      </c>
      <c r="N211" s="60">
        <v>66068309</v>
      </c>
      <c r="O211" s="60">
        <f t="shared" si="26"/>
        <v>0</v>
      </c>
      <c r="P211" s="77">
        <f>IF(D184="",0,+(LOOKUP(9.99999999999999E+307,D184:D215)-D184))*4140</f>
        <v>0</v>
      </c>
      <c r="Q211" s="78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3">
        <v>44406</v>
      </c>
      <c r="D212" s="55">
        <v>0.14199999999999999</v>
      </c>
      <c r="E212" s="56">
        <v>851.529</v>
      </c>
      <c r="F212" s="57">
        <v>31.658000000000001</v>
      </c>
      <c r="G212" s="58"/>
      <c r="H212" s="58">
        <v>4140</v>
      </c>
      <c r="I212" s="58">
        <f t="shared" si="23"/>
        <v>35218.979999999785</v>
      </c>
      <c r="J212" s="58">
        <f t="shared" si="24"/>
        <v>1283.4000000000094</v>
      </c>
      <c r="K212" s="59">
        <f t="shared" si="28"/>
        <v>3.6440578347243936E-2</v>
      </c>
      <c r="L212" s="58">
        <f t="shared" si="29"/>
        <v>1283.4000000000094</v>
      </c>
      <c r="M212" s="59">
        <f t="shared" si="30"/>
        <v>3.6440578347243936E-2</v>
      </c>
      <c r="N212" s="60">
        <v>66068309</v>
      </c>
      <c r="O212" s="60">
        <f t="shared" si="26"/>
        <v>0</v>
      </c>
      <c r="P212" s="79" t="s">
        <v>52</v>
      </c>
      <c r="Q212" s="80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3">
        <v>44407</v>
      </c>
      <c r="D213" s="55">
        <v>0.14199999999999999</v>
      </c>
      <c r="E213" s="56">
        <v>859.96600000000001</v>
      </c>
      <c r="F213" s="57">
        <v>31.852</v>
      </c>
      <c r="G213" s="58"/>
      <c r="H213" s="58">
        <v>4140</v>
      </c>
      <c r="I213" s="58">
        <f t="shared" si="23"/>
        <v>34929.180000000051</v>
      </c>
      <c r="J213" s="58">
        <f t="shared" si="24"/>
        <v>803.1599999999961</v>
      </c>
      <c r="K213" s="59">
        <f t="shared" si="28"/>
        <v>2.2993955197344883E-2</v>
      </c>
      <c r="L213" s="58">
        <f t="shared" si="29"/>
        <v>803.1599999999961</v>
      </c>
      <c r="M213" s="59">
        <f t="shared" si="30"/>
        <v>2.2993955197344883E-2</v>
      </c>
      <c r="N213" s="60">
        <v>66068309</v>
      </c>
      <c r="O213" s="60">
        <f t="shared" si="26"/>
        <v>0</v>
      </c>
      <c r="P213" s="81">
        <f>P211*Q216</f>
        <v>0</v>
      </c>
      <c r="Q213" s="82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3">
        <v>44408</v>
      </c>
      <c r="D214" s="55">
        <v>0.14199999999999999</v>
      </c>
      <c r="E214" s="56">
        <v>869.17100000000005</v>
      </c>
      <c r="F214" s="57">
        <v>32.226999999999997</v>
      </c>
      <c r="G214" s="58"/>
      <c r="H214" s="58">
        <v>4140</v>
      </c>
      <c r="I214" s="58">
        <f t="shared" si="23"/>
        <v>38108.700000000172</v>
      </c>
      <c r="J214" s="58">
        <f t="shared" si="24"/>
        <v>1552.4999999999852</v>
      </c>
      <c r="K214" s="59">
        <f t="shared" si="28"/>
        <v>4.0738728951656138E-2</v>
      </c>
      <c r="L214" s="58">
        <f t="shared" si="29"/>
        <v>1552.4999999999852</v>
      </c>
      <c r="M214" s="59">
        <f t="shared" si="30"/>
        <v>4.0738728951656138E-2</v>
      </c>
      <c r="N214" s="60">
        <v>66068309</v>
      </c>
      <c r="O214" s="60">
        <f t="shared" si="26"/>
        <v>0</v>
      </c>
      <c r="P214" s="84" t="s">
        <v>54</v>
      </c>
      <c r="Q214" s="85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3">
        <v>44409</v>
      </c>
      <c r="D215" s="55">
        <v>0.14199999999999999</v>
      </c>
      <c r="E215" s="56">
        <v>877.39800000000002</v>
      </c>
      <c r="F215" s="57">
        <v>32.466000000000001</v>
      </c>
      <c r="G215" s="89"/>
      <c r="H215" s="58">
        <v>4140</v>
      </c>
      <c r="I215" s="58">
        <f t="shared" si="23"/>
        <v>34059.779999999897</v>
      </c>
      <c r="J215" s="58">
        <f t="shared" si="24"/>
        <v>989.46000000001789</v>
      </c>
      <c r="K215" s="59">
        <f t="shared" si="28"/>
        <v>2.9050686763097733E-2</v>
      </c>
      <c r="L215" s="58">
        <f t="shared" si="29"/>
        <v>989.46000000001789</v>
      </c>
      <c r="M215" s="59">
        <f t="shared" si="30"/>
        <v>2.9050686763097733E-2</v>
      </c>
      <c r="N215" s="90">
        <v>66068309</v>
      </c>
      <c r="O215" s="91">
        <f t="shared" si="26"/>
        <v>0</v>
      </c>
      <c r="P215" s="92">
        <f>(P213+Q211*SUM(S185:S215)*Q216)</f>
        <v>0</v>
      </c>
      <c r="Q215" s="93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3">
        <v>44410</v>
      </c>
      <c r="D216" s="55">
        <v>0.14199999999999999</v>
      </c>
      <c r="E216" s="56">
        <v>885.32399999999996</v>
      </c>
      <c r="F216" s="57">
        <v>32.713999999999999</v>
      </c>
      <c r="G216" s="58"/>
      <c r="H216" s="58">
        <v>4140</v>
      </c>
      <c r="I216" s="58">
        <f t="shared" si="23"/>
        <v>32813.639999999716</v>
      </c>
      <c r="J216" s="58">
        <f t="shared" si="24"/>
        <v>1026.7199999999898</v>
      </c>
      <c r="K216" s="59">
        <f t="shared" si="28"/>
        <v>3.12894272016149E-2</v>
      </c>
      <c r="L216" s="58">
        <f t="shared" si="29"/>
        <v>1026.7199999999898</v>
      </c>
      <c r="M216" s="59">
        <f t="shared" si="30"/>
        <v>3.12894272016149E-2</v>
      </c>
      <c r="N216" s="60">
        <v>66068309</v>
      </c>
      <c r="O216" s="60">
        <f t="shared" si="26"/>
        <v>0</v>
      </c>
      <c r="P216" s="109" t="s">
        <v>56</v>
      </c>
      <c r="Q216" s="110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3">
        <v>44411</v>
      </c>
      <c r="D217" s="55">
        <v>0.14199999999999999</v>
      </c>
      <c r="E217" s="56">
        <v>894.71400000000006</v>
      </c>
      <c r="F217" s="57">
        <v>33.078000000000003</v>
      </c>
      <c r="G217" s="58"/>
      <c r="H217" s="58">
        <v>4140</v>
      </c>
      <c r="I217" s="58">
        <f t="shared" si="23"/>
        <v>38874.600000000413</v>
      </c>
      <c r="J217" s="58">
        <f t="shared" si="24"/>
        <v>1506.9600000000178</v>
      </c>
      <c r="K217" s="59">
        <f t="shared" si="28"/>
        <v>3.8764643237486733E-2</v>
      </c>
      <c r="L217" s="58">
        <f>IF(F217="","",+(F217-F216)*4140)</f>
        <v>1506.9600000000178</v>
      </c>
      <c r="M217" s="59">
        <f t="shared" si="30"/>
        <v>3.8764643237486733E-2</v>
      </c>
      <c r="N217" s="60">
        <v>66068309</v>
      </c>
      <c r="O217" s="60">
        <f t="shared" si="26"/>
        <v>0</v>
      </c>
      <c r="P217" s="111"/>
      <c r="Q217" s="112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3">
        <v>44412</v>
      </c>
      <c r="D218" s="55">
        <v>0.14199999999999999</v>
      </c>
      <c r="E218" s="56">
        <v>905.39400000000001</v>
      </c>
      <c r="F218" s="57">
        <v>33.444000000000003</v>
      </c>
      <c r="G218" s="58"/>
      <c r="H218" s="58">
        <v>4140</v>
      </c>
      <c r="I218" s="58">
        <f t="shared" si="23"/>
        <v>44215.199999999793</v>
      </c>
      <c r="J218" s="58">
        <f t="shared" si="24"/>
        <v>1515.2399999999986</v>
      </c>
      <c r="K218" s="59">
        <f t="shared" si="28"/>
        <v>3.4269662921348441E-2</v>
      </c>
      <c r="L218" s="58">
        <f>IF(F218="","",+(F218-F217)*4140)</f>
        <v>1515.2399999999986</v>
      </c>
      <c r="M218" s="59">
        <f t="shared" si="30"/>
        <v>3.4269662921348441E-2</v>
      </c>
      <c r="N218" s="60">
        <v>66068309</v>
      </c>
      <c r="O218" s="60">
        <f t="shared" si="26"/>
        <v>0</v>
      </c>
      <c r="P218" s="113"/>
      <c r="Q218" s="114"/>
      <c r="R218" s="20">
        <f t="shared" si="25"/>
        <v>1</v>
      </c>
      <c r="S218" s="20">
        <f t="shared" si="27"/>
        <v>0</v>
      </c>
      <c r="T218" s="64"/>
    </row>
    <row r="219" spans="1:20" ht="15.75" thickBot="1" x14ac:dyDescent="0.3">
      <c r="A219" s="53">
        <v>44413</v>
      </c>
      <c r="D219" s="55">
        <v>0.14199999999999999</v>
      </c>
      <c r="E219" s="56">
        <v>914.54700000000003</v>
      </c>
      <c r="F219" s="57">
        <v>33.774000000000001</v>
      </c>
      <c r="G219" s="58"/>
      <c r="H219" s="58">
        <v>4140</v>
      </c>
      <c r="I219" s="58">
        <f t="shared" si="23"/>
        <v>37893.420000000086</v>
      </c>
      <c r="J219" s="58">
        <f t="shared" si="24"/>
        <v>1366.199999999993</v>
      </c>
      <c r="K219" s="59">
        <f t="shared" si="28"/>
        <v>3.6053752867911897E-2</v>
      </c>
      <c r="L219" s="58">
        <f>IF(F219="","",+(F219-F218)*4140)</f>
        <v>1366.199999999993</v>
      </c>
      <c r="M219" s="59">
        <f t="shared" si="30"/>
        <v>3.6053752867911897E-2</v>
      </c>
      <c r="N219" s="60">
        <v>66068309</v>
      </c>
      <c r="O219" s="60">
        <f t="shared" si="26"/>
        <v>0</v>
      </c>
      <c r="P219" s="113"/>
      <c r="Q219" s="114"/>
      <c r="R219" s="20">
        <f t="shared" si="25"/>
        <v>1</v>
      </c>
      <c r="S219" s="20">
        <f t="shared" si="27"/>
        <v>0</v>
      </c>
      <c r="T219" s="64"/>
    </row>
    <row r="220" spans="1:20" ht="15.75" thickBot="1" x14ac:dyDescent="0.3">
      <c r="A220" s="53">
        <v>44414</v>
      </c>
      <c r="D220" s="55">
        <v>0.14199999999999999</v>
      </c>
      <c r="E220" s="56">
        <v>923.904</v>
      </c>
      <c r="F220" s="57">
        <v>34.145000000000003</v>
      </c>
      <c r="G220" s="58"/>
      <c r="H220" s="58">
        <v>4140</v>
      </c>
      <c r="I220" s="58">
        <f t="shared" si="23"/>
        <v>38737.97999999988</v>
      </c>
      <c r="J220" s="58">
        <f t="shared" si="24"/>
        <v>1535.9400000000091</v>
      </c>
      <c r="K220" s="59">
        <f t="shared" si="28"/>
        <v>3.964946029710413E-2</v>
      </c>
      <c r="L220" s="58">
        <f t="shared" si="29"/>
        <v>1535.9400000000091</v>
      </c>
      <c r="M220" s="59">
        <f t="shared" si="30"/>
        <v>3.964946029710413E-2</v>
      </c>
      <c r="N220" s="60">
        <v>66068309</v>
      </c>
      <c r="O220" s="60">
        <f t="shared" si="26"/>
        <v>0</v>
      </c>
      <c r="P220" s="113"/>
      <c r="Q220" s="114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3">
        <v>44415</v>
      </c>
      <c r="D221" s="55">
        <v>0.14199999999999999</v>
      </c>
      <c r="E221" s="56">
        <v>932.45500000000004</v>
      </c>
      <c r="F221" s="57">
        <v>34.463000000000001</v>
      </c>
      <c r="G221" s="58"/>
      <c r="H221" s="58">
        <v>4140</v>
      </c>
      <c r="I221" s="58">
        <f t="shared" si="23"/>
        <v>35401.140000000181</v>
      </c>
      <c r="J221" s="58">
        <f t="shared" si="24"/>
        <v>1316.5199999999911</v>
      </c>
      <c r="K221" s="59">
        <f t="shared" si="28"/>
        <v>3.7188632908431322E-2</v>
      </c>
      <c r="L221" s="58">
        <f t="shared" si="29"/>
        <v>1316.5199999999911</v>
      </c>
      <c r="M221" s="59">
        <f t="shared" si="30"/>
        <v>3.7188632908431322E-2</v>
      </c>
      <c r="N221" s="60">
        <v>66068309</v>
      </c>
      <c r="O221" s="60">
        <f t="shared" si="26"/>
        <v>0</v>
      </c>
      <c r="P221" s="98"/>
      <c r="Q221" s="99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3">
        <v>44416</v>
      </c>
      <c r="D222" s="55">
        <v>0.14199999999999999</v>
      </c>
      <c r="E222" s="56">
        <v>941.47900000000004</v>
      </c>
      <c r="F222" s="57">
        <v>34.798999999999999</v>
      </c>
      <c r="G222" s="58"/>
      <c r="H222" s="58">
        <v>4140</v>
      </c>
      <c r="I222" s="58">
        <f t="shared" si="23"/>
        <v>37359.360000000001</v>
      </c>
      <c r="J222" s="58">
        <f t="shared" si="24"/>
        <v>1391.0399999999938</v>
      </c>
      <c r="K222" s="59">
        <f t="shared" si="28"/>
        <v>3.7234042553191321E-2</v>
      </c>
      <c r="L222" s="58">
        <f t="shared" si="29"/>
        <v>1391.0399999999938</v>
      </c>
      <c r="M222" s="59">
        <f t="shared" si="30"/>
        <v>3.7234042553191321E-2</v>
      </c>
      <c r="N222" s="60">
        <v>66068309</v>
      </c>
      <c r="O222" s="60">
        <f t="shared" si="26"/>
        <v>0</v>
      </c>
      <c r="P222" s="100"/>
      <c r="Q222" s="101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3">
        <v>44417</v>
      </c>
      <c r="D223" s="55">
        <v>0.14199999999999999</v>
      </c>
      <c r="E223" s="56">
        <v>950.07500000000005</v>
      </c>
      <c r="F223" s="57">
        <v>35.052999999999997</v>
      </c>
      <c r="G223" s="58"/>
      <c r="H223" s="58">
        <v>4140</v>
      </c>
      <c r="I223" s="58">
        <f t="shared" si="23"/>
        <v>35587.440000000017</v>
      </c>
      <c r="J223" s="58">
        <f t="shared" si="24"/>
        <v>1051.5599999999909</v>
      </c>
      <c r="K223" s="59">
        <f t="shared" si="28"/>
        <v>2.9548627268496705E-2</v>
      </c>
      <c r="L223" s="58">
        <f t="shared" si="29"/>
        <v>1051.5599999999909</v>
      </c>
      <c r="M223" s="59">
        <f t="shared" si="30"/>
        <v>2.9548627268496705E-2</v>
      </c>
      <c r="N223" s="60">
        <v>66068309</v>
      </c>
      <c r="O223" s="60">
        <f t="shared" si="26"/>
        <v>0</v>
      </c>
      <c r="P223" s="100"/>
      <c r="Q223" s="99"/>
      <c r="R223" s="20">
        <f t="shared" si="25"/>
        <v>1</v>
      </c>
      <c r="S223" s="20">
        <f t="shared" si="27"/>
        <v>0</v>
      </c>
      <c r="T223" s="64"/>
    </row>
    <row r="224" spans="1:20" ht="15.75" thickBot="1" x14ac:dyDescent="0.3">
      <c r="A224" s="53">
        <v>44418</v>
      </c>
      <c r="D224" s="55">
        <v>0.14199999999999999</v>
      </c>
      <c r="E224" s="56">
        <v>958.04600000000005</v>
      </c>
      <c r="F224" s="57">
        <v>35.356999999999999</v>
      </c>
      <c r="G224" s="58"/>
      <c r="H224" s="58">
        <v>4140</v>
      </c>
      <c r="I224" s="58">
        <f t="shared" si="23"/>
        <v>32999.940000000017</v>
      </c>
      <c r="J224" s="58">
        <f t="shared" si="24"/>
        <v>1258.5600000000086</v>
      </c>
      <c r="K224" s="59">
        <f t="shared" si="28"/>
        <v>3.8138251160456896E-2</v>
      </c>
      <c r="L224" s="58">
        <f t="shared" ref="L224:L260" si="31">IF(F224="","",+(F224-F223)*4140)</f>
        <v>1258.5600000000086</v>
      </c>
      <c r="M224" s="59">
        <f t="shared" si="30"/>
        <v>3.8138251160456896E-2</v>
      </c>
      <c r="N224" s="60">
        <v>66068309</v>
      </c>
      <c r="O224" s="60">
        <f t="shared" si="26"/>
        <v>0</v>
      </c>
      <c r="P224" s="113"/>
      <c r="Q224" s="115"/>
      <c r="R224" s="20">
        <f t="shared" si="25"/>
        <v>1</v>
      </c>
      <c r="S224" s="20">
        <f t="shared" si="27"/>
        <v>0</v>
      </c>
      <c r="T224" s="64"/>
    </row>
    <row r="225" spans="1:20" ht="15.75" thickBot="1" x14ac:dyDescent="0.3">
      <c r="A225" s="53">
        <v>44419</v>
      </c>
      <c r="D225" s="55">
        <v>0.14199999999999999</v>
      </c>
      <c r="E225" s="56">
        <v>966.29</v>
      </c>
      <c r="F225" s="57">
        <v>35.664999999999999</v>
      </c>
      <c r="G225" s="58"/>
      <c r="H225" s="58">
        <v>4140</v>
      </c>
      <c r="I225" s="58">
        <f t="shared" si="23"/>
        <v>34130.159999999647</v>
      </c>
      <c r="J225" s="58">
        <f t="shared" si="24"/>
        <v>1275.1199999999992</v>
      </c>
      <c r="K225" s="59">
        <f t="shared" si="28"/>
        <v>3.7360504609413273E-2</v>
      </c>
      <c r="L225" s="58">
        <f t="shared" si="31"/>
        <v>1275.1199999999992</v>
      </c>
      <c r="M225" s="59">
        <f t="shared" si="30"/>
        <v>3.7360504609413273E-2</v>
      </c>
      <c r="N225" s="60">
        <v>66068309</v>
      </c>
      <c r="O225" s="60">
        <f t="shared" si="26"/>
        <v>0</v>
      </c>
      <c r="P225" s="113"/>
      <c r="Q225" s="116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3">
        <v>44420</v>
      </c>
      <c r="D226" s="55">
        <v>0.14199999999999999</v>
      </c>
      <c r="E226" s="56">
        <v>975.05499999999995</v>
      </c>
      <c r="F226" s="57">
        <v>36.043999999999997</v>
      </c>
      <c r="G226" s="58"/>
      <c r="H226" s="58">
        <v>4140</v>
      </c>
      <c r="I226" s="58">
        <f t="shared" si="23"/>
        <v>36287.09999999994</v>
      </c>
      <c r="J226" s="58">
        <f t="shared" si="24"/>
        <v>1569.0599999999909</v>
      </c>
      <c r="K226" s="59">
        <f t="shared" si="28"/>
        <v>4.3240159726183502E-2</v>
      </c>
      <c r="L226" s="58">
        <f t="shared" si="31"/>
        <v>1569.0599999999909</v>
      </c>
      <c r="M226" s="59">
        <f t="shared" si="30"/>
        <v>4.3240159726183502E-2</v>
      </c>
      <c r="N226" s="60">
        <v>66068309</v>
      </c>
      <c r="O226" s="60">
        <f t="shared" si="26"/>
        <v>0</v>
      </c>
      <c r="P226" s="113"/>
      <c r="Q226" s="116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3">
        <v>44421</v>
      </c>
      <c r="D227" s="55">
        <v>0.14199999999999999</v>
      </c>
      <c r="E227" s="56">
        <v>983.60900000000004</v>
      </c>
      <c r="F227" s="57">
        <v>36.383000000000003</v>
      </c>
      <c r="G227" s="58"/>
      <c r="H227" s="58">
        <v>4140</v>
      </c>
      <c r="I227" s="58">
        <f t="shared" si="23"/>
        <v>35413.560000000361</v>
      </c>
      <c r="J227" s="58">
        <f t="shared" si="24"/>
        <v>1403.4600000000237</v>
      </c>
      <c r="K227" s="59">
        <f t="shared" si="28"/>
        <v>3.9630582183773938E-2</v>
      </c>
      <c r="L227" s="58">
        <f t="shared" si="31"/>
        <v>1403.4600000000237</v>
      </c>
      <c r="M227" s="59">
        <f t="shared" si="30"/>
        <v>3.9630582183773938E-2</v>
      </c>
      <c r="N227" s="60">
        <v>66068309</v>
      </c>
      <c r="O227" s="60">
        <f t="shared" si="26"/>
        <v>0</v>
      </c>
      <c r="P227" s="113"/>
      <c r="Q227" s="115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3">
        <v>44422</v>
      </c>
      <c r="D228" s="55">
        <v>0.14199999999999999</v>
      </c>
      <c r="E228" s="56">
        <v>990.86300000000006</v>
      </c>
      <c r="F228" s="57">
        <v>36.65</v>
      </c>
      <c r="G228" s="58"/>
      <c r="H228" s="58">
        <v>4140</v>
      </c>
      <c r="I228" s="58">
        <f t="shared" si="23"/>
        <v>30031.560000000078</v>
      </c>
      <c r="J228" s="58">
        <f t="shared" si="24"/>
        <v>1105.3799999999831</v>
      </c>
      <c r="K228" s="59">
        <f t="shared" si="28"/>
        <v>3.6807278742761955E-2</v>
      </c>
      <c r="L228" s="58">
        <f t="shared" si="31"/>
        <v>1105.3799999999831</v>
      </c>
      <c r="M228" s="59">
        <f t="shared" si="30"/>
        <v>3.6807278742761955E-2</v>
      </c>
      <c r="N228" s="60">
        <v>66068309</v>
      </c>
      <c r="O228" s="60">
        <f t="shared" si="26"/>
        <v>0</v>
      </c>
      <c r="P228" s="113"/>
      <c r="Q228" s="115"/>
      <c r="R228" s="20">
        <f t="shared" si="32"/>
        <v>1</v>
      </c>
      <c r="S228" s="20">
        <f t="shared" si="27"/>
        <v>0</v>
      </c>
      <c r="T228" s="64"/>
    </row>
    <row r="229" spans="1:20" ht="15.75" thickBot="1" x14ac:dyDescent="0.3">
      <c r="A229" s="53">
        <v>44423</v>
      </c>
      <c r="D229" s="55">
        <v>0.14199999999999999</v>
      </c>
      <c r="E229" s="56">
        <v>998.96500000000003</v>
      </c>
      <c r="F229" s="57">
        <v>36.997999999999998</v>
      </c>
      <c r="G229" s="58"/>
      <c r="H229" s="58">
        <v>4140</v>
      </c>
      <c r="I229" s="58">
        <f t="shared" si="23"/>
        <v>33542.279999999897</v>
      </c>
      <c r="J229" s="58">
        <f t="shared" si="24"/>
        <v>1440.7199999999957</v>
      </c>
      <c r="K229" s="59">
        <f t="shared" si="28"/>
        <v>4.2952357442606767E-2</v>
      </c>
      <c r="L229" s="58">
        <f t="shared" si="31"/>
        <v>1440.7199999999957</v>
      </c>
      <c r="M229" s="59">
        <f t="shared" si="30"/>
        <v>4.2952357442606767E-2</v>
      </c>
      <c r="N229" s="60">
        <v>66068309</v>
      </c>
      <c r="O229" s="60">
        <f t="shared" si="26"/>
        <v>0</v>
      </c>
      <c r="P229" s="113"/>
      <c r="Q229" s="116"/>
      <c r="R229" s="20">
        <f t="shared" si="32"/>
        <v>1</v>
      </c>
      <c r="S229" s="20">
        <f t="shared" si="27"/>
        <v>0</v>
      </c>
      <c r="T229" s="64"/>
    </row>
    <row r="230" spans="1:20" ht="15.75" thickBot="1" x14ac:dyDescent="0.3">
      <c r="A230" s="53">
        <v>44424</v>
      </c>
      <c r="D230" s="55">
        <v>0.14199999999999999</v>
      </c>
      <c r="E230" s="56">
        <v>1006.4829999999999</v>
      </c>
      <c r="F230" s="57">
        <v>37.234000000000002</v>
      </c>
      <c r="G230" s="58"/>
      <c r="H230" s="58">
        <v>4140</v>
      </c>
      <c r="I230" s="58">
        <f t="shared" si="23"/>
        <v>31124.519999999651</v>
      </c>
      <c r="J230" s="58">
        <f t="shared" si="24"/>
        <v>977.04000000001747</v>
      </c>
      <c r="K230" s="59">
        <f t="shared" si="28"/>
        <v>3.1391327480713868E-2</v>
      </c>
      <c r="L230" s="58">
        <f t="shared" si="31"/>
        <v>977.04000000001747</v>
      </c>
      <c r="M230" s="59">
        <f t="shared" si="30"/>
        <v>3.1391327480713868E-2</v>
      </c>
      <c r="N230" s="60">
        <v>66068309</v>
      </c>
      <c r="O230" s="60">
        <f t="shared" si="26"/>
        <v>0</v>
      </c>
      <c r="P230" s="113"/>
      <c r="Q230" s="116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3">
        <v>44425</v>
      </c>
      <c r="D231" s="55">
        <v>0.14199999999999999</v>
      </c>
      <c r="E231" s="56">
        <v>1015.346</v>
      </c>
      <c r="F231" s="57">
        <v>37.576000000000001</v>
      </c>
      <c r="G231" s="58"/>
      <c r="H231" s="58">
        <v>4140</v>
      </c>
      <c r="I231" s="58">
        <f t="shared" si="23"/>
        <v>36692.820000000233</v>
      </c>
      <c r="J231" s="58">
        <f t="shared" si="24"/>
        <v>1415.8799999999949</v>
      </c>
      <c r="K231" s="59">
        <f t="shared" si="28"/>
        <v>3.858738576102861E-2</v>
      </c>
      <c r="L231" s="58">
        <f t="shared" si="31"/>
        <v>1415.8799999999949</v>
      </c>
      <c r="M231" s="59">
        <f t="shared" si="30"/>
        <v>3.858738576102861E-2</v>
      </c>
      <c r="N231" s="60">
        <v>66068309</v>
      </c>
      <c r="O231" s="60">
        <f t="shared" si="26"/>
        <v>0</v>
      </c>
      <c r="P231" s="113"/>
      <c r="Q231" s="116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3">
        <v>44426</v>
      </c>
      <c r="D232" s="55">
        <v>0.14199999999999999</v>
      </c>
      <c r="E232" s="56">
        <v>1024.3579999999999</v>
      </c>
      <c r="F232" s="57">
        <v>37.938000000000002</v>
      </c>
      <c r="G232" s="58"/>
      <c r="H232" s="58">
        <v>4140</v>
      </c>
      <c r="I232" s="58">
        <f t="shared" si="23"/>
        <v>37309.679999999767</v>
      </c>
      <c r="J232" s="58">
        <f t="shared" si="24"/>
        <v>1498.6800000000078</v>
      </c>
      <c r="K232" s="59">
        <f t="shared" si="28"/>
        <v>4.0168664003551277E-2</v>
      </c>
      <c r="L232" s="58">
        <f t="shared" si="31"/>
        <v>1498.6800000000078</v>
      </c>
      <c r="M232" s="59">
        <f t="shared" si="30"/>
        <v>4.0168664003551277E-2</v>
      </c>
      <c r="N232" s="60">
        <v>66068309</v>
      </c>
      <c r="O232" s="60">
        <f t="shared" si="26"/>
        <v>0</v>
      </c>
      <c r="P232" s="113"/>
      <c r="Q232" s="114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3">
        <v>44427</v>
      </c>
      <c r="D233" s="55">
        <v>0.14199999999999999</v>
      </c>
      <c r="E233" s="56">
        <v>1033.7070000000001</v>
      </c>
      <c r="F233" s="57">
        <v>38.325000000000003</v>
      </c>
      <c r="G233" s="58"/>
      <c r="H233" s="58">
        <v>4140</v>
      </c>
      <c r="I233" s="58">
        <f t="shared" si="23"/>
        <v>38704.860000000663</v>
      </c>
      <c r="J233" s="58">
        <f t="shared" si="24"/>
        <v>1602.1800000000019</v>
      </c>
      <c r="K233" s="59">
        <f t="shared" si="28"/>
        <v>4.1394801583056348E-2</v>
      </c>
      <c r="L233" s="58">
        <f t="shared" si="31"/>
        <v>1602.1800000000019</v>
      </c>
      <c r="M233" s="59">
        <f t="shared" si="30"/>
        <v>4.1394801583056348E-2</v>
      </c>
      <c r="N233" s="60">
        <v>66068309</v>
      </c>
      <c r="O233" s="60">
        <f t="shared" si="26"/>
        <v>0</v>
      </c>
      <c r="P233" s="117"/>
      <c r="Q233" s="118"/>
      <c r="R233" s="20">
        <f t="shared" si="32"/>
        <v>1</v>
      </c>
      <c r="S233" s="20">
        <f t="shared" si="27"/>
        <v>0</v>
      </c>
      <c r="T233" s="64"/>
    </row>
    <row r="234" spans="1:20" ht="15.75" thickBot="1" x14ac:dyDescent="0.3">
      <c r="A234" s="53">
        <v>44428</v>
      </c>
      <c r="D234" s="55">
        <v>0.14199999999999999</v>
      </c>
      <c r="E234" s="56">
        <v>1041.1600000000001</v>
      </c>
      <c r="F234" s="57">
        <v>38.61</v>
      </c>
      <c r="G234" s="58"/>
      <c r="H234" s="58">
        <v>4140</v>
      </c>
      <c r="I234" s="58">
        <f t="shared" si="23"/>
        <v>30855.419999999896</v>
      </c>
      <c r="J234" s="58">
        <f t="shared" si="24"/>
        <v>1179.899999999986</v>
      </c>
      <c r="K234" s="59">
        <f t="shared" si="28"/>
        <v>3.8239635046289758E-2</v>
      </c>
      <c r="L234" s="58">
        <f t="shared" si="31"/>
        <v>1179.899999999986</v>
      </c>
      <c r="M234" s="59">
        <f t="shared" si="30"/>
        <v>3.8239635046289758E-2</v>
      </c>
      <c r="N234" s="60">
        <v>66068309</v>
      </c>
      <c r="O234" s="60">
        <f t="shared" si="26"/>
        <v>0</v>
      </c>
      <c r="P234" s="195" t="s">
        <v>65</v>
      </c>
      <c r="Q234" s="196"/>
      <c r="R234" s="20">
        <f t="shared" si="32"/>
        <v>1</v>
      </c>
      <c r="S234" s="20">
        <f t="shared" si="27"/>
        <v>0</v>
      </c>
      <c r="T234" s="64"/>
    </row>
    <row r="235" spans="1:20" ht="15.75" thickBot="1" x14ac:dyDescent="0.3">
      <c r="A235" s="53">
        <v>44429</v>
      </c>
      <c r="D235" s="55">
        <v>0.14199999999999999</v>
      </c>
      <c r="E235" s="56">
        <v>1049.375</v>
      </c>
      <c r="F235" s="57">
        <v>38.954000000000001</v>
      </c>
      <c r="G235" s="58"/>
      <c r="H235" s="58">
        <v>4140</v>
      </c>
      <c r="I235" s="58">
        <f t="shared" si="23"/>
        <v>34010.099999999664</v>
      </c>
      <c r="J235" s="58">
        <f t="shared" si="24"/>
        <v>1424.1600000000049</v>
      </c>
      <c r="K235" s="59">
        <f t="shared" si="28"/>
        <v>4.1874619598296359E-2</v>
      </c>
      <c r="L235" s="58">
        <f>IF(F235="","",+(F235-F234)*4140)</f>
        <v>1424.1600000000049</v>
      </c>
      <c r="M235" s="59">
        <f t="shared" si="30"/>
        <v>4.1874619598296359E-2</v>
      </c>
      <c r="N235" s="60">
        <v>66068309</v>
      </c>
      <c r="O235" s="60">
        <f t="shared" si="26"/>
        <v>0</v>
      </c>
      <c r="P235" s="193"/>
      <c r="Q235" s="194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3">
        <v>44430</v>
      </c>
      <c r="D236" s="55">
        <v>0.14199999999999999</v>
      </c>
      <c r="E236" s="56">
        <v>1057.9059999999999</v>
      </c>
      <c r="F236" s="57">
        <v>39.36</v>
      </c>
      <c r="G236" s="58"/>
      <c r="H236" s="58">
        <v>4140</v>
      </c>
      <c r="I236" s="58">
        <f t="shared" ref="I236:I299" si="33">IF(D236="","",+(E236-E235)*4140)</f>
        <v>35318.339999999793</v>
      </c>
      <c r="J236" s="58">
        <f t="shared" ref="J236:J299" si="34">IF(E236="","",+(F236-F235)*4140)</f>
        <v>1680.8399999999951</v>
      </c>
      <c r="K236" s="59">
        <f t="shared" si="28"/>
        <v>4.7591138201852214E-2</v>
      </c>
      <c r="L236" s="58">
        <f t="shared" si="31"/>
        <v>1680.8399999999951</v>
      </c>
      <c r="M236" s="59">
        <f t="shared" si="30"/>
        <v>4.7591138201852214E-2</v>
      </c>
      <c r="N236" s="60">
        <v>66068309</v>
      </c>
      <c r="O236" s="60">
        <f t="shared" si="26"/>
        <v>0</v>
      </c>
      <c r="P236" s="68" t="s">
        <v>46</v>
      </c>
      <c r="Q236" s="68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3">
        <v>44431</v>
      </c>
      <c r="D237" s="55">
        <v>0.14199999999999999</v>
      </c>
      <c r="E237" s="56">
        <v>1066.499</v>
      </c>
      <c r="F237" s="57">
        <v>39.741999999999997</v>
      </c>
      <c r="G237" s="58"/>
      <c r="H237" s="58">
        <v>4140</v>
      </c>
      <c r="I237" s="58">
        <f t="shared" si="33"/>
        <v>35575.02000000031</v>
      </c>
      <c r="J237" s="58">
        <f t="shared" si="34"/>
        <v>1581.4799999999914</v>
      </c>
      <c r="K237" s="59">
        <f t="shared" si="28"/>
        <v>4.4454788781565759E-2</v>
      </c>
      <c r="L237" s="58">
        <f t="shared" si="31"/>
        <v>1581.4799999999914</v>
      </c>
      <c r="M237" s="59">
        <f t="shared" si="30"/>
        <v>4.4454788781565759E-2</v>
      </c>
      <c r="N237" s="60">
        <v>66068309</v>
      </c>
      <c r="O237" s="60">
        <f t="shared" si="26"/>
        <v>0</v>
      </c>
      <c r="P237" s="69">
        <f>IF(J216="",0,+SUM(J216:J246)/SUM(I216:I246))</f>
        <v>3.8734878275748195E-2</v>
      </c>
      <c r="Q237" s="69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4"/>
    </row>
    <row r="238" spans="1:20" ht="15.75" thickBot="1" x14ac:dyDescent="0.3">
      <c r="A238" s="53">
        <v>44432</v>
      </c>
      <c r="D238" s="55">
        <v>0.14199999999999999</v>
      </c>
      <c r="E238" s="56">
        <v>1075.3330000000001</v>
      </c>
      <c r="F238" s="57">
        <v>40.128</v>
      </c>
      <c r="G238" s="58"/>
      <c r="H238" s="58">
        <v>4140</v>
      </c>
      <c r="I238" s="58">
        <f t="shared" si="33"/>
        <v>36572.760000000249</v>
      </c>
      <c r="J238" s="58">
        <f t="shared" si="34"/>
        <v>1598.0400000000116</v>
      </c>
      <c r="K238" s="59">
        <f t="shared" si="28"/>
        <v>4.3694815485623748E-2</v>
      </c>
      <c r="L238" s="58">
        <f t="shared" si="31"/>
        <v>1598.0400000000116</v>
      </c>
      <c r="M238" s="59">
        <f t="shared" si="30"/>
        <v>4.3694815485623748E-2</v>
      </c>
      <c r="N238" s="60">
        <v>66068309</v>
      </c>
      <c r="O238" s="60">
        <f t="shared" si="26"/>
        <v>0</v>
      </c>
      <c r="P238" s="70" t="e">
        <f>IF(J216="",0,+(+(LOOKUP(9.99999999999999E+307,E216:E246)-E215))/(+(LOOKUP(9.99999999999999E+307,D216:D246)-D215)))</f>
        <v>#DIV/0!</v>
      </c>
      <c r="Q238" s="70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4"/>
    </row>
    <row r="239" spans="1:20" ht="15.75" thickBot="1" x14ac:dyDescent="0.3">
      <c r="A239" s="53">
        <v>44433</v>
      </c>
      <c r="D239" s="55">
        <v>0.14199999999999999</v>
      </c>
      <c r="E239" s="56">
        <v>1084.6600000000001</v>
      </c>
      <c r="F239" s="57">
        <v>40.488</v>
      </c>
      <c r="G239" s="58"/>
      <c r="H239" s="58">
        <v>4140</v>
      </c>
      <c r="I239" s="58">
        <f t="shared" si="33"/>
        <v>38613.779999999992</v>
      </c>
      <c r="J239" s="58">
        <f t="shared" si="34"/>
        <v>1490.3999999999976</v>
      </c>
      <c r="K239" s="59">
        <f t="shared" si="28"/>
        <v>3.8597619813444783E-2</v>
      </c>
      <c r="L239" s="58">
        <f t="shared" si="31"/>
        <v>1490.3999999999976</v>
      </c>
      <c r="M239" s="59">
        <f t="shared" si="30"/>
        <v>3.8597619813444783E-2</v>
      </c>
      <c r="N239" s="60">
        <v>66068309</v>
      </c>
      <c r="O239" s="60">
        <f t="shared" si="26"/>
        <v>0</v>
      </c>
      <c r="P239" s="71" t="s">
        <v>48</v>
      </c>
      <c r="Q239" s="72" t="s">
        <v>49</v>
      </c>
      <c r="R239" s="20">
        <f t="shared" si="32"/>
        <v>1</v>
      </c>
      <c r="S239" s="20">
        <f t="shared" si="27"/>
        <v>0</v>
      </c>
      <c r="T239" s="64"/>
    </row>
    <row r="240" spans="1:20" ht="15.75" thickBot="1" x14ac:dyDescent="0.3">
      <c r="A240" s="53">
        <v>44434</v>
      </c>
      <c r="D240" s="55">
        <v>0.14199999999999999</v>
      </c>
      <c r="E240" s="56">
        <v>1093.222</v>
      </c>
      <c r="F240" s="57">
        <v>40.948999999999998</v>
      </c>
      <c r="G240" s="58"/>
      <c r="H240" s="58">
        <v>4140</v>
      </c>
      <c r="I240" s="58">
        <f t="shared" si="33"/>
        <v>35446.679999999578</v>
      </c>
      <c r="J240" s="58">
        <f t="shared" si="34"/>
        <v>1908.5399999999938</v>
      </c>
      <c r="K240" s="59">
        <f t="shared" si="28"/>
        <v>5.3842560149498245E-2</v>
      </c>
      <c r="L240" s="58">
        <f t="shared" si="31"/>
        <v>1908.5399999999938</v>
      </c>
      <c r="M240" s="59">
        <f t="shared" si="30"/>
        <v>5.3842560149498245E-2</v>
      </c>
      <c r="N240" s="60">
        <v>66068309</v>
      </c>
      <c r="O240" s="60">
        <f t="shared" si="26"/>
        <v>0</v>
      </c>
      <c r="P240" s="73">
        <f>IF(N215="",0,+(LOOKUP(9.99999999999999E+307,N215:N246)-N215))</f>
        <v>0</v>
      </c>
      <c r="Q240" s="73">
        <f>IF(P240="",0,+P240/SUM(R216:R246))</f>
        <v>0</v>
      </c>
      <c r="R240" s="20">
        <f t="shared" si="32"/>
        <v>1</v>
      </c>
      <c r="S240" s="20">
        <f t="shared" si="27"/>
        <v>0</v>
      </c>
      <c r="T240" s="64"/>
    </row>
    <row r="241" spans="1:20" ht="15.75" thickBot="1" x14ac:dyDescent="0.3">
      <c r="A241" s="53">
        <v>44435</v>
      </c>
      <c r="D241" s="55">
        <v>0.14199999999999999</v>
      </c>
      <c r="E241" s="56">
        <v>1101.9659999999999</v>
      </c>
      <c r="F241" s="57">
        <v>41.103000000000002</v>
      </c>
      <c r="G241" s="58"/>
      <c r="H241" s="58">
        <v>4140</v>
      </c>
      <c r="I241" s="58">
        <f t="shared" si="33"/>
        <v>36200.159999999647</v>
      </c>
      <c r="J241" s="58">
        <f t="shared" si="34"/>
        <v>637.56000000001438</v>
      </c>
      <c r="K241" s="59">
        <f t="shared" si="28"/>
        <v>1.7612076852699561E-2</v>
      </c>
      <c r="L241" s="58">
        <f t="shared" si="31"/>
        <v>637.56000000001438</v>
      </c>
      <c r="M241" s="59">
        <f t="shared" si="30"/>
        <v>1.7612076852699561E-2</v>
      </c>
      <c r="N241" s="60">
        <v>66068309</v>
      </c>
      <c r="O241" s="60">
        <f t="shared" si="26"/>
        <v>0</v>
      </c>
      <c r="P241" s="75" t="s">
        <v>50</v>
      </c>
      <c r="Q241" s="76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3">
        <v>44436</v>
      </c>
      <c r="D242" s="55">
        <v>0.14199999999999999</v>
      </c>
      <c r="E242" s="56">
        <v>1110.748</v>
      </c>
      <c r="F242" s="57">
        <v>41.481000000000002</v>
      </c>
      <c r="G242" s="58"/>
      <c r="H242" s="58">
        <v>4140</v>
      </c>
      <c r="I242" s="58">
        <f t="shared" si="33"/>
        <v>36357.480000000636</v>
      </c>
      <c r="J242" s="58">
        <f t="shared" si="34"/>
        <v>1564.9200000000005</v>
      </c>
      <c r="K242" s="59">
        <f t="shared" si="28"/>
        <v>4.3042587109996984E-2</v>
      </c>
      <c r="L242" s="58">
        <f t="shared" si="31"/>
        <v>1564.9200000000005</v>
      </c>
      <c r="M242" s="59">
        <f t="shared" si="30"/>
        <v>4.3042587109996984E-2</v>
      </c>
      <c r="N242" s="60">
        <v>66068309</v>
      </c>
      <c r="O242" s="60">
        <f t="shared" si="26"/>
        <v>0</v>
      </c>
      <c r="P242" s="77">
        <f>IF(D215="",0,+(LOOKUP(9.99999999999999E+307,D215:D246)-D215))*4140</f>
        <v>0</v>
      </c>
      <c r="Q242" s="78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3">
        <v>44437</v>
      </c>
      <c r="D243" s="55">
        <v>0.14199999999999999</v>
      </c>
      <c r="E243" s="56">
        <v>1119.96</v>
      </c>
      <c r="F243" s="57">
        <v>41.81</v>
      </c>
      <c r="G243" s="58"/>
      <c r="H243" s="58">
        <v>4140</v>
      </c>
      <c r="I243" s="58">
        <f t="shared" si="33"/>
        <v>38137.679999999957</v>
      </c>
      <c r="J243" s="58">
        <f t="shared" si="34"/>
        <v>1362.0600000000027</v>
      </c>
      <c r="K243" s="59">
        <f t="shared" si="28"/>
        <v>3.5714285714285823E-2</v>
      </c>
      <c r="L243" s="58">
        <f t="shared" si="31"/>
        <v>1362.0600000000027</v>
      </c>
      <c r="M243" s="59">
        <f t="shared" si="30"/>
        <v>3.5714285714285823E-2</v>
      </c>
      <c r="N243" s="60">
        <v>66068309</v>
      </c>
      <c r="O243" s="60">
        <f t="shared" si="26"/>
        <v>0</v>
      </c>
      <c r="P243" s="79" t="s">
        <v>52</v>
      </c>
      <c r="Q243" s="80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3">
        <v>44438</v>
      </c>
      <c r="D244" s="55">
        <v>0.14199999999999999</v>
      </c>
      <c r="E244" s="56">
        <v>1128.2639999999999</v>
      </c>
      <c r="F244" s="57">
        <v>42.222999999999999</v>
      </c>
      <c r="G244" s="58"/>
      <c r="H244" s="58">
        <v>4140</v>
      </c>
      <c r="I244" s="58">
        <f t="shared" si="33"/>
        <v>34378.559999999423</v>
      </c>
      <c r="J244" s="58">
        <f t="shared" si="34"/>
        <v>1709.8199999999863</v>
      </c>
      <c r="K244" s="59">
        <f t="shared" si="28"/>
        <v>4.9735067437380015E-2</v>
      </c>
      <c r="L244" s="58">
        <f t="shared" si="31"/>
        <v>1709.8199999999863</v>
      </c>
      <c r="M244" s="59">
        <f t="shared" si="30"/>
        <v>4.9735067437380015E-2</v>
      </c>
      <c r="N244" s="60">
        <v>66068309</v>
      </c>
      <c r="O244" s="60">
        <f t="shared" si="26"/>
        <v>0</v>
      </c>
      <c r="P244" s="81">
        <f>P242*Q247</f>
        <v>0</v>
      </c>
      <c r="Q244" s="82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3">
        <v>44439</v>
      </c>
      <c r="D245" s="55">
        <v>0.14199999999999999</v>
      </c>
      <c r="E245" s="56">
        <v>1136.0119999999999</v>
      </c>
      <c r="F245" s="57">
        <v>42.497999999999998</v>
      </c>
      <c r="G245" s="58"/>
      <c r="H245" s="58">
        <v>4140</v>
      </c>
      <c r="I245" s="58">
        <f t="shared" si="33"/>
        <v>32076.720000000198</v>
      </c>
      <c r="J245" s="58">
        <f t="shared" si="34"/>
        <v>1138.4999999999941</v>
      </c>
      <c r="K245" s="59">
        <f t="shared" si="28"/>
        <v>3.549303045947301E-2</v>
      </c>
      <c r="L245" s="58">
        <f t="shared" si="31"/>
        <v>1138.4999999999941</v>
      </c>
      <c r="M245" s="59">
        <f t="shared" si="30"/>
        <v>3.549303045947301E-2</v>
      </c>
      <c r="N245" s="60">
        <v>66068309</v>
      </c>
      <c r="O245" s="60">
        <f t="shared" si="26"/>
        <v>0</v>
      </c>
      <c r="P245" s="84" t="s">
        <v>54</v>
      </c>
      <c r="Q245" s="85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3">
        <v>44440</v>
      </c>
      <c r="D246" s="55">
        <v>0.14199999999999999</v>
      </c>
      <c r="E246" s="56">
        <v>1143.902</v>
      </c>
      <c r="F246" s="57">
        <v>42.789000000000001</v>
      </c>
      <c r="G246" s="89"/>
      <c r="H246" s="58">
        <v>4140</v>
      </c>
      <c r="I246" s="58">
        <f t="shared" si="33"/>
        <v>32664.600000000413</v>
      </c>
      <c r="J246" s="58">
        <f t="shared" si="34"/>
        <v>1204.7400000000162</v>
      </c>
      <c r="K246" s="59">
        <f t="shared" si="28"/>
        <v>3.6882129277566567E-2</v>
      </c>
      <c r="L246" s="89">
        <f t="shared" si="31"/>
        <v>1204.7400000000162</v>
      </c>
      <c r="M246" s="59">
        <f t="shared" si="30"/>
        <v>3.6882129277566567E-2</v>
      </c>
      <c r="N246" s="90">
        <v>66068309</v>
      </c>
      <c r="O246" s="91">
        <f t="shared" si="26"/>
        <v>0</v>
      </c>
      <c r="P246" s="92">
        <f>(P244+Q242*SUM(S216:S246)*Q247)</f>
        <v>0</v>
      </c>
      <c r="Q246" s="93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3">
        <v>44441</v>
      </c>
      <c r="D247" s="55">
        <v>0.14199999999999999</v>
      </c>
      <c r="E247" s="56">
        <v>1151.335</v>
      </c>
      <c r="F247" s="57">
        <v>43.076000000000001</v>
      </c>
      <c r="G247" s="58"/>
      <c r="H247" s="58">
        <v>4140</v>
      </c>
      <c r="I247" s="58">
        <f t="shared" si="33"/>
        <v>30772.61999999997</v>
      </c>
      <c r="J247" s="58">
        <f t="shared" si="34"/>
        <v>1188.179999999996</v>
      </c>
      <c r="K247" s="59">
        <f t="shared" si="28"/>
        <v>3.8611596932597782E-2</v>
      </c>
      <c r="L247" s="58">
        <f t="shared" si="31"/>
        <v>1188.179999999996</v>
      </c>
      <c r="M247" s="59">
        <f t="shared" si="30"/>
        <v>3.8611596932597782E-2</v>
      </c>
      <c r="N247" s="60">
        <v>66068309</v>
      </c>
      <c r="O247" s="60">
        <f t="shared" si="26"/>
        <v>0</v>
      </c>
      <c r="P247" s="94" t="s">
        <v>56</v>
      </c>
      <c r="Q247" s="95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3">
        <v>44442</v>
      </c>
      <c r="D248" s="55">
        <v>0.14199999999999999</v>
      </c>
      <c r="E248" s="56">
        <v>1158.4749999999999</v>
      </c>
      <c r="F248" s="57">
        <v>43.338999999999999</v>
      </c>
      <c r="G248" s="58"/>
      <c r="H248" s="58">
        <v>4140</v>
      </c>
      <c r="I248" s="58">
        <f t="shared" si="33"/>
        <v>29559.599999999475</v>
      </c>
      <c r="J248" s="58">
        <f t="shared" si="34"/>
        <v>1088.8199999999922</v>
      </c>
      <c r="K248" s="59">
        <f t="shared" si="28"/>
        <v>3.6834733893557813E-2</v>
      </c>
      <c r="L248" s="58">
        <f t="shared" si="31"/>
        <v>1088.8199999999922</v>
      </c>
      <c r="M248" s="59">
        <f t="shared" si="30"/>
        <v>3.6834733893557813E-2</v>
      </c>
      <c r="N248" s="60">
        <v>66068309</v>
      </c>
      <c r="O248" s="60">
        <f t="shared" si="26"/>
        <v>0</v>
      </c>
      <c r="P248" s="61"/>
      <c r="Q248" s="102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3">
        <v>44443</v>
      </c>
      <c r="D249" s="55">
        <v>0.14199999999999999</v>
      </c>
      <c r="E249" s="56">
        <v>1165.444</v>
      </c>
      <c r="F249" s="57">
        <v>43.536000000000001</v>
      </c>
      <c r="G249" s="58"/>
      <c r="H249" s="58">
        <v>4140</v>
      </c>
      <c r="I249" s="58">
        <f t="shared" si="33"/>
        <v>28851.660000000211</v>
      </c>
      <c r="J249" s="58">
        <f t="shared" si="34"/>
        <v>815.5800000000113</v>
      </c>
      <c r="K249" s="59">
        <f t="shared" si="28"/>
        <v>2.8268044195724106E-2</v>
      </c>
      <c r="L249" s="58">
        <f t="shared" si="31"/>
        <v>815.5800000000113</v>
      </c>
      <c r="M249" s="59">
        <f t="shared" si="30"/>
        <v>2.8268044195724106E-2</v>
      </c>
      <c r="N249" s="60">
        <v>66068309</v>
      </c>
      <c r="O249" s="60">
        <f t="shared" si="26"/>
        <v>0</v>
      </c>
      <c r="P249" s="61"/>
      <c r="Q249" s="102"/>
      <c r="R249" s="20">
        <f t="shared" si="32"/>
        <v>1</v>
      </c>
      <c r="S249" s="20">
        <f t="shared" si="27"/>
        <v>0</v>
      </c>
      <c r="T249" s="64"/>
    </row>
    <row r="250" spans="1:20" ht="12.75" customHeight="1" thickBot="1" x14ac:dyDescent="0.3">
      <c r="A250" s="53">
        <v>44444</v>
      </c>
      <c r="D250" s="55">
        <v>0.14199999999999999</v>
      </c>
      <c r="E250" s="56">
        <v>1172.28</v>
      </c>
      <c r="F250" s="57">
        <v>43.649000000000001</v>
      </c>
      <c r="G250" s="58"/>
      <c r="H250" s="58">
        <v>4140</v>
      </c>
      <c r="I250" s="58">
        <f t="shared" si="33"/>
        <v>28301.040000000052</v>
      </c>
      <c r="J250" s="58">
        <f t="shared" si="34"/>
        <v>467.81999999999812</v>
      </c>
      <c r="K250" s="59">
        <f t="shared" si="28"/>
        <v>1.6530134581626586E-2</v>
      </c>
      <c r="L250" s="58">
        <f t="shared" si="31"/>
        <v>467.81999999999812</v>
      </c>
      <c r="M250" s="59">
        <f t="shared" si="30"/>
        <v>1.6530134581626586E-2</v>
      </c>
      <c r="N250" s="60">
        <v>66068309</v>
      </c>
      <c r="O250" s="60">
        <f t="shared" si="26"/>
        <v>0</v>
      </c>
      <c r="P250" s="61"/>
      <c r="Q250" s="102"/>
      <c r="R250" s="20">
        <f>IF(N250="",0,1)</f>
        <v>1</v>
      </c>
      <c r="S250" s="20">
        <f t="shared" si="27"/>
        <v>0</v>
      </c>
      <c r="T250" s="64"/>
    </row>
    <row r="251" spans="1:20" ht="12.75" customHeight="1" thickBot="1" x14ac:dyDescent="0.3">
      <c r="A251" s="53">
        <v>44445</v>
      </c>
      <c r="D251" s="55">
        <v>0.14199999999999999</v>
      </c>
      <c r="E251" s="56">
        <v>1178.9739999999999</v>
      </c>
      <c r="F251" s="57">
        <v>43.738</v>
      </c>
      <c r="G251" s="58"/>
      <c r="H251" s="58">
        <v>4140</v>
      </c>
      <c r="I251" s="58">
        <f t="shared" si="33"/>
        <v>27713.159999999836</v>
      </c>
      <c r="J251" s="58">
        <f t="shared" si="34"/>
        <v>368.45999999999435</v>
      </c>
      <c r="K251" s="59">
        <f t="shared" si="28"/>
        <v>1.3295488497161513E-2</v>
      </c>
      <c r="L251" s="58">
        <f t="shared" si="31"/>
        <v>368.45999999999435</v>
      </c>
      <c r="M251" s="59">
        <f t="shared" si="30"/>
        <v>1.3295488497161513E-2</v>
      </c>
      <c r="N251" s="60">
        <v>66068309</v>
      </c>
      <c r="O251" s="60">
        <f t="shared" si="26"/>
        <v>0</v>
      </c>
      <c r="P251" s="119"/>
      <c r="Q251" s="120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3">
        <v>44446</v>
      </c>
      <c r="D252" s="55">
        <v>0.14199999999999999</v>
      </c>
      <c r="E252" s="56">
        <v>1185.058</v>
      </c>
      <c r="F252" s="57">
        <v>43.94</v>
      </c>
      <c r="G252" s="58"/>
      <c r="H252" s="58">
        <v>4140</v>
      </c>
      <c r="I252" s="58">
        <f t="shared" si="33"/>
        <v>25187.760000000249</v>
      </c>
      <c r="J252" s="58">
        <f t="shared" si="34"/>
        <v>836.27999999999247</v>
      </c>
      <c r="K252" s="59">
        <f t="shared" si="28"/>
        <v>3.320184089414796E-2</v>
      </c>
      <c r="L252" s="58">
        <f t="shared" si="31"/>
        <v>836.27999999999247</v>
      </c>
      <c r="M252" s="59">
        <f t="shared" si="30"/>
        <v>3.320184089414796E-2</v>
      </c>
      <c r="N252" s="60">
        <v>66068309</v>
      </c>
      <c r="O252" s="60">
        <f t="shared" si="26"/>
        <v>0</v>
      </c>
      <c r="P252" s="121"/>
      <c r="Q252" s="122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3">
        <v>44447</v>
      </c>
      <c r="D253" s="55">
        <v>0.14199999999999999</v>
      </c>
      <c r="E253" s="56">
        <v>1192.8989999999999</v>
      </c>
      <c r="F253" s="57">
        <v>44.104999999999997</v>
      </c>
      <c r="G253" s="58"/>
      <c r="H253" s="58">
        <v>4140</v>
      </c>
      <c r="I253" s="58">
        <f t="shared" si="33"/>
        <v>32461.739999999561</v>
      </c>
      <c r="J253" s="58">
        <f t="shared" si="34"/>
        <v>683.0999999999965</v>
      </c>
      <c r="K253" s="59">
        <f t="shared" si="28"/>
        <v>2.1043234281341843E-2</v>
      </c>
      <c r="L253" s="58">
        <f t="shared" si="31"/>
        <v>683.0999999999965</v>
      </c>
      <c r="M253" s="59">
        <f t="shared" si="30"/>
        <v>2.1043234281341843E-2</v>
      </c>
      <c r="N253" s="60">
        <v>66068309</v>
      </c>
      <c r="O253" s="60">
        <f t="shared" si="26"/>
        <v>0</v>
      </c>
      <c r="P253" s="123"/>
      <c r="Q253" s="124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3">
        <v>44448</v>
      </c>
      <c r="D254" s="55">
        <v>0.14199999999999999</v>
      </c>
      <c r="E254" s="56">
        <v>1200.3720000000001</v>
      </c>
      <c r="F254" s="57">
        <v>44.277999999999999</v>
      </c>
      <c r="G254" s="58"/>
      <c r="H254" s="58">
        <v>4140</v>
      </c>
      <c r="I254" s="58">
        <f t="shared" si="33"/>
        <v>30938.220000000762</v>
      </c>
      <c r="J254" s="58">
        <f t="shared" si="34"/>
        <v>716.22000000000753</v>
      </c>
      <c r="K254" s="59">
        <f t="shared" si="28"/>
        <v>2.3150006690753053E-2</v>
      </c>
      <c r="L254" s="58">
        <f t="shared" si="31"/>
        <v>716.22000000000753</v>
      </c>
      <c r="M254" s="59">
        <f t="shared" si="30"/>
        <v>2.3150006690753053E-2</v>
      </c>
      <c r="N254" s="60">
        <v>66068309</v>
      </c>
      <c r="O254" s="60">
        <f t="shared" si="26"/>
        <v>0</v>
      </c>
      <c r="P254" s="61"/>
      <c r="Q254" s="63"/>
      <c r="R254" s="20">
        <f t="shared" si="35"/>
        <v>1</v>
      </c>
      <c r="S254" s="20">
        <f t="shared" si="27"/>
        <v>0</v>
      </c>
      <c r="T254" s="64"/>
    </row>
    <row r="255" spans="1:20" ht="12.75" customHeight="1" thickBot="1" x14ac:dyDescent="0.3">
      <c r="A255" s="53">
        <v>44449</v>
      </c>
      <c r="D255" s="55">
        <v>0.14199999999999999</v>
      </c>
      <c r="E255" s="56">
        <v>1207.7650000000001</v>
      </c>
      <c r="F255" s="57">
        <v>44.470999999999997</v>
      </c>
      <c r="G255" s="58"/>
      <c r="H255" s="58">
        <v>4140</v>
      </c>
      <c r="I255" s="58">
        <f t="shared" si="33"/>
        <v>30607.02000000012</v>
      </c>
      <c r="J255" s="58">
        <f t="shared" si="34"/>
        <v>799.01999999999111</v>
      </c>
      <c r="K255" s="59">
        <f t="shared" si="28"/>
        <v>2.6105775733801854E-2</v>
      </c>
      <c r="L255" s="58">
        <f t="shared" si="31"/>
        <v>799.01999999999111</v>
      </c>
      <c r="M255" s="59">
        <f t="shared" si="30"/>
        <v>2.6105775733801854E-2</v>
      </c>
      <c r="N255" s="60">
        <v>66068309</v>
      </c>
      <c r="O255" s="60">
        <f t="shared" si="26"/>
        <v>0</v>
      </c>
      <c r="P255" s="61"/>
      <c r="Q255" s="63"/>
      <c r="R255" s="20">
        <f t="shared" si="35"/>
        <v>1</v>
      </c>
      <c r="S255" s="20">
        <f t="shared" si="27"/>
        <v>0</v>
      </c>
      <c r="T255" s="64"/>
    </row>
    <row r="256" spans="1:20" ht="12.75" customHeight="1" thickBot="1" x14ac:dyDescent="0.3">
      <c r="A256" s="53">
        <v>44450</v>
      </c>
      <c r="D256" s="55">
        <v>0.14199999999999999</v>
      </c>
      <c r="E256" s="56">
        <v>1214.444</v>
      </c>
      <c r="F256" s="57">
        <v>44.713999999999999</v>
      </c>
      <c r="G256" s="58"/>
      <c r="H256" s="58">
        <v>4140</v>
      </c>
      <c r="I256" s="58">
        <f t="shared" si="33"/>
        <v>27651.059999999419</v>
      </c>
      <c r="J256" s="58">
        <f t="shared" si="34"/>
        <v>1006.0200000000087</v>
      </c>
      <c r="K256" s="59">
        <f t="shared" si="28"/>
        <v>3.6382692019764518E-2</v>
      </c>
      <c r="L256" s="58">
        <f t="shared" si="31"/>
        <v>1006.0200000000087</v>
      </c>
      <c r="M256" s="59">
        <f t="shared" si="30"/>
        <v>3.6382692019764518E-2</v>
      </c>
      <c r="N256" s="60">
        <v>66068309</v>
      </c>
      <c r="O256" s="60">
        <f t="shared" si="26"/>
        <v>0</v>
      </c>
      <c r="P256" s="61"/>
      <c r="Q256" s="62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3">
        <v>44451</v>
      </c>
      <c r="D257" s="55">
        <v>0.14199999999999999</v>
      </c>
      <c r="E257" s="56">
        <v>1220.973</v>
      </c>
      <c r="F257" s="57">
        <v>44.845999999999997</v>
      </c>
      <c r="G257" s="58"/>
      <c r="H257" s="58">
        <v>4140</v>
      </c>
      <c r="I257" s="58">
        <f t="shared" si="33"/>
        <v>27030.059999999983</v>
      </c>
      <c r="J257" s="58">
        <f t="shared" si="34"/>
        <v>546.47999999999126</v>
      </c>
      <c r="K257" s="59">
        <f t="shared" si="28"/>
        <v>2.0217491193137996E-2</v>
      </c>
      <c r="L257" s="58">
        <f>IF(F257="","",+(F257-F256)*4140)</f>
        <v>546.47999999999126</v>
      </c>
      <c r="M257" s="59">
        <f t="shared" si="30"/>
        <v>2.0217491193137996E-2</v>
      </c>
      <c r="N257" s="60">
        <v>66068309</v>
      </c>
      <c r="O257" s="60">
        <f t="shared" si="26"/>
        <v>0</v>
      </c>
      <c r="P257" s="61"/>
      <c r="Q257" s="62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3">
        <v>44452</v>
      </c>
      <c r="D258" s="55">
        <v>0.14199999999999999</v>
      </c>
      <c r="E258" s="56">
        <v>1228.479</v>
      </c>
      <c r="F258" s="57">
        <v>44.988</v>
      </c>
      <c r="G258" s="58"/>
      <c r="H258" s="58">
        <v>4140</v>
      </c>
      <c r="I258" s="58">
        <f t="shared" si="33"/>
        <v>31074.840000000353</v>
      </c>
      <c r="J258" s="58">
        <f t="shared" si="34"/>
        <v>587.8800000000125</v>
      </c>
      <c r="K258" s="59">
        <f t="shared" si="28"/>
        <v>1.8918198774314068E-2</v>
      </c>
      <c r="L258" s="58">
        <f t="shared" si="31"/>
        <v>587.8800000000125</v>
      </c>
      <c r="M258" s="59">
        <f t="shared" si="30"/>
        <v>1.8918198774314068E-2</v>
      </c>
      <c r="N258" s="60">
        <v>66068309</v>
      </c>
      <c r="O258" s="60">
        <f t="shared" si="26"/>
        <v>0</v>
      </c>
      <c r="P258" s="61"/>
      <c r="Q258" s="63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3">
        <v>44453</v>
      </c>
      <c r="D259" s="55">
        <v>0.14199999999999999</v>
      </c>
      <c r="E259" s="56">
        <v>1235.7719999999999</v>
      </c>
      <c r="F259" s="57">
        <v>45.164999999999999</v>
      </c>
      <c r="G259" s="58"/>
      <c r="H259" s="58">
        <v>4140</v>
      </c>
      <c r="I259" s="58">
        <f t="shared" si="33"/>
        <v>30193.019999999557</v>
      </c>
      <c r="J259" s="58">
        <f t="shared" si="34"/>
        <v>732.77999999999838</v>
      </c>
      <c r="K259" s="59">
        <f t="shared" si="28"/>
        <v>2.4269847799259867E-2</v>
      </c>
      <c r="L259" s="58">
        <f t="shared" si="31"/>
        <v>732.77999999999838</v>
      </c>
      <c r="M259" s="59">
        <f t="shared" si="30"/>
        <v>2.4269847799259867E-2</v>
      </c>
      <c r="N259" s="60">
        <v>66068309</v>
      </c>
      <c r="O259" s="60">
        <f t="shared" si="26"/>
        <v>0</v>
      </c>
      <c r="P259" s="61"/>
      <c r="Q259" s="63"/>
      <c r="R259" s="20">
        <f t="shared" si="35"/>
        <v>1</v>
      </c>
      <c r="S259" s="20">
        <f t="shared" si="27"/>
        <v>0</v>
      </c>
      <c r="T259" s="64"/>
    </row>
    <row r="260" spans="1:20" ht="12.75" customHeight="1" thickBot="1" x14ac:dyDescent="0.3">
      <c r="A260" s="53">
        <v>44454</v>
      </c>
      <c r="D260" s="55">
        <v>0.14199999999999999</v>
      </c>
      <c r="E260" s="56">
        <v>1243.377</v>
      </c>
      <c r="F260" s="57">
        <v>45.402000000000001</v>
      </c>
      <c r="G260" s="58"/>
      <c r="H260" s="58">
        <v>4140</v>
      </c>
      <c r="I260" s="58">
        <f t="shared" si="33"/>
        <v>31484.700000000077</v>
      </c>
      <c r="J260" s="58">
        <f t="shared" si="34"/>
        <v>981.18000000000779</v>
      </c>
      <c r="K260" s="59">
        <f t="shared" si="28"/>
        <v>3.1163708086785182E-2</v>
      </c>
      <c r="L260" s="58">
        <f t="shared" si="31"/>
        <v>981.18000000000779</v>
      </c>
      <c r="M260" s="59">
        <f t="shared" si="30"/>
        <v>3.1163708086785182E-2</v>
      </c>
      <c r="N260" s="60">
        <v>66068309</v>
      </c>
      <c r="O260" s="60">
        <f t="shared" si="26"/>
        <v>0</v>
      </c>
      <c r="P260" s="61"/>
      <c r="Q260" s="62"/>
      <c r="R260" s="20">
        <f t="shared" si="35"/>
        <v>1</v>
      </c>
      <c r="S260" s="20">
        <f t="shared" si="27"/>
        <v>0</v>
      </c>
      <c r="T260" s="64"/>
    </row>
    <row r="261" spans="1:20" ht="12.75" customHeight="1" thickBot="1" x14ac:dyDescent="0.3">
      <c r="A261" s="53">
        <v>44455</v>
      </c>
      <c r="D261" s="55">
        <v>0.14199999999999999</v>
      </c>
      <c r="E261" s="56">
        <v>1250.7940000000001</v>
      </c>
      <c r="F261" s="57">
        <v>45.642000000000003</v>
      </c>
      <c r="G261" s="58"/>
      <c r="H261" s="58">
        <v>4140</v>
      </c>
      <c r="I261" s="58">
        <f t="shared" si="33"/>
        <v>30706.380000000594</v>
      </c>
      <c r="J261" s="58">
        <f t="shared" si="34"/>
        <v>993.60000000000821</v>
      </c>
      <c r="K261" s="59">
        <f t="shared" si="28"/>
        <v>3.2358096265336034E-2</v>
      </c>
      <c r="L261" s="58">
        <f t="shared" ref="L261:L324" si="36">IF(F261="","",+(F261-F260)*4140)</f>
        <v>993.60000000000821</v>
      </c>
      <c r="M261" s="59">
        <f t="shared" si="30"/>
        <v>3.2358096265336034E-2</v>
      </c>
      <c r="N261" s="60">
        <v>66068309</v>
      </c>
      <c r="O261" s="60">
        <f t="shared" si="26"/>
        <v>0</v>
      </c>
      <c r="P261" s="61"/>
      <c r="Q261" s="62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3">
        <v>44456</v>
      </c>
      <c r="D262" s="55">
        <v>0.14199999999999999</v>
      </c>
      <c r="E262" s="56">
        <v>1257.5930000000001</v>
      </c>
      <c r="F262" s="57">
        <v>45.901000000000003</v>
      </c>
      <c r="G262" s="58"/>
      <c r="H262" s="58">
        <v>4140</v>
      </c>
      <c r="I262" s="58">
        <f t="shared" si="33"/>
        <v>28147.85999999991</v>
      </c>
      <c r="J262" s="58">
        <f t="shared" si="34"/>
        <v>1072.2600000000014</v>
      </c>
      <c r="K262" s="59">
        <f t="shared" si="28"/>
        <v>3.8093837329019144E-2</v>
      </c>
      <c r="L262" s="58">
        <f t="shared" si="36"/>
        <v>1072.2600000000014</v>
      </c>
      <c r="M262" s="59">
        <f t="shared" si="30"/>
        <v>3.8093837329019144E-2</v>
      </c>
      <c r="N262" s="60">
        <v>66068309</v>
      </c>
      <c r="O262" s="60">
        <f t="shared" ref="O262:O314" si="37">IF(N262="","",N262-N261)</f>
        <v>0</v>
      </c>
      <c r="P262" s="61"/>
      <c r="Q262" s="62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3">
        <v>44457</v>
      </c>
      <c r="D263" s="55">
        <v>0.14199999999999999</v>
      </c>
      <c r="E263" s="56">
        <v>1265.8579999999999</v>
      </c>
      <c r="F263" s="57">
        <v>46.145000000000003</v>
      </c>
      <c r="G263" s="58"/>
      <c r="H263" s="58">
        <v>4140</v>
      </c>
      <c r="I263" s="58">
        <f t="shared" si="33"/>
        <v>34217.099999999475</v>
      </c>
      <c r="J263" s="58">
        <f t="shared" si="34"/>
        <v>1010.1599999999991</v>
      </c>
      <c r="K263" s="59">
        <f t="shared" si="28"/>
        <v>2.9522081064731219E-2</v>
      </c>
      <c r="L263" s="58">
        <f t="shared" si="36"/>
        <v>1010.1599999999991</v>
      </c>
      <c r="M263" s="59">
        <f t="shared" si="30"/>
        <v>2.9522081064731219E-2</v>
      </c>
      <c r="N263" s="60">
        <v>66068309</v>
      </c>
      <c r="O263" s="60">
        <f t="shared" si="37"/>
        <v>0</v>
      </c>
      <c r="P263" s="61"/>
      <c r="Q263" s="102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3">
        <v>44458</v>
      </c>
      <c r="D264" s="55">
        <v>0.14199999999999999</v>
      </c>
      <c r="E264" s="56">
        <v>1273.758</v>
      </c>
      <c r="F264" s="57">
        <v>46.393999999999998</v>
      </c>
      <c r="G264" s="58"/>
      <c r="H264" s="58">
        <v>4140</v>
      </c>
      <c r="I264" s="58">
        <f t="shared" si="33"/>
        <v>32706.000000000378</v>
      </c>
      <c r="J264" s="58">
        <f t="shared" si="34"/>
        <v>1030.8599999999801</v>
      </c>
      <c r="K264" s="59">
        <f t="shared" si="28"/>
        <v>3.1518987341771179E-2</v>
      </c>
      <c r="L264" s="58">
        <f t="shared" si="36"/>
        <v>1030.8599999999801</v>
      </c>
      <c r="M264" s="59">
        <f t="shared" si="30"/>
        <v>3.1518987341771179E-2</v>
      </c>
      <c r="N264" s="60">
        <v>66068309</v>
      </c>
      <c r="O264" s="60">
        <f t="shared" si="37"/>
        <v>0</v>
      </c>
      <c r="P264" s="191" t="s">
        <v>66</v>
      </c>
      <c r="Q264" s="192"/>
      <c r="R264" s="20">
        <f t="shared" si="35"/>
        <v>1</v>
      </c>
      <c r="S264" s="20">
        <f t="shared" ref="S264:S327" si="38">IF(N264="",1,0)</f>
        <v>0</v>
      </c>
      <c r="T264" s="64"/>
    </row>
    <row r="265" spans="1:20" ht="12.75" customHeight="1" thickBot="1" x14ac:dyDescent="0.3">
      <c r="A265" s="53">
        <v>44459</v>
      </c>
      <c r="D265" s="55">
        <v>0.14199999999999999</v>
      </c>
      <c r="E265" s="56">
        <v>1281.6189999999999</v>
      </c>
      <c r="F265" s="57">
        <v>46.604999999999997</v>
      </c>
      <c r="G265" s="58"/>
      <c r="H265" s="58">
        <v>4140</v>
      </c>
      <c r="I265" s="58">
        <f t="shared" si="33"/>
        <v>32544.539999999488</v>
      </c>
      <c r="J265" s="58">
        <f t="shared" si="34"/>
        <v>873.53999999999382</v>
      </c>
      <c r="K265" s="59">
        <f t="shared" si="28"/>
        <v>2.6841368782597866E-2</v>
      </c>
      <c r="L265" s="58">
        <f t="shared" si="36"/>
        <v>873.53999999999382</v>
      </c>
      <c r="M265" s="59">
        <f t="shared" si="30"/>
        <v>2.6841368782597866E-2</v>
      </c>
      <c r="N265" s="60">
        <v>66068309</v>
      </c>
      <c r="O265" s="60">
        <f t="shared" si="37"/>
        <v>0</v>
      </c>
      <c r="P265" s="193"/>
      <c r="Q265" s="194"/>
      <c r="R265" s="20">
        <f t="shared" si="35"/>
        <v>1</v>
      </c>
      <c r="S265" s="20">
        <f t="shared" si="38"/>
        <v>0</v>
      </c>
      <c r="T265" s="64"/>
    </row>
    <row r="266" spans="1:20" ht="12.75" customHeight="1" thickBot="1" x14ac:dyDescent="0.3">
      <c r="A266" s="53">
        <v>44460</v>
      </c>
      <c r="D266" s="55">
        <v>0.14199999999999999</v>
      </c>
      <c r="E266" s="56">
        <v>1287.433</v>
      </c>
      <c r="F266" s="57">
        <v>46.71</v>
      </c>
      <c r="G266" s="58"/>
      <c r="H266" s="58">
        <v>4140</v>
      </c>
      <c r="I266" s="58">
        <f t="shared" si="33"/>
        <v>24069.960000000323</v>
      </c>
      <c r="J266" s="58">
        <f t="shared" si="34"/>
        <v>434.70000000001647</v>
      </c>
      <c r="K266" s="59">
        <f t="shared" si="28"/>
        <v>1.8059855521156274E-2</v>
      </c>
      <c r="L266" s="58">
        <f t="shared" si="36"/>
        <v>434.70000000001647</v>
      </c>
      <c r="M266" s="59">
        <f t="shared" si="30"/>
        <v>1.8059855521156274E-2</v>
      </c>
      <c r="N266" s="60">
        <v>66068309</v>
      </c>
      <c r="O266" s="60">
        <f t="shared" si="37"/>
        <v>0</v>
      </c>
      <c r="P266" s="68" t="s">
        <v>46</v>
      </c>
      <c r="Q266" s="68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3">
        <v>44461</v>
      </c>
      <c r="D267" s="55">
        <v>0.14199999999999999</v>
      </c>
      <c r="E267" s="56">
        <v>1293.519</v>
      </c>
      <c r="F267" s="57">
        <v>46.892000000000003</v>
      </c>
      <c r="G267" s="58"/>
      <c r="H267" s="58">
        <v>4140</v>
      </c>
      <c r="I267" s="58">
        <f t="shared" si="33"/>
        <v>25196.040000000052</v>
      </c>
      <c r="J267" s="58">
        <f t="shared" si="34"/>
        <v>753.48000000000889</v>
      </c>
      <c r="K267" s="59">
        <f t="shared" si="28"/>
        <v>2.9904699309891845E-2</v>
      </c>
      <c r="L267" s="58">
        <f t="shared" si="36"/>
        <v>753.48000000000889</v>
      </c>
      <c r="M267" s="59">
        <f t="shared" si="30"/>
        <v>2.9904699309891845E-2</v>
      </c>
      <c r="N267" s="60">
        <v>66068309</v>
      </c>
      <c r="O267" s="60">
        <f t="shared" si="37"/>
        <v>0</v>
      </c>
      <c r="P267" s="69">
        <f>IF(J247="",0,+SUM(J247:J276)/SUM(I247:I276))</f>
        <v>2.7261563651248474E-2</v>
      </c>
      <c r="Q267" s="69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3">
        <v>44462</v>
      </c>
      <c r="D268" s="55">
        <v>0.14199999999999999</v>
      </c>
      <c r="E268" s="56">
        <v>1299.807</v>
      </c>
      <c r="F268" s="57">
        <v>47.073</v>
      </c>
      <c r="G268" s="58"/>
      <c r="H268" s="58">
        <v>4140</v>
      </c>
      <c r="I268" s="58">
        <f t="shared" si="33"/>
        <v>26032.320000000043</v>
      </c>
      <c r="J268" s="58">
        <f t="shared" si="34"/>
        <v>749.33999999998923</v>
      </c>
      <c r="K268" s="59">
        <f t="shared" si="28"/>
        <v>2.8784987277353229E-2</v>
      </c>
      <c r="L268" s="58">
        <f t="shared" si="36"/>
        <v>749.33999999998923</v>
      </c>
      <c r="M268" s="59">
        <f t="shared" si="30"/>
        <v>2.8784987277353229E-2</v>
      </c>
      <c r="N268" s="60">
        <v>66068309</v>
      </c>
      <c r="O268" s="60">
        <f t="shared" si="37"/>
        <v>0</v>
      </c>
      <c r="P268" s="70" t="e">
        <f>IF(J247="",0,+(+(LOOKUP(9.99999999999999E+307,E247:E276)-E246))/(+(LOOKUP(9.99999999999999E+307,D247:D276)-D246)))</f>
        <v>#DIV/0!</v>
      </c>
      <c r="Q268" s="70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4"/>
    </row>
    <row r="269" spans="1:20" ht="12.75" customHeight="1" thickBot="1" x14ac:dyDescent="0.3">
      <c r="A269" s="53">
        <v>44463</v>
      </c>
      <c r="D269" s="55">
        <v>0.14199999999999999</v>
      </c>
      <c r="E269" s="56">
        <v>1306.019</v>
      </c>
      <c r="F269" s="57">
        <v>47.26</v>
      </c>
      <c r="G269" s="58"/>
      <c r="H269" s="58">
        <v>4140</v>
      </c>
      <c r="I269" s="58">
        <f t="shared" si="33"/>
        <v>25717.679999999957</v>
      </c>
      <c r="J269" s="58">
        <f t="shared" si="34"/>
        <v>774.17999999999006</v>
      </c>
      <c r="K269" s="59">
        <f t="shared" ref="K269:K332" si="39">IF(J269="","",+(J269/I269))</f>
        <v>3.0103026400514796E-2</v>
      </c>
      <c r="L269" s="58">
        <f t="shared" si="36"/>
        <v>774.17999999999006</v>
      </c>
      <c r="M269" s="59">
        <f t="shared" ref="M269:M332" si="40">IF(L269="","",(L269/I269))</f>
        <v>3.0103026400514796E-2</v>
      </c>
      <c r="N269" s="60">
        <v>66068309</v>
      </c>
      <c r="O269" s="60">
        <f t="shared" si="37"/>
        <v>0</v>
      </c>
      <c r="P269" s="71" t="s">
        <v>48</v>
      </c>
      <c r="Q269" s="72" t="s">
        <v>49</v>
      </c>
      <c r="R269" s="20">
        <f t="shared" si="35"/>
        <v>1</v>
      </c>
      <c r="S269" s="20">
        <f t="shared" si="38"/>
        <v>0</v>
      </c>
      <c r="T269" s="64"/>
    </row>
    <row r="270" spans="1:20" ht="12.75" customHeight="1" thickBot="1" x14ac:dyDescent="0.3">
      <c r="A270" s="53">
        <v>44464</v>
      </c>
      <c r="D270" s="55">
        <v>0.14199999999999999</v>
      </c>
      <c r="E270" s="56">
        <v>1313.3050000000001</v>
      </c>
      <c r="F270" s="57">
        <v>47.500999999999998</v>
      </c>
      <c r="G270" s="58"/>
      <c r="H270" s="58">
        <v>4140</v>
      </c>
      <c r="I270" s="58">
        <f t="shared" si="33"/>
        <v>30164.040000000241</v>
      </c>
      <c r="J270" s="58">
        <f t="shared" si="34"/>
        <v>997.73999999999864</v>
      </c>
      <c r="K270" s="59">
        <f t="shared" si="39"/>
        <v>3.3077134230029885E-2</v>
      </c>
      <c r="L270" s="58">
        <f t="shared" si="36"/>
        <v>997.73999999999864</v>
      </c>
      <c r="M270" s="59">
        <f t="shared" si="40"/>
        <v>3.3077134230029885E-2</v>
      </c>
      <c r="N270" s="60">
        <v>66068309</v>
      </c>
      <c r="O270" s="60">
        <f t="shared" si="37"/>
        <v>0</v>
      </c>
      <c r="P270" s="73">
        <f>IF(N246="",0,+(LOOKUP(9.99999999999999E+307,N246:N276)-N246))</f>
        <v>0</v>
      </c>
      <c r="Q270" s="74">
        <f>IF(P270="",0,+P270/SUM(R247:R276))</f>
        <v>0</v>
      </c>
      <c r="R270" s="20">
        <f t="shared" si="35"/>
        <v>1</v>
      </c>
      <c r="S270" s="20">
        <f t="shared" si="38"/>
        <v>0</v>
      </c>
      <c r="T270" s="64"/>
    </row>
    <row r="271" spans="1:20" ht="12.75" customHeight="1" thickBot="1" x14ac:dyDescent="0.3">
      <c r="A271" s="53">
        <v>44465</v>
      </c>
      <c r="D271" s="55">
        <v>0.14199999999999999</v>
      </c>
      <c r="E271" s="56">
        <v>1319.6379999999999</v>
      </c>
      <c r="F271" s="57">
        <v>47.692</v>
      </c>
      <c r="G271" s="58"/>
      <c r="H271" s="58">
        <v>4140</v>
      </c>
      <c r="I271" s="58">
        <f t="shared" si="33"/>
        <v>26218.619999999406</v>
      </c>
      <c r="J271" s="58">
        <f t="shared" si="34"/>
        <v>790.74000000001035</v>
      </c>
      <c r="K271" s="59">
        <f t="shared" si="39"/>
        <v>3.0159482078005184E-2</v>
      </c>
      <c r="L271" s="58">
        <f t="shared" si="36"/>
        <v>790.74000000001035</v>
      </c>
      <c r="M271" s="59">
        <f t="shared" si="40"/>
        <v>3.0159482078005184E-2</v>
      </c>
      <c r="N271" s="60">
        <v>66068309</v>
      </c>
      <c r="O271" s="60">
        <f t="shared" si="37"/>
        <v>0</v>
      </c>
      <c r="P271" s="75" t="s">
        <v>50</v>
      </c>
      <c r="Q271" s="76" t="s">
        <v>58</v>
      </c>
      <c r="R271" s="20">
        <f t="shared" si="35"/>
        <v>1</v>
      </c>
      <c r="S271" s="20">
        <f t="shared" si="38"/>
        <v>0</v>
      </c>
      <c r="T271" s="64"/>
    </row>
    <row r="272" spans="1:20" ht="12.75" customHeight="1" thickBot="1" x14ac:dyDescent="0.3">
      <c r="A272" s="53">
        <v>44466</v>
      </c>
      <c r="D272" s="55">
        <v>0.14199999999999999</v>
      </c>
      <c r="E272" s="56">
        <v>1326.4449999999999</v>
      </c>
      <c r="F272" s="57">
        <v>47.881</v>
      </c>
      <c r="G272" s="58"/>
      <c r="H272" s="58">
        <v>4140</v>
      </c>
      <c r="I272" s="58">
        <f t="shared" si="33"/>
        <v>28180.980000000069</v>
      </c>
      <c r="J272" s="58">
        <f t="shared" si="34"/>
        <v>782.46000000000026</v>
      </c>
      <c r="K272" s="59">
        <f t="shared" si="39"/>
        <v>2.7765535478184163E-2</v>
      </c>
      <c r="L272" s="58">
        <f t="shared" si="36"/>
        <v>782.46000000000026</v>
      </c>
      <c r="M272" s="59">
        <f t="shared" si="40"/>
        <v>2.7765535478184163E-2</v>
      </c>
      <c r="N272" s="60">
        <v>66068309</v>
      </c>
      <c r="O272" s="60">
        <f t="shared" si="37"/>
        <v>0</v>
      </c>
      <c r="P272" s="77">
        <f>IF(D246="",0,+(LOOKUP(9.99999999999999E+307,D246:D276)-D246))*4140</f>
        <v>0</v>
      </c>
      <c r="Q272" s="78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3">
        <v>44467</v>
      </c>
      <c r="D273" s="55">
        <v>0.14199999999999999</v>
      </c>
      <c r="E273" s="56">
        <v>1332.758</v>
      </c>
      <c r="F273" s="57">
        <v>48.064</v>
      </c>
      <c r="G273" s="58"/>
      <c r="H273" s="58">
        <v>4140</v>
      </c>
      <c r="I273" s="58">
        <f t="shared" si="33"/>
        <v>26135.820000000422</v>
      </c>
      <c r="J273" s="58">
        <f t="shared" si="34"/>
        <v>757.61999999999932</v>
      </c>
      <c r="K273" s="59">
        <f t="shared" si="39"/>
        <v>2.8987802946300788E-2</v>
      </c>
      <c r="L273" s="58">
        <f t="shared" si="36"/>
        <v>757.61999999999932</v>
      </c>
      <c r="M273" s="59">
        <f t="shared" si="40"/>
        <v>2.8987802946300788E-2</v>
      </c>
      <c r="N273" s="60">
        <v>66068309</v>
      </c>
      <c r="O273" s="60">
        <f t="shared" si="37"/>
        <v>0</v>
      </c>
      <c r="P273" s="79" t="s">
        <v>52</v>
      </c>
      <c r="Q273" s="80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3">
        <v>44468</v>
      </c>
      <c r="D274" s="55">
        <v>0.14199999999999999</v>
      </c>
      <c r="E274" s="56">
        <v>1339.6389999999999</v>
      </c>
      <c r="F274" s="57">
        <v>48.209000000000003</v>
      </c>
      <c r="G274" s="58"/>
      <c r="H274" s="58">
        <v>4140</v>
      </c>
      <c r="I274" s="58">
        <f t="shared" si="33"/>
        <v>28487.339999999414</v>
      </c>
      <c r="J274" s="58">
        <f t="shared" si="34"/>
        <v>600.30000000001291</v>
      </c>
      <c r="K274" s="59">
        <f t="shared" si="39"/>
        <v>2.107251852928442E-2</v>
      </c>
      <c r="L274" s="58">
        <f t="shared" si="36"/>
        <v>600.30000000001291</v>
      </c>
      <c r="M274" s="59">
        <f t="shared" si="40"/>
        <v>2.107251852928442E-2</v>
      </c>
      <c r="N274" s="60">
        <v>66068309</v>
      </c>
      <c r="O274" s="60">
        <f t="shared" si="37"/>
        <v>0</v>
      </c>
      <c r="P274" s="81">
        <f>P272*Q277</f>
        <v>0</v>
      </c>
      <c r="Q274" s="82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3">
        <v>44469</v>
      </c>
      <c r="D275" s="55">
        <v>0.14199999999999999</v>
      </c>
      <c r="E275" s="56">
        <v>1345.6120000000001</v>
      </c>
      <c r="F275" s="57">
        <v>48.378999999999998</v>
      </c>
      <c r="G275" s="58"/>
      <c r="H275" s="58">
        <v>4140</v>
      </c>
      <c r="I275" s="58">
        <f t="shared" si="33"/>
        <v>24728.220000000762</v>
      </c>
      <c r="J275" s="58">
        <f t="shared" si="34"/>
        <v>703.79999999997767</v>
      </c>
      <c r="K275" s="59">
        <f t="shared" si="39"/>
        <v>2.8461409676877512E-2</v>
      </c>
      <c r="L275" s="58">
        <f t="shared" si="36"/>
        <v>703.79999999997767</v>
      </c>
      <c r="M275" s="59">
        <f t="shared" si="40"/>
        <v>2.8461409676877512E-2</v>
      </c>
      <c r="N275" s="60">
        <v>66068309</v>
      </c>
      <c r="O275" s="60">
        <f t="shared" si="37"/>
        <v>0</v>
      </c>
      <c r="P275" s="84" t="s">
        <v>54</v>
      </c>
      <c r="Q275" s="85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3">
        <v>44470</v>
      </c>
      <c r="D276" s="55">
        <v>0.14199999999999999</v>
      </c>
      <c r="E276" s="56">
        <v>1351.557</v>
      </c>
      <c r="F276" s="57">
        <v>48.45</v>
      </c>
      <c r="G276" s="89"/>
      <c r="H276" s="58">
        <v>4140</v>
      </c>
      <c r="I276" s="58">
        <f t="shared" si="33"/>
        <v>24612.299999999737</v>
      </c>
      <c r="J276" s="58">
        <f t="shared" si="34"/>
        <v>293.94000000002097</v>
      </c>
      <c r="K276" s="59">
        <f t="shared" si="39"/>
        <v>1.1942809083264226E-2</v>
      </c>
      <c r="L276" s="89">
        <f t="shared" si="36"/>
        <v>293.94000000002097</v>
      </c>
      <c r="M276" s="59">
        <f t="shared" si="40"/>
        <v>1.1942809083264226E-2</v>
      </c>
      <c r="N276" s="90">
        <v>66068309</v>
      </c>
      <c r="O276" s="91">
        <f t="shared" si="37"/>
        <v>0</v>
      </c>
      <c r="P276" s="125">
        <f>(P274+Q272*SUM(S247:S276)*Q277)</f>
        <v>0</v>
      </c>
      <c r="Q276" s="93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3">
        <v>44471</v>
      </c>
      <c r="D277" s="55">
        <v>0.14199999999999999</v>
      </c>
      <c r="E277" s="56">
        <v>1357.4659999999999</v>
      </c>
      <c r="F277" s="57">
        <v>48.707000000000001</v>
      </c>
      <c r="G277" s="58"/>
      <c r="H277" s="58">
        <v>4140</v>
      </c>
      <c r="I277" s="58">
        <f t="shared" si="33"/>
        <v>24463.259999999496</v>
      </c>
      <c r="J277" s="58">
        <f t="shared" si="34"/>
        <v>1063.9799999999914</v>
      </c>
      <c r="K277" s="59">
        <f t="shared" si="39"/>
        <v>4.3492976815028464E-2</v>
      </c>
      <c r="L277" s="58">
        <f t="shared" si="36"/>
        <v>1063.9799999999914</v>
      </c>
      <c r="M277" s="59">
        <f t="shared" si="40"/>
        <v>4.3492976815028464E-2</v>
      </c>
      <c r="N277" s="60">
        <v>66068309</v>
      </c>
      <c r="O277" s="60">
        <f t="shared" si="37"/>
        <v>0</v>
      </c>
      <c r="P277" s="94" t="s">
        <v>56</v>
      </c>
      <c r="Q277" s="95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3">
        <v>44472</v>
      </c>
      <c r="D278" s="55">
        <v>0.14199999999999999</v>
      </c>
      <c r="E278" s="56">
        <v>1363.998</v>
      </c>
      <c r="F278" s="57">
        <v>48.847999999999999</v>
      </c>
      <c r="G278" s="58"/>
      <c r="H278" s="58">
        <v>4140</v>
      </c>
      <c r="I278" s="58">
        <f t="shared" si="33"/>
        <v>27042.480000000633</v>
      </c>
      <c r="J278" s="58">
        <f t="shared" si="34"/>
        <v>583.73999999999273</v>
      </c>
      <c r="K278" s="59">
        <f t="shared" si="39"/>
        <v>2.1586037966931253E-2</v>
      </c>
      <c r="L278" s="58">
        <f t="shared" si="36"/>
        <v>583.73999999999273</v>
      </c>
      <c r="M278" s="59">
        <f t="shared" si="40"/>
        <v>2.1586037966931253E-2</v>
      </c>
      <c r="N278" s="60">
        <v>66068309</v>
      </c>
      <c r="O278" s="60">
        <f t="shared" si="37"/>
        <v>0</v>
      </c>
      <c r="P278" s="61"/>
      <c r="Q278" s="102"/>
      <c r="R278" s="20">
        <f t="shared" si="35"/>
        <v>1</v>
      </c>
      <c r="S278" s="20">
        <f t="shared" si="38"/>
        <v>0</v>
      </c>
      <c r="W278" s="1" t="s">
        <v>76</v>
      </c>
    </row>
    <row r="279" spans="1:23" ht="15.75" thickBot="1" x14ac:dyDescent="0.3">
      <c r="A279" s="53">
        <v>44473</v>
      </c>
      <c r="D279" s="55">
        <v>0.14199999999999999</v>
      </c>
      <c r="E279" s="56">
        <v>1370.31</v>
      </c>
      <c r="F279" s="57">
        <v>48.988</v>
      </c>
      <c r="G279" s="58"/>
      <c r="H279" s="58">
        <v>4140</v>
      </c>
      <c r="I279" s="58">
        <f t="shared" si="33"/>
        <v>26131.679999999578</v>
      </c>
      <c r="J279" s="58">
        <f t="shared" si="34"/>
        <v>579.60000000000241</v>
      </c>
      <c r="K279" s="59">
        <f t="shared" si="39"/>
        <v>2.217997465145799E-2</v>
      </c>
      <c r="L279" s="58">
        <f t="shared" si="36"/>
        <v>579.60000000000241</v>
      </c>
      <c r="M279" s="59">
        <f t="shared" si="40"/>
        <v>2.217997465145799E-2</v>
      </c>
      <c r="N279" s="60">
        <v>66068309</v>
      </c>
      <c r="O279" s="60">
        <f t="shared" si="37"/>
        <v>0</v>
      </c>
      <c r="P279" s="98"/>
      <c r="Q279" s="99"/>
      <c r="R279" s="20">
        <f t="shared" si="35"/>
        <v>1</v>
      </c>
      <c r="S279" s="20">
        <f t="shared" si="38"/>
        <v>0</v>
      </c>
      <c r="T279" s="64"/>
    </row>
    <row r="280" spans="1:23" ht="15.75" thickBot="1" x14ac:dyDescent="0.3">
      <c r="A280" s="53">
        <v>44474</v>
      </c>
      <c r="D280" s="55">
        <v>0.14199999999999999</v>
      </c>
      <c r="E280" s="56">
        <v>1376.4549999999999</v>
      </c>
      <c r="F280" s="57">
        <v>49.140999999999998</v>
      </c>
      <c r="G280" s="58"/>
      <c r="H280" s="58">
        <v>4140</v>
      </c>
      <c r="I280" s="58">
        <f t="shared" si="33"/>
        <v>25440.299999999923</v>
      </c>
      <c r="J280" s="58">
        <f t="shared" si="34"/>
        <v>633.41999999999462</v>
      </c>
      <c r="K280" s="59">
        <f t="shared" si="39"/>
        <v>2.4898291293734609E-2</v>
      </c>
      <c r="L280" s="58">
        <f t="shared" si="36"/>
        <v>633.41999999999462</v>
      </c>
      <c r="M280" s="59">
        <f t="shared" si="40"/>
        <v>2.4898291293734609E-2</v>
      </c>
      <c r="N280" s="60">
        <v>66068309</v>
      </c>
      <c r="O280" s="60">
        <f t="shared" si="37"/>
        <v>0</v>
      </c>
      <c r="P280" s="100"/>
      <c r="Q280" s="101"/>
      <c r="R280" s="20">
        <f t="shared" si="35"/>
        <v>1</v>
      </c>
      <c r="S280" s="20">
        <f t="shared" si="38"/>
        <v>0</v>
      </c>
      <c r="T280" s="64"/>
    </row>
    <row r="281" spans="1:23" ht="15.75" thickBot="1" x14ac:dyDescent="0.3">
      <c r="A281" s="53">
        <v>44475</v>
      </c>
      <c r="D281" s="55">
        <v>0.14199999999999999</v>
      </c>
      <c r="E281" s="56">
        <v>1382.3340000000001</v>
      </c>
      <c r="F281" s="57">
        <v>49.222999999999999</v>
      </c>
      <c r="G281" s="58"/>
      <c r="H281" s="58">
        <v>4140</v>
      </c>
      <c r="I281" s="58">
        <f t="shared" si="33"/>
        <v>24339.060000000551</v>
      </c>
      <c r="J281" s="58">
        <f t="shared" si="34"/>
        <v>339.48000000000309</v>
      </c>
      <c r="K281" s="59">
        <f t="shared" si="39"/>
        <v>1.3947950331688875E-2</v>
      </c>
      <c r="L281" s="58">
        <f t="shared" si="36"/>
        <v>339.48000000000309</v>
      </c>
      <c r="M281" s="59">
        <f t="shared" si="40"/>
        <v>1.3947950331688875E-2</v>
      </c>
      <c r="N281" s="60">
        <v>66068309</v>
      </c>
      <c r="O281" s="60">
        <f t="shared" si="37"/>
        <v>0</v>
      </c>
      <c r="P281" s="100"/>
      <c r="Q281" s="99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3">
        <v>44476</v>
      </c>
      <c r="D282" s="55">
        <v>0.14199999999999999</v>
      </c>
      <c r="E282" s="56">
        <v>1388.6130000000001</v>
      </c>
      <c r="F282" s="57">
        <v>49.418999999999997</v>
      </c>
      <c r="G282" s="58"/>
      <c r="H282" s="58">
        <v>4140</v>
      </c>
      <c r="I282" s="58">
        <f t="shared" si="33"/>
        <v>25995.059999999983</v>
      </c>
      <c r="J282" s="58">
        <f t="shared" si="34"/>
        <v>811.43999999999153</v>
      </c>
      <c r="K282" s="59">
        <f t="shared" si="39"/>
        <v>3.1215161649943955E-2</v>
      </c>
      <c r="L282" s="58">
        <f t="shared" si="36"/>
        <v>811.43999999999153</v>
      </c>
      <c r="M282" s="59">
        <f t="shared" si="40"/>
        <v>3.1215161649943955E-2</v>
      </c>
      <c r="N282" s="60">
        <v>66068309</v>
      </c>
      <c r="O282" s="60">
        <f t="shared" si="37"/>
        <v>0</v>
      </c>
      <c r="P282" s="61"/>
      <c r="Q282" s="62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3">
        <v>44477</v>
      </c>
      <c r="D283" s="55">
        <v>0.14199999999999999</v>
      </c>
      <c r="E283" s="56">
        <v>1394.6769999999999</v>
      </c>
      <c r="F283" s="57">
        <v>49.613999999999997</v>
      </c>
      <c r="G283" s="58"/>
      <c r="H283" s="58">
        <v>4140</v>
      </c>
      <c r="I283" s="58">
        <f t="shared" si="33"/>
        <v>25104.959999999381</v>
      </c>
      <c r="J283" s="58">
        <f t="shared" si="34"/>
        <v>807.30000000000121</v>
      </c>
      <c r="K283" s="59">
        <f t="shared" si="39"/>
        <v>3.215699208443356E-2</v>
      </c>
      <c r="L283" s="58">
        <f t="shared" si="36"/>
        <v>807.30000000000121</v>
      </c>
      <c r="M283" s="59">
        <f t="shared" si="40"/>
        <v>3.215699208443356E-2</v>
      </c>
      <c r="N283" s="60">
        <v>66068309</v>
      </c>
      <c r="O283" s="60">
        <f t="shared" si="37"/>
        <v>0</v>
      </c>
      <c r="P283" s="61"/>
      <c r="Q283" s="63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3">
        <v>44478</v>
      </c>
      <c r="D284" s="55">
        <v>0.14199999999999999</v>
      </c>
      <c r="E284" s="56">
        <v>1400.9490000000001</v>
      </c>
      <c r="F284" s="57">
        <v>49.866</v>
      </c>
      <c r="G284" s="58"/>
      <c r="H284" s="58">
        <v>4140</v>
      </c>
      <c r="I284" s="58">
        <f t="shared" si="33"/>
        <v>25966.080000000671</v>
      </c>
      <c r="J284" s="58">
        <f t="shared" si="34"/>
        <v>1043.2800000000102</v>
      </c>
      <c r="K284" s="59">
        <f t="shared" si="39"/>
        <v>4.0178571428570786E-2</v>
      </c>
      <c r="L284" s="58">
        <f t="shared" si="36"/>
        <v>1043.2800000000102</v>
      </c>
      <c r="M284" s="59">
        <f t="shared" si="40"/>
        <v>4.0178571428570786E-2</v>
      </c>
      <c r="N284" s="60">
        <v>66068309</v>
      </c>
      <c r="O284" s="60">
        <f t="shared" si="37"/>
        <v>0</v>
      </c>
      <c r="P284" s="61"/>
      <c r="Q284" s="63"/>
      <c r="R284" s="20">
        <f t="shared" si="35"/>
        <v>1</v>
      </c>
      <c r="S284" s="20">
        <f t="shared" si="38"/>
        <v>0</v>
      </c>
      <c r="T284" s="64"/>
    </row>
    <row r="285" spans="1:23" ht="15.75" thickBot="1" x14ac:dyDescent="0.3">
      <c r="A285" s="53">
        <v>44479</v>
      </c>
      <c r="D285" s="55">
        <v>0.14199999999999999</v>
      </c>
      <c r="E285" s="56">
        <v>1406.4469999999999</v>
      </c>
      <c r="F285" s="57">
        <v>49.911999999999999</v>
      </c>
      <c r="G285" s="58"/>
      <c r="H285" s="58">
        <v>4140</v>
      </c>
      <c r="I285" s="58">
        <f t="shared" si="33"/>
        <v>22761.719999999255</v>
      </c>
      <c r="J285" s="58">
        <f t="shared" si="34"/>
        <v>190.43999999999741</v>
      </c>
      <c r="K285" s="59">
        <f t="shared" si="39"/>
        <v>8.3666787922882652E-3</v>
      </c>
      <c r="L285" s="58">
        <f t="shared" si="36"/>
        <v>190.43999999999741</v>
      </c>
      <c r="M285" s="59">
        <f t="shared" si="40"/>
        <v>8.3666787922882652E-3</v>
      </c>
      <c r="N285" s="60">
        <v>66068309</v>
      </c>
      <c r="O285" s="60">
        <f t="shared" si="37"/>
        <v>0</v>
      </c>
      <c r="P285" s="61"/>
      <c r="Q285" s="63"/>
      <c r="R285" s="20">
        <f t="shared" si="35"/>
        <v>1</v>
      </c>
      <c r="S285" s="20">
        <f t="shared" si="38"/>
        <v>0</v>
      </c>
      <c r="T285" s="64"/>
    </row>
    <row r="286" spans="1:23" ht="15.75" thickBot="1" x14ac:dyDescent="0.3">
      <c r="A286" s="53">
        <v>44480</v>
      </c>
      <c r="D286" s="55">
        <v>0.14199999999999999</v>
      </c>
      <c r="E286" s="56">
        <v>1412.019</v>
      </c>
      <c r="F286" s="57">
        <v>50.119</v>
      </c>
      <c r="G286" s="58"/>
      <c r="H286" s="58">
        <v>4140</v>
      </c>
      <c r="I286" s="58">
        <f t="shared" si="33"/>
        <v>23068.080000000482</v>
      </c>
      <c r="J286" s="58">
        <f t="shared" si="34"/>
        <v>856.98000000000309</v>
      </c>
      <c r="K286" s="59">
        <f t="shared" si="39"/>
        <v>3.7150035893753847E-2</v>
      </c>
      <c r="L286" s="58">
        <f t="shared" si="36"/>
        <v>856.98000000000309</v>
      </c>
      <c r="M286" s="59">
        <f t="shared" si="40"/>
        <v>3.7150035893753847E-2</v>
      </c>
      <c r="N286" s="60">
        <v>66068309</v>
      </c>
      <c r="O286" s="60">
        <f t="shared" si="37"/>
        <v>0</v>
      </c>
      <c r="P286" s="61"/>
      <c r="Q286" s="62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3">
        <v>44481</v>
      </c>
      <c r="D287" s="55">
        <v>0.14199999999999999</v>
      </c>
      <c r="E287" s="56">
        <v>1418.567</v>
      </c>
      <c r="F287" s="57">
        <v>50.241</v>
      </c>
      <c r="G287" s="58"/>
      <c r="H287" s="58">
        <v>4140</v>
      </c>
      <c r="I287" s="58">
        <f t="shared" si="33"/>
        <v>27108.720000000008</v>
      </c>
      <c r="J287" s="58">
        <f t="shared" si="34"/>
        <v>505.07999999999953</v>
      </c>
      <c r="K287" s="59">
        <f t="shared" si="39"/>
        <v>1.8631643249847257E-2</v>
      </c>
      <c r="L287" s="58">
        <f t="shared" si="36"/>
        <v>505.07999999999953</v>
      </c>
      <c r="M287" s="59">
        <f t="shared" si="40"/>
        <v>1.8631643249847257E-2</v>
      </c>
      <c r="N287" s="60">
        <v>66068309</v>
      </c>
      <c r="O287" s="60">
        <f t="shared" si="37"/>
        <v>0</v>
      </c>
      <c r="P287" s="61"/>
      <c r="Q287" s="62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3">
        <v>44482</v>
      </c>
      <c r="D288" s="55">
        <v>0.14199999999999999</v>
      </c>
      <c r="E288" s="56">
        <v>1424.521</v>
      </c>
      <c r="F288" s="57">
        <v>50.499000000000002</v>
      </c>
      <c r="G288" s="58"/>
      <c r="H288" s="58">
        <v>4140</v>
      </c>
      <c r="I288" s="58">
        <f t="shared" si="33"/>
        <v>24649.559999999798</v>
      </c>
      <c r="J288" s="58">
        <f t="shared" si="34"/>
        <v>1068.120000000011</v>
      </c>
      <c r="K288" s="59">
        <f t="shared" si="39"/>
        <v>4.3332213637891297E-2</v>
      </c>
      <c r="L288" s="58">
        <f t="shared" si="36"/>
        <v>1068.120000000011</v>
      </c>
      <c r="M288" s="59">
        <f t="shared" si="40"/>
        <v>4.3332213637891297E-2</v>
      </c>
      <c r="N288" s="60">
        <v>66068309</v>
      </c>
      <c r="O288" s="60">
        <f t="shared" si="37"/>
        <v>0</v>
      </c>
      <c r="P288" s="61"/>
      <c r="Q288" s="63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3">
        <v>44483</v>
      </c>
      <c r="D289" s="55">
        <v>0.14199999999999999</v>
      </c>
      <c r="E289" s="56">
        <v>1430.8409999999999</v>
      </c>
      <c r="F289" s="57">
        <v>50.707999999999998</v>
      </c>
      <c r="G289" s="58"/>
      <c r="H289" s="58">
        <v>4140</v>
      </c>
      <c r="I289" s="58">
        <f t="shared" si="33"/>
        <v>26164.799999999737</v>
      </c>
      <c r="J289" s="58">
        <f t="shared" si="34"/>
        <v>865.25999999998373</v>
      </c>
      <c r="K289" s="59">
        <f t="shared" si="39"/>
        <v>3.3069620253164268E-2</v>
      </c>
      <c r="L289" s="58">
        <f t="shared" si="36"/>
        <v>865.25999999998373</v>
      </c>
      <c r="M289" s="59">
        <f t="shared" si="40"/>
        <v>3.3069620253164268E-2</v>
      </c>
      <c r="N289" s="60">
        <v>66068309</v>
      </c>
      <c r="O289" s="60">
        <f t="shared" si="37"/>
        <v>0</v>
      </c>
      <c r="P289" s="61"/>
      <c r="Q289" s="63"/>
      <c r="R289" s="20">
        <f t="shared" si="35"/>
        <v>1</v>
      </c>
      <c r="S289" s="20">
        <f t="shared" si="38"/>
        <v>0</v>
      </c>
      <c r="T289" s="64"/>
    </row>
    <row r="290" spans="1:20" ht="15.75" thickBot="1" x14ac:dyDescent="0.3">
      <c r="A290" s="53">
        <v>44484</v>
      </c>
      <c r="D290" s="55">
        <v>0.14199999999999999</v>
      </c>
      <c r="E290" s="56">
        <v>1436.673</v>
      </c>
      <c r="F290" s="57">
        <v>50.91</v>
      </c>
      <c r="G290" s="58"/>
      <c r="H290" s="58">
        <v>4140</v>
      </c>
      <c r="I290" s="58">
        <f t="shared" si="33"/>
        <v>24144.480000000443</v>
      </c>
      <c r="J290" s="58">
        <f t="shared" si="34"/>
        <v>836.27999999999247</v>
      </c>
      <c r="K290" s="59">
        <f t="shared" si="39"/>
        <v>3.4636488340191098E-2</v>
      </c>
      <c r="L290" s="58">
        <f t="shared" si="36"/>
        <v>836.27999999999247</v>
      </c>
      <c r="M290" s="59">
        <f t="shared" si="40"/>
        <v>3.4636488340191098E-2</v>
      </c>
      <c r="N290" s="60">
        <v>66068309</v>
      </c>
      <c r="O290" s="60">
        <f t="shared" si="37"/>
        <v>0</v>
      </c>
      <c r="P290" s="61"/>
      <c r="Q290" s="62"/>
      <c r="R290" s="20">
        <f t="shared" si="35"/>
        <v>1</v>
      </c>
      <c r="S290" s="20">
        <f t="shared" si="38"/>
        <v>0</v>
      </c>
      <c r="T290" s="64"/>
    </row>
    <row r="291" spans="1:20" ht="15.75" thickBot="1" x14ac:dyDescent="0.3">
      <c r="A291" s="53">
        <v>44485</v>
      </c>
      <c r="D291" s="55">
        <v>0.14199999999999999</v>
      </c>
      <c r="E291" s="56">
        <v>1442.8520000000001</v>
      </c>
      <c r="F291" s="57">
        <v>51.125999999999998</v>
      </c>
      <c r="G291" s="58"/>
      <c r="H291" s="58">
        <v>4140</v>
      </c>
      <c r="I291" s="58">
        <f t="shared" si="33"/>
        <v>25581.060000000361</v>
      </c>
      <c r="J291" s="58">
        <f t="shared" si="34"/>
        <v>894.24000000000444</v>
      </c>
      <c r="K291" s="59">
        <f t="shared" si="39"/>
        <v>3.4957112801423856E-2</v>
      </c>
      <c r="L291" s="58">
        <f t="shared" si="36"/>
        <v>894.24000000000444</v>
      </c>
      <c r="M291" s="59">
        <f t="shared" si="40"/>
        <v>3.4957112801423856E-2</v>
      </c>
      <c r="N291" s="60">
        <v>66068309</v>
      </c>
      <c r="O291" s="60">
        <f t="shared" si="37"/>
        <v>0</v>
      </c>
      <c r="P291" s="61"/>
      <c r="Q291" s="62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3">
        <v>44486</v>
      </c>
      <c r="D292" s="55">
        <v>0.14199999999999999</v>
      </c>
      <c r="E292" s="56">
        <v>1448.7080000000001</v>
      </c>
      <c r="F292" s="57">
        <v>51.274000000000001</v>
      </c>
      <c r="G292" s="58"/>
      <c r="H292" s="58">
        <v>4140</v>
      </c>
      <c r="I292" s="58">
        <f t="shared" si="33"/>
        <v>24243.839999999978</v>
      </c>
      <c r="J292" s="58">
        <f t="shared" si="34"/>
        <v>612.72000000001344</v>
      </c>
      <c r="K292" s="59">
        <f t="shared" si="39"/>
        <v>2.5273224043716423E-2</v>
      </c>
      <c r="L292" s="58">
        <f t="shared" si="36"/>
        <v>612.72000000001344</v>
      </c>
      <c r="M292" s="59">
        <f t="shared" si="40"/>
        <v>2.5273224043716423E-2</v>
      </c>
      <c r="N292" s="60">
        <v>66068309</v>
      </c>
      <c r="O292" s="60">
        <f t="shared" si="37"/>
        <v>0</v>
      </c>
      <c r="P292" s="61"/>
      <c r="Q292" s="62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3">
        <v>44487</v>
      </c>
      <c r="D293" s="55">
        <v>0.14199999999999999</v>
      </c>
      <c r="E293" s="56">
        <v>1454.8040000000001</v>
      </c>
      <c r="F293" s="57">
        <v>51.38</v>
      </c>
      <c r="G293" s="58"/>
      <c r="H293" s="58">
        <v>4140</v>
      </c>
      <c r="I293" s="58">
        <f t="shared" si="33"/>
        <v>25237.440000000017</v>
      </c>
      <c r="J293" s="58">
        <f t="shared" si="34"/>
        <v>438.84000000000685</v>
      </c>
      <c r="K293" s="59">
        <f t="shared" si="39"/>
        <v>1.7388451443569812E-2</v>
      </c>
      <c r="L293" s="58">
        <f t="shared" si="36"/>
        <v>438.84000000000685</v>
      </c>
      <c r="M293" s="59">
        <f t="shared" si="40"/>
        <v>1.7388451443569812E-2</v>
      </c>
      <c r="N293" s="60">
        <v>66068309</v>
      </c>
      <c r="O293" s="60">
        <f>IF(N293="","",N293-N292)</f>
        <v>0</v>
      </c>
      <c r="P293" s="61"/>
      <c r="Q293" s="102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3">
        <v>44488</v>
      </c>
      <c r="D294" s="55">
        <v>0.14199999999999999</v>
      </c>
      <c r="E294" s="56">
        <v>1460.9749999999999</v>
      </c>
      <c r="F294" s="57">
        <v>51.512</v>
      </c>
      <c r="G294" s="58"/>
      <c r="H294" s="58">
        <v>4140</v>
      </c>
      <c r="I294" s="58">
        <f t="shared" si="33"/>
        <v>25547.93999999926</v>
      </c>
      <c r="J294" s="58">
        <f t="shared" si="34"/>
        <v>546.47999999999126</v>
      </c>
      <c r="K294" s="59">
        <f t="shared" si="39"/>
        <v>2.1390374331551078E-2</v>
      </c>
      <c r="L294" s="58">
        <f t="shared" si="36"/>
        <v>546.47999999999126</v>
      </c>
      <c r="M294" s="59">
        <f t="shared" si="40"/>
        <v>2.1390374331551078E-2</v>
      </c>
      <c r="N294" s="60">
        <v>66068309</v>
      </c>
      <c r="O294" s="60">
        <f>IF(N294="","",N294-N293)</f>
        <v>0</v>
      </c>
      <c r="P294" s="61"/>
      <c r="Q294" s="102"/>
      <c r="R294" s="20">
        <f t="shared" si="35"/>
        <v>1</v>
      </c>
      <c r="S294" s="20">
        <f t="shared" si="38"/>
        <v>0</v>
      </c>
      <c r="T294" s="64"/>
    </row>
    <row r="295" spans="1:20" ht="15.75" thickBot="1" x14ac:dyDescent="0.3">
      <c r="A295" s="53">
        <v>44489</v>
      </c>
      <c r="D295" s="55">
        <v>0.14199999999999999</v>
      </c>
      <c r="E295" s="56">
        <v>1466.8679999999999</v>
      </c>
      <c r="F295" s="57">
        <v>51.713999999999999</v>
      </c>
      <c r="G295" s="58"/>
      <c r="H295" s="58">
        <v>4140</v>
      </c>
      <c r="I295" s="58">
        <f t="shared" si="33"/>
        <v>24397.02000000012</v>
      </c>
      <c r="J295" s="58">
        <f t="shared" si="34"/>
        <v>836.27999999999247</v>
      </c>
      <c r="K295" s="59">
        <f t="shared" si="39"/>
        <v>3.4277956898014113E-2</v>
      </c>
      <c r="L295" s="58">
        <f t="shared" si="36"/>
        <v>836.27999999999247</v>
      </c>
      <c r="M295" s="59">
        <f t="shared" si="40"/>
        <v>3.4277956898014113E-2</v>
      </c>
      <c r="N295" s="60">
        <v>66068309</v>
      </c>
      <c r="O295" s="60">
        <f t="shared" si="37"/>
        <v>0</v>
      </c>
      <c r="P295" s="191" t="s">
        <v>67</v>
      </c>
      <c r="Q295" s="192"/>
      <c r="R295" s="20">
        <f t="shared" si="35"/>
        <v>1</v>
      </c>
      <c r="S295" s="20">
        <f t="shared" si="38"/>
        <v>0</v>
      </c>
      <c r="T295" s="64"/>
    </row>
    <row r="296" spans="1:20" ht="15.75" thickBot="1" x14ac:dyDescent="0.3">
      <c r="A296" s="53">
        <v>44490</v>
      </c>
      <c r="D296" s="55">
        <v>0.14199999999999999</v>
      </c>
      <c r="E296" s="56">
        <v>1472.8309999999999</v>
      </c>
      <c r="F296" s="57">
        <v>51.901000000000003</v>
      </c>
      <c r="G296" s="58"/>
      <c r="H296" s="58">
        <v>4140</v>
      </c>
      <c r="I296" s="58">
        <f t="shared" si="33"/>
        <v>24686.819999999858</v>
      </c>
      <c r="J296" s="58">
        <f t="shared" si="34"/>
        <v>774.1800000000195</v>
      </c>
      <c r="K296" s="59">
        <f t="shared" si="39"/>
        <v>3.1360053664263927E-2</v>
      </c>
      <c r="L296" s="58">
        <f t="shared" si="36"/>
        <v>774.1800000000195</v>
      </c>
      <c r="M296" s="59">
        <f t="shared" si="40"/>
        <v>3.1360053664263927E-2</v>
      </c>
      <c r="N296" s="60">
        <v>66068309</v>
      </c>
      <c r="O296" s="60">
        <f t="shared" si="37"/>
        <v>0</v>
      </c>
      <c r="P296" s="193"/>
      <c r="Q296" s="194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3">
        <v>44491</v>
      </c>
      <c r="D297" s="55">
        <v>0.14199999999999999</v>
      </c>
      <c r="E297" s="56">
        <v>1478.8679999999999</v>
      </c>
      <c r="F297" s="57">
        <v>51.996000000000002</v>
      </c>
      <c r="G297" s="58"/>
      <c r="H297" s="58">
        <v>4140</v>
      </c>
      <c r="I297" s="58">
        <f t="shared" si="33"/>
        <v>24993.180000000142</v>
      </c>
      <c r="J297" s="58">
        <f t="shared" si="34"/>
        <v>393.29999999999529</v>
      </c>
      <c r="K297" s="59">
        <f t="shared" si="39"/>
        <v>1.5736292860692121E-2</v>
      </c>
      <c r="L297" s="58">
        <f t="shared" si="36"/>
        <v>393.29999999999529</v>
      </c>
      <c r="M297" s="59">
        <f t="shared" si="40"/>
        <v>1.5736292860692121E-2</v>
      </c>
      <c r="N297" s="60">
        <v>66068309</v>
      </c>
      <c r="O297" s="60">
        <f t="shared" si="37"/>
        <v>0</v>
      </c>
      <c r="P297" s="68" t="s">
        <v>46</v>
      </c>
      <c r="Q297" s="68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3">
        <v>44492</v>
      </c>
      <c r="D298" s="55">
        <v>0.14199999999999999</v>
      </c>
      <c r="E298" s="56">
        <v>1485.01</v>
      </c>
      <c r="F298" s="57">
        <v>52.140999999999998</v>
      </c>
      <c r="G298" s="58"/>
      <c r="H298" s="58">
        <v>4140</v>
      </c>
      <c r="I298" s="58">
        <f t="shared" si="33"/>
        <v>25427.880000000219</v>
      </c>
      <c r="J298" s="58">
        <f t="shared" si="34"/>
        <v>600.29999999998358</v>
      </c>
      <c r="K298" s="59">
        <f t="shared" si="39"/>
        <v>2.3607945294691433E-2</v>
      </c>
      <c r="L298" s="58">
        <f t="shared" si="36"/>
        <v>600.29999999998358</v>
      </c>
      <c r="M298" s="59">
        <f t="shared" si="40"/>
        <v>2.3607945294691433E-2</v>
      </c>
      <c r="N298" s="60">
        <v>66068309</v>
      </c>
      <c r="O298" s="60">
        <f t="shared" si="37"/>
        <v>0</v>
      </c>
      <c r="P298" s="69">
        <f>IF(J277="",0,+SUM(J277:J307)/SUM(I277:I307))</f>
        <v>2.6619411123227899E-2</v>
      </c>
      <c r="Q298" s="69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4"/>
    </row>
    <row r="299" spans="1:20" ht="15.75" thickBot="1" x14ac:dyDescent="0.3">
      <c r="A299" s="53">
        <v>44493</v>
      </c>
      <c r="D299" s="55">
        <v>0.14199999999999999</v>
      </c>
      <c r="E299" s="56">
        <v>1491.049</v>
      </c>
      <c r="F299" s="57">
        <v>52.317</v>
      </c>
      <c r="G299" s="58"/>
      <c r="H299" s="58">
        <v>4140</v>
      </c>
      <c r="I299" s="58">
        <f t="shared" si="33"/>
        <v>25001.459999999948</v>
      </c>
      <c r="J299" s="58">
        <f t="shared" si="34"/>
        <v>728.64000000000806</v>
      </c>
      <c r="K299" s="59">
        <f t="shared" si="39"/>
        <v>2.9143897996357394E-2</v>
      </c>
      <c r="L299" s="58">
        <f t="shared" si="36"/>
        <v>728.64000000000806</v>
      </c>
      <c r="M299" s="59">
        <f t="shared" si="40"/>
        <v>2.9143897996357394E-2</v>
      </c>
      <c r="N299" s="60">
        <v>66068309</v>
      </c>
      <c r="O299" s="60">
        <f t="shared" si="37"/>
        <v>0</v>
      </c>
      <c r="P299" s="70" t="e">
        <f>IF(J277="",0,+(+(LOOKUP(9.99999999999999E+307,E277:E307)-E276))/(+(LOOKUP(9.99999999999999E+307,D277:D307)-D276)))</f>
        <v>#DIV/0!</v>
      </c>
      <c r="Q299" s="70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4"/>
    </row>
    <row r="300" spans="1:20" ht="15.75" thickBot="1" x14ac:dyDescent="0.3">
      <c r="A300" s="53">
        <v>44494</v>
      </c>
      <c r="D300" s="55">
        <v>0.14199999999999999</v>
      </c>
      <c r="E300" s="56">
        <v>1496.5909999999999</v>
      </c>
      <c r="F300" s="57">
        <v>52.392000000000003</v>
      </c>
      <c r="G300" s="58"/>
      <c r="H300" s="58">
        <v>4140</v>
      </c>
      <c r="I300" s="58">
        <f t="shared" ref="I300:J315" si="41">IF(D300="","",+(E300-E299)*4140)</f>
        <v>22943.879999999655</v>
      </c>
      <c r="J300" s="58">
        <f t="shared" si="41"/>
        <v>310.50000000001177</v>
      </c>
      <c r="K300" s="59">
        <f t="shared" si="39"/>
        <v>1.3533020570191982E-2</v>
      </c>
      <c r="L300" s="58">
        <f t="shared" si="36"/>
        <v>310.50000000001177</v>
      </c>
      <c r="M300" s="59">
        <f t="shared" si="40"/>
        <v>1.3533020570191982E-2</v>
      </c>
      <c r="N300" s="60">
        <v>66068309</v>
      </c>
      <c r="O300" s="60">
        <f t="shared" si="37"/>
        <v>0</v>
      </c>
      <c r="P300" s="71" t="s">
        <v>48</v>
      </c>
      <c r="Q300" s="72" t="s">
        <v>49</v>
      </c>
      <c r="R300" s="20">
        <f t="shared" si="35"/>
        <v>1</v>
      </c>
      <c r="S300" s="20">
        <f t="shared" si="38"/>
        <v>0</v>
      </c>
      <c r="T300" s="64"/>
    </row>
    <row r="301" spans="1:20" ht="15.75" thickBot="1" x14ac:dyDescent="0.3">
      <c r="A301" s="53">
        <v>44495</v>
      </c>
      <c r="D301" s="55">
        <v>0.14199999999999999</v>
      </c>
      <c r="E301" s="56">
        <v>1501.9649999999999</v>
      </c>
      <c r="F301" s="57">
        <v>52.481999999999999</v>
      </c>
      <c r="G301" s="58"/>
      <c r="H301" s="58">
        <v>4140</v>
      </c>
      <c r="I301" s="58">
        <f t="shared" si="41"/>
        <v>22248.360000000099</v>
      </c>
      <c r="J301" s="58">
        <f t="shared" si="41"/>
        <v>372.59999999998468</v>
      </c>
      <c r="K301" s="59">
        <f t="shared" si="39"/>
        <v>1.6747301823594324E-2</v>
      </c>
      <c r="L301" s="58">
        <f t="shared" si="36"/>
        <v>372.59999999998468</v>
      </c>
      <c r="M301" s="59">
        <f t="shared" si="40"/>
        <v>1.6747301823594324E-2</v>
      </c>
      <c r="N301" s="60">
        <v>66068309</v>
      </c>
      <c r="O301" s="60">
        <f t="shared" si="37"/>
        <v>0</v>
      </c>
      <c r="P301" s="73">
        <f>IF(N276="",0,+(LOOKUP(9.99999999999999E+307,N276:N307)-N276))</f>
        <v>0</v>
      </c>
      <c r="Q301" s="74">
        <f>IF(P301="",0,+P301/SUM(R277:R307))</f>
        <v>0</v>
      </c>
      <c r="R301" s="20">
        <f t="shared" si="35"/>
        <v>1</v>
      </c>
      <c r="S301" s="20">
        <f t="shared" si="38"/>
        <v>0</v>
      </c>
      <c r="T301" s="64"/>
    </row>
    <row r="302" spans="1:20" ht="15.75" thickBot="1" x14ac:dyDescent="0.3">
      <c r="A302" s="53">
        <v>44496</v>
      </c>
      <c r="D302" s="55">
        <v>0.14199999999999999</v>
      </c>
      <c r="E302" s="56">
        <v>1507.348</v>
      </c>
      <c r="F302" s="57">
        <v>52.624000000000002</v>
      </c>
      <c r="G302" s="58"/>
      <c r="H302" s="58">
        <v>4140</v>
      </c>
      <c r="I302" s="58">
        <f t="shared" si="41"/>
        <v>22285.620000000159</v>
      </c>
      <c r="J302" s="58">
        <f t="shared" si="41"/>
        <v>587.8800000000125</v>
      </c>
      <c r="K302" s="59">
        <f t="shared" si="39"/>
        <v>2.6379342374141187E-2</v>
      </c>
      <c r="L302" s="58">
        <f t="shared" si="36"/>
        <v>587.8800000000125</v>
      </c>
      <c r="M302" s="59">
        <f t="shared" si="40"/>
        <v>2.6379342374141187E-2</v>
      </c>
      <c r="N302" s="60">
        <v>66068309</v>
      </c>
      <c r="O302" s="60">
        <f t="shared" si="37"/>
        <v>0</v>
      </c>
      <c r="P302" s="75" t="s">
        <v>50</v>
      </c>
      <c r="Q302" s="76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3">
        <v>44497</v>
      </c>
      <c r="D303" s="55">
        <v>0.14199999999999999</v>
      </c>
      <c r="E303" s="56">
        <v>1512.7529999999999</v>
      </c>
      <c r="F303" s="57">
        <v>52.731000000000002</v>
      </c>
      <c r="G303" s="58"/>
      <c r="H303" s="58">
        <v>4140</v>
      </c>
      <c r="I303" s="58">
        <f t="shared" si="41"/>
        <v>22376.699999999888</v>
      </c>
      <c r="J303" s="58">
        <f t="shared" si="41"/>
        <v>442.97999999999718</v>
      </c>
      <c r="K303" s="59">
        <f t="shared" si="39"/>
        <v>1.9796484736355199E-2</v>
      </c>
      <c r="L303" s="58">
        <f t="shared" si="36"/>
        <v>442.97999999999718</v>
      </c>
      <c r="M303" s="59">
        <f t="shared" si="40"/>
        <v>1.9796484736355199E-2</v>
      </c>
      <c r="N303" s="60">
        <v>66068309</v>
      </c>
      <c r="O303" s="60">
        <f t="shared" si="37"/>
        <v>0</v>
      </c>
      <c r="P303" s="77">
        <f>IF(D276="",0,+(LOOKUP(9.99999999999999E+307,D276:D307)-D276))*4140</f>
        <v>0</v>
      </c>
      <c r="Q303" s="78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3">
        <v>44498</v>
      </c>
      <c r="D304" s="55">
        <v>0.14199999999999999</v>
      </c>
      <c r="E304" s="56">
        <v>1518.0350000000001</v>
      </c>
      <c r="F304" s="57">
        <v>52.853000000000002</v>
      </c>
      <c r="G304" s="58"/>
      <c r="H304" s="58">
        <v>4140</v>
      </c>
      <c r="I304" s="58">
        <f t="shared" si="41"/>
        <v>21867.480000000633</v>
      </c>
      <c r="J304" s="58">
        <f t="shared" si="41"/>
        <v>505.07999999999953</v>
      </c>
      <c r="K304" s="59">
        <f t="shared" si="39"/>
        <v>2.3097311624384012E-2</v>
      </c>
      <c r="L304" s="58">
        <f t="shared" si="36"/>
        <v>505.07999999999953</v>
      </c>
      <c r="M304" s="59">
        <f t="shared" si="40"/>
        <v>2.3097311624384012E-2</v>
      </c>
      <c r="N304" s="60">
        <v>66068309</v>
      </c>
      <c r="O304" s="60">
        <f t="shared" si="37"/>
        <v>0</v>
      </c>
      <c r="P304" s="79" t="s">
        <v>52</v>
      </c>
      <c r="Q304" s="80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3">
        <v>44499</v>
      </c>
      <c r="D305" s="55">
        <v>0.14199999999999999</v>
      </c>
      <c r="E305" s="56">
        <v>1523.7429999999999</v>
      </c>
      <c r="F305" s="57">
        <v>52.972000000000001</v>
      </c>
      <c r="G305" s="58"/>
      <c r="H305" s="58">
        <v>4140</v>
      </c>
      <c r="I305" s="58">
        <f t="shared" si="41"/>
        <v>23631.119999999406</v>
      </c>
      <c r="J305" s="58">
        <f t="shared" si="41"/>
        <v>492.65999999999906</v>
      </c>
      <c r="K305" s="59">
        <f t="shared" si="39"/>
        <v>2.0847932725999083E-2</v>
      </c>
      <c r="L305" s="58">
        <f t="shared" si="36"/>
        <v>492.65999999999906</v>
      </c>
      <c r="M305" s="59">
        <f t="shared" si="40"/>
        <v>2.0847932725999083E-2</v>
      </c>
      <c r="N305" s="60">
        <v>66068309</v>
      </c>
      <c r="O305" s="60">
        <f t="shared" si="37"/>
        <v>0</v>
      </c>
      <c r="P305" s="81">
        <f>P303*Q308</f>
        <v>0</v>
      </c>
      <c r="Q305" s="82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3">
        <v>44500</v>
      </c>
      <c r="D306" s="55">
        <v>0.14199999999999999</v>
      </c>
      <c r="E306" s="56">
        <v>1529.6469999999999</v>
      </c>
      <c r="F306" s="57">
        <v>53.185000000000002</v>
      </c>
      <c r="G306" s="58"/>
      <c r="H306" s="58">
        <v>4140</v>
      </c>
      <c r="I306" s="58">
        <f t="shared" si="41"/>
        <v>24442.559999999983</v>
      </c>
      <c r="J306" s="58">
        <f t="shared" si="41"/>
        <v>881.82000000000403</v>
      </c>
      <c r="K306" s="59">
        <f t="shared" si="39"/>
        <v>3.6077235772357913E-2</v>
      </c>
      <c r="L306" s="58">
        <f t="shared" si="36"/>
        <v>881.82000000000403</v>
      </c>
      <c r="M306" s="59">
        <f t="shared" si="40"/>
        <v>3.6077235772357913E-2</v>
      </c>
      <c r="N306" s="60">
        <v>66068309</v>
      </c>
      <c r="O306" s="60">
        <f t="shared" si="37"/>
        <v>0</v>
      </c>
      <c r="P306" s="84" t="s">
        <v>54</v>
      </c>
      <c r="Q306" s="85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3">
        <v>44501</v>
      </c>
      <c r="D307" s="55">
        <v>0.14199999999999999</v>
      </c>
      <c r="E307" s="56">
        <v>1534.9570000000001</v>
      </c>
      <c r="F307" s="57">
        <v>53.332000000000001</v>
      </c>
      <c r="G307" s="89"/>
      <c r="H307" s="58">
        <v>4140</v>
      </c>
      <c r="I307" s="58">
        <f t="shared" si="41"/>
        <v>21983.400000000714</v>
      </c>
      <c r="J307" s="58">
        <f t="shared" si="41"/>
        <v>608.57999999999367</v>
      </c>
      <c r="K307" s="59">
        <f t="shared" si="39"/>
        <v>2.7683615819207853E-2</v>
      </c>
      <c r="L307" s="89">
        <f t="shared" si="36"/>
        <v>608.57999999999367</v>
      </c>
      <c r="M307" s="59">
        <f t="shared" si="40"/>
        <v>2.7683615819207853E-2</v>
      </c>
      <c r="N307" s="90">
        <v>66068309</v>
      </c>
      <c r="O307" s="91">
        <f t="shared" si="37"/>
        <v>0</v>
      </c>
      <c r="P307" s="126">
        <f>(P305+Q303*SUM(S277:S307)*Q308)</f>
        <v>0</v>
      </c>
      <c r="Q307" s="127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3">
        <v>44502</v>
      </c>
      <c r="D308" s="55">
        <v>0.14199999999999999</v>
      </c>
      <c r="E308" s="56">
        <v>1541.92</v>
      </c>
      <c r="F308" s="57">
        <v>53.502000000000002</v>
      </c>
      <c r="G308" s="58"/>
      <c r="H308" s="58">
        <v>4140</v>
      </c>
      <c r="I308" s="58">
        <f t="shared" si="41"/>
        <v>28826.819999999858</v>
      </c>
      <c r="J308" s="58">
        <f t="shared" si="41"/>
        <v>703.800000000007</v>
      </c>
      <c r="K308" s="59">
        <f t="shared" si="39"/>
        <v>2.4414763751257007E-2</v>
      </c>
      <c r="L308" s="58">
        <f t="shared" si="36"/>
        <v>703.800000000007</v>
      </c>
      <c r="M308" s="59">
        <f t="shared" si="40"/>
        <v>2.4414763751257007E-2</v>
      </c>
      <c r="N308" s="60">
        <v>66068309</v>
      </c>
      <c r="O308" s="60">
        <f t="shared" si="37"/>
        <v>0</v>
      </c>
      <c r="P308" s="109" t="s">
        <v>56</v>
      </c>
      <c r="Q308" s="110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3">
        <v>44503</v>
      </c>
      <c r="D309" s="55">
        <v>0.14199999999999999</v>
      </c>
      <c r="E309" s="56">
        <v>1547.037</v>
      </c>
      <c r="F309" s="57">
        <v>53.655000000000001</v>
      </c>
      <c r="G309" s="58"/>
      <c r="H309" s="58">
        <v>4140</v>
      </c>
      <c r="I309" s="58">
        <f t="shared" si="41"/>
        <v>21184.379999999841</v>
      </c>
      <c r="J309" s="58">
        <f t="shared" si="41"/>
        <v>633.41999999999462</v>
      </c>
      <c r="K309" s="59">
        <f t="shared" si="39"/>
        <v>2.9900332225913592E-2</v>
      </c>
      <c r="L309" s="58">
        <f t="shared" si="36"/>
        <v>633.41999999999462</v>
      </c>
      <c r="M309" s="59">
        <f t="shared" si="40"/>
        <v>2.9900332225913592E-2</v>
      </c>
      <c r="N309" s="60">
        <v>66068309</v>
      </c>
      <c r="O309" s="60">
        <f t="shared" si="37"/>
        <v>0</v>
      </c>
      <c r="P309" s="128"/>
      <c r="Q309" s="128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3">
        <v>44504</v>
      </c>
      <c r="D310" s="55">
        <v>0.14199999999999999</v>
      </c>
      <c r="E310" s="56">
        <v>1552.81</v>
      </c>
      <c r="F310" s="57">
        <v>53.750999999999998</v>
      </c>
      <c r="G310" s="58"/>
      <c r="H310" s="58">
        <v>4140</v>
      </c>
      <c r="I310" s="58">
        <f t="shared" si="41"/>
        <v>23900.21999999963</v>
      </c>
      <c r="J310" s="58">
        <f t="shared" si="41"/>
        <v>397.43999999998562</v>
      </c>
      <c r="K310" s="59">
        <f t="shared" si="39"/>
        <v>1.6629135631387151E-2</v>
      </c>
      <c r="L310" s="58">
        <f t="shared" si="36"/>
        <v>397.43999999998562</v>
      </c>
      <c r="M310" s="59">
        <f t="shared" si="40"/>
        <v>1.6629135631387151E-2</v>
      </c>
      <c r="N310" s="60">
        <v>66068309</v>
      </c>
      <c r="O310" s="60">
        <f t="shared" si="37"/>
        <v>0</v>
      </c>
      <c r="P310" s="98"/>
      <c r="Q310" s="99"/>
      <c r="R310" s="20">
        <f>IF(N310="",0,1)</f>
        <v>1</v>
      </c>
      <c r="S310" s="20">
        <f t="shared" si="38"/>
        <v>0</v>
      </c>
      <c r="T310" s="64"/>
    </row>
    <row r="311" spans="1:20" ht="15.75" thickBot="1" x14ac:dyDescent="0.3">
      <c r="A311" s="53">
        <v>44505</v>
      </c>
      <c r="D311" s="55">
        <v>0.14199999999999999</v>
      </c>
      <c r="E311" s="56">
        <v>1558.748</v>
      </c>
      <c r="F311" s="57">
        <v>53.89</v>
      </c>
      <c r="G311" s="58"/>
      <c r="H311" s="58">
        <v>4140</v>
      </c>
      <c r="I311" s="58">
        <f t="shared" si="41"/>
        <v>24583.320000000422</v>
      </c>
      <c r="J311" s="58">
        <f t="shared" si="41"/>
        <v>575.46000000001197</v>
      </c>
      <c r="K311" s="59">
        <f t="shared" si="39"/>
        <v>2.3408555069046901E-2</v>
      </c>
      <c r="L311" s="58">
        <f t="shared" si="36"/>
        <v>575.46000000001197</v>
      </c>
      <c r="M311" s="59">
        <f t="shared" si="40"/>
        <v>2.3408555069046901E-2</v>
      </c>
      <c r="N311" s="60">
        <v>66068309</v>
      </c>
      <c r="O311" s="60">
        <f t="shared" si="37"/>
        <v>0</v>
      </c>
      <c r="P311" s="100"/>
      <c r="Q311" s="101"/>
      <c r="R311" s="20">
        <f>IF(N311="",0,1)</f>
        <v>1</v>
      </c>
      <c r="S311" s="20">
        <f>IF(N312="",1,0)</f>
        <v>0</v>
      </c>
      <c r="T311" s="64"/>
    </row>
    <row r="312" spans="1:20" ht="15.75" thickBot="1" x14ac:dyDescent="0.3">
      <c r="A312" s="53">
        <v>44506</v>
      </c>
      <c r="D312" s="55">
        <v>0.14199999999999999</v>
      </c>
      <c r="E312" s="56">
        <v>1564.961</v>
      </c>
      <c r="F312" s="57">
        <v>54.003</v>
      </c>
      <c r="G312" s="58"/>
      <c r="H312" s="58">
        <v>4140</v>
      </c>
      <c r="I312" s="58">
        <f t="shared" si="41"/>
        <v>25721.819999999858</v>
      </c>
      <c r="J312" s="58">
        <f t="shared" si="41"/>
        <v>467.81999999999812</v>
      </c>
      <c r="K312" s="59">
        <f t="shared" si="39"/>
        <v>1.8187671012393398E-2</v>
      </c>
      <c r="L312" s="58">
        <f t="shared" si="36"/>
        <v>467.81999999999812</v>
      </c>
      <c r="M312" s="59">
        <f t="shared" si="40"/>
        <v>1.8187671012393398E-2</v>
      </c>
      <c r="N312" s="60">
        <v>66068309</v>
      </c>
      <c r="O312" s="60">
        <f t="shared" si="37"/>
        <v>0</v>
      </c>
      <c r="P312" s="100"/>
      <c r="Q312" s="99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3">
        <v>44507</v>
      </c>
      <c r="D313" s="55">
        <v>0.14199999999999999</v>
      </c>
      <c r="E313" s="56">
        <v>1571.008</v>
      </c>
      <c r="F313" s="57">
        <v>54.164999999999999</v>
      </c>
      <c r="G313" s="58"/>
      <c r="H313" s="58">
        <v>4140</v>
      </c>
      <c r="I313" s="58">
        <f t="shared" si="41"/>
        <v>25034.580000000104</v>
      </c>
      <c r="J313" s="58">
        <f t="shared" si="41"/>
        <v>670.67999999999597</v>
      </c>
      <c r="K313" s="59">
        <f t="shared" si="39"/>
        <v>2.6790143872994603E-2</v>
      </c>
      <c r="L313" s="58">
        <f t="shared" si="36"/>
        <v>670.67999999999597</v>
      </c>
      <c r="M313" s="59">
        <f t="shared" si="40"/>
        <v>2.6790143872994603E-2</v>
      </c>
      <c r="N313" s="60">
        <v>66068309</v>
      </c>
      <c r="O313" s="60">
        <f t="shared" si="37"/>
        <v>0</v>
      </c>
      <c r="P313" s="61"/>
      <c r="Q313" s="63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3">
        <v>44508</v>
      </c>
      <c r="D314" s="55">
        <v>0.14199999999999999</v>
      </c>
      <c r="E314" s="56">
        <v>1576.6780000000001</v>
      </c>
      <c r="F314" s="57">
        <v>54.335000000000001</v>
      </c>
      <c r="G314" s="58"/>
      <c r="H314" s="58">
        <v>4140</v>
      </c>
      <c r="I314" s="58">
        <f t="shared" si="41"/>
        <v>23473.800000000301</v>
      </c>
      <c r="J314" s="58">
        <f t="shared" si="41"/>
        <v>703.800000000007</v>
      </c>
      <c r="K314" s="59">
        <f t="shared" si="39"/>
        <v>2.9982363315696564E-2</v>
      </c>
      <c r="L314" s="58">
        <f t="shared" si="36"/>
        <v>703.800000000007</v>
      </c>
      <c r="M314" s="59">
        <f t="shared" si="40"/>
        <v>2.9982363315696564E-2</v>
      </c>
      <c r="N314" s="60">
        <v>66068309</v>
      </c>
      <c r="O314" s="60">
        <f t="shared" si="37"/>
        <v>0</v>
      </c>
      <c r="P314" s="61"/>
      <c r="Q314" s="63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3">
        <v>44509</v>
      </c>
      <c r="D315" s="55">
        <v>0.14199999999999999</v>
      </c>
      <c r="E315" s="56">
        <v>1582.296</v>
      </c>
      <c r="F315" s="57">
        <v>54.503999999999998</v>
      </c>
      <c r="G315" s="58"/>
      <c r="H315" s="58">
        <v>4140</v>
      </c>
      <c r="I315" s="58">
        <f t="shared" si="41"/>
        <v>23258.519999999742</v>
      </c>
      <c r="J315" s="58">
        <f t="shared" si="41"/>
        <v>699.65999999998735</v>
      </c>
      <c r="K315" s="59">
        <f t="shared" si="39"/>
        <v>3.0081879672481101E-2</v>
      </c>
      <c r="L315" s="58">
        <f t="shared" si="36"/>
        <v>699.65999999998735</v>
      </c>
      <c r="M315" s="59">
        <f t="shared" si="40"/>
        <v>3.0081879672481101E-2</v>
      </c>
      <c r="N315" s="60">
        <v>66068309</v>
      </c>
      <c r="O315" s="60">
        <f>IF(N315="","",N315-N314)</f>
        <v>0</v>
      </c>
      <c r="P315" s="61"/>
      <c r="Q315" s="63"/>
      <c r="R315" s="20">
        <f t="shared" si="35"/>
        <v>1</v>
      </c>
      <c r="S315" s="20">
        <f t="shared" si="38"/>
        <v>0</v>
      </c>
      <c r="T315" s="64"/>
    </row>
    <row r="316" spans="1:20" ht="15.75" thickBot="1" x14ac:dyDescent="0.3">
      <c r="A316" s="53">
        <v>44510</v>
      </c>
      <c r="D316" s="55">
        <v>0.14199999999999999</v>
      </c>
      <c r="E316" s="56">
        <v>1587.8420000000001</v>
      </c>
      <c r="F316" s="57">
        <v>54.634</v>
      </c>
      <c r="G316" s="58"/>
      <c r="H316" s="58">
        <v>4140</v>
      </c>
      <c r="I316" s="58">
        <f t="shared" ref="I316:I379" si="42">IF(D316="","",+(E316-E315)*4140)</f>
        <v>22960.440000000202</v>
      </c>
      <c r="J316" s="58">
        <f t="shared" ref="J316:J367" si="43">IF(E316="","",+(F316-F315)*4140)</f>
        <v>538.20000000001062</v>
      </c>
      <c r="K316" s="59">
        <f t="shared" si="39"/>
        <v>2.3440317345835092E-2</v>
      </c>
      <c r="L316" s="58">
        <f t="shared" si="36"/>
        <v>538.20000000001062</v>
      </c>
      <c r="M316" s="59">
        <f t="shared" si="40"/>
        <v>2.3440317345835092E-2</v>
      </c>
      <c r="N316" s="60">
        <v>66068309</v>
      </c>
      <c r="O316" s="60">
        <f t="shared" ref="O316:O368" si="44">IF(N316="","",N316-N315)</f>
        <v>0</v>
      </c>
      <c r="P316" s="61"/>
      <c r="Q316" s="62"/>
      <c r="R316" s="20">
        <f t="shared" si="35"/>
        <v>1</v>
      </c>
      <c r="S316" s="20">
        <f t="shared" si="38"/>
        <v>0</v>
      </c>
      <c r="T316" s="64"/>
    </row>
    <row r="317" spans="1:20" ht="15.75" thickBot="1" x14ac:dyDescent="0.3">
      <c r="A317" s="53">
        <v>44511</v>
      </c>
      <c r="D317" s="55">
        <v>0.14199999999999999</v>
      </c>
      <c r="E317" s="56">
        <v>1593.377</v>
      </c>
      <c r="F317" s="57">
        <v>54.726999999999997</v>
      </c>
      <c r="G317" s="58"/>
      <c r="H317" s="58">
        <v>4140</v>
      </c>
      <c r="I317" s="58">
        <f t="shared" si="42"/>
        <v>22914.899999999398</v>
      </c>
      <c r="J317" s="58">
        <f t="shared" si="43"/>
        <v>385.0199999999852</v>
      </c>
      <c r="K317" s="59">
        <f t="shared" si="39"/>
        <v>1.6802168021680011E-2</v>
      </c>
      <c r="L317" s="58">
        <f t="shared" si="36"/>
        <v>385.0199999999852</v>
      </c>
      <c r="M317" s="59">
        <f t="shared" si="40"/>
        <v>1.6802168021680011E-2</v>
      </c>
      <c r="N317" s="60">
        <v>66068309</v>
      </c>
      <c r="O317" s="60">
        <f t="shared" si="44"/>
        <v>0</v>
      </c>
      <c r="P317" s="61"/>
      <c r="Q317" s="62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3">
        <v>44512</v>
      </c>
      <c r="D318" s="55">
        <v>0.14199999999999999</v>
      </c>
      <c r="E318" s="56">
        <v>1598.9280000000001</v>
      </c>
      <c r="F318" s="57">
        <v>54.811</v>
      </c>
      <c r="G318" s="58"/>
      <c r="H318" s="58">
        <v>4140</v>
      </c>
      <c r="I318" s="58">
        <f t="shared" si="42"/>
        <v>22981.140000000654</v>
      </c>
      <c r="J318" s="58">
        <f t="shared" si="43"/>
        <v>347.76000000001318</v>
      </c>
      <c r="K318" s="59">
        <f t="shared" si="39"/>
        <v>1.5132408575031668E-2</v>
      </c>
      <c r="L318" s="58">
        <f t="shared" si="36"/>
        <v>347.76000000001318</v>
      </c>
      <c r="M318" s="59">
        <f t="shared" si="40"/>
        <v>1.5132408575031668E-2</v>
      </c>
      <c r="N318" s="60">
        <v>66068309</v>
      </c>
      <c r="O318" s="60">
        <f t="shared" si="44"/>
        <v>0</v>
      </c>
      <c r="P318" s="61"/>
      <c r="Q318" s="63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3">
        <v>44513</v>
      </c>
      <c r="D319" s="55">
        <v>0.14199999999999999</v>
      </c>
      <c r="E319" s="56">
        <v>1604.482</v>
      </c>
      <c r="F319" s="57">
        <v>54.966999999999999</v>
      </c>
      <c r="G319" s="58"/>
      <c r="H319" s="58">
        <v>4140</v>
      </c>
      <c r="I319" s="58">
        <f t="shared" si="42"/>
        <v>22993.559999999419</v>
      </c>
      <c r="J319" s="58">
        <f t="shared" si="43"/>
        <v>645.83999999999503</v>
      </c>
      <c r="K319" s="59">
        <f t="shared" si="39"/>
        <v>2.8087864602089077E-2</v>
      </c>
      <c r="L319" s="58">
        <f t="shared" si="36"/>
        <v>645.83999999999503</v>
      </c>
      <c r="M319" s="59">
        <f t="shared" si="40"/>
        <v>2.8087864602089077E-2</v>
      </c>
      <c r="N319" s="60">
        <v>66068309</v>
      </c>
      <c r="O319" s="60">
        <f>IF(N319="","",N319-N318)</f>
        <v>0</v>
      </c>
      <c r="P319" s="61"/>
      <c r="Q319" s="63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3">
        <v>44514</v>
      </c>
      <c r="D320" s="55">
        <v>0.14199999999999999</v>
      </c>
      <c r="E320" s="56">
        <v>1609.9369999999999</v>
      </c>
      <c r="F320" s="57">
        <v>55.100999999999999</v>
      </c>
      <c r="G320" s="58"/>
      <c r="H320" s="58">
        <v>4140</v>
      </c>
      <c r="I320" s="58">
        <f t="shared" si="42"/>
        <v>22583.699999999699</v>
      </c>
      <c r="J320" s="58">
        <f t="shared" si="43"/>
        <v>554.76000000000136</v>
      </c>
      <c r="K320" s="59">
        <f t="shared" si="39"/>
        <v>2.4564619615032469E-2</v>
      </c>
      <c r="L320" s="58">
        <f t="shared" si="36"/>
        <v>554.76000000000136</v>
      </c>
      <c r="M320" s="59">
        <f t="shared" si="40"/>
        <v>2.4564619615032469E-2</v>
      </c>
      <c r="N320" s="60">
        <v>66068309</v>
      </c>
      <c r="O320" s="60">
        <f t="shared" si="44"/>
        <v>0</v>
      </c>
      <c r="P320" s="61"/>
      <c r="Q320" s="62"/>
      <c r="R320" s="20">
        <f t="shared" si="45"/>
        <v>1</v>
      </c>
      <c r="S320" s="20">
        <f t="shared" si="38"/>
        <v>0</v>
      </c>
      <c r="T320" s="64"/>
    </row>
    <row r="321" spans="1:20" ht="15.75" thickBot="1" x14ac:dyDescent="0.3">
      <c r="A321" s="53">
        <v>44515</v>
      </c>
      <c r="D321" s="55">
        <v>0.14199999999999999</v>
      </c>
      <c r="E321" s="56">
        <v>1615.405</v>
      </c>
      <c r="F321" s="57">
        <v>55.244</v>
      </c>
      <c r="G321" s="58"/>
      <c r="H321" s="58">
        <v>4140</v>
      </c>
      <c r="I321" s="58">
        <f t="shared" si="42"/>
        <v>22637.52000000031</v>
      </c>
      <c r="J321" s="58">
        <f t="shared" si="43"/>
        <v>592.02000000000282</v>
      </c>
      <c r="K321" s="59">
        <f t="shared" si="39"/>
        <v>2.6152158010241171E-2</v>
      </c>
      <c r="L321" s="58">
        <f t="shared" si="36"/>
        <v>592.02000000000282</v>
      </c>
      <c r="M321" s="59">
        <f t="shared" si="40"/>
        <v>2.6152158010241171E-2</v>
      </c>
      <c r="N321" s="60">
        <v>66068309</v>
      </c>
      <c r="O321" s="60">
        <f t="shared" si="44"/>
        <v>0</v>
      </c>
      <c r="P321" s="61"/>
      <c r="Q321" s="129"/>
      <c r="R321" s="20">
        <f t="shared" si="45"/>
        <v>1</v>
      </c>
      <c r="S321" s="20">
        <f t="shared" si="38"/>
        <v>0</v>
      </c>
      <c r="T321" s="64"/>
    </row>
    <row r="322" spans="1:20" ht="15.75" thickBot="1" x14ac:dyDescent="0.3">
      <c r="A322" s="53">
        <v>44516</v>
      </c>
      <c r="D322" s="55">
        <v>0.14199999999999999</v>
      </c>
      <c r="E322" s="56">
        <v>1621.0350000000001</v>
      </c>
      <c r="F322" s="57">
        <v>55.363999999999997</v>
      </c>
      <c r="G322" s="58"/>
      <c r="H322" s="58">
        <v>4140</v>
      </c>
      <c r="I322" s="58">
        <f t="shared" si="42"/>
        <v>23308.200000000452</v>
      </c>
      <c r="J322" s="58">
        <f t="shared" si="43"/>
        <v>496.79999999998938</v>
      </c>
      <c r="K322" s="59">
        <f t="shared" si="39"/>
        <v>2.1314387211366803E-2</v>
      </c>
      <c r="L322" s="58">
        <f t="shared" si="36"/>
        <v>496.79999999998938</v>
      </c>
      <c r="M322" s="59">
        <f t="shared" si="40"/>
        <v>2.1314387211366803E-2</v>
      </c>
      <c r="N322" s="60">
        <v>66068309</v>
      </c>
      <c r="O322" s="60">
        <f t="shared" si="44"/>
        <v>0</v>
      </c>
      <c r="P322" s="61"/>
      <c r="Q322" s="62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3">
        <v>44517</v>
      </c>
      <c r="D323" s="55">
        <v>0.14199999999999999</v>
      </c>
      <c r="E323" s="56">
        <v>1626.576</v>
      </c>
      <c r="F323" s="57">
        <v>55.484000000000002</v>
      </c>
      <c r="G323" s="58"/>
      <c r="H323" s="58">
        <v>4140</v>
      </c>
      <c r="I323" s="58">
        <f t="shared" si="42"/>
        <v>22939.739999999751</v>
      </c>
      <c r="J323" s="58">
        <f t="shared" si="43"/>
        <v>496.80000000001883</v>
      </c>
      <c r="K323" s="59">
        <f t="shared" si="39"/>
        <v>2.1656740660531647E-2</v>
      </c>
      <c r="L323" s="58">
        <f t="shared" si="36"/>
        <v>496.80000000001883</v>
      </c>
      <c r="M323" s="59">
        <f t="shared" si="40"/>
        <v>2.1656740660531647E-2</v>
      </c>
      <c r="N323" s="60">
        <v>66068309</v>
      </c>
      <c r="O323" s="60">
        <f t="shared" si="44"/>
        <v>0</v>
      </c>
      <c r="P323" s="61"/>
      <c r="Q323" s="102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3">
        <v>44518</v>
      </c>
      <c r="D324" s="55">
        <v>0.14199999999999999</v>
      </c>
      <c r="E324" s="56">
        <v>1632.28</v>
      </c>
      <c r="F324" s="57">
        <v>55.616</v>
      </c>
      <c r="G324" s="58"/>
      <c r="H324" s="58">
        <v>4140</v>
      </c>
      <c r="I324" s="58">
        <f t="shared" si="42"/>
        <v>23614.559999999798</v>
      </c>
      <c r="J324" s="58">
        <f t="shared" si="43"/>
        <v>546.47999999999126</v>
      </c>
      <c r="K324" s="59">
        <f t="shared" si="39"/>
        <v>2.3141654978961961E-2</v>
      </c>
      <c r="L324" s="58">
        <f t="shared" si="36"/>
        <v>546.47999999999126</v>
      </c>
      <c r="M324" s="59">
        <f t="shared" si="40"/>
        <v>2.3141654978961961E-2</v>
      </c>
      <c r="N324" s="60">
        <v>66068309</v>
      </c>
      <c r="O324" s="60">
        <f t="shared" si="44"/>
        <v>0</v>
      </c>
      <c r="P324" s="61"/>
      <c r="Q324" s="102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3">
        <v>44519</v>
      </c>
      <c r="D325" s="55">
        <v>0.14199999999999999</v>
      </c>
      <c r="E325" s="56">
        <v>1638.423</v>
      </c>
      <c r="F325" s="57">
        <v>55.79</v>
      </c>
      <c r="G325" s="58"/>
      <c r="H325" s="58">
        <v>4140</v>
      </c>
      <c r="I325" s="58">
        <f t="shared" si="42"/>
        <v>25432.02000000012</v>
      </c>
      <c r="J325" s="58">
        <f t="shared" si="43"/>
        <v>720.35999999999785</v>
      </c>
      <c r="K325" s="59">
        <f t="shared" si="39"/>
        <v>2.8324922676216613E-2</v>
      </c>
      <c r="L325" s="58">
        <f t="shared" ref="L325:L368" si="46">IF(F325="","",+(F325-F324)*4140)</f>
        <v>720.35999999999785</v>
      </c>
      <c r="M325" s="59">
        <f t="shared" si="40"/>
        <v>2.8324922676216613E-2</v>
      </c>
      <c r="N325" s="60">
        <v>66068309</v>
      </c>
      <c r="O325" s="60">
        <f t="shared" si="44"/>
        <v>0</v>
      </c>
      <c r="P325" s="191" t="s">
        <v>68</v>
      </c>
      <c r="Q325" s="192"/>
      <c r="R325" s="20">
        <f t="shared" si="45"/>
        <v>1</v>
      </c>
      <c r="S325" s="20">
        <f t="shared" si="38"/>
        <v>0</v>
      </c>
      <c r="T325" s="64"/>
    </row>
    <row r="326" spans="1:20" ht="15.75" thickBot="1" x14ac:dyDescent="0.3">
      <c r="A326" s="53">
        <v>44520</v>
      </c>
      <c r="D326" s="55">
        <v>0.14199999999999999</v>
      </c>
      <c r="E326" s="56">
        <v>1644.269</v>
      </c>
      <c r="F326" s="57">
        <v>55.923000000000002</v>
      </c>
      <c r="G326" s="58"/>
      <c r="H326" s="58">
        <v>4140</v>
      </c>
      <c r="I326" s="58">
        <f t="shared" ref="I326:J328" si="47">IF(D326="","",+(E326-E325)*4140)</f>
        <v>24202.440000000017</v>
      </c>
      <c r="J326" s="58">
        <f t="shared" si="47"/>
        <v>550.62000000001103</v>
      </c>
      <c r="K326" s="59">
        <f t="shared" si="39"/>
        <v>2.2750598699966228E-2</v>
      </c>
      <c r="L326" s="58">
        <f>IF(F326="","",+(F326-F325)*4140)</f>
        <v>550.62000000001103</v>
      </c>
      <c r="M326" s="59">
        <f t="shared" si="40"/>
        <v>2.2750598699966228E-2</v>
      </c>
      <c r="N326" s="60">
        <v>66068309</v>
      </c>
      <c r="O326" s="60">
        <f t="shared" si="44"/>
        <v>0</v>
      </c>
      <c r="P326" s="193"/>
      <c r="Q326" s="194"/>
      <c r="R326" s="20">
        <f t="shared" si="45"/>
        <v>1</v>
      </c>
      <c r="S326" s="20">
        <f t="shared" si="38"/>
        <v>0</v>
      </c>
      <c r="T326" s="64"/>
    </row>
    <row r="327" spans="1:20" ht="15.75" thickBot="1" x14ac:dyDescent="0.3">
      <c r="A327" s="53">
        <v>44521</v>
      </c>
      <c r="D327" s="55">
        <v>0.14199999999999999</v>
      </c>
      <c r="E327" s="56">
        <v>1649.758</v>
      </c>
      <c r="F327" s="57">
        <v>56.069000000000003</v>
      </c>
      <c r="G327" s="58"/>
      <c r="H327" s="58">
        <v>4140</v>
      </c>
      <c r="I327" s="58">
        <f t="shared" si="47"/>
        <v>22724.460000000137</v>
      </c>
      <c r="J327" s="58">
        <f t="shared" si="47"/>
        <v>604.44000000000324</v>
      </c>
      <c r="K327" s="59">
        <f t="shared" si="39"/>
        <v>2.6598651849152832E-2</v>
      </c>
      <c r="L327" s="58">
        <f>IF(F327="","",+(F327-F326)*4140)</f>
        <v>604.44000000000324</v>
      </c>
      <c r="M327" s="59">
        <f t="shared" si="40"/>
        <v>2.6598651849152832E-2</v>
      </c>
      <c r="N327" s="60">
        <v>66068309</v>
      </c>
      <c r="O327" s="60">
        <f t="shared" si="44"/>
        <v>0</v>
      </c>
      <c r="P327" s="68" t="s">
        <v>46</v>
      </c>
      <c r="Q327" s="68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3">
        <v>44522</v>
      </c>
      <c r="D328" s="55">
        <v>0.14199999999999999</v>
      </c>
      <c r="E328" s="56">
        <v>1655.0530000000001</v>
      </c>
      <c r="F328" s="57">
        <v>56.207999999999998</v>
      </c>
      <c r="G328" s="58"/>
      <c r="H328" s="58">
        <v>4140</v>
      </c>
      <c r="I328" s="58">
        <f t="shared" si="47"/>
        <v>21921.300000000301</v>
      </c>
      <c r="J328" s="58">
        <f t="shared" si="47"/>
        <v>575.45999999998253</v>
      </c>
      <c r="K328" s="59">
        <f t="shared" si="39"/>
        <v>2.6251180358827925E-2</v>
      </c>
      <c r="L328" s="58">
        <f>IF(F328="","",+(F328-F327)*4140)</f>
        <v>575.45999999998253</v>
      </c>
      <c r="M328" s="59">
        <f t="shared" si="40"/>
        <v>2.6251180358827925E-2</v>
      </c>
      <c r="N328" s="60">
        <v>66068309</v>
      </c>
      <c r="O328" s="60">
        <f>IF(N328="","",N328-N327)</f>
        <v>0</v>
      </c>
      <c r="P328" s="69">
        <f>IF(J308="",0,+SUM(J308:J337)/SUM(I308:I337))</f>
        <v>2.667364940009298E-2</v>
      </c>
      <c r="Q328" s="69">
        <f>IF(L308="",0,+SUM(L308:L337)/SUM(I308:I337))</f>
        <v>2.667364940009298E-2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3">
        <v>44523</v>
      </c>
      <c r="D329" s="55">
        <v>0.14199999999999999</v>
      </c>
      <c r="E329" s="56">
        <v>1660.9960000000001</v>
      </c>
      <c r="F329" s="57">
        <v>56.447000000000003</v>
      </c>
      <c r="G329" s="58"/>
      <c r="H329" s="58">
        <v>4140</v>
      </c>
      <c r="I329" s="58">
        <f t="shared" si="42"/>
        <v>24604.019999999931</v>
      </c>
      <c r="J329" s="58">
        <f t="shared" si="43"/>
        <v>989.46000000001789</v>
      </c>
      <c r="K329" s="59">
        <f t="shared" si="39"/>
        <v>4.0215379437995115E-2</v>
      </c>
      <c r="L329" s="58">
        <f t="shared" si="46"/>
        <v>989.46000000001789</v>
      </c>
      <c r="M329" s="59">
        <f t="shared" si="40"/>
        <v>4.0215379437995115E-2</v>
      </c>
      <c r="N329" s="60">
        <v>66068309</v>
      </c>
      <c r="O329" s="60">
        <f t="shared" si="44"/>
        <v>0</v>
      </c>
      <c r="P329" s="70" t="e">
        <f>IF(J308="",0,+(+(LOOKUP(9.99999999999999E+307,E308:E337)-E307))/(+(LOOKUP(9.99999999999999E+307,D308:D337)-D307)))</f>
        <v>#DIV/0!</v>
      </c>
      <c r="Q329" s="70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4"/>
    </row>
    <row r="330" spans="1:20" ht="15.75" thickBot="1" x14ac:dyDescent="0.3">
      <c r="A330" s="53">
        <v>44524</v>
      </c>
      <c r="D330" s="55">
        <v>0.14199999999999999</v>
      </c>
      <c r="E330" s="56">
        <v>1666.82</v>
      </c>
      <c r="F330" s="57">
        <v>56.622999999999998</v>
      </c>
      <c r="G330" s="58"/>
      <c r="H330" s="58">
        <v>4140</v>
      </c>
      <c r="I330" s="58">
        <f t="shared" si="42"/>
        <v>24111.359999999346</v>
      </c>
      <c r="J330" s="58">
        <f t="shared" si="43"/>
        <v>728.63999999997861</v>
      </c>
      <c r="K330" s="59">
        <f t="shared" si="39"/>
        <v>3.0219780219780154E-2</v>
      </c>
      <c r="L330" s="58">
        <f t="shared" si="46"/>
        <v>728.63999999997861</v>
      </c>
      <c r="M330" s="59">
        <f t="shared" si="40"/>
        <v>3.0219780219780154E-2</v>
      </c>
      <c r="N330" s="60">
        <v>66068309</v>
      </c>
      <c r="O330" s="60">
        <f t="shared" si="44"/>
        <v>0</v>
      </c>
      <c r="P330" s="71" t="s">
        <v>48</v>
      </c>
      <c r="Q330" s="72" t="s">
        <v>49</v>
      </c>
      <c r="R330" s="20">
        <f t="shared" si="45"/>
        <v>1</v>
      </c>
      <c r="S330" s="20">
        <f t="shared" si="48"/>
        <v>0</v>
      </c>
      <c r="T330" s="64"/>
    </row>
    <row r="331" spans="1:20" ht="15.75" thickBot="1" x14ac:dyDescent="0.3">
      <c r="A331" s="53">
        <v>44525</v>
      </c>
      <c r="D331" s="55">
        <v>0.14199999999999999</v>
      </c>
      <c r="E331" s="56">
        <v>1672.65</v>
      </c>
      <c r="F331" s="57">
        <v>56.802</v>
      </c>
      <c r="G331" s="58"/>
      <c r="H331" s="58">
        <v>4140</v>
      </c>
      <c r="I331" s="58">
        <f t="shared" si="42"/>
        <v>24136.200000000641</v>
      </c>
      <c r="J331" s="58">
        <f t="shared" si="43"/>
        <v>741.06000000000847</v>
      </c>
      <c r="K331" s="59">
        <f t="shared" si="39"/>
        <v>3.0703259005145332E-2</v>
      </c>
      <c r="L331" s="58">
        <f t="shared" si="46"/>
        <v>741.06000000000847</v>
      </c>
      <c r="M331" s="59">
        <f t="shared" si="40"/>
        <v>3.0703259005145332E-2</v>
      </c>
      <c r="N331" s="60">
        <v>66068309</v>
      </c>
      <c r="O331" s="60">
        <f t="shared" si="44"/>
        <v>0</v>
      </c>
      <c r="P331" s="73">
        <f>IF(N307="",0,+(LOOKUP(9.99999999999999E+307,N307:N337)-N307))</f>
        <v>0</v>
      </c>
      <c r="Q331" s="74">
        <f>IF(P331="",0,+P331/SUM(R308:R337))</f>
        <v>0</v>
      </c>
      <c r="R331" s="20">
        <f t="shared" si="45"/>
        <v>1</v>
      </c>
      <c r="S331" s="20">
        <f t="shared" si="48"/>
        <v>0</v>
      </c>
      <c r="T331" s="64"/>
    </row>
    <row r="332" spans="1:20" ht="15.75" thickBot="1" x14ac:dyDescent="0.3">
      <c r="A332" s="53">
        <v>44526</v>
      </c>
      <c r="D332" s="55">
        <v>0.14199999999999999</v>
      </c>
      <c r="E332" s="56">
        <v>1678.7670000000001</v>
      </c>
      <c r="F332" s="57">
        <v>57.036999999999999</v>
      </c>
      <c r="G332" s="58"/>
      <c r="H332" s="58">
        <v>4140</v>
      </c>
      <c r="I332" s="58">
        <f t="shared" si="42"/>
        <v>25324.379999999841</v>
      </c>
      <c r="J332" s="58">
        <f t="shared" si="43"/>
        <v>972.89999999999759</v>
      </c>
      <c r="K332" s="59">
        <f t="shared" si="39"/>
        <v>3.841752493052164E-2</v>
      </c>
      <c r="L332" s="58">
        <f t="shared" si="46"/>
        <v>972.89999999999759</v>
      </c>
      <c r="M332" s="59">
        <f t="shared" si="40"/>
        <v>3.841752493052164E-2</v>
      </c>
      <c r="N332" s="60">
        <v>66068309</v>
      </c>
      <c r="O332" s="60">
        <f t="shared" si="44"/>
        <v>0</v>
      </c>
      <c r="P332" s="75" t="s">
        <v>50</v>
      </c>
      <c r="Q332" s="76" t="s">
        <v>58</v>
      </c>
      <c r="R332" s="20">
        <f t="shared" si="45"/>
        <v>1</v>
      </c>
      <c r="S332" s="20">
        <f t="shared" si="48"/>
        <v>0</v>
      </c>
      <c r="T332" s="64"/>
    </row>
    <row r="333" spans="1:20" ht="15.75" thickBot="1" x14ac:dyDescent="0.3">
      <c r="A333" s="53">
        <v>44527</v>
      </c>
      <c r="D333" s="55">
        <v>0.14199999999999999</v>
      </c>
      <c r="E333" s="56">
        <v>1684.2619999999999</v>
      </c>
      <c r="F333" s="57">
        <v>57.143999999999998</v>
      </c>
      <c r="G333" s="58"/>
      <c r="H333" s="58">
        <v>4140</v>
      </c>
      <c r="I333" s="58">
        <f t="shared" si="42"/>
        <v>22749.299999999548</v>
      </c>
      <c r="J333" s="58">
        <f t="shared" si="43"/>
        <v>442.97999999999718</v>
      </c>
      <c r="K333" s="59">
        <f t="shared" ref="K333:K337" si="49">IF(J333="","",+(J333/I333))</f>
        <v>1.9472247497725467E-2</v>
      </c>
      <c r="L333" s="58">
        <f t="shared" si="46"/>
        <v>442.97999999999718</v>
      </c>
      <c r="M333" s="59">
        <f t="shared" ref="M333:M362" si="50">IF(L333="","",(L333/I333))</f>
        <v>1.9472247497725467E-2</v>
      </c>
      <c r="N333" s="60">
        <v>66068309</v>
      </c>
      <c r="O333" s="60">
        <f t="shared" si="44"/>
        <v>0</v>
      </c>
      <c r="P333" s="77">
        <f>IF(D307="",0,+(LOOKUP(9.99999999999999E+307,D307:D337)-D307))*4140</f>
        <v>0</v>
      </c>
      <c r="Q333" s="78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3">
        <v>44528</v>
      </c>
      <c r="D334" s="55">
        <v>0.14199999999999999</v>
      </c>
      <c r="E334" s="56">
        <v>1689.9559999999999</v>
      </c>
      <c r="F334" s="57">
        <v>57.305</v>
      </c>
      <c r="G334" s="58"/>
      <c r="H334" s="58">
        <v>4140</v>
      </c>
      <c r="I334" s="58">
        <f t="shared" si="42"/>
        <v>23573.159999999836</v>
      </c>
      <c r="J334" s="58">
        <f t="shared" si="43"/>
        <v>666.54000000000565</v>
      </c>
      <c r="K334" s="59">
        <f t="shared" si="49"/>
        <v>2.8275377590446519E-2</v>
      </c>
      <c r="L334" s="58">
        <f t="shared" si="46"/>
        <v>666.54000000000565</v>
      </c>
      <c r="M334" s="59">
        <f t="shared" si="50"/>
        <v>2.8275377590446519E-2</v>
      </c>
      <c r="N334" s="60">
        <v>66068309</v>
      </c>
      <c r="O334" s="60">
        <f t="shared" si="44"/>
        <v>0</v>
      </c>
      <c r="P334" s="79" t="s">
        <v>52</v>
      </c>
      <c r="Q334" s="80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3">
        <v>44529</v>
      </c>
      <c r="D335" s="55">
        <v>0.14199999999999999</v>
      </c>
      <c r="E335" s="56">
        <v>1694.64</v>
      </c>
      <c r="F335" s="57">
        <v>57.460999999999999</v>
      </c>
      <c r="G335" s="58"/>
      <c r="H335" s="58">
        <v>4140</v>
      </c>
      <c r="I335" s="58">
        <f t="shared" si="42"/>
        <v>19391.760000000813</v>
      </c>
      <c r="J335" s="58">
        <f t="shared" si="43"/>
        <v>645.83999999999503</v>
      </c>
      <c r="K335" s="59">
        <f t="shared" si="49"/>
        <v>3.3304867634498775E-2</v>
      </c>
      <c r="L335" s="58">
        <f t="shared" si="46"/>
        <v>645.83999999999503</v>
      </c>
      <c r="M335" s="59">
        <f t="shared" si="50"/>
        <v>3.3304867634498775E-2</v>
      </c>
      <c r="N335" s="60">
        <v>66068309</v>
      </c>
      <c r="O335" s="60">
        <f t="shared" si="44"/>
        <v>0</v>
      </c>
      <c r="P335" s="130">
        <f>P333*Q338</f>
        <v>0</v>
      </c>
      <c r="Q335" s="131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3">
        <v>44530</v>
      </c>
      <c r="D336" s="55">
        <v>0.14199999999999999</v>
      </c>
      <c r="E336" s="56">
        <v>1699.8489999999999</v>
      </c>
      <c r="F336" s="57">
        <v>57.747</v>
      </c>
      <c r="G336" s="58"/>
      <c r="H336" s="58">
        <v>4140</v>
      </c>
      <c r="I336" s="58">
        <f t="shared" si="42"/>
        <v>21565.259999999307</v>
      </c>
      <c r="J336" s="58">
        <f t="shared" si="43"/>
        <v>1184.0400000000056</v>
      </c>
      <c r="K336" s="59">
        <f t="shared" si="49"/>
        <v>5.4904972163565088E-2</v>
      </c>
      <c r="L336" s="58">
        <f t="shared" si="46"/>
        <v>1184.0400000000056</v>
      </c>
      <c r="M336" s="59">
        <f t="shared" si="50"/>
        <v>5.4904972163565088E-2</v>
      </c>
      <c r="N336" s="60">
        <v>66068309</v>
      </c>
      <c r="O336" s="60">
        <f t="shared" si="44"/>
        <v>0</v>
      </c>
      <c r="P336" s="132" t="s">
        <v>54</v>
      </c>
      <c r="Q336" s="132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3">
        <v>44531</v>
      </c>
      <c r="D337" s="55">
        <v>0.14199999999999999</v>
      </c>
      <c r="E337" s="56">
        <v>1704.9</v>
      </c>
      <c r="F337" s="57">
        <v>57.865000000000002</v>
      </c>
      <c r="G337" s="89"/>
      <c r="H337" s="58">
        <v>4140</v>
      </c>
      <c r="I337" s="58">
        <f t="shared" si="42"/>
        <v>20911.140000000654</v>
      </c>
      <c r="J337" s="58">
        <f t="shared" si="43"/>
        <v>488.52000000000874</v>
      </c>
      <c r="K337" s="59">
        <f t="shared" si="49"/>
        <v>2.3361710552365553E-2</v>
      </c>
      <c r="L337" s="58">
        <f t="shared" si="46"/>
        <v>488.52000000000874</v>
      </c>
      <c r="M337" s="59">
        <f t="shared" si="50"/>
        <v>2.3361710552365553E-2</v>
      </c>
      <c r="N337" s="90">
        <v>66068309</v>
      </c>
      <c r="O337" s="133">
        <f t="shared" si="44"/>
        <v>0</v>
      </c>
      <c r="P337" s="134">
        <f>(P335+Q333*SUM(S308:S337)*Q338)</f>
        <v>0</v>
      </c>
      <c r="Q337" s="135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3">
        <v>44532</v>
      </c>
      <c r="D338" s="55">
        <v>0.14199999999999999</v>
      </c>
      <c r="E338" s="56">
        <v>1710.5440000000001</v>
      </c>
      <c r="F338" s="57">
        <v>58.009</v>
      </c>
      <c r="G338" s="58"/>
      <c r="H338" s="58">
        <v>4140</v>
      </c>
      <c r="I338" s="58">
        <f t="shared" si="42"/>
        <v>23366.160000000022</v>
      </c>
      <c r="J338" s="58">
        <f t="shared" si="43"/>
        <v>596.15999999999315</v>
      </c>
      <c r="K338" s="59">
        <f t="shared" ref="K338:K368" si="51">IF(J338="","",+(J338/I338))</f>
        <v>2.5513819985825338E-2</v>
      </c>
      <c r="L338" s="58">
        <f t="shared" si="46"/>
        <v>596.15999999999315</v>
      </c>
      <c r="M338" s="59">
        <f t="shared" si="50"/>
        <v>2.5513819985825338E-2</v>
      </c>
      <c r="N338" s="60">
        <v>66068309</v>
      </c>
      <c r="O338" s="60">
        <f t="shared" si="44"/>
        <v>0</v>
      </c>
      <c r="P338" s="136" t="s">
        <v>56</v>
      </c>
      <c r="Q338" s="137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3">
        <v>44533</v>
      </c>
      <c r="D339" s="55">
        <v>0.14199999999999999</v>
      </c>
      <c r="E339" s="56">
        <v>1716.3779999999999</v>
      </c>
      <c r="F339" s="57">
        <v>58.185000000000002</v>
      </c>
      <c r="G339" s="58"/>
      <c r="H339" s="58">
        <v>4140</v>
      </c>
      <c r="I339" s="58">
        <f t="shared" si="42"/>
        <v>24152.759999999307</v>
      </c>
      <c r="J339" s="58">
        <f t="shared" si="43"/>
        <v>728.64000000000806</v>
      </c>
      <c r="K339" s="59">
        <f t="shared" si="51"/>
        <v>3.0167980802195234E-2</v>
      </c>
      <c r="L339" s="58">
        <f t="shared" si="46"/>
        <v>728.64000000000806</v>
      </c>
      <c r="M339" s="59">
        <f t="shared" si="50"/>
        <v>3.0167980802195234E-2</v>
      </c>
      <c r="N339" s="60">
        <v>66068309</v>
      </c>
      <c r="O339" s="60">
        <f t="shared" si="44"/>
        <v>0</v>
      </c>
      <c r="P339" s="128"/>
      <c r="Q339" s="128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3">
        <v>44534</v>
      </c>
      <c r="D340" s="55">
        <v>0.14199999999999999</v>
      </c>
      <c r="E340" s="56">
        <v>1721.9760000000001</v>
      </c>
      <c r="F340" s="57">
        <v>58.350999999999999</v>
      </c>
      <c r="G340" s="58"/>
      <c r="H340" s="58">
        <v>4140</v>
      </c>
      <c r="I340" s="58">
        <f t="shared" si="42"/>
        <v>23175.720000000762</v>
      </c>
      <c r="J340" s="58">
        <f t="shared" si="43"/>
        <v>687.23999999998682</v>
      </c>
      <c r="K340" s="59">
        <f t="shared" si="51"/>
        <v>2.9653447659876986E-2</v>
      </c>
      <c r="L340" s="58">
        <f t="shared" si="46"/>
        <v>687.23999999998682</v>
      </c>
      <c r="M340" s="59">
        <f t="shared" si="50"/>
        <v>2.9653447659876986E-2</v>
      </c>
      <c r="N340" s="60">
        <v>66068309</v>
      </c>
      <c r="O340" s="60">
        <f t="shared" si="44"/>
        <v>0</v>
      </c>
      <c r="P340" s="98"/>
      <c r="Q340" s="99"/>
      <c r="R340" s="20">
        <f t="shared" si="45"/>
        <v>1</v>
      </c>
      <c r="S340" s="20">
        <f t="shared" si="48"/>
        <v>0</v>
      </c>
      <c r="T340" s="64"/>
    </row>
    <row r="341" spans="1:20" ht="15.75" thickBot="1" x14ac:dyDescent="0.3">
      <c r="A341" s="53">
        <v>44535</v>
      </c>
      <c r="D341" s="55">
        <v>0.14199999999999999</v>
      </c>
      <c r="E341" s="56">
        <v>1727.817</v>
      </c>
      <c r="F341" s="57">
        <v>58.515999999999998</v>
      </c>
      <c r="G341" s="58"/>
      <c r="H341" s="58">
        <v>4140</v>
      </c>
      <c r="I341" s="58">
        <f t="shared" si="42"/>
        <v>24181.739999999561</v>
      </c>
      <c r="J341" s="58">
        <f t="shared" si="43"/>
        <v>683.0999999999965</v>
      </c>
      <c r="K341" s="59">
        <f t="shared" si="51"/>
        <v>2.8248587570621837E-2</v>
      </c>
      <c r="L341" s="58">
        <f t="shared" si="46"/>
        <v>683.0999999999965</v>
      </c>
      <c r="M341" s="59">
        <f t="shared" si="50"/>
        <v>2.8248587570621837E-2</v>
      </c>
      <c r="N341" s="60">
        <v>66068309</v>
      </c>
      <c r="O341" s="60">
        <f t="shared" si="44"/>
        <v>0</v>
      </c>
      <c r="P341" s="100"/>
      <c r="Q341" s="101"/>
      <c r="R341" s="20">
        <f t="shared" si="45"/>
        <v>1</v>
      </c>
      <c r="S341" s="20">
        <f t="shared" si="48"/>
        <v>0</v>
      </c>
      <c r="T341" s="64"/>
    </row>
    <row r="342" spans="1:20" ht="15.75" thickBot="1" x14ac:dyDescent="0.3">
      <c r="A342" s="53">
        <v>44536</v>
      </c>
      <c r="D342" s="55">
        <v>0.14199999999999999</v>
      </c>
      <c r="E342" s="56">
        <v>1733.6679999999999</v>
      </c>
      <c r="F342" s="57">
        <v>58.686999999999998</v>
      </c>
      <c r="G342" s="58"/>
      <c r="H342" s="58">
        <v>4140</v>
      </c>
      <c r="I342" s="58">
        <f t="shared" si="42"/>
        <v>24223.139999999526</v>
      </c>
      <c r="J342" s="58">
        <f t="shared" si="43"/>
        <v>707.93999999999744</v>
      </c>
      <c r="K342" s="59">
        <f t="shared" si="51"/>
        <v>2.9225773372073615E-2</v>
      </c>
      <c r="L342" s="58">
        <f t="shared" si="46"/>
        <v>707.93999999999744</v>
      </c>
      <c r="M342" s="59">
        <f t="shared" si="50"/>
        <v>2.9225773372073615E-2</v>
      </c>
      <c r="N342" s="60">
        <v>66068309</v>
      </c>
      <c r="O342" s="60">
        <f t="shared" si="44"/>
        <v>0</v>
      </c>
      <c r="P342" s="100"/>
      <c r="Q342" s="99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3">
        <v>44537</v>
      </c>
      <c r="D343" s="55">
        <v>0.14199999999999999</v>
      </c>
      <c r="E343" s="56">
        <v>1739.721</v>
      </c>
      <c r="F343" s="57">
        <v>58.877000000000002</v>
      </c>
      <c r="G343" s="58"/>
      <c r="H343" s="58">
        <v>4140</v>
      </c>
      <c r="I343" s="58">
        <f t="shared" si="42"/>
        <v>25059.42000000046</v>
      </c>
      <c r="J343" s="58">
        <f t="shared" si="43"/>
        <v>786.60000000002003</v>
      </c>
      <c r="K343" s="59">
        <f t="shared" si="51"/>
        <v>3.1389393689080017E-2</v>
      </c>
      <c r="L343" s="58">
        <f t="shared" si="46"/>
        <v>786.60000000002003</v>
      </c>
      <c r="M343" s="59">
        <f t="shared" si="50"/>
        <v>3.1389393689080017E-2</v>
      </c>
      <c r="N343" s="60">
        <v>66068309</v>
      </c>
      <c r="O343" s="60">
        <f t="shared" si="44"/>
        <v>0</v>
      </c>
      <c r="P343" s="61"/>
      <c r="Q343" s="62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3">
        <v>44538</v>
      </c>
      <c r="D344" s="55">
        <v>0.14199999999999999</v>
      </c>
      <c r="E344" s="56">
        <v>1745.4159999999999</v>
      </c>
      <c r="F344" s="57">
        <v>59.048000000000002</v>
      </c>
      <c r="G344" s="58"/>
      <c r="H344" s="58">
        <v>4140</v>
      </c>
      <c r="I344" s="58">
        <f t="shared" si="42"/>
        <v>23577.299999999737</v>
      </c>
      <c r="J344" s="58">
        <f t="shared" si="43"/>
        <v>707.93999999999744</v>
      </c>
      <c r="K344" s="59">
        <f t="shared" si="51"/>
        <v>3.0026338893766689E-2</v>
      </c>
      <c r="L344" s="58">
        <f t="shared" si="46"/>
        <v>707.93999999999744</v>
      </c>
      <c r="M344" s="59">
        <f t="shared" si="50"/>
        <v>3.0026338893766689E-2</v>
      </c>
      <c r="N344" s="60">
        <v>66068309</v>
      </c>
      <c r="O344" s="60">
        <f>IF(N344="","",N344-N343)</f>
        <v>0</v>
      </c>
      <c r="P344" s="61"/>
      <c r="Q344" s="63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3">
        <v>44539</v>
      </c>
      <c r="D345" s="55">
        <v>0.14199999999999999</v>
      </c>
      <c r="E345" s="56">
        <v>1750.857</v>
      </c>
      <c r="F345" s="57">
        <v>59.198</v>
      </c>
      <c r="G345" s="58"/>
      <c r="H345" s="58">
        <v>4140</v>
      </c>
      <c r="I345" s="58">
        <f t="shared" si="42"/>
        <v>22525.740000000129</v>
      </c>
      <c r="J345" s="58">
        <f t="shared" si="43"/>
        <v>620.99999999999409</v>
      </c>
      <c r="K345" s="59">
        <f t="shared" si="51"/>
        <v>2.7568461679837845E-2</v>
      </c>
      <c r="L345" s="58">
        <f t="shared" si="46"/>
        <v>620.99999999999409</v>
      </c>
      <c r="M345" s="59">
        <f t="shared" si="50"/>
        <v>2.7568461679837845E-2</v>
      </c>
      <c r="N345" s="60">
        <v>66068309</v>
      </c>
      <c r="O345" s="60">
        <f t="shared" si="44"/>
        <v>0</v>
      </c>
      <c r="P345" s="61"/>
      <c r="Q345" s="63"/>
      <c r="R345" s="20">
        <f t="shared" si="45"/>
        <v>1</v>
      </c>
      <c r="S345" s="20">
        <f t="shared" si="48"/>
        <v>0</v>
      </c>
      <c r="T345" s="64"/>
    </row>
    <row r="346" spans="1:20" ht="15.75" thickBot="1" x14ac:dyDescent="0.3">
      <c r="A346" s="53">
        <v>44540</v>
      </c>
      <c r="D346" s="55">
        <v>0.14199999999999999</v>
      </c>
      <c r="E346" s="56">
        <v>1756.2929999999999</v>
      </c>
      <c r="F346" s="57">
        <v>59.341000000000001</v>
      </c>
      <c r="G346" s="58"/>
      <c r="H346" s="58">
        <v>4140</v>
      </c>
      <c r="I346" s="58">
        <f t="shared" si="42"/>
        <v>22505.039999999677</v>
      </c>
      <c r="J346" s="58">
        <f t="shared" si="43"/>
        <v>592.02000000000282</v>
      </c>
      <c r="K346" s="59">
        <f t="shared" si="51"/>
        <v>2.630610743193575E-2</v>
      </c>
      <c r="L346" s="58">
        <f t="shared" si="46"/>
        <v>592.02000000000282</v>
      </c>
      <c r="M346" s="59">
        <f t="shared" si="50"/>
        <v>2.630610743193575E-2</v>
      </c>
      <c r="N346" s="60">
        <v>66068309</v>
      </c>
      <c r="O346" s="60">
        <f t="shared" si="44"/>
        <v>0</v>
      </c>
      <c r="P346" s="61"/>
      <c r="Q346" s="63"/>
      <c r="R346" s="20">
        <f t="shared" si="45"/>
        <v>1</v>
      </c>
      <c r="S346" s="20">
        <f t="shared" si="48"/>
        <v>0</v>
      </c>
      <c r="T346" s="64"/>
    </row>
    <row r="347" spans="1:20" ht="15.75" thickBot="1" x14ac:dyDescent="0.3">
      <c r="A347" s="53">
        <v>44541</v>
      </c>
      <c r="D347" s="55">
        <v>0.14199999999999999</v>
      </c>
      <c r="E347" s="56">
        <v>1762.3140000000001</v>
      </c>
      <c r="F347" s="57">
        <v>59.505000000000003</v>
      </c>
      <c r="G347" s="58"/>
      <c r="H347" s="58">
        <v>4140</v>
      </c>
      <c r="I347" s="58">
        <f t="shared" si="42"/>
        <v>24926.940000000766</v>
      </c>
      <c r="J347" s="58">
        <f t="shared" si="43"/>
        <v>678.96000000000618</v>
      </c>
      <c r="K347" s="59">
        <f t="shared" si="51"/>
        <v>2.7238000332170147E-2</v>
      </c>
      <c r="L347" s="58">
        <f t="shared" si="46"/>
        <v>678.96000000000618</v>
      </c>
      <c r="M347" s="59">
        <f t="shared" si="50"/>
        <v>2.7238000332170147E-2</v>
      </c>
      <c r="N347" s="60">
        <v>66068309</v>
      </c>
      <c r="O347" s="60">
        <f t="shared" si="44"/>
        <v>0</v>
      </c>
      <c r="P347" s="61"/>
      <c r="Q347" s="62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3">
        <v>44542</v>
      </c>
      <c r="D348" s="55">
        <v>0.14199999999999999</v>
      </c>
      <c r="E348" s="56">
        <v>1767.817</v>
      </c>
      <c r="F348" s="57">
        <v>59.643000000000001</v>
      </c>
      <c r="G348" s="58"/>
      <c r="H348" s="58">
        <v>4140</v>
      </c>
      <c r="I348" s="58">
        <f t="shared" si="42"/>
        <v>22782.419999999707</v>
      </c>
      <c r="J348" s="58">
        <f t="shared" si="43"/>
        <v>571.31999999999221</v>
      </c>
      <c r="K348" s="59">
        <f t="shared" si="51"/>
        <v>2.5077230601490075E-2</v>
      </c>
      <c r="L348" s="58">
        <f t="shared" si="46"/>
        <v>571.31999999999221</v>
      </c>
      <c r="M348" s="59">
        <f t="shared" si="50"/>
        <v>2.5077230601490075E-2</v>
      </c>
      <c r="N348" s="60">
        <v>66068309</v>
      </c>
      <c r="O348" s="60">
        <f t="shared" si="44"/>
        <v>0</v>
      </c>
      <c r="P348" s="61"/>
      <c r="Q348" s="62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3">
        <v>44543</v>
      </c>
      <c r="D349" s="55">
        <v>0.14199999999999999</v>
      </c>
      <c r="E349" s="56">
        <v>1773.7049999999999</v>
      </c>
      <c r="F349" s="57">
        <v>59.829000000000001</v>
      </c>
      <c r="G349" s="58"/>
      <c r="H349" s="58">
        <v>4140</v>
      </c>
      <c r="I349" s="58">
        <f t="shared" si="42"/>
        <v>24376.319999999669</v>
      </c>
      <c r="J349" s="58">
        <f t="shared" si="43"/>
        <v>770.03999999999974</v>
      </c>
      <c r="K349" s="59">
        <f t="shared" si="51"/>
        <v>3.1589673913043896E-2</v>
      </c>
      <c r="L349" s="58">
        <f t="shared" si="46"/>
        <v>770.03999999999974</v>
      </c>
      <c r="M349" s="59">
        <f t="shared" si="50"/>
        <v>3.1589673913043896E-2</v>
      </c>
      <c r="N349" s="60">
        <v>66068309</v>
      </c>
      <c r="O349" s="60">
        <f t="shared" si="44"/>
        <v>0</v>
      </c>
      <c r="P349" s="61"/>
      <c r="Q349" s="63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3">
        <v>44544</v>
      </c>
      <c r="D350" s="55">
        <v>0.14199999999999999</v>
      </c>
      <c r="E350" s="56">
        <v>1779.655</v>
      </c>
      <c r="F350" s="57">
        <v>59.942</v>
      </c>
      <c r="G350" s="58"/>
      <c r="H350" s="58">
        <v>4140</v>
      </c>
      <c r="I350" s="58">
        <f t="shared" si="42"/>
        <v>24633.000000000189</v>
      </c>
      <c r="J350" s="58">
        <f t="shared" si="43"/>
        <v>467.81999999999812</v>
      </c>
      <c r="K350" s="59">
        <f t="shared" si="51"/>
        <v>1.8991596638655239E-2</v>
      </c>
      <c r="L350" s="58">
        <f t="shared" si="46"/>
        <v>467.81999999999812</v>
      </c>
      <c r="M350" s="59">
        <f t="shared" si="50"/>
        <v>1.8991596638655239E-2</v>
      </c>
      <c r="N350" s="60">
        <v>66068309</v>
      </c>
      <c r="O350" s="60">
        <f t="shared" si="44"/>
        <v>0</v>
      </c>
      <c r="P350" s="61"/>
      <c r="Q350" s="63"/>
      <c r="R350" s="20">
        <f t="shared" si="45"/>
        <v>1</v>
      </c>
      <c r="S350" s="20">
        <f t="shared" si="48"/>
        <v>0</v>
      </c>
      <c r="T350" s="64"/>
    </row>
    <row r="351" spans="1:20" ht="15.75" thickBot="1" x14ac:dyDescent="0.3">
      <c r="A351" s="53">
        <v>44545</v>
      </c>
      <c r="D351" s="55">
        <v>0.14199999999999999</v>
      </c>
      <c r="E351" s="56">
        <v>1785.9459999999999</v>
      </c>
      <c r="F351" s="57">
        <v>60.015999999999998</v>
      </c>
      <c r="G351" s="58"/>
      <c r="H351" s="58">
        <v>4140</v>
      </c>
      <c r="I351" s="58">
        <f t="shared" si="42"/>
        <v>26044.739999999751</v>
      </c>
      <c r="J351" s="58">
        <f t="shared" si="43"/>
        <v>306.359999999992</v>
      </c>
      <c r="K351" s="59">
        <f t="shared" si="51"/>
        <v>1.1762835797170367E-2</v>
      </c>
      <c r="L351" s="58">
        <f t="shared" si="46"/>
        <v>306.359999999992</v>
      </c>
      <c r="M351" s="59">
        <f t="shared" si="50"/>
        <v>1.1762835797170367E-2</v>
      </c>
      <c r="N351" s="60">
        <v>66068309</v>
      </c>
      <c r="O351" s="60">
        <f t="shared" si="44"/>
        <v>0</v>
      </c>
      <c r="P351" s="61"/>
      <c r="Q351" s="62"/>
      <c r="R351" s="20">
        <f t="shared" si="45"/>
        <v>1</v>
      </c>
      <c r="S351" s="20">
        <f t="shared" si="48"/>
        <v>0</v>
      </c>
      <c r="T351" s="64"/>
    </row>
    <row r="352" spans="1:20" ht="15.75" thickBot="1" x14ac:dyDescent="0.3">
      <c r="A352" s="53">
        <v>44546</v>
      </c>
      <c r="D352" s="55">
        <v>0.14199999999999999</v>
      </c>
      <c r="E352" s="56">
        <v>1791.864</v>
      </c>
      <c r="F352" s="57">
        <v>60.119</v>
      </c>
      <c r="G352" s="58"/>
      <c r="H352" s="58">
        <v>4140</v>
      </c>
      <c r="I352" s="58">
        <f t="shared" si="42"/>
        <v>24500.520000000499</v>
      </c>
      <c r="J352" s="58">
        <f t="shared" si="43"/>
        <v>426.42000000000633</v>
      </c>
      <c r="K352" s="59">
        <f t="shared" si="51"/>
        <v>1.7404528556944819E-2</v>
      </c>
      <c r="L352" s="58">
        <f t="shared" si="46"/>
        <v>426.42000000000633</v>
      </c>
      <c r="M352" s="59">
        <f t="shared" si="50"/>
        <v>1.7404528556944819E-2</v>
      </c>
      <c r="N352" s="60">
        <v>66068309</v>
      </c>
      <c r="O352" s="60">
        <f t="shared" si="44"/>
        <v>0</v>
      </c>
      <c r="P352" s="61"/>
      <c r="Q352" s="62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3">
        <v>44547</v>
      </c>
      <c r="D353" s="55">
        <v>0.14199999999999999</v>
      </c>
      <c r="E353" s="56">
        <v>1797.9369999999999</v>
      </c>
      <c r="F353" s="57">
        <v>60.216000000000001</v>
      </c>
      <c r="G353" s="58"/>
      <c r="H353" s="58">
        <v>4140</v>
      </c>
      <c r="I353" s="58">
        <f t="shared" si="42"/>
        <v>25142.219999999441</v>
      </c>
      <c r="J353" s="58">
        <f t="shared" si="43"/>
        <v>401.58000000000538</v>
      </c>
      <c r="K353" s="59">
        <f t="shared" si="51"/>
        <v>1.5972336571711421E-2</v>
      </c>
      <c r="L353" s="58">
        <f t="shared" si="46"/>
        <v>401.58000000000538</v>
      </c>
      <c r="M353" s="59">
        <f t="shared" si="50"/>
        <v>1.5972336571711421E-2</v>
      </c>
      <c r="N353" s="60">
        <v>66068309</v>
      </c>
      <c r="O353" s="60">
        <f t="shared" si="44"/>
        <v>0</v>
      </c>
      <c r="P353" s="61"/>
      <c r="Q353" s="62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3">
        <v>44548</v>
      </c>
      <c r="D354" s="55">
        <v>0.14199999999999999</v>
      </c>
      <c r="E354" s="56">
        <v>1803.566</v>
      </c>
      <c r="F354" s="57">
        <v>60.347999999999999</v>
      </c>
      <c r="G354" s="58"/>
      <c r="H354" s="58">
        <v>4140</v>
      </c>
      <c r="I354" s="58">
        <f t="shared" si="42"/>
        <v>23304.060000000551</v>
      </c>
      <c r="J354" s="58">
        <f t="shared" si="43"/>
        <v>546.47999999999126</v>
      </c>
      <c r="K354" s="59">
        <f t="shared" si="51"/>
        <v>2.3449991117426679E-2</v>
      </c>
      <c r="L354" s="58">
        <f t="shared" si="46"/>
        <v>546.47999999999126</v>
      </c>
      <c r="M354" s="59">
        <f t="shared" si="50"/>
        <v>2.3449991117426679E-2</v>
      </c>
      <c r="N354" s="60">
        <v>66068309</v>
      </c>
      <c r="O354" s="60">
        <f t="shared" si="44"/>
        <v>0</v>
      </c>
      <c r="P354" s="61"/>
      <c r="Q354" s="102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3">
        <v>44549</v>
      </c>
      <c r="D355" s="55">
        <v>0.14199999999999999</v>
      </c>
      <c r="E355" s="56">
        <v>1809.319</v>
      </c>
      <c r="F355" s="57">
        <v>60.497999999999998</v>
      </c>
      <c r="G355" s="58"/>
      <c r="H355" s="58">
        <v>4140</v>
      </c>
      <c r="I355" s="58">
        <f t="shared" si="42"/>
        <v>23817.419999999707</v>
      </c>
      <c r="J355" s="58">
        <f t="shared" si="43"/>
        <v>620.99999999999409</v>
      </c>
      <c r="K355" s="59">
        <f t="shared" si="51"/>
        <v>2.6073353033200141E-2</v>
      </c>
      <c r="L355" s="58">
        <f t="shared" si="46"/>
        <v>620.99999999999409</v>
      </c>
      <c r="M355" s="59">
        <f t="shared" si="50"/>
        <v>2.6073353033200141E-2</v>
      </c>
      <c r="N355" s="60">
        <v>66068309</v>
      </c>
      <c r="O355" s="60">
        <v>0</v>
      </c>
      <c r="P355" s="61"/>
      <c r="Q355" s="102"/>
      <c r="R355" s="20">
        <f t="shared" si="45"/>
        <v>1</v>
      </c>
      <c r="S355" s="20">
        <f t="shared" si="48"/>
        <v>0</v>
      </c>
      <c r="T355" s="64"/>
    </row>
    <row r="356" spans="1:20" ht="15.75" thickBot="1" x14ac:dyDescent="0.3">
      <c r="A356" s="53">
        <v>44550</v>
      </c>
      <c r="D356" s="55">
        <v>0.14199999999999999</v>
      </c>
      <c r="E356" s="56">
        <v>1815.5260000000001</v>
      </c>
      <c r="F356" s="57">
        <v>60.579000000000001</v>
      </c>
      <c r="G356" s="58"/>
      <c r="H356" s="58">
        <v>4140</v>
      </c>
      <c r="I356" s="58">
        <f t="shared" si="42"/>
        <v>25696.980000000443</v>
      </c>
      <c r="J356" s="58">
        <f t="shared" si="43"/>
        <v>335.34000000001271</v>
      </c>
      <c r="K356" s="59">
        <f t="shared" si="51"/>
        <v>1.3049782503625209E-2</v>
      </c>
      <c r="L356" s="58">
        <f t="shared" si="46"/>
        <v>335.34000000001271</v>
      </c>
      <c r="M356" s="59">
        <f t="shared" si="50"/>
        <v>1.3049782503625209E-2</v>
      </c>
      <c r="N356" s="60">
        <v>66068309</v>
      </c>
      <c r="O356" s="60">
        <f t="shared" si="44"/>
        <v>0</v>
      </c>
      <c r="P356" s="191" t="s">
        <v>69</v>
      </c>
      <c r="Q356" s="192"/>
      <c r="R356" s="20">
        <f t="shared" si="45"/>
        <v>1</v>
      </c>
      <c r="S356" s="20">
        <f t="shared" si="48"/>
        <v>0</v>
      </c>
      <c r="T356" s="64"/>
    </row>
    <row r="357" spans="1:20" ht="15.75" thickBot="1" x14ac:dyDescent="0.3">
      <c r="A357" s="53">
        <v>44551</v>
      </c>
      <c r="D357" s="55">
        <v>0.14199999999999999</v>
      </c>
      <c r="E357" s="56">
        <v>1821.5070000000001</v>
      </c>
      <c r="F357" s="57">
        <v>60.677</v>
      </c>
      <c r="G357" s="58"/>
      <c r="H357" s="58">
        <v>4140</v>
      </c>
      <c r="I357" s="58">
        <f t="shared" si="42"/>
        <v>24761.339999999978</v>
      </c>
      <c r="J357" s="58">
        <f t="shared" si="43"/>
        <v>405.71999999999576</v>
      </c>
      <c r="K357" s="59">
        <f t="shared" si="51"/>
        <v>1.6385219862899023E-2</v>
      </c>
      <c r="L357" s="58">
        <f t="shared" si="46"/>
        <v>405.71999999999576</v>
      </c>
      <c r="M357" s="59">
        <f t="shared" si="50"/>
        <v>1.6385219862899023E-2</v>
      </c>
      <c r="N357" s="60">
        <v>66068309</v>
      </c>
      <c r="O357" s="60">
        <f t="shared" si="44"/>
        <v>0</v>
      </c>
      <c r="P357" s="193"/>
      <c r="Q357" s="194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3">
        <v>44552</v>
      </c>
      <c r="D358" s="55">
        <v>0.14199999999999999</v>
      </c>
      <c r="E358" s="56">
        <v>1827.261</v>
      </c>
      <c r="F358" s="57">
        <v>60.783999999999999</v>
      </c>
      <c r="G358" s="58"/>
      <c r="H358" s="58">
        <v>4140</v>
      </c>
      <c r="I358" s="58">
        <f t="shared" si="42"/>
        <v>23821.559999999608</v>
      </c>
      <c r="J358" s="58">
        <f t="shared" si="43"/>
        <v>442.97999999999718</v>
      </c>
      <c r="K358" s="59">
        <f t="shared" si="51"/>
        <v>1.8595759471672066E-2</v>
      </c>
      <c r="L358" s="58">
        <f t="shared" si="46"/>
        <v>442.97999999999718</v>
      </c>
      <c r="M358" s="59">
        <f t="shared" si="50"/>
        <v>1.8595759471672066E-2</v>
      </c>
      <c r="N358" s="60">
        <v>66068309</v>
      </c>
      <c r="O358" s="60">
        <f t="shared" si="44"/>
        <v>0</v>
      </c>
      <c r="P358" s="68" t="s">
        <v>46</v>
      </c>
      <c r="Q358" s="68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3">
        <v>44553</v>
      </c>
      <c r="D359" s="55">
        <v>0.14199999999999999</v>
      </c>
      <c r="E359" s="56">
        <v>1832.616</v>
      </c>
      <c r="F359" s="57">
        <v>60.884999999999998</v>
      </c>
      <c r="G359" s="58"/>
      <c r="H359" s="58">
        <v>4140</v>
      </c>
      <c r="I359" s="58">
        <f t="shared" si="42"/>
        <v>22169.700000000077</v>
      </c>
      <c r="J359" s="58">
        <f t="shared" si="43"/>
        <v>418.13999999999623</v>
      </c>
      <c r="K359" s="59">
        <f t="shared" si="51"/>
        <v>1.8860877684406859E-2</v>
      </c>
      <c r="L359" s="58">
        <f t="shared" si="46"/>
        <v>418.13999999999623</v>
      </c>
      <c r="M359" s="59">
        <f t="shared" si="50"/>
        <v>1.8860877684406859E-2</v>
      </c>
      <c r="N359" s="60">
        <v>66068309</v>
      </c>
      <c r="O359" s="60">
        <f t="shared" si="44"/>
        <v>0</v>
      </c>
      <c r="P359" s="69">
        <f>IF(J338="",0,+SUM(J338:J368)/SUM(I338:I368))</f>
        <v>2.1082350310281231E-2</v>
      </c>
      <c r="Q359" s="69">
        <f>IF(L338="",0,+SUM(L338:L368)/SUM(I338:I368))</f>
        <v>2.1082350310281231E-2</v>
      </c>
      <c r="R359" s="20">
        <f t="shared" si="45"/>
        <v>1</v>
      </c>
      <c r="S359" s="20">
        <f t="shared" si="48"/>
        <v>0</v>
      </c>
      <c r="T359" s="64"/>
    </row>
    <row r="360" spans="1:20" ht="15.75" thickBot="1" x14ac:dyDescent="0.3">
      <c r="A360" s="53">
        <v>44554</v>
      </c>
      <c r="D360" s="55">
        <v>0.14199999999999999</v>
      </c>
      <c r="E360" s="56">
        <v>1838.4849999999999</v>
      </c>
      <c r="F360" s="57">
        <v>60.98</v>
      </c>
      <c r="G360" s="58"/>
      <c r="H360" s="58">
        <v>4140</v>
      </c>
      <c r="I360" s="58">
        <f t="shared" si="42"/>
        <v>24297.659999999647</v>
      </c>
      <c r="J360" s="58">
        <f t="shared" si="43"/>
        <v>393.29999999999529</v>
      </c>
      <c r="K360" s="59">
        <f t="shared" si="51"/>
        <v>1.6186743908672727E-2</v>
      </c>
      <c r="L360" s="58">
        <f t="shared" si="46"/>
        <v>393.29999999999529</v>
      </c>
      <c r="M360" s="59">
        <f t="shared" si="50"/>
        <v>1.6186743908672727E-2</v>
      </c>
      <c r="N360" s="60">
        <v>66068309</v>
      </c>
      <c r="O360" s="60">
        <f t="shared" si="44"/>
        <v>0</v>
      </c>
      <c r="P360" s="70" t="e">
        <f>IF(J338="",0,+(+(LOOKUP(9.99999999999999E+307,E338:E368)-E337))/(+(LOOKUP(9.99999999999999E+307,D338:D368)-D337)))</f>
        <v>#DIV/0!</v>
      </c>
      <c r="Q360" s="70" t="e">
        <f>IF(L338="",0,+(+(LOOKUP(9.99999999999999E+307,F338:F368)-F337))/(+(LOOKUP(9.99999999999999E+307,D338:D368)-D337)))</f>
        <v>#DIV/0!</v>
      </c>
      <c r="R360" s="20">
        <f t="shared" si="45"/>
        <v>1</v>
      </c>
      <c r="S360" s="20">
        <f t="shared" si="48"/>
        <v>0</v>
      </c>
      <c r="T360" s="64"/>
    </row>
    <row r="361" spans="1:20" ht="15.75" thickBot="1" x14ac:dyDescent="0.3">
      <c r="A361" s="53">
        <v>44555</v>
      </c>
      <c r="D361" s="55">
        <v>0.14199999999999999</v>
      </c>
      <c r="E361" s="56">
        <v>1844.058</v>
      </c>
      <c r="F361" s="57">
        <v>61.072000000000003</v>
      </c>
      <c r="G361" s="58"/>
      <c r="H361" s="58">
        <v>4140</v>
      </c>
      <c r="I361" s="58">
        <f t="shared" si="42"/>
        <v>23072.220000000383</v>
      </c>
      <c r="J361" s="58">
        <f t="shared" si="43"/>
        <v>380.88000000002421</v>
      </c>
      <c r="K361" s="59">
        <f t="shared" si="51"/>
        <v>1.6508164363898136E-2</v>
      </c>
      <c r="L361" s="58">
        <f t="shared" si="46"/>
        <v>380.88000000002421</v>
      </c>
      <c r="M361" s="59">
        <f t="shared" si="50"/>
        <v>1.6508164363898136E-2</v>
      </c>
      <c r="N361" s="60">
        <v>66068309</v>
      </c>
      <c r="O361" s="60">
        <f t="shared" si="44"/>
        <v>0</v>
      </c>
      <c r="P361" s="71" t="s">
        <v>48</v>
      </c>
      <c r="Q361" s="72" t="s">
        <v>49</v>
      </c>
      <c r="R361" s="20">
        <f t="shared" si="45"/>
        <v>1</v>
      </c>
      <c r="S361" s="20">
        <f t="shared" si="48"/>
        <v>0</v>
      </c>
      <c r="T361" s="64"/>
    </row>
    <row r="362" spans="1:20" ht="15.75" thickBot="1" x14ac:dyDescent="0.3">
      <c r="A362" s="53">
        <v>44556</v>
      </c>
      <c r="D362" s="55">
        <v>0.14199999999999999</v>
      </c>
      <c r="E362" s="56">
        <v>1850.0609999999999</v>
      </c>
      <c r="F362" s="57">
        <v>61.16</v>
      </c>
      <c r="G362" s="58"/>
      <c r="H362" s="58">
        <v>4140</v>
      </c>
      <c r="I362" s="58">
        <f t="shared" si="42"/>
        <v>24852.419999999707</v>
      </c>
      <c r="J362" s="58">
        <f t="shared" si="43"/>
        <v>364.31999999997458</v>
      </c>
      <c r="K362" s="59">
        <f t="shared" si="51"/>
        <v>1.4659336998166734E-2</v>
      </c>
      <c r="L362" s="58">
        <f t="shared" si="46"/>
        <v>364.31999999997458</v>
      </c>
      <c r="M362" s="59">
        <f t="shared" si="50"/>
        <v>1.4659336998166734E-2</v>
      </c>
      <c r="N362" s="60">
        <v>66068309</v>
      </c>
      <c r="O362" s="60">
        <f t="shared" si="44"/>
        <v>0</v>
      </c>
      <c r="P362" s="73">
        <f>IF(N337="",0,+(LOOKUP(9.99999999999999E+307,N337:N368)-N337))</f>
        <v>0</v>
      </c>
      <c r="Q362" s="74">
        <f>IF(P362="",0,+P362/SUM(R338:R368))</f>
        <v>0</v>
      </c>
      <c r="R362" s="20">
        <f t="shared" si="45"/>
        <v>1</v>
      </c>
      <c r="S362" s="20">
        <f t="shared" si="48"/>
        <v>0</v>
      </c>
      <c r="T362" s="64"/>
    </row>
    <row r="363" spans="1:20" ht="15.75" thickBot="1" x14ac:dyDescent="0.3">
      <c r="A363" s="53">
        <v>44557</v>
      </c>
      <c r="D363" s="55">
        <v>0.14199999999999999</v>
      </c>
      <c r="E363" s="56">
        <v>1854.924</v>
      </c>
      <c r="F363" s="57">
        <v>61.238</v>
      </c>
      <c r="G363" s="58"/>
      <c r="H363" s="58">
        <v>4140</v>
      </c>
      <c r="I363" s="58">
        <f t="shared" si="42"/>
        <v>20132.820000000233</v>
      </c>
      <c r="J363" s="58">
        <f t="shared" si="43"/>
        <v>322.92000000001224</v>
      </c>
      <c r="K363" s="59">
        <f t="shared" si="51"/>
        <v>1.603948180135761E-2</v>
      </c>
      <c r="L363" s="58">
        <f t="shared" si="46"/>
        <v>322.92000000001224</v>
      </c>
      <c r="M363" s="59">
        <f t="shared" ref="M363:M368" si="52">IF(L363="","",(L363/I363))</f>
        <v>1.603948180135761E-2</v>
      </c>
      <c r="N363" s="60">
        <v>66068309</v>
      </c>
      <c r="O363" s="60">
        <f t="shared" si="44"/>
        <v>0</v>
      </c>
      <c r="P363" s="75" t="s">
        <v>50</v>
      </c>
      <c r="Q363" s="76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3">
        <v>44558</v>
      </c>
      <c r="D364" s="55">
        <v>0.14199999999999999</v>
      </c>
      <c r="E364" s="56">
        <v>1860.905</v>
      </c>
      <c r="F364" s="57">
        <v>61.329000000000001</v>
      </c>
      <c r="G364" s="58"/>
      <c r="H364" s="58">
        <v>4140</v>
      </c>
      <c r="I364" s="58">
        <f t="shared" si="42"/>
        <v>24761.339999999978</v>
      </c>
      <c r="J364" s="58">
        <f t="shared" si="43"/>
        <v>376.74000000000444</v>
      </c>
      <c r="K364" s="59">
        <f t="shared" si="51"/>
        <v>1.5214847015549432E-2</v>
      </c>
      <c r="L364" s="58">
        <f t="shared" si="46"/>
        <v>376.74000000000444</v>
      </c>
      <c r="M364" s="59">
        <f t="shared" si="52"/>
        <v>1.5214847015549432E-2</v>
      </c>
      <c r="N364" s="60">
        <v>66068309</v>
      </c>
      <c r="O364" s="60">
        <f t="shared" si="44"/>
        <v>0</v>
      </c>
      <c r="P364" s="77">
        <f>IF(D337="",0,+(LOOKUP(9.99999999999999E+307,D337:D368)-D337))*4140</f>
        <v>0</v>
      </c>
      <c r="Q364" s="78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3">
        <v>44559</v>
      </c>
      <c r="D365" s="55">
        <v>0.14199999999999999</v>
      </c>
      <c r="E365" s="56">
        <v>1866.61</v>
      </c>
      <c r="F365" s="57">
        <v>61.423000000000002</v>
      </c>
      <c r="G365" s="58"/>
      <c r="H365" s="58">
        <v>4140</v>
      </c>
      <c r="I365" s="58">
        <f t="shared" si="42"/>
        <v>23618.699999999699</v>
      </c>
      <c r="J365" s="58">
        <f t="shared" si="43"/>
        <v>389.16000000000497</v>
      </c>
      <c r="K365" s="59">
        <f t="shared" si="51"/>
        <v>1.6476774758983768E-2</v>
      </c>
      <c r="L365" s="58">
        <f t="shared" si="46"/>
        <v>389.16000000000497</v>
      </c>
      <c r="M365" s="59">
        <f t="shared" si="52"/>
        <v>1.6476774758983768E-2</v>
      </c>
      <c r="N365" s="60">
        <v>66068309</v>
      </c>
      <c r="O365" s="60">
        <f t="shared" si="44"/>
        <v>0</v>
      </c>
      <c r="P365" s="79" t="s">
        <v>52</v>
      </c>
      <c r="Q365" s="80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3">
        <v>44560</v>
      </c>
      <c r="D366" s="55">
        <v>0.14199999999999999</v>
      </c>
      <c r="E366" s="56">
        <v>1872.056</v>
      </c>
      <c r="F366" s="57">
        <v>61.496000000000002</v>
      </c>
      <c r="G366" s="58"/>
      <c r="H366" s="58">
        <v>4140</v>
      </c>
      <c r="I366" s="58">
        <f t="shared" si="42"/>
        <v>22546.440000000581</v>
      </c>
      <c r="J366" s="58">
        <f t="shared" si="43"/>
        <v>302.22000000000162</v>
      </c>
      <c r="K366" s="59">
        <f t="shared" si="51"/>
        <v>1.3404333455747064E-2</v>
      </c>
      <c r="L366" s="58">
        <f t="shared" si="46"/>
        <v>302.22000000000162</v>
      </c>
      <c r="M366" s="59">
        <f t="shared" si="52"/>
        <v>1.3404333455747064E-2</v>
      </c>
      <c r="N366" s="60">
        <v>66068309</v>
      </c>
      <c r="O366" s="60">
        <f t="shared" si="44"/>
        <v>0</v>
      </c>
      <c r="P366" s="81">
        <f>P364*Q369</f>
        <v>0</v>
      </c>
      <c r="Q366" s="82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3">
        <v>44561</v>
      </c>
      <c r="D367" s="55">
        <v>0.14199999999999999</v>
      </c>
      <c r="E367" s="56">
        <v>1877.924</v>
      </c>
      <c r="F367" s="57">
        <v>61.573</v>
      </c>
      <c r="G367" s="58"/>
      <c r="H367" s="58">
        <v>4140</v>
      </c>
      <c r="I367" s="58">
        <f t="shared" si="42"/>
        <v>24293.519999999742</v>
      </c>
      <c r="J367" s="58">
        <f t="shared" si="43"/>
        <v>318.77999999999247</v>
      </c>
      <c r="K367" s="59">
        <f t="shared" si="51"/>
        <v>1.3122017723244546E-2</v>
      </c>
      <c r="L367" s="58">
        <f t="shared" si="46"/>
        <v>318.77999999999247</v>
      </c>
      <c r="M367" s="59">
        <f t="shared" si="52"/>
        <v>1.3122017723244546E-2</v>
      </c>
      <c r="N367" s="60">
        <v>66068309</v>
      </c>
      <c r="O367" s="60">
        <f t="shared" si="44"/>
        <v>0</v>
      </c>
      <c r="P367" s="84" t="s">
        <v>54</v>
      </c>
      <c r="Q367" s="85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3">
        <v>44562</v>
      </c>
      <c r="D368" s="55">
        <v>0.14199999999999999</v>
      </c>
      <c r="E368" s="56">
        <v>1883.77</v>
      </c>
      <c r="F368" s="57">
        <v>61.636000000000003</v>
      </c>
      <c r="G368" s="58"/>
      <c r="H368" s="58">
        <v>4140</v>
      </c>
      <c r="I368" s="58">
        <f t="shared" si="42"/>
        <v>24202.440000000017</v>
      </c>
      <c r="J368" s="58">
        <f t="shared" ref="J368:J431" si="53">IF(E368="","",+(F368-F367)*4140)</f>
        <v>260.82000000000988</v>
      </c>
      <c r="K368" s="59">
        <f t="shared" ref="K368:K431" si="54">IF(J368="","",+(J368/I368))</f>
        <v>1.0776599384194722E-2</v>
      </c>
      <c r="L368" s="58">
        <f t="shared" ref="L368:L431" si="55">IF(F368="","",+(F368-F367)*4140)</f>
        <v>260.82000000000988</v>
      </c>
      <c r="M368" s="59">
        <f t="shared" ref="M368:M431" si="56">IF(L368="","",(L368/I368))</f>
        <v>1.0776599384194722E-2</v>
      </c>
      <c r="N368" s="60">
        <v>66068309</v>
      </c>
      <c r="O368" s="60">
        <v>0</v>
      </c>
      <c r="P368" s="92">
        <f>(P366+Q364*SUM(S338:S368)*Q369)</f>
        <v>0</v>
      </c>
      <c r="Q368" s="93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53">
        <v>44563</v>
      </c>
      <c r="D369" s="55">
        <v>0.14199999999999999</v>
      </c>
      <c r="E369" s="56">
        <v>1889.625</v>
      </c>
      <c r="F369" s="57">
        <v>61.732999999999997</v>
      </c>
      <c r="G369" s="58"/>
      <c r="H369" s="58">
        <v>4140</v>
      </c>
      <c r="I369" s="58">
        <f t="shared" si="42"/>
        <v>24239.700000000077</v>
      </c>
      <c r="J369" s="58">
        <f t="shared" si="53"/>
        <v>401.579999999976</v>
      </c>
      <c r="K369" s="59">
        <f t="shared" si="54"/>
        <v>1.6567036720750453E-2</v>
      </c>
      <c r="L369" s="58">
        <f t="shared" si="55"/>
        <v>401.579999999976</v>
      </c>
      <c r="M369" s="59">
        <f t="shared" si="56"/>
        <v>1.6567036720750453E-2</v>
      </c>
      <c r="N369" s="60">
        <v>66068309</v>
      </c>
      <c r="O369" s="60">
        <v>0</v>
      </c>
      <c r="P369" s="94" t="s">
        <v>56</v>
      </c>
      <c r="Q369" s="95">
        <v>0.56999999999999995</v>
      </c>
      <c r="S369" s="20"/>
    </row>
    <row r="370" spans="1:19" ht="13.5" customHeight="1" thickBot="1" x14ac:dyDescent="0.3">
      <c r="A370" s="53">
        <v>44564</v>
      </c>
      <c r="D370" s="55"/>
      <c r="E370" s="56"/>
      <c r="F370" s="57"/>
      <c r="G370" s="58"/>
      <c r="H370" s="58"/>
      <c r="I370" s="58" t="str">
        <f t="shared" si="42"/>
        <v/>
      </c>
      <c r="J370" s="58" t="str">
        <f t="shared" si="53"/>
        <v/>
      </c>
      <c r="K370" s="59" t="str">
        <f t="shared" si="54"/>
        <v/>
      </c>
      <c r="L370" s="58" t="str">
        <f t="shared" si="55"/>
        <v/>
      </c>
      <c r="M370" s="59" t="str">
        <f t="shared" si="56"/>
        <v/>
      </c>
      <c r="N370" s="60"/>
      <c r="O370" s="60">
        <v>0</v>
      </c>
      <c r="S370" s="20"/>
    </row>
    <row r="371" spans="1:19" ht="14.25" customHeight="1" thickBot="1" x14ac:dyDescent="0.3">
      <c r="A371" s="53">
        <v>44565</v>
      </c>
      <c r="D371" s="55"/>
      <c r="E371" s="56"/>
      <c r="F371" s="57"/>
      <c r="G371" s="58"/>
      <c r="H371" s="58"/>
      <c r="I371" s="58" t="str">
        <f t="shared" si="42"/>
        <v/>
      </c>
      <c r="J371" s="58" t="str">
        <f t="shared" si="53"/>
        <v/>
      </c>
      <c r="K371" s="59" t="str">
        <f t="shared" si="54"/>
        <v/>
      </c>
      <c r="L371" s="58" t="str">
        <f t="shared" si="55"/>
        <v/>
      </c>
      <c r="M371" s="59" t="str">
        <f t="shared" si="56"/>
        <v/>
      </c>
      <c r="N371" s="60"/>
      <c r="O371" s="60">
        <v>0</v>
      </c>
      <c r="P371" s="139" t="s">
        <v>70</v>
      </c>
    </row>
    <row r="372" spans="1:19" ht="15.75" thickBot="1" x14ac:dyDescent="0.3">
      <c r="A372" s="53">
        <v>44566</v>
      </c>
      <c r="D372" s="55"/>
      <c r="E372" s="56"/>
      <c r="F372" s="57"/>
      <c r="G372" s="58"/>
      <c r="H372" s="58"/>
      <c r="I372" s="58" t="str">
        <f t="shared" si="42"/>
        <v/>
      </c>
      <c r="J372" s="58" t="str">
        <f t="shared" si="53"/>
        <v/>
      </c>
      <c r="K372" s="59" t="str">
        <f t="shared" si="54"/>
        <v/>
      </c>
      <c r="L372" s="58" t="str">
        <f t="shared" si="55"/>
        <v/>
      </c>
      <c r="M372" s="59" t="str">
        <f t="shared" si="56"/>
        <v/>
      </c>
      <c r="N372" s="60"/>
      <c r="O372" s="60">
        <v>0</v>
      </c>
    </row>
    <row r="373" spans="1:19" ht="15.75" thickBot="1" x14ac:dyDescent="0.3">
      <c r="A373" s="53">
        <v>44567</v>
      </c>
      <c r="D373" s="55"/>
      <c r="E373" s="56"/>
      <c r="F373" s="57"/>
      <c r="G373" s="58"/>
      <c r="H373" s="58"/>
      <c r="I373" s="58" t="str">
        <f t="shared" si="42"/>
        <v/>
      </c>
      <c r="J373" s="58" t="str">
        <f t="shared" si="53"/>
        <v/>
      </c>
      <c r="K373" s="59" t="str">
        <f t="shared" si="54"/>
        <v/>
      </c>
      <c r="L373" s="58" t="str">
        <f t="shared" si="55"/>
        <v/>
      </c>
      <c r="M373" s="59" t="str">
        <f t="shared" si="56"/>
        <v/>
      </c>
      <c r="N373" s="60"/>
      <c r="O373" s="60">
        <v>0</v>
      </c>
    </row>
    <row r="374" spans="1:19" ht="15.75" thickBot="1" x14ac:dyDescent="0.3">
      <c r="A374" s="53">
        <v>44568</v>
      </c>
      <c r="D374" s="55"/>
      <c r="E374" s="56"/>
      <c r="F374" s="57"/>
      <c r="G374" s="58"/>
      <c r="H374" s="58"/>
      <c r="I374" s="58" t="str">
        <f t="shared" si="42"/>
        <v/>
      </c>
      <c r="J374" s="58" t="str">
        <f t="shared" si="53"/>
        <v/>
      </c>
      <c r="K374" s="59" t="str">
        <f t="shared" si="54"/>
        <v/>
      </c>
      <c r="L374" s="58" t="str">
        <f t="shared" si="55"/>
        <v/>
      </c>
      <c r="M374" s="59" t="str">
        <f t="shared" si="56"/>
        <v/>
      </c>
      <c r="N374" s="60"/>
      <c r="O374" s="60">
        <v>0</v>
      </c>
    </row>
    <row r="375" spans="1:19" ht="15.75" thickBot="1" x14ac:dyDescent="0.3">
      <c r="A375" s="53">
        <v>44569</v>
      </c>
      <c r="D375" s="55"/>
      <c r="E375" s="56"/>
      <c r="F375" s="57"/>
      <c r="G375" s="58"/>
      <c r="H375" s="58"/>
      <c r="I375" s="58" t="str">
        <f t="shared" si="42"/>
        <v/>
      </c>
      <c r="J375" s="58" t="str">
        <f t="shared" si="53"/>
        <v/>
      </c>
      <c r="K375" s="59" t="str">
        <f t="shared" si="54"/>
        <v/>
      </c>
      <c r="L375" s="58" t="str">
        <f t="shared" si="55"/>
        <v/>
      </c>
      <c r="M375" s="59" t="str">
        <f t="shared" si="56"/>
        <v/>
      </c>
      <c r="N375" s="60"/>
      <c r="O375" s="60">
        <v>0</v>
      </c>
    </row>
    <row r="376" spans="1:19" ht="15.75" thickBot="1" x14ac:dyDescent="0.3">
      <c r="A376" s="53">
        <v>44570</v>
      </c>
      <c r="D376" s="55"/>
      <c r="E376" s="56"/>
      <c r="F376" s="57"/>
      <c r="G376" s="58"/>
      <c r="H376" s="58"/>
      <c r="I376" s="58" t="str">
        <f t="shared" si="42"/>
        <v/>
      </c>
      <c r="J376" s="58" t="str">
        <f t="shared" si="53"/>
        <v/>
      </c>
      <c r="K376" s="59" t="str">
        <f t="shared" si="54"/>
        <v/>
      </c>
      <c r="L376" s="58" t="str">
        <f t="shared" si="55"/>
        <v/>
      </c>
      <c r="M376" s="59" t="str">
        <f t="shared" si="56"/>
        <v/>
      </c>
      <c r="N376" s="60"/>
      <c r="O376" s="60">
        <v>0</v>
      </c>
    </row>
    <row r="377" spans="1:19" ht="15.75" thickBot="1" x14ac:dyDescent="0.3">
      <c r="A377" s="53">
        <v>44571</v>
      </c>
      <c r="D377" s="55"/>
      <c r="E377" s="56"/>
      <c r="F377" s="57"/>
      <c r="G377" s="58"/>
      <c r="H377" s="58"/>
      <c r="I377" s="58" t="str">
        <f t="shared" si="42"/>
        <v/>
      </c>
      <c r="J377" s="58" t="str">
        <f t="shared" si="53"/>
        <v/>
      </c>
      <c r="K377" s="59" t="str">
        <f t="shared" si="54"/>
        <v/>
      </c>
      <c r="L377" s="58" t="str">
        <f t="shared" si="55"/>
        <v/>
      </c>
      <c r="M377" s="59" t="str">
        <f t="shared" si="56"/>
        <v/>
      </c>
      <c r="N377" s="60"/>
      <c r="O377" s="60">
        <v>0</v>
      </c>
    </row>
    <row r="378" spans="1:19" ht="15.75" thickBot="1" x14ac:dyDescent="0.3">
      <c r="A378" s="53">
        <v>44572</v>
      </c>
      <c r="D378" s="55"/>
      <c r="E378" s="56"/>
      <c r="F378" s="57"/>
      <c r="G378" s="58"/>
      <c r="H378" s="58"/>
      <c r="I378" s="58" t="str">
        <f t="shared" si="42"/>
        <v/>
      </c>
      <c r="J378" s="58" t="str">
        <f t="shared" si="53"/>
        <v/>
      </c>
      <c r="K378" s="59" t="str">
        <f t="shared" si="54"/>
        <v/>
      </c>
      <c r="L378" s="58" t="str">
        <f t="shared" si="55"/>
        <v/>
      </c>
      <c r="M378" s="59" t="str">
        <f t="shared" si="56"/>
        <v/>
      </c>
      <c r="N378" s="60"/>
      <c r="O378" s="60">
        <v>0</v>
      </c>
    </row>
    <row r="379" spans="1:19" ht="15.75" thickBot="1" x14ac:dyDescent="0.3">
      <c r="A379" s="53">
        <v>44573</v>
      </c>
      <c r="D379" s="55"/>
      <c r="E379" s="56"/>
      <c r="F379" s="57"/>
      <c r="G379" s="58"/>
      <c r="H379" s="58"/>
      <c r="I379" s="58" t="str">
        <f t="shared" si="42"/>
        <v/>
      </c>
      <c r="J379" s="58" t="str">
        <f t="shared" si="53"/>
        <v/>
      </c>
      <c r="K379" s="59" t="str">
        <f t="shared" si="54"/>
        <v/>
      </c>
      <c r="L379" s="58" t="str">
        <f t="shared" si="55"/>
        <v/>
      </c>
      <c r="M379" s="59" t="str">
        <f t="shared" si="56"/>
        <v/>
      </c>
      <c r="N379" s="60"/>
      <c r="O379" s="60">
        <v>0</v>
      </c>
    </row>
    <row r="380" spans="1:19" ht="15.75" thickBot="1" x14ac:dyDescent="0.3">
      <c r="A380" s="53">
        <v>44574</v>
      </c>
      <c r="D380" s="55"/>
      <c r="E380" s="56"/>
      <c r="F380" s="57"/>
      <c r="G380" s="58"/>
      <c r="H380" s="58"/>
      <c r="I380" s="58" t="str">
        <f t="shared" ref="I380:I394" si="57">IF(D380="","",+(E380-E379)*4140)</f>
        <v/>
      </c>
      <c r="J380" s="58" t="str">
        <f t="shared" si="53"/>
        <v/>
      </c>
      <c r="K380" s="59" t="str">
        <f t="shared" si="54"/>
        <v/>
      </c>
      <c r="L380" s="58" t="str">
        <f t="shared" si="55"/>
        <v/>
      </c>
      <c r="M380" s="59" t="str">
        <f t="shared" si="56"/>
        <v/>
      </c>
      <c r="N380" s="60"/>
      <c r="O380" s="60">
        <v>0</v>
      </c>
    </row>
    <row r="381" spans="1:19" ht="15.75" thickBot="1" x14ac:dyDescent="0.3">
      <c r="A381" s="53">
        <v>44575</v>
      </c>
      <c r="D381" s="55"/>
      <c r="E381" s="56"/>
      <c r="F381" s="57"/>
      <c r="G381" s="58"/>
      <c r="H381" s="58"/>
      <c r="I381" s="58" t="str">
        <f t="shared" si="57"/>
        <v/>
      </c>
      <c r="J381" s="58" t="str">
        <f t="shared" si="53"/>
        <v/>
      </c>
      <c r="K381" s="59" t="str">
        <f t="shared" si="54"/>
        <v/>
      </c>
      <c r="L381" s="58" t="str">
        <f t="shared" si="55"/>
        <v/>
      </c>
      <c r="M381" s="59" t="str">
        <f t="shared" si="56"/>
        <v/>
      </c>
      <c r="N381" s="60"/>
      <c r="O381" s="60">
        <v>0</v>
      </c>
    </row>
    <row r="382" spans="1:19" ht="15.75" thickBot="1" x14ac:dyDescent="0.3">
      <c r="A382" s="53">
        <v>44576</v>
      </c>
      <c r="D382" s="55"/>
      <c r="E382" s="56"/>
      <c r="F382" s="57"/>
      <c r="G382" s="58"/>
      <c r="H382" s="58"/>
      <c r="I382" s="58" t="str">
        <f t="shared" si="57"/>
        <v/>
      </c>
      <c r="J382" s="58" t="str">
        <f t="shared" si="53"/>
        <v/>
      </c>
      <c r="K382" s="59" t="str">
        <f t="shared" si="54"/>
        <v/>
      </c>
      <c r="L382" s="58" t="str">
        <f t="shared" si="55"/>
        <v/>
      </c>
      <c r="M382" s="59" t="str">
        <f t="shared" si="56"/>
        <v/>
      </c>
      <c r="N382" s="60"/>
      <c r="O382" s="60">
        <v>0</v>
      </c>
    </row>
    <row r="383" spans="1:19" ht="15.75" thickBot="1" x14ac:dyDescent="0.3">
      <c r="A383" s="53">
        <v>44577</v>
      </c>
      <c r="D383" s="55"/>
      <c r="E383" s="56"/>
      <c r="F383" s="57"/>
      <c r="G383" s="58"/>
      <c r="H383" s="58"/>
      <c r="I383" s="58" t="str">
        <f t="shared" si="57"/>
        <v/>
      </c>
      <c r="J383" s="58" t="str">
        <f t="shared" si="53"/>
        <v/>
      </c>
      <c r="K383" s="59" t="str">
        <f t="shared" si="54"/>
        <v/>
      </c>
      <c r="L383" s="58" t="str">
        <f t="shared" si="55"/>
        <v/>
      </c>
      <c r="M383" s="59" t="str">
        <f t="shared" si="56"/>
        <v/>
      </c>
      <c r="N383" s="60"/>
      <c r="O383" s="60">
        <v>0</v>
      </c>
    </row>
    <row r="384" spans="1:19" ht="15.75" thickBot="1" x14ac:dyDescent="0.3">
      <c r="A384" s="53">
        <v>44578</v>
      </c>
      <c r="D384" s="55"/>
      <c r="E384" s="56"/>
      <c r="F384" s="57"/>
      <c r="G384" s="58"/>
      <c r="H384" s="58"/>
      <c r="I384" s="58" t="str">
        <f t="shared" si="57"/>
        <v/>
      </c>
      <c r="J384" s="58" t="str">
        <f t="shared" si="53"/>
        <v/>
      </c>
      <c r="K384" s="59" t="str">
        <f t="shared" si="54"/>
        <v/>
      </c>
      <c r="L384" s="58" t="str">
        <f t="shared" si="55"/>
        <v/>
      </c>
      <c r="M384" s="59" t="str">
        <f t="shared" si="56"/>
        <v/>
      </c>
      <c r="N384" s="60"/>
      <c r="O384" s="60">
        <v>0</v>
      </c>
    </row>
    <row r="385" spans="1:15" ht="15.75" thickBot="1" x14ac:dyDescent="0.3">
      <c r="A385" s="53">
        <v>44579</v>
      </c>
      <c r="D385" s="55"/>
      <c r="E385" s="56"/>
      <c r="F385" s="57"/>
      <c r="G385" s="58"/>
      <c r="H385" s="58"/>
      <c r="I385" s="58" t="str">
        <f t="shared" si="57"/>
        <v/>
      </c>
      <c r="J385" s="58" t="str">
        <f t="shared" si="53"/>
        <v/>
      </c>
      <c r="K385" s="59" t="str">
        <f t="shared" si="54"/>
        <v/>
      </c>
      <c r="L385" s="58" t="str">
        <f t="shared" si="55"/>
        <v/>
      </c>
      <c r="M385" s="59" t="str">
        <f t="shared" si="56"/>
        <v/>
      </c>
      <c r="N385" s="60"/>
      <c r="O385" s="60">
        <v>0</v>
      </c>
    </row>
    <row r="386" spans="1:15" ht="15.75" thickBot="1" x14ac:dyDescent="0.3">
      <c r="A386" s="53">
        <v>44580</v>
      </c>
      <c r="D386" s="55"/>
      <c r="E386" s="56"/>
      <c r="F386" s="57"/>
      <c r="G386" s="58"/>
      <c r="H386" s="58"/>
      <c r="I386" s="58" t="str">
        <f t="shared" si="57"/>
        <v/>
      </c>
      <c r="J386" s="58" t="str">
        <f t="shared" si="53"/>
        <v/>
      </c>
      <c r="K386" s="59" t="str">
        <f t="shared" si="54"/>
        <v/>
      </c>
      <c r="L386" s="58" t="str">
        <f t="shared" si="55"/>
        <v/>
      </c>
      <c r="M386" s="59" t="str">
        <f t="shared" si="56"/>
        <v/>
      </c>
      <c r="N386" s="60"/>
      <c r="O386" s="60">
        <v>0</v>
      </c>
    </row>
    <row r="387" spans="1:15" ht="15.75" thickBot="1" x14ac:dyDescent="0.3">
      <c r="A387" s="53">
        <v>44581</v>
      </c>
      <c r="D387" s="55"/>
      <c r="E387" s="56"/>
      <c r="F387" s="57"/>
      <c r="G387" s="58"/>
      <c r="H387" s="58"/>
      <c r="I387" s="58" t="str">
        <f t="shared" si="57"/>
        <v/>
      </c>
      <c r="J387" s="58" t="str">
        <f t="shared" si="53"/>
        <v/>
      </c>
      <c r="K387" s="59" t="str">
        <f t="shared" si="54"/>
        <v/>
      </c>
      <c r="L387" s="58" t="str">
        <f t="shared" si="55"/>
        <v/>
      </c>
      <c r="M387" s="59" t="str">
        <f t="shared" si="56"/>
        <v/>
      </c>
      <c r="N387" s="60"/>
      <c r="O387" s="60">
        <v>0</v>
      </c>
    </row>
    <row r="388" spans="1:15" ht="15.75" thickBot="1" x14ac:dyDescent="0.3">
      <c r="A388" s="53">
        <v>44582</v>
      </c>
      <c r="D388" s="55"/>
      <c r="E388" s="56"/>
      <c r="F388" s="57"/>
      <c r="G388" s="58"/>
      <c r="H388" s="58"/>
      <c r="I388" s="58" t="str">
        <f t="shared" si="57"/>
        <v/>
      </c>
      <c r="J388" s="58" t="str">
        <f t="shared" si="53"/>
        <v/>
      </c>
      <c r="K388" s="59" t="str">
        <f t="shared" si="54"/>
        <v/>
      </c>
      <c r="L388" s="58" t="str">
        <f t="shared" si="55"/>
        <v/>
      </c>
      <c r="M388" s="59" t="str">
        <f t="shared" si="56"/>
        <v/>
      </c>
      <c r="N388" s="60"/>
      <c r="O388" s="60">
        <v>0</v>
      </c>
    </row>
    <row r="389" spans="1:15" ht="15.75" thickBot="1" x14ac:dyDescent="0.3">
      <c r="A389" s="53">
        <v>44583</v>
      </c>
      <c r="D389" s="55"/>
      <c r="E389" s="56"/>
      <c r="F389" s="57"/>
      <c r="G389" s="58"/>
      <c r="H389" s="58"/>
      <c r="I389" s="58" t="str">
        <f t="shared" si="57"/>
        <v/>
      </c>
      <c r="J389" s="58" t="str">
        <f t="shared" si="53"/>
        <v/>
      </c>
      <c r="K389" s="59" t="str">
        <f t="shared" si="54"/>
        <v/>
      </c>
      <c r="L389" s="58" t="str">
        <f t="shared" si="55"/>
        <v/>
      </c>
      <c r="M389" s="59" t="str">
        <f t="shared" si="56"/>
        <v/>
      </c>
      <c r="N389" s="60"/>
      <c r="O389" s="60">
        <v>0</v>
      </c>
    </row>
    <row r="390" spans="1:15" ht="15.75" thickBot="1" x14ac:dyDescent="0.3">
      <c r="A390" s="53">
        <v>44584</v>
      </c>
      <c r="D390" s="55"/>
      <c r="E390" s="56"/>
      <c r="F390" s="57"/>
      <c r="G390" s="58"/>
      <c r="H390" s="58"/>
      <c r="I390" s="58" t="str">
        <f t="shared" si="57"/>
        <v/>
      </c>
      <c r="J390" s="58" t="str">
        <f t="shared" si="53"/>
        <v/>
      </c>
      <c r="K390" s="59" t="str">
        <f t="shared" si="54"/>
        <v/>
      </c>
      <c r="L390" s="58" t="str">
        <f t="shared" si="55"/>
        <v/>
      </c>
      <c r="M390" s="59" t="str">
        <f t="shared" si="56"/>
        <v/>
      </c>
      <c r="N390" s="60"/>
      <c r="O390" s="60">
        <v>0</v>
      </c>
    </row>
    <row r="391" spans="1:15" ht="15.75" thickBot="1" x14ac:dyDescent="0.3">
      <c r="A391" s="53">
        <v>44585</v>
      </c>
      <c r="D391" s="55"/>
      <c r="E391" s="56"/>
      <c r="F391" s="57"/>
      <c r="G391" s="58"/>
      <c r="H391" s="58"/>
      <c r="I391" s="58" t="str">
        <f t="shared" si="57"/>
        <v/>
      </c>
      <c r="J391" s="58" t="str">
        <f t="shared" si="53"/>
        <v/>
      </c>
      <c r="K391" s="59" t="str">
        <f t="shared" si="54"/>
        <v/>
      </c>
      <c r="L391" s="58" t="str">
        <f t="shared" si="55"/>
        <v/>
      </c>
      <c r="M391" s="59" t="str">
        <f t="shared" si="56"/>
        <v/>
      </c>
      <c r="N391" s="60"/>
      <c r="O391" s="60">
        <v>0</v>
      </c>
    </row>
    <row r="392" spans="1:15" ht="15.75" thickBot="1" x14ac:dyDescent="0.3">
      <c r="A392" s="53">
        <v>44586</v>
      </c>
      <c r="D392" s="55"/>
      <c r="E392" s="56"/>
      <c r="F392" s="57"/>
      <c r="G392" s="58"/>
      <c r="H392" s="58"/>
      <c r="I392" s="58" t="str">
        <f t="shared" si="57"/>
        <v/>
      </c>
      <c r="J392" s="58" t="str">
        <f t="shared" si="53"/>
        <v/>
      </c>
      <c r="K392" s="59" t="str">
        <f t="shared" si="54"/>
        <v/>
      </c>
      <c r="L392" s="58" t="str">
        <f t="shared" si="55"/>
        <v/>
      </c>
      <c r="M392" s="59" t="str">
        <f t="shared" si="56"/>
        <v/>
      </c>
      <c r="N392" s="60"/>
      <c r="O392" s="60">
        <v>0</v>
      </c>
    </row>
    <row r="393" spans="1:15" ht="15.75" thickBot="1" x14ac:dyDescent="0.3">
      <c r="A393" s="53">
        <v>44587</v>
      </c>
      <c r="D393" s="55"/>
      <c r="E393" s="56"/>
      <c r="F393" s="57"/>
      <c r="G393" s="58"/>
      <c r="H393" s="58"/>
      <c r="I393" s="58" t="str">
        <f t="shared" si="57"/>
        <v/>
      </c>
      <c r="J393" s="58" t="str">
        <f t="shared" si="53"/>
        <v/>
      </c>
      <c r="K393" s="59" t="str">
        <f t="shared" si="54"/>
        <v/>
      </c>
      <c r="L393" s="58" t="str">
        <f t="shared" si="55"/>
        <v/>
      </c>
      <c r="M393" s="59" t="str">
        <f t="shared" si="56"/>
        <v/>
      </c>
      <c r="N393" s="60"/>
      <c r="O393" s="60">
        <v>0</v>
      </c>
    </row>
    <row r="394" spans="1:15" ht="15.75" thickBot="1" x14ac:dyDescent="0.3">
      <c r="A394" s="53">
        <v>44588</v>
      </c>
      <c r="D394" s="55"/>
      <c r="E394" s="56"/>
      <c r="F394" s="57"/>
      <c r="G394" s="58"/>
      <c r="H394" s="58"/>
      <c r="I394" s="58" t="str">
        <f t="shared" si="57"/>
        <v/>
      </c>
      <c r="J394" s="58" t="str">
        <f t="shared" si="53"/>
        <v/>
      </c>
      <c r="K394" s="59" t="str">
        <f t="shared" si="54"/>
        <v/>
      </c>
      <c r="L394" s="58" t="str">
        <f t="shared" si="55"/>
        <v/>
      </c>
      <c r="M394" s="59" t="str">
        <f t="shared" si="56"/>
        <v/>
      </c>
      <c r="N394" s="60"/>
      <c r="O394" s="60">
        <v>0</v>
      </c>
    </row>
    <row r="395" spans="1:15" ht="15.75" thickBot="1" x14ac:dyDescent="0.3">
      <c r="A395" s="53">
        <v>44589</v>
      </c>
      <c r="D395" s="55"/>
      <c r="E395" s="56"/>
      <c r="F395" s="57"/>
      <c r="G395" s="58"/>
      <c r="H395" s="58"/>
      <c r="I395" s="58" t="str">
        <f t="shared" ref="I368:I431" si="58">IF(D395="","",+(D395-D394)*4140)</f>
        <v/>
      </c>
      <c r="J395" s="58" t="str">
        <f t="shared" si="53"/>
        <v/>
      </c>
      <c r="K395" s="59" t="str">
        <f t="shared" si="54"/>
        <v/>
      </c>
      <c r="L395" s="58" t="str">
        <f t="shared" si="55"/>
        <v/>
      </c>
      <c r="M395" s="59" t="str">
        <f t="shared" si="56"/>
        <v/>
      </c>
      <c r="N395" s="60"/>
      <c r="O395" s="60">
        <v>0</v>
      </c>
    </row>
    <row r="396" spans="1:15" ht="15.75" thickBot="1" x14ac:dyDescent="0.3">
      <c r="A396" s="53">
        <v>44590</v>
      </c>
      <c r="D396" s="55"/>
      <c r="E396" s="56"/>
      <c r="F396" s="57"/>
      <c r="G396" s="58"/>
      <c r="H396" s="58"/>
      <c r="I396" s="58" t="str">
        <f t="shared" si="58"/>
        <v/>
      </c>
      <c r="J396" s="58" t="str">
        <f t="shared" si="53"/>
        <v/>
      </c>
      <c r="K396" s="59" t="str">
        <f t="shared" si="54"/>
        <v/>
      </c>
      <c r="L396" s="58" t="str">
        <f t="shared" si="55"/>
        <v/>
      </c>
      <c r="M396" s="59" t="str">
        <f t="shared" si="56"/>
        <v/>
      </c>
      <c r="N396" s="60"/>
      <c r="O396" s="60">
        <v>0</v>
      </c>
    </row>
    <row r="397" spans="1:15" ht="15.75" thickBot="1" x14ac:dyDescent="0.3">
      <c r="A397" s="53">
        <v>44591</v>
      </c>
      <c r="D397" s="55"/>
      <c r="E397" s="56"/>
      <c r="F397" s="57"/>
      <c r="G397" s="58"/>
      <c r="H397" s="58"/>
      <c r="I397" s="58" t="str">
        <f t="shared" si="58"/>
        <v/>
      </c>
      <c r="J397" s="58" t="str">
        <f t="shared" si="53"/>
        <v/>
      </c>
      <c r="K397" s="59" t="str">
        <f t="shared" si="54"/>
        <v/>
      </c>
      <c r="L397" s="58" t="str">
        <f t="shared" si="55"/>
        <v/>
      </c>
      <c r="M397" s="59" t="str">
        <f t="shared" si="56"/>
        <v/>
      </c>
      <c r="N397" s="60"/>
      <c r="O397" s="60">
        <v>0</v>
      </c>
    </row>
    <row r="398" spans="1:15" ht="15.75" thickBot="1" x14ac:dyDescent="0.3">
      <c r="A398" s="53">
        <v>44592</v>
      </c>
      <c r="D398" s="55"/>
      <c r="E398" s="56"/>
      <c r="F398" s="57"/>
      <c r="G398" s="58"/>
      <c r="H398" s="58"/>
      <c r="I398" s="58" t="str">
        <f t="shared" si="58"/>
        <v/>
      </c>
      <c r="J398" s="58" t="str">
        <f t="shared" si="53"/>
        <v/>
      </c>
      <c r="K398" s="59" t="str">
        <f t="shared" si="54"/>
        <v/>
      </c>
      <c r="L398" s="58" t="str">
        <f t="shared" si="55"/>
        <v/>
      </c>
      <c r="M398" s="59" t="str">
        <f t="shared" si="56"/>
        <v/>
      </c>
      <c r="N398" s="60"/>
      <c r="O398" s="60">
        <v>0</v>
      </c>
    </row>
    <row r="399" spans="1:15" ht="15.75" thickBot="1" x14ac:dyDescent="0.3">
      <c r="A399" s="53">
        <v>44593</v>
      </c>
      <c r="D399" s="55"/>
      <c r="E399" s="56"/>
      <c r="F399" s="57"/>
      <c r="G399" s="58"/>
      <c r="H399" s="58"/>
      <c r="I399" s="58" t="str">
        <f t="shared" si="58"/>
        <v/>
      </c>
      <c r="J399" s="58" t="str">
        <f t="shared" si="53"/>
        <v/>
      </c>
      <c r="K399" s="59" t="str">
        <f t="shared" si="54"/>
        <v/>
      </c>
      <c r="L399" s="58" t="str">
        <f t="shared" si="55"/>
        <v/>
      </c>
      <c r="M399" s="59" t="str">
        <f t="shared" si="56"/>
        <v/>
      </c>
      <c r="N399" s="60"/>
      <c r="O399" s="60">
        <v>0</v>
      </c>
    </row>
    <row r="400" spans="1:15" ht="15.75" thickBot="1" x14ac:dyDescent="0.3">
      <c r="A400" s="53">
        <v>44594</v>
      </c>
      <c r="D400" s="55"/>
      <c r="E400" s="56"/>
      <c r="F400" s="57"/>
      <c r="G400" s="58"/>
      <c r="H400" s="58"/>
      <c r="I400" s="58" t="str">
        <f t="shared" si="58"/>
        <v/>
      </c>
      <c r="J400" s="58" t="str">
        <f t="shared" si="53"/>
        <v/>
      </c>
      <c r="K400" s="59" t="str">
        <f t="shared" si="54"/>
        <v/>
      </c>
      <c r="L400" s="58" t="str">
        <f t="shared" si="55"/>
        <v/>
      </c>
      <c r="M400" s="59" t="str">
        <f t="shared" si="56"/>
        <v/>
      </c>
      <c r="N400" s="60"/>
      <c r="O400" s="60">
        <v>0</v>
      </c>
    </row>
    <row r="401" spans="1:15" ht="15.75" thickBot="1" x14ac:dyDescent="0.3">
      <c r="A401" s="53">
        <v>44595</v>
      </c>
      <c r="D401" s="55"/>
      <c r="E401" s="56"/>
      <c r="F401" s="57"/>
      <c r="G401" s="58"/>
      <c r="H401" s="58"/>
      <c r="I401" s="58" t="str">
        <f t="shared" si="58"/>
        <v/>
      </c>
      <c r="J401" s="58" t="str">
        <f t="shared" si="53"/>
        <v/>
      </c>
      <c r="K401" s="59" t="str">
        <f t="shared" si="54"/>
        <v/>
      </c>
      <c r="L401" s="58" t="str">
        <f t="shared" si="55"/>
        <v/>
      </c>
      <c r="M401" s="59" t="str">
        <f t="shared" si="56"/>
        <v/>
      </c>
      <c r="N401" s="60"/>
      <c r="O401" s="60">
        <v>0</v>
      </c>
    </row>
    <row r="402" spans="1:15" ht="15.75" thickBot="1" x14ac:dyDescent="0.3">
      <c r="A402" s="53">
        <v>44596</v>
      </c>
      <c r="D402" s="55"/>
      <c r="E402" s="56"/>
      <c r="F402" s="57"/>
      <c r="G402" s="58"/>
      <c r="H402" s="58"/>
      <c r="I402" s="58" t="str">
        <f t="shared" si="58"/>
        <v/>
      </c>
      <c r="J402" s="58" t="str">
        <f t="shared" si="53"/>
        <v/>
      </c>
      <c r="K402" s="59" t="str">
        <f t="shared" si="54"/>
        <v/>
      </c>
      <c r="L402" s="58" t="str">
        <f t="shared" si="55"/>
        <v/>
      </c>
      <c r="M402" s="59" t="str">
        <f t="shared" si="56"/>
        <v/>
      </c>
      <c r="N402" s="60"/>
      <c r="O402" s="60">
        <v>0</v>
      </c>
    </row>
    <row r="403" spans="1:15" ht="15.75" thickBot="1" x14ac:dyDescent="0.3">
      <c r="A403" s="53">
        <v>44597</v>
      </c>
      <c r="D403" s="55"/>
      <c r="E403" s="56"/>
      <c r="F403" s="57"/>
      <c r="G403" s="58"/>
      <c r="H403" s="58"/>
      <c r="I403" s="58" t="str">
        <f t="shared" si="58"/>
        <v/>
      </c>
      <c r="J403" s="58" t="str">
        <f t="shared" si="53"/>
        <v/>
      </c>
      <c r="K403" s="59" t="str">
        <f t="shared" si="54"/>
        <v/>
      </c>
      <c r="L403" s="58" t="str">
        <f t="shared" si="55"/>
        <v/>
      </c>
      <c r="M403" s="59" t="str">
        <f t="shared" si="56"/>
        <v/>
      </c>
      <c r="N403" s="60"/>
      <c r="O403" s="60">
        <v>0</v>
      </c>
    </row>
    <row r="404" spans="1:15" ht="15.75" thickBot="1" x14ac:dyDescent="0.3">
      <c r="A404" s="53">
        <v>44598</v>
      </c>
      <c r="D404" s="55"/>
      <c r="E404" s="56"/>
      <c r="F404" s="57"/>
      <c r="G404" s="58"/>
      <c r="H404" s="58"/>
      <c r="I404" s="58" t="str">
        <f t="shared" si="58"/>
        <v/>
      </c>
      <c r="J404" s="58" t="str">
        <f t="shared" si="53"/>
        <v/>
      </c>
      <c r="K404" s="59" t="str">
        <f t="shared" si="54"/>
        <v/>
      </c>
      <c r="L404" s="58" t="str">
        <f t="shared" si="55"/>
        <v/>
      </c>
      <c r="M404" s="59" t="str">
        <f t="shared" si="56"/>
        <v/>
      </c>
      <c r="N404" s="60"/>
      <c r="O404" s="60">
        <v>0</v>
      </c>
    </row>
    <row r="405" spans="1:15" ht="15.75" thickBot="1" x14ac:dyDescent="0.3">
      <c r="A405" s="53">
        <v>44599</v>
      </c>
      <c r="D405" s="55"/>
      <c r="E405" s="56"/>
      <c r="F405" s="57"/>
      <c r="G405" s="58"/>
      <c r="H405" s="58"/>
      <c r="I405" s="58" t="str">
        <f t="shared" si="58"/>
        <v/>
      </c>
      <c r="J405" s="58" t="str">
        <f t="shared" si="53"/>
        <v/>
      </c>
      <c r="K405" s="59" t="str">
        <f t="shared" si="54"/>
        <v/>
      </c>
      <c r="L405" s="58" t="str">
        <f t="shared" si="55"/>
        <v/>
      </c>
      <c r="M405" s="59" t="str">
        <f t="shared" si="56"/>
        <v/>
      </c>
      <c r="N405" s="60"/>
      <c r="O405" s="60">
        <v>0</v>
      </c>
    </row>
    <row r="406" spans="1:15" ht="15.75" thickBot="1" x14ac:dyDescent="0.3">
      <c r="A406" s="53">
        <v>44600</v>
      </c>
      <c r="D406" s="55"/>
      <c r="E406" s="56"/>
      <c r="F406" s="57"/>
      <c r="G406" s="58"/>
      <c r="H406" s="58"/>
      <c r="I406" s="58" t="str">
        <f t="shared" si="58"/>
        <v/>
      </c>
      <c r="J406" s="58" t="str">
        <f t="shared" si="53"/>
        <v/>
      </c>
      <c r="K406" s="59" t="str">
        <f t="shared" si="54"/>
        <v/>
      </c>
      <c r="L406" s="58" t="str">
        <f t="shared" si="55"/>
        <v/>
      </c>
      <c r="M406" s="59" t="str">
        <f t="shared" si="56"/>
        <v/>
      </c>
      <c r="N406" s="60"/>
      <c r="O406" s="60">
        <v>0</v>
      </c>
    </row>
    <row r="407" spans="1:15" ht="15.75" thickBot="1" x14ac:dyDescent="0.3">
      <c r="A407" s="53">
        <v>44601</v>
      </c>
      <c r="D407" s="55"/>
      <c r="E407" s="56"/>
      <c r="F407" s="57"/>
      <c r="G407" s="58"/>
      <c r="H407" s="58"/>
      <c r="I407" s="58" t="str">
        <f t="shared" si="58"/>
        <v/>
      </c>
      <c r="J407" s="58" t="str">
        <f t="shared" si="53"/>
        <v/>
      </c>
      <c r="K407" s="59" t="str">
        <f t="shared" si="54"/>
        <v/>
      </c>
      <c r="L407" s="58" t="str">
        <f t="shared" si="55"/>
        <v/>
      </c>
      <c r="M407" s="59" t="str">
        <f t="shared" si="56"/>
        <v/>
      </c>
      <c r="N407" s="60"/>
      <c r="O407" s="60">
        <v>0</v>
      </c>
    </row>
    <row r="408" spans="1:15" ht="15.75" thickBot="1" x14ac:dyDescent="0.3">
      <c r="A408" s="53">
        <v>44602</v>
      </c>
      <c r="D408" s="55"/>
      <c r="E408" s="56"/>
      <c r="F408" s="57"/>
      <c r="G408" s="58"/>
      <c r="H408" s="58"/>
      <c r="I408" s="58" t="str">
        <f t="shared" si="58"/>
        <v/>
      </c>
      <c r="J408" s="58" t="str">
        <f t="shared" si="53"/>
        <v/>
      </c>
      <c r="K408" s="59" t="str">
        <f t="shared" si="54"/>
        <v/>
      </c>
      <c r="L408" s="58" t="str">
        <f t="shared" si="55"/>
        <v/>
      </c>
      <c r="M408" s="59" t="str">
        <f t="shared" si="56"/>
        <v/>
      </c>
      <c r="N408" s="60"/>
      <c r="O408" s="60">
        <v>0</v>
      </c>
    </row>
    <row r="409" spans="1:15" ht="15.75" thickBot="1" x14ac:dyDescent="0.3">
      <c r="A409" s="53">
        <v>44603</v>
      </c>
      <c r="D409" s="55"/>
      <c r="E409" s="56"/>
      <c r="F409" s="57"/>
      <c r="G409" s="58"/>
      <c r="H409" s="58"/>
      <c r="I409" s="58" t="str">
        <f t="shared" si="58"/>
        <v/>
      </c>
      <c r="J409" s="58" t="str">
        <f t="shared" si="53"/>
        <v/>
      </c>
      <c r="K409" s="59" t="str">
        <f t="shared" si="54"/>
        <v/>
      </c>
      <c r="L409" s="58" t="str">
        <f t="shared" si="55"/>
        <v/>
      </c>
      <c r="M409" s="59" t="str">
        <f t="shared" si="56"/>
        <v/>
      </c>
      <c r="N409" s="60"/>
      <c r="O409" s="60">
        <v>0</v>
      </c>
    </row>
    <row r="410" spans="1:15" ht="15.75" thickBot="1" x14ac:dyDescent="0.3">
      <c r="A410" s="53">
        <v>44604</v>
      </c>
      <c r="D410" s="55"/>
      <c r="E410" s="56"/>
      <c r="F410" s="57"/>
      <c r="G410" s="58"/>
      <c r="H410" s="58"/>
      <c r="I410" s="58" t="str">
        <f t="shared" si="58"/>
        <v/>
      </c>
      <c r="J410" s="58" t="str">
        <f t="shared" si="53"/>
        <v/>
      </c>
      <c r="K410" s="59" t="str">
        <f t="shared" si="54"/>
        <v/>
      </c>
      <c r="L410" s="58" t="str">
        <f t="shared" si="55"/>
        <v/>
      </c>
      <c r="M410" s="59" t="str">
        <f t="shared" si="56"/>
        <v/>
      </c>
      <c r="N410" s="60"/>
      <c r="O410" s="60">
        <v>0</v>
      </c>
    </row>
    <row r="411" spans="1:15" ht="15.75" thickBot="1" x14ac:dyDescent="0.3">
      <c r="A411" s="53">
        <v>44605</v>
      </c>
      <c r="D411" s="55"/>
      <c r="E411" s="56"/>
      <c r="F411" s="57"/>
      <c r="G411" s="58"/>
      <c r="H411" s="58"/>
      <c r="I411" s="58" t="str">
        <f t="shared" si="58"/>
        <v/>
      </c>
      <c r="J411" s="58" t="str">
        <f t="shared" si="53"/>
        <v/>
      </c>
      <c r="K411" s="59" t="str">
        <f t="shared" si="54"/>
        <v/>
      </c>
      <c r="L411" s="58" t="str">
        <f t="shared" si="55"/>
        <v/>
      </c>
      <c r="M411" s="59" t="str">
        <f t="shared" si="56"/>
        <v/>
      </c>
      <c r="N411" s="60"/>
      <c r="O411" s="60">
        <v>0</v>
      </c>
    </row>
    <row r="412" spans="1:15" ht="15.75" thickBot="1" x14ac:dyDescent="0.3">
      <c r="A412" s="53">
        <v>44606</v>
      </c>
      <c r="D412" s="55"/>
      <c r="E412" s="56"/>
      <c r="F412" s="57"/>
      <c r="G412" s="58"/>
      <c r="H412" s="58"/>
      <c r="I412" s="58" t="str">
        <f t="shared" si="58"/>
        <v/>
      </c>
      <c r="J412" s="58" t="str">
        <f t="shared" si="53"/>
        <v/>
      </c>
      <c r="K412" s="59" t="str">
        <f t="shared" si="54"/>
        <v/>
      </c>
      <c r="L412" s="58" t="str">
        <f t="shared" si="55"/>
        <v/>
      </c>
      <c r="M412" s="59" t="str">
        <f t="shared" si="56"/>
        <v/>
      </c>
      <c r="N412" s="60"/>
      <c r="O412" s="60">
        <v>0</v>
      </c>
    </row>
    <row r="413" spans="1:15" ht="15.75" thickBot="1" x14ac:dyDescent="0.3">
      <c r="A413" s="53">
        <v>44607</v>
      </c>
      <c r="D413" s="55"/>
      <c r="E413" s="56"/>
      <c r="F413" s="57"/>
      <c r="G413" s="58"/>
      <c r="H413" s="58"/>
      <c r="I413" s="58" t="str">
        <f t="shared" si="58"/>
        <v/>
      </c>
      <c r="J413" s="58" t="str">
        <f t="shared" si="53"/>
        <v/>
      </c>
      <c r="K413" s="59" t="str">
        <f t="shared" si="54"/>
        <v/>
      </c>
      <c r="L413" s="58" t="str">
        <f t="shared" si="55"/>
        <v/>
      </c>
      <c r="M413" s="59" t="str">
        <f t="shared" si="56"/>
        <v/>
      </c>
      <c r="N413" s="60"/>
      <c r="O413" s="60">
        <v>0</v>
      </c>
    </row>
    <row r="414" spans="1:15" ht="15.75" thickBot="1" x14ac:dyDescent="0.3">
      <c r="A414" s="53">
        <v>44608</v>
      </c>
      <c r="D414" s="55"/>
      <c r="E414" s="56"/>
      <c r="F414" s="57"/>
      <c r="G414" s="58"/>
      <c r="H414" s="58"/>
      <c r="I414" s="58" t="str">
        <f t="shared" si="58"/>
        <v/>
      </c>
      <c r="J414" s="58" t="str">
        <f t="shared" si="53"/>
        <v/>
      </c>
      <c r="K414" s="59" t="str">
        <f t="shared" si="54"/>
        <v/>
      </c>
      <c r="L414" s="58" t="str">
        <f t="shared" si="55"/>
        <v/>
      </c>
      <c r="M414" s="59" t="str">
        <f t="shared" si="56"/>
        <v/>
      </c>
      <c r="N414" s="60"/>
      <c r="O414" s="60">
        <v>0</v>
      </c>
    </row>
    <row r="415" spans="1:15" ht="15.75" thickBot="1" x14ac:dyDescent="0.3">
      <c r="A415" s="53">
        <v>44609</v>
      </c>
      <c r="D415" s="55"/>
      <c r="E415" s="56"/>
      <c r="F415" s="57"/>
      <c r="G415" s="58"/>
      <c r="H415" s="58"/>
      <c r="I415" s="58" t="str">
        <f t="shared" si="58"/>
        <v/>
      </c>
      <c r="J415" s="58" t="str">
        <f t="shared" si="53"/>
        <v/>
      </c>
      <c r="K415" s="59" t="str">
        <f t="shared" si="54"/>
        <v/>
      </c>
      <c r="L415" s="58" t="str">
        <f t="shared" si="55"/>
        <v/>
      </c>
      <c r="M415" s="59" t="str">
        <f t="shared" si="56"/>
        <v/>
      </c>
      <c r="N415" s="60"/>
      <c r="O415" s="60">
        <v>0</v>
      </c>
    </row>
    <row r="416" spans="1:15" ht="15.75" thickBot="1" x14ac:dyDescent="0.3">
      <c r="A416" s="53">
        <v>44610</v>
      </c>
      <c r="D416" s="55"/>
      <c r="E416" s="56"/>
      <c r="F416" s="57"/>
      <c r="G416" s="58"/>
      <c r="H416" s="58"/>
      <c r="I416" s="58" t="str">
        <f t="shared" si="58"/>
        <v/>
      </c>
      <c r="J416" s="58" t="str">
        <f t="shared" si="53"/>
        <v/>
      </c>
      <c r="K416" s="59" t="str">
        <f t="shared" si="54"/>
        <v/>
      </c>
      <c r="L416" s="58" t="str">
        <f t="shared" si="55"/>
        <v/>
      </c>
      <c r="M416" s="59" t="str">
        <f t="shared" si="56"/>
        <v/>
      </c>
      <c r="N416" s="60"/>
      <c r="O416" s="60">
        <v>0</v>
      </c>
    </row>
    <row r="417" spans="1:15" ht="15.75" thickBot="1" x14ac:dyDescent="0.3">
      <c r="A417" s="53">
        <v>44611</v>
      </c>
      <c r="D417" s="55"/>
      <c r="E417" s="56"/>
      <c r="F417" s="57"/>
      <c r="G417" s="58"/>
      <c r="H417" s="58"/>
      <c r="I417" s="58" t="str">
        <f t="shared" si="58"/>
        <v/>
      </c>
      <c r="J417" s="58" t="str">
        <f t="shared" si="53"/>
        <v/>
      </c>
      <c r="K417" s="59" t="str">
        <f t="shared" si="54"/>
        <v/>
      </c>
      <c r="L417" s="58" t="str">
        <f t="shared" si="55"/>
        <v/>
      </c>
      <c r="M417" s="59" t="str">
        <f t="shared" si="56"/>
        <v/>
      </c>
      <c r="N417" s="60"/>
      <c r="O417" s="60">
        <v>0</v>
      </c>
    </row>
    <row r="418" spans="1:15" ht="15.75" thickBot="1" x14ac:dyDescent="0.3">
      <c r="A418" s="53">
        <v>44612</v>
      </c>
      <c r="D418" s="55"/>
      <c r="E418" s="56"/>
      <c r="F418" s="57"/>
      <c r="G418" s="58"/>
      <c r="H418" s="58"/>
      <c r="I418" s="58" t="str">
        <f t="shared" si="58"/>
        <v/>
      </c>
      <c r="J418" s="58" t="str">
        <f t="shared" si="53"/>
        <v/>
      </c>
      <c r="K418" s="59" t="str">
        <f t="shared" si="54"/>
        <v/>
      </c>
      <c r="L418" s="58" t="str">
        <f t="shared" si="55"/>
        <v/>
      </c>
      <c r="M418" s="59" t="str">
        <f t="shared" si="56"/>
        <v/>
      </c>
      <c r="N418" s="60"/>
      <c r="O418" s="60">
        <v>0</v>
      </c>
    </row>
    <row r="419" spans="1:15" ht="15.75" thickBot="1" x14ac:dyDescent="0.3">
      <c r="A419" s="53">
        <v>44613</v>
      </c>
      <c r="D419" s="55"/>
      <c r="E419" s="56"/>
      <c r="F419" s="57"/>
      <c r="G419" s="58"/>
      <c r="H419" s="58"/>
      <c r="I419" s="58" t="str">
        <f t="shared" si="58"/>
        <v/>
      </c>
      <c r="J419" s="58" t="str">
        <f t="shared" si="53"/>
        <v/>
      </c>
      <c r="K419" s="59" t="str">
        <f t="shared" si="54"/>
        <v/>
      </c>
      <c r="L419" s="58" t="str">
        <f t="shared" si="55"/>
        <v/>
      </c>
      <c r="M419" s="59" t="str">
        <f t="shared" si="56"/>
        <v/>
      </c>
      <c r="N419" s="60"/>
      <c r="O419" s="60">
        <v>0</v>
      </c>
    </row>
    <row r="420" spans="1:15" ht="15.75" thickBot="1" x14ac:dyDescent="0.3">
      <c r="A420" s="53">
        <v>44614</v>
      </c>
      <c r="D420" s="55"/>
      <c r="E420" s="56"/>
      <c r="F420" s="57"/>
      <c r="G420" s="58"/>
      <c r="H420" s="58"/>
      <c r="I420" s="58" t="str">
        <f t="shared" si="58"/>
        <v/>
      </c>
      <c r="J420" s="58" t="str">
        <f t="shared" si="53"/>
        <v/>
      </c>
      <c r="K420" s="59" t="str">
        <f t="shared" si="54"/>
        <v/>
      </c>
      <c r="L420" s="58" t="str">
        <f t="shared" si="55"/>
        <v/>
      </c>
      <c r="M420" s="59" t="str">
        <f t="shared" si="56"/>
        <v/>
      </c>
      <c r="N420" s="60"/>
      <c r="O420" s="60">
        <v>0</v>
      </c>
    </row>
    <row r="421" spans="1:15" ht="15.75" thickBot="1" x14ac:dyDescent="0.3">
      <c r="A421" s="53">
        <v>44615</v>
      </c>
      <c r="D421" s="55"/>
      <c r="E421" s="56"/>
      <c r="F421" s="57"/>
      <c r="G421" s="58"/>
      <c r="H421" s="58"/>
      <c r="I421" s="58" t="str">
        <f t="shared" si="58"/>
        <v/>
      </c>
      <c r="J421" s="58" t="str">
        <f t="shared" si="53"/>
        <v/>
      </c>
      <c r="K421" s="59" t="str">
        <f t="shared" si="54"/>
        <v/>
      </c>
      <c r="L421" s="58" t="str">
        <f t="shared" si="55"/>
        <v/>
      </c>
      <c r="M421" s="59" t="str">
        <f t="shared" si="56"/>
        <v/>
      </c>
      <c r="N421" s="60"/>
      <c r="O421" s="60">
        <v>0</v>
      </c>
    </row>
    <row r="422" spans="1:15" ht="15.75" thickBot="1" x14ac:dyDescent="0.3">
      <c r="A422" s="53">
        <v>44616</v>
      </c>
      <c r="D422" s="55"/>
      <c r="E422" s="56"/>
      <c r="F422" s="57"/>
      <c r="G422" s="58"/>
      <c r="H422" s="58"/>
      <c r="I422" s="58" t="str">
        <f t="shared" si="58"/>
        <v/>
      </c>
      <c r="J422" s="58" t="str">
        <f t="shared" si="53"/>
        <v/>
      </c>
      <c r="K422" s="59" t="str">
        <f t="shared" si="54"/>
        <v/>
      </c>
      <c r="L422" s="58" t="str">
        <f t="shared" si="55"/>
        <v/>
      </c>
      <c r="M422" s="59" t="str">
        <f t="shared" si="56"/>
        <v/>
      </c>
      <c r="N422" s="60"/>
      <c r="O422" s="60">
        <v>0</v>
      </c>
    </row>
    <row r="423" spans="1:15" ht="15.75" thickBot="1" x14ac:dyDescent="0.3">
      <c r="A423" s="53">
        <v>44617</v>
      </c>
      <c r="D423" s="55"/>
      <c r="E423" s="56"/>
      <c r="F423" s="57"/>
      <c r="G423" s="58"/>
      <c r="H423" s="58"/>
      <c r="I423" s="58" t="str">
        <f t="shared" si="58"/>
        <v/>
      </c>
      <c r="J423" s="58" t="str">
        <f t="shared" si="53"/>
        <v/>
      </c>
      <c r="K423" s="59" t="str">
        <f t="shared" si="54"/>
        <v/>
      </c>
      <c r="L423" s="58" t="str">
        <f t="shared" si="55"/>
        <v/>
      </c>
      <c r="M423" s="59" t="str">
        <f t="shared" si="56"/>
        <v/>
      </c>
      <c r="N423" s="60"/>
      <c r="O423" s="60">
        <v>0</v>
      </c>
    </row>
    <row r="424" spans="1:15" ht="15.75" thickBot="1" x14ac:dyDescent="0.3">
      <c r="A424" s="53">
        <v>44618</v>
      </c>
      <c r="D424" s="55"/>
      <c r="E424" s="56"/>
      <c r="F424" s="57"/>
      <c r="G424" s="58"/>
      <c r="H424" s="58"/>
      <c r="I424" s="58" t="str">
        <f t="shared" si="58"/>
        <v/>
      </c>
      <c r="J424" s="58" t="str">
        <f t="shared" si="53"/>
        <v/>
      </c>
      <c r="K424" s="59" t="str">
        <f t="shared" si="54"/>
        <v/>
      </c>
      <c r="L424" s="58" t="str">
        <f t="shared" si="55"/>
        <v/>
      </c>
      <c r="M424" s="59" t="str">
        <f t="shared" si="56"/>
        <v/>
      </c>
      <c r="N424" s="60"/>
      <c r="O424" s="60">
        <v>0</v>
      </c>
    </row>
    <row r="425" spans="1:15" ht="15.75" thickBot="1" x14ac:dyDescent="0.3">
      <c r="A425" s="53">
        <v>44619</v>
      </c>
      <c r="D425" s="55"/>
      <c r="E425" s="56"/>
      <c r="F425" s="57"/>
      <c r="G425" s="58"/>
      <c r="H425" s="58"/>
      <c r="I425" s="58" t="str">
        <f t="shared" si="58"/>
        <v/>
      </c>
      <c r="J425" s="58" t="str">
        <f t="shared" si="53"/>
        <v/>
      </c>
      <c r="K425" s="59" t="str">
        <f t="shared" si="54"/>
        <v/>
      </c>
      <c r="L425" s="58" t="str">
        <f t="shared" si="55"/>
        <v/>
      </c>
      <c r="M425" s="59" t="str">
        <f t="shared" si="56"/>
        <v/>
      </c>
      <c r="N425" s="60"/>
      <c r="O425" s="60">
        <v>0</v>
      </c>
    </row>
    <row r="426" spans="1:15" ht="15.75" thickBot="1" x14ac:dyDescent="0.3">
      <c r="A426" s="53">
        <v>44620</v>
      </c>
      <c r="D426" s="55"/>
      <c r="E426" s="56"/>
      <c r="F426" s="57"/>
      <c r="G426" s="58"/>
      <c r="H426" s="58"/>
      <c r="I426" s="58" t="str">
        <f t="shared" si="58"/>
        <v/>
      </c>
      <c r="J426" s="58" t="str">
        <f t="shared" si="53"/>
        <v/>
      </c>
      <c r="K426" s="59" t="str">
        <f t="shared" si="54"/>
        <v/>
      </c>
      <c r="L426" s="58" t="str">
        <f t="shared" si="55"/>
        <v/>
      </c>
      <c r="M426" s="59" t="str">
        <f t="shared" si="56"/>
        <v/>
      </c>
      <c r="N426" s="60"/>
      <c r="O426" s="60">
        <v>0</v>
      </c>
    </row>
    <row r="427" spans="1:15" ht="15.75" thickBot="1" x14ac:dyDescent="0.3">
      <c r="A427" s="53">
        <v>44621</v>
      </c>
      <c r="D427" s="55"/>
      <c r="E427" s="56"/>
      <c r="F427" s="57"/>
      <c r="G427" s="58"/>
      <c r="H427" s="58"/>
      <c r="I427" s="58" t="str">
        <f t="shared" si="58"/>
        <v/>
      </c>
      <c r="J427" s="58" t="str">
        <f t="shared" si="53"/>
        <v/>
      </c>
      <c r="K427" s="59" t="str">
        <f t="shared" si="54"/>
        <v/>
      </c>
      <c r="L427" s="58" t="str">
        <f t="shared" si="55"/>
        <v/>
      </c>
      <c r="M427" s="59" t="str">
        <f t="shared" si="56"/>
        <v/>
      </c>
      <c r="N427" s="60"/>
      <c r="O427" s="60">
        <v>0</v>
      </c>
    </row>
    <row r="428" spans="1:15" ht="15.75" thickBot="1" x14ac:dyDescent="0.3">
      <c r="A428" s="53">
        <v>44622</v>
      </c>
      <c r="D428" s="55"/>
      <c r="E428" s="56"/>
      <c r="F428" s="57"/>
      <c r="G428" s="58"/>
      <c r="H428" s="58"/>
      <c r="I428" s="58" t="str">
        <f t="shared" si="58"/>
        <v/>
      </c>
      <c r="J428" s="58" t="str">
        <f t="shared" si="53"/>
        <v/>
      </c>
      <c r="K428" s="59" t="str">
        <f t="shared" si="54"/>
        <v/>
      </c>
      <c r="L428" s="58" t="str">
        <f t="shared" si="55"/>
        <v/>
      </c>
      <c r="M428" s="59" t="str">
        <f t="shared" si="56"/>
        <v/>
      </c>
      <c r="N428" s="60"/>
      <c r="O428" s="60">
        <v>0</v>
      </c>
    </row>
    <row r="429" spans="1:15" ht="15.75" thickBot="1" x14ac:dyDescent="0.3">
      <c r="A429" s="53">
        <v>44623</v>
      </c>
      <c r="D429" s="55"/>
      <c r="E429" s="56"/>
      <c r="F429" s="57"/>
      <c r="G429" s="58"/>
      <c r="H429" s="58"/>
      <c r="I429" s="58" t="str">
        <f t="shared" si="58"/>
        <v/>
      </c>
      <c r="J429" s="58" t="str">
        <f t="shared" si="53"/>
        <v/>
      </c>
      <c r="K429" s="59" t="str">
        <f t="shared" si="54"/>
        <v/>
      </c>
      <c r="L429" s="58" t="str">
        <f t="shared" si="55"/>
        <v/>
      </c>
      <c r="M429" s="59" t="str">
        <f t="shared" si="56"/>
        <v/>
      </c>
      <c r="N429" s="60"/>
      <c r="O429" s="60">
        <v>0</v>
      </c>
    </row>
    <row r="430" spans="1:15" ht="15.75" thickBot="1" x14ac:dyDescent="0.3">
      <c r="A430" s="53">
        <v>44624</v>
      </c>
      <c r="D430" s="55"/>
      <c r="E430" s="56"/>
      <c r="F430" s="57"/>
      <c r="G430" s="58"/>
      <c r="H430" s="58"/>
      <c r="I430" s="58" t="str">
        <f t="shared" si="58"/>
        <v/>
      </c>
      <c r="J430" s="58" t="str">
        <f t="shared" si="53"/>
        <v/>
      </c>
      <c r="K430" s="59" t="str">
        <f t="shared" si="54"/>
        <v/>
      </c>
      <c r="L430" s="58" t="str">
        <f t="shared" si="55"/>
        <v/>
      </c>
      <c r="M430" s="59" t="str">
        <f t="shared" si="56"/>
        <v/>
      </c>
      <c r="N430" s="60"/>
      <c r="O430" s="60">
        <v>0</v>
      </c>
    </row>
    <row r="431" spans="1:15" ht="15.75" thickBot="1" x14ac:dyDescent="0.3">
      <c r="A431" s="53">
        <v>44625</v>
      </c>
      <c r="D431" s="55"/>
      <c r="E431" s="56"/>
      <c r="F431" s="57"/>
      <c r="G431" s="58"/>
      <c r="H431" s="58"/>
      <c r="I431" s="58" t="str">
        <f t="shared" si="58"/>
        <v/>
      </c>
      <c r="J431" s="58" t="str">
        <f t="shared" si="53"/>
        <v/>
      </c>
      <c r="K431" s="59" t="str">
        <f t="shared" si="54"/>
        <v/>
      </c>
      <c r="L431" s="58" t="str">
        <f t="shared" si="55"/>
        <v/>
      </c>
      <c r="M431" s="59" t="str">
        <f t="shared" si="56"/>
        <v/>
      </c>
      <c r="N431" s="60"/>
      <c r="O431" s="60">
        <v>0</v>
      </c>
    </row>
    <row r="432" spans="1:15" ht="15.75" thickBot="1" x14ac:dyDescent="0.3">
      <c r="A432" s="53">
        <v>44626</v>
      </c>
      <c r="D432" s="55"/>
      <c r="E432" s="56"/>
      <c r="F432" s="57"/>
      <c r="G432" s="58"/>
      <c r="H432" s="58"/>
      <c r="I432" s="58" t="str">
        <f t="shared" ref="I432:I495" si="59">IF(D432="","",+(D432-D431)*4140)</f>
        <v/>
      </c>
      <c r="J432" s="58" t="str">
        <f t="shared" ref="J432:J495" si="60">IF(E432="","",+(F432-F431)*4140)</f>
        <v/>
      </c>
      <c r="K432" s="59" t="str">
        <f t="shared" ref="K432:K495" si="61">IF(J432="","",+(J432/I432))</f>
        <v/>
      </c>
      <c r="L432" s="58" t="str">
        <f t="shared" ref="L432:L495" si="62">IF(F432="","",+(F432-F431)*4140)</f>
        <v/>
      </c>
      <c r="M432" s="59" t="str">
        <f t="shared" ref="M432:M495" si="63">IF(L432="","",(L432/I432))</f>
        <v/>
      </c>
      <c r="N432" s="60"/>
      <c r="O432" s="60">
        <v>0</v>
      </c>
    </row>
    <row r="433" spans="1:15" ht="15.75" thickBot="1" x14ac:dyDescent="0.3">
      <c r="A433" s="53">
        <v>44627</v>
      </c>
      <c r="D433" s="55"/>
      <c r="E433" s="56"/>
      <c r="F433" s="57"/>
      <c r="G433" s="58"/>
      <c r="H433" s="58"/>
      <c r="I433" s="58" t="str">
        <f t="shared" si="59"/>
        <v/>
      </c>
      <c r="J433" s="58" t="str">
        <f t="shared" si="60"/>
        <v/>
      </c>
      <c r="K433" s="59" t="str">
        <f t="shared" si="61"/>
        <v/>
      </c>
      <c r="L433" s="58" t="str">
        <f t="shared" si="62"/>
        <v/>
      </c>
      <c r="M433" s="59" t="str">
        <f t="shared" si="63"/>
        <v/>
      </c>
      <c r="N433" s="60"/>
      <c r="O433" s="60">
        <v>0</v>
      </c>
    </row>
    <row r="434" spans="1:15" ht="15.75" thickBot="1" x14ac:dyDescent="0.3">
      <c r="A434" s="53">
        <v>44628</v>
      </c>
      <c r="D434" s="55"/>
      <c r="E434" s="56"/>
      <c r="F434" s="57"/>
      <c r="G434" s="58"/>
      <c r="H434" s="58"/>
      <c r="I434" s="58" t="str">
        <f t="shared" si="59"/>
        <v/>
      </c>
      <c r="J434" s="58" t="str">
        <f t="shared" si="60"/>
        <v/>
      </c>
      <c r="K434" s="59" t="str">
        <f t="shared" si="61"/>
        <v/>
      </c>
      <c r="L434" s="58" t="str">
        <f t="shared" si="62"/>
        <v/>
      </c>
      <c r="M434" s="59" t="str">
        <f t="shared" si="63"/>
        <v/>
      </c>
      <c r="N434" s="60"/>
      <c r="O434" s="60">
        <v>0</v>
      </c>
    </row>
    <row r="435" spans="1:15" ht="15.75" thickBot="1" x14ac:dyDescent="0.3">
      <c r="A435" s="53">
        <v>44629</v>
      </c>
      <c r="D435" s="55"/>
      <c r="E435" s="56"/>
      <c r="F435" s="57"/>
      <c r="G435" s="58"/>
      <c r="H435" s="58"/>
      <c r="I435" s="58" t="str">
        <f t="shared" si="59"/>
        <v/>
      </c>
      <c r="J435" s="58" t="str">
        <f t="shared" si="60"/>
        <v/>
      </c>
      <c r="K435" s="59" t="str">
        <f t="shared" si="61"/>
        <v/>
      </c>
      <c r="L435" s="58" t="str">
        <f t="shared" si="62"/>
        <v/>
      </c>
      <c r="M435" s="59" t="str">
        <f t="shared" si="63"/>
        <v/>
      </c>
      <c r="N435" s="60"/>
      <c r="O435" s="60">
        <v>0</v>
      </c>
    </row>
    <row r="436" spans="1:15" ht="15.75" thickBot="1" x14ac:dyDescent="0.3">
      <c r="A436" s="53">
        <v>44630</v>
      </c>
      <c r="D436" s="55"/>
      <c r="E436" s="56"/>
      <c r="F436" s="57"/>
      <c r="G436" s="58"/>
      <c r="H436" s="58"/>
      <c r="I436" s="58" t="str">
        <f t="shared" si="59"/>
        <v/>
      </c>
      <c r="J436" s="58" t="str">
        <f t="shared" si="60"/>
        <v/>
      </c>
      <c r="K436" s="59" t="str">
        <f t="shared" si="61"/>
        <v/>
      </c>
      <c r="L436" s="58" t="str">
        <f t="shared" si="62"/>
        <v/>
      </c>
      <c r="M436" s="59" t="str">
        <f t="shared" si="63"/>
        <v/>
      </c>
      <c r="N436" s="60"/>
      <c r="O436" s="60">
        <v>0</v>
      </c>
    </row>
    <row r="437" spans="1:15" ht="15.75" thickBot="1" x14ac:dyDescent="0.3">
      <c r="A437" s="53">
        <v>44631</v>
      </c>
      <c r="D437" s="55"/>
      <c r="E437" s="56"/>
      <c r="F437" s="57"/>
      <c r="G437" s="58"/>
      <c r="H437" s="58"/>
      <c r="I437" s="58" t="str">
        <f t="shared" si="59"/>
        <v/>
      </c>
      <c r="J437" s="58" t="str">
        <f t="shared" si="60"/>
        <v/>
      </c>
      <c r="K437" s="59" t="str">
        <f t="shared" si="61"/>
        <v/>
      </c>
      <c r="L437" s="58" t="str">
        <f t="shared" si="62"/>
        <v/>
      </c>
      <c r="M437" s="59" t="str">
        <f t="shared" si="63"/>
        <v/>
      </c>
      <c r="N437" s="60"/>
      <c r="O437" s="60">
        <v>0</v>
      </c>
    </row>
    <row r="438" spans="1:15" ht="15.75" thickBot="1" x14ac:dyDescent="0.3">
      <c r="A438" s="53">
        <v>44632</v>
      </c>
      <c r="D438" s="55"/>
      <c r="E438" s="56"/>
      <c r="F438" s="57"/>
      <c r="G438" s="58"/>
      <c r="H438" s="58"/>
      <c r="I438" s="58" t="str">
        <f t="shared" si="59"/>
        <v/>
      </c>
      <c r="J438" s="58" t="str">
        <f t="shared" si="60"/>
        <v/>
      </c>
      <c r="K438" s="59" t="str">
        <f t="shared" si="61"/>
        <v/>
      </c>
      <c r="L438" s="58" t="str">
        <f t="shared" si="62"/>
        <v/>
      </c>
      <c r="M438" s="59" t="str">
        <f t="shared" si="63"/>
        <v/>
      </c>
      <c r="N438" s="60"/>
      <c r="O438" s="60">
        <v>0</v>
      </c>
    </row>
    <row r="439" spans="1:15" ht="15.75" thickBot="1" x14ac:dyDescent="0.3">
      <c r="A439" s="53">
        <v>44633</v>
      </c>
      <c r="D439" s="55"/>
      <c r="E439" s="56"/>
      <c r="F439" s="57"/>
      <c r="G439" s="58"/>
      <c r="H439" s="58"/>
      <c r="I439" s="58" t="str">
        <f t="shared" si="59"/>
        <v/>
      </c>
      <c r="J439" s="58" t="str">
        <f t="shared" si="60"/>
        <v/>
      </c>
      <c r="K439" s="59" t="str">
        <f t="shared" si="61"/>
        <v/>
      </c>
      <c r="L439" s="58" t="str">
        <f t="shared" si="62"/>
        <v/>
      </c>
      <c r="M439" s="59" t="str">
        <f t="shared" si="63"/>
        <v/>
      </c>
      <c r="N439" s="60"/>
      <c r="O439" s="60">
        <v>0</v>
      </c>
    </row>
    <row r="440" spans="1:15" ht="15.75" thickBot="1" x14ac:dyDescent="0.3">
      <c r="A440" s="53">
        <v>44634</v>
      </c>
      <c r="D440" s="55"/>
      <c r="E440" s="56"/>
      <c r="F440" s="57"/>
      <c r="G440" s="58"/>
      <c r="H440" s="58"/>
      <c r="I440" s="58" t="str">
        <f t="shared" si="59"/>
        <v/>
      </c>
      <c r="J440" s="58" t="str">
        <f t="shared" si="60"/>
        <v/>
      </c>
      <c r="K440" s="59" t="str">
        <f t="shared" si="61"/>
        <v/>
      </c>
      <c r="L440" s="58" t="str">
        <f t="shared" si="62"/>
        <v/>
      </c>
      <c r="M440" s="59" t="str">
        <f t="shared" si="63"/>
        <v/>
      </c>
      <c r="N440" s="60"/>
      <c r="O440" s="60">
        <v>0</v>
      </c>
    </row>
    <row r="441" spans="1:15" ht="15.75" thickBot="1" x14ac:dyDescent="0.3">
      <c r="A441" s="53">
        <v>44635</v>
      </c>
      <c r="D441" s="55"/>
      <c r="E441" s="56"/>
      <c r="F441" s="57"/>
      <c r="G441" s="58"/>
      <c r="H441" s="58"/>
      <c r="I441" s="58" t="str">
        <f t="shared" si="59"/>
        <v/>
      </c>
      <c r="J441" s="58" t="str">
        <f t="shared" si="60"/>
        <v/>
      </c>
      <c r="K441" s="59" t="str">
        <f t="shared" si="61"/>
        <v/>
      </c>
      <c r="L441" s="58" t="str">
        <f t="shared" si="62"/>
        <v/>
      </c>
      <c r="M441" s="59" t="str">
        <f t="shared" si="63"/>
        <v/>
      </c>
      <c r="N441" s="60"/>
      <c r="O441" s="60">
        <v>0</v>
      </c>
    </row>
    <row r="442" spans="1:15" ht="15.75" thickBot="1" x14ac:dyDescent="0.3">
      <c r="A442" s="53">
        <v>44636</v>
      </c>
      <c r="D442" s="55"/>
      <c r="E442" s="56"/>
      <c r="F442" s="57"/>
      <c r="G442" s="58"/>
      <c r="H442" s="58"/>
      <c r="I442" s="58" t="str">
        <f t="shared" si="59"/>
        <v/>
      </c>
      <c r="J442" s="58" t="str">
        <f t="shared" si="60"/>
        <v/>
      </c>
      <c r="K442" s="59" t="str">
        <f t="shared" si="61"/>
        <v/>
      </c>
      <c r="L442" s="58" t="str">
        <f t="shared" si="62"/>
        <v/>
      </c>
      <c r="M442" s="59" t="str">
        <f t="shared" si="63"/>
        <v/>
      </c>
      <c r="N442" s="60"/>
      <c r="O442" s="60">
        <v>0</v>
      </c>
    </row>
    <row r="443" spans="1:15" ht="15.75" thickBot="1" x14ac:dyDescent="0.3">
      <c r="A443" s="53">
        <v>44637</v>
      </c>
      <c r="D443" s="55"/>
      <c r="E443" s="56"/>
      <c r="F443" s="57"/>
      <c r="G443" s="58"/>
      <c r="H443" s="58"/>
      <c r="I443" s="58" t="str">
        <f t="shared" si="59"/>
        <v/>
      </c>
      <c r="J443" s="58" t="str">
        <f t="shared" si="60"/>
        <v/>
      </c>
      <c r="K443" s="59" t="str">
        <f t="shared" si="61"/>
        <v/>
      </c>
      <c r="L443" s="58" t="str">
        <f t="shared" si="62"/>
        <v/>
      </c>
      <c r="M443" s="59" t="str">
        <f t="shared" si="63"/>
        <v/>
      </c>
      <c r="N443" s="60"/>
      <c r="O443" s="60">
        <v>0</v>
      </c>
    </row>
    <row r="444" spans="1:15" ht="15.75" thickBot="1" x14ac:dyDescent="0.3">
      <c r="A444" s="53">
        <v>44638</v>
      </c>
      <c r="D444" s="55"/>
      <c r="E444" s="56"/>
      <c r="F444" s="57"/>
      <c r="G444" s="58"/>
      <c r="H444" s="58"/>
      <c r="I444" s="58" t="str">
        <f t="shared" si="59"/>
        <v/>
      </c>
      <c r="J444" s="58" t="str">
        <f t="shared" si="60"/>
        <v/>
      </c>
      <c r="K444" s="59" t="str">
        <f t="shared" si="61"/>
        <v/>
      </c>
      <c r="L444" s="58" t="str">
        <f t="shared" si="62"/>
        <v/>
      </c>
      <c r="M444" s="59" t="str">
        <f t="shared" si="63"/>
        <v/>
      </c>
      <c r="N444" s="60"/>
      <c r="O444" s="60">
        <v>0</v>
      </c>
    </row>
    <row r="445" spans="1:15" ht="15.75" thickBot="1" x14ac:dyDescent="0.3">
      <c r="A445" s="53">
        <v>44639</v>
      </c>
      <c r="D445" s="55"/>
      <c r="E445" s="56"/>
      <c r="F445" s="57"/>
      <c r="G445" s="58"/>
      <c r="H445" s="58"/>
      <c r="I445" s="58" t="str">
        <f t="shared" si="59"/>
        <v/>
      </c>
      <c r="J445" s="58" t="str">
        <f t="shared" si="60"/>
        <v/>
      </c>
      <c r="K445" s="59" t="str">
        <f t="shared" si="61"/>
        <v/>
      </c>
      <c r="L445" s="58" t="str">
        <f t="shared" si="62"/>
        <v/>
      </c>
      <c r="M445" s="59" t="str">
        <f t="shared" si="63"/>
        <v/>
      </c>
      <c r="N445" s="60"/>
      <c r="O445" s="60">
        <v>0</v>
      </c>
    </row>
    <row r="446" spans="1:15" ht="15.75" thickBot="1" x14ac:dyDescent="0.3">
      <c r="A446" s="53">
        <v>44640</v>
      </c>
      <c r="D446" s="55"/>
      <c r="E446" s="56"/>
      <c r="F446" s="57"/>
      <c r="G446" s="58"/>
      <c r="H446" s="58"/>
      <c r="I446" s="58" t="str">
        <f t="shared" si="59"/>
        <v/>
      </c>
      <c r="J446" s="58" t="str">
        <f t="shared" si="60"/>
        <v/>
      </c>
      <c r="K446" s="59" t="str">
        <f t="shared" si="61"/>
        <v/>
      </c>
      <c r="L446" s="58" t="str">
        <f t="shared" si="62"/>
        <v/>
      </c>
      <c r="M446" s="59" t="str">
        <f t="shared" si="63"/>
        <v/>
      </c>
      <c r="N446" s="60"/>
      <c r="O446" s="60">
        <v>0</v>
      </c>
    </row>
    <row r="447" spans="1:15" ht="15.75" thickBot="1" x14ac:dyDescent="0.3">
      <c r="A447" s="53">
        <v>44641</v>
      </c>
      <c r="D447" s="55"/>
      <c r="E447" s="56"/>
      <c r="F447" s="57"/>
      <c r="G447" s="58"/>
      <c r="H447" s="58"/>
      <c r="I447" s="58" t="str">
        <f t="shared" si="59"/>
        <v/>
      </c>
      <c r="J447" s="58" t="str">
        <f t="shared" si="60"/>
        <v/>
      </c>
      <c r="K447" s="59" t="str">
        <f t="shared" si="61"/>
        <v/>
      </c>
      <c r="L447" s="58" t="str">
        <f t="shared" si="62"/>
        <v/>
      </c>
      <c r="M447" s="59" t="str">
        <f t="shared" si="63"/>
        <v/>
      </c>
      <c r="N447" s="60"/>
      <c r="O447" s="60">
        <v>0</v>
      </c>
    </row>
    <row r="448" spans="1:15" ht="15.75" thickBot="1" x14ac:dyDescent="0.3">
      <c r="A448" s="53">
        <v>44642</v>
      </c>
      <c r="D448" s="55"/>
      <c r="E448" s="56"/>
      <c r="F448" s="57"/>
      <c r="G448" s="58"/>
      <c r="H448" s="58"/>
      <c r="I448" s="58" t="str">
        <f t="shared" si="59"/>
        <v/>
      </c>
      <c r="J448" s="58" t="str">
        <f t="shared" si="60"/>
        <v/>
      </c>
      <c r="K448" s="59" t="str">
        <f t="shared" si="61"/>
        <v/>
      </c>
      <c r="L448" s="58" t="str">
        <f t="shared" si="62"/>
        <v/>
      </c>
      <c r="M448" s="59" t="str">
        <f t="shared" si="63"/>
        <v/>
      </c>
      <c r="N448" s="60"/>
      <c r="O448" s="60">
        <v>0</v>
      </c>
    </row>
    <row r="449" spans="1:15" ht="15.75" thickBot="1" x14ac:dyDescent="0.3">
      <c r="A449" s="53">
        <v>44643</v>
      </c>
      <c r="D449" s="55"/>
      <c r="E449" s="56"/>
      <c r="F449" s="57"/>
      <c r="G449" s="58"/>
      <c r="H449" s="58"/>
      <c r="I449" s="58" t="str">
        <f t="shared" si="59"/>
        <v/>
      </c>
      <c r="J449" s="58" t="str">
        <f t="shared" si="60"/>
        <v/>
      </c>
      <c r="K449" s="59" t="str">
        <f t="shared" si="61"/>
        <v/>
      </c>
      <c r="L449" s="58" t="str">
        <f t="shared" si="62"/>
        <v/>
      </c>
      <c r="M449" s="59" t="str">
        <f t="shared" si="63"/>
        <v/>
      </c>
      <c r="N449" s="60"/>
      <c r="O449" s="60">
        <v>0</v>
      </c>
    </row>
    <row r="450" spans="1:15" ht="15.75" thickBot="1" x14ac:dyDescent="0.3">
      <c r="A450" s="53">
        <v>44644</v>
      </c>
      <c r="D450" s="55"/>
      <c r="E450" s="56"/>
      <c r="F450" s="57"/>
      <c r="G450" s="58"/>
      <c r="H450" s="58"/>
      <c r="I450" s="58" t="str">
        <f t="shared" si="59"/>
        <v/>
      </c>
      <c r="J450" s="58" t="str">
        <f t="shared" si="60"/>
        <v/>
      </c>
      <c r="K450" s="59" t="str">
        <f t="shared" si="61"/>
        <v/>
      </c>
      <c r="L450" s="58" t="str">
        <f t="shared" si="62"/>
        <v/>
      </c>
      <c r="M450" s="59" t="str">
        <f t="shared" si="63"/>
        <v/>
      </c>
      <c r="N450" s="60"/>
      <c r="O450" s="60">
        <v>0</v>
      </c>
    </row>
    <row r="451" spans="1:15" ht="15.75" thickBot="1" x14ac:dyDescent="0.3">
      <c r="A451" s="53">
        <v>44645</v>
      </c>
      <c r="D451" s="55"/>
      <c r="E451" s="56"/>
      <c r="F451" s="57"/>
      <c r="G451" s="58"/>
      <c r="H451" s="58"/>
      <c r="I451" s="58" t="str">
        <f t="shared" si="59"/>
        <v/>
      </c>
      <c r="J451" s="58" t="str">
        <f t="shared" si="60"/>
        <v/>
      </c>
      <c r="K451" s="59" t="str">
        <f t="shared" si="61"/>
        <v/>
      </c>
      <c r="L451" s="58" t="str">
        <f t="shared" si="62"/>
        <v/>
      </c>
      <c r="M451" s="59" t="str">
        <f t="shared" si="63"/>
        <v/>
      </c>
      <c r="N451" s="60"/>
      <c r="O451" s="60">
        <v>0</v>
      </c>
    </row>
    <row r="452" spans="1:15" ht="15.75" thickBot="1" x14ac:dyDescent="0.3">
      <c r="A452" s="53">
        <v>44646</v>
      </c>
      <c r="D452" s="55"/>
      <c r="E452" s="56"/>
      <c r="F452" s="57"/>
      <c r="G452" s="58"/>
      <c r="H452" s="58"/>
      <c r="I452" s="58" t="str">
        <f t="shared" si="59"/>
        <v/>
      </c>
      <c r="J452" s="58" t="str">
        <f t="shared" si="60"/>
        <v/>
      </c>
      <c r="K452" s="59" t="str">
        <f t="shared" si="61"/>
        <v/>
      </c>
      <c r="L452" s="58" t="str">
        <f t="shared" si="62"/>
        <v/>
      </c>
      <c r="M452" s="59" t="str">
        <f t="shared" si="63"/>
        <v/>
      </c>
      <c r="N452" s="60"/>
      <c r="O452" s="60">
        <v>0</v>
      </c>
    </row>
    <row r="453" spans="1:15" ht="15.75" thickBot="1" x14ac:dyDescent="0.3">
      <c r="A453" s="53">
        <v>44647</v>
      </c>
      <c r="D453" s="55"/>
      <c r="E453" s="56"/>
      <c r="F453" s="57"/>
      <c r="G453" s="58"/>
      <c r="H453" s="58"/>
      <c r="I453" s="58" t="str">
        <f t="shared" si="59"/>
        <v/>
      </c>
      <c r="J453" s="58" t="str">
        <f t="shared" si="60"/>
        <v/>
      </c>
      <c r="K453" s="59" t="str">
        <f t="shared" si="61"/>
        <v/>
      </c>
      <c r="L453" s="58" t="str">
        <f t="shared" si="62"/>
        <v/>
      </c>
      <c r="M453" s="59" t="str">
        <f t="shared" si="63"/>
        <v/>
      </c>
      <c r="N453" s="60"/>
      <c r="O453" s="60">
        <v>0</v>
      </c>
    </row>
    <row r="454" spans="1:15" ht="15.75" thickBot="1" x14ac:dyDescent="0.3">
      <c r="A454" s="53">
        <v>44648</v>
      </c>
      <c r="D454" s="55"/>
      <c r="E454" s="56"/>
      <c r="F454" s="57"/>
      <c r="G454" s="58"/>
      <c r="H454" s="58"/>
      <c r="I454" s="58" t="str">
        <f t="shared" si="59"/>
        <v/>
      </c>
      <c r="J454" s="58" t="str">
        <f t="shared" si="60"/>
        <v/>
      </c>
      <c r="K454" s="59" t="str">
        <f t="shared" si="61"/>
        <v/>
      </c>
      <c r="L454" s="58" t="str">
        <f t="shared" si="62"/>
        <v/>
      </c>
      <c r="M454" s="59" t="str">
        <f t="shared" si="63"/>
        <v/>
      </c>
      <c r="N454" s="60"/>
      <c r="O454" s="60">
        <v>0</v>
      </c>
    </row>
    <row r="455" spans="1:15" ht="15.75" thickBot="1" x14ac:dyDescent="0.3">
      <c r="A455" s="53">
        <v>44649</v>
      </c>
      <c r="D455" s="55"/>
      <c r="E455" s="56"/>
      <c r="F455" s="57"/>
      <c r="G455" s="58"/>
      <c r="H455" s="58"/>
      <c r="I455" s="58" t="str">
        <f t="shared" si="59"/>
        <v/>
      </c>
      <c r="J455" s="58" t="str">
        <f t="shared" si="60"/>
        <v/>
      </c>
      <c r="K455" s="59" t="str">
        <f t="shared" si="61"/>
        <v/>
      </c>
      <c r="L455" s="58" t="str">
        <f t="shared" si="62"/>
        <v/>
      </c>
      <c r="M455" s="59" t="str">
        <f t="shared" si="63"/>
        <v/>
      </c>
      <c r="N455" s="60"/>
      <c r="O455" s="60">
        <v>0</v>
      </c>
    </row>
    <row r="456" spans="1:15" ht="15.75" thickBot="1" x14ac:dyDescent="0.3">
      <c r="A456" s="53">
        <v>44650</v>
      </c>
      <c r="D456" s="55"/>
      <c r="E456" s="56"/>
      <c r="F456" s="57"/>
      <c r="G456" s="58"/>
      <c r="H456" s="58"/>
      <c r="I456" s="58" t="str">
        <f t="shared" si="59"/>
        <v/>
      </c>
      <c r="J456" s="58" t="str">
        <f t="shared" si="60"/>
        <v/>
      </c>
      <c r="K456" s="59" t="str">
        <f t="shared" si="61"/>
        <v/>
      </c>
      <c r="L456" s="58" t="str">
        <f t="shared" si="62"/>
        <v/>
      </c>
      <c r="M456" s="59" t="str">
        <f t="shared" si="63"/>
        <v/>
      </c>
      <c r="N456" s="60"/>
      <c r="O456" s="60">
        <v>0</v>
      </c>
    </row>
    <row r="457" spans="1:15" ht="15.75" thickBot="1" x14ac:dyDescent="0.3">
      <c r="A457" s="53">
        <v>44651</v>
      </c>
      <c r="D457" s="55"/>
      <c r="E457" s="56"/>
      <c r="F457" s="57"/>
      <c r="G457" s="58"/>
      <c r="H457" s="58"/>
      <c r="I457" s="58" t="str">
        <f t="shared" si="59"/>
        <v/>
      </c>
      <c r="J457" s="58" t="str">
        <f t="shared" si="60"/>
        <v/>
      </c>
      <c r="K457" s="59" t="str">
        <f t="shared" si="61"/>
        <v/>
      </c>
      <c r="L457" s="58" t="str">
        <f t="shared" si="62"/>
        <v/>
      </c>
      <c r="M457" s="59" t="str">
        <f t="shared" si="63"/>
        <v/>
      </c>
      <c r="N457" s="60"/>
      <c r="O457" s="60">
        <v>0</v>
      </c>
    </row>
    <row r="458" spans="1:15" ht="15.75" thickBot="1" x14ac:dyDescent="0.3">
      <c r="A458" s="53">
        <v>44652</v>
      </c>
      <c r="D458" s="55"/>
      <c r="E458" s="56"/>
      <c r="F458" s="57"/>
      <c r="G458" s="58"/>
      <c r="H458" s="58"/>
      <c r="I458" s="58" t="str">
        <f t="shared" si="59"/>
        <v/>
      </c>
      <c r="J458" s="58" t="str">
        <f t="shared" si="60"/>
        <v/>
      </c>
      <c r="K458" s="59" t="str">
        <f t="shared" si="61"/>
        <v/>
      </c>
      <c r="L458" s="58" t="str">
        <f t="shared" si="62"/>
        <v/>
      </c>
      <c r="M458" s="59" t="str">
        <f t="shared" si="63"/>
        <v/>
      </c>
      <c r="N458" s="60"/>
      <c r="O458" s="60">
        <v>0</v>
      </c>
    </row>
    <row r="459" spans="1:15" ht="15.75" thickBot="1" x14ac:dyDescent="0.3">
      <c r="A459" s="53">
        <v>44653</v>
      </c>
      <c r="D459" s="55"/>
      <c r="E459" s="56"/>
      <c r="F459" s="57"/>
      <c r="G459" s="58"/>
      <c r="H459" s="58"/>
      <c r="I459" s="58" t="str">
        <f t="shared" si="59"/>
        <v/>
      </c>
      <c r="J459" s="58" t="str">
        <f t="shared" si="60"/>
        <v/>
      </c>
      <c r="K459" s="59" t="str">
        <f t="shared" si="61"/>
        <v/>
      </c>
      <c r="L459" s="58" t="str">
        <f t="shared" si="62"/>
        <v/>
      </c>
      <c r="M459" s="59" t="str">
        <f t="shared" si="63"/>
        <v/>
      </c>
      <c r="N459" s="60"/>
      <c r="O459" s="60">
        <v>0</v>
      </c>
    </row>
    <row r="460" spans="1:15" ht="15.75" thickBot="1" x14ac:dyDescent="0.3">
      <c r="A460" s="53">
        <v>44654</v>
      </c>
      <c r="D460" s="55"/>
      <c r="E460" s="56"/>
      <c r="F460" s="57"/>
      <c r="G460" s="58"/>
      <c r="H460" s="58"/>
      <c r="I460" s="58" t="str">
        <f t="shared" si="59"/>
        <v/>
      </c>
      <c r="J460" s="58" t="str">
        <f t="shared" si="60"/>
        <v/>
      </c>
      <c r="K460" s="59" t="str">
        <f t="shared" si="61"/>
        <v/>
      </c>
      <c r="L460" s="58" t="str">
        <f t="shared" si="62"/>
        <v/>
      </c>
      <c r="M460" s="59" t="str">
        <f t="shared" si="63"/>
        <v/>
      </c>
      <c r="N460" s="60"/>
      <c r="O460" s="60">
        <v>0</v>
      </c>
    </row>
    <row r="461" spans="1:15" ht="15.75" thickBot="1" x14ac:dyDescent="0.3">
      <c r="A461" s="53">
        <v>44655</v>
      </c>
      <c r="D461" s="55"/>
      <c r="E461" s="56"/>
      <c r="F461" s="57"/>
      <c r="G461" s="58"/>
      <c r="H461" s="58"/>
      <c r="I461" s="58" t="str">
        <f t="shared" si="59"/>
        <v/>
      </c>
      <c r="J461" s="58" t="str">
        <f t="shared" si="60"/>
        <v/>
      </c>
      <c r="K461" s="59" t="str">
        <f t="shared" si="61"/>
        <v/>
      </c>
      <c r="L461" s="58" t="str">
        <f t="shared" si="62"/>
        <v/>
      </c>
      <c r="M461" s="59" t="str">
        <f t="shared" si="63"/>
        <v/>
      </c>
      <c r="N461" s="60"/>
      <c r="O461" s="60">
        <v>0</v>
      </c>
    </row>
    <row r="462" spans="1:15" ht="15.75" thickBot="1" x14ac:dyDescent="0.3">
      <c r="A462" s="53">
        <v>44656</v>
      </c>
      <c r="D462" s="55"/>
      <c r="E462" s="56"/>
      <c r="F462" s="57"/>
      <c r="G462" s="58"/>
      <c r="H462" s="58"/>
      <c r="I462" s="58" t="str">
        <f t="shared" si="59"/>
        <v/>
      </c>
      <c r="J462" s="58" t="str">
        <f t="shared" si="60"/>
        <v/>
      </c>
      <c r="K462" s="59" t="str">
        <f t="shared" si="61"/>
        <v/>
      </c>
      <c r="L462" s="58" t="str">
        <f t="shared" si="62"/>
        <v/>
      </c>
      <c r="M462" s="59" t="str">
        <f t="shared" si="63"/>
        <v/>
      </c>
      <c r="N462" s="60"/>
      <c r="O462" s="60">
        <v>0</v>
      </c>
    </row>
    <row r="463" spans="1:15" ht="15.75" thickBot="1" x14ac:dyDescent="0.3">
      <c r="A463" s="53">
        <v>44657</v>
      </c>
      <c r="D463" s="55"/>
      <c r="E463" s="56"/>
      <c r="F463" s="57"/>
      <c r="G463" s="58"/>
      <c r="H463" s="58"/>
      <c r="I463" s="58" t="str">
        <f t="shared" si="59"/>
        <v/>
      </c>
      <c r="J463" s="58" t="str">
        <f t="shared" si="60"/>
        <v/>
      </c>
      <c r="K463" s="59" t="str">
        <f t="shared" si="61"/>
        <v/>
      </c>
      <c r="L463" s="58" t="str">
        <f t="shared" si="62"/>
        <v/>
      </c>
      <c r="M463" s="59" t="str">
        <f t="shared" si="63"/>
        <v/>
      </c>
      <c r="N463" s="60"/>
      <c r="O463" s="60">
        <v>0</v>
      </c>
    </row>
    <row r="464" spans="1:15" ht="15.75" thickBot="1" x14ac:dyDescent="0.3">
      <c r="A464" s="53">
        <v>44658</v>
      </c>
      <c r="D464" s="55"/>
      <c r="E464" s="56"/>
      <c r="F464" s="57"/>
      <c r="G464" s="58"/>
      <c r="H464" s="58"/>
      <c r="I464" s="58" t="str">
        <f t="shared" si="59"/>
        <v/>
      </c>
      <c r="J464" s="58" t="str">
        <f t="shared" si="60"/>
        <v/>
      </c>
      <c r="K464" s="59" t="str">
        <f t="shared" si="61"/>
        <v/>
      </c>
      <c r="L464" s="58" t="str">
        <f t="shared" si="62"/>
        <v/>
      </c>
      <c r="M464" s="59" t="str">
        <f t="shared" si="63"/>
        <v/>
      </c>
      <c r="N464" s="60"/>
      <c r="O464" s="60">
        <v>0</v>
      </c>
    </row>
    <row r="465" spans="1:15" ht="15.75" thickBot="1" x14ac:dyDescent="0.3">
      <c r="A465" s="53">
        <v>44659</v>
      </c>
      <c r="D465" s="55"/>
      <c r="E465" s="56"/>
      <c r="F465" s="57"/>
      <c r="G465" s="58"/>
      <c r="H465" s="58"/>
      <c r="I465" s="58" t="str">
        <f t="shared" si="59"/>
        <v/>
      </c>
      <c r="J465" s="58" t="str">
        <f t="shared" si="60"/>
        <v/>
      </c>
      <c r="K465" s="59" t="str">
        <f t="shared" si="61"/>
        <v/>
      </c>
      <c r="L465" s="58" t="str">
        <f t="shared" si="62"/>
        <v/>
      </c>
      <c r="M465" s="59" t="str">
        <f t="shared" si="63"/>
        <v/>
      </c>
      <c r="N465" s="60"/>
      <c r="O465" s="60">
        <v>0</v>
      </c>
    </row>
    <row r="466" spans="1:15" ht="15.75" thickBot="1" x14ac:dyDescent="0.3">
      <c r="A466" s="53">
        <v>44660</v>
      </c>
      <c r="D466" s="55"/>
      <c r="E466" s="56"/>
      <c r="F466" s="57"/>
      <c r="G466" s="58"/>
      <c r="H466" s="58"/>
      <c r="I466" s="58" t="str">
        <f t="shared" si="59"/>
        <v/>
      </c>
      <c r="J466" s="58" t="str">
        <f t="shared" si="60"/>
        <v/>
      </c>
      <c r="K466" s="59" t="str">
        <f t="shared" si="61"/>
        <v/>
      </c>
      <c r="L466" s="58" t="str">
        <f t="shared" si="62"/>
        <v/>
      </c>
      <c r="M466" s="59" t="str">
        <f t="shared" si="63"/>
        <v/>
      </c>
      <c r="N466" s="60"/>
      <c r="O466" s="60">
        <v>0</v>
      </c>
    </row>
    <row r="467" spans="1:15" ht="15.75" thickBot="1" x14ac:dyDescent="0.3">
      <c r="A467" s="53">
        <v>44661</v>
      </c>
      <c r="D467" s="55"/>
      <c r="E467" s="56"/>
      <c r="F467" s="57"/>
      <c r="G467" s="58"/>
      <c r="H467" s="58"/>
      <c r="I467" s="58" t="str">
        <f t="shared" si="59"/>
        <v/>
      </c>
      <c r="J467" s="58" t="str">
        <f t="shared" si="60"/>
        <v/>
      </c>
      <c r="K467" s="59" t="str">
        <f t="shared" si="61"/>
        <v/>
      </c>
      <c r="L467" s="58" t="str">
        <f t="shared" si="62"/>
        <v/>
      </c>
      <c r="M467" s="59" t="str">
        <f t="shared" si="63"/>
        <v/>
      </c>
      <c r="N467" s="60"/>
      <c r="O467" s="60">
        <v>0</v>
      </c>
    </row>
    <row r="468" spans="1:15" ht="15.75" thickBot="1" x14ac:dyDescent="0.3">
      <c r="A468" s="53">
        <v>44662</v>
      </c>
      <c r="D468" s="55"/>
      <c r="E468" s="56"/>
      <c r="F468" s="57"/>
      <c r="G468" s="58"/>
      <c r="H468" s="58"/>
      <c r="I468" s="58" t="str">
        <f t="shared" si="59"/>
        <v/>
      </c>
      <c r="J468" s="58" t="str">
        <f t="shared" si="60"/>
        <v/>
      </c>
      <c r="K468" s="59" t="str">
        <f t="shared" si="61"/>
        <v/>
      </c>
      <c r="L468" s="58" t="str">
        <f t="shared" si="62"/>
        <v/>
      </c>
      <c r="M468" s="59" t="str">
        <f t="shared" si="63"/>
        <v/>
      </c>
      <c r="N468" s="60"/>
      <c r="O468" s="60">
        <v>0</v>
      </c>
    </row>
    <row r="469" spans="1:15" ht="15.75" thickBot="1" x14ac:dyDescent="0.3">
      <c r="A469" s="53">
        <v>44663</v>
      </c>
      <c r="D469" s="55"/>
      <c r="E469" s="56"/>
      <c r="F469" s="57"/>
      <c r="G469" s="58"/>
      <c r="H469" s="58"/>
      <c r="I469" s="58" t="str">
        <f t="shared" si="59"/>
        <v/>
      </c>
      <c r="J469" s="58" t="str">
        <f t="shared" si="60"/>
        <v/>
      </c>
      <c r="K469" s="59" t="str">
        <f t="shared" si="61"/>
        <v/>
      </c>
      <c r="L469" s="58" t="str">
        <f t="shared" si="62"/>
        <v/>
      </c>
      <c r="M469" s="59" t="str">
        <f t="shared" si="63"/>
        <v/>
      </c>
      <c r="N469" s="60"/>
      <c r="O469" s="60">
        <v>0</v>
      </c>
    </row>
    <row r="470" spans="1:15" ht="15.75" thickBot="1" x14ac:dyDescent="0.3">
      <c r="A470" s="53">
        <v>44664</v>
      </c>
      <c r="D470" s="55"/>
      <c r="E470" s="56"/>
      <c r="F470" s="57"/>
      <c r="G470" s="58"/>
      <c r="H470" s="58"/>
      <c r="I470" s="58" t="str">
        <f t="shared" si="59"/>
        <v/>
      </c>
      <c r="J470" s="58" t="str">
        <f t="shared" si="60"/>
        <v/>
      </c>
      <c r="K470" s="59" t="str">
        <f t="shared" si="61"/>
        <v/>
      </c>
      <c r="L470" s="58" t="str">
        <f t="shared" si="62"/>
        <v/>
      </c>
      <c r="M470" s="59" t="str">
        <f t="shared" si="63"/>
        <v/>
      </c>
      <c r="N470" s="60"/>
      <c r="O470" s="60">
        <v>0</v>
      </c>
    </row>
    <row r="471" spans="1:15" ht="15.75" thickBot="1" x14ac:dyDescent="0.3">
      <c r="A471" s="53">
        <v>44665</v>
      </c>
      <c r="D471" s="55"/>
      <c r="E471" s="56"/>
      <c r="F471" s="57"/>
      <c r="G471" s="58"/>
      <c r="H471" s="58"/>
      <c r="I471" s="58" t="str">
        <f t="shared" si="59"/>
        <v/>
      </c>
      <c r="J471" s="58" t="str">
        <f t="shared" si="60"/>
        <v/>
      </c>
      <c r="K471" s="59" t="str">
        <f t="shared" si="61"/>
        <v/>
      </c>
      <c r="L471" s="58" t="str">
        <f t="shared" si="62"/>
        <v/>
      </c>
      <c r="M471" s="59" t="str">
        <f t="shared" si="63"/>
        <v/>
      </c>
      <c r="N471" s="60"/>
      <c r="O471" s="60">
        <v>0</v>
      </c>
    </row>
    <row r="472" spans="1:15" ht="15.75" thickBot="1" x14ac:dyDescent="0.3">
      <c r="A472" s="53">
        <v>44666</v>
      </c>
      <c r="D472" s="55"/>
      <c r="E472" s="56"/>
      <c r="F472" s="57"/>
      <c r="G472" s="58"/>
      <c r="H472" s="58"/>
      <c r="I472" s="58" t="str">
        <f t="shared" si="59"/>
        <v/>
      </c>
      <c r="J472" s="58" t="str">
        <f t="shared" si="60"/>
        <v/>
      </c>
      <c r="K472" s="59" t="str">
        <f t="shared" si="61"/>
        <v/>
      </c>
      <c r="L472" s="58" t="str">
        <f t="shared" si="62"/>
        <v/>
      </c>
      <c r="M472" s="59" t="str">
        <f t="shared" si="63"/>
        <v/>
      </c>
      <c r="N472" s="60"/>
      <c r="O472" s="60">
        <v>0</v>
      </c>
    </row>
    <row r="473" spans="1:15" ht="15.75" thickBot="1" x14ac:dyDescent="0.3">
      <c r="A473" s="53">
        <v>44667</v>
      </c>
      <c r="D473" s="55"/>
      <c r="E473" s="56"/>
      <c r="F473" s="57"/>
      <c r="G473" s="58"/>
      <c r="H473" s="58"/>
      <c r="I473" s="58" t="str">
        <f t="shared" si="59"/>
        <v/>
      </c>
      <c r="J473" s="58" t="str">
        <f t="shared" si="60"/>
        <v/>
      </c>
      <c r="K473" s="59" t="str">
        <f t="shared" si="61"/>
        <v/>
      </c>
      <c r="L473" s="58" t="str">
        <f t="shared" si="62"/>
        <v/>
      </c>
      <c r="M473" s="59" t="str">
        <f t="shared" si="63"/>
        <v/>
      </c>
      <c r="N473" s="60"/>
      <c r="O473" s="60">
        <v>0</v>
      </c>
    </row>
    <row r="474" spans="1:15" ht="15.75" thickBot="1" x14ac:dyDescent="0.3">
      <c r="A474" s="53">
        <v>44668</v>
      </c>
      <c r="D474" s="55"/>
      <c r="E474" s="56"/>
      <c r="F474" s="57"/>
      <c r="G474" s="58"/>
      <c r="H474" s="58"/>
      <c r="I474" s="58" t="str">
        <f t="shared" si="59"/>
        <v/>
      </c>
      <c r="J474" s="58" t="str">
        <f t="shared" si="60"/>
        <v/>
      </c>
      <c r="K474" s="59" t="str">
        <f t="shared" si="61"/>
        <v/>
      </c>
      <c r="L474" s="58" t="str">
        <f t="shared" si="62"/>
        <v/>
      </c>
      <c r="M474" s="59" t="str">
        <f t="shared" si="63"/>
        <v/>
      </c>
      <c r="N474" s="60"/>
      <c r="O474" s="60">
        <v>0</v>
      </c>
    </row>
    <row r="475" spans="1:15" ht="15.75" thickBot="1" x14ac:dyDescent="0.3">
      <c r="A475" s="53">
        <v>44669</v>
      </c>
      <c r="D475" s="55"/>
      <c r="E475" s="56"/>
      <c r="F475" s="57"/>
      <c r="G475" s="58"/>
      <c r="H475" s="58"/>
      <c r="I475" s="58" t="str">
        <f t="shared" si="59"/>
        <v/>
      </c>
      <c r="J475" s="58" t="str">
        <f t="shared" si="60"/>
        <v/>
      </c>
      <c r="K475" s="59" t="str">
        <f t="shared" si="61"/>
        <v/>
      </c>
      <c r="L475" s="58" t="str">
        <f t="shared" si="62"/>
        <v/>
      </c>
      <c r="M475" s="59" t="str">
        <f t="shared" si="63"/>
        <v/>
      </c>
      <c r="N475" s="60"/>
      <c r="O475" s="60">
        <v>0</v>
      </c>
    </row>
    <row r="476" spans="1:15" ht="15.75" thickBot="1" x14ac:dyDescent="0.3">
      <c r="A476" s="53">
        <v>44670</v>
      </c>
      <c r="D476" s="55"/>
      <c r="E476" s="56"/>
      <c r="F476" s="57"/>
      <c r="G476" s="58"/>
      <c r="H476" s="58"/>
      <c r="I476" s="58" t="str">
        <f t="shared" si="59"/>
        <v/>
      </c>
      <c r="J476" s="58" t="str">
        <f t="shared" si="60"/>
        <v/>
      </c>
      <c r="K476" s="59" t="str">
        <f t="shared" si="61"/>
        <v/>
      </c>
      <c r="L476" s="58" t="str">
        <f t="shared" si="62"/>
        <v/>
      </c>
      <c r="M476" s="59" t="str">
        <f t="shared" si="63"/>
        <v/>
      </c>
      <c r="N476" s="60"/>
      <c r="O476" s="60">
        <v>0</v>
      </c>
    </row>
    <row r="477" spans="1:15" ht="15.75" thickBot="1" x14ac:dyDescent="0.3">
      <c r="A477" s="53">
        <v>44671</v>
      </c>
      <c r="D477" s="55"/>
      <c r="E477" s="56"/>
      <c r="F477" s="57"/>
      <c r="G477" s="58"/>
      <c r="H477" s="58"/>
      <c r="I477" s="58" t="str">
        <f t="shared" si="59"/>
        <v/>
      </c>
      <c r="J477" s="58" t="str">
        <f t="shared" si="60"/>
        <v/>
      </c>
      <c r="K477" s="59" t="str">
        <f t="shared" si="61"/>
        <v/>
      </c>
      <c r="L477" s="58" t="str">
        <f t="shared" si="62"/>
        <v/>
      </c>
      <c r="M477" s="59" t="str">
        <f t="shared" si="63"/>
        <v/>
      </c>
      <c r="N477" s="60"/>
      <c r="O477" s="60">
        <v>0</v>
      </c>
    </row>
    <row r="478" spans="1:15" ht="15.75" thickBot="1" x14ac:dyDescent="0.3">
      <c r="A478" s="53">
        <v>44672</v>
      </c>
      <c r="D478" s="55"/>
      <c r="E478" s="56"/>
      <c r="F478" s="57"/>
      <c r="G478" s="58"/>
      <c r="H478" s="58"/>
      <c r="I478" s="58" t="str">
        <f t="shared" si="59"/>
        <v/>
      </c>
      <c r="J478" s="58" t="str">
        <f t="shared" si="60"/>
        <v/>
      </c>
      <c r="K478" s="59" t="str">
        <f t="shared" si="61"/>
        <v/>
      </c>
      <c r="L478" s="58" t="str">
        <f t="shared" si="62"/>
        <v/>
      </c>
      <c r="M478" s="59" t="str">
        <f t="shared" si="63"/>
        <v/>
      </c>
      <c r="N478" s="60"/>
      <c r="O478" s="60">
        <v>0</v>
      </c>
    </row>
    <row r="479" spans="1:15" ht="15.75" thickBot="1" x14ac:dyDescent="0.3">
      <c r="A479" s="53">
        <v>44673</v>
      </c>
      <c r="D479" s="55"/>
      <c r="E479" s="56"/>
      <c r="F479" s="57"/>
      <c r="G479" s="58"/>
      <c r="H479" s="58"/>
      <c r="I479" s="58" t="str">
        <f t="shared" si="59"/>
        <v/>
      </c>
      <c r="J479" s="58" t="str">
        <f t="shared" si="60"/>
        <v/>
      </c>
      <c r="K479" s="59" t="str">
        <f t="shared" si="61"/>
        <v/>
      </c>
      <c r="L479" s="58" t="str">
        <f t="shared" si="62"/>
        <v/>
      </c>
      <c r="M479" s="59" t="str">
        <f t="shared" si="63"/>
        <v/>
      </c>
      <c r="N479" s="60"/>
      <c r="O479" s="60">
        <v>0</v>
      </c>
    </row>
    <row r="480" spans="1:15" ht="15.75" thickBot="1" x14ac:dyDescent="0.3">
      <c r="A480" s="53">
        <v>44674</v>
      </c>
      <c r="D480" s="55"/>
      <c r="E480" s="56"/>
      <c r="F480" s="57"/>
      <c r="G480" s="58"/>
      <c r="H480" s="58"/>
      <c r="I480" s="58" t="str">
        <f t="shared" si="59"/>
        <v/>
      </c>
      <c r="J480" s="58" t="str">
        <f t="shared" si="60"/>
        <v/>
      </c>
      <c r="K480" s="59" t="str">
        <f t="shared" si="61"/>
        <v/>
      </c>
      <c r="L480" s="58" t="str">
        <f t="shared" si="62"/>
        <v/>
      </c>
      <c r="M480" s="59" t="str">
        <f t="shared" si="63"/>
        <v/>
      </c>
      <c r="N480" s="60"/>
      <c r="O480" s="60">
        <v>0</v>
      </c>
    </row>
    <row r="481" spans="1:15" ht="15.75" thickBot="1" x14ac:dyDescent="0.3">
      <c r="A481" s="53">
        <v>44675</v>
      </c>
      <c r="D481" s="55"/>
      <c r="E481" s="56"/>
      <c r="F481" s="57"/>
      <c r="G481" s="58"/>
      <c r="H481" s="58"/>
      <c r="I481" s="58" t="str">
        <f t="shared" si="59"/>
        <v/>
      </c>
      <c r="J481" s="58" t="str">
        <f t="shared" si="60"/>
        <v/>
      </c>
      <c r="K481" s="59" t="str">
        <f t="shared" si="61"/>
        <v/>
      </c>
      <c r="L481" s="58" t="str">
        <f t="shared" si="62"/>
        <v/>
      </c>
      <c r="M481" s="59" t="str">
        <f t="shared" si="63"/>
        <v/>
      </c>
      <c r="N481" s="60"/>
      <c r="O481" s="60">
        <v>0</v>
      </c>
    </row>
    <row r="482" spans="1:15" ht="15.75" thickBot="1" x14ac:dyDescent="0.3">
      <c r="A482" s="53">
        <v>44676</v>
      </c>
      <c r="D482" s="55"/>
      <c r="E482" s="56"/>
      <c r="F482" s="57"/>
      <c r="G482" s="58"/>
      <c r="H482" s="58"/>
      <c r="I482" s="58" t="str">
        <f t="shared" si="59"/>
        <v/>
      </c>
      <c r="J482" s="58" t="str">
        <f t="shared" si="60"/>
        <v/>
      </c>
      <c r="K482" s="59" t="str">
        <f t="shared" si="61"/>
        <v/>
      </c>
      <c r="L482" s="58" t="str">
        <f t="shared" si="62"/>
        <v/>
      </c>
      <c r="M482" s="59" t="str">
        <f t="shared" si="63"/>
        <v/>
      </c>
      <c r="N482" s="60"/>
      <c r="O482" s="60">
        <v>0</v>
      </c>
    </row>
    <row r="483" spans="1:15" ht="15.75" thickBot="1" x14ac:dyDescent="0.3">
      <c r="A483" s="53">
        <v>44677</v>
      </c>
      <c r="D483" s="55"/>
      <c r="E483" s="56"/>
      <c r="F483" s="57"/>
      <c r="G483" s="58"/>
      <c r="H483" s="58"/>
      <c r="I483" s="58" t="str">
        <f t="shared" si="59"/>
        <v/>
      </c>
      <c r="J483" s="58" t="str">
        <f t="shared" si="60"/>
        <v/>
      </c>
      <c r="K483" s="59" t="str">
        <f t="shared" si="61"/>
        <v/>
      </c>
      <c r="L483" s="58" t="str">
        <f t="shared" si="62"/>
        <v/>
      </c>
      <c r="M483" s="59" t="str">
        <f t="shared" si="63"/>
        <v/>
      </c>
      <c r="N483" s="60"/>
      <c r="O483" s="60">
        <v>0</v>
      </c>
    </row>
    <row r="484" spans="1:15" ht="15.75" thickBot="1" x14ac:dyDescent="0.3">
      <c r="A484" s="53">
        <v>44678</v>
      </c>
      <c r="D484" s="55"/>
      <c r="E484" s="56"/>
      <c r="F484" s="57"/>
      <c r="G484" s="58"/>
      <c r="H484" s="58"/>
      <c r="I484" s="58" t="str">
        <f t="shared" si="59"/>
        <v/>
      </c>
      <c r="J484" s="58" t="str">
        <f t="shared" si="60"/>
        <v/>
      </c>
      <c r="K484" s="59" t="str">
        <f t="shared" si="61"/>
        <v/>
      </c>
      <c r="L484" s="58" t="str">
        <f t="shared" si="62"/>
        <v/>
      </c>
      <c r="M484" s="59" t="str">
        <f t="shared" si="63"/>
        <v/>
      </c>
      <c r="N484" s="60"/>
      <c r="O484" s="60">
        <v>0</v>
      </c>
    </row>
    <row r="485" spans="1:15" ht="15.75" thickBot="1" x14ac:dyDescent="0.3">
      <c r="A485" s="53">
        <v>44679</v>
      </c>
      <c r="D485" s="55"/>
      <c r="E485" s="56"/>
      <c r="F485" s="57"/>
      <c r="G485" s="58"/>
      <c r="H485" s="58"/>
      <c r="I485" s="58" t="str">
        <f t="shared" si="59"/>
        <v/>
      </c>
      <c r="J485" s="58" t="str">
        <f t="shared" si="60"/>
        <v/>
      </c>
      <c r="K485" s="59" t="str">
        <f t="shared" si="61"/>
        <v/>
      </c>
      <c r="L485" s="58" t="str">
        <f t="shared" si="62"/>
        <v/>
      </c>
      <c r="M485" s="59" t="str">
        <f t="shared" si="63"/>
        <v/>
      </c>
      <c r="N485" s="60"/>
      <c r="O485" s="60">
        <v>0</v>
      </c>
    </row>
    <row r="486" spans="1:15" ht="15.75" thickBot="1" x14ac:dyDescent="0.3">
      <c r="A486" s="53">
        <v>44680</v>
      </c>
      <c r="D486" s="55"/>
      <c r="E486" s="56"/>
      <c r="F486" s="57"/>
      <c r="G486" s="58"/>
      <c r="H486" s="58"/>
      <c r="I486" s="58" t="str">
        <f t="shared" si="59"/>
        <v/>
      </c>
      <c r="J486" s="58" t="str">
        <f t="shared" si="60"/>
        <v/>
      </c>
      <c r="K486" s="59" t="str">
        <f t="shared" si="61"/>
        <v/>
      </c>
      <c r="L486" s="58" t="str">
        <f t="shared" si="62"/>
        <v/>
      </c>
      <c r="M486" s="59" t="str">
        <f t="shared" si="63"/>
        <v/>
      </c>
      <c r="N486" s="60"/>
      <c r="O486" s="60">
        <v>0</v>
      </c>
    </row>
    <row r="487" spans="1:15" ht="15.75" thickBot="1" x14ac:dyDescent="0.3">
      <c r="A487" s="53">
        <v>44681</v>
      </c>
      <c r="D487" s="55"/>
      <c r="E487" s="56"/>
      <c r="F487" s="57"/>
      <c r="G487" s="58"/>
      <c r="H487" s="58"/>
      <c r="I487" s="58" t="str">
        <f t="shared" si="59"/>
        <v/>
      </c>
      <c r="J487" s="58" t="str">
        <f t="shared" si="60"/>
        <v/>
      </c>
      <c r="K487" s="59" t="str">
        <f t="shared" si="61"/>
        <v/>
      </c>
      <c r="L487" s="58" t="str">
        <f t="shared" si="62"/>
        <v/>
      </c>
      <c r="M487" s="59" t="str">
        <f t="shared" si="63"/>
        <v/>
      </c>
      <c r="N487" s="60"/>
      <c r="O487" s="60">
        <v>0</v>
      </c>
    </row>
    <row r="488" spans="1:15" ht="15.75" thickBot="1" x14ac:dyDescent="0.3">
      <c r="A488" s="53">
        <v>44682</v>
      </c>
      <c r="D488" s="55"/>
      <c r="E488" s="56"/>
      <c r="F488" s="57"/>
      <c r="G488" s="58"/>
      <c r="H488" s="58"/>
      <c r="I488" s="58" t="str">
        <f t="shared" si="59"/>
        <v/>
      </c>
      <c r="J488" s="58" t="str">
        <f t="shared" si="60"/>
        <v/>
      </c>
      <c r="K488" s="59" t="str">
        <f t="shared" si="61"/>
        <v/>
      </c>
      <c r="L488" s="58" t="str">
        <f t="shared" si="62"/>
        <v/>
      </c>
      <c r="M488" s="59" t="str">
        <f t="shared" si="63"/>
        <v/>
      </c>
      <c r="N488" s="60"/>
      <c r="O488" s="60">
        <v>0</v>
      </c>
    </row>
    <row r="489" spans="1:15" ht="15.75" thickBot="1" x14ac:dyDescent="0.3">
      <c r="A489" s="53">
        <v>44683</v>
      </c>
      <c r="D489" s="55"/>
      <c r="E489" s="56"/>
      <c r="F489" s="57"/>
      <c r="G489" s="58"/>
      <c r="H489" s="58"/>
      <c r="I489" s="58" t="str">
        <f t="shared" si="59"/>
        <v/>
      </c>
      <c r="J489" s="58" t="str">
        <f t="shared" si="60"/>
        <v/>
      </c>
      <c r="K489" s="59" t="str">
        <f t="shared" si="61"/>
        <v/>
      </c>
      <c r="L489" s="58" t="str">
        <f t="shared" si="62"/>
        <v/>
      </c>
      <c r="M489" s="59" t="str">
        <f t="shared" si="63"/>
        <v/>
      </c>
      <c r="N489" s="60"/>
      <c r="O489" s="60">
        <v>0</v>
      </c>
    </row>
    <row r="490" spans="1:15" ht="15.75" thickBot="1" x14ac:dyDescent="0.3">
      <c r="A490" s="53">
        <v>44684</v>
      </c>
      <c r="D490" s="55"/>
      <c r="E490" s="56"/>
      <c r="F490" s="57"/>
      <c r="G490" s="58"/>
      <c r="H490" s="58"/>
      <c r="I490" s="58" t="str">
        <f t="shared" si="59"/>
        <v/>
      </c>
      <c r="J490" s="58" t="str">
        <f t="shared" si="60"/>
        <v/>
      </c>
      <c r="K490" s="59" t="str">
        <f t="shared" si="61"/>
        <v/>
      </c>
      <c r="L490" s="58" t="str">
        <f t="shared" si="62"/>
        <v/>
      </c>
      <c r="M490" s="59" t="str">
        <f t="shared" si="63"/>
        <v/>
      </c>
      <c r="N490" s="60"/>
      <c r="O490" s="60">
        <v>0</v>
      </c>
    </row>
    <row r="491" spans="1:15" ht="15.75" thickBot="1" x14ac:dyDescent="0.3">
      <c r="A491" s="53">
        <v>44685</v>
      </c>
      <c r="D491" s="55"/>
      <c r="E491" s="56"/>
      <c r="F491" s="57"/>
      <c r="G491" s="58"/>
      <c r="H491" s="58"/>
      <c r="I491" s="58" t="str">
        <f t="shared" si="59"/>
        <v/>
      </c>
      <c r="J491" s="58" t="str">
        <f t="shared" si="60"/>
        <v/>
      </c>
      <c r="K491" s="59" t="str">
        <f t="shared" si="61"/>
        <v/>
      </c>
      <c r="L491" s="58" t="str">
        <f t="shared" si="62"/>
        <v/>
      </c>
      <c r="M491" s="59" t="str">
        <f t="shared" si="63"/>
        <v/>
      </c>
      <c r="N491" s="60"/>
      <c r="O491" s="60">
        <v>0</v>
      </c>
    </row>
    <row r="492" spans="1:15" ht="15.75" thickBot="1" x14ac:dyDescent="0.3">
      <c r="A492" s="53">
        <v>44686</v>
      </c>
      <c r="D492" s="55"/>
      <c r="E492" s="56"/>
      <c r="F492" s="57"/>
      <c r="G492" s="58"/>
      <c r="H492" s="58"/>
      <c r="I492" s="58" t="str">
        <f t="shared" si="59"/>
        <v/>
      </c>
      <c r="J492" s="58" t="str">
        <f t="shared" si="60"/>
        <v/>
      </c>
      <c r="K492" s="59" t="str">
        <f t="shared" si="61"/>
        <v/>
      </c>
      <c r="L492" s="58" t="str">
        <f t="shared" si="62"/>
        <v/>
      </c>
      <c r="M492" s="59" t="str">
        <f t="shared" si="63"/>
        <v/>
      </c>
      <c r="N492" s="60"/>
      <c r="O492" s="60">
        <v>0</v>
      </c>
    </row>
    <row r="493" spans="1:15" ht="15.75" thickBot="1" x14ac:dyDescent="0.3">
      <c r="A493" s="53">
        <v>44687</v>
      </c>
      <c r="D493" s="55"/>
      <c r="E493" s="56"/>
      <c r="F493" s="57"/>
      <c r="G493" s="58"/>
      <c r="H493" s="58"/>
      <c r="I493" s="58" t="str">
        <f t="shared" si="59"/>
        <v/>
      </c>
      <c r="J493" s="58" t="str">
        <f t="shared" si="60"/>
        <v/>
      </c>
      <c r="K493" s="59" t="str">
        <f t="shared" si="61"/>
        <v/>
      </c>
      <c r="L493" s="58" t="str">
        <f t="shared" si="62"/>
        <v/>
      </c>
      <c r="M493" s="59" t="str">
        <f t="shared" si="63"/>
        <v/>
      </c>
      <c r="N493" s="60"/>
      <c r="O493" s="60">
        <v>0</v>
      </c>
    </row>
    <row r="494" spans="1:15" ht="15.75" thickBot="1" x14ac:dyDescent="0.3">
      <c r="A494" s="53">
        <v>44688</v>
      </c>
      <c r="D494" s="55"/>
      <c r="E494" s="56"/>
      <c r="F494" s="57"/>
      <c r="G494" s="58"/>
      <c r="H494" s="58"/>
      <c r="I494" s="58" t="str">
        <f t="shared" si="59"/>
        <v/>
      </c>
      <c r="J494" s="58" t="str">
        <f t="shared" si="60"/>
        <v/>
      </c>
      <c r="K494" s="59" t="str">
        <f t="shared" si="61"/>
        <v/>
      </c>
      <c r="L494" s="58" t="str">
        <f t="shared" si="62"/>
        <v/>
      </c>
      <c r="M494" s="59" t="str">
        <f t="shared" si="63"/>
        <v/>
      </c>
      <c r="N494" s="60"/>
      <c r="O494" s="60">
        <v>0</v>
      </c>
    </row>
    <row r="495" spans="1:15" ht="15.75" thickBot="1" x14ac:dyDescent="0.3">
      <c r="A495" s="53">
        <v>44689</v>
      </c>
      <c r="D495" s="55"/>
      <c r="E495" s="56"/>
      <c r="F495" s="57"/>
      <c r="G495" s="58"/>
      <c r="H495" s="58"/>
      <c r="I495" s="58" t="str">
        <f t="shared" si="59"/>
        <v/>
      </c>
      <c r="J495" s="58" t="str">
        <f t="shared" si="60"/>
        <v/>
      </c>
      <c r="K495" s="59" t="str">
        <f t="shared" si="61"/>
        <v/>
      </c>
      <c r="L495" s="58" t="str">
        <f t="shared" si="62"/>
        <v/>
      </c>
      <c r="M495" s="59" t="str">
        <f t="shared" si="63"/>
        <v/>
      </c>
      <c r="N495" s="60"/>
      <c r="O495" s="60">
        <v>0</v>
      </c>
    </row>
    <row r="496" spans="1:15" ht="15.75" thickBot="1" x14ac:dyDescent="0.3">
      <c r="A496" s="53">
        <v>44690</v>
      </c>
      <c r="D496" s="55"/>
      <c r="E496" s="56"/>
      <c r="F496" s="57"/>
      <c r="G496" s="58"/>
      <c r="H496" s="58"/>
      <c r="I496" s="58" t="str">
        <f t="shared" ref="I496:I559" si="64">IF(D496="","",+(D496-D495)*4140)</f>
        <v/>
      </c>
      <c r="J496" s="58" t="str">
        <f t="shared" ref="J496:J559" si="65">IF(E496="","",+(F496-F495)*4140)</f>
        <v/>
      </c>
      <c r="K496" s="59" t="str">
        <f t="shared" ref="K496:K559" si="66">IF(J496="","",+(J496/I496))</f>
        <v/>
      </c>
      <c r="L496" s="58" t="str">
        <f t="shared" ref="L496:L559" si="67">IF(F496="","",+(F496-F495)*4140)</f>
        <v/>
      </c>
      <c r="M496" s="59" t="str">
        <f t="shared" ref="M496:M559" si="68">IF(L496="","",(L496/I496))</f>
        <v/>
      </c>
      <c r="N496" s="60"/>
      <c r="O496" s="60">
        <v>0</v>
      </c>
    </row>
    <row r="497" spans="1:15" ht="15.75" thickBot="1" x14ac:dyDescent="0.3">
      <c r="A497" s="53">
        <v>44691</v>
      </c>
      <c r="D497" s="55"/>
      <c r="E497" s="56"/>
      <c r="F497" s="57"/>
      <c r="G497" s="58"/>
      <c r="H497" s="58"/>
      <c r="I497" s="58" t="str">
        <f t="shared" si="64"/>
        <v/>
      </c>
      <c r="J497" s="58" t="str">
        <f t="shared" si="65"/>
        <v/>
      </c>
      <c r="K497" s="59" t="str">
        <f t="shared" si="66"/>
        <v/>
      </c>
      <c r="L497" s="58" t="str">
        <f t="shared" si="67"/>
        <v/>
      </c>
      <c r="M497" s="59" t="str">
        <f t="shared" si="68"/>
        <v/>
      </c>
      <c r="N497" s="60"/>
      <c r="O497" s="60">
        <v>0</v>
      </c>
    </row>
    <row r="498" spans="1:15" ht="15.75" thickBot="1" x14ac:dyDescent="0.3">
      <c r="A498" s="53">
        <v>44692</v>
      </c>
      <c r="D498" s="55"/>
      <c r="E498" s="56"/>
      <c r="F498" s="57"/>
      <c r="G498" s="58"/>
      <c r="H498" s="58"/>
      <c r="I498" s="58" t="str">
        <f t="shared" si="64"/>
        <v/>
      </c>
      <c r="J498" s="58" t="str">
        <f t="shared" si="65"/>
        <v/>
      </c>
      <c r="K498" s="59" t="str">
        <f t="shared" si="66"/>
        <v/>
      </c>
      <c r="L498" s="58" t="str">
        <f t="shared" si="67"/>
        <v/>
      </c>
      <c r="M498" s="59" t="str">
        <f t="shared" si="68"/>
        <v/>
      </c>
      <c r="N498" s="60"/>
      <c r="O498" s="60">
        <v>0</v>
      </c>
    </row>
    <row r="499" spans="1:15" ht="15.75" thickBot="1" x14ac:dyDescent="0.3">
      <c r="A499" s="53">
        <v>44693</v>
      </c>
      <c r="D499" s="55"/>
      <c r="E499" s="56"/>
      <c r="F499" s="57"/>
      <c r="G499" s="58"/>
      <c r="H499" s="58"/>
      <c r="I499" s="58" t="str">
        <f t="shared" si="64"/>
        <v/>
      </c>
      <c r="J499" s="58" t="str">
        <f t="shared" si="65"/>
        <v/>
      </c>
      <c r="K499" s="59" t="str">
        <f t="shared" si="66"/>
        <v/>
      </c>
      <c r="L499" s="58" t="str">
        <f t="shared" si="67"/>
        <v/>
      </c>
      <c r="M499" s="59" t="str">
        <f t="shared" si="68"/>
        <v/>
      </c>
      <c r="N499" s="60"/>
      <c r="O499" s="60">
        <v>0</v>
      </c>
    </row>
    <row r="500" spans="1:15" ht="15.75" thickBot="1" x14ac:dyDescent="0.3">
      <c r="A500" s="53">
        <v>44694</v>
      </c>
      <c r="D500" s="55"/>
      <c r="E500" s="56"/>
      <c r="F500" s="57"/>
      <c r="G500" s="58"/>
      <c r="H500" s="58"/>
      <c r="I500" s="58" t="str">
        <f t="shared" si="64"/>
        <v/>
      </c>
      <c r="J500" s="58" t="str">
        <f t="shared" si="65"/>
        <v/>
      </c>
      <c r="K500" s="59" t="str">
        <f t="shared" si="66"/>
        <v/>
      </c>
      <c r="L500" s="58" t="str">
        <f t="shared" si="67"/>
        <v/>
      </c>
      <c r="M500" s="59" t="str">
        <f t="shared" si="68"/>
        <v/>
      </c>
      <c r="N500" s="60"/>
      <c r="O500" s="60">
        <v>0</v>
      </c>
    </row>
    <row r="501" spans="1:15" ht="15.75" thickBot="1" x14ac:dyDescent="0.3">
      <c r="A501" s="53">
        <v>44695</v>
      </c>
      <c r="D501" s="55"/>
      <c r="E501" s="56"/>
      <c r="F501" s="57"/>
      <c r="G501" s="58"/>
      <c r="H501" s="58"/>
      <c r="I501" s="58" t="str">
        <f t="shared" si="64"/>
        <v/>
      </c>
      <c r="J501" s="58" t="str">
        <f t="shared" si="65"/>
        <v/>
      </c>
      <c r="K501" s="59" t="str">
        <f t="shared" si="66"/>
        <v/>
      </c>
      <c r="L501" s="58" t="str">
        <f t="shared" si="67"/>
        <v/>
      </c>
      <c r="M501" s="59" t="str">
        <f t="shared" si="68"/>
        <v/>
      </c>
      <c r="N501" s="60"/>
      <c r="O501" s="60">
        <v>0</v>
      </c>
    </row>
    <row r="502" spans="1:15" ht="15.75" thickBot="1" x14ac:dyDescent="0.3">
      <c r="A502" s="53">
        <v>44696</v>
      </c>
      <c r="D502" s="55"/>
      <c r="E502" s="56"/>
      <c r="F502" s="57"/>
      <c r="G502" s="58"/>
      <c r="H502" s="58"/>
      <c r="I502" s="58" t="str">
        <f t="shared" si="64"/>
        <v/>
      </c>
      <c r="J502" s="58" t="str">
        <f t="shared" si="65"/>
        <v/>
      </c>
      <c r="K502" s="59" t="str">
        <f t="shared" si="66"/>
        <v/>
      </c>
      <c r="L502" s="58" t="str">
        <f t="shared" si="67"/>
        <v/>
      </c>
      <c r="M502" s="59" t="str">
        <f t="shared" si="68"/>
        <v/>
      </c>
      <c r="N502" s="60"/>
      <c r="O502" s="60">
        <v>0</v>
      </c>
    </row>
    <row r="503" spans="1:15" ht="15.75" thickBot="1" x14ac:dyDescent="0.3">
      <c r="A503" s="53">
        <v>44697</v>
      </c>
      <c r="D503" s="55"/>
      <c r="E503" s="56"/>
      <c r="F503" s="57"/>
      <c r="G503" s="58"/>
      <c r="H503" s="58"/>
      <c r="I503" s="58" t="str">
        <f t="shared" si="64"/>
        <v/>
      </c>
      <c r="J503" s="58" t="str">
        <f t="shared" si="65"/>
        <v/>
      </c>
      <c r="K503" s="59" t="str">
        <f t="shared" si="66"/>
        <v/>
      </c>
      <c r="L503" s="58" t="str">
        <f t="shared" si="67"/>
        <v/>
      </c>
      <c r="M503" s="59" t="str">
        <f t="shared" si="68"/>
        <v/>
      </c>
      <c r="N503" s="60"/>
      <c r="O503" s="60">
        <v>0</v>
      </c>
    </row>
    <row r="504" spans="1:15" ht="15.75" thickBot="1" x14ac:dyDescent="0.3">
      <c r="A504" s="53">
        <v>44698</v>
      </c>
      <c r="D504" s="55"/>
      <c r="E504" s="56"/>
      <c r="F504" s="57"/>
      <c r="G504" s="58"/>
      <c r="H504" s="58"/>
      <c r="I504" s="58" t="str">
        <f t="shared" si="64"/>
        <v/>
      </c>
      <c r="J504" s="58" t="str">
        <f t="shared" si="65"/>
        <v/>
      </c>
      <c r="K504" s="59" t="str">
        <f t="shared" si="66"/>
        <v/>
      </c>
      <c r="L504" s="58" t="str">
        <f t="shared" si="67"/>
        <v/>
      </c>
      <c r="M504" s="59" t="str">
        <f t="shared" si="68"/>
        <v/>
      </c>
      <c r="N504" s="60"/>
      <c r="O504" s="60">
        <v>0</v>
      </c>
    </row>
    <row r="505" spans="1:15" ht="15.75" thickBot="1" x14ac:dyDescent="0.3">
      <c r="A505" s="53">
        <v>44699</v>
      </c>
      <c r="D505" s="55"/>
      <c r="E505" s="56"/>
      <c r="F505" s="57"/>
      <c r="G505" s="58"/>
      <c r="H505" s="58"/>
      <c r="I505" s="58" t="str">
        <f t="shared" si="64"/>
        <v/>
      </c>
      <c r="J505" s="58" t="str">
        <f t="shared" si="65"/>
        <v/>
      </c>
      <c r="K505" s="59" t="str">
        <f t="shared" si="66"/>
        <v/>
      </c>
      <c r="L505" s="58" t="str">
        <f t="shared" si="67"/>
        <v/>
      </c>
      <c r="M505" s="59" t="str">
        <f t="shared" si="68"/>
        <v/>
      </c>
      <c r="N505" s="60"/>
      <c r="O505" s="60">
        <v>0</v>
      </c>
    </row>
    <row r="506" spans="1:15" ht="15.75" thickBot="1" x14ac:dyDescent="0.3">
      <c r="A506" s="53">
        <v>44700</v>
      </c>
      <c r="D506" s="55"/>
      <c r="E506" s="56"/>
      <c r="F506" s="57"/>
      <c r="G506" s="58"/>
      <c r="H506" s="58"/>
      <c r="I506" s="58" t="str">
        <f t="shared" si="64"/>
        <v/>
      </c>
      <c r="J506" s="58" t="str">
        <f t="shared" si="65"/>
        <v/>
      </c>
      <c r="K506" s="59" t="str">
        <f t="shared" si="66"/>
        <v/>
      </c>
      <c r="L506" s="58" t="str">
        <f t="shared" si="67"/>
        <v/>
      </c>
      <c r="M506" s="59" t="str">
        <f t="shared" si="68"/>
        <v/>
      </c>
      <c r="N506" s="60"/>
      <c r="O506" s="60">
        <v>0</v>
      </c>
    </row>
    <row r="507" spans="1:15" ht="15.75" thickBot="1" x14ac:dyDescent="0.3">
      <c r="A507" s="53">
        <v>44701</v>
      </c>
      <c r="D507" s="55"/>
      <c r="E507" s="56"/>
      <c r="F507" s="57"/>
      <c r="G507" s="58"/>
      <c r="H507" s="58"/>
      <c r="I507" s="58" t="str">
        <f t="shared" si="64"/>
        <v/>
      </c>
      <c r="J507" s="58" t="str">
        <f t="shared" si="65"/>
        <v/>
      </c>
      <c r="K507" s="59" t="str">
        <f t="shared" si="66"/>
        <v/>
      </c>
      <c r="L507" s="58" t="str">
        <f t="shared" si="67"/>
        <v/>
      </c>
      <c r="M507" s="59" t="str">
        <f t="shared" si="68"/>
        <v/>
      </c>
      <c r="N507" s="60"/>
      <c r="O507" s="60">
        <v>0</v>
      </c>
    </row>
    <row r="508" spans="1:15" ht="15.75" thickBot="1" x14ac:dyDescent="0.3">
      <c r="A508" s="53">
        <v>44702</v>
      </c>
      <c r="D508" s="55"/>
      <c r="E508" s="56"/>
      <c r="F508" s="57"/>
      <c r="G508" s="58"/>
      <c r="H508" s="58"/>
      <c r="I508" s="58" t="str">
        <f t="shared" si="64"/>
        <v/>
      </c>
      <c r="J508" s="58" t="str">
        <f t="shared" si="65"/>
        <v/>
      </c>
      <c r="K508" s="59" t="str">
        <f t="shared" si="66"/>
        <v/>
      </c>
      <c r="L508" s="58" t="str">
        <f t="shared" si="67"/>
        <v/>
      </c>
      <c r="M508" s="59" t="str">
        <f t="shared" si="68"/>
        <v/>
      </c>
      <c r="N508" s="60"/>
      <c r="O508" s="60">
        <v>0</v>
      </c>
    </row>
    <row r="509" spans="1:15" ht="15.75" thickBot="1" x14ac:dyDescent="0.3">
      <c r="A509" s="53">
        <v>44703</v>
      </c>
      <c r="D509" s="55"/>
      <c r="E509" s="56"/>
      <c r="F509" s="57"/>
      <c r="G509" s="58"/>
      <c r="H509" s="58"/>
      <c r="I509" s="58" t="str">
        <f t="shared" si="64"/>
        <v/>
      </c>
      <c r="J509" s="58" t="str">
        <f t="shared" si="65"/>
        <v/>
      </c>
      <c r="K509" s="59" t="str">
        <f t="shared" si="66"/>
        <v/>
      </c>
      <c r="L509" s="58" t="str">
        <f t="shared" si="67"/>
        <v/>
      </c>
      <c r="M509" s="59" t="str">
        <f t="shared" si="68"/>
        <v/>
      </c>
      <c r="N509" s="60"/>
      <c r="O509" s="60">
        <v>0</v>
      </c>
    </row>
    <row r="510" spans="1:15" ht="15.75" thickBot="1" x14ac:dyDescent="0.3">
      <c r="A510" s="53">
        <v>44704</v>
      </c>
      <c r="D510" s="55"/>
      <c r="E510" s="56"/>
      <c r="F510" s="57"/>
      <c r="G510" s="58"/>
      <c r="H510" s="58"/>
      <c r="I510" s="58" t="str">
        <f t="shared" si="64"/>
        <v/>
      </c>
      <c r="J510" s="58" t="str">
        <f t="shared" si="65"/>
        <v/>
      </c>
      <c r="K510" s="59" t="str">
        <f t="shared" si="66"/>
        <v/>
      </c>
      <c r="L510" s="58" t="str">
        <f t="shared" si="67"/>
        <v/>
      </c>
      <c r="M510" s="59" t="str">
        <f t="shared" si="68"/>
        <v/>
      </c>
      <c r="N510" s="60"/>
      <c r="O510" s="60">
        <v>0</v>
      </c>
    </row>
    <row r="511" spans="1:15" ht="15.75" thickBot="1" x14ac:dyDescent="0.3">
      <c r="A511" s="53">
        <v>44705</v>
      </c>
      <c r="D511" s="55"/>
      <c r="E511" s="56"/>
      <c r="F511" s="57"/>
      <c r="G511" s="58"/>
      <c r="H511" s="58"/>
      <c r="I511" s="58" t="str">
        <f t="shared" si="64"/>
        <v/>
      </c>
      <c r="J511" s="58" t="str">
        <f t="shared" si="65"/>
        <v/>
      </c>
      <c r="K511" s="59" t="str">
        <f t="shared" si="66"/>
        <v/>
      </c>
      <c r="L511" s="58" t="str">
        <f t="shared" si="67"/>
        <v/>
      </c>
      <c r="M511" s="59" t="str">
        <f t="shared" si="68"/>
        <v/>
      </c>
      <c r="N511" s="60"/>
      <c r="O511" s="60">
        <v>0</v>
      </c>
    </row>
    <row r="512" spans="1:15" ht="15.75" thickBot="1" x14ac:dyDescent="0.3">
      <c r="A512" s="53">
        <v>44706</v>
      </c>
      <c r="D512" s="55"/>
      <c r="E512" s="56"/>
      <c r="F512" s="57"/>
      <c r="G512" s="58"/>
      <c r="H512" s="58"/>
      <c r="I512" s="58" t="str">
        <f t="shared" si="64"/>
        <v/>
      </c>
      <c r="J512" s="58" t="str">
        <f t="shared" si="65"/>
        <v/>
      </c>
      <c r="K512" s="59" t="str">
        <f t="shared" si="66"/>
        <v/>
      </c>
      <c r="L512" s="58" t="str">
        <f t="shared" si="67"/>
        <v/>
      </c>
      <c r="M512" s="59" t="str">
        <f t="shared" si="68"/>
        <v/>
      </c>
      <c r="N512" s="60"/>
      <c r="O512" s="60">
        <v>0</v>
      </c>
    </row>
    <row r="513" spans="1:15" ht="15.75" thickBot="1" x14ac:dyDescent="0.3">
      <c r="A513" s="53">
        <v>44707</v>
      </c>
      <c r="D513" s="55"/>
      <c r="E513" s="56"/>
      <c r="F513" s="57"/>
      <c r="G513" s="58"/>
      <c r="H513" s="58"/>
      <c r="I513" s="58" t="str">
        <f t="shared" si="64"/>
        <v/>
      </c>
      <c r="J513" s="58" t="str">
        <f t="shared" si="65"/>
        <v/>
      </c>
      <c r="K513" s="59" t="str">
        <f t="shared" si="66"/>
        <v/>
      </c>
      <c r="L513" s="58" t="str">
        <f t="shared" si="67"/>
        <v/>
      </c>
      <c r="M513" s="59" t="str">
        <f t="shared" si="68"/>
        <v/>
      </c>
      <c r="N513" s="60"/>
      <c r="O513" s="60">
        <v>0</v>
      </c>
    </row>
    <row r="514" spans="1:15" ht="15.75" thickBot="1" x14ac:dyDescent="0.3">
      <c r="A514" s="53">
        <v>44708</v>
      </c>
      <c r="D514" s="55"/>
      <c r="E514" s="56"/>
      <c r="F514" s="57"/>
      <c r="G514" s="58"/>
      <c r="H514" s="58"/>
      <c r="I514" s="58" t="str">
        <f t="shared" si="64"/>
        <v/>
      </c>
      <c r="J514" s="58" t="str">
        <f t="shared" si="65"/>
        <v/>
      </c>
      <c r="K514" s="59" t="str">
        <f t="shared" si="66"/>
        <v/>
      </c>
      <c r="L514" s="58" t="str">
        <f t="shared" si="67"/>
        <v/>
      </c>
      <c r="M514" s="59" t="str">
        <f t="shared" si="68"/>
        <v/>
      </c>
      <c r="N514" s="60"/>
      <c r="O514" s="60">
        <v>0</v>
      </c>
    </row>
    <row r="515" spans="1:15" ht="15.75" thickBot="1" x14ac:dyDescent="0.3">
      <c r="A515" s="53">
        <v>44709</v>
      </c>
      <c r="D515" s="55"/>
      <c r="E515" s="56"/>
      <c r="F515" s="57"/>
      <c r="G515" s="58"/>
      <c r="H515" s="58"/>
      <c r="I515" s="58" t="str">
        <f t="shared" si="64"/>
        <v/>
      </c>
      <c r="J515" s="58" t="str">
        <f t="shared" si="65"/>
        <v/>
      </c>
      <c r="K515" s="59" t="str">
        <f t="shared" si="66"/>
        <v/>
      </c>
      <c r="L515" s="58" t="str">
        <f t="shared" si="67"/>
        <v/>
      </c>
      <c r="M515" s="59" t="str">
        <f t="shared" si="68"/>
        <v/>
      </c>
      <c r="N515" s="60"/>
      <c r="O515" s="60">
        <v>0</v>
      </c>
    </row>
    <row r="516" spans="1:15" ht="15.75" thickBot="1" x14ac:dyDescent="0.3">
      <c r="A516" s="53">
        <v>44710</v>
      </c>
      <c r="D516" s="55"/>
      <c r="E516" s="56"/>
      <c r="F516" s="57"/>
      <c r="G516" s="58"/>
      <c r="H516" s="58"/>
      <c r="I516" s="58" t="str">
        <f t="shared" si="64"/>
        <v/>
      </c>
      <c r="J516" s="58" t="str">
        <f t="shared" si="65"/>
        <v/>
      </c>
      <c r="K516" s="59" t="str">
        <f t="shared" si="66"/>
        <v/>
      </c>
      <c r="L516" s="58" t="str">
        <f t="shared" si="67"/>
        <v/>
      </c>
      <c r="M516" s="59" t="str">
        <f t="shared" si="68"/>
        <v/>
      </c>
      <c r="N516" s="60"/>
      <c r="O516" s="60">
        <v>0</v>
      </c>
    </row>
    <row r="517" spans="1:15" ht="15.75" thickBot="1" x14ac:dyDescent="0.3">
      <c r="A517" s="53">
        <v>44711</v>
      </c>
      <c r="D517" s="55"/>
      <c r="E517" s="56"/>
      <c r="F517" s="57"/>
      <c r="G517" s="58"/>
      <c r="H517" s="58"/>
      <c r="I517" s="58" t="str">
        <f t="shared" si="64"/>
        <v/>
      </c>
      <c r="J517" s="58" t="str">
        <f t="shared" si="65"/>
        <v/>
      </c>
      <c r="K517" s="59" t="str">
        <f t="shared" si="66"/>
        <v/>
      </c>
      <c r="L517" s="58" t="str">
        <f t="shared" si="67"/>
        <v/>
      </c>
      <c r="M517" s="59" t="str">
        <f t="shared" si="68"/>
        <v/>
      </c>
      <c r="N517" s="60"/>
      <c r="O517" s="60">
        <v>0</v>
      </c>
    </row>
    <row r="518" spans="1:15" ht="15.75" thickBot="1" x14ac:dyDescent="0.3">
      <c r="A518" s="53">
        <v>44712</v>
      </c>
      <c r="D518" s="55"/>
      <c r="E518" s="56"/>
      <c r="F518" s="57"/>
      <c r="G518" s="58"/>
      <c r="H518" s="58"/>
      <c r="I518" s="58" t="str">
        <f t="shared" si="64"/>
        <v/>
      </c>
      <c r="J518" s="58" t="str">
        <f t="shared" si="65"/>
        <v/>
      </c>
      <c r="K518" s="59" t="str">
        <f t="shared" si="66"/>
        <v/>
      </c>
      <c r="L518" s="58" t="str">
        <f t="shared" si="67"/>
        <v/>
      </c>
      <c r="M518" s="59" t="str">
        <f t="shared" si="68"/>
        <v/>
      </c>
      <c r="N518" s="60"/>
      <c r="O518" s="60">
        <v>0</v>
      </c>
    </row>
    <row r="519" spans="1:15" ht="15.75" thickBot="1" x14ac:dyDescent="0.3">
      <c r="A519" s="53">
        <v>44713</v>
      </c>
      <c r="D519" s="55"/>
      <c r="E519" s="56"/>
      <c r="F519" s="57"/>
      <c r="G519" s="58"/>
      <c r="H519" s="58"/>
      <c r="I519" s="58" t="str">
        <f t="shared" si="64"/>
        <v/>
      </c>
      <c r="J519" s="58" t="str">
        <f t="shared" si="65"/>
        <v/>
      </c>
      <c r="K519" s="59" t="str">
        <f t="shared" si="66"/>
        <v/>
      </c>
      <c r="L519" s="58" t="str">
        <f t="shared" si="67"/>
        <v/>
      </c>
      <c r="M519" s="59" t="str">
        <f t="shared" si="68"/>
        <v/>
      </c>
      <c r="N519" s="60"/>
      <c r="O519" s="60">
        <v>0</v>
      </c>
    </row>
    <row r="520" spans="1:15" ht="15.75" thickBot="1" x14ac:dyDescent="0.3">
      <c r="A520" s="53">
        <v>44714</v>
      </c>
      <c r="D520" s="55"/>
      <c r="E520" s="56"/>
      <c r="F520" s="57"/>
      <c r="G520" s="58"/>
      <c r="H520" s="58"/>
      <c r="I520" s="58" t="str">
        <f t="shared" si="64"/>
        <v/>
      </c>
      <c r="J520" s="58" t="str">
        <f t="shared" si="65"/>
        <v/>
      </c>
      <c r="K520" s="59" t="str">
        <f t="shared" si="66"/>
        <v/>
      </c>
      <c r="L520" s="58" t="str">
        <f t="shared" si="67"/>
        <v/>
      </c>
      <c r="M520" s="59" t="str">
        <f t="shared" si="68"/>
        <v/>
      </c>
      <c r="N520" s="60"/>
      <c r="O520" s="60">
        <v>0</v>
      </c>
    </row>
    <row r="521" spans="1:15" ht="15.75" thickBot="1" x14ac:dyDescent="0.3">
      <c r="A521" s="53">
        <v>44715</v>
      </c>
      <c r="D521" s="55"/>
      <c r="E521" s="56"/>
      <c r="F521" s="57"/>
      <c r="G521" s="58"/>
      <c r="H521" s="58"/>
      <c r="I521" s="58" t="str">
        <f t="shared" si="64"/>
        <v/>
      </c>
      <c r="J521" s="58" t="str">
        <f t="shared" si="65"/>
        <v/>
      </c>
      <c r="K521" s="59" t="str">
        <f t="shared" si="66"/>
        <v/>
      </c>
      <c r="L521" s="58" t="str">
        <f t="shared" si="67"/>
        <v/>
      </c>
      <c r="M521" s="59" t="str">
        <f t="shared" si="68"/>
        <v/>
      </c>
      <c r="N521" s="60"/>
      <c r="O521" s="60">
        <v>0</v>
      </c>
    </row>
    <row r="522" spans="1:15" ht="15.75" thickBot="1" x14ac:dyDescent="0.3">
      <c r="A522" s="53">
        <v>44716</v>
      </c>
      <c r="D522" s="55"/>
      <c r="E522" s="56"/>
      <c r="F522" s="57"/>
      <c r="G522" s="58"/>
      <c r="H522" s="58"/>
      <c r="I522" s="58" t="str">
        <f t="shared" si="64"/>
        <v/>
      </c>
      <c r="J522" s="58" t="str">
        <f t="shared" si="65"/>
        <v/>
      </c>
      <c r="K522" s="59" t="str">
        <f t="shared" si="66"/>
        <v/>
      </c>
      <c r="L522" s="58" t="str">
        <f t="shared" si="67"/>
        <v/>
      </c>
      <c r="M522" s="59" t="str">
        <f t="shared" si="68"/>
        <v/>
      </c>
      <c r="N522" s="60"/>
      <c r="O522" s="60">
        <v>0</v>
      </c>
    </row>
    <row r="523" spans="1:15" ht="15.75" thickBot="1" x14ac:dyDescent="0.3">
      <c r="A523" s="53">
        <v>44717</v>
      </c>
      <c r="D523" s="55"/>
      <c r="E523" s="56"/>
      <c r="F523" s="57"/>
      <c r="G523" s="58"/>
      <c r="H523" s="58"/>
      <c r="I523" s="58" t="str">
        <f t="shared" si="64"/>
        <v/>
      </c>
      <c r="J523" s="58" t="str">
        <f t="shared" si="65"/>
        <v/>
      </c>
      <c r="K523" s="59" t="str">
        <f t="shared" si="66"/>
        <v/>
      </c>
      <c r="L523" s="58" t="str">
        <f t="shared" si="67"/>
        <v/>
      </c>
      <c r="M523" s="59" t="str">
        <f t="shared" si="68"/>
        <v/>
      </c>
      <c r="N523" s="60"/>
      <c r="O523" s="60">
        <v>0</v>
      </c>
    </row>
    <row r="524" spans="1:15" ht="15.75" thickBot="1" x14ac:dyDescent="0.3">
      <c r="A524" s="53">
        <v>44718</v>
      </c>
      <c r="D524" s="55"/>
      <c r="E524" s="56"/>
      <c r="F524" s="57"/>
      <c r="G524" s="58"/>
      <c r="H524" s="58"/>
      <c r="I524" s="58" t="str">
        <f t="shared" si="64"/>
        <v/>
      </c>
      <c r="J524" s="58" t="str">
        <f t="shared" si="65"/>
        <v/>
      </c>
      <c r="K524" s="59" t="str">
        <f t="shared" si="66"/>
        <v/>
      </c>
      <c r="L524" s="58" t="str">
        <f t="shared" si="67"/>
        <v/>
      </c>
      <c r="M524" s="59" t="str">
        <f t="shared" si="68"/>
        <v/>
      </c>
      <c r="N524" s="60"/>
      <c r="O524" s="60">
        <v>0</v>
      </c>
    </row>
    <row r="525" spans="1:15" ht="15.75" thickBot="1" x14ac:dyDescent="0.3">
      <c r="A525" s="53">
        <v>44719</v>
      </c>
      <c r="D525" s="55"/>
      <c r="E525" s="56"/>
      <c r="F525" s="57"/>
      <c r="G525" s="58"/>
      <c r="H525" s="58"/>
      <c r="I525" s="58" t="str">
        <f t="shared" si="64"/>
        <v/>
      </c>
      <c r="J525" s="58" t="str">
        <f t="shared" si="65"/>
        <v/>
      </c>
      <c r="K525" s="59" t="str">
        <f t="shared" si="66"/>
        <v/>
      </c>
      <c r="L525" s="58" t="str">
        <f t="shared" si="67"/>
        <v/>
      </c>
      <c r="M525" s="59" t="str">
        <f t="shared" si="68"/>
        <v/>
      </c>
      <c r="N525" s="60"/>
      <c r="O525" s="60">
        <v>0</v>
      </c>
    </row>
    <row r="526" spans="1:15" ht="15.75" thickBot="1" x14ac:dyDescent="0.3">
      <c r="A526" s="53">
        <v>44720</v>
      </c>
      <c r="D526" s="55"/>
      <c r="E526" s="56"/>
      <c r="F526" s="57"/>
      <c r="G526" s="58"/>
      <c r="H526" s="58"/>
      <c r="I526" s="58" t="str">
        <f t="shared" si="64"/>
        <v/>
      </c>
      <c r="J526" s="58" t="str">
        <f t="shared" si="65"/>
        <v/>
      </c>
      <c r="K526" s="59" t="str">
        <f t="shared" si="66"/>
        <v/>
      </c>
      <c r="L526" s="58" t="str">
        <f t="shared" si="67"/>
        <v/>
      </c>
      <c r="M526" s="59" t="str">
        <f t="shared" si="68"/>
        <v/>
      </c>
      <c r="N526" s="60"/>
      <c r="O526" s="60">
        <v>0</v>
      </c>
    </row>
    <row r="527" spans="1:15" ht="15.75" thickBot="1" x14ac:dyDescent="0.3">
      <c r="A527" s="53">
        <v>44721</v>
      </c>
      <c r="D527" s="55"/>
      <c r="E527" s="56"/>
      <c r="F527" s="57"/>
      <c r="G527" s="58"/>
      <c r="H527" s="58"/>
      <c r="I527" s="58" t="str">
        <f t="shared" si="64"/>
        <v/>
      </c>
      <c r="J527" s="58" t="str">
        <f t="shared" si="65"/>
        <v/>
      </c>
      <c r="K527" s="59" t="str">
        <f t="shared" si="66"/>
        <v/>
      </c>
      <c r="L527" s="58" t="str">
        <f t="shared" si="67"/>
        <v/>
      </c>
      <c r="M527" s="59" t="str">
        <f t="shared" si="68"/>
        <v/>
      </c>
      <c r="N527" s="60"/>
      <c r="O527" s="60">
        <v>0</v>
      </c>
    </row>
    <row r="528" spans="1:15" ht="15.75" thickBot="1" x14ac:dyDescent="0.3">
      <c r="A528" s="53">
        <v>44722</v>
      </c>
      <c r="D528" s="55"/>
      <c r="E528" s="56"/>
      <c r="F528" s="57"/>
      <c r="G528" s="58"/>
      <c r="H528" s="58"/>
      <c r="I528" s="58" t="str">
        <f t="shared" si="64"/>
        <v/>
      </c>
      <c r="J528" s="58" t="str">
        <f t="shared" si="65"/>
        <v/>
      </c>
      <c r="K528" s="59" t="str">
        <f t="shared" si="66"/>
        <v/>
      </c>
      <c r="L528" s="58" t="str">
        <f t="shared" si="67"/>
        <v/>
      </c>
      <c r="M528" s="59" t="str">
        <f t="shared" si="68"/>
        <v/>
      </c>
      <c r="N528" s="60"/>
      <c r="O528" s="60">
        <v>0</v>
      </c>
    </row>
    <row r="529" spans="1:15" ht="15.75" thickBot="1" x14ac:dyDescent="0.3">
      <c r="A529" s="53">
        <v>44723</v>
      </c>
      <c r="D529" s="55"/>
      <c r="E529" s="56"/>
      <c r="F529" s="57"/>
      <c r="G529" s="58"/>
      <c r="H529" s="58"/>
      <c r="I529" s="58" t="str">
        <f t="shared" si="64"/>
        <v/>
      </c>
      <c r="J529" s="58" t="str">
        <f t="shared" si="65"/>
        <v/>
      </c>
      <c r="K529" s="59" t="str">
        <f t="shared" si="66"/>
        <v/>
      </c>
      <c r="L529" s="58" t="str">
        <f t="shared" si="67"/>
        <v/>
      </c>
      <c r="M529" s="59" t="str">
        <f t="shared" si="68"/>
        <v/>
      </c>
      <c r="N529" s="60"/>
      <c r="O529" s="60">
        <v>0</v>
      </c>
    </row>
    <row r="530" spans="1:15" ht="15.75" thickBot="1" x14ac:dyDescent="0.3">
      <c r="A530" s="53">
        <v>44724</v>
      </c>
      <c r="D530" s="55"/>
      <c r="E530" s="56"/>
      <c r="F530" s="57"/>
      <c r="G530" s="58"/>
      <c r="H530" s="58"/>
      <c r="I530" s="58" t="str">
        <f t="shared" si="64"/>
        <v/>
      </c>
      <c r="J530" s="58" t="str">
        <f t="shared" si="65"/>
        <v/>
      </c>
      <c r="K530" s="59" t="str">
        <f t="shared" si="66"/>
        <v/>
      </c>
      <c r="L530" s="58" t="str">
        <f t="shared" si="67"/>
        <v/>
      </c>
      <c r="M530" s="59" t="str">
        <f t="shared" si="68"/>
        <v/>
      </c>
      <c r="N530" s="60"/>
      <c r="O530" s="60">
        <v>0</v>
      </c>
    </row>
    <row r="531" spans="1:15" ht="15.75" thickBot="1" x14ac:dyDescent="0.3">
      <c r="A531" s="53">
        <v>44725</v>
      </c>
      <c r="D531" s="55"/>
      <c r="E531" s="56"/>
      <c r="F531" s="57"/>
      <c r="G531" s="58"/>
      <c r="H531" s="58"/>
      <c r="I531" s="58" t="str">
        <f t="shared" si="64"/>
        <v/>
      </c>
      <c r="J531" s="58" t="str">
        <f t="shared" si="65"/>
        <v/>
      </c>
      <c r="K531" s="59" t="str">
        <f t="shared" si="66"/>
        <v/>
      </c>
      <c r="L531" s="58" t="str">
        <f t="shared" si="67"/>
        <v/>
      </c>
      <c r="M531" s="59" t="str">
        <f t="shared" si="68"/>
        <v/>
      </c>
      <c r="N531" s="60"/>
      <c r="O531" s="60">
        <v>0</v>
      </c>
    </row>
    <row r="532" spans="1:15" ht="15.75" thickBot="1" x14ac:dyDescent="0.3">
      <c r="A532" s="53">
        <v>44726</v>
      </c>
      <c r="D532" s="55"/>
      <c r="E532" s="56"/>
      <c r="F532" s="57"/>
      <c r="G532" s="58"/>
      <c r="H532" s="58"/>
      <c r="I532" s="58" t="str">
        <f t="shared" si="64"/>
        <v/>
      </c>
      <c r="J532" s="58" t="str">
        <f t="shared" si="65"/>
        <v/>
      </c>
      <c r="K532" s="59" t="str">
        <f t="shared" si="66"/>
        <v/>
      </c>
      <c r="L532" s="58" t="str">
        <f t="shared" si="67"/>
        <v/>
      </c>
      <c r="M532" s="59" t="str">
        <f t="shared" si="68"/>
        <v/>
      </c>
      <c r="N532" s="60"/>
      <c r="O532" s="60">
        <v>0</v>
      </c>
    </row>
    <row r="533" spans="1:15" ht="15.75" thickBot="1" x14ac:dyDescent="0.3">
      <c r="A533" s="53">
        <v>44727</v>
      </c>
      <c r="D533" s="55"/>
      <c r="E533" s="56"/>
      <c r="F533" s="57"/>
      <c r="G533" s="58"/>
      <c r="H533" s="58"/>
      <c r="I533" s="58" t="str">
        <f t="shared" si="64"/>
        <v/>
      </c>
      <c r="J533" s="58" t="str">
        <f t="shared" si="65"/>
        <v/>
      </c>
      <c r="K533" s="59" t="str">
        <f t="shared" si="66"/>
        <v/>
      </c>
      <c r="L533" s="58" t="str">
        <f t="shared" si="67"/>
        <v/>
      </c>
      <c r="M533" s="59" t="str">
        <f t="shared" si="68"/>
        <v/>
      </c>
      <c r="N533" s="60"/>
      <c r="O533" s="60">
        <v>0</v>
      </c>
    </row>
    <row r="534" spans="1:15" ht="15.75" thickBot="1" x14ac:dyDescent="0.3">
      <c r="A534" s="53">
        <v>44728</v>
      </c>
      <c r="D534" s="55"/>
      <c r="E534" s="56"/>
      <c r="F534" s="57"/>
      <c r="G534" s="58"/>
      <c r="H534" s="58"/>
      <c r="I534" s="58" t="str">
        <f t="shared" si="64"/>
        <v/>
      </c>
      <c r="J534" s="58" t="str">
        <f t="shared" si="65"/>
        <v/>
      </c>
      <c r="K534" s="59" t="str">
        <f t="shared" si="66"/>
        <v/>
      </c>
      <c r="L534" s="58" t="str">
        <f t="shared" si="67"/>
        <v/>
      </c>
      <c r="M534" s="59" t="str">
        <f t="shared" si="68"/>
        <v/>
      </c>
      <c r="N534" s="60"/>
      <c r="O534" s="60">
        <v>0</v>
      </c>
    </row>
    <row r="535" spans="1:15" ht="15.75" thickBot="1" x14ac:dyDescent="0.3">
      <c r="A535" s="53">
        <v>44729</v>
      </c>
      <c r="D535" s="55"/>
      <c r="E535" s="56"/>
      <c r="F535" s="57"/>
      <c r="G535" s="58"/>
      <c r="H535" s="58"/>
      <c r="I535" s="58" t="str">
        <f t="shared" si="64"/>
        <v/>
      </c>
      <c r="J535" s="58" t="str">
        <f t="shared" si="65"/>
        <v/>
      </c>
      <c r="K535" s="59" t="str">
        <f t="shared" si="66"/>
        <v/>
      </c>
      <c r="L535" s="58" t="str">
        <f t="shared" si="67"/>
        <v/>
      </c>
      <c r="M535" s="59" t="str">
        <f t="shared" si="68"/>
        <v/>
      </c>
      <c r="N535" s="60"/>
      <c r="O535" s="60">
        <v>0</v>
      </c>
    </row>
    <row r="536" spans="1:15" ht="15.75" thickBot="1" x14ac:dyDescent="0.3">
      <c r="A536" s="53">
        <v>44730</v>
      </c>
      <c r="D536" s="55"/>
      <c r="E536" s="56"/>
      <c r="F536" s="57"/>
      <c r="G536" s="58"/>
      <c r="H536" s="58"/>
      <c r="I536" s="58" t="str">
        <f t="shared" si="64"/>
        <v/>
      </c>
      <c r="J536" s="58" t="str">
        <f t="shared" si="65"/>
        <v/>
      </c>
      <c r="K536" s="59" t="str">
        <f t="shared" si="66"/>
        <v/>
      </c>
      <c r="L536" s="58" t="str">
        <f t="shared" si="67"/>
        <v/>
      </c>
      <c r="M536" s="59" t="str">
        <f t="shared" si="68"/>
        <v/>
      </c>
      <c r="N536" s="60"/>
      <c r="O536" s="60">
        <v>0</v>
      </c>
    </row>
    <row r="537" spans="1:15" ht="15.75" thickBot="1" x14ac:dyDescent="0.3">
      <c r="A537" s="53">
        <v>44731</v>
      </c>
      <c r="D537" s="55"/>
      <c r="E537" s="56"/>
      <c r="F537" s="57"/>
      <c r="G537" s="58"/>
      <c r="H537" s="58"/>
      <c r="I537" s="58" t="str">
        <f t="shared" si="64"/>
        <v/>
      </c>
      <c r="J537" s="58" t="str">
        <f t="shared" si="65"/>
        <v/>
      </c>
      <c r="K537" s="59" t="str">
        <f t="shared" si="66"/>
        <v/>
      </c>
      <c r="L537" s="58" t="str">
        <f t="shared" si="67"/>
        <v/>
      </c>
      <c r="M537" s="59" t="str">
        <f t="shared" si="68"/>
        <v/>
      </c>
      <c r="N537" s="60"/>
      <c r="O537" s="60">
        <v>0</v>
      </c>
    </row>
    <row r="538" spans="1:15" ht="15.75" thickBot="1" x14ac:dyDescent="0.3">
      <c r="A538" s="53">
        <v>44732</v>
      </c>
      <c r="D538" s="55"/>
      <c r="E538" s="56"/>
      <c r="F538" s="57"/>
      <c r="G538" s="58"/>
      <c r="H538" s="58"/>
      <c r="I538" s="58" t="str">
        <f t="shared" si="64"/>
        <v/>
      </c>
      <c r="J538" s="58" t="str">
        <f t="shared" si="65"/>
        <v/>
      </c>
      <c r="K538" s="59" t="str">
        <f t="shared" si="66"/>
        <v/>
      </c>
      <c r="L538" s="58" t="str">
        <f t="shared" si="67"/>
        <v/>
      </c>
      <c r="M538" s="59" t="str">
        <f t="shared" si="68"/>
        <v/>
      </c>
      <c r="N538" s="60"/>
      <c r="O538" s="60">
        <v>0</v>
      </c>
    </row>
    <row r="539" spans="1:15" ht="15.75" thickBot="1" x14ac:dyDescent="0.3">
      <c r="A539" s="53">
        <v>44733</v>
      </c>
      <c r="D539" s="55"/>
      <c r="E539" s="56"/>
      <c r="F539" s="57"/>
      <c r="G539" s="58"/>
      <c r="H539" s="58"/>
      <c r="I539" s="58" t="str">
        <f t="shared" si="64"/>
        <v/>
      </c>
      <c r="J539" s="58" t="str">
        <f t="shared" si="65"/>
        <v/>
      </c>
      <c r="K539" s="59" t="str">
        <f t="shared" si="66"/>
        <v/>
      </c>
      <c r="L539" s="58" t="str">
        <f t="shared" si="67"/>
        <v/>
      </c>
      <c r="M539" s="59" t="str">
        <f t="shared" si="68"/>
        <v/>
      </c>
      <c r="N539" s="60"/>
      <c r="O539" s="60">
        <v>0</v>
      </c>
    </row>
    <row r="540" spans="1:15" ht="15.75" thickBot="1" x14ac:dyDescent="0.3">
      <c r="A540" s="53">
        <v>44734</v>
      </c>
      <c r="D540" s="55"/>
      <c r="E540" s="56"/>
      <c r="F540" s="57"/>
      <c r="G540" s="58"/>
      <c r="H540" s="58"/>
      <c r="I540" s="58" t="str">
        <f t="shared" si="64"/>
        <v/>
      </c>
      <c r="J540" s="58" t="str">
        <f t="shared" si="65"/>
        <v/>
      </c>
      <c r="K540" s="59" t="str">
        <f t="shared" si="66"/>
        <v/>
      </c>
      <c r="L540" s="58" t="str">
        <f t="shared" si="67"/>
        <v/>
      </c>
      <c r="M540" s="59" t="str">
        <f t="shared" si="68"/>
        <v/>
      </c>
      <c r="N540" s="60"/>
      <c r="O540" s="60">
        <v>0</v>
      </c>
    </row>
    <row r="541" spans="1:15" ht="15.75" thickBot="1" x14ac:dyDescent="0.3">
      <c r="A541" s="53">
        <v>44735</v>
      </c>
      <c r="D541" s="55"/>
      <c r="E541" s="56"/>
      <c r="F541" s="57"/>
      <c r="G541" s="58"/>
      <c r="H541" s="58"/>
      <c r="I541" s="58" t="str">
        <f t="shared" si="64"/>
        <v/>
      </c>
      <c r="J541" s="58" t="str">
        <f t="shared" si="65"/>
        <v/>
      </c>
      <c r="K541" s="59" t="str">
        <f t="shared" si="66"/>
        <v/>
      </c>
      <c r="L541" s="58" t="str">
        <f t="shared" si="67"/>
        <v/>
      </c>
      <c r="M541" s="59" t="str">
        <f t="shared" si="68"/>
        <v/>
      </c>
      <c r="N541" s="60"/>
      <c r="O541" s="60">
        <v>0</v>
      </c>
    </row>
    <row r="542" spans="1:15" ht="15.75" thickBot="1" x14ac:dyDescent="0.3">
      <c r="A542" s="53">
        <v>44736</v>
      </c>
      <c r="D542" s="55"/>
      <c r="E542" s="56"/>
      <c r="F542" s="57"/>
      <c r="G542" s="58"/>
      <c r="H542" s="58"/>
      <c r="I542" s="58" t="str">
        <f t="shared" si="64"/>
        <v/>
      </c>
      <c r="J542" s="58" t="str">
        <f t="shared" si="65"/>
        <v/>
      </c>
      <c r="K542" s="59" t="str">
        <f t="shared" si="66"/>
        <v/>
      </c>
      <c r="L542" s="58" t="str">
        <f t="shared" si="67"/>
        <v/>
      </c>
      <c r="M542" s="59" t="str">
        <f t="shared" si="68"/>
        <v/>
      </c>
      <c r="N542" s="60"/>
      <c r="O542" s="60">
        <v>0</v>
      </c>
    </row>
    <row r="543" spans="1:15" ht="15.75" thickBot="1" x14ac:dyDescent="0.3">
      <c r="A543" s="53">
        <v>44737</v>
      </c>
      <c r="D543" s="55"/>
      <c r="E543" s="56"/>
      <c r="F543" s="57"/>
      <c r="G543" s="58"/>
      <c r="H543" s="58"/>
      <c r="I543" s="58" t="str">
        <f t="shared" si="64"/>
        <v/>
      </c>
      <c r="J543" s="58" t="str">
        <f t="shared" si="65"/>
        <v/>
      </c>
      <c r="K543" s="59" t="str">
        <f t="shared" si="66"/>
        <v/>
      </c>
      <c r="L543" s="58" t="str">
        <f t="shared" si="67"/>
        <v/>
      </c>
      <c r="M543" s="59" t="str">
        <f t="shared" si="68"/>
        <v/>
      </c>
      <c r="N543" s="60"/>
      <c r="O543" s="60">
        <v>0</v>
      </c>
    </row>
    <row r="544" spans="1:15" ht="15.75" thickBot="1" x14ac:dyDescent="0.3">
      <c r="A544" s="53">
        <v>44738</v>
      </c>
      <c r="D544" s="55"/>
      <c r="E544" s="56"/>
      <c r="F544" s="57"/>
      <c r="G544" s="58"/>
      <c r="H544" s="58"/>
      <c r="I544" s="58" t="str">
        <f t="shared" si="64"/>
        <v/>
      </c>
      <c r="J544" s="58" t="str">
        <f t="shared" si="65"/>
        <v/>
      </c>
      <c r="K544" s="59" t="str">
        <f t="shared" si="66"/>
        <v/>
      </c>
      <c r="L544" s="58" t="str">
        <f t="shared" si="67"/>
        <v/>
      </c>
      <c r="M544" s="59" t="str">
        <f t="shared" si="68"/>
        <v/>
      </c>
      <c r="N544" s="60"/>
      <c r="O544" s="60">
        <v>0</v>
      </c>
    </row>
    <row r="545" spans="1:15" ht="15.75" thickBot="1" x14ac:dyDescent="0.3">
      <c r="A545" s="53">
        <v>44739</v>
      </c>
      <c r="D545" s="55"/>
      <c r="E545" s="56"/>
      <c r="F545" s="57"/>
      <c r="G545" s="58"/>
      <c r="H545" s="58"/>
      <c r="I545" s="58" t="str">
        <f t="shared" si="64"/>
        <v/>
      </c>
      <c r="J545" s="58" t="str">
        <f t="shared" si="65"/>
        <v/>
      </c>
      <c r="K545" s="59" t="str">
        <f t="shared" si="66"/>
        <v/>
      </c>
      <c r="L545" s="58" t="str">
        <f t="shared" si="67"/>
        <v/>
      </c>
      <c r="M545" s="59" t="str">
        <f t="shared" si="68"/>
        <v/>
      </c>
      <c r="N545" s="60"/>
      <c r="O545" s="60">
        <v>0</v>
      </c>
    </row>
    <row r="546" spans="1:15" ht="15.75" thickBot="1" x14ac:dyDescent="0.3">
      <c r="A546" s="53">
        <v>44740</v>
      </c>
      <c r="D546" s="55"/>
      <c r="E546" s="56"/>
      <c r="F546" s="57"/>
      <c r="G546" s="58"/>
      <c r="H546" s="58"/>
      <c r="I546" s="58" t="str">
        <f t="shared" si="64"/>
        <v/>
      </c>
      <c r="J546" s="58" t="str">
        <f t="shared" si="65"/>
        <v/>
      </c>
      <c r="K546" s="59" t="str">
        <f t="shared" si="66"/>
        <v/>
      </c>
      <c r="L546" s="58" t="str">
        <f t="shared" si="67"/>
        <v/>
      </c>
      <c r="M546" s="59" t="str">
        <f t="shared" si="68"/>
        <v/>
      </c>
      <c r="N546" s="60"/>
      <c r="O546" s="60">
        <v>0</v>
      </c>
    </row>
    <row r="547" spans="1:15" ht="15.75" thickBot="1" x14ac:dyDescent="0.3">
      <c r="A547" s="53">
        <v>44741</v>
      </c>
      <c r="D547" s="55"/>
      <c r="E547" s="56"/>
      <c r="F547" s="57"/>
      <c r="G547" s="58"/>
      <c r="H547" s="58"/>
      <c r="I547" s="58" t="str">
        <f t="shared" si="64"/>
        <v/>
      </c>
      <c r="J547" s="58" t="str">
        <f t="shared" si="65"/>
        <v/>
      </c>
      <c r="K547" s="59" t="str">
        <f t="shared" si="66"/>
        <v/>
      </c>
      <c r="L547" s="58" t="str">
        <f t="shared" si="67"/>
        <v/>
      </c>
      <c r="M547" s="59" t="str">
        <f t="shared" si="68"/>
        <v/>
      </c>
      <c r="N547" s="60"/>
      <c r="O547" s="60">
        <v>0</v>
      </c>
    </row>
    <row r="548" spans="1:15" ht="15.75" thickBot="1" x14ac:dyDescent="0.3">
      <c r="A548" s="53">
        <v>44742</v>
      </c>
      <c r="D548" s="55"/>
      <c r="E548" s="56"/>
      <c r="F548" s="57"/>
      <c r="G548" s="58"/>
      <c r="H548" s="58"/>
      <c r="I548" s="58" t="str">
        <f t="shared" si="64"/>
        <v/>
      </c>
      <c r="J548" s="58" t="str">
        <f t="shared" si="65"/>
        <v/>
      </c>
      <c r="K548" s="59" t="str">
        <f t="shared" si="66"/>
        <v/>
      </c>
      <c r="L548" s="58" t="str">
        <f t="shared" si="67"/>
        <v/>
      </c>
      <c r="M548" s="59" t="str">
        <f t="shared" si="68"/>
        <v/>
      </c>
      <c r="N548" s="60"/>
      <c r="O548" s="60">
        <v>0</v>
      </c>
    </row>
    <row r="549" spans="1:15" ht="15.75" thickBot="1" x14ac:dyDescent="0.3">
      <c r="A549" s="53">
        <v>44743</v>
      </c>
      <c r="D549" s="55"/>
      <c r="E549" s="56"/>
      <c r="F549" s="57"/>
      <c r="G549" s="58"/>
      <c r="H549" s="58"/>
      <c r="I549" s="58" t="str">
        <f t="shared" si="64"/>
        <v/>
      </c>
      <c r="J549" s="58" t="str">
        <f t="shared" si="65"/>
        <v/>
      </c>
      <c r="K549" s="59" t="str">
        <f t="shared" si="66"/>
        <v/>
      </c>
      <c r="L549" s="58" t="str">
        <f t="shared" si="67"/>
        <v/>
      </c>
      <c r="M549" s="59" t="str">
        <f t="shared" si="68"/>
        <v/>
      </c>
      <c r="N549" s="60"/>
      <c r="O549" s="60">
        <v>0</v>
      </c>
    </row>
    <row r="550" spans="1:15" ht="15.75" thickBot="1" x14ac:dyDescent="0.3">
      <c r="A550" s="53">
        <v>44744</v>
      </c>
      <c r="D550" s="55"/>
      <c r="E550" s="56"/>
      <c r="F550" s="57"/>
      <c r="G550" s="58"/>
      <c r="H550" s="58"/>
      <c r="I550" s="58" t="str">
        <f t="shared" si="64"/>
        <v/>
      </c>
      <c r="J550" s="58" t="str">
        <f t="shared" si="65"/>
        <v/>
      </c>
      <c r="K550" s="59" t="str">
        <f t="shared" si="66"/>
        <v/>
      </c>
      <c r="L550" s="58" t="str">
        <f t="shared" si="67"/>
        <v/>
      </c>
      <c r="M550" s="59" t="str">
        <f t="shared" si="68"/>
        <v/>
      </c>
      <c r="N550" s="60"/>
      <c r="O550" s="60">
        <v>0</v>
      </c>
    </row>
    <row r="551" spans="1:15" ht="15.75" thickBot="1" x14ac:dyDescent="0.3">
      <c r="A551" s="53">
        <v>44745</v>
      </c>
      <c r="D551" s="55"/>
      <c r="E551" s="56"/>
      <c r="F551" s="57"/>
      <c r="G551" s="58"/>
      <c r="H551" s="58"/>
      <c r="I551" s="58" t="str">
        <f t="shared" si="64"/>
        <v/>
      </c>
      <c r="J551" s="58" t="str">
        <f t="shared" si="65"/>
        <v/>
      </c>
      <c r="K551" s="59" t="str">
        <f t="shared" si="66"/>
        <v/>
      </c>
      <c r="L551" s="58" t="str">
        <f t="shared" si="67"/>
        <v/>
      </c>
      <c r="M551" s="59" t="str">
        <f t="shared" si="68"/>
        <v/>
      </c>
      <c r="N551" s="60"/>
      <c r="O551" s="60">
        <v>0</v>
      </c>
    </row>
    <row r="552" spans="1:15" ht="15.75" thickBot="1" x14ac:dyDescent="0.3">
      <c r="A552" s="53">
        <v>44746</v>
      </c>
      <c r="D552" s="55"/>
      <c r="E552" s="56"/>
      <c r="F552" s="57"/>
      <c r="G552" s="58"/>
      <c r="H552" s="58"/>
      <c r="I552" s="58" t="str">
        <f t="shared" si="64"/>
        <v/>
      </c>
      <c r="J552" s="58" t="str">
        <f t="shared" si="65"/>
        <v/>
      </c>
      <c r="K552" s="59" t="str">
        <f t="shared" si="66"/>
        <v/>
      </c>
      <c r="L552" s="58" t="str">
        <f t="shared" si="67"/>
        <v/>
      </c>
      <c r="M552" s="59" t="str">
        <f t="shared" si="68"/>
        <v/>
      </c>
      <c r="N552" s="60"/>
      <c r="O552" s="60">
        <v>0</v>
      </c>
    </row>
    <row r="553" spans="1:15" ht="15.75" thickBot="1" x14ac:dyDescent="0.3">
      <c r="A553" s="53">
        <v>44747</v>
      </c>
      <c r="D553" s="55"/>
      <c r="E553" s="56"/>
      <c r="F553" s="57"/>
      <c r="G553" s="58"/>
      <c r="H553" s="58"/>
      <c r="I553" s="58" t="str">
        <f t="shared" si="64"/>
        <v/>
      </c>
      <c r="J553" s="58" t="str">
        <f t="shared" si="65"/>
        <v/>
      </c>
      <c r="K553" s="59" t="str">
        <f t="shared" si="66"/>
        <v/>
      </c>
      <c r="L553" s="58" t="str">
        <f t="shared" si="67"/>
        <v/>
      </c>
      <c r="M553" s="59" t="str">
        <f t="shared" si="68"/>
        <v/>
      </c>
      <c r="N553" s="60"/>
      <c r="O553" s="60">
        <v>0</v>
      </c>
    </row>
    <row r="554" spans="1:15" ht="15.75" thickBot="1" x14ac:dyDescent="0.3">
      <c r="A554" s="53">
        <v>44748</v>
      </c>
      <c r="D554" s="55"/>
      <c r="E554" s="56"/>
      <c r="F554" s="57"/>
      <c r="G554" s="58"/>
      <c r="H554" s="58"/>
      <c r="I554" s="58" t="str">
        <f t="shared" si="64"/>
        <v/>
      </c>
      <c r="J554" s="58" t="str">
        <f t="shared" si="65"/>
        <v/>
      </c>
      <c r="K554" s="59" t="str">
        <f t="shared" si="66"/>
        <v/>
      </c>
      <c r="L554" s="58" t="str">
        <f t="shared" si="67"/>
        <v/>
      </c>
      <c r="M554" s="59" t="str">
        <f t="shared" si="68"/>
        <v/>
      </c>
      <c r="N554" s="60"/>
      <c r="O554" s="60">
        <v>0</v>
      </c>
    </row>
    <row r="555" spans="1:15" ht="15.75" thickBot="1" x14ac:dyDescent="0.3">
      <c r="A555" s="53">
        <v>44749</v>
      </c>
      <c r="D555" s="55"/>
      <c r="E555" s="56"/>
      <c r="F555" s="57"/>
      <c r="G555" s="58"/>
      <c r="H555" s="58"/>
      <c r="I555" s="58" t="str">
        <f t="shared" si="64"/>
        <v/>
      </c>
      <c r="J555" s="58" t="str">
        <f t="shared" si="65"/>
        <v/>
      </c>
      <c r="K555" s="59" t="str">
        <f t="shared" si="66"/>
        <v/>
      </c>
      <c r="L555" s="58" t="str">
        <f t="shared" si="67"/>
        <v/>
      </c>
      <c r="M555" s="59" t="str">
        <f t="shared" si="68"/>
        <v/>
      </c>
      <c r="N555" s="60"/>
      <c r="O555" s="60">
        <v>0</v>
      </c>
    </row>
    <row r="556" spans="1:15" ht="15.75" thickBot="1" x14ac:dyDescent="0.3">
      <c r="A556" s="53">
        <v>44750</v>
      </c>
      <c r="D556" s="55"/>
      <c r="E556" s="56"/>
      <c r="F556" s="57"/>
      <c r="G556" s="58"/>
      <c r="H556" s="58"/>
      <c r="I556" s="58" t="str">
        <f t="shared" si="64"/>
        <v/>
      </c>
      <c r="J556" s="58" t="str">
        <f t="shared" si="65"/>
        <v/>
      </c>
      <c r="K556" s="59" t="str">
        <f t="shared" si="66"/>
        <v/>
      </c>
      <c r="L556" s="58" t="str">
        <f t="shared" si="67"/>
        <v/>
      </c>
      <c r="M556" s="59" t="str">
        <f t="shared" si="68"/>
        <v/>
      </c>
      <c r="N556" s="60"/>
      <c r="O556" s="60">
        <v>0</v>
      </c>
    </row>
    <row r="557" spans="1:15" ht="15.75" thickBot="1" x14ac:dyDescent="0.3">
      <c r="A557" s="53">
        <v>44751</v>
      </c>
      <c r="D557" s="55"/>
      <c r="E557" s="56"/>
      <c r="F557" s="57"/>
      <c r="G557" s="58"/>
      <c r="H557" s="58"/>
      <c r="I557" s="58" t="str">
        <f t="shared" si="64"/>
        <v/>
      </c>
      <c r="J557" s="58" t="str">
        <f t="shared" si="65"/>
        <v/>
      </c>
      <c r="K557" s="59" t="str">
        <f t="shared" si="66"/>
        <v/>
      </c>
      <c r="L557" s="58" t="str">
        <f t="shared" si="67"/>
        <v/>
      </c>
      <c r="M557" s="59" t="str">
        <f t="shared" si="68"/>
        <v/>
      </c>
      <c r="N557" s="60"/>
      <c r="O557" s="60">
        <v>0</v>
      </c>
    </row>
    <row r="558" spans="1:15" ht="15.75" thickBot="1" x14ac:dyDescent="0.3">
      <c r="A558" s="53">
        <v>44752</v>
      </c>
      <c r="D558" s="55"/>
      <c r="E558" s="56"/>
      <c r="F558" s="57"/>
      <c r="G558" s="58"/>
      <c r="H558" s="58"/>
      <c r="I558" s="58" t="str">
        <f t="shared" si="64"/>
        <v/>
      </c>
      <c r="J558" s="58" t="str">
        <f t="shared" si="65"/>
        <v/>
      </c>
      <c r="K558" s="59" t="str">
        <f t="shared" si="66"/>
        <v/>
      </c>
      <c r="L558" s="58" t="str">
        <f t="shared" si="67"/>
        <v/>
      </c>
      <c r="M558" s="59" t="str">
        <f t="shared" si="68"/>
        <v/>
      </c>
      <c r="N558" s="60"/>
      <c r="O558" s="60">
        <v>0</v>
      </c>
    </row>
    <row r="559" spans="1:15" ht="15.75" thickBot="1" x14ac:dyDescent="0.3">
      <c r="A559" s="53">
        <v>44753</v>
      </c>
      <c r="D559" s="55"/>
      <c r="E559" s="56"/>
      <c r="F559" s="57"/>
      <c r="G559" s="58"/>
      <c r="H559" s="58"/>
      <c r="I559" s="58" t="str">
        <f t="shared" si="64"/>
        <v/>
      </c>
      <c r="J559" s="58" t="str">
        <f t="shared" si="65"/>
        <v/>
      </c>
      <c r="K559" s="59" t="str">
        <f t="shared" si="66"/>
        <v/>
      </c>
      <c r="L559" s="58" t="str">
        <f t="shared" si="67"/>
        <v/>
      </c>
      <c r="M559" s="59" t="str">
        <f t="shared" si="68"/>
        <v/>
      </c>
      <c r="N559" s="60"/>
      <c r="O559" s="60">
        <v>0</v>
      </c>
    </row>
    <row r="560" spans="1:15" ht="15.75" thickBot="1" x14ac:dyDescent="0.3">
      <c r="A560" s="53">
        <v>44754</v>
      </c>
      <c r="D560" s="55"/>
      <c r="E560" s="56"/>
      <c r="F560" s="57"/>
      <c r="G560" s="58"/>
      <c r="H560" s="58"/>
      <c r="I560" s="58" t="str">
        <f t="shared" ref="I560:I623" si="69">IF(D560="","",+(D560-D559)*4140)</f>
        <v/>
      </c>
      <c r="J560" s="58" t="str">
        <f t="shared" ref="J560:J623" si="70">IF(E560="","",+(F560-F559)*4140)</f>
        <v/>
      </c>
      <c r="K560" s="59" t="str">
        <f t="shared" ref="K560:K623" si="71">IF(J560="","",+(J560/I560))</f>
        <v/>
      </c>
      <c r="L560" s="58" t="str">
        <f t="shared" ref="L560:L623" si="72">IF(F560="","",+(F560-F559)*4140)</f>
        <v/>
      </c>
      <c r="M560" s="59" t="str">
        <f t="shared" ref="M560:M623" si="73">IF(L560="","",(L560/I560))</f>
        <v/>
      </c>
      <c r="N560" s="60"/>
      <c r="O560" s="60">
        <v>0</v>
      </c>
    </row>
    <row r="561" spans="1:15" ht="15.75" thickBot="1" x14ac:dyDescent="0.3">
      <c r="A561" s="53">
        <v>44755</v>
      </c>
      <c r="D561" s="55"/>
      <c r="E561" s="56"/>
      <c r="F561" s="57"/>
      <c r="G561" s="58"/>
      <c r="H561" s="58"/>
      <c r="I561" s="58" t="str">
        <f t="shared" si="69"/>
        <v/>
      </c>
      <c r="J561" s="58" t="str">
        <f t="shared" si="70"/>
        <v/>
      </c>
      <c r="K561" s="59" t="str">
        <f t="shared" si="71"/>
        <v/>
      </c>
      <c r="L561" s="58" t="str">
        <f t="shared" si="72"/>
        <v/>
      </c>
      <c r="M561" s="59" t="str">
        <f t="shared" si="73"/>
        <v/>
      </c>
      <c r="N561" s="60"/>
      <c r="O561" s="60">
        <v>0</v>
      </c>
    </row>
    <row r="562" spans="1:15" ht="15.75" thickBot="1" x14ac:dyDescent="0.3">
      <c r="A562" s="53">
        <v>44756</v>
      </c>
      <c r="D562" s="55"/>
      <c r="E562" s="56"/>
      <c r="F562" s="57"/>
      <c r="G562" s="58"/>
      <c r="H562" s="58"/>
      <c r="I562" s="58" t="str">
        <f t="shared" si="69"/>
        <v/>
      </c>
      <c r="J562" s="58" t="str">
        <f t="shared" si="70"/>
        <v/>
      </c>
      <c r="K562" s="59" t="str">
        <f t="shared" si="71"/>
        <v/>
      </c>
      <c r="L562" s="58" t="str">
        <f t="shared" si="72"/>
        <v/>
      </c>
      <c r="M562" s="59" t="str">
        <f t="shared" si="73"/>
        <v/>
      </c>
      <c r="N562" s="60"/>
      <c r="O562" s="60">
        <v>0</v>
      </c>
    </row>
    <row r="563" spans="1:15" ht="15.75" thickBot="1" x14ac:dyDescent="0.3">
      <c r="A563" s="53">
        <v>44757</v>
      </c>
      <c r="D563" s="55"/>
      <c r="E563" s="56"/>
      <c r="F563" s="57"/>
      <c r="G563" s="58"/>
      <c r="H563" s="58"/>
      <c r="I563" s="58" t="str">
        <f t="shared" si="69"/>
        <v/>
      </c>
      <c r="J563" s="58" t="str">
        <f t="shared" si="70"/>
        <v/>
      </c>
      <c r="K563" s="59" t="str">
        <f t="shared" si="71"/>
        <v/>
      </c>
      <c r="L563" s="58" t="str">
        <f t="shared" si="72"/>
        <v/>
      </c>
      <c r="M563" s="59" t="str">
        <f t="shared" si="73"/>
        <v/>
      </c>
      <c r="N563" s="60"/>
      <c r="O563" s="60">
        <v>0</v>
      </c>
    </row>
    <row r="564" spans="1:15" ht="15.75" thickBot="1" x14ac:dyDescent="0.3">
      <c r="A564" s="53">
        <v>44758</v>
      </c>
      <c r="D564" s="55"/>
      <c r="E564" s="56"/>
      <c r="F564" s="57"/>
      <c r="G564" s="58"/>
      <c r="H564" s="58"/>
      <c r="I564" s="58" t="str">
        <f t="shared" si="69"/>
        <v/>
      </c>
      <c r="J564" s="58" t="str">
        <f t="shared" si="70"/>
        <v/>
      </c>
      <c r="K564" s="59" t="str">
        <f t="shared" si="71"/>
        <v/>
      </c>
      <c r="L564" s="58" t="str">
        <f t="shared" si="72"/>
        <v/>
      </c>
      <c r="M564" s="59" t="str">
        <f t="shared" si="73"/>
        <v/>
      </c>
      <c r="N564" s="60"/>
      <c r="O564" s="60">
        <v>0</v>
      </c>
    </row>
    <row r="565" spans="1:15" ht="15.75" thickBot="1" x14ac:dyDescent="0.3">
      <c r="A565" s="53">
        <v>44759</v>
      </c>
      <c r="D565" s="55"/>
      <c r="E565" s="56"/>
      <c r="F565" s="57"/>
      <c r="G565" s="58"/>
      <c r="H565" s="58"/>
      <c r="I565" s="58" t="str">
        <f t="shared" si="69"/>
        <v/>
      </c>
      <c r="J565" s="58" t="str">
        <f t="shared" si="70"/>
        <v/>
      </c>
      <c r="K565" s="59" t="str">
        <f t="shared" si="71"/>
        <v/>
      </c>
      <c r="L565" s="58" t="str">
        <f t="shared" si="72"/>
        <v/>
      </c>
      <c r="M565" s="59" t="str">
        <f t="shared" si="73"/>
        <v/>
      </c>
      <c r="N565" s="60"/>
      <c r="O565" s="60">
        <v>0</v>
      </c>
    </row>
    <row r="566" spans="1:15" ht="15.75" thickBot="1" x14ac:dyDescent="0.3">
      <c r="A566" s="53">
        <v>44760</v>
      </c>
      <c r="D566" s="55"/>
      <c r="E566" s="56"/>
      <c r="F566" s="57"/>
      <c r="G566" s="58"/>
      <c r="H566" s="58"/>
      <c r="I566" s="58" t="str">
        <f t="shared" si="69"/>
        <v/>
      </c>
      <c r="J566" s="58" t="str">
        <f t="shared" si="70"/>
        <v/>
      </c>
      <c r="K566" s="59" t="str">
        <f t="shared" si="71"/>
        <v/>
      </c>
      <c r="L566" s="58" t="str">
        <f t="shared" si="72"/>
        <v/>
      </c>
      <c r="M566" s="59" t="str">
        <f t="shared" si="73"/>
        <v/>
      </c>
      <c r="N566" s="60"/>
      <c r="O566" s="60">
        <v>0</v>
      </c>
    </row>
    <row r="567" spans="1:15" ht="15.75" thickBot="1" x14ac:dyDescent="0.3">
      <c r="A567" s="53">
        <v>44761</v>
      </c>
      <c r="D567" s="55"/>
      <c r="E567" s="56"/>
      <c r="F567" s="57"/>
      <c r="G567" s="58"/>
      <c r="H567" s="58"/>
      <c r="I567" s="58" t="str">
        <f t="shared" si="69"/>
        <v/>
      </c>
      <c r="J567" s="58" t="str">
        <f t="shared" si="70"/>
        <v/>
      </c>
      <c r="K567" s="59" t="str">
        <f t="shared" si="71"/>
        <v/>
      </c>
      <c r="L567" s="58" t="str">
        <f t="shared" si="72"/>
        <v/>
      </c>
      <c r="M567" s="59" t="str">
        <f t="shared" si="73"/>
        <v/>
      </c>
      <c r="N567" s="60"/>
      <c r="O567" s="60">
        <v>0</v>
      </c>
    </row>
    <row r="568" spans="1:15" ht="15.75" thickBot="1" x14ac:dyDescent="0.3">
      <c r="A568" s="53">
        <v>44762</v>
      </c>
      <c r="D568" s="55"/>
      <c r="E568" s="56"/>
      <c r="F568" s="57"/>
      <c r="G568" s="58"/>
      <c r="H568" s="58"/>
      <c r="I568" s="58" t="str">
        <f t="shared" si="69"/>
        <v/>
      </c>
      <c r="J568" s="58" t="str">
        <f t="shared" si="70"/>
        <v/>
      </c>
      <c r="K568" s="59" t="str">
        <f t="shared" si="71"/>
        <v/>
      </c>
      <c r="L568" s="58" t="str">
        <f t="shared" si="72"/>
        <v/>
      </c>
      <c r="M568" s="59" t="str">
        <f t="shared" si="73"/>
        <v/>
      </c>
      <c r="N568" s="60"/>
      <c r="O568" s="60">
        <v>0</v>
      </c>
    </row>
    <row r="569" spans="1:15" ht="15.75" thickBot="1" x14ac:dyDescent="0.3">
      <c r="A569" s="53">
        <v>44763</v>
      </c>
      <c r="D569" s="55"/>
      <c r="E569" s="56"/>
      <c r="F569" s="57"/>
      <c r="G569" s="58"/>
      <c r="H569" s="58"/>
      <c r="I569" s="58" t="str">
        <f t="shared" si="69"/>
        <v/>
      </c>
      <c r="J569" s="58" t="str">
        <f t="shared" si="70"/>
        <v/>
      </c>
      <c r="K569" s="59" t="str">
        <f t="shared" si="71"/>
        <v/>
      </c>
      <c r="L569" s="58" t="str">
        <f t="shared" si="72"/>
        <v/>
      </c>
      <c r="M569" s="59" t="str">
        <f t="shared" si="73"/>
        <v/>
      </c>
      <c r="N569" s="60"/>
      <c r="O569" s="60">
        <v>0</v>
      </c>
    </row>
    <row r="570" spans="1:15" ht="15.75" thickBot="1" x14ac:dyDescent="0.3">
      <c r="A570" s="53">
        <v>44764</v>
      </c>
      <c r="D570" s="55"/>
      <c r="E570" s="56"/>
      <c r="F570" s="57"/>
      <c r="G570" s="58"/>
      <c r="H570" s="58"/>
      <c r="I570" s="58" t="str">
        <f t="shared" si="69"/>
        <v/>
      </c>
      <c r="J570" s="58" t="str">
        <f t="shared" si="70"/>
        <v/>
      </c>
      <c r="K570" s="59" t="str">
        <f t="shared" si="71"/>
        <v/>
      </c>
      <c r="L570" s="58" t="str">
        <f t="shared" si="72"/>
        <v/>
      </c>
      <c r="M570" s="59" t="str">
        <f t="shared" si="73"/>
        <v/>
      </c>
      <c r="N570" s="60"/>
      <c r="O570" s="60">
        <v>0</v>
      </c>
    </row>
    <row r="571" spans="1:15" ht="15.75" thickBot="1" x14ac:dyDescent="0.3">
      <c r="A571" s="53">
        <v>44765</v>
      </c>
      <c r="D571" s="55"/>
      <c r="E571" s="56"/>
      <c r="F571" s="57"/>
      <c r="G571" s="58"/>
      <c r="H571" s="58"/>
      <c r="I571" s="58" t="str">
        <f t="shared" si="69"/>
        <v/>
      </c>
      <c r="J571" s="58" t="str">
        <f t="shared" si="70"/>
        <v/>
      </c>
      <c r="K571" s="59" t="str">
        <f t="shared" si="71"/>
        <v/>
      </c>
      <c r="L571" s="58" t="str">
        <f t="shared" si="72"/>
        <v/>
      </c>
      <c r="M571" s="59" t="str">
        <f t="shared" si="73"/>
        <v/>
      </c>
      <c r="N571" s="60"/>
      <c r="O571" s="60">
        <v>0</v>
      </c>
    </row>
    <row r="572" spans="1:15" ht="15.75" thickBot="1" x14ac:dyDescent="0.3">
      <c r="A572" s="53">
        <v>44766</v>
      </c>
      <c r="D572" s="55"/>
      <c r="E572" s="56"/>
      <c r="F572" s="57"/>
      <c r="G572" s="58"/>
      <c r="H572" s="58"/>
      <c r="I572" s="58" t="str">
        <f t="shared" si="69"/>
        <v/>
      </c>
      <c r="J572" s="58" t="str">
        <f t="shared" si="70"/>
        <v/>
      </c>
      <c r="K572" s="59" t="str">
        <f t="shared" si="71"/>
        <v/>
      </c>
      <c r="L572" s="58" t="str">
        <f t="shared" si="72"/>
        <v/>
      </c>
      <c r="M572" s="59" t="str">
        <f t="shared" si="73"/>
        <v/>
      </c>
      <c r="N572" s="60"/>
      <c r="O572" s="60">
        <v>0</v>
      </c>
    </row>
    <row r="573" spans="1:15" ht="15.75" thickBot="1" x14ac:dyDescent="0.3">
      <c r="A573" s="53">
        <v>44767</v>
      </c>
      <c r="D573" s="55"/>
      <c r="E573" s="56"/>
      <c r="F573" s="57"/>
      <c r="G573" s="58"/>
      <c r="H573" s="58"/>
      <c r="I573" s="58" t="str">
        <f t="shared" si="69"/>
        <v/>
      </c>
      <c r="J573" s="58" t="str">
        <f t="shared" si="70"/>
        <v/>
      </c>
      <c r="K573" s="59" t="str">
        <f t="shared" si="71"/>
        <v/>
      </c>
      <c r="L573" s="58" t="str">
        <f t="shared" si="72"/>
        <v/>
      </c>
      <c r="M573" s="59" t="str">
        <f t="shared" si="73"/>
        <v/>
      </c>
      <c r="N573" s="60"/>
      <c r="O573" s="60">
        <v>0</v>
      </c>
    </row>
    <row r="574" spans="1:15" ht="15.75" thickBot="1" x14ac:dyDescent="0.3">
      <c r="A574" s="53">
        <v>44768</v>
      </c>
      <c r="D574" s="55"/>
      <c r="E574" s="56"/>
      <c r="F574" s="57"/>
      <c r="G574" s="58"/>
      <c r="H574" s="58"/>
      <c r="I574" s="58" t="str">
        <f t="shared" si="69"/>
        <v/>
      </c>
      <c r="J574" s="58" t="str">
        <f t="shared" si="70"/>
        <v/>
      </c>
      <c r="K574" s="59" t="str">
        <f t="shared" si="71"/>
        <v/>
      </c>
      <c r="L574" s="58" t="str">
        <f t="shared" si="72"/>
        <v/>
      </c>
      <c r="M574" s="59" t="str">
        <f t="shared" si="73"/>
        <v/>
      </c>
      <c r="N574" s="60"/>
      <c r="O574" s="60">
        <v>0</v>
      </c>
    </row>
    <row r="575" spans="1:15" ht="15.75" thickBot="1" x14ac:dyDescent="0.3">
      <c r="A575" s="53">
        <v>44769</v>
      </c>
      <c r="D575" s="55"/>
      <c r="E575" s="56"/>
      <c r="F575" s="57"/>
      <c r="G575" s="58"/>
      <c r="H575" s="58"/>
      <c r="I575" s="58" t="str">
        <f t="shared" si="69"/>
        <v/>
      </c>
      <c r="J575" s="58" t="str">
        <f t="shared" si="70"/>
        <v/>
      </c>
      <c r="K575" s="59" t="str">
        <f t="shared" si="71"/>
        <v/>
      </c>
      <c r="L575" s="58" t="str">
        <f t="shared" si="72"/>
        <v/>
      </c>
      <c r="M575" s="59" t="str">
        <f t="shared" si="73"/>
        <v/>
      </c>
      <c r="N575" s="60"/>
      <c r="O575" s="60">
        <v>0</v>
      </c>
    </row>
    <row r="576" spans="1:15" ht="15.75" thickBot="1" x14ac:dyDescent="0.3">
      <c r="A576" s="53">
        <v>44770</v>
      </c>
      <c r="D576" s="55"/>
      <c r="E576" s="56"/>
      <c r="F576" s="57"/>
      <c r="G576" s="58"/>
      <c r="H576" s="58"/>
      <c r="I576" s="58" t="str">
        <f t="shared" si="69"/>
        <v/>
      </c>
      <c r="J576" s="58" t="str">
        <f t="shared" si="70"/>
        <v/>
      </c>
      <c r="K576" s="59" t="str">
        <f t="shared" si="71"/>
        <v/>
      </c>
      <c r="L576" s="58" t="str">
        <f t="shared" si="72"/>
        <v/>
      </c>
      <c r="M576" s="59" t="str">
        <f t="shared" si="73"/>
        <v/>
      </c>
      <c r="N576" s="60"/>
      <c r="O576" s="60">
        <v>0</v>
      </c>
    </row>
    <row r="577" spans="1:15" ht="15.75" thickBot="1" x14ac:dyDescent="0.3">
      <c r="A577" s="53">
        <v>44771</v>
      </c>
      <c r="D577" s="55"/>
      <c r="E577" s="56"/>
      <c r="F577" s="57"/>
      <c r="G577" s="58"/>
      <c r="H577" s="58"/>
      <c r="I577" s="58" t="str">
        <f t="shared" si="69"/>
        <v/>
      </c>
      <c r="J577" s="58" t="str">
        <f t="shared" si="70"/>
        <v/>
      </c>
      <c r="K577" s="59" t="str">
        <f t="shared" si="71"/>
        <v/>
      </c>
      <c r="L577" s="58" t="str">
        <f t="shared" si="72"/>
        <v/>
      </c>
      <c r="M577" s="59" t="str">
        <f t="shared" si="73"/>
        <v/>
      </c>
      <c r="N577" s="60"/>
      <c r="O577" s="60">
        <v>0</v>
      </c>
    </row>
    <row r="578" spans="1:15" ht="15.75" thickBot="1" x14ac:dyDescent="0.3">
      <c r="A578" s="53">
        <v>44772</v>
      </c>
      <c r="D578" s="55"/>
      <c r="E578" s="56"/>
      <c r="F578" s="57"/>
      <c r="G578" s="58"/>
      <c r="H578" s="58"/>
      <c r="I578" s="58" t="str">
        <f t="shared" si="69"/>
        <v/>
      </c>
      <c r="J578" s="58" t="str">
        <f t="shared" si="70"/>
        <v/>
      </c>
      <c r="K578" s="59" t="str">
        <f t="shared" si="71"/>
        <v/>
      </c>
      <c r="L578" s="58" t="str">
        <f t="shared" si="72"/>
        <v/>
      </c>
      <c r="M578" s="59" t="str">
        <f t="shared" si="73"/>
        <v/>
      </c>
      <c r="N578" s="60"/>
      <c r="O578" s="60">
        <v>0</v>
      </c>
    </row>
    <row r="579" spans="1:15" ht="15.75" thickBot="1" x14ac:dyDescent="0.3">
      <c r="A579" s="53">
        <v>44773</v>
      </c>
      <c r="D579" s="55"/>
      <c r="E579" s="56"/>
      <c r="F579" s="57"/>
      <c r="G579" s="58"/>
      <c r="H579" s="58"/>
      <c r="I579" s="58" t="str">
        <f t="shared" si="69"/>
        <v/>
      </c>
      <c r="J579" s="58" t="str">
        <f t="shared" si="70"/>
        <v/>
      </c>
      <c r="K579" s="59" t="str">
        <f t="shared" si="71"/>
        <v/>
      </c>
      <c r="L579" s="58" t="str">
        <f t="shared" si="72"/>
        <v/>
      </c>
      <c r="M579" s="59" t="str">
        <f t="shared" si="73"/>
        <v/>
      </c>
      <c r="N579" s="60"/>
      <c r="O579" s="60">
        <v>0</v>
      </c>
    </row>
    <row r="580" spans="1:15" ht="15.75" thickBot="1" x14ac:dyDescent="0.3">
      <c r="A580" s="53">
        <v>44774</v>
      </c>
      <c r="D580" s="55"/>
      <c r="E580" s="56"/>
      <c r="F580" s="57"/>
      <c r="G580" s="58"/>
      <c r="H580" s="58"/>
      <c r="I580" s="58" t="str">
        <f t="shared" si="69"/>
        <v/>
      </c>
      <c r="J580" s="58" t="str">
        <f t="shared" si="70"/>
        <v/>
      </c>
      <c r="K580" s="59" t="str">
        <f t="shared" si="71"/>
        <v/>
      </c>
      <c r="L580" s="58" t="str">
        <f t="shared" si="72"/>
        <v/>
      </c>
      <c r="M580" s="59" t="str">
        <f t="shared" si="73"/>
        <v/>
      </c>
      <c r="N580" s="60"/>
      <c r="O580" s="60">
        <v>0</v>
      </c>
    </row>
    <row r="581" spans="1:15" ht="15.75" thickBot="1" x14ac:dyDescent="0.3">
      <c r="A581" s="53">
        <v>44775</v>
      </c>
      <c r="D581" s="55"/>
      <c r="E581" s="56"/>
      <c r="F581" s="57"/>
      <c r="G581" s="58"/>
      <c r="H581" s="58"/>
      <c r="I581" s="58" t="str">
        <f t="shared" si="69"/>
        <v/>
      </c>
      <c r="J581" s="58" t="str">
        <f t="shared" si="70"/>
        <v/>
      </c>
      <c r="K581" s="59" t="str">
        <f t="shared" si="71"/>
        <v/>
      </c>
      <c r="L581" s="58" t="str">
        <f t="shared" si="72"/>
        <v/>
      </c>
      <c r="M581" s="59" t="str">
        <f t="shared" si="73"/>
        <v/>
      </c>
      <c r="N581" s="60"/>
      <c r="O581" s="60">
        <v>0</v>
      </c>
    </row>
    <row r="582" spans="1:15" ht="15.75" thickBot="1" x14ac:dyDescent="0.3">
      <c r="A582" s="53">
        <v>44776</v>
      </c>
      <c r="D582" s="55"/>
      <c r="E582" s="56"/>
      <c r="F582" s="57"/>
      <c r="G582" s="58"/>
      <c r="H582" s="58"/>
      <c r="I582" s="58" t="str">
        <f t="shared" si="69"/>
        <v/>
      </c>
      <c r="J582" s="58" t="str">
        <f t="shared" si="70"/>
        <v/>
      </c>
      <c r="K582" s="59" t="str">
        <f t="shared" si="71"/>
        <v/>
      </c>
      <c r="L582" s="58" t="str">
        <f t="shared" si="72"/>
        <v/>
      </c>
      <c r="M582" s="59" t="str">
        <f t="shared" si="73"/>
        <v/>
      </c>
      <c r="N582" s="60"/>
      <c r="O582" s="60">
        <v>0</v>
      </c>
    </row>
    <row r="583" spans="1:15" ht="15.75" thickBot="1" x14ac:dyDescent="0.3">
      <c r="A583" s="53">
        <v>44777</v>
      </c>
      <c r="D583" s="55"/>
      <c r="E583" s="56"/>
      <c r="F583" s="57"/>
      <c r="G583" s="58"/>
      <c r="H583" s="58"/>
      <c r="I583" s="58" t="str">
        <f t="shared" si="69"/>
        <v/>
      </c>
      <c r="J583" s="58" t="str">
        <f t="shared" si="70"/>
        <v/>
      </c>
      <c r="K583" s="59" t="str">
        <f t="shared" si="71"/>
        <v/>
      </c>
      <c r="L583" s="58" t="str">
        <f t="shared" si="72"/>
        <v/>
      </c>
      <c r="M583" s="59" t="str">
        <f t="shared" si="73"/>
        <v/>
      </c>
      <c r="N583" s="60"/>
      <c r="O583" s="60">
        <v>0</v>
      </c>
    </row>
    <row r="584" spans="1:15" ht="15.75" thickBot="1" x14ac:dyDescent="0.3">
      <c r="A584" s="53">
        <v>44778</v>
      </c>
      <c r="D584" s="55"/>
      <c r="E584" s="56"/>
      <c r="F584" s="57"/>
      <c r="G584" s="58"/>
      <c r="H584" s="58"/>
      <c r="I584" s="58" t="str">
        <f t="shared" si="69"/>
        <v/>
      </c>
      <c r="J584" s="58" t="str">
        <f t="shared" si="70"/>
        <v/>
      </c>
      <c r="K584" s="59" t="str">
        <f t="shared" si="71"/>
        <v/>
      </c>
      <c r="L584" s="58" t="str">
        <f t="shared" si="72"/>
        <v/>
      </c>
      <c r="M584" s="59" t="str">
        <f t="shared" si="73"/>
        <v/>
      </c>
      <c r="N584" s="60"/>
      <c r="O584" s="60">
        <v>0</v>
      </c>
    </row>
    <row r="585" spans="1:15" ht="15.75" thickBot="1" x14ac:dyDescent="0.3">
      <c r="A585" s="53">
        <v>44779</v>
      </c>
      <c r="D585" s="55"/>
      <c r="E585" s="56"/>
      <c r="F585" s="57"/>
      <c r="G585" s="58"/>
      <c r="H585" s="58"/>
      <c r="I585" s="58" t="str">
        <f t="shared" si="69"/>
        <v/>
      </c>
      <c r="J585" s="58" t="str">
        <f t="shared" si="70"/>
        <v/>
      </c>
      <c r="K585" s="59" t="str">
        <f t="shared" si="71"/>
        <v/>
      </c>
      <c r="L585" s="58" t="str">
        <f t="shared" si="72"/>
        <v/>
      </c>
      <c r="M585" s="59" t="str">
        <f t="shared" si="73"/>
        <v/>
      </c>
      <c r="N585" s="60"/>
      <c r="O585" s="60">
        <v>0</v>
      </c>
    </row>
    <row r="586" spans="1:15" ht="15.75" thickBot="1" x14ac:dyDescent="0.3">
      <c r="A586" s="53">
        <v>44780</v>
      </c>
      <c r="D586" s="55"/>
      <c r="E586" s="56"/>
      <c r="F586" s="57"/>
      <c r="G586" s="58"/>
      <c r="H586" s="58"/>
      <c r="I586" s="58" t="str">
        <f t="shared" si="69"/>
        <v/>
      </c>
      <c r="J586" s="58" t="str">
        <f t="shared" si="70"/>
        <v/>
      </c>
      <c r="K586" s="59" t="str">
        <f t="shared" si="71"/>
        <v/>
      </c>
      <c r="L586" s="58" t="str">
        <f t="shared" si="72"/>
        <v/>
      </c>
      <c r="M586" s="59" t="str">
        <f t="shared" si="73"/>
        <v/>
      </c>
      <c r="N586" s="60"/>
      <c r="O586" s="60">
        <v>0</v>
      </c>
    </row>
    <row r="587" spans="1:15" ht="15.75" thickBot="1" x14ac:dyDescent="0.3">
      <c r="A587" s="53">
        <v>44781</v>
      </c>
      <c r="D587" s="55"/>
      <c r="E587" s="56"/>
      <c r="F587" s="57"/>
      <c r="G587" s="58"/>
      <c r="H587" s="58"/>
      <c r="I587" s="58" t="str">
        <f t="shared" si="69"/>
        <v/>
      </c>
      <c r="J587" s="58" t="str">
        <f t="shared" si="70"/>
        <v/>
      </c>
      <c r="K587" s="59" t="str">
        <f t="shared" si="71"/>
        <v/>
      </c>
      <c r="L587" s="58" t="str">
        <f t="shared" si="72"/>
        <v/>
      </c>
      <c r="M587" s="59" t="str">
        <f t="shared" si="73"/>
        <v/>
      </c>
      <c r="N587" s="60"/>
      <c r="O587" s="60">
        <v>0</v>
      </c>
    </row>
    <row r="588" spans="1:15" ht="15.75" thickBot="1" x14ac:dyDescent="0.3">
      <c r="A588" s="53">
        <v>44782</v>
      </c>
      <c r="D588" s="55"/>
      <c r="E588" s="56"/>
      <c r="F588" s="57"/>
      <c r="G588" s="58"/>
      <c r="H588" s="58"/>
      <c r="I588" s="58" t="str">
        <f t="shared" si="69"/>
        <v/>
      </c>
      <c r="J588" s="58" t="str">
        <f t="shared" si="70"/>
        <v/>
      </c>
      <c r="K588" s="59" t="str">
        <f t="shared" si="71"/>
        <v/>
      </c>
      <c r="L588" s="58" t="str">
        <f t="shared" si="72"/>
        <v/>
      </c>
      <c r="M588" s="59" t="str">
        <f t="shared" si="73"/>
        <v/>
      </c>
      <c r="N588" s="60"/>
      <c r="O588" s="60">
        <v>0</v>
      </c>
    </row>
    <row r="589" spans="1:15" ht="15.75" thickBot="1" x14ac:dyDescent="0.3">
      <c r="A589" s="53">
        <v>44783</v>
      </c>
      <c r="D589" s="55"/>
      <c r="E589" s="56"/>
      <c r="F589" s="57"/>
      <c r="G589" s="58"/>
      <c r="H589" s="58"/>
      <c r="I589" s="58" t="str">
        <f t="shared" si="69"/>
        <v/>
      </c>
      <c r="J589" s="58" t="str">
        <f t="shared" si="70"/>
        <v/>
      </c>
      <c r="K589" s="59" t="str">
        <f t="shared" si="71"/>
        <v/>
      </c>
      <c r="L589" s="58" t="str">
        <f t="shared" si="72"/>
        <v/>
      </c>
      <c r="M589" s="59" t="str">
        <f t="shared" si="73"/>
        <v/>
      </c>
      <c r="N589" s="60"/>
      <c r="O589" s="60">
        <v>0</v>
      </c>
    </row>
    <row r="590" spans="1:15" ht="15.75" thickBot="1" x14ac:dyDescent="0.3">
      <c r="A590" s="53">
        <v>44784</v>
      </c>
      <c r="D590" s="55"/>
      <c r="E590" s="56"/>
      <c r="F590" s="57"/>
      <c r="G590" s="58"/>
      <c r="H590" s="58"/>
      <c r="I590" s="58" t="str">
        <f t="shared" si="69"/>
        <v/>
      </c>
      <c r="J590" s="58" t="str">
        <f t="shared" si="70"/>
        <v/>
      </c>
      <c r="K590" s="59" t="str">
        <f t="shared" si="71"/>
        <v/>
      </c>
      <c r="L590" s="58" t="str">
        <f t="shared" si="72"/>
        <v/>
      </c>
      <c r="M590" s="59" t="str">
        <f t="shared" si="73"/>
        <v/>
      </c>
      <c r="N590" s="60"/>
      <c r="O590" s="60">
        <v>0</v>
      </c>
    </row>
    <row r="591" spans="1:15" ht="15.75" thickBot="1" x14ac:dyDescent="0.3">
      <c r="A591" s="53">
        <v>44785</v>
      </c>
      <c r="D591" s="55"/>
      <c r="E591" s="56"/>
      <c r="F591" s="57"/>
      <c r="G591" s="58"/>
      <c r="H591" s="58"/>
      <c r="I591" s="58" t="str">
        <f t="shared" si="69"/>
        <v/>
      </c>
      <c r="J591" s="58" t="str">
        <f t="shared" si="70"/>
        <v/>
      </c>
      <c r="K591" s="59" t="str">
        <f t="shared" si="71"/>
        <v/>
      </c>
      <c r="L591" s="58" t="str">
        <f t="shared" si="72"/>
        <v/>
      </c>
      <c r="M591" s="59" t="str">
        <f t="shared" si="73"/>
        <v/>
      </c>
      <c r="N591" s="60"/>
      <c r="O591" s="60">
        <v>0</v>
      </c>
    </row>
    <row r="592" spans="1:15" ht="15.75" thickBot="1" x14ac:dyDescent="0.3">
      <c r="A592" s="53">
        <v>44786</v>
      </c>
      <c r="D592" s="55"/>
      <c r="E592" s="56"/>
      <c r="F592" s="57"/>
      <c r="G592" s="58"/>
      <c r="H592" s="58"/>
      <c r="I592" s="58" t="str">
        <f t="shared" si="69"/>
        <v/>
      </c>
      <c r="J592" s="58" t="str">
        <f t="shared" si="70"/>
        <v/>
      </c>
      <c r="K592" s="59" t="str">
        <f t="shared" si="71"/>
        <v/>
      </c>
      <c r="L592" s="58" t="str">
        <f t="shared" si="72"/>
        <v/>
      </c>
      <c r="M592" s="59" t="str">
        <f t="shared" si="73"/>
        <v/>
      </c>
      <c r="N592" s="60"/>
      <c r="O592" s="60">
        <v>0</v>
      </c>
    </row>
    <row r="593" spans="1:15" ht="15.75" thickBot="1" x14ac:dyDescent="0.3">
      <c r="A593" s="53">
        <v>44787</v>
      </c>
      <c r="D593" s="55"/>
      <c r="E593" s="56"/>
      <c r="F593" s="57"/>
      <c r="G593" s="58"/>
      <c r="H593" s="58"/>
      <c r="I593" s="58" t="str">
        <f t="shared" si="69"/>
        <v/>
      </c>
      <c r="J593" s="58" t="str">
        <f t="shared" si="70"/>
        <v/>
      </c>
      <c r="K593" s="59" t="str">
        <f t="shared" si="71"/>
        <v/>
      </c>
      <c r="L593" s="58" t="str">
        <f t="shared" si="72"/>
        <v/>
      </c>
      <c r="M593" s="59" t="str">
        <f t="shared" si="73"/>
        <v/>
      </c>
      <c r="N593" s="60"/>
      <c r="O593" s="60">
        <v>0</v>
      </c>
    </row>
    <row r="594" spans="1:15" ht="15.75" thickBot="1" x14ac:dyDescent="0.3">
      <c r="A594" s="53">
        <v>44788</v>
      </c>
      <c r="D594" s="55"/>
      <c r="E594" s="56"/>
      <c r="F594" s="57"/>
      <c r="G594" s="58"/>
      <c r="H594" s="58"/>
      <c r="I594" s="58" t="str">
        <f t="shared" si="69"/>
        <v/>
      </c>
      <c r="J594" s="58" t="str">
        <f t="shared" si="70"/>
        <v/>
      </c>
      <c r="K594" s="59" t="str">
        <f t="shared" si="71"/>
        <v/>
      </c>
      <c r="L594" s="58" t="str">
        <f t="shared" si="72"/>
        <v/>
      </c>
      <c r="M594" s="59" t="str">
        <f t="shared" si="73"/>
        <v/>
      </c>
      <c r="N594" s="60"/>
      <c r="O594" s="60">
        <v>0</v>
      </c>
    </row>
    <row r="595" spans="1:15" ht="15.75" thickBot="1" x14ac:dyDescent="0.3">
      <c r="A595" s="53">
        <v>44789</v>
      </c>
      <c r="D595" s="55"/>
      <c r="E595" s="56"/>
      <c r="F595" s="57"/>
      <c r="G595" s="58"/>
      <c r="H595" s="58"/>
      <c r="I595" s="58" t="str">
        <f t="shared" si="69"/>
        <v/>
      </c>
      <c r="J595" s="58" t="str">
        <f t="shared" si="70"/>
        <v/>
      </c>
      <c r="K595" s="59" t="str">
        <f t="shared" si="71"/>
        <v/>
      </c>
      <c r="L595" s="58" t="str">
        <f t="shared" si="72"/>
        <v/>
      </c>
      <c r="M595" s="59" t="str">
        <f t="shared" si="73"/>
        <v/>
      </c>
      <c r="N595" s="60"/>
      <c r="O595" s="60">
        <v>0</v>
      </c>
    </row>
    <row r="596" spans="1:15" ht="15.75" thickBot="1" x14ac:dyDescent="0.3">
      <c r="A596" s="53">
        <v>44790</v>
      </c>
      <c r="D596" s="55"/>
      <c r="E596" s="56"/>
      <c r="F596" s="57"/>
      <c r="G596" s="58"/>
      <c r="H596" s="58"/>
      <c r="I596" s="58" t="str">
        <f t="shared" si="69"/>
        <v/>
      </c>
      <c r="J596" s="58" t="str">
        <f t="shared" si="70"/>
        <v/>
      </c>
      <c r="K596" s="59" t="str">
        <f t="shared" si="71"/>
        <v/>
      </c>
      <c r="L596" s="58" t="str">
        <f t="shared" si="72"/>
        <v/>
      </c>
      <c r="M596" s="59" t="str">
        <f t="shared" si="73"/>
        <v/>
      </c>
      <c r="N596" s="60"/>
      <c r="O596" s="60">
        <v>0</v>
      </c>
    </row>
    <row r="597" spans="1:15" ht="15.75" thickBot="1" x14ac:dyDescent="0.3">
      <c r="A597" s="53">
        <v>44791</v>
      </c>
      <c r="D597" s="55"/>
      <c r="E597" s="56"/>
      <c r="F597" s="57"/>
      <c r="G597" s="58"/>
      <c r="H597" s="58"/>
      <c r="I597" s="58" t="str">
        <f t="shared" si="69"/>
        <v/>
      </c>
      <c r="J597" s="58" t="str">
        <f t="shared" si="70"/>
        <v/>
      </c>
      <c r="K597" s="59" t="str">
        <f t="shared" si="71"/>
        <v/>
      </c>
      <c r="L597" s="58" t="str">
        <f t="shared" si="72"/>
        <v/>
      </c>
      <c r="M597" s="59" t="str">
        <f t="shared" si="73"/>
        <v/>
      </c>
      <c r="N597" s="60"/>
      <c r="O597" s="60">
        <v>0</v>
      </c>
    </row>
    <row r="598" spans="1:15" ht="15.75" thickBot="1" x14ac:dyDescent="0.3">
      <c r="A598" s="53">
        <v>44792</v>
      </c>
      <c r="D598" s="55"/>
      <c r="E598" s="56"/>
      <c r="F598" s="57"/>
      <c r="G598" s="58"/>
      <c r="H598" s="58"/>
      <c r="I598" s="58" t="str">
        <f t="shared" si="69"/>
        <v/>
      </c>
      <c r="J598" s="58" t="str">
        <f t="shared" si="70"/>
        <v/>
      </c>
      <c r="K598" s="59" t="str">
        <f t="shared" si="71"/>
        <v/>
      </c>
      <c r="L598" s="58" t="str">
        <f t="shared" si="72"/>
        <v/>
      </c>
      <c r="M598" s="59" t="str">
        <f t="shared" si="73"/>
        <v/>
      </c>
      <c r="N598" s="60"/>
      <c r="O598" s="60">
        <v>0</v>
      </c>
    </row>
    <row r="599" spans="1:15" ht="15.75" thickBot="1" x14ac:dyDescent="0.3">
      <c r="A599" s="53">
        <v>44793</v>
      </c>
      <c r="D599" s="55"/>
      <c r="E599" s="56"/>
      <c r="F599" s="57"/>
      <c r="G599" s="58"/>
      <c r="H599" s="58"/>
      <c r="I599" s="58" t="str">
        <f t="shared" si="69"/>
        <v/>
      </c>
      <c r="J599" s="58" t="str">
        <f t="shared" si="70"/>
        <v/>
      </c>
      <c r="K599" s="59" t="str">
        <f t="shared" si="71"/>
        <v/>
      </c>
      <c r="L599" s="58" t="str">
        <f t="shared" si="72"/>
        <v/>
      </c>
      <c r="M599" s="59" t="str">
        <f t="shared" si="73"/>
        <v/>
      </c>
      <c r="N599" s="60"/>
      <c r="O599" s="60">
        <v>0</v>
      </c>
    </row>
    <row r="600" spans="1:15" ht="15.75" thickBot="1" x14ac:dyDescent="0.3">
      <c r="A600" s="53">
        <v>44794</v>
      </c>
      <c r="D600" s="55"/>
      <c r="E600" s="56"/>
      <c r="F600" s="57"/>
      <c r="G600" s="58"/>
      <c r="H600" s="58"/>
      <c r="I600" s="58" t="str">
        <f t="shared" si="69"/>
        <v/>
      </c>
      <c r="J600" s="58" t="str">
        <f t="shared" si="70"/>
        <v/>
      </c>
      <c r="K600" s="59" t="str">
        <f t="shared" si="71"/>
        <v/>
      </c>
      <c r="L600" s="58" t="str">
        <f t="shared" si="72"/>
        <v/>
      </c>
      <c r="M600" s="59" t="str">
        <f t="shared" si="73"/>
        <v/>
      </c>
      <c r="N600" s="60"/>
      <c r="O600" s="60">
        <v>0</v>
      </c>
    </row>
    <row r="601" spans="1:15" ht="15.75" thickBot="1" x14ac:dyDescent="0.3">
      <c r="A601" s="53">
        <v>44795</v>
      </c>
      <c r="D601" s="55"/>
      <c r="E601" s="56"/>
      <c r="F601" s="57"/>
      <c r="G601" s="58"/>
      <c r="H601" s="58"/>
      <c r="I601" s="58" t="str">
        <f t="shared" si="69"/>
        <v/>
      </c>
      <c r="J601" s="58" t="str">
        <f t="shared" si="70"/>
        <v/>
      </c>
      <c r="K601" s="59" t="str">
        <f t="shared" si="71"/>
        <v/>
      </c>
      <c r="L601" s="58" t="str">
        <f t="shared" si="72"/>
        <v/>
      </c>
      <c r="M601" s="59" t="str">
        <f t="shared" si="73"/>
        <v/>
      </c>
      <c r="N601" s="60"/>
      <c r="O601" s="60">
        <v>0</v>
      </c>
    </row>
    <row r="602" spans="1:15" ht="15.75" thickBot="1" x14ac:dyDescent="0.3">
      <c r="A602" s="53">
        <v>44796</v>
      </c>
      <c r="D602" s="55"/>
      <c r="E602" s="56"/>
      <c r="F602" s="57"/>
      <c r="G602" s="58"/>
      <c r="H602" s="58"/>
      <c r="I602" s="58" t="str">
        <f t="shared" si="69"/>
        <v/>
      </c>
      <c r="J602" s="58" t="str">
        <f t="shared" si="70"/>
        <v/>
      </c>
      <c r="K602" s="59" t="str">
        <f t="shared" si="71"/>
        <v/>
      </c>
      <c r="L602" s="58" t="str">
        <f t="shared" si="72"/>
        <v/>
      </c>
      <c r="M602" s="59" t="str">
        <f t="shared" si="73"/>
        <v/>
      </c>
      <c r="N602" s="60"/>
      <c r="O602" s="60">
        <v>0</v>
      </c>
    </row>
    <row r="603" spans="1:15" ht="15.75" thickBot="1" x14ac:dyDescent="0.3">
      <c r="A603" s="53">
        <v>44797</v>
      </c>
      <c r="D603" s="55"/>
      <c r="E603" s="56"/>
      <c r="F603" s="57"/>
      <c r="G603" s="58"/>
      <c r="H603" s="58"/>
      <c r="I603" s="58" t="str">
        <f t="shared" si="69"/>
        <v/>
      </c>
      <c r="J603" s="58" t="str">
        <f t="shared" si="70"/>
        <v/>
      </c>
      <c r="K603" s="59" t="str">
        <f t="shared" si="71"/>
        <v/>
      </c>
      <c r="L603" s="58" t="str">
        <f t="shared" si="72"/>
        <v/>
      </c>
      <c r="M603" s="59" t="str">
        <f t="shared" si="73"/>
        <v/>
      </c>
      <c r="N603" s="60"/>
      <c r="O603" s="60">
        <v>0</v>
      </c>
    </row>
    <row r="604" spans="1:15" ht="15.75" thickBot="1" x14ac:dyDescent="0.3">
      <c r="A604" s="53">
        <v>44798</v>
      </c>
      <c r="D604" s="55"/>
      <c r="E604" s="56"/>
      <c r="F604" s="57"/>
      <c r="G604" s="58"/>
      <c r="H604" s="58"/>
      <c r="I604" s="58" t="str">
        <f t="shared" si="69"/>
        <v/>
      </c>
      <c r="J604" s="58" t="str">
        <f t="shared" si="70"/>
        <v/>
      </c>
      <c r="K604" s="59" t="str">
        <f t="shared" si="71"/>
        <v/>
      </c>
      <c r="L604" s="58" t="str">
        <f t="shared" si="72"/>
        <v/>
      </c>
      <c r="M604" s="59" t="str">
        <f t="shared" si="73"/>
        <v/>
      </c>
      <c r="N604" s="60"/>
      <c r="O604" s="60">
        <v>0</v>
      </c>
    </row>
    <row r="605" spans="1:15" ht="15.75" thickBot="1" x14ac:dyDescent="0.3">
      <c r="A605" s="53">
        <v>44799</v>
      </c>
      <c r="D605" s="55"/>
      <c r="E605" s="56"/>
      <c r="F605" s="57"/>
      <c r="G605" s="58"/>
      <c r="H605" s="58"/>
      <c r="I605" s="58" t="str">
        <f t="shared" si="69"/>
        <v/>
      </c>
      <c r="J605" s="58" t="str">
        <f t="shared" si="70"/>
        <v/>
      </c>
      <c r="K605" s="59" t="str">
        <f t="shared" si="71"/>
        <v/>
      </c>
      <c r="L605" s="58" t="str">
        <f t="shared" si="72"/>
        <v/>
      </c>
      <c r="M605" s="59" t="str">
        <f t="shared" si="73"/>
        <v/>
      </c>
      <c r="N605" s="60"/>
      <c r="O605" s="60">
        <v>0</v>
      </c>
    </row>
    <row r="606" spans="1:15" ht="15.75" thickBot="1" x14ac:dyDescent="0.3">
      <c r="A606" s="53">
        <v>44800</v>
      </c>
      <c r="D606" s="55"/>
      <c r="E606" s="56"/>
      <c r="F606" s="57"/>
      <c r="G606" s="58"/>
      <c r="H606" s="58"/>
      <c r="I606" s="58" t="str">
        <f t="shared" si="69"/>
        <v/>
      </c>
      <c r="J606" s="58" t="str">
        <f t="shared" si="70"/>
        <v/>
      </c>
      <c r="K606" s="59" t="str">
        <f t="shared" si="71"/>
        <v/>
      </c>
      <c r="L606" s="58" t="str">
        <f t="shared" si="72"/>
        <v/>
      </c>
      <c r="M606" s="59" t="str">
        <f t="shared" si="73"/>
        <v/>
      </c>
      <c r="N606" s="60"/>
      <c r="O606" s="60">
        <v>0</v>
      </c>
    </row>
    <row r="607" spans="1:15" ht="15.75" thickBot="1" x14ac:dyDescent="0.3">
      <c r="A607" s="53">
        <v>44801</v>
      </c>
      <c r="D607" s="55"/>
      <c r="E607" s="56"/>
      <c r="F607" s="57"/>
      <c r="G607" s="58"/>
      <c r="H607" s="58"/>
      <c r="I607" s="58" t="str">
        <f t="shared" si="69"/>
        <v/>
      </c>
      <c r="J607" s="58" t="str">
        <f t="shared" si="70"/>
        <v/>
      </c>
      <c r="K607" s="59" t="str">
        <f t="shared" si="71"/>
        <v/>
      </c>
      <c r="L607" s="58" t="str">
        <f t="shared" si="72"/>
        <v/>
      </c>
      <c r="M607" s="59" t="str">
        <f t="shared" si="73"/>
        <v/>
      </c>
      <c r="N607" s="60"/>
      <c r="O607" s="60">
        <v>0</v>
      </c>
    </row>
    <row r="608" spans="1:15" ht="15.75" thickBot="1" x14ac:dyDescent="0.3">
      <c r="A608" s="53">
        <v>44802</v>
      </c>
      <c r="D608" s="55"/>
      <c r="E608" s="56"/>
      <c r="F608" s="57"/>
      <c r="G608" s="58"/>
      <c r="H608" s="58"/>
      <c r="I608" s="58" t="str">
        <f t="shared" si="69"/>
        <v/>
      </c>
      <c r="J608" s="58" t="str">
        <f t="shared" si="70"/>
        <v/>
      </c>
      <c r="K608" s="59" t="str">
        <f t="shared" si="71"/>
        <v/>
      </c>
      <c r="L608" s="58" t="str">
        <f t="shared" si="72"/>
        <v/>
      </c>
      <c r="M608" s="59" t="str">
        <f t="shared" si="73"/>
        <v/>
      </c>
      <c r="N608" s="60"/>
      <c r="O608" s="60">
        <v>0</v>
      </c>
    </row>
    <row r="609" spans="1:15" ht="15.75" thickBot="1" x14ac:dyDescent="0.3">
      <c r="A609" s="53">
        <v>44803</v>
      </c>
      <c r="D609" s="55"/>
      <c r="E609" s="56"/>
      <c r="F609" s="57"/>
      <c r="G609" s="58"/>
      <c r="H609" s="58"/>
      <c r="I609" s="58" t="str">
        <f t="shared" si="69"/>
        <v/>
      </c>
      <c r="J609" s="58" t="str">
        <f t="shared" si="70"/>
        <v/>
      </c>
      <c r="K609" s="59" t="str">
        <f t="shared" si="71"/>
        <v/>
      </c>
      <c r="L609" s="58" t="str">
        <f t="shared" si="72"/>
        <v/>
      </c>
      <c r="M609" s="59" t="str">
        <f t="shared" si="73"/>
        <v/>
      </c>
      <c r="N609" s="60"/>
      <c r="O609" s="60">
        <v>0</v>
      </c>
    </row>
    <row r="610" spans="1:15" ht="15.75" thickBot="1" x14ac:dyDescent="0.3">
      <c r="A610" s="53">
        <v>44804</v>
      </c>
      <c r="D610" s="55"/>
      <c r="E610" s="56"/>
      <c r="F610" s="57"/>
      <c r="G610" s="58"/>
      <c r="H610" s="58"/>
      <c r="I610" s="58" t="str">
        <f t="shared" si="69"/>
        <v/>
      </c>
      <c r="J610" s="58" t="str">
        <f t="shared" si="70"/>
        <v/>
      </c>
      <c r="K610" s="59" t="str">
        <f t="shared" si="71"/>
        <v/>
      </c>
      <c r="L610" s="58" t="str">
        <f t="shared" si="72"/>
        <v/>
      </c>
      <c r="M610" s="59" t="str">
        <f t="shared" si="73"/>
        <v/>
      </c>
      <c r="N610" s="60"/>
      <c r="O610" s="60">
        <v>0</v>
      </c>
    </row>
    <row r="611" spans="1:15" ht="15.75" thickBot="1" x14ac:dyDescent="0.3">
      <c r="A611" s="53">
        <v>44805</v>
      </c>
      <c r="D611" s="55"/>
      <c r="E611" s="56"/>
      <c r="F611" s="57"/>
      <c r="G611" s="58"/>
      <c r="H611" s="58"/>
      <c r="I611" s="58" t="str">
        <f t="shared" si="69"/>
        <v/>
      </c>
      <c r="J611" s="58" t="str">
        <f t="shared" si="70"/>
        <v/>
      </c>
      <c r="K611" s="59" t="str">
        <f t="shared" si="71"/>
        <v/>
      </c>
      <c r="L611" s="58" t="str">
        <f t="shared" si="72"/>
        <v/>
      </c>
      <c r="M611" s="59" t="str">
        <f t="shared" si="73"/>
        <v/>
      </c>
      <c r="N611" s="60"/>
      <c r="O611" s="60">
        <v>0</v>
      </c>
    </row>
    <row r="612" spans="1:15" ht="15.75" thickBot="1" x14ac:dyDescent="0.3">
      <c r="A612" s="53">
        <v>44806</v>
      </c>
      <c r="D612" s="55"/>
      <c r="E612" s="56"/>
      <c r="F612" s="57"/>
      <c r="G612" s="58"/>
      <c r="H612" s="58"/>
      <c r="I612" s="58" t="str">
        <f t="shared" si="69"/>
        <v/>
      </c>
      <c r="J612" s="58" t="str">
        <f t="shared" si="70"/>
        <v/>
      </c>
      <c r="K612" s="59" t="str">
        <f t="shared" si="71"/>
        <v/>
      </c>
      <c r="L612" s="58" t="str">
        <f t="shared" si="72"/>
        <v/>
      </c>
      <c r="M612" s="59" t="str">
        <f t="shared" si="73"/>
        <v/>
      </c>
      <c r="N612" s="60"/>
      <c r="O612" s="60">
        <v>0</v>
      </c>
    </row>
    <row r="613" spans="1:15" ht="15.75" thickBot="1" x14ac:dyDescent="0.3">
      <c r="A613" s="53">
        <v>44807</v>
      </c>
      <c r="D613" s="55"/>
      <c r="E613" s="56"/>
      <c r="F613" s="57"/>
      <c r="G613" s="58"/>
      <c r="H613" s="58"/>
      <c r="I613" s="58" t="str">
        <f t="shared" si="69"/>
        <v/>
      </c>
      <c r="J613" s="58" t="str">
        <f t="shared" si="70"/>
        <v/>
      </c>
      <c r="K613" s="59" t="str">
        <f t="shared" si="71"/>
        <v/>
      </c>
      <c r="L613" s="58" t="str">
        <f t="shared" si="72"/>
        <v/>
      </c>
      <c r="M613" s="59" t="str">
        <f t="shared" si="73"/>
        <v/>
      </c>
      <c r="N613" s="60"/>
      <c r="O613" s="60">
        <v>0</v>
      </c>
    </row>
    <row r="614" spans="1:15" ht="15.75" thickBot="1" x14ac:dyDescent="0.3">
      <c r="A614" s="53">
        <v>44808</v>
      </c>
      <c r="D614" s="55"/>
      <c r="E614" s="56"/>
      <c r="F614" s="57"/>
      <c r="G614" s="58"/>
      <c r="H614" s="58"/>
      <c r="I614" s="58" t="str">
        <f t="shared" si="69"/>
        <v/>
      </c>
      <c r="J614" s="58" t="str">
        <f t="shared" si="70"/>
        <v/>
      </c>
      <c r="K614" s="59" t="str">
        <f t="shared" si="71"/>
        <v/>
      </c>
      <c r="L614" s="58" t="str">
        <f t="shared" si="72"/>
        <v/>
      </c>
      <c r="M614" s="59" t="str">
        <f t="shared" si="73"/>
        <v/>
      </c>
      <c r="N614" s="60"/>
      <c r="O614" s="60">
        <v>0</v>
      </c>
    </row>
    <row r="615" spans="1:15" ht="15.75" thickBot="1" x14ac:dyDescent="0.3">
      <c r="A615" s="53">
        <v>44809</v>
      </c>
      <c r="D615" s="55"/>
      <c r="E615" s="56"/>
      <c r="F615" s="57"/>
      <c r="G615" s="58"/>
      <c r="H615" s="58"/>
      <c r="I615" s="58" t="str">
        <f t="shared" si="69"/>
        <v/>
      </c>
      <c r="J615" s="58" t="str">
        <f t="shared" si="70"/>
        <v/>
      </c>
      <c r="K615" s="59" t="str">
        <f t="shared" si="71"/>
        <v/>
      </c>
      <c r="L615" s="58" t="str">
        <f t="shared" si="72"/>
        <v/>
      </c>
      <c r="M615" s="59" t="str">
        <f t="shared" si="73"/>
        <v/>
      </c>
      <c r="N615" s="60"/>
      <c r="O615" s="60">
        <v>0</v>
      </c>
    </row>
    <row r="616" spans="1:15" ht="15.75" thickBot="1" x14ac:dyDescent="0.3">
      <c r="A616" s="53">
        <v>44810</v>
      </c>
      <c r="D616" s="55"/>
      <c r="E616" s="56"/>
      <c r="F616" s="57"/>
      <c r="G616" s="58"/>
      <c r="H616" s="58"/>
      <c r="I616" s="58" t="str">
        <f t="shared" si="69"/>
        <v/>
      </c>
      <c r="J616" s="58" t="str">
        <f t="shared" si="70"/>
        <v/>
      </c>
      <c r="K616" s="59" t="str">
        <f t="shared" si="71"/>
        <v/>
      </c>
      <c r="L616" s="58" t="str">
        <f t="shared" si="72"/>
        <v/>
      </c>
      <c r="M616" s="59" t="str">
        <f t="shared" si="73"/>
        <v/>
      </c>
      <c r="N616" s="60"/>
      <c r="O616" s="60">
        <v>0</v>
      </c>
    </row>
    <row r="617" spans="1:15" ht="15.75" thickBot="1" x14ac:dyDescent="0.3">
      <c r="A617" s="53">
        <v>44811</v>
      </c>
      <c r="D617" s="55"/>
      <c r="E617" s="56"/>
      <c r="F617" s="57"/>
      <c r="G617" s="58"/>
      <c r="H617" s="58"/>
      <c r="I617" s="58" t="str">
        <f t="shared" si="69"/>
        <v/>
      </c>
      <c r="J617" s="58" t="str">
        <f t="shared" si="70"/>
        <v/>
      </c>
      <c r="K617" s="59" t="str">
        <f t="shared" si="71"/>
        <v/>
      </c>
      <c r="L617" s="58" t="str">
        <f t="shared" si="72"/>
        <v/>
      </c>
      <c r="M617" s="59" t="str">
        <f t="shared" si="73"/>
        <v/>
      </c>
      <c r="N617" s="60"/>
      <c r="O617" s="60">
        <v>0</v>
      </c>
    </row>
    <row r="618" spans="1:15" ht="15.75" thickBot="1" x14ac:dyDescent="0.3">
      <c r="A618" s="53">
        <v>44812</v>
      </c>
      <c r="D618" s="55"/>
      <c r="E618" s="56"/>
      <c r="F618" s="57"/>
      <c r="G618" s="58"/>
      <c r="H618" s="58"/>
      <c r="I618" s="58" t="str">
        <f t="shared" si="69"/>
        <v/>
      </c>
      <c r="J618" s="58" t="str">
        <f t="shared" si="70"/>
        <v/>
      </c>
      <c r="K618" s="59" t="str">
        <f t="shared" si="71"/>
        <v/>
      </c>
      <c r="L618" s="58" t="str">
        <f t="shared" si="72"/>
        <v/>
      </c>
      <c r="M618" s="59" t="str">
        <f t="shared" si="73"/>
        <v/>
      </c>
      <c r="N618" s="60"/>
      <c r="O618" s="60">
        <v>0</v>
      </c>
    </row>
    <row r="619" spans="1:15" ht="15.75" thickBot="1" x14ac:dyDescent="0.3">
      <c r="A619" s="53">
        <v>44813</v>
      </c>
      <c r="D619" s="55"/>
      <c r="E619" s="56"/>
      <c r="F619" s="57"/>
      <c r="G619" s="58"/>
      <c r="H619" s="58"/>
      <c r="I619" s="58" t="str">
        <f t="shared" si="69"/>
        <v/>
      </c>
      <c r="J619" s="58" t="str">
        <f t="shared" si="70"/>
        <v/>
      </c>
      <c r="K619" s="59" t="str">
        <f t="shared" si="71"/>
        <v/>
      </c>
      <c r="L619" s="58" t="str">
        <f t="shared" si="72"/>
        <v/>
      </c>
      <c r="M619" s="59" t="str">
        <f t="shared" si="73"/>
        <v/>
      </c>
      <c r="N619" s="60"/>
      <c r="O619" s="60">
        <v>0</v>
      </c>
    </row>
    <row r="620" spans="1:15" ht="15.75" thickBot="1" x14ac:dyDescent="0.3">
      <c r="A620" s="53">
        <v>44814</v>
      </c>
      <c r="D620" s="55"/>
      <c r="E620" s="56"/>
      <c r="F620" s="57"/>
      <c r="G620" s="58"/>
      <c r="H620" s="58"/>
      <c r="I620" s="58" t="str">
        <f t="shared" si="69"/>
        <v/>
      </c>
      <c r="J620" s="58" t="str">
        <f t="shared" si="70"/>
        <v/>
      </c>
      <c r="K620" s="59" t="str">
        <f t="shared" si="71"/>
        <v/>
      </c>
      <c r="L620" s="58" t="str">
        <f t="shared" si="72"/>
        <v/>
      </c>
      <c r="M620" s="59" t="str">
        <f t="shared" si="73"/>
        <v/>
      </c>
      <c r="N620" s="60"/>
      <c r="O620" s="60">
        <v>0</v>
      </c>
    </row>
    <row r="621" spans="1:15" ht="15.75" thickBot="1" x14ac:dyDescent="0.3">
      <c r="A621" s="53">
        <v>44815</v>
      </c>
      <c r="D621" s="55"/>
      <c r="E621" s="56"/>
      <c r="F621" s="57"/>
      <c r="G621" s="58"/>
      <c r="H621" s="58"/>
      <c r="I621" s="58" t="str">
        <f t="shared" si="69"/>
        <v/>
      </c>
      <c r="J621" s="58" t="str">
        <f t="shared" si="70"/>
        <v/>
      </c>
      <c r="K621" s="59" t="str">
        <f t="shared" si="71"/>
        <v/>
      </c>
      <c r="L621" s="58" t="str">
        <f t="shared" si="72"/>
        <v/>
      </c>
      <c r="M621" s="59" t="str">
        <f t="shared" si="73"/>
        <v/>
      </c>
      <c r="N621" s="60"/>
      <c r="O621" s="60">
        <v>0</v>
      </c>
    </row>
    <row r="622" spans="1:15" ht="15.75" thickBot="1" x14ac:dyDescent="0.3">
      <c r="A622" s="53">
        <v>44816</v>
      </c>
      <c r="D622" s="55"/>
      <c r="E622" s="56"/>
      <c r="F622" s="57"/>
      <c r="G622" s="58"/>
      <c r="H622" s="58"/>
      <c r="I622" s="58" t="str">
        <f t="shared" si="69"/>
        <v/>
      </c>
      <c r="J622" s="58" t="str">
        <f t="shared" si="70"/>
        <v/>
      </c>
      <c r="K622" s="59" t="str">
        <f t="shared" si="71"/>
        <v/>
      </c>
      <c r="L622" s="58" t="str">
        <f t="shared" si="72"/>
        <v/>
      </c>
      <c r="M622" s="59" t="str">
        <f t="shared" si="73"/>
        <v/>
      </c>
      <c r="N622" s="60"/>
      <c r="O622" s="60">
        <v>0</v>
      </c>
    </row>
    <row r="623" spans="1:15" ht="15.75" thickBot="1" x14ac:dyDescent="0.3">
      <c r="A623" s="53">
        <v>44817</v>
      </c>
      <c r="D623" s="55"/>
      <c r="E623" s="56"/>
      <c r="F623" s="57"/>
      <c r="G623" s="58"/>
      <c r="H623" s="58"/>
      <c r="I623" s="58" t="str">
        <f t="shared" si="69"/>
        <v/>
      </c>
      <c r="J623" s="58" t="str">
        <f t="shared" si="70"/>
        <v/>
      </c>
      <c r="K623" s="59" t="str">
        <f t="shared" si="71"/>
        <v/>
      </c>
      <c r="L623" s="58" t="str">
        <f t="shared" si="72"/>
        <v/>
      </c>
      <c r="M623" s="59" t="str">
        <f t="shared" si="73"/>
        <v/>
      </c>
      <c r="N623" s="60"/>
      <c r="O623" s="60">
        <v>0</v>
      </c>
    </row>
    <row r="624" spans="1:15" ht="15.75" thickBot="1" x14ac:dyDescent="0.3">
      <c r="A624" s="53">
        <v>44818</v>
      </c>
      <c r="D624" s="55"/>
      <c r="E624" s="56"/>
      <c r="F624" s="57"/>
      <c r="G624" s="58"/>
      <c r="H624" s="58"/>
      <c r="I624" s="58" t="str">
        <f t="shared" ref="I624:I687" si="74">IF(D624="","",+(D624-D623)*4140)</f>
        <v/>
      </c>
      <c r="J624" s="58" t="str">
        <f t="shared" ref="J624:J687" si="75">IF(E624="","",+(F624-F623)*4140)</f>
        <v/>
      </c>
      <c r="K624" s="59" t="str">
        <f t="shared" ref="K624:K687" si="76">IF(J624="","",+(J624/I624))</f>
        <v/>
      </c>
      <c r="L624" s="58" t="str">
        <f t="shared" ref="L624:L687" si="77">IF(F624="","",+(F624-F623)*4140)</f>
        <v/>
      </c>
      <c r="M624" s="59" t="str">
        <f t="shared" ref="M624:M687" si="78">IF(L624="","",(L624/I624))</f>
        <v/>
      </c>
      <c r="N624" s="60"/>
      <c r="O624" s="60">
        <v>0</v>
      </c>
    </row>
    <row r="625" spans="1:15" ht="15.75" thickBot="1" x14ac:dyDescent="0.3">
      <c r="A625" s="53">
        <v>44819</v>
      </c>
      <c r="D625" s="55"/>
      <c r="E625" s="56"/>
      <c r="F625" s="57"/>
      <c r="G625" s="58"/>
      <c r="H625" s="58"/>
      <c r="I625" s="58" t="str">
        <f t="shared" si="74"/>
        <v/>
      </c>
      <c r="J625" s="58" t="str">
        <f t="shared" si="75"/>
        <v/>
      </c>
      <c r="K625" s="59" t="str">
        <f t="shared" si="76"/>
        <v/>
      </c>
      <c r="L625" s="58" t="str">
        <f t="shared" si="77"/>
        <v/>
      </c>
      <c r="M625" s="59" t="str">
        <f t="shared" si="78"/>
        <v/>
      </c>
      <c r="N625" s="60"/>
      <c r="O625" s="60">
        <v>0</v>
      </c>
    </row>
    <row r="626" spans="1:15" ht="15.75" thickBot="1" x14ac:dyDescent="0.3">
      <c r="A626" s="53">
        <v>44820</v>
      </c>
      <c r="D626" s="55"/>
      <c r="E626" s="56"/>
      <c r="F626" s="57"/>
      <c r="G626" s="58"/>
      <c r="H626" s="58"/>
      <c r="I626" s="58" t="str">
        <f t="shared" si="74"/>
        <v/>
      </c>
      <c r="J626" s="58" t="str">
        <f t="shared" si="75"/>
        <v/>
      </c>
      <c r="K626" s="59" t="str">
        <f t="shared" si="76"/>
        <v/>
      </c>
      <c r="L626" s="58" t="str">
        <f t="shared" si="77"/>
        <v/>
      </c>
      <c r="M626" s="59" t="str">
        <f t="shared" si="78"/>
        <v/>
      </c>
      <c r="N626" s="60"/>
      <c r="O626" s="60">
        <v>0</v>
      </c>
    </row>
    <row r="627" spans="1:15" ht="15.75" thickBot="1" x14ac:dyDescent="0.3">
      <c r="A627" s="53">
        <v>44821</v>
      </c>
      <c r="D627" s="55"/>
      <c r="E627" s="56"/>
      <c r="F627" s="57"/>
      <c r="G627" s="58"/>
      <c r="H627" s="58"/>
      <c r="I627" s="58" t="str">
        <f t="shared" si="74"/>
        <v/>
      </c>
      <c r="J627" s="58" t="str">
        <f t="shared" si="75"/>
        <v/>
      </c>
      <c r="K627" s="59" t="str">
        <f t="shared" si="76"/>
        <v/>
      </c>
      <c r="L627" s="58" t="str">
        <f t="shared" si="77"/>
        <v/>
      </c>
      <c r="M627" s="59" t="str">
        <f t="shared" si="78"/>
        <v/>
      </c>
      <c r="N627" s="60"/>
      <c r="O627" s="60">
        <v>0</v>
      </c>
    </row>
    <row r="628" spans="1:15" ht="15.75" thickBot="1" x14ac:dyDescent="0.3">
      <c r="A628" s="53">
        <v>44822</v>
      </c>
      <c r="D628" s="55"/>
      <c r="E628" s="56"/>
      <c r="F628" s="57"/>
      <c r="G628" s="58"/>
      <c r="H628" s="58"/>
      <c r="I628" s="58" t="str">
        <f t="shared" si="74"/>
        <v/>
      </c>
      <c r="J628" s="58" t="str">
        <f t="shared" si="75"/>
        <v/>
      </c>
      <c r="K628" s="59" t="str">
        <f t="shared" si="76"/>
        <v/>
      </c>
      <c r="L628" s="58" t="str">
        <f t="shared" si="77"/>
        <v/>
      </c>
      <c r="M628" s="59" t="str">
        <f t="shared" si="78"/>
        <v/>
      </c>
      <c r="N628" s="60"/>
      <c r="O628" s="60">
        <v>0</v>
      </c>
    </row>
    <row r="629" spans="1:15" ht="15.75" thickBot="1" x14ac:dyDescent="0.3">
      <c r="A629" s="53">
        <v>44823</v>
      </c>
      <c r="D629" s="55"/>
      <c r="E629" s="56"/>
      <c r="F629" s="57"/>
      <c r="G629" s="58"/>
      <c r="H629" s="58"/>
      <c r="I629" s="58" t="str">
        <f t="shared" si="74"/>
        <v/>
      </c>
      <c r="J629" s="58" t="str">
        <f t="shared" si="75"/>
        <v/>
      </c>
      <c r="K629" s="59" t="str">
        <f t="shared" si="76"/>
        <v/>
      </c>
      <c r="L629" s="58" t="str">
        <f t="shared" si="77"/>
        <v/>
      </c>
      <c r="M629" s="59" t="str">
        <f t="shared" si="78"/>
        <v/>
      </c>
      <c r="N629" s="60"/>
      <c r="O629" s="60">
        <v>0</v>
      </c>
    </row>
    <row r="630" spans="1:15" ht="15.75" thickBot="1" x14ac:dyDescent="0.3">
      <c r="A630" s="53">
        <v>44824</v>
      </c>
      <c r="D630" s="55"/>
      <c r="E630" s="56"/>
      <c r="F630" s="57"/>
      <c r="G630" s="58"/>
      <c r="H630" s="58"/>
      <c r="I630" s="58" t="str">
        <f t="shared" si="74"/>
        <v/>
      </c>
      <c r="J630" s="58" t="str">
        <f t="shared" si="75"/>
        <v/>
      </c>
      <c r="K630" s="59" t="str">
        <f t="shared" si="76"/>
        <v/>
      </c>
      <c r="L630" s="58" t="str">
        <f t="shared" si="77"/>
        <v/>
      </c>
      <c r="M630" s="59" t="str">
        <f t="shared" si="78"/>
        <v/>
      </c>
      <c r="N630" s="60"/>
      <c r="O630" s="60">
        <v>0</v>
      </c>
    </row>
    <row r="631" spans="1:15" ht="15.75" thickBot="1" x14ac:dyDescent="0.3">
      <c r="A631" s="53">
        <v>44825</v>
      </c>
      <c r="D631" s="55"/>
      <c r="E631" s="56"/>
      <c r="F631" s="57"/>
      <c r="G631" s="58"/>
      <c r="H631" s="58"/>
      <c r="I631" s="58" t="str">
        <f t="shared" si="74"/>
        <v/>
      </c>
      <c r="J631" s="58" t="str">
        <f t="shared" si="75"/>
        <v/>
      </c>
      <c r="K631" s="59" t="str">
        <f t="shared" si="76"/>
        <v/>
      </c>
      <c r="L631" s="58" t="str">
        <f t="shared" si="77"/>
        <v/>
      </c>
      <c r="M631" s="59" t="str">
        <f t="shared" si="78"/>
        <v/>
      </c>
      <c r="N631" s="60"/>
      <c r="O631" s="60">
        <v>0</v>
      </c>
    </row>
    <row r="632" spans="1:15" ht="15.75" thickBot="1" x14ac:dyDescent="0.3">
      <c r="A632" s="53">
        <v>44826</v>
      </c>
      <c r="D632" s="55"/>
      <c r="E632" s="56"/>
      <c r="F632" s="57"/>
      <c r="G632" s="58"/>
      <c r="H632" s="58"/>
      <c r="I632" s="58" t="str">
        <f t="shared" si="74"/>
        <v/>
      </c>
      <c r="J632" s="58" t="str">
        <f t="shared" si="75"/>
        <v/>
      </c>
      <c r="K632" s="59" t="str">
        <f t="shared" si="76"/>
        <v/>
      </c>
      <c r="L632" s="58" t="str">
        <f t="shared" si="77"/>
        <v/>
      </c>
      <c r="M632" s="59" t="str">
        <f t="shared" si="78"/>
        <v/>
      </c>
      <c r="N632" s="60"/>
      <c r="O632" s="60">
        <v>0</v>
      </c>
    </row>
    <row r="633" spans="1:15" ht="15.75" thickBot="1" x14ac:dyDescent="0.3">
      <c r="A633" s="53">
        <v>44827</v>
      </c>
      <c r="D633" s="55"/>
      <c r="E633" s="56"/>
      <c r="F633" s="57"/>
      <c r="G633" s="58"/>
      <c r="H633" s="58"/>
      <c r="I633" s="58" t="str">
        <f t="shared" si="74"/>
        <v/>
      </c>
      <c r="J633" s="58" t="str">
        <f t="shared" si="75"/>
        <v/>
      </c>
      <c r="K633" s="59" t="str">
        <f t="shared" si="76"/>
        <v/>
      </c>
      <c r="L633" s="58" t="str">
        <f t="shared" si="77"/>
        <v/>
      </c>
      <c r="M633" s="59" t="str">
        <f t="shared" si="78"/>
        <v/>
      </c>
      <c r="N633" s="60"/>
      <c r="O633" s="60">
        <v>0</v>
      </c>
    </row>
    <row r="634" spans="1:15" ht="15.75" thickBot="1" x14ac:dyDescent="0.3">
      <c r="A634" s="53">
        <v>44828</v>
      </c>
      <c r="D634" s="55"/>
      <c r="E634" s="56"/>
      <c r="F634" s="57"/>
      <c r="G634" s="58"/>
      <c r="H634" s="58"/>
      <c r="I634" s="58" t="str">
        <f t="shared" si="74"/>
        <v/>
      </c>
      <c r="J634" s="58" t="str">
        <f t="shared" si="75"/>
        <v/>
      </c>
      <c r="K634" s="59" t="str">
        <f t="shared" si="76"/>
        <v/>
      </c>
      <c r="L634" s="58" t="str">
        <f t="shared" si="77"/>
        <v/>
      </c>
      <c r="M634" s="59" t="str">
        <f t="shared" si="78"/>
        <v/>
      </c>
      <c r="N634" s="60"/>
      <c r="O634" s="60">
        <v>0</v>
      </c>
    </row>
    <row r="635" spans="1:15" ht="15.75" thickBot="1" x14ac:dyDescent="0.3">
      <c r="A635" s="53">
        <v>44829</v>
      </c>
      <c r="D635" s="55"/>
      <c r="E635" s="56"/>
      <c r="F635" s="57"/>
      <c r="G635" s="58"/>
      <c r="H635" s="58"/>
      <c r="I635" s="58" t="str">
        <f t="shared" si="74"/>
        <v/>
      </c>
      <c r="J635" s="58" t="str">
        <f t="shared" si="75"/>
        <v/>
      </c>
      <c r="K635" s="59" t="str">
        <f t="shared" si="76"/>
        <v/>
      </c>
      <c r="L635" s="58" t="str">
        <f t="shared" si="77"/>
        <v/>
      </c>
      <c r="M635" s="59" t="str">
        <f t="shared" si="78"/>
        <v/>
      </c>
      <c r="N635" s="60"/>
      <c r="O635" s="60">
        <v>0</v>
      </c>
    </row>
    <row r="636" spans="1:15" ht="15.75" thickBot="1" x14ac:dyDescent="0.3">
      <c r="A636" s="53">
        <v>44830</v>
      </c>
      <c r="D636" s="55"/>
      <c r="E636" s="56"/>
      <c r="F636" s="57"/>
      <c r="G636" s="58"/>
      <c r="H636" s="58"/>
      <c r="I636" s="58" t="str">
        <f t="shared" si="74"/>
        <v/>
      </c>
      <c r="J636" s="58" t="str">
        <f t="shared" si="75"/>
        <v/>
      </c>
      <c r="K636" s="59" t="str">
        <f t="shared" si="76"/>
        <v/>
      </c>
      <c r="L636" s="58" t="str">
        <f t="shared" si="77"/>
        <v/>
      </c>
      <c r="M636" s="59" t="str">
        <f t="shared" si="78"/>
        <v/>
      </c>
      <c r="N636" s="60"/>
      <c r="O636" s="60">
        <v>0</v>
      </c>
    </row>
    <row r="637" spans="1:15" ht="15.75" thickBot="1" x14ac:dyDescent="0.3">
      <c r="A637" s="53">
        <v>44831</v>
      </c>
      <c r="D637" s="55"/>
      <c r="E637" s="56"/>
      <c r="F637" s="57"/>
      <c r="G637" s="58"/>
      <c r="H637" s="58"/>
      <c r="I637" s="58" t="str">
        <f t="shared" si="74"/>
        <v/>
      </c>
      <c r="J637" s="58" t="str">
        <f t="shared" si="75"/>
        <v/>
      </c>
      <c r="K637" s="59" t="str">
        <f t="shared" si="76"/>
        <v/>
      </c>
      <c r="L637" s="58" t="str">
        <f t="shared" si="77"/>
        <v/>
      </c>
      <c r="M637" s="59" t="str">
        <f t="shared" si="78"/>
        <v/>
      </c>
      <c r="N637" s="60"/>
      <c r="O637" s="60">
        <v>0</v>
      </c>
    </row>
    <row r="638" spans="1:15" ht="15.75" thickBot="1" x14ac:dyDescent="0.3">
      <c r="A638" s="53">
        <v>44832</v>
      </c>
      <c r="D638" s="55"/>
      <c r="E638" s="56"/>
      <c r="F638" s="57"/>
      <c r="G638" s="58"/>
      <c r="H638" s="58"/>
      <c r="I638" s="58" t="str">
        <f t="shared" si="74"/>
        <v/>
      </c>
      <c r="J638" s="58" t="str">
        <f t="shared" si="75"/>
        <v/>
      </c>
      <c r="K638" s="59" t="str">
        <f t="shared" si="76"/>
        <v/>
      </c>
      <c r="L638" s="58" t="str">
        <f t="shared" si="77"/>
        <v/>
      </c>
      <c r="M638" s="59" t="str">
        <f t="shared" si="78"/>
        <v/>
      </c>
      <c r="N638" s="60"/>
      <c r="O638" s="60">
        <v>0</v>
      </c>
    </row>
    <row r="639" spans="1:15" ht="15.75" thickBot="1" x14ac:dyDescent="0.3">
      <c r="A639" s="53">
        <v>44833</v>
      </c>
      <c r="D639" s="55"/>
      <c r="E639" s="56"/>
      <c r="F639" s="57"/>
      <c r="G639" s="58"/>
      <c r="H639" s="58"/>
      <c r="I639" s="58" t="str">
        <f t="shared" si="74"/>
        <v/>
      </c>
      <c r="J639" s="58" t="str">
        <f t="shared" si="75"/>
        <v/>
      </c>
      <c r="K639" s="59" t="str">
        <f t="shared" si="76"/>
        <v/>
      </c>
      <c r="L639" s="58" t="str">
        <f t="shared" si="77"/>
        <v/>
      </c>
      <c r="M639" s="59" t="str">
        <f t="shared" si="78"/>
        <v/>
      </c>
      <c r="N639" s="60"/>
      <c r="O639" s="60">
        <v>0</v>
      </c>
    </row>
    <row r="640" spans="1:15" ht="15.75" thickBot="1" x14ac:dyDescent="0.3">
      <c r="A640" s="53">
        <v>44834</v>
      </c>
      <c r="D640" s="55"/>
      <c r="E640" s="56"/>
      <c r="F640" s="57"/>
      <c r="G640" s="58"/>
      <c r="H640" s="58"/>
      <c r="I640" s="58" t="str">
        <f t="shared" si="74"/>
        <v/>
      </c>
      <c r="J640" s="58" t="str">
        <f t="shared" si="75"/>
        <v/>
      </c>
      <c r="K640" s="59" t="str">
        <f t="shared" si="76"/>
        <v/>
      </c>
      <c r="L640" s="58" t="str">
        <f t="shared" si="77"/>
        <v/>
      </c>
      <c r="M640" s="59" t="str">
        <f t="shared" si="78"/>
        <v/>
      </c>
      <c r="N640" s="60"/>
      <c r="O640" s="60">
        <v>0</v>
      </c>
    </row>
    <row r="641" spans="1:15" ht="15.75" thickBot="1" x14ac:dyDescent="0.3">
      <c r="A641" s="53">
        <v>44835</v>
      </c>
      <c r="D641" s="55"/>
      <c r="E641" s="56"/>
      <c r="F641" s="57"/>
      <c r="G641" s="58"/>
      <c r="H641" s="58"/>
      <c r="I641" s="58" t="str">
        <f t="shared" si="74"/>
        <v/>
      </c>
      <c r="J641" s="58" t="str">
        <f t="shared" si="75"/>
        <v/>
      </c>
      <c r="K641" s="59" t="str">
        <f t="shared" si="76"/>
        <v/>
      </c>
      <c r="L641" s="58" t="str">
        <f t="shared" si="77"/>
        <v/>
      </c>
      <c r="M641" s="59" t="str">
        <f t="shared" si="78"/>
        <v/>
      </c>
      <c r="N641" s="60"/>
      <c r="O641" s="60">
        <v>0</v>
      </c>
    </row>
    <row r="642" spans="1:15" ht="15.75" thickBot="1" x14ac:dyDescent="0.3">
      <c r="A642" s="53">
        <v>44836</v>
      </c>
      <c r="D642" s="55"/>
      <c r="E642" s="56"/>
      <c r="F642" s="57"/>
      <c r="G642" s="58"/>
      <c r="H642" s="58"/>
      <c r="I642" s="58" t="str">
        <f t="shared" si="74"/>
        <v/>
      </c>
      <c r="J642" s="58" t="str">
        <f t="shared" si="75"/>
        <v/>
      </c>
      <c r="K642" s="59" t="str">
        <f t="shared" si="76"/>
        <v/>
      </c>
      <c r="L642" s="58" t="str">
        <f t="shared" si="77"/>
        <v/>
      </c>
      <c r="M642" s="59" t="str">
        <f t="shared" si="78"/>
        <v/>
      </c>
      <c r="N642" s="60"/>
      <c r="O642" s="60">
        <v>0</v>
      </c>
    </row>
    <row r="643" spans="1:15" ht="15.75" thickBot="1" x14ac:dyDescent="0.3">
      <c r="A643" s="53">
        <v>44837</v>
      </c>
      <c r="D643" s="55"/>
      <c r="E643" s="56"/>
      <c r="F643" s="57"/>
      <c r="G643" s="58"/>
      <c r="H643" s="58"/>
      <c r="I643" s="58" t="str">
        <f t="shared" si="74"/>
        <v/>
      </c>
      <c r="J643" s="58" t="str">
        <f t="shared" si="75"/>
        <v/>
      </c>
      <c r="K643" s="59" t="str">
        <f t="shared" si="76"/>
        <v/>
      </c>
      <c r="L643" s="58" t="str">
        <f t="shared" si="77"/>
        <v/>
      </c>
      <c r="M643" s="59" t="str">
        <f t="shared" si="78"/>
        <v/>
      </c>
      <c r="N643" s="60"/>
      <c r="O643" s="60">
        <v>0</v>
      </c>
    </row>
    <row r="644" spans="1:15" ht="15.75" thickBot="1" x14ac:dyDescent="0.3">
      <c r="A644" s="53">
        <v>44838</v>
      </c>
      <c r="D644" s="55"/>
      <c r="E644" s="56"/>
      <c r="F644" s="57"/>
      <c r="G644" s="58"/>
      <c r="H644" s="58"/>
      <c r="I644" s="58" t="str">
        <f t="shared" si="74"/>
        <v/>
      </c>
      <c r="J644" s="58" t="str">
        <f t="shared" si="75"/>
        <v/>
      </c>
      <c r="K644" s="59" t="str">
        <f t="shared" si="76"/>
        <v/>
      </c>
      <c r="L644" s="58" t="str">
        <f t="shared" si="77"/>
        <v/>
      </c>
      <c r="M644" s="59" t="str">
        <f t="shared" si="78"/>
        <v/>
      </c>
      <c r="N644" s="60"/>
      <c r="O644" s="60">
        <v>0</v>
      </c>
    </row>
    <row r="645" spans="1:15" ht="15.75" thickBot="1" x14ac:dyDescent="0.3">
      <c r="A645" s="53">
        <v>44839</v>
      </c>
      <c r="D645" s="55"/>
      <c r="E645" s="56"/>
      <c r="F645" s="57"/>
      <c r="G645" s="58"/>
      <c r="H645" s="58"/>
      <c r="I645" s="58" t="str">
        <f t="shared" si="74"/>
        <v/>
      </c>
      <c r="J645" s="58" t="str">
        <f t="shared" si="75"/>
        <v/>
      </c>
      <c r="K645" s="59" t="str">
        <f t="shared" si="76"/>
        <v/>
      </c>
      <c r="L645" s="58" t="str">
        <f t="shared" si="77"/>
        <v/>
      </c>
      <c r="M645" s="59" t="str">
        <f t="shared" si="78"/>
        <v/>
      </c>
      <c r="N645" s="60"/>
      <c r="O645" s="60">
        <v>0</v>
      </c>
    </row>
    <row r="646" spans="1:15" ht="15.75" thickBot="1" x14ac:dyDescent="0.3">
      <c r="A646" s="53">
        <v>44840</v>
      </c>
      <c r="D646" s="55"/>
      <c r="E646" s="56"/>
      <c r="F646" s="57"/>
      <c r="G646" s="58"/>
      <c r="H646" s="58"/>
      <c r="I646" s="58" t="str">
        <f t="shared" si="74"/>
        <v/>
      </c>
      <c r="J646" s="58" t="str">
        <f t="shared" si="75"/>
        <v/>
      </c>
      <c r="K646" s="59" t="str">
        <f t="shared" si="76"/>
        <v/>
      </c>
      <c r="L646" s="58" t="str">
        <f t="shared" si="77"/>
        <v/>
      </c>
      <c r="M646" s="59" t="str">
        <f t="shared" si="78"/>
        <v/>
      </c>
      <c r="N646" s="60"/>
      <c r="O646" s="60">
        <v>0</v>
      </c>
    </row>
    <row r="647" spans="1:15" ht="15.75" thickBot="1" x14ac:dyDescent="0.3">
      <c r="A647" s="53">
        <v>44841</v>
      </c>
      <c r="D647" s="55"/>
      <c r="E647" s="56"/>
      <c r="F647" s="57"/>
      <c r="G647" s="58"/>
      <c r="H647" s="58"/>
      <c r="I647" s="58" t="str">
        <f t="shared" si="74"/>
        <v/>
      </c>
      <c r="J647" s="58" t="str">
        <f t="shared" si="75"/>
        <v/>
      </c>
      <c r="K647" s="59" t="str">
        <f t="shared" si="76"/>
        <v/>
      </c>
      <c r="L647" s="58" t="str">
        <f t="shared" si="77"/>
        <v/>
      </c>
      <c r="M647" s="59" t="str">
        <f t="shared" si="78"/>
        <v/>
      </c>
      <c r="N647" s="60"/>
      <c r="O647" s="60">
        <v>0</v>
      </c>
    </row>
    <row r="648" spans="1:15" ht="15.75" thickBot="1" x14ac:dyDescent="0.3">
      <c r="A648" s="53">
        <v>44842</v>
      </c>
      <c r="D648" s="55"/>
      <c r="E648" s="56"/>
      <c r="F648" s="57"/>
      <c r="G648" s="58"/>
      <c r="H648" s="58"/>
      <c r="I648" s="58" t="str">
        <f t="shared" si="74"/>
        <v/>
      </c>
      <c r="J648" s="58" t="str">
        <f t="shared" si="75"/>
        <v/>
      </c>
      <c r="K648" s="59" t="str">
        <f t="shared" si="76"/>
        <v/>
      </c>
      <c r="L648" s="58" t="str">
        <f t="shared" si="77"/>
        <v/>
      </c>
      <c r="M648" s="59" t="str">
        <f t="shared" si="78"/>
        <v/>
      </c>
      <c r="N648" s="60"/>
      <c r="O648" s="60">
        <v>0</v>
      </c>
    </row>
    <row r="649" spans="1:15" ht="15.75" thickBot="1" x14ac:dyDescent="0.3">
      <c r="A649" s="53">
        <v>44843</v>
      </c>
      <c r="D649" s="55"/>
      <c r="E649" s="56"/>
      <c r="F649" s="57"/>
      <c r="G649" s="58"/>
      <c r="H649" s="58"/>
      <c r="I649" s="58" t="str">
        <f t="shared" si="74"/>
        <v/>
      </c>
      <c r="J649" s="58" t="str">
        <f t="shared" si="75"/>
        <v/>
      </c>
      <c r="K649" s="59" t="str">
        <f t="shared" si="76"/>
        <v/>
      </c>
      <c r="L649" s="58" t="str">
        <f t="shared" si="77"/>
        <v/>
      </c>
      <c r="M649" s="59" t="str">
        <f t="shared" si="78"/>
        <v/>
      </c>
      <c r="N649" s="60"/>
      <c r="O649" s="60">
        <v>0</v>
      </c>
    </row>
    <row r="650" spans="1:15" ht="15.75" thickBot="1" x14ac:dyDescent="0.3">
      <c r="A650" s="53">
        <v>44844</v>
      </c>
      <c r="D650" s="55"/>
      <c r="E650" s="56"/>
      <c r="F650" s="57"/>
      <c r="G650" s="58"/>
      <c r="H650" s="58"/>
      <c r="I650" s="58" t="str">
        <f t="shared" si="74"/>
        <v/>
      </c>
      <c r="J650" s="58" t="str">
        <f t="shared" si="75"/>
        <v/>
      </c>
      <c r="K650" s="59" t="str">
        <f t="shared" si="76"/>
        <v/>
      </c>
      <c r="L650" s="58" t="str">
        <f t="shared" si="77"/>
        <v/>
      </c>
      <c r="M650" s="59" t="str">
        <f t="shared" si="78"/>
        <v/>
      </c>
      <c r="N650" s="60"/>
      <c r="O650" s="60">
        <v>0</v>
      </c>
    </row>
    <row r="651" spans="1:15" ht="15.75" thickBot="1" x14ac:dyDescent="0.3">
      <c r="A651" s="53">
        <v>44845</v>
      </c>
      <c r="D651" s="55"/>
      <c r="E651" s="56"/>
      <c r="F651" s="57"/>
      <c r="G651" s="58"/>
      <c r="H651" s="58"/>
      <c r="I651" s="58" t="str">
        <f t="shared" si="74"/>
        <v/>
      </c>
      <c r="J651" s="58" t="str">
        <f t="shared" si="75"/>
        <v/>
      </c>
      <c r="K651" s="59" t="str">
        <f t="shared" si="76"/>
        <v/>
      </c>
      <c r="L651" s="58" t="str">
        <f t="shared" si="77"/>
        <v/>
      </c>
      <c r="M651" s="59" t="str">
        <f t="shared" si="78"/>
        <v/>
      </c>
      <c r="N651" s="60"/>
      <c r="O651" s="60">
        <v>0</v>
      </c>
    </row>
    <row r="652" spans="1:15" ht="15.75" thickBot="1" x14ac:dyDescent="0.3">
      <c r="A652" s="53">
        <v>44846</v>
      </c>
      <c r="D652" s="55"/>
      <c r="E652" s="56"/>
      <c r="F652" s="57"/>
      <c r="G652" s="58"/>
      <c r="H652" s="58"/>
      <c r="I652" s="58" t="str">
        <f t="shared" si="74"/>
        <v/>
      </c>
      <c r="J652" s="58" t="str">
        <f t="shared" si="75"/>
        <v/>
      </c>
      <c r="K652" s="59" t="str">
        <f t="shared" si="76"/>
        <v/>
      </c>
      <c r="L652" s="58" t="str">
        <f t="shared" si="77"/>
        <v/>
      </c>
      <c r="M652" s="59" t="str">
        <f t="shared" si="78"/>
        <v/>
      </c>
      <c r="N652" s="60"/>
      <c r="O652" s="60">
        <v>0</v>
      </c>
    </row>
    <row r="653" spans="1:15" ht="15.75" thickBot="1" x14ac:dyDescent="0.3">
      <c r="A653" s="53">
        <v>44847</v>
      </c>
      <c r="D653" s="55"/>
      <c r="E653" s="56"/>
      <c r="F653" s="57"/>
      <c r="G653" s="58"/>
      <c r="H653" s="58"/>
      <c r="I653" s="58" t="str">
        <f t="shared" si="74"/>
        <v/>
      </c>
      <c r="J653" s="58" t="str">
        <f t="shared" si="75"/>
        <v/>
      </c>
      <c r="K653" s="59" t="str">
        <f t="shared" si="76"/>
        <v/>
      </c>
      <c r="L653" s="58" t="str">
        <f t="shared" si="77"/>
        <v/>
      </c>
      <c r="M653" s="59" t="str">
        <f t="shared" si="78"/>
        <v/>
      </c>
      <c r="N653" s="60"/>
      <c r="O653" s="60">
        <v>0</v>
      </c>
    </row>
    <row r="654" spans="1:15" ht="15.75" thickBot="1" x14ac:dyDescent="0.3">
      <c r="A654" s="53">
        <v>44848</v>
      </c>
      <c r="D654" s="55"/>
      <c r="E654" s="56"/>
      <c r="F654" s="57"/>
      <c r="G654" s="58"/>
      <c r="H654" s="58"/>
      <c r="I654" s="58" t="str">
        <f t="shared" si="74"/>
        <v/>
      </c>
      <c r="J654" s="58" t="str">
        <f t="shared" si="75"/>
        <v/>
      </c>
      <c r="K654" s="59" t="str">
        <f t="shared" si="76"/>
        <v/>
      </c>
      <c r="L654" s="58" t="str">
        <f t="shared" si="77"/>
        <v/>
      </c>
      <c r="M654" s="59" t="str">
        <f t="shared" si="78"/>
        <v/>
      </c>
      <c r="N654" s="60"/>
      <c r="O654" s="60">
        <v>0</v>
      </c>
    </row>
    <row r="655" spans="1:15" ht="15.75" thickBot="1" x14ac:dyDescent="0.3">
      <c r="A655" s="53">
        <v>44849</v>
      </c>
      <c r="D655" s="55"/>
      <c r="E655" s="56"/>
      <c r="F655" s="57"/>
      <c r="G655" s="58"/>
      <c r="H655" s="58"/>
      <c r="I655" s="58" t="str">
        <f t="shared" si="74"/>
        <v/>
      </c>
      <c r="J655" s="58" t="str">
        <f t="shared" si="75"/>
        <v/>
      </c>
      <c r="K655" s="59" t="str">
        <f t="shared" si="76"/>
        <v/>
      </c>
      <c r="L655" s="58" t="str">
        <f t="shared" si="77"/>
        <v/>
      </c>
      <c r="M655" s="59" t="str">
        <f t="shared" si="78"/>
        <v/>
      </c>
      <c r="N655" s="60"/>
      <c r="O655" s="60">
        <v>0</v>
      </c>
    </row>
    <row r="656" spans="1:15" ht="15.75" thickBot="1" x14ac:dyDescent="0.3">
      <c r="A656" s="53">
        <v>44850</v>
      </c>
      <c r="D656" s="55"/>
      <c r="E656" s="56"/>
      <c r="F656" s="57"/>
      <c r="G656" s="58"/>
      <c r="H656" s="58"/>
      <c r="I656" s="58" t="str">
        <f t="shared" si="74"/>
        <v/>
      </c>
      <c r="J656" s="58" t="str">
        <f t="shared" si="75"/>
        <v/>
      </c>
      <c r="K656" s="59" t="str">
        <f t="shared" si="76"/>
        <v/>
      </c>
      <c r="L656" s="58" t="str">
        <f t="shared" si="77"/>
        <v/>
      </c>
      <c r="M656" s="59" t="str">
        <f t="shared" si="78"/>
        <v/>
      </c>
      <c r="N656" s="60"/>
      <c r="O656" s="60">
        <v>0</v>
      </c>
    </row>
    <row r="657" spans="1:15" ht="15.75" thickBot="1" x14ac:dyDescent="0.3">
      <c r="A657" s="53">
        <v>44851</v>
      </c>
      <c r="D657" s="55"/>
      <c r="E657" s="56"/>
      <c r="F657" s="57"/>
      <c r="G657" s="58"/>
      <c r="H657" s="58"/>
      <c r="I657" s="58" t="str">
        <f t="shared" si="74"/>
        <v/>
      </c>
      <c r="J657" s="58" t="str">
        <f t="shared" si="75"/>
        <v/>
      </c>
      <c r="K657" s="59" t="str">
        <f t="shared" si="76"/>
        <v/>
      </c>
      <c r="L657" s="58" t="str">
        <f t="shared" si="77"/>
        <v/>
      </c>
      <c r="M657" s="59" t="str">
        <f t="shared" si="78"/>
        <v/>
      </c>
      <c r="N657" s="60"/>
      <c r="O657" s="60">
        <v>0</v>
      </c>
    </row>
    <row r="658" spans="1:15" ht="15.75" thickBot="1" x14ac:dyDescent="0.3">
      <c r="A658" s="53">
        <v>44852</v>
      </c>
      <c r="D658" s="55"/>
      <c r="E658" s="56"/>
      <c r="F658" s="57"/>
      <c r="G658" s="58"/>
      <c r="H658" s="58"/>
      <c r="I658" s="58" t="str">
        <f t="shared" si="74"/>
        <v/>
      </c>
      <c r="J658" s="58" t="str">
        <f t="shared" si="75"/>
        <v/>
      </c>
      <c r="K658" s="59" t="str">
        <f t="shared" si="76"/>
        <v/>
      </c>
      <c r="L658" s="58" t="str">
        <f t="shared" si="77"/>
        <v/>
      </c>
      <c r="M658" s="59" t="str">
        <f t="shared" si="78"/>
        <v/>
      </c>
      <c r="N658" s="60"/>
      <c r="O658" s="60">
        <v>0</v>
      </c>
    </row>
    <row r="659" spans="1:15" ht="15.75" thickBot="1" x14ac:dyDescent="0.3">
      <c r="A659" s="53">
        <v>44853</v>
      </c>
      <c r="D659" s="55"/>
      <c r="E659" s="56"/>
      <c r="F659" s="57"/>
      <c r="G659" s="58"/>
      <c r="H659" s="58"/>
      <c r="I659" s="58" t="str">
        <f t="shared" si="74"/>
        <v/>
      </c>
      <c r="J659" s="58" t="str">
        <f t="shared" si="75"/>
        <v/>
      </c>
      <c r="K659" s="59" t="str">
        <f t="shared" si="76"/>
        <v/>
      </c>
      <c r="L659" s="58" t="str">
        <f t="shared" si="77"/>
        <v/>
      </c>
      <c r="M659" s="59" t="str">
        <f t="shared" si="78"/>
        <v/>
      </c>
      <c r="N659" s="60"/>
      <c r="O659" s="60">
        <v>0</v>
      </c>
    </row>
    <row r="660" spans="1:15" ht="15.75" thickBot="1" x14ac:dyDescent="0.3">
      <c r="A660" s="53">
        <v>44854</v>
      </c>
      <c r="D660" s="55"/>
      <c r="E660" s="56"/>
      <c r="F660" s="57"/>
      <c r="G660" s="58"/>
      <c r="H660" s="58"/>
      <c r="I660" s="58" t="str">
        <f t="shared" si="74"/>
        <v/>
      </c>
      <c r="J660" s="58" t="str">
        <f t="shared" si="75"/>
        <v/>
      </c>
      <c r="K660" s="59" t="str">
        <f t="shared" si="76"/>
        <v/>
      </c>
      <c r="L660" s="58" t="str">
        <f t="shared" si="77"/>
        <v/>
      </c>
      <c r="M660" s="59" t="str">
        <f t="shared" si="78"/>
        <v/>
      </c>
      <c r="N660" s="60"/>
      <c r="O660" s="60">
        <v>0</v>
      </c>
    </row>
    <row r="661" spans="1:15" ht="15.75" thickBot="1" x14ac:dyDescent="0.3">
      <c r="A661" s="53">
        <v>44855</v>
      </c>
      <c r="D661" s="55"/>
      <c r="E661" s="56"/>
      <c r="F661" s="57"/>
      <c r="G661" s="58"/>
      <c r="H661" s="58"/>
      <c r="I661" s="58" t="str">
        <f t="shared" si="74"/>
        <v/>
      </c>
      <c r="J661" s="58" t="str">
        <f t="shared" si="75"/>
        <v/>
      </c>
      <c r="K661" s="59" t="str">
        <f t="shared" si="76"/>
        <v/>
      </c>
      <c r="L661" s="58" t="str">
        <f t="shared" si="77"/>
        <v/>
      </c>
      <c r="M661" s="59" t="str">
        <f t="shared" si="78"/>
        <v/>
      </c>
      <c r="N661" s="60"/>
      <c r="O661" s="60">
        <v>0</v>
      </c>
    </row>
    <row r="662" spans="1:15" ht="15.75" thickBot="1" x14ac:dyDescent="0.3">
      <c r="A662" s="53">
        <v>44856</v>
      </c>
      <c r="D662" s="55"/>
      <c r="E662" s="56"/>
      <c r="F662" s="57"/>
      <c r="G662" s="58"/>
      <c r="H662" s="58"/>
      <c r="I662" s="58" t="str">
        <f t="shared" si="74"/>
        <v/>
      </c>
      <c r="J662" s="58" t="str">
        <f t="shared" si="75"/>
        <v/>
      </c>
      <c r="K662" s="59" t="str">
        <f t="shared" si="76"/>
        <v/>
      </c>
      <c r="L662" s="58" t="str">
        <f t="shared" si="77"/>
        <v/>
      </c>
      <c r="M662" s="59" t="str">
        <f t="shared" si="78"/>
        <v/>
      </c>
      <c r="N662" s="60"/>
      <c r="O662" s="60">
        <v>0</v>
      </c>
    </row>
    <row r="663" spans="1:15" ht="15.75" thickBot="1" x14ac:dyDescent="0.3">
      <c r="A663" s="53">
        <v>44857</v>
      </c>
      <c r="D663" s="55"/>
      <c r="E663" s="56"/>
      <c r="F663" s="57"/>
      <c r="G663" s="58"/>
      <c r="H663" s="58"/>
      <c r="I663" s="58" t="str">
        <f t="shared" si="74"/>
        <v/>
      </c>
      <c r="J663" s="58" t="str">
        <f t="shared" si="75"/>
        <v/>
      </c>
      <c r="K663" s="59" t="str">
        <f t="shared" si="76"/>
        <v/>
      </c>
      <c r="L663" s="58" t="str">
        <f t="shared" si="77"/>
        <v/>
      </c>
      <c r="M663" s="59" t="str">
        <f t="shared" si="78"/>
        <v/>
      </c>
      <c r="N663" s="60"/>
      <c r="O663" s="60">
        <v>0</v>
      </c>
    </row>
    <row r="664" spans="1:15" ht="15.75" thickBot="1" x14ac:dyDescent="0.3">
      <c r="A664" s="53">
        <v>44858</v>
      </c>
      <c r="D664" s="55"/>
      <c r="E664" s="56"/>
      <c r="F664" s="57"/>
      <c r="G664" s="58"/>
      <c r="H664" s="58"/>
      <c r="I664" s="58" t="str">
        <f t="shared" si="74"/>
        <v/>
      </c>
      <c r="J664" s="58" t="str">
        <f t="shared" si="75"/>
        <v/>
      </c>
      <c r="K664" s="59" t="str">
        <f t="shared" si="76"/>
        <v/>
      </c>
      <c r="L664" s="58" t="str">
        <f t="shared" si="77"/>
        <v/>
      </c>
      <c r="M664" s="59" t="str">
        <f t="shared" si="78"/>
        <v/>
      </c>
      <c r="N664" s="60"/>
      <c r="O664" s="60">
        <v>0</v>
      </c>
    </row>
    <row r="665" spans="1:15" ht="15.75" thickBot="1" x14ac:dyDescent="0.3">
      <c r="A665" s="53">
        <v>44859</v>
      </c>
      <c r="D665" s="55"/>
      <c r="E665" s="56"/>
      <c r="F665" s="57"/>
      <c r="G665" s="58"/>
      <c r="H665" s="58"/>
      <c r="I665" s="58" t="str">
        <f t="shared" si="74"/>
        <v/>
      </c>
      <c r="J665" s="58" t="str">
        <f t="shared" si="75"/>
        <v/>
      </c>
      <c r="K665" s="59" t="str">
        <f t="shared" si="76"/>
        <v/>
      </c>
      <c r="L665" s="58" t="str">
        <f t="shared" si="77"/>
        <v/>
      </c>
      <c r="M665" s="59" t="str">
        <f t="shared" si="78"/>
        <v/>
      </c>
      <c r="N665" s="60"/>
      <c r="O665" s="60">
        <v>0</v>
      </c>
    </row>
    <row r="666" spans="1:15" ht="15.75" thickBot="1" x14ac:dyDescent="0.3">
      <c r="A666" s="53">
        <v>44860</v>
      </c>
      <c r="D666" s="55"/>
      <c r="E666" s="56"/>
      <c r="F666" s="57"/>
      <c r="G666" s="58"/>
      <c r="H666" s="58"/>
      <c r="I666" s="58" t="str">
        <f t="shared" si="74"/>
        <v/>
      </c>
      <c r="J666" s="58" t="str">
        <f t="shared" si="75"/>
        <v/>
      </c>
      <c r="K666" s="59" t="str">
        <f t="shared" si="76"/>
        <v/>
      </c>
      <c r="L666" s="58" t="str">
        <f t="shared" si="77"/>
        <v/>
      </c>
      <c r="M666" s="59" t="str">
        <f t="shared" si="78"/>
        <v/>
      </c>
      <c r="N666" s="60"/>
      <c r="O666" s="60">
        <v>0</v>
      </c>
    </row>
    <row r="667" spans="1:15" ht="15.75" thickBot="1" x14ac:dyDescent="0.3">
      <c r="A667" s="53">
        <v>44861</v>
      </c>
      <c r="D667" s="55"/>
      <c r="E667" s="56"/>
      <c r="F667" s="57"/>
      <c r="G667" s="58"/>
      <c r="H667" s="58"/>
      <c r="I667" s="58" t="str">
        <f t="shared" si="74"/>
        <v/>
      </c>
      <c r="J667" s="58" t="str">
        <f t="shared" si="75"/>
        <v/>
      </c>
      <c r="K667" s="59" t="str">
        <f t="shared" si="76"/>
        <v/>
      </c>
      <c r="L667" s="58" t="str">
        <f t="shared" si="77"/>
        <v/>
      </c>
      <c r="M667" s="59" t="str">
        <f t="shared" si="78"/>
        <v/>
      </c>
      <c r="N667" s="60"/>
      <c r="O667" s="60">
        <v>0</v>
      </c>
    </row>
    <row r="668" spans="1:15" ht="15.75" thickBot="1" x14ac:dyDescent="0.3">
      <c r="A668" s="53">
        <v>44862</v>
      </c>
      <c r="D668" s="55"/>
      <c r="E668" s="56"/>
      <c r="F668" s="57"/>
      <c r="G668" s="58"/>
      <c r="H668" s="58"/>
      <c r="I668" s="58" t="str">
        <f t="shared" si="74"/>
        <v/>
      </c>
      <c r="J668" s="58" t="str">
        <f t="shared" si="75"/>
        <v/>
      </c>
      <c r="K668" s="59" t="str">
        <f t="shared" si="76"/>
        <v/>
      </c>
      <c r="L668" s="58" t="str">
        <f t="shared" si="77"/>
        <v/>
      </c>
      <c r="M668" s="59" t="str">
        <f t="shared" si="78"/>
        <v/>
      </c>
      <c r="N668" s="60"/>
      <c r="O668" s="60">
        <v>0</v>
      </c>
    </row>
    <row r="669" spans="1:15" ht="15.75" thickBot="1" x14ac:dyDescent="0.3">
      <c r="A669" s="53">
        <v>44863</v>
      </c>
      <c r="D669" s="55"/>
      <c r="E669" s="56"/>
      <c r="F669" s="57"/>
      <c r="G669" s="58"/>
      <c r="H669" s="58"/>
      <c r="I669" s="58" t="str">
        <f t="shared" si="74"/>
        <v/>
      </c>
      <c r="J669" s="58" t="str">
        <f t="shared" si="75"/>
        <v/>
      </c>
      <c r="K669" s="59" t="str">
        <f t="shared" si="76"/>
        <v/>
      </c>
      <c r="L669" s="58" t="str">
        <f t="shared" si="77"/>
        <v/>
      </c>
      <c r="M669" s="59" t="str">
        <f t="shared" si="78"/>
        <v/>
      </c>
      <c r="N669" s="60"/>
      <c r="O669" s="60">
        <v>0</v>
      </c>
    </row>
    <row r="670" spans="1:15" ht="15.75" thickBot="1" x14ac:dyDescent="0.3">
      <c r="A670" s="53">
        <v>44864</v>
      </c>
      <c r="D670" s="55"/>
      <c r="E670" s="56"/>
      <c r="F670" s="57"/>
      <c r="G670" s="58"/>
      <c r="H670" s="58"/>
      <c r="I670" s="58" t="str">
        <f t="shared" si="74"/>
        <v/>
      </c>
      <c r="J670" s="58" t="str">
        <f t="shared" si="75"/>
        <v/>
      </c>
      <c r="K670" s="59" t="str">
        <f t="shared" si="76"/>
        <v/>
      </c>
      <c r="L670" s="58" t="str">
        <f t="shared" si="77"/>
        <v/>
      </c>
      <c r="M670" s="59" t="str">
        <f t="shared" si="78"/>
        <v/>
      </c>
      <c r="N670" s="60"/>
      <c r="O670" s="60">
        <v>0</v>
      </c>
    </row>
    <row r="671" spans="1:15" ht="15.75" thickBot="1" x14ac:dyDescent="0.3">
      <c r="A671" s="53">
        <v>44865</v>
      </c>
      <c r="D671" s="55"/>
      <c r="E671" s="56"/>
      <c r="F671" s="57"/>
      <c r="G671" s="58"/>
      <c r="H671" s="58"/>
      <c r="I671" s="58" t="str">
        <f t="shared" si="74"/>
        <v/>
      </c>
      <c r="J671" s="58" t="str">
        <f t="shared" si="75"/>
        <v/>
      </c>
      <c r="K671" s="59" t="str">
        <f t="shared" si="76"/>
        <v/>
      </c>
      <c r="L671" s="58" t="str">
        <f t="shared" si="77"/>
        <v/>
      </c>
      <c r="M671" s="59" t="str">
        <f t="shared" si="78"/>
        <v/>
      </c>
      <c r="N671" s="60"/>
      <c r="O671" s="60">
        <v>0</v>
      </c>
    </row>
    <row r="672" spans="1:15" ht="15.75" thickBot="1" x14ac:dyDescent="0.3">
      <c r="A672" s="53">
        <v>44866</v>
      </c>
      <c r="D672" s="55"/>
      <c r="E672" s="56"/>
      <c r="F672" s="57"/>
      <c r="G672" s="58"/>
      <c r="H672" s="58"/>
      <c r="I672" s="58" t="str">
        <f t="shared" si="74"/>
        <v/>
      </c>
      <c r="J672" s="58" t="str">
        <f t="shared" si="75"/>
        <v/>
      </c>
      <c r="K672" s="59" t="str">
        <f t="shared" si="76"/>
        <v/>
      </c>
      <c r="L672" s="58" t="str">
        <f t="shared" si="77"/>
        <v/>
      </c>
      <c r="M672" s="59" t="str">
        <f t="shared" si="78"/>
        <v/>
      </c>
      <c r="N672" s="60"/>
      <c r="O672" s="60">
        <v>0</v>
      </c>
    </row>
    <row r="673" spans="1:15" ht="15.75" thickBot="1" x14ac:dyDescent="0.3">
      <c r="A673" s="53">
        <v>44867</v>
      </c>
      <c r="D673" s="55"/>
      <c r="E673" s="56"/>
      <c r="F673" s="57"/>
      <c r="G673" s="58"/>
      <c r="H673" s="58"/>
      <c r="I673" s="58" t="str">
        <f t="shared" si="74"/>
        <v/>
      </c>
      <c r="J673" s="58" t="str">
        <f t="shared" si="75"/>
        <v/>
      </c>
      <c r="K673" s="59" t="str">
        <f t="shared" si="76"/>
        <v/>
      </c>
      <c r="L673" s="58" t="str">
        <f t="shared" si="77"/>
        <v/>
      </c>
      <c r="M673" s="59" t="str">
        <f t="shared" si="78"/>
        <v/>
      </c>
      <c r="N673" s="60"/>
      <c r="O673" s="60">
        <v>0</v>
      </c>
    </row>
    <row r="674" spans="1:15" ht="15.75" thickBot="1" x14ac:dyDescent="0.3">
      <c r="A674" s="53">
        <v>44868</v>
      </c>
      <c r="D674" s="55"/>
      <c r="E674" s="56"/>
      <c r="F674" s="57"/>
      <c r="G674" s="58"/>
      <c r="H674" s="58"/>
      <c r="I674" s="58" t="str">
        <f t="shared" si="74"/>
        <v/>
      </c>
      <c r="J674" s="58" t="str">
        <f t="shared" si="75"/>
        <v/>
      </c>
      <c r="K674" s="59" t="str">
        <f t="shared" si="76"/>
        <v/>
      </c>
      <c r="L674" s="58" t="str">
        <f t="shared" si="77"/>
        <v/>
      </c>
      <c r="M674" s="59" t="str">
        <f t="shared" si="78"/>
        <v/>
      </c>
      <c r="N674" s="60"/>
      <c r="O674" s="60">
        <v>0</v>
      </c>
    </row>
    <row r="675" spans="1:15" ht="15.75" thickBot="1" x14ac:dyDescent="0.3">
      <c r="A675" s="53">
        <v>44869</v>
      </c>
      <c r="D675" s="55"/>
      <c r="E675" s="56"/>
      <c r="F675" s="57"/>
      <c r="G675" s="58"/>
      <c r="H675" s="58"/>
      <c r="I675" s="58" t="str">
        <f t="shared" si="74"/>
        <v/>
      </c>
      <c r="J675" s="58" t="str">
        <f t="shared" si="75"/>
        <v/>
      </c>
      <c r="K675" s="59" t="str">
        <f t="shared" si="76"/>
        <v/>
      </c>
      <c r="L675" s="58" t="str">
        <f t="shared" si="77"/>
        <v/>
      </c>
      <c r="M675" s="59" t="str">
        <f t="shared" si="78"/>
        <v/>
      </c>
      <c r="N675" s="60"/>
      <c r="O675" s="60">
        <v>0</v>
      </c>
    </row>
    <row r="676" spans="1:15" ht="15.75" thickBot="1" x14ac:dyDescent="0.3">
      <c r="A676" s="53">
        <v>44870</v>
      </c>
      <c r="D676" s="55"/>
      <c r="E676" s="56"/>
      <c r="F676" s="57"/>
      <c r="G676" s="58"/>
      <c r="H676" s="58"/>
      <c r="I676" s="58" t="str">
        <f t="shared" si="74"/>
        <v/>
      </c>
      <c r="J676" s="58" t="str">
        <f t="shared" si="75"/>
        <v/>
      </c>
      <c r="K676" s="59" t="str">
        <f t="shared" si="76"/>
        <v/>
      </c>
      <c r="L676" s="58" t="str">
        <f t="shared" si="77"/>
        <v/>
      </c>
      <c r="M676" s="59" t="str">
        <f t="shared" si="78"/>
        <v/>
      </c>
      <c r="N676" s="60"/>
      <c r="O676" s="60">
        <v>0</v>
      </c>
    </row>
    <row r="677" spans="1:15" ht="15.75" thickBot="1" x14ac:dyDescent="0.3">
      <c r="A677" s="53">
        <v>44871</v>
      </c>
      <c r="D677" s="55"/>
      <c r="E677" s="56"/>
      <c r="F677" s="57"/>
      <c r="G677" s="58"/>
      <c r="H677" s="58"/>
      <c r="I677" s="58" t="str">
        <f t="shared" si="74"/>
        <v/>
      </c>
      <c r="J677" s="58" t="str">
        <f t="shared" si="75"/>
        <v/>
      </c>
      <c r="K677" s="59" t="str">
        <f t="shared" si="76"/>
        <v/>
      </c>
      <c r="L677" s="58" t="str">
        <f t="shared" si="77"/>
        <v/>
      </c>
      <c r="M677" s="59" t="str">
        <f t="shared" si="78"/>
        <v/>
      </c>
      <c r="N677" s="60"/>
      <c r="O677" s="60">
        <v>0</v>
      </c>
    </row>
    <row r="678" spans="1:15" ht="15.75" thickBot="1" x14ac:dyDescent="0.3">
      <c r="A678" s="53">
        <v>44872</v>
      </c>
      <c r="D678" s="55"/>
      <c r="E678" s="56"/>
      <c r="F678" s="57"/>
      <c r="G678" s="58"/>
      <c r="H678" s="58"/>
      <c r="I678" s="58" t="str">
        <f t="shared" si="74"/>
        <v/>
      </c>
      <c r="J678" s="58" t="str">
        <f t="shared" si="75"/>
        <v/>
      </c>
      <c r="K678" s="59" t="str">
        <f t="shared" si="76"/>
        <v/>
      </c>
      <c r="L678" s="58" t="str">
        <f t="shared" si="77"/>
        <v/>
      </c>
      <c r="M678" s="59" t="str">
        <f t="shared" si="78"/>
        <v/>
      </c>
      <c r="N678" s="60"/>
      <c r="O678" s="60">
        <v>0</v>
      </c>
    </row>
    <row r="679" spans="1:15" ht="15.75" thickBot="1" x14ac:dyDescent="0.3">
      <c r="A679" s="53">
        <v>44873</v>
      </c>
      <c r="D679" s="55"/>
      <c r="E679" s="56"/>
      <c r="F679" s="57"/>
      <c r="G679" s="58"/>
      <c r="H679" s="58"/>
      <c r="I679" s="58" t="str">
        <f t="shared" si="74"/>
        <v/>
      </c>
      <c r="J679" s="58" t="str">
        <f t="shared" si="75"/>
        <v/>
      </c>
      <c r="K679" s="59" t="str">
        <f t="shared" si="76"/>
        <v/>
      </c>
      <c r="L679" s="58" t="str">
        <f t="shared" si="77"/>
        <v/>
      </c>
      <c r="M679" s="59" t="str">
        <f t="shared" si="78"/>
        <v/>
      </c>
      <c r="N679" s="60"/>
      <c r="O679" s="60">
        <v>0</v>
      </c>
    </row>
    <row r="680" spans="1:15" ht="15.75" thickBot="1" x14ac:dyDescent="0.3">
      <c r="A680" s="53">
        <v>44874</v>
      </c>
      <c r="D680" s="55"/>
      <c r="E680" s="56"/>
      <c r="F680" s="57"/>
      <c r="G680" s="58"/>
      <c r="H680" s="58"/>
      <c r="I680" s="58" t="str">
        <f t="shared" si="74"/>
        <v/>
      </c>
      <c r="J680" s="58" t="str">
        <f t="shared" si="75"/>
        <v/>
      </c>
      <c r="K680" s="59" t="str">
        <f t="shared" si="76"/>
        <v/>
      </c>
      <c r="L680" s="58" t="str">
        <f t="shared" si="77"/>
        <v/>
      </c>
      <c r="M680" s="59" t="str">
        <f t="shared" si="78"/>
        <v/>
      </c>
      <c r="N680" s="60"/>
      <c r="O680" s="60">
        <v>0</v>
      </c>
    </row>
    <row r="681" spans="1:15" ht="15.75" thickBot="1" x14ac:dyDescent="0.3">
      <c r="A681" s="53">
        <v>44875</v>
      </c>
      <c r="D681" s="55"/>
      <c r="E681" s="56"/>
      <c r="F681" s="57"/>
      <c r="G681" s="58"/>
      <c r="H681" s="58"/>
      <c r="I681" s="58" t="str">
        <f t="shared" si="74"/>
        <v/>
      </c>
      <c r="J681" s="58" t="str">
        <f t="shared" si="75"/>
        <v/>
      </c>
      <c r="K681" s="59" t="str">
        <f t="shared" si="76"/>
        <v/>
      </c>
      <c r="L681" s="58" t="str">
        <f t="shared" si="77"/>
        <v/>
      </c>
      <c r="M681" s="59" t="str">
        <f t="shared" si="78"/>
        <v/>
      </c>
      <c r="N681" s="60"/>
      <c r="O681" s="60">
        <v>0</v>
      </c>
    </row>
    <row r="682" spans="1:15" ht="15.75" thickBot="1" x14ac:dyDescent="0.3">
      <c r="A682" s="53">
        <v>44876</v>
      </c>
      <c r="D682" s="55"/>
      <c r="E682" s="56"/>
      <c r="F682" s="57"/>
      <c r="G682" s="58"/>
      <c r="H682" s="58"/>
      <c r="I682" s="58" t="str">
        <f t="shared" si="74"/>
        <v/>
      </c>
      <c r="J682" s="58" t="str">
        <f t="shared" si="75"/>
        <v/>
      </c>
      <c r="K682" s="59" t="str">
        <f t="shared" si="76"/>
        <v/>
      </c>
      <c r="L682" s="58" t="str">
        <f t="shared" si="77"/>
        <v/>
      </c>
      <c r="M682" s="59" t="str">
        <f t="shared" si="78"/>
        <v/>
      </c>
      <c r="N682" s="60"/>
      <c r="O682" s="60">
        <v>0</v>
      </c>
    </row>
    <row r="683" spans="1:15" ht="15.75" thickBot="1" x14ac:dyDescent="0.3">
      <c r="A683" s="53">
        <v>44877</v>
      </c>
      <c r="D683" s="55"/>
      <c r="E683" s="56"/>
      <c r="F683" s="57"/>
      <c r="G683" s="58"/>
      <c r="H683" s="58"/>
      <c r="I683" s="58" t="str">
        <f t="shared" si="74"/>
        <v/>
      </c>
      <c r="J683" s="58" t="str">
        <f t="shared" si="75"/>
        <v/>
      </c>
      <c r="K683" s="59" t="str">
        <f t="shared" si="76"/>
        <v/>
      </c>
      <c r="L683" s="58" t="str">
        <f t="shared" si="77"/>
        <v/>
      </c>
      <c r="M683" s="59" t="str">
        <f t="shared" si="78"/>
        <v/>
      </c>
      <c r="N683" s="60"/>
      <c r="O683" s="60">
        <v>0</v>
      </c>
    </row>
    <row r="684" spans="1:15" ht="15.75" thickBot="1" x14ac:dyDescent="0.3">
      <c r="A684" s="53">
        <v>44878</v>
      </c>
      <c r="D684" s="55"/>
      <c r="E684" s="56"/>
      <c r="F684" s="57"/>
      <c r="G684" s="58"/>
      <c r="H684" s="58"/>
      <c r="I684" s="58" t="str">
        <f t="shared" si="74"/>
        <v/>
      </c>
      <c r="J684" s="58" t="str">
        <f t="shared" si="75"/>
        <v/>
      </c>
      <c r="K684" s="59" t="str">
        <f t="shared" si="76"/>
        <v/>
      </c>
      <c r="L684" s="58" t="str">
        <f t="shared" si="77"/>
        <v/>
      </c>
      <c r="M684" s="59" t="str">
        <f t="shared" si="78"/>
        <v/>
      </c>
      <c r="N684" s="60"/>
      <c r="O684" s="60">
        <v>0</v>
      </c>
    </row>
    <row r="685" spans="1:15" ht="15.75" thickBot="1" x14ac:dyDescent="0.3">
      <c r="A685" s="53">
        <v>44879</v>
      </c>
      <c r="D685" s="55"/>
      <c r="E685" s="56"/>
      <c r="F685" s="57"/>
      <c r="G685" s="58"/>
      <c r="H685" s="58"/>
      <c r="I685" s="58" t="str">
        <f t="shared" si="74"/>
        <v/>
      </c>
      <c r="J685" s="58" t="str">
        <f t="shared" si="75"/>
        <v/>
      </c>
      <c r="K685" s="59" t="str">
        <f t="shared" si="76"/>
        <v/>
      </c>
      <c r="L685" s="58" t="str">
        <f t="shared" si="77"/>
        <v/>
      </c>
      <c r="M685" s="59" t="str">
        <f t="shared" si="78"/>
        <v/>
      </c>
      <c r="N685" s="60"/>
      <c r="O685" s="60">
        <v>0</v>
      </c>
    </row>
    <row r="686" spans="1:15" ht="15.75" thickBot="1" x14ac:dyDescent="0.3">
      <c r="A686" s="53">
        <v>44880</v>
      </c>
      <c r="D686" s="55"/>
      <c r="E686" s="56"/>
      <c r="F686" s="57"/>
      <c r="G686" s="58"/>
      <c r="H686" s="58"/>
      <c r="I686" s="58" t="str">
        <f t="shared" si="74"/>
        <v/>
      </c>
      <c r="J686" s="58" t="str">
        <f t="shared" si="75"/>
        <v/>
      </c>
      <c r="K686" s="59" t="str">
        <f t="shared" si="76"/>
        <v/>
      </c>
      <c r="L686" s="58" t="str">
        <f t="shared" si="77"/>
        <v/>
      </c>
      <c r="M686" s="59" t="str">
        <f t="shared" si="78"/>
        <v/>
      </c>
      <c r="N686" s="60"/>
      <c r="O686" s="60">
        <v>0</v>
      </c>
    </row>
    <row r="687" spans="1:15" ht="15.75" thickBot="1" x14ac:dyDescent="0.3">
      <c r="A687" s="53">
        <v>44881</v>
      </c>
      <c r="D687" s="55"/>
      <c r="E687" s="56"/>
      <c r="F687" s="57"/>
      <c r="G687" s="58"/>
      <c r="H687" s="58"/>
      <c r="I687" s="58" t="str">
        <f t="shared" si="74"/>
        <v/>
      </c>
      <c r="J687" s="58" t="str">
        <f t="shared" si="75"/>
        <v/>
      </c>
      <c r="K687" s="59" t="str">
        <f t="shared" si="76"/>
        <v/>
      </c>
      <c r="L687" s="58" t="str">
        <f t="shared" si="77"/>
        <v/>
      </c>
      <c r="M687" s="59" t="str">
        <f t="shared" si="78"/>
        <v/>
      </c>
      <c r="N687" s="60"/>
      <c r="O687" s="60">
        <v>0</v>
      </c>
    </row>
    <row r="688" spans="1:15" ht="15.75" thickBot="1" x14ac:dyDescent="0.3">
      <c r="A688" s="53">
        <v>44882</v>
      </c>
      <c r="D688" s="55"/>
      <c r="E688" s="56"/>
      <c r="F688" s="57"/>
      <c r="G688" s="58"/>
      <c r="H688" s="58"/>
      <c r="I688" s="58" t="str">
        <f t="shared" ref="I688:I732" si="79">IF(D688="","",+(D688-D687)*4140)</f>
        <v/>
      </c>
      <c r="J688" s="58" t="str">
        <f t="shared" ref="J688:J732" si="80">IF(E688="","",+(F688-F687)*4140)</f>
        <v/>
      </c>
      <c r="K688" s="59" t="str">
        <f t="shared" ref="K688:K732" si="81">IF(J688="","",+(J688/I688))</f>
        <v/>
      </c>
      <c r="L688" s="58" t="str">
        <f t="shared" ref="L688:L732" si="82">IF(F688="","",+(F688-F687)*4140)</f>
        <v/>
      </c>
      <c r="M688" s="59" t="str">
        <f t="shared" ref="M688:M732" si="83">IF(L688="","",(L688/I688))</f>
        <v/>
      </c>
      <c r="N688" s="60"/>
      <c r="O688" s="60">
        <v>0</v>
      </c>
    </row>
    <row r="689" spans="1:15" ht="15.75" thickBot="1" x14ac:dyDescent="0.3">
      <c r="A689" s="53">
        <v>44883</v>
      </c>
      <c r="D689" s="55"/>
      <c r="E689" s="56"/>
      <c r="F689" s="57"/>
      <c r="G689" s="58"/>
      <c r="H689" s="58"/>
      <c r="I689" s="58" t="str">
        <f t="shared" si="79"/>
        <v/>
      </c>
      <c r="J689" s="58" t="str">
        <f t="shared" si="80"/>
        <v/>
      </c>
      <c r="K689" s="59" t="str">
        <f t="shared" si="81"/>
        <v/>
      </c>
      <c r="L689" s="58" t="str">
        <f t="shared" si="82"/>
        <v/>
      </c>
      <c r="M689" s="59" t="str">
        <f t="shared" si="83"/>
        <v/>
      </c>
      <c r="N689" s="60"/>
      <c r="O689" s="60">
        <v>0</v>
      </c>
    </row>
    <row r="690" spans="1:15" ht="15.75" thickBot="1" x14ac:dyDescent="0.3">
      <c r="A690" s="53">
        <v>44884</v>
      </c>
      <c r="D690" s="55"/>
      <c r="E690" s="56"/>
      <c r="F690" s="57"/>
      <c r="G690" s="58"/>
      <c r="H690" s="58"/>
      <c r="I690" s="58" t="str">
        <f t="shared" si="79"/>
        <v/>
      </c>
      <c r="J690" s="58" t="str">
        <f t="shared" si="80"/>
        <v/>
      </c>
      <c r="K690" s="59" t="str">
        <f t="shared" si="81"/>
        <v/>
      </c>
      <c r="L690" s="58" t="str">
        <f t="shared" si="82"/>
        <v/>
      </c>
      <c r="M690" s="59" t="str">
        <f t="shared" si="83"/>
        <v/>
      </c>
      <c r="N690" s="60"/>
      <c r="O690" s="60">
        <v>0</v>
      </c>
    </row>
    <row r="691" spans="1:15" ht="15.75" thickBot="1" x14ac:dyDescent="0.3">
      <c r="A691" s="53">
        <v>44885</v>
      </c>
      <c r="D691" s="55"/>
      <c r="E691" s="56"/>
      <c r="F691" s="57"/>
      <c r="G691" s="58"/>
      <c r="H691" s="58"/>
      <c r="I691" s="58" t="str">
        <f t="shared" si="79"/>
        <v/>
      </c>
      <c r="J691" s="58" t="str">
        <f t="shared" si="80"/>
        <v/>
      </c>
      <c r="K691" s="59" t="str">
        <f t="shared" si="81"/>
        <v/>
      </c>
      <c r="L691" s="58" t="str">
        <f t="shared" si="82"/>
        <v/>
      </c>
      <c r="M691" s="59" t="str">
        <f t="shared" si="83"/>
        <v/>
      </c>
      <c r="N691" s="60"/>
      <c r="O691" s="60">
        <v>0</v>
      </c>
    </row>
    <row r="692" spans="1:15" ht="15.75" thickBot="1" x14ac:dyDescent="0.3">
      <c r="A692" s="53">
        <v>44886</v>
      </c>
      <c r="D692" s="55"/>
      <c r="E692" s="56"/>
      <c r="F692" s="57"/>
      <c r="G692" s="58"/>
      <c r="H692" s="58"/>
      <c r="I692" s="58" t="str">
        <f t="shared" si="79"/>
        <v/>
      </c>
      <c r="J692" s="58" t="str">
        <f t="shared" si="80"/>
        <v/>
      </c>
      <c r="K692" s="59" t="str">
        <f t="shared" si="81"/>
        <v/>
      </c>
      <c r="L692" s="58" t="str">
        <f t="shared" si="82"/>
        <v/>
      </c>
      <c r="M692" s="59" t="str">
        <f t="shared" si="83"/>
        <v/>
      </c>
      <c r="N692" s="60"/>
      <c r="O692" s="60">
        <v>0</v>
      </c>
    </row>
    <row r="693" spans="1:15" ht="15.75" thickBot="1" x14ac:dyDescent="0.3">
      <c r="A693" s="53">
        <v>44887</v>
      </c>
      <c r="D693" s="55"/>
      <c r="E693" s="56"/>
      <c r="F693" s="57"/>
      <c r="G693" s="58"/>
      <c r="H693" s="58"/>
      <c r="I693" s="58" t="str">
        <f t="shared" si="79"/>
        <v/>
      </c>
      <c r="J693" s="58" t="str">
        <f t="shared" si="80"/>
        <v/>
      </c>
      <c r="K693" s="59" t="str">
        <f t="shared" si="81"/>
        <v/>
      </c>
      <c r="L693" s="58" t="str">
        <f t="shared" si="82"/>
        <v/>
      </c>
      <c r="M693" s="59" t="str">
        <f t="shared" si="83"/>
        <v/>
      </c>
      <c r="N693" s="60"/>
      <c r="O693" s="60">
        <v>0</v>
      </c>
    </row>
    <row r="694" spans="1:15" ht="15.75" thickBot="1" x14ac:dyDescent="0.3">
      <c r="A694" s="53">
        <v>44888</v>
      </c>
      <c r="D694" s="55"/>
      <c r="E694" s="56"/>
      <c r="F694" s="57"/>
      <c r="G694" s="58"/>
      <c r="H694" s="58"/>
      <c r="I694" s="58" t="str">
        <f t="shared" si="79"/>
        <v/>
      </c>
      <c r="J694" s="58" t="str">
        <f t="shared" si="80"/>
        <v/>
      </c>
      <c r="K694" s="59" t="str">
        <f t="shared" si="81"/>
        <v/>
      </c>
      <c r="L694" s="58" t="str">
        <f t="shared" si="82"/>
        <v/>
      </c>
      <c r="M694" s="59" t="str">
        <f t="shared" si="83"/>
        <v/>
      </c>
      <c r="N694" s="60"/>
      <c r="O694" s="60">
        <v>0</v>
      </c>
    </row>
    <row r="695" spans="1:15" ht="15.75" thickBot="1" x14ac:dyDescent="0.3">
      <c r="A695" s="53">
        <v>44889</v>
      </c>
      <c r="D695" s="55"/>
      <c r="E695" s="56"/>
      <c r="F695" s="57"/>
      <c r="G695" s="58"/>
      <c r="H695" s="58"/>
      <c r="I695" s="58" t="str">
        <f t="shared" si="79"/>
        <v/>
      </c>
      <c r="J695" s="58" t="str">
        <f t="shared" si="80"/>
        <v/>
      </c>
      <c r="K695" s="59" t="str">
        <f t="shared" si="81"/>
        <v/>
      </c>
      <c r="L695" s="58" t="str">
        <f t="shared" si="82"/>
        <v/>
      </c>
      <c r="M695" s="59" t="str">
        <f t="shared" si="83"/>
        <v/>
      </c>
      <c r="N695" s="60"/>
      <c r="O695" s="60">
        <v>0</v>
      </c>
    </row>
    <row r="696" spans="1:15" ht="15.75" thickBot="1" x14ac:dyDescent="0.3">
      <c r="A696" s="53">
        <v>44890</v>
      </c>
      <c r="D696" s="55"/>
      <c r="E696" s="56"/>
      <c r="F696" s="57"/>
      <c r="G696" s="58"/>
      <c r="H696" s="58"/>
      <c r="I696" s="58" t="str">
        <f t="shared" si="79"/>
        <v/>
      </c>
      <c r="J696" s="58" t="str">
        <f t="shared" si="80"/>
        <v/>
      </c>
      <c r="K696" s="59" t="str">
        <f t="shared" si="81"/>
        <v/>
      </c>
      <c r="L696" s="58" t="str">
        <f t="shared" si="82"/>
        <v/>
      </c>
      <c r="M696" s="59" t="str">
        <f t="shared" si="83"/>
        <v/>
      </c>
      <c r="N696" s="60"/>
      <c r="O696" s="60">
        <v>0</v>
      </c>
    </row>
    <row r="697" spans="1:15" ht="15.75" thickBot="1" x14ac:dyDescent="0.3">
      <c r="A697" s="53">
        <v>44891</v>
      </c>
      <c r="D697" s="55"/>
      <c r="E697" s="56"/>
      <c r="F697" s="57"/>
      <c r="G697" s="58"/>
      <c r="H697" s="58"/>
      <c r="I697" s="58" t="str">
        <f t="shared" si="79"/>
        <v/>
      </c>
      <c r="J697" s="58" t="str">
        <f t="shared" si="80"/>
        <v/>
      </c>
      <c r="K697" s="59" t="str">
        <f t="shared" si="81"/>
        <v/>
      </c>
      <c r="L697" s="58" t="str">
        <f t="shared" si="82"/>
        <v/>
      </c>
      <c r="M697" s="59" t="str">
        <f t="shared" si="83"/>
        <v/>
      </c>
      <c r="N697" s="60"/>
      <c r="O697" s="60">
        <v>0</v>
      </c>
    </row>
    <row r="698" spans="1:15" ht="15.75" thickBot="1" x14ac:dyDescent="0.3">
      <c r="A698" s="53">
        <v>44892</v>
      </c>
      <c r="D698" s="55"/>
      <c r="E698" s="56"/>
      <c r="F698" s="57"/>
      <c r="G698" s="58"/>
      <c r="H698" s="58"/>
      <c r="I698" s="58" t="str">
        <f t="shared" si="79"/>
        <v/>
      </c>
      <c r="J698" s="58" t="str">
        <f t="shared" si="80"/>
        <v/>
      </c>
      <c r="K698" s="59" t="str">
        <f t="shared" si="81"/>
        <v/>
      </c>
      <c r="L698" s="58" t="str">
        <f t="shared" si="82"/>
        <v/>
      </c>
      <c r="M698" s="59" t="str">
        <f t="shared" si="83"/>
        <v/>
      </c>
      <c r="N698" s="60"/>
      <c r="O698" s="60">
        <v>0</v>
      </c>
    </row>
    <row r="699" spans="1:15" ht="15.75" thickBot="1" x14ac:dyDescent="0.3">
      <c r="A699" s="53">
        <v>44893</v>
      </c>
      <c r="D699" s="55"/>
      <c r="E699" s="56"/>
      <c r="F699" s="57"/>
      <c r="G699" s="58"/>
      <c r="H699" s="58"/>
      <c r="I699" s="58" t="str">
        <f t="shared" si="79"/>
        <v/>
      </c>
      <c r="J699" s="58" t="str">
        <f t="shared" si="80"/>
        <v/>
      </c>
      <c r="K699" s="59" t="str">
        <f t="shared" si="81"/>
        <v/>
      </c>
      <c r="L699" s="58" t="str">
        <f t="shared" si="82"/>
        <v/>
      </c>
      <c r="M699" s="59" t="str">
        <f t="shared" si="83"/>
        <v/>
      </c>
      <c r="N699" s="60"/>
      <c r="O699" s="60">
        <v>0</v>
      </c>
    </row>
    <row r="700" spans="1:15" ht="15.75" thickBot="1" x14ac:dyDescent="0.3">
      <c r="A700" s="53">
        <v>44894</v>
      </c>
      <c r="D700" s="55"/>
      <c r="E700" s="56"/>
      <c r="F700" s="57"/>
      <c r="G700" s="58"/>
      <c r="H700" s="58"/>
      <c r="I700" s="58" t="str">
        <f t="shared" si="79"/>
        <v/>
      </c>
      <c r="J700" s="58" t="str">
        <f t="shared" si="80"/>
        <v/>
      </c>
      <c r="K700" s="59" t="str">
        <f t="shared" si="81"/>
        <v/>
      </c>
      <c r="L700" s="58" t="str">
        <f t="shared" si="82"/>
        <v/>
      </c>
      <c r="M700" s="59" t="str">
        <f t="shared" si="83"/>
        <v/>
      </c>
      <c r="N700" s="60"/>
      <c r="O700" s="60">
        <v>0</v>
      </c>
    </row>
    <row r="701" spans="1:15" ht="15.75" thickBot="1" x14ac:dyDescent="0.3">
      <c r="A701" s="53">
        <v>44895</v>
      </c>
      <c r="D701" s="55"/>
      <c r="E701" s="56"/>
      <c r="F701" s="57"/>
      <c r="G701" s="58"/>
      <c r="H701" s="58"/>
      <c r="I701" s="58" t="str">
        <f t="shared" si="79"/>
        <v/>
      </c>
      <c r="J701" s="58" t="str">
        <f t="shared" si="80"/>
        <v/>
      </c>
      <c r="K701" s="59" t="str">
        <f t="shared" si="81"/>
        <v/>
      </c>
      <c r="L701" s="58" t="str">
        <f t="shared" si="82"/>
        <v/>
      </c>
      <c r="M701" s="59" t="str">
        <f t="shared" si="83"/>
        <v/>
      </c>
      <c r="N701" s="60"/>
      <c r="O701" s="60">
        <v>0</v>
      </c>
    </row>
    <row r="702" spans="1:15" ht="15.75" thickBot="1" x14ac:dyDescent="0.3">
      <c r="A702" s="53">
        <v>44896</v>
      </c>
      <c r="D702" s="55"/>
      <c r="E702" s="56"/>
      <c r="F702" s="57"/>
      <c r="G702" s="58"/>
      <c r="H702" s="58"/>
      <c r="I702" s="58" t="str">
        <f t="shared" si="79"/>
        <v/>
      </c>
      <c r="J702" s="58" t="str">
        <f t="shared" si="80"/>
        <v/>
      </c>
      <c r="K702" s="59" t="str">
        <f t="shared" si="81"/>
        <v/>
      </c>
      <c r="L702" s="58" t="str">
        <f t="shared" si="82"/>
        <v/>
      </c>
      <c r="M702" s="59" t="str">
        <f t="shared" si="83"/>
        <v/>
      </c>
      <c r="N702" s="60"/>
      <c r="O702" s="60">
        <v>0</v>
      </c>
    </row>
    <row r="703" spans="1:15" ht="15.75" thickBot="1" x14ac:dyDescent="0.3">
      <c r="A703" s="53">
        <v>44897</v>
      </c>
      <c r="D703" s="55"/>
      <c r="E703" s="56"/>
      <c r="F703" s="57"/>
      <c r="G703" s="58"/>
      <c r="H703" s="58"/>
      <c r="I703" s="58" t="str">
        <f t="shared" si="79"/>
        <v/>
      </c>
      <c r="J703" s="58" t="str">
        <f t="shared" si="80"/>
        <v/>
      </c>
      <c r="K703" s="59" t="str">
        <f t="shared" si="81"/>
        <v/>
      </c>
      <c r="L703" s="58" t="str">
        <f t="shared" si="82"/>
        <v/>
      </c>
      <c r="M703" s="59" t="str">
        <f t="shared" si="83"/>
        <v/>
      </c>
      <c r="N703" s="60"/>
      <c r="O703" s="60">
        <v>0</v>
      </c>
    </row>
    <row r="704" spans="1:15" ht="15.75" thickBot="1" x14ac:dyDescent="0.3">
      <c r="A704" s="53">
        <v>44898</v>
      </c>
      <c r="D704" s="55"/>
      <c r="E704" s="56"/>
      <c r="F704" s="57"/>
      <c r="G704" s="58"/>
      <c r="H704" s="58"/>
      <c r="I704" s="58" t="str">
        <f t="shared" si="79"/>
        <v/>
      </c>
      <c r="J704" s="58" t="str">
        <f t="shared" si="80"/>
        <v/>
      </c>
      <c r="K704" s="59" t="str">
        <f t="shared" si="81"/>
        <v/>
      </c>
      <c r="L704" s="58" t="str">
        <f t="shared" si="82"/>
        <v/>
      </c>
      <c r="M704" s="59" t="str">
        <f t="shared" si="83"/>
        <v/>
      </c>
      <c r="N704" s="60"/>
      <c r="O704" s="60">
        <v>0</v>
      </c>
    </row>
    <row r="705" spans="1:15" ht="15.75" thickBot="1" x14ac:dyDescent="0.3">
      <c r="A705" s="53">
        <v>44899</v>
      </c>
      <c r="D705" s="55"/>
      <c r="E705" s="56"/>
      <c r="F705" s="57"/>
      <c r="G705" s="58"/>
      <c r="H705" s="58"/>
      <c r="I705" s="58" t="str">
        <f t="shared" si="79"/>
        <v/>
      </c>
      <c r="J705" s="58" t="str">
        <f t="shared" si="80"/>
        <v/>
      </c>
      <c r="K705" s="59" t="str">
        <f t="shared" si="81"/>
        <v/>
      </c>
      <c r="L705" s="58" t="str">
        <f t="shared" si="82"/>
        <v/>
      </c>
      <c r="M705" s="59" t="str">
        <f t="shared" si="83"/>
        <v/>
      </c>
      <c r="N705" s="60"/>
      <c r="O705" s="60">
        <v>0</v>
      </c>
    </row>
    <row r="706" spans="1:15" ht="15.75" thickBot="1" x14ac:dyDescent="0.3">
      <c r="A706" s="53">
        <v>44900</v>
      </c>
      <c r="D706" s="55"/>
      <c r="E706" s="56"/>
      <c r="F706" s="57"/>
      <c r="G706" s="58"/>
      <c r="H706" s="58"/>
      <c r="I706" s="58" t="str">
        <f t="shared" si="79"/>
        <v/>
      </c>
      <c r="J706" s="58" t="str">
        <f t="shared" si="80"/>
        <v/>
      </c>
      <c r="K706" s="59" t="str">
        <f t="shared" si="81"/>
        <v/>
      </c>
      <c r="L706" s="58" t="str">
        <f t="shared" si="82"/>
        <v/>
      </c>
      <c r="M706" s="59" t="str">
        <f t="shared" si="83"/>
        <v/>
      </c>
      <c r="N706" s="60"/>
      <c r="O706" s="60">
        <v>0</v>
      </c>
    </row>
    <row r="707" spans="1:15" ht="15.75" thickBot="1" x14ac:dyDescent="0.3">
      <c r="A707" s="53">
        <v>44901</v>
      </c>
      <c r="D707" s="55"/>
      <c r="E707" s="56"/>
      <c r="F707" s="57"/>
      <c r="G707" s="58"/>
      <c r="H707" s="58"/>
      <c r="I707" s="58" t="str">
        <f t="shared" si="79"/>
        <v/>
      </c>
      <c r="J707" s="58" t="str">
        <f t="shared" si="80"/>
        <v/>
      </c>
      <c r="K707" s="59" t="str">
        <f t="shared" si="81"/>
        <v/>
      </c>
      <c r="L707" s="58" t="str">
        <f t="shared" si="82"/>
        <v/>
      </c>
      <c r="M707" s="59" t="str">
        <f t="shared" si="83"/>
        <v/>
      </c>
      <c r="N707" s="60"/>
      <c r="O707" s="60">
        <v>0</v>
      </c>
    </row>
    <row r="708" spans="1:15" ht="15.75" thickBot="1" x14ac:dyDescent="0.3">
      <c r="A708" s="53">
        <v>44902</v>
      </c>
      <c r="D708" s="55"/>
      <c r="E708" s="56"/>
      <c r="F708" s="57"/>
      <c r="G708" s="58"/>
      <c r="H708" s="58"/>
      <c r="I708" s="58" t="str">
        <f t="shared" si="79"/>
        <v/>
      </c>
      <c r="J708" s="58" t="str">
        <f t="shared" si="80"/>
        <v/>
      </c>
      <c r="K708" s="59" t="str">
        <f t="shared" si="81"/>
        <v/>
      </c>
      <c r="L708" s="58" t="str">
        <f t="shared" si="82"/>
        <v/>
      </c>
      <c r="M708" s="59" t="str">
        <f t="shared" si="83"/>
        <v/>
      </c>
      <c r="N708" s="60"/>
      <c r="O708" s="60">
        <v>0</v>
      </c>
    </row>
    <row r="709" spans="1:15" ht="15.75" thickBot="1" x14ac:dyDescent="0.3">
      <c r="A709" s="53">
        <v>44903</v>
      </c>
      <c r="D709" s="55"/>
      <c r="E709" s="56"/>
      <c r="F709" s="57"/>
      <c r="G709" s="58"/>
      <c r="H709" s="58"/>
      <c r="I709" s="58" t="str">
        <f t="shared" si="79"/>
        <v/>
      </c>
      <c r="J709" s="58" t="str">
        <f t="shared" si="80"/>
        <v/>
      </c>
      <c r="K709" s="59" t="str">
        <f t="shared" si="81"/>
        <v/>
      </c>
      <c r="L709" s="58" t="str">
        <f t="shared" si="82"/>
        <v/>
      </c>
      <c r="M709" s="59" t="str">
        <f t="shared" si="83"/>
        <v/>
      </c>
      <c r="N709" s="60"/>
      <c r="O709" s="60">
        <v>0</v>
      </c>
    </row>
    <row r="710" spans="1:15" ht="15.75" thickBot="1" x14ac:dyDescent="0.3">
      <c r="A710" s="53">
        <v>44904</v>
      </c>
      <c r="D710" s="55"/>
      <c r="E710" s="56"/>
      <c r="F710" s="57"/>
      <c r="G710" s="58"/>
      <c r="H710" s="58"/>
      <c r="I710" s="58" t="str">
        <f t="shared" si="79"/>
        <v/>
      </c>
      <c r="J710" s="58" t="str">
        <f t="shared" si="80"/>
        <v/>
      </c>
      <c r="K710" s="59" t="str">
        <f t="shared" si="81"/>
        <v/>
      </c>
      <c r="L710" s="58" t="str">
        <f t="shared" si="82"/>
        <v/>
      </c>
      <c r="M710" s="59" t="str">
        <f t="shared" si="83"/>
        <v/>
      </c>
      <c r="N710" s="60"/>
      <c r="O710" s="60">
        <v>0</v>
      </c>
    </row>
    <row r="711" spans="1:15" ht="15.75" thickBot="1" x14ac:dyDescent="0.3">
      <c r="A711" s="53">
        <v>44905</v>
      </c>
      <c r="D711" s="55"/>
      <c r="E711" s="56"/>
      <c r="F711" s="57"/>
      <c r="G711" s="58"/>
      <c r="H711" s="58"/>
      <c r="I711" s="58" t="str">
        <f t="shared" si="79"/>
        <v/>
      </c>
      <c r="J711" s="58" t="str">
        <f t="shared" si="80"/>
        <v/>
      </c>
      <c r="K711" s="59" t="str">
        <f t="shared" si="81"/>
        <v/>
      </c>
      <c r="L711" s="58" t="str">
        <f t="shared" si="82"/>
        <v/>
      </c>
      <c r="M711" s="59" t="str">
        <f t="shared" si="83"/>
        <v/>
      </c>
      <c r="N711" s="60"/>
      <c r="O711" s="60">
        <v>0</v>
      </c>
    </row>
    <row r="712" spans="1:15" ht="15.75" thickBot="1" x14ac:dyDescent="0.3">
      <c r="A712" s="53">
        <v>44906</v>
      </c>
      <c r="D712" s="55"/>
      <c r="E712" s="56"/>
      <c r="F712" s="57"/>
      <c r="G712" s="58"/>
      <c r="H712" s="58"/>
      <c r="I712" s="58" t="str">
        <f t="shared" si="79"/>
        <v/>
      </c>
      <c r="J712" s="58" t="str">
        <f t="shared" si="80"/>
        <v/>
      </c>
      <c r="K712" s="59" t="str">
        <f t="shared" si="81"/>
        <v/>
      </c>
      <c r="L712" s="58" t="str">
        <f t="shared" si="82"/>
        <v/>
      </c>
      <c r="M712" s="59" t="str">
        <f t="shared" si="83"/>
        <v/>
      </c>
      <c r="N712" s="60"/>
      <c r="O712" s="60">
        <v>0</v>
      </c>
    </row>
    <row r="713" spans="1:15" ht="15.75" thickBot="1" x14ac:dyDescent="0.3">
      <c r="A713" s="53">
        <v>44907</v>
      </c>
      <c r="D713" s="55"/>
      <c r="E713" s="56"/>
      <c r="F713" s="57"/>
      <c r="G713" s="58"/>
      <c r="H713" s="58"/>
      <c r="I713" s="58" t="str">
        <f t="shared" si="79"/>
        <v/>
      </c>
      <c r="J713" s="58" t="str">
        <f t="shared" si="80"/>
        <v/>
      </c>
      <c r="K713" s="59" t="str">
        <f t="shared" si="81"/>
        <v/>
      </c>
      <c r="L713" s="58" t="str">
        <f t="shared" si="82"/>
        <v/>
      </c>
      <c r="M713" s="59" t="str">
        <f t="shared" si="83"/>
        <v/>
      </c>
      <c r="N713" s="60"/>
      <c r="O713" s="60">
        <v>0</v>
      </c>
    </row>
    <row r="714" spans="1:15" ht="15.75" thickBot="1" x14ac:dyDescent="0.3">
      <c r="A714" s="53">
        <v>44908</v>
      </c>
      <c r="D714" s="55"/>
      <c r="E714" s="56"/>
      <c r="F714" s="57"/>
      <c r="G714" s="58"/>
      <c r="H714" s="58"/>
      <c r="I714" s="58" t="str">
        <f t="shared" si="79"/>
        <v/>
      </c>
      <c r="J714" s="58" t="str">
        <f t="shared" si="80"/>
        <v/>
      </c>
      <c r="K714" s="59" t="str">
        <f t="shared" si="81"/>
        <v/>
      </c>
      <c r="L714" s="58" t="str">
        <f t="shared" si="82"/>
        <v/>
      </c>
      <c r="M714" s="59" t="str">
        <f t="shared" si="83"/>
        <v/>
      </c>
      <c r="N714" s="60"/>
      <c r="O714" s="60">
        <v>0</v>
      </c>
    </row>
    <row r="715" spans="1:15" ht="15.75" thickBot="1" x14ac:dyDescent="0.3">
      <c r="A715" s="53">
        <v>44909</v>
      </c>
      <c r="D715" s="55"/>
      <c r="E715" s="56"/>
      <c r="F715" s="57"/>
      <c r="G715" s="58"/>
      <c r="H715" s="58"/>
      <c r="I715" s="58" t="str">
        <f t="shared" si="79"/>
        <v/>
      </c>
      <c r="J715" s="58" t="str">
        <f t="shared" si="80"/>
        <v/>
      </c>
      <c r="K715" s="59" t="str">
        <f t="shared" si="81"/>
        <v/>
      </c>
      <c r="L715" s="58" t="str">
        <f t="shared" si="82"/>
        <v/>
      </c>
      <c r="M715" s="59" t="str">
        <f t="shared" si="83"/>
        <v/>
      </c>
      <c r="N715" s="60"/>
      <c r="O715" s="60">
        <v>0</v>
      </c>
    </row>
    <row r="716" spans="1:15" ht="15.75" thickBot="1" x14ac:dyDescent="0.3">
      <c r="A716" s="53">
        <v>44910</v>
      </c>
      <c r="D716" s="55"/>
      <c r="E716" s="56"/>
      <c r="F716" s="57"/>
      <c r="G716" s="58"/>
      <c r="H716" s="58"/>
      <c r="I716" s="58" t="str">
        <f t="shared" si="79"/>
        <v/>
      </c>
      <c r="J716" s="58" t="str">
        <f t="shared" si="80"/>
        <v/>
      </c>
      <c r="K716" s="59" t="str">
        <f t="shared" si="81"/>
        <v/>
      </c>
      <c r="L716" s="58" t="str">
        <f t="shared" si="82"/>
        <v/>
      </c>
      <c r="M716" s="59" t="str">
        <f t="shared" si="83"/>
        <v/>
      </c>
      <c r="N716" s="60"/>
      <c r="O716" s="60">
        <v>0</v>
      </c>
    </row>
    <row r="717" spans="1:15" ht="15.75" thickBot="1" x14ac:dyDescent="0.3">
      <c r="A717" s="53">
        <v>44911</v>
      </c>
      <c r="D717" s="55"/>
      <c r="E717" s="56"/>
      <c r="F717" s="57"/>
      <c r="G717" s="58"/>
      <c r="H717" s="58"/>
      <c r="I717" s="58" t="str">
        <f t="shared" si="79"/>
        <v/>
      </c>
      <c r="J717" s="58" t="str">
        <f t="shared" si="80"/>
        <v/>
      </c>
      <c r="K717" s="59" t="str">
        <f t="shared" si="81"/>
        <v/>
      </c>
      <c r="L717" s="58" t="str">
        <f t="shared" si="82"/>
        <v/>
      </c>
      <c r="M717" s="59" t="str">
        <f t="shared" si="83"/>
        <v/>
      </c>
      <c r="N717" s="60"/>
      <c r="O717" s="60">
        <v>0</v>
      </c>
    </row>
    <row r="718" spans="1:15" ht="15.75" thickBot="1" x14ac:dyDescent="0.3">
      <c r="A718" s="53">
        <v>44912</v>
      </c>
      <c r="D718" s="55"/>
      <c r="E718" s="56"/>
      <c r="F718" s="57"/>
      <c r="G718" s="58"/>
      <c r="H718" s="58"/>
      <c r="I718" s="58" t="str">
        <f t="shared" si="79"/>
        <v/>
      </c>
      <c r="J718" s="58" t="str">
        <f t="shared" si="80"/>
        <v/>
      </c>
      <c r="K718" s="59" t="str">
        <f t="shared" si="81"/>
        <v/>
      </c>
      <c r="L718" s="58" t="str">
        <f t="shared" si="82"/>
        <v/>
      </c>
      <c r="M718" s="59" t="str">
        <f t="shared" si="83"/>
        <v/>
      </c>
      <c r="N718" s="60"/>
      <c r="O718" s="60">
        <v>0</v>
      </c>
    </row>
    <row r="719" spans="1:15" ht="15.75" thickBot="1" x14ac:dyDescent="0.3">
      <c r="A719" s="53">
        <v>44913</v>
      </c>
      <c r="D719" s="55"/>
      <c r="E719" s="56"/>
      <c r="F719" s="57"/>
      <c r="G719" s="58"/>
      <c r="H719" s="58"/>
      <c r="I719" s="58" t="str">
        <f t="shared" si="79"/>
        <v/>
      </c>
      <c r="J719" s="58" t="str">
        <f t="shared" si="80"/>
        <v/>
      </c>
      <c r="K719" s="59" t="str">
        <f t="shared" si="81"/>
        <v/>
      </c>
      <c r="L719" s="58" t="str">
        <f t="shared" si="82"/>
        <v/>
      </c>
      <c r="M719" s="59" t="str">
        <f t="shared" si="83"/>
        <v/>
      </c>
      <c r="N719" s="60"/>
      <c r="O719" s="60">
        <v>0</v>
      </c>
    </row>
    <row r="720" spans="1:15" ht="15.75" thickBot="1" x14ac:dyDescent="0.3">
      <c r="A720" s="53">
        <v>44914</v>
      </c>
      <c r="D720" s="55"/>
      <c r="E720" s="56"/>
      <c r="F720" s="57"/>
      <c r="G720" s="58"/>
      <c r="H720" s="58"/>
      <c r="I720" s="58" t="str">
        <f t="shared" si="79"/>
        <v/>
      </c>
      <c r="J720" s="58" t="str">
        <f t="shared" si="80"/>
        <v/>
      </c>
      <c r="K720" s="59" t="str">
        <f t="shared" si="81"/>
        <v/>
      </c>
      <c r="L720" s="58" t="str">
        <f t="shared" si="82"/>
        <v/>
      </c>
      <c r="M720" s="59" t="str">
        <f t="shared" si="83"/>
        <v/>
      </c>
      <c r="N720" s="60"/>
      <c r="O720" s="60">
        <v>0</v>
      </c>
    </row>
    <row r="721" spans="1:15" ht="15.75" thickBot="1" x14ac:dyDescent="0.3">
      <c r="A721" s="53">
        <v>44915</v>
      </c>
      <c r="D721" s="55"/>
      <c r="E721" s="56"/>
      <c r="F721" s="57"/>
      <c r="G721" s="58"/>
      <c r="H721" s="58"/>
      <c r="I721" s="58" t="str">
        <f t="shared" si="79"/>
        <v/>
      </c>
      <c r="J721" s="58" t="str">
        <f t="shared" si="80"/>
        <v/>
      </c>
      <c r="K721" s="59" t="str">
        <f t="shared" si="81"/>
        <v/>
      </c>
      <c r="L721" s="58" t="str">
        <f t="shared" si="82"/>
        <v/>
      </c>
      <c r="M721" s="59" t="str">
        <f t="shared" si="83"/>
        <v/>
      </c>
      <c r="N721" s="60"/>
      <c r="O721" s="60">
        <v>0</v>
      </c>
    </row>
    <row r="722" spans="1:15" ht="15.75" thickBot="1" x14ac:dyDescent="0.3">
      <c r="A722" s="53">
        <v>44916</v>
      </c>
      <c r="D722" s="55"/>
      <c r="E722" s="56"/>
      <c r="F722" s="57"/>
      <c r="G722" s="58"/>
      <c r="H722" s="58"/>
      <c r="I722" s="58" t="str">
        <f t="shared" si="79"/>
        <v/>
      </c>
      <c r="J722" s="58" t="str">
        <f t="shared" si="80"/>
        <v/>
      </c>
      <c r="K722" s="59" t="str">
        <f t="shared" si="81"/>
        <v/>
      </c>
      <c r="L722" s="58" t="str">
        <f t="shared" si="82"/>
        <v/>
      </c>
      <c r="M722" s="59" t="str">
        <f t="shared" si="83"/>
        <v/>
      </c>
      <c r="N722" s="60"/>
      <c r="O722" s="60">
        <v>0</v>
      </c>
    </row>
    <row r="723" spans="1:15" ht="15.75" thickBot="1" x14ac:dyDescent="0.3">
      <c r="A723" s="53">
        <v>44917</v>
      </c>
      <c r="D723" s="55"/>
      <c r="E723" s="56"/>
      <c r="F723" s="57"/>
      <c r="G723" s="58"/>
      <c r="H723" s="58"/>
      <c r="I723" s="58" t="str">
        <f t="shared" si="79"/>
        <v/>
      </c>
      <c r="J723" s="58" t="str">
        <f t="shared" si="80"/>
        <v/>
      </c>
      <c r="K723" s="59" t="str">
        <f t="shared" si="81"/>
        <v/>
      </c>
      <c r="L723" s="58" t="str">
        <f t="shared" si="82"/>
        <v/>
      </c>
      <c r="M723" s="59" t="str">
        <f t="shared" si="83"/>
        <v/>
      </c>
      <c r="N723" s="60"/>
      <c r="O723" s="60">
        <v>0</v>
      </c>
    </row>
    <row r="724" spans="1:15" ht="15.75" thickBot="1" x14ac:dyDescent="0.3">
      <c r="A724" s="53">
        <v>44918</v>
      </c>
      <c r="D724" s="55"/>
      <c r="E724" s="56"/>
      <c r="F724" s="57"/>
      <c r="G724" s="58"/>
      <c r="H724" s="58"/>
      <c r="I724" s="58" t="str">
        <f t="shared" si="79"/>
        <v/>
      </c>
      <c r="J724" s="58" t="str">
        <f t="shared" si="80"/>
        <v/>
      </c>
      <c r="K724" s="59" t="str">
        <f t="shared" si="81"/>
        <v/>
      </c>
      <c r="L724" s="58" t="str">
        <f t="shared" si="82"/>
        <v/>
      </c>
      <c r="M724" s="59" t="str">
        <f t="shared" si="83"/>
        <v/>
      </c>
      <c r="N724" s="60"/>
      <c r="O724" s="60">
        <v>0</v>
      </c>
    </row>
    <row r="725" spans="1:15" ht="15.75" thickBot="1" x14ac:dyDescent="0.3">
      <c r="A725" s="53">
        <v>44919</v>
      </c>
      <c r="D725" s="55"/>
      <c r="E725" s="56"/>
      <c r="F725" s="57"/>
      <c r="G725" s="58"/>
      <c r="H725" s="58"/>
      <c r="I725" s="58" t="str">
        <f t="shared" si="79"/>
        <v/>
      </c>
      <c r="J725" s="58" t="str">
        <f t="shared" si="80"/>
        <v/>
      </c>
      <c r="K725" s="59" t="str">
        <f t="shared" si="81"/>
        <v/>
      </c>
      <c r="L725" s="58" t="str">
        <f t="shared" si="82"/>
        <v/>
      </c>
      <c r="M725" s="59" t="str">
        <f t="shared" si="83"/>
        <v/>
      </c>
      <c r="N725" s="60"/>
      <c r="O725" s="60">
        <v>0</v>
      </c>
    </row>
    <row r="726" spans="1:15" ht="15.75" thickBot="1" x14ac:dyDescent="0.3">
      <c r="A726" s="53">
        <v>44920</v>
      </c>
      <c r="D726" s="55"/>
      <c r="E726" s="56"/>
      <c r="F726" s="57"/>
      <c r="G726" s="58"/>
      <c r="H726" s="58"/>
      <c r="I726" s="58" t="str">
        <f t="shared" si="79"/>
        <v/>
      </c>
      <c r="J726" s="58" t="str">
        <f t="shared" si="80"/>
        <v/>
      </c>
      <c r="K726" s="59" t="str">
        <f t="shared" si="81"/>
        <v/>
      </c>
      <c r="L726" s="58" t="str">
        <f t="shared" si="82"/>
        <v/>
      </c>
      <c r="M726" s="59" t="str">
        <f t="shared" si="83"/>
        <v/>
      </c>
      <c r="N726" s="60"/>
      <c r="O726" s="60">
        <v>0</v>
      </c>
    </row>
    <row r="727" spans="1:15" ht="15.75" thickBot="1" x14ac:dyDescent="0.3">
      <c r="A727" s="53">
        <v>44921</v>
      </c>
      <c r="D727" s="55"/>
      <c r="E727" s="56"/>
      <c r="F727" s="57"/>
      <c r="G727" s="58"/>
      <c r="H727" s="58"/>
      <c r="I727" s="58" t="str">
        <f t="shared" si="79"/>
        <v/>
      </c>
      <c r="J727" s="58" t="str">
        <f t="shared" si="80"/>
        <v/>
      </c>
      <c r="K727" s="59" t="str">
        <f t="shared" si="81"/>
        <v/>
      </c>
      <c r="L727" s="58" t="str">
        <f t="shared" si="82"/>
        <v/>
      </c>
      <c r="M727" s="59" t="str">
        <f t="shared" si="83"/>
        <v/>
      </c>
      <c r="N727" s="60"/>
      <c r="O727" s="60">
        <v>0</v>
      </c>
    </row>
    <row r="728" spans="1:15" ht="15.75" thickBot="1" x14ac:dyDescent="0.3">
      <c r="A728" s="53">
        <v>44922</v>
      </c>
      <c r="D728" s="55"/>
      <c r="E728" s="56"/>
      <c r="F728" s="57"/>
      <c r="G728" s="58"/>
      <c r="H728" s="58"/>
      <c r="I728" s="58" t="str">
        <f t="shared" si="79"/>
        <v/>
      </c>
      <c r="J728" s="58" t="str">
        <f t="shared" si="80"/>
        <v/>
      </c>
      <c r="K728" s="59" t="str">
        <f t="shared" si="81"/>
        <v/>
      </c>
      <c r="L728" s="58" t="str">
        <f t="shared" si="82"/>
        <v/>
      </c>
      <c r="M728" s="59" t="str">
        <f t="shared" si="83"/>
        <v/>
      </c>
      <c r="N728" s="60"/>
      <c r="O728" s="60">
        <v>0</v>
      </c>
    </row>
    <row r="729" spans="1:15" ht="15.75" thickBot="1" x14ac:dyDescent="0.3">
      <c r="A729" s="53">
        <v>44923</v>
      </c>
      <c r="D729" s="55"/>
      <c r="E729" s="56"/>
      <c r="F729" s="57"/>
      <c r="G729" s="58"/>
      <c r="H729" s="58"/>
      <c r="I729" s="58" t="str">
        <f t="shared" si="79"/>
        <v/>
      </c>
      <c r="J729" s="58" t="str">
        <f t="shared" si="80"/>
        <v/>
      </c>
      <c r="K729" s="59" t="str">
        <f t="shared" si="81"/>
        <v/>
      </c>
      <c r="L729" s="58" t="str">
        <f t="shared" si="82"/>
        <v/>
      </c>
      <c r="M729" s="59" t="str">
        <f t="shared" si="83"/>
        <v/>
      </c>
      <c r="N729" s="60"/>
      <c r="O729" s="60">
        <v>0</v>
      </c>
    </row>
    <row r="730" spans="1:15" ht="15.75" thickBot="1" x14ac:dyDescent="0.3">
      <c r="A730" s="53">
        <v>44924</v>
      </c>
      <c r="D730" s="55"/>
      <c r="E730" s="56"/>
      <c r="F730" s="57"/>
      <c r="G730" s="58"/>
      <c r="H730" s="58"/>
      <c r="I730" s="58" t="str">
        <f t="shared" si="79"/>
        <v/>
      </c>
      <c r="J730" s="58" t="str">
        <f t="shared" si="80"/>
        <v/>
      </c>
      <c r="K730" s="59" t="str">
        <f t="shared" si="81"/>
        <v/>
      </c>
      <c r="L730" s="58" t="str">
        <f t="shared" si="82"/>
        <v/>
      </c>
      <c r="M730" s="59" t="str">
        <f t="shared" si="83"/>
        <v/>
      </c>
      <c r="N730" s="60"/>
      <c r="O730" s="60">
        <v>0</v>
      </c>
    </row>
    <row r="731" spans="1:15" ht="15.75" thickBot="1" x14ac:dyDescent="0.3">
      <c r="A731" s="53">
        <v>44925</v>
      </c>
      <c r="D731" s="55"/>
      <c r="E731" s="56"/>
      <c r="F731" s="57"/>
      <c r="G731" s="58"/>
      <c r="H731" s="58"/>
      <c r="I731" s="58" t="str">
        <f t="shared" si="79"/>
        <v/>
      </c>
      <c r="J731" s="58" t="str">
        <f t="shared" si="80"/>
        <v/>
      </c>
      <c r="K731" s="59" t="str">
        <f t="shared" si="81"/>
        <v/>
      </c>
      <c r="L731" s="58" t="str">
        <f t="shared" si="82"/>
        <v/>
      </c>
      <c r="M731" s="59" t="str">
        <f t="shared" si="83"/>
        <v/>
      </c>
      <c r="N731" s="60"/>
      <c r="O731" s="60">
        <v>0</v>
      </c>
    </row>
    <row r="732" spans="1:15" x14ac:dyDescent="0.25">
      <c r="A732" s="53">
        <v>44926</v>
      </c>
      <c r="D732" s="55"/>
      <c r="E732" s="56"/>
      <c r="F732" s="57"/>
      <c r="G732" s="58"/>
      <c r="H732" s="58"/>
      <c r="I732" s="58" t="str">
        <f t="shared" si="79"/>
        <v/>
      </c>
      <c r="J732" s="58" t="str">
        <f t="shared" si="80"/>
        <v/>
      </c>
      <c r="K732" s="59" t="str">
        <f t="shared" si="81"/>
        <v/>
      </c>
      <c r="L732" s="58" t="str">
        <f t="shared" si="82"/>
        <v/>
      </c>
      <c r="M732" s="59" t="str">
        <f t="shared" si="83"/>
        <v/>
      </c>
      <c r="N732" s="60"/>
      <c r="O732" s="60">
        <v>0</v>
      </c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2022-01-03T07:15:18Z</dcterms:modified>
  <cp:category/>
  <cp:contentStatus/>
</cp:coreProperties>
</file>