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D32" i="3" l="1"/>
  <c r="B32" i="3"/>
  <c r="L32" i="1" l="1"/>
  <c r="K32" i="1"/>
  <c r="J32" i="1"/>
  <c r="I32" i="1"/>
  <c r="H32" i="1"/>
  <c r="G32" i="1"/>
  <c r="E32" i="1"/>
  <c r="D32" i="1"/>
  <c r="B32" i="1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<sst xmlns="http://schemas.openxmlformats.org/spreadsheetml/2006/main" count="109" uniqueCount="34">
  <si>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</si>
  <si>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</si>
  <si>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</si>
  <si>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</si>
  <si>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</si>
  <si>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</si>
  <si>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</si>
  <si>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</si>
  <si>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</si>
  <si>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</si>
  <si>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</si>
  <si>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</si>
  <si>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</si>
  <si>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</si>
  <si>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</si>
  <si>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</si>
  <si>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</si>
  <si>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</si>
  <si>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</si>
  <si>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</si>
  <si>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</si>
  <si>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</si>
  <si>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</si>
  <si>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</si>
  <si>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</si>
  <si>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</si>
  <si>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</si>
  <si>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</si>
  <si>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</si>
  <si>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</si>
  <si>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</si>
  <si>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</si>
  <si>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</si>
  <si>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Fuite piscine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</si>
</sst>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9"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f>Submetering!D2</f>
        <v>2022</v>
      </c>
      <c r="E2" s="20">
        <f>Submetering!E2</f>
        <v>7989.68</v>
      </c>
      <c r="F2" s="16">
        <v>0.12</v>
      </c>
      <c r="G2" s="20">
        <f>Submetering!F2+Submetering!G2</f>
        <v>426.66</v>
      </c>
      <c r="H2" s="16">
        <f>0.09793*10.7</f>
        <v>1.0478509999999999</v>
      </c>
      <c r="I2" s="20">
        <f>Submetering!J2+Submetering!I2+Submetering!H2</f>
        <v>77.64</v>
      </c>
      <c r="J2" s="16">
        <v>3.7390400000000001</v>
      </c>
      <c r="K2" s="20">
        <f>Submetering!K2</f>
        <v>62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12</v>
      </c>
      <c r="D3" s="9">
        <f>Submetering!D3</f>
        <v>2022</v>
      </c>
      <c r="E3" s="20">
        <f>Submetering!E3</f>
        <v>8198.48</v>
      </c>
      <c r="F3" s="16">
        <v>0.12</v>
      </c>
      <c r="G3" s="20">
        <f>Submetering!F3+Submetering!G3</f>
        <v>343.47</v>
      </c>
      <c r="H3" s="16">
        <f>H2</f>
        <v>1.0478509999999999</v>
      </c>
      <c r="I3" s="20">
        <f>Submetering!J3+Submetering!I3+Submetering!H3</f>
        <v>87.02</v>
      </c>
      <c r="J3" s="16">
        <f>J2</f>
        <v>3.7390400000000001</v>
      </c>
      <c r="K3" s="20">
        <f>Submetering!K3</f>
        <v>64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12</v>
      </c>
      <c r="D4" s="9">
        <f>Submetering!D4</f>
        <v>2022</v>
      </c>
      <c r="E4" s="20">
        <f>Submetering!E4</f>
        <v>7884.56</v>
      </c>
      <c r="F4" s="16">
        <v>0.12</v>
      </c>
      <c r="G4" s="20">
        <f>Submetering!F4+Submetering!G4</f>
        <v>515.03</v>
      </c>
      <c r="H4" s="16">
        <f t="shared" ref="H4:H32" si="2">H3</f>
        <v>1.0478509999999999</v>
      </c>
      <c r="I4" s="20">
        <f>Submetering!J4+Submetering!I4+Submetering!H4</f>
        <v>84</v>
      </c>
      <c r="J4" s="16">
        <f t="shared" ref="J4:J32" si="3">J3</f>
        <v>3.7390400000000001</v>
      </c>
      <c r="K4" s="20">
        <f>Submetering!K4</f>
        <v>71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12</v>
      </c>
      <c r="D5" s="9">
        <f>Submetering!D5</f>
        <v>2022</v>
      </c>
      <c r="E5" s="20">
        <f>Submetering!E5</f>
        <v>0</v>
      </c>
      <c r="F5" s="16">
        <v>0.12</v>
      </c>
      <c r="G5" s="20">
        <f>Submetering!F5+Submetering!G5</f>
        <v>0</v>
      </c>
      <c r="H5" s="16">
        <f t="shared" si="2"/>
        <v>1.0478509999999999</v>
      </c>
      <c r="I5" s="20">
        <f>Submetering!J5+Submetering!I5+Submetering!H5</f>
        <v>0</v>
      </c>
      <c r="J5" s="16">
        <f t="shared" si="3"/>
        <v>3.7390400000000001</v>
      </c>
      <c r="K5" s="20">
        <f>Submetering!K5</f>
        <v>47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12</v>
      </c>
      <c r="D6" s="9">
        <f>Submetering!D6</f>
        <v>2022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f t="shared" si="2"/>
        <v>1.0478509999999999</v>
      </c>
      <c r="I6" s="20">
        <f>Submetering!J6+Submetering!I6+Submetering!H6</f>
        <v>0</v>
      </c>
      <c r="J6" s="16">
        <f t="shared" si="3"/>
        <v>3.7390400000000001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12</v>
      </c>
      <c r="D7" s="9">
        <f>Submetering!D7</f>
        <v>2022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f t="shared" si="2"/>
        <v>1.0478509999999999</v>
      </c>
      <c r="I7" s="20">
        <f>Submetering!J7+Submetering!I7+Submetering!H7</f>
        <v>0</v>
      </c>
      <c r="J7" s="16">
        <f t="shared" si="3"/>
        <v>3.7390400000000001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12</v>
      </c>
      <c r="D8" s="9">
        <f>Submetering!D8</f>
        <v>2022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f t="shared" si="2"/>
        <v>1.0478509999999999</v>
      </c>
      <c r="I8" s="20">
        <f>Submetering!J8+Submetering!I8+Submetering!H8</f>
        <v>0</v>
      </c>
      <c r="J8" s="16">
        <f t="shared" si="3"/>
        <v>3.7390400000000001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12</v>
      </c>
      <c r="D9" s="9">
        <f>Submetering!D9</f>
        <v>2022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f t="shared" si="2"/>
        <v>1.0478509999999999</v>
      </c>
      <c r="I9" s="20">
        <f>Submetering!J9+Submetering!I9+Submetering!H9</f>
        <v>0</v>
      </c>
      <c r="J9" s="16">
        <f t="shared" si="3"/>
        <v>3.7390400000000001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12</v>
      </c>
      <c r="D10" s="9">
        <f>Submetering!D10</f>
        <v>2022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f t="shared" si="2"/>
        <v>1.0478509999999999</v>
      </c>
      <c r="I10" s="20">
        <f>Submetering!J10+Submetering!I10+Submetering!H10</f>
        <v>0</v>
      </c>
      <c r="J10" s="16">
        <f t="shared" si="3"/>
        <v>3.7390400000000001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12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f t="shared" si="2"/>
        <v>1.0478509999999999</v>
      </c>
      <c r="I11" s="20">
        <f>Submetering!J11+Submetering!I11+Submetering!H11</f>
        <v>0</v>
      </c>
      <c r="J11" s="16">
        <f t="shared" si="3"/>
        <v>3.7390400000000001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12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f t="shared" si="2"/>
        <v>1.0478509999999999</v>
      </c>
      <c r="I12" s="20">
        <f>Submetering!J12+Submetering!I12+Submetering!H12</f>
        <v>0</v>
      </c>
      <c r="J12" s="16">
        <f t="shared" si="3"/>
        <v>3.7390400000000001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12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f t="shared" si="2"/>
        <v>1.0478509999999999</v>
      </c>
      <c r="I13" s="20">
        <f>Submetering!J13+Submetering!I13+Submetering!H13</f>
        <v>0</v>
      </c>
      <c r="J13" s="16">
        <f t="shared" si="3"/>
        <v>3.7390400000000001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12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f t="shared" si="2"/>
        <v>1.0478509999999999</v>
      </c>
      <c r="I14" s="20">
        <f>Submetering!J14+Submetering!I14+Submetering!H14</f>
        <v>0</v>
      </c>
      <c r="J14" s="16">
        <f t="shared" si="3"/>
        <v>3.7390400000000001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12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f t="shared" si="2"/>
        <v>1.0478509999999999</v>
      </c>
      <c r="I15" s="20">
        <f>Submetering!J15+Submetering!I15+Submetering!H15</f>
        <v>0</v>
      </c>
      <c r="J15" s="16">
        <f t="shared" si="3"/>
        <v>3.7390400000000001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12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f t="shared" si="2"/>
        <v>1.0478509999999999</v>
      </c>
      <c r="I16" s="20">
        <f>Submetering!J16+Submetering!I16+Submetering!H16</f>
        <v>0</v>
      </c>
      <c r="J16" s="16">
        <f t="shared" si="3"/>
        <v>3.7390400000000001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12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f t="shared" si="2"/>
        <v>1.0478509999999999</v>
      </c>
      <c r="I17" s="20">
        <f>Submetering!J17+Submetering!I17+Submetering!H17</f>
        <v>0</v>
      </c>
      <c r="J17" s="16">
        <f t="shared" si="3"/>
        <v>3.7390400000000001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12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f t="shared" si="2"/>
        <v>1.0478509999999999</v>
      </c>
      <c r="I18" s="20">
        <f>Submetering!J18+Submetering!I18+Submetering!H18</f>
        <v>0</v>
      </c>
      <c r="J18" s="16">
        <f t="shared" si="3"/>
        <v>3.7390400000000001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12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f t="shared" si="2"/>
        <v>1.0478509999999999</v>
      </c>
      <c r="I19" s="20">
        <f>Submetering!J19+Submetering!I19+Submetering!H19</f>
        <v>0</v>
      </c>
      <c r="J19" s="16">
        <f t="shared" si="3"/>
        <v>3.7390400000000001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12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1.0478509999999999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12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12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12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12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12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12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12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12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12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12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12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12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4" sqref="H4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12</v>
      </c>
      <c r="D2" s="40">
        <v>2022</v>
      </c>
      <c r="E2" s="37">
        <v>7989.68</v>
      </c>
      <c r="F2" s="37">
        <v>405.23</v>
      </c>
      <c r="G2" s="37">
        <v>21.43</v>
      </c>
      <c r="H2" s="37">
        <v>1.64</v>
      </c>
      <c r="I2" s="37">
        <v>50</v>
      </c>
      <c r="J2" s="37">
        <v>26</v>
      </c>
      <c r="K2">
        <v>62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12</v>
      </c>
      <c r="D3" s="40">
        <f>D2</f>
        <v>2022</v>
      </c>
      <c r="E3" s="37">
        <v>8198.48</v>
      </c>
      <c r="F3" s="37">
        <v>333</v>
      </c>
      <c r="G3" s="37">
        <v>10.47</v>
      </c>
      <c r="H3" s="37">
        <v>2.02</v>
      </c>
      <c r="I3" s="37">
        <v>56.5</v>
      </c>
      <c r="J3" s="37">
        <v>28.5</v>
      </c>
      <c r="K3">
        <v>64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12</v>
      </c>
      <c r="D4" s="40">
        <f t="shared" ref="D4:D32" si="2">D3</f>
        <v>2022</v>
      </c>
      <c r="E4" s="37">
        <v>7884.56</v>
      </c>
      <c r="F4" s="37">
        <v>494.1</v>
      </c>
      <c r="G4" s="37">
        <v>20.93</v>
      </c>
      <c r="H4" s="37"/>
      <c r="I4" s="37">
        <v>57</v>
      </c>
      <c r="J4" s="37">
        <v>27</v>
      </c>
      <c r="K4" s="6">
        <v>71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12</v>
      </c>
      <c r="D5" s="40">
        <f t="shared" si="2"/>
        <v>2022</v>
      </c>
      <c r="E5" s="37"/>
      <c r="F5" s="37"/>
      <c r="G5" s="37"/>
      <c r="H5" s="37"/>
      <c r="I5" s="37"/>
      <c r="J5" s="37"/>
      <c r="K5" s="6">
        <v>47</v>
      </c>
      <c r="M5" t="s">
        <v>33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12</v>
      </c>
      <c r="D6" s="40">
        <f t="shared" si="2"/>
        <v>2022</v>
      </c>
      <c r="E6" s="37"/>
      <c r="F6" s="37"/>
      <c r="G6" s="37"/>
      <c r="H6" s="37"/>
      <c r="I6" s="37"/>
      <c r="J6" s="37"/>
      <c r="K6" s="6"/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12</v>
      </c>
      <c r="D7" s="40">
        <f t="shared" si="2"/>
        <v>2022</v>
      </c>
      <c r="E7" s="37"/>
      <c r="F7" s="37"/>
      <c r="G7" s="37"/>
      <c r="H7" s="37"/>
      <c r="I7" s="37"/>
      <c r="J7" s="37"/>
      <c r="K7" s="6"/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12</v>
      </c>
      <c r="D8" s="40">
        <f t="shared" si="2"/>
        <v>2022</v>
      </c>
      <c r="E8" s="37"/>
      <c r="F8" s="37"/>
      <c r="G8" s="37"/>
      <c r="H8" s="37"/>
      <c r="I8" s="37"/>
      <c r="J8" s="37"/>
      <c r="K8" s="6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12</v>
      </c>
      <c r="D9" s="40">
        <f t="shared" si="2"/>
        <v>2022</v>
      </c>
      <c r="E9" s="37"/>
      <c r="F9" s="37"/>
      <c r="G9" s="37"/>
      <c r="H9" s="37"/>
      <c r="I9" s="37"/>
      <c r="J9" s="37"/>
      <c r="K9" s="6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12</v>
      </c>
      <c r="D10" s="40">
        <f t="shared" si="2"/>
        <v>2022</v>
      </c>
      <c r="E10" s="37"/>
      <c r="F10" s="37"/>
      <c r="G10" s="37"/>
      <c r="H10" s="37"/>
      <c r="I10" s="37"/>
      <c r="J10" s="37"/>
      <c r="K10" s="6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12</v>
      </c>
      <c r="D11" s="40">
        <f t="shared" si="2"/>
        <v>2022</v>
      </c>
      <c r="E11" s="37"/>
      <c r="F11" s="37"/>
      <c r="G11" s="37"/>
      <c r="H11" s="37"/>
      <c r="I11" s="37"/>
      <c r="J11" s="37"/>
      <c r="K11" s="6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12</v>
      </c>
      <c r="D12" s="40">
        <f t="shared" si="2"/>
        <v>2022</v>
      </c>
      <c r="E12" s="37"/>
      <c r="F12" s="37"/>
      <c r="G12" s="37"/>
      <c r="H12" s="37"/>
      <c r="I12" s="37"/>
      <c r="J12" s="37"/>
      <c r="K12" s="6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12</v>
      </c>
      <c r="D13" s="40">
        <f t="shared" si="2"/>
        <v>2022</v>
      </c>
      <c r="E13" s="37"/>
      <c r="F13" s="37"/>
      <c r="G13" s="37"/>
      <c r="H13" s="37"/>
      <c r="I13" s="37"/>
      <c r="J13" s="37"/>
      <c r="K13" s="6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12</v>
      </c>
      <c r="D14" s="40">
        <f t="shared" si="2"/>
        <v>2022</v>
      </c>
      <c r="E14" s="37"/>
      <c r="F14" s="37"/>
      <c r="G14" s="37"/>
      <c r="H14" s="37"/>
      <c r="I14" s="37"/>
      <c r="J14" s="37"/>
      <c r="K14" s="6"/>
    </row>
    <row r="15" spans="1:17" x14ac:dyDescent="0.25">
      <c r="A15" s="17" t="s">
        <v>32</v>
      </c>
      <c r="B15" s="6">
        <f t="shared" si="0"/>
        <v>14</v>
      </c>
      <c r="C15" s="6">
        <f t="shared" si="1"/>
        <v>12</v>
      </c>
      <c r="D15" s="40">
        <f t="shared" si="2"/>
        <v>2022</v>
      </c>
      <c r="E15" s="37"/>
      <c r="F15" s="37"/>
      <c r="G15" s="37"/>
      <c r="H15" s="37"/>
      <c r="I15" s="37"/>
      <c r="J15" s="37"/>
      <c r="K15" s="6"/>
    </row>
    <row r="16" spans="1:17" x14ac:dyDescent="0.25">
      <c r="A16" s="17" t="s">
        <v>32</v>
      </c>
      <c r="B16" s="6">
        <f t="shared" si="0"/>
        <v>15</v>
      </c>
      <c r="C16" s="6">
        <f t="shared" si="1"/>
        <v>12</v>
      </c>
      <c r="D16" s="40">
        <f t="shared" si="2"/>
        <v>2022</v>
      </c>
      <c r="E16" s="37"/>
      <c r="F16" s="37"/>
      <c r="G16" s="37"/>
      <c r="H16" s="37"/>
      <c r="I16" s="37"/>
      <c r="J16" s="37"/>
      <c r="K16" s="6"/>
    </row>
    <row r="17" spans="1:13" x14ac:dyDescent="0.25">
      <c r="A17" s="17" t="s">
        <v>32</v>
      </c>
      <c r="B17" s="6">
        <f t="shared" si="0"/>
        <v>16</v>
      </c>
      <c r="C17" s="6">
        <f t="shared" si="1"/>
        <v>12</v>
      </c>
      <c r="D17" s="40">
        <f t="shared" si="2"/>
        <v>2022</v>
      </c>
      <c r="E17" s="37"/>
      <c r="F17" s="37"/>
      <c r="G17" s="37"/>
      <c r="H17" s="37"/>
      <c r="I17" s="37"/>
      <c r="J17" s="37"/>
      <c r="K17" s="6"/>
    </row>
    <row r="18" spans="1:13" x14ac:dyDescent="0.25">
      <c r="A18" s="17" t="s">
        <v>32</v>
      </c>
      <c r="B18" s="6">
        <f t="shared" si="0"/>
        <v>17</v>
      </c>
      <c r="C18" s="6">
        <f t="shared" si="1"/>
        <v>12</v>
      </c>
      <c r="D18" s="40">
        <f t="shared" si="2"/>
        <v>2022</v>
      </c>
      <c r="E18" s="37"/>
      <c r="F18" s="37"/>
      <c r="G18" s="37"/>
      <c r="H18" s="37"/>
      <c r="I18" s="37"/>
      <c r="J18" s="37"/>
      <c r="K18" s="6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12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12</v>
      </c>
      <c r="D20" s="40">
        <f t="shared" si="2"/>
        <v>2022</v>
      </c>
      <c r="E20" s="37"/>
      <c r="F20" s="37"/>
      <c r="G20" s="37"/>
      <c r="H20" s="37"/>
      <c r="I20" s="37"/>
      <c r="J20" s="37"/>
      <c r="K20" s="6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12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12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12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12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12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12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12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12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12</v>
      </c>
      <c r="D29" s="6">
        <f t="shared" si="2"/>
        <v>2022</v>
      </c>
      <c r="E29" s="37"/>
      <c r="F29" s="37"/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12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12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12</v>
      </c>
      <c r="D32" s="6">
        <f t="shared" si="2"/>
        <v>2022</v>
      </c>
      <c r="K32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2022-12-05T07:55:13Z</dcterms:modified>
</cp:coreProperties>
</file>