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9" i="9" l="1"/>
  <c r="R30" i="9"/>
  <c r="R31" i="9"/>
  <c r="R32" i="9"/>
  <c r="Q29" i="9"/>
  <c r="Q30" i="9"/>
  <c r="Q31" i="9"/>
  <c r="Q32" i="9"/>
  <c r="P29" i="9"/>
  <c r="P30" i="9"/>
  <c r="P31" i="9"/>
  <c r="P32" i="9"/>
  <c r="O29" i="9"/>
  <c r="O30" i="9"/>
  <c r="O31" i="9"/>
  <c r="O32" i="9"/>
  <c r="N29" i="9"/>
  <c r="N30" i="9"/>
  <c r="N31" i="9"/>
  <c r="M29" i="9"/>
  <c r="M30" i="9"/>
  <c r="M31" i="9"/>
  <c r="M32" i="9"/>
  <c r="L29" i="9"/>
  <c r="L30" i="9"/>
  <c r="L31" i="9"/>
  <c r="L32" i="9"/>
  <c r="K29" i="9"/>
  <c r="K30" i="9"/>
  <c r="K31" i="9"/>
  <c r="K32" i="9"/>
  <c r="J29" i="9"/>
  <c r="J30" i="9"/>
  <c r="J31" i="9"/>
  <c r="J32" i="9"/>
  <c r="I29" i="9"/>
  <c r="I30" i="9"/>
  <c r="I31" i="9"/>
  <c r="I32" i="9"/>
  <c r="H29" i="9"/>
  <c r="H30" i="9"/>
  <c r="H31" i="9"/>
  <c r="H32" i="9"/>
  <c r="G29" i="9"/>
  <c r="G30" i="9"/>
  <c r="G31" i="9"/>
  <c r="G32" i="9"/>
  <c r="F29" i="9"/>
  <c r="F30" i="9"/>
  <c r="F31" i="9"/>
  <c r="F32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AC35" i="7"/>
  <c r="AC36" i="7"/>
  <c r="AC37" i="7"/>
  <c r="I29" i="5" l="1"/>
  <c r="S29" i="9"/>
  <c r="Q35" i="7" l="1"/>
  <c r="Q34" i="7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3" i="7" l="1"/>
  <c r="R28" i="9"/>
  <c r="AO33" i="7"/>
  <c r="N28" i="9"/>
  <c r="AN33" i="7"/>
  <c r="M28" i="9"/>
  <c r="AM33" i="7"/>
  <c r="L28" i="9"/>
  <c r="AG33" i="7"/>
  <c r="F28" i="9"/>
  <c r="AW32" i="7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5" i="9"/>
  <c r="G25" i="5" s="1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W27" i="7"/>
  <c r="R22" i="9"/>
  <c r="AO27" i="7"/>
  <c r="N22" i="9"/>
  <c r="AK27" i="7"/>
  <c r="J22" i="9"/>
  <c r="AJ28" i="7"/>
  <c r="I23" i="9"/>
  <c r="AI27" i="7"/>
  <c r="H22" i="9"/>
  <c r="AH27" i="7"/>
  <c r="G22" i="9"/>
  <c r="AG27" i="7"/>
  <c r="F22" i="9"/>
  <c r="AF28" i="7"/>
  <c r="E23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R20" i="9"/>
  <c r="G20" i="5" s="1"/>
  <c r="S38" i="7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<sst xmlns="http://schemas.openxmlformats.org/spreadsheetml/2006/main" count="128" uniqueCount="49">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</sst>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62400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80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61690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59430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62940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62120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65850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119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55670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71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59990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74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57430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88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63650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92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61550</v>
      </c>
      <c r="F24" s="11">
        <v>5.0000000000000001E-3</v>
      </c>
      <c r="G24" s="12">
        <f>Submetering!R24</f>
        <v>1012.2186339999998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62670</v>
      </c>
      <c r="F25" s="11">
        <v>5.0000000000000001E-3</v>
      </c>
      <c r="G25" s="12">
        <f>Submetering!R25</f>
        <v>922.88295799999992</v>
      </c>
      <c r="H25" s="11">
        <v>0.52800000000000002</v>
      </c>
      <c r="I25" s="12">
        <f>Hotel!B30</f>
        <v>146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62650</v>
      </c>
      <c r="F26" s="11">
        <v>5.0000000000000001E-3</v>
      </c>
      <c r="G26" s="12">
        <f>Submetering!R26</f>
        <v>934.61772900000005</v>
      </c>
      <c r="H26" s="11">
        <v>0.52800000000000002</v>
      </c>
      <c r="I26" s="12">
        <f>Hotel!B31</f>
        <v>168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94140</v>
      </c>
      <c r="F27" s="11">
        <v>5.0000000000000001E-3</v>
      </c>
      <c r="G27" s="12">
        <f>Submetering!R27</f>
        <v>1033.4169299999999</v>
      </c>
      <c r="H27" s="11">
        <v>0.52800000000000002</v>
      </c>
      <c r="I27" s="12">
        <f>Hotel!B32</f>
        <v>133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1020</v>
      </c>
      <c r="F14" s="4">
        <f>Hotel!R19</f>
        <v>12990</v>
      </c>
      <c r="G14" s="4">
        <f>Hotel!S19</f>
        <v>3250</v>
      </c>
      <c r="H14" s="4">
        <f>Hotel!T19</f>
        <v>1650</v>
      </c>
      <c r="I14" s="4">
        <f>Hotel!U19</f>
        <v>4400</v>
      </c>
      <c r="J14" s="4">
        <f>Hotel!V19</f>
        <v>3350</v>
      </c>
      <c r="K14" s="4">
        <f>Hotel!W19</f>
        <v>2380</v>
      </c>
      <c r="L14" s="4">
        <f>Hotel!X19</f>
        <v>3690</v>
      </c>
      <c r="M14" s="4">
        <f>Hotel!Y19</f>
        <v>4630</v>
      </c>
      <c r="N14" s="4">
        <f>Hotel!Z19</f>
        <v>2510</v>
      </c>
      <c r="O14" s="4">
        <f>Hotel!AA19</f>
        <v>3250</v>
      </c>
      <c r="P14" s="4">
        <f>Hotel!AB19</f>
        <v>7110</v>
      </c>
      <c r="Q14" s="4">
        <f>Hotel!AC19</f>
        <v>12170</v>
      </c>
      <c r="R14" s="4">
        <f>Hotel!AV19*0.00378541*100</f>
        <v>0</v>
      </c>
      <c r="S14" s="4">
        <f>Hotel!B19</f>
        <v>80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1010</v>
      </c>
      <c r="F15" s="4">
        <f>Hotel!R20</f>
        <v>13000</v>
      </c>
      <c r="G15" s="4">
        <f>Hotel!S20</f>
        <v>3290</v>
      </c>
      <c r="H15" s="4">
        <f>Hotel!T20</f>
        <v>1620</v>
      </c>
      <c r="I15" s="4">
        <f>Hotel!U20</f>
        <v>4360</v>
      </c>
      <c r="J15" s="4">
        <f>Hotel!V20</f>
        <v>3320</v>
      </c>
      <c r="K15" s="4">
        <f>Hotel!W20</f>
        <v>2370</v>
      </c>
      <c r="L15" s="4">
        <f>Hotel!X20</f>
        <v>3390</v>
      </c>
      <c r="M15" s="4">
        <f>Hotel!Y20</f>
        <v>4620</v>
      </c>
      <c r="N15" s="4">
        <f>Hotel!Z20</f>
        <v>2470</v>
      </c>
      <c r="O15" s="4">
        <f>Hotel!AA20</f>
        <v>3270</v>
      </c>
      <c r="P15" s="4">
        <f>Hotel!AB20</f>
        <v>6960</v>
      </c>
      <c r="Q15" s="4">
        <f>Hotel!AC20</f>
        <v>12010</v>
      </c>
      <c r="R15" s="4">
        <f>Hotel!AV20*0.00378541*100</f>
        <v>0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980</v>
      </c>
      <c r="F16" s="4">
        <f>Hotel!R21</f>
        <v>12730</v>
      </c>
      <c r="G16" s="4">
        <f>Hotel!S21</f>
        <v>3240</v>
      </c>
      <c r="H16" s="4">
        <f>Hotel!T21</f>
        <v>1590</v>
      </c>
      <c r="I16" s="4">
        <f>Hotel!U21</f>
        <v>4260</v>
      </c>
      <c r="J16" s="4">
        <f>Hotel!V21</f>
        <v>3290</v>
      </c>
      <c r="K16" s="4">
        <f>Hotel!W21</f>
        <v>2330</v>
      </c>
      <c r="L16" s="4">
        <f>Hotel!X21</f>
        <v>3810</v>
      </c>
      <c r="M16" s="4">
        <f>Hotel!Y21</f>
        <v>4560</v>
      </c>
      <c r="N16" s="4">
        <f>Hotel!Z21</f>
        <v>2380</v>
      </c>
      <c r="O16" s="4">
        <f>Hotel!AA21</f>
        <v>3010</v>
      </c>
      <c r="P16" s="4">
        <f>Hotel!AB21</f>
        <v>6840</v>
      </c>
      <c r="Q16" s="4">
        <f>Hotel!AC21</f>
        <v>10410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1030</v>
      </c>
      <c r="F17" s="4">
        <f>Hotel!R22</f>
        <v>13070</v>
      </c>
      <c r="G17" s="4">
        <f>Hotel!S22</f>
        <v>3260</v>
      </c>
      <c r="H17" s="4">
        <f>Hotel!T22</f>
        <v>1650</v>
      </c>
      <c r="I17" s="4">
        <f>Hotel!U22</f>
        <v>4450</v>
      </c>
      <c r="J17" s="4">
        <f>Hotel!V22</f>
        <v>3390</v>
      </c>
      <c r="K17" s="4">
        <f>Hotel!W22</f>
        <v>2380</v>
      </c>
      <c r="L17" s="4">
        <f>Hotel!X22</f>
        <v>3960</v>
      </c>
      <c r="M17" s="4">
        <f>Hotel!Y22</f>
        <v>4770</v>
      </c>
      <c r="N17" s="4">
        <f>Hotel!Z22</f>
        <v>2580</v>
      </c>
      <c r="O17" s="4">
        <f>Hotel!AA22</f>
        <v>3050</v>
      </c>
      <c r="P17" s="4">
        <f>Hotel!AB22</f>
        <v>7130</v>
      </c>
      <c r="Q17" s="4">
        <f>Hotel!AC22</f>
        <v>12220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1000</v>
      </c>
      <c r="F18" s="4">
        <f>Hotel!R23</f>
        <v>12850</v>
      </c>
      <c r="G18" s="4">
        <f>Hotel!S23</f>
        <v>3130</v>
      </c>
      <c r="H18" s="4">
        <f>Hotel!T23</f>
        <v>1610</v>
      </c>
      <c r="I18" s="4">
        <f>Hotel!U23</f>
        <v>4420</v>
      </c>
      <c r="J18" s="4">
        <f>Hotel!V23</f>
        <v>3440</v>
      </c>
      <c r="K18" s="4">
        <f>Hotel!W23</f>
        <v>2330</v>
      </c>
      <c r="L18" s="4">
        <f>Hotel!X23</f>
        <v>3960</v>
      </c>
      <c r="M18" s="4">
        <f>Hotel!Y23</f>
        <v>4700</v>
      </c>
      <c r="N18" s="4">
        <f>Hotel!Z23</f>
        <v>2520</v>
      </c>
      <c r="O18" s="4">
        <f>Hotel!AA23</f>
        <v>3180</v>
      </c>
      <c r="P18" s="4">
        <f>Hotel!AB23</f>
        <v>6920</v>
      </c>
      <c r="Q18" s="4">
        <f>Hotel!AC23</f>
        <v>12060</v>
      </c>
      <c r="R18" s="4">
        <f>Hotel!AV23*0.00378541*100</f>
        <v>0</v>
      </c>
      <c r="S18" s="4">
        <f>Hotel!B23</f>
        <v>114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1030</v>
      </c>
      <c r="F19" s="4">
        <f>Hotel!R24</f>
        <v>12590</v>
      </c>
      <c r="G19" s="4">
        <f>Hotel!S24</f>
        <v>3110</v>
      </c>
      <c r="H19" s="4">
        <f>Hotel!T24</f>
        <v>1650</v>
      </c>
      <c r="I19" s="4">
        <f>Hotel!U24</f>
        <v>4520</v>
      </c>
      <c r="J19" s="4">
        <f>Hotel!V24</f>
        <v>3950</v>
      </c>
      <c r="K19" s="4">
        <f>Hotel!W24</f>
        <v>2410</v>
      </c>
      <c r="L19" s="4">
        <f>Hotel!X24</f>
        <v>3910</v>
      </c>
      <c r="M19" s="4">
        <f>Hotel!Y24</f>
        <v>8000</v>
      </c>
      <c r="N19" s="4">
        <f>Hotel!Z24</f>
        <v>2550</v>
      </c>
      <c r="O19" s="4">
        <f>Hotel!AA24</f>
        <v>3400</v>
      </c>
      <c r="P19" s="4">
        <f>Hotel!AB24</f>
        <v>7150</v>
      </c>
      <c r="Q19" s="4">
        <f>Hotel!AC24</f>
        <v>11580</v>
      </c>
      <c r="R19" s="4">
        <f>Hotel!AV24*0.00378541*100</f>
        <v>0</v>
      </c>
      <c r="S19" s="4">
        <f>Hotel!B24</f>
        <v>119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990</v>
      </c>
      <c r="F20" s="4">
        <f>Hotel!R25</f>
        <v>12090</v>
      </c>
      <c r="G20" s="4">
        <f>Hotel!S25</f>
        <v>2960</v>
      </c>
      <c r="H20" s="4">
        <f>Hotel!T25</f>
        <v>1570</v>
      </c>
      <c r="I20" s="4">
        <f>Hotel!U25</f>
        <v>4420</v>
      </c>
      <c r="J20" s="4">
        <f>Hotel!V25</f>
        <v>2730</v>
      </c>
      <c r="K20" s="4">
        <f>Hotel!W25</f>
        <v>2310</v>
      </c>
      <c r="L20" s="4">
        <f>Hotel!X25</f>
        <v>3750</v>
      </c>
      <c r="M20" s="4">
        <f>Hotel!Y25</f>
        <v>1610</v>
      </c>
      <c r="N20" s="4">
        <f>Hotel!Z25</f>
        <v>2360</v>
      </c>
      <c r="O20" s="4">
        <f>Hotel!AA25</f>
        <v>3190</v>
      </c>
      <c r="P20" s="4">
        <f>Hotel!AB25</f>
        <v>6860</v>
      </c>
      <c r="Q20" s="4">
        <f>Hotel!AC25</f>
        <v>10830</v>
      </c>
      <c r="R20" s="4">
        <f>Hotel!AV25*0.00378541*100</f>
        <v>0</v>
      </c>
      <c r="S20" s="4">
        <f>Hotel!B25</f>
        <v>71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1010</v>
      </c>
      <c r="F21" s="4">
        <f>Hotel!R26</f>
        <v>12430</v>
      </c>
      <c r="G21" s="4">
        <f>Hotel!S26</f>
        <v>3040</v>
      </c>
      <c r="H21" s="4">
        <f>Hotel!T26</f>
        <v>1620</v>
      </c>
      <c r="I21" s="4">
        <f>Hotel!U26</f>
        <v>4350</v>
      </c>
      <c r="J21" s="4">
        <f>Hotel!V26</f>
        <v>3280</v>
      </c>
      <c r="K21" s="4">
        <f>Hotel!W26</f>
        <v>2360</v>
      </c>
      <c r="L21" s="4">
        <f>Hotel!X26</f>
        <v>3370</v>
      </c>
      <c r="M21" s="4">
        <f>Hotel!Y26</f>
        <v>4490</v>
      </c>
      <c r="N21" s="4">
        <f>Hotel!Z26</f>
        <v>2400</v>
      </c>
      <c r="O21" s="4">
        <f>Hotel!AA26</f>
        <v>3140</v>
      </c>
      <c r="P21" s="4">
        <f>Hotel!AB26</f>
        <v>7100</v>
      </c>
      <c r="Q21" s="4">
        <f>Hotel!AC26</f>
        <v>11400</v>
      </c>
      <c r="R21" s="4">
        <f>Hotel!AV26*0.00378541*100</f>
        <v>0</v>
      </c>
      <c r="S21" s="4">
        <f>Hotel!B26</f>
        <v>74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1020</v>
      </c>
      <c r="F22" s="4">
        <f>Hotel!R27</f>
        <v>12860</v>
      </c>
      <c r="G22" s="4">
        <f>Hotel!S27</f>
        <v>3220</v>
      </c>
      <c r="H22" s="4">
        <f>Hotel!T27</f>
        <v>1670</v>
      </c>
      <c r="I22" s="4">
        <f>Hotel!U27</f>
        <v>1560</v>
      </c>
      <c r="J22" s="4">
        <f>Hotel!V27</f>
        <v>3300</v>
      </c>
      <c r="K22" s="4">
        <f>Hotel!W27</f>
        <v>2390</v>
      </c>
      <c r="L22" s="4">
        <f>Hotel!X27</f>
        <v>3360</v>
      </c>
      <c r="M22" s="4">
        <f>Hotel!Y27</f>
        <v>4420</v>
      </c>
      <c r="N22" s="4">
        <f>Hotel!Z27</f>
        <v>2490</v>
      </c>
      <c r="O22" s="4">
        <f>Hotel!AA27</f>
        <v>3100</v>
      </c>
      <c r="P22" s="4">
        <f>Hotel!AB27</f>
        <v>7150</v>
      </c>
      <c r="Q22" s="4">
        <f>Hotel!AC27</f>
        <v>10890</v>
      </c>
      <c r="R22" s="4">
        <f>Hotel!AV27*0.00378541*100</f>
        <v>0</v>
      </c>
      <c r="S22" s="4">
        <f>Hotel!B27</f>
        <v>88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1020</v>
      </c>
      <c r="F23" s="4">
        <f>Hotel!R28</f>
        <v>12900</v>
      </c>
      <c r="G23" s="4">
        <f>Hotel!S28</f>
        <v>3260</v>
      </c>
      <c r="H23" s="4">
        <f>Hotel!T28</f>
        <v>1650</v>
      </c>
      <c r="I23" s="4">
        <f>Hotel!U28</f>
        <v>7500</v>
      </c>
      <c r="J23" s="4">
        <f>Hotel!V28</f>
        <v>3360</v>
      </c>
      <c r="K23" s="4">
        <f>Hotel!W28</f>
        <v>2390</v>
      </c>
      <c r="L23" s="4">
        <f>Hotel!X28</f>
        <v>3900</v>
      </c>
      <c r="M23" s="4">
        <f>Hotel!Y28</f>
        <v>4560</v>
      </c>
      <c r="N23" s="4">
        <f>Hotel!Z28</f>
        <v>2440</v>
      </c>
      <c r="O23" s="4">
        <f>Hotel!AA28</f>
        <v>3140</v>
      </c>
      <c r="P23" s="4">
        <f>Hotel!AB28</f>
        <v>6860</v>
      </c>
      <c r="Q23" s="4">
        <f>Hotel!AC28</f>
        <v>10670</v>
      </c>
      <c r="R23" s="4">
        <f>Hotel!AV28*0.00378541*100</f>
        <v>0</v>
      </c>
      <c r="S23" s="4">
        <f>Hotel!B28</f>
        <v>92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1000</v>
      </c>
      <c r="F24" s="4">
        <f>Hotel!R29</f>
        <v>13190</v>
      </c>
      <c r="G24" s="4">
        <f>Hotel!S29</f>
        <v>3380</v>
      </c>
      <c r="H24" s="4">
        <f>Hotel!T29</f>
        <v>1670</v>
      </c>
      <c r="I24" s="4">
        <f>Hotel!U29</f>
        <v>4340</v>
      </c>
      <c r="J24" s="4">
        <f>Hotel!V29</f>
        <v>3420</v>
      </c>
      <c r="K24" s="4">
        <f>Hotel!W29</f>
        <v>2370</v>
      </c>
      <c r="L24" s="4">
        <f>Hotel!X29</f>
        <v>4180</v>
      </c>
      <c r="M24" s="4">
        <f>Hotel!Y29</f>
        <v>4970</v>
      </c>
      <c r="N24" s="4">
        <f>Hotel!Z29</f>
        <v>2490</v>
      </c>
      <c r="O24" s="4">
        <f>Hotel!AA29</f>
        <v>3100</v>
      </c>
      <c r="P24" s="4">
        <f>Hotel!AB29</f>
        <v>6970</v>
      </c>
      <c r="Q24" s="4">
        <f>Hotel!AC29</f>
        <v>10470</v>
      </c>
      <c r="R24" s="4">
        <f>Hotel!AV29*0.00378541*100</f>
        <v>1012.2186339999998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990</v>
      </c>
      <c r="F25" s="4">
        <f>Hotel!R30</f>
        <v>13310</v>
      </c>
      <c r="G25" s="4">
        <f>Hotel!S30</f>
        <v>3440</v>
      </c>
      <c r="H25" s="4">
        <f>Hotel!T30</f>
        <v>1670</v>
      </c>
      <c r="I25" s="4">
        <f>Hotel!U30</f>
        <v>4500</v>
      </c>
      <c r="J25" s="4">
        <f>Hotel!V30</f>
        <v>3480</v>
      </c>
      <c r="K25" s="4">
        <f>Hotel!W30</f>
        <v>2350</v>
      </c>
      <c r="L25" s="4">
        <f>Hotel!X30</f>
        <v>4180</v>
      </c>
      <c r="M25" s="4">
        <f>Hotel!Y30</f>
        <v>5160</v>
      </c>
      <c r="N25" s="4">
        <f>Hotel!Z30</f>
        <v>2610</v>
      </c>
      <c r="O25" s="4">
        <f>Hotel!AA30</f>
        <v>3230</v>
      </c>
      <c r="P25" s="4">
        <f>Hotel!AB30</f>
        <v>7220</v>
      </c>
      <c r="Q25" s="4">
        <f>Hotel!AC30</f>
        <v>10530</v>
      </c>
      <c r="R25" s="4">
        <f>Hotel!AV30*0.00378541*100</f>
        <v>922.88295799999992</v>
      </c>
      <c r="S25" s="4">
        <f>Hotel!B30</f>
        <v>146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980</v>
      </c>
      <c r="F26" s="4">
        <f>Hotel!R31</f>
        <v>13290</v>
      </c>
      <c r="G26" s="4">
        <f>Hotel!S31</f>
        <v>3420</v>
      </c>
      <c r="H26" s="4">
        <f>Hotel!T31</f>
        <v>1660</v>
      </c>
      <c r="I26" s="4">
        <f>Hotel!U31</f>
        <v>4570</v>
      </c>
      <c r="J26" s="4">
        <f>Hotel!V31</f>
        <v>3460</v>
      </c>
      <c r="K26" s="4">
        <f>Hotel!W31</f>
        <v>2300</v>
      </c>
      <c r="L26" s="4">
        <f>Hotel!X31</f>
        <v>4210</v>
      </c>
      <c r="M26" s="4">
        <f>Hotel!Y31</f>
        <v>5140</v>
      </c>
      <c r="N26" s="4">
        <f>Hotel!Z31</f>
        <v>2750</v>
      </c>
      <c r="O26" s="4">
        <f>Hotel!AA31</f>
        <v>3500</v>
      </c>
      <c r="P26" s="4">
        <f>Hotel!AB31</f>
        <v>7320</v>
      </c>
      <c r="Q26" s="4">
        <f>Hotel!AC31</f>
        <v>10050</v>
      </c>
      <c r="R26" s="4">
        <f>Hotel!AV31*0.00378541*100</f>
        <v>934.61772900000005</v>
      </c>
      <c r="S26" s="4">
        <f>Hotel!B31</f>
        <v>168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1020</v>
      </c>
      <c r="F27" s="4">
        <f>Hotel!R32</f>
        <v>13750</v>
      </c>
      <c r="G27" s="4">
        <f>Hotel!S32</f>
        <v>3590</v>
      </c>
      <c r="H27" s="4">
        <f>Hotel!T32</f>
        <v>1680</v>
      </c>
      <c r="I27" s="4">
        <f>Hotel!U32</f>
        <v>4950</v>
      </c>
      <c r="J27" s="4">
        <f>Hotel!V32</f>
        <v>3660</v>
      </c>
      <c r="K27" s="4">
        <f>Hotel!W32</f>
        <v>33370</v>
      </c>
      <c r="L27" s="4">
        <f>Hotel!X32</f>
        <v>4230</v>
      </c>
      <c r="M27" s="4">
        <f>Hotel!Y32</f>
        <v>5070</v>
      </c>
      <c r="N27" s="4">
        <f>Hotel!Z32</f>
        <v>2850</v>
      </c>
      <c r="O27" s="4">
        <f>Hotel!AA32</f>
        <v>3550</v>
      </c>
      <c r="P27" s="4">
        <f>Hotel!AB32</f>
        <v>7250</v>
      </c>
      <c r="Q27" s="4">
        <f>Hotel!AC32</f>
        <v>9170</v>
      </c>
      <c r="R27" s="4">
        <f>Hotel!AV32*0.00378541*100</f>
        <v>1033.4169299999999</v>
      </c>
      <c r="S27" s="4">
        <f>Hotel!B32</f>
        <v>133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Q35" sqref="AQ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>
        <v>80</v>
      </c>
      <c r="C19" s="24">
        <v>6610690</v>
      </c>
      <c r="D19" s="24">
        <v>15680650</v>
      </c>
      <c r="E19" s="24">
        <v>2748800</v>
      </c>
      <c r="F19" s="24">
        <v>3492150</v>
      </c>
      <c r="G19" s="24">
        <v>10399170</v>
      </c>
      <c r="H19" s="24">
        <v>5526520</v>
      </c>
      <c r="I19" s="24">
        <v>5091230</v>
      </c>
      <c r="J19" s="24">
        <v>5925350</v>
      </c>
      <c r="K19" s="24">
        <v>9191810</v>
      </c>
      <c r="L19" s="24">
        <v>3838820</v>
      </c>
      <c r="M19" s="24">
        <v>7907600</v>
      </c>
      <c r="N19" s="24">
        <v>12046860</v>
      </c>
      <c r="O19" s="24">
        <v>16661120</v>
      </c>
      <c r="Q19" s="37">
        <f t="shared" si="16"/>
        <v>1020</v>
      </c>
      <c r="R19" s="37">
        <f t="shared" si="17"/>
        <v>12990</v>
      </c>
      <c r="S19" s="37">
        <f t="shared" si="15"/>
        <v>3250</v>
      </c>
      <c r="T19" s="37">
        <f t="shared" si="18"/>
        <v>1650</v>
      </c>
      <c r="U19" s="37">
        <f t="shared" si="19"/>
        <v>4400</v>
      </c>
      <c r="V19" s="37">
        <f t="shared" si="20"/>
        <v>3350</v>
      </c>
      <c r="W19" s="37">
        <f t="shared" si="21"/>
        <v>2380</v>
      </c>
      <c r="X19" s="37">
        <f t="shared" si="22"/>
        <v>3690</v>
      </c>
      <c r="Y19" s="37">
        <f t="shared" si="23"/>
        <v>4630</v>
      </c>
      <c r="Z19" s="37">
        <f t="shared" si="24"/>
        <v>2510</v>
      </c>
      <c r="AA19" s="37">
        <f t="shared" si="25"/>
        <v>3250</v>
      </c>
      <c r="AB19" s="37">
        <f t="shared" si="26"/>
        <v>7110</v>
      </c>
      <c r="AC19" s="37">
        <f t="shared" si="27"/>
        <v>12170</v>
      </c>
      <c r="AD19" s="35">
        <f t="shared" si="28"/>
        <v>62400</v>
      </c>
      <c r="AF19" s="20">
        <f t="shared" si="1"/>
        <v>5.1000000000000005</v>
      </c>
      <c r="AG19" s="20">
        <f t="shared" si="2"/>
        <v>64.95</v>
      </c>
      <c r="AH19" s="20">
        <f t="shared" si="3"/>
        <v>16.25</v>
      </c>
      <c r="AI19" s="20">
        <f t="shared" si="4"/>
        <v>8.25</v>
      </c>
      <c r="AJ19" s="20">
        <f t="shared" si="5"/>
        <v>22</v>
      </c>
      <c r="AK19" s="20">
        <f t="shared" si="6"/>
        <v>16.75</v>
      </c>
      <c r="AL19" s="20">
        <f t="shared" si="7"/>
        <v>11.9</v>
      </c>
      <c r="AM19" s="20">
        <f t="shared" si="8"/>
        <v>18.45</v>
      </c>
      <c r="AN19" s="20">
        <f t="shared" si="9"/>
        <v>23.150000000000002</v>
      </c>
      <c r="AO19" s="20">
        <f t="shared" si="10"/>
        <v>12.55</v>
      </c>
      <c r="AP19" s="20">
        <f t="shared" si="11"/>
        <v>16.25</v>
      </c>
      <c r="AQ19" s="20">
        <f t="shared" si="12"/>
        <v>35.550000000000004</v>
      </c>
      <c r="AR19" s="20">
        <f t="shared" si="13"/>
        <v>60.85</v>
      </c>
      <c r="AS19" s="35">
        <f t="shared" si="29"/>
        <v>312.00000000000006</v>
      </c>
      <c r="AU19" s="47">
        <v>677581</v>
      </c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>
        <v>73</v>
      </c>
      <c r="C20" s="24">
        <v>6611700</v>
      </c>
      <c r="D20" s="24">
        <v>15693650</v>
      </c>
      <c r="E20" s="24">
        <v>2752090</v>
      </c>
      <c r="F20" s="24">
        <v>3493770</v>
      </c>
      <c r="G20" s="24">
        <v>10403530</v>
      </c>
      <c r="H20" s="24">
        <v>5529840</v>
      </c>
      <c r="I20" s="24">
        <v>5093600</v>
      </c>
      <c r="J20" s="24">
        <v>5928740</v>
      </c>
      <c r="K20" s="24">
        <v>9196430</v>
      </c>
      <c r="L20" s="24">
        <v>3841290</v>
      </c>
      <c r="M20" s="24">
        <v>7910870</v>
      </c>
      <c r="N20" s="24">
        <v>12053820</v>
      </c>
      <c r="O20" s="24">
        <v>16673130</v>
      </c>
      <c r="Q20" s="37">
        <f t="shared" si="16"/>
        <v>1010</v>
      </c>
      <c r="R20" s="37">
        <f t="shared" si="17"/>
        <v>13000</v>
      </c>
      <c r="S20" s="37">
        <f t="shared" si="15"/>
        <v>3290</v>
      </c>
      <c r="T20" s="37">
        <f t="shared" si="18"/>
        <v>1620</v>
      </c>
      <c r="U20" s="37">
        <f t="shared" si="19"/>
        <v>4360</v>
      </c>
      <c r="V20" s="37">
        <f t="shared" si="20"/>
        <v>3320</v>
      </c>
      <c r="W20" s="37">
        <f t="shared" si="21"/>
        <v>2370</v>
      </c>
      <c r="X20" s="37">
        <f t="shared" si="22"/>
        <v>3390</v>
      </c>
      <c r="Y20" s="37">
        <f t="shared" si="23"/>
        <v>4620</v>
      </c>
      <c r="Z20" s="37">
        <f t="shared" si="24"/>
        <v>2470</v>
      </c>
      <c r="AA20" s="37">
        <f t="shared" si="25"/>
        <v>3270</v>
      </c>
      <c r="AB20" s="37">
        <f t="shared" si="26"/>
        <v>6960</v>
      </c>
      <c r="AC20" s="37">
        <f t="shared" si="27"/>
        <v>12010</v>
      </c>
      <c r="AD20" s="35">
        <f t="shared" si="28"/>
        <v>61690</v>
      </c>
      <c r="AF20" s="20">
        <f t="shared" si="1"/>
        <v>5.05</v>
      </c>
      <c r="AG20" s="20">
        <f t="shared" si="2"/>
        <v>65</v>
      </c>
      <c r="AH20" s="20">
        <f t="shared" si="3"/>
        <v>16.45</v>
      </c>
      <c r="AI20" s="20">
        <f t="shared" si="4"/>
        <v>8.1</v>
      </c>
      <c r="AJ20" s="20">
        <f t="shared" si="5"/>
        <v>21.8</v>
      </c>
      <c r="AK20" s="20">
        <f t="shared" si="6"/>
        <v>16.600000000000001</v>
      </c>
      <c r="AL20" s="20">
        <f t="shared" si="7"/>
        <v>11.85</v>
      </c>
      <c r="AM20" s="20">
        <f t="shared" si="8"/>
        <v>16.95</v>
      </c>
      <c r="AN20" s="20">
        <f t="shared" si="9"/>
        <v>23.1</v>
      </c>
      <c r="AO20" s="20">
        <f t="shared" si="10"/>
        <v>12.35</v>
      </c>
      <c r="AP20" s="20">
        <f t="shared" si="11"/>
        <v>16.350000000000001</v>
      </c>
      <c r="AQ20" s="20">
        <f t="shared" si="12"/>
        <v>34.800000000000004</v>
      </c>
      <c r="AR20" s="20">
        <f t="shared" si="13"/>
        <v>60.050000000000004</v>
      </c>
      <c r="AS20" s="35">
        <f t="shared" si="29"/>
        <v>308.45</v>
      </c>
      <c r="AU20" s="47">
        <v>677581</v>
      </c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>
        <v>76</v>
      </c>
      <c r="C21" s="24">
        <v>6612680</v>
      </c>
      <c r="D21" s="24">
        <v>15706380</v>
      </c>
      <c r="E21" s="24">
        <v>2755330</v>
      </c>
      <c r="F21" s="24">
        <v>3495360</v>
      </c>
      <c r="G21" s="24">
        <v>10407790</v>
      </c>
      <c r="H21" s="24">
        <v>5533130</v>
      </c>
      <c r="I21" s="24">
        <v>5095930</v>
      </c>
      <c r="J21" s="24">
        <v>5932550</v>
      </c>
      <c r="K21" s="24">
        <v>9200990</v>
      </c>
      <c r="L21" s="24">
        <v>3843670</v>
      </c>
      <c r="M21" s="24">
        <v>7913880</v>
      </c>
      <c r="N21" s="24">
        <v>12060660</v>
      </c>
      <c r="O21" s="24">
        <v>16683540</v>
      </c>
      <c r="Q21" s="37">
        <f t="shared" si="16"/>
        <v>980</v>
      </c>
      <c r="R21" s="37">
        <f t="shared" si="17"/>
        <v>12730</v>
      </c>
      <c r="S21" s="37">
        <f t="shared" si="15"/>
        <v>3240</v>
      </c>
      <c r="T21" s="37">
        <f t="shared" si="18"/>
        <v>1590</v>
      </c>
      <c r="U21" s="37">
        <f t="shared" si="19"/>
        <v>4260</v>
      </c>
      <c r="V21" s="37">
        <f t="shared" si="20"/>
        <v>3290</v>
      </c>
      <c r="W21" s="37">
        <f t="shared" si="21"/>
        <v>2330</v>
      </c>
      <c r="X21" s="37">
        <f t="shared" si="22"/>
        <v>3810</v>
      </c>
      <c r="Y21" s="37">
        <f t="shared" si="23"/>
        <v>4560</v>
      </c>
      <c r="Z21" s="37">
        <f t="shared" si="24"/>
        <v>2380</v>
      </c>
      <c r="AA21" s="37">
        <f t="shared" si="25"/>
        <v>3010</v>
      </c>
      <c r="AB21" s="37">
        <f t="shared" si="26"/>
        <v>6840</v>
      </c>
      <c r="AC21" s="37">
        <f t="shared" si="27"/>
        <v>10410</v>
      </c>
      <c r="AD21" s="35">
        <f t="shared" si="28"/>
        <v>59430</v>
      </c>
      <c r="AF21" s="20">
        <f t="shared" si="1"/>
        <v>4.9000000000000004</v>
      </c>
      <c r="AG21" s="20">
        <f t="shared" si="2"/>
        <v>63.65</v>
      </c>
      <c r="AH21" s="20">
        <f t="shared" si="3"/>
        <v>16.2</v>
      </c>
      <c r="AI21" s="20">
        <f t="shared" si="4"/>
        <v>7.95</v>
      </c>
      <c r="AJ21" s="20">
        <f t="shared" si="5"/>
        <v>21.3</v>
      </c>
      <c r="AK21" s="20">
        <f t="shared" si="6"/>
        <v>16.45</v>
      </c>
      <c r="AL21" s="20">
        <f t="shared" si="7"/>
        <v>11.65</v>
      </c>
      <c r="AM21" s="20">
        <f t="shared" si="8"/>
        <v>19.05</v>
      </c>
      <c r="AN21" s="20">
        <f t="shared" si="9"/>
        <v>22.8</v>
      </c>
      <c r="AO21" s="20">
        <f t="shared" si="10"/>
        <v>11.9</v>
      </c>
      <c r="AP21" s="20">
        <f t="shared" si="11"/>
        <v>15.05</v>
      </c>
      <c r="AQ21" s="20">
        <f t="shared" si="12"/>
        <v>34.200000000000003</v>
      </c>
      <c r="AR21" s="20">
        <f t="shared" si="13"/>
        <v>52.050000000000004</v>
      </c>
      <c r="AS21" s="35">
        <f t="shared" si="29"/>
        <v>297.15000000000003</v>
      </c>
      <c r="AU21" s="47">
        <v>677581</v>
      </c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>
        <v>75</v>
      </c>
      <c r="C22" s="24">
        <v>6613710</v>
      </c>
      <c r="D22" s="24">
        <v>15719450</v>
      </c>
      <c r="E22" s="24">
        <v>2758590</v>
      </c>
      <c r="F22" s="24">
        <v>3497010</v>
      </c>
      <c r="G22" s="24">
        <v>10412240</v>
      </c>
      <c r="H22" s="24">
        <v>5536520</v>
      </c>
      <c r="I22" s="24">
        <v>5098310</v>
      </c>
      <c r="J22" s="44">
        <v>5936510</v>
      </c>
      <c r="K22" s="24">
        <v>9205760</v>
      </c>
      <c r="L22" s="24">
        <v>3846250</v>
      </c>
      <c r="M22" s="24">
        <v>7916930</v>
      </c>
      <c r="N22" s="24">
        <v>12067790</v>
      </c>
      <c r="O22" s="44">
        <v>16695760</v>
      </c>
      <c r="Q22" s="37">
        <f t="shared" si="16"/>
        <v>1030</v>
      </c>
      <c r="R22" s="37">
        <f t="shared" si="17"/>
        <v>13070</v>
      </c>
      <c r="S22" s="37">
        <f t="shared" si="15"/>
        <v>3260</v>
      </c>
      <c r="T22" s="37">
        <f t="shared" si="18"/>
        <v>1650</v>
      </c>
      <c r="U22" s="37">
        <f t="shared" si="19"/>
        <v>4450</v>
      </c>
      <c r="V22" s="37">
        <f t="shared" si="20"/>
        <v>3390</v>
      </c>
      <c r="W22" s="37">
        <f t="shared" si="21"/>
        <v>2380</v>
      </c>
      <c r="X22" s="37">
        <f t="shared" si="22"/>
        <v>3960</v>
      </c>
      <c r="Y22" s="37">
        <f t="shared" si="23"/>
        <v>4770</v>
      </c>
      <c r="Z22" s="37">
        <f t="shared" si="24"/>
        <v>2580</v>
      </c>
      <c r="AA22" s="37">
        <f t="shared" si="25"/>
        <v>3050</v>
      </c>
      <c r="AB22" s="37">
        <f t="shared" si="26"/>
        <v>7130</v>
      </c>
      <c r="AC22" s="37">
        <f t="shared" si="27"/>
        <v>12220</v>
      </c>
      <c r="AD22" s="35">
        <f t="shared" si="28"/>
        <v>62940</v>
      </c>
      <c r="AF22" s="20">
        <f t="shared" si="1"/>
        <v>5.15</v>
      </c>
      <c r="AG22" s="20">
        <f t="shared" si="2"/>
        <v>65.349999999999994</v>
      </c>
      <c r="AH22" s="20">
        <f t="shared" si="3"/>
        <v>16.3</v>
      </c>
      <c r="AI22" s="20">
        <f t="shared" si="4"/>
        <v>8.25</v>
      </c>
      <c r="AJ22" s="20">
        <f t="shared" si="5"/>
        <v>22.25</v>
      </c>
      <c r="AK22" s="20">
        <f t="shared" si="6"/>
        <v>16.95</v>
      </c>
      <c r="AL22" s="20">
        <f t="shared" si="7"/>
        <v>11.9</v>
      </c>
      <c r="AM22" s="20">
        <f t="shared" si="8"/>
        <v>19.8</v>
      </c>
      <c r="AN22" s="20">
        <f t="shared" si="9"/>
        <v>23.85</v>
      </c>
      <c r="AO22" s="20">
        <f t="shared" si="10"/>
        <v>12.9</v>
      </c>
      <c r="AP22" s="20">
        <f t="shared" si="11"/>
        <v>15.25</v>
      </c>
      <c r="AQ22" s="20">
        <f t="shared" si="12"/>
        <v>35.65</v>
      </c>
      <c r="AR22" s="20">
        <f t="shared" si="13"/>
        <v>61.1</v>
      </c>
      <c r="AS22" s="35">
        <f t="shared" si="29"/>
        <v>314.70000000000005</v>
      </c>
      <c r="AU22" s="47">
        <v>677581</v>
      </c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>
        <v>114</v>
      </c>
      <c r="C23" s="24">
        <v>6614710</v>
      </c>
      <c r="D23" s="24">
        <v>15732300</v>
      </c>
      <c r="E23" s="24">
        <v>2761720</v>
      </c>
      <c r="F23" s="24">
        <v>3498620</v>
      </c>
      <c r="G23" s="24">
        <v>10416660</v>
      </c>
      <c r="H23" s="24">
        <v>5539960</v>
      </c>
      <c r="I23" s="24">
        <v>5100640</v>
      </c>
      <c r="J23" s="24">
        <v>5940470</v>
      </c>
      <c r="K23" s="24">
        <v>9210460</v>
      </c>
      <c r="L23" s="24">
        <v>3848770</v>
      </c>
      <c r="M23" s="24">
        <v>7920110</v>
      </c>
      <c r="N23" s="24">
        <v>12074710</v>
      </c>
      <c r="O23" s="24">
        <v>16707820</v>
      </c>
      <c r="Q23" s="37">
        <f t="shared" si="16"/>
        <v>1000</v>
      </c>
      <c r="R23" s="37">
        <f t="shared" si="17"/>
        <v>12850</v>
      </c>
      <c r="S23" s="37">
        <f t="shared" si="15"/>
        <v>3130</v>
      </c>
      <c r="T23" s="37">
        <f t="shared" si="18"/>
        <v>1610</v>
      </c>
      <c r="U23" s="37">
        <f t="shared" si="19"/>
        <v>4420</v>
      </c>
      <c r="V23" s="37">
        <f t="shared" si="20"/>
        <v>3440</v>
      </c>
      <c r="W23" s="37">
        <f t="shared" si="21"/>
        <v>2330</v>
      </c>
      <c r="X23" s="37">
        <f t="shared" si="22"/>
        <v>3960</v>
      </c>
      <c r="Y23" s="37">
        <f t="shared" si="23"/>
        <v>4700</v>
      </c>
      <c r="Z23" s="37">
        <f t="shared" si="24"/>
        <v>2520</v>
      </c>
      <c r="AA23" s="37">
        <f t="shared" si="25"/>
        <v>3180</v>
      </c>
      <c r="AB23" s="37">
        <f t="shared" si="26"/>
        <v>6920</v>
      </c>
      <c r="AC23" s="37">
        <f t="shared" si="27"/>
        <v>12060</v>
      </c>
      <c r="AD23" s="35">
        <f t="shared" si="28"/>
        <v>62120</v>
      </c>
      <c r="AF23" s="20">
        <f t="shared" si="1"/>
        <v>5</v>
      </c>
      <c r="AG23" s="20">
        <f t="shared" si="2"/>
        <v>64.25</v>
      </c>
      <c r="AH23" s="20">
        <f t="shared" si="3"/>
        <v>15.65</v>
      </c>
      <c r="AI23" s="20">
        <f t="shared" si="4"/>
        <v>8.0500000000000007</v>
      </c>
      <c r="AJ23" s="20">
        <f t="shared" si="5"/>
        <v>22.1</v>
      </c>
      <c r="AK23" s="20">
        <f t="shared" si="6"/>
        <v>17.2</v>
      </c>
      <c r="AL23" s="20">
        <f t="shared" si="7"/>
        <v>11.65</v>
      </c>
      <c r="AM23" s="20">
        <f t="shared" si="8"/>
        <v>19.8</v>
      </c>
      <c r="AN23" s="20">
        <f t="shared" si="9"/>
        <v>23.5</v>
      </c>
      <c r="AO23" s="20">
        <f t="shared" si="10"/>
        <v>12.6</v>
      </c>
      <c r="AP23" s="20">
        <f t="shared" si="11"/>
        <v>15.9</v>
      </c>
      <c r="AQ23" s="20">
        <f t="shared" si="12"/>
        <v>34.6</v>
      </c>
      <c r="AR23" s="20">
        <f t="shared" si="13"/>
        <v>60.300000000000004</v>
      </c>
      <c r="AS23" s="35">
        <f t="shared" si="29"/>
        <v>310.60000000000002</v>
      </c>
      <c r="AU23" s="47">
        <v>677581</v>
      </c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>
        <v>119</v>
      </c>
      <c r="C24" s="24">
        <v>6615740</v>
      </c>
      <c r="D24" s="24">
        <v>15744890</v>
      </c>
      <c r="E24" s="24">
        <v>2764830</v>
      </c>
      <c r="F24" s="24">
        <v>3500270</v>
      </c>
      <c r="G24" s="24">
        <v>10421180</v>
      </c>
      <c r="H24" s="24">
        <v>5543910</v>
      </c>
      <c r="I24" s="24">
        <v>5103050</v>
      </c>
      <c r="J24" s="24">
        <v>5944380</v>
      </c>
      <c r="K24" s="24">
        <v>9218460</v>
      </c>
      <c r="L24" s="24">
        <v>3851320</v>
      </c>
      <c r="M24" s="24">
        <v>7923510</v>
      </c>
      <c r="N24" s="24">
        <v>12081860</v>
      </c>
      <c r="O24" s="24">
        <v>16719400</v>
      </c>
      <c r="Q24" s="37">
        <f t="shared" si="16"/>
        <v>1030</v>
      </c>
      <c r="R24" s="37">
        <f t="shared" si="17"/>
        <v>12590</v>
      </c>
      <c r="S24" s="37">
        <f t="shared" si="15"/>
        <v>3110</v>
      </c>
      <c r="T24" s="37">
        <f t="shared" si="18"/>
        <v>1650</v>
      </c>
      <c r="U24" s="37">
        <f t="shared" si="19"/>
        <v>4520</v>
      </c>
      <c r="V24" s="37">
        <f t="shared" si="20"/>
        <v>3950</v>
      </c>
      <c r="W24" s="37">
        <f t="shared" si="21"/>
        <v>2410</v>
      </c>
      <c r="X24" s="37">
        <f t="shared" si="22"/>
        <v>3910</v>
      </c>
      <c r="Y24" s="37">
        <f t="shared" si="23"/>
        <v>8000</v>
      </c>
      <c r="Z24" s="37">
        <f t="shared" si="24"/>
        <v>2550</v>
      </c>
      <c r="AA24" s="37">
        <f t="shared" si="25"/>
        <v>3400</v>
      </c>
      <c r="AB24" s="37">
        <f t="shared" si="26"/>
        <v>7150</v>
      </c>
      <c r="AC24" s="37">
        <f t="shared" si="27"/>
        <v>11580</v>
      </c>
      <c r="AD24" s="35">
        <f t="shared" si="28"/>
        <v>65850</v>
      </c>
      <c r="AF24" s="20">
        <f t="shared" si="1"/>
        <v>5.15</v>
      </c>
      <c r="AG24" s="20">
        <f t="shared" si="2"/>
        <v>62.95</v>
      </c>
      <c r="AH24" s="20">
        <f t="shared" si="3"/>
        <v>15.55</v>
      </c>
      <c r="AI24" s="20">
        <f t="shared" si="4"/>
        <v>8.25</v>
      </c>
      <c r="AJ24" s="20">
        <f t="shared" si="5"/>
        <v>22.6</v>
      </c>
      <c r="AK24" s="20">
        <f t="shared" si="6"/>
        <v>19.75</v>
      </c>
      <c r="AL24" s="20">
        <f t="shared" si="7"/>
        <v>12.05</v>
      </c>
      <c r="AM24" s="20">
        <f t="shared" si="8"/>
        <v>19.55</v>
      </c>
      <c r="AN24" s="20">
        <f t="shared" si="9"/>
        <v>40</v>
      </c>
      <c r="AO24" s="20">
        <f t="shared" si="10"/>
        <v>12.75</v>
      </c>
      <c r="AP24" s="20">
        <f t="shared" si="11"/>
        <v>17</v>
      </c>
      <c r="AQ24" s="20">
        <f t="shared" si="12"/>
        <v>35.75</v>
      </c>
      <c r="AR24" s="20">
        <f t="shared" si="13"/>
        <v>57.9</v>
      </c>
      <c r="AS24" s="35">
        <f t="shared" si="29"/>
        <v>329.25</v>
      </c>
      <c r="AU24" s="47">
        <v>677581</v>
      </c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>
        <v>71</v>
      </c>
      <c r="C25" s="24">
        <v>6616730</v>
      </c>
      <c r="D25" s="24">
        <v>15756980</v>
      </c>
      <c r="E25" s="24">
        <v>2767790</v>
      </c>
      <c r="F25" s="24">
        <v>3501840</v>
      </c>
      <c r="G25" s="24">
        <v>10425600</v>
      </c>
      <c r="H25" s="24">
        <v>5546640</v>
      </c>
      <c r="I25" s="24">
        <v>5105360</v>
      </c>
      <c r="J25" s="24">
        <v>5948130</v>
      </c>
      <c r="K25" s="24">
        <v>9220070</v>
      </c>
      <c r="L25" s="24">
        <v>3853680</v>
      </c>
      <c r="M25" s="24">
        <v>7926700</v>
      </c>
      <c r="N25" s="24">
        <v>12088720</v>
      </c>
      <c r="O25" s="24">
        <v>16730230</v>
      </c>
      <c r="Q25" s="37">
        <f t="shared" ref="Q25:AC27" si="33">IF((C25-C24&lt;0), "0",C25-C24)</f>
        <v>990</v>
      </c>
      <c r="R25" s="37">
        <f t="shared" si="33"/>
        <v>12090</v>
      </c>
      <c r="S25" s="37">
        <f t="shared" si="33"/>
        <v>2960</v>
      </c>
      <c r="T25" s="37">
        <f t="shared" si="33"/>
        <v>1570</v>
      </c>
      <c r="U25" s="37">
        <f t="shared" si="33"/>
        <v>4420</v>
      </c>
      <c r="V25" s="37">
        <f t="shared" si="33"/>
        <v>2730</v>
      </c>
      <c r="W25" s="37">
        <f t="shared" si="33"/>
        <v>2310</v>
      </c>
      <c r="X25" s="37">
        <f t="shared" si="33"/>
        <v>3750</v>
      </c>
      <c r="Y25" s="37">
        <f t="shared" si="33"/>
        <v>1610</v>
      </c>
      <c r="Z25" s="37">
        <f t="shared" si="33"/>
        <v>2360</v>
      </c>
      <c r="AA25" s="37">
        <f t="shared" si="33"/>
        <v>3190</v>
      </c>
      <c r="AB25" s="37">
        <f t="shared" si="33"/>
        <v>6860</v>
      </c>
      <c r="AC25" s="37">
        <f t="shared" si="33"/>
        <v>10830</v>
      </c>
      <c r="AD25" s="35">
        <f t="shared" si="28"/>
        <v>55670</v>
      </c>
      <c r="AF25" s="20">
        <f t="shared" si="1"/>
        <v>4.95</v>
      </c>
      <c r="AG25" s="20">
        <f t="shared" si="2"/>
        <v>60.45</v>
      </c>
      <c r="AH25" s="20">
        <f t="shared" si="3"/>
        <v>14.8</v>
      </c>
      <c r="AI25" s="20">
        <f t="shared" si="4"/>
        <v>7.8500000000000005</v>
      </c>
      <c r="AJ25" s="20">
        <f t="shared" si="5"/>
        <v>22.1</v>
      </c>
      <c r="AK25" s="20">
        <f t="shared" si="6"/>
        <v>13.65</v>
      </c>
      <c r="AL25" s="20">
        <f t="shared" si="7"/>
        <v>11.55</v>
      </c>
      <c r="AM25" s="20">
        <f t="shared" si="8"/>
        <v>18.75</v>
      </c>
      <c r="AN25" s="20">
        <f t="shared" si="9"/>
        <v>8.0500000000000007</v>
      </c>
      <c r="AO25" s="20">
        <f t="shared" si="10"/>
        <v>11.8</v>
      </c>
      <c r="AP25" s="20">
        <f t="shared" si="11"/>
        <v>15.950000000000001</v>
      </c>
      <c r="AQ25" s="20">
        <f t="shared" si="12"/>
        <v>34.300000000000004</v>
      </c>
      <c r="AR25" s="20">
        <f t="shared" si="13"/>
        <v>54.15</v>
      </c>
      <c r="AS25" s="35">
        <f t="shared" si="29"/>
        <v>278.35000000000002</v>
      </c>
      <c r="AU25" s="47">
        <v>677581</v>
      </c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>
        <v>74</v>
      </c>
      <c r="C26" s="24">
        <v>6617740</v>
      </c>
      <c r="D26" s="24">
        <v>15769410</v>
      </c>
      <c r="E26" s="24">
        <v>2770830</v>
      </c>
      <c r="F26" s="24">
        <v>3503460</v>
      </c>
      <c r="G26" s="24">
        <v>10429950</v>
      </c>
      <c r="H26" s="24">
        <v>5549920</v>
      </c>
      <c r="I26" s="24">
        <v>5107720</v>
      </c>
      <c r="J26" s="24">
        <v>5951500</v>
      </c>
      <c r="K26" s="24">
        <v>9224560</v>
      </c>
      <c r="L26" s="24">
        <v>3856080</v>
      </c>
      <c r="M26" s="24">
        <v>7929840</v>
      </c>
      <c r="N26" s="24">
        <v>12095820</v>
      </c>
      <c r="O26" s="24">
        <v>16741630</v>
      </c>
      <c r="Q26" s="37">
        <f t="shared" si="33"/>
        <v>1010</v>
      </c>
      <c r="R26" s="37">
        <f t="shared" si="33"/>
        <v>12430</v>
      </c>
      <c r="S26" s="37">
        <f t="shared" si="33"/>
        <v>3040</v>
      </c>
      <c r="T26" s="37">
        <f t="shared" si="33"/>
        <v>1620</v>
      </c>
      <c r="U26" s="37">
        <f t="shared" si="33"/>
        <v>4350</v>
      </c>
      <c r="V26" s="37">
        <f t="shared" si="33"/>
        <v>3280</v>
      </c>
      <c r="W26" s="37">
        <f t="shared" si="33"/>
        <v>2360</v>
      </c>
      <c r="X26" s="37">
        <f t="shared" si="33"/>
        <v>3370</v>
      </c>
      <c r="Y26" s="37">
        <f t="shared" si="33"/>
        <v>4490</v>
      </c>
      <c r="Z26" s="37">
        <f t="shared" si="33"/>
        <v>2400</v>
      </c>
      <c r="AA26" s="37">
        <f t="shared" si="33"/>
        <v>3140</v>
      </c>
      <c r="AB26" s="37">
        <f t="shared" si="33"/>
        <v>7100</v>
      </c>
      <c r="AC26" s="37">
        <f t="shared" si="33"/>
        <v>11400</v>
      </c>
      <c r="AD26" s="35">
        <f t="shared" si="28"/>
        <v>59990</v>
      </c>
      <c r="AF26" s="20">
        <f t="shared" si="1"/>
        <v>5.05</v>
      </c>
      <c r="AG26" s="20">
        <f t="shared" si="2"/>
        <v>62.15</v>
      </c>
      <c r="AH26" s="20">
        <f t="shared" si="3"/>
        <v>15.200000000000001</v>
      </c>
      <c r="AI26" s="20">
        <f t="shared" si="4"/>
        <v>8.1</v>
      </c>
      <c r="AJ26" s="20">
        <f t="shared" si="5"/>
        <v>21.75</v>
      </c>
      <c r="AK26" s="20">
        <f t="shared" si="6"/>
        <v>16.399999999999999</v>
      </c>
      <c r="AL26" s="20">
        <f t="shared" si="7"/>
        <v>11.8</v>
      </c>
      <c r="AM26" s="20">
        <f t="shared" si="8"/>
        <v>16.850000000000001</v>
      </c>
      <c r="AN26" s="20">
        <f t="shared" si="9"/>
        <v>22.45</v>
      </c>
      <c r="AO26" s="20">
        <f t="shared" si="10"/>
        <v>12</v>
      </c>
      <c r="AP26" s="20">
        <f t="shared" si="11"/>
        <v>15.700000000000001</v>
      </c>
      <c r="AQ26" s="20">
        <f t="shared" si="12"/>
        <v>35.5</v>
      </c>
      <c r="AR26" s="20">
        <f t="shared" si="13"/>
        <v>57</v>
      </c>
      <c r="AS26" s="35">
        <f t="shared" si="29"/>
        <v>299.95</v>
      </c>
      <c r="AU26" s="47">
        <v>677581</v>
      </c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>
        <v>88</v>
      </c>
      <c r="C27" s="24">
        <v>6618760</v>
      </c>
      <c r="D27" s="24">
        <v>15782270</v>
      </c>
      <c r="E27" s="24">
        <v>2774050</v>
      </c>
      <c r="F27" s="24">
        <v>3505130</v>
      </c>
      <c r="G27" s="24">
        <v>10431510</v>
      </c>
      <c r="H27" s="24">
        <v>5553220</v>
      </c>
      <c r="I27" s="24">
        <v>5110110</v>
      </c>
      <c r="J27" s="24">
        <v>5954860</v>
      </c>
      <c r="K27" s="24">
        <v>9228980</v>
      </c>
      <c r="L27" s="24">
        <v>3858570</v>
      </c>
      <c r="M27" s="24">
        <v>7932940</v>
      </c>
      <c r="N27" s="24">
        <v>12102970</v>
      </c>
      <c r="O27" s="24">
        <v>16752520</v>
      </c>
      <c r="Q27" s="37">
        <f t="shared" si="33"/>
        <v>1020</v>
      </c>
      <c r="R27" s="37">
        <f t="shared" si="33"/>
        <v>12860</v>
      </c>
      <c r="S27" s="37">
        <f t="shared" si="33"/>
        <v>3220</v>
      </c>
      <c r="T27" s="37">
        <f t="shared" si="33"/>
        <v>1670</v>
      </c>
      <c r="U27" s="37">
        <f t="shared" si="33"/>
        <v>1560</v>
      </c>
      <c r="V27" s="37">
        <f t="shared" si="33"/>
        <v>3300</v>
      </c>
      <c r="W27" s="37">
        <f t="shared" si="33"/>
        <v>2390</v>
      </c>
      <c r="X27" s="37">
        <f t="shared" si="33"/>
        <v>3360</v>
      </c>
      <c r="Y27" s="37">
        <f t="shared" si="33"/>
        <v>4420</v>
      </c>
      <c r="Z27" s="37">
        <f t="shared" si="33"/>
        <v>2490</v>
      </c>
      <c r="AA27" s="37">
        <f t="shared" si="33"/>
        <v>3100</v>
      </c>
      <c r="AB27" s="37">
        <f t="shared" si="33"/>
        <v>7150</v>
      </c>
      <c r="AC27" s="37">
        <f t="shared" si="33"/>
        <v>10890</v>
      </c>
      <c r="AD27" s="35">
        <f t="shared" si="28"/>
        <v>57430</v>
      </c>
      <c r="AF27" s="20">
        <f t="shared" si="1"/>
        <v>5.1000000000000005</v>
      </c>
      <c r="AG27" s="20">
        <f t="shared" si="2"/>
        <v>64.3</v>
      </c>
      <c r="AH27" s="20">
        <f t="shared" si="3"/>
        <v>16.100000000000001</v>
      </c>
      <c r="AI27" s="20">
        <f t="shared" si="4"/>
        <v>8.35</v>
      </c>
      <c r="AJ27" s="20">
        <f t="shared" si="5"/>
        <v>7.8</v>
      </c>
      <c r="AK27" s="20">
        <f t="shared" si="6"/>
        <v>16.5</v>
      </c>
      <c r="AL27" s="20">
        <f t="shared" si="7"/>
        <v>11.950000000000001</v>
      </c>
      <c r="AM27" s="20">
        <f t="shared" si="8"/>
        <v>16.8</v>
      </c>
      <c r="AN27" s="20">
        <f t="shared" si="9"/>
        <v>22.1</v>
      </c>
      <c r="AO27" s="20">
        <f t="shared" si="10"/>
        <v>12.450000000000001</v>
      </c>
      <c r="AP27" s="20">
        <f t="shared" si="11"/>
        <v>15.5</v>
      </c>
      <c r="AQ27" s="20">
        <f t="shared" si="12"/>
        <v>35.75</v>
      </c>
      <c r="AR27" s="20">
        <f t="shared" si="13"/>
        <v>54.45</v>
      </c>
      <c r="AS27" s="35">
        <f t="shared" si="29"/>
        <v>287.14999999999998</v>
      </c>
      <c r="AU27" s="47">
        <v>677581</v>
      </c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>
        <v>92</v>
      </c>
      <c r="C28" s="24">
        <v>6619780</v>
      </c>
      <c r="D28" s="24">
        <v>15795170</v>
      </c>
      <c r="E28" s="24">
        <v>2777310</v>
      </c>
      <c r="F28" s="24">
        <v>3506780</v>
      </c>
      <c r="G28" s="24">
        <v>10439010</v>
      </c>
      <c r="H28" s="24">
        <v>5556580</v>
      </c>
      <c r="I28" s="24">
        <v>5112500</v>
      </c>
      <c r="J28" s="24">
        <v>5958760</v>
      </c>
      <c r="K28" s="24">
        <v>9233540</v>
      </c>
      <c r="L28" s="24">
        <v>3861010</v>
      </c>
      <c r="M28" s="24">
        <v>7936080</v>
      </c>
      <c r="N28" s="24">
        <v>12109830</v>
      </c>
      <c r="O28" s="24">
        <v>16763190</v>
      </c>
      <c r="Q28" s="37">
        <f t="shared" si="16"/>
        <v>1020</v>
      </c>
      <c r="R28" s="37">
        <f t="shared" si="17"/>
        <v>12900</v>
      </c>
      <c r="S28" s="37">
        <f t="shared" si="15"/>
        <v>3260</v>
      </c>
      <c r="T28" s="37">
        <f t="shared" si="18"/>
        <v>1650</v>
      </c>
      <c r="U28" s="37">
        <f t="shared" si="19"/>
        <v>7500</v>
      </c>
      <c r="V28" s="37">
        <f t="shared" si="20"/>
        <v>3360</v>
      </c>
      <c r="W28" s="37">
        <f t="shared" si="21"/>
        <v>2390</v>
      </c>
      <c r="X28" s="37">
        <f t="shared" si="22"/>
        <v>3900</v>
      </c>
      <c r="Y28" s="37">
        <f t="shared" si="23"/>
        <v>4560</v>
      </c>
      <c r="Z28" s="37">
        <f t="shared" si="24"/>
        <v>2440</v>
      </c>
      <c r="AA28" s="37">
        <f t="shared" si="25"/>
        <v>3140</v>
      </c>
      <c r="AB28" s="37">
        <f t="shared" si="26"/>
        <v>6860</v>
      </c>
      <c r="AC28" s="37">
        <f t="shared" si="27"/>
        <v>10670</v>
      </c>
      <c r="AD28" s="35">
        <f t="shared" si="28"/>
        <v>63650</v>
      </c>
      <c r="AF28" s="20">
        <f t="shared" si="1"/>
        <v>5.1000000000000005</v>
      </c>
      <c r="AG28" s="20">
        <f t="shared" si="2"/>
        <v>64.5</v>
      </c>
      <c r="AH28" s="20">
        <f t="shared" si="3"/>
        <v>16.3</v>
      </c>
      <c r="AI28" s="20">
        <f t="shared" si="4"/>
        <v>8.25</v>
      </c>
      <c r="AJ28" s="20">
        <f t="shared" si="5"/>
        <v>37.5</v>
      </c>
      <c r="AK28" s="20">
        <f t="shared" si="6"/>
        <v>16.8</v>
      </c>
      <c r="AL28" s="20">
        <f t="shared" si="7"/>
        <v>11.950000000000001</v>
      </c>
      <c r="AM28" s="20">
        <f t="shared" si="8"/>
        <v>19.5</v>
      </c>
      <c r="AN28" s="20">
        <f t="shared" si="9"/>
        <v>22.8</v>
      </c>
      <c r="AO28" s="20">
        <f t="shared" si="10"/>
        <v>12.200000000000001</v>
      </c>
      <c r="AP28" s="20">
        <f t="shared" si="11"/>
        <v>15.700000000000001</v>
      </c>
      <c r="AQ28" s="20">
        <f t="shared" si="12"/>
        <v>34.300000000000004</v>
      </c>
      <c r="AR28" s="20">
        <f t="shared" si="13"/>
        <v>53.35</v>
      </c>
      <c r="AS28" s="35">
        <f t="shared" si="29"/>
        <v>318.25</v>
      </c>
      <c r="AU28" s="47">
        <v>1243</v>
      </c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>
        <v>85</v>
      </c>
      <c r="C29" s="24">
        <v>6620780</v>
      </c>
      <c r="D29" s="24">
        <v>15808360</v>
      </c>
      <c r="E29" s="24">
        <v>2780690</v>
      </c>
      <c r="F29" s="24">
        <v>3508450</v>
      </c>
      <c r="G29" s="24">
        <v>10443350</v>
      </c>
      <c r="H29" s="24">
        <v>5560000</v>
      </c>
      <c r="I29" s="24">
        <v>5114870</v>
      </c>
      <c r="J29" s="24">
        <v>5962940</v>
      </c>
      <c r="K29" s="24">
        <v>9238510</v>
      </c>
      <c r="L29" s="24">
        <v>3863500</v>
      </c>
      <c r="M29" s="24">
        <v>7939180</v>
      </c>
      <c r="N29" s="24">
        <v>12116800</v>
      </c>
      <c r="O29" s="24">
        <v>16773660</v>
      </c>
      <c r="Q29" s="37">
        <f t="shared" si="16"/>
        <v>1000</v>
      </c>
      <c r="R29" s="37">
        <f t="shared" si="17"/>
        <v>13190</v>
      </c>
      <c r="S29" s="37">
        <f t="shared" si="15"/>
        <v>3380</v>
      </c>
      <c r="T29" s="37">
        <f t="shared" si="18"/>
        <v>1670</v>
      </c>
      <c r="U29" s="37">
        <f t="shared" si="19"/>
        <v>4340</v>
      </c>
      <c r="V29" s="37">
        <f t="shared" si="20"/>
        <v>3420</v>
      </c>
      <c r="W29" s="37">
        <f t="shared" si="21"/>
        <v>2370</v>
      </c>
      <c r="X29" s="37">
        <f t="shared" si="22"/>
        <v>4180</v>
      </c>
      <c r="Y29" s="37">
        <f t="shared" si="23"/>
        <v>4970</v>
      </c>
      <c r="Z29" s="37">
        <f t="shared" si="24"/>
        <v>2490</v>
      </c>
      <c r="AA29" s="37">
        <f t="shared" si="25"/>
        <v>3100</v>
      </c>
      <c r="AB29" s="37">
        <f t="shared" si="26"/>
        <v>6970</v>
      </c>
      <c r="AC29" s="37">
        <f t="shared" si="27"/>
        <v>10470</v>
      </c>
      <c r="AD29" s="35">
        <f t="shared" si="28"/>
        <v>61550</v>
      </c>
      <c r="AF29" s="20">
        <f t="shared" si="1"/>
        <v>5</v>
      </c>
      <c r="AG29" s="20">
        <f t="shared" si="2"/>
        <v>65.95</v>
      </c>
      <c r="AH29" s="20">
        <f t="shared" si="3"/>
        <v>16.899999999999999</v>
      </c>
      <c r="AI29" s="20">
        <f t="shared" si="4"/>
        <v>8.35</v>
      </c>
      <c r="AJ29" s="20">
        <f t="shared" si="5"/>
        <v>21.7</v>
      </c>
      <c r="AK29" s="20">
        <f t="shared" si="6"/>
        <v>17.100000000000001</v>
      </c>
      <c r="AL29" s="20">
        <f t="shared" si="7"/>
        <v>11.85</v>
      </c>
      <c r="AM29" s="20">
        <f t="shared" si="8"/>
        <v>20.900000000000002</v>
      </c>
      <c r="AN29" s="20">
        <f t="shared" si="9"/>
        <v>24.85</v>
      </c>
      <c r="AO29" s="20">
        <f t="shared" si="10"/>
        <v>12.450000000000001</v>
      </c>
      <c r="AP29" s="20">
        <f t="shared" si="11"/>
        <v>15.5</v>
      </c>
      <c r="AQ29" s="20">
        <f t="shared" si="12"/>
        <v>34.85</v>
      </c>
      <c r="AR29" s="20">
        <f t="shared" si="13"/>
        <v>52.35</v>
      </c>
      <c r="AS29" s="35">
        <f t="shared" si="29"/>
        <v>307.75</v>
      </c>
      <c r="AU29" s="47">
        <v>3917</v>
      </c>
      <c r="AV29" s="37">
        <f t="shared" ref="AV29:AV35" si="34">IF((AU29-AU28&lt;0),"0",AU29-AU28)</f>
        <v>2674</v>
      </c>
      <c r="AW29" s="35">
        <f t="shared" si="30"/>
        <v>5.3479999999999999</v>
      </c>
    </row>
    <row r="30" spans="1:49" x14ac:dyDescent="0.25">
      <c r="A30" s="23">
        <v>44371</v>
      </c>
      <c r="B30" s="40">
        <v>146</v>
      </c>
      <c r="C30" s="24">
        <v>6621770</v>
      </c>
      <c r="D30" s="24">
        <v>15821670</v>
      </c>
      <c r="E30" s="24">
        <v>2784130</v>
      </c>
      <c r="F30" s="24">
        <v>3510120</v>
      </c>
      <c r="G30" s="24">
        <v>10447850</v>
      </c>
      <c r="H30" s="24">
        <v>5563480</v>
      </c>
      <c r="I30" s="24">
        <v>5117220</v>
      </c>
      <c r="J30" s="24">
        <v>5967120</v>
      </c>
      <c r="K30" s="24">
        <v>9243670</v>
      </c>
      <c r="L30" s="24">
        <v>3866110</v>
      </c>
      <c r="M30" s="24">
        <v>7942410</v>
      </c>
      <c r="N30" s="24">
        <v>12124020</v>
      </c>
      <c r="O30" s="24">
        <v>16784190</v>
      </c>
      <c r="Q30" s="37">
        <f t="shared" si="16"/>
        <v>990</v>
      </c>
      <c r="R30" s="37">
        <f t="shared" si="17"/>
        <v>13310</v>
      </c>
      <c r="S30" s="37">
        <f t="shared" si="15"/>
        <v>3440</v>
      </c>
      <c r="T30" s="37">
        <f t="shared" si="18"/>
        <v>1670</v>
      </c>
      <c r="U30" s="37">
        <f t="shared" si="19"/>
        <v>4500</v>
      </c>
      <c r="V30" s="37">
        <f t="shared" si="20"/>
        <v>3480</v>
      </c>
      <c r="W30" s="37">
        <f t="shared" si="21"/>
        <v>2350</v>
      </c>
      <c r="X30" s="37">
        <f t="shared" si="22"/>
        <v>4180</v>
      </c>
      <c r="Y30" s="37">
        <f t="shared" si="23"/>
        <v>5160</v>
      </c>
      <c r="Z30" s="37">
        <f t="shared" si="24"/>
        <v>2610</v>
      </c>
      <c r="AA30" s="37">
        <f t="shared" si="25"/>
        <v>3230</v>
      </c>
      <c r="AB30" s="37">
        <f t="shared" si="26"/>
        <v>7220</v>
      </c>
      <c r="AC30" s="37">
        <f t="shared" si="27"/>
        <v>10530</v>
      </c>
      <c r="AD30" s="35">
        <f t="shared" si="28"/>
        <v>62670</v>
      </c>
      <c r="AF30" s="20">
        <f t="shared" si="1"/>
        <v>4.95</v>
      </c>
      <c r="AG30" s="20">
        <f t="shared" si="2"/>
        <v>66.55</v>
      </c>
      <c r="AH30" s="20">
        <f t="shared" si="3"/>
        <v>17.2</v>
      </c>
      <c r="AI30" s="20">
        <f t="shared" si="4"/>
        <v>8.35</v>
      </c>
      <c r="AJ30" s="20">
        <f t="shared" si="5"/>
        <v>22.5</v>
      </c>
      <c r="AK30" s="20">
        <f t="shared" si="6"/>
        <v>17.400000000000002</v>
      </c>
      <c r="AL30" s="20">
        <f t="shared" si="7"/>
        <v>11.75</v>
      </c>
      <c r="AM30" s="20">
        <f t="shared" si="8"/>
        <v>20.900000000000002</v>
      </c>
      <c r="AN30" s="20">
        <f t="shared" si="9"/>
        <v>25.8</v>
      </c>
      <c r="AO30" s="20">
        <f t="shared" si="10"/>
        <v>13.05</v>
      </c>
      <c r="AP30" s="20">
        <f t="shared" si="11"/>
        <v>16.149999999999999</v>
      </c>
      <c r="AQ30" s="20">
        <f t="shared" si="12"/>
        <v>36.1</v>
      </c>
      <c r="AR30" s="20">
        <f t="shared" si="13"/>
        <v>52.65</v>
      </c>
      <c r="AS30" s="35">
        <f t="shared" si="29"/>
        <v>313.35000000000002</v>
      </c>
      <c r="AU30" s="47">
        <v>6355</v>
      </c>
      <c r="AV30" s="37">
        <f t="shared" si="34"/>
        <v>2438</v>
      </c>
      <c r="AW30" s="35">
        <f t="shared" si="30"/>
        <v>4.8760000000000003</v>
      </c>
    </row>
    <row r="31" spans="1:49" x14ac:dyDescent="0.25">
      <c r="A31" s="23">
        <v>44372</v>
      </c>
      <c r="B31" s="40">
        <v>168</v>
      </c>
      <c r="C31" s="24">
        <v>6622750</v>
      </c>
      <c r="D31" s="24">
        <v>15834960</v>
      </c>
      <c r="E31" s="24">
        <v>2787550</v>
      </c>
      <c r="F31" s="24">
        <v>3511780</v>
      </c>
      <c r="G31" s="24">
        <v>10452420</v>
      </c>
      <c r="H31" s="24">
        <v>5566940</v>
      </c>
      <c r="I31" s="24">
        <v>5119520</v>
      </c>
      <c r="J31" s="24">
        <v>5971330</v>
      </c>
      <c r="K31" s="24">
        <v>9248810</v>
      </c>
      <c r="L31" s="24">
        <v>3868860</v>
      </c>
      <c r="M31" s="24">
        <v>7945910</v>
      </c>
      <c r="N31" s="24">
        <v>12131340</v>
      </c>
      <c r="O31" s="24">
        <v>16794240</v>
      </c>
      <c r="Q31" s="37">
        <f>IF((C31-C30&lt;0), "0",C31-C30)</f>
        <v>980</v>
      </c>
      <c r="R31" s="37">
        <f t="shared" si="17"/>
        <v>13290</v>
      </c>
      <c r="S31" s="37">
        <f t="shared" si="15"/>
        <v>3420</v>
      </c>
      <c r="T31" s="37">
        <f t="shared" si="18"/>
        <v>1660</v>
      </c>
      <c r="U31" s="37">
        <f t="shared" si="19"/>
        <v>4570</v>
      </c>
      <c r="V31" s="37">
        <f t="shared" si="20"/>
        <v>3460</v>
      </c>
      <c r="W31" s="37">
        <f t="shared" si="21"/>
        <v>2300</v>
      </c>
      <c r="X31" s="37">
        <f t="shared" si="22"/>
        <v>4210</v>
      </c>
      <c r="Y31" s="37">
        <f t="shared" si="23"/>
        <v>5140</v>
      </c>
      <c r="Z31" s="37">
        <f t="shared" si="24"/>
        <v>2750</v>
      </c>
      <c r="AA31" s="37">
        <f t="shared" si="25"/>
        <v>3500</v>
      </c>
      <c r="AB31" s="37">
        <f t="shared" si="26"/>
        <v>7320</v>
      </c>
      <c r="AC31" s="37">
        <f t="shared" si="27"/>
        <v>10050</v>
      </c>
      <c r="AD31" s="35">
        <f t="shared" si="28"/>
        <v>62650</v>
      </c>
      <c r="AF31" s="20">
        <f t="shared" si="1"/>
        <v>4.9000000000000004</v>
      </c>
      <c r="AG31" s="20">
        <f t="shared" si="2"/>
        <v>66.45</v>
      </c>
      <c r="AH31" s="20">
        <f t="shared" si="3"/>
        <v>17.100000000000001</v>
      </c>
      <c r="AI31" s="20">
        <f t="shared" si="4"/>
        <v>8.3000000000000007</v>
      </c>
      <c r="AJ31" s="20">
        <f t="shared" si="5"/>
        <v>22.85</v>
      </c>
      <c r="AK31" s="20">
        <f t="shared" si="6"/>
        <v>17.3</v>
      </c>
      <c r="AL31" s="20">
        <f t="shared" si="7"/>
        <v>11.5</v>
      </c>
      <c r="AM31" s="20">
        <f t="shared" si="8"/>
        <v>21.05</v>
      </c>
      <c r="AN31" s="20">
        <f t="shared" si="9"/>
        <v>25.7</v>
      </c>
      <c r="AO31" s="20">
        <f t="shared" si="10"/>
        <v>13.75</v>
      </c>
      <c r="AP31" s="20">
        <f t="shared" si="11"/>
        <v>17.5</v>
      </c>
      <c r="AQ31" s="20">
        <f t="shared" si="12"/>
        <v>36.6</v>
      </c>
      <c r="AR31" s="20">
        <f t="shared" si="13"/>
        <v>50.25</v>
      </c>
      <c r="AS31" s="35">
        <f t="shared" si="29"/>
        <v>313.25000000000006</v>
      </c>
      <c r="AU31" s="47">
        <v>8824</v>
      </c>
      <c r="AV31" s="37">
        <f t="shared" si="34"/>
        <v>2469</v>
      </c>
      <c r="AW31" s="35">
        <f t="shared" si="30"/>
        <v>4.9379999999999997</v>
      </c>
    </row>
    <row r="32" spans="1:49" x14ac:dyDescent="0.25">
      <c r="A32" s="23">
        <v>44373</v>
      </c>
      <c r="B32" s="40">
        <v>133</v>
      </c>
      <c r="C32" s="24">
        <v>6623770</v>
      </c>
      <c r="D32" s="24">
        <v>15848710</v>
      </c>
      <c r="E32" s="24">
        <v>2791140</v>
      </c>
      <c r="F32" s="24">
        <v>3513460</v>
      </c>
      <c r="G32" s="24">
        <v>10457370</v>
      </c>
      <c r="H32" s="24">
        <v>5570600</v>
      </c>
      <c r="I32" s="24">
        <v>5152890</v>
      </c>
      <c r="J32" s="24">
        <v>5975560</v>
      </c>
      <c r="K32" s="24">
        <v>9253880</v>
      </c>
      <c r="L32" s="24">
        <v>3871710</v>
      </c>
      <c r="M32" s="24">
        <v>7949460</v>
      </c>
      <c r="N32" s="24">
        <v>12138590</v>
      </c>
      <c r="O32" s="24">
        <v>16803410</v>
      </c>
      <c r="Q32" s="37">
        <f>IF((C32-C31&lt;0), "0",C32-C31)</f>
        <v>1020</v>
      </c>
      <c r="R32" s="37">
        <f t="shared" si="17"/>
        <v>13750</v>
      </c>
      <c r="S32" s="37">
        <f t="shared" si="15"/>
        <v>3590</v>
      </c>
      <c r="T32" s="37">
        <f t="shared" si="18"/>
        <v>1680</v>
      </c>
      <c r="U32" s="37">
        <f t="shared" si="19"/>
        <v>4950</v>
      </c>
      <c r="V32" s="37">
        <f t="shared" si="20"/>
        <v>3660</v>
      </c>
      <c r="W32" s="37">
        <f t="shared" si="21"/>
        <v>33370</v>
      </c>
      <c r="X32" s="37">
        <f t="shared" si="22"/>
        <v>4230</v>
      </c>
      <c r="Y32" s="37">
        <f t="shared" si="23"/>
        <v>5070</v>
      </c>
      <c r="Z32" s="37">
        <f t="shared" si="24"/>
        <v>2850</v>
      </c>
      <c r="AA32" s="37">
        <f t="shared" si="25"/>
        <v>3550</v>
      </c>
      <c r="AB32" s="37">
        <f t="shared" si="26"/>
        <v>7250</v>
      </c>
      <c r="AC32" s="37">
        <f t="shared" si="27"/>
        <v>9170</v>
      </c>
      <c r="AD32" s="35">
        <f t="shared" si="28"/>
        <v>94140</v>
      </c>
      <c r="AF32" s="20">
        <f t="shared" si="1"/>
        <v>5.1000000000000005</v>
      </c>
      <c r="AG32" s="20">
        <f t="shared" si="2"/>
        <v>68.75</v>
      </c>
      <c r="AH32" s="20">
        <f t="shared" si="3"/>
        <v>17.95</v>
      </c>
      <c r="AI32" s="20">
        <f t="shared" si="4"/>
        <v>8.4</v>
      </c>
      <c r="AJ32" s="20">
        <f t="shared" si="5"/>
        <v>24.75</v>
      </c>
      <c r="AK32" s="20">
        <f t="shared" si="6"/>
        <v>18.3</v>
      </c>
      <c r="AL32" s="20">
        <f t="shared" si="7"/>
        <v>166.85</v>
      </c>
      <c r="AM32" s="20">
        <f t="shared" si="8"/>
        <v>21.150000000000002</v>
      </c>
      <c r="AN32" s="20">
        <f t="shared" si="9"/>
        <v>25.35</v>
      </c>
      <c r="AO32" s="20">
        <f t="shared" si="10"/>
        <v>14.25</v>
      </c>
      <c r="AP32" s="20">
        <f t="shared" si="11"/>
        <v>17.75</v>
      </c>
      <c r="AQ32" s="20">
        <f t="shared" si="12"/>
        <v>36.25</v>
      </c>
      <c r="AR32" s="20">
        <f t="shared" si="13"/>
        <v>45.85</v>
      </c>
      <c r="AS32" s="35">
        <f t="shared" si="29"/>
        <v>470.70000000000005</v>
      </c>
      <c r="AU32" s="47">
        <v>11554</v>
      </c>
      <c r="AV32" s="37">
        <f t="shared" si="34"/>
        <v>2730</v>
      </c>
      <c r="AW32" s="35">
        <f t="shared" si="30"/>
        <v>5.46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26200</v>
      </c>
      <c r="R38" s="38">
        <f t="shared" ref="R38:AC38" si="62">SUM(R7:R37)</f>
        <v>338090</v>
      </c>
      <c r="S38" s="38">
        <f t="shared" si="62"/>
        <v>85230</v>
      </c>
      <c r="T38" s="38">
        <f t="shared" si="62"/>
        <v>42710</v>
      </c>
      <c r="U38" s="38">
        <f t="shared" si="62"/>
        <v>116870</v>
      </c>
      <c r="V38" s="38">
        <f t="shared" si="62"/>
        <v>87900</v>
      </c>
      <c r="W38" s="38">
        <f t="shared" si="62"/>
        <v>92200</v>
      </c>
      <c r="X38" s="38">
        <f t="shared" si="62"/>
        <v>101560</v>
      </c>
      <c r="Y38" s="38">
        <f t="shared" si="62"/>
        <v>125320</v>
      </c>
      <c r="Z38" s="38">
        <f t="shared" si="62"/>
        <v>66960</v>
      </c>
      <c r="AA38" s="38">
        <f t="shared" si="62"/>
        <v>85100</v>
      </c>
      <c r="AB38" s="38">
        <f t="shared" si="62"/>
        <v>185140</v>
      </c>
      <c r="AC38" s="38">
        <f t="shared" si="62"/>
        <v>265790</v>
      </c>
      <c r="AD38" s="38">
        <f t="shared" ref="AD38" si="63">SUM(AD7:AD37)</f>
        <v>1619070</v>
      </c>
      <c r="AF38" s="35">
        <f>SUM(AF7:AF37)</f>
        <v>131</v>
      </c>
      <c r="AG38" s="35">
        <f t="shared" ref="AG38:AS38" si="64">SUM(AG7:AG37)</f>
        <v>1690.45</v>
      </c>
      <c r="AH38" s="35">
        <f t="shared" si="64"/>
        <v>426.15</v>
      </c>
      <c r="AI38" s="35">
        <f t="shared" si="64"/>
        <v>213.54999999999998</v>
      </c>
      <c r="AJ38" s="35">
        <f t="shared" si="64"/>
        <v>584.35000000000014</v>
      </c>
      <c r="AK38" s="35">
        <f t="shared" si="64"/>
        <v>439.49999999999994</v>
      </c>
      <c r="AL38" s="35">
        <f t="shared" si="64"/>
        <v>461.00000000000011</v>
      </c>
      <c r="AM38" s="35">
        <f t="shared" si="64"/>
        <v>507.8</v>
      </c>
      <c r="AN38" s="35">
        <f t="shared" si="64"/>
        <v>626.60000000000014</v>
      </c>
      <c r="AO38" s="35">
        <f t="shared" si="64"/>
        <v>334.79999999999995</v>
      </c>
      <c r="AP38" s="35">
        <f t="shared" si="64"/>
        <v>425.49999999999994</v>
      </c>
      <c r="AQ38" s="35">
        <f t="shared" si="64"/>
        <v>925.7</v>
      </c>
      <c r="AR38" s="35">
        <f t="shared" si="64"/>
        <v>1328.9499999999996</v>
      </c>
      <c r="AS38" s="35">
        <f t="shared" si="64"/>
        <v>8095.3499999999995</v>
      </c>
      <c r="AU38" s="48"/>
      <c r="AV38" s="34">
        <f>SUM(AV7:AV37)</f>
        <v>29846</v>
      </c>
      <c r="AW38" s="34">
        <f>SUM(AW7:AW37)</f>
        <v>48.881999999999998</v>
      </c>
    </row>
    <row r="39" spans="1:49" x14ac:dyDescent="0.25">
      <c r="D39">
        <v>5.0000000000000001E-3</v>
      </c>
      <c r="AV39" s="36">
        <f>AV38*0.00378541*1000</f>
        <v>112979.34685999999</v>
      </c>
    </row>
    <row r="40" spans="1:49" x14ac:dyDescent="0.25">
      <c r="D40">
        <v>2E-3</v>
      </c>
      <c r="AV40">
        <f>AV39/31</f>
        <v>3644.4950599999997</v>
      </c>
    </row>
    <row r="41" spans="1:49" x14ac:dyDescent="0.25">
      <c r="AV41">
        <f>AV38*0.00378541</f>
        <v>112.97934685999999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2021-06-27T04:43:51Z</dcterms:modified>
</cp:coreProperties>
</file>