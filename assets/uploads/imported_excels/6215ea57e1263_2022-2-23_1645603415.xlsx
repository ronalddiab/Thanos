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<sst xmlns="http://schemas.openxmlformats.org/spreadsheetml/2006/main" count="128" uniqueCount="49">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</sst>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9" zoomScale="130" zoomScaleNormal="130" workbookViewId="0">
      <selection activeCell="P26" sqref="P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Submetering!R2</f>
        <v>688.1875379999999</v>
      </c>
      <c r="H2" s="11">
        <v>0.52800000000000002</v>
      </c>
      <c r="I2" s="12">
        <f>Hotel!B7</f>
        <v>102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Submetering!R3</f>
        <v>475.06895499999996</v>
      </c>
      <c r="H3" s="11">
        <v>0.52800000000000002</v>
      </c>
      <c r="I3" s="12">
        <f>Hotel!B8</f>
        <v>126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Submetering!R4</f>
        <v>642.76261799999997</v>
      </c>
      <c r="H4" s="11">
        <v>0.52800000000000002</v>
      </c>
      <c r="I4" s="12">
        <f>Hotel!B9</f>
        <v>144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Submetering!R5</f>
        <v>559.86213899999996</v>
      </c>
      <c r="H5" s="11">
        <v>0.52800000000000002</v>
      </c>
      <c r="I5" s="12">
        <f>Hotel!B10</f>
        <v>132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Submetering!R6</f>
        <v>720.36352299999999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Submetering!R7</f>
        <v>861.55931599999997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Submetering!R8</f>
        <v>525.41490799999997</v>
      </c>
      <c r="H8" s="11">
        <v>0.52800000000000002</v>
      </c>
      <c r="I8" s="12">
        <f>Hotel!B13</f>
        <v>79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Submetering!R9</f>
        <v>713.54978500000004</v>
      </c>
      <c r="H9" s="11">
        <v>0.52800000000000002</v>
      </c>
      <c r="I9" s="12">
        <f>Hotel!B14</f>
        <v>84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54500</v>
      </c>
      <c r="F10" s="11">
        <v>5.0000000000000001E-3</v>
      </c>
      <c r="G10" s="12">
        <f>Submetering!R10</f>
        <v>561.75484400000005</v>
      </c>
      <c r="H10" s="11">
        <v>0.52800000000000002</v>
      </c>
      <c r="I10" s="12">
        <f>Hotel!B15</f>
        <v>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54320</v>
      </c>
      <c r="F11" s="11">
        <v>5.0000000000000001E-3</v>
      </c>
      <c r="G11" s="12">
        <f>Submetering!R11</f>
        <v>685.916292</v>
      </c>
      <c r="H11" s="11">
        <v>0.52800000000000002</v>
      </c>
      <c r="I11" s="12">
        <f>Hotel!B16</f>
        <v>127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55530</v>
      </c>
      <c r="F12" s="11">
        <v>5.0000000000000001E-3</v>
      </c>
      <c r="G12" s="12">
        <f>Submetering!R12</f>
        <v>663.960914</v>
      </c>
      <c r="H12" s="11">
        <v>0.52800000000000002</v>
      </c>
      <c r="I12" s="12">
        <f>Hotel!B17</f>
        <v>136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53460</v>
      </c>
      <c r="F13" s="11">
        <v>5.0000000000000001E-3</v>
      </c>
      <c r="G13" s="12">
        <f>Submetering!R13</f>
        <v>835.43998699999997</v>
      </c>
      <c r="H13" s="11">
        <v>0.52800000000000002</v>
      </c>
      <c r="I13" s="12">
        <f>Hotel!B18</f>
        <v>88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59210</v>
      </c>
      <c r="F14" s="11">
        <v>5.0000000000000001E-3</v>
      </c>
      <c r="G14" s="12">
        <f>Submetering!R14</f>
        <v>665.85361899999998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58910</v>
      </c>
      <c r="F15" s="11">
        <v>5.0000000000000001E-3</v>
      </c>
      <c r="G15" s="12">
        <f>Submetering!R15</f>
        <v>564.78317200000004</v>
      </c>
      <c r="H15" s="11">
        <v>0.52800000000000002</v>
      </c>
      <c r="I15" s="12">
        <f>Hotel!B20</f>
        <v>185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53280</v>
      </c>
      <c r="F16" s="11">
        <v>5.0000000000000001E-3</v>
      </c>
      <c r="G16" s="12">
        <f>Submetering!R16</f>
        <v>558.34797499999991</v>
      </c>
      <c r="H16" s="11">
        <v>0.52800000000000002</v>
      </c>
      <c r="I16" s="12">
        <f>Hotel!B21</f>
        <v>105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55920</v>
      </c>
      <c r="F17" s="11">
        <v>5.0000000000000001E-3</v>
      </c>
      <c r="G17" s="12">
        <f>Submetering!R17</f>
        <v>657.52571699999999</v>
      </c>
      <c r="H17" s="11">
        <v>0.52800000000000002</v>
      </c>
      <c r="I17" s="12">
        <f>Hotel!B22</f>
        <v>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56790</v>
      </c>
      <c r="F18" s="11">
        <v>5.0000000000000001E-3</v>
      </c>
      <c r="G18" s="12">
        <f>Submetering!R18</f>
        <v>600.74456699999996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57670</v>
      </c>
      <c r="F19" s="11">
        <v>5.0000000000000001E-3</v>
      </c>
      <c r="G19" s="12">
        <f>Submetering!R19</f>
        <v>613.99350200000003</v>
      </c>
      <c r="H19" s="11">
        <v>0.52800000000000002</v>
      </c>
      <c r="I19" s="12">
        <f>Hotel!B24</f>
        <v>109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56450</v>
      </c>
      <c r="F20" s="11">
        <v>5.0000000000000001E-3</v>
      </c>
      <c r="G20" s="12">
        <f>Submetering!R20</f>
        <v>584.46730400000001</v>
      </c>
      <c r="H20" s="11">
        <v>0.52800000000000002</v>
      </c>
      <c r="I20" s="12">
        <f>Hotel!B25</f>
        <v>88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57500</v>
      </c>
      <c r="F21" s="11">
        <v>5.0000000000000001E-3</v>
      </c>
      <c r="G21" s="12">
        <f>Submetering!R21</f>
        <v>710.89999799999998</v>
      </c>
      <c r="H21" s="11">
        <v>0.52800000000000002</v>
      </c>
      <c r="I21" s="12">
        <f>Hotel!B26</f>
        <v>98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56120</v>
      </c>
      <c r="F22" s="11">
        <v>5.0000000000000001E-3</v>
      </c>
      <c r="G22" s="12">
        <f>Submetering!R22</f>
        <v>687.80899699999998</v>
      </c>
      <c r="H22" s="11">
        <v>0.52800000000000002</v>
      </c>
      <c r="I22" s="12">
        <f>Hotel!B27</f>
        <v>96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58180</v>
      </c>
      <c r="F23" s="11">
        <v>5.0000000000000001E-3</v>
      </c>
      <c r="G23" s="12">
        <f>Submetering!R23</f>
        <v>603.39435400000002</v>
      </c>
      <c r="H23" s="11">
        <v>0.52800000000000002</v>
      </c>
      <c r="I23" s="12">
        <f>Hotel!B28</f>
        <v>140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Hotel!AV7*0.00378541*100</f>
        <v>688.1875379999999</v>
      </c>
      <c r="S2" s="4">
        <f>Hotel!B7</f>
        <v>102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Hotel!AV8*0.00378541*100</f>
        <v>475.06895499999996</v>
      </c>
      <c r="S3" s="4">
        <f>Hotel!B8</f>
        <v>126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Hotel!AV9*0.00378541*100</f>
        <v>642.76261799999997</v>
      </c>
      <c r="S4" s="4">
        <f>Hotel!B9</f>
        <v>144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Hotel!AV10*0.00378541*100</f>
        <v>559.86213899999996</v>
      </c>
      <c r="S5" s="4">
        <f>Hotel!B10</f>
        <v>132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Hotel!AV11*0.00378541*100</f>
        <v>720.36352299999999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Hotel!AV12*0.00378541*100</f>
        <v>861.55931599999997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Hotel!AV13*0.00378541*100</f>
        <v>525.41490799999997</v>
      </c>
      <c r="S8" s="4">
        <f>Hotel!B13</f>
        <v>79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Hotel!AV14*0.00378541*100</f>
        <v>713.54978500000004</v>
      </c>
      <c r="S9" s="4">
        <f>Hotel!B14</f>
        <v>84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>
        <f>Hotel!Q15</f>
        <v>620</v>
      </c>
      <c r="F10" s="4">
        <f>Hotel!R15</f>
        <v>5170</v>
      </c>
      <c r="G10" s="4">
        <f>Hotel!S15</f>
        <v>1100</v>
      </c>
      <c r="H10" s="4">
        <f>Hotel!T15</f>
        <v>1440</v>
      </c>
      <c r="I10" s="4">
        <f>Hotel!U15</f>
        <v>5610</v>
      </c>
      <c r="J10" s="4">
        <f>Hotel!V15</f>
        <v>4430</v>
      </c>
      <c r="K10" s="4">
        <f>Hotel!W15</f>
        <v>2820</v>
      </c>
      <c r="L10" s="4">
        <f>Hotel!X15</f>
        <v>4670</v>
      </c>
      <c r="M10" s="4">
        <f>Hotel!Y15</f>
        <v>4670</v>
      </c>
      <c r="N10" s="4">
        <f>Hotel!Z15</f>
        <v>2510</v>
      </c>
      <c r="O10" s="4">
        <f>Hotel!AA15</f>
        <v>3160</v>
      </c>
      <c r="P10" s="4">
        <f>Hotel!AB15</f>
        <v>7280</v>
      </c>
      <c r="Q10" s="4">
        <f>Hotel!AC15</f>
        <v>11020</v>
      </c>
      <c r="R10" s="4">
        <f>Hotel!AV15*0.00378541*100</f>
        <v>561.75484400000005</v>
      </c>
      <c r="S10" s="4">
        <f>Hotel!B15</f>
        <v>84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4610</v>
      </c>
      <c r="F11" s="4">
        <f>Hotel!R16</f>
        <v>1860</v>
      </c>
      <c r="G11" s="4">
        <f>Hotel!S16</f>
        <v>710</v>
      </c>
      <c r="H11" s="4">
        <f>Hotel!T16</f>
        <v>1410</v>
      </c>
      <c r="I11" s="4">
        <f>Hotel!U16</f>
        <v>5250</v>
      </c>
      <c r="J11" s="4">
        <f>Hotel!V16</f>
        <v>4230</v>
      </c>
      <c r="K11" s="4">
        <f>Hotel!W16</f>
        <v>2620</v>
      </c>
      <c r="L11" s="4">
        <f>Hotel!X16</f>
        <v>4570</v>
      </c>
      <c r="M11" s="4">
        <f>Hotel!Y16</f>
        <v>4910</v>
      </c>
      <c r="N11" s="4">
        <f>Hotel!Z16</f>
        <v>2600</v>
      </c>
      <c r="O11" s="4">
        <f>Hotel!AA16</f>
        <v>3250</v>
      </c>
      <c r="P11" s="4">
        <f>Hotel!AB16</f>
        <v>7270</v>
      </c>
      <c r="Q11" s="4">
        <f>Hotel!AC16</f>
        <v>11030</v>
      </c>
      <c r="R11" s="4">
        <f>Hotel!AV16*0.00378541*100</f>
        <v>685.916292</v>
      </c>
      <c r="S11" s="4">
        <f>Hotel!B16</f>
        <v>127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7300</v>
      </c>
      <c r="F12" s="4">
        <f>Hotel!R17</f>
        <v>1870</v>
      </c>
      <c r="G12" s="4">
        <f>Hotel!S17</f>
        <v>30</v>
      </c>
      <c r="H12" s="4">
        <f>Hotel!T17</f>
        <v>1430</v>
      </c>
      <c r="I12" s="4">
        <f>Hotel!U17</f>
        <v>5380</v>
      </c>
      <c r="J12" s="4">
        <f>Hotel!V17</f>
        <v>4110</v>
      </c>
      <c r="K12" s="4">
        <f>Hotel!W17</f>
        <v>2560</v>
      </c>
      <c r="L12" s="4">
        <f>Hotel!X17</f>
        <v>4200</v>
      </c>
      <c r="M12" s="4">
        <f>Hotel!Y17</f>
        <v>4860</v>
      </c>
      <c r="N12" s="4">
        <f>Hotel!Z17</f>
        <v>2480</v>
      </c>
      <c r="O12" s="4">
        <f>Hotel!AA17</f>
        <v>3220</v>
      </c>
      <c r="P12" s="4">
        <f>Hotel!AB17</f>
        <v>7210</v>
      </c>
      <c r="Q12" s="4">
        <f>Hotel!AC17</f>
        <v>10880</v>
      </c>
      <c r="R12" s="4">
        <f>Hotel!AV17*0.00378541*100</f>
        <v>663.960914</v>
      </c>
      <c r="S12" s="4">
        <f>Hotel!B17</f>
        <v>136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6740</v>
      </c>
      <c r="F13" s="4">
        <f>Hotel!R18</f>
        <v>1790</v>
      </c>
      <c r="G13" s="4">
        <f>Hotel!S18</f>
        <v>0</v>
      </c>
      <c r="H13" s="4">
        <f>Hotel!T18</f>
        <v>1350</v>
      </c>
      <c r="I13" s="4">
        <f>Hotel!U18</f>
        <v>5260</v>
      </c>
      <c r="J13" s="4">
        <f>Hotel!V18</f>
        <v>4100</v>
      </c>
      <c r="K13" s="4">
        <f>Hotel!W18</f>
        <v>2500</v>
      </c>
      <c r="L13" s="4">
        <f>Hotel!X18</f>
        <v>4350</v>
      </c>
      <c r="M13" s="4">
        <f>Hotel!Y18</f>
        <v>4480</v>
      </c>
      <c r="N13" s="4">
        <f>Hotel!Z18</f>
        <v>2450</v>
      </c>
      <c r="O13" s="4">
        <f>Hotel!AA18</f>
        <v>3050</v>
      </c>
      <c r="P13" s="4">
        <f>Hotel!AB18</f>
        <v>6720</v>
      </c>
      <c r="Q13" s="4">
        <f>Hotel!AC18</f>
        <v>10670</v>
      </c>
      <c r="R13" s="4">
        <f>Hotel!AV18*0.00378541*100</f>
        <v>835.43998699999997</v>
      </c>
      <c r="S13" s="4">
        <f>Hotel!B18</f>
        <v>88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>
        <f>Hotel!Q19</f>
        <v>7730</v>
      </c>
      <c r="F14" s="4">
        <f>Hotel!R19</f>
        <v>2020</v>
      </c>
      <c r="G14" s="4">
        <f>Hotel!S19</f>
        <v>0</v>
      </c>
      <c r="H14" s="4">
        <f>Hotel!T19</f>
        <v>1510</v>
      </c>
      <c r="I14" s="4">
        <f>Hotel!U19</f>
        <v>5840</v>
      </c>
      <c r="J14" s="4">
        <f>Hotel!V19</f>
        <v>4270</v>
      </c>
      <c r="K14" s="4">
        <f>Hotel!W19</f>
        <v>2730</v>
      </c>
      <c r="L14" s="4">
        <f>Hotel!X19</f>
        <v>4280</v>
      </c>
      <c r="M14" s="4">
        <f>Hotel!Y19</f>
        <v>5090</v>
      </c>
      <c r="N14" s="4">
        <f>Hotel!Z19</f>
        <v>2830</v>
      </c>
      <c r="O14" s="4">
        <f>Hotel!AA19</f>
        <v>3470</v>
      </c>
      <c r="P14" s="4">
        <f>Hotel!AB19</f>
        <v>7670</v>
      </c>
      <c r="Q14" s="4">
        <f>Hotel!AC19</f>
        <v>11770</v>
      </c>
      <c r="R14" s="4">
        <f>Hotel!AV19*0.00378541*100</f>
        <v>665.85361899999998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7720</v>
      </c>
      <c r="F15" s="4">
        <f>Hotel!R20</f>
        <v>1890</v>
      </c>
      <c r="G15" s="4">
        <f>Hotel!S20</f>
        <v>0</v>
      </c>
      <c r="H15" s="4">
        <f>Hotel!T20</f>
        <v>1440</v>
      </c>
      <c r="I15" s="4">
        <f>Hotel!U20</f>
        <v>6090</v>
      </c>
      <c r="J15" s="4">
        <f>Hotel!V20</f>
        <v>4040</v>
      </c>
      <c r="K15" s="4">
        <f>Hotel!W20</f>
        <v>2760</v>
      </c>
      <c r="L15" s="4">
        <f>Hotel!X20</f>
        <v>4820</v>
      </c>
      <c r="M15" s="4">
        <f>Hotel!Y20</f>
        <v>5230</v>
      </c>
      <c r="N15" s="4">
        <f>Hotel!Z20</f>
        <v>2850</v>
      </c>
      <c r="O15" s="4">
        <f>Hotel!AA20</f>
        <v>3380</v>
      </c>
      <c r="P15" s="4">
        <f>Hotel!AB20</f>
        <v>7590</v>
      </c>
      <c r="Q15" s="4">
        <f>Hotel!AC20</f>
        <v>11100</v>
      </c>
      <c r="R15" s="4">
        <f>Hotel!AV20*0.00378541*100</f>
        <v>564.78317200000004</v>
      </c>
      <c r="S15" s="4">
        <f>Hotel!B20</f>
        <v>185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>
        <f>Hotel!Q21</f>
        <v>7140</v>
      </c>
      <c r="F16" s="4">
        <f>Hotel!R21</f>
        <v>1760</v>
      </c>
      <c r="G16" s="4">
        <f>Hotel!S21</f>
        <v>0</v>
      </c>
      <c r="H16" s="4">
        <f>Hotel!T21</f>
        <v>1330</v>
      </c>
      <c r="I16" s="4">
        <f>Hotel!U21</f>
        <v>5580</v>
      </c>
      <c r="J16" s="4">
        <f>Hotel!V21</f>
        <v>3930</v>
      </c>
      <c r="K16" s="4">
        <f>Hotel!W21</f>
        <v>2380</v>
      </c>
      <c r="L16" s="4">
        <f>Hotel!X21</f>
        <v>4270</v>
      </c>
      <c r="M16" s="4">
        <f>Hotel!Y21</f>
        <v>4500</v>
      </c>
      <c r="N16" s="4">
        <f>Hotel!Z21</f>
        <v>2500</v>
      </c>
      <c r="O16" s="4">
        <f>Hotel!AA21</f>
        <v>3050</v>
      </c>
      <c r="P16" s="4">
        <f>Hotel!AB21</f>
        <v>6670</v>
      </c>
      <c r="Q16" s="4">
        <f>Hotel!AC21</f>
        <v>10170</v>
      </c>
      <c r="R16" s="4">
        <f>Hotel!AV21*0.00378541*100</f>
        <v>558.34797499999991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>
        <f>Hotel!Q22</f>
        <v>7570</v>
      </c>
      <c r="F17" s="4">
        <f>Hotel!R22</f>
        <v>1850</v>
      </c>
      <c r="G17" s="4">
        <f>Hotel!S22</f>
        <v>10</v>
      </c>
      <c r="H17" s="4">
        <f>Hotel!T22</f>
        <v>1390</v>
      </c>
      <c r="I17" s="4">
        <f>Hotel!U22</f>
        <v>5450</v>
      </c>
      <c r="J17" s="4">
        <f>Hotel!V22</f>
        <v>4260</v>
      </c>
      <c r="K17" s="4">
        <f>Hotel!W22</f>
        <v>2550</v>
      </c>
      <c r="L17" s="4">
        <f>Hotel!X22</f>
        <v>4190</v>
      </c>
      <c r="M17" s="4">
        <f>Hotel!Y22</f>
        <v>4880</v>
      </c>
      <c r="N17" s="4">
        <f>Hotel!Z22</f>
        <v>2520</v>
      </c>
      <c r="O17" s="4">
        <f>Hotel!AA22</f>
        <v>2970</v>
      </c>
      <c r="P17" s="4">
        <f>Hotel!AB22</f>
        <v>6910</v>
      </c>
      <c r="Q17" s="4">
        <f>Hotel!AC22</f>
        <v>11370</v>
      </c>
      <c r="R17" s="4">
        <f>Hotel!AV22*0.00378541*100</f>
        <v>657.52571699999999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7870</v>
      </c>
      <c r="F18" s="4">
        <f>Hotel!R23</f>
        <v>1890</v>
      </c>
      <c r="G18" s="4" t="str">
        <f>Hotel!S23</f>
        <v>0</v>
      </c>
      <c r="H18" s="4">
        <f>Hotel!T23</f>
        <v>1430</v>
      </c>
      <c r="I18" s="4">
        <f>Hotel!U23</f>
        <v>5440</v>
      </c>
      <c r="J18" s="4">
        <f>Hotel!V23</f>
        <v>4370</v>
      </c>
      <c r="K18" s="4">
        <f>Hotel!W23</f>
        <v>2620</v>
      </c>
      <c r="L18" s="4">
        <f>Hotel!X23</f>
        <v>3970</v>
      </c>
      <c r="M18" s="4">
        <f>Hotel!Y23</f>
        <v>5160</v>
      </c>
      <c r="N18" s="4">
        <f>Hotel!Z23</f>
        <v>2560</v>
      </c>
      <c r="O18" s="4">
        <f>Hotel!AA23</f>
        <v>3040</v>
      </c>
      <c r="P18" s="4">
        <f>Hotel!AB23</f>
        <v>7210</v>
      </c>
      <c r="Q18" s="4">
        <f>Hotel!AC23</f>
        <v>11230</v>
      </c>
      <c r="R18" s="4">
        <f>Hotel!AV23*0.00378541*100</f>
        <v>600.74456699999996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7920</v>
      </c>
      <c r="F19" s="4">
        <f>Hotel!R24</f>
        <v>1930</v>
      </c>
      <c r="G19" s="4">
        <f>Hotel!S24</f>
        <v>10</v>
      </c>
      <c r="H19" s="4">
        <f>Hotel!T24</f>
        <v>1450</v>
      </c>
      <c r="I19" s="4">
        <f>Hotel!U24</f>
        <v>5610</v>
      </c>
      <c r="J19" s="4">
        <f>Hotel!V24</f>
        <v>4350</v>
      </c>
      <c r="K19" s="4">
        <f>Hotel!W24</f>
        <v>2610</v>
      </c>
      <c r="L19" s="4">
        <f>Hotel!X24</f>
        <v>4170</v>
      </c>
      <c r="M19" s="4">
        <f>Hotel!Y24</f>
        <v>5230</v>
      </c>
      <c r="N19" s="4">
        <f>Hotel!Z24</f>
        <v>2530</v>
      </c>
      <c r="O19" s="4">
        <f>Hotel!AA24</f>
        <v>3250</v>
      </c>
      <c r="P19" s="4">
        <f>Hotel!AB24</f>
        <v>7320</v>
      </c>
      <c r="Q19" s="4">
        <f>Hotel!AC24</f>
        <v>11290</v>
      </c>
      <c r="R19" s="4">
        <f>Hotel!AV24*0.00378541*100</f>
        <v>613.99350200000003</v>
      </c>
      <c r="S19" s="4">
        <f>Hotel!B24</f>
        <v>109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8240</v>
      </c>
      <c r="F20" s="4">
        <f>Hotel!R25</f>
        <v>1860</v>
      </c>
      <c r="G20" s="4">
        <f>Hotel!S25</f>
        <v>0</v>
      </c>
      <c r="H20" s="4">
        <f>Hotel!T25</f>
        <v>1420</v>
      </c>
      <c r="I20" s="4">
        <f>Hotel!U25</f>
        <v>5260</v>
      </c>
      <c r="J20" s="4">
        <f>Hotel!V25</f>
        <v>4240</v>
      </c>
      <c r="K20" s="4">
        <f>Hotel!W25</f>
        <v>2570</v>
      </c>
      <c r="L20" s="4">
        <f>Hotel!X25</f>
        <v>4230</v>
      </c>
      <c r="M20" s="4">
        <f>Hotel!Y25</f>
        <v>5010</v>
      </c>
      <c r="N20" s="4">
        <f>Hotel!Z25</f>
        <v>2480</v>
      </c>
      <c r="O20" s="4">
        <f>Hotel!AA25</f>
        <v>3120</v>
      </c>
      <c r="P20" s="4">
        <f>Hotel!AB25</f>
        <v>7070</v>
      </c>
      <c r="Q20" s="4">
        <f>Hotel!AC25</f>
        <v>10950</v>
      </c>
      <c r="R20" s="4">
        <f>Hotel!AV25*0.00378541*100</f>
        <v>584.46730400000001</v>
      </c>
      <c r="S20" s="4">
        <f>Hotel!B25</f>
        <v>88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>
        <f>Hotel!Q26</f>
        <v>8370</v>
      </c>
      <c r="F21" s="4">
        <f>Hotel!R26</f>
        <v>1900</v>
      </c>
      <c r="G21" s="4" t="str">
        <f>Hotel!S26</f>
        <v>0</v>
      </c>
      <c r="H21" s="4">
        <f>Hotel!T26</f>
        <v>1460</v>
      </c>
      <c r="I21" s="4">
        <f>Hotel!U26</f>
        <v>5310</v>
      </c>
      <c r="J21" s="4">
        <f>Hotel!V26</f>
        <v>4250</v>
      </c>
      <c r="K21" s="4">
        <f>Hotel!W26</f>
        <v>2670</v>
      </c>
      <c r="L21" s="4">
        <f>Hotel!X26</f>
        <v>4240</v>
      </c>
      <c r="M21" s="4">
        <f>Hotel!Y26</f>
        <v>5160</v>
      </c>
      <c r="N21" s="4">
        <f>Hotel!Z26</f>
        <v>2520</v>
      </c>
      <c r="O21" s="4">
        <f>Hotel!AA26</f>
        <v>3090</v>
      </c>
      <c r="P21" s="4">
        <f>Hotel!AB26</f>
        <v>7270</v>
      </c>
      <c r="Q21" s="4">
        <f>Hotel!AC26</f>
        <v>11260</v>
      </c>
      <c r="R21" s="4">
        <f>Hotel!AV26*0.00378541*100</f>
        <v>710.89999799999998</v>
      </c>
      <c r="S21" s="4">
        <f>Hotel!B26</f>
        <v>98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7650</v>
      </c>
      <c r="F22" s="4">
        <f>Hotel!R27</f>
        <v>1870</v>
      </c>
      <c r="G22" s="4">
        <f>Hotel!S27</f>
        <v>0</v>
      </c>
      <c r="H22" s="4">
        <f>Hotel!T27</f>
        <v>1420</v>
      </c>
      <c r="I22" s="4">
        <f>Hotel!U27</f>
        <v>5220</v>
      </c>
      <c r="J22" s="4">
        <f>Hotel!V27</f>
        <v>4400</v>
      </c>
      <c r="K22" s="4">
        <f>Hotel!W27</f>
        <v>2600</v>
      </c>
      <c r="L22" s="4">
        <f>Hotel!X27</f>
        <v>4270</v>
      </c>
      <c r="M22" s="4">
        <f>Hotel!Y27</f>
        <v>5150</v>
      </c>
      <c r="N22" s="4">
        <f>Hotel!Z27</f>
        <v>2490</v>
      </c>
      <c r="O22" s="4">
        <f>Hotel!AA27</f>
        <v>2930</v>
      </c>
      <c r="P22" s="4">
        <f>Hotel!AB27</f>
        <v>7070</v>
      </c>
      <c r="Q22" s="4">
        <f>Hotel!AC27</f>
        <v>11050</v>
      </c>
      <c r="R22" s="4">
        <f>Hotel!AV27*0.00378541*100</f>
        <v>687.80899699999998</v>
      </c>
      <c r="S22" s="4">
        <f>Hotel!B27</f>
        <v>96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>
        <f>Hotel!Q28</f>
        <v>8020</v>
      </c>
      <c r="F23" s="4">
        <f>Hotel!R28</f>
        <v>1910</v>
      </c>
      <c r="G23" s="4">
        <f>Hotel!S28</f>
        <v>0</v>
      </c>
      <c r="H23" s="4">
        <f>Hotel!T28</f>
        <v>1460</v>
      </c>
      <c r="I23" s="4">
        <f>Hotel!U28</f>
        <v>5530</v>
      </c>
      <c r="J23" s="4">
        <f>Hotel!V28</f>
        <v>4470</v>
      </c>
      <c r="K23" s="4">
        <f>Hotel!W28</f>
        <v>2560</v>
      </c>
      <c r="L23" s="4">
        <f>Hotel!X28</f>
        <v>4380</v>
      </c>
      <c r="M23" s="4">
        <f>Hotel!Y28</f>
        <v>5590</v>
      </c>
      <c r="N23" s="4">
        <f>Hotel!Z28</f>
        <v>2730</v>
      </c>
      <c r="O23" s="4">
        <f>Hotel!AA28</f>
        <v>3290</v>
      </c>
      <c r="P23" s="4">
        <f>Hotel!AB28</f>
        <v>7100</v>
      </c>
      <c r="Q23" s="4">
        <f>Hotel!AC28</f>
        <v>11140</v>
      </c>
      <c r="R23" s="4">
        <f>Hotel!AV28*0.00378541*100</f>
        <v>603.39435400000002</v>
      </c>
      <c r="S23" s="4">
        <f>Hotel!B28</f>
        <v>140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4" zoomScale="93" zoomScaleNormal="93" workbookViewId="0">
      <selection activeCell="AU28" sqref="AU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513807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513807</v>
      </c>
    </row>
    <row r="7" spans="1:49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>IF((C7-C2&lt;0), "0",C7-C2)</f>
        <v>570</v>
      </c>
      <c r="R7" s="37">
        <f t="shared" ref="R7:AC7" si="0">IF((D7-D2&lt;0), "0",D7-D2)</f>
        <v>8430</v>
      </c>
      <c r="S7" s="37">
        <f>IF((E7-E2&lt;0), "0",E7-E2)</f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U7" s="47">
        <v>515625</v>
      </c>
      <c r="AV7" s="37">
        <f>IF((AU7-AU6&lt;0),"0",AU7-AU6)</f>
        <v>1818</v>
      </c>
      <c r="AW7" s="35">
        <f t="shared" ref="AW7:AW35" si="14">AV7*$D$40</f>
        <v>3.6360000000000001</v>
      </c>
    </row>
    <row r="8" spans="1:49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5">IF((D8-D7&lt;0), "0",D8-D7)</f>
        <v>8100</v>
      </c>
      <c r="S8" s="37">
        <f t="shared" ref="S8:S35" si="16">IF((E8-E7&lt;0), "0",E8-E7)</f>
        <v>0</v>
      </c>
      <c r="T8" s="37">
        <f t="shared" si="15"/>
        <v>1390</v>
      </c>
      <c r="U8" s="37">
        <f t="shared" si="15"/>
        <v>5430</v>
      </c>
      <c r="V8" s="37">
        <f t="shared" si="15"/>
        <v>4480</v>
      </c>
      <c r="W8" s="37">
        <f t="shared" si="15"/>
        <v>2520</v>
      </c>
      <c r="X8" s="37">
        <f t="shared" si="15"/>
        <v>4800</v>
      </c>
      <c r="Y8" s="37">
        <f t="shared" si="15"/>
        <v>4500</v>
      </c>
      <c r="Z8" s="37">
        <f t="shared" si="15"/>
        <v>2550</v>
      </c>
      <c r="AA8" s="37">
        <f t="shared" si="15"/>
        <v>3040</v>
      </c>
      <c r="AB8" s="37">
        <f t="shared" si="15"/>
        <v>7358</v>
      </c>
      <c r="AC8" s="37">
        <f t="shared" si="15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U8" s="47">
        <v>516880</v>
      </c>
      <c r="AV8" s="37">
        <f>IF((AU8-AU7&lt;0),"0",AU8-AU7)</f>
        <v>1255</v>
      </c>
      <c r="AW8" s="35">
        <f t="shared" si="14"/>
        <v>2.5100000000000002</v>
      </c>
    </row>
    <row r="9" spans="1:49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17">IF((C9-C8&lt;0), "0",C9-C8)</f>
        <v>560</v>
      </c>
      <c r="R9" s="37">
        <f t="shared" ref="R9:R35" si="18">IF((D9-D8&lt;0), "0",D9-D8)</f>
        <v>8280</v>
      </c>
      <c r="S9" s="37">
        <f t="shared" si="16"/>
        <v>0</v>
      </c>
      <c r="T9" s="37">
        <f t="shared" ref="T9:T35" si="19">IF((F9-F8&lt;0), "0",F9-F8)</f>
        <v>1390</v>
      </c>
      <c r="U9" s="37">
        <f t="shared" ref="U9:U35" si="20">IF((G9-G8&lt;0), "0",G9-G8)</f>
        <v>5680</v>
      </c>
      <c r="V9" s="37">
        <f t="shared" ref="V9:V35" si="21">IF((H9-H8&lt;0), "0",H9-H8)</f>
        <v>4420</v>
      </c>
      <c r="W9" s="37">
        <f t="shared" ref="W9:W35" si="22">IF((I9-I8&lt;0), "0",I9-I8)</f>
        <v>2580</v>
      </c>
      <c r="X9" s="37">
        <f t="shared" ref="X9:X37" si="23">IF((J9-J8&lt;0), "0",J9-J8)</f>
        <v>4710</v>
      </c>
      <c r="Y9" s="37">
        <f t="shared" ref="Y9:Y35" si="24">IF((K9-K8&lt;0), "0",K9-K8)</f>
        <v>4860</v>
      </c>
      <c r="Z9" s="37">
        <f t="shared" ref="Z9:Z35" si="25">IF((L9-L8&lt;0), "0",L9-L8)</f>
        <v>2620</v>
      </c>
      <c r="AA9" s="37">
        <f t="shared" ref="AA9:AA35" si="26">IF((M9-M8&lt;0), "0",M9-M8)</f>
        <v>3220</v>
      </c>
      <c r="AB9" s="37">
        <f t="shared" ref="AB9:AB37" si="27">IF((N9-N8&lt;0), "0",N9-N8)</f>
        <v>7180</v>
      </c>
      <c r="AC9" s="37">
        <f t="shared" ref="AC9:AC37" si="28">IF((O9-O8&lt;0), "0",O9-O8)</f>
        <v>11450</v>
      </c>
      <c r="AD9" s="35">
        <f t="shared" ref="AD9:AD37" si="29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0">SUM(AF9:AR9)</f>
        <v>284.75</v>
      </c>
      <c r="AU9" s="47">
        <v>518578</v>
      </c>
      <c r="AV9" s="37">
        <f>IF((AU9-AU8&lt;0),"0",AU9-AU8)</f>
        <v>1698</v>
      </c>
      <c r="AW9" s="35">
        <f t="shared" si="14"/>
        <v>3.3959999999999999</v>
      </c>
    </row>
    <row r="10" spans="1:49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17"/>
        <v>590</v>
      </c>
      <c r="R10" s="37">
        <f t="shared" si="18"/>
        <v>9130</v>
      </c>
      <c r="S10" s="37">
        <f t="shared" si="16"/>
        <v>0</v>
      </c>
      <c r="T10" s="37">
        <f t="shared" si="19"/>
        <v>1490</v>
      </c>
      <c r="U10" s="37">
        <f t="shared" si="20"/>
        <v>6050</v>
      </c>
      <c r="V10" s="37">
        <f t="shared" si="21"/>
        <v>4610</v>
      </c>
      <c r="W10" s="37">
        <f t="shared" si="22"/>
        <v>2690</v>
      </c>
      <c r="X10" s="37">
        <f t="shared" si="23"/>
        <v>4630</v>
      </c>
      <c r="Y10" s="37">
        <f t="shared" si="24"/>
        <v>5120</v>
      </c>
      <c r="Z10" s="37">
        <f t="shared" si="25"/>
        <v>2800</v>
      </c>
      <c r="AA10" s="37">
        <f t="shared" si="26"/>
        <v>3500</v>
      </c>
      <c r="AB10" s="37">
        <f t="shared" si="27"/>
        <v>7690</v>
      </c>
      <c r="AC10" s="37">
        <f t="shared" si="28"/>
        <v>11780</v>
      </c>
      <c r="AD10" s="35">
        <f t="shared" si="29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0"/>
        <v>300.39999999999998</v>
      </c>
      <c r="AU10" s="47">
        <v>520057</v>
      </c>
      <c r="AV10" s="37">
        <f t="shared" ref="AV10:AV26" si="31">IF((AU10-AU9&lt;0),"0",AU10-AU9)</f>
        <v>1479</v>
      </c>
      <c r="AW10" s="35">
        <f t="shared" si="14"/>
        <v>2.9580000000000002</v>
      </c>
    </row>
    <row r="11" spans="1:49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17"/>
        <v>540</v>
      </c>
      <c r="R11" s="37">
        <f t="shared" si="18"/>
        <v>8050</v>
      </c>
      <c r="S11" s="37">
        <f t="shared" si="16"/>
        <v>0</v>
      </c>
      <c r="T11" s="37">
        <f t="shared" si="19"/>
        <v>1340</v>
      </c>
      <c r="U11" s="37">
        <f t="shared" si="20"/>
        <v>5480</v>
      </c>
      <c r="V11" s="37">
        <f t="shared" si="21"/>
        <v>4250</v>
      </c>
      <c r="W11" s="37">
        <f t="shared" si="22"/>
        <v>2470</v>
      </c>
      <c r="X11" s="37">
        <f t="shared" si="23"/>
        <v>4610</v>
      </c>
      <c r="Y11" s="37">
        <f t="shared" si="24"/>
        <v>4730</v>
      </c>
      <c r="Z11" s="37">
        <f t="shared" si="25"/>
        <v>2430</v>
      </c>
      <c r="AA11" s="37">
        <f t="shared" si="26"/>
        <v>3230</v>
      </c>
      <c r="AB11" s="37">
        <f t="shared" si="27"/>
        <v>6810</v>
      </c>
      <c r="AC11" s="37">
        <f t="shared" si="28"/>
        <v>11890</v>
      </c>
      <c r="AD11" s="35">
        <f t="shared" si="29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0"/>
        <v>279.15000000000003</v>
      </c>
      <c r="AU11" s="47">
        <v>521960</v>
      </c>
      <c r="AV11" s="37">
        <f t="shared" si="31"/>
        <v>1903</v>
      </c>
      <c r="AW11" s="35">
        <f t="shared" si="14"/>
        <v>3.806</v>
      </c>
    </row>
    <row r="12" spans="1:49" x14ac:dyDescent="0.25">
      <c r="A12" s="23">
        <v>44598</v>
      </c>
      <c r="B12" s="40">
        <v>79</v>
      </c>
      <c r="C12" s="49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17"/>
        <v>590</v>
      </c>
      <c r="R12" s="37">
        <f t="shared" si="18"/>
        <v>8640</v>
      </c>
      <c r="S12" s="37">
        <f t="shared" si="16"/>
        <v>0</v>
      </c>
      <c r="T12" s="37">
        <f t="shared" ref="T12:W14" si="32">IF((F12-F11&lt;0), "0",F12-F11)</f>
        <v>1460</v>
      </c>
      <c r="U12" s="37">
        <f t="shared" si="32"/>
        <v>5770</v>
      </c>
      <c r="V12" s="37">
        <f t="shared" si="32"/>
        <v>4550</v>
      </c>
      <c r="W12" s="37">
        <f t="shared" si="32"/>
        <v>2630</v>
      </c>
      <c r="X12" s="37">
        <f t="shared" si="23"/>
        <v>4590</v>
      </c>
      <c r="Y12" s="37">
        <f t="shared" si="24"/>
        <v>4790</v>
      </c>
      <c r="Z12" s="37">
        <f>IF((L12-L11&lt;0), "0",L12-L11)</f>
        <v>2610</v>
      </c>
      <c r="AA12" s="37">
        <f t="shared" si="26"/>
        <v>3240</v>
      </c>
      <c r="AB12" s="37">
        <f t="shared" si="27"/>
        <v>7260</v>
      </c>
      <c r="AC12" s="37">
        <f t="shared" si="28"/>
        <v>12330</v>
      </c>
      <c r="AD12" s="35">
        <f t="shared" si="29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0"/>
        <v>292.3</v>
      </c>
      <c r="AU12" s="47">
        <v>524236</v>
      </c>
      <c r="AV12" s="37">
        <f t="shared" si="31"/>
        <v>2276</v>
      </c>
      <c r="AW12" s="35">
        <f t="shared" si="14"/>
        <v>4.5520000000000005</v>
      </c>
    </row>
    <row r="13" spans="1:49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17"/>
        <v>560</v>
      </c>
      <c r="R13" s="37">
        <f t="shared" si="18"/>
        <v>8230</v>
      </c>
      <c r="S13" s="37">
        <f t="shared" si="16"/>
        <v>0</v>
      </c>
      <c r="T13" s="37">
        <f t="shared" si="32"/>
        <v>1390</v>
      </c>
      <c r="U13" s="37">
        <f t="shared" si="32"/>
        <v>5770</v>
      </c>
      <c r="V13" s="37">
        <f t="shared" si="32"/>
        <v>4210</v>
      </c>
      <c r="W13" s="37">
        <f t="shared" si="32"/>
        <v>2490</v>
      </c>
      <c r="X13" s="37">
        <f t="shared" si="23"/>
        <v>4660</v>
      </c>
      <c r="Y13" s="37">
        <f t="shared" si="24"/>
        <v>4530</v>
      </c>
      <c r="Z13" s="37">
        <f>IF((L13-L12&lt;0), "0",L13-L12)</f>
        <v>2480</v>
      </c>
      <c r="AA13" s="37">
        <f t="shared" si="26"/>
        <v>2990</v>
      </c>
      <c r="AB13" s="37">
        <f t="shared" si="27"/>
        <v>6940</v>
      </c>
      <c r="AC13" s="37">
        <f t="shared" si="28"/>
        <v>11440</v>
      </c>
      <c r="AD13" s="35">
        <f t="shared" si="29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0"/>
        <v>278.45</v>
      </c>
      <c r="AU13" s="47">
        <v>525624</v>
      </c>
      <c r="AV13" s="37">
        <f t="shared" si="31"/>
        <v>1388</v>
      </c>
      <c r="AW13" s="35">
        <f t="shared" si="14"/>
        <v>2.7760000000000002</v>
      </c>
    </row>
    <row r="14" spans="1:49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53"/>
      <c r="Q14" s="37">
        <f t="shared" si="17"/>
        <v>550</v>
      </c>
      <c r="R14" s="37">
        <f t="shared" si="18"/>
        <v>8120</v>
      </c>
      <c r="S14" s="37">
        <f t="shared" si="16"/>
        <v>0</v>
      </c>
      <c r="T14" s="37">
        <f t="shared" si="32"/>
        <v>1370</v>
      </c>
      <c r="U14" s="37">
        <f t="shared" si="32"/>
        <v>5340</v>
      </c>
      <c r="V14" s="37">
        <f t="shared" si="32"/>
        <v>4000</v>
      </c>
      <c r="W14" s="37">
        <f t="shared" si="32"/>
        <v>2470</v>
      </c>
      <c r="X14" s="37">
        <f t="shared" si="23"/>
        <v>5060</v>
      </c>
      <c r="Y14" s="37">
        <f t="shared" si="24"/>
        <v>4510</v>
      </c>
      <c r="Z14" s="37">
        <f>IF((L14-L13&lt;0), "0",L14-L13)</f>
        <v>2460</v>
      </c>
      <c r="AA14" s="37">
        <f t="shared" si="26"/>
        <v>2900</v>
      </c>
      <c r="AB14" s="37">
        <f t="shared" si="27"/>
        <v>6960</v>
      </c>
      <c r="AC14" s="37">
        <f t="shared" si="28"/>
        <v>11380</v>
      </c>
      <c r="AD14" s="35">
        <f t="shared" si="29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0"/>
        <v>275.60000000000002</v>
      </c>
      <c r="AU14" s="47">
        <v>527509</v>
      </c>
      <c r="AV14" s="37">
        <f t="shared" si="31"/>
        <v>1885</v>
      </c>
      <c r="AW14" s="35">
        <f t="shared" si="14"/>
        <v>3.77</v>
      </c>
    </row>
    <row r="15" spans="1:49" x14ac:dyDescent="0.25">
      <c r="A15" s="23">
        <v>44601</v>
      </c>
      <c r="B15" s="40">
        <v>84</v>
      </c>
      <c r="C15" s="24">
        <v>7487540</v>
      </c>
      <c r="D15" s="24">
        <v>18095910</v>
      </c>
      <c r="E15" s="24">
        <v>3200060</v>
      </c>
      <c r="F15" s="24">
        <v>3887890</v>
      </c>
      <c r="G15" s="24">
        <v>11504900</v>
      </c>
      <c r="H15" s="24">
        <v>6454180</v>
      </c>
      <c r="I15" s="24">
        <v>5675040</v>
      </c>
      <c r="J15" s="24">
        <v>7009950</v>
      </c>
      <c r="K15" s="24">
        <v>10504150</v>
      </c>
      <c r="L15" s="24">
        <v>4469190</v>
      </c>
      <c r="M15" s="24">
        <v>8667610</v>
      </c>
      <c r="N15" s="24">
        <v>13801290</v>
      </c>
      <c r="O15" s="24">
        <v>19210370</v>
      </c>
      <c r="Q15" s="37">
        <f t="shared" si="17"/>
        <v>620</v>
      </c>
      <c r="R15" s="37">
        <f t="shared" si="18"/>
        <v>5170</v>
      </c>
      <c r="S15" s="37">
        <f t="shared" si="16"/>
        <v>1100</v>
      </c>
      <c r="T15" s="37">
        <f t="shared" si="19"/>
        <v>1440</v>
      </c>
      <c r="U15" s="37">
        <f t="shared" si="20"/>
        <v>5610</v>
      </c>
      <c r="V15" s="37">
        <f t="shared" si="21"/>
        <v>4430</v>
      </c>
      <c r="W15" s="37">
        <f t="shared" si="22"/>
        <v>2820</v>
      </c>
      <c r="X15" s="37">
        <f t="shared" si="23"/>
        <v>4670</v>
      </c>
      <c r="Y15" s="37">
        <f t="shared" si="24"/>
        <v>4670</v>
      </c>
      <c r="Z15" s="37">
        <f t="shared" si="25"/>
        <v>2510</v>
      </c>
      <c r="AA15" s="37">
        <f t="shared" si="26"/>
        <v>3160</v>
      </c>
      <c r="AB15" s="37">
        <f t="shared" si="27"/>
        <v>7280</v>
      </c>
      <c r="AC15" s="37">
        <f t="shared" si="28"/>
        <v>11020</v>
      </c>
      <c r="AD15" s="35">
        <f t="shared" si="29"/>
        <v>54500</v>
      </c>
      <c r="AF15" s="20">
        <f t="shared" si="1"/>
        <v>3.1</v>
      </c>
      <c r="AG15" s="20">
        <f t="shared" si="2"/>
        <v>25.85</v>
      </c>
      <c r="AH15" s="20">
        <f t="shared" si="3"/>
        <v>5.5</v>
      </c>
      <c r="AI15" s="20">
        <f t="shared" si="4"/>
        <v>7.2</v>
      </c>
      <c r="AJ15" s="20">
        <f t="shared" si="5"/>
        <v>28.05</v>
      </c>
      <c r="AK15" s="20">
        <f t="shared" si="6"/>
        <v>22.150000000000002</v>
      </c>
      <c r="AL15" s="20">
        <f t="shared" si="7"/>
        <v>14.1</v>
      </c>
      <c r="AM15" s="20">
        <f t="shared" si="8"/>
        <v>23.35</v>
      </c>
      <c r="AN15" s="20">
        <f t="shared" si="9"/>
        <v>23.35</v>
      </c>
      <c r="AO15" s="20">
        <f t="shared" si="10"/>
        <v>12.55</v>
      </c>
      <c r="AP15" s="20">
        <f t="shared" si="11"/>
        <v>15.8</v>
      </c>
      <c r="AQ15" s="20">
        <f t="shared" si="12"/>
        <v>36.4</v>
      </c>
      <c r="AR15" s="20">
        <f t="shared" si="13"/>
        <v>55.1</v>
      </c>
      <c r="AS15" s="35">
        <f t="shared" si="30"/>
        <v>272.50000000000006</v>
      </c>
      <c r="AU15" s="47">
        <v>528993</v>
      </c>
      <c r="AV15" s="37">
        <f t="shared" si="31"/>
        <v>1484</v>
      </c>
      <c r="AW15" s="35">
        <f t="shared" si="14"/>
        <v>2.968</v>
      </c>
    </row>
    <row r="16" spans="1:49" x14ac:dyDescent="0.25">
      <c r="A16" s="23">
        <v>44602</v>
      </c>
      <c r="B16" s="40">
        <v>127</v>
      </c>
      <c r="C16" s="24">
        <v>7492150</v>
      </c>
      <c r="D16" s="24">
        <v>18097770</v>
      </c>
      <c r="E16" s="24">
        <v>3200770</v>
      </c>
      <c r="F16" s="24">
        <v>3889300</v>
      </c>
      <c r="G16" s="24">
        <v>11510150</v>
      </c>
      <c r="H16" s="24">
        <v>6458410</v>
      </c>
      <c r="I16" s="24">
        <v>5677660</v>
      </c>
      <c r="J16" s="24">
        <v>7014520</v>
      </c>
      <c r="K16" s="24">
        <v>10509060</v>
      </c>
      <c r="L16" s="24">
        <v>4471790</v>
      </c>
      <c r="M16" s="24">
        <v>8670860</v>
      </c>
      <c r="N16" s="24">
        <v>13808560</v>
      </c>
      <c r="O16" s="24">
        <v>19221400</v>
      </c>
      <c r="Q16" s="37">
        <f t="shared" si="17"/>
        <v>4610</v>
      </c>
      <c r="R16" s="37">
        <f t="shared" si="18"/>
        <v>1860</v>
      </c>
      <c r="S16" s="37">
        <f t="shared" si="16"/>
        <v>710</v>
      </c>
      <c r="T16" s="37">
        <f t="shared" si="19"/>
        <v>1410</v>
      </c>
      <c r="U16" s="37">
        <f t="shared" si="20"/>
        <v>5250</v>
      </c>
      <c r="V16" s="37">
        <f t="shared" si="21"/>
        <v>4230</v>
      </c>
      <c r="W16" s="37">
        <f t="shared" si="22"/>
        <v>2620</v>
      </c>
      <c r="X16" s="37">
        <f t="shared" si="23"/>
        <v>4570</v>
      </c>
      <c r="Y16" s="37">
        <f t="shared" si="24"/>
        <v>4910</v>
      </c>
      <c r="Z16" s="37">
        <f t="shared" si="25"/>
        <v>2600</v>
      </c>
      <c r="AA16" s="37">
        <f t="shared" si="26"/>
        <v>3250</v>
      </c>
      <c r="AB16" s="37">
        <f t="shared" si="27"/>
        <v>7270</v>
      </c>
      <c r="AC16" s="37">
        <f t="shared" si="28"/>
        <v>11030</v>
      </c>
      <c r="AD16" s="35">
        <f t="shared" si="29"/>
        <v>54320</v>
      </c>
      <c r="AF16" s="20">
        <f t="shared" si="1"/>
        <v>23.05</v>
      </c>
      <c r="AG16" s="20">
        <f t="shared" si="2"/>
        <v>9.3000000000000007</v>
      </c>
      <c r="AH16" s="20">
        <f t="shared" si="3"/>
        <v>3.5500000000000003</v>
      </c>
      <c r="AI16" s="20">
        <f t="shared" si="4"/>
        <v>7.05</v>
      </c>
      <c r="AJ16" s="20">
        <f t="shared" si="5"/>
        <v>26.25</v>
      </c>
      <c r="AK16" s="20">
        <f t="shared" si="6"/>
        <v>21.150000000000002</v>
      </c>
      <c r="AL16" s="20">
        <f t="shared" si="7"/>
        <v>13.1</v>
      </c>
      <c r="AM16" s="20">
        <f t="shared" si="8"/>
        <v>22.85</v>
      </c>
      <c r="AN16" s="20">
        <f t="shared" si="9"/>
        <v>24.55</v>
      </c>
      <c r="AO16" s="20">
        <f t="shared" si="10"/>
        <v>13</v>
      </c>
      <c r="AP16" s="20">
        <f t="shared" si="11"/>
        <v>16.25</v>
      </c>
      <c r="AQ16" s="20">
        <f t="shared" si="12"/>
        <v>36.35</v>
      </c>
      <c r="AR16" s="20">
        <f t="shared" si="13"/>
        <v>55.15</v>
      </c>
      <c r="AS16" s="35">
        <f t="shared" si="30"/>
        <v>271.59999999999997</v>
      </c>
      <c r="AU16" s="47">
        <v>530805</v>
      </c>
      <c r="AV16" s="37">
        <f t="shared" si="31"/>
        <v>1812</v>
      </c>
      <c r="AW16" s="35">
        <f t="shared" si="14"/>
        <v>3.6240000000000001</v>
      </c>
    </row>
    <row r="17" spans="1:49" x14ac:dyDescent="0.25">
      <c r="A17" s="23">
        <v>44603</v>
      </c>
      <c r="B17" s="40">
        <v>136</v>
      </c>
      <c r="C17" s="24">
        <v>7499450</v>
      </c>
      <c r="D17" s="24">
        <v>18099640</v>
      </c>
      <c r="E17" s="24">
        <v>3200800</v>
      </c>
      <c r="F17" s="24">
        <v>3890730</v>
      </c>
      <c r="G17" s="24">
        <v>11515530</v>
      </c>
      <c r="H17" s="24">
        <v>6462520</v>
      </c>
      <c r="I17" s="24">
        <v>5680220</v>
      </c>
      <c r="J17" s="24">
        <v>7018720</v>
      </c>
      <c r="K17" s="24">
        <v>10513920</v>
      </c>
      <c r="L17" s="24">
        <v>4474270</v>
      </c>
      <c r="M17" s="24">
        <v>8674080</v>
      </c>
      <c r="N17" s="24">
        <v>13815770</v>
      </c>
      <c r="O17" s="24">
        <v>19232280</v>
      </c>
      <c r="Q17" s="37">
        <f t="shared" si="17"/>
        <v>7300</v>
      </c>
      <c r="R17" s="37">
        <f t="shared" si="18"/>
        <v>1870</v>
      </c>
      <c r="S17" s="37">
        <f t="shared" si="16"/>
        <v>30</v>
      </c>
      <c r="T17" s="37">
        <f t="shared" si="19"/>
        <v>1430</v>
      </c>
      <c r="U17" s="37">
        <f t="shared" si="20"/>
        <v>5380</v>
      </c>
      <c r="V17" s="37">
        <f t="shared" si="21"/>
        <v>4110</v>
      </c>
      <c r="W17" s="37">
        <f t="shared" si="22"/>
        <v>2560</v>
      </c>
      <c r="X17" s="37">
        <f t="shared" si="23"/>
        <v>4200</v>
      </c>
      <c r="Y17" s="37">
        <f t="shared" si="24"/>
        <v>4860</v>
      </c>
      <c r="Z17" s="37">
        <f t="shared" si="25"/>
        <v>2480</v>
      </c>
      <c r="AA17" s="37">
        <f t="shared" si="26"/>
        <v>3220</v>
      </c>
      <c r="AB17" s="37">
        <f t="shared" si="27"/>
        <v>7210</v>
      </c>
      <c r="AC17" s="37">
        <f t="shared" si="28"/>
        <v>10880</v>
      </c>
      <c r="AD17" s="35">
        <f t="shared" si="29"/>
        <v>55530</v>
      </c>
      <c r="AF17" s="20">
        <f t="shared" si="1"/>
        <v>36.5</v>
      </c>
      <c r="AG17" s="20">
        <f t="shared" si="2"/>
        <v>9.35</v>
      </c>
      <c r="AH17" s="20">
        <f t="shared" si="3"/>
        <v>0.15</v>
      </c>
      <c r="AI17" s="20">
        <f t="shared" si="4"/>
        <v>7.15</v>
      </c>
      <c r="AJ17" s="20">
        <f t="shared" si="5"/>
        <v>26.900000000000002</v>
      </c>
      <c r="AK17" s="20">
        <f t="shared" si="6"/>
        <v>20.55</v>
      </c>
      <c r="AL17" s="20">
        <f t="shared" si="7"/>
        <v>12.8</v>
      </c>
      <c r="AM17" s="20">
        <f t="shared" si="8"/>
        <v>21</v>
      </c>
      <c r="AN17" s="20">
        <f t="shared" si="9"/>
        <v>24.3</v>
      </c>
      <c r="AO17" s="20">
        <f t="shared" si="10"/>
        <v>12.4</v>
      </c>
      <c r="AP17" s="20">
        <f t="shared" si="11"/>
        <v>16.100000000000001</v>
      </c>
      <c r="AQ17" s="20">
        <f t="shared" si="12"/>
        <v>36.050000000000004</v>
      </c>
      <c r="AR17" s="20">
        <f t="shared" si="13"/>
        <v>54.4</v>
      </c>
      <c r="AS17" s="35">
        <f t="shared" si="30"/>
        <v>277.64999999999998</v>
      </c>
      <c r="AU17" s="47">
        <v>532559</v>
      </c>
      <c r="AV17" s="37">
        <f t="shared" si="31"/>
        <v>1754</v>
      </c>
      <c r="AW17" s="35">
        <f t="shared" si="14"/>
        <v>3.508</v>
      </c>
    </row>
    <row r="18" spans="1:49" x14ac:dyDescent="0.25">
      <c r="A18" s="23">
        <v>44604</v>
      </c>
      <c r="B18" s="40">
        <v>88</v>
      </c>
      <c r="C18" s="24">
        <v>7506190</v>
      </c>
      <c r="D18" s="24">
        <v>18101430</v>
      </c>
      <c r="E18" s="24">
        <v>3200800</v>
      </c>
      <c r="F18" s="24">
        <v>3892080</v>
      </c>
      <c r="G18" s="24">
        <v>11520790</v>
      </c>
      <c r="H18" s="24">
        <v>6466620</v>
      </c>
      <c r="I18" s="24">
        <v>5682720</v>
      </c>
      <c r="J18" s="24">
        <v>7023070</v>
      </c>
      <c r="K18" s="24">
        <v>10518400</v>
      </c>
      <c r="L18" s="24">
        <v>4476720</v>
      </c>
      <c r="M18" s="24">
        <v>8677130</v>
      </c>
      <c r="N18" s="24">
        <v>13822490</v>
      </c>
      <c r="O18" s="24">
        <v>19242950</v>
      </c>
      <c r="Q18" s="37">
        <f t="shared" si="17"/>
        <v>6740</v>
      </c>
      <c r="R18" s="37">
        <f t="shared" si="18"/>
        <v>1790</v>
      </c>
      <c r="S18" s="37">
        <f t="shared" si="16"/>
        <v>0</v>
      </c>
      <c r="T18" s="37">
        <f t="shared" si="19"/>
        <v>1350</v>
      </c>
      <c r="U18" s="37">
        <f t="shared" si="20"/>
        <v>5260</v>
      </c>
      <c r="V18" s="37">
        <f t="shared" si="21"/>
        <v>4100</v>
      </c>
      <c r="W18" s="37">
        <f t="shared" si="22"/>
        <v>2500</v>
      </c>
      <c r="X18" s="37">
        <f t="shared" si="23"/>
        <v>4350</v>
      </c>
      <c r="Y18" s="37">
        <f t="shared" si="24"/>
        <v>4480</v>
      </c>
      <c r="Z18" s="37">
        <f t="shared" si="25"/>
        <v>2450</v>
      </c>
      <c r="AA18" s="37">
        <f t="shared" si="26"/>
        <v>3050</v>
      </c>
      <c r="AB18" s="37">
        <f t="shared" si="27"/>
        <v>6720</v>
      </c>
      <c r="AC18" s="37">
        <f t="shared" si="28"/>
        <v>10670</v>
      </c>
      <c r="AD18" s="35">
        <f t="shared" si="29"/>
        <v>53460</v>
      </c>
      <c r="AF18" s="20">
        <f t="shared" si="1"/>
        <v>33.700000000000003</v>
      </c>
      <c r="AG18" s="20">
        <f t="shared" si="2"/>
        <v>8.9500000000000011</v>
      </c>
      <c r="AH18" s="20">
        <f t="shared" si="3"/>
        <v>0</v>
      </c>
      <c r="AI18" s="20">
        <f t="shared" si="4"/>
        <v>6.75</v>
      </c>
      <c r="AJ18" s="20">
        <f t="shared" si="5"/>
        <v>26.3</v>
      </c>
      <c r="AK18" s="20">
        <f t="shared" si="6"/>
        <v>20.5</v>
      </c>
      <c r="AL18" s="20">
        <f t="shared" si="7"/>
        <v>12.5</v>
      </c>
      <c r="AM18" s="20">
        <f t="shared" si="8"/>
        <v>21.75</v>
      </c>
      <c r="AN18" s="20">
        <f t="shared" si="9"/>
        <v>22.400000000000002</v>
      </c>
      <c r="AO18" s="20">
        <f t="shared" si="10"/>
        <v>12.25</v>
      </c>
      <c r="AP18" s="20">
        <f t="shared" si="11"/>
        <v>15.25</v>
      </c>
      <c r="AQ18" s="20">
        <f t="shared" si="12"/>
        <v>33.6</v>
      </c>
      <c r="AR18" s="20">
        <f t="shared" si="13"/>
        <v>53.35</v>
      </c>
      <c r="AS18" s="35">
        <f t="shared" si="30"/>
        <v>267.3</v>
      </c>
      <c r="AU18" s="47">
        <v>534766</v>
      </c>
      <c r="AV18" s="37">
        <f t="shared" si="31"/>
        <v>2207</v>
      </c>
      <c r="AW18" s="35">
        <f t="shared" si="14"/>
        <v>4.4139999999999997</v>
      </c>
    </row>
    <row r="19" spans="1:49" x14ac:dyDescent="0.25">
      <c r="A19" s="23">
        <v>44605</v>
      </c>
      <c r="B19" s="40">
        <v>127</v>
      </c>
      <c r="C19" s="24">
        <v>7513920</v>
      </c>
      <c r="D19" s="24">
        <v>18103450</v>
      </c>
      <c r="E19" s="24">
        <v>3200800</v>
      </c>
      <c r="F19" s="24">
        <v>3893590</v>
      </c>
      <c r="G19" s="24">
        <v>11526630</v>
      </c>
      <c r="H19" s="24">
        <v>6470890</v>
      </c>
      <c r="I19" s="24">
        <v>5685450</v>
      </c>
      <c r="J19" s="24">
        <v>7027350</v>
      </c>
      <c r="K19" s="24">
        <v>10523490</v>
      </c>
      <c r="L19" s="24">
        <v>4479550</v>
      </c>
      <c r="M19" s="24">
        <v>8680600</v>
      </c>
      <c r="N19" s="24">
        <v>13830160</v>
      </c>
      <c r="O19" s="24">
        <v>19254720</v>
      </c>
      <c r="Q19" s="37">
        <f t="shared" si="17"/>
        <v>7730</v>
      </c>
      <c r="R19" s="37">
        <f t="shared" si="18"/>
        <v>2020</v>
      </c>
      <c r="S19" s="37">
        <f t="shared" si="16"/>
        <v>0</v>
      </c>
      <c r="T19" s="37">
        <f t="shared" si="19"/>
        <v>1510</v>
      </c>
      <c r="U19" s="37">
        <f t="shared" si="20"/>
        <v>5840</v>
      </c>
      <c r="V19" s="37">
        <f t="shared" si="21"/>
        <v>4270</v>
      </c>
      <c r="W19" s="37">
        <f t="shared" si="22"/>
        <v>2730</v>
      </c>
      <c r="X19" s="37">
        <f t="shared" si="23"/>
        <v>4280</v>
      </c>
      <c r="Y19" s="37">
        <f t="shared" si="24"/>
        <v>5090</v>
      </c>
      <c r="Z19" s="37">
        <f t="shared" si="25"/>
        <v>2830</v>
      </c>
      <c r="AA19" s="37">
        <f t="shared" si="26"/>
        <v>3470</v>
      </c>
      <c r="AB19" s="37">
        <f t="shared" si="27"/>
        <v>7670</v>
      </c>
      <c r="AC19" s="37">
        <f t="shared" si="28"/>
        <v>11770</v>
      </c>
      <c r="AD19" s="35">
        <f t="shared" si="29"/>
        <v>59210</v>
      </c>
      <c r="AF19" s="20">
        <f t="shared" si="1"/>
        <v>38.65</v>
      </c>
      <c r="AG19" s="20">
        <f t="shared" si="2"/>
        <v>10.1</v>
      </c>
      <c r="AH19" s="20">
        <f t="shared" si="3"/>
        <v>0</v>
      </c>
      <c r="AI19" s="20">
        <f t="shared" si="4"/>
        <v>7.55</v>
      </c>
      <c r="AJ19" s="20">
        <f t="shared" si="5"/>
        <v>29.2</v>
      </c>
      <c r="AK19" s="20">
        <f t="shared" si="6"/>
        <v>21.35</v>
      </c>
      <c r="AL19" s="20">
        <f t="shared" si="7"/>
        <v>13.65</v>
      </c>
      <c r="AM19" s="20">
        <f t="shared" si="8"/>
        <v>21.400000000000002</v>
      </c>
      <c r="AN19" s="20">
        <f t="shared" si="9"/>
        <v>25.45</v>
      </c>
      <c r="AO19" s="20">
        <f t="shared" si="10"/>
        <v>14.15</v>
      </c>
      <c r="AP19" s="20">
        <f t="shared" si="11"/>
        <v>17.350000000000001</v>
      </c>
      <c r="AQ19" s="20">
        <f t="shared" si="12"/>
        <v>38.35</v>
      </c>
      <c r="AR19" s="20">
        <f t="shared" si="13"/>
        <v>58.85</v>
      </c>
      <c r="AS19" s="35">
        <f t="shared" si="30"/>
        <v>296.05</v>
      </c>
      <c r="AU19" s="47">
        <v>536525</v>
      </c>
      <c r="AV19" s="37">
        <f t="shared" si="31"/>
        <v>1759</v>
      </c>
      <c r="AW19" s="35">
        <f t="shared" si="14"/>
        <v>3.5180000000000002</v>
      </c>
    </row>
    <row r="20" spans="1:49" x14ac:dyDescent="0.25">
      <c r="A20" s="23">
        <v>44606</v>
      </c>
      <c r="B20" s="40">
        <v>185</v>
      </c>
      <c r="C20" s="24">
        <v>7521640</v>
      </c>
      <c r="D20" s="24">
        <v>18105340</v>
      </c>
      <c r="E20" s="24">
        <v>3200800</v>
      </c>
      <c r="F20" s="24">
        <v>3895030</v>
      </c>
      <c r="G20" s="24">
        <v>11532720</v>
      </c>
      <c r="H20" s="24">
        <v>6474930</v>
      </c>
      <c r="I20" s="24">
        <v>5688210</v>
      </c>
      <c r="J20" s="24">
        <v>7032170</v>
      </c>
      <c r="K20" s="24">
        <v>10528720</v>
      </c>
      <c r="L20" s="24">
        <v>4482400</v>
      </c>
      <c r="M20" s="24">
        <v>8683980</v>
      </c>
      <c r="N20" s="24">
        <v>13837750</v>
      </c>
      <c r="O20" s="24">
        <v>19265820</v>
      </c>
      <c r="Q20" s="37">
        <f t="shared" si="17"/>
        <v>7720</v>
      </c>
      <c r="R20" s="37">
        <f t="shared" si="18"/>
        <v>1890</v>
      </c>
      <c r="S20" s="37">
        <f t="shared" si="16"/>
        <v>0</v>
      </c>
      <c r="T20" s="37">
        <f t="shared" si="19"/>
        <v>1440</v>
      </c>
      <c r="U20" s="37">
        <f t="shared" si="20"/>
        <v>6090</v>
      </c>
      <c r="V20" s="37">
        <f t="shared" si="21"/>
        <v>4040</v>
      </c>
      <c r="W20" s="37">
        <f t="shared" si="22"/>
        <v>2760</v>
      </c>
      <c r="X20" s="37">
        <f t="shared" si="23"/>
        <v>4820</v>
      </c>
      <c r="Y20" s="37">
        <f t="shared" si="24"/>
        <v>5230</v>
      </c>
      <c r="Z20" s="37">
        <f t="shared" si="25"/>
        <v>2850</v>
      </c>
      <c r="AA20" s="37">
        <f t="shared" si="26"/>
        <v>3380</v>
      </c>
      <c r="AB20" s="37">
        <f t="shared" si="27"/>
        <v>7590</v>
      </c>
      <c r="AC20" s="37">
        <f t="shared" si="28"/>
        <v>11100</v>
      </c>
      <c r="AD20" s="35">
        <f t="shared" si="29"/>
        <v>58910</v>
      </c>
      <c r="AF20" s="20">
        <f t="shared" si="1"/>
        <v>38.6</v>
      </c>
      <c r="AG20" s="20">
        <f t="shared" si="2"/>
        <v>9.4500000000000011</v>
      </c>
      <c r="AH20" s="20">
        <f t="shared" si="3"/>
        <v>0</v>
      </c>
      <c r="AI20" s="20">
        <f t="shared" si="4"/>
        <v>7.2</v>
      </c>
      <c r="AJ20" s="20">
        <f t="shared" si="5"/>
        <v>30.45</v>
      </c>
      <c r="AK20" s="20">
        <f t="shared" si="6"/>
        <v>20.2</v>
      </c>
      <c r="AL20" s="20">
        <f t="shared" si="7"/>
        <v>13.8</v>
      </c>
      <c r="AM20" s="20">
        <f t="shared" si="8"/>
        <v>24.1</v>
      </c>
      <c r="AN20" s="20">
        <f t="shared" si="9"/>
        <v>26.150000000000002</v>
      </c>
      <c r="AO20" s="20">
        <f t="shared" si="10"/>
        <v>14.25</v>
      </c>
      <c r="AP20" s="20">
        <f t="shared" si="11"/>
        <v>16.899999999999999</v>
      </c>
      <c r="AQ20" s="20">
        <f t="shared" si="12"/>
        <v>37.950000000000003</v>
      </c>
      <c r="AR20" s="20">
        <f t="shared" si="13"/>
        <v>55.5</v>
      </c>
      <c r="AS20" s="35">
        <f t="shared" si="30"/>
        <v>294.55</v>
      </c>
      <c r="AU20" s="47">
        <v>538017</v>
      </c>
      <c r="AV20" s="37">
        <f t="shared" si="31"/>
        <v>1492</v>
      </c>
      <c r="AW20" s="35">
        <f t="shared" si="14"/>
        <v>2.984</v>
      </c>
    </row>
    <row r="21" spans="1:49" x14ac:dyDescent="0.25">
      <c r="A21" s="23">
        <v>44607</v>
      </c>
      <c r="B21" s="40">
        <v>105</v>
      </c>
      <c r="C21" s="24">
        <v>7528780</v>
      </c>
      <c r="D21" s="24">
        <v>18107100</v>
      </c>
      <c r="E21" s="24">
        <v>3200800</v>
      </c>
      <c r="F21" s="24">
        <v>3896360</v>
      </c>
      <c r="G21" s="24">
        <v>11538300</v>
      </c>
      <c r="H21" s="24">
        <v>6478860</v>
      </c>
      <c r="I21" s="24">
        <v>5690590</v>
      </c>
      <c r="J21" s="24">
        <v>7036440</v>
      </c>
      <c r="K21" s="24">
        <v>10533220</v>
      </c>
      <c r="L21" s="24">
        <v>4484900</v>
      </c>
      <c r="M21" s="24">
        <v>8687030</v>
      </c>
      <c r="N21" s="24">
        <v>13844420</v>
      </c>
      <c r="O21" s="24">
        <v>19275990</v>
      </c>
      <c r="Q21" s="37">
        <f t="shared" si="17"/>
        <v>7140</v>
      </c>
      <c r="R21" s="37">
        <f t="shared" si="18"/>
        <v>1760</v>
      </c>
      <c r="S21" s="37">
        <f t="shared" si="16"/>
        <v>0</v>
      </c>
      <c r="T21" s="37">
        <f t="shared" si="19"/>
        <v>1330</v>
      </c>
      <c r="U21" s="37">
        <f t="shared" si="20"/>
        <v>5580</v>
      </c>
      <c r="V21" s="37">
        <f t="shared" si="21"/>
        <v>3930</v>
      </c>
      <c r="W21" s="37">
        <f t="shared" si="22"/>
        <v>2380</v>
      </c>
      <c r="X21" s="37">
        <f t="shared" si="23"/>
        <v>4270</v>
      </c>
      <c r="Y21" s="37">
        <f t="shared" si="24"/>
        <v>4500</v>
      </c>
      <c r="Z21" s="37">
        <f t="shared" si="25"/>
        <v>2500</v>
      </c>
      <c r="AA21" s="37">
        <f t="shared" si="26"/>
        <v>3050</v>
      </c>
      <c r="AB21" s="37">
        <f t="shared" si="27"/>
        <v>6670</v>
      </c>
      <c r="AC21" s="37">
        <f t="shared" si="28"/>
        <v>10170</v>
      </c>
      <c r="AD21" s="35">
        <f t="shared" si="29"/>
        <v>53280</v>
      </c>
      <c r="AF21" s="20">
        <f t="shared" si="1"/>
        <v>35.700000000000003</v>
      </c>
      <c r="AG21" s="20">
        <f t="shared" si="2"/>
        <v>8.8000000000000007</v>
      </c>
      <c r="AH21" s="20">
        <f t="shared" si="3"/>
        <v>0</v>
      </c>
      <c r="AI21" s="20">
        <f t="shared" si="4"/>
        <v>6.65</v>
      </c>
      <c r="AJ21" s="20">
        <f t="shared" si="5"/>
        <v>27.900000000000002</v>
      </c>
      <c r="AK21" s="20">
        <f t="shared" si="6"/>
        <v>19.650000000000002</v>
      </c>
      <c r="AL21" s="20">
        <f t="shared" si="7"/>
        <v>11.9</v>
      </c>
      <c r="AM21" s="20">
        <f t="shared" si="8"/>
        <v>21.35</v>
      </c>
      <c r="AN21" s="20">
        <f t="shared" si="9"/>
        <v>22.5</v>
      </c>
      <c r="AO21" s="20">
        <f t="shared" si="10"/>
        <v>12.5</v>
      </c>
      <c r="AP21" s="20">
        <f t="shared" si="11"/>
        <v>15.25</v>
      </c>
      <c r="AQ21" s="20">
        <f t="shared" si="12"/>
        <v>33.35</v>
      </c>
      <c r="AR21" s="20">
        <f t="shared" si="13"/>
        <v>50.85</v>
      </c>
      <c r="AS21" s="35">
        <f t="shared" si="30"/>
        <v>266.40000000000003</v>
      </c>
      <c r="AU21" s="47">
        <v>539492</v>
      </c>
      <c r="AV21" s="37">
        <f t="shared" si="31"/>
        <v>1475</v>
      </c>
      <c r="AW21" s="35">
        <f t="shared" si="14"/>
        <v>2.95</v>
      </c>
    </row>
    <row r="22" spans="1:49" x14ac:dyDescent="0.25">
      <c r="A22" s="23">
        <v>44608</v>
      </c>
      <c r="B22" s="40">
        <v>93</v>
      </c>
      <c r="C22" s="24">
        <v>7536350</v>
      </c>
      <c r="D22" s="24">
        <v>18108950</v>
      </c>
      <c r="E22" s="24">
        <v>3200810</v>
      </c>
      <c r="F22" s="24">
        <v>3897750</v>
      </c>
      <c r="G22" s="24">
        <v>11543750</v>
      </c>
      <c r="H22" s="24">
        <v>6483120</v>
      </c>
      <c r="I22" s="24">
        <v>5693140</v>
      </c>
      <c r="J22" s="44">
        <v>7040630</v>
      </c>
      <c r="K22" s="24">
        <v>10538100</v>
      </c>
      <c r="L22" s="24">
        <v>4487420</v>
      </c>
      <c r="M22" s="24">
        <v>8690000</v>
      </c>
      <c r="N22" s="24">
        <v>13851330</v>
      </c>
      <c r="O22" s="44">
        <v>19287360</v>
      </c>
      <c r="Q22" s="37">
        <f t="shared" si="17"/>
        <v>7570</v>
      </c>
      <c r="R22" s="37">
        <f t="shared" si="18"/>
        <v>1850</v>
      </c>
      <c r="S22" s="37">
        <f t="shared" si="16"/>
        <v>10</v>
      </c>
      <c r="T22" s="37">
        <f t="shared" si="19"/>
        <v>1390</v>
      </c>
      <c r="U22" s="37">
        <f t="shared" si="20"/>
        <v>5450</v>
      </c>
      <c r="V22" s="37">
        <f t="shared" si="21"/>
        <v>4260</v>
      </c>
      <c r="W22" s="37">
        <f t="shared" si="22"/>
        <v>2550</v>
      </c>
      <c r="X22" s="37">
        <f t="shared" si="23"/>
        <v>4190</v>
      </c>
      <c r="Y22" s="37">
        <f t="shared" si="24"/>
        <v>4880</v>
      </c>
      <c r="Z22" s="37">
        <f t="shared" si="25"/>
        <v>2520</v>
      </c>
      <c r="AA22" s="37">
        <f t="shared" si="26"/>
        <v>2970</v>
      </c>
      <c r="AB22" s="37">
        <f t="shared" si="27"/>
        <v>6910</v>
      </c>
      <c r="AC22" s="37">
        <f t="shared" si="28"/>
        <v>11370</v>
      </c>
      <c r="AD22" s="35">
        <f t="shared" si="29"/>
        <v>55920</v>
      </c>
      <c r="AF22" s="20">
        <f t="shared" si="1"/>
        <v>37.85</v>
      </c>
      <c r="AG22" s="20">
        <f t="shared" si="2"/>
        <v>9.25</v>
      </c>
      <c r="AH22" s="20">
        <f t="shared" si="3"/>
        <v>0.05</v>
      </c>
      <c r="AI22" s="20">
        <f t="shared" si="4"/>
        <v>6.95</v>
      </c>
      <c r="AJ22" s="20">
        <f t="shared" si="5"/>
        <v>27.25</v>
      </c>
      <c r="AK22" s="20">
        <f t="shared" si="6"/>
        <v>21.3</v>
      </c>
      <c r="AL22" s="20">
        <f t="shared" si="7"/>
        <v>12.75</v>
      </c>
      <c r="AM22" s="20">
        <f t="shared" si="8"/>
        <v>20.95</v>
      </c>
      <c r="AN22" s="20">
        <f t="shared" si="9"/>
        <v>24.400000000000002</v>
      </c>
      <c r="AO22" s="20">
        <f t="shared" si="10"/>
        <v>12.6</v>
      </c>
      <c r="AP22" s="20">
        <f t="shared" si="11"/>
        <v>14.85</v>
      </c>
      <c r="AQ22" s="20">
        <f t="shared" si="12"/>
        <v>34.550000000000004</v>
      </c>
      <c r="AR22" s="20">
        <f t="shared" si="13"/>
        <v>56.85</v>
      </c>
      <c r="AS22" s="35">
        <f t="shared" si="30"/>
        <v>279.60000000000002</v>
      </c>
      <c r="AU22" s="47">
        <v>541229</v>
      </c>
      <c r="AV22" s="37">
        <f t="shared" si="31"/>
        <v>1737</v>
      </c>
      <c r="AW22" s="35">
        <f t="shared" si="14"/>
        <v>3.4740000000000002</v>
      </c>
    </row>
    <row r="23" spans="1:49" x14ac:dyDescent="0.25">
      <c r="A23" s="23">
        <v>44609</v>
      </c>
      <c r="B23" s="40">
        <v>112</v>
      </c>
      <c r="C23" s="24">
        <v>7544220</v>
      </c>
      <c r="D23" s="24">
        <v>18110840</v>
      </c>
      <c r="E23" s="24">
        <v>3200800</v>
      </c>
      <c r="F23" s="24">
        <v>3899180</v>
      </c>
      <c r="G23" s="24">
        <v>11549190</v>
      </c>
      <c r="H23" s="24">
        <v>6487490</v>
      </c>
      <c r="I23" s="24">
        <v>5695760</v>
      </c>
      <c r="J23" s="24">
        <v>7044600</v>
      </c>
      <c r="K23" s="24">
        <v>10543260</v>
      </c>
      <c r="L23" s="24">
        <v>4489980</v>
      </c>
      <c r="M23" s="24">
        <v>8693040</v>
      </c>
      <c r="N23" s="24">
        <v>13858540</v>
      </c>
      <c r="O23" s="24">
        <v>19298590</v>
      </c>
      <c r="Q23" s="37">
        <f t="shared" si="17"/>
        <v>7870</v>
      </c>
      <c r="R23" s="37">
        <f t="shared" si="18"/>
        <v>1890</v>
      </c>
      <c r="S23" s="37" t="str">
        <f t="shared" si="16"/>
        <v>0</v>
      </c>
      <c r="T23" s="37">
        <f t="shared" si="19"/>
        <v>1430</v>
      </c>
      <c r="U23" s="37">
        <f t="shared" si="20"/>
        <v>5440</v>
      </c>
      <c r="V23" s="37">
        <f t="shared" si="21"/>
        <v>4370</v>
      </c>
      <c r="W23" s="37">
        <f t="shared" si="22"/>
        <v>2620</v>
      </c>
      <c r="X23" s="37">
        <f t="shared" si="23"/>
        <v>3970</v>
      </c>
      <c r="Y23" s="37">
        <f t="shared" si="24"/>
        <v>5160</v>
      </c>
      <c r="Z23" s="37">
        <f t="shared" si="25"/>
        <v>2560</v>
      </c>
      <c r="AA23" s="37">
        <f t="shared" si="26"/>
        <v>3040</v>
      </c>
      <c r="AB23" s="37">
        <f t="shared" si="27"/>
        <v>7210</v>
      </c>
      <c r="AC23" s="37">
        <f t="shared" si="28"/>
        <v>11230</v>
      </c>
      <c r="AD23" s="35">
        <f t="shared" si="29"/>
        <v>56790</v>
      </c>
      <c r="AF23" s="20">
        <f t="shared" si="1"/>
        <v>39.35</v>
      </c>
      <c r="AG23" s="20">
        <f t="shared" si="2"/>
        <v>9.4500000000000011</v>
      </c>
      <c r="AH23" s="20">
        <f t="shared" si="3"/>
        <v>0</v>
      </c>
      <c r="AI23" s="20">
        <f t="shared" si="4"/>
        <v>7.15</v>
      </c>
      <c r="AJ23" s="20">
        <f t="shared" si="5"/>
        <v>27.2</v>
      </c>
      <c r="AK23" s="20">
        <f t="shared" si="6"/>
        <v>21.85</v>
      </c>
      <c r="AL23" s="20">
        <f t="shared" si="7"/>
        <v>13.1</v>
      </c>
      <c r="AM23" s="20">
        <f t="shared" si="8"/>
        <v>19.850000000000001</v>
      </c>
      <c r="AN23" s="20">
        <f t="shared" si="9"/>
        <v>25.8</v>
      </c>
      <c r="AO23" s="20">
        <f t="shared" si="10"/>
        <v>12.8</v>
      </c>
      <c r="AP23" s="20">
        <f t="shared" si="11"/>
        <v>15.200000000000001</v>
      </c>
      <c r="AQ23" s="20">
        <f t="shared" si="12"/>
        <v>36.050000000000004</v>
      </c>
      <c r="AR23" s="20">
        <f t="shared" si="13"/>
        <v>56.15</v>
      </c>
      <c r="AS23" s="35">
        <f t="shared" si="30"/>
        <v>283.95</v>
      </c>
      <c r="AU23" s="47">
        <v>542816</v>
      </c>
      <c r="AV23" s="37">
        <f t="shared" si="31"/>
        <v>1587</v>
      </c>
      <c r="AW23" s="35">
        <f t="shared" si="14"/>
        <v>3.1739999999999999</v>
      </c>
    </row>
    <row r="24" spans="1:49" x14ac:dyDescent="0.25">
      <c r="A24" s="23">
        <v>44610</v>
      </c>
      <c r="B24" s="40">
        <v>109</v>
      </c>
      <c r="C24" s="24">
        <v>7552140</v>
      </c>
      <c r="D24" s="24">
        <v>18112770</v>
      </c>
      <c r="E24" s="24">
        <v>3200810</v>
      </c>
      <c r="F24" s="24">
        <v>3900630</v>
      </c>
      <c r="G24" s="24">
        <v>11554800</v>
      </c>
      <c r="H24" s="24">
        <v>6491840</v>
      </c>
      <c r="I24" s="24">
        <v>5698370</v>
      </c>
      <c r="J24" s="24">
        <v>7048770</v>
      </c>
      <c r="K24" s="24">
        <v>10548490</v>
      </c>
      <c r="L24" s="24">
        <v>4492510</v>
      </c>
      <c r="M24" s="24">
        <v>8696290</v>
      </c>
      <c r="N24" s="24">
        <v>13865860</v>
      </c>
      <c r="O24" s="24">
        <v>19309880</v>
      </c>
      <c r="Q24" s="37">
        <f t="shared" si="17"/>
        <v>7920</v>
      </c>
      <c r="R24" s="37">
        <f t="shared" si="18"/>
        <v>1930</v>
      </c>
      <c r="S24" s="37">
        <f t="shared" si="16"/>
        <v>10</v>
      </c>
      <c r="T24" s="37">
        <f t="shared" si="19"/>
        <v>1450</v>
      </c>
      <c r="U24" s="37">
        <f t="shared" si="20"/>
        <v>5610</v>
      </c>
      <c r="V24" s="37">
        <f t="shared" si="21"/>
        <v>4350</v>
      </c>
      <c r="W24" s="37">
        <f t="shared" si="22"/>
        <v>2610</v>
      </c>
      <c r="X24" s="37">
        <f t="shared" si="23"/>
        <v>4170</v>
      </c>
      <c r="Y24" s="37">
        <f t="shared" si="24"/>
        <v>5230</v>
      </c>
      <c r="Z24" s="37">
        <f t="shared" si="25"/>
        <v>2530</v>
      </c>
      <c r="AA24" s="37">
        <f t="shared" si="26"/>
        <v>3250</v>
      </c>
      <c r="AB24" s="37">
        <f t="shared" si="27"/>
        <v>7320</v>
      </c>
      <c r="AC24" s="37">
        <f t="shared" si="28"/>
        <v>11290</v>
      </c>
      <c r="AD24" s="35">
        <f t="shared" si="29"/>
        <v>57670</v>
      </c>
      <c r="AF24" s="20">
        <f t="shared" si="1"/>
        <v>39.6</v>
      </c>
      <c r="AG24" s="20">
        <f t="shared" si="2"/>
        <v>9.65</v>
      </c>
      <c r="AH24" s="20">
        <f t="shared" si="3"/>
        <v>0.05</v>
      </c>
      <c r="AI24" s="20">
        <f t="shared" si="4"/>
        <v>7.25</v>
      </c>
      <c r="AJ24" s="20">
        <f t="shared" si="5"/>
        <v>28.05</v>
      </c>
      <c r="AK24" s="20">
        <f t="shared" si="6"/>
        <v>21.75</v>
      </c>
      <c r="AL24" s="20">
        <f t="shared" si="7"/>
        <v>13.05</v>
      </c>
      <c r="AM24" s="20">
        <f t="shared" si="8"/>
        <v>20.85</v>
      </c>
      <c r="AN24" s="20">
        <f t="shared" si="9"/>
        <v>26.150000000000002</v>
      </c>
      <c r="AO24" s="20">
        <f t="shared" si="10"/>
        <v>12.65</v>
      </c>
      <c r="AP24" s="20">
        <f t="shared" si="11"/>
        <v>16.25</v>
      </c>
      <c r="AQ24" s="20">
        <f t="shared" si="12"/>
        <v>36.6</v>
      </c>
      <c r="AR24" s="20">
        <f t="shared" si="13"/>
        <v>56.45</v>
      </c>
      <c r="AS24" s="35">
        <f t="shared" si="30"/>
        <v>288.35000000000002</v>
      </c>
      <c r="AU24" s="47">
        <v>544438</v>
      </c>
      <c r="AV24" s="37">
        <f t="shared" si="31"/>
        <v>1622</v>
      </c>
      <c r="AW24" s="35">
        <f t="shared" si="14"/>
        <v>3.2440000000000002</v>
      </c>
    </row>
    <row r="25" spans="1:49" x14ac:dyDescent="0.25">
      <c r="A25" s="23">
        <v>44611</v>
      </c>
      <c r="B25" s="40">
        <v>88</v>
      </c>
      <c r="C25" s="24">
        <v>7560380</v>
      </c>
      <c r="D25" s="24">
        <v>18114630</v>
      </c>
      <c r="E25" s="24">
        <v>3200810</v>
      </c>
      <c r="F25" s="24">
        <v>3902050</v>
      </c>
      <c r="G25" s="24">
        <v>11560060</v>
      </c>
      <c r="H25" s="24">
        <v>6496080</v>
      </c>
      <c r="I25" s="24">
        <v>5700940</v>
      </c>
      <c r="J25" s="24">
        <v>7053000</v>
      </c>
      <c r="K25" s="24">
        <v>10553500</v>
      </c>
      <c r="L25" s="24">
        <v>4494990</v>
      </c>
      <c r="M25" s="24">
        <v>8699410</v>
      </c>
      <c r="N25" s="24">
        <v>13872930</v>
      </c>
      <c r="O25" s="24">
        <v>19320830</v>
      </c>
      <c r="Q25" s="37">
        <f t="shared" ref="Q25:AC27" si="33">IF((C25-C24&lt;0), "0",C25-C24)</f>
        <v>8240</v>
      </c>
      <c r="R25" s="37">
        <f t="shared" si="33"/>
        <v>1860</v>
      </c>
      <c r="S25" s="37">
        <f t="shared" si="33"/>
        <v>0</v>
      </c>
      <c r="T25" s="37">
        <f t="shared" si="33"/>
        <v>1420</v>
      </c>
      <c r="U25" s="37">
        <f t="shared" si="33"/>
        <v>5260</v>
      </c>
      <c r="V25" s="37">
        <f t="shared" si="33"/>
        <v>4240</v>
      </c>
      <c r="W25" s="37">
        <f t="shared" si="33"/>
        <v>2570</v>
      </c>
      <c r="X25" s="37">
        <f t="shared" si="33"/>
        <v>4230</v>
      </c>
      <c r="Y25" s="37">
        <f t="shared" si="33"/>
        <v>5010</v>
      </c>
      <c r="Z25" s="37">
        <f t="shared" si="33"/>
        <v>2480</v>
      </c>
      <c r="AA25" s="37">
        <f t="shared" si="33"/>
        <v>3120</v>
      </c>
      <c r="AB25" s="37">
        <f t="shared" si="33"/>
        <v>7070</v>
      </c>
      <c r="AC25" s="37">
        <f t="shared" si="33"/>
        <v>10950</v>
      </c>
      <c r="AD25" s="35">
        <f t="shared" si="29"/>
        <v>56450</v>
      </c>
      <c r="AF25" s="20">
        <f t="shared" si="1"/>
        <v>41.2</v>
      </c>
      <c r="AG25" s="20">
        <f t="shared" si="2"/>
        <v>9.3000000000000007</v>
      </c>
      <c r="AH25" s="20">
        <f t="shared" si="3"/>
        <v>0</v>
      </c>
      <c r="AI25" s="20">
        <f t="shared" si="4"/>
        <v>7.1000000000000005</v>
      </c>
      <c r="AJ25" s="20">
        <f t="shared" si="5"/>
        <v>26.3</v>
      </c>
      <c r="AK25" s="20">
        <f t="shared" si="6"/>
        <v>21.2</v>
      </c>
      <c r="AL25" s="20">
        <f t="shared" si="7"/>
        <v>12.85</v>
      </c>
      <c r="AM25" s="20">
        <f t="shared" si="8"/>
        <v>21.150000000000002</v>
      </c>
      <c r="AN25" s="20">
        <f t="shared" si="9"/>
        <v>25.05</v>
      </c>
      <c r="AO25" s="20">
        <f t="shared" si="10"/>
        <v>12.4</v>
      </c>
      <c r="AP25" s="20">
        <f t="shared" si="11"/>
        <v>15.6</v>
      </c>
      <c r="AQ25" s="20">
        <f t="shared" si="12"/>
        <v>35.35</v>
      </c>
      <c r="AR25" s="20">
        <f t="shared" si="13"/>
        <v>54.75</v>
      </c>
      <c r="AS25" s="35">
        <f t="shared" si="30"/>
        <v>282.25</v>
      </c>
      <c r="AU25" s="47">
        <v>545982</v>
      </c>
      <c r="AV25" s="37">
        <f t="shared" si="31"/>
        <v>1544</v>
      </c>
      <c r="AW25" s="35">
        <f t="shared" si="14"/>
        <v>3.0880000000000001</v>
      </c>
    </row>
    <row r="26" spans="1:49" x14ac:dyDescent="0.25">
      <c r="A26" s="23">
        <v>44612</v>
      </c>
      <c r="B26" s="40">
        <v>98</v>
      </c>
      <c r="C26" s="24">
        <v>7568750</v>
      </c>
      <c r="D26" s="24">
        <v>18116530</v>
      </c>
      <c r="E26" s="24">
        <v>3200800</v>
      </c>
      <c r="F26" s="24">
        <v>3903510</v>
      </c>
      <c r="G26" s="24">
        <v>11565370</v>
      </c>
      <c r="H26" s="24">
        <v>6500330</v>
      </c>
      <c r="I26" s="24">
        <v>5703610</v>
      </c>
      <c r="J26" s="24">
        <v>7057240</v>
      </c>
      <c r="K26" s="24">
        <v>10558660</v>
      </c>
      <c r="L26" s="24">
        <v>4497510</v>
      </c>
      <c r="M26" s="24">
        <v>8702500</v>
      </c>
      <c r="N26" s="24">
        <v>13880200</v>
      </c>
      <c r="O26" s="24">
        <v>19332090</v>
      </c>
      <c r="Q26" s="37">
        <f t="shared" si="33"/>
        <v>8370</v>
      </c>
      <c r="R26" s="37">
        <f t="shared" si="33"/>
        <v>1900</v>
      </c>
      <c r="S26" s="37" t="str">
        <f t="shared" si="33"/>
        <v>0</v>
      </c>
      <c r="T26" s="37">
        <f t="shared" si="33"/>
        <v>1460</v>
      </c>
      <c r="U26" s="37">
        <f t="shared" si="33"/>
        <v>5310</v>
      </c>
      <c r="V26" s="37">
        <f t="shared" si="33"/>
        <v>4250</v>
      </c>
      <c r="W26" s="37">
        <f t="shared" si="33"/>
        <v>2670</v>
      </c>
      <c r="X26" s="37">
        <f t="shared" si="33"/>
        <v>4240</v>
      </c>
      <c r="Y26" s="37">
        <f t="shared" si="33"/>
        <v>5160</v>
      </c>
      <c r="Z26" s="37">
        <f t="shared" si="33"/>
        <v>2520</v>
      </c>
      <c r="AA26" s="37">
        <f t="shared" si="33"/>
        <v>3090</v>
      </c>
      <c r="AB26" s="37">
        <f t="shared" si="33"/>
        <v>7270</v>
      </c>
      <c r="AC26" s="37">
        <f t="shared" si="33"/>
        <v>11260</v>
      </c>
      <c r="AD26" s="35">
        <f t="shared" si="29"/>
        <v>57500</v>
      </c>
      <c r="AF26" s="20">
        <f t="shared" si="1"/>
        <v>41.85</v>
      </c>
      <c r="AG26" s="20">
        <f t="shared" si="2"/>
        <v>9.5</v>
      </c>
      <c r="AH26" s="20">
        <f t="shared" si="3"/>
        <v>0</v>
      </c>
      <c r="AI26" s="20">
        <f t="shared" si="4"/>
        <v>7.3</v>
      </c>
      <c r="AJ26" s="20">
        <f t="shared" si="5"/>
        <v>26.55</v>
      </c>
      <c r="AK26" s="20">
        <f t="shared" si="6"/>
        <v>21.25</v>
      </c>
      <c r="AL26" s="20">
        <f t="shared" si="7"/>
        <v>13.35</v>
      </c>
      <c r="AM26" s="20">
        <f t="shared" si="8"/>
        <v>21.2</v>
      </c>
      <c r="AN26" s="20">
        <f t="shared" si="9"/>
        <v>25.8</v>
      </c>
      <c r="AO26" s="20">
        <f t="shared" si="10"/>
        <v>12.6</v>
      </c>
      <c r="AP26" s="20">
        <f t="shared" si="11"/>
        <v>15.450000000000001</v>
      </c>
      <c r="AQ26" s="20">
        <f t="shared" si="12"/>
        <v>36.35</v>
      </c>
      <c r="AR26" s="20">
        <f t="shared" si="13"/>
        <v>56.300000000000004</v>
      </c>
      <c r="AS26" s="35">
        <f t="shared" si="30"/>
        <v>287.5</v>
      </c>
      <c r="AU26" s="47">
        <v>547860</v>
      </c>
      <c r="AV26" s="37">
        <f t="shared" si="31"/>
        <v>1878</v>
      </c>
      <c r="AW26" s="35">
        <f t="shared" si="14"/>
        <v>3.7560000000000002</v>
      </c>
    </row>
    <row r="27" spans="1:49" x14ac:dyDescent="0.25">
      <c r="A27" s="23">
        <v>44613</v>
      </c>
      <c r="B27" s="40">
        <v>96</v>
      </c>
      <c r="C27" s="24">
        <v>7576400</v>
      </c>
      <c r="D27" s="24">
        <v>18118400</v>
      </c>
      <c r="E27" s="24">
        <v>3200800</v>
      </c>
      <c r="F27" s="24">
        <v>3904930</v>
      </c>
      <c r="G27" s="24">
        <v>11570590</v>
      </c>
      <c r="H27" s="24">
        <v>6504730</v>
      </c>
      <c r="I27" s="24">
        <v>5706210</v>
      </c>
      <c r="J27" s="24">
        <v>7061510</v>
      </c>
      <c r="K27" s="24">
        <v>10563810</v>
      </c>
      <c r="L27" s="24">
        <v>4500000</v>
      </c>
      <c r="M27" s="24">
        <v>8705430</v>
      </c>
      <c r="N27" s="24">
        <v>13887270</v>
      </c>
      <c r="O27" s="24">
        <v>19343140</v>
      </c>
      <c r="Q27" s="37">
        <f t="shared" si="33"/>
        <v>7650</v>
      </c>
      <c r="R27" s="37">
        <f t="shared" si="33"/>
        <v>1870</v>
      </c>
      <c r="S27" s="37">
        <f t="shared" si="33"/>
        <v>0</v>
      </c>
      <c r="T27" s="37">
        <f t="shared" si="33"/>
        <v>1420</v>
      </c>
      <c r="U27" s="37">
        <f t="shared" si="33"/>
        <v>5220</v>
      </c>
      <c r="V27" s="37">
        <f t="shared" si="33"/>
        <v>4400</v>
      </c>
      <c r="W27" s="37">
        <f t="shared" si="33"/>
        <v>2600</v>
      </c>
      <c r="X27" s="37">
        <f t="shared" si="33"/>
        <v>4270</v>
      </c>
      <c r="Y27" s="37">
        <f t="shared" si="33"/>
        <v>5150</v>
      </c>
      <c r="Z27" s="37">
        <f t="shared" si="33"/>
        <v>2490</v>
      </c>
      <c r="AA27" s="37">
        <f t="shared" si="33"/>
        <v>2930</v>
      </c>
      <c r="AB27" s="37">
        <f t="shared" si="33"/>
        <v>7070</v>
      </c>
      <c r="AC27" s="37">
        <f t="shared" si="33"/>
        <v>11050</v>
      </c>
      <c r="AD27" s="35">
        <f t="shared" si="29"/>
        <v>56120</v>
      </c>
      <c r="AF27" s="20">
        <f t="shared" si="1"/>
        <v>38.25</v>
      </c>
      <c r="AG27" s="20">
        <f t="shared" si="2"/>
        <v>9.35</v>
      </c>
      <c r="AH27" s="20">
        <f t="shared" si="3"/>
        <v>0</v>
      </c>
      <c r="AI27" s="20">
        <f t="shared" si="4"/>
        <v>7.1000000000000005</v>
      </c>
      <c r="AJ27" s="20">
        <f t="shared" si="5"/>
        <v>26.1</v>
      </c>
      <c r="AK27" s="20">
        <f t="shared" si="6"/>
        <v>22</v>
      </c>
      <c r="AL27" s="20">
        <f t="shared" si="7"/>
        <v>13</v>
      </c>
      <c r="AM27" s="20">
        <f t="shared" si="8"/>
        <v>21.35</v>
      </c>
      <c r="AN27" s="20">
        <f t="shared" si="9"/>
        <v>25.75</v>
      </c>
      <c r="AO27" s="20">
        <f t="shared" si="10"/>
        <v>12.450000000000001</v>
      </c>
      <c r="AP27" s="20">
        <f t="shared" si="11"/>
        <v>14.65</v>
      </c>
      <c r="AQ27" s="20">
        <f t="shared" si="12"/>
        <v>35.35</v>
      </c>
      <c r="AR27" s="20">
        <f t="shared" si="13"/>
        <v>55.25</v>
      </c>
      <c r="AS27" s="35">
        <f t="shared" si="30"/>
        <v>280.60000000000002</v>
      </c>
      <c r="AU27" s="47">
        <v>549677</v>
      </c>
      <c r="AV27" s="37">
        <f>IF((AU27-AU26&lt;0),"0",AU27-AU26)</f>
        <v>1817</v>
      </c>
      <c r="AW27" s="35">
        <f t="shared" si="14"/>
        <v>3.6339999999999999</v>
      </c>
    </row>
    <row r="28" spans="1:49" x14ac:dyDescent="0.25">
      <c r="A28" s="23">
        <v>44614</v>
      </c>
      <c r="B28" s="40">
        <v>140</v>
      </c>
      <c r="C28" s="24">
        <v>7584420</v>
      </c>
      <c r="D28" s="24">
        <v>18120310</v>
      </c>
      <c r="E28" s="24">
        <v>3200800</v>
      </c>
      <c r="F28" s="24">
        <v>3906390</v>
      </c>
      <c r="G28" s="24">
        <v>11576120</v>
      </c>
      <c r="H28" s="24">
        <v>6509200</v>
      </c>
      <c r="I28" s="24">
        <v>5708770</v>
      </c>
      <c r="J28" s="24">
        <v>7065890</v>
      </c>
      <c r="K28" s="24">
        <v>10569400</v>
      </c>
      <c r="L28" s="24">
        <v>4502730</v>
      </c>
      <c r="M28" s="24">
        <v>8708720</v>
      </c>
      <c r="N28" s="24">
        <v>13894370</v>
      </c>
      <c r="O28" s="24">
        <v>19354280</v>
      </c>
      <c r="Q28" s="37">
        <f t="shared" si="17"/>
        <v>8020</v>
      </c>
      <c r="R28" s="37">
        <f t="shared" si="18"/>
        <v>1910</v>
      </c>
      <c r="S28" s="37">
        <f t="shared" si="16"/>
        <v>0</v>
      </c>
      <c r="T28" s="37">
        <f t="shared" si="19"/>
        <v>1460</v>
      </c>
      <c r="U28" s="37">
        <f t="shared" si="20"/>
        <v>5530</v>
      </c>
      <c r="V28" s="37">
        <f t="shared" si="21"/>
        <v>4470</v>
      </c>
      <c r="W28" s="37">
        <f t="shared" si="22"/>
        <v>2560</v>
      </c>
      <c r="X28" s="37">
        <f t="shared" si="23"/>
        <v>4380</v>
      </c>
      <c r="Y28" s="37">
        <f t="shared" si="24"/>
        <v>5590</v>
      </c>
      <c r="Z28" s="37">
        <f t="shared" si="25"/>
        <v>2730</v>
      </c>
      <c r="AA28" s="37">
        <f t="shared" si="26"/>
        <v>3290</v>
      </c>
      <c r="AB28" s="37">
        <f t="shared" si="27"/>
        <v>7100</v>
      </c>
      <c r="AC28" s="37">
        <f t="shared" si="28"/>
        <v>11140</v>
      </c>
      <c r="AD28" s="35">
        <f t="shared" si="29"/>
        <v>58180</v>
      </c>
      <c r="AF28" s="20">
        <f t="shared" si="1"/>
        <v>40.1</v>
      </c>
      <c r="AG28" s="20">
        <f t="shared" si="2"/>
        <v>9.5500000000000007</v>
      </c>
      <c r="AH28" s="20">
        <f t="shared" si="3"/>
        <v>0</v>
      </c>
      <c r="AI28" s="20">
        <f t="shared" si="4"/>
        <v>7.3</v>
      </c>
      <c r="AJ28" s="20">
        <f t="shared" si="5"/>
        <v>27.650000000000002</v>
      </c>
      <c r="AK28" s="20">
        <f t="shared" si="6"/>
        <v>22.35</v>
      </c>
      <c r="AL28" s="20">
        <f t="shared" si="7"/>
        <v>12.8</v>
      </c>
      <c r="AM28" s="20">
        <f t="shared" si="8"/>
        <v>21.900000000000002</v>
      </c>
      <c r="AN28" s="20">
        <f t="shared" si="9"/>
        <v>27.95</v>
      </c>
      <c r="AO28" s="20">
        <f t="shared" si="10"/>
        <v>13.65</v>
      </c>
      <c r="AP28" s="20">
        <f t="shared" si="11"/>
        <v>16.45</v>
      </c>
      <c r="AQ28" s="20">
        <f t="shared" si="12"/>
        <v>35.5</v>
      </c>
      <c r="AR28" s="20">
        <f t="shared" si="13"/>
        <v>55.7</v>
      </c>
      <c r="AS28" s="35">
        <f t="shared" si="30"/>
        <v>290.89999999999998</v>
      </c>
      <c r="AU28" s="47">
        <v>551271</v>
      </c>
      <c r="AV28" s="37">
        <f>IF((AU28-AU27&lt;0),"0",AU28-AU27)</f>
        <v>1594</v>
      </c>
      <c r="AW28" s="35">
        <f t="shared" si="14"/>
        <v>3.1880000000000002</v>
      </c>
    </row>
    <row r="29" spans="1:49" x14ac:dyDescent="0.25">
      <c r="A29" s="23">
        <v>44615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7"/>
        <v>0</v>
      </c>
      <c r="R29" s="37" t="str">
        <f t="shared" si="18"/>
        <v>0</v>
      </c>
      <c r="S29" s="37" t="str">
        <f t="shared" si="16"/>
        <v>0</v>
      </c>
      <c r="T29" s="37" t="str">
        <f t="shared" si="19"/>
        <v>0</v>
      </c>
      <c r="U29" s="37" t="str">
        <f t="shared" si="20"/>
        <v>0</v>
      </c>
      <c r="V29" s="37" t="str">
        <f t="shared" si="21"/>
        <v>0</v>
      </c>
      <c r="W29" s="37" t="str">
        <f t="shared" si="22"/>
        <v>0</v>
      </c>
      <c r="X29" s="37" t="str">
        <f t="shared" si="23"/>
        <v>0</v>
      </c>
      <c r="Y29" s="37" t="str">
        <f t="shared" si="24"/>
        <v>0</v>
      </c>
      <c r="Z29" s="37" t="str">
        <f t="shared" si="25"/>
        <v>0</v>
      </c>
      <c r="AA29" s="37" t="str">
        <f t="shared" si="26"/>
        <v>0</v>
      </c>
      <c r="AB29" s="37" t="str">
        <f t="shared" si="27"/>
        <v>0</v>
      </c>
      <c r="AC29" s="37" t="str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 t="str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44616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44617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44618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44619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44620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102020</v>
      </c>
      <c r="R38" s="38">
        <f t="shared" ref="R38:AD38" si="61">SUM(R7:R37)</f>
        <v>96550</v>
      </c>
      <c r="S38" s="38">
        <f t="shared" si="61"/>
        <v>1860</v>
      </c>
      <c r="T38" s="38">
        <f t="shared" si="61"/>
        <v>31170</v>
      </c>
      <c r="U38" s="38">
        <f t="shared" si="61"/>
        <v>121670</v>
      </c>
      <c r="V38" s="38">
        <f t="shared" si="61"/>
        <v>94270</v>
      </c>
      <c r="W38" s="38">
        <f t="shared" si="61"/>
        <v>56910</v>
      </c>
      <c r="X38" s="38">
        <f t="shared" si="61"/>
        <v>98330</v>
      </c>
      <c r="Y38" s="38">
        <f t="shared" si="61"/>
        <v>107490</v>
      </c>
      <c r="Z38" s="38">
        <f t="shared" si="61"/>
        <v>56570</v>
      </c>
      <c r="AA38" s="38">
        <f t="shared" si="61"/>
        <v>69260</v>
      </c>
      <c r="AB38" s="38">
        <f t="shared" si="61"/>
        <v>157790</v>
      </c>
      <c r="AC38" s="38">
        <f t="shared" si="61"/>
        <v>251230</v>
      </c>
      <c r="AD38" s="38">
        <f t="shared" si="61"/>
        <v>1245120</v>
      </c>
      <c r="AF38" s="35">
        <f>SUM(AF7:AF37)</f>
        <v>510.10000000000008</v>
      </c>
      <c r="AG38" s="35">
        <f t="shared" ref="AG38:AS38" si="62">SUM(AG7:AG37)</f>
        <v>482.75000000000011</v>
      </c>
      <c r="AH38" s="35">
        <f t="shared" si="62"/>
        <v>9.3000000000000025</v>
      </c>
      <c r="AI38" s="35">
        <f t="shared" si="62"/>
        <v>155.85000000000005</v>
      </c>
      <c r="AJ38" s="35">
        <f t="shared" si="62"/>
        <v>608.34999999999991</v>
      </c>
      <c r="AK38" s="35">
        <f t="shared" si="62"/>
        <v>471.35000000000008</v>
      </c>
      <c r="AL38" s="35">
        <f t="shared" si="62"/>
        <v>284.55000000000007</v>
      </c>
      <c r="AM38" s="35">
        <f t="shared" si="62"/>
        <v>491.65000000000003</v>
      </c>
      <c r="AN38" s="35">
        <f t="shared" si="62"/>
        <v>537.44999999999993</v>
      </c>
      <c r="AO38" s="35">
        <f t="shared" si="62"/>
        <v>282.85000000000002</v>
      </c>
      <c r="AP38" s="35">
        <f t="shared" si="62"/>
        <v>346.3</v>
      </c>
      <c r="AQ38" s="35">
        <f t="shared" si="62"/>
        <v>788.95</v>
      </c>
      <c r="AR38" s="35">
        <f t="shared" si="62"/>
        <v>1256.1499999999999</v>
      </c>
      <c r="AS38" s="35">
        <f t="shared" si="62"/>
        <v>6225.6000000000013</v>
      </c>
      <c r="AU38" s="48"/>
      <c r="AV38" s="35">
        <f>SUM(AV7:AV34)</f>
        <v>37464</v>
      </c>
      <c r="AW38" s="35">
        <f>SUM(AW7:AW34)</f>
        <v>74.928000000000011</v>
      </c>
    </row>
    <row r="39" spans="1:49" x14ac:dyDescent="0.25">
      <c r="D39">
        <v>5.0000000000000001E-3</v>
      </c>
      <c r="AV39" s="36">
        <f>AV38*0.00378541*1000</f>
        <v>141816.60024</v>
      </c>
    </row>
    <row r="40" spans="1:49" x14ac:dyDescent="0.25">
      <c r="D40">
        <v>2E-3</v>
      </c>
      <c r="AV40">
        <f>AV39/31</f>
        <v>4574.7290400000002</v>
      </c>
    </row>
    <row r="41" spans="1:49" x14ac:dyDescent="0.25">
      <c r="AV41">
        <f>AV38*0.00378541</f>
        <v>141.81660023999999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2022-02-23T08:02:59Z</dcterms:modified>
</cp:coreProperties>
</file>