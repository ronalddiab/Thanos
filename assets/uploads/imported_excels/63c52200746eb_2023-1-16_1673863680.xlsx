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0" i="3" l="1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V39" i="3" l="1"/>
  <c r="G32" i="1"/>
  <c r="Q39" i="3"/>
  <c r="R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<sst xmlns="http://schemas.openxmlformats.org/spreadsheetml/2006/main" count="309" uniqueCount="123">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</sst>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H24" sqref="H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</v>
      </c>
      <c r="D2" s="6">
        <v>2023</v>
      </c>
      <c r="E2" s="8">
        <f>Submetring!E2+Submetring!F2+Submetring!G2</f>
        <v>10300</v>
      </c>
      <c r="F2" s="6">
        <v>0.29099999999999998</v>
      </c>
      <c r="G2" s="8">
        <f>Submetring!H2+Submetring!I2</f>
        <v>2482</v>
      </c>
      <c r="H2" s="6">
        <v>0.56711199999999995</v>
      </c>
      <c r="I2" s="8">
        <f>Submetring!J2</f>
        <v>186</v>
      </c>
      <c r="J2" s="6">
        <v>3.03</v>
      </c>
      <c r="K2" s="8">
        <f>Hotel!Y9</f>
        <v>130</v>
      </c>
    </row>
    <row r="3" spans="1:11" x14ac:dyDescent="0.25">
      <c r="A3" s="6" t="s">
        <v>11</v>
      </c>
      <c r="B3" s="9">
        <f>B2+1</f>
        <v>2</v>
      </c>
      <c r="C3" s="7">
        <v>1</v>
      </c>
      <c r="D3" s="6">
        <v>2023</v>
      </c>
      <c r="E3" s="8">
        <f>Submetring!E3+Submetring!F3+Submetring!G3</f>
        <v>8442</v>
      </c>
      <c r="F3" s="6">
        <v>0.29099999999999998</v>
      </c>
      <c r="G3" s="8">
        <f>Submetring!H3+Submetring!I3</f>
        <v>2184</v>
      </c>
      <c r="H3" s="6">
        <v>0.56711199999999995</v>
      </c>
      <c r="I3" s="8">
        <f>Submetring!J3</f>
        <v>174</v>
      </c>
      <c r="J3" s="6">
        <v>3.03</v>
      </c>
      <c r="K3" s="8">
        <f>Hotel!Y10</f>
        <v>70</v>
      </c>
    </row>
    <row r="4" spans="1:11" x14ac:dyDescent="0.25">
      <c r="A4" s="6" t="s">
        <v>11</v>
      </c>
      <c r="B4" s="9">
        <f t="shared" ref="B4:B32" si="0">B3+1</f>
        <v>3</v>
      </c>
      <c r="C4" s="7">
        <v>1</v>
      </c>
      <c r="D4" s="6">
        <v>2023</v>
      </c>
      <c r="E4" s="8">
        <f>Submetring!E4+Submetring!F4+Submetring!G4</f>
        <v>8795</v>
      </c>
      <c r="F4" s="6">
        <v>0.29099999999999998</v>
      </c>
      <c r="G4" s="8">
        <f>Submetring!H4+Submetring!I4</f>
        <v>2335</v>
      </c>
      <c r="H4" s="6">
        <v>0.56711199999999995</v>
      </c>
      <c r="I4" s="8">
        <f>Submetring!J4</f>
        <v>216</v>
      </c>
      <c r="J4" s="6">
        <v>3.03</v>
      </c>
      <c r="K4" s="8">
        <f>Hotel!Y11</f>
        <v>68</v>
      </c>
    </row>
    <row r="5" spans="1:11" x14ac:dyDescent="0.25">
      <c r="A5" s="6" t="s">
        <v>11</v>
      </c>
      <c r="B5" s="9">
        <f t="shared" si="0"/>
        <v>4</v>
      </c>
      <c r="C5" s="7">
        <v>1</v>
      </c>
      <c r="D5" s="6">
        <v>2023</v>
      </c>
      <c r="E5" s="8">
        <f>Submetring!E5+Submetring!F5+Submetring!G5</f>
        <v>8118</v>
      </c>
      <c r="F5" s="6">
        <v>0.29099999999999998</v>
      </c>
      <c r="G5" s="8">
        <f>Submetring!H5+Submetring!I5</f>
        <v>2286</v>
      </c>
      <c r="H5" s="6">
        <v>0.56711199999999995</v>
      </c>
      <c r="I5" s="8">
        <f>Submetring!J5</f>
        <v>246</v>
      </c>
      <c r="J5" s="6">
        <v>3.03</v>
      </c>
      <c r="K5" s="8">
        <f>Hotel!Y12</f>
        <v>53</v>
      </c>
    </row>
    <row r="6" spans="1:11" x14ac:dyDescent="0.25">
      <c r="A6" s="6" t="s">
        <v>11</v>
      </c>
      <c r="B6" s="9">
        <f t="shared" si="0"/>
        <v>5</v>
      </c>
      <c r="C6" s="7">
        <v>1</v>
      </c>
      <c r="D6" s="6">
        <v>2023</v>
      </c>
      <c r="E6" s="8">
        <f>Submetring!E6+Submetring!F6+Submetring!G6</f>
        <v>8647</v>
      </c>
      <c r="F6" s="6">
        <v>0.29099999999999998</v>
      </c>
      <c r="G6" s="8">
        <f>Submetring!H6+Submetring!I6</f>
        <v>2420</v>
      </c>
      <c r="H6" s="6">
        <v>0.56711199999999995</v>
      </c>
      <c r="I6" s="8">
        <f>Submetring!J6</f>
        <v>268</v>
      </c>
      <c r="J6" s="6">
        <v>3.03</v>
      </c>
      <c r="K6" s="8">
        <f>Hotel!Y13</f>
        <v>69</v>
      </c>
    </row>
    <row r="7" spans="1:11" x14ac:dyDescent="0.25">
      <c r="A7" s="6" t="s">
        <v>11</v>
      </c>
      <c r="B7" s="9">
        <f t="shared" si="0"/>
        <v>6</v>
      </c>
      <c r="C7" s="7">
        <v>1</v>
      </c>
      <c r="D7" s="6">
        <v>2023</v>
      </c>
      <c r="E7" s="8">
        <f>Submetring!E7+Submetring!F7+Submetring!G7</f>
        <v>8690</v>
      </c>
      <c r="F7" s="6">
        <v>0.29099999999999998</v>
      </c>
      <c r="G7" s="8">
        <f>Submetring!H7+Submetring!I7</f>
        <v>2308</v>
      </c>
      <c r="H7" s="6">
        <v>0.56711199999999995</v>
      </c>
      <c r="I7" s="8">
        <f>Submetring!J7</f>
        <v>187</v>
      </c>
      <c r="J7" s="6">
        <v>3.03</v>
      </c>
      <c r="K7" s="8">
        <f>Hotel!Y14</f>
        <v>59</v>
      </c>
    </row>
    <row r="8" spans="1:11" x14ac:dyDescent="0.25">
      <c r="A8" s="6" t="s">
        <v>11</v>
      </c>
      <c r="B8" s="9">
        <f t="shared" si="0"/>
        <v>7</v>
      </c>
      <c r="C8" s="7">
        <v>1</v>
      </c>
      <c r="D8" s="6">
        <v>2023</v>
      </c>
      <c r="E8" s="8">
        <f>Submetring!E8+Submetring!F8+Submetring!G8</f>
        <v>7578</v>
      </c>
      <c r="F8" s="6">
        <v>0.29099999999999998</v>
      </c>
      <c r="G8" s="8">
        <f>Submetring!H8+Submetring!I8</f>
        <v>2266</v>
      </c>
      <c r="H8" s="6">
        <v>0.56711199999999995</v>
      </c>
      <c r="I8" s="8">
        <f>Submetring!J8</f>
        <v>207</v>
      </c>
      <c r="J8" s="6">
        <v>3.03</v>
      </c>
      <c r="K8" s="8">
        <f>Hotel!Y15</f>
        <v>51</v>
      </c>
    </row>
    <row r="9" spans="1:11" x14ac:dyDescent="0.25">
      <c r="A9" s="6" t="s">
        <v>11</v>
      </c>
      <c r="B9" s="9">
        <f t="shared" si="0"/>
        <v>8</v>
      </c>
      <c r="C9" s="7">
        <v>1</v>
      </c>
      <c r="D9" s="6">
        <v>2023</v>
      </c>
      <c r="E9" s="8">
        <f>Submetring!E9+Submetring!F9+Submetring!G9</f>
        <v>8519</v>
      </c>
      <c r="F9" s="6">
        <v>0.29099999999999998</v>
      </c>
      <c r="G9" s="8">
        <f>Submetring!H9+Submetring!I9</f>
        <v>2233</v>
      </c>
      <c r="H9" s="6">
        <v>0.56711199999999995</v>
      </c>
      <c r="I9" s="8">
        <f>Submetring!J9</f>
        <v>234</v>
      </c>
      <c r="J9" s="6">
        <v>3.03</v>
      </c>
      <c r="K9" s="8">
        <f>Hotel!Y16</f>
        <v>37</v>
      </c>
    </row>
    <row r="10" spans="1:11" x14ac:dyDescent="0.25">
      <c r="A10" s="6" t="s">
        <v>11</v>
      </c>
      <c r="B10" s="9">
        <f t="shared" si="0"/>
        <v>9</v>
      </c>
      <c r="C10" s="7">
        <v>1</v>
      </c>
      <c r="D10" s="6">
        <v>2023</v>
      </c>
      <c r="E10" s="8">
        <f>Submetring!E10+Submetring!F10+Submetring!G10</f>
        <v>7149</v>
      </c>
      <c r="F10" s="6">
        <v>0.29099999999999998</v>
      </c>
      <c r="G10" s="8">
        <f>Submetring!H10+Submetring!I10</f>
        <v>2212</v>
      </c>
      <c r="H10" s="6">
        <v>0.56711199999999995</v>
      </c>
      <c r="I10" s="8">
        <f>Submetring!J10</f>
        <v>153</v>
      </c>
      <c r="J10" s="6">
        <v>3.03</v>
      </c>
      <c r="K10" s="8">
        <f>Hotel!Y17</f>
        <v>46</v>
      </c>
    </row>
    <row r="11" spans="1:11" x14ac:dyDescent="0.25">
      <c r="A11" s="6" t="s">
        <v>11</v>
      </c>
      <c r="B11" s="9">
        <f t="shared" si="0"/>
        <v>10</v>
      </c>
      <c r="C11" s="7">
        <v>1</v>
      </c>
      <c r="D11" s="6">
        <v>2023</v>
      </c>
      <c r="E11" s="8">
        <f>Submetring!E11+Submetring!F11+Submetring!G11</f>
        <v>7355</v>
      </c>
      <c r="F11" s="6">
        <v>0.29099999999999998</v>
      </c>
      <c r="G11" s="8">
        <f>Submetring!H11+Submetring!I11</f>
        <v>2039</v>
      </c>
      <c r="H11" s="6">
        <v>0.56711199999999995</v>
      </c>
      <c r="I11" s="8">
        <f>Submetring!J11</f>
        <v>175</v>
      </c>
      <c r="J11" s="6">
        <v>3.03</v>
      </c>
      <c r="K11" s="8">
        <f>Hotel!Y18</f>
        <v>51</v>
      </c>
    </row>
    <row r="12" spans="1:11" x14ac:dyDescent="0.25">
      <c r="A12" s="6" t="s">
        <v>11</v>
      </c>
      <c r="B12" s="9">
        <f t="shared" si="0"/>
        <v>11</v>
      </c>
      <c r="C12" s="7">
        <v>1</v>
      </c>
      <c r="D12" s="6">
        <v>2023</v>
      </c>
      <c r="E12" s="8">
        <f>Submetring!E12+Submetring!F12+Submetring!G12</f>
        <v>7981</v>
      </c>
      <c r="F12" s="6">
        <v>0.29099999999999998</v>
      </c>
      <c r="G12" s="8">
        <f>Submetring!H12+Submetring!I12</f>
        <v>2017</v>
      </c>
      <c r="H12" s="6">
        <v>0.56711199999999995</v>
      </c>
      <c r="I12" s="8">
        <f>Submetring!J12</f>
        <v>170</v>
      </c>
      <c r="J12" s="6">
        <v>3.03</v>
      </c>
      <c r="K12" s="8">
        <f>Hotel!Y19</f>
        <v>52</v>
      </c>
    </row>
    <row r="13" spans="1:11" x14ac:dyDescent="0.25">
      <c r="A13" s="6" t="s">
        <v>11</v>
      </c>
      <c r="B13" s="9">
        <f t="shared" si="0"/>
        <v>12</v>
      </c>
      <c r="C13" s="7">
        <v>1</v>
      </c>
      <c r="D13" s="6">
        <v>2023</v>
      </c>
      <c r="E13" s="8">
        <f>Submetring!E13+Submetring!F13+Submetring!G13</f>
        <v>8771</v>
      </c>
      <c r="F13" s="6">
        <v>0.29099999999999998</v>
      </c>
      <c r="G13" s="8">
        <f>Submetring!H13+Submetring!I13</f>
        <v>2121</v>
      </c>
      <c r="H13" s="6">
        <v>0.56711199999999995</v>
      </c>
      <c r="I13" s="8">
        <f>Submetring!J13</f>
        <v>200</v>
      </c>
      <c r="J13" s="6">
        <v>3.03</v>
      </c>
      <c r="K13" s="8">
        <f>Hotel!Y20</f>
        <v>56</v>
      </c>
    </row>
    <row r="14" spans="1:11" x14ac:dyDescent="0.25">
      <c r="A14" s="6" t="s">
        <v>11</v>
      </c>
      <c r="B14" s="9">
        <f t="shared" si="0"/>
        <v>13</v>
      </c>
      <c r="C14" s="7">
        <v>1</v>
      </c>
      <c r="D14" s="6">
        <v>2023</v>
      </c>
      <c r="E14" s="8">
        <f>Submetring!E14+Submetring!F14+Submetring!G14</f>
        <v>8176</v>
      </c>
      <c r="F14" s="6">
        <v>0.29099999999999998</v>
      </c>
      <c r="G14" s="8">
        <f>Submetring!H14+Submetring!I14</f>
        <v>2080</v>
      </c>
      <c r="H14" s="6">
        <v>0.56711199999999995</v>
      </c>
      <c r="I14" s="8">
        <f>Submetring!J14</f>
        <v>204</v>
      </c>
      <c r="J14" s="6">
        <v>3.03</v>
      </c>
      <c r="K14" s="8">
        <f>Hotel!Y21</f>
        <v>66</v>
      </c>
    </row>
    <row r="15" spans="1:11" x14ac:dyDescent="0.25">
      <c r="A15" s="6" t="s">
        <v>11</v>
      </c>
      <c r="B15" s="9">
        <f t="shared" si="0"/>
        <v>14</v>
      </c>
      <c r="C15" s="7">
        <v>1</v>
      </c>
      <c r="D15" s="6">
        <v>2023</v>
      </c>
      <c r="E15" s="8">
        <f>Submetring!E15+Submetring!F15+Submetring!G15</f>
        <v>8415</v>
      </c>
      <c r="F15" s="6">
        <v>0.29099999999999998</v>
      </c>
      <c r="G15" s="8">
        <f>Submetring!H15+Submetring!I15</f>
        <v>2091</v>
      </c>
      <c r="H15" s="6">
        <v>0.56711199999999995</v>
      </c>
      <c r="I15" s="8">
        <f>Submetring!J15</f>
        <v>232</v>
      </c>
      <c r="J15" s="6">
        <v>3.03</v>
      </c>
      <c r="K15" s="8">
        <f>Hotel!Y22</f>
        <v>62</v>
      </c>
    </row>
    <row r="16" spans="1:11" x14ac:dyDescent="0.25">
      <c r="A16" s="6" t="s">
        <v>11</v>
      </c>
      <c r="B16" s="9">
        <f t="shared" si="0"/>
        <v>15</v>
      </c>
      <c r="C16" s="7">
        <v>1</v>
      </c>
      <c r="D16" s="6">
        <v>2023</v>
      </c>
      <c r="E16" s="8">
        <f>Submetring!E16+Submetring!F16+Submetring!G16</f>
        <v>8497</v>
      </c>
      <c r="F16" s="6">
        <v>0.29099999999999998</v>
      </c>
      <c r="G16" s="8">
        <f>Submetring!H16+Submetring!I16</f>
        <v>2230</v>
      </c>
      <c r="H16" s="6">
        <v>0.56711199999999995</v>
      </c>
      <c r="I16" s="8">
        <f>Submetring!J16</f>
        <v>165</v>
      </c>
      <c r="J16" s="6">
        <v>3.03</v>
      </c>
      <c r="K16" s="8">
        <f>Hotel!Y23</f>
        <v>67</v>
      </c>
    </row>
    <row r="17" spans="1:11" x14ac:dyDescent="0.25">
      <c r="A17" s="6" t="s">
        <v>11</v>
      </c>
      <c r="B17" s="9">
        <f t="shared" si="0"/>
        <v>16</v>
      </c>
      <c r="C17" s="7">
        <v>1</v>
      </c>
      <c r="D17" s="6">
        <v>2023</v>
      </c>
      <c r="E17" s="8">
        <f>Submetring!E17+Submetring!F17+Submetring!G17</f>
        <v>7579</v>
      </c>
      <c r="F17" s="6">
        <v>0.29099999999999998</v>
      </c>
      <c r="G17" s="8">
        <f>Submetring!H17+Submetring!I17</f>
        <v>2190</v>
      </c>
      <c r="H17" s="6">
        <v>0.56711199999999995</v>
      </c>
      <c r="I17" s="8">
        <f>Submetring!J17</f>
        <v>214</v>
      </c>
      <c r="J17" s="6">
        <v>3.03</v>
      </c>
      <c r="K17" s="8">
        <f>Hotel!Y24</f>
        <v>57</v>
      </c>
    </row>
    <row r="18" spans="1:11" x14ac:dyDescent="0.25">
      <c r="A18" s="6" t="s">
        <v>11</v>
      </c>
      <c r="B18" s="9">
        <f t="shared" si="0"/>
        <v>17</v>
      </c>
      <c r="C18" s="7">
        <v>1</v>
      </c>
      <c r="D18" s="6">
        <v>2023</v>
      </c>
      <c r="E18" s="8">
        <f>Submetring!E18+Submetring!F18+Submetring!G18</f>
        <v>0</v>
      </c>
      <c r="F18" s="6">
        <v>0.29099999999999998</v>
      </c>
      <c r="G18" s="8">
        <f>Submetring!H18+Submetring!I18</f>
        <v>0</v>
      </c>
      <c r="H18" s="6">
        <v>0.56711199999999995</v>
      </c>
      <c r="I18" s="8" t="str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1</v>
      </c>
      <c r="D19" s="6">
        <v>2023</v>
      </c>
      <c r="E19" s="8">
        <f>Submetring!E19+Submetring!F19+Submetring!G19</f>
        <v>0</v>
      </c>
      <c r="F19" s="6">
        <v>0.29099999999999998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1</v>
      </c>
      <c r="D20" s="6">
        <v>2023</v>
      </c>
      <c r="E20" s="8">
        <f>Submetring!E20+Submetring!F20+Submetring!G20</f>
        <v>0</v>
      </c>
      <c r="F20" s="6">
        <v>0.29099999999999998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1</v>
      </c>
      <c r="D21" s="6">
        <v>2023</v>
      </c>
      <c r="E21" s="8">
        <f>Submetring!E21+Submetring!F21+Submetring!G21</f>
        <v>0</v>
      </c>
      <c r="F21" s="6">
        <v>0.29099999999999998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1</v>
      </c>
      <c r="D22" s="6">
        <v>2023</v>
      </c>
      <c r="E22" s="8">
        <f>Submetring!E22+Submetring!F22+Submetring!G22</f>
        <v>0</v>
      </c>
      <c r="F22" s="6">
        <v>0.29099999999999998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1</v>
      </c>
      <c r="D23" s="6">
        <v>2023</v>
      </c>
      <c r="E23" s="8">
        <f>Submetring!E23+Submetring!F23+Submetring!G23</f>
        <v>0</v>
      </c>
      <c r="F23" s="6">
        <v>0.29099999999999998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1</v>
      </c>
      <c r="D24" s="6">
        <v>2023</v>
      </c>
      <c r="E24" s="8">
        <f>Submetring!E24+Submetring!F24+Submetring!G24</f>
        <v>0</v>
      </c>
      <c r="F24" s="6">
        <v>0.29099999999999998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1</v>
      </c>
      <c r="D25" s="6">
        <v>2023</v>
      </c>
      <c r="E25" s="8">
        <f>Submetring!E25+Submetring!F25+Submetring!G25</f>
        <v>0</v>
      </c>
      <c r="F25" s="6">
        <v>0.29099999999999998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1</v>
      </c>
      <c r="D26" s="6">
        <v>2023</v>
      </c>
      <c r="E26" s="8">
        <f>Submetring!E26+Submetring!F26+Submetring!G26</f>
        <v>0</v>
      </c>
      <c r="F26" s="6">
        <v>0.29099999999999998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1</v>
      </c>
      <c r="D27" s="6">
        <v>2023</v>
      </c>
      <c r="E27" s="8">
        <f>Submetring!E27+Submetring!F27+Submetring!G27</f>
        <v>0</v>
      </c>
      <c r="F27" s="6">
        <v>0.29099999999999998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1</v>
      </c>
      <c r="D28" s="6">
        <v>2023</v>
      </c>
      <c r="E28" s="8">
        <f>Submetring!E28+Submetring!F28+Submetring!G28</f>
        <v>0</v>
      </c>
      <c r="F28" s="6">
        <v>0.29099999999999998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1</v>
      </c>
      <c r="D29" s="6">
        <v>2023</v>
      </c>
      <c r="E29" s="8">
        <f>Submetring!E29+Submetring!F29+Submetring!G29</f>
        <v>0</v>
      </c>
      <c r="F29" s="6">
        <v>0.29099999999999998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1</v>
      </c>
      <c r="D30" s="6">
        <v>2023</v>
      </c>
      <c r="E30" s="8">
        <f>Submetring!E30+Submetring!F30+Submetring!G30</f>
        <v>0</v>
      </c>
      <c r="F30" s="6">
        <v>0.29099999999999998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</v>
      </c>
      <c r="D31" s="6">
        <v>2023</v>
      </c>
      <c r="E31" s="8">
        <f>Submetring!E31+Submetring!F31+Submetring!G31</f>
        <v>0</v>
      </c>
      <c r="F31" s="6">
        <v>0.29099999999999998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</v>
      </c>
      <c r="D32" s="6">
        <v>2023</v>
      </c>
      <c r="E32" s="8">
        <f>Submetring!E32+Submetring!F32+Submetring!G32</f>
        <v>0</v>
      </c>
      <c r="F32" s="6">
        <v>0.29099999999999998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K28" sqref="K28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1</v>
      </c>
      <c r="D2" s="10">
        <v>2023</v>
      </c>
      <c r="E2" s="11">
        <f>Hotel!D9</f>
        <v>3496</v>
      </c>
      <c r="F2" s="11">
        <f>Hotel!F9</f>
        <v>3507</v>
      </c>
      <c r="G2" s="11">
        <f>Hotel!H9</f>
        <v>3297</v>
      </c>
      <c r="H2" s="11">
        <f>Hotel!N9</f>
        <v>166</v>
      </c>
      <c r="I2" s="11">
        <f>Hotel!P9</f>
        <v>2316</v>
      </c>
      <c r="J2" s="11">
        <f>Hotel!U9</f>
        <v>186</v>
      </c>
      <c r="K2" s="11">
        <f>Hotel!Y9</f>
        <v>130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</v>
      </c>
      <c r="D3" s="10">
        <v>2023</v>
      </c>
      <c r="E3" s="11">
        <f>Hotel!D10</f>
        <v>2867</v>
      </c>
      <c r="F3" s="11">
        <f>Hotel!F10</f>
        <v>2874</v>
      </c>
      <c r="G3" s="11">
        <f>Hotel!H10</f>
        <v>2701</v>
      </c>
      <c r="H3" s="11">
        <f>Hotel!N10</f>
        <v>130</v>
      </c>
      <c r="I3" s="11">
        <f>Hotel!P10</f>
        <v>2054</v>
      </c>
      <c r="J3" s="11">
        <f>Hotel!U10</f>
        <v>174</v>
      </c>
      <c r="K3" s="11">
        <f>Hotel!Y10</f>
        <v>70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</v>
      </c>
      <c r="D4" s="10">
        <v>2023</v>
      </c>
      <c r="E4" s="11">
        <f>Hotel!D11</f>
        <v>2990</v>
      </c>
      <c r="F4" s="11">
        <f>Hotel!F11</f>
        <v>3005</v>
      </c>
      <c r="G4" s="11">
        <f>Hotel!H11</f>
        <v>2800</v>
      </c>
      <c r="H4" s="11">
        <f>Hotel!N11</f>
        <v>165</v>
      </c>
      <c r="I4" s="11">
        <f>Hotel!P11</f>
        <v>2170</v>
      </c>
      <c r="J4" s="11">
        <f>Hotel!U11</f>
        <v>216</v>
      </c>
      <c r="K4" s="11">
        <f>Hotel!Y11</f>
        <v>68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</v>
      </c>
      <c r="D5" s="10">
        <v>2023</v>
      </c>
      <c r="E5" s="11">
        <f>Hotel!D12</f>
        <v>2900</v>
      </c>
      <c r="F5" s="11">
        <f>Hotel!F12</f>
        <v>2807</v>
      </c>
      <c r="G5" s="11">
        <f>Hotel!H12</f>
        <v>2411</v>
      </c>
      <c r="H5" s="11">
        <f>Hotel!N12</f>
        <v>179</v>
      </c>
      <c r="I5" s="11">
        <f>Hotel!P12</f>
        <v>2107</v>
      </c>
      <c r="J5" s="11">
        <f>Hotel!U12</f>
        <v>246</v>
      </c>
      <c r="K5" s="11">
        <f>Hotel!Y12</f>
        <v>53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</v>
      </c>
      <c r="D6" s="10">
        <v>2023</v>
      </c>
      <c r="E6" s="11">
        <f>Hotel!D13</f>
        <v>2819</v>
      </c>
      <c r="F6" s="11">
        <f>Hotel!F13</f>
        <v>2940</v>
      </c>
      <c r="G6" s="11">
        <f>Hotel!H13</f>
        <v>2888</v>
      </c>
      <c r="H6" s="11">
        <f>Hotel!N13</f>
        <v>136</v>
      </c>
      <c r="I6" s="11">
        <f>Hotel!P13</f>
        <v>2284</v>
      </c>
      <c r="J6" s="11">
        <f>Hotel!U13</f>
        <v>268</v>
      </c>
      <c r="K6" s="11">
        <f>Hotel!Y13</f>
        <v>69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</v>
      </c>
      <c r="D7" s="10">
        <v>2023</v>
      </c>
      <c r="E7" s="11">
        <f>Hotel!D14</f>
        <v>2965</v>
      </c>
      <c r="F7" s="11">
        <f>Hotel!F14</f>
        <v>2976</v>
      </c>
      <c r="G7" s="11">
        <f>Hotel!H14</f>
        <v>2749</v>
      </c>
      <c r="H7" s="11">
        <f>Hotel!N14</f>
        <v>167</v>
      </c>
      <c r="I7" s="11">
        <f>Hotel!P14</f>
        <v>2141</v>
      </c>
      <c r="J7" s="11">
        <f>Hotel!U14</f>
        <v>187</v>
      </c>
      <c r="K7" s="11">
        <f>Hotel!Y14</f>
        <v>59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</v>
      </c>
      <c r="D8" s="10">
        <v>2023</v>
      </c>
      <c r="E8" s="11">
        <f>Hotel!D15</f>
        <v>2632</v>
      </c>
      <c r="F8" s="11">
        <f>Hotel!F15</f>
        <v>2488</v>
      </c>
      <c r="G8" s="11">
        <f>Hotel!H15</f>
        <v>2458</v>
      </c>
      <c r="H8" s="11">
        <f>Hotel!N15</f>
        <v>161</v>
      </c>
      <c r="I8" s="11">
        <f>Hotel!P15</f>
        <v>2105</v>
      </c>
      <c r="J8" s="11">
        <f>Hotel!U15</f>
        <v>207</v>
      </c>
      <c r="K8" s="11">
        <f>Hotel!Y15</f>
        <v>51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</v>
      </c>
      <c r="D9" s="10">
        <v>2023</v>
      </c>
      <c r="E9" s="11">
        <f>Hotel!D16</f>
        <v>2852</v>
      </c>
      <c r="F9" s="11">
        <f>Hotel!F16</f>
        <v>3028</v>
      </c>
      <c r="G9" s="11">
        <f>Hotel!H16</f>
        <v>2639</v>
      </c>
      <c r="H9" s="11">
        <f>Hotel!N16</f>
        <v>178</v>
      </c>
      <c r="I9" s="11">
        <f>Hotel!P16</f>
        <v>2055</v>
      </c>
      <c r="J9" s="11">
        <f>Hotel!U16</f>
        <v>234</v>
      </c>
      <c r="K9" s="11">
        <f>Hotel!Y16</f>
        <v>37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</v>
      </c>
      <c r="D10" s="10">
        <v>2023</v>
      </c>
      <c r="E10" s="11">
        <f>Hotel!D17</f>
        <v>2443</v>
      </c>
      <c r="F10" s="11">
        <f>Hotel!F17</f>
        <v>2457</v>
      </c>
      <c r="G10" s="11">
        <f>Hotel!H17</f>
        <v>2249</v>
      </c>
      <c r="H10" s="11">
        <f>Hotel!N17</f>
        <v>143</v>
      </c>
      <c r="I10" s="11">
        <f>Hotel!P17</f>
        <v>2069</v>
      </c>
      <c r="J10" s="11">
        <f>Hotel!U17</f>
        <v>153</v>
      </c>
      <c r="K10" s="11">
        <f>Hotel!Y17</f>
        <v>46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</v>
      </c>
      <c r="D11" s="10">
        <v>2023</v>
      </c>
      <c r="E11" s="11">
        <f>Hotel!D18</f>
        <v>2533</v>
      </c>
      <c r="F11" s="11">
        <f>Hotel!F18</f>
        <v>2518</v>
      </c>
      <c r="G11" s="11">
        <f>Hotel!H18</f>
        <v>2304</v>
      </c>
      <c r="H11" s="11">
        <f>Hotel!N18</f>
        <v>156</v>
      </c>
      <c r="I11" s="11">
        <f>Hotel!P18</f>
        <v>1883</v>
      </c>
      <c r="J11" s="11">
        <f>Hotel!U18</f>
        <v>175</v>
      </c>
      <c r="K11" s="11">
        <f>Hotel!Y18</f>
        <v>51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</v>
      </c>
      <c r="D12" s="10">
        <v>2023</v>
      </c>
      <c r="E12" s="11">
        <f>Hotel!D19</f>
        <v>2742</v>
      </c>
      <c r="F12" s="11">
        <f>Hotel!F19</f>
        <v>2721</v>
      </c>
      <c r="G12" s="11">
        <f>Hotel!H19</f>
        <v>2518</v>
      </c>
      <c r="H12" s="11">
        <f>Hotel!N19</f>
        <v>154</v>
      </c>
      <c r="I12" s="11">
        <f>Hotel!P19</f>
        <v>1863</v>
      </c>
      <c r="J12" s="11">
        <f>Hotel!U19</f>
        <v>170</v>
      </c>
      <c r="K12" s="11">
        <f>Hotel!Y19</f>
        <v>52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</v>
      </c>
      <c r="D13" s="10">
        <v>2023</v>
      </c>
      <c r="E13" s="11">
        <f>Hotel!D20</f>
        <v>3005</v>
      </c>
      <c r="F13" s="11">
        <f>Hotel!F20</f>
        <v>2986</v>
      </c>
      <c r="G13" s="11">
        <f>Hotel!H20</f>
        <v>2780</v>
      </c>
      <c r="H13" s="11">
        <f>Hotel!N20</f>
        <v>172</v>
      </c>
      <c r="I13" s="11">
        <f>Hotel!P20</f>
        <v>1949</v>
      </c>
      <c r="J13" s="11">
        <f>Hotel!U20</f>
        <v>200</v>
      </c>
      <c r="K13" s="11">
        <f>Hotel!Y20</f>
        <v>56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</v>
      </c>
      <c r="D14" s="10">
        <v>2023</v>
      </c>
      <c r="E14" s="11">
        <f>Hotel!D21</f>
        <v>2782</v>
      </c>
      <c r="F14" s="11">
        <f>Hotel!F21</f>
        <v>2796</v>
      </c>
      <c r="G14" s="11">
        <f>Hotel!H21</f>
        <v>2598</v>
      </c>
      <c r="H14" s="11">
        <f>Hotel!N21</f>
        <v>167</v>
      </c>
      <c r="I14" s="11">
        <f>Hotel!P21</f>
        <v>1913</v>
      </c>
      <c r="J14" s="11">
        <f>Hotel!U21</f>
        <v>204</v>
      </c>
      <c r="K14" s="11">
        <f>Hotel!Y21</f>
        <v>66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</v>
      </c>
      <c r="D15" s="10">
        <v>2023</v>
      </c>
      <c r="E15" s="11">
        <f>Hotel!D22</f>
        <v>2878</v>
      </c>
      <c r="F15" s="11">
        <f>Hotel!F22</f>
        <v>2875</v>
      </c>
      <c r="G15" s="11">
        <f>Hotel!H22</f>
        <v>2662</v>
      </c>
      <c r="H15" s="11">
        <f>Hotel!N22</f>
        <v>157</v>
      </c>
      <c r="I15" s="11">
        <f>Hotel!P22</f>
        <v>1934</v>
      </c>
      <c r="J15" s="11">
        <f>Hotel!U22</f>
        <v>232</v>
      </c>
      <c r="K15" s="11">
        <f>Hotel!Y22</f>
        <v>62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</v>
      </c>
      <c r="D16" s="10">
        <v>2023</v>
      </c>
      <c r="E16" s="11">
        <f>Hotel!D23</f>
        <v>2900</v>
      </c>
      <c r="F16" s="11">
        <f>Hotel!F23</f>
        <v>2900</v>
      </c>
      <c r="G16" s="11">
        <f>Hotel!H23</f>
        <v>2697</v>
      </c>
      <c r="H16" s="11">
        <f>Hotel!N23</f>
        <v>170</v>
      </c>
      <c r="I16" s="11">
        <f>Hotel!P23</f>
        <v>2060</v>
      </c>
      <c r="J16" s="11">
        <f>Hotel!U23</f>
        <v>165</v>
      </c>
      <c r="K16" s="11">
        <f>Hotel!Y23</f>
        <v>67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</v>
      </c>
      <c r="D17" s="10">
        <v>2023</v>
      </c>
      <c r="E17" s="11">
        <f>Hotel!D24</f>
        <v>2584</v>
      </c>
      <c r="F17" s="11">
        <f>Hotel!F24</f>
        <v>2601</v>
      </c>
      <c r="G17" s="11">
        <f>Hotel!H24</f>
        <v>2394</v>
      </c>
      <c r="H17" s="11">
        <f>Hotel!N24</f>
        <v>153</v>
      </c>
      <c r="I17" s="11">
        <f>Hotel!P24</f>
        <v>2037</v>
      </c>
      <c r="J17" s="11">
        <f>Hotel!U24</f>
        <v>214</v>
      </c>
      <c r="K17" s="11">
        <f>Hotel!Y24</f>
        <v>57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</v>
      </c>
      <c r="D18" s="10">
        <v>2023</v>
      </c>
      <c r="E18" s="11" t="str">
        <f>Hotel!D25</f>
        <v>0</v>
      </c>
      <c r="F18" s="11" t="str">
        <f>Hotel!F25</f>
        <v>0</v>
      </c>
      <c r="G18" s="11" t="str">
        <f>Hotel!H25</f>
        <v>0</v>
      </c>
      <c r="H18" s="11" t="str">
        <f>Hotel!N25</f>
        <v>0</v>
      </c>
      <c r="I18" s="11" t="str">
        <f>Hotel!P25</f>
        <v>0</v>
      </c>
      <c r="J18" s="11" t="str">
        <f>Hotel!U25</f>
        <v>0</v>
      </c>
      <c r="K18" s="11">
        <f>Hotel!Y25</f>
        <v>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</v>
      </c>
      <c r="D19" s="10">
        <v>2023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</v>
      </c>
      <c r="D20" s="10">
        <v>2023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</v>
      </c>
      <c r="D21" s="10">
        <v>2023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</v>
      </c>
      <c r="D22" s="10">
        <v>2023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</v>
      </c>
      <c r="D23" s="10">
        <v>2023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</v>
      </c>
      <c r="D24" s="10">
        <v>2023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</v>
      </c>
      <c r="D25" s="10">
        <v>2023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</v>
      </c>
      <c r="D26" s="10">
        <v>2023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</v>
      </c>
      <c r="D27" s="10">
        <v>2023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</v>
      </c>
      <c r="D28" s="10">
        <v>2023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</v>
      </c>
      <c r="D29" s="10">
        <v>2023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</v>
      </c>
      <c r="D30" s="10">
        <v>2023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</v>
      </c>
      <c r="D31" s="10">
        <v>2023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</v>
      </c>
      <c r="D32" s="10">
        <v>2023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C11" sqref="AC11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1"/>
      <c r="C1" s="121"/>
      <c r="D1" s="121"/>
      <c r="E1" s="121"/>
      <c r="F1" s="122" t="s">
        <v>95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22" t="s">
        <v>122</v>
      </c>
      <c r="X1" s="123"/>
      <c r="Y1" s="123"/>
      <c r="Z1" s="124"/>
    </row>
    <row r="2" spans="1:27" x14ac:dyDescent="0.25">
      <c r="A2" s="10"/>
      <c r="B2" s="121"/>
      <c r="C2" s="121"/>
      <c r="D2" s="121"/>
      <c r="E2" s="121"/>
      <c r="F2" s="125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5"/>
      <c r="X2" s="126"/>
      <c r="Y2" s="126"/>
      <c r="Z2" s="127"/>
    </row>
    <row r="3" spans="1:27" x14ac:dyDescent="0.25">
      <c r="A3" s="10"/>
      <c r="B3" s="121"/>
      <c r="C3" s="121"/>
      <c r="D3" s="121"/>
      <c r="E3" s="121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5">
        <v>2023</v>
      </c>
      <c r="X3" s="126"/>
      <c r="Y3" s="126"/>
      <c r="Z3" s="127"/>
    </row>
    <row r="4" spans="1:27" x14ac:dyDescent="0.25">
      <c r="A4" s="10"/>
      <c r="B4" s="121"/>
      <c r="C4" s="121"/>
      <c r="D4" s="121"/>
      <c r="E4" s="121"/>
      <c r="F4" s="128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30"/>
      <c r="W4" s="128"/>
      <c r="X4" s="129"/>
      <c r="Y4" s="129"/>
      <c r="Z4" s="130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7686850</v>
      </c>
      <c r="D6" s="27"/>
      <c r="E6" s="28">
        <v>7621359</v>
      </c>
      <c r="F6" s="29"/>
      <c r="G6" s="111">
        <v>7213287</v>
      </c>
      <c r="H6" s="30">
        <f>G6-G5</f>
        <v>7213287</v>
      </c>
      <c r="I6" s="31"/>
      <c r="J6" s="32">
        <f>D6+F6+H6</f>
        <v>7213287</v>
      </c>
      <c r="K6" s="32" t="e">
        <f>D6*0.152+F6*0.238+H6*0.115+#REF!*0.218</f>
        <v>#REF!</v>
      </c>
      <c r="L6" s="33"/>
      <c r="M6" s="34">
        <v>218197</v>
      </c>
      <c r="N6" s="30" t="e">
        <f>M6-#REF!</f>
        <v>#REF!</v>
      </c>
      <c r="O6" s="35">
        <v>3009042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443135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31" t="s">
        <v>97</v>
      </c>
      <c r="D7" s="132"/>
      <c r="E7" s="132"/>
      <c r="F7" s="132"/>
      <c r="G7" s="132"/>
      <c r="H7" s="132"/>
      <c r="I7" s="132"/>
      <c r="J7" s="132"/>
      <c r="K7" s="133"/>
      <c r="L7" s="40"/>
      <c r="M7" s="131" t="s">
        <v>98</v>
      </c>
      <c r="N7" s="132"/>
      <c r="O7" s="132"/>
      <c r="P7" s="132"/>
      <c r="Q7" s="132"/>
      <c r="R7" s="133"/>
      <c r="S7" s="40"/>
      <c r="T7" s="134" t="s">
        <v>99</v>
      </c>
      <c r="U7" s="134"/>
      <c r="V7" s="135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114">
        <v>7690346</v>
      </c>
      <c r="D9" s="60">
        <f>IF((C9-C6&lt;0), "0",C9-C6)</f>
        <v>3496</v>
      </c>
      <c r="E9" s="114">
        <v>7624866</v>
      </c>
      <c r="F9" s="60">
        <f>IF((E9-E6&lt;0), "0",E9-E6)</f>
        <v>3507</v>
      </c>
      <c r="G9" s="59">
        <v>7216584</v>
      </c>
      <c r="H9" s="60">
        <f>IF((G9-G6&lt;0), "0",G9-G6)</f>
        <v>3297</v>
      </c>
      <c r="I9" s="59">
        <f>H9+F9+D9</f>
        <v>10300</v>
      </c>
      <c r="J9" s="61">
        <v>0.99</v>
      </c>
      <c r="K9" s="62">
        <f>I9*0.291</f>
        <v>2997.2999999999997</v>
      </c>
      <c r="L9" s="63"/>
      <c r="M9" s="59">
        <v>218363</v>
      </c>
      <c r="N9" s="60">
        <f>IF((M9-M6&lt;0), "0",M9-M6)</f>
        <v>166</v>
      </c>
      <c r="O9" s="59">
        <v>3011358</v>
      </c>
      <c r="P9" s="60">
        <f>IF((O9-O6&lt;0), "0",O9-O6)</f>
        <v>2316</v>
      </c>
      <c r="Q9" s="64">
        <f t="shared" ref="Q9:Q39" si="0">N9+P9</f>
        <v>2482</v>
      </c>
      <c r="R9" s="65">
        <f>(P9+N9*1.2285)*0.056*10.127</f>
        <v>1429.0831092720002</v>
      </c>
      <c r="S9" s="66"/>
      <c r="T9" s="115">
        <v>443321</v>
      </c>
      <c r="U9" s="60">
        <f>IF((T9-T6&lt;0), "0",T9-T6)</f>
        <v>186</v>
      </c>
      <c r="V9" s="67">
        <f>U9*(1.315+1.54)</f>
        <v>531.03</v>
      </c>
      <c r="W9" s="68"/>
      <c r="X9" s="69">
        <f t="shared" ref="X9:X39" si="1">K9+R9+V9</f>
        <v>4957.4131092719999</v>
      </c>
      <c r="Y9" s="70">
        <v>130</v>
      </c>
      <c r="Z9" s="71">
        <f>X9/Y9</f>
        <v>38.133946994399999</v>
      </c>
    </row>
    <row r="10" spans="1:27" x14ac:dyDescent="0.25">
      <c r="A10" s="10" t="s">
        <v>117</v>
      </c>
      <c r="B10" s="58">
        <f>B9+1</f>
        <v>2</v>
      </c>
      <c r="C10" s="114">
        <v>7693213</v>
      </c>
      <c r="D10" s="60">
        <f t="shared" ref="D10:D39" si="2">IF((C10-C9&lt;0), "0",C10-C9)</f>
        <v>2867</v>
      </c>
      <c r="E10" s="114">
        <v>7627740</v>
      </c>
      <c r="F10" s="60">
        <f>IF((E10-E9&lt;0), "0",E10-E9)</f>
        <v>2874</v>
      </c>
      <c r="G10" s="59">
        <v>7219285</v>
      </c>
      <c r="H10" s="60">
        <f t="shared" ref="H10:H39" si="3">IF((G10-G9&lt;0), "0",G10-G9)</f>
        <v>2701</v>
      </c>
      <c r="I10" s="59">
        <f t="shared" ref="I10:I39" si="4">H10+F10+D10</f>
        <v>8442</v>
      </c>
      <c r="J10" s="61">
        <v>0.99</v>
      </c>
      <c r="K10" s="62">
        <f t="shared" ref="K10:K39" si="5">I10*0.291</f>
        <v>2456.6219999999998</v>
      </c>
      <c r="L10" s="63"/>
      <c r="M10" s="59">
        <v>218493</v>
      </c>
      <c r="N10" s="60">
        <f>IF((M10-M9&lt;0), "0",M10-M9)</f>
        <v>130</v>
      </c>
      <c r="O10" s="59">
        <v>3013412</v>
      </c>
      <c r="P10" s="60">
        <f>IF((O10-O9&lt;0), "0",O10-O9)</f>
        <v>2054</v>
      </c>
      <c r="Q10" s="64">
        <f t="shared" si="0"/>
        <v>2184</v>
      </c>
      <c r="R10" s="65">
        <f t="shared" ref="R10:R39" si="6">(P10+N10*1.2285)*0.056*10.127</f>
        <v>1255.41866996</v>
      </c>
      <c r="S10" s="66"/>
      <c r="T10" s="115">
        <v>443495</v>
      </c>
      <c r="U10" s="60">
        <f>IF((T10-T9&lt;0), "0",T10-T9)</f>
        <v>174</v>
      </c>
      <c r="V10" s="67">
        <f t="shared" ref="V10:V39" si="7">U10*(1.315+1.54)</f>
        <v>496.77</v>
      </c>
      <c r="W10" s="68"/>
      <c r="X10" s="73">
        <f t="shared" si="1"/>
        <v>4208.8106699599994</v>
      </c>
      <c r="Y10" s="74">
        <v>70</v>
      </c>
      <c r="Z10" s="75">
        <f t="shared" ref="Z10:Z39" si="8">X10/Y10</f>
        <v>60.125866713714274</v>
      </c>
    </row>
    <row r="11" spans="1:27" x14ac:dyDescent="0.25">
      <c r="A11" s="10" t="s">
        <v>118</v>
      </c>
      <c r="B11" s="58">
        <f t="shared" ref="B11:B39" si="9">B10+1</f>
        <v>3</v>
      </c>
      <c r="C11" s="114">
        <v>7696203</v>
      </c>
      <c r="D11" s="60">
        <f t="shared" si="2"/>
        <v>2990</v>
      </c>
      <c r="E11" s="114">
        <v>7630745</v>
      </c>
      <c r="F11" s="60">
        <f t="shared" ref="F11:F39" si="10">IF((E11-E10&lt;0), "0",E11-E10)</f>
        <v>3005</v>
      </c>
      <c r="G11" s="59">
        <v>7222085</v>
      </c>
      <c r="H11" s="60">
        <f t="shared" si="3"/>
        <v>2800</v>
      </c>
      <c r="I11" s="59">
        <f t="shared" si="4"/>
        <v>8795</v>
      </c>
      <c r="J11" s="61">
        <v>0.99</v>
      </c>
      <c r="K11" s="62">
        <f t="shared" si="5"/>
        <v>2559.3449999999998</v>
      </c>
      <c r="L11" s="63"/>
      <c r="M11" s="59">
        <v>218658</v>
      </c>
      <c r="N11" s="60">
        <f t="shared" ref="N11:N39" si="11">IF((M11-M10&lt;0), "0",M11-M10)</f>
        <v>165</v>
      </c>
      <c r="O11" s="59">
        <v>3015582</v>
      </c>
      <c r="P11" s="60">
        <f t="shared" ref="P11:P39" si="12">IF((O11-O10&lt;0), "0",O11-O10)</f>
        <v>2170</v>
      </c>
      <c r="Q11" s="64">
        <f t="shared" si="0"/>
        <v>2335</v>
      </c>
      <c r="R11" s="65">
        <f t="shared" si="6"/>
        <v>1345.5880601800002</v>
      </c>
      <c r="S11" s="66"/>
      <c r="T11" s="115">
        <v>443711</v>
      </c>
      <c r="U11" s="60">
        <f t="shared" ref="U11:U39" si="13">IF((T11-T10&lt;0), "0",T11-T10)</f>
        <v>216</v>
      </c>
      <c r="V11" s="67">
        <f t="shared" si="7"/>
        <v>616.67999999999995</v>
      </c>
      <c r="W11" s="68"/>
      <c r="X11" s="73">
        <f t="shared" si="1"/>
        <v>4521.6130601800005</v>
      </c>
      <c r="Y11" s="74">
        <v>68</v>
      </c>
      <c r="Z11" s="75">
        <f t="shared" si="8"/>
        <v>66.494309708529414</v>
      </c>
    </row>
    <row r="12" spans="1:27" x14ac:dyDescent="0.25">
      <c r="A12" s="10" t="s">
        <v>96</v>
      </c>
      <c r="B12" s="58">
        <f t="shared" si="9"/>
        <v>4</v>
      </c>
      <c r="C12" s="114">
        <v>7699103</v>
      </c>
      <c r="D12" s="60">
        <f t="shared" si="2"/>
        <v>2900</v>
      </c>
      <c r="E12" s="114">
        <v>7633552</v>
      </c>
      <c r="F12" s="60">
        <f t="shared" si="10"/>
        <v>2807</v>
      </c>
      <c r="G12" s="59">
        <v>7224496</v>
      </c>
      <c r="H12" s="60">
        <f t="shared" si="3"/>
        <v>2411</v>
      </c>
      <c r="I12" s="59">
        <f t="shared" si="4"/>
        <v>8118</v>
      </c>
      <c r="J12" s="61">
        <v>0.99</v>
      </c>
      <c r="K12" s="62">
        <f t="shared" si="5"/>
        <v>2362.3379999999997</v>
      </c>
      <c r="L12" s="63"/>
      <c r="M12" s="59">
        <v>218837</v>
      </c>
      <c r="N12" s="60">
        <f t="shared" si="11"/>
        <v>179</v>
      </c>
      <c r="O12" s="59">
        <v>3017689</v>
      </c>
      <c r="P12" s="60">
        <f t="shared" si="12"/>
        <v>2107</v>
      </c>
      <c r="Q12" s="64">
        <f t="shared" si="0"/>
        <v>2286</v>
      </c>
      <c r="R12" s="65">
        <f t="shared" si="6"/>
        <v>1319.6137634680001</v>
      </c>
      <c r="S12" s="66"/>
      <c r="T12" s="115">
        <v>443957</v>
      </c>
      <c r="U12" s="60">
        <f t="shared" si="13"/>
        <v>246</v>
      </c>
      <c r="V12" s="67">
        <f t="shared" si="7"/>
        <v>702.33</v>
      </c>
      <c r="W12" s="68"/>
      <c r="X12" s="73">
        <f t="shared" si="1"/>
        <v>4384.2817634679996</v>
      </c>
      <c r="Y12" s="74">
        <v>53</v>
      </c>
      <c r="Z12" s="75">
        <f t="shared" si="8"/>
        <v>82.722297423924516</v>
      </c>
    </row>
    <row r="13" spans="1:27" x14ac:dyDescent="0.25">
      <c r="A13" s="10" t="s">
        <v>119</v>
      </c>
      <c r="B13" s="58">
        <f t="shared" si="9"/>
        <v>5</v>
      </c>
      <c r="C13" s="114">
        <v>7701922</v>
      </c>
      <c r="D13" s="60">
        <f t="shared" si="2"/>
        <v>2819</v>
      </c>
      <c r="E13" s="114">
        <v>7636492</v>
      </c>
      <c r="F13" s="60">
        <f t="shared" si="10"/>
        <v>2940</v>
      </c>
      <c r="G13" s="59">
        <v>7227384</v>
      </c>
      <c r="H13" s="60">
        <f t="shared" si="3"/>
        <v>2888</v>
      </c>
      <c r="I13" s="59">
        <f t="shared" si="4"/>
        <v>8647</v>
      </c>
      <c r="J13" s="61">
        <v>0.99</v>
      </c>
      <c r="K13" s="62">
        <f t="shared" si="5"/>
        <v>2516.277</v>
      </c>
      <c r="L13" s="63"/>
      <c r="M13" s="59">
        <v>218973</v>
      </c>
      <c r="N13" s="60">
        <f t="shared" si="11"/>
        <v>136</v>
      </c>
      <c r="O13" s="59">
        <v>3019973</v>
      </c>
      <c r="P13" s="60">
        <f t="shared" si="12"/>
        <v>2284</v>
      </c>
      <c r="Q13" s="64">
        <f t="shared" si="0"/>
        <v>2420</v>
      </c>
      <c r="R13" s="65">
        <f t="shared" si="6"/>
        <v>1390.034612512</v>
      </c>
      <c r="S13" s="66"/>
      <c r="T13" s="115">
        <v>444225</v>
      </c>
      <c r="U13" s="60">
        <f t="shared" si="13"/>
        <v>268</v>
      </c>
      <c r="V13" s="67">
        <f t="shared" si="7"/>
        <v>765.14</v>
      </c>
      <c r="W13" s="68"/>
      <c r="X13" s="73">
        <f t="shared" si="1"/>
        <v>4671.4516125119999</v>
      </c>
      <c r="Y13" s="74">
        <v>69</v>
      </c>
      <c r="Z13" s="75">
        <f t="shared" si="8"/>
        <v>67.702197282782606</v>
      </c>
    </row>
    <row r="14" spans="1:27" x14ac:dyDescent="0.25">
      <c r="A14" s="10" t="s">
        <v>120</v>
      </c>
      <c r="B14" s="58">
        <f t="shared" si="9"/>
        <v>6</v>
      </c>
      <c r="C14" s="114">
        <v>7704887</v>
      </c>
      <c r="D14" s="60">
        <f t="shared" si="2"/>
        <v>2965</v>
      </c>
      <c r="E14" s="114">
        <v>7639468</v>
      </c>
      <c r="F14" s="60">
        <f t="shared" si="10"/>
        <v>2976</v>
      </c>
      <c r="G14" s="59">
        <v>7230133</v>
      </c>
      <c r="H14" s="60">
        <f t="shared" si="3"/>
        <v>2749</v>
      </c>
      <c r="I14" s="59">
        <f t="shared" si="4"/>
        <v>8690</v>
      </c>
      <c r="J14" s="61">
        <v>0.99</v>
      </c>
      <c r="K14" s="62">
        <f t="shared" si="5"/>
        <v>2528.79</v>
      </c>
      <c r="L14" s="63"/>
      <c r="M14" s="59">
        <v>219140</v>
      </c>
      <c r="N14" s="60">
        <f t="shared" si="11"/>
        <v>167</v>
      </c>
      <c r="O14" s="59">
        <v>3022114</v>
      </c>
      <c r="P14" s="60">
        <f t="shared" si="12"/>
        <v>2141</v>
      </c>
      <c r="Q14" s="64">
        <f t="shared" si="0"/>
        <v>2308</v>
      </c>
      <c r="R14" s="65">
        <f t="shared" si="6"/>
        <v>1330.535206364</v>
      </c>
      <c r="S14" s="66"/>
      <c r="T14" s="115">
        <v>444412</v>
      </c>
      <c r="U14" s="60">
        <f t="shared" si="13"/>
        <v>187</v>
      </c>
      <c r="V14" s="67">
        <f t="shared" si="7"/>
        <v>533.88499999999999</v>
      </c>
      <c r="W14" s="68"/>
      <c r="X14" s="73">
        <f t="shared" si="1"/>
        <v>4393.2102063640004</v>
      </c>
      <c r="Y14" s="74">
        <v>59</v>
      </c>
      <c r="Z14" s="75">
        <f t="shared" si="8"/>
        <v>74.461189938372883</v>
      </c>
    </row>
    <row r="15" spans="1:27" x14ac:dyDescent="0.25">
      <c r="A15" s="10" t="s">
        <v>121</v>
      </c>
      <c r="B15" s="58">
        <f t="shared" si="9"/>
        <v>7</v>
      </c>
      <c r="C15" s="114">
        <v>7707519</v>
      </c>
      <c r="D15" s="60">
        <f t="shared" si="2"/>
        <v>2632</v>
      </c>
      <c r="E15" s="114">
        <v>7641956</v>
      </c>
      <c r="F15" s="60">
        <f t="shared" si="10"/>
        <v>2488</v>
      </c>
      <c r="G15" s="59">
        <v>7232591</v>
      </c>
      <c r="H15" s="60">
        <f t="shared" si="3"/>
        <v>2458</v>
      </c>
      <c r="I15" s="59">
        <f t="shared" si="4"/>
        <v>7578</v>
      </c>
      <c r="J15" s="61">
        <v>0.99</v>
      </c>
      <c r="K15" s="62">
        <f t="shared" si="5"/>
        <v>2205.1979999999999</v>
      </c>
      <c r="L15" s="63"/>
      <c r="M15" s="59">
        <v>219301</v>
      </c>
      <c r="N15" s="60">
        <f t="shared" si="11"/>
        <v>161</v>
      </c>
      <c r="O15" s="59">
        <v>3024219</v>
      </c>
      <c r="P15" s="60">
        <f t="shared" si="12"/>
        <v>2105</v>
      </c>
      <c r="Q15" s="64">
        <f t="shared" si="0"/>
        <v>2266</v>
      </c>
      <c r="R15" s="65">
        <f t="shared" si="6"/>
        <v>1305.9389918120003</v>
      </c>
      <c r="S15" s="66"/>
      <c r="T15" s="115">
        <v>444619</v>
      </c>
      <c r="U15" s="60">
        <f t="shared" si="13"/>
        <v>207</v>
      </c>
      <c r="V15" s="67">
        <f t="shared" si="7"/>
        <v>590.98500000000001</v>
      </c>
      <c r="W15" s="68"/>
      <c r="X15" s="73">
        <f t="shared" si="1"/>
        <v>4102.1219918119996</v>
      </c>
      <c r="Y15" s="74">
        <v>51</v>
      </c>
      <c r="Z15" s="75">
        <f t="shared" si="8"/>
        <v>80.433764545333318</v>
      </c>
    </row>
    <row r="16" spans="1:27" x14ac:dyDescent="0.25">
      <c r="A16" s="10" t="s">
        <v>116</v>
      </c>
      <c r="B16" s="58">
        <f t="shared" si="9"/>
        <v>8</v>
      </c>
      <c r="C16" s="114">
        <v>7710371</v>
      </c>
      <c r="D16" s="60">
        <f t="shared" si="2"/>
        <v>2852</v>
      </c>
      <c r="E16" s="114">
        <v>7644984</v>
      </c>
      <c r="F16" s="60">
        <f t="shared" si="10"/>
        <v>3028</v>
      </c>
      <c r="G16" s="59">
        <v>7235230</v>
      </c>
      <c r="H16" s="60">
        <f t="shared" si="3"/>
        <v>2639</v>
      </c>
      <c r="I16" s="59">
        <f t="shared" si="4"/>
        <v>8519</v>
      </c>
      <c r="J16" s="61">
        <v>0.99</v>
      </c>
      <c r="K16" s="62">
        <f t="shared" si="5"/>
        <v>2479.029</v>
      </c>
      <c r="L16" s="63"/>
      <c r="M16" s="59">
        <v>219479</v>
      </c>
      <c r="N16" s="60">
        <f t="shared" si="11"/>
        <v>178</v>
      </c>
      <c r="O16" s="59">
        <v>3026274</v>
      </c>
      <c r="P16" s="60">
        <f t="shared" si="12"/>
        <v>2055</v>
      </c>
      <c r="Q16" s="64">
        <f t="shared" si="0"/>
        <v>2233</v>
      </c>
      <c r="R16" s="65">
        <f t="shared" si="6"/>
        <v>1289.4272423759999</v>
      </c>
      <c r="S16" s="66"/>
      <c r="T16" s="115">
        <v>444853</v>
      </c>
      <c r="U16" s="60">
        <f t="shared" si="13"/>
        <v>234</v>
      </c>
      <c r="V16" s="67">
        <f t="shared" si="7"/>
        <v>668.07</v>
      </c>
      <c r="W16" s="68"/>
      <c r="X16" s="73">
        <f t="shared" si="1"/>
        <v>4436.5262423759996</v>
      </c>
      <c r="Y16" s="74">
        <v>37</v>
      </c>
      <c r="Z16" s="75">
        <f t="shared" si="8"/>
        <v>119.90611465881079</v>
      </c>
    </row>
    <row r="17" spans="1:26" x14ac:dyDescent="0.25">
      <c r="A17" s="10" t="s">
        <v>117</v>
      </c>
      <c r="B17" s="58">
        <v>9</v>
      </c>
      <c r="C17" s="114">
        <v>7712814</v>
      </c>
      <c r="D17" s="60">
        <f t="shared" si="2"/>
        <v>2443</v>
      </c>
      <c r="E17" s="114">
        <v>7647441</v>
      </c>
      <c r="F17" s="60">
        <f t="shared" si="10"/>
        <v>2457</v>
      </c>
      <c r="G17" s="59">
        <v>7237479</v>
      </c>
      <c r="H17" s="60">
        <f t="shared" si="3"/>
        <v>2249</v>
      </c>
      <c r="I17" s="59">
        <f t="shared" si="4"/>
        <v>7149</v>
      </c>
      <c r="J17" s="61">
        <v>0.99</v>
      </c>
      <c r="K17" s="62">
        <f t="shared" si="5"/>
        <v>2080.3589999999999</v>
      </c>
      <c r="L17" s="63"/>
      <c r="M17" s="59">
        <v>219622</v>
      </c>
      <c r="N17" s="60">
        <f t="shared" si="11"/>
        <v>143</v>
      </c>
      <c r="O17" s="59">
        <v>3028343</v>
      </c>
      <c r="P17" s="60">
        <f t="shared" si="12"/>
        <v>2069</v>
      </c>
      <c r="Q17" s="64">
        <f t="shared" si="0"/>
        <v>2212</v>
      </c>
      <c r="R17" s="65">
        <f t="shared" si="6"/>
        <v>1272.982412156</v>
      </c>
      <c r="S17" s="66"/>
      <c r="T17" s="115">
        <v>445006</v>
      </c>
      <c r="U17" s="60">
        <f t="shared" si="13"/>
        <v>153</v>
      </c>
      <c r="V17" s="67">
        <f t="shared" si="7"/>
        <v>436.815</v>
      </c>
      <c r="W17" s="68"/>
      <c r="X17" s="73">
        <f t="shared" si="1"/>
        <v>3790.156412156</v>
      </c>
      <c r="Y17" s="74">
        <v>46</v>
      </c>
      <c r="Z17" s="75">
        <f t="shared" si="8"/>
        <v>82.394704612086954</v>
      </c>
    </row>
    <row r="18" spans="1:26" x14ac:dyDescent="0.25">
      <c r="A18" s="10" t="s">
        <v>118</v>
      </c>
      <c r="B18" s="76">
        <f t="shared" si="9"/>
        <v>10</v>
      </c>
      <c r="C18" s="114">
        <v>7715347</v>
      </c>
      <c r="D18" s="60">
        <f t="shared" si="2"/>
        <v>2533</v>
      </c>
      <c r="E18" s="114">
        <v>7649959</v>
      </c>
      <c r="F18" s="60">
        <f t="shared" si="10"/>
        <v>2518</v>
      </c>
      <c r="G18" s="59">
        <v>7239783</v>
      </c>
      <c r="H18" s="60">
        <f t="shared" si="3"/>
        <v>2304</v>
      </c>
      <c r="I18" s="59">
        <f t="shared" si="4"/>
        <v>7355</v>
      </c>
      <c r="J18" s="61">
        <v>0.99</v>
      </c>
      <c r="K18" s="62">
        <f t="shared" si="5"/>
        <v>2140.3049999999998</v>
      </c>
      <c r="L18" s="77"/>
      <c r="M18" s="59">
        <v>219778</v>
      </c>
      <c r="N18" s="60">
        <f t="shared" si="11"/>
        <v>156</v>
      </c>
      <c r="O18" s="59">
        <v>3030226</v>
      </c>
      <c r="P18" s="60">
        <f t="shared" si="12"/>
        <v>1883</v>
      </c>
      <c r="Q18" s="64">
        <f t="shared" si="0"/>
        <v>2039</v>
      </c>
      <c r="R18" s="65">
        <f t="shared" si="6"/>
        <v>1176.5566423520002</v>
      </c>
      <c r="S18" s="78"/>
      <c r="T18" s="115">
        <v>445181</v>
      </c>
      <c r="U18" s="60">
        <f t="shared" si="13"/>
        <v>175</v>
      </c>
      <c r="V18" s="67">
        <f t="shared" si="7"/>
        <v>499.625</v>
      </c>
      <c r="W18" s="68"/>
      <c r="X18" s="73">
        <f t="shared" si="1"/>
        <v>3816.4866423519998</v>
      </c>
      <c r="Y18" s="74">
        <v>51</v>
      </c>
      <c r="Z18" s="79">
        <f t="shared" si="8"/>
        <v>74.833071418666663</v>
      </c>
    </row>
    <row r="19" spans="1:26" x14ac:dyDescent="0.25">
      <c r="A19" s="10" t="s">
        <v>96</v>
      </c>
      <c r="B19" s="80">
        <f t="shared" si="9"/>
        <v>11</v>
      </c>
      <c r="C19" s="114">
        <v>7718089</v>
      </c>
      <c r="D19" s="60">
        <f t="shared" si="2"/>
        <v>2742</v>
      </c>
      <c r="E19" s="114">
        <v>7652680</v>
      </c>
      <c r="F19" s="60">
        <f t="shared" si="10"/>
        <v>2721</v>
      </c>
      <c r="G19" s="59">
        <v>7242301</v>
      </c>
      <c r="H19" s="60">
        <f t="shared" si="3"/>
        <v>2518</v>
      </c>
      <c r="I19" s="59">
        <f t="shared" si="4"/>
        <v>7981</v>
      </c>
      <c r="J19" s="61">
        <v>0.99</v>
      </c>
      <c r="K19" s="62">
        <f t="shared" si="5"/>
        <v>2322.471</v>
      </c>
      <c r="L19" s="63"/>
      <c r="M19" s="59">
        <v>219932</v>
      </c>
      <c r="N19" s="60">
        <f t="shared" si="11"/>
        <v>154</v>
      </c>
      <c r="O19" s="59">
        <v>3032089</v>
      </c>
      <c r="P19" s="60">
        <f t="shared" si="12"/>
        <v>1863</v>
      </c>
      <c r="Q19" s="64">
        <f t="shared" si="0"/>
        <v>2017</v>
      </c>
      <c r="R19" s="65">
        <f t="shared" si="6"/>
        <v>1163.8210081680002</v>
      </c>
      <c r="S19" s="66"/>
      <c r="T19" s="115">
        <v>445351</v>
      </c>
      <c r="U19" s="60">
        <f t="shared" si="13"/>
        <v>170</v>
      </c>
      <c r="V19" s="67">
        <f t="shared" si="7"/>
        <v>485.35</v>
      </c>
      <c r="W19" s="68"/>
      <c r="X19" s="73">
        <f t="shared" si="1"/>
        <v>3971.6420081680003</v>
      </c>
      <c r="Y19" s="74">
        <v>52</v>
      </c>
      <c r="Z19" s="71">
        <f t="shared" si="8"/>
        <v>76.377730926307692</v>
      </c>
    </row>
    <row r="20" spans="1:26" x14ac:dyDescent="0.25">
      <c r="A20" s="10" t="s">
        <v>119</v>
      </c>
      <c r="B20" s="58">
        <f t="shared" si="9"/>
        <v>12</v>
      </c>
      <c r="C20" s="114">
        <v>7721094</v>
      </c>
      <c r="D20" s="60">
        <f t="shared" si="2"/>
        <v>3005</v>
      </c>
      <c r="E20" s="114">
        <v>7655666</v>
      </c>
      <c r="F20" s="60">
        <f t="shared" si="10"/>
        <v>2986</v>
      </c>
      <c r="G20" s="59">
        <v>7245081</v>
      </c>
      <c r="H20" s="60">
        <f t="shared" si="3"/>
        <v>2780</v>
      </c>
      <c r="I20" s="59">
        <f t="shared" si="4"/>
        <v>8771</v>
      </c>
      <c r="J20" s="61">
        <v>0.99</v>
      </c>
      <c r="K20" s="62">
        <f t="shared" si="5"/>
        <v>2552.3609999999999</v>
      </c>
      <c r="L20" s="63"/>
      <c r="M20" s="59">
        <v>220104</v>
      </c>
      <c r="N20" s="60">
        <f t="shared" si="11"/>
        <v>172</v>
      </c>
      <c r="O20" s="59">
        <v>3034038</v>
      </c>
      <c r="P20" s="60">
        <f t="shared" si="12"/>
        <v>1949</v>
      </c>
      <c r="Q20" s="64">
        <f t="shared" si="0"/>
        <v>2121</v>
      </c>
      <c r="R20" s="65">
        <f t="shared" si="6"/>
        <v>1225.1331878240003</v>
      </c>
      <c r="S20" s="66"/>
      <c r="T20" s="115">
        <v>445551</v>
      </c>
      <c r="U20" s="60">
        <f t="shared" si="13"/>
        <v>200</v>
      </c>
      <c r="V20" s="67">
        <f t="shared" si="7"/>
        <v>571</v>
      </c>
      <c r="W20" s="68"/>
      <c r="X20" s="73">
        <f t="shared" si="1"/>
        <v>4348.4941878240006</v>
      </c>
      <c r="Y20" s="74">
        <v>56</v>
      </c>
      <c r="Z20" s="75">
        <f t="shared" si="8"/>
        <v>77.651681925428576</v>
      </c>
    </row>
    <row r="21" spans="1:26" x14ac:dyDescent="0.25">
      <c r="A21" s="10" t="s">
        <v>120</v>
      </c>
      <c r="B21" s="58">
        <f t="shared" si="9"/>
        <v>13</v>
      </c>
      <c r="C21" s="114">
        <v>7723876</v>
      </c>
      <c r="D21" s="60">
        <f t="shared" si="2"/>
        <v>2782</v>
      </c>
      <c r="E21" s="114">
        <v>7658462</v>
      </c>
      <c r="F21" s="60">
        <f t="shared" si="10"/>
        <v>2796</v>
      </c>
      <c r="G21" s="59">
        <v>7247679</v>
      </c>
      <c r="H21" s="60">
        <f t="shared" si="3"/>
        <v>2598</v>
      </c>
      <c r="I21" s="59">
        <f t="shared" si="4"/>
        <v>8176</v>
      </c>
      <c r="J21" s="61">
        <v>0.99</v>
      </c>
      <c r="K21" s="62">
        <f t="shared" si="5"/>
        <v>2379.2159999999999</v>
      </c>
      <c r="L21" s="63"/>
      <c r="M21" s="59">
        <v>220271</v>
      </c>
      <c r="N21" s="60">
        <f t="shared" si="11"/>
        <v>167</v>
      </c>
      <c r="O21" s="59">
        <v>3035951</v>
      </c>
      <c r="P21" s="60">
        <f t="shared" si="12"/>
        <v>1913</v>
      </c>
      <c r="Q21" s="64">
        <f t="shared" si="0"/>
        <v>2080</v>
      </c>
      <c r="R21" s="65">
        <f t="shared" si="6"/>
        <v>1201.2336703640001</v>
      </c>
      <c r="S21" s="66"/>
      <c r="T21" s="115">
        <v>445755</v>
      </c>
      <c r="U21" s="60">
        <f t="shared" si="13"/>
        <v>204</v>
      </c>
      <c r="V21" s="67">
        <f t="shared" si="7"/>
        <v>582.41999999999996</v>
      </c>
      <c r="W21" s="68"/>
      <c r="X21" s="73">
        <f t="shared" si="1"/>
        <v>4162.8696703639998</v>
      </c>
      <c r="Y21" s="74">
        <v>66</v>
      </c>
      <c r="Z21" s="75">
        <f t="shared" si="8"/>
        <v>63.073782884303029</v>
      </c>
    </row>
    <row r="22" spans="1:26" x14ac:dyDescent="0.25">
      <c r="A22" s="10" t="s">
        <v>121</v>
      </c>
      <c r="B22" s="58">
        <f t="shared" si="9"/>
        <v>14</v>
      </c>
      <c r="C22" s="114">
        <v>7726754</v>
      </c>
      <c r="D22" s="60">
        <f t="shared" si="2"/>
        <v>2878</v>
      </c>
      <c r="E22" s="114">
        <v>7661337</v>
      </c>
      <c r="F22" s="60">
        <f t="shared" si="10"/>
        <v>2875</v>
      </c>
      <c r="G22" s="59">
        <v>7250341</v>
      </c>
      <c r="H22" s="60">
        <f t="shared" si="3"/>
        <v>2662</v>
      </c>
      <c r="I22" s="59">
        <f t="shared" si="4"/>
        <v>8415</v>
      </c>
      <c r="J22" s="61">
        <v>0.99</v>
      </c>
      <c r="K22" s="62">
        <f t="shared" si="5"/>
        <v>2448.7649999999999</v>
      </c>
      <c r="L22" s="63"/>
      <c r="M22" s="59">
        <v>220428</v>
      </c>
      <c r="N22" s="60">
        <f t="shared" si="11"/>
        <v>157</v>
      </c>
      <c r="O22" s="59">
        <v>3037885</v>
      </c>
      <c r="P22" s="60">
        <f t="shared" si="12"/>
        <v>1934</v>
      </c>
      <c r="Q22" s="64">
        <f t="shared" si="0"/>
        <v>2091</v>
      </c>
      <c r="R22" s="65">
        <f t="shared" si="6"/>
        <v>1206.1760514440002</v>
      </c>
      <c r="S22" s="66"/>
      <c r="T22" s="115">
        <v>445987</v>
      </c>
      <c r="U22" s="60">
        <f t="shared" si="13"/>
        <v>232</v>
      </c>
      <c r="V22" s="67">
        <f t="shared" si="7"/>
        <v>662.36</v>
      </c>
      <c r="W22" s="68"/>
      <c r="X22" s="73">
        <f t="shared" si="1"/>
        <v>4317.3010514440002</v>
      </c>
      <c r="Y22" s="74">
        <v>62</v>
      </c>
      <c r="Z22" s="75">
        <f t="shared" si="8"/>
        <v>69.633887926516138</v>
      </c>
    </row>
    <row r="23" spans="1:26" x14ac:dyDescent="0.25">
      <c r="A23" s="10" t="s">
        <v>116</v>
      </c>
      <c r="B23" s="58">
        <f t="shared" si="9"/>
        <v>15</v>
      </c>
      <c r="C23" s="114">
        <v>7729654</v>
      </c>
      <c r="D23" s="60">
        <f t="shared" si="2"/>
        <v>2900</v>
      </c>
      <c r="E23" s="114">
        <v>7664237</v>
      </c>
      <c r="F23" s="60">
        <f t="shared" si="10"/>
        <v>2900</v>
      </c>
      <c r="G23" s="59">
        <v>7253038</v>
      </c>
      <c r="H23" s="60">
        <f t="shared" si="3"/>
        <v>2697</v>
      </c>
      <c r="I23" s="59">
        <f t="shared" si="4"/>
        <v>8497</v>
      </c>
      <c r="J23" s="61">
        <v>0.99</v>
      </c>
      <c r="K23" s="62">
        <f t="shared" si="5"/>
        <v>2472.627</v>
      </c>
      <c r="L23" s="63"/>
      <c r="M23" s="59">
        <v>220598</v>
      </c>
      <c r="N23" s="60">
        <f t="shared" si="11"/>
        <v>170</v>
      </c>
      <c r="O23" s="59">
        <v>3039945</v>
      </c>
      <c r="P23" s="60">
        <f t="shared" si="12"/>
        <v>2060</v>
      </c>
      <c r="Q23" s="64">
        <f t="shared" si="0"/>
        <v>2230</v>
      </c>
      <c r="R23" s="65">
        <f t="shared" si="6"/>
        <v>1286.6892256400001</v>
      </c>
      <c r="S23" s="66"/>
      <c r="T23" s="115">
        <v>446152</v>
      </c>
      <c r="U23" s="60">
        <f t="shared" si="13"/>
        <v>165</v>
      </c>
      <c r="V23" s="67">
        <f t="shared" si="7"/>
        <v>471.07499999999999</v>
      </c>
      <c r="W23" s="68"/>
      <c r="X23" s="73">
        <f t="shared" si="1"/>
        <v>4230.3912256399999</v>
      </c>
      <c r="Y23" s="74">
        <v>67</v>
      </c>
      <c r="Z23" s="75">
        <f t="shared" si="8"/>
        <v>63.140167546865669</v>
      </c>
    </row>
    <row r="24" spans="1:26" x14ac:dyDescent="0.25">
      <c r="A24" s="10" t="s">
        <v>117</v>
      </c>
      <c r="B24" s="58">
        <f t="shared" si="9"/>
        <v>16</v>
      </c>
      <c r="C24" s="114">
        <v>7732238</v>
      </c>
      <c r="D24" s="60">
        <f t="shared" si="2"/>
        <v>2584</v>
      </c>
      <c r="E24" s="114">
        <v>7666838</v>
      </c>
      <c r="F24" s="60">
        <f t="shared" si="10"/>
        <v>2601</v>
      </c>
      <c r="G24" s="59">
        <v>7255432</v>
      </c>
      <c r="H24" s="60">
        <f t="shared" si="3"/>
        <v>2394</v>
      </c>
      <c r="I24" s="59">
        <f t="shared" si="4"/>
        <v>7579</v>
      </c>
      <c r="J24" s="61">
        <v>0.99</v>
      </c>
      <c r="K24" s="62">
        <f t="shared" si="5"/>
        <v>2205.489</v>
      </c>
      <c r="L24" s="63"/>
      <c r="M24" s="59">
        <v>220751</v>
      </c>
      <c r="N24" s="60">
        <f t="shared" si="11"/>
        <v>153</v>
      </c>
      <c r="O24" s="59">
        <v>3041982</v>
      </c>
      <c r="P24" s="60">
        <f t="shared" si="12"/>
        <v>2037</v>
      </c>
      <c r="Q24" s="64">
        <f t="shared" si="0"/>
        <v>2190</v>
      </c>
      <c r="R24" s="65">
        <f t="shared" si="6"/>
        <v>1261.8017990760002</v>
      </c>
      <c r="S24" s="66"/>
      <c r="T24" s="115">
        <v>446366</v>
      </c>
      <c r="U24" s="60">
        <f t="shared" si="13"/>
        <v>214</v>
      </c>
      <c r="V24" s="67">
        <f t="shared" si="7"/>
        <v>610.97</v>
      </c>
      <c r="W24" s="68"/>
      <c r="X24" s="73">
        <f t="shared" si="1"/>
        <v>4078.2607990760007</v>
      </c>
      <c r="Y24" s="74">
        <v>57</v>
      </c>
      <c r="Z24" s="75">
        <f t="shared" si="8"/>
        <v>71.548435071508777</v>
      </c>
    </row>
    <row r="25" spans="1:26" x14ac:dyDescent="0.25">
      <c r="A25" s="10" t="s">
        <v>118</v>
      </c>
      <c r="B25" s="58">
        <f t="shared" si="9"/>
        <v>17</v>
      </c>
      <c r="C25" s="114"/>
      <c r="D25" s="60" t="str">
        <f t="shared" si="2"/>
        <v>0</v>
      </c>
      <c r="E25" s="114"/>
      <c r="F25" s="60" t="str">
        <f t="shared" si="10"/>
        <v>0</v>
      </c>
      <c r="G25" s="59"/>
      <c r="H25" s="60" t="str">
        <f t="shared" si="3"/>
        <v>0</v>
      </c>
      <c r="I25" s="59">
        <f t="shared" si="4"/>
        <v>0</v>
      </c>
      <c r="J25" s="61">
        <v>0.99</v>
      </c>
      <c r="K25" s="62">
        <f t="shared" si="5"/>
        <v>0</v>
      </c>
      <c r="L25" s="63"/>
      <c r="M25" s="59"/>
      <c r="N25" s="60" t="str">
        <f t="shared" si="11"/>
        <v>0</v>
      </c>
      <c r="O25" s="59"/>
      <c r="P25" s="60" t="str">
        <f t="shared" si="12"/>
        <v>0</v>
      </c>
      <c r="Q25" s="64">
        <f t="shared" si="0"/>
        <v>0</v>
      </c>
      <c r="R25" s="65">
        <f t="shared" si="6"/>
        <v>0</v>
      </c>
      <c r="S25" s="66"/>
      <c r="T25" s="115"/>
      <c r="U25" s="60" t="str">
        <f t="shared" si="13"/>
        <v>0</v>
      </c>
      <c r="V25" s="67">
        <f t="shared" si="7"/>
        <v>0</v>
      </c>
      <c r="W25" s="68"/>
      <c r="X25" s="73">
        <f t="shared" si="1"/>
        <v>0</v>
      </c>
      <c r="Y25" s="74"/>
      <c r="Z25" s="75" t="e">
        <f t="shared" si="8"/>
        <v>#DIV/0!</v>
      </c>
    </row>
    <row r="26" spans="1:26" x14ac:dyDescent="0.25">
      <c r="A26" s="10" t="s">
        <v>96</v>
      </c>
      <c r="B26" s="58">
        <f t="shared" si="9"/>
        <v>18</v>
      </c>
      <c r="C26" s="114"/>
      <c r="D26" s="60">
        <f t="shared" si="2"/>
        <v>0</v>
      </c>
      <c r="E26" s="114"/>
      <c r="F26" s="60">
        <f t="shared" si="10"/>
        <v>0</v>
      </c>
      <c r="G26" s="59"/>
      <c r="H26" s="60">
        <f t="shared" si="3"/>
        <v>0</v>
      </c>
      <c r="I26" s="59">
        <f t="shared" si="4"/>
        <v>0</v>
      </c>
      <c r="J26" s="61">
        <v>0.99</v>
      </c>
      <c r="K26" s="62">
        <f t="shared" si="5"/>
        <v>0</v>
      </c>
      <c r="L26" s="63"/>
      <c r="M26" s="59"/>
      <c r="N26" s="60">
        <f t="shared" si="11"/>
        <v>0</v>
      </c>
      <c r="O26" s="59"/>
      <c r="P26" s="60">
        <f t="shared" si="12"/>
        <v>0</v>
      </c>
      <c r="Q26" s="64">
        <f t="shared" si="0"/>
        <v>0</v>
      </c>
      <c r="R26" s="65">
        <f t="shared" si="6"/>
        <v>0</v>
      </c>
      <c r="S26" s="66"/>
      <c r="T26" s="115"/>
      <c r="U26" s="60">
        <f t="shared" si="13"/>
        <v>0</v>
      </c>
      <c r="V26" s="67">
        <f t="shared" si="7"/>
        <v>0</v>
      </c>
      <c r="W26" s="68"/>
      <c r="X26" s="73">
        <f t="shared" si="1"/>
        <v>0</v>
      </c>
      <c r="Y26" s="74"/>
      <c r="Z26" s="75" t="e">
        <f t="shared" si="8"/>
        <v>#DIV/0!</v>
      </c>
    </row>
    <row r="27" spans="1:26" x14ac:dyDescent="0.25">
      <c r="A27" s="10" t="s">
        <v>119</v>
      </c>
      <c r="B27" s="58">
        <f t="shared" si="9"/>
        <v>19</v>
      </c>
      <c r="C27" s="114"/>
      <c r="D27" s="60">
        <f t="shared" si="2"/>
        <v>0</v>
      </c>
      <c r="E27" s="114"/>
      <c r="F27" s="60">
        <f t="shared" si="10"/>
        <v>0</v>
      </c>
      <c r="G27" s="59"/>
      <c r="H27" s="60">
        <f t="shared" si="3"/>
        <v>0</v>
      </c>
      <c r="I27" s="59">
        <f t="shared" si="4"/>
        <v>0</v>
      </c>
      <c r="J27" s="61">
        <v>0.99</v>
      </c>
      <c r="K27" s="62">
        <f t="shared" si="5"/>
        <v>0</v>
      </c>
      <c r="L27" s="81"/>
      <c r="M27" s="59"/>
      <c r="N27" s="60">
        <f t="shared" si="11"/>
        <v>0</v>
      </c>
      <c r="O27" s="59"/>
      <c r="P27" s="60">
        <f t="shared" si="12"/>
        <v>0</v>
      </c>
      <c r="Q27" s="64">
        <f t="shared" si="0"/>
        <v>0</v>
      </c>
      <c r="R27" s="65">
        <f t="shared" si="6"/>
        <v>0</v>
      </c>
      <c r="S27" s="66"/>
      <c r="T27" s="115"/>
      <c r="U27" s="60">
        <f t="shared" si="13"/>
        <v>0</v>
      </c>
      <c r="V27" s="67">
        <f t="shared" si="7"/>
        <v>0</v>
      </c>
      <c r="W27" s="68"/>
      <c r="X27" s="73">
        <f t="shared" si="1"/>
        <v>0</v>
      </c>
      <c r="Y27" s="74"/>
      <c r="Z27" s="75" t="e">
        <f t="shared" si="8"/>
        <v>#DIV/0!</v>
      </c>
    </row>
    <row r="28" spans="1:26" x14ac:dyDescent="0.25">
      <c r="A28" s="10" t="s">
        <v>120</v>
      </c>
      <c r="B28" s="76">
        <f t="shared" si="9"/>
        <v>20</v>
      </c>
      <c r="C28" s="114"/>
      <c r="D28" s="60">
        <f t="shared" si="2"/>
        <v>0</v>
      </c>
      <c r="E28" s="114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1">
        <v>0.99</v>
      </c>
      <c r="K28" s="62">
        <f t="shared" si="5"/>
        <v>0</v>
      </c>
      <c r="L28" s="82"/>
      <c r="M28" s="59"/>
      <c r="N28" s="60">
        <f t="shared" si="11"/>
        <v>0</v>
      </c>
      <c r="O28" s="59"/>
      <c r="P28" s="60">
        <f t="shared" si="12"/>
        <v>0</v>
      </c>
      <c r="Q28" s="64">
        <f t="shared" si="0"/>
        <v>0</v>
      </c>
      <c r="R28" s="65">
        <f t="shared" si="6"/>
        <v>0</v>
      </c>
      <c r="S28" s="72"/>
      <c r="T28" s="115"/>
      <c r="U28" s="60">
        <f t="shared" si="13"/>
        <v>0</v>
      </c>
      <c r="V28" s="67">
        <f t="shared" si="7"/>
        <v>0</v>
      </c>
      <c r="W28" s="68"/>
      <c r="X28" s="83">
        <f t="shared" si="1"/>
        <v>0</v>
      </c>
      <c r="Y28" s="74"/>
      <c r="Z28" s="79" t="e">
        <f t="shared" si="8"/>
        <v>#DIV/0!</v>
      </c>
    </row>
    <row r="29" spans="1:26" x14ac:dyDescent="0.25">
      <c r="A29" s="10" t="s">
        <v>121</v>
      </c>
      <c r="B29" s="80">
        <f t="shared" si="9"/>
        <v>21</v>
      </c>
      <c r="C29" s="114"/>
      <c r="D29" s="60">
        <f t="shared" si="2"/>
        <v>0</v>
      </c>
      <c r="E29" s="114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1">
        <v>0.99</v>
      </c>
      <c r="K29" s="62">
        <f t="shared" si="5"/>
        <v>0</v>
      </c>
      <c r="L29" s="63"/>
      <c r="M29" s="59"/>
      <c r="N29" s="60">
        <f t="shared" si="11"/>
        <v>0</v>
      </c>
      <c r="O29" s="59"/>
      <c r="P29" s="60">
        <f t="shared" si="12"/>
        <v>0</v>
      </c>
      <c r="Q29" s="64">
        <f t="shared" si="0"/>
        <v>0</v>
      </c>
      <c r="R29" s="65">
        <f t="shared" si="6"/>
        <v>0</v>
      </c>
      <c r="S29" s="66"/>
      <c r="T29" s="115"/>
      <c r="U29" s="60">
        <f t="shared" si="13"/>
        <v>0</v>
      </c>
      <c r="V29" s="67">
        <f t="shared" si="7"/>
        <v>0</v>
      </c>
      <c r="W29" s="68"/>
      <c r="X29" s="69">
        <f t="shared" si="1"/>
        <v>0</v>
      </c>
      <c r="Y29" s="74"/>
      <c r="Z29" s="71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114"/>
      <c r="D30" s="60">
        <f t="shared" si="2"/>
        <v>0</v>
      </c>
      <c r="E30" s="114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1">
        <v>0.99</v>
      </c>
      <c r="K30" s="62">
        <f t="shared" si="5"/>
        <v>0</v>
      </c>
      <c r="L30" s="63"/>
      <c r="M30" s="59"/>
      <c r="N30" s="60">
        <f t="shared" si="11"/>
        <v>0</v>
      </c>
      <c r="O30" s="59"/>
      <c r="P30" s="60">
        <f t="shared" si="12"/>
        <v>0</v>
      </c>
      <c r="Q30" s="64">
        <f t="shared" si="0"/>
        <v>0</v>
      </c>
      <c r="R30" s="65">
        <f t="shared" si="6"/>
        <v>0</v>
      </c>
      <c r="S30" s="66"/>
      <c r="T30" s="115"/>
      <c r="U30" s="60">
        <f t="shared" si="13"/>
        <v>0</v>
      </c>
      <c r="V30" s="67">
        <f t="shared" si="7"/>
        <v>0</v>
      </c>
      <c r="W30" s="68"/>
      <c r="X30" s="73">
        <f t="shared" si="1"/>
        <v>0</v>
      </c>
      <c r="Y30" s="74"/>
      <c r="Z30" s="75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114"/>
      <c r="D31" s="60">
        <f t="shared" si="2"/>
        <v>0</v>
      </c>
      <c r="E31" s="114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1">
        <v>0.99</v>
      </c>
      <c r="K31" s="62">
        <f t="shared" si="5"/>
        <v>0</v>
      </c>
      <c r="L31" s="63"/>
      <c r="M31" s="59"/>
      <c r="N31" s="60">
        <f t="shared" si="11"/>
        <v>0</v>
      </c>
      <c r="O31" s="59"/>
      <c r="P31" s="60">
        <f t="shared" si="12"/>
        <v>0</v>
      </c>
      <c r="Q31" s="64">
        <f t="shared" si="0"/>
        <v>0</v>
      </c>
      <c r="R31" s="65">
        <f t="shared" si="6"/>
        <v>0</v>
      </c>
      <c r="S31" s="66"/>
      <c r="T31" s="115"/>
      <c r="U31" s="60">
        <f t="shared" si="13"/>
        <v>0</v>
      </c>
      <c r="V31" s="67">
        <f t="shared" si="7"/>
        <v>0</v>
      </c>
      <c r="W31" s="68"/>
      <c r="X31" s="73">
        <f t="shared" si="1"/>
        <v>0</v>
      </c>
      <c r="Y31" s="74"/>
      <c r="Z31" s="75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114"/>
      <c r="D32" s="60">
        <f t="shared" si="2"/>
        <v>0</v>
      </c>
      <c r="E32" s="114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1">
        <v>0.99</v>
      </c>
      <c r="K32" s="62">
        <f t="shared" si="5"/>
        <v>0</v>
      </c>
      <c r="L32" s="63"/>
      <c r="M32" s="59"/>
      <c r="N32" s="60">
        <f t="shared" si="11"/>
        <v>0</v>
      </c>
      <c r="O32" s="59"/>
      <c r="P32" s="60">
        <f t="shared" si="12"/>
        <v>0</v>
      </c>
      <c r="Q32" s="64">
        <f t="shared" si="0"/>
        <v>0</v>
      </c>
      <c r="R32" s="65">
        <f t="shared" si="6"/>
        <v>0</v>
      </c>
      <c r="S32" s="66"/>
      <c r="T32" s="115"/>
      <c r="U32" s="60">
        <f t="shared" si="13"/>
        <v>0</v>
      </c>
      <c r="V32" s="67">
        <f t="shared" si="7"/>
        <v>0</v>
      </c>
      <c r="W32" s="68"/>
      <c r="X32" s="73">
        <f t="shared" si="1"/>
        <v>0</v>
      </c>
      <c r="Y32" s="74"/>
      <c r="Z32" s="75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114"/>
      <c r="D33" s="60">
        <f t="shared" si="2"/>
        <v>0</v>
      </c>
      <c r="E33" s="114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1">
        <v>0.99</v>
      </c>
      <c r="K33" s="62">
        <f t="shared" si="5"/>
        <v>0</v>
      </c>
      <c r="L33" s="63"/>
      <c r="M33" s="59"/>
      <c r="N33" s="60">
        <f t="shared" si="11"/>
        <v>0</v>
      </c>
      <c r="O33" s="59"/>
      <c r="P33" s="60">
        <f t="shared" si="12"/>
        <v>0</v>
      </c>
      <c r="Q33" s="64">
        <f t="shared" si="0"/>
        <v>0</v>
      </c>
      <c r="R33" s="65">
        <f t="shared" si="6"/>
        <v>0</v>
      </c>
      <c r="S33" s="66"/>
      <c r="T33" s="115"/>
      <c r="U33" s="60">
        <f t="shared" si="13"/>
        <v>0</v>
      </c>
      <c r="V33" s="67">
        <f t="shared" si="7"/>
        <v>0</v>
      </c>
      <c r="W33" s="68"/>
      <c r="X33" s="73">
        <f t="shared" si="1"/>
        <v>0</v>
      </c>
      <c r="Y33" s="74"/>
      <c r="Z33" s="75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114"/>
      <c r="D34" s="60">
        <f t="shared" si="2"/>
        <v>0</v>
      </c>
      <c r="E34" s="114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1">
        <v>0.99</v>
      </c>
      <c r="K34" s="62">
        <f t="shared" si="5"/>
        <v>0</v>
      </c>
      <c r="L34" s="63"/>
      <c r="M34" s="59"/>
      <c r="N34" s="60">
        <f t="shared" si="11"/>
        <v>0</v>
      </c>
      <c r="O34" s="59"/>
      <c r="P34" s="60">
        <f t="shared" si="12"/>
        <v>0</v>
      </c>
      <c r="Q34" s="64">
        <f t="shared" si="0"/>
        <v>0</v>
      </c>
      <c r="R34" s="65">
        <f t="shared" si="6"/>
        <v>0</v>
      </c>
      <c r="S34" s="66"/>
      <c r="T34" s="115"/>
      <c r="U34" s="60">
        <f t="shared" si="13"/>
        <v>0</v>
      </c>
      <c r="V34" s="67">
        <f t="shared" si="7"/>
        <v>0</v>
      </c>
      <c r="W34" s="68"/>
      <c r="X34" s="73">
        <f t="shared" si="1"/>
        <v>0</v>
      </c>
      <c r="Y34" s="74"/>
      <c r="Z34" s="75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114"/>
      <c r="D35" s="60">
        <f t="shared" si="2"/>
        <v>0</v>
      </c>
      <c r="E35" s="114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1">
        <v>0.99</v>
      </c>
      <c r="K35" s="62">
        <f t="shared" si="5"/>
        <v>0</v>
      </c>
      <c r="L35" s="63"/>
      <c r="M35" s="59"/>
      <c r="N35" s="60">
        <f t="shared" si="11"/>
        <v>0</v>
      </c>
      <c r="O35" s="59"/>
      <c r="P35" s="60">
        <f t="shared" si="12"/>
        <v>0</v>
      </c>
      <c r="Q35" s="64">
        <f t="shared" si="0"/>
        <v>0</v>
      </c>
      <c r="R35" s="65">
        <f t="shared" si="6"/>
        <v>0</v>
      </c>
      <c r="S35" s="66"/>
      <c r="T35" s="115"/>
      <c r="U35" s="60">
        <f t="shared" si="13"/>
        <v>0</v>
      </c>
      <c r="V35" s="67">
        <f t="shared" si="7"/>
        <v>0</v>
      </c>
      <c r="W35" s="68"/>
      <c r="X35" s="73">
        <f t="shared" si="1"/>
        <v>0</v>
      </c>
      <c r="Y35" s="74"/>
      <c r="Z35" s="75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114"/>
      <c r="D36" s="60">
        <f t="shared" si="2"/>
        <v>0</v>
      </c>
      <c r="E36" s="114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1">
        <v>0.99</v>
      </c>
      <c r="K36" s="62">
        <f t="shared" si="5"/>
        <v>0</v>
      </c>
      <c r="L36" s="63"/>
      <c r="M36" s="59"/>
      <c r="N36" s="60">
        <f t="shared" si="11"/>
        <v>0</v>
      </c>
      <c r="O36" s="59"/>
      <c r="P36" s="60">
        <f t="shared" si="12"/>
        <v>0</v>
      </c>
      <c r="Q36" s="64">
        <f t="shared" si="0"/>
        <v>0</v>
      </c>
      <c r="R36" s="65">
        <f t="shared" si="6"/>
        <v>0</v>
      </c>
      <c r="S36" s="66"/>
      <c r="T36" s="115"/>
      <c r="U36" s="60">
        <f t="shared" si="13"/>
        <v>0</v>
      </c>
      <c r="V36" s="67">
        <f t="shared" si="7"/>
        <v>0</v>
      </c>
      <c r="W36" s="68"/>
      <c r="X36" s="73">
        <f t="shared" si="1"/>
        <v>0</v>
      </c>
      <c r="Y36" s="74"/>
      <c r="Z36" s="75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114"/>
      <c r="D37" s="60">
        <f t="shared" si="2"/>
        <v>0</v>
      </c>
      <c r="E37" s="114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1">
        <v>0.99</v>
      </c>
      <c r="K37" s="62">
        <f t="shared" si="5"/>
        <v>0</v>
      </c>
      <c r="L37" s="63"/>
      <c r="M37" s="59"/>
      <c r="N37" s="60">
        <f t="shared" si="11"/>
        <v>0</v>
      </c>
      <c r="O37" s="59"/>
      <c r="P37" s="60">
        <f t="shared" si="12"/>
        <v>0</v>
      </c>
      <c r="Q37" s="64">
        <f t="shared" si="0"/>
        <v>0</v>
      </c>
      <c r="R37" s="65">
        <f t="shared" si="6"/>
        <v>0</v>
      </c>
      <c r="S37" s="66"/>
      <c r="T37" s="115"/>
      <c r="U37" s="60">
        <f t="shared" si="13"/>
        <v>0</v>
      </c>
      <c r="V37" s="67">
        <f t="shared" si="7"/>
        <v>0</v>
      </c>
      <c r="W37" s="68"/>
      <c r="X37" s="73">
        <f t="shared" si="1"/>
        <v>0</v>
      </c>
      <c r="Y37" s="68"/>
      <c r="Z37" s="75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114"/>
      <c r="D38" s="60">
        <f t="shared" si="2"/>
        <v>0</v>
      </c>
      <c r="E38" s="114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1">
        <v>0.99</v>
      </c>
      <c r="K38" s="62">
        <f t="shared" si="5"/>
        <v>0</v>
      </c>
      <c r="L38" s="63"/>
      <c r="M38" s="59"/>
      <c r="N38" s="60">
        <f t="shared" si="11"/>
        <v>0</v>
      </c>
      <c r="O38" s="59"/>
      <c r="P38" s="60">
        <f t="shared" si="12"/>
        <v>0</v>
      </c>
      <c r="Q38" s="64">
        <f t="shared" si="0"/>
        <v>0</v>
      </c>
      <c r="R38" s="65">
        <f t="shared" si="6"/>
        <v>0</v>
      </c>
      <c r="S38" s="66"/>
      <c r="T38" s="115"/>
      <c r="U38" s="60">
        <f t="shared" si="13"/>
        <v>0</v>
      </c>
      <c r="V38" s="67">
        <f t="shared" si="7"/>
        <v>0</v>
      </c>
      <c r="W38" s="68"/>
      <c r="X38" s="73">
        <f t="shared" si="1"/>
        <v>0</v>
      </c>
      <c r="Y38" s="68"/>
      <c r="Z38" s="75" t="e">
        <f t="shared" si="8"/>
        <v>#DIV/0!</v>
      </c>
    </row>
    <row r="39" spans="1:26" x14ac:dyDescent="0.25">
      <c r="A39" s="10"/>
      <c r="B39" s="58">
        <f t="shared" si="9"/>
        <v>31</v>
      </c>
      <c r="C39" s="114"/>
      <c r="D39" s="60">
        <f t="shared" si="2"/>
        <v>0</v>
      </c>
      <c r="E39" s="114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1">
        <v>0.99</v>
      </c>
      <c r="K39" s="62">
        <f t="shared" si="5"/>
        <v>0</v>
      </c>
      <c r="L39" s="63"/>
      <c r="M39" s="59"/>
      <c r="N39" s="60">
        <f t="shared" si="11"/>
        <v>0</v>
      </c>
      <c r="O39" s="59"/>
      <c r="P39" s="60">
        <f t="shared" si="12"/>
        <v>0</v>
      </c>
      <c r="Q39" s="64">
        <f t="shared" si="0"/>
        <v>0</v>
      </c>
      <c r="R39" s="65">
        <f t="shared" si="6"/>
        <v>0</v>
      </c>
      <c r="S39" s="66"/>
      <c r="T39" s="115"/>
      <c r="U39" s="60">
        <f t="shared" si="13"/>
        <v>0</v>
      </c>
      <c r="V39" s="67">
        <f t="shared" si="7"/>
        <v>0</v>
      </c>
      <c r="W39" s="68"/>
      <c r="X39" s="73">
        <f t="shared" si="1"/>
        <v>0</v>
      </c>
      <c r="Y39" s="68"/>
      <c r="Z39" s="75" t="e">
        <f t="shared" si="8"/>
        <v>#DIV/0!</v>
      </c>
    </row>
    <row r="40" spans="1:26" x14ac:dyDescent="0.25">
      <c r="A40" s="10"/>
      <c r="B40" s="84"/>
      <c r="C40" s="85">
        <f>SUMIF(D9:D36,"&gt;0")</f>
        <v>45388</v>
      </c>
      <c r="D40" s="86"/>
      <c r="E40" s="116">
        <f>SUMIF(F9:F36,"&gt;0")</f>
        <v>45479</v>
      </c>
      <c r="F40" s="117"/>
      <c r="G40" s="118">
        <f>SUMIF(H9:H36,"&gt;0")</f>
        <v>42145</v>
      </c>
      <c r="H40" s="117"/>
      <c r="I40" s="87">
        <f>SUMIF(I9:I36,"&gt;0")</f>
        <v>133012</v>
      </c>
      <c r="J40" s="88"/>
      <c r="K40" s="89">
        <f>SUMIF(K9:K38,"&gt;0")</f>
        <v>38706.492000000006</v>
      </c>
      <c r="L40" s="87"/>
      <c r="M40" s="118">
        <f>SUMIF(N9:N36,"&gt;0")</f>
        <v>2554</v>
      </c>
      <c r="N40" s="117"/>
      <c r="O40" s="118">
        <f>SUMIF(P9:P36,"&gt;0")</f>
        <v>32940</v>
      </c>
      <c r="P40" s="117"/>
      <c r="Q40" s="88">
        <f>SUMIF(Q9:Q36,"&gt;0")</f>
        <v>35494</v>
      </c>
      <c r="R40" s="89">
        <f>SUMIF(R9:R36,"&gt;0")</f>
        <v>20460.033652967999</v>
      </c>
      <c r="S40" s="90"/>
      <c r="T40" s="119">
        <f>SUMIF(U9:U36,"&gt;0")</f>
        <v>3231</v>
      </c>
      <c r="U40" s="120"/>
      <c r="V40" s="91">
        <f>SUMIF(V9:V36,"&gt;0")</f>
        <v>9224.5049999999992</v>
      </c>
      <c r="W40" s="92"/>
      <c r="X40" s="93">
        <f>SUMIF(X9:X36,"&gt;0")</f>
        <v>68391.030652968009</v>
      </c>
      <c r="Y40" s="94">
        <f>SUM(Y9:Y39)</f>
        <v>994</v>
      </c>
      <c r="Z40" s="95">
        <f>(SUMIF(Z9:Z36,"&gt;0")/31)</f>
        <v>37.697843534759713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Props1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2023-01-16T10:06:20Z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