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EDA31CDE-9F2A-4EF8-B80A-E69AAB4D738B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énergie'!$A$1:$Y$54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9" i="2" l="1"/>
  <c r="N48" i="2"/>
  <c r="L47" i="2"/>
  <c r="N47" i="2" s="1"/>
  <c r="L46" i="2"/>
  <c r="N46" i="2" s="1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H3" i="21"/>
  <c r="H4" i="21"/>
  <c r="H5" i="21"/>
  <c r="F6" i="21"/>
  <c r="H6" i="21"/>
  <c r="H7" i="21"/>
  <c r="H8" i="21"/>
  <c r="H9" i="21"/>
  <c r="H10" i="21"/>
  <c r="H11" i="21"/>
  <c r="F12" i="21"/>
  <c r="H12" i="21"/>
  <c r="H13" i="21"/>
  <c r="H14" i="21"/>
  <c r="H15" i="21"/>
  <c r="H16" i="21"/>
  <c r="H17" i="21"/>
  <c r="F18" i="21"/>
  <c r="H18" i="21"/>
  <c r="H19" i="21"/>
  <c r="H20" i="21"/>
  <c r="H21" i="21"/>
  <c r="F22" i="21"/>
  <c r="H22" i="21"/>
  <c r="H23" i="21"/>
  <c r="H24" i="21"/>
  <c r="H25" i="21"/>
  <c r="H26" i="21"/>
  <c r="H27" i="21"/>
  <c r="F28" i="21"/>
  <c r="H28" i="21"/>
  <c r="H29" i="21"/>
  <c r="H30" i="21"/>
  <c r="H31" i="21"/>
  <c r="F11" i="2"/>
  <c r="I3" i="22" s="1"/>
  <c r="F12" i="2"/>
  <c r="I4" i="22" s="1"/>
  <c r="F13" i="2"/>
  <c r="I5" i="22" s="1"/>
  <c r="F14" i="2"/>
  <c r="I6" i="22" s="1"/>
  <c r="F15" i="2"/>
  <c r="I7" i="22" s="1"/>
  <c r="F16" i="2"/>
  <c r="I8" i="22" s="1"/>
  <c r="F17" i="2"/>
  <c r="H17" i="2" s="1"/>
  <c r="F18" i="2"/>
  <c r="H18" i="2" s="1"/>
  <c r="F19" i="2"/>
  <c r="I11" i="22" s="1"/>
  <c r="F20" i="2"/>
  <c r="H20" i="2" s="1"/>
  <c r="F21" i="2"/>
  <c r="I13" i="22" s="1"/>
  <c r="F22" i="2"/>
  <c r="I14" i="22" s="1"/>
  <c r="F23" i="2"/>
  <c r="I15" i="22" s="1"/>
  <c r="F24" i="2"/>
  <c r="I16" i="22" s="1"/>
  <c r="F25" i="2"/>
  <c r="H25" i="2" s="1"/>
  <c r="F26" i="2"/>
  <c r="H26" i="2" s="1"/>
  <c r="F27" i="2"/>
  <c r="I19" i="22" s="1"/>
  <c r="F28" i="2"/>
  <c r="H28" i="2" s="1"/>
  <c r="F29" i="2"/>
  <c r="I21" i="22" s="1"/>
  <c r="F30" i="2"/>
  <c r="I22" i="22" s="1"/>
  <c r="F31" i="2"/>
  <c r="I23" i="22" s="1"/>
  <c r="F32" i="2"/>
  <c r="I24" i="22" s="1"/>
  <c r="F33" i="2"/>
  <c r="H33" i="2" s="1"/>
  <c r="F34" i="2"/>
  <c r="H34" i="2" s="1"/>
  <c r="F35" i="2"/>
  <c r="I27" i="22" s="1"/>
  <c r="F36" i="2"/>
  <c r="I28" i="22" s="1"/>
  <c r="F37" i="2"/>
  <c r="I29" i="22" s="1"/>
  <c r="F38" i="2"/>
  <c r="I30" i="22" s="1"/>
  <c r="F39" i="2"/>
  <c r="I31" i="22" s="1"/>
  <c r="H21" i="2"/>
  <c r="H22" i="2"/>
  <c r="H23" i="2"/>
  <c r="H38" i="2"/>
  <c r="H39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I11" i="6"/>
  <c r="I12" i="6"/>
  <c r="I13" i="6"/>
  <c r="I14" i="6"/>
  <c r="I15" i="6"/>
  <c r="I16" i="6"/>
  <c r="I17" i="6"/>
  <c r="I18" i="6"/>
  <c r="M19" i="2" s="1"/>
  <c r="F11" i="21" s="1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M35" i="2" s="1"/>
  <c r="F27" i="21" s="1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L19" i="2" s="1"/>
  <c r="Q19" i="2" s="1"/>
  <c r="G19" i="6"/>
  <c r="G20" i="6"/>
  <c r="G21" i="6"/>
  <c r="G22" i="6"/>
  <c r="G23" i="6"/>
  <c r="G24" i="6"/>
  <c r="G25" i="6"/>
  <c r="G26" i="6"/>
  <c r="L27" i="2" s="1"/>
  <c r="Q27" i="2" s="1"/>
  <c r="G27" i="6"/>
  <c r="G28" i="6"/>
  <c r="G29" i="6"/>
  <c r="G30" i="6"/>
  <c r="G31" i="6"/>
  <c r="G32" i="6"/>
  <c r="G33" i="6"/>
  <c r="G34" i="6"/>
  <c r="L35" i="2" s="1"/>
  <c r="Q35" i="2" s="1"/>
  <c r="G35" i="6"/>
  <c r="G36" i="6"/>
  <c r="G37" i="6"/>
  <c r="G38" i="6"/>
  <c r="G39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N5" i="4"/>
  <c r="N6" i="4"/>
  <c r="N7" i="4"/>
  <c r="N8" i="4"/>
  <c r="N9" i="4"/>
  <c r="O9" i="4" s="1"/>
  <c r="N10" i="4"/>
  <c r="N11" i="4"/>
  <c r="O11" i="4" s="1"/>
  <c r="N12" i="4"/>
  <c r="O12" i="4" s="1"/>
  <c r="P12" i="4" s="1"/>
  <c r="N13" i="4"/>
  <c r="N14" i="4"/>
  <c r="N15" i="4"/>
  <c r="N16" i="4"/>
  <c r="N17" i="4"/>
  <c r="O17" i="4" s="1"/>
  <c r="P17" i="4" s="1"/>
  <c r="N18" i="4"/>
  <c r="N19" i="4"/>
  <c r="O19" i="4" s="1"/>
  <c r="N20" i="4"/>
  <c r="O20" i="4" s="1"/>
  <c r="N21" i="4"/>
  <c r="N22" i="4"/>
  <c r="N23" i="4"/>
  <c r="N24" i="4"/>
  <c r="N25" i="4"/>
  <c r="O25" i="4" s="1"/>
  <c r="P25" i="4" s="1"/>
  <c r="N26" i="4"/>
  <c r="N27" i="4"/>
  <c r="O27" i="4" s="1"/>
  <c r="P27" i="4" s="1"/>
  <c r="N28" i="4"/>
  <c r="O28" i="4" s="1"/>
  <c r="P28" i="4" s="1"/>
  <c r="N29" i="4"/>
  <c r="N30" i="4"/>
  <c r="N31" i="4"/>
  <c r="N32" i="4"/>
  <c r="N33" i="4"/>
  <c r="O33" i="4" s="1"/>
  <c r="P33" i="4" s="1"/>
  <c r="O5" i="4"/>
  <c r="O6" i="4"/>
  <c r="P6" i="4" s="1"/>
  <c r="O7" i="4"/>
  <c r="P7" i="4" s="1"/>
  <c r="O8" i="4"/>
  <c r="P8" i="4" s="1"/>
  <c r="O10" i="4"/>
  <c r="P10" i="4" s="1"/>
  <c r="O13" i="4"/>
  <c r="O14" i="4"/>
  <c r="P14" i="4" s="1"/>
  <c r="O15" i="4"/>
  <c r="P15" i="4" s="1"/>
  <c r="O16" i="4"/>
  <c r="O18" i="4"/>
  <c r="V24" i="2" s="1"/>
  <c r="G16" i="22" s="1"/>
  <c r="O21" i="4"/>
  <c r="O22" i="4"/>
  <c r="O23" i="4"/>
  <c r="P23" i="4" s="1"/>
  <c r="O24" i="4"/>
  <c r="O26" i="4"/>
  <c r="P26" i="4" s="1"/>
  <c r="O29" i="4"/>
  <c r="O30" i="4"/>
  <c r="V36" i="2" s="1"/>
  <c r="G28" i="22" s="1"/>
  <c r="O31" i="4"/>
  <c r="V37" i="2" s="1"/>
  <c r="G29" i="22" s="1"/>
  <c r="O32" i="4"/>
  <c r="P5" i="4"/>
  <c r="P13" i="4"/>
  <c r="P16" i="4"/>
  <c r="P21" i="4"/>
  <c r="P22" i="4"/>
  <c r="P24" i="4"/>
  <c r="P29" i="4"/>
  <c r="P32" i="4"/>
  <c r="M18" i="2"/>
  <c r="F10" i="21" s="1"/>
  <c r="M26" i="2"/>
  <c r="M27" i="2"/>
  <c r="F19" i="21" s="1"/>
  <c r="M34" i="2"/>
  <c r="F26" i="21" s="1"/>
  <c r="V38" i="2"/>
  <c r="G30" i="22" s="1"/>
  <c r="P4" i="4"/>
  <c r="N11" i="2"/>
  <c r="G3" i="21" s="1"/>
  <c r="N12" i="2"/>
  <c r="G4" i="21" s="1"/>
  <c r="N13" i="2"/>
  <c r="G5" i="21" s="1"/>
  <c r="N14" i="2"/>
  <c r="G6" i="21" s="1"/>
  <c r="N15" i="2"/>
  <c r="G7" i="21" s="1"/>
  <c r="N16" i="2"/>
  <c r="G8" i="21" s="1"/>
  <c r="N17" i="2"/>
  <c r="G9" i="21" s="1"/>
  <c r="N18" i="2"/>
  <c r="G10" i="21" s="1"/>
  <c r="N19" i="2"/>
  <c r="G11" i="21" s="1"/>
  <c r="N20" i="2"/>
  <c r="G12" i="21" s="1"/>
  <c r="N21" i="2"/>
  <c r="G13" i="21" s="1"/>
  <c r="N22" i="2"/>
  <c r="G14" i="21" s="1"/>
  <c r="N23" i="2"/>
  <c r="G15" i="21" s="1"/>
  <c r="N24" i="2"/>
  <c r="G16" i="21" s="1"/>
  <c r="N25" i="2"/>
  <c r="G17" i="21" s="1"/>
  <c r="N26" i="2"/>
  <c r="G18" i="21" s="1"/>
  <c r="N27" i="2"/>
  <c r="G19" i="21" s="1"/>
  <c r="N28" i="2"/>
  <c r="G20" i="21" s="1"/>
  <c r="N29" i="2"/>
  <c r="G21" i="21" s="1"/>
  <c r="N30" i="2"/>
  <c r="G22" i="21" s="1"/>
  <c r="N31" i="2"/>
  <c r="G23" i="21" s="1"/>
  <c r="N32" i="2"/>
  <c r="G24" i="21" s="1"/>
  <c r="N33" i="2"/>
  <c r="G25" i="21" s="1"/>
  <c r="N34" i="2"/>
  <c r="G26" i="21" s="1"/>
  <c r="N35" i="2"/>
  <c r="G27" i="21" s="1"/>
  <c r="N36" i="2"/>
  <c r="G28" i="21" s="1"/>
  <c r="N37" i="2"/>
  <c r="G29" i="21" s="1"/>
  <c r="N38" i="2"/>
  <c r="G30" i="21" s="1"/>
  <c r="N39" i="2"/>
  <c r="G31" i="21" s="1"/>
  <c r="M11" i="2"/>
  <c r="F3" i="21" s="1"/>
  <c r="M12" i="2"/>
  <c r="F4" i="21" s="1"/>
  <c r="M13" i="2"/>
  <c r="F5" i="21" s="1"/>
  <c r="M14" i="2"/>
  <c r="M15" i="2"/>
  <c r="F7" i="21" s="1"/>
  <c r="M16" i="2"/>
  <c r="F8" i="21" s="1"/>
  <c r="M17" i="2"/>
  <c r="F9" i="21" s="1"/>
  <c r="M20" i="2"/>
  <c r="M21" i="2"/>
  <c r="F13" i="21" s="1"/>
  <c r="M22" i="2"/>
  <c r="F14" i="21" s="1"/>
  <c r="M23" i="2"/>
  <c r="F15" i="21" s="1"/>
  <c r="M24" i="2"/>
  <c r="F16" i="21" s="1"/>
  <c r="M25" i="2"/>
  <c r="F17" i="21" s="1"/>
  <c r="M28" i="2"/>
  <c r="F20" i="21" s="1"/>
  <c r="M29" i="2"/>
  <c r="F21" i="21" s="1"/>
  <c r="M30" i="2"/>
  <c r="M31" i="2"/>
  <c r="F23" i="21" s="1"/>
  <c r="M32" i="2"/>
  <c r="F24" i="21" s="1"/>
  <c r="M33" i="2"/>
  <c r="F25" i="21" s="1"/>
  <c r="M36" i="2"/>
  <c r="M37" i="2"/>
  <c r="F29" i="21" s="1"/>
  <c r="M38" i="2"/>
  <c r="F30" i="21" s="1"/>
  <c r="M39" i="2"/>
  <c r="F31" i="21" s="1"/>
  <c r="L11" i="2"/>
  <c r="L12" i="2"/>
  <c r="L13" i="2"/>
  <c r="E5" i="21" s="1"/>
  <c r="L14" i="2"/>
  <c r="O14" i="2" s="1"/>
  <c r="L15" i="2"/>
  <c r="O15" i="2" s="1"/>
  <c r="L16" i="2"/>
  <c r="L17" i="2"/>
  <c r="L18" i="2"/>
  <c r="L20" i="2"/>
  <c r="Q20" i="2" s="1"/>
  <c r="L21" i="2"/>
  <c r="E13" i="21" s="1"/>
  <c r="E13" i="22" s="1"/>
  <c r="L22" i="2"/>
  <c r="E14" i="21" s="1"/>
  <c r="L23" i="2"/>
  <c r="O23" i="2" s="1"/>
  <c r="L24" i="2"/>
  <c r="L25" i="2"/>
  <c r="L26" i="2"/>
  <c r="L28" i="2"/>
  <c r="Q28" i="2" s="1"/>
  <c r="L29" i="2"/>
  <c r="E21" i="21" s="1"/>
  <c r="L30" i="2"/>
  <c r="E22" i="21" s="1"/>
  <c r="E22" i="22" s="1"/>
  <c r="L31" i="2"/>
  <c r="E23" i="21" s="1"/>
  <c r="L32" i="2"/>
  <c r="Q32" i="2" s="1"/>
  <c r="L33" i="2"/>
  <c r="L34" i="2"/>
  <c r="L36" i="2"/>
  <c r="Q36" i="2" s="1"/>
  <c r="L37" i="2"/>
  <c r="E29" i="21" s="1"/>
  <c r="E29" i="22" s="1"/>
  <c r="L38" i="2"/>
  <c r="E30" i="21" s="1"/>
  <c r="L39" i="2"/>
  <c r="E31" i="21" s="1"/>
  <c r="E31" i="22" s="1"/>
  <c r="M48" i="4"/>
  <c r="V22" i="2"/>
  <c r="G14" i="22" s="1"/>
  <c r="M4" i="4"/>
  <c r="M5" i="4"/>
  <c r="M6" i="4"/>
  <c r="M7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P35" i="4"/>
  <c r="P36" i="4"/>
  <c r="V28" i="2"/>
  <c r="G20" i="22" s="1"/>
  <c r="V29" i="2"/>
  <c r="G21" i="22" s="1"/>
  <c r="C11" i="6"/>
  <c r="K10" i="6"/>
  <c r="I10" i="6"/>
  <c r="G10" i="6"/>
  <c r="C10" i="6"/>
  <c r="E10" i="6"/>
  <c r="N10" i="2"/>
  <c r="G2" i="21" s="1"/>
  <c r="M10" i="2"/>
  <c r="L10" i="2"/>
  <c r="Q10" i="2" s="1"/>
  <c r="F10" i="2"/>
  <c r="H10" i="2" s="1"/>
  <c r="G4" i="4"/>
  <c r="E4" i="4"/>
  <c r="C4" i="4"/>
  <c r="P37" i="4"/>
  <c r="P38" i="4"/>
  <c r="P39" i="4"/>
  <c r="G17" i="4"/>
  <c r="P40" i="4"/>
  <c r="P41" i="4"/>
  <c r="P42" i="4"/>
  <c r="C35" i="4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L34" i="4"/>
  <c r="N34" i="4"/>
  <c r="O34" i="4"/>
  <c r="P34" i="4" s="1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44" i="4"/>
  <c r="AC44" i="4"/>
  <c r="K48" i="4" s="1"/>
  <c r="L48" i="4" s="1"/>
  <c r="L9" i="4"/>
  <c r="AC43" i="4"/>
  <c r="I9" i="4"/>
  <c r="E14" i="22" l="1"/>
  <c r="Q12" i="2"/>
  <c r="X38" i="2"/>
  <c r="H37" i="2"/>
  <c r="E30" i="22"/>
  <c r="E21" i="22"/>
  <c r="O11" i="2"/>
  <c r="X22" i="2"/>
  <c r="H35" i="2"/>
  <c r="H19" i="2"/>
  <c r="H31" i="2"/>
  <c r="Q39" i="2"/>
  <c r="H15" i="2"/>
  <c r="Q26" i="2"/>
  <c r="Q17" i="2"/>
  <c r="Q23" i="2"/>
  <c r="H30" i="2"/>
  <c r="H14" i="2"/>
  <c r="I2" i="22"/>
  <c r="Q34" i="2"/>
  <c r="Q25" i="2"/>
  <c r="Q16" i="2"/>
  <c r="Q15" i="2"/>
  <c r="H29" i="2"/>
  <c r="H13" i="2"/>
  <c r="Q18" i="2"/>
  <c r="Q33" i="2"/>
  <c r="Q24" i="2"/>
  <c r="Q11" i="2"/>
  <c r="H27" i="2"/>
  <c r="H11" i="2"/>
  <c r="E23" i="22"/>
  <c r="E5" i="22"/>
  <c r="Q38" i="2"/>
  <c r="Q30" i="2"/>
  <c r="Q22" i="2"/>
  <c r="Q14" i="2"/>
  <c r="H36" i="2"/>
  <c r="H24" i="2"/>
  <c r="E28" i="21"/>
  <c r="E28" i="22" s="1"/>
  <c r="E26" i="21"/>
  <c r="E26" i="22" s="1"/>
  <c r="E24" i="21"/>
  <c r="E24" i="22" s="1"/>
  <c r="E20" i="21"/>
  <c r="E20" i="22" s="1"/>
  <c r="E18" i="21"/>
  <c r="E18" i="22" s="1"/>
  <c r="E16" i="21"/>
  <c r="E16" i="22" s="1"/>
  <c r="E12" i="21"/>
  <c r="E12" i="22" s="1"/>
  <c r="E10" i="21"/>
  <c r="E10" i="22" s="1"/>
  <c r="E8" i="21"/>
  <c r="E8" i="22" s="1"/>
  <c r="E6" i="21"/>
  <c r="E6" i="22" s="1"/>
  <c r="E4" i="21"/>
  <c r="E4" i="22" s="1"/>
  <c r="X24" i="2"/>
  <c r="Q37" i="2"/>
  <c r="Q29" i="2"/>
  <c r="Q21" i="2"/>
  <c r="Q13" i="2"/>
  <c r="Q31" i="2"/>
  <c r="H32" i="2"/>
  <c r="H12" i="2"/>
  <c r="I20" i="22"/>
  <c r="I12" i="22"/>
  <c r="X37" i="2"/>
  <c r="X29" i="2"/>
  <c r="E27" i="21"/>
  <c r="E27" i="22" s="1"/>
  <c r="E25" i="21"/>
  <c r="E25" i="22" s="1"/>
  <c r="E19" i="21"/>
  <c r="E19" i="22" s="1"/>
  <c r="E17" i="21"/>
  <c r="E17" i="22" s="1"/>
  <c r="E15" i="21"/>
  <c r="E15" i="22" s="1"/>
  <c r="E11" i="21"/>
  <c r="E11" i="22" s="1"/>
  <c r="E9" i="21"/>
  <c r="E9" i="22" s="1"/>
  <c r="E7" i="21"/>
  <c r="E7" i="22" s="1"/>
  <c r="E3" i="21"/>
  <c r="E3" i="22" s="1"/>
  <c r="I26" i="22"/>
  <c r="I18" i="22"/>
  <c r="I10" i="22"/>
  <c r="X36" i="2"/>
  <c r="X28" i="2"/>
  <c r="I25" i="22"/>
  <c r="I17" i="22"/>
  <c r="I9" i="22"/>
  <c r="H16" i="2"/>
  <c r="V25" i="2"/>
  <c r="P19" i="4"/>
  <c r="V17" i="2"/>
  <c r="P11" i="4"/>
  <c r="V26" i="2"/>
  <c r="P20" i="4"/>
  <c r="P9" i="4"/>
  <c r="V15" i="2"/>
  <c r="V21" i="2"/>
  <c r="P31" i="4"/>
  <c r="P30" i="4"/>
  <c r="V20" i="2"/>
  <c r="V31" i="2"/>
  <c r="V16" i="2"/>
  <c r="V23" i="2"/>
  <c r="V32" i="2"/>
  <c r="P18" i="4"/>
  <c r="V39" i="2"/>
  <c r="O30" i="2"/>
  <c r="O22" i="2"/>
  <c r="O33" i="2"/>
  <c r="O25" i="2"/>
  <c r="O17" i="2"/>
  <c r="O34" i="2"/>
  <c r="O26" i="2"/>
  <c r="O18" i="2"/>
  <c r="O32" i="2"/>
  <c r="O24" i="2"/>
  <c r="O16" i="2"/>
  <c r="O39" i="2"/>
  <c r="O31" i="2"/>
  <c r="O38" i="2"/>
  <c r="O35" i="2"/>
  <c r="O27" i="2"/>
  <c r="O19" i="2"/>
  <c r="V27" i="2"/>
  <c r="V35" i="2"/>
  <c r="V19" i="2"/>
  <c r="V34" i="2"/>
  <c r="O10" i="2"/>
  <c r="O37" i="2"/>
  <c r="O29" i="2"/>
  <c r="O21" i="2"/>
  <c r="O13" i="2"/>
  <c r="O36" i="2"/>
  <c r="O28" i="2"/>
  <c r="O20" i="2"/>
  <c r="O12" i="2"/>
  <c r="E2" i="21"/>
  <c r="J22" i="21"/>
  <c r="J20" i="21"/>
  <c r="J13" i="21"/>
  <c r="V14" i="2"/>
  <c r="V30" i="2"/>
  <c r="V18" i="2"/>
  <c r="V33" i="2"/>
  <c r="N40" i="2"/>
  <c r="I45" i="2" s="1"/>
  <c r="L45" i="2" s="1"/>
  <c r="J23" i="21"/>
  <c r="J19" i="21"/>
  <c r="M40" i="2"/>
  <c r="I44" i="2" s="1"/>
  <c r="L44" i="2" s="1"/>
  <c r="J21" i="21"/>
  <c r="F40" i="2"/>
  <c r="V13" i="2"/>
  <c r="G27" i="4"/>
  <c r="E27" i="4"/>
  <c r="C27" i="4"/>
  <c r="G20" i="4"/>
  <c r="E20" i="4"/>
  <c r="C20" i="4"/>
  <c r="G11" i="4"/>
  <c r="E11" i="4"/>
  <c r="C11" i="4"/>
  <c r="L5" i="4"/>
  <c r="G5" i="4"/>
  <c r="E5" i="4"/>
  <c r="C5" i="4"/>
  <c r="G25" i="4"/>
  <c r="E25" i="4"/>
  <c r="C25" i="4"/>
  <c r="G7" i="4"/>
  <c r="E7" i="4"/>
  <c r="C7" i="4"/>
  <c r="L40" i="2"/>
  <c r="G21" i="4"/>
  <c r="E21" i="4"/>
  <c r="C21" i="4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L8" i="4"/>
  <c r="J14" i="21"/>
  <c r="I4" i="4"/>
  <c r="L4" i="4"/>
  <c r="N4" i="4" s="1"/>
  <c r="J24" i="21" l="1"/>
  <c r="G24" i="22"/>
  <c r="X32" i="2"/>
  <c r="J3" i="21"/>
  <c r="G19" i="22"/>
  <c r="X27" i="2"/>
  <c r="G23" i="22"/>
  <c r="M23" i="22" s="1"/>
  <c r="X31" i="2"/>
  <c r="X26" i="2"/>
  <c r="G18" i="22"/>
  <c r="M18" i="22" s="1"/>
  <c r="G26" i="22"/>
  <c r="X34" i="2"/>
  <c r="G7" i="22"/>
  <c r="X15" i="2"/>
  <c r="G15" i="22"/>
  <c r="X23" i="2"/>
  <c r="G27" i="22"/>
  <c r="X35" i="2"/>
  <c r="G8" i="22"/>
  <c r="M8" i="22" s="1"/>
  <c r="X16" i="2"/>
  <c r="J8" i="21"/>
  <c r="G12" i="22"/>
  <c r="X20" i="2"/>
  <c r="X30" i="2"/>
  <c r="G22" i="22"/>
  <c r="M22" i="22" s="1"/>
  <c r="G11" i="22"/>
  <c r="M11" i="22" s="1"/>
  <c r="X19" i="2"/>
  <c r="G9" i="22"/>
  <c r="X17" i="2"/>
  <c r="X14" i="2"/>
  <c r="G6" i="22"/>
  <c r="G5" i="22"/>
  <c r="X13" i="2"/>
  <c r="G25" i="22"/>
  <c r="M25" i="22" s="1"/>
  <c r="X33" i="2"/>
  <c r="G31" i="22"/>
  <c r="X39" i="2"/>
  <c r="G10" i="22"/>
  <c r="M10" i="22" s="1"/>
  <c r="X18" i="2"/>
  <c r="G13" i="22"/>
  <c r="M13" i="22" s="1"/>
  <c r="X21" i="2"/>
  <c r="G17" i="22"/>
  <c r="X25" i="2"/>
  <c r="J26" i="21"/>
  <c r="J10" i="21"/>
  <c r="J2" i="21"/>
  <c r="E2" i="22"/>
  <c r="M17" i="22"/>
  <c r="M9" i="22"/>
  <c r="J18" i="21"/>
  <c r="J15" i="21"/>
  <c r="M15" i="22"/>
  <c r="J30" i="21"/>
  <c r="J17" i="21"/>
  <c r="M12" i="22"/>
  <c r="J12" i="21"/>
  <c r="J25" i="21"/>
  <c r="J9" i="21"/>
  <c r="J16" i="21"/>
  <c r="M16" i="22"/>
  <c r="J11" i="21"/>
  <c r="V11" i="2"/>
  <c r="V12" i="2"/>
  <c r="M19" i="22"/>
  <c r="M20" i="22"/>
  <c r="M14" i="22"/>
  <c r="M24" i="22"/>
  <c r="M26" i="22"/>
  <c r="M21" i="22"/>
  <c r="O4" i="4"/>
  <c r="N43" i="4"/>
  <c r="G3" i="22" l="1"/>
  <c r="M3" i="22" s="1"/>
  <c r="X11" i="2"/>
  <c r="G4" i="22"/>
  <c r="X12" i="2"/>
  <c r="H40" i="2"/>
  <c r="O40" i="2"/>
  <c r="Q40" i="2"/>
  <c r="M4" i="22"/>
  <c r="V10" i="2"/>
  <c r="X10" i="2" s="1"/>
  <c r="I52" i="2"/>
  <c r="L52" i="2" s="1"/>
  <c r="N52" i="2" s="1"/>
  <c r="I43" i="2"/>
  <c r="L43" i="2" s="1"/>
  <c r="N43" i="2" s="1"/>
  <c r="N50" i="2" s="1"/>
  <c r="J4" i="21"/>
  <c r="J5" i="21"/>
  <c r="M5" i="22"/>
  <c r="M6" i="22"/>
  <c r="J6" i="21"/>
  <c r="M7" i="22"/>
  <c r="J7" i="21"/>
  <c r="O43" i="4"/>
  <c r="P43" i="4" s="1"/>
  <c r="K47" i="4"/>
  <c r="N51" i="2" l="1"/>
  <c r="X40" i="2"/>
  <c r="G2" i="22"/>
  <c r="M2" i="22" s="1"/>
  <c r="V40" i="2"/>
  <c r="L47" i="4"/>
  <c r="M47" i="4"/>
  <c r="M30" i="22" l="1"/>
  <c r="I53" i="2"/>
  <c r="L53" i="2" s="1"/>
  <c r="N53" i="2" s="1"/>
</calcChain>
</file>

<file path=xl/sharedStrings.xml><?xml version="1.0" encoding="utf-8"?>
<sst xmlns="http://schemas.openxmlformats.org/spreadsheetml/2006/main" count="482" uniqueCount="188">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</sst>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5">
                  <c:v>85.69999999999709</c:v>
                </c:pt>
                <c:pt idx="16">
                  <c:v>91.100000000005821</c:v>
                </c:pt>
                <c:pt idx="17">
                  <c:v>108.59999999999127</c:v>
                </c:pt>
                <c:pt idx="18">
                  <c:v>91.30000000000291</c:v>
                </c:pt>
                <c:pt idx="19">
                  <c:v>90.30000000000291</c:v>
                </c:pt>
                <c:pt idx="20">
                  <c:v>96.19999999999709</c:v>
                </c:pt>
                <c:pt idx="21">
                  <c:v>90.600000000005821</c:v>
                </c:pt>
                <c:pt idx="22">
                  <c:v>108.69999999999709</c:v>
                </c:pt>
                <c:pt idx="23">
                  <c:v>87</c:v>
                </c:pt>
                <c:pt idx="24">
                  <c:v>87</c:v>
                </c:pt>
                <c:pt idx="25">
                  <c:v>86.30000000000291</c:v>
                </c:pt>
                <c:pt idx="26">
                  <c:v>87.099999999991269</c:v>
                </c:pt>
                <c:pt idx="27">
                  <c:v>96.200000000011642</c:v>
                </c:pt>
                <c:pt idx="28">
                  <c:v>94.599999999991269</c:v>
                </c:pt>
                <c:pt idx="29">
                  <c:v>87.400000000008731</c:v>
                </c:pt>
                <c:pt idx="30">
                  <c:v>82.799999999988358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5">
                  <c:v>2715</c:v>
                </c:pt>
                <c:pt idx="16">
                  <c:v>3364</c:v>
                </c:pt>
                <c:pt idx="17">
                  <c:v>3312</c:v>
                </c:pt>
                <c:pt idx="18">
                  <c:v>2996</c:v>
                </c:pt>
                <c:pt idx="19">
                  <c:v>3226</c:v>
                </c:pt>
                <c:pt idx="20">
                  <c:v>4218</c:v>
                </c:pt>
                <c:pt idx="21">
                  <c:v>3566</c:v>
                </c:pt>
                <c:pt idx="22">
                  <c:v>3799</c:v>
                </c:pt>
                <c:pt idx="23">
                  <c:v>3548</c:v>
                </c:pt>
                <c:pt idx="24">
                  <c:v>3933</c:v>
                </c:pt>
                <c:pt idx="25">
                  <c:v>3754</c:v>
                </c:pt>
                <c:pt idx="26">
                  <c:v>3678</c:v>
                </c:pt>
                <c:pt idx="27">
                  <c:v>3834</c:v>
                </c:pt>
                <c:pt idx="28">
                  <c:v>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5">
                  <c:v>5334</c:v>
                </c:pt>
                <c:pt idx="16">
                  <c:v>5233</c:v>
                </c:pt>
                <c:pt idx="17">
                  <c:v>5080</c:v>
                </c:pt>
                <c:pt idx="18">
                  <c:v>4826</c:v>
                </c:pt>
                <c:pt idx="19">
                  <c:v>5164</c:v>
                </c:pt>
                <c:pt idx="20">
                  <c:v>5085</c:v>
                </c:pt>
                <c:pt idx="21">
                  <c:v>5167</c:v>
                </c:pt>
                <c:pt idx="22">
                  <c:v>5344</c:v>
                </c:pt>
                <c:pt idx="23">
                  <c:v>5308</c:v>
                </c:pt>
                <c:pt idx="24">
                  <c:v>5242</c:v>
                </c:pt>
                <c:pt idx="25">
                  <c:v>5473</c:v>
                </c:pt>
                <c:pt idx="26">
                  <c:v>5181</c:v>
                </c:pt>
                <c:pt idx="27">
                  <c:v>5406</c:v>
                </c:pt>
                <c:pt idx="28">
                  <c:v>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5">
                  <c:v>2483</c:v>
                </c:pt>
                <c:pt idx="16">
                  <c:v>2527</c:v>
                </c:pt>
                <c:pt idx="17">
                  <c:v>2268</c:v>
                </c:pt>
                <c:pt idx="18">
                  <c:v>2333</c:v>
                </c:pt>
                <c:pt idx="19">
                  <c:v>2412</c:v>
                </c:pt>
                <c:pt idx="20">
                  <c:v>2384</c:v>
                </c:pt>
                <c:pt idx="21">
                  <c:v>2405</c:v>
                </c:pt>
                <c:pt idx="22">
                  <c:v>2540</c:v>
                </c:pt>
                <c:pt idx="23">
                  <c:v>2522</c:v>
                </c:pt>
                <c:pt idx="24">
                  <c:v>2524</c:v>
                </c:pt>
                <c:pt idx="25">
                  <c:v>2516</c:v>
                </c:pt>
                <c:pt idx="26">
                  <c:v>2405</c:v>
                </c:pt>
                <c:pt idx="27">
                  <c:v>2703</c:v>
                </c:pt>
                <c:pt idx="28">
                  <c:v>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447.98894000000001</c:v>
                </c:pt>
                <c:pt idx="1">
                  <c:v>415.98973000000001</c:v>
                </c:pt>
                <c:pt idx="2">
                  <c:v>287.99288999999999</c:v>
                </c:pt>
                <c:pt idx="3">
                  <c:v>447.98894000000001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767.98104000000001</c:v>
                </c:pt>
                <c:pt idx="15">
                  <c:v>543.98657000000003</c:v>
                </c:pt>
                <c:pt idx="16">
                  <c:v>895.97788000000003</c:v>
                </c:pt>
                <c:pt idx="17">
                  <c:v>511.98736000000002</c:v>
                </c:pt>
                <c:pt idx="18">
                  <c:v>511.98736000000002</c:v>
                </c:pt>
                <c:pt idx="19">
                  <c:v>511.98736000000002</c:v>
                </c:pt>
                <c:pt idx="20">
                  <c:v>575.98577999999998</c:v>
                </c:pt>
                <c:pt idx="21">
                  <c:v>511.98736000000002</c:v>
                </c:pt>
                <c:pt idx="22">
                  <c:v>223.99447000000001</c:v>
                </c:pt>
                <c:pt idx="23">
                  <c:v>415.98973000000001</c:v>
                </c:pt>
                <c:pt idx="24">
                  <c:v>287.99288999999999</c:v>
                </c:pt>
                <c:pt idx="25">
                  <c:v>287.99288999999999</c:v>
                </c:pt>
                <c:pt idx="26">
                  <c:v>575.98577999999998</c:v>
                </c:pt>
                <c:pt idx="27">
                  <c:v>607.98499000000004</c:v>
                </c:pt>
                <c:pt idx="28">
                  <c:v>511.98736000000002</c:v>
                </c:pt>
                <c:pt idx="29">
                  <c:v>671.98341000000005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Q15" sqref="Q1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1.08</v>
      </c>
      <c r="G2" s="134">
        <f>'Consommation mensuel énergie'!V10</f>
        <v>447.98894000000001</v>
      </c>
      <c r="H2" s="134">
        <v>11.865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14791</v>
      </c>
      <c r="F3" s="134">
        <v>1.08</v>
      </c>
      <c r="G3" s="134">
        <f>'Consommation mensuel énergie'!V11</f>
        <v>415.98973000000001</v>
      </c>
      <c r="H3" s="134">
        <v>11.865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1.08</v>
      </c>
      <c r="G4" s="134">
        <f>'Consommation mensuel énergie'!V12</f>
        <v>287.99288999999999</v>
      </c>
      <c r="H4" s="134">
        <v>11.865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1.08</v>
      </c>
      <c r="G5" s="134">
        <f>'Consommation mensuel énergie'!V13</f>
        <v>447.98894000000001</v>
      </c>
      <c r="H5" s="134">
        <v>11.865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1.08</v>
      </c>
      <c r="G6" s="134">
        <f>'Consommation mensuel énergie'!V14</f>
        <v>735.98183000000006</v>
      </c>
      <c r="H6" s="134">
        <v>11.865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1.08</v>
      </c>
      <c r="G7" s="134">
        <f>'Consommation mensuel énergie'!V15</f>
        <v>639.98419999999999</v>
      </c>
      <c r="H7" s="134">
        <v>11.865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1.08</v>
      </c>
      <c r="G8" s="134">
        <f>'Consommation mensuel énergie'!V16</f>
        <v>671.98341000000005</v>
      </c>
      <c r="H8" s="134">
        <v>11.865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1.08</v>
      </c>
      <c r="G9" s="134">
        <f>'Consommation mensuel énergie'!V17</f>
        <v>479.98815000000002</v>
      </c>
      <c r="H9" s="134">
        <v>11.865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1.08</v>
      </c>
      <c r="G10" s="134">
        <f>'Consommation mensuel énergie'!V18</f>
        <v>351.99131</v>
      </c>
      <c r="H10" s="134">
        <v>11.865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1.08</v>
      </c>
      <c r="G11" s="134">
        <f>'Consommation mensuel énergie'!V19</f>
        <v>735.98183000000006</v>
      </c>
      <c r="H11" s="134">
        <v>11.865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1.08</v>
      </c>
      <c r="G12" s="134">
        <f>'Consommation mensuel énergie'!V20</f>
        <v>575.98577999999998</v>
      </c>
      <c r="H12" s="134">
        <v>11.865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1.08</v>
      </c>
      <c r="G13" s="134">
        <f>'Consommation mensuel énergie'!V21</f>
        <v>383.99052</v>
      </c>
      <c r="H13" s="134">
        <v>11.865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1.08</v>
      </c>
      <c r="G14" s="134">
        <f>'Consommation mensuel énergie'!V22</f>
        <v>415.98973000000001</v>
      </c>
      <c r="H14" s="134">
        <v>11.865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1.08</v>
      </c>
      <c r="G15" s="134">
        <f>'Consommation mensuel énergie'!V23</f>
        <v>415.98973000000001</v>
      </c>
      <c r="H15" s="134">
        <v>11.865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1.08</v>
      </c>
      <c r="G16" s="134">
        <f>'Consommation mensuel énergie'!V24</f>
        <v>767.98104000000001</v>
      </c>
      <c r="H16" s="134">
        <v>11.865</v>
      </c>
      <c r="I16" s="134">
        <f>'Consommation mensuel énergie'!F24</f>
        <v>94</v>
      </c>
      <c r="J16" s="134">
        <v>11.4</v>
      </c>
      <c r="K16" s="137">
        <f>'Consommation mensuel énergie'!D24</f>
        <v>91</v>
      </c>
      <c r="L16" s="137">
        <f>'Consommation mensuel énergie'!E24</f>
        <v>120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10532</v>
      </c>
      <c r="F17" s="134">
        <v>1.08</v>
      </c>
      <c r="G17" s="134">
        <f>'Consommation mensuel énergie'!V25</f>
        <v>543.98657000000003</v>
      </c>
      <c r="H17" s="134">
        <v>11.865</v>
      </c>
      <c r="I17" s="134">
        <f>'Consommation mensuel énergie'!F25</f>
        <v>85.69999999999709</v>
      </c>
      <c r="J17" s="134">
        <v>11.4</v>
      </c>
      <c r="K17" s="137">
        <f>'Consommation mensuel énergie'!D25</f>
        <v>114</v>
      </c>
      <c r="L17" s="137">
        <f>'Consommation mensuel énergie'!E25</f>
        <v>143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11124</v>
      </c>
      <c r="F18" s="134">
        <v>1.08</v>
      </c>
      <c r="G18" s="134">
        <f>'Consommation mensuel énergie'!V26</f>
        <v>895.97788000000003</v>
      </c>
      <c r="H18" s="134">
        <v>11.865</v>
      </c>
      <c r="I18" s="134">
        <f>'Consommation mensuel énergie'!F26</f>
        <v>91.100000000005821</v>
      </c>
      <c r="J18" s="134">
        <v>11.4</v>
      </c>
      <c r="K18" s="137">
        <f>'Consommation mensuel énergie'!D26</f>
        <v>72</v>
      </c>
      <c r="L18" s="137">
        <f>'Consommation mensuel énergie'!E26</f>
        <v>101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10660</v>
      </c>
      <c r="F19" s="134">
        <v>1.08</v>
      </c>
      <c r="G19" s="134">
        <f>'Consommation mensuel énergie'!V27</f>
        <v>511.98736000000002</v>
      </c>
      <c r="H19" s="134">
        <v>11.865</v>
      </c>
      <c r="I19" s="134">
        <f>'Consommation mensuel énergie'!F27</f>
        <v>108.59999999999127</v>
      </c>
      <c r="J19" s="134">
        <v>11.4</v>
      </c>
      <c r="K19" s="137">
        <f>'Consommation mensuel énergie'!D27</f>
        <v>82</v>
      </c>
      <c r="L19" s="137">
        <f>'Consommation mensuel énergie'!E27</f>
        <v>124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10155</v>
      </c>
      <c r="F20" s="134">
        <v>1.08</v>
      </c>
      <c r="G20" s="134">
        <f>'Consommation mensuel énergie'!V28</f>
        <v>511.98736000000002</v>
      </c>
      <c r="H20" s="134">
        <v>11.865</v>
      </c>
      <c r="I20" s="134">
        <f>'Consommation mensuel énergie'!F28</f>
        <v>91.30000000000291</v>
      </c>
      <c r="J20" s="134">
        <v>11.4</v>
      </c>
      <c r="K20" s="137">
        <f>'Consommation mensuel énergie'!D28</f>
        <v>88</v>
      </c>
      <c r="L20" s="137">
        <f>'Consommation mensuel énergie'!E28</f>
        <v>129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10802</v>
      </c>
      <c r="F21" s="134">
        <v>1.08</v>
      </c>
      <c r="G21" s="134">
        <f>'Consommation mensuel énergie'!V29</f>
        <v>511.98736000000002</v>
      </c>
      <c r="H21" s="134">
        <v>11.865</v>
      </c>
      <c r="I21" s="134">
        <f>'Consommation mensuel énergie'!F29</f>
        <v>90.30000000000291</v>
      </c>
      <c r="J21" s="134">
        <v>11.4</v>
      </c>
      <c r="K21" s="137">
        <f>'Consommation mensuel énergie'!D29</f>
        <v>74</v>
      </c>
      <c r="L21" s="137">
        <f>'Consommation mensuel énergie'!E29</f>
        <v>122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11687</v>
      </c>
      <c r="F22" s="134">
        <v>1.08</v>
      </c>
      <c r="G22" s="134">
        <f>'Consommation mensuel énergie'!V30</f>
        <v>575.98577999999998</v>
      </c>
      <c r="H22" s="134">
        <v>11.865</v>
      </c>
      <c r="I22" s="134">
        <f>'Consommation mensuel énergie'!F30</f>
        <v>96.19999999999709</v>
      </c>
      <c r="J22" s="134">
        <v>11.4</v>
      </c>
      <c r="K22" s="137">
        <f>'Consommation mensuel énergie'!D30</f>
        <v>80</v>
      </c>
      <c r="L22" s="137">
        <f>'Consommation mensuel énergie'!E30</f>
        <v>109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11138</v>
      </c>
      <c r="F23" s="134">
        <v>1.08</v>
      </c>
      <c r="G23" s="134">
        <f>'Consommation mensuel énergie'!V31</f>
        <v>511.98736000000002</v>
      </c>
      <c r="H23" s="134">
        <v>11.865</v>
      </c>
      <c r="I23" s="134">
        <f>'Consommation mensuel énergie'!F31</f>
        <v>90.600000000005821</v>
      </c>
      <c r="J23" s="134">
        <v>11.4</v>
      </c>
      <c r="K23" s="137">
        <f>'Consommation mensuel énergie'!D31</f>
        <v>104</v>
      </c>
      <c r="L23" s="137">
        <f>'Consommation mensuel énergie'!E31</f>
        <v>144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11683</v>
      </c>
      <c r="F24" s="134">
        <v>1.08</v>
      </c>
      <c r="G24" s="134">
        <f>'Consommation mensuel énergie'!V32</f>
        <v>223.99447000000001</v>
      </c>
      <c r="H24" s="134">
        <v>11.865</v>
      </c>
      <c r="I24" s="134">
        <f>'Consommation mensuel énergie'!F32</f>
        <v>108.69999999999709</v>
      </c>
      <c r="J24" s="134">
        <v>11.4</v>
      </c>
      <c r="K24" s="137">
        <f>'Consommation mensuel énergie'!D32</f>
        <v>124</v>
      </c>
      <c r="L24" s="137">
        <f>'Consommation mensuel énergie'!E32</f>
        <v>160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11378</v>
      </c>
      <c r="F25" s="134">
        <v>1.08</v>
      </c>
      <c r="G25" s="134">
        <f>'Consommation mensuel énergie'!V33</f>
        <v>415.98973000000001</v>
      </c>
      <c r="H25" s="134">
        <v>11.865</v>
      </c>
      <c r="I25" s="134">
        <f>'Consommation mensuel énergie'!F33</f>
        <v>87</v>
      </c>
      <c r="J25" s="134">
        <v>11.4</v>
      </c>
      <c r="K25" s="137">
        <f>'Consommation mensuel énergie'!D33</f>
        <v>102</v>
      </c>
      <c r="L25" s="137">
        <f>'Consommation mensuel énergie'!E33</f>
        <v>126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11699</v>
      </c>
      <c r="F26" s="134">
        <v>1.08</v>
      </c>
      <c r="G26" s="134">
        <f>'Consommation mensuel énergie'!V34</f>
        <v>287.99288999999999</v>
      </c>
      <c r="H26" s="134">
        <v>11.865</v>
      </c>
      <c r="I26" s="134">
        <f>'Consommation mensuel énergie'!F34</f>
        <v>87</v>
      </c>
      <c r="J26" s="134">
        <v>11.4</v>
      </c>
      <c r="K26" s="137">
        <f>'Consommation mensuel énergie'!D34</f>
        <v>102</v>
      </c>
      <c r="L26" s="137">
        <f>'Consommation mensuel énergie'!E34</f>
        <v>126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11743</v>
      </c>
      <c r="F27" s="134">
        <v>1.08</v>
      </c>
      <c r="G27" s="134">
        <f>'Consommation mensuel énergie'!V35</f>
        <v>287.99288999999999</v>
      </c>
      <c r="H27" s="134">
        <v>11.865</v>
      </c>
      <c r="I27" s="134">
        <f>'Consommation mensuel énergie'!F35</f>
        <v>86.30000000000291</v>
      </c>
      <c r="J27" s="134">
        <v>11.4</v>
      </c>
      <c r="K27" s="137">
        <f>'Consommation mensuel énergie'!D35</f>
        <v>93</v>
      </c>
      <c r="L27" s="137">
        <f>'Consommation mensuel énergie'!E35</f>
        <v>122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11264</v>
      </c>
      <c r="F28" s="134">
        <v>1.08</v>
      </c>
      <c r="G28" s="134">
        <f>'Consommation mensuel énergie'!V36</f>
        <v>575.98577999999998</v>
      </c>
      <c r="H28" s="134">
        <v>11.865</v>
      </c>
      <c r="I28" s="134">
        <f>'Consommation mensuel énergie'!F36</f>
        <v>87.099999999991269</v>
      </c>
      <c r="J28" s="134">
        <v>11.4</v>
      </c>
      <c r="K28" s="137">
        <f>'Consommation mensuel énergie'!D36</f>
        <v>95</v>
      </c>
      <c r="L28" s="137">
        <f>'Consommation mensuel énergie'!E36</f>
        <v>142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11943</v>
      </c>
      <c r="F29" s="134">
        <v>1.08</v>
      </c>
      <c r="G29" s="134">
        <f>'Consommation mensuel énergie'!V37</f>
        <v>607.98499000000004</v>
      </c>
      <c r="H29" s="134">
        <v>11.865</v>
      </c>
      <c r="I29" s="134">
        <f>'Consommation mensuel énergie'!F37</f>
        <v>96.200000000011642</v>
      </c>
      <c r="J29" s="134">
        <v>11.4</v>
      </c>
      <c r="K29" s="137">
        <f>'Consommation mensuel énergie'!D37</f>
        <v>86</v>
      </c>
      <c r="L29" s="137">
        <f>'Consommation mensuel énergie'!E37</f>
        <v>122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10880</v>
      </c>
      <c r="F30" s="134">
        <v>1.08</v>
      </c>
      <c r="G30" s="134">
        <f>'Consommation mensuel énergie'!V38</f>
        <v>511.98736000000002</v>
      </c>
      <c r="H30" s="134">
        <v>11.865</v>
      </c>
      <c r="I30" s="134">
        <f>'Consommation mensuel énergie'!F38</f>
        <v>94.599999999991269</v>
      </c>
      <c r="J30" s="134">
        <v>11.4</v>
      </c>
      <c r="K30" s="137">
        <f>'Consommation mensuel énergie'!D38</f>
        <v>55</v>
      </c>
      <c r="L30" s="137">
        <f>'Consommation mensuel énergie'!E38</f>
        <v>75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10912</v>
      </c>
      <c r="F31" s="134">
        <v>1.08</v>
      </c>
      <c r="G31" s="134">
        <f>'Consommation mensuel énergie'!V39</f>
        <v>671.98341000000005</v>
      </c>
      <c r="H31" s="134">
        <v>11.865</v>
      </c>
      <c r="I31" s="134">
        <f>'Consommation mensuel énergie'!F39</f>
        <v>87.400000000008731</v>
      </c>
      <c r="J31" s="134">
        <v>11.4</v>
      </c>
      <c r="K31" s="137">
        <f>'Consommation mensuel énergie'!D39</f>
        <v>29</v>
      </c>
      <c r="L31" s="137">
        <f>'Consommation mensuel énergie'!E39</f>
        <v>44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H9" sqref="H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énergie'!N11</f>
        <v>3052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91</v>
      </c>
      <c r="I16" s="137">
        <f>'Consommation mensuel énergie'!E24</f>
        <v>120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2715</v>
      </c>
      <c r="F17" s="137">
        <f>'Consommation mensuel énergie'!M25</f>
        <v>5334</v>
      </c>
      <c r="G17" s="137">
        <f>'Consommation mensuel énergie'!N25</f>
        <v>2483</v>
      </c>
      <c r="H17" s="137">
        <f>'Consommation mensuel énergie'!D25</f>
        <v>114</v>
      </c>
      <c r="I17" s="137">
        <f>'Consommation mensuel énergie'!E25</f>
        <v>143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3364</v>
      </c>
      <c r="F18" s="137">
        <f>'Consommation mensuel énergie'!M26</f>
        <v>5233</v>
      </c>
      <c r="G18" s="137">
        <f>'Consommation mensuel énergie'!N26</f>
        <v>2527</v>
      </c>
      <c r="H18" s="137">
        <f>'Consommation mensuel énergie'!D26</f>
        <v>72</v>
      </c>
      <c r="I18" s="137">
        <f>'Consommation mensuel énergie'!E26</f>
        <v>101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3312</v>
      </c>
      <c r="F19" s="137">
        <f>'Consommation mensuel énergie'!M27</f>
        <v>5080</v>
      </c>
      <c r="G19" s="137">
        <f>'Consommation mensuel énergie'!N27</f>
        <v>2268</v>
      </c>
      <c r="H19" s="137">
        <f>'Consommation mensuel énergie'!D27</f>
        <v>82</v>
      </c>
      <c r="I19" s="137">
        <f>'Consommation mensuel énergie'!E27</f>
        <v>124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2996</v>
      </c>
      <c r="F20" s="137">
        <f>'Consommation mensuel énergie'!M28</f>
        <v>4826</v>
      </c>
      <c r="G20" s="137">
        <f>'Consommation mensuel énergie'!N28</f>
        <v>2333</v>
      </c>
      <c r="H20" s="137">
        <f>'Consommation mensuel énergie'!D28</f>
        <v>88</v>
      </c>
      <c r="I20" s="137">
        <f>'Consommation mensuel énergie'!E28</f>
        <v>129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3226</v>
      </c>
      <c r="F21" s="137">
        <f>'Consommation mensuel énergie'!M29</f>
        <v>5164</v>
      </c>
      <c r="G21" s="137">
        <f>'Consommation mensuel énergie'!N29</f>
        <v>2412</v>
      </c>
      <c r="H21" s="137">
        <f>'Consommation mensuel énergie'!D29</f>
        <v>74</v>
      </c>
      <c r="I21" s="137">
        <f>'Consommation mensuel énergie'!E29</f>
        <v>122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4218</v>
      </c>
      <c r="F22" s="137">
        <f>'Consommation mensuel énergie'!M30</f>
        <v>5085</v>
      </c>
      <c r="G22" s="137">
        <f>'Consommation mensuel énergie'!N30</f>
        <v>2384</v>
      </c>
      <c r="H22" s="137">
        <f>'Consommation mensuel énergie'!D30</f>
        <v>80</v>
      </c>
      <c r="I22" s="137">
        <f>'Consommation mensuel énergie'!E30</f>
        <v>109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3566</v>
      </c>
      <c r="F23" s="137">
        <f>'Consommation mensuel énergie'!M31</f>
        <v>5167</v>
      </c>
      <c r="G23" s="137">
        <f>'Consommation mensuel énergie'!N31</f>
        <v>2405</v>
      </c>
      <c r="H23" s="137">
        <f>'Consommation mensuel énergie'!D31</f>
        <v>104</v>
      </c>
      <c r="I23" s="137">
        <f>'Consommation mensuel énergie'!E31</f>
        <v>144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3799</v>
      </c>
      <c r="F24" s="137">
        <f>'Consommation mensuel énergie'!M32</f>
        <v>5344</v>
      </c>
      <c r="G24" s="137">
        <f>'Consommation mensuel énergie'!N32</f>
        <v>2540</v>
      </c>
      <c r="H24" s="137">
        <f>'Consommation mensuel énergie'!D32</f>
        <v>124</v>
      </c>
      <c r="I24" s="137">
        <f>'Consommation mensuel énergie'!E32</f>
        <v>160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3548</v>
      </c>
      <c r="F25" s="137">
        <f>'Consommation mensuel énergie'!M33</f>
        <v>5308</v>
      </c>
      <c r="G25" s="137">
        <f>'Consommation mensuel énergie'!N33</f>
        <v>2522</v>
      </c>
      <c r="H25" s="137">
        <f>'Consommation mensuel énergie'!D33</f>
        <v>102</v>
      </c>
      <c r="I25" s="137">
        <f>'Consommation mensuel énergie'!E33</f>
        <v>126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3933</v>
      </c>
      <c r="F26" s="137">
        <f>'Consommation mensuel énergie'!M34</f>
        <v>5242</v>
      </c>
      <c r="G26" s="137">
        <f>'Consommation mensuel énergie'!N34</f>
        <v>2524</v>
      </c>
      <c r="H26" s="137">
        <f>'Consommation mensuel énergie'!D34</f>
        <v>102</v>
      </c>
      <c r="I26" s="137">
        <f>'Consommation mensuel énergie'!E34</f>
        <v>126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3754</v>
      </c>
      <c r="F27" s="137">
        <f>'Consommation mensuel énergie'!M35</f>
        <v>5473</v>
      </c>
      <c r="G27" s="137">
        <f>'Consommation mensuel énergie'!N35</f>
        <v>2516</v>
      </c>
      <c r="H27" s="137">
        <f>'Consommation mensuel énergie'!D35</f>
        <v>93</v>
      </c>
      <c r="I27" s="137">
        <f>'Consommation mensuel énergie'!E35</f>
        <v>122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3678</v>
      </c>
      <c r="F28" s="137">
        <f>'Consommation mensuel énergie'!M36</f>
        <v>5181</v>
      </c>
      <c r="G28" s="137">
        <f>'Consommation mensuel énergie'!N36</f>
        <v>2405</v>
      </c>
      <c r="H28" s="137">
        <f>'Consommation mensuel énergie'!D36</f>
        <v>95</v>
      </c>
      <c r="I28" s="137">
        <f>'Consommation mensuel énergie'!E36</f>
        <v>142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3834</v>
      </c>
      <c r="F29" s="137">
        <f>'Consommation mensuel énergie'!M37</f>
        <v>5406</v>
      </c>
      <c r="G29" s="137">
        <f>'Consommation mensuel énergie'!N37</f>
        <v>2703</v>
      </c>
      <c r="H29" s="137">
        <f>'Consommation mensuel énergie'!D37</f>
        <v>86</v>
      </c>
      <c r="I29" s="137">
        <f>'Consommation mensuel énergie'!E37</f>
        <v>122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3641</v>
      </c>
      <c r="F30" s="137">
        <f>'Consommation mensuel énergie'!M38</f>
        <v>4926</v>
      </c>
      <c r="G30" s="137">
        <f>'Consommation mensuel énergie'!N38</f>
        <v>2313</v>
      </c>
      <c r="H30" s="137">
        <f>'Consommation mensuel énergie'!D38</f>
        <v>55</v>
      </c>
      <c r="I30" s="137">
        <f>'Consommation mensuel énergie'!E38</f>
        <v>75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3495</v>
      </c>
      <c r="F31" s="137">
        <f>'Consommation mensuel énergie'!M39</f>
        <v>5073</v>
      </c>
      <c r="G31" s="137">
        <f>'Consommation mensuel énergie'!N39</f>
        <v>2344</v>
      </c>
      <c r="H31" s="137">
        <f>'Consommation mensuel énergie'!D39</f>
        <v>29</v>
      </c>
      <c r="I31" s="137">
        <f>'Consommation mensuel énergie'!E39</f>
        <v>44</v>
      </c>
      <c r="J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9"/>
  <sheetViews>
    <sheetView showGridLines="0" tabSelected="1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L46" sqref="L46:M4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28"/>
      <c r="B2" s="229"/>
      <c r="C2" s="229"/>
      <c r="D2" s="229"/>
      <c r="E2" s="229"/>
      <c r="F2" s="229"/>
      <c r="G2" s="229"/>
      <c r="H2" s="230"/>
      <c r="I2" s="239" t="s">
        <v>17</v>
      </c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4" ht="15" hidden="1" customHeight="1" thickBot="1" x14ac:dyDescent="0.25"/>
    <row r="4" spans="1:24" ht="39" hidden="1" customHeight="1" thickBot="1" x14ac:dyDescent="0.25">
      <c r="A4" s="231"/>
      <c r="B4" s="231"/>
      <c r="C4" s="23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1"/>
      <c r="B5" s="231"/>
      <c r="C5" s="231"/>
      <c r="D5" s="5"/>
      <c r="E5" s="5"/>
      <c r="F5" s="5"/>
      <c r="G5" s="5"/>
      <c r="H5" s="5"/>
      <c r="I5" s="5"/>
      <c r="J5" s="5"/>
      <c r="K5" s="5"/>
      <c r="L5" s="5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</row>
    <row r="6" spans="1:24" s="5" customFormat="1" ht="44.25" hidden="1" customHeight="1" thickBot="1" x14ac:dyDescent="0.25">
      <c r="A6" s="3"/>
      <c r="B6" s="3"/>
      <c r="C6" s="3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</row>
    <row r="7" spans="1:24" s="5" customFormat="1" ht="18.75" hidden="1" customHeight="1" thickBot="1" x14ac:dyDescent="0.25">
      <c r="F7" s="232"/>
      <c r="G7" s="232"/>
      <c r="H7" s="232"/>
      <c r="I7" s="232"/>
      <c r="J7" s="232"/>
      <c r="K7" s="232"/>
      <c r="L7" s="232"/>
      <c r="M7" s="232"/>
      <c r="N7" s="241"/>
      <c r="O7" s="241"/>
      <c r="P7" s="232"/>
      <c r="Q7" s="232"/>
      <c r="R7" s="232"/>
      <c r="S7" s="232"/>
      <c r="T7" s="232"/>
      <c r="U7" s="232"/>
      <c r="V7" s="232"/>
      <c r="W7" s="232"/>
      <c r="X7" s="232"/>
    </row>
    <row r="8" spans="1:24" ht="18.75" customHeight="1" thickBot="1" x14ac:dyDescent="0.25">
      <c r="A8" s="232"/>
      <c r="B8" s="243" t="s">
        <v>19</v>
      </c>
      <c r="C8" s="4"/>
      <c r="D8" s="203" t="s">
        <v>20</v>
      </c>
      <c r="E8" s="203" t="s">
        <v>21</v>
      </c>
      <c r="F8" s="226" t="s">
        <v>22</v>
      </c>
      <c r="G8" s="2"/>
      <c r="H8" s="233" t="s">
        <v>23</v>
      </c>
      <c r="I8" s="234"/>
      <c r="J8" s="235"/>
      <c r="K8" s="244" t="s">
        <v>24</v>
      </c>
      <c r="L8" s="225" t="s">
        <v>25</v>
      </c>
      <c r="M8" s="225"/>
      <c r="N8" s="225"/>
      <c r="O8" s="225" t="s">
        <v>26</v>
      </c>
      <c r="P8" s="2"/>
      <c r="Q8" s="205" t="s">
        <v>23</v>
      </c>
      <c r="R8" s="2"/>
      <c r="S8" s="205" t="s">
        <v>27</v>
      </c>
      <c r="T8" s="2"/>
      <c r="U8" s="205" t="s">
        <v>28</v>
      </c>
      <c r="V8" s="207" t="s">
        <v>29</v>
      </c>
      <c r="W8" s="2"/>
      <c r="X8" s="205" t="s">
        <v>23</v>
      </c>
    </row>
    <row r="9" spans="1:24" ht="59.25" customHeight="1" thickBot="1" x14ac:dyDescent="0.25">
      <c r="A9" s="232"/>
      <c r="B9" s="243"/>
      <c r="C9" s="4"/>
      <c r="D9" s="204"/>
      <c r="E9" s="204"/>
      <c r="F9" s="227"/>
      <c r="G9" s="2"/>
      <c r="H9" s="236"/>
      <c r="I9" s="237"/>
      <c r="J9" s="238"/>
      <c r="K9" s="245"/>
      <c r="L9" s="152" t="s">
        <v>30</v>
      </c>
      <c r="M9" s="152" t="s">
        <v>31</v>
      </c>
      <c r="N9" s="152" t="s">
        <v>32</v>
      </c>
      <c r="O9" s="242"/>
      <c r="P9" s="2"/>
      <c r="Q9" s="206"/>
      <c r="R9" s="2"/>
      <c r="S9" s="206"/>
      <c r="T9" s="2"/>
      <c r="U9" s="206"/>
      <c r="V9" s="208"/>
      <c r="W9" s="2"/>
      <c r="X9" s="206"/>
    </row>
    <row r="10" spans="1:24" ht="32.25" customHeight="1" thickBot="1" x14ac:dyDescent="0.25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2">
        <f>F10*11.4</f>
        <v>1268.8200000000331</v>
      </c>
      <c r="I10" s="163"/>
      <c r="J10" s="163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447.98894000000001</v>
      </c>
      <c r="W10" s="11"/>
      <c r="X10" s="34">
        <f>V10*11.865</f>
        <v>5315.3887731000004</v>
      </c>
    </row>
    <row r="11" spans="1:24" ht="32.25" customHeight="1" thickBot="1" x14ac:dyDescent="0.25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2">
        <f t="shared" ref="H11:H39" si="0">F11*11.4</f>
        <v>1364.579999999967</v>
      </c>
      <c r="I11" s="163"/>
      <c r="J11" s="163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 t="shared" ref="O11:O39" si="1">L11+M11+N11</f>
        <v>14791</v>
      </c>
      <c r="P11" s="11"/>
      <c r="Q11" s="34">
        <f t="shared" ref="Q11:Q39" si="2">L11*0.6985+M11*0.9514+N11*1.3304</f>
        <v>14118.3815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3">V11*11.865</f>
        <v>4935.7181464499999</v>
      </c>
    </row>
    <row r="12" spans="1:24" ht="32.25" customHeight="1" thickBot="1" x14ac:dyDescent="0.25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2">
        <f t="shared" si="0"/>
        <v>1093.2600000000996</v>
      </c>
      <c r="I12" s="163"/>
      <c r="J12" s="163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 t="shared" si="1"/>
        <v>14655</v>
      </c>
      <c r="P12" s="11"/>
      <c r="Q12" s="34">
        <f t="shared" si="2"/>
        <v>13955.3799</v>
      </c>
      <c r="R12" s="11"/>
      <c r="S12" s="28"/>
      <c r="T12" s="11"/>
      <c r="U12" s="28"/>
      <c r="V12" s="146">
        <f>'Suvi Gaz'!O6</f>
        <v>287.99288999999999</v>
      </c>
      <c r="W12" s="11"/>
      <c r="X12" s="34">
        <f t="shared" si="3"/>
        <v>3417.0356398499998</v>
      </c>
    </row>
    <row r="13" spans="1:24" ht="32.25" customHeight="1" thickBot="1" x14ac:dyDescent="0.25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2">
        <f t="shared" si="0"/>
        <v>1078.4399999999005</v>
      </c>
      <c r="I13" s="163"/>
      <c r="J13" s="163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si="1"/>
        <v>15052</v>
      </c>
      <c r="P13" s="11"/>
      <c r="Q13" s="34">
        <f t="shared" si="2"/>
        <v>14265.845800000001</v>
      </c>
      <c r="R13" s="11"/>
      <c r="S13" s="28"/>
      <c r="T13" s="11"/>
      <c r="U13" s="28"/>
      <c r="V13" s="146">
        <f>'Suvi Gaz'!O7</f>
        <v>447.98894000000001</v>
      </c>
      <c r="W13" s="11"/>
      <c r="X13" s="34">
        <f t="shared" si="3"/>
        <v>5315.3887731000004</v>
      </c>
    </row>
    <row r="14" spans="1:24" ht="32.25" customHeight="1" thickBot="1" x14ac:dyDescent="0.25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2">
        <f t="shared" si="0"/>
        <v>1365.7200000000332</v>
      </c>
      <c r="I14" s="163"/>
      <c r="J14" s="163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1"/>
        <v>13759</v>
      </c>
      <c r="P14" s="12"/>
      <c r="Q14" s="34">
        <f t="shared" si="2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3"/>
        <v>8732.4244129500003</v>
      </c>
    </row>
    <row r="15" spans="1:24" ht="32.25" customHeight="1" thickBot="1" x14ac:dyDescent="0.25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2">
        <f t="shared" si="0"/>
        <v>1360.0200000000332</v>
      </c>
      <c r="I15" s="163"/>
      <c r="J15" s="163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1"/>
        <v>13405</v>
      </c>
      <c r="P15" s="12"/>
      <c r="Q15" s="34">
        <f t="shared" si="2"/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3"/>
        <v>7593.4125329999997</v>
      </c>
    </row>
    <row r="16" spans="1:24" ht="32.25" customHeight="1" thickBot="1" x14ac:dyDescent="0.25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2">
        <f t="shared" si="0"/>
        <v>1242.6000000000001</v>
      </c>
      <c r="I16" s="163"/>
      <c r="J16" s="163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1"/>
        <v>11888</v>
      </c>
      <c r="P16" s="11"/>
      <c r="Q16" s="34">
        <f t="shared" si="2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3"/>
        <v>7973.0831596500011</v>
      </c>
    </row>
    <row r="17" spans="1:24" s="5" customFormat="1" ht="32.25" customHeight="1" thickBot="1" x14ac:dyDescent="0.25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2">
        <f t="shared" si="0"/>
        <v>1083</v>
      </c>
      <c r="I17" s="163"/>
      <c r="J17" s="163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1"/>
        <v>11250</v>
      </c>
      <c r="P17" s="12"/>
      <c r="Q17" s="34">
        <f t="shared" si="2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3"/>
        <v>5695.05939975</v>
      </c>
    </row>
    <row r="18" spans="1:24" ht="32.25" customHeight="1" thickBot="1" x14ac:dyDescent="0.25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2">
        <f t="shared" si="0"/>
        <v>1218.6599999999337</v>
      </c>
      <c r="I18" s="163"/>
      <c r="J18" s="163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1"/>
        <v>11791</v>
      </c>
      <c r="P18" s="12"/>
      <c r="Q18" s="34">
        <f t="shared" si="2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3"/>
        <v>4176.3768931499999</v>
      </c>
    </row>
    <row r="19" spans="1:24" ht="32.25" customHeight="1" thickBot="1" x14ac:dyDescent="0.25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2">
        <f t="shared" si="0"/>
        <v>1116.0600000000995</v>
      </c>
      <c r="I19" s="163"/>
      <c r="J19" s="163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1"/>
        <v>10942</v>
      </c>
      <c r="P19" s="12"/>
      <c r="Q19" s="34">
        <f t="shared" si="2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3"/>
        <v>8732.4244129500003</v>
      </c>
    </row>
    <row r="20" spans="1:24" ht="32.25" customHeight="1" thickBot="1" x14ac:dyDescent="0.25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2">
        <f t="shared" si="0"/>
        <v>1046.5200000000332</v>
      </c>
      <c r="I20" s="163"/>
      <c r="J20" s="163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1"/>
        <v>10681</v>
      </c>
      <c r="P20" s="12"/>
      <c r="Q20" s="34">
        <f t="shared" si="2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3"/>
        <v>6834.0712796999996</v>
      </c>
    </row>
    <row r="21" spans="1:24" ht="32.25" customHeight="1" thickBot="1" x14ac:dyDescent="0.25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2">
        <f t="shared" si="0"/>
        <v>995.21999999986735</v>
      </c>
      <c r="I21" s="163"/>
      <c r="J21" s="163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 t="shared" si="1"/>
        <v>11552</v>
      </c>
      <c r="P21" s="12"/>
      <c r="Q21" s="34">
        <f t="shared" si="2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3"/>
        <v>4556.0475198000004</v>
      </c>
    </row>
    <row r="22" spans="1:24" ht="32.25" customHeight="1" thickBot="1" x14ac:dyDescent="0.25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2">
        <f t="shared" si="0"/>
        <v>1326.9600000000996</v>
      </c>
      <c r="I22" s="163"/>
      <c r="J22" s="163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1"/>
        <v>11515</v>
      </c>
      <c r="P22" s="12"/>
      <c r="Q22" s="34">
        <f t="shared" si="2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3"/>
        <v>4935.7181464499999</v>
      </c>
    </row>
    <row r="23" spans="1:24" ht="32.25" customHeight="1" thickBot="1" x14ac:dyDescent="0.25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2">
        <f t="shared" si="0"/>
        <v>1296.1799999999669</v>
      </c>
      <c r="I23" s="163"/>
      <c r="J23" s="163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 t="shared" si="1"/>
        <v>11657</v>
      </c>
      <c r="P23" s="12"/>
      <c r="Q23" s="34">
        <f t="shared" si="2"/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3"/>
        <v>4935.7181464499999</v>
      </c>
    </row>
    <row r="24" spans="1:24" ht="32.25" customHeight="1" thickBot="1" x14ac:dyDescent="0.25">
      <c r="A24" s="2"/>
      <c r="B24" s="6">
        <v>44515</v>
      </c>
      <c r="C24" s="7"/>
      <c r="D24" s="143">
        <v>91</v>
      </c>
      <c r="E24" s="143">
        <v>120</v>
      </c>
      <c r="F24" s="13">
        <f>'Suivi EAU-ELEC'!E23</f>
        <v>94</v>
      </c>
      <c r="G24" s="14"/>
      <c r="H24" s="162">
        <f t="shared" si="0"/>
        <v>1071.6000000000001</v>
      </c>
      <c r="I24" s="163"/>
      <c r="J24" s="163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 t="shared" si="1"/>
        <v>10923</v>
      </c>
      <c r="P24" s="12"/>
      <c r="Q24" s="34">
        <f t="shared" si="2"/>
        <v>10456.411</v>
      </c>
      <c r="R24" s="12"/>
      <c r="S24" s="28"/>
      <c r="T24" s="14"/>
      <c r="U24" s="28"/>
      <c r="V24" s="146">
        <f>'Suvi Gaz'!O18</f>
        <v>767.98104000000001</v>
      </c>
      <c r="W24" s="11"/>
      <c r="X24" s="34">
        <f t="shared" si="3"/>
        <v>9112.0950396000007</v>
      </c>
    </row>
    <row r="25" spans="1:24" ht="32.25" customHeight="1" thickBot="1" x14ac:dyDescent="0.25">
      <c r="A25" s="2"/>
      <c r="B25" s="6">
        <v>44516</v>
      </c>
      <c r="C25" s="7"/>
      <c r="D25" s="143">
        <v>114</v>
      </c>
      <c r="E25" s="143">
        <v>143</v>
      </c>
      <c r="F25" s="13">
        <f>'Suivi EAU-ELEC'!E24</f>
        <v>85.69999999999709</v>
      </c>
      <c r="G25" s="14"/>
      <c r="H25" s="162">
        <f t="shared" si="0"/>
        <v>976.97999999996682</v>
      </c>
      <c r="I25" s="163"/>
      <c r="J25" s="163"/>
      <c r="K25" s="60">
        <v>42293</v>
      </c>
      <c r="L25" s="90">
        <f>'Suivi EAU-ELEC'!G24</f>
        <v>2715</v>
      </c>
      <c r="M25" s="91">
        <f>'Suivi EAU-ELEC'!I24</f>
        <v>5334</v>
      </c>
      <c r="N25" s="91">
        <f>'Suivi EAU-ELEC'!K24</f>
        <v>2483</v>
      </c>
      <c r="O25" s="91">
        <f t="shared" si="1"/>
        <v>10532</v>
      </c>
      <c r="P25" s="12"/>
      <c r="Q25" s="34">
        <f t="shared" si="2"/>
        <v>10274.578300000001</v>
      </c>
      <c r="R25" s="12"/>
      <c r="S25" s="28"/>
      <c r="T25" s="14"/>
      <c r="U25" s="28"/>
      <c r="V25" s="146">
        <f>'Suvi Gaz'!O19</f>
        <v>543.98657000000003</v>
      </c>
      <c r="W25" s="11"/>
      <c r="X25" s="34">
        <f t="shared" si="3"/>
        <v>6454.4006530500001</v>
      </c>
    </row>
    <row r="26" spans="1:24" ht="32.25" customHeight="1" thickBot="1" x14ac:dyDescent="0.25">
      <c r="A26" s="2"/>
      <c r="B26" s="6">
        <v>44517</v>
      </c>
      <c r="C26" s="7"/>
      <c r="D26" s="143">
        <v>72</v>
      </c>
      <c r="E26" s="143">
        <v>101</v>
      </c>
      <c r="F26" s="13">
        <f>'Suivi EAU-ELEC'!E25</f>
        <v>91.100000000005821</v>
      </c>
      <c r="G26" s="14"/>
      <c r="H26" s="162">
        <f t="shared" si="0"/>
        <v>1038.5400000000664</v>
      </c>
      <c r="I26" s="163"/>
      <c r="J26" s="163"/>
      <c r="K26" s="60">
        <v>42294</v>
      </c>
      <c r="L26" s="90">
        <f>'Suivi EAU-ELEC'!G25</f>
        <v>3364</v>
      </c>
      <c r="M26" s="91">
        <f>'Suivi EAU-ELEC'!I25</f>
        <v>5233</v>
      </c>
      <c r="N26" s="91">
        <f>'Suivi EAU-ELEC'!K25</f>
        <v>2527</v>
      </c>
      <c r="O26" s="91">
        <f t="shared" si="1"/>
        <v>11124</v>
      </c>
      <c r="P26" s="14"/>
      <c r="Q26" s="34">
        <f t="shared" si="2"/>
        <v>10690.350999999999</v>
      </c>
      <c r="R26" s="14"/>
      <c r="S26" s="28"/>
      <c r="T26" s="14"/>
      <c r="U26" s="28"/>
      <c r="V26" s="146">
        <f>'Suvi Gaz'!O20</f>
        <v>895.97788000000003</v>
      </c>
      <c r="W26" s="11"/>
      <c r="X26" s="34">
        <f t="shared" si="3"/>
        <v>10630.777546200001</v>
      </c>
    </row>
    <row r="27" spans="1:24" ht="32.25" customHeight="1" thickBot="1" x14ac:dyDescent="0.25">
      <c r="A27" s="2"/>
      <c r="B27" s="6">
        <v>44518</v>
      </c>
      <c r="C27" s="7"/>
      <c r="D27" s="143">
        <v>82</v>
      </c>
      <c r="E27" s="143">
        <v>124</v>
      </c>
      <c r="F27" s="13">
        <f>'Suivi EAU-ELEC'!E26</f>
        <v>108.59999999999127</v>
      </c>
      <c r="G27" s="14"/>
      <c r="H27" s="162">
        <f t="shared" si="0"/>
        <v>1238.0399999999006</v>
      </c>
      <c r="I27" s="163"/>
      <c r="J27" s="163"/>
      <c r="K27" s="60">
        <v>42295</v>
      </c>
      <c r="L27" s="90">
        <f>'Suivi EAU-ELEC'!G26</f>
        <v>3312</v>
      </c>
      <c r="M27" s="91">
        <f>'Suivi EAU-ELEC'!I26</f>
        <v>5080</v>
      </c>
      <c r="N27" s="91">
        <f>'Suivi EAU-ELEC'!K26</f>
        <v>2268</v>
      </c>
      <c r="O27" s="91">
        <f t="shared" si="1"/>
        <v>10660</v>
      </c>
      <c r="P27" s="14"/>
      <c r="Q27" s="34">
        <f t="shared" si="2"/>
        <v>10163.8912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3"/>
        <v>6074.7300264000005</v>
      </c>
    </row>
    <row r="28" spans="1:24" ht="32.25" customHeight="1" thickBot="1" x14ac:dyDescent="0.25">
      <c r="A28" s="2"/>
      <c r="B28" s="6">
        <v>44519</v>
      </c>
      <c r="C28" s="7"/>
      <c r="D28" s="143">
        <v>88</v>
      </c>
      <c r="E28" s="143">
        <v>129</v>
      </c>
      <c r="F28" s="13">
        <f>'Suivi EAU-ELEC'!E27</f>
        <v>91.30000000000291</v>
      </c>
      <c r="G28" s="11"/>
      <c r="H28" s="162">
        <f t="shared" si="0"/>
        <v>1040.8200000000331</v>
      </c>
      <c r="I28" s="163"/>
      <c r="J28" s="163"/>
      <c r="K28" s="60">
        <v>42296</v>
      </c>
      <c r="L28" s="90">
        <f>'Suivi EAU-ELEC'!G27</f>
        <v>2996</v>
      </c>
      <c r="M28" s="91">
        <f>'Suivi EAU-ELEC'!I27</f>
        <v>4826</v>
      </c>
      <c r="N28" s="91">
        <f>'Suivi EAU-ELEC'!K27</f>
        <v>2333</v>
      </c>
      <c r="O28" s="91">
        <f t="shared" si="1"/>
        <v>10155</v>
      </c>
      <c r="P28" s="11"/>
      <c r="Q28" s="34">
        <f t="shared" si="2"/>
        <v>9787.9856</v>
      </c>
      <c r="R28" s="11"/>
      <c r="S28" s="28"/>
      <c r="T28" s="11"/>
      <c r="U28" s="28"/>
      <c r="V28" s="146">
        <f>'Suvi Gaz'!O22</f>
        <v>511.98736000000002</v>
      </c>
      <c r="W28" s="11"/>
      <c r="X28" s="34">
        <f t="shared" si="3"/>
        <v>6074.7300264000005</v>
      </c>
    </row>
    <row r="29" spans="1:24" ht="32.25" customHeight="1" thickBot="1" x14ac:dyDescent="0.25">
      <c r="A29" s="2"/>
      <c r="B29" s="6">
        <v>44520</v>
      </c>
      <c r="C29" s="7"/>
      <c r="D29" s="143">
        <v>74</v>
      </c>
      <c r="E29" s="143">
        <v>122</v>
      </c>
      <c r="F29" s="13">
        <f>'Suivi EAU-ELEC'!E28</f>
        <v>90.30000000000291</v>
      </c>
      <c r="G29" s="11"/>
      <c r="H29" s="162">
        <f t="shared" si="0"/>
        <v>1029.4200000000333</v>
      </c>
      <c r="I29" s="163"/>
      <c r="J29" s="163"/>
      <c r="K29" s="60">
        <v>42297</v>
      </c>
      <c r="L29" s="90">
        <f>'Suivi EAU-ELEC'!G28</f>
        <v>3226</v>
      </c>
      <c r="M29" s="91">
        <f>'Suivi EAU-ELEC'!I28</f>
        <v>5164</v>
      </c>
      <c r="N29" s="91">
        <f>'Suivi EAU-ELEC'!K28</f>
        <v>2412</v>
      </c>
      <c r="O29" s="91">
        <f t="shared" si="1"/>
        <v>10802</v>
      </c>
      <c r="P29" s="11"/>
      <c r="Q29" s="34">
        <f t="shared" si="2"/>
        <v>10375.315399999999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3"/>
        <v>6074.7300264000005</v>
      </c>
    </row>
    <row r="30" spans="1:24" ht="32.25" customHeight="1" thickBot="1" x14ac:dyDescent="0.25">
      <c r="A30" s="2"/>
      <c r="B30" s="6">
        <v>44521</v>
      </c>
      <c r="C30" s="7"/>
      <c r="D30" s="143">
        <v>80</v>
      </c>
      <c r="E30" s="143">
        <v>109</v>
      </c>
      <c r="F30" s="13">
        <f>'Suivi EAU-ELEC'!E29</f>
        <v>96.19999999999709</v>
      </c>
      <c r="G30" s="11"/>
      <c r="H30" s="162">
        <f t="shared" si="0"/>
        <v>1096.6799999999669</v>
      </c>
      <c r="I30" s="163"/>
      <c r="J30" s="163"/>
      <c r="K30" s="60">
        <v>42298</v>
      </c>
      <c r="L30" s="90">
        <f>'Suivi EAU-ELEC'!G29</f>
        <v>4218</v>
      </c>
      <c r="M30" s="91">
        <f>'Suivi EAU-ELEC'!I29</f>
        <v>5085</v>
      </c>
      <c r="N30" s="91">
        <f>'Suivi EAU-ELEC'!K29</f>
        <v>2384</v>
      </c>
      <c r="O30" s="91">
        <f t="shared" si="1"/>
        <v>11687</v>
      </c>
      <c r="P30" s="11"/>
      <c r="Q30" s="34">
        <f t="shared" si="2"/>
        <v>10955.8156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3"/>
        <v>6834.0712796999996</v>
      </c>
    </row>
    <row r="31" spans="1:24" ht="27.75" customHeight="1" thickBot="1" x14ac:dyDescent="0.25">
      <c r="A31" s="2"/>
      <c r="B31" s="6">
        <v>44522</v>
      </c>
      <c r="C31" s="7"/>
      <c r="D31" s="143">
        <v>104</v>
      </c>
      <c r="E31" s="143">
        <v>144</v>
      </c>
      <c r="F31" s="13">
        <f>'Suivi EAU-ELEC'!E30</f>
        <v>90.600000000005821</v>
      </c>
      <c r="G31" s="11"/>
      <c r="H31" s="162">
        <f t="shared" si="0"/>
        <v>1032.8400000000663</v>
      </c>
      <c r="I31" s="163"/>
      <c r="J31" s="163"/>
      <c r="K31" s="60">
        <v>42299</v>
      </c>
      <c r="L31" s="90">
        <f>'Suivi EAU-ELEC'!G30</f>
        <v>3566</v>
      </c>
      <c r="M31" s="91">
        <f>'Suivi EAU-ELEC'!I30</f>
        <v>5167</v>
      </c>
      <c r="N31" s="91">
        <f>'Suivi EAU-ELEC'!K30</f>
        <v>2405</v>
      </c>
      <c r="O31" s="91">
        <f t="shared" si="1"/>
        <v>11138</v>
      </c>
      <c r="P31" s="11"/>
      <c r="Q31" s="34">
        <f t="shared" si="2"/>
        <v>10606.346799999999</v>
      </c>
      <c r="R31" s="11"/>
      <c r="S31" s="28"/>
      <c r="T31" s="11"/>
      <c r="U31" s="28"/>
      <c r="V31" s="146">
        <f>'Suvi Gaz'!O25</f>
        <v>511.98736000000002</v>
      </c>
      <c r="W31" s="11"/>
      <c r="X31" s="34">
        <f t="shared" si="3"/>
        <v>6074.7300264000005</v>
      </c>
    </row>
    <row r="32" spans="1:24" ht="37.5" customHeight="1" thickBot="1" x14ac:dyDescent="0.25">
      <c r="A32" s="2"/>
      <c r="B32" s="6">
        <v>44523</v>
      </c>
      <c r="C32" s="7"/>
      <c r="D32" s="143">
        <v>124</v>
      </c>
      <c r="E32" s="143">
        <v>160</v>
      </c>
      <c r="F32" s="13">
        <f>'Suivi EAU-ELEC'!E31</f>
        <v>108.69999999999709</v>
      </c>
      <c r="G32" s="11"/>
      <c r="H32" s="162">
        <f t="shared" si="0"/>
        <v>1239.1799999999669</v>
      </c>
      <c r="I32" s="163"/>
      <c r="J32" s="163"/>
      <c r="K32" s="60">
        <v>42300</v>
      </c>
      <c r="L32" s="90">
        <f>'Suivi EAU-ELEC'!G31</f>
        <v>3799</v>
      </c>
      <c r="M32" s="91">
        <f>'Suivi EAU-ELEC'!I31</f>
        <v>5344</v>
      </c>
      <c r="N32" s="91">
        <f>'Suivi EAU-ELEC'!K31</f>
        <v>2540</v>
      </c>
      <c r="O32" s="91">
        <f t="shared" si="1"/>
        <v>11683</v>
      </c>
      <c r="P32" s="11"/>
      <c r="Q32" s="34">
        <f t="shared" si="2"/>
        <v>11117.099100000001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3"/>
        <v>2657.6943865500002</v>
      </c>
    </row>
    <row r="33" spans="1:24" ht="37.5" customHeight="1" thickBot="1" x14ac:dyDescent="0.25">
      <c r="A33" s="2"/>
      <c r="B33" s="6">
        <v>44524</v>
      </c>
      <c r="C33" s="7"/>
      <c r="D33" s="143">
        <v>102</v>
      </c>
      <c r="E33" s="143">
        <v>126</v>
      </c>
      <c r="F33" s="13">
        <f>'Suivi EAU-ELEC'!E32</f>
        <v>87</v>
      </c>
      <c r="G33" s="11"/>
      <c r="H33" s="162">
        <f t="shared" si="0"/>
        <v>991.80000000000007</v>
      </c>
      <c r="I33" s="163"/>
      <c r="J33" s="163"/>
      <c r="K33" s="60">
        <v>42301</v>
      </c>
      <c r="L33" s="90">
        <f>'Suivi EAU-ELEC'!G32</f>
        <v>3548</v>
      </c>
      <c r="M33" s="91">
        <f>'Suivi EAU-ELEC'!I32</f>
        <v>5308</v>
      </c>
      <c r="N33" s="91">
        <f>'Suivi EAU-ELEC'!K32</f>
        <v>2522</v>
      </c>
      <c r="O33" s="91">
        <f t="shared" si="1"/>
        <v>11378</v>
      </c>
      <c r="P33" s="11"/>
      <c r="Q33" s="34">
        <f t="shared" si="2"/>
        <v>10883.578000000001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3"/>
        <v>4935.7181464499999</v>
      </c>
    </row>
    <row r="34" spans="1:24" ht="37.5" customHeight="1" thickBot="1" x14ac:dyDescent="0.25">
      <c r="A34" s="2"/>
      <c r="B34" s="6">
        <v>44525</v>
      </c>
      <c r="C34" s="7"/>
      <c r="D34" s="143">
        <v>102</v>
      </c>
      <c r="E34" s="143">
        <v>126</v>
      </c>
      <c r="F34" s="13">
        <f>'Suivi EAU-ELEC'!E33</f>
        <v>87</v>
      </c>
      <c r="G34" s="11"/>
      <c r="H34" s="162">
        <f t="shared" si="0"/>
        <v>991.80000000000007</v>
      </c>
      <c r="I34" s="163"/>
      <c r="J34" s="163"/>
      <c r="K34" s="60">
        <v>42302</v>
      </c>
      <c r="L34" s="90">
        <f>'Suivi EAU-ELEC'!G33</f>
        <v>3933</v>
      </c>
      <c r="M34" s="91">
        <f>'Suivi EAU-ELEC'!I33</f>
        <v>5242</v>
      </c>
      <c r="N34" s="91">
        <f>'Suivi EAU-ELEC'!K33</f>
        <v>2524</v>
      </c>
      <c r="O34" s="91">
        <f t="shared" si="1"/>
        <v>11699</v>
      </c>
      <c r="P34" s="11"/>
      <c r="Q34" s="34">
        <f t="shared" si="2"/>
        <v>11092.368899999999</v>
      </c>
      <c r="R34" s="11"/>
      <c r="S34" s="28"/>
      <c r="T34" s="11"/>
      <c r="U34" s="28"/>
      <c r="V34" s="146">
        <f>'Suvi Gaz'!O28</f>
        <v>287.99288999999999</v>
      </c>
      <c r="W34" s="11"/>
      <c r="X34" s="34">
        <f t="shared" si="3"/>
        <v>3417.0356398499998</v>
      </c>
    </row>
    <row r="35" spans="1:24" ht="33.75" customHeight="1" thickBot="1" x14ac:dyDescent="0.25">
      <c r="A35" s="2"/>
      <c r="B35" s="6">
        <v>44526</v>
      </c>
      <c r="C35" s="7"/>
      <c r="D35" s="143">
        <v>93</v>
      </c>
      <c r="E35" s="143">
        <v>122</v>
      </c>
      <c r="F35" s="13">
        <f>'Suivi EAU-ELEC'!E34</f>
        <v>86.30000000000291</v>
      </c>
      <c r="G35" s="11"/>
      <c r="H35" s="162">
        <f t="shared" si="0"/>
        <v>983.82000000003325</v>
      </c>
      <c r="I35" s="163"/>
      <c r="J35" s="163"/>
      <c r="K35" s="60">
        <v>42303</v>
      </c>
      <c r="L35" s="90">
        <f>'Suivi EAU-ELEC'!G34</f>
        <v>3754</v>
      </c>
      <c r="M35" s="91">
        <f>'Suivi EAU-ELEC'!I34</f>
        <v>5473</v>
      </c>
      <c r="N35" s="91">
        <f>'Suivi EAU-ELEC'!K34</f>
        <v>2516</v>
      </c>
      <c r="O35" s="91">
        <f t="shared" si="1"/>
        <v>11743</v>
      </c>
      <c r="P35" s="11"/>
      <c r="Q35" s="34">
        <f t="shared" si="2"/>
        <v>11176.4676</v>
      </c>
      <c r="R35" s="11"/>
      <c r="S35" s="28"/>
      <c r="T35" s="11"/>
      <c r="U35" s="28"/>
      <c r="V35" s="146">
        <f>'Suvi Gaz'!O29</f>
        <v>287.99288999999999</v>
      </c>
      <c r="W35" s="11"/>
      <c r="X35" s="34">
        <f t="shared" si="3"/>
        <v>3417.0356398499998</v>
      </c>
    </row>
    <row r="36" spans="1:24" ht="33.75" customHeight="1" thickBot="1" x14ac:dyDescent="0.25">
      <c r="A36" s="2"/>
      <c r="B36" s="6">
        <v>44527</v>
      </c>
      <c r="C36" s="7"/>
      <c r="D36" s="143">
        <v>95</v>
      </c>
      <c r="E36" s="143">
        <v>142</v>
      </c>
      <c r="F36" s="13">
        <f>'Suivi EAU-ELEC'!E35</f>
        <v>87.099999999991269</v>
      </c>
      <c r="G36" s="11"/>
      <c r="H36" s="162">
        <f t="shared" si="0"/>
        <v>992.93999999990046</v>
      </c>
      <c r="I36" s="163"/>
      <c r="J36" s="163"/>
      <c r="K36" s="60">
        <v>42304</v>
      </c>
      <c r="L36" s="90">
        <f>'Suivi EAU-ELEC'!G35</f>
        <v>3678</v>
      </c>
      <c r="M36" s="91">
        <f>'Suivi EAU-ELEC'!I35</f>
        <v>5181</v>
      </c>
      <c r="N36" s="91">
        <f>'Suivi EAU-ELEC'!K35</f>
        <v>2405</v>
      </c>
      <c r="O36" s="91">
        <f t="shared" si="1"/>
        <v>11264</v>
      </c>
      <c r="P36" s="11"/>
      <c r="Q36" s="34">
        <f t="shared" si="2"/>
        <v>10697.898400000002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3"/>
        <v>6834.0712796999996</v>
      </c>
    </row>
    <row r="37" spans="1:24" ht="33.75" customHeight="1" thickBot="1" x14ac:dyDescent="0.25">
      <c r="A37" s="2"/>
      <c r="B37" s="6">
        <v>44528</v>
      </c>
      <c r="C37" s="7"/>
      <c r="D37" s="143">
        <v>86</v>
      </c>
      <c r="E37" s="143">
        <v>122</v>
      </c>
      <c r="F37" s="13">
        <f>'Suivi EAU-ELEC'!E36</f>
        <v>96.200000000011642</v>
      </c>
      <c r="G37" s="11"/>
      <c r="H37" s="162">
        <f t="shared" si="0"/>
        <v>1096.6800000001328</v>
      </c>
      <c r="I37" s="163"/>
      <c r="J37" s="163"/>
      <c r="K37" s="60"/>
      <c r="L37" s="90">
        <f>'Suivi EAU-ELEC'!G36</f>
        <v>3834</v>
      </c>
      <c r="M37" s="91">
        <f>'Suivi EAU-ELEC'!I36</f>
        <v>5406</v>
      </c>
      <c r="N37" s="91">
        <f>'Suivi EAU-ELEC'!K36</f>
        <v>2703</v>
      </c>
      <c r="O37" s="91">
        <f t="shared" si="1"/>
        <v>11943</v>
      </c>
      <c r="P37" s="11"/>
      <c r="Q37" s="34">
        <f t="shared" si="2"/>
        <v>11417.3886</v>
      </c>
      <c r="R37" s="11"/>
      <c r="S37" s="28"/>
      <c r="T37" s="11"/>
      <c r="U37" s="28"/>
      <c r="V37" s="146">
        <f>'Suvi Gaz'!O31</f>
        <v>607.98499000000004</v>
      </c>
      <c r="W37" s="11"/>
      <c r="X37" s="34">
        <f t="shared" si="3"/>
        <v>7213.741906350001</v>
      </c>
    </row>
    <row r="38" spans="1:24" ht="33.75" customHeight="1" thickBot="1" x14ac:dyDescent="0.25">
      <c r="A38" s="2"/>
      <c r="B38" s="6">
        <v>44529</v>
      </c>
      <c r="C38" s="7"/>
      <c r="D38" s="143">
        <v>55</v>
      </c>
      <c r="E38" s="143">
        <v>75</v>
      </c>
      <c r="F38" s="13">
        <f>'Suivi EAU-ELEC'!E37</f>
        <v>94.599999999991269</v>
      </c>
      <c r="G38" s="11"/>
      <c r="H38" s="162">
        <f t="shared" si="0"/>
        <v>1078.4399999999005</v>
      </c>
      <c r="I38" s="163"/>
      <c r="J38" s="163"/>
      <c r="K38" s="60"/>
      <c r="L38" s="90">
        <f>'Suivi EAU-ELEC'!G37</f>
        <v>3641</v>
      </c>
      <c r="M38" s="91">
        <f>'Suivi EAU-ELEC'!I37</f>
        <v>4926</v>
      </c>
      <c r="N38" s="91">
        <f>'Suivi EAU-ELEC'!K37</f>
        <v>2313</v>
      </c>
      <c r="O38" s="91">
        <f t="shared" si="1"/>
        <v>10880</v>
      </c>
      <c r="P38" s="11"/>
      <c r="Q38" s="34">
        <f t="shared" si="2"/>
        <v>10307.0501</v>
      </c>
      <c r="R38" s="11"/>
      <c r="S38" s="28"/>
      <c r="T38" s="11"/>
      <c r="U38" s="28"/>
      <c r="V38" s="146">
        <f>'Suvi Gaz'!O32</f>
        <v>511.98736000000002</v>
      </c>
      <c r="W38" s="11"/>
      <c r="X38" s="34">
        <f t="shared" si="3"/>
        <v>6074.7300264000005</v>
      </c>
    </row>
    <row r="39" spans="1:24" ht="33.75" customHeight="1" thickBot="1" x14ac:dyDescent="0.25">
      <c r="A39" s="2"/>
      <c r="B39" s="6">
        <v>44530</v>
      </c>
      <c r="C39" s="7"/>
      <c r="D39" s="143">
        <v>29</v>
      </c>
      <c r="E39" s="143">
        <v>44</v>
      </c>
      <c r="F39" s="13">
        <f>'Suivi EAU-ELEC'!E38</f>
        <v>87.400000000008731</v>
      </c>
      <c r="G39" s="11"/>
      <c r="H39" s="162">
        <f t="shared" si="0"/>
        <v>996.3600000000996</v>
      </c>
      <c r="I39" s="163"/>
      <c r="J39" s="163"/>
      <c r="K39" s="60"/>
      <c r="L39" s="90">
        <f>'Suivi EAU-ELEC'!G38</f>
        <v>3495</v>
      </c>
      <c r="M39" s="91">
        <f>'Suivi EAU-ELEC'!I38</f>
        <v>5073</v>
      </c>
      <c r="N39" s="91">
        <f>'Suivi EAU-ELEC'!K38</f>
        <v>2344</v>
      </c>
      <c r="O39" s="91">
        <f t="shared" si="1"/>
        <v>10912</v>
      </c>
      <c r="P39" s="11"/>
      <c r="Q39" s="34">
        <f t="shared" si="2"/>
        <v>10386.167299999999</v>
      </c>
      <c r="R39" s="11"/>
      <c r="S39" s="28"/>
      <c r="T39" s="11"/>
      <c r="U39" s="28"/>
      <c r="V39" s="146">
        <f>'Suvi Gaz'!O33</f>
        <v>671.98341000000005</v>
      </c>
      <c r="W39" s="11"/>
      <c r="X39" s="34">
        <f t="shared" si="3"/>
        <v>7973.0831596500011</v>
      </c>
    </row>
    <row r="40" spans="1:24" ht="42.75" customHeight="1" thickBot="1" x14ac:dyDescent="0.25">
      <c r="A40" s="2"/>
      <c r="B40" s="10"/>
      <c r="C40" s="10"/>
      <c r="D40" s="8">
        <f>SUM(D10:D39)</f>
        <v>2697</v>
      </c>
      <c r="E40" s="8">
        <f>SUM(E10:E39)</f>
        <v>3843</v>
      </c>
      <c r="F40" s="151">
        <f>SUM(F10:F39)</f>
        <v>2960.7000000000116</v>
      </c>
      <c r="G40" s="1"/>
      <c r="H40" s="200">
        <f>SUM(H10:H39)</f>
        <v>33751.980000000127</v>
      </c>
      <c r="I40" s="201"/>
      <c r="J40" s="202"/>
      <c r="K40" s="1"/>
      <c r="L40" s="53">
        <f>SUM(L10:L39)</f>
        <v>110418</v>
      </c>
      <c r="M40" s="53">
        <f>SUM(M10:M39)</f>
        <v>167589</v>
      </c>
      <c r="N40" s="54">
        <f>SUM(N10:N39)</f>
        <v>76457</v>
      </c>
      <c r="O40" s="55">
        <f>SUM(O10:O39)</f>
        <v>354464</v>
      </c>
      <c r="P40" s="31"/>
      <c r="Q40" s="32">
        <f>SUM(Q10:Q39)</f>
        <v>338289.54039999988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15423.619219999997</v>
      </c>
      <c r="W40" s="31"/>
      <c r="X40" s="32">
        <f>SUM(X10:X39)</f>
        <v>183001.24204530002</v>
      </c>
    </row>
    <row r="41" spans="1:24" s="5" customFormat="1" ht="12.75" customHeight="1" thickBot="1" x14ac:dyDescent="0.25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180" t="s">
        <v>33</v>
      </c>
      <c r="B42" s="181"/>
      <c r="C42" s="181"/>
      <c r="D42" s="181"/>
      <c r="E42" s="181"/>
      <c r="F42" s="182"/>
      <c r="G42" s="26"/>
      <c r="H42" s="27" t="s">
        <v>34</v>
      </c>
      <c r="I42" s="192" t="s">
        <v>35</v>
      </c>
      <c r="J42" s="193"/>
      <c r="K42" s="194"/>
      <c r="L42" s="223" t="s">
        <v>36</v>
      </c>
      <c r="M42" s="224"/>
      <c r="N42" s="180" t="s">
        <v>37</v>
      </c>
      <c r="O42" s="181"/>
      <c r="P42" s="181"/>
      <c r="Q42" s="181"/>
      <c r="R42" s="181"/>
      <c r="S42" s="181"/>
      <c r="T42" s="181"/>
      <c r="U42" s="181"/>
      <c r="V42" s="181"/>
      <c r="W42" s="181"/>
      <c r="X42" s="182"/>
    </row>
    <row r="43" spans="1:24" s="18" customFormat="1" ht="29.25" customHeight="1" thickBot="1" x14ac:dyDescent="0.25">
      <c r="A43" s="217" t="s">
        <v>38</v>
      </c>
      <c r="B43" s="218"/>
      <c r="C43" s="219"/>
      <c r="D43" s="154" t="s">
        <v>30</v>
      </c>
      <c r="E43" s="154" t="s">
        <v>30</v>
      </c>
      <c r="F43" s="154" t="s">
        <v>30</v>
      </c>
      <c r="G43" s="16"/>
      <c r="H43" s="17">
        <v>0.69850000000000001</v>
      </c>
      <c r="I43" s="214">
        <f>L40</f>
        <v>110418</v>
      </c>
      <c r="J43" s="215"/>
      <c r="K43" s="216"/>
      <c r="L43" s="198">
        <f>I43*H43</f>
        <v>77126.972999999998</v>
      </c>
      <c r="M43" s="199"/>
      <c r="N43" s="171">
        <f>L43+L44+L45</f>
        <v>338289.5404</v>
      </c>
      <c r="O43" s="172"/>
      <c r="P43" s="172"/>
      <c r="Q43" s="172"/>
      <c r="R43" s="172"/>
      <c r="S43" s="172"/>
      <c r="T43" s="172"/>
      <c r="U43" s="172"/>
      <c r="V43" s="172"/>
      <c r="W43" s="172"/>
      <c r="X43" s="173"/>
    </row>
    <row r="44" spans="1:24" s="18" customFormat="1" ht="29.25" customHeight="1" thickBot="1" x14ac:dyDescent="0.25">
      <c r="A44" s="220"/>
      <c r="B44" s="221"/>
      <c r="C44" s="222"/>
      <c r="D44" s="153" t="s">
        <v>31</v>
      </c>
      <c r="E44" s="153" t="s">
        <v>31</v>
      </c>
      <c r="F44" s="153" t="s">
        <v>31</v>
      </c>
      <c r="G44" s="16"/>
      <c r="H44" s="19">
        <v>0.95140000000000002</v>
      </c>
      <c r="I44" s="214">
        <f>M40</f>
        <v>167589</v>
      </c>
      <c r="J44" s="215"/>
      <c r="K44" s="216"/>
      <c r="L44" s="198">
        <f>I44*H44</f>
        <v>159444.1746</v>
      </c>
      <c r="M44" s="199"/>
      <c r="N44" s="174"/>
      <c r="O44" s="175"/>
      <c r="P44" s="175"/>
      <c r="Q44" s="175"/>
      <c r="R44" s="175"/>
      <c r="S44" s="175"/>
      <c r="T44" s="175"/>
      <c r="U44" s="175"/>
      <c r="V44" s="175"/>
      <c r="W44" s="175"/>
      <c r="X44" s="176"/>
    </row>
    <row r="45" spans="1:24" s="18" customFormat="1" ht="24.75" customHeight="1" thickBot="1" x14ac:dyDescent="0.25">
      <c r="A45" s="220"/>
      <c r="B45" s="221"/>
      <c r="C45" s="222"/>
      <c r="D45" s="155" t="s">
        <v>32</v>
      </c>
      <c r="E45" s="155" t="s">
        <v>32</v>
      </c>
      <c r="F45" s="155" t="s">
        <v>32</v>
      </c>
      <c r="G45" s="20"/>
      <c r="H45" s="20">
        <v>1.3304</v>
      </c>
      <c r="I45" s="189">
        <f>N40</f>
        <v>76457</v>
      </c>
      <c r="J45" s="190"/>
      <c r="K45" s="191"/>
      <c r="L45" s="198">
        <f>I45*H45</f>
        <v>101718.3928</v>
      </c>
      <c r="M45" s="199"/>
      <c r="N45" s="177"/>
      <c r="O45" s="178"/>
      <c r="P45" s="178"/>
      <c r="Q45" s="178"/>
      <c r="R45" s="178"/>
      <c r="S45" s="178"/>
      <c r="T45" s="178"/>
      <c r="U45" s="178"/>
      <c r="V45" s="178"/>
      <c r="W45" s="178"/>
      <c r="X45" s="179"/>
    </row>
    <row r="46" spans="1:24" s="18" customFormat="1" ht="43.5" customHeight="1" thickBot="1" x14ac:dyDescent="0.25">
      <c r="A46" s="159"/>
      <c r="B46" s="160"/>
      <c r="C46" s="160"/>
      <c r="D46" s="214" t="s">
        <v>126</v>
      </c>
      <c r="E46" s="431"/>
      <c r="F46" s="432"/>
      <c r="G46" s="16"/>
      <c r="H46" s="19">
        <v>1000</v>
      </c>
      <c r="I46" s="214">
        <v>43.88167</v>
      </c>
      <c r="J46" s="431"/>
      <c r="K46" s="161"/>
      <c r="L46" s="433">
        <f>H46*I46</f>
        <v>43881.67</v>
      </c>
      <c r="M46" s="434"/>
      <c r="N46" s="195">
        <f>L46</f>
        <v>43881.67</v>
      </c>
      <c r="O46" s="196"/>
      <c r="P46" s="196"/>
      <c r="Q46" s="196"/>
      <c r="R46" s="196"/>
      <c r="S46" s="196"/>
      <c r="T46" s="196"/>
      <c r="U46" s="196"/>
      <c r="V46" s="196"/>
      <c r="W46" s="196"/>
      <c r="X46" s="197"/>
    </row>
    <row r="47" spans="1:24" s="18" customFormat="1" ht="43.5" customHeight="1" thickBot="1" x14ac:dyDescent="0.25">
      <c r="A47" s="159"/>
      <c r="B47" s="160"/>
      <c r="C47" s="160"/>
      <c r="D47" s="214" t="s">
        <v>127</v>
      </c>
      <c r="E47" s="431"/>
      <c r="F47" s="432"/>
      <c r="G47" s="16"/>
      <c r="H47" s="435"/>
      <c r="I47" s="214">
        <v>65.822505000000007</v>
      </c>
      <c r="J47" s="431"/>
      <c r="K47" s="432"/>
      <c r="L47" s="198">
        <f>H47*I47</f>
        <v>0</v>
      </c>
      <c r="M47" s="436"/>
      <c r="N47" s="195">
        <f t="shared" ref="N47:N49" si="4">L47</f>
        <v>0</v>
      </c>
      <c r="O47" s="196"/>
      <c r="P47" s="196"/>
      <c r="Q47" s="196"/>
      <c r="R47" s="196"/>
      <c r="S47" s="196"/>
      <c r="T47" s="196"/>
      <c r="U47" s="196"/>
      <c r="V47" s="196"/>
      <c r="W47" s="196"/>
      <c r="X47" s="197"/>
    </row>
    <row r="48" spans="1:24" s="18" customFormat="1" ht="43.5" customHeight="1" thickBot="1" x14ac:dyDescent="0.25">
      <c r="A48" s="159"/>
      <c r="B48" s="160"/>
      <c r="C48" s="160"/>
      <c r="D48" s="214" t="s">
        <v>128</v>
      </c>
      <c r="E48" s="431"/>
      <c r="F48" s="432"/>
      <c r="G48" s="16"/>
      <c r="H48" s="19"/>
      <c r="I48" s="214">
        <v>841</v>
      </c>
      <c r="J48" s="431"/>
      <c r="K48" s="432"/>
      <c r="L48" s="198">
        <v>841</v>
      </c>
      <c r="M48" s="432"/>
      <c r="N48" s="195">
        <f t="shared" si="4"/>
        <v>841</v>
      </c>
      <c r="O48" s="196"/>
      <c r="P48" s="196"/>
      <c r="Q48" s="196"/>
      <c r="R48" s="196"/>
      <c r="S48" s="196"/>
      <c r="T48" s="196"/>
      <c r="U48" s="196"/>
      <c r="V48" s="196"/>
      <c r="W48" s="196"/>
      <c r="X48" s="197"/>
    </row>
    <row r="49" spans="1:24" s="18" customFormat="1" ht="43.5" customHeight="1" thickBot="1" x14ac:dyDescent="0.25">
      <c r="A49" s="159"/>
      <c r="B49" s="160"/>
      <c r="C49" s="160"/>
      <c r="D49" s="214" t="s">
        <v>129</v>
      </c>
      <c r="E49" s="431"/>
      <c r="F49" s="432"/>
      <c r="G49" s="16"/>
      <c r="H49" s="19"/>
      <c r="I49" s="214">
        <v>1492</v>
      </c>
      <c r="J49" s="431"/>
      <c r="K49" s="432"/>
      <c r="L49" s="198">
        <v>1492</v>
      </c>
      <c r="M49" s="432"/>
      <c r="N49" s="195">
        <f t="shared" si="4"/>
        <v>1492</v>
      </c>
      <c r="O49" s="196"/>
      <c r="P49" s="196"/>
      <c r="Q49" s="196"/>
      <c r="R49" s="196"/>
      <c r="S49" s="196"/>
      <c r="T49" s="196"/>
      <c r="U49" s="196"/>
      <c r="V49" s="196"/>
      <c r="W49" s="196"/>
      <c r="X49" s="197"/>
    </row>
    <row r="50" spans="1:24" s="18" customFormat="1" ht="43.5" customHeight="1" thickBot="1" x14ac:dyDescent="0.25">
      <c r="A50" s="159"/>
      <c r="B50" s="160"/>
      <c r="C50" s="160"/>
      <c r="D50" s="220" t="s">
        <v>186</v>
      </c>
      <c r="E50" s="437"/>
      <c r="F50" s="437"/>
      <c r="G50" s="437"/>
      <c r="H50" s="437"/>
      <c r="I50" s="437"/>
      <c r="J50" s="437"/>
      <c r="K50" s="437"/>
      <c r="L50" s="437"/>
      <c r="M50" s="438"/>
      <c r="N50" s="195">
        <f>N43+N46+N47+N48+N49</f>
        <v>384504.21039999998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7"/>
    </row>
    <row r="51" spans="1:24" s="18" customFormat="1" ht="43.5" customHeight="1" thickBot="1" x14ac:dyDescent="0.25">
      <c r="A51" s="159"/>
      <c r="B51" s="160"/>
      <c r="C51" s="160"/>
      <c r="D51" s="214" t="s">
        <v>187</v>
      </c>
      <c r="E51" s="431"/>
      <c r="F51" s="431"/>
      <c r="G51" s="431"/>
      <c r="H51" s="431"/>
      <c r="I51" s="431"/>
      <c r="J51" s="431"/>
      <c r="K51" s="431"/>
      <c r="L51" s="431"/>
      <c r="M51" s="432"/>
      <c r="N51" s="439">
        <f>N50/O40</f>
        <v>1.0847482689356323</v>
      </c>
      <c r="O51" s="440"/>
      <c r="P51" s="440"/>
      <c r="Q51" s="440"/>
      <c r="R51" s="440"/>
      <c r="S51" s="440"/>
      <c r="T51" s="440"/>
      <c r="U51" s="440"/>
      <c r="V51" s="440"/>
      <c r="W51" s="440"/>
      <c r="X51" s="441"/>
    </row>
    <row r="52" spans="1:24" s="23" customFormat="1" ht="32.25" customHeight="1" thickBot="1" x14ac:dyDescent="0.25">
      <c r="A52" s="209" t="s">
        <v>39</v>
      </c>
      <c r="B52" s="210"/>
      <c r="C52" s="210"/>
      <c r="D52" s="210"/>
      <c r="E52" s="210"/>
      <c r="F52" s="211"/>
      <c r="G52" s="21"/>
      <c r="H52" s="22">
        <v>11.4</v>
      </c>
      <c r="I52" s="209">
        <f>F40</f>
        <v>2960.7000000000116</v>
      </c>
      <c r="J52" s="210"/>
      <c r="K52" s="211"/>
      <c r="L52" s="212">
        <f>I52*H52</f>
        <v>33751.980000000134</v>
      </c>
      <c r="M52" s="213"/>
      <c r="N52" s="168">
        <f>L52</f>
        <v>33751.980000000134</v>
      </c>
      <c r="O52" s="169"/>
      <c r="P52" s="169"/>
      <c r="Q52" s="169"/>
      <c r="R52" s="169"/>
      <c r="S52" s="169"/>
      <c r="T52" s="169"/>
      <c r="U52" s="169"/>
      <c r="V52" s="169"/>
      <c r="W52" s="169"/>
      <c r="X52" s="170"/>
    </row>
    <row r="53" spans="1:24" s="23" customFormat="1" ht="36.75" customHeight="1" thickBot="1" x14ac:dyDescent="0.25">
      <c r="A53" s="183" t="s">
        <v>40</v>
      </c>
      <c r="B53" s="184"/>
      <c r="C53" s="184"/>
      <c r="D53" s="184"/>
      <c r="E53" s="184"/>
      <c r="F53" s="185"/>
      <c r="G53" s="24"/>
      <c r="H53" s="25">
        <v>11.865</v>
      </c>
      <c r="I53" s="186">
        <f>V40</f>
        <v>15423.619219999997</v>
      </c>
      <c r="J53" s="187"/>
      <c r="K53" s="188"/>
      <c r="L53" s="186">
        <f>I53*H53</f>
        <v>183001.24204529996</v>
      </c>
      <c r="M53" s="188"/>
      <c r="N53" s="165">
        <f>L53</f>
        <v>183001.24204529996</v>
      </c>
      <c r="O53" s="166"/>
      <c r="P53" s="166"/>
      <c r="Q53" s="166"/>
      <c r="R53" s="166"/>
      <c r="S53" s="166"/>
      <c r="T53" s="166"/>
      <c r="U53" s="166"/>
      <c r="V53" s="166"/>
      <c r="W53" s="166"/>
      <c r="X53" s="167"/>
    </row>
    <row r="54" spans="1:24" ht="27" customHeight="1" x14ac:dyDescent="0.2">
      <c r="A54" s="2"/>
      <c r="B54" s="2"/>
      <c r="C54" s="2"/>
      <c r="D54" s="2"/>
      <c r="E54" s="2"/>
      <c r="F54" s="2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3"/>
      <c r="U54" s="33"/>
      <c r="V54" s="33"/>
      <c r="W54" s="33"/>
      <c r="X54" s="33"/>
    </row>
    <row r="55" spans="1:24" ht="18.75" customHeight="1" x14ac:dyDescent="0.2"/>
    <row r="59" spans="1:24" ht="39" customHeight="1" x14ac:dyDescent="0.2"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</row>
  </sheetData>
  <mergeCells count="91">
    <mergeCell ref="D50:M50"/>
    <mergeCell ref="N50:X50"/>
    <mergeCell ref="D51:M51"/>
    <mergeCell ref="N51:X51"/>
    <mergeCell ref="D48:F48"/>
    <mergeCell ref="I48:K48"/>
    <mergeCell ref="L48:M48"/>
    <mergeCell ref="N48:X48"/>
    <mergeCell ref="D49:F49"/>
    <mergeCell ref="I49:K49"/>
    <mergeCell ref="L49:M49"/>
    <mergeCell ref="N49:X49"/>
    <mergeCell ref="D46:F46"/>
    <mergeCell ref="I46:J46"/>
    <mergeCell ref="L46:M46"/>
    <mergeCell ref="N46:X46"/>
    <mergeCell ref="D47:F47"/>
    <mergeCell ref="I47:K47"/>
    <mergeCell ref="L47:M47"/>
    <mergeCell ref="N47:X47"/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53:M53"/>
    <mergeCell ref="A52:F52"/>
    <mergeCell ref="A42:F42"/>
    <mergeCell ref="I52:K52"/>
    <mergeCell ref="L52:M52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9:X59"/>
    <mergeCell ref="N53:X53"/>
    <mergeCell ref="N52:X52"/>
    <mergeCell ref="N43:X45"/>
    <mergeCell ref="N42:X42"/>
    <mergeCell ref="A53:F53"/>
    <mergeCell ref="I53:K53"/>
    <mergeCell ref="I45:K45"/>
    <mergeCell ref="I42:K42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4" sqref="N3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5"/>
      <c r="B1" s="266"/>
      <c r="C1" s="266"/>
      <c r="D1" s="267"/>
      <c r="E1" s="248" t="s">
        <v>41</v>
      </c>
      <c r="F1" s="249"/>
      <c r="G1" s="249"/>
      <c r="H1" s="249"/>
      <c r="I1" s="250"/>
      <c r="J1" s="257" t="s">
        <v>42</v>
      </c>
      <c r="K1" s="258"/>
      <c r="L1" s="49"/>
    </row>
    <row r="2" spans="1:12" ht="16.5" customHeight="1" x14ac:dyDescent="0.2">
      <c r="A2" s="268"/>
      <c r="B2" s="269"/>
      <c r="C2" s="269"/>
      <c r="D2" s="270"/>
      <c r="E2" s="251"/>
      <c r="F2" s="252"/>
      <c r="G2" s="252"/>
      <c r="H2" s="252"/>
      <c r="I2" s="253"/>
      <c r="J2" s="259"/>
      <c r="K2" s="260"/>
      <c r="L2" s="49"/>
    </row>
    <row r="3" spans="1:12" ht="48" customHeight="1" x14ac:dyDescent="0.2">
      <c r="A3" s="271"/>
      <c r="B3" s="272"/>
      <c r="C3" s="272"/>
      <c r="D3" s="273"/>
      <c r="E3" s="254"/>
      <c r="F3" s="255"/>
      <c r="G3" s="255"/>
      <c r="H3" s="255"/>
      <c r="I3" s="256"/>
      <c r="J3" s="261"/>
      <c r="K3" s="262"/>
      <c r="L3" s="49"/>
    </row>
    <row r="6" spans="1:12" ht="10.5" customHeight="1" x14ac:dyDescent="0.25"/>
    <row r="7" spans="1:12" ht="16.5" customHeight="1" x14ac:dyDescent="0.2">
      <c r="A7" s="246" t="s">
        <v>43</v>
      </c>
      <c r="B7" s="274" t="s">
        <v>44</v>
      </c>
      <c r="C7" s="275"/>
      <c r="D7" s="263" t="s">
        <v>45</v>
      </c>
      <c r="E7" s="263"/>
      <c r="F7" s="264" t="s">
        <v>46</v>
      </c>
      <c r="G7" s="264"/>
      <c r="H7" s="264"/>
      <c r="I7" s="264"/>
      <c r="J7" s="264"/>
      <c r="K7" s="264"/>
    </row>
    <row r="8" spans="1:12" s="29" customFormat="1" ht="28.5" customHeight="1" x14ac:dyDescent="0.2">
      <c r="A8" s="24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 x14ac:dyDescent="0.3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 t="shared" ref="E10:E39" si="0">D10-D9</f>
        <v>119.69999999999709</v>
      </c>
      <c r="F10" s="51">
        <v>11174788</v>
      </c>
      <c r="G10" s="50">
        <f t="shared" ref="G10:G39" si="1">F10-F9</f>
        <v>4391</v>
      </c>
      <c r="H10" s="51">
        <v>19045546</v>
      </c>
      <c r="I10" s="50">
        <f t="shared" ref="I10:I39" si="2">H10-H9</f>
        <v>7348</v>
      </c>
      <c r="J10" s="51">
        <v>8354600</v>
      </c>
      <c r="K10" s="50">
        <f t="shared" ref="K10:K39" si="3">J10-J9</f>
        <v>3052</v>
      </c>
    </row>
    <row r="11" spans="1:12" ht="19.5" x14ac:dyDescent="0.3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 t="shared" si="0"/>
        <v>95.900000000008731</v>
      </c>
      <c r="F11" s="51">
        <v>11179207</v>
      </c>
      <c r="G11" s="50">
        <f t="shared" si="1"/>
        <v>4419</v>
      </c>
      <c r="H11" s="51">
        <v>19052800</v>
      </c>
      <c r="I11" s="50">
        <f t="shared" si="2"/>
        <v>7254</v>
      </c>
      <c r="J11" s="51">
        <v>8357582</v>
      </c>
      <c r="K11" s="50">
        <f t="shared" si="3"/>
        <v>2982</v>
      </c>
    </row>
    <row r="12" spans="1:12" ht="19.5" x14ac:dyDescent="0.3">
      <c r="A12" s="59">
        <v>44504</v>
      </c>
      <c r="B12" s="116">
        <v>2560</v>
      </c>
      <c r="C12" s="115">
        <v>0</v>
      </c>
      <c r="D12" s="57">
        <v>127985.9</v>
      </c>
      <c r="E12" s="50">
        <f t="shared" si="0"/>
        <v>94.599999999991269</v>
      </c>
      <c r="F12" s="51">
        <v>11183757</v>
      </c>
      <c r="G12" s="50">
        <f t="shared" si="1"/>
        <v>4550</v>
      </c>
      <c r="H12" s="51">
        <v>19060410</v>
      </c>
      <c r="I12" s="50">
        <f t="shared" si="2"/>
        <v>7610</v>
      </c>
      <c r="J12" s="51">
        <v>8360474</v>
      </c>
      <c r="K12" s="50">
        <f t="shared" si="3"/>
        <v>2892</v>
      </c>
    </row>
    <row r="13" spans="1:12" ht="19.5" x14ac:dyDescent="0.3">
      <c r="A13" s="59">
        <v>44505</v>
      </c>
      <c r="B13" s="116">
        <v>2560</v>
      </c>
      <c r="C13" s="115">
        <v>0</v>
      </c>
      <c r="D13" s="57">
        <v>128105.7</v>
      </c>
      <c r="E13" s="50">
        <f t="shared" si="0"/>
        <v>119.80000000000291</v>
      </c>
      <c r="F13" s="51">
        <v>11187556</v>
      </c>
      <c r="G13" s="50">
        <f t="shared" si="1"/>
        <v>3799</v>
      </c>
      <c r="H13" s="51">
        <v>19067297</v>
      </c>
      <c r="I13" s="50">
        <f t="shared" si="2"/>
        <v>6887</v>
      </c>
      <c r="J13" s="51">
        <v>8363547</v>
      </c>
      <c r="K13" s="50">
        <f t="shared" si="3"/>
        <v>3073</v>
      </c>
    </row>
    <row r="14" spans="1:12" ht="19.5" x14ac:dyDescent="0.3">
      <c r="A14" s="59">
        <v>44506</v>
      </c>
      <c r="B14" s="116">
        <v>2560</v>
      </c>
      <c r="C14" s="115">
        <v>0</v>
      </c>
      <c r="D14" s="57">
        <v>128225</v>
      </c>
      <c r="E14" s="50">
        <f t="shared" si="0"/>
        <v>119.30000000000291</v>
      </c>
      <c r="F14" s="51">
        <v>11191794</v>
      </c>
      <c r="G14" s="50">
        <f t="shared" si="1"/>
        <v>4238</v>
      </c>
      <c r="H14" s="51">
        <v>19073813</v>
      </c>
      <c r="I14" s="50">
        <f t="shared" si="2"/>
        <v>6516</v>
      </c>
      <c r="J14" s="51">
        <v>8366198</v>
      </c>
      <c r="K14" s="50">
        <f t="shared" si="3"/>
        <v>2651</v>
      </c>
    </row>
    <row r="15" spans="1:12" ht="19.5" x14ac:dyDescent="0.3">
      <c r="A15" s="59">
        <v>44507</v>
      </c>
      <c r="B15" s="116">
        <v>2560</v>
      </c>
      <c r="C15" s="115">
        <v>0</v>
      </c>
      <c r="D15" s="57">
        <v>128334</v>
      </c>
      <c r="E15" s="50">
        <f t="shared" si="0"/>
        <v>109</v>
      </c>
      <c r="F15" s="51">
        <v>11195611</v>
      </c>
      <c r="G15" s="50">
        <f t="shared" si="1"/>
        <v>3817</v>
      </c>
      <c r="H15" s="51">
        <v>19079473</v>
      </c>
      <c r="I15" s="50">
        <f t="shared" si="2"/>
        <v>5660</v>
      </c>
      <c r="J15" s="51">
        <v>8368609</v>
      </c>
      <c r="K15" s="50">
        <f t="shared" si="3"/>
        <v>2411</v>
      </c>
    </row>
    <row r="16" spans="1:12" ht="19.5" x14ac:dyDescent="0.3">
      <c r="A16" s="59">
        <v>44508</v>
      </c>
      <c r="B16" s="116">
        <v>2560</v>
      </c>
      <c r="C16" s="115">
        <v>0</v>
      </c>
      <c r="D16" s="57">
        <v>128429</v>
      </c>
      <c r="E16" s="50">
        <f t="shared" si="0"/>
        <v>95</v>
      </c>
      <c r="F16" s="51">
        <v>11199233</v>
      </c>
      <c r="G16" s="50">
        <f t="shared" si="1"/>
        <v>3622</v>
      </c>
      <c r="H16" s="51">
        <v>19084637</v>
      </c>
      <c r="I16" s="50">
        <f t="shared" si="2"/>
        <v>5164</v>
      </c>
      <c r="J16" s="51">
        <v>8371073</v>
      </c>
      <c r="K16" s="50">
        <f t="shared" si="3"/>
        <v>2464</v>
      </c>
    </row>
    <row r="17" spans="1:29" ht="19.5" x14ac:dyDescent="0.3">
      <c r="A17" s="59">
        <v>44509</v>
      </c>
      <c r="B17" s="116">
        <v>2560</v>
      </c>
      <c r="C17" s="115">
        <v>0</v>
      </c>
      <c r="D17" s="57">
        <v>128535.9</v>
      </c>
      <c r="E17" s="50">
        <f t="shared" si="0"/>
        <v>106.89999999999418</v>
      </c>
      <c r="F17" s="51">
        <v>11202576</v>
      </c>
      <c r="G17" s="50">
        <f t="shared" si="1"/>
        <v>3343</v>
      </c>
      <c r="H17" s="51">
        <v>19090410</v>
      </c>
      <c r="I17" s="50">
        <f t="shared" si="2"/>
        <v>5773</v>
      </c>
      <c r="J17" s="51">
        <v>8373748</v>
      </c>
      <c r="K17" s="50">
        <f t="shared" si="3"/>
        <v>2675</v>
      </c>
    </row>
    <row r="18" spans="1:29" ht="19.5" x14ac:dyDescent="0.3">
      <c r="A18" s="59">
        <v>44510</v>
      </c>
      <c r="B18" s="116">
        <v>2560</v>
      </c>
      <c r="C18" s="115">
        <v>0</v>
      </c>
      <c r="D18" s="57">
        <v>128633.8</v>
      </c>
      <c r="E18" s="50">
        <f t="shared" si="0"/>
        <v>97.900000000008731</v>
      </c>
      <c r="F18" s="51">
        <v>11205852</v>
      </c>
      <c r="G18" s="50">
        <f t="shared" si="1"/>
        <v>3276</v>
      </c>
      <c r="H18" s="51">
        <v>19095656</v>
      </c>
      <c r="I18" s="50">
        <f t="shared" si="2"/>
        <v>5246</v>
      </c>
      <c r="J18" s="51">
        <v>8376168</v>
      </c>
      <c r="K18" s="50">
        <f t="shared" si="3"/>
        <v>2420</v>
      </c>
    </row>
    <row r="19" spans="1:29" ht="19.5" x14ac:dyDescent="0.3">
      <c r="A19" s="59">
        <v>44511</v>
      </c>
      <c r="B19" s="116">
        <v>2560</v>
      </c>
      <c r="C19" s="115">
        <v>0</v>
      </c>
      <c r="D19" s="57">
        <v>128725.6</v>
      </c>
      <c r="E19" s="50">
        <f t="shared" si="0"/>
        <v>91.80000000000291</v>
      </c>
      <c r="F19" s="51">
        <v>11209176</v>
      </c>
      <c r="G19" s="50">
        <f t="shared" si="1"/>
        <v>3324</v>
      </c>
      <c r="H19" s="51">
        <v>19100652</v>
      </c>
      <c r="I19" s="50">
        <f t="shared" si="2"/>
        <v>4996</v>
      </c>
      <c r="J19" s="51">
        <v>8378529</v>
      </c>
      <c r="K19" s="50">
        <f t="shared" si="3"/>
        <v>2361</v>
      </c>
    </row>
    <row r="20" spans="1:29" ht="20.25" customHeight="1" x14ac:dyDescent="0.35">
      <c r="A20" s="59">
        <v>44512</v>
      </c>
      <c r="B20" s="116">
        <v>2560</v>
      </c>
      <c r="C20" s="115">
        <v>0</v>
      </c>
      <c r="D20" s="57">
        <v>128812.9</v>
      </c>
      <c r="E20" s="50">
        <f t="shared" si="0"/>
        <v>87.299999999988358</v>
      </c>
      <c r="F20" s="51">
        <v>11212785</v>
      </c>
      <c r="G20" s="50">
        <f t="shared" si="1"/>
        <v>3609</v>
      </c>
      <c r="H20" s="51">
        <v>19106135</v>
      </c>
      <c r="I20" s="50">
        <f t="shared" si="2"/>
        <v>5483</v>
      </c>
      <c r="J20" s="51">
        <v>8380989</v>
      </c>
      <c r="K20" s="50">
        <f t="shared" si="3"/>
        <v>2460</v>
      </c>
      <c r="L20" s="117" t="s">
        <v>18</v>
      </c>
      <c r="AC20" t="s">
        <v>56</v>
      </c>
    </row>
    <row r="21" spans="1:29" ht="19.5" x14ac:dyDescent="0.3">
      <c r="A21" s="59">
        <v>44513</v>
      </c>
      <c r="B21" s="116">
        <v>2560</v>
      </c>
      <c r="C21" s="115">
        <v>0</v>
      </c>
      <c r="D21" s="57">
        <v>128929.3</v>
      </c>
      <c r="E21" s="50">
        <f t="shared" si="0"/>
        <v>116.40000000000873</v>
      </c>
      <c r="F21" s="51">
        <v>11216380</v>
      </c>
      <c r="G21" s="50">
        <f t="shared" si="1"/>
        <v>3595</v>
      </c>
      <c r="H21" s="51">
        <v>19111376</v>
      </c>
      <c r="I21" s="50">
        <f t="shared" si="2"/>
        <v>5241</v>
      </c>
      <c r="J21" s="51">
        <v>8383668</v>
      </c>
      <c r="K21" s="50">
        <f t="shared" si="3"/>
        <v>2679</v>
      </c>
    </row>
    <row r="22" spans="1:29" ht="19.5" x14ac:dyDescent="0.3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0"/>
        <v>113.69999999999709</v>
      </c>
      <c r="F22" s="51">
        <v>11220604</v>
      </c>
      <c r="G22" s="50">
        <f t="shared" si="1"/>
        <v>4224</v>
      </c>
      <c r="H22" s="51">
        <v>19116422</v>
      </c>
      <c r="I22" s="50">
        <f t="shared" si="2"/>
        <v>5046</v>
      </c>
      <c r="J22" s="51">
        <v>8386055</v>
      </c>
      <c r="K22" s="50">
        <f t="shared" si="3"/>
        <v>2387</v>
      </c>
    </row>
    <row r="23" spans="1:29" ht="19.5" x14ac:dyDescent="0.3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0"/>
        <v>94</v>
      </c>
      <c r="F23" s="51">
        <v>11224002</v>
      </c>
      <c r="G23" s="50">
        <f t="shared" si="1"/>
        <v>3398</v>
      </c>
      <c r="H23" s="51">
        <v>19121510</v>
      </c>
      <c r="I23" s="50">
        <f t="shared" si="2"/>
        <v>5088</v>
      </c>
      <c r="J23" s="51">
        <v>8388492</v>
      </c>
      <c r="K23" s="50">
        <f t="shared" si="3"/>
        <v>2437</v>
      </c>
    </row>
    <row r="24" spans="1:29" ht="19.5" x14ac:dyDescent="0.3">
      <c r="A24" s="59">
        <v>44516</v>
      </c>
      <c r="B24" s="116">
        <v>2560</v>
      </c>
      <c r="C24" s="115">
        <v>0</v>
      </c>
      <c r="D24" s="57">
        <v>129222.7</v>
      </c>
      <c r="E24" s="50">
        <f t="shared" si="0"/>
        <v>85.69999999999709</v>
      </c>
      <c r="F24" s="51">
        <v>11226717</v>
      </c>
      <c r="G24" s="50">
        <f t="shared" si="1"/>
        <v>2715</v>
      </c>
      <c r="H24" s="51">
        <v>19126844</v>
      </c>
      <c r="I24" s="50">
        <f t="shared" si="2"/>
        <v>5334</v>
      </c>
      <c r="J24" s="51">
        <v>8390975</v>
      </c>
      <c r="K24" s="50">
        <f t="shared" si="3"/>
        <v>2483</v>
      </c>
    </row>
    <row r="25" spans="1:29" ht="19.5" x14ac:dyDescent="0.3">
      <c r="A25" s="59">
        <v>44517</v>
      </c>
      <c r="B25" s="116">
        <v>2560</v>
      </c>
      <c r="C25" s="115">
        <v>0</v>
      </c>
      <c r="D25" s="57">
        <v>129313.8</v>
      </c>
      <c r="E25" s="50">
        <f t="shared" si="0"/>
        <v>91.100000000005821</v>
      </c>
      <c r="F25" s="51">
        <v>11230081</v>
      </c>
      <c r="G25" s="50">
        <f t="shared" si="1"/>
        <v>3364</v>
      </c>
      <c r="H25" s="51">
        <v>19132077</v>
      </c>
      <c r="I25" s="50">
        <f t="shared" si="2"/>
        <v>5233</v>
      </c>
      <c r="J25" s="51">
        <v>8393502</v>
      </c>
      <c r="K25" s="50">
        <f t="shared" si="3"/>
        <v>2527</v>
      </c>
    </row>
    <row r="26" spans="1:29" ht="19.5" x14ac:dyDescent="0.3">
      <c r="A26" s="59">
        <v>44518</v>
      </c>
      <c r="B26" s="116">
        <v>2560</v>
      </c>
      <c r="C26" s="115">
        <v>0</v>
      </c>
      <c r="D26" s="57">
        <v>129422.39999999999</v>
      </c>
      <c r="E26" s="50">
        <f t="shared" si="0"/>
        <v>108.59999999999127</v>
      </c>
      <c r="F26" s="51">
        <v>11233393</v>
      </c>
      <c r="G26" s="50">
        <f t="shared" si="1"/>
        <v>3312</v>
      </c>
      <c r="H26" s="51">
        <v>19137157</v>
      </c>
      <c r="I26" s="50">
        <f t="shared" si="2"/>
        <v>5080</v>
      </c>
      <c r="J26" s="51">
        <v>8395770</v>
      </c>
      <c r="K26" s="50">
        <f t="shared" si="3"/>
        <v>2268</v>
      </c>
    </row>
    <row r="27" spans="1:29" ht="19.5" x14ac:dyDescent="0.3">
      <c r="A27" s="59">
        <v>44519</v>
      </c>
      <c r="B27" s="116">
        <v>2560</v>
      </c>
      <c r="C27" s="115">
        <v>0</v>
      </c>
      <c r="D27" s="57">
        <v>129513.7</v>
      </c>
      <c r="E27" s="50">
        <f t="shared" si="0"/>
        <v>91.30000000000291</v>
      </c>
      <c r="F27" s="51">
        <v>11236389</v>
      </c>
      <c r="G27" s="50">
        <f t="shared" si="1"/>
        <v>2996</v>
      </c>
      <c r="H27" s="51">
        <v>19141983</v>
      </c>
      <c r="I27" s="50">
        <f t="shared" si="2"/>
        <v>4826</v>
      </c>
      <c r="J27" s="51">
        <v>8398103</v>
      </c>
      <c r="K27" s="50">
        <f t="shared" si="3"/>
        <v>2333</v>
      </c>
    </row>
    <row r="28" spans="1:29" ht="19.5" x14ac:dyDescent="0.3">
      <c r="A28" s="59">
        <v>44520</v>
      </c>
      <c r="B28" s="116">
        <v>2560</v>
      </c>
      <c r="C28" s="115">
        <v>0</v>
      </c>
      <c r="D28" s="57">
        <v>129604</v>
      </c>
      <c r="E28" s="50">
        <f t="shared" si="0"/>
        <v>90.30000000000291</v>
      </c>
      <c r="F28" s="51">
        <v>11239615</v>
      </c>
      <c r="G28" s="50">
        <f t="shared" si="1"/>
        <v>3226</v>
      </c>
      <c r="H28" s="51">
        <v>19147147</v>
      </c>
      <c r="I28" s="50">
        <f t="shared" si="2"/>
        <v>5164</v>
      </c>
      <c r="J28" s="51">
        <v>8400515</v>
      </c>
      <c r="K28" s="50">
        <f t="shared" si="3"/>
        <v>2412</v>
      </c>
    </row>
    <row r="29" spans="1:29" ht="19.5" x14ac:dyDescent="0.3">
      <c r="A29" s="59">
        <v>44521</v>
      </c>
      <c r="B29" s="116">
        <v>2560</v>
      </c>
      <c r="C29" s="115">
        <v>0</v>
      </c>
      <c r="D29" s="57">
        <v>129700.2</v>
      </c>
      <c r="E29" s="50">
        <f t="shared" si="0"/>
        <v>96.19999999999709</v>
      </c>
      <c r="F29" s="51">
        <v>11243833</v>
      </c>
      <c r="G29" s="50">
        <f t="shared" si="1"/>
        <v>4218</v>
      </c>
      <c r="H29" s="51">
        <v>19152232</v>
      </c>
      <c r="I29" s="50">
        <f t="shared" si="2"/>
        <v>5085</v>
      </c>
      <c r="J29" s="51">
        <v>8402899</v>
      </c>
      <c r="K29" s="50">
        <f t="shared" si="3"/>
        <v>2384</v>
      </c>
    </row>
    <row r="30" spans="1:29" ht="19.5" x14ac:dyDescent="0.3">
      <c r="A30" s="59">
        <v>44522</v>
      </c>
      <c r="B30" s="116">
        <v>2560</v>
      </c>
      <c r="C30" s="115">
        <v>0</v>
      </c>
      <c r="D30" s="57">
        <v>129790.8</v>
      </c>
      <c r="E30" s="50">
        <f t="shared" si="0"/>
        <v>90.600000000005821</v>
      </c>
      <c r="F30" s="51">
        <v>11247399</v>
      </c>
      <c r="G30" s="50">
        <f t="shared" si="1"/>
        <v>3566</v>
      </c>
      <c r="H30" s="51">
        <v>19157399</v>
      </c>
      <c r="I30" s="50">
        <f t="shared" si="2"/>
        <v>5167</v>
      </c>
      <c r="J30" s="51">
        <v>8405304</v>
      </c>
      <c r="K30" s="50">
        <f t="shared" si="3"/>
        <v>2405</v>
      </c>
    </row>
    <row r="31" spans="1:29" ht="19.5" x14ac:dyDescent="0.3">
      <c r="A31" s="59">
        <v>44523</v>
      </c>
      <c r="B31" s="116">
        <v>2560</v>
      </c>
      <c r="C31" s="115">
        <v>0</v>
      </c>
      <c r="D31" s="57">
        <v>129899.5</v>
      </c>
      <c r="E31" s="50">
        <f t="shared" si="0"/>
        <v>108.69999999999709</v>
      </c>
      <c r="F31" s="51">
        <v>11251198</v>
      </c>
      <c r="G31" s="50">
        <f t="shared" si="1"/>
        <v>3799</v>
      </c>
      <c r="H31" s="51">
        <v>19162743</v>
      </c>
      <c r="I31" s="50">
        <f t="shared" si="2"/>
        <v>5344</v>
      </c>
      <c r="J31" s="51">
        <v>8407844</v>
      </c>
      <c r="K31" s="50">
        <f t="shared" si="3"/>
        <v>2540</v>
      </c>
    </row>
    <row r="32" spans="1:29" ht="19.5" x14ac:dyDescent="0.3">
      <c r="A32" s="59">
        <v>44524</v>
      </c>
      <c r="B32" s="116">
        <v>2560</v>
      </c>
      <c r="C32" s="115">
        <v>0</v>
      </c>
      <c r="D32" s="57">
        <v>129986.5</v>
      </c>
      <c r="E32" s="50">
        <f t="shared" si="0"/>
        <v>87</v>
      </c>
      <c r="F32" s="51">
        <v>11254746</v>
      </c>
      <c r="G32" s="50">
        <f t="shared" si="1"/>
        <v>3548</v>
      </c>
      <c r="H32" s="51">
        <v>19168051</v>
      </c>
      <c r="I32" s="50">
        <f t="shared" si="2"/>
        <v>5308</v>
      </c>
      <c r="J32" s="51">
        <v>8410366</v>
      </c>
      <c r="K32" s="50">
        <f t="shared" si="3"/>
        <v>2522</v>
      </c>
    </row>
    <row r="33" spans="1:11" ht="19.5" x14ac:dyDescent="0.3">
      <c r="A33" s="59">
        <v>44525</v>
      </c>
      <c r="B33" s="116">
        <v>2560</v>
      </c>
      <c r="C33" s="115">
        <v>0</v>
      </c>
      <c r="D33" s="57">
        <v>130073.5</v>
      </c>
      <c r="E33" s="50">
        <f t="shared" si="0"/>
        <v>87</v>
      </c>
      <c r="F33" s="51">
        <v>11258679</v>
      </c>
      <c r="G33" s="50">
        <f t="shared" si="1"/>
        <v>3933</v>
      </c>
      <c r="H33" s="51">
        <v>19173293</v>
      </c>
      <c r="I33" s="50">
        <f t="shared" si="2"/>
        <v>5242</v>
      </c>
      <c r="J33" s="51">
        <v>8412890</v>
      </c>
      <c r="K33" s="50">
        <f t="shared" si="3"/>
        <v>2524</v>
      </c>
    </row>
    <row r="34" spans="1:11" ht="19.5" x14ac:dyDescent="0.3">
      <c r="A34" s="59">
        <v>44526</v>
      </c>
      <c r="B34" s="116">
        <v>2560</v>
      </c>
      <c r="C34" s="115">
        <v>0</v>
      </c>
      <c r="D34" s="57">
        <v>130159.8</v>
      </c>
      <c r="E34" s="50">
        <f t="shared" si="0"/>
        <v>86.30000000000291</v>
      </c>
      <c r="F34" s="51">
        <v>11262433</v>
      </c>
      <c r="G34" s="50">
        <f t="shared" si="1"/>
        <v>3754</v>
      </c>
      <c r="H34" s="51">
        <v>19178766</v>
      </c>
      <c r="I34" s="50">
        <f t="shared" si="2"/>
        <v>5473</v>
      </c>
      <c r="J34" s="51">
        <v>8415406</v>
      </c>
      <c r="K34" s="50">
        <f t="shared" si="3"/>
        <v>2516</v>
      </c>
    </row>
    <row r="35" spans="1:11" ht="19.5" x14ac:dyDescent="0.3">
      <c r="A35" s="59">
        <v>44527</v>
      </c>
      <c r="B35" s="116">
        <v>2560</v>
      </c>
      <c r="C35" s="115">
        <v>0</v>
      </c>
      <c r="D35" s="57">
        <v>130246.9</v>
      </c>
      <c r="E35" s="50">
        <f t="shared" si="0"/>
        <v>87.099999999991269</v>
      </c>
      <c r="F35" s="51">
        <v>11266111</v>
      </c>
      <c r="G35" s="50">
        <f t="shared" si="1"/>
        <v>3678</v>
      </c>
      <c r="H35" s="51">
        <v>19183947</v>
      </c>
      <c r="I35" s="50">
        <f t="shared" si="2"/>
        <v>5181</v>
      </c>
      <c r="J35" s="51">
        <v>8417811</v>
      </c>
      <c r="K35" s="50">
        <f t="shared" si="3"/>
        <v>2405</v>
      </c>
    </row>
    <row r="36" spans="1:11" ht="19.5" x14ac:dyDescent="0.3">
      <c r="A36" s="59">
        <v>44528</v>
      </c>
      <c r="B36" s="116">
        <v>2560</v>
      </c>
      <c r="C36" s="115">
        <v>0</v>
      </c>
      <c r="D36" s="57">
        <v>130343.1</v>
      </c>
      <c r="E36" s="50">
        <f t="shared" si="0"/>
        <v>96.200000000011642</v>
      </c>
      <c r="F36" s="51">
        <v>11269945</v>
      </c>
      <c r="G36" s="50">
        <f t="shared" si="1"/>
        <v>3834</v>
      </c>
      <c r="H36" s="51">
        <v>19189353</v>
      </c>
      <c r="I36" s="50">
        <f t="shared" si="2"/>
        <v>5406</v>
      </c>
      <c r="J36" s="51">
        <v>8420514</v>
      </c>
      <c r="K36" s="50">
        <f t="shared" si="3"/>
        <v>2703</v>
      </c>
    </row>
    <row r="37" spans="1:11" ht="19.5" x14ac:dyDescent="0.3">
      <c r="A37" s="59">
        <v>44529</v>
      </c>
      <c r="B37" s="116">
        <v>2560</v>
      </c>
      <c r="C37" s="115">
        <v>0</v>
      </c>
      <c r="D37" s="57">
        <v>130437.7</v>
      </c>
      <c r="E37" s="50">
        <f t="shared" si="0"/>
        <v>94.599999999991269</v>
      </c>
      <c r="F37" s="51">
        <v>11273586</v>
      </c>
      <c r="G37" s="50">
        <f t="shared" si="1"/>
        <v>3641</v>
      </c>
      <c r="H37" s="51">
        <v>19194279</v>
      </c>
      <c r="I37" s="50">
        <f t="shared" si="2"/>
        <v>4926</v>
      </c>
      <c r="J37" s="51">
        <v>8422827</v>
      </c>
      <c r="K37" s="50">
        <f t="shared" si="3"/>
        <v>2313</v>
      </c>
    </row>
    <row r="38" spans="1:11" ht="19.5" x14ac:dyDescent="0.3">
      <c r="A38" s="59">
        <v>44530</v>
      </c>
      <c r="B38" s="116">
        <v>2560</v>
      </c>
      <c r="C38" s="115">
        <v>0</v>
      </c>
      <c r="D38" s="57">
        <v>130525.1</v>
      </c>
      <c r="E38" s="50">
        <f t="shared" si="0"/>
        <v>87.400000000008731</v>
      </c>
      <c r="F38" s="51">
        <v>11277081</v>
      </c>
      <c r="G38" s="50">
        <f t="shared" si="1"/>
        <v>3495</v>
      </c>
      <c r="H38" s="51">
        <v>19199352</v>
      </c>
      <c r="I38" s="50">
        <f t="shared" si="2"/>
        <v>5073</v>
      </c>
      <c r="J38" s="51">
        <v>8425171</v>
      </c>
      <c r="K38" s="50">
        <f t="shared" si="3"/>
        <v>2344</v>
      </c>
    </row>
    <row r="39" spans="1:11" ht="19.5" x14ac:dyDescent="0.3">
      <c r="A39" s="59">
        <v>44531</v>
      </c>
      <c r="B39" s="116">
        <v>2560</v>
      </c>
      <c r="C39" s="115">
        <v>0</v>
      </c>
      <c r="D39" s="57">
        <v>130607.9</v>
      </c>
      <c r="E39" s="50">
        <f t="shared" si="0"/>
        <v>82.799999999988358</v>
      </c>
      <c r="F39" s="51">
        <v>11280504</v>
      </c>
      <c r="G39" s="50">
        <f t="shared" si="1"/>
        <v>3423</v>
      </c>
      <c r="H39" s="51">
        <v>19204667</v>
      </c>
      <c r="I39" s="50">
        <f t="shared" si="2"/>
        <v>5315</v>
      </c>
      <c r="J39" s="51">
        <v>8427356</v>
      </c>
      <c r="K39" s="50">
        <f t="shared" si="3"/>
        <v>2185</v>
      </c>
    </row>
    <row r="40" spans="1:11" ht="24" customHeight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0" activePane="bottomRight" state="frozen"/>
      <selection pane="topRight" activeCell="B1" sqref="B1"/>
      <selection pane="bottomLeft" activeCell="A4" sqref="A4"/>
      <selection pane="bottomRight" activeCell="P32" sqref="P32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79" t="s">
        <v>57</v>
      </c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spans="1:31" ht="41.25" customHeight="1" thickBot="1" x14ac:dyDescent="0.4">
      <c r="Q2" s="284">
        <v>803</v>
      </c>
      <c r="R2" s="285"/>
      <c r="S2" s="286"/>
      <c r="T2" s="287">
        <v>519</v>
      </c>
      <c r="U2" s="285"/>
      <c r="V2" s="286"/>
      <c r="W2" s="287">
        <v>800</v>
      </c>
      <c r="X2" s="285"/>
      <c r="Y2" s="286"/>
      <c r="Z2" s="287">
        <v>802</v>
      </c>
      <c r="AA2" s="285"/>
      <c r="AB2" s="288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8">
        <f>6049*4</f>
        <v>24196</v>
      </c>
      <c r="N4" s="39">
        <f>L4*M4/100</f>
        <v>846.86</v>
      </c>
      <c r="O4" s="39">
        <f>N4*0.529</f>
        <v>447.98894000000001</v>
      </c>
      <c r="P4" s="42">
        <f>O4*11.865</f>
        <v>5315.3887731000004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44502</v>
      </c>
      <c r="B5" s="41">
        <v>50</v>
      </c>
      <c r="C5" s="39">
        <f t="shared" ref="C5:C35" si="6">IF(AC5&gt;0,((B5-R5)+(S5-B6)),IF(B6=0, ,(B5-B6)))</f>
        <v>5</v>
      </c>
      <c r="D5" s="41">
        <v>50</v>
      </c>
      <c r="E5" s="39">
        <f t="shared" ref="E5:E35" si="7">IF(AC5&gt;0,((D5-U5)+(V5-D6)),IF(D6=0, ,(D5-D6)))</f>
        <v>2</v>
      </c>
      <c r="F5" s="41">
        <v>50</v>
      </c>
      <c r="G5" s="39">
        <f t="shared" ref="G5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8">
        <f t="shared" ref="M5:M7" si="9">6049*4</f>
        <v>24196</v>
      </c>
      <c r="N5" s="39">
        <f t="shared" ref="N5:N33" si="10">L5*M5/100</f>
        <v>786.37</v>
      </c>
      <c r="O5" s="39">
        <f t="shared" ref="O5:O33" si="11">N5*0.529</f>
        <v>415.98973000000001</v>
      </c>
      <c r="P5" s="42">
        <f t="shared" ref="P5:P33" si="12">O5*11.865</f>
        <v>4935.7181464499999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 x14ac:dyDescent="0.3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3">IF(AC6&gt;0,((H6-AA6)+(AB6-H7)),IF(H7=0, ,(H6-H7)))</f>
        <v>0</v>
      </c>
      <c r="J6" s="39">
        <f t="shared" ref="J6:J42" si="14">B6+D6+F6+H6</f>
        <v>300</v>
      </c>
      <c r="K6" s="39">
        <f t="shared" ref="K6:K42" si="15">J6/4</f>
        <v>75</v>
      </c>
      <c r="L6" s="39">
        <f t="shared" ref="L6:L19" si="16">IF(AC6&gt;0,((K6-AD6)+(AE6-K7)),IF(K7=0, ,(K6-K7)))</f>
        <v>2.25</v>
      </c>
      <c r="M6" s="148">
        <f t="shared" si="9"/>
        <v>24196</v>
      </c>
      <c r="N6" s="39">
        <f t="shared" si="10"/>
        <v>544.41</v>
      </c>
      <c r="O6" s="39">
        <f t="shared" si="11"/>
        <v>287.99288999999999</v>
      </c>
      <c r="P6" s="42">
        <f t="shared" si="12"/>
        <v>3417.0356398499998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3"/>
        <v>4</v>
      </c>
      <c r="J7" s="39">
        <f t="shared" si="14"/>
        <v>291</v>
      </c>
      <c r="K7" s="39">
        <f t="shared" si="15"/>
        <v>72.75</v>
      </c>
      <c r="L7" s="39">
        <f t="shared" si="16"/>
        <v>3.5</v>
      </c>
      <c r="M7" s="148">
        <f t="shared" si="9"/>
        <v>24196</v>
      </c>
      <c r="N7" s="39">
        <f t="shared" si="10"/>
        <v>846.86</v>
      </c>
      <c r="O7" s="39">
        <f t="shared" si="11"/>
        <v>447.98894000000001</v>
      </c>
      <c r="P7" s="42">
        <f t="shared" si="12"/>
        <v>5315.3887731000004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3"/>
        <v>5</v>
      </c>
      <c r="J8" s="39">
        <f t="shared" si="14"/>
        <v>277</v>
      </c>
      <c r="K8" s="39">
        <f t="shared" si="15"/>
        <v>69.25</v>
      </c>
      <c r="L8" s="39">
        <f t="shared" si="16"/>
        <v>5.75</v>
      </c>
      <c r="M8" s="148">
        <f>6049*4</f>
        <v>24196</v>
      </c>
      <c r="N8" s="39">
        <f t="shared" si="10"/>
        <v>1391.27</v>
      </c>
      <c r="O8" s="39">
        <f t="shared" si="11"/>
        <v>735.98183000000006</v>
      </c>
      <c r="P8" s="42">
        <f t="shared" si="12"/>
        <v>8732.4244129500003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3"/>
        <v>5</v>
      </c>
      <c r="J9" s="39">
        <f t="shared" si="14"/>
        <v>254</v>
      </c>
      <c r="K9" s="39">
        <f t="shared" si="15"/>
        <v>63.5</v>
      </c>
      <c r="L9" s="39">
        <f t="shared" si="16"/>
        <v>5</v>
      </c>
      <c r="M9" s="148">
        <f t="shared" ref="M9:M42" si="17">6049*4</f>
        <v>24196</v>
      </c>
      <c r="N9" s="39">
        <f t="shared" si="10"/>
        <v>1209.8</v>
      </c>
      <c r="O9" s="39">
        <f t="shared" si="11"/>
        <v>639.98419999999999</v>
      </c>
      <c r="P9" s="42">
        <f t="shared" si="12"/>
        <v>7593.4125329999997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3"/>
        <v>5</v>
      </c>
      <c r="J10" s="39">
        <f t="shared" si="14"/>
        <v>234</v>
      </c>
      <c r="K10" s="39">
        <f t="shared" si="15"/>
        <v>58.5</v>
      </c>
      <c r="L10" s="39">
        <f t="shared" si="16"/>
        <v>5.25</v>
      </c>
      <c r="M10" s="148">
        <f t="shared" si="17"/>
        <v>24196</v>
      </c>
      <c r="N10" s="39">
        <f t="shared" si="10"/>
        <v>1270.29</v>
      </c>
      <c r="O10" s="39">
        <f t="shared" si="11"/>
        <v>671.98341000000005</v>
      </c>
      <c r="P10" s="42">
        <f t="shared" si="12"/>
        <v>7973.0831596500011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3"/>
        <v>1</v>
      </c>
      <c r="J11" s="39">
        <f t="shared" si="14"/>
        <v>213</v>
      </c>
      <c r="K11" s="39">
        <f t="shared" si="15"/>
        <v>53.25</v>
      </c>
      <c r="L11" s="39">
        <f t="shared" si="16"/>
        <v>3.75</v>
      </c>
      <c r="M11" s="148">
        <f t="shared" si="17"/>
        <v>24196</v>
      </c>
      <c r="N11" s="39">
        <f t="shared" si="10"/>
        <v>907.35</v>
      </c>
      <c r="O11" s="39">
        <f t="shared" si="11"/>
        <v>479.98815000000002</v>
      </c>
      <c r="P11" s="42">
        <f t="shared" si="12"/>
        <v>5695.05939975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 x14ac:dyDescent="0.3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3"/>
        <v>5</v>
      </c>
      <c r="J12" s="39">
        <f t="shared" si="14"/>
        <v>334</v>
      </c>
      <c r="K12" s="39">
        <f t="shared" si="15"/>
        <v>83.5</v>
      </c>
      <c r="L12" s="39">
        <f t="shared" si="16"/>
        <v>2.75</v>
      </c>
      <c r="M12" s="148">
        <f t="shared" si="17"/>
        <v>24196</v>
      </c>
      <c r="N12" s="39">
        <f t="shared" si="10"/>
        <v>665.39</v>
      </c>
      <c r="O12" s="39">
        <f t="shared" si="11"/>
        <v>351.99131</v>
      </c>
      <c r="P12" s="42">
        <f t="shared" si="12"/>
        <v>4176.3768931499999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3"/>
        <v>5</v>
      </c>
      <c r="J13" s="39">
        <f t="shared" si="14"/>
        <v>323</v>
      </c>
      <c r="K13" s="39">
        <f t="shared" si="15"/>
        <v>80.75</v>
      </c>
      <c r="L13" s="39">
        <f t="shared" si="16"/>
        <v>5.75</v>
      </c>
      <c r="M13" s="148">
        <f t="shared" si="17"/>
        <v>24196</v>
      </c>
      <c r="N13" s="39">
        <f t="shared" si="10"/>
        <v>1391.27</v>
      </c>
      <c r="O13" s="39">
        <f t="shared" si="11"/>
        <v>735.98183000000006</v>
      </c>
      <c r="P13" s="42">
        <f t="shared" si="12"/>
        <v>8732.4244129500003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4"/>
        <v>300</v>
      </c>
      <c r="K14" s="39">
        <f t="shared" si="15"/>
        <v>75</v>
      </c>
      <c r="L14" s="39">
        <f t="shared" si="16"/>
        <v>4.5</v>
      </c>
      <c r="M14" s="148">
        <f t="shared" si="17"/>
        <v>24196</v>
      </c>
      <c r="N14" s="39">
        <f t="shared" si="10"/>
        <v>1088.82</v>
      </c>
      <c r="O14" s="39">
        <f t="shared" si="11"/>
        <v>575.98577999999998</v>
      </c>
      <c r="P14" s="42">
        <f t="shared" si="12"/>
        <v>6834.0712796999996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4"/>
        <v>282</v>
      </c>
      <c r="K15" s="39">
        <f t="shared" si="15"/>
        <v>70.5</v>
      </c>
      <c r="L15" s="39">
        <f t="shared" si="16"/>
        <v>3</v>
      </c>
      <c r="M15" s="148">
        <f t="shared" si="17"/>
        <v>24196</v>
      </c>
      <c r="N15" s="39">
        <f t="shared" si="10"/>
        <v>725.88</v>
      </c>
      <c r="O15" s="39">
        <f t="shared" si="11"/>
        <v>383.99052</v>
      </c>
      <c r="P15" s="42">
        <f t="shared" si="12"/>
        <v>4556.0475198000004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3"/>
        <v>3</v>
      </c>
      <c r="J16" s="39">
        <f t="shared" si="14"/>
        <v>270</v>
      </c>
      <c r="K16" s="39">
        <f t="shared" si="15"/>
        <v>67.5</v>
      </c>
      <c r="L16" s="39">
        <f t="shared" si="16"/>
        <v>3.25</v>
      </c>
      <c r="M16" s="148">
        <f t="shared" si="17"/>
        <v>24196</v>
      </c>
      <c r="N16" s="39">
        <f t="shared" si="10"/>
        <v>786.37</v>
      </c>
      <c r="O16" s="39">
        <f t="shared" si="11"/>
        <v>415.98973000000001</v>
      </c>
      <c r="P16" s="42">
        <f t="shared" si="12"/>
        <v>4935.7181464499999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3"/>
        <v>3</v>
      </c>
      <c r="J17" s="39">
        <f t="shared" si="14"/>
        <v>257</v>
      </c>
      <c r="K17" s="39">
        <f t="shared" si="15"/>
        <v>64.25</v>
      </c>
      <c r="L17" s="39">
        <f t="shared" si="16"/>
        <v>3.25</v>
      </c>
      <c r="M17" s="148">
        <f t="shared" si="17"/>
        <v>24196</v>
      </c>
      <c r="N17" s="39">
        <f t="shared" si="10"/>
        <v>786.37</v>
      </c>
      <c r="O17" s="39">
        <f t="shared" si="11"/>
        <v>415.98973000000001</v>
      </c>
      <c r="P17" s="42">
        <f t="shared" si="12"/>
        <v>4935.7181464499999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44515</v>
      </c>
      <c r="B18" s="41">
        <v>61</v>
      </c>
      <c r="C18" s="39">
        <f t="shared" si="6"/>
        <v>6</v>
      </c>
      <c r="D18" s="41">
        <v>58</v>
      </c>
      <c r="E18" s="39">
        <f t="shared" si="7"/>
        <v>3</v>
      </c>
      <c r="F18" s="41">
        <v>62</v>
      </c>
      <c r="G18" s="39">
        <f t="shared" si="8"/>
        <v>7</v>
      </c>
      <c r="H18" s="41">
        <v>63</v>
      </c>
      <c r="I18" s="39">
        <f t="shared" si="13"/>
        <v>8</v>
      </c>
      <c r="J18" s="39">
        <f t="shared" si="14"/>
        <v>244</v>
      </c>
      <c r="K18" s="39">
        <f t="shared" si="15"/>
        <v>61</v>
      </c>
      <c r="L18" s="39">
        <f t="shared" si="16"/>
        <v>6</v>
      </c>
      <c r="M18" s="148">
        <f t="shared" si="17"/>
        <v>24196</v>
      </c>
      <c r="N18" s="39">
        <f t="shared" si="10"/>
        <v>1451.76</v>
      </c>
      <c r="O18" s="39">
        <f t="shared" si="11"/>
        <v>767.98104000000001</v>
      </c>
      <c r="P18" s="42">
        <f t="shared" si="12"/>
        <v>9112.0950396000007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44516</v>
      </c>
      <c r="B19" s="41">
        <v>55</v>
      </c>
      <c r="C19" s="39">
        <f t="shared" si="6"/>
        <v>5</v>
      </c>
      <c r="D19" s="41">
        <v>55</v>
      </c>
      <c r="E19" s="39">
        <f t="shared" si="7"/>
        <v>4</v>
      </c>
      <c r="F19" s="41">
        <v>55</v>
      </c>
      <c r="G19" s="39">
        <f t="shared" si="8"/>
        <v>4</v>
      </c>
      <c r="H19" s="41">
        <v>55</v>
      </c>
      <c r="I19" s="39">
        <f t="shared" si="13"/>
        <v>4</v>
      </c>
      <c r="J19" s="39">
        <f t="shared" si="14"/>
        <v>220</v>
      </c>
      <c r="K19" s="39">
        <f t="shared" si="15"/>
        <v>55</v>
      </c>
      <c r="L19" s="39">
        <f t="shared" si="16"/>
        <v>4.25</v>
      </c>
      <c r="M19" s="148">
        <f t="shared" si="17"/>
        <v>24196</v>
      </c>
      <c r="N19" s="39">
        <f t="shared" si="10"/>
        <v>1028.33</v>
      </c>
      <c r="O19" s="39">
        <f t="shared" si="11"/>
        <v>543.98657000000003</v>
      </c>
      <c r="P19" s="42">
        <f t="shared" si="12"/>
        <v>6454.4006530500001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44517</v>
      </c>
      <c r="B20" s="41">
        <v>50</v>
      </c>
      <c r="C20" s="39">
        <f t="shared" si="6"/>
        <v>8</v>
      </c>
      <c r="D20" s="41">
        <v>51</v>
      </c>
      <c r="E20" s="39">
        <f t="shared" si="7"/>
        <v>9</v>
      </c>
      <c r="F20" s="41">
        <v>51</v>
      </c>
      <c r="G20" s="39">
        <f t="shared" si="8"/>
        <v>6</v>
      </c>
      <c r="H20" s="41">
        <v>51</v>
      </c>
      <c r="I20" s="39">
        <f t="shared" si="13"/>
        <v>5</v>
      </c>
      <c r="J20" s="39">
        <f t="shared" si="14"/>
        <v>203</v>
      </c>
      <c r="K20" s="39">
        <f t="shared" si="15"/>
        <v>50.75</v>
      </c>
      <c r="L20" s="39">
        <f t="shared" ref="L20:L42" si="18">IF(AC20&gt;0,((K20-AD20)+(AE20-K21)),IF(K21=0, ,(K20-K21)))</f>
        <v>7</v>
      </c>
      <c r="M20" s="148">
        <f t="shared" si="17"/>
        <v>24196</v>
      </c>
      <c r="N20" s="39">
        <f t="shared" si="10"/>
        <v>1693.72</v>
      </c>
      <c r="O20" s="39">
        <f t="shared" si="11"/>
        <v>895.97788000000003</v>
      </c>
      <c r="P20" s="42">
        <f t="shared" si="12"/>
        <v>10630.777546200001</v>
      </c>
      <c r="Q20" s="39">
        <v>2932</v>
      </c>
      <c r="R20" s="39">
        <v>45</v>
      </c>
      <c r="S20" s="39">
        <v>85</v>
      </c>
      <c r="T20" s="39">
        <v>2903</v>
      </c>
      <c r="U20" s="39">
        <v>45</v>
      </c>
      <c r="V20" s="39">
        <v>85</v>
      </c>
      <c r="W20" s="39">
        <v>2965</v>
      </c>
      <c r="X20" s="39">
        <v>45</v>
      </c>
      <c r="Y20" s="39">
        <v>85</v>
      </c>
      <c r="Z20" s="39">
        <v>2864</v>
      </c>
      <c r="AA20" s="39">
        <v>47</v>
      </c>
      <c r="AB20" s="39">
        <v>85</v>
      </c>
      <c r="AC20" s="39">
        <f t="shared" si="3"/>
        <v>11664</v>
      </c>
      <c r="AD20" s="38">
        <f t="shared" si="4"/>
        <v>45.5</v>
      </c>
      <c r="AE20" s="38">
        <f t="shared" si="5"/>
        <v>85</v>
      </c>
    </row>
    <row r="21" spans="1:31" ht="32.25" customHeight="1" x14ac:dyDescent="0.3">
      <c r="A21" s="40">
        <v>44518</v>
      </c>
      <c r="B21" s="41">
        <v>82</v>
      </c>
      <c r="C21" s="39">
        <f t="shared" si="6"/>
        <v>5</v>
      </c>
      <c r="D21" s="41">
        <v>82</v>
      </c>
      <c r="E21" s="39">
        <f t="shared" si="7"/>
        <v>5</v>
      </c>
      <c r="F21" s="41">
        <v>85</v>
      </c>
      <c r="G21" s="39">
        <f t="shared" si="8"/>
        <v>0</v>
      </c>
      <c r="H21" s="41">
        <v>84</v>
      </c>
      <c r="I21" s="39">
        <f t="shared" si="13"/>
        <v>6</v>
      </c>
      <c r="J21" s="39">
        <f t="shared" si="14"/>
        <v>333</v>
      </c>
      <c r="K21" s="39">
        <f t="shared" si="15"/>
        <v>83.25</v>
      </c>
      <c r="L21" s="39">
        <f>IF(AC21&gt;0,((K21-AD21)+(AE21-K22)),IF(K22=0, ,(K21-K22)))</f>
        <v>4</v>
      </c>
      <c r="M21" s="148">
        <f t="shared" si="17"/>
        <v>24196</v>
      </c>
      <c r="N21" s="39">
        <f t="shared" si="10"/>
        <v>967.84</v>
      </c>
      <c r="O21" s="39">
        <f t="shared" si="11"/>
        <v>511.98736000000002</v>
      </c>
      <c r="P21" s="42">
        <f t="shared" si="12"/>
        <v>6074.7300264000005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44519</v>
      </c>
      <c r="B22" s="41">
        <v>77</v>
      </c>
      <c r="C22" s="39">
        <f t="shared" si="6"/>
        <v>6</v>
      </c>
      <c r="D22" s="41">
        <v>77</v>
      </c>
      <c r="E22" s="39">
        <f t="shared" si="7"/>
        <v>5</v>
      </c>
      <c r="F22" s="41">
        <v>85</v>
      </c>
      <c r="G22" s="39">
        <f t="shared" si="8"/>
        <v>0</v>
      </c>
      <c r="H22" s="41">
        <v>78</v>
      </c>
      <c r="I22" s="39">
        <f t="shared" si="13"/>
        <v>5</v>
      </c>
      <c r="J22" s="39">
        <f t="shared" si="14"/>
        <v>317</v>
      </c>
      <c r="K22" s="39">
        <f t="shared" si="15"/>
        <v>79.25</v>
      </c>
      <c r="L22" s="39">
        <f>IF(AC22&gt;0,((K22-AD22)+(AE22-K23)),IF(K23=0, ,(K22-K23)))</f>
        <v>4</v>
      </c>
      <c r="M22" s="148">
        <f t="shared" si="17"/>
        <v>24196</v>
      </c>
      <c r="N22" s="39">
        <f t="shared" si="10"/>
        <v>967.84</v>
      </c>
      <c r="O22" s="39">
        <f t="shared" si="11"/>
        <v>511.98736000000002</v>
      </c>
      <c r="P22" s="42">
        <f t="shared" si="12"/>
        <v>6074.7300264000005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44520</v>
      </c>
      <c r="B23" s="41">
        <v>71</v>
      </c>
      <c r="C23" s="39">
        <f t="shared" si="6"/>
        <v>5</v>
      </c>
      <c r="D23" s="41">
        <v>72</v>
      </c>
      <c r="E23" s="39">
        <f t="shared" si="7"/>
        <v>7</v>
      </c>
      <c r="F23" s="41">
        <v>85</v>
      </c>
      <c r="G23" s="39">
        <f t="shared" si="8"/>
        <v>0</v>
      </c>
      <c r="H23" s="41">
        <v>73</v>
      </c>
      <c r="I23" s="39">
        <f t="shared" si="13"/>
        <v>4</v>
      </c>
      <c r="J23" s="39">
        <f t="shared" si="14"/>
        <v>301</v>
      </c>
      <c r="K23" s="39">
        <f t="shared" si="15"/>
        <v>75.25</v>
      </c>
      <c r="L23" s="39">
        <f t="shared" si="18"/>
        <v>4</v>
      </c>
      <c r="M23" s="148">
        <f t="shared" si="17"/>
        <v>24196</v>
      </c>
      <c r="N23" s="39">
        <f t="shared" si="10"/>
        <v>967.84</v>
      </c>
      <c r="O23" s="39">
        <f t="shared" si="11"/>
        <v>511.98736000000002</v>
      </c>
      <c r="P23" s="42">
        <f t="shared" si="12"/>
        <v>6074.7300264000005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44521</v>
      </c>
      <c r="B24" s="41">
        <v>66</v>
      </c>
      <c r="C24" s="39">
        <f t="shared" si="6"/>
        <v>6</v>
      </c>
      <c r="D24" s="41">
        <v>65</v>
      </c>
      <c r="E24" s="39">
        <f t="shared" si="7"/>
        <v>5</v>
      </c>
      <c r="F24" s="41">
        <v>85</v>
      </c>
      <c r="G24" s="39">
        <f t="shared" si="8"/>
        <v>0</v>
      </c>
      <c r="H24" s="41">
        <v>69</v>
      </c>
      <c r="I24" s="39">
        <f t="shared" si="13"/>
        <v>7</v>
      </c>
      <c r="J24" s="39">
        <f t="shared" si="14"/>
        <v>285</v>
      </c>
      <c r="K24" s="39">
        <f t="shared" si="15"/>
        <v>71.25</v>
      </c>
      <c r="L24" s="39">
        <f t="shared" si="18"/>
        <v>4.5</v>
      </c>
      <c r="M24" s="148">
        <f t="shared" si="17"/>
        <v>24196</v>
      </c>
      <c r="N24" s="39">
        <f t="shared" si="10"/>
        <v>1088.82</v>
      </c>
      <c r="O24" s="39">
        <f t="shared" si="11"/>
        <v>575.98577999999998</v>
      </c>
      <c r="P24" s="42">
        <f t="shared" si="12"/>
        <v>6834.0712796999996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44522</v>
      </c>
      <c r="B25" s="41">
        <v>60</v>
      </c>
      <c r="C25" s="39">
        <f t="shared" si="6"/>
        <v>5</v>
      </c>
      <c r="D25" s="41">
        <v>60</v>
      </c>
      <c r="E25" s="39">
        <f t="shared" si="7"/>
        <v>5</v>
      </c>
      <c r="F25" s="41">
        <v>85</v>
      </c>
      <c r="G25" s="39">
        <f t="shared" si="8"/>
        <v>0</v>
      </c>
      <c r="H25" s="41">
        <v>62</v>
      </c>
      <c r="I25" s="39">
        <f t="shared" si="13"/>
        <v>6</v>
      </c>
      <c r="J25" s="39">
        <f t="shared" si="14"/>
        <v>267</v>
      </c>
      <c r="K25" s="39">
        <f t="shared" si="15"/>
        <v>66.75</v>
      </c>
      <c r="L25" s="39">
        <f t="shared" si="18"/>
        <v>4</v>
      </c>
      <c r="M25" s="148">
        <f t="shared" si="17"/>
        <v>24196</v>
      </c>
      <c r="N25" s="39">
        <f t="shared" si="10"/>
        <v>967.84</v>
      </c>
      <c r="O25" s="39">
        <f t="shared" si="11"/>
        <v>511.98736000000002</v>
      </c>
      <c r="P25" s="42">
        <f t="shared" si="12"/>
        <v>6074.7300264000005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44523</v>
      </c>
      <c r="B26" s="41">
        <v>55</v>
      </c>
      <c r="C26" s="39">
        <f t="shared" si="6"/>
        <v>0</v>
      </c>
      <c r="D26" s="41">
        <v>55</v>
      </c>
      <c r="E26" s="39">
        <f t="shared" si="7"/>
        <v>0</v>
      </c>
      <c r="F26" s="41">
        <v>85</v>
      </c>
      <c r="G26" s="39">
        <f t="shared" si="8"/>
        <v>6</v>
      </c>
      <c r="H26" s="41">
        <v>56</v>
      </c>
      <c r="I26" s="39">
        <f t="shared" si="13"/>
        <v>1</v>
      </c>
      <c r="J26" s="39">
        <f t="shared" si="14"/>
        <v>251</v>
      </c>
      <c r="K26" s="39">
        <f t="shared" si="15"/>
        <v>62.75</v>
      </c>
      <c r="L26" s="39">
        <f t="shared" si="18"/>
        <v>1.75</v>
      </c>
      <c r="M26" s="148">
        <f t="shared" si="17"/>
        <v>24196</v>
      </c>
      <c r="N26" s="39">
        <f t="shared" si="10"/>
        <v>423.43</v>
      </c>
      <c r="O26" s="39">
        <f t="shared" si="11"/>
        <v>223.99447000000001</v>
      </c>
      <c r="P26" s="42">
        <f t="shared" si="12"/>
        <v>2657.6943865500002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44524</v>
      </c>
      <c r="B27" s="41">
        <v>55</v>
      </c>
      <c r="C27" s="39">
        <f t="shared" si="6"/>
        <v>3</v>
      </c>
      <c r="D27" s="41">
        <v>55</v>
      </c>
      <c r="E27" s="39">
        <f t="shared" si="7"/>
        <v>3</v>
      </c>
      <c r="F27" s="41">
        <v>79</v>
      </c>
      <c r="G27" s="39">
        <f t="shared" si="8"/>
        <v>5</v>
      </c>
      <c r="H27" s="41">
        <v>55</v>
      </c>
      <c r="I27" s="39">
        <f t="shared" si="13"/>
        <v>2</v>
      </c>
      <c r="J27" s="39">
        <f t="shared" si="14"/>
        <v>244</v>
      </c>
      <c r="K27" s="39">
        <f t="shared" si="15"/>
        <v>61</v>
      </c>
      <c r="L27" s="39">
        <f t="shared" si="18"/>
        <v>3.25</v>
      </c>
      <c r="M27" s="148">
        <f t="shared" si="17"/>
        <v>24196</v>
      </c>
      <c r="N27" s="39">
        <f t="shared" si="10"/>
        <v>786.37</v>
      </c>
      <c r="O27" s="39">
        <f t="shared" si="11"/>
        <v>415.98973000000001</v>
      </c>
      <c r="P27" s="42">
        <f t="shared" si="12"/>
        <v>4935.7181464499999</v>
      </c>
      <c r="Q27" s="39">
        <v>2554</v>
      </c>
      <c r="R27" s="39">
        <v>53</v>
      </c>
      <c r="S27" s="39">
        <v>85</v>
      </c>
      <c r="T27" s="39">
        <v>2578</v>
      </c>
      <c r="U27" s="39">
        <v>53</v>
      </c>
      <c r="V27" s="39">
        <v>85</v>
      </c>
      <c r="W27" s="39">
        <v>975</v>
      </c>
      <c r="X27" s="39">
        <v>74</v>
      </c>
      <c r="Y27" s="39">
        <v>85</v>
      </c>
      <c r="Z27" s="39">
        <v>2545</v>
      </c>
      <c r="AA27" s="39">
        <v>53</v>
      </c>
      <c r="AB27" s="39">
        <v>85</v>
      </c>
      <c r="AC27" s="39">
        <f t="shared" si="20"/>
        <v>8652</v>
      </c>
      <c r="AD27" s="38">
        <f t="shared" si="19"/>
        <v>58.25</v>
      </c>
      <c r="AE27" s="38">
        <f>(S27+V27+Y27+AB27)/4</f>
        <v>85</v>
      </c>
    </row>
    <row r="28" spans="1:31" ht="32.25" customHeight="1" x14ac:dyDescent="0.3">
      <c r="A28" s="40">
        <v>44525</v>
      </c>
      <c r="B28" s="41">
        <v>84</v>
      </c>
      <c r="C28" s="39">
        <f t="shared" si="6"/>
        <v>2</v>
      </c>
      <c r="D28" s="41">
        <v>84</v>
      </c>
      <c r="E28" s="39">
        <f t="shared" si="7"/>
        <v>3</v>
      </c>
      <c r="F28" s="41">
        <v>85</v>
      </c>
      <c r="G28" s="39">
        <f t="shared" si="8"/>
        <v>2</v>
      </c>
      <c r="H28" s="41">
        <v>85</v>
      </c>
      <c r="I28" s="39">
        <f>IF(AC28&gt;0,((H28-AA28)+(AB28-H29)),IF(H29=0, ,(H28-H29)))</f>
        <v>2</v>
      </c>
      <c r="J28" s="39">
        <f t="shared" si="14"/>
        <v>338</v>
      </c>
      <c r="K28" s="39">
        <f t="shared" si="15"/>
        <v>84.5</v>
      </c>
      <c r="L28" s="39">
        <f t="shared" si="18"/>
        <v>2.25</v>
      </c>
      <c r="M28" s="148">
        <f t="shared" si="17"/>
        <v>24196</v>
      </c>
      <c r="N28" s="39">
        <f t="shared" si="10"/>
        <v>544.41</v>
      </c>
      <c r="O28" s="39">
        <f t="shared" si="11"/>
        <v>287.99288999999999</v>
      </c>
      <c r="P28" s="42">
        <f t="shared" si="12"/>
        <v>3417.0356398499998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44526</v>
      </c>
      <c r="B29" s="41">
        <v>82</v>
      </c>
      <c r="C29" s="39">
        <f t="shared" si="6"/>
        <v>3</v>
      </c>
      <c r="D29" s="41">
        <v>81</v>
      </c>
      <c r="E29" s="39">
        <f t="shared" si="7"/>
        <v>1</v>
      </c>
      <c r="F29" s="41">
        <v>83</v>
      </c>
      <c r="G29" s="39">
        <f t="shared" si="8"/>
        <v>3</v>
      </c>
      <c r="H29" s="41">
        <v>83</v>
      </c>
      <c r="I29" s="39">
        <f t="shared" si="13"/>
        <v>2</v>
      </c>
      <c r="J29" s="39">
        <f t="shared" si="14"/>
        <v>329</v>
      </c>
      <c r="K29" s="39">
        <f t="shared" si="15"/>
        <v>82.25</v>
      </c>
      <c r="L29" s="39">
        <f t="shared" si="18"/>
        <v>2.25</v>
      </c>
      <c r="M29" s="148">
        <f t="shared" si="17"/>
        <v>24196</v>
      </c>
      <c r="N29" s="39">
        <f t="shared" si="10"/>
        <v>544.41</v>
      </c>
      <c r="O29" s="39">
        <f t="shared" si="11"/>
        <v>287.99288999999999</v>
      </c>
      <c r="P29" s="42">
        <f t="shared" si="12"/>
        <v>3417.0356398499998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44527</v>
      </c>
      <c r="B30" s="41">
        <v>79</v>
      </c>
      <c r="C30" s="39">
        <f t="shared" si="6"/>
        <v>4</v>
      </c>
      <c r="D30" s="41">
        <v>80</v>
      </c>
      <c r="E30" s="39">
        <f t="shared" si="7"/>
        <v>5</v>
      </c>
      <c r="F30" s="41">
        <v>80</v>
      </c>
      <c r="G30" s="39">
        <f t="shared" si="8"/>
        <v>4</v>
      </c>
      <c r="H30" s="41">
        <v>81</v>
      </c>
      <c r="I30" s="39">
        <f t="shared" si="13"/>
        <v>5</v>
      </c>
      <c r="J30" s="39">
        <f t="shared" si="14"/>
        <v>320</v>
      </c>
      <c r="K30" s="39">
        <f t="shared" si="15"/>
        <v>80</v>
      </c>
      <c r="L30" s="39">
        <f t="shared" si="18"/>
        <v>4.5</v>
      </c>
      <c r="M30" s="148">
        <f t="shared" si="17"/>
        <v>24196</v>
      </c>
      <c r="N30" s="39">
        <f t="shared" si="10"/>
        <v>1088.82</v>
      </c>
      <c r="O30" s="39">
        <f t="shared" si="11"/>
        <v>575.98577999999998</v>
      </c>
      <c r="P30" s="42">
        <f t="shared" si="12"/>
        <v>6834.0712796999996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44528</v>
      </c>
      <c r="B31" s="41">
        <v>75</v>
      </c>
      <c r="C31" s="39">
        <f t="shared" si="6"/>
        <v>5</v>
      </c>
      <c r="D31" s="41">
        <v>75</v>
      </c>
      <c r="E31" s="39">
        <f t="shared" si="7"/>
        <v>5</v>
      </c>
      <c r="F31" s="41">
        <v>76</v>
      </c>
      <c r="G31" s="39">
        <f t="shared" si="8"/>
        <v>5</v>
      </c>
      <c r="H31" s="41">
        <v>76</v>
      </c>
      <c r="I31" s="39">
        <f t="shared" si="13"/>
        <v>4</v>
      </c>
      <c r="J31" s="39">
        <f t="shared" si="14"/>
        <v>302</v>
      </c>
      <c r="K31" s="39">
        <f t="shared" si="15"/>
        <v>75.5</v>
      </c>
      <c r="L31" s="39">
        <f t="shared" si="18"/>
        <v>4.75</v>
      </c>
      <c r="M31" s="148">
        <f t="shared" si="17"/>
        <v>24196</v>
      </c>
      <c r="N31" s="39">
        <f t="shared" si="10"/>
        <v>1149.31</v>
      </c>
      <c r="O31" s="39">
        <f t="shared" si="11"/>
        <v>607.98499000000004</v>
      </c>
      <c r="P31" s="42">
        <f t="shared" si="12"/>
        <v>7213.741906350001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44529</v>
      </c>
      <c r="B32" s="41">
        <v>70</v>
      </c>
      <c r="C32" s="39">
        <f t="shared" si="6"/>
        <v>4</v>
      </c>
      <c r="D32" s="41">
        <v>70</v>
      </c>
      <c r="E32" s="39">
        <f t="shared" si="7"/>
        <v>5</v>
      </c>
      <c r="F32" s="41">
        <v>71</v>
      </c>
      <c r="G32" s="39">
        <f t="shared" si="8"/>
        <v>4</v>
      </c>
      <c r="H32" s="41">
        <v>72</v>
      </c>
      <c r="I32" s="39">
        <f t="shared" si="13"/>
        <v>3</v>
      </c>
      <c r="J32" s="39">
        <f t="shared" si="14"/>
        <v>283</v>
      </c>
      <c r="K32" s="39">
        <f t="shared" si="15"/>
        <v>70.75</v>
      </c>
      <c r="L32" s="39">
        <f t="shared" si="18"/>
        <v>4</v>
      </c>
      <c r="M32" s="148">
        <f t="shared" si="17"/>
        <v>24196</v>
      </c>
      <c r="N32" s="39">
        <f t="shared" si="10"/>
        <v>967.84</v>
      </c>
      <c r="O32" s="39">
        <f t="shared" si="11"/>
        <v>511.98736000000002</v>
      </c>
      <c r="P32" s="42">
        <f t="shared" si="12"/>
        <v>6074.7300264000005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44530</v>
      </c>
      <c r="B33" s="41">
        <v>66</v>
      </c>
      <c r="C33" s="39">
        <f t="shared" si="6"/>
        <v>5</v>
      </c>
      <c r="D33" s="41">
        <v>65</v>
      </c>
      <c r="E33" s="39">
        <f t="shared" si="7"/>
        <v>5</v>
      </c>
      <c r="F33" s="41">
        <v>67</v>
      </c>
      <c r="G33" s="39">
        <f t="shared" si="8"/>
        <v>5</v>
      </c>
      <c r="H33" s="41">
        <v>69</v>
      </c>
      <c r="I33" s="39">
        <f t="shared" si="13"/>
        <v>6</v>
      </c>
      <c r="J33" s="39">
        <f t="shared" si="14"/>
        <v>267</v>
      </c>
      <c r="K33" s="39">
        <f t="shared" si="15"/>
        <v>66.75</v>
      </c>
      <c r="L33" s="39">
        <f t="shared" si="18"/>
        <v>5.25</v>
      </c>
      <c r="M33" s="148">
        <f t="shared" si="17"/>
        <v>24196</v>
      </c>
      <c r="N33" s="39">
        <f t="shared" si="10"/>
        <v>1270.29</v>
      </c>
      <c r="O33" s="39">
        <f t="shared" si="11"/>
        <v>671.98341000000005</v>
      </c>
      <c r="P33" s="42">
        <f t="shared" si="12"/>
        <v>7973.0831596500011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44531</v>
      </c>
      <c r="B34" s="41">
        <v>61</v>
      </c>
      <c r="C34" s="39">
        <f t="shared" si="6"/>
        <v>0</v>
      </c>
      <c r="D34" s="41">
        <v>60</v>
      </c>
      <c r="E34" s="39">
        <f t="shared" si="7"/>
        <v>0</v>
      </c>
      <c r="F34" s="41">
        <v>62</v>
      </c>
      <c r="G34" s="39">
        <f t="shared" si="8"/>
        <v>0</v>
      </c>
      <c r="H34" s="41">
        <v>63</v>
      </c>
      <c r="I34" s="39">
        <f t="shared" si="13"/>
        <v>0</v>
      </c>
      <c r="J34" s="39">
        <f>B34+D34+F34+H34</f>
        <v>246</v>
      </c>
      <c r="K34" s="39">
        <f>J34/4</f>
        <v>61.5</v>
      </c>
      <c r="L34" s="39">
        <f>IF(AC34&gt;0,((K34-AD34)+(AE34-K35)),IF(K35=0, ,(K34-K35)))</f>
        <v>0</v>
      </c>
      <c r="M34" s="148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2">O34*10.491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3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8">
        <f t="shared" si="17"/>
        <v>24196</v>
      </c>
      <c r="N35" s="39">
        <f t="shared" ref="N35:N42" si="23">L35*M35/100</f>
        <v>0</v>
      </c>
      <c r="O35" s="39">
        <f t="shared" ref="O35:O37" si="24">N35*0.529</f>
        <v>0</v>
      </c>
      <c r="P35" s="42">
        <f t="shared" si="22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18"/>
        <v>0</v>
      </c>
      <c r="M36" s="148">
        <f t="shared" si="17"/>
        <v>24196</v>
      </c>
      <c r="N36" s="39">
        <f t="shared" si="23"/>
        <v>0</v>
      </c>
      <c r="O36" s="39">
        <f t="shared" si="24"/>
        <v>0</v>
      </c>
      <c r="P36" s="42">
        <f t="shared" si="22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18"/>
        <v>0</v>
      </c>
      <c r="M37" s="148">
        <f t="shared" si="17"/>
        <v>24196</v>
      </c>
      <c r="N37" s="39">
        <f t="shared" si="23"/>
        <v>0</v>
      </c>
      <c r="O37" s="39">
        <f t="shared" si="24"/>
        <v>0</v>
      </c>
      <c r="P37" s="42">
        <f t="shared" ref="P37:P39" si="30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4"/>
        <v>0</v>
      </c>
      <c r="K38" s="39">
        <f t="shared" si="15"/>
        <v>0</v>
      </c>
      <c r="L38" s="39">
        <f t="shared" si="18"/>
        <v>0</v>
      </c>
      <c r="M38" s="148">
        <f t="shared" si="17"/>
        <v>24196</v>
      </c>
      <c r="N38" s="39">
        <f t="shared" si="23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4"/>
        <v>0</v>
      </c>
      <c r="K39" s="39">
        <f t="shared" si="15"/>
        <v>0</v>
      </c>
      <c r="L39" s="39">
        <f t="shared" si="18"/>
        <v>0</v>
      </c>
      <c r="M39" s="148">
        <f t="shared" si="17"/>
        <v>24196</v>
      </c>
      <c r="N39" s="39">
        <f t="shared" si="23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4"/>
        <v>0</v>
      </c>
      <c r="K40" s="39">
        <f t="shared" si="15"/>
        <v>0</v>
      </c>
      <c r="L40" s="39">
        <f t="shared" si="18"/>
        <v>0</v>
      </c>
      <c r="M40" s="148">
        <f t="shared" si="17"/>
        <v>24196</v>
      </c>
      <c r="N40" s="39">
        <f t="shared" si="23"/>
        <v>0</v>
      </c>
      <c r="O40" s="39">
        <f>N40*0.53</f>
        <v>0</v>
      </c>
      <c r="P40" s="42">
        <f t="shared" ref="P40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4"/>
        <v>0</v>
      </c>
      <c r="K41" s="39">
        <f t="shared" si="15"/>
        <v>0</v>
      </c>
      <c r="L41" s="39">
        <f t="shared" si="18"/>
        <v>0</v>
      </c>
      <c r="M41" s="148">
        <f t="shared" si="17"/>
        <v>24196</v>
      </c>
      <c r="N41" s="39">
        <f t="shared" si="23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4"/>
        <v>0</v>
      </c>
      <c r="K42" s="39">
        <f t="shared" si="15"/>
        <v>0</v>
      </c>
      <c r="L42" s="39">
        <f t="shared" si="18"/>
        <v>0</v>
      </c>
      <c r="M42" s="148">
        <f t="shared" si="17"/>
        <v>24196</v>
      </c>
      <c r="N42" s="39">
        <f t="shared" si="23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29156.180000000004</v>
      </c>
      <c r="O43" s="39">
        <f>N43*0.529</f>
        <v>15423.619220000002</v>
      </c>
      <c r="P43" s="42">
        <f>O43*11.865</f>
        <v>183001.24204530002</v>
      </c>
      <c r="Q43" s="280">
        <f>SUM(Q4:Q42)</f>
        <v>10562</v>
      </c>
      <c r="R43" s="281"/>
      <c r="S43" s="282"/>
      <c r="T43" s="283">
        <f>SUM(T4:T42)</f>
        <v>10274</v>
      </c>
      <c r="U43" s="281"/>
      <c r="V43" s="282"/>
      <c r="W43" s="283">
        <f>SUM(W4:W42)</f>
        <v>8314</v>
      </c>
      <c r="X43" s="281"/>
      <c r="Y43" s="282"/>
      <c r="Z43" s="283">
        <f>SUM(Z4:Z42)</f>
        <v>9938</v>
      </c>
      <c r="AA43" s="281"/>
      <c r="AB43" s="282"/>
      <c r="AC43" s="39">
        <f t="shared" si="20"/>
        <v>39088</v>
      </c>
    </row>
    <row r="44" spans="1:31" ht="35.25" customHeight="1" thickBot="1" x14ac:dyDescent="0.35">
      <c r="B44" s="289"/>
      <c r="C44" s="290"/>
      <c r="D44" s="290"/>
      <c r="E44" s="290"/>
      <c r="F44" s="290"/>
      <c r="G44" s="290"/>
      <c r="H44" s="290"/>
      <c r="I44" s="291"/>
      <c r="J44" s="37"/>
      <c r="K44" s="37"/>
      <c r="L44" s="37"/>
      <c r="M44" s="37"/>
      <c r="N44" s="37"/>
      <c r="O44" s="37"/>
      <c r="P44" s="37"/>
      <c r="Q44" s="292">
        <f>Q43+T43+W43+Z43</f>
        <v>39088</v>
      </c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4"/>
      <c r="AC44" s="39">
        <f>Q44+T44+W44+Z44</f>
        <v>39088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76" t="s">
        <v>85</v>
      </c>
      <c r="I47" s="277"/>
      <c r="J47" s="278"/>
      <c r="K47" s="45">
        <f>N43</f>
        <v>29156.180000000004</v>
      </c>
      <c r="L47" s="46">
        <f>O43</f>
        <v>15423.619220000002</v>
      </c>
      <c r="M47" s="46">
        <f>P43</f>
        <v>183001.24204530002</v>
      </c>
    </row>
    <row r="48" spans="1:31" ht="54.75" customHeight="1" thickBot="1" x14ac:dyDescent="0.35">
      <c r="H48" s="276" t="s">
        <v>86</v>
      </c>
      <c r="I48" s="277"/>
      <c r="J48" s="278"/>
      <c r="K48" s="43">
        <f>AC44</f>
        <v>39088</v>
      </c>
      <c r="L48" s="44">
        <f>K48*0.529</f>
        <v>20677.552</v>
      </c>
      <c r="M48" s="44">
        <f>L48*11.865</f>
        <v>245339.15448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5"/>
      <c r="B1" s="267"/>
      <c r="C1" s="353" t="s">
        <v>87</v>
      </c>
      <c r="D1" s="354"/>
      <c r="E1" s="354"/>
      <c r="F1" s="354"/>
      <c r="G1" s="354"/>
      <c r="H1" s="359" t="s">
        <v>88</v>
      </c>
      <c r="I1" s="360"/>
      <c r="J1" s="361"/>
    </row>
    <row r="2" spans="1:10" ht="16.5" customHeight="1" thickBot="1" x14ac:dyDescent="0.25">
      <c r="A2" s="268"/>
      <c r="B2" s="270"/>
      <c r="C2" s="355"/>
      <c r="D2" s="356"/>
      <c r="E2" s="356"/>
      <c r="F2" s="356"/>
      <c r="G2" s="356"/>
      <c r="H2" s="362"/>
      <c r="I2" s="363"/>
      <c r="J2" s="364"/>
    </row>
    <row r="3" spans="1:10" ht="15" customHeight="1" x14ac:dyDescent="0.2">
      <c r="A3" s="268"/>
      <c r="B3" s="270"/>
      <c r="C3" s="355"/>
      <c r="D3" s="356"/>
      <c r="E3" s="356"/>
      <c r="F3" s="356"/>
      <c r="G3" s="356"/>
      <c r="H3" s="365" t="s">
        <v>89</v>
      </c>
      <c r="I3" s="366"/>
      <c r="J3" s="367"/>
    </row>
    <row r="4" spans="1:10" ht="15.75" customHeight="1" thickBot="1" x14ac:dyDescent="0.25">
      <c r="A4" s="271"/>
      <c r="B4" s="273"/>
      <c r="C4" s="357"/>
      <c r="D4" s="358"/>
      <c r="E4" s="358"/>
      <c r="F4" s="358"/>
      <c r="G4" s="358"/>
      <c r="H4" s="368"/>
      <c r="I4" s="369"/>
      <c r="J4" s="370"/>
    </row>
    <row r="6" spans="1:10" ht="33" customHeight="1" thickBot="1" x14ac:dyDescent="0.25"/>
    <row r="7" spans="1:10" ht="36.75" thickTop="1" x14ac:dyDescent="0.2">
      <c r="A7" s="371" t="s">
        <v>90</v>
      </c>
      <c r="B7" s="371"/>
      <c r="C7" s="372" t="s">
        <v>91</v>
      </c>
      <c r="D7" s="373"/>
      <c r="E7" s="61" t="s">
        <v>92</v>
      </c>
      <c r="F7" s="61" t="s">
        <v>93</v>
      </c>
      <c r="G7" s="61" t="s">
        <v>94</v>
      </c>
      <c r="H7" s="61" t="s">
        <v>95</v>
      </c>
      <c r="I7" s="374" t="s">
        <v>96</v>
      </c>
      <c r="J7" s="375"/>
    </row>
    <row r="8" spans="1:10" x14ac:dyDescent="0.2">
      <c r="A8" s="341">
        <v>95670781</v>
      </c>
      <c r="B8" s="341"/>
      <c r="C8" s="346">
        <v>44497</v>
      </c>
      <c r="D8" s="347"/>
      <c r="E8" s="113">
        <v>44528</v>
      </c>
      <c r="F8" s="156" t="s">
        <v>97</v>
      </c>
      <c r="G8" s="62"/>
      <c r="H8" s="62"/>
      <c r="I8" s="348"/>
      <c r="J8" s="349"/>
    </row>
    <row r="10" spans="1:10" ht="23.25" customHeight="1" thickBot="1" x14ac:dyDescent="0.25"/>
    <row r="11" spans="1:10" ht="24.75" customHeight="1" thickTop="1" x14ac:dyDescent="0.2">
      <c r="A11" s="325" t="s">
        <v>98</v>
      </c>
      <c r="B11" s="325"/>
      <c r="C11" s="350" t="s">
        <v>99</v>
      </c>
      <c r="D11" s="351"/>
      <c r="E11" s="325" t="s">
        <v>100</v>
      </c>
      <c r="F11" s="325"/>
      <c r="G11" s="350" t="s">
        <v>101</v>
      </c>
      <c r="H11" s="351"/>
      <c r="I11" s="352" t="s">
        <v>102</v>
      </c>
      <c r="J11" s="352"/>
    </row>
    <row r="12" spans="1:10" x14ac:dyDescent="0.2">
      <c r="A12" s="341" t="s">
        <v>103</v>
      </c>
      <c r="B12" s="341"/>
      <c r="C12" s="341">
        <v>3750</v>
      </c>
      <c r="D12" s="341"/>
      <c r="E12" s="341">
        <v>1000</v>
      </c>
      <c r="F12" s="341"/>
      <c r="G12" s="342">
        <v>893</v>
      </c>
      <c r="H12" s="342"/>
      <c r="I12" s="343"/>
      <c r="J12" s="343"/>
    </row>
    <row r="13" spans="1:10" x14ac:dyDescent="0.2">
      <c r="A13" s="344"/>
      <c r="B13" s="345"/>
      <c r="C13" s="345"/>
      <c r="D13" s="345"/>
      <c r="E13" s="345"/>
      <c r="F13" s="345"/>
      <c r="G13" s="345"/>
      <c r="H13" s="345"/>
      <c r="I13" s="345"/>
      <c r="J13" s="345"/>
    </row>
    <row r="15" spans="1:10" ht="13.5" thickBot="1" x14ac:dyDescent="0.25"/>
    <row r="16" spans="1:10" ht="26.25" thickTop="1" x14ac:dyDescent="0.2">
      <c r="A16" s="325" t="s">
        <v>104</v>
      </c>
      <c r="B16" s="325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 x14ac:dyDescent="0.2">
      <c r="A17" s="330" t="s">
        <v>110</v>
      </c>
      <c r="B17" s="331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2"/>
      <c r="H17" s="333"/>
      <c r="I17" s="332">
        <f>+E17</f>
        <v>178715</v>
      </c>
      <c r="J17" s="333"/>
    </row>
    <row r="18" spans="1:10" x14ac:dyDescent="0.2">
      <c r="A18" s="330" t="s">
        <v>111</v>
      </c>
      <c r="B18" s="331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2"/>
      <c r="H18" s="333"/>
      <c r="I18" s="332">
        <f>+E18</f>
        <v>115147</v>
      </c>
      <c r="J18" s="333"/>
    </row>
    <row r="19" spans="1:10" x14ac:dyDescent="0.2">
      <c r="A19" s="330" t="s">
        <v>112</v>
      </c>
      <c r="B19" s="331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2"/>
      <c r="H19" s="333"/>
      <c r="I19" s="332">
        <f>+E19</f>
        <v>80666</v>
      </c>
      <c r="J19" s="333"/>
    </row>
    <row r="20" spans="1:10" ht="15" x14ac:dyDescent="0.25">
      <c r="A20" s="334" t="s">
        <v>113</v>
      </c>
      <c r="B20" s="335"/>
      <c r="C20" s="68"/>
      <c r="D20" s="69"/>
      <c r="E20" s="68">
        <f>SUM(E17:E19)</f>
        <v>374528</v>
      </c>
      <c r="F20" s="70"/>
      <c r="G20" s="336"/>
      <c r="H20" s="337"/>
      <c r="I20" s="336"/>
      <c r="J20" s="337"/>
    </row>
    <row r="21" spans="1:10" x14ac:dyDescent="0.2">
      <c r="C21" s="110" t="s">
        <v>18</v>
      </c>
      <c r="D21" t="s">
        <v>114</v>
      </c>
      <c r="G21" s="317"/>
      <c r="H21" s="317"/>
    </row>
    <row r="22" spans="1:10" ht="13.5" thickBot="1" x14ac:dyDescent="0.25">
      <c r="G22" s="318"/>
      <c r="H22" s="318"/>
    </row>
    <row r="23" spans="1:10" ht="13.5" thickTop="1" x14ac:dyDescent="0.2">
      <c r="A23" s="319" t="s">
        <v>115</v>
      </c>
      <c r="B23" s="320"/>
      <c r="C23" s="321"/>
      <c r="D23" s="325" t="s">
        <v>116</v>
      </c>
      <c r="E23" s="325" t="s">
        <v>117</v>
      </c>
      <c r="F23" s="327" t="s">
        <v>118</v>
      </c>
      <c r="G23" s="329" t="s">
        <v>119</v>
      </c>
      <c r="H23" s="329"/>
      <c r="I23" s="313" t="s">
        <v>120</v>
      </c>
      <c r="J23" s="313"/>
    </row>
    <row r="24" spans="1:10" x14ac:dyDescent="0.2">
      <c r="A24" s="322"/>
      <c r="B24" s="323"/>
      <c r="C24" s="324"/>
      <c r="D24" s="326"/>
      <c r="E24" s="326"/>
      <c r="F24" s="328"/>
      <c r="G24" s="157" t="s">
        <v>121</v>
      </c>
      <c r="H24" s="71" t="s">
        <v>122</v>
      </c>
      <c r="I24" s="313"/>
      <c r="J24" s="313"/>
    </row>
    <row r="25" spans="1:10" ht="15" x14ac:dyDescent="0.25">
      <c r="A25" s="314" t="s">
        <v>123</v>
      </c>
      <c r="B25" s="315"/>
      <c r="C25" s="316"/>
      <c r="D25" s="67">
        <f>+E17</f>
        <v>178715</v>
      </c>
      <c r="E25" s="72">
        <v>0.95140000000000002</v>
      </c>
      <c r="F25" s="73">
        <f>PRODUCT(D25*E25)</f>
        <v>170029.451</v>
      </c>
      <c r="G25" s="150">
        <v>14</v>
      </c>
      <c r="H25" s="65">
        <f>PRODUCT(0.14,F25)</f>
        <v>23804.123140000003</v>
      </c>
      <c r="I25" s="298">
        <f>SUM(H25,F25)</f>
        <v>193833.57414000001</v>
      </c>
      <c r="J25" s="299"/>
    </row>
    <row r="26" spans="1:10" ht="15" x14ac:dyDescent="0.25">
      <c r="A26" s="295" t="s">
        <v>124</v>
      </c>
      <c r="B26" s="296"/>
      <c r="C26" s="297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298">
        <f t="shared" ref="I26:I31" si="0">SUM(H26,F26)</f>
        <v>91690.404630000005</v>
      </c>
      <c r="J26" s="299"/>
    </row>
    <row r="27" spans="1:10" ht="15" x14ac:dyDescent="0.25">
      <c r="A27" s="295" t="s">
        <v>125</v>
      </c>
      <c r="B27" s="296"/>
      <c r="C27" s="297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298">
        <f>SUM(H27,F27)</f>
        <v>122342.57289600001</v>
      </c>
      <c r="J27" s="299"/>
    </row>
    <row r="28" spans="1:10" ht="15" x14ac:dyDescent="0.25">
      <c r="A28" s="295" t="s">
        <v>126</v>
      </c>
      <c r="B28" s="296"/>
      <c r="C28" s="29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298">
        <f t="shared" si="0"/>
        <v>50025.103799999997</v>
      </c>
      <c r="J28" s="299"/>
    </row>
    <row r="29" spans="1:10" ht="15" x14ac:dyDescent="0.25">
      <c r="A29" s="308" t="s">
        <v>127</v>
      </c>
      <c r="B29" s="309"/>
      <c r="C29" s="31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1">
        <f t="shared" si="0"/>
        <v>0</v>
      </c>
      <c r="J29" s="312"/>
    </row>
    <row r="30" spans="1:10" ht="15" x14ac:dyDescent="0.25">
      <c r="A30" s="295" t="s">
        <v>128</v>
      </c>
      <c r="B30" s="296"/>
      <c r="C30" s="29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298">
        <f>SUM(H30,F30)</f>
        <v>1009.2</v>
      </c>
      <c r="J30" s="299"/>
    </row>
    <row r="31" spans="1:10" ht="15.75" thickBot="1" x14ac:dyDescent="0.3">
      <c r="A31" s="300" t="s">
        <v>129</v>
      </c>
      <c r="B31" s="301"/>
      <c r="C31" s="30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298">
        <f t="shared" si="0"/>
        <v>1596.44</v>
      </c>
      <c r="J31" s="299"/>
    </row>
    <row r="32" spans="1:10" ht="21" x14ac:dyDescent="0.2">
      <c r="A32" s="303" t="s">
        <v>130</v>
      </c>
      <c r="B32" s="304"/>
      <c r="C32" s="304"/>
      <c r="D32" s="304"/>
      <c r="E32" s="304"/>
      <c r="F32" s="84">
        <f>SUM(F25:F31)</f>
        <v>403992.3469</v>
      </c>
      <c r="G32" s="85"/>
      <c r="H32" s="86"/>
      <c r="I32" s="307">
        <f>SUM(I25:J31)</f>
        <v>460497.29546600004</v>
      </c>
      <c r="J32" s="307"/>
    </row>
    <row r="33" spans="1:10" ht="21.75" thickBot="1" x14ac:dyDescent="0.25">
      <c r="A33" s="305"/>
      <c r="B33" s="306"/>
      <c r="C33" s="306"/>
      <c r="D33" s="306"/>
      <c r="E33" s="306"/>
      <c r="F33" s="87"/>
      <c r="G33" s="88"/>
      <c r="H33" s="89"/>
      <c r="I33" s="307"/>
      <c r="J33" s="30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5"/>
      <c r="B1" s="267"/>
      <c r="C1" s="353" t="s">
        <v>131</v>
      </c>
      <c r="D1" s="354"/>
      <c r="E1" s="354"/>
      <c r="F1" s="354"/>
      <c r="G1" s="354"/>
      <c r="H1" s="359" t="s">
        <v>88</v>
      </c>
      <c r="I1" s="360"/>
      <c r="J1" s="361"/>
    </row>
    <row r="2" spans="1:10" ht="16.5" customHeight="1" thickBot="1" x14ac:dyDescent="0.25">
      <c r="A2" s="268"/>
      <c r="B2" s="270"/>
      <c r="C2" s="355"/>
      <c r="D2" s="356"/>
      <c r="E2" s="356"/>
      <c r="F2" s="356"/>
      <c r="G2" s="356"/>
      <c r="H2" s="362"/>
      <c r="I2" s="363"/>
      <c r="J2" s="364"/>
    </row>
    <row r="3" spans="1:10" ht="15" customHeight="1" x14ac:dyDescent="0.2">
      <c r="A3" s="268"/>
      <c r="B3" s="270"/>
      <c r="C3" s="355"/>
      <c r="D3" s="356"/>
      <c r="E3" s="356"/>
      <c r="F3" s="356"/>
      <c r="G3" s="356"/>
      <c r="H3" s="365" t="s">
        <v>89</v>
      </c>
      <c r="I3" s="366"/>
      <c r="J3" s="367"/>
    </row>
    <row r="4" spans="1:10" ht="15.75" customHeight="1" thickBot="1" x14ac:dyDescent="0.25">
      <c r="A4" s="271"/>
      <c r="B4" s="273"/>
      <c r="C4" s="357"/>
      <c r="D4" s="358"/>
      <c r="E4" s="358"/>
      <c r="F4" s="358"/>
      <c r="G4" s="358"/>
      <c r="H4" s="368"/>
      <c r="I4" s="369"/>
      <c r="J4" s="370"/>
    </row>
    <row r="6" spans="1:10" ht="33" customHeight="1" thickBot="1" x14ac:dyDescent="0.25"/>
    <row r="7" spans="1:10" ht="36.75" thickTop="1" x14ac:dyDescent="0.2">
      <c r="A7" s="371" t="s">
        <v>90</v>
      </c>
      <c r="B7" s="371"/>
      <c r="C7" s="372" t="s">
        <v>91</v>
      </c>
      <c r="D7" s="373"/>
      <c r="E7" s="61" t="s">
        <v>92</v>
      </c>
      <c r="F7" s="61" t="s">
        <v>93</v>
      </c>
      <c r="G7" s="61" t="s">
        <v>94</v>
      </c>
      <c r="H7" s="61" t="s">
        <v>95</v>
      </c>
      <c r="I7" s="374" t="s">
        <v>96</v>
      </c>
      <c r="J7" s="375"/>
    </row>
    <row r="8" spans="1:10" x14ac:dyDescent="0.2">
      <c r="A8" s="341">
        <v>95670781</v>
      </c>
      <c r="B8" s="341"/>
      <c r="C8" s="346">
        <v>44297</v>
      </c>
      <c r="D8" s="347"/>
      <c r="E8" s="113">
        <v>44327</v>
      </c>
      <c r="F8" s="156" t="s">
        <v>132</v>
      </c>
      <c r="G8" s="62"/>
      <c r="H8" s="62"/>
      <c r="I8" s="348"/>
      <c r="J8" s="349"/>
    </row>
    <row r="10" spans="1:10" ht="23.25" customHeight="1" thickBot="1" x14ac:dyDescent="0.25"/>
    <row r="11" spans="1:10" ht="24.75" customHeight="1" thickTop="1" x14ac:dyDescent="0.2">
      <c r="A11" s="325" t="s">
        <v>98</v>
      </c>
      <c r="B11" s="325"/>
      <c r="C11" s="350" t="s">
        <v>99</v>
      </c>
      <c r="D11" s="351"/>
      <c r="E11" s="325" t="s">
        <v>100</v>
      </c>
      <c r="F11" s="325"/>
      <c r="G11" s="350" t="s">
        <v>101</v>
      </c>
      <c r="H11" s="351"/>
      <c r="I11" s="352" t="s">
        <v>102</v>
      </c>
      <c r="J11" s="352"/>
    </row>
    <row r="12" spans="1:10" x14ac:dyDescent="0.2">
      <c r="A12" s="341" t="s">
        <v>103</v>
      </c>
      <c r="B12" s="341"/>
      <c r="C12" s="341">
        <v>3750</v>
      </c>
      <c r="D12" s="341"/>
      <c r="E12" s="341">
        <v>1000</v>
      </c>
      <c r="F12" s="341"/>
      <c r="G12" s="342">
        <v>712</v>
      </c>
      <c r="H12" s="342"/>
      <c r="I12" s="343"/>
      <c r="J12" s="343"/>
    </row>
    <row r="13" spans="1:10" x14ac:dyDescent="0.2">
      <c r="A13" s="344"/>
      <c r="B13" s="345"/>
      <c r="C13" s="345"/>
      <c r="D13" s="345"/>
      <c r="E13" s="345"/>
      <c r="F13" s="345"/>
      <c r="G13" s="345"/>
      <c r="H13" s="345"/>
      <c r="I13" s="345"/>
      <c r="J13" s="345"/>
    </row>
    <row r="15" spans="1:10" ht="13.5" thickBot="1" x14ac:dyDescent="0.25"/>
    <row r="16" spans="1:10" ht="26.25" thickTop="1" x14ac:dyDescent="0.2">
      <c r="A16" s="325" t="s">
        <v>104</v>
      </c>
      <c r="B16" s="325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 x14ac:dyDescent="0.2">
      <c r="A17" s="330" t="s">
        <v>110</v>
      </c>
      <c r="B17" s="331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2"/>
      <c r="H17" s="333"/>
      <c r="I17" s="332">
        <f>+E17</f>
        <v>6887</v>
      </c>
      <c r="J17" s="333"/>
    </row>
    <row r="18" spans="1:10" x14ac:dyDescent="0.2">
      <c r="A18" s="330" t="s">
        <v>111</v>
      </c>
      <c r="B18" s="331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2"/>
      <c r="H18" s="333"/>
      <c r="I18" s="332">
        <f>+E18</f>
        <v>3799</v>
      </c>
      <c r="J18" s="333"/>
    </row>
    <row r="19" spans="1:10" x14ac:dyDescent="0.2">
      <c r="A19" s="330" t="s">
        <v>112</v>
      </c>
      <c r="B19" s="331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2"/>
      <c r="H19" s="333"/>
      <c r="I19" s="332">
        <f>+E19</f>
        <v>3073</v>
      </c>
      <c r="J19" s="333"/>
    </row>
    <row r="20" spans="1:10" ht="15" x14ac:dyDescent="0.25">
      <c r="A20" s="334" t="s">
        <v>113</v>
      </c>
      <c r="B20" s="335"/>
      <c r="C20" s="68"/>
      <c r="D20" s="69"/>
      <c r="E20" s="68">
        <f>SUM(E17:E19)</f>
        <v>13759</v>
      </c>
      <c r="F20" s="70"/>
      <c r="G20" s="336"/>
      <c r="H20" s="337"/>
      <c r="I20" s="336"/>
      <c r="J20" s="337"/>
    </row>
    <row r="21" spans="1:10" x14ac:dyDescent="0.2">
      <c r="C21" s="110" t="s">
        <v>18</v>
      </c>
      <c r="D21" t="s">
        <v>114</v>
      </c>
      <c r="G21" s="317"/>
      <c r="H21" s="317"/>
    </row>
    <row r="22" spans="1:10" ht="13.5" thickBot="1" x14ac:dyDescent="0.25">
      <c r="G22" s="318"/>
      <c r="H22" s="318"/>
    </row>
    <row r="23" spans="1:10" ht="13.5" thickTop="1" x14ac:dyDescent="0.2">
      <c r="A23" s="319" t="s">
        <v>115</v>
      </c>
      <c r="B23" s="320"/>
      <c r="C23" s="321"/>
      <c r="D23" s="325" t="s">
        <v>116</v>
      </c>
      <c r="E23" s="325" t="s">
        <v>117</v>
      </c>
      <c r="F23" s="327" t="s">
        <v>118</v>
      </c>
      <c r="G23" s="329" t="s">
        <v>119</v>
      </c>
      <c r="H23" s="329"/>
      <c r="I23" s="313" t="s">
        <v>120</v>
      </c>
      <c r="J23" s="313"/>
    </row>
    <row r="24" spans="1:10" x14ac:dyDescent="0.2">
      <c r="A24" s="322"/>
      <c r="B24" s="323"/>
      <c r="C24" s="324"/>
      <c r="D24" s="326"/>
      <c r="E24" s="326"/>
      <c r="F24" s="328"/>
      <c r="G24" s="157" t="s">
        <v>121</v>
      </c>
      <c r="H24" s="71" t="s">
        <v>122</v>
      </c>
      <c r="I24" s="313"/>
      <c r="J24" s="313"/>
    </row>
    <row r="25" spans="1:10" ht="15" x14ac:dyDescent="0.25">
      <c r="A25" s="314" t="s">
        <v>123</v>
      </c>
      <c r="B25" s="315"/>
      <c r="C25" s="316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298">
        <f>SUM(H25,F25)</f>
        <v>7469.6126519999998</v>
      </c>
      <c r="J25" s="299"/>
    </row>
    <row r="26" spans="1:10" ht="15" x14ac:dyDescent="0.25">
      <c r="A26" s="295" t="s">
        <v>124</v>
      </c>
      <c r="B26" s="296"/>
      <c r="C26" s="297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298">
        <f t="shared" ref="I26:I31" si="0">SUM(H26,F26)</f>
        <v>3025.1057100000003</v>
      </c>
      <c r="J26" s="299"/>
    </row>
    <row r="27" spans="1:10" ht="15" x14ac:dyDescent="0.25">
      <c r="A27" s="295" t="s">
        <v>125</v>
      </c>
      <c r="B27" s="296"/>
      <c r="C27" s="297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298">
        <f>SUM(H27,F27)</f>
        <v>4660.6838879999996</v>
      </c>
      <c r="J27" s="299"/>
    </row>
    <row r="28" spans="1:10" ht="15" x14ac:dyDescent="0.25">
      <c r="A28" s="295" t="s">
        <v>126</v>
      </c>
      <c r="B28" s="296"/>
      <c r="C28" s="29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298">
        <f t="shared" si="0"/>
        <v>50025.103799999997</v>
      </c>
      <c r="J28" s="299"/>
    </row>
    <row r="29" spans="1:10" ht="15" x14ac:dyDescent="0.25">
      <c r="A29" s="308" t="s">
        <v>127</v>
      </c>
      <c r="B29" s="309"/>
      <c r="C29" s="310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1">
        <f t="shared" si="0"/>
        <v>0</v>
      </c>
      <c r="J29" s="312"/>
    </row>
    <row r="30" spans="1:10" ht="15" x14ac:dyDescent="0.25">
      <c r="A30" s="295" t="s">
        <v>128</v>
      </c>
      <c r="B30" s="296"/>
      <c r="C30" s="29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298">
        <f>SUM(H30,F30)</f>
        <v>1009.2</v>
      </c>
      <c r="J30" s="299"/>
    </row>
    <row r="31" spans="1:10" ht="15.75" thickBot="1" x14ac:dyDescent="0.3">
      <c r="A31" s="300" t="s">
        <v>129</v>
      </c>
      <c r="B31" s="301"/>
      <c r="C31" s="30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298">
        <f t="shared" si="0"/>
        <v>1596.44</v>
      </c>
      <c r="J31" s="299"/>
    </row>
    <row r="32" spans="1:10" ht="21" x14ac:dyDescent="0.2">
      <c r="A32" s="303" t="s">
        <v>130</v>
      </c>
      <c r="B32" s="304"/>
      <c r="C32" s="304"/>
      <c r="D32" s="304"/>
      <c r="E32" s="304"/>
      <c r="F32" s="84">
        <f>SUM(F25:F31)</f>
        <v>59508.8825</v>
      </c>
      <c r="G32" s="85"/>
      <c r="H32" s="86"/>
      <c r="I32" s="307">
        <f>SUM(I25:J31)</f>
        <v>67786.146049999996</v>
      </c>
      <c r="J32" s="307"/>
    </row>
    <row r="33" spans="1:10" ht="21.75" thickBot="1" x14ac:dyDescent="0.25">
      <c r="A33" s="305"/>
      <c r="B33" s="306"/>
      <c r="C33" s="306"/>
      <c r="D33" s="306"/>
      <c r="E33" s="306"/>
      <c r="F33" s="87"/>
      <c r="G33" s="88"/>
      <c r="H33" s="89"/>
      <c r="I33" s="307"/>
      <c r="J33" s="30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133</v>
      </c>
      <c r="C1" s="354"/>
      <c r="D1" s="354"/>
      <c r="E1" s="354"/>
      <c r="F1" s="402" t="s">
        <v>88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89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02" t="s">
        <v>141</v>
      </c>
      <c r="B11" s="391"/>
      <c r="C11" s="391"/>
      <c r="D11" s="391"/>
      <c r="E11" s="391"/>
      <c r="F11" s="391">
        <v>23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143</v>
      </c>
      <c r="B13" s="391">
        <f>G8</f>
        <v>2932.1999999999971</v>
      </c>
      <c r="C13" s="391"/>
      <c r="D13" s="391">
        <v>8.7899999999999991</v>
      </c>
      <c r="E13" s="391"/>
      <c r="F13" s="398">
        <f>PRODUCT(D13,B13)</f>
        <v>25774.037999999971</v>
      </c>
      <c r="G13" s="398"/>
      <c r="H13" s="398"/>
    </row>
    <row r="14" spans="1:8" ht="45" customHeight="1" x14ac:dyDescent="0.2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 x14ac:dyDescent="0.2">
      <c r="A15" s="396"/>
      <c r="B15" s="396"/>
      <c r="C15" s="396"/>
      <c r="D15" s="396"/>
      <c r="E15" s="396"/>
      <c r="F15" s="396"/>
      <c r="G15" s="396"/>
      <c r="H15" s="396"/>
    </row>
    <row r="16" spans="1:8" ht="15" x14ac:dyDescent="0.25">
      <c r="A16" s="103" t="s">
        <v>145</v>
      </c>
      <c r="B16" s="391">
        <v>0</v>
      </c>
      <c r="C16" s="391"/>
      <c r="D16" s="391">
        <v>0</v>
      </c>
      <c r="E16" s="391"/>
      <c r="F16" s="391">
        <f>PRODUCT(D16,B16)</f>
        <v>0</v>
      </c>
      <c r="G16" s="391"/>
      <c r="H16" s="391"/>
    </row>
    <row r="17" spans="1:8" ht="15" x14ac:dyDescent="0.25">
      <c r="A17" s="103" t="s">
        <v>146</v>
      </c>
      <c r="B17" s="391">
        <v>0</v>
      </c>
      <c r="C17" s="391"/>
      <c r="D17" s="391">
        <v>0</v>
      </c>
      <c r="E17" s="391"/>
      <c r="F17" s="391">
        <f>PRODUCT(D17,B17)</f>
        <v>0</v>
      </c>
      <c r="G17" s="391"/>
      <c r="H17" s="391"/>
    </row>
    <row r="18" spans="1:8" ht="15" x14ac:dyDescent="0.25">
      <c r="A18" s="103" t="s">
        <v>147</v>
      </c>
      <c r="B18" s="391">
        <v>0</v>
      </c>
      <c r="C18" s="391"/>
      <c r="D18" s="391">
        <v>0</v>
      </c>
      <c r="E18" s="391"/>
      <c r="F18" s="391">
        <f>PRODUCT(D18,B18)</f>
        <v>0</v>
      </c>
      <c r="G18" s="391"/>
      <c r="H18" s="391"/>
    </row>
    <row r="19" spans="1:8" ht="15" x14ac:dyDescent="0.25">
      <c r="A19" s="103" t="s">
        <v>148</v>
      </c>
      <c r="B19" s="391">
        <f>G8</f>
        <v>2932.1999999999971</v>
      </c>
      <c r="C19" s="391"/>
      <c r="D19" s="391">
        <v>2.61</v>
      </c>
      <c r="E19" s="391"/>
      <c r="F19" s="391">
        <f>PRODUCT(D19,B19)</f>
        <v>7653.0419999999922</v>
      </c>
      <c r="G19" s="391"/>
      <c r="H19" s="391"/>
    </row>
    <row r="20" spans="1:8" ht="18.75" x14ac:dyDescent="0.3">
      <c r="A20" s="387" t="s">
        <v>149</v>
      </c>
      <c r="B20" s="388"/>
      <c r="C20" s="388"/>
      <c r="D20" s="388"/>
      <c r="E20" s="389"/>
      <c r="F20" s="390">
        <f>SUM(F11+F13+F16+F17+F18+F19)</f>
        <v>33450.079999999965</v>
      </c>
      <c r="G20" s="390"/>
      <c r="H20" s="390"/>
    </row>
    <row r="21" spans="1:8" ht="15" x14ac:dyDescent="0.25">
      <c r="A21" s="376" t="s">
        <v>150</v>
      </c>
      <c r="B21" s="377"/>
      <c r="C21" s="377"/>
      <c r="D21" s="377"/>
      <c r="E21" s="378"/>
      <c r="F21" s="391">
        <f>PRODUCT(F20,0.07)</f>
        <v>2341.5055999999977</v>
      </c>
      <c r="G21" s="391"/>
      <c r="H21" s="391"/>
    </row>
    <row r="22" spans="1:8" ht="15" x14ac:dyDescent="0.25">
      <c r="A22" s="392" t="s">
        <v>151</v>
      </c>
      <c r="B22" s="393"/>
      <c r="C22" s="393"/>
      <c r="D22" s="393"/>
      <c r="E22" s="394"/>
      <c r="F22" s="391">
        <v>208.26</v>
      </c>
      <c r="G22" s="391"/>
      <c r="H22" s="391"/>
    </row>
    <row r="23" spans="1:8" ht="15.75" x14ac:dyDescent="0.25">
      <c r="A23" s="376" t="s">
        <v>152</v>
      </c>
      <c r="B23" s="377"/>
      <c r="C23" s="377"/>
      <c r="D23" s="377"/>
      <c r="E23" s="378"/>
      <c r="F23" s="379">
        <f>SUM(F21:H22)</f>
        <v>2549.7655999999979</v>
      </c>
      <c r="G23" s="379"/>
      <c r="H23" s="379"/>
    </row>
    <row r="24" spans="1:8" x14ac:dyDescent="0.2">
      <c r="A24" s="380" t="s">
        <v>153</v>
      </c>
      <c r="B24" s="381"/>
      <c r="C24" s="381"/>
      <c r="D24" s="381"/>
      <c r="E24" s="382"/>
      <c r="F24" s="386">
        <f>SUM(F20,F23)</f>
        <v>35999.845599999964</v>
      </c>
      <c r="G24" s="386"/>
      <c r="H24" s="386"/>
    </row>
    <row r="25" spans="1:8" x14ac:dyDescent="0.2">
      <c r="A25" s="383"/>
      <c r="B25" s="384"/>
      <c r="C25" s="384"/>
      <c r="D25" s="384"/>
      <c r="E25" s="385"/>
      <c r="F25" s="386"/>
      <c r="G25" s="386"/>
      <c r="H25" s="38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133</v>
      </c>
      <c r="C1" s="354"/>
      <c r="D1" s="354"/>
      <c r="E1" s="354"/>
      <c r="F1" s="402" t="s">
        <v>88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89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02" t="s">
        <v>141</v>
      </c>
      <c r="B11" s="391"/>
      <c r="C11" s="391"/>
      <c r="D11" s="391"/>
      <c r="E11" s="391"/>
      <c r="F11" s="391">
        <v>23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143</v>
      </c>
      <c r="B13" s="391">
        <f>G8</f>
        <v>119.80000000000291</v>
      </c>
      <c r="C13" s="391"/>
      <c r="D13" s="391">
        <v>8.5</v>
      </c>
      <c r="E13" s="391"/>
      <c r="F13" s="398">
        <f>PRODUCT(D13,B13)</f>
        <v>1018.3000000000247</v>
      </c>
      <c r="G13" s="398"/>
      <c r="H13" s="398"/>
    </row>
    <row r="14" spans="1:8" ht="45" customHeight="1" x14ac:dyDescent="0.2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 x14ac:dyDescent="0.2">
      <c r="A15" s="396"/>
      <c r="B15" s="396"/>
      <c r="C15" s="396"/>
      <c r="D15" s="396"/>
      <c r="E15" s="396"/>
      <c r="F15" s="396"/>
      <c r="G15" s="396"/>
      <c r="H15" s="396"/>
    </row>
    <row r="16" spans="1:8" ht="15" x14ac:dyDescent="0.25">
      <c r="A16" s="103" t="s">
        <v>145</v>
      </c>
      <c r="B16" s="391">
        <v>0</v>
      </c>
      <c r="C16" s="391"/>
      <c r="D16" s="391">
        <v>0</v>
      </c>
      <c r="E16" s="391"/>
      <c r="F16" s="391">
        <f>PRODUCT(D16,B16)</f>
        <v>0</v>
      </c>
      <c r="G16" s="391"/>
      <c r="H16" s="391"/>
    </row>
    <row r="17" spans="1:8" ht="15" x14ac:dyDescent="0.25">
      <c r="A17" s="103" t="s">
        <v>146</v>
      </c>
      <c r="B17" s="391">
        <v>0</v>
      </c>
      <c r="C17" s="391"/>
      <c r="D17" s="391">
        <v>0</v>
      </c>
      <c r="E17" s="391"/>
      <c r="F17" s="391">
        <f>PRODUCT(D17,B17)</f>
        <v>0</v>
      </c>
      <c r="G17" s="391"/>
      <c r="H17" s="391"/>
    </row>
    <row r="18" spans="1:8" ht="15" x14ac:dyDescent="0.25">
      <c r="A18" s="103" t="s">
        <v>147</v>
      </c>
      <c r="B18" s="391">
        <v>0</v>
      </c>
      <c r="C18" s="391"/>
      <c r="D18" s="391">
        <v>0</v>
      </c>
      <c r="E18" s="391"/>
      <c r="F18" s="391">
        <f>PRODUCT(D18,B18)</f>
        <v>0</v>
      </c>
      <c r="G18" s="391"/>
      <c r="H18" s="391"/>
    </row>
    <row r="19" spans="1:8" ht="15" x14ac:dyDescent="0.25">
      <c r="A19" s="103" t="s">
        <v>148</v>
      </c>
      <c r="B19" s="391">
        <v>0</v>
      </c>
      <c r="C19" s="391"/>
      <c r="D19" s="415">
        <v>0</v>
      </c>
      <c r="E19" s="416"/>
      <c r="F19" s="415">
        <v>0</v>
      </c>
      <c r="G19" s="416"/>
      <c r="H19" s="158"/>
    </row>
    <row r="20" spans="1:8" ht="15" x14ac:dyDescent="0.25">
      <c r="A20" s="103" t="s">
        <v>154</v>
      </c>
      <c r="B20" s="391">
        <f>G8</f>
        <v>119.80000000000291</v>
      </c>
      <c r="C20" s="391"/>
      <c r="D20" s="391">
        <v>2.54</v>
      </c>
      <c r="E20" s="391"/>
      <c r="F20" s="391">
        <f>PRODUCT(D20,B20)</f>
        <v>304.29200000000742</v>
      </c>
      <c r="G20" s="391"/>
      <c r="H20" s="391"/>
    </row>
    <row r="21" spans="1:8" ht="18.75" x14ac:dyDescent="0.3">
      <c r="A21" s="387" t="s">
        <v>149</v>
      </c>
      <c r="B21" s="388"/>
      <c r="C21" s="388"/>
      <c r="D21" s="388"/>
      <c r="E21" s="389"/>
      <c r="F21" s="390">
        <f>SUM(F11+F13+F16+F17+F18+F20)</f>
        <v>1345.5920000000322</v>
      </c>
      <c r="G21" s="390"/>
      <c r="H21" s="390"/>
    </row>
    <row r="22" spans="1:8" ht="15" x14ac:dyDescent="0.25">
      <c r="A22" s="376" t="s">
        <v>150</v>
      </c>
      <c r="B22" s="377"/>
      <c r="C22" s="377"/>
      <c r="D22" s="377"/>
      <c r="E22" s="378"/>
      <c r="F22" s="391">
        <f>PRODUCT(F21,0.07)</f>
        <v>94.19144000000226</v>
      </c>
      <c r="G22" s="391"/>
      <c r="H22" s="391"/>
    </row>
    <row r="23" spans="1:8" ht="15" x14ac:dyDescent="0.25">
      <c r="A23" s="392" t="s">
        <v>151</v>
      </c>
      <c r="B23" s="393"/>
      <c r="C23" s="393"/>
      <c r="D23" s="393"/>
      <c r="E23" s="394"/>
      <c r="F23" s="391">
        <v>208.26</v>
      </c>
      <c r="G23" s="391"/>
      <c r="H23" s="391"/>
    </row>
    <row r="24" spans="1:8" ht="15.75" x14ac:dyDescent="0.25">
      <c r="A24" s="376" t="s">
        <v>152</v>
      </c>
      <c r="B24" s="377"/>
      <c r="C24" s="377"/>
      <c r="D24" s="377"/>
      <c r="E24" s="378"/>
      <c r="F24" s="379">
        <f>SUM(F22:H23)</f>
        <v>302.45144000000226</v>
      </c>
      <c r="G24" s="379"/>
      <c r="H24" s="379"/>
    </row>
    <row r="25" spans="1:8" x14ac:dyDescent="0.2">
      <c r="A25" s="380" t="s">
        <v>153</v>
      </c>
      <c r="B25" s="381"/>
      <c r="C25" s="381"/>
      <c r="D25" s="381"/>
      <c r="E25" s="382"/>
      <c r="F25" s="386">
        <f>SUM(F21,F24)</f>
        <v>1648.0434400000345</v>
      </c>
      <c r="G25" s="386"/>
      <c r="H25" s="386"/>
    </row>
    <row r="26" spans="1:8" x14ac:dyDescent="0.2">
      <c r="A26" s="383"/>
      <c r="B26" s="384"/>
      <c r="C26" s="384"/>
      <c r="D26" s="384"/>
      <c r="E26" s="385"/>
      <c r="F26" s="386"/>
      <c r="G26" s="386"/>
      <c r="H26" s="38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155</v>
      </c>
      <c r="C1" s="354"/>
      <c r="D1" s="354"/>
      <c r="E1" s="354"/>
      <c r="F1" s="402" t="s">
        <v>88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89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02" t="s">
        <v>141</v>
      </c>
      <c r="B11" s="391"/>
      <c r="C11" s="391"/>
      <c r="D11" s="391"/>
      <c r="E11" s="391"/>
      <c r="F11" s="391">
        <v>15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156</v>
      </c>
      <c r="B13" s="391">
        <f>G8</f>
        <v>0</v>
      </c>
      <c r="C13" s="391"/>
      <c r="D13" s="391">
        <v>16.48</v>
      </c>
      <c r="E13" s="391"/>
      <c r="F13" s="398">
        <f>PRODUCT(D13,B13)</f>
        <v>0</v>
      </c>
      <c r="G13" s="398"/>
      <c r="H13" s="398"/>
    </row>
    <row r="14" spans="1:8" ht="15" x14ac:dyDescent="0.2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 x14ac:dyDescent="0.2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 x14ac:dyDescent="0.2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 x14ac:dyDescent="0.2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 x14ac:dyDescent="0.2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 x14ac:dyDescent="0.2">
      <c r="A19" s="396"/>
      <c r="B19" s="396"/>
      <c r="C19" s="396"/>
      <c r="D19" s="396"/>
      <c r="E19" s="396"/>
      <c r="F19" s="396"/>
      <c r="G19" s="396"/>
      <c r="H19" s="396"/>
    </row>
    <row r="20" spans="1:8" ht="15" x14ac:dyDescent="0.25">
      <c r="A20" s="103" t="s">
        <v>145</v>
      </c>
      <c r="B20" s="391">
        <v>0</v>
      </c>
      <c r="C20" s="391"/>
      <c r="D20" s="391">
        <v>0</v>
      </c>
      <c r="E20" s="391"/>
      <c r="F20" s="391">
        <f>PRODUCT(D20,B20)</f>
        <v>0</v>
      </c>
      <c r="G20" s="391"/>
      <c r="H20" s="391"/>
    </row>
    <row r="21" spans="1:8" ht="15" x14ac:dyDescent="0.25">
      <c r="A21" s="103" t="s">
        <v>146</v>
      </c>
      <c r="B21" s="391">
        <v>0</v>
      </c>
      <c r="C21" s="391"/>
      <c r="D21" s="391">
        <v>0</v>
      </c>
      <c r="E21" s="391"/>
      <c r="F21" s="391">
        <f>PRODUCT(D21,B21)</f>
        <v>0</v>
      </c>
      <c r="G21" s="391"/>
      <c r="H21" s="391"/>
    </row>
    <row r="22" spans="1:8" ht="15" x14ac:dyDescent="0.25">
      <c r="A22" s="103" t="s">
        <v>147</v>
      </c>
      <c r="B22" s="391">
        <v>0</v>
      </c>
      <c r="C22" s="391"/>
      <c r="D22" s="391">
        <v>0</v>
      </c>
      <c r="E22" s="391"/>
      <c r="F22" s="391">
        <f>PRODUCT(D22,B22)</f>
        <v>0</v>
      </c>
      <c r="G22" s="391"/>
      <c r="H22" s="391"/>
    </row>
    <row r="23" spans="1:8" ht="15" x14ac:dyDescent="0.25">
      <c r="A23" s="103" t="s">
        <v>148</v>
      </c>
      <c r="B23" s="391">
        <f>G8</f>
        <v>0</v>
      </c>
      <c r="C23" s="391"/>
      <c r="D23" s="391">
        <v>0</v>
      </c>
      <c r="E23" s="391"/>
      <c r="F23" s="391">
        <f>PRODUCT(D23,B23)</f>
        <v>0</v>
      </c>
      <c r="G23" s="391"/>
      <c r="H23" s="391"/>
    </row>
    <row r="24" spans="1:8" ht="15" x14ac:dyDescent="0.2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58"/>
    </row>
    <row r="25" spans="1:8" ht="18.75" x14ac:dyDescent="0.3">
      <c r="A25" s="387" t="s">
        <v>149</v>
      </c>
      <c r="B25" s="388"/>
      <c r="C25" s="388"/>
      <c r="D25" s="388"/>
      <c r="E25" s="389"/>
      <c r="F25" s="417">
        <f>SUM(F11+F13+F20+F21+F22+F23)</f>
        <v>15</v>
      </c>
      <c r="G25" s="390"/>
      <c r="H25" s="390"/>
    </row>
    <row r="26" spans="1:8" ht="15" x14ac:dyDescent="0.25">
      <c r="A26" s="376" t="s">
        <v>150</v>
      </c>
      <c r="B26" s="377"/>
      <c r="C26" s="377"/>
      <c r="D26" s="377"/>
      <c r="E26" s="378"/>
      <c r="F26" s="391">
        <v>63.63</v>
      </c>
      <c r="G26" s="391"/>
      <c r="H26" s="391"/>
    </row>
    <row r="27" spans="1:8" ht="15" x14ac:dyDescent="0.25">
      <c r="A27" s="392" t="s">
        <v>151</v>
      </c>
      <c r="B27" s="393"/>
      <c r="C27" s="393"/>
      <c r="D27" s="393"/>
      <c r="E27" s="394"/>
      <c r="F27" s="391">
        <v>2.4300000000000002</v>
      </c>
      <c r="G27" s="391"/>
      <c r="H27" s="391"/>
    </row>
    <row r="28" spans="1:8" ht="15.75" x14ac:dyDescent="0.25">
      <c r="A28" s="376" t="s">
        <v>152</v>
      </c>
      <c r="B28" s="377"/>
      <c r="C28" s="377"/>
      <c r="D28" s="377"/>
      <c r="E28" s="378"/>
      <c r="F28" s="379">
        <f>SUM(F26:H27)</f>
        <v>66.06</v>
      </c>
      <c r="G28" s="379"/>
      <c r="H28" s="379"/>
    </row>
    <row r="29" spans="1:8" x14ac:dyDescent="0.2">
      <c r="A29" s="380" t="s">
        <v>153</v>
      </c>
      <c r="B29" s="381"/>
      <c r="C29" s="381"/>
      <c r="D29" s="381"/>
      <c r="E29" s="382"/>
      <c r="F29" s="386">
        <f>SUM(F25,F28)</f>
        <v>81.06</v>
      </c>
      <c r="G29" s="386"/>
      <c r="H29" s="386"/>
    </row>
    <row r="30" spans="1:8" x14ac:dyDescent="0.2">
      <c r="A30" s="383"/>
      <c r="B30" s="384"/>
      <c r="C30" s="384"/>
      <c r="D30" s="384"/>
      <c r="E30" s="385"/>
      <c r="F30" s="386"/>
      <c r="G30" s="386"/>
      <c r="H30" s="38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M24" sqref="M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 x14ac:dyDescent="0.35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 x14ac:dyDescent="0.35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 x14ac:dyDescent="0.35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2023-02-23T17:54:24Z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