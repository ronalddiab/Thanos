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19\May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9" l="1"/>
  <c r="D3" i="9"/>
  <c r="C4" i="9"/>
  <c r="D4" i="9"/>
  <c r="C5" i="9"/>
  <c r="D5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C32" i="9"/>
  <c r="D32" i="9"/>
  <c r="D2" i="9"/>
  <c r="C2" i="9"/>
  <c r="AZ8" i="7" l="1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X37" i="7" l="1"/>
  <c r="AX38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BA37" i="7"/>
  <c r="AZ7" i="7"/>
  <c r="BA7" i="7" s="1"/>
  <c r="S27" i="9" l="1"/>
  <c r="BB32" i="7"/>
  <c r="S19" i="9"/>
  <c r="BB24" i="7"/>
  <c r="S11" i="9"/>
  <c r="BB16" i="7"/>
  <c r="S3" i="9"/>
  <c r="BB8" i="7"/>
  <c r="S30" i="9"/>
  <c r="BB35" i="7"/>
  <c r="S22" i="9"/>
  <c r="BB27" i="7"/>
  <c r="S10" i="9"/>
  <c r="BB15" i="7"/>
  <c r="S25" i="9"/>
  <c r="BB30" i="7"/>
  <c r="S13" i="9"/>
  <c r="BB18" i="7"/>
  <c r="S5" i="9"/>
  <c r="BB10" i="7"/>
  <c r="S31" i="9"/>
  <c r="BB36" i="7"/>
  <c r="S23" i="9"/>
  <c r="BB28" i="7"/>
  <c r="S15" i="9"/>
  <c r="BB20" i="7"/>
  <c r="S7" i="9"/>
  <c r="BB12" i="7"/>
  <c r="S2" i="9"/>
  <c r="BB7" i="7"/>
  <c r="BA38" i="7"/>
  <c r="BB38" i="7" s="1"/>
  <c r="S26" i="9"/>
  <c r="BB31" i="7"/>
  <c r="S18" i="9"/>
  <c r="BB23" i="7"/>
  <c r="S14" i="9"/>
  <c r="BB19" i="7"/>
  <c r="S6" i="9"/>
  <c r="BB11" i="7"/>
  <c r="S29" i="9"/>
  <c r="BB34" i="7"/>
  <c r="S21" i="9"/>
  <c r="BB26" i="7"/>
  <c r="S17" i="9"/>
  <c r="BB22" i="7"/>
  <c r="S9" i="9"/>
  <c r="BB14" i="7"/>
  <c r="S32" i="9"/>
  <c r="BB37" i="7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<sst xmlns="http://schemas.openxmlformats.org/spreadsheetml/2006/main" count="139" uniqueCount="59">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</sst>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0" fillId="3" borderId="5" xfId="0" applyFill="1" applyBorder="1"/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0" fontId="19" fillId="3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7" fillId="0" borderId="2" xfId="0" applyFont="1" applyBorder="1"/>
    <xf numFmtId="164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6" zoomScale="130" zoomScaleNormal="130"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5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76980</v>
      </c>
      <c r="F2" s="11">
        <v>5.0000000000000001E-3</v>
      </c>
      <c r="G2" s="12">
        <f>Submetering!S2</f>
        <v>715.80599999999993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284</v>
      </c>
    </row>
    <row r="3" spans="1:11" s="15" customFormat="1" x14ac:dyDescent="0.25">
      <c r="A3" s="21" t="s">
        <v>31</v>
      </c>
      <c r="B3" s="14">
        <f>B2+1</f>
        <v>2</v>
      </c>
      <c r="C3" s="3">
        <v>5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74430</v>
      </c>
      <c r="F3" s="11">
        <v>5.0000000000000001E-3</v>
      </c>
      <c r="G3" s="12">
        <f>Submetering!S3</f>
        <v>789.51600000000008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262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76460</v>
      </c>
      <c r="F4" s="11">
        <v>5.0000000000000001E-3</v>
      </c>
      <c r="G4" s="12">
        <f>Submetering!S4</f>
        <v>566.202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284</v>
      </c>
    </row>
    <row r="5" spans="1:11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68670</v>
      </c>
      <c r="F5" s="11">
        <v>5.0000000000000001E-3</v>
      </c>
      <c r="G5" s="12">
        <f>Submetering!S5</f>
        <v>942.12300000000005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120</v>
      </c>
    </row>
    <row r="6" spans="1:11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68710</v>
      </c>
      <c r="F6" s="11">
        <v>5.0000000000000001E-3</v>
      </c>
      <c r="G6" s="12">
        <f>Submetering!S6</f>
        <v>846.846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118</v>
      </c>
    </row>
    <row r="7" spans="1:11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64160</v>
      </c>
      <c r="F7" s="11">
        <v>5.0000000000000001E-3</v>
      </c>
      <c r="G7" s="12">
        <f>Submetering!S7</f>
        <v>647.28300000000002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42</v>
      </c>
    </row>
    <row r="8" spans="1:11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64830</v>
      </c>
      <c r="F8" s="11">
        <v>5.0000000000000001E-3</v>
      </c>
      <c r="G8" s="12">
        <f>Submetering!S8</f>
        <v>622.71299999999997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36</v>
      </c>
    </row>
    <row r="9" spans="1:11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66320</v>
      </c>
      <c r="F9" s="11">
        <v>5.0000000000000001E-3</v>
      </c>
      <c r="G9" s="12">
        <f>Submetering!S9</f>
        <v>611.24699999999996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48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63140</v>
      </c>
      <c r="F10" s="11">
        <v>5.0000000000000001E-3</v>
      </c>
      <c r="G10" s="12">
        <f>Submetering!S10</f>
        <v>739.01100000000008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36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60360</v>
      </c>
      <c r="F11" s="11">
        <v>5.0000000000000001E-3</v>
      </c>
      <c r="G11" s="12">
        <f>Submetering!S11</f>
        <v>628.99200000000008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48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67980</v>
      </c>
      <c r="F12" s="11">
        <v>5.0000000000000001E-3</v>
      </c>
      <c r="G12" s="12">
        <f>Submetering!S12</f>
        <v>583.67399999999998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46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67080</v>
      </c>
      <c r="F13" s="11">
        <v>5.0000000000000001E-3</v>
      </c>
      <c r="G13" s="12">
        <f>Submetering!S13</f>
        <v>941.03099999999995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85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67350</v>
      </c>
      <c r="F14" s="11">
        <v>5.0000000000000001E-3</v>
      </c>
      <c r="G14" s="12">
        <f>Submetering!S14</f>
        <v>646.73699999999997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84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72640</v>
      </c>
      <c r="F15" s="11">
        <v>5.0000000000000001E-3</v>
      </c>
      <c r="G15" s="12">
        <f>Submetering!S15</f>
        <v>680.04300000000001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87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64820</v>
      </c>
      <c r="F16" s="11">
        <v>5.0000000000000001E-3</v>
      </c>
      <c r="G16" s="12">
        <f>Submetering!S16</f>
        <v>763.03500000000008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74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66762</v>
      </c>
      <c r="F17" s="11">
        <v>5.0000000000000001E-3</v>
      </c>
      <c r="G17" s="12">
        <f>Submetering!S17</f>
        <v>784.875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89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70408</v>
      </c>
      <c r="F18" s="11">
        <v>5.0000000000000001E-3</v>
      </c>
      <c r="G18" s="12">
        <f>Submetering!S18</f>
        <v>622.98599999999999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107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69539</v>
      </c>
      <c r="F19" s="11">
        <v>5.0000000000000001E-3</v>
      </c>
      <c r="G19" s="12">
        <f>Submetering!S19</f>
        <v>640.45799999999997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55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69891</v>
      </c>
      <c r="F20" s="11">
        <v>5.0000000000000001E-3</v>
      </c>
      <c r="G20" s="12">
        <f>Submetering!S20</f>
        <v>610.97400000000005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74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69100</v>
      </c>
      <c r="F21" s="11">
        <v>5.0000000000000001E-3</v>
      </c>
      <c r="G21" s="12">
        <f>Submetering!S21</f>
        <v>580.94399999999996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105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72270</v>
      </c>
      <c r="F22" s="11">
        <v>5.0000000000000001E-3</v>
      </c>
      <c r="G22" s="12">
        <f>Submetering!S22</f>
        <v>650.83199999999999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86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68080</v>
      </c>
      <c r="F23" s="11">
        <v>5.0000000000000001E-3</v>
      </c>
      <c r="G23" s="12">
        <f>Submetering!S23</f>
        <v>620.52900000000011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103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68290</v>
      </c>
      <c r="F24" s="11">
        <v>5.0000000000000001E-3</v>
      </c>
      <c r="G24" s="12">
        <f>Submetering!S24</f>
        <v>786.51300000000003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118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67820</v>
      </c>
      <c r="F25" s="11">
        <v>5.0000000000000001E-3</v>
      </c>
      <c r="G25" s="12">
        <f>Submetering!S25</f>
        <v>675.67499999999995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102</v>
      </c>
    </row>
    <row r="26" spans="1:11" s="15" customFormat="1" x14ac:dyDescent="0.25">
      <c r="A26" s="21" t="s">
        <v>31</v>
      </c>
      <c r="B26" s="14">
        <f>B25+1</f>
        <v>25</v>
      </c>
      <c r="C26" s="3">
        <v>5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66850</v>
      </c>
      <c r="F26" s="11">
        <v>5.0000000000000001E-3</v>
      </c>
      <c r="G26" s="12">
        <f>Submetering!S26</f>
        <v>559.923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62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66450</v>
      </c>
      <c r="F27" s="11">
        <v>5.0000000000000001E-3</v>
      </c>
      <c r="G27" s="12">
        <f>Submetering!S27</f>
        <v>632.26799999999992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72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70710</v>
      </c>
      <c r="F28" s="11">
        <v>5.0000000000000001E-3</v>
      </c>
      <c r="G28" s="12">
        <f>Submetering!S28</f>
        <v>778.86900000000003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77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74280</v>
      </c>
      <c r="F29" s="11">
        <v>5.0000000000000001E-3</v>
      </c>
      <c r="G29" s="12">
        <f>Submetering!S29</f>
        <v>590.226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110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76790</v>
      </c>
      <c r="F30" s="11">
        <v>5.0000000000000001E-3</v>
      </c>
      <c r="G30" s="12">
        <f>Submetering!S30</f>
        <v>849.303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100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74430</v>
      </c>
      <c r="F31" s="11">
        <v>5.0000000000000001E-3</v>
      </c>
      <c r="G31" s="12">
        <f>Submetering!S31</f>
        <v>718.26300000000003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91</v>
      </c>
    </row>
    <row r="32" spans="1:11" x14ac:dyDescent="0.25">
      <c r="A32" s="21" t="s">
        <v>31</v>
      </c>
      <c r="B32" s="14">
        <f t="shared" si="0"/>
        <v>31</v>
      </c>
      <c r="C32" s="3">
        <v>5</v>
      </c>
      <c r="D32" s="11">
        <v>2019</v>
      </c>
      <c r="E32" s="12">
        <f>Submetering!E32+Submetering!F32+Submetering!G32+Submetering!H32+Submetering!I32+Submetering!J32+Submetering!K32+Submetering!L32+Submetering!M32+Submetering!N32+Submetering!O32+Submetering!P32+Submetering!Q32</f>
        <v>73480</v>
      </c>
      <c r="F32" s="11">
        <v>5.0000000000000001E-3</v>
      </c>
      <c r="G32" s="12">
        <f>Submetering!S32</f>
        <v>718.80900000000008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topLeftCell="A4"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f>TOTAL!C2</f>
        <v>5</v>
      </c>
      <c r="D2" s="11">
        <f>TOTAL!D2</f>
        <v>2019</v>
      </c>
      <c r="E2" s="4">
        <f>Hotel!Q7</f>
        <v>9440</v>
      </c>
      <c r="F2" s="4">
        <f>Hotel!R7</f>
        <v>12370</v>
      </c>
      <c r="G2" s="4">
        <f>Hotel!S7</f>
        <v>100</v>
      </c>
      <c r="H2" s="4">
        <f>Hotel!T7</f>
        <v>1580</v>
      </c>
      <c r="I2" s="4">
        <f>Hotel!U7</f>
        <v>6430</v>
      </c>
      <c r="J2" s="4">
        <f>Hotel!V7</f>
        <v>4710</v>
      </c>
      <c r="K2" s="4">
        <f>Hotel!W7</f>
        <v>3600</v>
      </c>
      <c r="L2" s="4">
        <f>Hotel!X7</f>
        <v>5290</v>
      </c>
      <c r="M2" s="4">
        <f>Hotel!Y7</f>
        <v>5860</v>
      </c>
      <c r="N2" s="4">
        <f>Hotel!Z7</f>
        <v>3110</v>
      </c>
      <c r="O2" s="4">
        <f>Hotel!AA7</f>
        <v>4030</v>
      </c>
      <c r="P2" s="4">
        <f>Hotel!AB7</f>
        <v>6950</v>
      </c>
      <c r="Q2" s="4">
        <f>Hotel!AC7</f>
        <v>13510</v>
      </c>
      <c r="R2" s="4">
        <f>Hotel!AT7</f>
        <v>0</v>
      </c>
      <c r="S2" s="4">
        <f>Hotel!BA7</f>
        <v>715.80599999999993</v>
      </c>
      <c r="T2" s="4">
        <f>Hotel!AX7</f>
        <v>0</v>
      </c>
      <c r="U2" s="4">
        <f>Hotel!B7</f>
        <v>284</v>
      </c>
    </row>
    <row r="3" spans="1:21" x14ac:dyDescent="0.25">
      <c r="A3" s="21" t="s">
        <v>31</v>
      </c>
      <c r="B3" s="2">
        <f>B2+1</f>
        <v>2</v>
      </c>
      <c r="C3" s="3">
        <f>TOTAL!C3</f>
        <v>5</v>
      </c>
      <c r="D3" s="11">
        <f>TOTAL!D3</f>
        <v>2019</v>
      </c>
      <c r="E3" s="4">
        <f>Hotel!Q8</f>
        <v>9370</v>
      </c>
      <c r="F3" s="4">
        <f>Hotel!R8</f>
        <v>12240</v>
      </c>
      <c r="G3" s="4">
        <f>Hotel!S8</f>
        <v>120</v>
      </c>
      <c r="H3" s="4">
        <f>Hotel!T8</f>
        <v>1540</v>
      </c>
      <c r="I3" s="4">
        <f>Hotel!U8</f>
        <v>6300</v>
      </c>
      <c r="J3" s="4">
        <f>Hotel!V8</f>
        <v>4590</v>
      </c>
      <c r="K3" s="4">
        <f>Hotel!W8</f>
        <v>3180</v>
      </c>
      <c r="L3" s="4">
        <f>Hotel!X8</f>
        <v>5130</v>
      </c>
      <c r="M3" s="4">
        <f>Hotel!Y8</f>
        <v>5970</v>
      </c>
      <c r="N3" s="4">
        <f>Hotel!Z8</f>
        <v>3140</v>
      </c>
      <c r="O3" s="4">
        <f>Hotel!AA8</f>
        <v>3860</v>
      </c>
      <c r="P3" s="4">
        <f>Hotel!AB8</f>
        <v>6740</v>
      </c>
      <c r="Q3" s="4">
        <f>Hotel!AC8</f>
        <v>12250</v>
      </c>
      <c r="R3" s="4">
        <f>Hotel!AT8</f>
        <v>0</v>
      </c>
      <c r="S3" s="4">
        <f>Hotel!BA8</f>
        <v>789.51600000000008</v>
      </c>
      <c r="T3" s="4">
        <f>Hotel!AX8</f>
        <v>0</v>
      </c>
      <c r="U3" s="4">
        <f>Hotel!B8</f>
        <v>262</v>
      </c>
    </row>
    <row r="4" spans="1:21" x14ac:dyDescent="0.25">
      <c r="A4" s="21" t="s">
        <v>31</v>
      </c>
      <c r="B4" s="2">
        <f t="shared" ref="B4:B29" si="0">B3+1</f>
        <v>3</v>
      </c>
      <c r="C4" s="3">
        <f>TOTAL!C4</f>
        <v>5</v>
      </c>
      <c r="D4" s="11">
        <f>TOTAL!D4</f>
        <v>2019</v>
      </c>
      <c r="E4" s="4">
        <f>Hotel!Q9</f>
        <v>9910</v>
      </c>
      <c r="F4" s="4">
        <f>Hotel!R9</f>
        <v>10270</v>
      </c>
      <c r="G4" s="4">
        <f>Hotel!S9</f>
        <v>120</v>
      </c>
      <c r="H4" s="4">
        <f>Hotel!T9</f>
        <v>2430</v>
      </c>
      <c r="I4" s="4">
        <f>Hotel!U9</f>
        <v>6290</v>
      </c>
      <c r="J4" s="4">
        <f>Hotel!V9</f>
        <v>4580</v>
      </c>
      <c r="K4" s="4">
        <f>Hotel!W9</f>
        <v>3440</v>
      </c>
      <c r="L4" s="4">
        <f>Hotel!X9</f>
        <v>5150</v>
      </c>
      <c r="M4" s="4">
        <f>Hotel!Y9</f>
        <v>6470</v>
      </c>
      <c r="N4" s="4">
        <f>Hotel!Z9</f>
        <v>3210</v>
      </c>
      <c r="O4" s="4">
        <f>Hotel!AA9</f>
        <v>3920</v>
      </c>
      <c r="P4" s="4">
        <f>Hotel!AB9</f>
        <v>6750</v>
      </c>
      <c r="Q4" s="4">
        <f>Hotel!AC9</f>
        <v>13920</v>
      </c>
      <c r="R4" s="4">
        <f>Hotel!AT9</f>
        <v>0</v>
      </c>
      <c r="S4" s="4">
        <f>Hotel!BA9</f>
        <v>566.202</v>
      </c>
      <c r="T4" s="4">
        <f>Hotel!AX9</f>
        <v>0</v>
      </c>
      <c r="U4" s="4">
        <f>Hotel!B9</f>
        <v>284</v>
      </c>
    </row>
    <row r="5" spans="1:21" x14ac:dyDescent="0.25">
      <c r="A5" s="21" t="s">
        <v>31</v>
      </c>
      <c r="B5" s="2">
        <f t="shared" si="0"/>
        <v>4</v>
      </c>
      <c r="C5" s="3">
        <f>TOTAL!C5</f>
        <v>5</v>
      </c>
      <c r="D5" s="11">
        <f>TOTAL!D5</f>
        <v>2019</v>
      </c>
      <c r="E5" s="4">
        <f>Hotel!Q10</f>
        <v>9410</v>
      </c>
      <c r="F5" s="4">
        <f>Hotel!R10</f>
        <v>3490</v>
      </c>
      <c r="G5" s="4">
        <f>Hotel!S10</f>
        <v>790</v>
      </c>
      <c r="H5" s="4">
        <f>Hotel!T10</f>
        <v>3950</v>
      </c>
      <c r="I5" s="4">
        <f>Hotel!U10</f>
        <v>5920</v>
      </c>
      <c r="J5" s="4">
        <f>Hotel!V10</f>
        <v>4350</v>
      </c>
      <c r="K5" s="4">
        <f>Hotel!W10</f>
        <v>3210</v>
      </c>
      <c r="L5" s="4">
        <f>Hotel!X10</f>
        <v>4900</v>
      </c>
      <c r="M5" s="4">
        <f>Hotel!Y10</f>
        <v>5560</v>
      </c>
      <c r="N5" s="4">
        <f>Hotel!Z10</f>
        <v>2950</v>
      </c>
      <c r="O5" s="4">
        <f>Hotel!AA10</f>
        <v>3620</v>
      </c>
      <c r="P5" s="4">
        <f>Hotel!AB10</f>
        <v>6650</v>
      </c>
      <c r="Q5" s="4">
        <f>Hotel!AC10</f>
        <v>13870</v>
      </c>
      <c r="R5" s="4">
        <f>Hotel!AT10</f>
        <v>0</v>
      </c>
      <c r="S5" s="4">
        <f>Hotel!BA10</f>
        <v>942.12300000000005</v>
      </c>
      <c r="T5" s="4">
        <f>Hotel!AX10</f>
        <v>0</v>
      </c>
      <c r="U5" s="4">
        <f>Hotel!B10</f>
        <v>120</v>
      </c>
    </row>
    <row r="6" spans="1:21" x14ac:dyDescent="0.25">
      <c r="A6" s="21" t="s">
        <v>31</v>
      </c>
      <c r="B6" s="2">
        <f t="shared" si="0"/>
        <v>5</v>
      </c>
      <c r="C6" s="3">
        <f>TOTAL!C6</f>
        <v>5</v>
      </c>
      <c r="D6" s="11">
        <f>TOTAL!D6</f>
        <v>2019</v>
      </c>
      <c r="E6" s="4">
        <f>Hotel!Q11</f>
        <v>9800</v>
      </c>
      <c r="F6" s="4">
        <f>Hotel!R11</f>
        <v>3700</v>
      </c>
      <c r="G6" s="4">
        <f>Hotel!S11</f>
        <v>3100</v>
      </c>
      <c r="H6" s="4">
        <f>Hotel!T11</f>
        <v>1580</v>
      </c>
      <c r="I6" s="4">
        <f>Hotel!U11</f>
        <v>5540</v>
      </c>
      <c r="J6" s="4">
        <f>Hotel!V11</f>
        <v>4290</v>
      </c>
      <c r="K6" s="4">
        <f>Hotel!W11</f>
        <v>3340</v>
      </c>
      <c r="L6" s="4">
        <f>Hotel!X11</f>
        <v>4800</v>
      </c>
      <c r="M6" s="4">
        <f>Hotel!Y11</f>
        <v>5440</v>
      </c>
      <c r="N6" s="4">
        <f>Hotel!Z11</f>
        <v>2690</v>
      </c>
      <c r="O6" s="4">
        <f>Hotel!AA11</f>
        <v>3440</v>
      </c>
      <c r="P6" s="4">
        <f>Hotel!AB11</f>
        <v>6800</v>
      </c>
      <c r="Q6" s="4">
        <f>Hotel!AC11</f>
        <v>14190</v>
      </c>
      <c r="R6" s="4">
        <f>Hotel!AT11</f>
        <v>0</v>
      </c>
      <c r="S6" s="4">
        <f>Hotel!BA11</f>
        <v>846.846</v>
      </c>
      <c r="T6" s="4">
        <f>Hotel!AX11</f>
        <v>0</v>
      </c>
      <c r="U6" s="4">
        <f>Hotel!B11</f>
        <v>118</v>
      </c>
    </row>
    <row r="7" spans="1:21" x14ac:dyDescent="0.25">
      <c r="A7" s="21" t="s">
        <v>31</v>
      </c>
      <c r="B7" s="2">
        <f t="shared" si="0"/>
        <v>6</v>
      </c>
      <c r="C7" s="3">
        <f>TOTAL!C7</f>
        <v>5</v>
      </c>
      <c r="D7" s="11">
        <f>TOTAL!D7</f>
        <v>2019</v>
      </c>
      <c r="E7" s="4">
        <f>Hotel!Q12</f>
        <v>8780</v>
      </c>
      <c r="F7" s="4">
        <f>Hotel!R12</f>
        <v>3650</v>
      </c>
      <c r="G7" s="4">
        <f>Hotel!S12</f>
        <v>2790</v>
      </c>
      <c r="H7" s="4">
        <f>Hotel!T12</f>
        <v>1550</v>
      </c>
      <c r="I7" s="4">
        <f>Hotel!U12</f>
        <v>4880</v>
      </c>
      <c r="J7" s="4">
        <f>Hotel!V12</f>
        <v>4020</v>
      </c>
      <c r="K7" s="4">
        <f>Hotel!W12</f>
        <v>3730</v>
      </c>
      <c r="L7" s="4">
        <f>Hotel!X12</f>
        <v>4410</v>
      </c>
      <c r="M7" s="4">
        <f>Hotel!Y12</f>
        <v>5000</v>
      </c>
      <c r="N7" s="4">
        <f>Hotel!Z12</f>
        <v>2410</v>
      </c>
      <c r="O7" s="4">
        <f>Hotel!AA12</f>
        <v>2900</v>
      </c>
      <c r="P7" s="4">
        <f>Hotel!AB12</f>
        <v>6360</v>
      </c>
      <c r="Q7" s="4">
        <f>Hotel!AC12</f>
        <v>13680</v>
      </c>
      <c r="R7" s="4">
        <f>Hotel!AT12</f>
        <v>0</v>
      </c>
      <c r="S7" s="4">
        <f>Hotel!BA12</f>
        <v>647.28300000000002</v>
      </c>
      <c r="T7" s="4">
        <f>Hotel!AX12</f>
        <v>0</v>
      </c>
      <c r="U7" s="4">
        <f>Hotel!B12</f>
        <v>42</v>
      </c>
    </row>
    <row r="8" spans="1:21" x14ac:dyDescent="0.25">
      <c r="A8" s="21" t="s">
        <v>31</v>
      </c>
      <c r="B8" s="2">
        <f t="shared" si="0"/>
        <v>7</v>
      </c>
      <c r="C8" s="3">
        <f>TOTAL!C8</f>
        <v>5</v>
      </c>
      <c r="D8" s="11">
        <f>TOTAL!D8</f>
        <v>2019</v>
      </c>
      <c r="E8" s="4">
        <f>Hotel!Q13</f>
        <v>9280</v>
      </c>
      <c r="F8" s="4">
        <f>Hotel!R13</f>
        <v>3770</v>
      </c>
      <c r="G8" s="4">
        <f>Hotel!S13</f>
        <v>2960</v>
      </c>
      <c r="H8" s="4">
        <f>Hotel!T13</f>
        <v>1610</v>
      </c>
      <c r="I8" s="4">
        <f>Hotel!U13</f>
        <v>5030</v>
      </c>
      <c r="J8" s="4">
        <f>Hotel!V13</f>
        <v>4090</v>
      </c>
      <c r="K8" s="4">
        <f>Hotel!W13</f>
        <v>3600</v>
      </c>
      <c r="L8" s="4">
        <f>Hotel!X13</f>
        <v>4350</v>
      </c>
      <c r="M8" s="4">
        <f>Hotel!Y13</f>
        <v>4710</v>
      </c>
      <c r="N8" s="4">
        <f>Hotel!Z13</f>
        <v>2490</v>
      </c>
      <c r="O8" s="4">
        <f>Hotel!AA13</f>
        <v>2930</v>
      </c>
      <c r="P8" s="4">
        <f>Hotel!AB13</f>
        <v>6570</v>
      </c>
      <c r="Q8" s="4">
        <f>Hotel!AC13</f>
        <v>13440</v>
      </c>
      <c r="R8" s="4">
        <f>Hotel!AT13</f>
        <v>0</v>
      </c>
      <c r="S8" s="4">
        <f>Hotel!BA13</f>
        <v>622.71299999999997</v>
      </c>
      <c r="T8" s="4">
        <f>Hotel!AX13</f>
        <v>0</v>
      </c>
      <c r="U8" s="4">
        <f>Hotel!B13</f>
        <v>36</v>
      </c>
    </row>
    <row r="9" spans="1:21" x14ac:dyDescent="0.25">
      <c r="A9" s="21" t="s">
        <v>31</v>
      </c>
      <c r="B9" s="2">
        <f t="shared" si="0"/>
        <v>8</v>
      </c>
      <c r="C9" s="3">
        <f>TOTAL!C9</f>
        <v>5</v>
      </c>
      <c r="D9" s="11">
        <f>TOTAL!D9</f>
        <v>2019</v>
      </c>
      <c r="E9" s="4">
        <f>Hotel!Q14</f>
        <v>9480</v>
      </c>
      <c r="F9" s="4">
        <f>Hotel!R14</f>
        <v>3610</v>
      </c>
      <c r="G9" s="4">
        <f>Hotel!S14</f>
        <v>3040</v>
      </c>
      <c r="H9" s="4">
        <f>Hotel!T14</f>
        <v>1570</v>
      </c>
      <c r="I9" s="4">
        <f>Hotel!U14</f>
        <v>5310</v>
      </c>
      <c r="J9" s="4">
        <f>Hotel!V14</f>
        <v>4570</v>
      </c>
      <c r="K9" s="4">
        <f>Hotel!W14</f>
        <v>3920</v>
      </c>
      <c r="L9" s="4">
        <f>Hotel!X14</f>
        <v>4300</v>
      </c>
      <c r="M9" s="4">
        <f>Hotel!Y14</f>
        <v>5410</v>
      </c>
      <c r="N9" s="4">
        <f>Hotel!Z14</f>
        <v>2570</v>
      </c>
      <c r="O9" s="4">
        <f>Hotel!AA14</f>
        <v>2940</v>
      </c>
      <c r="P9" s="4">
        <f>Hotel!AB14</f>
        <v>6330</v>
      </c>
      <c r="Q9" s="4">
        <f>Hotel!AC14</f>
        <v>13270</v>
      </c>
      <c r="R9" s="4">
        <f>Hotel!AT14</f>
        <v>0</v>
      </c>
      <c r="S9" s="4">
        <f>Hotel!BA14</f>
        <v>611.24699999999996</v>
      </c>
      <c r="T9" s="4">
        <f>Hotel!AX14</f>
        <v>0</v>
      </c>
      <c r="U9" s="4">
        <f>Hotel!B14</f>
        <v>48</v>
      </c>
    </row>
    <row r="10" spans="1:21" x14ac:dyDescent="0.25">
      <c r="A10" s="21" t="s">
        <v>31</v>
      </c>
      <c r="B10" s="2">
        <f t="shared" si="0"/>
        <v>9</v>
      </c>
      <c r="C10" s="3">
        <f>TOTAL!C10</f>
        <v>5</v>
      </c>
      <c r="D10" s="11">
        <f>TOTAL!D10</f>
        <v>2019</v>
      </c>
      <c r="E10" s="4">
        <f>Hotel!Q15</f>
        <v>9750</v>
      </c>
      <c r="F10" s="4">
        <f>Hotel!R15</f>
        <v>3670</v>
      </c>
      <c r="G10" s="4">
        <f>Hotel!S15</f>
        <v>3140</v>
      </c>
      <c r="H10" s="4">
        <f>Hotel!T15</f>
        <v>1590</v>
      </c>
      <c r="I10" s="4">
        <f>Hotel!U15</f>
        <v>5040</v>
      </c>
      <c r="J10" s="4">
        <f>Hotel!V15</f>
        <v>4220</v>
      </c>
      <c r="K10" s="4">
        <f>Hotel!W15</f>
        <v>4070</v>
      </c>
      <c r="L10" s="4">
        <f>Hotel!X15</f>
        <v>4350</v>
      </c>
      <c r="M10" s="4">
        <f>Hotel!Y15</f>
        <v>4750</v>
      </c>
      <c r="N10" s="4">
        <f>Hotel!Z15</f>
        <v>2570</v>
      </c>
      <c r="O10" s="4">
        <f>Hotel!AA15</f>
        <v>2970</v>
      </c>
      <c r="P10" s="4">
        <f>Hotel!AB15</f>
        <v>6370</v>
      </c>
      <c r="Q10" s="4">
        <f>Hotel!AC15</f>
        <v>10650</v>
      </c>
      <c r="R10" s="4">
        <f>Hotel!AT15</f>
        <v>0</v>
      </c>
      <c r="S10" s="4">
        <f>Hotel!BA15</f>
        <v>739.01100000000008</v>
      </c>
      <c r="T10" s="4">
        <f>Hotel!AX15</f>
        <v>0</v>
      </c>
      <c r="U10" s="4">
        <f>Hotel!B15</f>
        <v>36</v>
      </c>
    </row>
    <row r="11" spans="1:21" x14ac:dyDescent="0.25">
      <c r="A11" s="21" t="s">
        <v>31</v>
      </c>
      <c r="B11" s="2">
        <f t="shared" si="0"/>
        <v>10</v>
      </c>
      <c r="C11" s="3">
        <f>TOTAL!C11</f>
        <v>5</v>
      </c>
      <c r="D11" s="11">
        <f>TOTAL!D11</f>
        <v>2019</v>
      </c>
      <c r="E11" s="4">
        <f>Hotel!Q16</f>
        <v>9610</v>
      </c>
      <c r="F11" s="4">
        <f>Hotel!R16</f>
        <v>3660</v>
      </c>
      <c r="G11" s="4">
        <f>Hotel!S16</f>
        <v>3100</v>
      </c>
      <c r="H11" s="4">
        <f>Hotel!T16</f>
        <v>1590</v>
      </c>
      <c r="I11" s="4">
        <f>Hotel!U16</f>
        <v>5170</v>
      </c>
      <c r="J11" s="4">
        <f>Hotel!V16</f>
        <v>4100</v>
      </c>
      <c r="K11" s="4">
        <f>Hotel!W16</f>
        <v>4320</v>
      </c>
      <c r="L11" s="4">
        <f>Hotel!X16</f>
        <v>4410</v>
      </c>
      <c r="M11" s="4">
        <f>Hotel!Y16</f>
        <v>4740</v>
      </c>
      <c r="N11" s="4">
        <f>Hotel!Z16</f>
        <v>2550</v>
      </c>
      <c r="O11" s="4">
        <f>Hotel!AA16</f>
        <v>3060</v>
      </c>
      <c r="P11" s="4">
        <f>Hotel!AB16</f>
        <v>6440</v>
      </c>
      <c r="Q11" s="4">
        <f>Hotel!AC16</f>
        <v>7610</v>
      </c>
      <c r="R11" s="4">
        <f>Hotel!AT16</f>
        <v>0</v>
      </c>
      <c r="S11" s="4">
        <f>Hotel!BA16</f>
        <v>628.99200000000008</v>
      </c>
      <c r="T11" s="4">
        <f>Hotel!AX16</f>
        <v>0</v>
      </c>
      <c r="U11" s="4">
        <f>Hotel!B16</f>
        <v>48</v>
      </c>
    </row>
    <row r="12" spans="1:21" x14ac:dyDescent="0.25">
      <c r="A12" s="21" t="s">
        <v>31</v>
      </c>
      <c r="B12" s="2">
        <f t="shared" si="0"/>
        <v>11</v>
      </c>
      <c r="C12" s="3">
        <f>TOTAL!C12</f>
        <v>5</v>
      </c>
      <c r="D12" s="11">
        <f>TOTAL!D12</f>
        <v>2019</v>
      </c>
      <c r="E12" s="4">
        <f>Hotel!Q17</f>
        <v>9520</v>
      </c>
      <c r="F12" s="4">
        <f>Hotel!R17</f>
        <v>3740</v>
      </c>
      <c r="G12" s="4">
        <f>Hotel!S17</f>
        <v>3040</v>
      </c>
      <c r="H12" s="4">
        <f>Hotel!T17</f>
        <v>1650</v>
      </c>
      <c r="I12" s="4">
        <f>Hotel!U17</f>
        <v>5250</v>
      </c>
      <c r="J12" s="4">
        <f>Hotel!V17</f>
        <v>4120</v>
      </c>
      <c r="K12" s="4">
        <f>Hotel!W17</f>
        <v>4460</v>
      </c>
      <c r="L12" s="4">
        <f>Hotel!X17</f>
        <v>4440</v>
      </c>
      <c r="M12" s="4">
        <f>Hotel!Y17</f>
        <v>4990</v>
      </c>
      <c r="N12" s="4">
        <f>Hotel!Z17</f>
        <v>2510</v>
      </c>
      <c r="O12" s="4">
        <f>Hotel!AA17</f>
        <v>3130</v>
      </c>
      <c r="P12" s="4">
        <f>Hotel!AB17</f>
        <v>6640</v>
      </c>
      <c r="Q12" s="4">
        <f>Hotel!AC17</f>
        <v>14490</v>
      </c>
      <c r="R12" s="4">
        <f>Hotel!AT17</f>
        <v>0</v>
      </c>
      <c r="S12" s="4">
        <f>Hotel!BA17</f>
        <v>583.67399999999998</v>
      </c>
      <c r="T12" s="4">
        <f>Hotel!AX17</f>
        <v>0</v>
      </c>
      <c r="U12" s="4">
        <f>Hotel!B17</f>
        <v>46</v>
      </c>
    </row>
    <row r="13" spans="1:21" x14ac:dyDescent="0.25">
      <c r="A13" s="21" t="s">
        <v>31</v>
      </c>
      <c r="B13" s="2">
        <f t="shared" si="0"/>
        <v>12</v>
      </c>
      <c r="C13" s="3">
        <f>TOTAL!C13</f>
        <v>5</v>
      </c>
      <c r="D13" s="11">
        <f>TOTAL!D13</f>
        <v>2019</v>
      </c>
      <c r="E13" s="4">
        <f>Hotel!Q18</f>
        <v>9400</v>
      </c>
      <c r="F13" s="4">
        <f>Hotel!R18</f>
        <v>3760</v>
      </c>
      <c r="G13" s="4">
        <f>Hotel!S18</f>
        <v>3010</v>
      </c>
      <c r="H13" s="4">
        <f>Hotel!T18</f>
        <v>1580</v>
      </c>
      <c r="I13" s="4">
        <f>Hotel!U18</f>
        <v>4980</v>
      </c>
      <c r="J13" s="4">
        <f>Hotel!V18</f>
        <v>4140</v>
      </c>
      <c r="K13" s="4">
        <f>Hotel!W18</f>
        <v>4180</v>
      </c>
      <c r="L13" s="4">
        <f>Hotel!X18</f>
        <v>4470</v>
      </c>
      <c r="M13" s="4">
        <f>Hotel!Y18</f>
        <v>5050</v>
      </c>
      <c r="N13" s="4">
        <f>Hotel!Z18</f>
        <v>2490</v>
      </c>
      <c r="O13" s="4">
        <f>Hotel!AA18</f>
        <v>3310</v>
      </c>
      <c r="P13" s="4">
        <f>Hotel!AB18</f>
        <v>6640</v>
      </c>
      <c r="Q13" s="4">
        <f>Hotel!AC18</f>
        <v>14070</v>
      </c>
      <c r="R13" s="4">
        <f>Hotel!AT18</f>
        <v>0</v>
      </c>
      <c r="S13" s="4">
        <f>Hotel!BA18</f>
        <v>941.03099999999995</v>
      </c>
      <c r="T13" s="4">
        <f>Hotel!AX18</f>
        <v>0</v>
      </c>
      <c r="U13" s="4">
        <f>Hotel!B18</f>
        <v>85</v>
      </c>
    </row>
    <row r="14" spans="1:21" x14ac:dyDescent="0.25">
      <c r="A14" s="21" t="s">
        <v>31</v>
      </c>
      <c r="B14" s="2">
        <f t="shared" si="0"/>
        <v>13</v>
      </c>
      <c r="C14" s="3">
        <f>TOTAL!C14</f>
        <v>5</v>
      </c>
      <c r="D14" s="11">
        <f>TOTAL!D14</f>
        <v>2019</v>
      </c>
      <c r="E14" s="4">
        <f>Hotel!Q19</f>
        <v>9580</v>
      </c>
      <c r="F14" s="4">
        <f>Hotel!R19</f>
        <v>3740</v>
      </c>
      <c r="G14" s="4">
        <f>Hotel!S19</f>
        <v>3080</v>
      </c>
      <c r="H14" s="4">
        <f>Hotel!T19</f>
        <v>1600</v>
      </c>
      <c r="I14" s="4">
        <f>Hotel!U19</f>
        <v>5230</v>
      </c>
      <c r="J14" s="4">
        <f>Hotel!V19</f>
        <v>4070</v>
      </c>
      <c r="K14" s="4">
        <f>Hotel!W19</f>
        <v>4190</v>
      </c>
      <c r="L14" s="4">
        <f>Hotel!X19</f>
        <v>4510</v>
      </c>
      <c r="M14" s="4">
        <f>Hotel!Y19</f>
        <v>4850</v>
      </c>
      <c r="N14" s="4">
        <f>Hotel!Z19</f>
        <v>2490</v>
      </c>
      <c r="O14" s="4">
        <f>Hotel!AA19</f>
        <v>3110</v>
      </c>
      <c r="P14" s="4">
        <f>Hotel!AB19</f>
        <v>6550</v>
      </c>
      <c r="Q14" s="4">
        <f>Hotel!AC19</f>
        <v>14350</v>
      </c>
      <c r="R14" s="4">
        <f>Hotel!AT19</f>
        <v>0</v>
      </c>
      <c r="S14" s="4">
        <f>Hotel!BA19</f>
        <v>646.73699999999997</v>
      </c>
      <c r="T14" s="4">
        <f>Hotel!AX19</f>
        <v>0</v>
      </c>
      <c r="U14" s="4">
        <f>Hotel!B19</f>
        <v>84</v>
      </c>
    </row>
    <row r="15" spans="1:21" x14ac:dyDescent="0.25">
      <c r="A15" s="21" t="s">
        <v>31</v>
      </c>
      <c r="B15" s="2">
        <f t="shared" si="0"/>
        <v>14</v>
      </c>
      <c r="C15" s="3">
        <f>TOTAL!C15</f>
        <v>5</v>
      </c>
      <c r="D15" s="11">
        <f>TOTAL!D15</f>
        <v>2019</v>
      </c>
      <c r="E15" s="4">
        <f>Hotel!Q20</f>
        <v>9640</v>
      </c>
      <c r="F15" s="4">
        <f>Hotel!R20</f>
        <v>3720</v>
      </c>
      <c r="G15" s="4">
        <f>Hotel!S20</f>
        <v>3220</v>
      </c>
      <c r="H15" s="4">
        <f>Hotel!T20</f>
        <v>1580</v>
      </c>
      <c r="I15" s="4">
        <f>Hotel!U20</f>
        <v>10460</v>
      </c>
      <c r="J15" s="4">
        <f>Hotel!V20</f>
        <v>4000</v>
      </c>
      <c r="K15" s="4">
        <f>Hotel!W20</f>
        <v>4420</v>
      </c>
      <c r="L15" s="4">
        <f>Hotel!X20</f>
        <v>4420</v>
      </c>
      <c r="M15" s="4">
        <f>Hotel!Y20</f>
        <v>4790</v>
      </c>
      <c r="N15" s="4">
        <f>Hotel!Z20</f>
        <v>2610</v>
      </c>
      <c r="O15" s="4">
        <f>Hotel!AA20</f>
        <v>2950</v>
      </c>
      <c r="P15" s="4">
        <f>Hotel!AB20</f>
        <v>6590</v>
      </c>
      <c r="Q15" s="4">
        <f>Hotel!AC20</f>
        <v>14240</v>
      </c>
      <c r="R15" s="4">
        <f>Hotel!AT20</f>
        <v>0</v>
      </c>
      <c r="S15" s="4">
        <f>Hotel!BA20</f>
        <v>680.04300000000001</v>
      </c>
      <c r="T15" s="4">
        <f>Hotel!AX20</f>
        <v>0</v>
      </c>
      <c r="U15" s="4">
        <f>Hotel!B20</f>
        <v>87</v>
      </c>
    </row>
    <row r="16" spans="1:21" x14ac:dyDescent="0.25">
      <c r="A16" s="21" t="s">
        <v>31</v>
      </c>
      <c r="B16" s="2">
        <f t="shared" si="0"/>
        <v>15</v>
      </c>
      <c r="C16" s="3">
        <f>TOTAL!C16</f>
        <v>5</v>
      </c>
      <c r="D16" s="11">
        <f>TOTAL!D16</f>
        <v>2019</v>
      </c>
      <c r="E16" s="4">
        <f>Hotel!Q21</f>
        <v>6340</v>
      </c>
      <c r="F16" s="4">
        <f>Hotel!R21</f>
        <v>7690</v>
      </c>
      <c r="G16" s="4">
        <f>Hotel!S21</f>
        <v>3300</v>
      </c>
      <c r="H16" s="4">
        <f>Hotel!T21</f>
        <v>1640</v>
      </c>
      <c r="I16" s="4">
        <f>Hotel!U21</f>
        <v>620</v>
      </c>
      <c r="J16" s="4">
        <f>Hotel!V21</f>
        <v>4320</v>
      </c>
      <c r="K16" s="4">
        <f>Hotel!W21</f>
        <v>4570</v>
      </c>
      <c r="L16" s="4">
        <f>Hotel!X21</f>
        <v>4530</v>
      </c>
      <c r="M16" s="4">
        <f>Hotel!Y21</f>
        <v>4690</v>
      </c>
      <c r="N16" s="4">
        <f>Hotel!Z21</f>
        <v>2710</v>
      </c>
      <c r="O16" s="4">
        <f>Hotel!AA21</f>
        <v>3020</v>
      </c>
      <c r="P16" s="4">
        <f>Hotel!AB21</f>
        <v>6760</v>
      </c>
      <c r="Q16" s="4">
        <f>Hotel!AC21</f>
        <v>14630</v>
      </c>
      <c r="R16" s="4">
        <f>Hotel!AT21</f>
        <v>0</v>
      </c>
      <c r="S16" s="4">
        <f>Hotel!BA21</f>
        <v>763.03500000000008</v>
      </c>
      <c r="T16" s="4">
        <f>Hotel!AX21</f>
        <v>0</v>
      </c>
      <c r="U16" s="4">
        <f>Hotel!B21</f>
        <v>74</v>
      </c>
    </row>
    <row r="17" spans="1:21" x14ac:dyDescent="0.25">
      <c r="A17" s="21" t="s">
        <v>31</v>
      </c>
      <c r="B17" s="2">
        <f t="shared" si="0"/>
        <v>16</v>
      </c>
      <c r="C17" s="3">
        <f>TOTAL!C17</f>
        <v>5</v>
      </c>
      <c r="D17" s="11">
        <f>TOTAL!D17</f>
        <v>2019</v>
      </c>
      <c r="E17" s="4">
        <f>Hotel!Q22</f>
        <v>1010</v>
      </c>
      <c r="F17" s="4">
        <f>Hotel!R22</f>
        <v>12630</v>
      </c>
      <c r="G17" s="4">
        <f>Hotel!S22</f>
        <v>3210</v>
      </c>
      <c r="H17" s="4">
        <f>Hotel!T22</f>
        <v>1580</v>
      </c>
      <c r="I17" s="4">
        <f>Hotel!U22</f>
        <v>5190</v>
      </c>
      <c r="J17" s="4">
        <f>Hotel!V22</f>
        <v>4190</v>
      </c>
      <c r="K17" s="4">
        <f>Hotel!W22</f>
        <v>4390</v>
      </c>
      <c r="L17" s="4">
        <f>Hotel!X22</f>
        <v>4470</v>
      </c>
      <c r="M17" s="4">
        <f>Hotel!Y22</f>
        <v>4562</v>
      </c>
      <c r="N17" s="4">
        <f>Hotel!Z22</f>
        <v>2700</v>
      </c>
      <c r="O17" s="4">
        <f>Hotel!AA22</f>
        <v>2780</v>
      </c>
      <c r="P17" s="4">
        <f>Hotel!AB22</f>
        <v>6600</v>
      </c>
      <c r="Q17" s="4">
        <f>Hotel!AC22</f>
        <v>13450</v>
      </c>
      <c r="R17" s="4">
        <f>Hotel!AT22</f>
        <v>0</v>
      </c>
      <c r="S17" s="4">
        <f>Hotel!BA22</f>
        <v>784.875</v>
      </c>
      <c r="T17" s="4">
        <f>Hotel!AX22</f>
        <v>0</v>
      </c>
      <c r="U17" s="4">
        <f>Hotel!B22</f>
        <v>89</v>
      </c>
    </row>
    <row r="18" spans="1:21" x14ac:dyDescent="0.25">
      <c r="A18" s="21" t="s">
        <v>31</v>
      </c>
      <c r="B18" s="2">
        <f t="shared" si="0"/>
        <v>17</v>
      </c>
      <c r="C18" s="3">
        <f>TOTAL!C18</f>
        <v>5</v>
      </c>
      <c r="D18" s="11">
        <f>TOTAL!D18</f>
        <v>2019</v>
      </c>
      <c r="E18" s="4">
        <f>Hotel!Q23</f>
        <v>1020</v>
      </c>
      <c r="F18" s="4">
        <f>Hotel!R23</f>
        <v>14130</v>
      </c>
      <c r="G18" s="4">
        <f>Hotel!S23</f>
        <v>3630</v>
      </c>
      <c r="H18" s="4">
        <f>Hotel!T23</f>
        <v>1610</v>
      </c>
      <c r="I18" s="4">
        <f>Hotel!U23</f>
        <v>5480</v>
      </c>
      <c r="J18" s="4">
        <f>Hotel!V23</f>
        <v>4180</v>
      </c>
      <c r="K18" s="4">
        <f>Hotel!W23</f>
        <v>4530</v>
      </c>
      <c r="L18" s="4">
        <f>Hotel!X23</f>
        <v>4660</v>
      </c>
      <c r="M18" s="4">
        <f>Hotel!Y23</f>
        <v>4988</v>
      </c>
      <c r="N18" s="4">
        <f>Hotel!Z23</f>
        <v>2840</v>
      </c>
      <c r="O18" s="4">
        <f>Hotel!AA23</f>
        <v>2990</v>
      </c>
      <c r="P18" s="4">
        <f>Hotel!AB23</f>
        <v>6750</v>
      </c>
      <c r="Q18" s="4">
        <f>Hotel!AC23</f>
        <v>13600</v>
      </c>
      <c r="R18" s="4">
        <f>Hotel!AT23</f>
        <v>0</v>
      </c>
      <c r="S18" s="4">
        <f>Hotel!BA23</f>
        <v>622.98599999999999</v>
      </c>
      <c r="T18" s="4">
        <f>Hotel!AX23</f>
        <v>0</v>
      </c>
      <c r="U18" s="4">
        <f>Hotel!B23</f>
        <v>107</v>
      </c>
    </row>
    <row r="19" spans="1:21" x14ac:dyDescent="0.25">
      <c r="A19" s="21" t="s">
        <v>31</v>
      </c>
      <c r="B19" s="2">
        <f t="shared" si="0"/>
        <v>18</v>
      </c>
      <c r="C19" s="3">
        <f>TOTAL!C19</f>
        <v>5</v>
      </c>
      <c r="D19" s="11">
        <f>TOTAL!D19</f>
        <v>2019</v>
      </c>
      <c r="E19" s="4">
        <f>Hotel!Q24</f>
        <v>1440</v>
      </c>
      <c r="F19" s="4">
        <f>Hotel!R24</f>
        <v>13779</v>
      </c>
      <c r="G19" s="4">
        <f>Hotel!S24</f>
        <v>2790</v>
      </c>
      <c r="H19" s="4">
        <f>Hotel!T24</f>
        <v>2480</v>
      </c>
      <c r="I19" s="4">
        <f>Hotel!U24</f>
        <v>5400</v>
      </c>
      <c r="J19" s="4">
        <f>Hotel!V24</f>
        <v>4230</v>
      </c>
      <c r="K19" s="4">
        <f>Hotel!W24</f>
        <v>4180</v>
      </c>
      <c r="L19" s="4">
        <f>Hotel!X24</f>
        <v>4370</v>
      </c>
      <c r="M19" s="4">
        <f>Hotel!Y24</f>
        <v>5060</v>
      </c>
      <c r="N19" s="4">
        <f>Hotel!Z24</f>
        <v>2790</v>
      </c>
      <c r="O19" s="4">
        <f>Hotel!AA24</f>
        <v>2880</v>
      </c>
      <c r="P19" s="4">
        <f>Hotel!AB24</f>
        <v>6690</v>
      </c>
      <c r="Q19" s="4">
        <f>Hotel!AC24</f>
        <v>13450</v>
      </c>
      <c r="R19" s="4">
        <f>Hotel!AT24</f>
        <v>0</v>
      </c>
      <c r="S19" s="4">
        <f>Hotel!BA24</f>
        <v>640.45799999999997</v>
      </c>
      <c r="T19" s="4">
        <f>Hotel!AX24</f>
        <v>0</v>
      </c>
      <c r="U19" s="4">
        <f>Hotel!B24</f>
        <v>55</v>
      </c>
    </row>
    <row r="20" spans="1:21" x14ac:dyDescent="0.25">
      <c r="A20" s="21" t="s">
        <v>31</v>
      </c>
      <c r="B20" s="2">
        <f t="shared" si="0"/>
        <v>19</v>
      </c>
      <c r="C20" s="3">
        <f>TOTAL!C20</f>
        <v>5</v>
      </c>
      <c r="D20" s="11">
        <f>TOTAL!D20</f>
        <v>2019</v>
      </c>
      <c r="E20" s="4">
        <f>Hotel!Q25</f>
        <v>1010</v>
      </c>
      <c r="F20" s="4">
        <f>Hotel!R25</f>
        <v>14001</v>
      </c>
      <c r="G20" s="4">
        <f>Hotel!S25</f>
        <v>3580</v>
      </c>
      <c r="H20" s="4">
        <f>Hotel!T25</f>
        <v>1590</v>
      </c>
      <c r="I20" s="4">
        <f>Hotel!U25</f>
        <v>5530</v>
      </c>
      <c r="J20" s="4">
        <f>Hotel!V25</f>
        <v>4130</v>
      </c>
      <c r="K20" s="4">
        <f>Hotel!W25</f>
        <v>4450</v>
      </c>
      <c r="L20" s="4">
        <f>Hotel!X25</f>
        <v>4440</v>
      </c>
      <c r="M20" s="4">
        <f>Hotel!Y25</f>
        <v>4980</v>
      </c>
      <c r="N20" s="4">
        <f>Hotel!Z25</f>
        <v>2730</v>
      </c>
      <c r="O20" s="4">
        <f>Hotel!AA25</f>
        <v>2940</v>
      </c>
      <c r="P20" s="4">
        <f>Hotel!AB25</f>
        <v>6590</v>
      </c>
      <c r="Q20" s="4">
        <f>Hotel!AC25</f>
        <v>13920</v>
      </c>
      <c r="R20" s="4">
        <f>Hotel!AT25</f>
        <v>0</v>
      </c>
      <c r="S20" s="4">
        <f>Hotel!BA25</f>
        <v>610.97400000000005</v>
      </c>
      <c r="T20" s="4">
        <f>Hotel!AX25</f>
        <v>0</v>
      </c>
      <c r="U20" s="4">
        <f>Hotel!B25</f>
        <v>74</v>
      </c>
    </row>
    <row r="21" spans="1:21" x14ac:dyDescent="0.25">
      <c r="A21" s="21" t="s">
        <v>31</v>
      </c>
      <c r="B21" s="2">
        <f t="shared" si="0"/>
        <v>20</v>
      </c>
      <c r="C21" s="3">
        <f>TOTAL!C21</f>
        <v>5</v>
      </c>
      <c r="D21" s="11">
        <f>TOTAL!D21</f>
        <v>2019</v>
      </c>
      <c r="E21" s="4">
        <f>Hotel!Q26</f>
        <v>1000</v>
      </c>
      <c r="F21" s="4">
        <f>Hotel!R26</f>
        <v>13530</v>
      </c>
      <c r="G21" s="4">
        <f>Hotel!S26</f>
        <v>3440</v>
      </c>
      <c r="H21" s="4">
        <f>Hotel!T26</f>
        <v>1580</v>
      </c>
      <c r="I21" s="4">
        <f>Hotel!U26</f>
        <v>5230</v>
      </c>
      <c r="J21" s="4">
        <f>Hotel!V26</f>
        <v>4020</v>
      </c>
      <c r="K21" s="4">
        <f>Hotel!W26</f>
        <v>4540</v>
      </c>
      <c r="L21" s="4">
        <f>Hotel!X26</f>
        <v>4530</v>
      </c>
      <c r="M21" s="4">
        <f>Hotel!Y26</f>
        <v>5150</v>
      </c>
      <c r="N21" s="4">
        <f>Hotel!Z26</f>
        <v>2580</v>
      </c>
      <c r="O21" s="4">
        <f>Hotel!AA26</f>
        <v>3060</v>
      </c>
      <c r="P21" s="4">
        <f>Hotel!AB26</f>
        <v>6570</v>
      </c>
      <c r="Q21" s="4">
        <f>Hotel!AC26</f>
        <v>13870</v>
      </c>
      <c r="R21" s="4">
        <f>Hotel!AT26</f>
        <v>0</v>
      </c>
      <c r="S21" s="4">
        <f>Hotel!BA26</f>
        <v>580.94399999999996</v>
      </c>
      <c r="T21" s="4">
        <f>Hotel!AX26</f>
        <v>0</v>
      </c>
      <c r="U21" s="4">
        <f>Hotel!B26</f>
        <v>105</v>
      </c>
    </row>
    <row r="22" spans="1:21" x14ac:dyDescent="0.25">
      <c r="A22" s="21" t="s">
        <v>31</v>
      </c>
      <c r="B22" s="2">
        <f t="shared" si="0"/>
        <v>21</v>
      </c>
      <c r="C22" s="3">
        <f>TOTAL!C22</f>
        <v>5</v>
      </c>
      <c r="D22" s="11">
        <f>TOTAL!D22</f>
        <v>2019</v>
      </c>
      <c r="E22" s="4">
        <f>Hotel!Q27</f>
        <v>1090</v>
      </c>
      <c r="F22" s="4">
        <f>Hotel!R27</f>
        <v>13600</v>
      </c>
      <c r="G22" s="4">
        <f>Hotel!S27</f>
        <v>3370</v>
      </c>
      <c r="H22" s="4">
        <f>Hotel!T27</f>
        <v>1640</v>
      </c>
      <c r="I22" s="4">
        <f>Hotel!U27</f>
        <v>5920</v>
      </c>
      <c r="J22" s="4">
        <f>Hotel!V27</f>
        <v>4430</v>
      </c>
      <c r="K22" s="4">
        <f>Hotel!W27</f>
        <v>4970</v>
      </c>
      <c r="L22" s="4">
        <f>Hotel!X27</f>
        <v>4590</v>
      </c>
      <c r="M22" s="4">
        <f>Hotel!Y27</f>
        <v>5140</v>
      </c>
      <c r="N22" s="4">
        <f>Hotel!Z27</f>
        <v>2770</v>
      </c>
      <c r="O22" s="4">
        <f>Hotel!AA27</f>
        <v>3440</v>
      </c>
      <c r="P22" s="4">
        <f>Hotel!AB27</f>
        <v>7170</v>
      </c>
      <c r="Q22" s="4">
        <f>Hotel!AC27</f>
        <v>14140</v>
      </c>
      <c r="R22" s="4">
        <f>Hotel!AT27</f>
        <v>0</v>
      </c>
      <c r="S22" s="4">
        <f>Hotel!BA27</f>
        <v>650.83199999999999</v>
      </c>
      <c r="T22" s="4">
        <f>Hotel!AX27</f>
        <v>0</v>
      </c>
      <c r="U22" s="4">
        <f>Hotel!B27</f>
        <v>86</v>
      </c>
    </row>
    <row r="23" spans="1:21" x14ac:dyDescent="0.25">
      <c r="A23" s="21" t="s">
        <v>31</v>
      </c>
      <c r="B23" s="2">
        <f t="shared" si="0"/>
        <v>22</v>
      </c>
      <c r="C23" s="3">
        <f>TOTAL!C23</f>
        <v>5</v>
      </c>
      <c r="D23" s="11">
        <f>TOTAL!D23</f>
        <v>2019</v>
      </c>
      <c r="E23" s="4">
        <f>Hotel!Q28</f>
        <v>1000</v>
      </c>
      <c r="F23" s="4">
        <f>Hotel!R28</f>
        <v>12840</v>
      </c>
      <c r="G23" s="4">
        <f>Hotel!S28</f>
        <v>3210</v>
      </c>
      <c r="H23" s="4">
        <f>Hotel!T28</f>
        <v>1680</v>
      </c>
      <c r="I23" s="4">
        <f>Hotel!U28</f>
        <v>5390</v>
      </c>
      <c r="J23" s="4">
        <f>Hotel!V28</f>
        <v>4260</v>
      </c>
      <c r="K23" s="4">
        <f>Hotel!W28</f>
        <v>4590</v>
      </c>
      <c r="L23" s="4">
        <f>Hotel!X28</f>
        <v>4200</v>
      </c>
      <c r="M23" s="4">
        <f>Hotel!Y28</f>
        <v>4760</v>
      </c>
      <c r="N23" s="4">
        <f>Hotel!Z28</f>
        <v>2630</v>
      </c>
      <c r="O23" s="4">
        <f>Hotel!AA28</f>
        <v>3530</v>
      </c>
      <c r="P23" s="4">
        <f>Hotel!AB28</f>
        <v>6600</v>
      </c>
      <c r="Q23" s="4">
        <f>Hotel!AC28</f>
        <v>13390</v>
      </c>
      <c r="R23" s="4">
        <f>Hotel!AT28</f>
        <v>0</v>
      </c>
      <c r="S23" s="4">
        <f>Hotel!BA28</f>
        <v>620.52900000000011</v>
      </c>
      <c r="T23" s="4">
        <f>Hotel!AX28</f>
        <v>0</v>
      </c>
      <c r="U23" s="4">
        <f>Hotel!B28</f>
        <v>103</v>
      </c>
    </row>
    <row r="24" spans="1:21" x14ac:dyDescent="0.25">
      <c r="A24" s="21" t="s">
        <v>31</v>
      </c>
      <c r="B24" s="2">
        <f t="shared" si="0"/>
        <v>23</v>
      </c>
      <c r="C24" s="3">
        <f>TOTAL!C24</f>
        <v>5</v>
      </c>
      <c r="D24" s="11">
        <f>TOTAL!D24</f>
        <v>2019</v>
      </c>
      <c r="E24" s="4">
        <f>Hotel!Q29</f>
        <v>1010</v>
      </c>
      <c r="F24" s="4">
        <f>Hotel!R29</f>
        <v>13000</v>
      </c>
      <c r="G24" s="4">
        <f>Hotel!S29</f>
        <v>3250</v>
      </c>
      <c r="H24" s="4">
        <f>Hotel!T29</f>
        <v>1590</v>
      </c>
      <c r="I24" s="4">
        <f>Hotel!U29</f>
        <v>5220</v>
      </c>
      <c r="J24" s="4">
        <f>Hotel!V29</f>
        <v>4380</v>
      </c>
      <c r="K24" s="4">
        <f>Hotel!W29</f>
        <v>4550</v>
      </c>
      <c r="L24" s="4">
        <f>Hotel!X29</f>
        <v>4210</v>
      </c>
      <c r="M24" s="4">
        <f>Hotel!Y29</f>
        <v>4960</v>
      </c>
      <c r="N24" s="4">
        <f>Hotel!Z29</f>
        <v>2760</v>
      </c>
      <c r="O24" s="4">
        <f>Hotel!AA29</f>
        <v>3580</v>
      </c>
      <c r="P24" s="4">
        <f>Hotel!AB29</f>
        <v>6740</v>
      </c>
      <c r="Q24" s="4">
        <f>Hotel!AC29</f>
        <v>13040</v>
      </c>
      <c r="R24" s="4">
        <f>Hotel!AT29</f>
        <v>0</v>
      </c>
      <c r="S24" s="4">
        <f>Hotel!BA29</f>
        <v>786.51300000000003</v>
      </c>
      <c r="T24" s="4">
        <f>Hotel!AX29</f>
        <v>0</v>
      </c>
      <c r="U24" s="4">
        <f>Hotel!B29</f>
        <v>118</v>
      </c>
    </row>
    <row r="25" spans="1:21" x14ac:dyDescent="0.25">
      <c r="A25" s="21" t="s">
        <v>31</v>
      </c>
      <c r="B25" s="2">
        <f t="shared" si="0"/>
        <v>24</v>
      </c>
      <c r="C25" s="3">
        <f>TOTAL!C25</f>
        <v>5</v>
      </c>
      <c r="D25" s="11">
        <f>TOTAL!D25</f>
        <v>2019</v>
      </c>
      <c r="E25" s="4">
        <f>Hotel!Q30</f>
        <v>1010</v>
      </c>
      <c r="F25" s="4">
        <f>Hotel!R30</f>
        <v>12950</v>
      </c>
      <c r="G25" s="4">
        <f>Hotel!S30</f>
        <v>3230</v>
      </c>
      <c r="H25" s="4">
        <f>Hotel!T30</f>
        <v>1590</v>
      </c>
      <c r="I25" s="4">
        <f>Hotel!U30</f>
        <v>5180</v>
      </c>
      <c r="J25" s="4">
        <f>Hotel!V30</f>
        <v>4160</v>
      </c>
      <c r="K25" s="4">
        <f>Hotel!W30</f>
        <v>4570</v>
      </c>
      <c r="L25" s="4">
        <f>Hotel!X30</f>
        <v>4400</v>
      </c>
      <c r="M25" s="4">
        <f>Hotel!Y30</f>
        <v>4920</v>
      </c>
      <c r="N25" s="4">
        <f>Hotel!Z30</f>
        <v>2840</v>
      </c>
      <c r="O25" s="4">
        <f>Hotel!AA30</f>
        <v>3560</v>
      </c>
      <c r="P25" s="4">
        <f>Hotel!AB30</f>
        <v>6720</v>
      </c>
      <c r="Q25" s="4">
        <f>Hotel!AC30</f>
        <v>12690</v>
      </c>
      <c r="R25" s="4">
        <f>Hotel!AT30</f>
        <v>0</v>
      </c>
      <c r="S25" s="4">
        <f>Hotel!BA30</f>
        <v>675.67499999999995</v>
      </c>
      <c r="T25" s="4">
        <f>Hotel!AX30</f>
        <v>0</v>
      </c>
      <c r="U25" s="4">
        <f>Hotel!B30</f>
        <v>102</v>
      </c>
    </row>
    <row r="26" spans="1:21" x14ac:dyDescent="0.25">
      <c r="A26" s="21" t="s">
        <v>31</v>
      </c>
      <c r="B26" s="2">
        <f>B25+1</f>
        <v>25</v>
      </c>
      <c r="C26" s="3">
        <f>TOTAL!C26</f>
        <v>5</v>
      </c>
      <c r="D26" s="11">
        <f>TOTAL!D26</f>
        <v>2019</v>
      </c>
      <c r="E26" s="4">
        <f>Hotel!Q31</f>
        <v>3060</v>
      </c>
      <c r="F26" s="4">
        <f>Hotel!R31</f>
        <v>10750</v>
      </c>
      <c r="G26" s="4">
        <f>Hotel!S31</f>
        <v>3270</v>
      </c>
      <c r="H26" s="4">
        <f>Hotel!T31</f>
        <v>1600</v>
      </c>
      <c r="I26" s="4">
        <f>Hotel!U31</f>
        <v>5040</v>
      </c>
      <c r="J26" s="4">
        <f>Hotel!V31</f>
        <v>4030</v>
      </c>
      <c r="K26" s="4">
        <f>Hotel!W31</f>
        <v>4410</v>
      </c>
      <c r="L26" s="4">
        <f>Hotel!X31</f>
        <v>4210</v>
      </c>
      <c r="M26" s="4">
        <f>Hotel!Y31</f>
        <v>4850</v>
      </c>
      <c r="N26" s="4">
        <f>Hotel!Z31</f>
        <v>2820</v>
      </c>
      <c r="O26" s="4">
        <f>Hotel!AA31</f>
        <v>3350</v>
      </c>
      <c r="P26" s="4">
        <f>Hotel!AB31</f>
        <v>6640</v>
      </c>
      <c r="Q26" s="4">
        <f>Hotel!AC31</f>
        <v>12820</v>
      </c>
      <c r="R26" s="4">
        <f>Hotel!AT31</f>
        <v>0</v>
      </c>
      <c r="S26" s="4">
        <f>Hotel!BA31</f>
        <v>559.923</v>
      </c>
      <c r="T26" s="4">
        <f>Hotel!AX31</f>
        <v>0</v>
      </c>
      <c r="U26" s="4">
        <f>Hotel!B31</f>
        <v>62</v>
      </c>
    </row>
    <row r="27" spans="1:21" x14ac:dyDescent="0.25">
      <c r="A27" s="21" t="s">
        <v>31</v>
      </c>
      <c r="B27" s="2">
        <f t="shared" si="0"/>
        <v>26</v>
      </c>
      <c r="C27" s="3">
        <f>TOTAL!C27</f>
        <v>5</v>
      </c>
      <c r="D27" s="11">
        <f>TOTAL!D27</f>
        <v>2019</v>
      </c>
      <c r="E27" s="4">
        <f>Hotel!Q32</f>
        <v>10240</v>
      </c>
      <c r="F27" s="4">
        <f>Hotel!R32</f>
        <v>3760</v>
      </c>
      <c r="G27" s="4">
        <f>Hotel!S32</f>
        <v>3360</v>
      </c>
      <c r="H27" s="4">
        <f>Hotel!T32</f>
        <v>1640</v>
      </c>
      <c r="I27" s="4">
        <f>Hotel!U32</f>
        <v>4950</v>
      </c>
      <c r="J27" s="4">
        <f>Hotel!V32</f>
        <v>3960</v>
      </c>
      <c r="K27" s="4">
        <f>Hotel!W32</f>
        <v>4420</v>
      </c>
      <c r="L27" s="4">
        <f>Hotel!X32</f>
        <v>4240</v>
      </c>
      <c r="M27" s="4">
        <f>Hotel!Y32</f>
        <v>4810</v>
      </c>
      <c r="N27" s="4">
        <f>Hotel!Z32</f>
        <v>2740</v>
      </c>
      <c r="O27" s="4">
        <f>Hotel!AA32</f>
        <v>3210</v>
      </c>
      <c r="P27" s="4">
        <f>Hotel!AB32</f>
        <v>6660</v>
      </c>
      <c r="Q27" s="4">
        <f>Hotel!AC32</f>
        <v>12460</v>
      </c>
      <c r="R27" s="4">
        <f>Hotel!AT32</f>
        <v>0</v>
      </c>
      <c r="S27" s="4">
        <f>Hotel!BA32</f>
        <v>632.26799999999992</v>
      </c>
      <c r="T27" s="4">
        <f>Hotel!AX32</f>
        <v>0</v>
      </c>
      <c r="U27" s="4">
        <f>Hotel!B32</f>
        <v>72</v>
      </c>
    </row>
    <row r="28" spans="1:21" x14ac:dyDescent="0.25">
      <c r="A28" s="21" t="s">
        <v>31</v>
      </c>
      <c r="B28" s="2">
        <f t="shared" si="0"/>
        <v>27</v>
      </c>
      <c r="C28" s="3">
        <f>TOTAL!C28</f>
        <v>5</v>
      </c>
      <c r="D28" s="11">
        <f>TOTAL!D28</f>
        <v>2019</v>
      </c>
      <c r="E28" s="4">
        <f>Hotel!Q33</f>
        <v>10660</v>
      </c>
      <c r="F28" s="4">
        <f>Hotel!R33</f>
        <v>7700</v>
      </c>
      <c r="G28" s="4">
        <f>Hotel!S33</f>
        <v>2110</v>
      </c>
      <c r="H28" s="4">
        <f>Hotel!T33</f>
        <v>1640</v>
      </c>
      <c r="I28" s="4">
        <f>Hotel!U33</f>
        <v>5290</v>
      </c>
      <c r="J28" s="4">
        <f>Hotel!V33</f>
        <v>3870</v>
      </c>
      <c r="K28" s="4">
        <f>Hotel!W33</f>
        <v>4520</v>
      </c>
      <c r="L28" s="4">
        <f>Hotel!X33</f>
        <v>4210</v>
      </c>
      <c r="M28" s="4">
        <f>Hotel!Y33</f>
        <v>4740</v>
      </c>
      <c r="N28" s="4">
        <f>Hotel!Z33</f>
        <v>2660</v>
      </c>
      <c r="O28" s="4">
        <f>Hotel!AA33</f>
        <v>3190</v>
      </c>
      <c r="P28" s="4">
        <f>Hotel!AB33</f>
        <v>6650</v>
      </c>
      <c r="Q28" s="4">
        <f>Hotel!AC33</f>
        <v>13470</v>
      </c>
      <c r="R28" s="4">
        <f>Hotel!AT33</f>
        <v>0</v>
      </c>
      <c r="S28" s="4">
        <f>Hotel!BA33</f>
        <v>778.86900000000003</v>
      </c>
      <c r="T28" s="4">
        <f>Hotel!AX33</f>
        <v>0</v>
      </c>
      <c r="U28" s="4">
        <f>Hotel!B33</f>
        <v>77</v>
      </c>
    </row>
    <row r="29" spans="1:21" x14ac:dyDescent="0.25">
      <c r="A29" s="21" t="s">
        <v>31</v>
      </c>
      <c r="B29" s="2">
        <f t="shared" si="0"/>
        <v>28</v>
      </c>
      <c r="C29" s="3">
        <f>TOTAL!C29</f>
        <v>5</v>
      </c>
      <c r="D29" s="11">
        <f>TOTAL!D29</f>
        <v>2019</v>
      </c>
      <c r="E29" s="4">
        <f>Hotel!Q34</f>
        <v>10370</v>
      </c>
      <c r="F29" s="4">
        <f>Hotel!R34</f>
        <v>13400</v>
      </c>
      <c r="G29" s="4">
        <f>Hotel!S34</f>
        <v>140</v>
      </c>
      <c r="H29" s="4">
        <f>Hotel!T34</f>
        <v>1640</v>
      </c>
      <c r="I29" s="4">
        <f>Hotel!U34</f>
        <v>5470</v>
      </c>
      <c r="J29" s="4">
        <f>Hotel!V34</f>
        <v>4010</v>
      </c>
      <c r="K29" s="4">
        <f>Hotel!W34</f>
        <v>4580</v>
      </c>
      <c r="L29" s="4">
        <f>Hotel!X34</f>
        <v>4430</v>
      </c>
      <c r="M29" s="4">
        <f>Hotel!Y34</f>
        <v>4860</v>
      </c>
      <c r="N29" s="4">
        <f>Hotel!Z34</f>
        <v>2700</v>
      </c>
      <c r="O29" s="4">
        <f>Hotel!AA34</f>
        <v>3250</v>
      </c>
      <c r="P29" s="4">
        <f>Hotel!AB34</f>
        <v>6750</v>
      </c>
      <c r="Q29" s="4">
        <f>Hotel!AC34</f>
        <v>12680</v>
      </c>
      <c r="R29" s="4">
        <f>Hotel!AT34</f>
        <v>0</v>
      </c>
      <c r="S29" s="4">
        <f>Hotel!BA34</f>
        <v>590.226</v>
      </c>
      <c r="T29" s="4">
        <f>Hotel!AX34</f>
        <v>0</v>
      </c>
      <c r="U29" s="4">
        <f>Hotel!B34</f>
        <v>110</v>
      </c>
    </row>
    <row r="30" spans="1:21" x14ac:dyDescent="0.25">
      <c r="A30" s="21" t="s">
        <v>31</v>
      </c>
      <c r="B30" s="2">
        <f>B29+1</f>
        <v>29</v>
      </c>
      <c r="C30" s="3">
        <f>TOTAL!C30</f>
        <v>5</v>
      </c>
      <c r="D30" s="11">
        <f>TOTAL!D30</f>
        <v>2019</v>
      </c>
      <c r="E30" s="4">
        <f>Hotel!Q35</f>
        <v>10540</v>
      </c>
      <c r="F30" s="4">
        <f>Hotel!R35</f>
        <v>13660</v>
      </c>
      <c r="G30" s="4">
        <f>Hotel!S35</f>
        <v>180</v>
      </c>
      <c r="H30" s="4">
        <f>Hotel!T35</f>
        <v>1700</v>
      </c>
      <c r="I30" s="4">
        <f>Hotel!U35</f>
        <v>5680</v>
      </c>
      <c r="J30" s="4">
        <f>Hotel!V35</f>
        <v>4180</v>
      </c>
      <c r="K30" s="4">
        <f>Hotel!W35</f>
        <v>4650</v>
      </c>
      <c r="L30" s="4">
        <f>Hotel!X35</f>
        <v>4750</v>
      </c>
      <c r="M30" s="4">
        <f>Hotel!Y35</f>
        <v>4980</v>
      </c>
      <c r="N30" s="4">
        <f>Hotel!Z35</f>
        <v>2730</v>
      </c>
      <c r="O30" s="4">
        <f>Hotel!AA35</f>
        <v>3370</v>
      </c>
      <c r="P30" s="4">
        <f>Hotel!AB35</f>
        <v>6940</v>
      </c>
      <c r="Q30" s="4">
        <f>Hotel!AC35</f>
        <v>13430</v>
      </c>
      <c r="R30" s="4">
        <f>Hotel!AT35</f>
        <v>0</v>
      </c>
      <c r="S30" s="4">
        <f>Hotel!BA35</f>
        <v>849.303</v>
      </c>
      <c r="T30" s="4">
        <f>Hotel!AX35</f>
        <v>0</v>
      </c>
      <c r="U30" s="4">
        <f>Hotel!B35</f>
        <v>100</v>
      </c>
    </row>
    <row r="31" spans="1:21" x14ac:dyDescent="0.25">
      <c r="A31" s="21" t="s">
        <v>31</v>
      </c>
      <c r="B31" s="2">
        <f>B30+1</f>
        <v>30</v>
      </c>
      <c r="C31" s="3">
        <f>TOTAL!C31</f>
        <v>5</v>
      </c>
      <c r="D31" s="11">
        <f>TOTAL!D31</f>
        <v>2019</v>
      </c>
      <c r="E31" s="4">
        <f>Hotel!Q36</f>
        <v>10160</v>
      </c>
      <c r="F31" s="4">
        <f>Hotel!R36</f>
        <v>13170</v>
      </c>
      <c r="G31" s="4">
        <f>Hotel!S36</f>
        <v>160</v>
      </c>
      <c r="H31" s="4">
        <f>Hotel!T36</f>
        <v>1640</v>
      </c>
      <c r="I31" s="4">
        <f>Hotel!U36</f>
        <v>5030</v>
      </c>
      <c r="J31" s="4">
        <f>Hotel!V36</f>
        <v>4110</v>
      </c>
      <c r="K31" s="4">
        <f>Hotel!W36</f>
        <v>4350</v>
      </c>
      <c r="L31" s="4">
        <f>Hotel!X36</f>
        <v>4760</v>
      </c>
      <c r="M31" s="4">
        <f>Hotel!Y36</f>
        <v>4830</v>
      </c>
      <c r="N31" s="4">
        <f>Hotel!Z36</f>
        <v>2700</v>
      </c>
      <c r="O31" s="4">
        <f>Hotel!AA36</f>
        <v>3160</v>
      </c>
      <c r="P31" s="4">
        <f>Hotel!AB36</f>
        <v>6670</v>
      </c>
      <c r="Q31" s="4">
        <f>Hotel!AC36</f>
        <v>13690</v>
      </c>
      <c r="R31" s="4">
        <f>Hotel!AT36</f>
        <v>0</v>
      </c>
      <c r="S31" s="4">
        <f>Hotel!BA36</f>
        <v>718.26300000000003</v>
      </c>
      <c r="T31" s="4">
        <f>Hotel!AX36</f>
        <v>0</v>
      </c>
      <c r="U31" s="4">
        <f>Hotel!B36</f>
        <v>91</v>
      </c>
    </row>
    <row r="32" spans="1:21" x14ac:dyDescent="0.25">
      <c r="A32" s="21" t="s">
        <v>31</v>
      </c>
      <c r="B32" s="2">
        <f>B31+1</f>
        <v>31</v>
      </c>
      <c r="C32" s="3">
        <f>TOTAL!C32</f>
        <v>5</v>
      </c>
      <c r="D32" s="11">
        <f>TOTAL!D32</f>
        <v>2019</v>
      </c>
      <c r="E32" s="4">
        <f>Hotel!Q37</f>
        <v>10060</v>
      </c>
      <c r="F32" s="4">
        <f>Hotel!R37</f>
        <v>13090</v>
      </c>
      <c r="G32" s="4">
        <f>Hotel!S37</f>
        <v>160</v>
      </c>
      <c r="H32" s="4">
        <f>Hotel!T37</f>
        <v>1660</v>
      </c>
      <c r="I32" s="4">
        <f>Hotel!U37</f>
        <v>5120</v>
      </c>
      <c r="J32" s="4">
        <f>Hotel!V37</f>
        <v>4160</v>
      </c>
      <c r="K32" s="4">
        <f>Hotel!W37</f>
        <v>4400</v>
      </c>
      <c r="L32" s="4">
        <f>Hotel!X37</f>
        <v>4800</v>
      </c>
      <c r="M32" s="4">
        <f>Hotel!Y37</f>
        <v>4850</v>
      </c>
      <c r="N32" s="4">
        <f>Hotel!Z37</f>
        <v>2750</v>
      </c>
      <c r="O32" s="4">
        <f>Hotel!AA37</f>
        <v>3090</v>
      </c>
      <c r="P32" s="4">
        <f>Hotel!AB37</f>
        <v>6700</v>
      </c>
      <c r="Q32" s="4">
        <f>Hotel!AC37</f>
        <v>12640</v>
      </c>
      <c r="R32" s="4">
        <f>Hotel!AT37</f>
        <v>0</v>
      </c>
      <c r="S32" s="4">
        <f>Hotel!BA37</f>
        <v>718.80900000000008</v>
      </c>
      <c r="T32" s="4">
        <f>Hotel!AX37</f>
        <v>0</v>
      </c>
      <c r="U32" s="4">
        <f>Hotel!B37</f>
        <v>69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AR10" zoomScale="93" zoomScaleNormal="93" workbookViewId="0">
      <selection activeCell="AZ38" sqref="AZ3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47" customWidth="1"/>
    <col min="47" max="47" width="7.28515625" customWidth="1"/>
    <col min="48" max="50" width="11.85546875" style="50" customWidth="1"/>
    <col min="51" max="51" width="11.85546875" style="54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43585</v>
      </c>
      <c r="B2" s="40">
        <v>267</v>
      </c>
      <c r="C2" s="24">
        <v>4621180</v>
      </c>
      <c r="D2" s="24">
        <v>9507090</v>
      </c>
      <c r="E2" s="24">
        <v>1014660</v>
      </c>
      <c r="F2" s="24">
        <v>2039830</v>
      </c>
      <c r="G2" s="24">
        <v>6768140</v>
      </c>
      <c r="H2" s="24">
        <v>2811650</v>
      </c>
      <c r="I2" s="24">
        <v>3018640</v>
      </c>
      <c r="J2" s="24">
        <v>3253800</v>
      </c>
      <c r="K2" s="24">
        <v>5601960</v>
      </c>
      <c r="L2" s="24">
        <v>1811220</v>
      </c>
      <c r="M2" s="24">
        <v>5586540</v>
      </c>
      <c r="N2" s="24">
        <v>7025780</v>
      </c>
      <c r="O2" s="24">
        <v>8459870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51"/>
      <c r="AW2" s="51"/>
      <c r="AX2" s="51"/>
      <c r="AY2" s="68">
        <v>116569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60" t="s">
        <v>23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Q4" s="62" t="s">
        <v>24</v>
      </c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4"/>
      <c r="AD4" s="28" t="s">
        <v>25</v>
      </c>
      <c r="AF4" s="65" t="s">
        <v>26</v>
      </c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29" t="s">
        <v>27</v>
      </c>
      <c r="AT4" s="66" t="s">
        <v>51</v>
      </c>
      <c r="AV4" s="67" t="s">
        <v>53</v>
      </c>
      <c r="AW4" s="67" t="s">
        <v>55</v>
      </c>
      <c r="AX4" s="67" t="s">
        <v>56</v>
      </c>
      <c r="AY4" s="56" t="s">
        <v>28</v>
      </c>
      <c r="AZ4" s="57" t="s">
        <v>29</v>
      </c>
      <c r="BA4" s="57" t="s">
        <v>48</v>
      </c>
      <c r="BB4" s="59" t="s">
        <v>30</v>
      </c>
    </row>
    <row r="5" spans="1:54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66"/>
      <c r="AV5" s="67"/>
      <c r="AW5" s="67"/>
      <c r="AX5" s="67"/>
      <c r="AY5" s="56"/>
      <c r="AZ5" s="58"/>
      <c r="BA5" s="58"/>
      <c r="BB5" s="59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51">
        <v>298912</v>
      </c>
      <c r="AW6" s="51"/>
      <c r="AX6" s="51" t="s">
        <v>57</v>
      </c>
      <c r="AY6" s="68">
        <v>116569</v>
      </c>
    </row>
    <row r="7" spans="1:54" x14ac:dyDescent="0.25">
      <c r="A7" s="23">
        <v>43586</v>
      </c>
      <c r="B7" s="40">
        <v>284</v>
      </c>
      <c r="C7" s="24">
        <v>4630620</v>
      </c>
      <c r="D7" s="24">
        <v>9519460</v>
      </c>
      <c r="E7" s="24">
        <v>1014760</v>
      </c>
      <c r="F7" s="24">
        <v>2041410</v>
      </c>
      <c r="G7" s="24">
        <v>6774570</v>
      </c>
      <c r="H7" s="24">
        <v>2816360</v>
      </c>
      <c r="I7" s="24">
        <v>3022240</v>
      </c>
      <c r="J7" s="24">
        <v>3259090</v>
      </c>
      <c r="K7" s="24">
        <v>5607820</v>
      </c>
      <c r="L7" s="24">
        <v>1814330</v>
      </c>
      <c r="M7" s="24">
        <v>5590570</v>
      </c>
      <c r="N7" s="24">
        <v>7032730</v>
      </c>
      <c r="O7" s="24">
        <v>8473380</v>
      </c>
      <c r="Q7" s="37">
        <f t="shared" ref="Q7:AC7" si="0">IF((C7-C2&lt;0), "0",C7-C2)</f>
        <v>9440</v>
      </c>
      <c r="R7" s="37">
        <f t="shared" si="0"/>
        <v>12370</v>
      </c>
      <c r="S7" s="37">
        <f t="shared" si="0"/>
        <v>100</v>
      </c>
      <c r="T7" s="37">
        <f t="shared" si="0"/>
        <v>1580</v>
      </c>
      <c r="U7" s="37">
        <f t="shared" si="0"/>
        <v>6430</v>
      </c>
      <c r="V7" s="37">
        <f t="shared" si="0"/>
        <v>4710</v>
      </c>
      <c r="W7" s="37">
        <f t="shared" si="0"/>
        <v>3600</v>
      </c>
      <c r="X7" s="37">
        <f t="shared" si="0"/>
        <v>5290</v>
      </c>
      <c r="Y7" s="37">
        <f t="shared" si="0"/>
        <v>5860</v>
      </c>
      <c r="Z7" s="37">
        <f t="shared" si="0"/>
        <v>3110</v>
      </c>
      <c r="AA7" s="37">
        <f t="shared" si="0"/>
        <v>4030</v>
      </c>
      <c r="AB7" s="37">
        <f t="shared" si="0"/>
        <v>6950</v>
      </c>
      <c r="AC7" s="37">
        <f t="shared" si="0"/>
        <v>13510</v>
      </c>
      <c r="AD7" s="34">
        <f>SUM(Q7:AC7)</f>
        <v>76980</v>
      </c>
      <c r="AF7" s="20">
        <f t="shared" ref="AF7:AF36" si="1">Q7*$D$39</f>
        <v>47.2</v>
      </c>
      <c r="AG7" s="20">
        <f t="shared" ref="AG7:AG36" si="2">R7*$D$39</f>
        <v>61.85</v>
      </c>
      <c r="AH7" s="20">
        <f t="shared" ref="AH7:AH36" si="3">S7*$D$39</f>
        <v>0.5</v>
      </c>
      <c r="AI7" s="20">
        <f t="shared" ref="AI7:AI36" si="4">T7*$D$39</f>
        <v>7.9</v>
      </c>
      <c r="AJ7" s="20">
        <f t="shared" ref="AJ7:AJ36" si="5">U7*$D$39</f>
        <v>32.15</v>
      </c>
      <c r="AK7" s="20">
        <f t="shared" ref="AK7:AK36" si="6">V7*$D$39</f>
        <v>23.55</v>
      </c>
      <c r="AL7" s="20">
        <f t="shared" ref="AL7:AL36" si="7">W7*$D$39</f>
        <v>18</v>
      </c>
      <c r="AM7" s="20">
        <f t="shared" ref="AM7:AM36" si="8">X7*$D$39</f>
        <v>26.45</v>
      </c>
      <c r="AN7" s="20">
        <f t="shared" ref="AN7:AN36" si="9">Y7*$D$39</f>
        <v>29.3</v>
      </c>
      <c r="AO7" s="20">
        <f t="shared" ref="AO7:AO36" si="10">Z7*$D$39</f>
        <v>15.55</v>
      </c>
      <c r="AP7" s="20">
        <f t="shared" ref="AP7:AP36" si="11">AA7*$D$39</f>
        <v>20.150000000000002</v>
      </c>
      <c r="AQ7" s="20">
        <f t="shared" ref="AQ7:AQ36" si="12">AB7*$D$39</f>
        <v>34.75</v>
      </c>
      <c r="AR7" s="20">
        <f t="shared" ref="AR7:AR36" si="13">AC7*$D$39</f>
        <v>67.55</v>
      </c>
      <c r="AS7" s="35">
        <f>SUM(AF7:AR7)</f>
        <v>384.90000000000003</v>
      </c>
      <c r="AT7" s="48"/>
      <c r="AV7" s="52">
        <v>0</v>
      </c>
      <c r="AW7" s="51">
        <f t="shared" ref="AW7:AW39" si="14">(AV8-AV7)*1000</f>
        <v>0</v>
      </c>
      <c r="AX7" s="53">
        <f>AW7*$AX$44</f>
        <v>0</v>
      </c>
      <c r="AY7" s="68">
        <v>119191</v>
      </c>
      <c r="AZ7" s="37">
        <f>(IF((AY7-AY6&lt;0),"0",AY7-AY6))*100</f>
        <v>262200</v>
      </c>
      <c r="BA7" s="37">
        <f>AZ7*$AZ$44*60%</f>
        <v>715.80599999999993</v>
      </c>
      <c r="BB7" s="46">
        <f>BA7*0.4444</f>
        <v>318.1041864</v>
      </c>
    </row>
    <row r="8" spans="1:54" x14ac:dyDescent="0.25">
      <c r="A8" s="23">
        <v>43587</v>
      </c>
      <c r="B8" s="40">
        <v>262</v>
      </c>
      <c r="C8" s="24">
        <v>4639990</v>
      </c>
      <c r="D8" s="24">
        <v>9531700</v>
      </c>
      <c r="E8" s="24">
        <v>1014880</v>
      </c>
      <c r="F8" s="24">
        <v>2042950</v>
      </c>
      <c r="G8" s="24">
        <v>6780870</v>
      </c>
      <c r="H8" s="24">
        <v>2820950</v>
      </c>
      <c r="I8" s="24">
        <v>3025420</v>
      </c>
      <c r="J8" s="24">
        <v>3264220</v>
      </c>
      <c r="K8" s="24">
        <v>5613790</v>
      </c>
      <c r="L8" s="24">
        <v>1817470</v>
      </c>
      <c r="M8" s="24">
        <v>5594430</v>
      </c>
      <c r="N8" s="24">
        <v>7039470</v>
      </c>
      <c r="O8" s="24">
        <v>8485630</v>
      </c>
      <c r="Q8" s="37">
        <f>IF((C8-C7&lt;0), "0",C8-C7)</f>
        <v>9370</v>
      </c>
      <c r="R8" s="37">
        <f t="shared" ref="R8:AC8" si="15">IF((D8-D7&lt;0), "0",D8-D7)</f>
        <v>12240</v>
      </c>
      <c r="S8" s="37">
        <f t="shared" ref="S8:S35" si="16">IF((E8-E7&lt;0), "0",E8-E7)</f>
        <v>120</v>
      </c>
      <c r="T8" s="37">
        <f t="shared" si="15"/>
        <v>1540</v>
      </c>
      <c r="U8" s="37">
        <f t="shared" si="15"/>
        <v>6300</v>
      </c>
      <c r="V8" s="37">
        <f t="shared" si="15"/>
        <v>4590</v>
      </c>
      <c r="W8" s="37">
        <f t="shared" si="15"/>
        <v>3180</v>
      </c>
      <c r="X8" s="37">
        <f t="shared" si="15"/>
        <v>5130</v>
      </c>
      <c r="Y8" s="37">
        <f t="shared" si="15"/>
        <v>5970</v>
      </c>
      <c r="Z8" s="37">
        <f t="shared" si="15"/>
        <v>3140</v>
      </c>
      <c r="AA8" s="37">
        <f t="shared" si="15"/>
        <v>3860</v>
      </c>
      <c r="AB8" s="37">
        <f t="shared" si="15"/>
        <v>6740</v>
      </c>
      <c r="AC8" s="37">
        <f t="shared" si="15"/>
        <v>12250</v>
      </c>
      <c r="AD8" s="35">
        <f>SUM(Q8:AC8)</f>
        <v>74430</v>
      </c>
      <c r="AF8" s="20">
        <f t="shared" si="1"/>
        <v>46.85</v>
      </c>
      <c r="AG8" s="20">
        <f t="shared" si="2"/>
        <v>61.2</v>
      </c>
      <c r="AH8" s="20">
        <f t="shared" si="3"/>
        <v>0.6</v>
      </c>
      <c r="AI8" s="20">
        <f t="shared" si="4"/>
        <v>7.7</v>
      </c>
      <c r="AJ8" s="20">
        <f t="shared" si="5"/>
        <v>31.5</v>
      </c>
      <c r="AK8" s="20">
        <f t="shared" si="6"/>
        <v>22.95</v>
      </c>
      <c r="AL8" s="20">
        <f t="shared" si="7"/>
        <v>15.9</v>
      </c>
      <c r="AM8" s="20">
        <f t="shared" si="8"/>
        <v>25.650000000000002</v>
      </c>
      <c r="AN8" s="20">
        <f t="shared" si="9"/>
        <v>29.85</v>
      </c>
      <c r="AO8" s="20">
        <f t="shared" si="10"/>
        <v>15.700000000000001</v>
      </c>
      <c r="AP8" s="20">
        <f t="shared" si="11"/>
        <v>19.3</v>
      </c>
      <c r="AQ8" s="20">
        <f t="shared" si="12"/>
        <v>33.700000000000003</v>
      </c>
      <c r="AR8" s="20">
        <f t="shared" si="13"/>
        <v>61.25</v>
      </c>
      <c r="AS8" s="35">
        <f>SUM(AF8:AR8)</f>
        <v>372.15000000000003</v>
      </c>
      <c r="AT8" s="48"/>
      <c r="AV8" s="52">
        <v>0</v>
      </c>
      <c r="AW8" s="51">
        <f t="shared" si="14"/>
        <v>0</v>
      </c>
      <c r="AX8" s="53">
        <f t="shared" ref="AX8:AX39" si="17">AW8*$AX$44</f>
        <v>0</v>
      </c>
      <c r="AY8" s="68">
        <v>122083</v>
      </c>
      <c r="AZ8" s="37">
        <f t="shared" ref="AZ8:AZ38" si="18">(IF((AY8-AY7&lt;0),"0",AY8-AY7))*100</f>
        <v>289200</v>
      </c>
      <c r="BA8" s="37">
        <f t="shared" ref="BA8:BA39" si="19">AZ8*$AZ$44*60%</f>
        <v>789.51600000000008</v>
      </c>
      <c r="BB8" s="46">
        <f t="shared" ref="BB8:BB38" si="20">BA8*0.4444</f>
        <v>350.86091040000002</v>
      </c>
    </row>
    <row r="9" spans="1:54" x14ac:dyDescent="0.25">
      <c r="A9" s="23">
        <v>43588</v>
      </c>
      <c r="B9" s="40">
        <v>284</v>
      </c>
      <c r="C9" s="24">
        <v>4649900</v>
      </c>
      <c r="D9" s="24">
        <v>9541970</v>
      </c>
      <c r="E9" s="24">
        <v>1015000</v>
      </c>
      <c r="F9" s="24">
        <v>2045380</v>
      </c>
      <c r="G9" s="24">
        <v>6787160</v>
      </c>
      <c r="H9" s="24">
        <v>2825530</v>
      </c>
      <c r="I9" s="24">
        <v>3028860</v>
      </c>
      <c r="J9" s="24">
        <v>3269370</v>
      </c>
      <c r="K9" s="24">
        <v>5620260</v>
      </c>
      <c r="L9" s="24">
        <v>1820680</v>
      </c>
      <c r="M9" s="24">
        <v>5598350</v>
      </c>
      <c r="N9" s="24">
        <v>7046220</v>
      </c>
      <c r="O9" s="24">
        <v>8499550</v>
      </c>
      <c r="Q9" s="37">
        <f t="shared" ref="Q9:Q30" si="21">IF((C9-C8&lt;0), "0",C9-C8)</f>
        <v>9910</v>
      </c>
      <c r="R9" s="37">
        <f t="shared" ref="R9:R37" si="22">IF((D9-D8&lt;0), "0",D9-D8)</f>
        <v>10270</v>
      </c>
      <c r="S9" s="37">
        <f t="shared" si="16"/>
        <v>120</v>
      </c>
      <c r="T9" s="37">
        <f t="shared" ref="T9:T35" si="23">IF((F9-F8&lt;0), "0",F9-F8)</f>
        <v>2430</v>
      </c>
      <c r="U9" s="37">
        <f t="shared" ref="U9:U35" si="24">IF((G9-G8&lt;0), "0",G9-G8)</f>
        <v>6290</v>
      </c>
      <c r="V9" s="37">
        <f t="shared" ref="V9:V35" si="25">IF((H9-H8&lt;0), "0",H9-H8)</f>
        <v>4580</v>
      </c>
      <c r="W9" s="37">
        <f t="shared" ref="W9:W35" si="26">IF((I9-I8&lt;0), "0",I9-I8)</f>
        <v>3440</v>
      </c>
      <c r="X9" s="37">
        <f t="shared" ref="X9:X37" si="27">IF((J9-J8&lt;0), "0",J9-J8)</f>
        <v>5150</v>
      </c>
      <c r="Y9" s="37">
        <f t="shared" ref="Y9:Y35" si="28">IF((K9-K8&lt;0), "0",K9-K8)</f>
        <v>6470</v>
      </c>
      <c r="Z9" s="37">
        <f t="shared" ref="Z9:Z35" si="29">IF((L9-L8&lt;0), "0",L9-L8)</f>
        <v>3210</v>
      </c>
      <c r="AA9" s="37">
        <f t="shared" ref="AA9:AA35" si="30">IF((M9-M8&lt;0), "0",M9-M8)</f>
        <v>3920</v>
      </c>
      <c r="AB9" s="37">
        <f t="shared" ref="AB9:AB37" si="31">IF((N9-N8&lt;0), "0",N9-N8)</f>
        <v>6750</v>
      </c>
      <c r="AC9" s="37">
        <f t="shared" ref="AC9:AC37" si="32">IF((O9-O8&lt;0), "0",O9-O8)</f>
        <v>13920</v>
      </c>
      <c r="AD9" s="35">
        <f t="shared" ref="AD9:AD37" si="33">SUM(Q9:AC9)</f>
        <v>76460</v>
      </c>
      <c r="AF9" s="20">
        <f t="shared" si="1"/>
        <v>49.550000000000004</v>
      </c>
      <c r="AG9" s="20">
        <f t="shared" si="2"/>
        <v>51.35</v>
      </c>
      <c r="AH9" s="20">
        <f t="shared" si="3"/>
        <v>0.6</v>
      </c>
      <c r="AI9" s="20">
        <f t="shared" si="4"/>
        <v>12.15</v>
      </c>
      <c r="AJ9" s="20">
        <f t="shared" si="5"/>
        <v>31.45</v>
      </c>
      <c r="AK9" s="20">
        <f t="shared" si="6"/>
        <v>22.900000000000002</v>
      </c>
      <c r="AL9" s="20">
        <f t="shared" si="7"/>
        <v>17.2</v>
      </c>
      <c r="AM9" s="20">
        <f t="shared" si="8"/>
        <v>25.75</v>
      </c>
      <c r="AN9" s="20">
        <f t="shared" si="9"/>
        <v>32.35</v>
      </c>
      <c r="AO9" s="20">
        <f t="shared" si="10"/>
        <v>16.05</v>
      </c>
      <c r="AP9" s="20">
        <f t="shared" si="11"/>
        <v>19.600000000000001</v>
      </c>
      <c r="AQ9" s="20">
        <f t="shared" si="12"/>
        <v>33.75</v>
      </c>
      <c r="AR9" s="20">
        <f t="shared" si="13"/>
        <v>69.600000000000009</v>
      </c>
      <c r="AS9" s="35">
        <f t="shared" ref="AS9:AS33" si="34">SUM(AF9:AR9)</f>
        <v>382.3</v>
      </c>
      <c r="AT9" s="48"/>
      <c r="AV9" s="52">
        <v>0</v>
      </c>
      <c r="AW9" s="51">
        <f t="shared" si="14"/>
        <v>0</v>
      </c>
      <c r="AX9" s="53">
        <f t="shared" si="17"/>
        <v>0</v>
      </c>
      <c r="AY9" s="68">
        <v>124157</v>
      </c>
      <c r="AZ9" s="37">
        <f t="shared" si="18"/>
        <v>207400</v>
      </c>
      <c r="BA9" s="37">
        <f t="shared" si="19"/>
        <v>566.202</v>
      </c>
      <c r="BB9" s="46">
        <f t="shared" si="20"/>
        <v>251.62016880000002</v>
      </c>
    </row>
    <row r="10" spans="1:54" x14ac:dyDescent="0.25">
      <c r="A10" s="23">
        <v>43589</v>
      </c>
      <c r="B10" s="40">
        <v>120</v>
      </c>
      <c r="C10" s="24">
        <v>4659310</v>
      </c>
      <c r="D10" s="24">
        <v>9545460</v>
      </c>
      <c r="E10" s="24">
        <v>1015790</v>
      </c>
      <c r="F10" s="24">
        <v>2049330</v>
      </c>
      <c r="G10" s="24">
        <v>6793080</v>
      </c>
      <c r="H10" s="24">
        <v>2829880</v>
      </c>
      <c r="I10" s="24">
        <v>3032070</v>
      </c>
      <c r="J10" s="24">
        <v>3274270</v>
      </c>
      <c r="K10" s="24">
        <v>5625820</v>
      </c>
      <c r="L10" s="24">
        <v>1823630</v>
      </c>
      <c r="M10" s="24">
        <v>5601970</v>
      </c>
      <c r="N10" s="24">
        <v>7052870</v>
      </c>
      <c r="O10" s="24">
        <v>8513420</v>
      </c>
      <c r="Q10" s="37">
        <f t="shared" si="21"/>
        <v>9410</v>
      </c>
      <c r="R10" s="37">
        <f t="shared" si="22"/>
        <v>3490</v>
      </c>
      <c r="S10" s="37">
        <f t="shared" si="16"/>
        <v>790</v>
      </c>
      <c r="T10" s="37">
        <f t="shared" si="23"/>
        <v>3950</v>
      </c>
      <c r="U10" s="37">
        <f t="shared" si="24"/>
        <v>5920</v>
      </c>
      <c r="V10" s="37">
        <f t="shared" si="25"/>
        <v>4350</v>
      </c>
      <c r="W10" s="37">
        <f t="shared" si="26"/>
        <v>3210</v>
      </c>
      <c r="X10" s="37">
        <f t="shared" si="27"/>
        <v>4900</v>
      </c>
      <c r="Y10" s="37">
        <f t="shared" si="28"/>
        <v>5560</v>
      </c>
      <c r="Z10" s="37">
        <f t="shared" si="29"/>
        <v>2950</v>
      </c>
      <c r="AA10" s="37">
        <f t="shared" si="30"/>
        <v>3620</v>
      </c>
      <c r="AB10" s="37">
        <f t="shared" si="31"/>
        <v>6650</v>
      </c>
      <c r="AC10" s="37">
        <f t="shared" si="32"/>
        <v>13870</v>
      </c>
      <c r="AD10" s="35">
        <f t="shared" si="33"/>
        <v>68670</v>
      </c>
      <c r="AF10" s="20">
        <f t="shared" si="1"/>
        <v>47.050000000000004</v>
      </c>
      <c r="AG10" s="20">
        <f t="shared" si="2"/>
        <v>17.45</v>
      </c>
      <c r="AH10" s="20">
        <f t="shared" si="3"/>
        <v>3.95</v>
      </c>
      <c r="AI10" s="20">
        <f t="shared" si="4"/>
        <v>19.75</v>
      </c>
      <c r="AJ10" s="20">
        <f t="shared" si="5"/>
        <v>29.6</v>
      </c>
      <c r="AK10" s="20">
        <f t="shared" si="6"/>
        <v>21.75</v>
      </c>
      <c r="AL10" s="20">
        <f t="shared" si="7"/>
        <v>16.05</v>
      </c>
      <c r="AM10" s="20">
        <f t="shared" si="8"/>
        <v>24.5</v>
      </c>
      <c r="AN10" s="20">
        <f t="shared" si="9"/>
        <v>27.8</v>
      </c>
      <c r="AO10" s="20">
        <f t="shared" si="10"/>
        <v>14.75</v>
      </c>
      <c r="AP10" s="20">
        <f t="shared" si="11"/>
        <v>18.100000000000001</v>
      </c>
      <c r="AQ10" s="20">
        <f t="shared" si="12"/>
        <v>33.25</v>
      </c>
      <c r="AR10" s="20">
        <f t="shared" si="13"/>
        <v>69.350000000000009</v>
      </c>
      <c r="AS10" s="35">
        <f t="shared" si="34"/>
        <v>343.35</v>
      </c>
      <c r="AT10" s="48"/>
      <c r="AV10" s="52">
        <v>0</v>
      </c>
      <c r="AW10" s="51">
        <f t="shared" si="14"/>
        <v>0</v>
      </c>
      <c r="AX10" s="53">
        <f t="shared" si="17"/>
        <v>0</v>
      </c>
      <c r="AY10" s="68">
        <v>127608</v>
      </c>
      <c r="AZ10" s="37">
        <f t="shared" si="18"/>
        <v>345100</v>
      </c>
      <c r="BA10" s="37">
        <f t="shared" si="19"/>
        <v>942.12300000000005</v>
      </c>
      <c r="BB10" s="46">
        <f t="shared" si="20"/>
        <v>418.67946120000005</v>
      </c>
    </row>
    <row r="11" spans="1:54" x14ac:dyDescent="0.25">
      <c r="A11" s="23">
        <v>43590</v>
      </c>
      <c r="B11" s="40">
        <v>118</v>
      </c>
      <c r="C11" s="24">
        <v>4669110</v>
      </c>
      <c r="D11" s="24">
        <v>9549160</v>
      </c>
      <c r="E11" s="24">
        <v>1018890</v>
      </c>
      <c r="F11" s="24">
        <v>2050910</v>
      </c>
      <c r="G11" s="24">
        <v>6798620</v>
      </c>
      <c r="H11" s="24">
        <v>2834170</v>
      </c>
      <c r="I11" s="24">
        <v>3035410</v>
      </c>
      <c r="J11" s="24">
        <v>3279070</v>
      </c>
      <c r="K11" s="24">
        <v>5631260</v>
      </c>
      <c r="L11" s="24">
        <v>1826320</v>
      </c>
      <c r="M11" s="24">
        <v>5605410</v>
      </c>
      <c r="N11" s="24">
        <v>7059670</v>
      </c>
      <c r="O11" s="24">
        <v>8527610</v>
      </c>
      <c r="Q11" s="37">
        <f t="shared" si="21"/>
        <v>9800</v>
      </c>
      <c r="R11" s="37">
        <f t="shared" si="22"/>
        <v>3700</v>
      </c>
      <c r="S11" s="37">
        <f t="shared" si="16"/>
        <v>3100</v>
      </c>
      <c r="T11" s="37">
        <f t="shared" si="23"/>
        <v>1580</v>
      </c>
      <c r="U11" s="37">
        <f t="shared" si="24"/>
        <v>5540</v>
      </c>
      <c r="V11" s="37">
        <f t="shared" si="25"/>
        <v>4290</v>
      </c>
      <c r="W11" s="37">
        <f t="shared" si="26"/>
        <v>3340</v>
      </c>
      <c r="X11" s="37">
        <f t="shared" si="27"/>
        <v>4800</v>
      </c>
      <c r="Y11" s="37">
        <f t="shared" si="28"/>
        <v>5440</v>
      </c>
      <c r="Z11" s="37">
        <f t="shared" si="29"/>
        <v>2690</v>
      </c>
      <c r="AA11" s="37">
        <f t="shared" si="30"/>
        <v>3440</v>
      </c>
      <c r="AB11" s="37">
        <f t="shared" si="31"/>
        <v>6800</v>
      </c>
      <c r="AC11" s="37">
        <f t="shared" si="32"/>
        <v>14190</v>
      </c>
      <c r="AD11" s="35">
        <f t="shared" si="33"/>
        <v>68710</v>
      </c>
      <c r="AF11" s="20">
        <f t="shared" si="1"/>
        <v>49</v>
      </c>
      <c r="AG11" s="20">
        <f t="shared" si="2"/>
        <v>18.5</v>
      </c>
      <c r="AH11" s="20">
        <f t="shared" si="3"/>
        <v>15.5</v>
      </c>
      <c r="AI11" s="20">
        <f t="shared" si="4"/>
        <v>7.9</v>
      </c>
      <c r="AJ11" s="20">
        <f t="shared" si="5"/>
        <v>27.7</v>
      </c>
      <c r="AK11" s="20">
        <f t="shared" si="6"/>
        <v>21.45</v>
      </c>
      <c r="AL11" s="20">
        <f t="shared" si="7"/>
        <v>16.7</v>
      </c>
      <c r="AM11" s="20">
        <f t="shared" si="8"/>
        <v>24</v>
      </c>
      <c r="AN11" s="20">
        <f t="shared" si="9"/>
        <v>27.2</v>
      </c>
      <c r="AO11" s="20">
        <f t="shared" si="10"/>
        <v>13.450000000000001</v>
      </c>
      <c r="AP11" s="20">
        <f t="shared" si="11"/>
        <v>17.2</v>
      </c>
      <c r="AQ11" s="20">
        <f t="shared" si="12"/>
        <v>34</v>
      </c>
      <c r="AR11" s="20">
        <f t="shared" si="13"/>
        <v>70.95</v>
      </c>
      <c r="AS11" s="35">
        <f t="shared" si="34"/>
        <v>343.54999999999995</v>
      </c>
      <c r="AT11" s="48"/>
      <c r="AV11" s="52">
        <v>0</v>
      </c>
      <c r="AW11" s="51">
        <f t="shared" si="14"/>
        <v>0</v>
      </c>
      <c r="AX11" s="53">
        <f t="shared" si="17"/>
        <v>0</v>
      </c>
      <c r="AY11" s="68">
        <v>130710</v>
      </c>
      <c r="AZ11" s="37">
        <f t="shared" si="18"/>
        <v>310200</v>
      </c>
      <c r="BA11" s="37">
        <f t="shared" si="19"/>
        <v>846.846</v>
      </c>
      <c r="BB11" s="46">
        <f t="shared" si="20"/>
        <v>376.33836239999999</v>
      </c>
    </row>
    <row r="12" spans="1:54" x14ac:dyDescent="0.25">
      <c r="A12" s="23">
        <v>43591</v>
      </c>
      <c r="B12" s="40">
        <v>42</v>
      </c>
      <c r="C12" s="24">
        <v>4677890</v>
      </c>
      <c r="D12" s="24">
        <v>9552810</v>
      </c>
      <c r="E12" s="24">
        <v>1021680</v>
      </c>
      <c r="F12" s="24">
        <v>2052460</v>
      </c>
      <c r="G12" s="24">
        <v>6803500</v>
      </c>
      <c r="H12" s="24">
        <v>2838190</v>
      </c>
      <c r="I12" s="24">
        <v>3039140</v>
      </c>
      <c r="J12" s="24">
        <v>3283480</v>
      </c>
      <c r="K12" s="24">
        <v>5636260</v>
      </c>
      <c r="L12" s="24">
        <v>1828730</v>
      </c>
      <c r="M12" s="24">
        <v>5608310</v>
      </c>
      <c r="N12" s="24">
        <v>7066030</v>
      </c>
      <c r="O12" s="24">
        <v>8541290</v>
      </c>
      <c r="Q12" s="37">
        <f t="shared" si="21"/>
        <v>8780</v>
      </c>
      <c r="R12" s="37">
        <f t="shared" si="22"/>
        <v>3650</v>
      </c>
      <c r="S12" s="37">
        <f t="shared" si="16"/>
        <v>2790</v>
      </c>
      <c r="T12" s="37">
        <f t="shared" ref="T12:W14" si="35">IF((F12-F11&lt;0), "0",F12-F11)</f>
        <v>1550</v>
      </c>
      <c r="U12" s="37">
        <f t="shared" si="35"/>
        <v>4880</v>
      </c>
      <c r="V12" s="37">
        <f t="shared" si="35"/>
        <v>4020</v>
      </c>
      <c r="W12" s="37">
        <f t="shared" si="35"/>
        <v>3730</v>
      </c>
      <c r="X12" s="37">
        <f t="shared" si="27"/>
        <v>4410</v>
      </c>
      <c r="Y12" s="37">
        <f t="shared" si="28"/>
        <v>5000</v>
      </c>
      <c r="Z12" s="37">
        <f>IF((L12-L11&lt;0), "0",L12-L11)</f>
        <v>2410</v>
      </c>
      <c r="AA12" s="37">
        <f t="shared" si="30"/>
        <v>2900</v>
      </c>
      <c r="AB12" s="37">
        <f t="shared" si="31"/>
        <v>6360</v>
      </c>
      <c r="AC12" s="37">
        <f t="shared" si="32"/>
        <v>13680</v>
      </c>
      <c r="AD12" s="35">
        <f t="shared" si="33"/>
        <v>64160</v>
      </c>
      <c r="AF12" s="20">
        <f t="shared" si="1"/>
        <v>43.9</v>
      </c>
      <c r="AG12" s="20">
        <f t="shared" si="2"/>
        <v>18.25</v>
      </c>
      <c r="AH12" s="20">
        <f t="shared" si="3"/>
        <v>13.950000000000001</v>
      </c>
      <c r="AI12" s="20">
        <f t="shared" si="4"/>
        <v>7.75</v>
      </c>
      <c r="AJ12" s="20">
        <f t="shared" si="5"/>
        <v>24.400000000000002</v>
      </c>
      <c r="AK12" s="20">
        <f t="shared" si="6"/>
        <v>20.100000000000001</v>
      </c>
      <c r="AL12" s="20">
        <f t="shared" si="7"/>
        <v>18.650000000000002</v>
      </c>
      <c r="AM12" s="20">
        <f t="shared" si="8"/>
        <v>22.05</v>
      </c>
      <c r="AN12" s="20">
        <f t="shared" si="9"/>
        <v>25</v>
      </c>
      <c r="AO12" s="20">
        <f t="shared" si="10"/>
        <v>12.05</v>
      </c>
      <c r="AP12" s="20">
        <f t="shared" si="11"/>
        <v>14.5</v>
      </c>
      <c r="AQ12" s="20">
        <f t="shared" si="12"/>
        <v>31.8</v>
      </c>
      <c r="AR12" s="20">
        <f t="shared" si="13"/>
        <v>68.400000000000006</v>
      </c>
      <c r="AS12" s="35">
        <f t="shared" si="34"/>
        <v>320.80000000000007</v>
      </c>
      <c r="AT12" s="48"/>
      <c r="AV12" s="52">
        <v>0</v>
      </c>
      <c r="AW12" s="51">
        <f t="shared" si="14"/>
        <v>0</v>
      </c>
      <c r="AX12" s="53">
        <f t="shared" si="17"/>
        <v>0</v>
      </c>
      <c r="AY12" s="68">
        <v>133081</v>
      </c>
      <c r="AZ12" s="37">
        <f t="shared" si="18"/>
        <v>237100</v>
      </c>
      <c r="BA12" s="37">
        <f t="shared" si="19"/>
        <v>647.28300000000002</v>
      </c>
      <c r="BB12" s="46">
        <f t="shared" si="20"/>
        <v>287.65256520000003</v>
      </c>
    </row>
    <row r="13" spans="1:54" x14ac:dyDescent="0.25">
      <c r="A13" s="23">
        <v>43592</v>
      </c>
      <c r="B13" s="40">
        <v>36</v>
      </c>
      <c r="C13" s="24">
        <v>4687170</v>
      </c>
      <c r="D13" s="24">
        <v>9556580</v>
      </c>
      <c r="E13" s="24">
        <v>1024640</v>
      </c>
      <c r="F13" s="24">
        <v>2054070</v>
      </c>
      <c r="G13" s="24">
        <v>6808530</v>
      </c>
      <c r="H13" s="24">
        <v>2842280</v>
      </c>
      <c r="I13" s="24">
        <v>3042740</v>
      </c>
      <c r="J13" s="24">
        <v>3287830</v>
      </c>
      <c r="K13" s="24">
        <v>5640970</v>
      </c>
      <c r="L13" s="24">
        <v>1831220</v>
      </c>
      <c r="M13" s="24">
        <v>5611240</v>
      </c>
      <c r="N13" s="24">
        <v>7072600</v>
      </c>
      <c r="O13" s="24">
        <v>8554730</v>
      </c>
      <c r="Q13" s="37">
        <f t="shared" si="21"/>
        <v>9280</v>
      </c>
      <c r="R13" s="37">
        <f t="shared" si="22"/>
        <v>3770</v>
      </c>
      <c r="S13" s="37">
        <f t="shared" si="16"/>
        <v>2960</v>
      </c>
      <c r="T13" s="37">
        <f t="shared" si="35"/>
        <v>1610</v>
      </c>
      <c r="U13" s="37">
        <f t="shared" si="35"/>
        <v>5030</v>
      </c>
      <c r="V13" s="37">
        <f t="shared" si="35"/>
        <v>4090</v>
      </c>
      <c r="W13" s="37">
        <f t="shared" si="35"/>
        <v>3600</v>
      </c>
      <c r="X13" s="37">
        <f t="shared" si="27"/>
        <v>4350</v>
      </c>
      <c r="Y13" s="37">
        <f t="shared" si="28"/>
        <v>4710</v>
      </c>
      <c r="Z13" s="37">
        <f>IF((L13-L12&lt;0), "0",L13-L12)</f>
        <v>2490</v>
      </c>
      <c r="AA13" s="37">
        <f t="shared" si="30"/>
        <v>2930</v>
      </c>
      <c r="AB13" s="37">
        <f t="shared" si="31"/>
        <v>6570</v>
      </c>
      <c r="AC13" s="37">
        <f t="shared" si="32"/>
        <v>13440</v>
      </c>
      <c r="AD13" s="35">
        <f t="shared" si="33"/>
        <v>64830</v>
      </c>
      <c r="AF13" s="20">
        <f t="shared" si="1"/>
        <v>46.4</v>
      </c>
      <c r="AG13" s="20">
        <f t="shared" si="2"/>
        <v>18.850000000000001</v>
      </c>
      <c r="AH13" s="20">
        <f t="shared" si="3"/>
        <v>14.8</v>
      </c>
      <c r="AI13" s="20">
        <f t="shared" si="4"/>
        <v>8.0500000000000007</v>
      </c>
      <c r="AJ13" s="20">
        <f t="shared" si="5"/>
        <v>25.150000000000002</v>
      </c>
      <c r="AK13" s="20">
        <f t="shared" si="6"/>
        <v>20.45</v>
      </c>
      <c r="AL13" s="20">
        <f t="shared" si="7"/>
        <v>18</v>
      </c>
      <c r="AM13" s="20">
        <f t="shared" si="8"/>
        <v>21.75</v>
      </c>
      <c r="AN13" s="20">
        <f t="shared" si="9"/>
        <v>23.55</v>
      </c>
      <c r="AO13" s="20">
        <f t="shared" si="10"/>
        <v>12.450000000000001</v>
      </c>
      <c r="AP13" s="20">
        <f t="shared" si="11"/>
        <v>14.65</v>
      </c>
      <c r="AQ13" s="20">
        <f t="shared" si="12"/>
        <v>32.85</v>
      </c>
      <c r="AR13" s="20">
        <f t="shared" si="13"/>
        <v>67.2</v>
      </c>
      <c r="AS13" s="35">
        <f t="shared" si="34"/>
        <v>324.14999999999998</v>
      </c>
      <c r="AT13" s="48"/>
      <c r="AV13" s="52">
        <v>0</v>
      </c>
      <c r="AW13" s="51">
        <f t="shared" si="14"/>
        <v>0</v>
      </c>
      <c r="AX13" s="53">
        <f t="shared" si="17"/>
        <v>0</v>
      </c>
      <c r="AY13" s="68">
        <v>135362</v>
      </c>
      <c r="AZ13" s="37">
        <f t="shared" si="18"/>
        <v>228100</v>
      </c>
      <c r="BA13" s="37">
        <f t="shared" si="19"/>
        <v>622.71299999999997</v>
      </c>
      <c r="BB13" s="46">
        <f t="shared" si="20"/>
        <v>276.73365719999998</v>
      </c>
    </row>
    <row r="14" spans="1:54" x14ac:dyDescent="0.25">
      <c r="A14" s="23">
        <v>43593</v>
      </c>
      <c r="B14" s="40">
        <v>48</v>
      </c>
      <c r="C14" s="24">
        <v>4696650</v>
      </c>
      <c r="D14" s="24">
        <v>9560190</v>
      </c>
      <c r="E14" s="24">
        <v>1027680</v>
      </c>
      <c r="F14" s="24">
        <v>2055640</v>
      </c>
      <c r="G14" s="24">
        <v>6813840</v>
      </c>
      <c r="H14" s="24">
        <v>2846850</v>
      </c>
      <c r="I14" s="24">
        <v>3046660</v>
      </c>
      <c r="J14" s="24">
        <v>3292130</v>
      </c>
      <c r="K14" s="24">
        <v>5646380</v>
      </c>
      <c r="L14" s="24">
        <v>1833790</v>
      </c>
      <c r="M14" s="24">
        <v>5614180</v>
      </c>
      <c r="N14" s="24">
        <v>7078930</v>
      </c>
      <c r="O14" s="24">
        <v>8568000</v>
      </c>
      <c r="P14" s="45"/>
      <c r="Q14" s="37">
        <f t="shared" si="21"/>
        <v>9480</v>
      </c>
      <c r="R14" s="37">
        <f t="shared" si="22"/>
        <v>3610</v>
      </c>
      <c r="S14" s="37">
        <f t="shared" si="16"/>
        <v>3040</v>
      </c>
      <c r="T14" s="37">
        <f t="shared" si="35"/>
        <v>1570</v>
      </c>
      <c r="U14" s="37">
        <f t="shared" si="35"/>
        <v>5310</v>
      </c>
      <c r="V14" s="37">
        <f t="shared" si="35"/>
        <v>4570</v>
      </c>
      <c r="W14" s="37">
        <f t="shared" si="35"/>
        <v>3920</v>
      </c>
      <c r="X14" s="37">
        <f t="shared" si="27"/>
        <v>4300</v>
      </c>
      <c r="Y14" s="37">
        <f t="shared" si="28"/>
        <v>5410</v>
      </c>
      <c r="Z14" s="37">
        <f>IF((L14-L13&lt;0), "0",L14-L13)</f>
        <v>2570</v>
      </c>
      <c r="AA14" s="37">
        <f t="shared" si="30"/>
        <v>2940</v>
      </c>
      <c r="AB14" s="37">
        <f t="shared" si="31"/>
        <v>6330</v>
      </c>
      <c r="AC14" s="37">
        <f t="shared" si="32"/>
        <v>13270</v>
      </c>
      <c r="AD14" s="35">
        <f t="shared" si="33"/>
        <v>66320</v>
      </c>
      <c r="AF14" s="20">
        <f t="shared" si="1"/>
        <v>47.4</v>
      </c>
      <c r="AG14" s="20">
        <f t="shared" si="2"/>
        <v>18.05</v>
      </c>
      <c r="AH14" s="20">
        <f t="shared" si="3"/>
        <v>15.200000000000001</v>
      </c>
      <c r="AI14" s="20">
        <f t="shared" si="4"/>
        <v>7.8500000000000005</v>
      </c>
      <c r="AJ14" s="20">
        <f t="shared" si="5"/>
        <v>26.55</v>
      </c>
      <c r="AK14" s="20">
        <f t="shared" si="6"/>
        <v>22.85</v>
      </c>
      <c r="AL14" s="20">
        <f t="shared" si="7"/>
        <v>19.600000000000001</v>
      </c>
      <c r="AM14" s="20">
        <f t="shared" si="8"/>
        <v>21.5</v>
      </c>
      <c r="AN14" s="20">
        <f t="shared" si="9"/>
        <v>27.05</v>
      </c>
      <c r="AO14" s="20">
        <f t="shared" si="10"/>
        <v>12.85</v>
      </c>
      <c r="AP14" s="20">
        <f t="shared" si="11"/>
        <v>14.700000000000001</v>
      </c>
      <c r="AQ14" s="20">
        <f t="shared" si="12"/>
        <v>31.650000000000002</v>
      </c>
      <c r="AR14" s="20">
        <f t="shared" si="13"/>
        <v>66.349999999999994</v>
      </c>
      <c r="AS14" s="35">
        <f t="shared" si="34"/>
        <v>331.6</v>
      </c>
      <c r="AT14" s="48"/>
      <c r="AV14" s="52">
        <v>0</v>
      </c>
      <c r="AW14" s="51">
        <f t="shared" si="14"/>
        <v>0</v>
      </c>
      <c r="AX14" s="53">
        <f t="shared" si="17"/>
        <v>0</v>
      </c>
      <c r="AY14" s="68">
        <v>137601</v>
      </c>
      <c r="AZ14" s="37">
        <f t="shared" si="18"/>
        <v>223900</v>
      </c>
      <c r="BA14" s="37">
        <f t="shared" si="19"/>
        <v>611.24699999999996</v>
      </c>
      <c r="BB14" s="46">
        <f t="shared" si="20"/>
        <v>271.63816679999996</v>
      </c>
    </row>
    <row r="15" spans="1:54" x14ac:dyDescent="0.25">
      <c r="A15" s="23">
        <v>43594</v>
      </c>
      <c r="B15" s="40">
        <v>36</v>
      </c>
      <c r="C15" s="24">
        <v>4706400</v>
      </c>
      <c r="D15" s="24">
        <v>9563860</v>
      </c>
      <c r="E15" s="24">
        <v>1030820</v>
      </c>
      <c r="F15" s="24">
        <v>2057230</v>
      </c>
      <c r="G15" s="24">
        <v>6818880</v>
      </c>
      <c r="H15" s="24">
        <v>2851070</v>
      </c>
      <c r="I15" s="24">
        <v>3050730</v>
      </c>
      <c r="J15" s="24">
        <v>3296480</v>
      </c>
      <c r="K15" s="24">
        <v>5651130</v>
      </c>
      <c r="L15" s="24">
        <v>1836360</v>
      </c>
      <c r="M15" s="24">
        <v>5617150</v>
      </c>
      <c r="N15" s="24">
        <v>7085300</v>
      </c>
      <c r="O15" s="24">
        <v>8578650</v>
      </c>
      <c r="Q15" s="37">
        <f t="shared" si="21"/>
        <v>9750</v>
      </c>
      <c r="R15" s="37">
        <f t="shared" si="22"/>
        <v>3670</v>
      </c>
      <c r="S15" s="37">
        <f t="shared" si="16"/>
        <v>3140</v>
      </c>
      <c r="T15" s="37">
        <f t="shared" si="23"/>
        <v>1590</v>
      </c>
      <c r="U15" s="37">
        <f t="shared" si="24"/>
        <v>5040</v>
      </c>
      <c r="V15" s="37">
        <f t="shared" si="25"/>
        <v>4220</v>
      </c>
      <c r="W15" s="37">
        <f t="shared" si="26"/>
        <v>4070</v>
      </c>
      <c r="X15" s="37">
        <f t="shared" si="27"/>
        <v>4350</v>
      </c>
      <c r="Y15" s="37">
        <f t="shared" si="28"/>
        <v>4750</v>
      </c>
      <c r="Z15" s="37">
        <f t="shared" si="29"/>
        <v>2570</v>
      </c>
      <c r="AA15" s="37">
        <f t="shared" si="30"/>
        <v>2970</v>
      </c>
      <c r="AB15" s="37">
        <f t="shared" si="31"/>
        <v>6370</v>
      </c>
      <c r="AC15" s="37">
        <f t="shared" si="32"/>
        <v>10650</v>
      </c>
      <c r="AD15" s="35">
        <f t="shared" si="33"/>
        <v>63140</v>
      </c>
      <c r="AF15" s="20">
        <f t="shared" si="1"/>
        <v>48.75</v>
      </c>
      <c r="AG15" s="20">
        <f t="shared" si="2"/>
        <v>18.350000000000001</v>
      </c>
      <c r="AH15" s="20">
        <f t="shared" si="3"/>
        <v>15.700000000000001</v>
      </c>
      <c r="AI15" s="20">
        <f t="shared" si="4"/>
        <v>7.95</v>
      </c>
      <c r="AJ15" s="20">
        <f t="shared" si="5"/>
        <v>25.2</v>
      </c>
      <c r="AK15" s="20">
        <f t="shared" si="6"/>
        <v>21.1</v>
      </c>
      <c r="AL15" s="20">
        <f t="shared" si="7"/>
        <v>20.350000000000001</v>
      </c>
      <c r="AM15" s="20">
        <f t="shared" si="8"/>
        <v>21.75</v>
      </c>
      <c r="AN15" s="20">
        <f t="shared" si="9"/>
        <v>23.75</v>
      </c>
      <c r="AO15" s="20">
        <f t="shared" si="10"/>
        <v>12.85</v>
      </c>
      <c r="AP15" s="20">
        <f t="shared" si="11"/>
        <v>14.85</v>
      </c>
      <c r="AQ15" s="20">
        <f t="shared" si="12"/>
        <v>31.85</v>
      </c>
      <c r="AR15" s="20">
        <f t="shared" si="13"/>
        <v>53.25</v>
      </c>
      <c r="AS15" s="35">
        <f t="shared" si="34"/>
        <v>315.7</v>
      </c>
      <c r="AT15" s="48"/>
      <c r="AV15" s="52">
        <v>0</v>
      </c>
      <c r="AW15" s="51">
        <f t="shared" si="14"/>
        <v>0</v>
      </c>
      <c r="AX15" s="53">
        <f t="shared" si="17"/>
        <v>0</v>
      </c>
      <c r="AY15" s="68">
        <v>140308</v>
      </c>
      <c r="AZ15" s="37">
        <f t="shared" si="18"/>
        <v>270700</v>
      </c>
      <c r="BA15" s="37">
        <f t="shared" si="19"/>
        <v>739.01100000000008</v>
      </c>
      <c r="BB15" s="46">
        <f t="shared" si="20"/>
        <v>328.41648840000005</v>
      </c>
    </row>
    <row r="16" spans="1:54" x14ac:dyDescent="0.25">
      <c r="A16" s="23">
        <v>43595</v>
      </c>
      <c r="B16" s="40">
        <v>48</v>
      </c>
      <c r="C16" s="24">
        <v>4716010</v>
      </c>
      <c r="D16" s="24">
        <v>9567520</v>
      </c>
      <c r="E16" s="24">
        <v>1033920</v>
      </c>
      <c r="F16" s="24">
        <v>2058820</v>
      </c>
      <c r="G16" s="24">
        <v>6824050</v>
      </c>
      <c r="H16" s="24">
        <v>2855170</v>
      </c>
      <c r="I16" s="24">
        <v>3055050</v>
      </c>
      <c r="J16" s="24">
        <v>3300890</v>
      </c>
      <c r="K16" s="24">
        <v>5655870</v>
      </c>
      <c r="L16" s="24">
        <v>1838910</v>
      </c>
      <c r="M16" s="24">
        <v>5620210</v>
      </c>
      <c r="N16" s="24">
        <v>7091740</v>
      </c>
      <c r="O16" s="24">
        <v>8586260</v>
      </c>
      <c r="Q16" s="37">
        <f t="shared" si="21"/>
        <v>9610</v>
      </c>
      <c r="R16" s="37">
        <f t="shared" si="22"/>
        <v>3660</v>
      </c>
      <c r="S16" s="37">
        <f t="shared" si="16"/>
        <v>3100</v>
      </c>
      <c r="T16" s="37">
        <f t="shared" si="23"/>
        <v>1590</v>
      </c>
      <c r="U16" s="37">
        <f>IF((G16-G15&lt;0), "0",G16-G15)</f>
        <v>5170</v>
      </c>
      <c r="V16" s="37">
        <f>IF((H16-H15&lt;0), "0",H16-H15)</f>
        <v>4100</v>
      </c>
      <c r="W16" s="37">
        <f t="shared" si="26"/>
        <v>4320</v>
      </c>
      <c r="X16" s="37">
        <f t="shared" si="27"/>
        <v>4410</v>
      </c>
      <c r="Y16" s="37">
        <f t="shared" si="28"/>
        <v>4740</v>
      </c>
      <c r="Z16" s="37">
        <f t="shared" si="29"/>
        <v>2550</v>
      </c>
      <c r="AA16" s="37">
        <f t="shared" si="30"/>
        <v>3060</v>
      </c>
      <c r="AB16" s="37">
        <f t="shared" si="31"/>
        <v>6440</v>
      </c>
      <c r="AC16" s="37">
        <f t="shared" si="32"/>
        <v>7610</v>
      </c>
      <c r="AD16" s="35">
        <f t="shared" si="33"/>
        <v>60360</v>
      </c>
      <c r="AF16" s="20">
        <f t="shared" si="1"/>
        <v>48.050000000000004</v>
      </c>
      <c r="AG16" s="20">
        <f t="shared" si="2"/>
        <v>18.3</v>
      </c>
      <c r="AH16" s="20">
        <f t="shared" si="3"/>
        <v>15.5</v>
      </c>
      <c r="AI16" s="20">
        <f t="shared" si="4"/>
        <v>7.95</v>
      </c>
      <c r="AJ16" s="20">
        <f t="shared" si="5"/>
        <v>25.85</v>
      </c>
      <c r="AK16" s="20">
        <f t="shared" si="6"/>
        <v>20.5</v>
      </c>
      <c r="AL16" s="20">
        <f t="shared" si="7"/>
        <v>21.6</v>
      </c>
      <c r="AM16" s="20">
        <f t="shared" si="8"/>
        <v>22.05</v>
      </c>
      <c r="AN16" s="20">
        <f t="shared" si="9"/>
        <v>23.7</v>
      </c>
      <c r="AO16" s="20">
        <f t="shared" si="10"/>
        <v>12.75</v>
      </c>
      <c r="AP16" s="20">
        <f t="shared" si="11"/>
        <v>15.3</v>
      </c>
      <c r="AQ16" s="20">
        <f t="shared" si="12"/>
        <v>32.200000000000003</v>
      </c>
      <c r="AR16" s="20">
        <f t="shared" si="13"/>
        <v>38.050000000000004</v>
      </c>
      <c r="AS16" s="35">
        <f t="shared" si="34"/>
        <v>301.8</v>
      </c>
      <c r="AT16" s="48"/>
      <c r="AV16" s="52">
        <v>0</v>
      </c>
      <c r="AW16" s="51">
        <f t="shared" si="14"/>
        <v>0</v>
      </c>
      <c r="AX16" s="53">
        <f t="shared" si="17"/>
        <v>0</v>
      </c>
      <c r="AY16" s="68">
        <v>142612</v>
      </c>
      <c r="AZ16" s="37">
        <f t="shared" si="18"/>
        <v>230400</v>
      </c>
      <c r="BA16" s="37">
        <f t="shared" si="19"/>
        <v>628.99200000000008</v>
      </c>
      <c r="BB16" s="46">
        <f t="shared" si="20"/>
        <v>279.52404480000007</v>
      </c>
    </row>
    <row r="17" spans="1:54" x14ac:dyDescent="0.25">
      <c r="A17" s="23">
        <v>43596</v>
      </c>
      <c r="B17" s="40">
        <v>46</v>
      </c>
      <c r="C17" s="24">
        <v>4725530</v>
      </c>
      <c r="D17" s="24">
        <v>9571260</v>
      </c>
      <c r="E17" s="24">
        <v>1036960</v>
      </c>
      <c r="F17" s="24">
        <v>2060470</v>
      </c>
      <c r="G17" s="24">
        <v>6829300</v>
      </c>
      <c r="H17" s="24">
        <v>2859290</v>
      </c>
      <c r="I17" s="24">
        <v>3059510</v>
      </c>
      <c r="J17" s="24">
        <v>3305330</v>
      </c>
      <c r="K17" s="24">
        <v>5660860</v>
      </c>
      <c r="L17" s="24">
        <v>1841420</v>
      </c>
      <c r="M17" s="24">
        <v>5623340</v>
      </c>
      <c r="N17" s="24">
        <v>7098380</v>
      </c>
      <c r="O17" s="24">
        <v>8600750</v>
      </c>
      <c r="Q17" s="37">
        <f t="shared" si="21"/>
        <v>9520</v>
      </c>
      <c r="R17" s="37">
        <f t="shared" si="22"/>
        <v>3740</v>
      </c>
      <c r="S17" s="37">
        <f t="shared" si="16"/>
        <v>3040</v>
      </c>
      <c r="T17" s="37">
        <f t="shared" si="23"/>
        <v>1650</v>
      </c>
      <c r="U17" s="37">
        <f>IF((G17-G16&lt;0), "0",G17-G16)</f>
        <v>5250</v>
      </c>
      <c r="V17" s="37">
        <f>IF((H17-H16&lt;0), "0",H17-H16)</f>
        <v>4120</v>
      </c>
      <c r="W17" s="37">
        <f t="shared" si="26"/>
        <v>4460</v>
      </c>
      <c r="X17" s="37">
        <f t="shared" si="27"/>
        <v>4440</v>
      </c>
      <c r="Y17" s="37">
        <f t="shared" si="28"/>
        <v>4990</v>
      </c>
      <c r="Z17" s="37">
        <f t="shared" si="29"/>
        <v>2510</v>
      </c>
      <c r="AA17" s="37">
        <f t="shared" si="30"/>
        <v>3130</v>
      </c>
      <c r="AB17" s="37">
        <f t="shared" si="31"/>
        <v>6640</v>
      </c>
      <c r="AC17" s="37">
        <f t="shared" si="32"/>
        <v>14490</v>
      </c>
      <c r="AD17" s="35">
        <f t="shared" si="33"/>
        <v>67980</v>
      </c>
      <c r="AF17" s="20">
        <f t="shared" si="1"/>
        <v>47.6</v>
      </c>
      <c r="AG17" s="20">
        <f t="shared" si="2"/>
        <v>18.7</v>
      </c>
      <c r="AH17" s="20">
        <f t="shared" si="3"/>
        <v>15.200000000000001</v>
      </c>
      <c r="AI17" s="20">
        <f t="shared" si="4"/>
        <v>8.25</v>
      </c>
      <c r="AJ17" s="20">
        <f t="shared" si="5"/>
        <v>26.25</v>
      </c>
      <c r="AK17" s="20">
        <f t="shared" si="6"/>
        <v>20.6</v>
      </c>
      <c r="AL17" s="20">
        <f t="shared" si="7"/>
        <v>22.3</v>
      </c>
      <c r="AM17" s="20">
        <f t="shared" si="8"/>
        <v>22.2</v>
      </c>
      <c r="AN17" s="20">
        <f t="shared" si="9"/>
        <v>24.95</v>
      </c>
      <c r="AO17" s="20">
        <f t="shared" si="10"/>
        <v>12.55</v>
      </c>
      <c r="AP17" s="20">
        <f t="shared" si="11"/>
        <v>15.65</v>
      </c>
      <c r="AQ17" s="20">
        <f t="shared" si="12"/>
        <v>33.200000000000003</v>
      </c>
      <c r="AR17" s="20">
        <f t="shared" si="13"/>
        <v>72.45</v>
      </c>
      <c r="AS17" s="35">
        <f t="shared" si="34"/>
        <v>339.9</v>
      </c>
      <c r="AT17" s="48"/>
      <c r="AV17" s="52">
        <v>0</v>
      </c>
      <c r="AW17" s="51">
        <f t="shared" si="14"/>
        <v>0</v>
      </c>
      <c r="AX17" s="53">
        <f t="shared" si="17"/>
        <v>0</v>
      </c>
      <c r="AY17" s="68">
        <v>144750</v>
      </c>
      <c r="AZ17" s="37">
        <f t="shared" si="18"/>
        <v>213800</v>
      </c>
      <c r="BA17" s="37">
        <f t="shared" si="19"/>
        <v>583.67399999999998</v>
      </c>
      <c r="BB17" s="46">
        <f t="shared" si="20"/>
        <v>259.38472560000002</v>
      </c>
    </row>
    <row r="18" spans="1:54" x14ac:dyDescent="0.25">
      <c r="A18" s="23">
        <v>43597</v>
      </c>
      <c r="B18" s="40">
        <v>85</v>
      </c>
      <c r="C18" s="24">
        <v>4734930</v>
      </c>
      <c r="D18" s="24">
        <v>9575020</v>
      </c>
      <c r="E18" s="24">
        <v>1039970</v>
      </c>
      <c r="F18" s="24">
        <v>2062050</v>
      </c>
      <c r="G18" s="24">
        <v>6834280</v>
      </c>
      <c r="H18" s="24">
        <v>2863430</v>
      </c>
      <c r="I18" s="24">
        <v>3063690</v>
      </c>
      <c r="J18" s="24">
        <v>3309800</v>
      </c>
      <c r="K18" s="24">
        <v>5665910</v>
      </c>
      <c r="L18" s="24">
        <v>1843910</v>
      </c>
      <c r="M18" s="24">
        <v>5626650</v>
      </c>
      <c r="N18" s="24">
        <v>7105020</v>
      </c>
      <c r="O18" s="24">
        <v>8614820</v>
      </c>
      <c r="Q18" s="37">
        <f t="shared" si="21"/>
        <v>9400</v>
      </c>
      <c r="R18" s="37">
        <f t="shared" si="22"/>
        <v>3760</v>
      </c>
      <c r="S18" s="37">
        <f t="shared" si="16"/>
        <v>3010</v>
      </c>
      <c r="T18" s="37">
        <f t="shared" si="23"/>
        <v>1580</v>
      </c>
      <c r="U18" s="37">
        <f t="shared" si="24"/>
        <v>4980</v>
      </c>
      <c r="V18" s="37">
        <f t="shared" si="25"/>
        <v>4140</v>
      </c>
      <c r="W18" s="37">
        <f t="shared" si="26"/>
        <v>4180</v>
      </c>
      <c r="X18" s="37">
        <f t="shared" si="27"/>
        <v>4470</v>
      </c>
      <c r="Y18" s="37">
        <f t="shared" si="28"/>
        <v>5050</v>
      </c>
      <c r="Z18" s="37">
        <f t="shared" si="29"/>
        <v>2490</v>
      </c>
      <c r="AA18" s="37">
        <f t="shared" si="30"/>
        <v>3310</v>
      </c>
      <c r="AB18" s="37">
        <f t="shared" si="31"/>
        <v>6640</v>
      </c>
      <c r="AC18" s="37">
        <f t="shared" si="32"/>
        <v>14070</v>
      </c>
      <c r="AD18" s="35">
        <f t="shared" si="33"/>
        <v>67080</v>
      </c>
      <c r="AF18" s="20">
        <f t="shared" si="1"/>
        <v>47</v>
      </c>
      <c r="AG18" s="20">
        <f t="shared" si="2"/>
        <v>18.8</v>
      </c>
      <c r="AH18" s="20">
        <f t="shared" si="3"/>
        <v>15.05</v>
      </c>
      <c r="AI18" s="20">
        <f t="shared" si="4"/>
        <v>7.9</v>
      </c>
      <c r="AJ18" s="20">
        <f t="shared" si="5"/>
        <v>24.900000000000002</v>
      </c>
      <c r="AK18" s="20">
        <f t="shared" si="6"/>
        <v>20.7</v>
      </c>
      <c r="AL18" s="20">
        <f t="shared" si="7"/>
        <v>20.900000000000002</v>
      </c>
      <c r="AM18" s="20">
        <f t="shared" si="8"/>
        <v>22.35</v>
      </c>
      <c r="AN18" s="20">
        <f t="shared" si="9"/>
        <v>25.25</v>
      </c>
      <c r="AO18" s="20">
        <f t="shared" si="10"/>
        <v>12.450000000000001</v>
      </c>
      <c r="AP18" s="20">
        <f t="shared" si="11"/>
        <v>16.55</v>
      </c>
      <c r="AQ18" s="20">
        <f t="shared" si="12"/>
        <v>33.200000000000003</v>
      </c>
      <c r="AR18" s="20">
        <f t="shared" si="13"/>
        <v>70.350000000000009</v>
      </c>
      <c r="AS18" s="35">
        <f t="shared" si="34"/>
        <v>335.40000000000003</v>
      </c>
      <c r="AT18" s="48"/>
      <c r="AV18" s="52">
        <v>0</v>
      </c>
      <c r="AW18" s="51">
        <f t="shared" si="14"/>
        <v>0</v>
      </c>
      <c r="AX18" s="53">
        <f t="shared" si="17"/>
        <v>0</v>
      </c>
      <c r="AY18" s="68">
        <v>148197</v>
      </c>
      <c r="AZ18" s="37">
        <f t="shared" si="18"/>
        <v>344700</v>
      </c>
      <c r="BA18" s="37">
        <f t="shared" si="19"/>
        <v>941.03099999999995</v>
      </c>
      <c r="BB18" s="46">
        <f t="shared" si="20"/>
        <v>418.1941764</v>
      </c>
    </row>
    <row r="19" spans="1:54" x14ac:dyDescent="0.25">
      <c r="A19" s="23">
        <v>43598</v>
      </c>
      <c r="B19" s="40">
        <v>84</v>
      </c>
      <c r="C19" s="24">
        <v>4744510</v>
      </c>
      <c r="D19" s="24">
        <v>9578760</v>
      </c>
      <c r="E19" s="24">
        <v>1043050</v>
      </c>
      <c r="F19" s="24">
        <v>2063650</v>
      </c>
      <c r="G19" s="24">
        <v>6839510</v>
      </c>
      <c r="H19" s="24">
        <v>2867500</v>
      </c>
      <c r="I19" s="24">
        <v>3067880</v>
      </c>
      <c r="J19" s="24">
        <v>3314310</v>
      </c>
      <c r="K19" s="24">
        <v>5670760</v>
      </c>
      <c r="L19" s="24">
        <v>1846400</v>
      </c>
      <c r="M19" s="24">
        <v>5629760</v>
      </c>
      <c r="N19" s="24">
        <v>7111570</v>
      </c>
      <c r="O19" s="24">
        <v>8629170</v>
      </c>
      <c r="Q19" s="37">
        <f t="shared" si="21"/>
        <v>9580</v>
      </c>
      <c r="R19" s="37">
        <f t="shared" si="22"/>
        <v>3740</v>
      </c>
      <c r="S19" s="37">
        <f t="shared" si="16"/>
        <v>3080</v>
      </c>
      <c r="T19" s="37">
        <f t="shared" si="23"/>
        <v>1600</v>
      </c>
      <c r="U19" s="37">
        <f t="shared" si="24"/>
        <v>5230</v>
      </c>
      <c r="V19" s="37">
        <f t="shared" si="25"/>
        <v>4070</v>
      </c>
      <c r="W19" s="37">
        <f t="shared" si="26"/>
        <v>4190</v>
      </c>
      <c r="X19" s="37">
        <f t="shared" si="27"/>
        <v>4510</v>
      </c>
      <c r="Y19" s="37">
        <f t="shared" si="28"/>
        <v>4850</v>
      </c>
      <c r="Z19" s="37">
        <f t="shared" si="29"/>
        <v>2490</v>
      </c>
      <c r="AA19" s="37">
        <f t="shared" si="30"/>
        <v>3110</v>
      </c>
      <c r="AB19" s="37">
        <f t="shared" si="31"/>
        <v>6550</v>
      </c>
      <c r="AC19" s="37">
        <f t="shared" si="32"/>
        <v>14350</v>
      </c>
      <c r="AD19" s="35">
        <f t="shared" si="33"/>
        <v>67350</v>
      </c>
      <c r="AF19" s="20">
        <f t="shared" si="1"/>
        <v>47.9</v>
      </c>
      <c r="AG19" s="20">
        <f t="shared" si="2"/>
        <v>18.7</v>
      </c>
      <c r="AH19" s="20">
        <f t="shared" si="3"/>
        <v>15.4</v>
      </c>
      <c r="AI19" s="20">
        <f t="shared" si="4"/>
        <v>8</v>
      </c>
      <c r="AJ19" s="20">
        <f t="shared" si="5"/>
        <v>26.150000000000002</v>
      </c>
      <c r="AK19" s="20">
        <f t="shared" si="6"/>
        <v>20.350000000000001</v>
      </c>
      <c r="AL19" s="20">
        <f t="shared" si="7"/>
        <v>20.95</v>
      </c>
      <c r="AM19" s="20">
        <f t="shared" si="8"/>
        <v>22.55</v>
      </c>
      <c r="AN19" s="20">
        <f t="shared" si="9"/>
        <v>24.25</v>
      </c>
      <c r="AO19" s="20">
        <f t="shared" si="10"/>
        <v>12.450000000000001</v>
      </c>
      <c r="AP19" s="20">
        <f t="shared" si="11"/>
        <v>15.55</v>
      </c>
      <c r="AQ19" s="20">
        <f t="shared" si="12"/>
        <v>32.75</v>
      </c>
      <c r="AR19" s="20">
        <f t="shared" si="13"/>
        <v>71.75</v>
      </c>
      <c r="AS19" s="35">
        <f t="shared" si="34"/>
        <v>336.75</v>
      </c>
      <c r="AT19" s="48"/>
      <c r="AV19" s="52">
        <v>0</v>
      </c>
      <c r="AW19" s="51">
        <f t="shared" si="14"/>
        <v>0</v>
      </c>
      <c r="AX19" s="53">
        <f t="shared" si="17"/>
        <v>0</v>
      </c>
      <c r="AY19" s="68">
        <v>150566</v>
      </c>
      <c r="AZ19" s="37">
        <f t="shared" si="18"/>
        <v>236900</v>
      </c>
      <c r="BA19" s="37">
        <f t="shared" si="19"/>
        <v>646.73699999999997</v>
      </c>
      <c r="BB19" s="46">
        <f t="shared" si="20"/>
        <v>287.4099228</v>
      </c>
    </row>
    <row r="20" spans="1:54" x14ac:dyDescent="0.25">
      <c r="A20" s="23">
        <v>43599</v>
      </c>
      <c r="B20" s="40">
        <v>87</v>
      </c>
      <c r="C20" s="24">
        <v>4754150</v>
      </c>
      <c r="D20" s="24">
        <v>9582480</v>
      </c>
      <c r="E20" s="24">
        <v>1046270</v>
      </c>
      <c r="F20" s="24">
        <v>2065230</v>
      </c>
      <c r="G20" s="24">
        <v>6849970</v>
      </c>
      <c r="H20" s="24">
        <v>2871500</v>
      </c>
      <c r="I20" s="24">
        <v>3072300</v>
      </c>
      <c r="J20" s="24">
        <v>3318730</v>
      </c>
      <c r="K20" s="24">
        <v>5675550</v>
      </c>
      <c r="L20" s="24">
        <v>1849010</v>
      </c>
      <c r="M20" s="24">
        <v>5632710</v>
      </c>
      <c r="N20" s="24">
        <v>7118160</v>
      </c>
      <c r="O20" s="24">
        <v>8643410</v>
      </c>
      <c r="Q20" s="37">
        <f t="shared" si="21"/>
        <v>9640</v>
      </c>
      <c r="R20" s="37">
        <f t="shared" si="22"/>
        <v>3720</v>
      </c>
      <c r="S20" s="37">
        <f t="shared" si="16"/>
        <v>3220</v>
      </c>
      <c r="T20" s="37">
        <f t="shared" si="23"/>
        <v>1580</v>
      </c>
      <c r="U20" s="37">
        <f t="shared" si="24"/>
        <v>10460</v>
      </c>
      <c r="V20" s="37">
        <f t="shared" si="25"/>
        <v>4000</v>
      </c>
      <c r="W20" s="37">
        <f t="shared" si="26"/>
        <v>4420</v>
      </c>
      <c r="X20" s="37">
        <f t="shared" si="27"/>
        <v>4420</v>
      </c>
      <c r="Y20" s="37">
        <f t="shared" si="28"/>
        <v>4790</v>
      </c>
      <c r="Z20" s="37">
        <f t="shared" si="29"/>
        <v>2610</v>
      </c>
      <c r="AA20" s="37">
        <f t="shared" si="30"/>
        <v>2950</v>
      </c>
      <c r="AB20" s="37">
        <f t="shared" si="31"/>
        <v>6590</v>
      </c>
      <c r="AC20" s="37">
        <f t="shared" si="32"/>
        <v>14240</v>
      </c>
      <c r="AD20" s="35">
        <f t="shared" si="33"/>
        <v>72640</v>
      </c>
      <c r="AF20" s="20">
        <f t="shared" si="1"/>
        <v>48.2</v>
      </c>
      <c r="AG20" s="20">
        <f t="shared" si="2"/>
        <v>18.600000000000001</v>
      </c>
      <c r="AH20" s="20">
        <f t="shared" si="3"/>
        <v>16.100000000000001</v>
      </c>
      <c r="AI20" s="20">
        <f t="shared" si="4"/>
        <v>7.9</v>
      </c>
      <c r="AJ20" s="20">
        <f t="shared" si="5"/>
        <v>52.300000000000004</v>
      </c>
      <c r="AK20" s="20">
        <f t="shared" si="6"/>
        <v>20</v>
      </c>
      <c r="AL20" s="20">
        <f t="shared" si="7"/>
        <v>22.1</v>
      </c>
      <c r="AM20" s="20">
        <f t="shared" si="8"/>
        <v>22.1</v>
      </c>
      <c r="AN20" s="20">
        <f t="shared" si="9"/>
        <v>23.95</v>
      </c>
      <c r="AO20" s="20">
        <f t="shared" si="10"/>
        <v>13.05</v>
      </c>
      <c r="AP20" s="20">
        <f t="shared" si="11"/>
        <v>14.75</v>
      </c>
      <c r="AQ20" s="20">
        <f t="shared" si="12"/>
        <v>32.950000000000003</v>
      </c>
      <c r="AR20" s="20">
        <f t="shared" si="13"/>
        <v>71.2</v>
      </c>
      <c r="AS20" s="35">
        <f t="shared" si="34"/>
        <v>363.2</v>
      </c>
      <c r="AT20" s="48"/>
      <c r="AV20" s="52">
        <v>0</v>
      </c>
      <c r="AW20" s="51">
        <f t="shared" si="14"/>
        <v>0</v>
      </c>
      <c r="AX20" s="53">
        <f t="shared" si="17"/>
        <v>0</v>
      </c>
      <c r="AY20" s="68">
        <v>153057</v>
      </c>
      <c r="AZ20" s="37">
        <f t="shared" si="18"/>
        <v>249100</v>
      </c>
      <c r="BA20" s="37">
        <f t="shared" si="19"/>
        <v>680.04300000000001</v>
      </c>
      <c r="BB20" s="46">
        <f t="shared" si="20"/>
        <v>302.21110920000001</v>
      </c>
    </row>
    <row r="21" spans="1:54" x14ac:dyDescent="0.25">
      <c r="A21" s="23">
        <v>43600</v>
      </c>
      <c r="B21" s="40">
        <v>74</v>
      </c>
      <c r="C21" s="24">
        <v>4760490</v>
      </c>
      <c r="D21" s="24">
        <v>9590170</v>
      </c>
      <c r="E21" s="24">
        <v>1049570</v>
      </c>
      <c r="F21" s="24">
        <v>2066870</v>
      </c>
      <c r="G21" s="24">
        <v>6850590</v>
      </c>
      <c r="H21" s="24">
        <v>2875820</v>
      </c>
      <c r="I21" s="24">
        <v>3076870</v>
      </c>
      <c r="J21" s="24">
        <v>3323260</v>
      </c>
      <c r="K21" s="24">
        <v>5680240</v>
      </c>
      <c r="L21" s="24">
        <v>1851720</v>
      </c>
      <c r="M21" s="24">
        <v>5635730</v>
      </c>
      <c r="N21" s="24">
        <v>7124920</v>
      </c>
      <c r="O21" s="24">
        <v>8658040</v>
      </c>
      <c r="Q21" s="37">
        <f t="shared" si="21"/>
        <v>6340</v>
      </c>
      <c r="R21" s="37">
        <f t="shared" si="22"/>
        <v>7690</v>
      </c>
      <c r="S21" s="37">
        <f t="shared" si="16"/>
        <v>3300</v>
      </c>
      <c r="T21" s="37">
        <f t="shared" si="23"/>
        <v>1640</v>
      </c>
      <c r="U21" s="37">
        <f t="shared" si="24"/>
        <v>620</v>
      </c>
      <c r="V21" s="37">
        <f t="shared" si="25"/>
        <v>4320</v>
      </c>
      <c r="W21" s="37">
        <f t="shared" si="26"/>
        <v>4570</v>
      </c>
      <c r="X21" s="37">
        <f t="shared" si="27"/>
        <v>4530</v>
      </c>
      <c r="Y21" s="37">
        <f t="shared" si="28"/>
        <v>4690</v>
      </c>
      <c r="Z21" s="37">
        <f t="shared" si="29"/>
        <v>2710</v>
      </c>
      <c r="AA21" s="37">
        <f t="shared" si="30"/>
        <v>3020</v>
      </c>
      <c r="AB21" s="37">
        <f t="shared" si="31"/>
        <v>6760</v>
      </c>
      <c r="AC21" s="37">
        <f t="shared" si="32"/>
        <v>14630</v>
      </c>
      <c r="AD21" s="35">
        <f t="shared" si="33"/>
        <v>64820</v>
      </c>
      <c r="AF21" s="20">
        <f t="shared" si="1"/>
        <v>31.7</v>
      </c>
      <c r="AG21" s="20">
        <f t="shared" si="2"/>
        <v>38.450000000000003</v>
      </c>
      <c r="AH21" s="20">
        <f t="shared" si="3"/>
        <v>16.5</v>
      </c>
      <c r="AI21" s="20">
        <f t="shared" si="4"/>
        <v>8.1999999999999993</v>
      </c>
      <c r="AJ21" s="20">
        <f t="shared" si="5"/>
        <v>3.1</v>
      </c>
      <c r="AK21" s="20">
        <f t="shared" si="6"/>
        <v>21.6</v>
      </c>
      <c r="AL21" s="20">
        <f t="shared" si="7"/>
        <v>22.85</v>
      </c>
      <c r="AM21" s="20">
        <f t="shared" si="8"/>
        <v>22.650000000000002</v>
      </c>
      <c r="AN21" s="20">
        <f t="shared" si="9"/>
        <v>23.45</v>
      </c>
      <c r="AO21" s="20">
        <f t="shared" si="10"/>
        <v>13.55</v>
      </c>
      <c r="AP21" s="20">
        <f t="shared" si="11"/>
        <v>15.1</v>
      </c>
      <c r="AQ21" s="20">
        <f t="shared" si="12"/>
        <v>33.799999999999997</v>
      </c>
      <c r="AR21" s="20">
        <f t="shared" si="13"/>
        <v>73.150000000000006</v>
      </c>
      <c r="AS21" s="35">
        <f t="shared" si="34"/>
        <v>324.10000000000002</v>
      </c>
      <c r="AT21" s="48"/>
      <c r="AV21" s="52">
        <v>0</v>
      </c>
      <c r="AW21" s="51">
        <f t="shared" si="14"/>
        <v>0</v>
      </c>
      <c r="AX21" s="53">
        <f t="shared" si="17"/>
        <v>0</v>
      </c>
      <c r="AY21" s="68">
        <v>155852</v>
      </c>
      <c r="AZ21" s="37">
        <f t="shared" si="18"/>
        <v>279500</v>
      </c>
      <c r="BA21" s="37">
        <f t="shared" si="19"/>
        <v>763.03500000000008</v>
      </c>
      <c r="BB21" s="46">
        <f t="shared" si="20"/>
        <v>339.09275400000007</v>
      </c>
    </row>
    <row r="22" spans="1:54" x14ac:dyDescent="0.25">
      <c r="A22" s="23">
        <v>43601</v>
      </c>
      <c r="B22" s="40">
        <v>89</v>
      </c>
      <c r="C22" s="24">
        <v>4761500</v>
      </c>
      <c r="D22" s="24">
        <v>9602800</v>
      </c>
      <c r="E22" s="24">
        <v>1052780</v>
      </c>
      <c r="F22" s="24">
        <v>2068450</v>
      </c>
      <c r="G22" s="24">
        <v>6855780</v>
      </c>
      <c r="H22" s="24">
        <v>2880010</v>
      </c>
      <c r="I22" s="24">
        <v>3081260</v>
      </c>
      <c r="J22" s="69">
        <v>3327730</v>
      </c>
      <c r="K22" s="24">
        <v>5684802</v>
      </c>
      <c r="L22" s="24">
        <v>1854420</v>
      </c>
      <c r="M22" s="24">
        <v>5638510</v>
      </c>
      <c r="N22" s="24">
        <v>7131520</v>
      </c>
      <c r="O22" s="69">
        <v>8671490</v>
      </c>
      <c r="Q22" s="37">
        <f t="shared" si="21"/>
        <v>1010</v>
      </c>
      <c r="R22" s="37">
        <f t="shared" si="22"/>
        <v>12630</v>
      </c>
      <c r="S22" s="37">
        <f t="shared" si="16"/>
        <v>3210</v>
      </c>
      <c r="T22" s="37">
        <f t="shared" si="23"/>
        <v>1580</v>
      </c>
      <c r="U22" s="37">
        <f t="shared" si="24"/>
        <v>5190</v>
      </c>
      <c r="V22" s="37">
        <f t="shared" si="25"/>
        <v>4190</v>
      </c>
      <c r="W22" s="37">
        <f t="shared" si="26"/>
        <v>4390</v>
      </c>
      <c r="X22" s="37">
        <f t="shared" si="27"/>
        <v>4470</v>
      </c>
      <c r="Y22" s="37">
        <f t="shared" si="28"/>
        <v>4562</v>
      </c>
      <c r="Z22" s="37">
        <f t="shared" si="29"/>
        <v>2700</v>
      </c>
      <c r="AA22" s="37">
        <f t="shared" si="30"/>
        <v>2780</v>
      </c>
      <c r="AB22" s="37">
        <f t="shared" si="31"/>
        <v>6600</v>
      </c>
      <c r="AC22" s="37">
        <f t="shared" si="32"/>
        <v>13450</v>
      </c>
      <c r="AD22" s="35">
        <f t="shared" si="33"/>
        <v>66762</v>
      </c>
      <c r="AF22" s="20">
        <f t="shared" si="1"/>
        <v>5.05</v>
      </c>
      <c r="AG22" s="20">
        <f t="shared" si="2"/>
        <v>63.15</v>
      </c>
      <c r="AH22" s="20">
        <f t="shared" si="3"/>
        <v>16.05</v>
      </c>
      <c r="AI22" s="20">
        <f t="shared" si="4"/>
        <v>7.9</v>
      </c>
      <c r="AJ22" s="20">
        <f t="shared" si="5"/>
        <v>25.95</v>
      </c>
      <c r="AK22" s="20">
        <f t="shared" si="6"/>
        <v>20.95</v>
      </c>
      <c r="AL22" s="20">
        <f t="shared" si="7"/>
        <v>21.95</v>
      </c>
      <c r="AM22" s="20">
        <f t="shared" si="8"/>
        <v>22.35</v>
      </c>
      <c r="AN22" s="20">
        <f t="shared" si="9"/>
        <v>22.81</v>
      </c>
      <c r="AO22" s="20">
        <f t="shared" si="10"/>
        <v>13.5</v>
      </c>
      <c r="AP22" s="20">
        <f t="shared" si="11"/>
        <v>13.9</v>
      </c>
      <c r="AQ22" s="20">
        <f t="shared" si="12"/>
        <v>33</v>
      </c>
      <c r="AR22" s="20">
        <f t="shared" si="13"/>
        <v>67.25</v>
      </c>
      <c r="AS22" s="35">
        <f t="shared" si="34"/>
        <v>333.81</v>
      </c>
      <c r="AT22" s="48"/>
      <c r="AV22" s="52">
        <v>0</v>
      </c>
      <c r="AW22" s="51">
        <f t="shared" si="14"/>
        <v>0</v>
      </c>
      <c r="AX22" s="53">
        <f t="shared" si="17"/>
        <v>0</v>
      </c>
      <c r="AY22" s="68">
        <v>158727</v>
      </c>
      <c r="AZ22" s="37">
        <f t="shared" si="18"/>
        <v>287500</v>
      </c>
      <c r="BA22" s="37">
        <f t="shared" si="19"/>
        <v>784.875</v>
      </c>
      <c r="BB22" s="46">
        <f t="shared" si="20"/>
        <v>348.79845</v>
      </c>
    </row>
    <row r="23" spans="1:54" x14ac:dyDescent="0.25">
      <c r="A23" s="23">
        <v>43602</v>
      </c>
      <c r="B23" s="40">
        <v>107</v>
      </c>
      <c r="C23" s="24">
        <v>4762520</v>
      </c>
      <c r="D23" s="24">
        <v>9616930</v>
      </c>
      <c r="E23" s="24">
        <v>1056410</v>
      </c>
      <c r="F23" s="24">
        <v>2070060</v>
      </c>
      <c r="G23" s="24">
        <v>6861260</v>
      </c>
      <c r="H23" s="24">
        <v>2884190</v>
      </c>
      <c r="I23" s="24">
        <v>3085790</v>
      </c>
      <c r="J23" s="24">
        <v>3332390</v>
      </c>
      <c r="K23" s="24">
        <v>5689790</v>
      </c>
      <c r="L23" s="24">
        <v>1857260</v>
      </c>
      <c r="M23" s="24">
        <v>5641500</v>
      </c>
      <c r="N23" s="24">
        <v>7138270</v>
      </c>
      <c r="O23" s="24">
        <v>8685090</v>
      </c>
      <c r="Q23" s="37">
        <f t="shared" si="21"/>
        <v>1020</v>
      </c>
      <c r="R23" s="37">
        <f t="shared" si="22"/>
        <v>14130</v>
      </c>
      <c r="S23" s="37">
        <f t="shared" si="16"/>
        <v>3630</v>
      </c>
      <c r="T23" s="37">
        <f t="shared" si="23"/>
        <v>1610</v>
      </c>
      <c r="U23" s="37">
        <f t="shared" si="24"/>
        <v>5480</v>
      </c>
      <c r="V23" s="37">
        <f t="shared" si="25"/>
        <v>4180</v>
      </c>
      <c r="W23" s="37">
        <f t="shared" si="26"/>
        <v>4530</v>
      </c>
      <c r="X23" s="37">
        <f t="shared" si="27"/>
        <v>4660</v>
      </c>
      <c r="Y23" s="37">
        <f t="shared" si="28"/>
        <v>4988</v>
      </c>
      <c r="Z23" s="37">
        <f t="shared" si="29"/>
        <v>2840</v>
      </c>
      <c r="AA23" s="37">
        <f t="shared" si="30"/>
        <v>2990</v>
      </c>
      <c r="AB23" s="37">
        <f t="shared" si="31"/>
        <v>6750</v>
      </c>
      <c r="AC23" s="37">
        <f t="shared" si="32"/>
        <v>13600</v>
      </c>
      <c r="AD23" s="35">
        <f t="shared" si="33"/>
        <v>70408</v>
      </c>
      <c r="AF23" s="20">
        <f t="shared" si="1"/>
        <v>5.1000000000000005</v>
      </c>
      <c r="AG23" s="20">
        <f t="shared" si="2"/>
        <v>70.650000000000006</v>
      </c>
      <c r="AH23" s="20">
        <f t="shared" si="3"/>
        <v>18.150000000000002</v>
      </c>
      <c r="AI23" s="20">
        <f t="shared" si="4"/>
        <v>8.0500000000000007</v>
      </c>
      <c r="AJ23" s="20">
        <f t="shared" si="5"/>
        <v>27.400000000000002</v>
      </c>
      <c r="AK23" s="20">
        <f t="shared" si="6"/>
        <v>20.900000000000002</v>
      </c>
      <c r="AL23" s="20">
        <f t="shared" si="7"/>
        <v>22.650000000000002</v>
      </c>
      <c r="AM23" s="20">
        <f t="shared" si="8"/>
        <v>23.3</v>
      </c>
      <c r="AN23" s="20">
        <f t="shared" si="9"/>
        <v>24.94</v>
      </c>
      <c r="AO23" s="20">
        <f t="shared" si="10"/>
        <v>14.200000000000001</v>
      </c>
      <c r="AP23" s="20">
        <f t="shared" si="11"/>
        <v>14.950000000000001</v>
      </c>
      <c r="AQ23" s="20">
        <f t="shared" si="12"/>
        <v>33.75</v>
      </c>
      <c r="AR23" s="20">
        <f t="shared" si="13"/>
        <v>68</v>
      </c>
      <c r="AS23" s="35">
        <f t="shared" si="34"/>
        <v>352.03999999999996</v>
      </c>
      <c r="AT23" s="48"/>
      <c r="AV23" s="52">
        <v>0</v>
      </c>
      <c r="AW23" s="51">
        <f t="shared" si="14"/>
        <v>0</v>
      </c>
      <c r="AX23" s="53">
        <f t="shared" si="17"/>
        <v>0</v>
      </c>
      <c r="AY23" s="68">
        <v>161009</v>
      </c>
      <c r="AZ23" s="37">
        <f t="shared" si="18"/>
        <v>228200</v>
      </c>
      <c r="BA23" s="37">
        <f t="shared" si="19"/>
        <v>622.98599999999999</v>
      </c>
      <c r="BB23" s="46">
        <f t="shared" si="20"/>
        <v>276.85497839999999</v>
      </c>
    </row>
    <row r="24" spans="1:54" x14ac:dyDescent="0.25">
      <c r="A24" s="23">
        <v>43603</v>
      </c>
      <c r="B24" s="40">
        <v>55</v>
      </c>
      <c r="C24" s="24">
        <v>4763960</v>
      </c>
      <c r="D24" s="24">
        <v>9630709</v>
      </c>
      <c r="E24" s="24">
        <v>1059200</v>
      </c>
      <c r="F24" s="24">
        <v>2072540</v>
      </c>
      <c r="G24" s="24">
        <v>6866660</v>
      </c>
      <c r="H24" s="24">
        <v>2888420</v>
      </c>
      <c r="I24" s="24">
        <v>3089970</v>
      </c>
      <c r="J24" s="24">
        <v>3336760</v>
      </c>
      <c r="K24" s="24">
        <v>5694850</v>
      </c>
      <c r="L24" s="24">
        <v>1860050</v>
      </c>
      <c r="M24" s="24">
        <v>5644380</v>
      </c>
      <c r="N24" s="24">
        <v>7144960</v>
      </c>
      <c r="O24" s="24">
        <v>8698540</v>
      </c>
      <c r="Q24" s="37">
        <f t="shared" si="21"/>
        <v>1440</v>
      </c>
      <c r="R24" s="37">
        <f t="shared" si="22"/>
        <v>13779</v>
      </c>
      <c r="S24" s="37">
        <f t="shared" si="16"/>
        <v>2790</v>
      </c>
      <c r="T24" s="37">
        <f t="shared" si="23"/>
        <v>2480</v>
      </c>
      <c r="U24" s="37">
        <f t="shared" si="24"/>
        <v>5400</v>
      </c>
      <c r="V24" s="37">
        <f t="shared" si="25"/>
        <v>4230</v>
      </c>
      <c r="W24" s="37">
        <f t="shared" si="26"/>
        <v>4180</v>
      </c>
      <c r="X24" s="37">
        <f t="shared" si="27"/>
        <v>4370</v>
      </c>
      <c r="Y24" s="37">
        <f t="shared" si="28"/>
        <v>5060</v>
      </c>
      <c r="Z24" s="37">
        <f t="shared" si="29"/>
        <v>2790</v>
      </c>
      <c r="AA24" s="37">
        <f t="shared" si="30"/>
        <v>2880</v>
      </c>
      <c r="AB24" s="37">
        <f t="shared" si="31"/>
        <v>6690</v>
      </c>
      <c r="AC24" s="37">
        <f t="shared" si="32"/>
        <v>13450</v>
      </c>
      <c r="AD24" s="35">
        <f t="shared" si="33"/>
        <v>69539</v>
      </c>
      <c r="AF24" s="20">
        <f t="shared" si="1"/>
        <v>7.2</v>
      </c>
      <c r="AG24" s="20">
        <f t="shared" si="2"/>
        <v>68.894999999999996</v>
      </c>
      <c r="AH24" s="20">
        <f t="shared" si="3"/>
        <v>13.950000000000001</v>
      </c>
      <c r="AI24" s="20">
        <f t="shared" si="4"/>
        <v>12.4</v>
      </c>
      <c r="AJ24" s="20">
        <f t="shared" si="5"/>
        <v>27</v>
      </c>
      <c r="AK24" s="20">
        <f t="shared" si="6"/>
        <v>21.150000000000002</v>
      </c>
      <c r="AL24" s="20">
        <f t="shared" si="7"/>
        <v>20.900000000000002</v>
      </c>
      <c r="AM24" s="20">
        <f t="shared" si="8"/>
        <v>21.85</v>
      </c>
      <c r="AN24" s="20">
        <f t="shared" si="9"/>
        <v>25.3</v>
      </c>
      <c r="AO24" s="20">
        <f t="shared" si="10"/>
        <v>13.950000000000001</v>
      </c>
      <c r="AP24" s="20">
        <f t="shared" si="11"/>
        <v>14.4</v>
      </c>
      <c r="AQ24" s="20">
        <f t="shared" si="12"/>
        <v>33.450000000000003</v>
      </c>
      <c r="AR24" s="20">
        <f t="shared" si="13"/>
        <v>67.25</v>
      </c>
      <c r="AS24" s="35">
        <f t="shared" si="34"/>
        <v>347.69499999999999</v>
      </c>
      <c r="AT24" s="48"/>
      <c r="AV24" s="52">
        <v>0</v>
      </c>
      <c r="AW24" s="51">
        <f t="shared" si="14"/>
        <v>0</v>
      </c>
      <c r="AX24" s="53">
        <f t="shared" si="17"/>
        <v>0</v>
      </c>
      <c r="AY24" s="68">
        <v>163355</v>
      </c>
      <c r="AZ24" s="37">
        <f t="shared" si="18"/>
        <v>234600</v>
      </c>
      <c r="BA24" s="37">
        <f t="shared" si="19"/>
        <v>640.45799999999997</v>
      </c>
      <c r="BB24" s="46">
        <f t="shared" si="20"/>
        <v>284.61953519999997</v>
      </c>
    </row>
    <row r="25" spans="1:54" x14ac:dyDescent="0.25">
      <c r="A25" s="23">
        <v>43604</v>
      </c>
      <c r="B25" s="40">
        <v>74</v>
      </c>
      <c r="C25" s="24">
        <v>4764970</v>
      </c>
      <c r="D25" s="24">
        <v>9644710</v>
      </c>
      <c r="E25" s="24">
        <v>1062780</v>
      </c>
      <c r="F25" s="24">
        <v>2074130</v>
      </c>
      <c r="G25" s="24">
        <v>6872190</v>
      </c>
      <c r="H25" s="24">
        <v>2892550</v>
      </c>
      <c r="I25" s="24">
        <v>3094420</v>
      </c>
      <c r="J25" s="24">
        <v>3341200</v>
      </c>
      <c r="K25" s="24">
        <v>5699830</v>
      </c>
      <c r="L25" s="24">
        <v>1862780</v>
      </c>
      <c r="M25" s="24">
        <v>5647320</v>
      </c>
      <c r="N25" s="24">
        <v>7151550</v>
      </c>
      <c r="O25" s="24">
        <v>8712460</v>
      </c>
      <c r="Q25" s="37">
        <f t="shared" ref="Q25:AC27" si="36">IF((C25-C24&lt;0), "0",C25-C24)</f>
        <v>1010</v>
      </c>
      <c r="R25" s="37">
        <f t="shared" si="22"/>
        <v>14001</v>
      </c>
      <c r="S25" s="37">
        <f t="shared" si="36"/>
        <v>3580</v>
      </c>
      <c r="T25" s="37">
        <f t="shared" si="36"/>
        <v>1590</v>
      </c>
      <c r="U25" s="37">
        <f t="shared" si="36"/>
        <v>5530</v>
      </c>
      <c r="V25" s="37">
        <f t="shared" si="36"/>
        <v>4130</v>
      </c>
      <c r="W25" s="37">
        <f t="shared" si="36"/>
        <v>4450</v>
      </c>
      <c r="X25" s="37">
        <f t="shared" si="36"/>
        <v>4440</v>
      </c>
      <c r="Y25" s="37">
        <f t="shared" si="36"/>
        <v>4980</v>
      </c>
      <c r="Z25" s="37">
        <f t="shared" si="36"/>
        <v>2730</v>
      </c>
      <c r="AA25" s="37">
        <f t="shared" si="36"/>
        <v>2940</v>
      </c>
      <c r="AB25" s="37">
        <f t="shared" si="36"/>
        <v>6590</v>
      </c>
      <c r="AC25" s="37">
        <f t="shared" si="36"/>
        <v>13920</v>
      </c>
      <c r="AD25" s="35">
        <f t="shared" si="33"/>
        <v>69891</v>
      </c>
      <c r="AF25" s="20">
        <f t="shared" si="1"/>
        <v>5.05</v>
      </c>
      <c r="AG25" s="20">
        <f t="shared" si="2"/>
        <v>70.004999999999995</v>
      </c>
      <c r="AH25" s="20">
        <f t="shared" si="3"/>
        <v>17.900000000000002</v>
      </c>
      <c r="AI25" s="20">
        <f t="shared" si="4"/>
        <v>7.95</v>
      </c>
      <c r="AJ25" s="20">
        <f t="shared" si="5"/>
        <v>27.650000000000002</v>
      </c>
      <c r="AK25" s="20">
        <f t="shared" si="6"/>
        <v>20.650000000000002</v>
      </c>
      <c r="AL25" s="20">
        <f t="shared" si="7"/>
        <v>22.25</v>
      </c>
      <c r="AM25" s="20">
        <f t="shared" si="8"/>
        <v>22.2</v>
      </c>
      <c r="AN25" s="20">
        <f t="shared" si="9"/>
        <v>24.900000000000002</v>
      </c>
      <c r="AO25" s="20">
        <f t="shared" si="10"/>
        <v>13.65</v>
      </c>
      <c r="AP25" s="20">
        <f t="shared" si="11"/>
        <v>14.700000000000001</v>
      </c>
      <c r="AQ25" s="20">
        <f t="shared" si="12"/>
        <v>32.950000000000003</v>
      </c>
      <c r="AR25" s="20">
        <f t="shared" si="13"/>
        <v>69.600000000000009</v>
      </c>
      <c r="AS25" s="35">
        <f t="shared" si="34"/>
        <v>349.45500000000004</v>
      </c>
      <c r="AT25" s="48"/>
      <c r="AV25" s="52">
        <v>0</v>
      </c>
      <c r="AW25" s="51">
        <f t="shared" si="14"/>
        <v>0</v>
      </c>
      <c r="AX25" s="53">
        <f t="shared" si="17"/>
        <v>0</v>
      </c>
      <c r="AY25" s="68">
        <v>165593</v>
      </c>
      <c r="AZ25" s="37">
        <f t="shared" si="18"/>
        <v>223800</v>
      </c>
      <c r="BA25" s="37">
        <f t="shared" si="19"/>
        <v>610.97400000000005</v>
      </c>
      <c r="BB25" s="46">
        <f t="shared" si="20"/>
        <v>271.51684560000001</v>
      </c>
    </row>
    <row r="26" spans="1:54" x14ac:dyDescent="0.25">
      <c r="A26" s="23">
        <v>43605</v>
      </c>
      <c r="B26" s="40">
        <v>105</v>
      </c>
      <c r="C26" s="24">
        <v>4765970</v>
      </c>
      <c r="D26" s="24">
        <v>9658240</v>
      </c>
      <c r="E26" s="24">
        <v>1066220</v>
      </c>
      <c r="F26" s="24">
        <v>2075710</v>
      </c>
      <c r="G26" s="24">
        <v>6877420</v>
      </c>
      <c r="H26" s="24">
        <v>2896570</v>
      </c>
      <c r="I26" s="24">
        <v>3098960</v>
      </c>
      <c r="J26" s="24">
        <v>3345730</v>
      </c>
      <c r="K26" s="24">
        <v>5704980</v>
      </c>
      <c r="L26" s="24">
        <v>1865360</v>
      </c>
      <c r="M26" s="24">
        <v>5650380</v>
      </c>
      <c r="N26" s="24">
        <v>7158120</v>
      </c>
      <c r="O26" s="24">
        <v>8726330</v>
      </c>
      <c r="Q26" s="37">
        <f t="shared" si="36"/>
        <v>1000</v>
      </c>
      <c r="R26" s="37">
        <f t="shared" si="22"/>
        <v>13530</v>
      </c>
      <c r="S26" s="37">
        <f t="shared" si="36"/>
        <v>3440</v>
      </c>
      <c r="T26" s="37">
        <f t="shared" si="36"/>
        <v>1580</v>
      </c>
      <c r="U26" s="37">
        <f t="shared" si="36"/>
        <v>5230</v>
      </c>
      <c r="V26" s="37">
        <f t="shared" si="36"/>
        <v>4020</v>
      </c>
      <c r="W26" s="37">
        <f t="shared" si="36"/>
        <v>4540</v>
      </c>
      <c r="X26" s="37">
        <f t="shared" si="36"/>
        <v>4530</v>
      </c>
      <c r="Y26" s="37">
        <f t="shared" si="36"/>
        <v>5150</v>
      </c>
      <c r="Z26" s="37">
        <f t="shared" si="36"/>
        <v>2580</v>
      </c>
      <c r="AA26" s="37">
        <f t="shared" si="36"/>
        <v>3060</v>
      </c>
      <c r="AB26" s="37">
        <f t="shared" si="36"/>
        <v>6570</v>
      </c>
      <c r="AC26" s="37">
        <f t="shared" si="36"/>
        <v>13870</v>
      </c>
      <c r="AD26" s="35">
        <f t="shared" si="33"/>
        <v>69100</v>
      </c>
      <c r="AF26" s="20">
        <f t="shared" si="1"/>
        <v>5</v>
      </c>
      <c r="AG26" s="20">
        <f t="shared" si="2"/>
        <v>67.650000000000006</v>
      </c>
      <c r="AH26" s="20">
        <f t="shared" si="3"/>
        <v>17.2</v>
      </c>
      <c r="AI26" s="20">
        <f t="shared" si="4"/>
        <v>7.9</v>
      </c>
      <c r="AJ26" s="20">
        <f t="shared" si="5"/>
        <v>26.150000000000002</v>
      </c>
      <c r="AK26" s="20">
        <f t="shared" si="6"/>
        <v>20.100000000000001</v>
      </c>
      <c r="AL26" s="20">
        <f t="shared" si="7"/>
        <v>22.7</v>
      </c>
      <c r="AM26" s="20">
        <f t="shared" si="8"/>
        <v>22.650000000000002</v>
      </c>
      <c r="AN26" s="20">
        <f t="shared" si="9"/>
        <v>25.75</v>
      </c>
      <c r="AO26" s="20">
        <f t="shared" si="10"/>
        <v>12.9</v>
      </c>
      <c r="AP26" s="20">
        <f t="shared" si="11"/>
        <v>15.3</v>
      </c>
      <c r="AQ26" s="20">
        <f t="shared" si="12"/>
        <v>32.85</v>
      </c>
      <c r="AR26" s="20">
        <f t="shared" si="13"/>
        <v>69.350000000000009</v>
      </c>
      <c r="AS26" s="35">
        <f t="shared" si="34"/>
        <v>345.50000000000006</v>
      </c>
      <c r="AT26" s="48"/>
      <c r="AV26" s="52">
        <v>0</v>
      </c>
      <c r="AW26" s="51">
        <f t="shared" si="14"/>
        <v>0</v>
      </c>
      <c r="AX26" s="53">
        <f t="shared" si="17"/>
        <v>0</v>
      </c>
      <c r="AY26" s="68">
        <v>167721</v>
      </c>
      <c r="AZ26" s="37">
        <f t="shared" si="18"/>
        <v>212800</v>
      </c>
      <c r="BA26" s="37">
        <f t="shared" si="19"/>
        <v>580.94399999999996</v>
      </c>
      <c r="BB26" s="46">
        <f t="shared" si="20"/>
        <v>258.17151359999997</v>
      </c>
    </row>
    <row r="27" spans="1:54" x14ac:dyDescent="0.25">
      <c r="A27" s="23">
        <v>43606</v>
      </c>
      <c r="B27" s="40">
        <v>86</v>
      </c>
      <c r="C27" s="24">
        <v>4767060</v>
      </c>
      <c r="D27" s="24">
        <v>9671840</v>
      </c>
      <c r="E27" s="24">
        <v>1069590</v>
      </c>
      <c r="F27" s="24">
        <v>2077350</v>
      </c>
      <c r="G27" s="24">
        <v>6883340</v>
      </c>
      <c r="H27" s="24">
        <v>2901000</v>
      </c>
      <c r="I27" s="24">
        <v>3103930</v>
      </c>
      <c r="J27" s="24">
        <v>3350320</v>
      </c>
      <c r="K27" s="24">
        <v>5710120</v>
      </c>
      <c r="L27" s="24">
        <v>1868130</v>
      </c>
      <c r="M27" s="24">
        <v>5653820</v>
      </c>
      <c r="N27" s="24">
        <v>7165290</v>
      </c>
      <c r="O27" s="24">
        <v>8740470</v>
      </c>
      <c r="Q27" s="37">
        <f t="shared" si="36"/>
        <v>1090</v>
      </c>
      <c r="R27" s="37">
        <f t="shared" si="22"/>
        <v>13600</v>
      </c>
      <c r="S27" s="37">
        <f t="shared" si="36"/>
        <v>3370</v>
      </c>
      <c r="T27" s="37">
        <f t="shared" si="36"/>
        <v>1640</v>
      </c>
      <c r="U27" s="37">
        <f t="shared" si="36"/>
        <v>5920</v>
      </c>
      <c r="V27" s="37">
        <f t="shared" si="36"/>
        <v>4430</v>
      </c>
      <c r="W27" s="37">
        <f t="shared" si="36"/>
        <v>4970</v>
      </c>
      <c r="X27" s="37">
        <f t="shared" si="36"/>
        <v>4590</v>
      </c>
      <c r="Y27" s="37">
        <f t="shared" si="36"/>
        <v>5140</v>
      </c>
      <c r="Z27" s="37">
        <f t="shared" si="36"/>
        <v>2770</v>
      </c>
      <c r="AA27" s="37">
        <f t="shared" si="36"/>
        <v>3440</v>
      </c>
      <c r="AB27" s="37">
        <f t="shared" si="36"/>
        <v>7170</v>
      </c>
      <c r="AC27" s="37">
        <f t="shared" si="36"/>
        <v>14140</v>
      </c>
      <c r="AD27" s="35">
        <f t="shared" si="33"/>
        <v>72270</v>
      </c>
      <c r="AF27" s="20">
        <f t="shared" si="1"/>
        <v>5.45</v>
      </c>
      <c r="AG27" s="20">
        <f t="shared" si="2"/>
        <v>68</v>
      </c>
      <c r="AH27" s="20">
        <f t="shared" si="3"/>
        <v>16.850000000000001</v>
      </c>
      <c r="AI27" s="20">
        <f t="shared" si="4"/>
        <v>8.1999999999999993</v>
      </c>
      <c r="AJ27" s="20">
        <f t="shared" si="5"/>
        <v>29.6</v>
      </c>
      <c r="AK27" s="20">
        <f t="shared" si="6"/>
        <v>22.150000000000002</v>
      </c>
      <c r="AL27" s="20">
        <f t="shared" si="7"/>
        <v>24.85</v>
      </c>
      <c r="AM27" s="20">
        <f t="shared" si="8"/>
        <v>22.95</v>
      </c>
      <c r="AN27" s="20">
        <f t="shared" si="9"/>
        <v>25.7</v>
      </c>
      <c r="AO27" s="20">
        <f t="shared" si="10"/>
        <v>13.85</v>
      </c>
      <c r="AP27" s="20">
        <f t="shared" si="11"/>
        <v>17.2</v>
      </c>
      <c r="AQ27" s="20">
        <f t="shared" si="12"/>
        <v>35.85</v>
      </c>
      <c r="AR27" s="20">
        <f t="shared" si="13"/>
        <v>70.7</v>
      </c>
      <c r="AS27" s="35">
        <f t="shared" si="34"/>
        <v>361.34999999999997</v>
      </c>
      <c r="AT27" s="48"/>
      <c r="AV27" s="52">
        <v>0</v>
      </c>
      <c r="AW27" s="51">
        <f t="shared" si="14"/>
        <v>0</v>
      </c>
      <c r="AX27" s="53">
        <f t="shared" si="17"/>
        <v>0</v>
      </c>
      <c r="AY27" s="68">
        <v>170105</v>
      </c>
      <c r="AZ27" s="37">
        <f t="shared" si="18"/>
        <v>238400</v>
      </c>
      <c r="BA27" s="37">
        <f t="shared" si="19"/>
        <v>650.83199999999999</v>
      </c>
      <c r="BB27" s="46">
        <f t="shared" si="20"/>
        <v>289.2297408</v>
      </c>
    </row>
    <row r="28" spans="1:54" x14ac:dyDescent="0.25">
      <c r="A28" s="23">
        <v>43607</v>
      </c>
      <c r="B28" s="40">
        <v>103</v>
      </c>
      <c r="C28" s="24">
        <v>4768060</v>
      </c>
      <c r="D28" s="24">
        <v>9684680</v>
      </c>
      <c r="E28" s="24">
        <v>1072800</v>
      </c>
      <c r="F28" s="24">
        <v>2079030</v>
      </c>
      <c r="G28" s="24">
        <v>6888730</v>
      </c>
      <c r="H28" s="24">
        <v>2905260</v>
      </c>
      <c r="I28" s="24">
        <v>3108520</v>
      </c>
      <c r="J28" s="24">
        <v>3354520</v>
      </c>
      <c r="K28" s="24">
        <v>5714880</v>
      </c>
      <c r="L28" s="24">
        <v>1870760</v>
      </c>
      <c r="M28" s="24">
        <v>5657350</v>
      </c>
      <c r="N28" s="24">
        <v>7171890</v>
      </c>
      <c r="O28" s="24">
        <v>8753860</v>
      </c>
      <c r="Q28" s="37">
        <f t="shared" si="21"/>
        <v>1000</v>
      </c>
      <c r="R28" s="37">
        <f t="shared" si="22"/>
        <v>12840</v>
      </c>
      <c r="S28" s="37">
        <f t="shared" si="16"/>
        <v>3210</v>
      </c>
      <c r="T28" s="37">
        <f t="shared" si="23"/>
        <v>1680</v>
      </c>
      <c r="U28" s="37">
        <f t="shared" si="24"/>
        <v>5390</v>
      </c>
      <c r="V28" s="37">
        <f t="shared" si="25"/>
        <v>4260</v>
      </c>
      <c r="W28" s="37">
        <f t="shared" si="26"/>
        <v>4590</v>
      </c>
      <c r="X28" s="37">
        <f t="shared" si="27"/>
        <v>4200</v>
      </c>
      <c r="Y28" s="37">
        <f t="shared" si="28"/>
        <v>4760</v>
      </c>
      <c r="Z28" s="37">
        <f t="shared" si="29"/>
        <v>2630</v>
      </c>
      <c r="AA28" s="37">
        <f t="shared" si="30"/>
        <v>3530</v>
      </c>
      <c r="AB28" s="37">
        <f t="shared" si="31"/>
        <v>6600</v>
      </c>
      <c r="AC28" s="37">
        <f t="shared" si="32"/>
        <v>13390</v>
      </c>
      <c r="AD28" s="35">
        <f t="shared" si="33"/>
        <v>68080</v>
      </c>
      <c r="AF28" s="20">
        <f t="shared" si="1"/>
        <v>5</v>
      </c>
      <c r="AG28" s="20">
        <f t="shared" si="2"/>
        <v>64.2</v>
      </c>
      <c r="AH28" s="20">
        <f t="shared" si="3"/>
        <v>16.05</v>
      </c>
      <c r="AI28" s="20">
        <f t="shared" si="4"/>
        <v>8.4</v>
      </c>
      <c r="AJ28" s="20">
        <f t="shared" si="5"/>
        <v>26.95</v>
      </c>
      <c r="AK28" s="20">
        <f t="shared" si="6"/>
        <v>21.3</v>
      </c>
      <c r="AL28" s="20">
        <f t="shared" si="7"/>
        <v>22.95</v>
      </c>
      <c r="AM28" s="20">
        <f t="shared" si="8"/>
        <v>21</v>
      </c>
      <c r="AN28" s="20">
        <f t="shared" si="9"/>
        <v>23.8</v>
      </c>
      <c r="AO28" s="20">
        <f t="shared" si="10"/>
        <v>13.15</v>
      </c>
      <c r="AP28" s="20">
        <f t="shared" si="11"/>
        <v>17.650000000000002</v>
      </c>
      <c r="AQ28" s="20">
        <f t="shared" si="12"/>
        <v>33</v>
      </c>
      <c r="AR28" s="20">
        <f t="shared" si="13"/>
        <v>66.95</v>
      </c>
      <c r="AS28" s="35">
        <f t="shared" si="34"/>
        <v>340.40000000000003</v>
      </c>
      <c r="AT28" s="48"/>
      <c r="AV28" s="52">
        <v>0</v>
      </c>
      <c r="AW28" s="51">
        <f t="shared" si="14"/>
        <v>0</v>
      </c>
      <c r="AX28" s="53">
        <f t="shared" si="17"/>
        <v>0</v>
      </c>
      <c r="AY28" s="68">
        <v>172378</v>
      </c>
      <c r="AZ28" s="37">
        <f t="shared" si="18"/>
        <v>227300</v>
      </c>
      <c r="BA28" s="37">
        <f t="shared" si="19"/>
        <v>620.52900000000011</v>
      </c>
      <c r="BB28" s="46">
        <f t="shared" si="20"/>
        <v>275.76308760000006</v>
      </c>
    </row>
    <row r="29" spans="1:54" x14ac:dyDescent="0.25">
      <c r="A29" s="23">
        <v>43608</v>
      </c>
      <c r="B29" s="40">
        <v>118</v>
      </c>
      <c r="C29" s="24">
        <v>4769070</v>
      </c>
      <c r="D29" s="24">
        <v>9697680</v>
      </c>
      <c r="E29" s="24">
        <v>1076050</v>
      </c>
      <c r="F29" s="24">
        <v>2080620</v>
      </c>
      <c r="G29" s="24">
        <v>6893950</v>
      </c>
      <c r="H29" s="24">
        <v>2909640</v>
      </c>
      <c r="I29" s="24">
        <v>3113070</v>
      </c>
      <c r="J29" s="24">
        <v>3358730</v>
      </c>
      <c r="K29" s="24">
        <v>5719840</v>
      </c>
      <c r="L29" s="24">
        <v>1873520</v>
      </c>
      <c r="M29" s="24">
        <v>5660930</v>
      </c>
      <c r="N29" s="24">
        <v>7178630</v>
      </c>
      <c r="O29" s="24">
        <v>8766900</v>
      </c>
      <c r="Q29" s="37">
        <f t="shared" si="21"/>
        <v>1010</v>
      </c>
      <c r="R29" s="37">
        <f t="shared" si="22"/>
        <v>13000</v>
      </c>
      <c r="S29" s="37">
        <f t="shared" si="16"/>
        <v>3250</v>
      </c>
      <c r="T29" s="37">
        <f t="shared" si="23"/>
        <v>1590</v>
      </c>
      <c r="U29" s="37">
        <f t="shared" si="24"/>
        <v>5220</v>
      </c>
      <c r="V29" s="37">
        <f t="shared" si="25"/>
        <v>4380</v>
      </c>
      <c r="W29" s="37">
        <f t="shared" si="26"/>
        <v>4550</v>
      </c>
      <c r="X29" s="37">
        <f t="shared" si="27"/>
        <v>4210</v>
      </c>
      <c r="Y29" s="37">
        <f t="shared" si="28"/>
        <v>4960</v>
      </c>
      <c r="Z29" s="37">
        <f t="shared" si="29"/>
        <v>2760</v>
      </c>
      <c r="AA29" s="37">
        <f t="shared" si="30"/>
        <v>3580</v>
      </c>
      <c r="AB29" s="37">
        <f t="shared" si="31"/>
        <v>6740</v>
      </c>
      <c r="AC29" s="37">
        <f t="shared" si="32"/>
        <v>13040</v>
      </c>
      <c r="AD29" s="35">
        <f t="shared" si="33"/>
        <v>68290</v>
      </c>
      <c r="AF29" s="20">
        <f t="shared" si="1"/>
        <v>5.05</v>
      </c>
      <c r="AG29" s="20">
        <f t="shared" si="2"/>
        <v>65</v>
      </c>
      <c r="AH29" s="20">
        <f t="shared" si="3"/>
        <v>16.25</v>
      </c>
      <c r="AI29" s="20">
        <f t="shared" si="4"/>
        <v>7.95</v>
      </c>
      <c r="AJ29" s="20">
        <f t="shared" si="5"/>
        <v>26.1</v>
      </c>
      <c r="AK29" s="20">
        <f t="shared" si="6"/>
        <v>21.900000000000002</v>
      </c>
      <c r="AL29" s="20">
        <f t="shared" si="7"/>
        <v>22.75</v>
      </c>
      <c r="AM29" s="20">
        <f t="shared" si="8"/>
        <v>21.05</v>
      </c>
      <c r="AN29" s="20">
        <f t="shared" si="9"/>
        <v>24.8</v>
      </c>
      <c r="AO29" s="20">
        <f t="shared" si="10"/>
        <v>13.8</v>
      </c>
      <c r="AP29" s="20">
        <f t="shared" si="11"/>
        <v>17.900000000000002</v>
      </c>
      <c r="AQ29" s="20">
        <f t="shared" si="12"/>
        <v>33.700000000000003</v>
      </c>
      <c r="AR29" s="20">
        <f t="shared" si="13"/>
        <v>65.2</v>
      </c>
      <c r="AS29" s="35">
        <f t="shared" si="34"/>
        <v>341.45000000000005</v>
      </c>
      <c r="AT29" s="48"/>
      <c r="AV29" s="52">
        <v>0</v>
      </c>
      <c r="AW29" s="51">
        <f t="shared" si="14"/>
        <v>0</v>
      </c>
      <c r="AX29" s="53">
        <f t="shared" si="17"/>
        <v>0</v>
      </c>
      <c r="AY29" s="68">
        <v>175259</v>
      </c>
      <c r="AZ29" s="37">
        <f t="shared" si="18"/>
        <v>288100</v>
      </c>
      <c r="BA29" s="37">
        <f t="shared" si="19"/>
        <v>786.51300000000003</v>
      </c>
      <c r="BB29" s="46">
        <f t="shared" si="20"/>
        <v>349.52637720000001</v>
      </c>
    </row>
    <row r="30" spans="1:54" x14ac:dyDescent="0.25">
      <c r="A30" s="23">
        <v>43609</v>
      </c>
      <c r="B30" s="40">
        <v>102</v>
      </c>
      <c r="C30" s="24">
        <v>4770080</v>
      </c>
      <c r="D30" s="24">
        <v>9710630</v>
      </c>
      <c r="E30" s="24">
        <v>1079280</v>
      </c>
      <c r="F30" s="24">
        <v>2082210</v>
      </c>
      <c r="G30" s="24">
        <v>6899130</v>
      </c>
      <c r="H30" s="24">
        <v>2913800</v>
      </c>
      <c r="I30" s="24">
        <v>3117640</v>
      </c>
      <c r="J30" s="24">
        <v>3363130</v>
      </c>
      <c r="K30" s="24">
        <v>5724760</v>
      </c>
      <c r="L30" s="24">
        <v>1876360</v>
      </c>
      <c r="M30" s="24">
        <v>5664490</v>
      </c>
      <c r="N30" s="24">
        <v>7185350</v>
      </c>
      <c r="O30" s="24">
        <v>8779590</v>
      </c>
      <c r="Q30" s="37">
        <f t="shared" si="21"/>
        <v>1010</v>
      </c>
      <c r="R30" s="37">
        <f t="shared" si="22"/>
        <v>12950</v>
      </c>
      <c r="S30" s="37">
        <f t="shared" si="16"/>
        <v>3230</v>
      </c>
      <c r="T30" s="37">
        <f t="shared" si="23"/>
        <v>1590</v>
      </c>
      <c r="U30" s="37">
        <f t="shared" si="24"/>
        <v>5180</v>
      </c>
      <c r="V30" s="37">
        <f t="shared" si="25"/>
        <v>4160</v>
      </c>
      <c r="W30" s="37">
        <f t="shared" si="26"/>
        <v>4570</v>
      </c>
      <c r="X30" s="37">
        <f t="shared" si="27"/>
        <v>4400</v>
      </c>
      <c r="Y30" s="37">
        <f t="shared" si="28"/>
        <v>4920</v>
      </c>
      <c r="Z30" s="37">
        <f t="shared" si="29"/>
        <v>2840</v>
      </c>
      <c r="AA30" s="37">
        <f t="shared" si="30"/>
        <v>3560</v>
      </c>
      <c r="AB30" s="37">
        <f t="shared" si="31"/>
        <v>6720</v>
      </c>
      <c r="AC30" s="37">
        <f t="shared" si="32"/>
        <v>12690</v>
      </c>
      <c r="AD30" s="35">
        <f t="shared" si="33"/>
        <v>67820</v>
      </c>
      <c r="AF30" s="20">
        <f t="shared" si="1"/>
        <v>5.05</v>
      </c>
      <c r="AG30" s="20">
        <f t="shared" si="2"/>
        <v>64.75</v>
      </c>
      <c r="AH30" s="20">
        <f t="shared" si="3"/>
        <v>16.149999999999999</v>
      </c>
      <c r="AI30" s="20">
        <f t="shared" si="4"/>
        <v>7.95</v>
      </c>
      <c r="AJ30" s="20">
        <f t="shared" si="5"/>
        <v>25.900000000000002</v>
      </c>
      <c r="AK30" s="20">
        <f t="shared" si="6"/>
        <v>20.8</v>
      </c>
      <c r="AL30" s="20">
        <f t="shared" si="7"/>
        <v>22.85</v>
      </c>
      <c r="AM30" s="20">
        <f t="shared" si="8"/>
        <v>22</v>
      </c>
      <c r="AN30" s="20">
        <f t="shared" si="9"/>
        <v>24.6</v>
      </c>
      <c r="AO30" s="20">
        <f t="shared" si="10"/>
        <v>14.200000000000001</v>
      </c>
      <c r="AP30" s="20">
        <f t="shared" si="11"/>
        <v>17.8</v>
      </c>
      <c r="AQ30" s="20">
        <f t="shared" si="12"/>
        <v>33.6</v>
      </c>
      <c r="AR30" s="20">
        <f t="shared" si="13"/>
        <v>63.45</v>
      </c>
      <c r="AS30" s="35">
        <f t="shared" si="34"/>
        <v>339.09999999999997</v>
      </c>
      <c r="AT30" s="48"/>
      <c r="AV30" s="52">
        <v>0</v>
      </c>
      <c r="AW30" s="51">
        <f t="shared" si="14"/>
        <v>0</v>
      </c>
      <c r="AX30" s="53">
        <f t="shared" si="17"/>
        <v>0</v>
      </c>
      <c r="AY30" s="68">
        <v>177734</v>
      </c>
      <c r="AZ30" s="37">
        <f t="shared" si="18"/>
        <v>247500</v>
      </c>
      <c r="BA30" s="37">
        <f t="shared" si="19"/>
        <v>675.67499999999995</v>
      </c>
      <c r="BB30" s="46">
        <f t="shared" si="20"/>
        <v>300.26997</v>
      </c>
    </row>
    <row r="31" spans="1:54" x14ac:dyDescent="0.25">
      <c r="A31" s="23">
        <v>43610</v>
      </c>
      <c r="B31" s="40">
        <v>62</v>
      </c>
      <c r="C31" s="24">
        <v>4773140</v>
      </c>
      <c r="D31" s="24">
        <v>9721380</v>
      </c>
      <c r="E31" s="24">
        <v>1082550</v>
      </c>
      <c r="F31" s="24">
        <v>2083810</v>
      </c>
      <c r="G31" s="24">
        <v>6904170</v>
      </c>
      <c r="H31" s="24">
        <v>2917830</v>
      </c>
      <c r="I31" s="24">
        <v>3122050</v>
      </c>
      <c r="J31" s="24">
        <v>3367340</v>
      </c>
      <c r="K31" s="24">
        <v>5729610</v>
      </c>
      <c r="L31" s="24">
        <v>1879180</v>
      </c>
      <c r="M31" s="24">
        <v>5667840</v>
      </c>
      <c r="N31" s="24">
        <v>7191990</v>
      </c>
      <c r="O31" s="24">
        <v>8792410</v>
      </c>
      <c r="Q31" s="37">
        <f>IF((C31-C30&lt;0), "0",C31-C30)</f>
        <v>3060</v>
      </c>
      <c r="R31" s="37">
        <f t="shared" si="22"/>
        <v>10750</v>
      </c>
      <c r="S31" s="37">
        <f t="shared" si="16"/>
        <v>3270</v>
      </c>
      <c r="T31" s="37">
        <f t="shared" si="23"/>
        <v>1600</v>
      </c>
      <c r="U31" s="37">
        <f t="shared" si="24"/>
        <v>5040</v>
      </c>
      <c r="V31" s="37">
        <f t="shared" si="25"/>
        <v>4030</v>
      </c>
      <c r="W31" s="37">
        <f t="shared" si="26"/>
        <v>4410</v>
      </c>
      <c r="X31" s="37">
        <f t="shared" si="27"/>
        <v>4210</v>
      </c>
      <c r="Y31" s="37">
        <f t="shared" si="28"/>
        <v>4850</v>
      </c>
      <c r="Z31" s="37">
        <f t="shared" si="29"/>
        <v>2820</v>
      </c>
      <c r="AA31" s="37">
        <f t="shared" si="30"/>
        <v>3350</v>
      </c>
      <c r="AB31" s="37">
        <f t="shared" si="31"/>
        <v>6640</v>
      </c>
      <c r="AC31" s="37">
        <f t="shared" si="32"/>
        <v>12820</v>
      </c>
      <c r="AD31" s="35">
        <f t="shared" si="33"/>
        <v>66850</v>
      </c>
      <c r="AF31" s="20">
        <f t="shared" si="1"/>
        <v>15.3</v>
      </c>
      <c r="AG31" s="20">
        <f t="shared" si="2"/>
        <v>53.75</v>
      </c>
      <c r="AH31" s="20">
        <f t="shared" si="3"/>
        <v>16.350000000000001</v>
      </c>
      <c r="AI31" s="20">
        <f t="shared" si="4"/>
        <v>8</v>
      </c>
      <c r="AJ31" s="20">
        <f t="shared" si="5"/>
        <v>25.2</v>
      </c>
      <c r="AK31" s="20">
        <f t="shared" si="6"/>
        <v>20.150000000000002</v>
      </c>
      <c r="AL31" s="20">
        <f t="shared" si="7"/>
        <v>22.05</v>
      </c>
      <c r="AM31" s="20">
        <f t="shared" si="8"/>
        <v>21.05</v>
      </c>
      <c r="AN31" s="20">
        <f t="shared" si="9"/>
        <v>24.25</v>
      </c>
      <c r="AO31" s="20">
        <f t="shared" si="10"/>
        <v>14.1</v>
      </c>
      <c r="AP31" s="20">
        <f t="shared" si="11"/>
        <v>16.75</v>
      </c>
      <c r="AQ31" s="20">
        <f t="shared" si="12"/>
        <v>33.200000000000003</v>
      </c>
      <c r="AR31" s="20">
        <f t="shared" si="13"/>
        <v>64.099999999999994</v>
      </c>
      <c r="AS31" s="35">
        <f t="shared" si="34"/>
        <v>334.25</v>
      </c>
      <c r="AT31" s="48"/>
      <c r="AV31" s="52">
        <v>0</v>
      </c>
      <c r="AW31" s="51">
        <f t="shared" si="14"/>
        <v>0</v>
      </c>
      <c r="AX31" s="53">
        <f t="shared" si="17"/>
        <v>0</v>
      </c>
      <c r="AY31" s="68">
        <v>179785</v>
      </c>
      <c r="AZ31" s="37">
        <f t="shared" si="18"/>
        <v>205100</v>
      </c>
      <c r="BA31" s="37">
        <f t="shared" si="19"/>
        <v>559.923</v>
      </c>
      <c r="BB31" s="46">
        <f t="shared" si="20"/>
        <v>248.82978120000001</v>
      </c>
    </row>
    <row r="32" spans="1:54" x14ac:dyDescent="0.25">
      <c r="A32" s="23">
        <v>43611</v>
      </c>
      <c r="B32" s="40">
        <v>72</v>
      </c>
      <c r="C32" s="24">
        <v>4783380</v>
      </c>
      <c r="D32" s="24">
        <v>9725140</v>
      </c>
      <c r="E32" s="24">
        <v>1085910</v>
      </c>
      <c r="F32" s="24">
        <v>2085450</v>
      </c>
      <c r="G32" s="24">
        <v>6909120</v>
      </c>
      <c r="H32" s="24">
        <v>2921790</v>
      </c>
      <c r="I32" s="24">
        <v>3126470</v>
      </c>
      <c r="J32" s="24">
        <v>3371580</v>
      </c>
      <c r="K32" s="24">
        <v>5734420</v>
      </c>
      <c r="L32" s="24">
        <v>1881920</v>
      </c>
      <c r="M32" s="24">
        <v>5671050</v>
      </c>
      <c r="N32" s="24">
        <v>7198650</v>
      </c>
      <c r="O32" s="24">
        <v>8804870</v>
      </c>
      <c r="Q32" s="37">
        <f>IF((C32-C31&lt;0), "0",C32-C31)</f>
        <v>10240</v>
      </c>
      <c r="R32" s="37">
        <f t="shared" si="22"/>
        <v>3760</v>
      </c>
      <c r="S32" s="37">
        <f t="shared" si="16"/>
        <v>3360</v>
      </c>
      <c r="T32" s="37">
        <f t="shared" si="23"/>
        <v>1640</v>
      </c>
      <c r="U32" s="37">
        <f t="shared" si="24"/>
        <v>4950</v>
      </c>
      <c r="V32" s="37">
        <f t="shared" si="25"/>
        <v>3960</v>
      </c>
      <c r="W32" s="37">
        <f t="shared" si="26"/>
        <v>4420</v>
      </c>
      <c r="X32" s="37">
        <f t="shared" si="27"/>
        <v>4240</v>
      </c>
      <c r="Y32" s="37">
        <f t="shared" si="28"/>
        <v>4810</v>
      </c>
      <c r="Z32" s="37">
        <f t="shared" si="29"/>
        <v>2740</v>
      </c>
      <c r="AA32" s="37">
        <f t="shared" si="30"/>
        <v>3210</v>
      </c>
      <c r="AB32" s="37">
        <f t="shared" si="31"/>
        <v>6660</v>
      </c>
      <c r="AC32" s="37">
        <f t="shared" si="32"/>
        <v>12460</v>
      </c>
      <c r="AD32" s="35">
        <f t="shared" si="33"/>
        <v>66450</v>
      </c>
      <c r="AF32" s="20">
        <f t="shared" si="1"/>
        <v>51.2</v>
      </c>
      <c r="AG32" s="20">
        <f t="shared" si="2"/>
        <v>18.8</v>
      </c>
      <c r="AH32" s="20">
        <f t="shared" si="3"/>
        <v>16.8</v>
      </c>
      <c r="AI32" s="20">
        <f t="shared" si="4"/>
        <v>8.1999999999999993</v>
      </c>
      <c r="AJ32" s="20">
        <f t="shared" si="5"/>
        <v>24.75</v>
      </c>
      <c r="AK32" s="20">
        <f t="shared" si="6"/>
        <v>19.8</v>
      </c>
      <c r="AL32" s="20">
        <f t="shared" si="7"/>
        <v>22.1</v>
      </c>
      <c r="AM32" s="20">
        <f t="shared" si="8"/>
        <v>21.2</v>
      </c>
      <c r="AN32" s="20">
        <f t="shared" si="9"/>
        <v>24.05</v>
      </c>
      <c r="AO32" s="20">
        <f t="shared" si="10"/>
        <v>13.700000000000001</v>
      </c>
      <c r="AP32" s="20">
        <f t="shared" si="11"/>
        <v>16.05</v>
      </c>
      <c r="AQ32" s="20">
        <f t="shared" si="12"/>
        <v>33.299999999999997</v>
      </c>
      <c r="AR32" s="20">
        <f t="shared" si="13"/>
        <v>62.300000000000004</v>
      </c>
      <c r="AS32" s="35">
        <f t="shared" si="34"/>
        <v>332.25</v>
      </c>
      <c r="AT32" s="48"/>
      <c r="AV32" s="52">
        <v>0</v>
      </c>
      <c r="AW32" s="51">
        <f t="shared" si="14"/>
        <v>0</v>
      </c>
      <c r="AX32" s="53">
        <f t="shared" si="17"/>
        <v>0</v>
      </c>
      <c r="AY32" s="68">
        <v>182101</v>
      </c>
      <c r="AZ32" s="37">
        <f t="shared" si="18"/>
        <v>231600</v>
      </c>
      <c r="BA32" s="37">
        <f t="shared" si="19"/>
        <v>632.26799999999992</v>
      </c>
      <c r="BB32" s="46">
        <f t="shared" si="20"/>
        <v>280.97989919999998</v>
      </c>
    </row>
    <row r="33" spans="1:54" x14ac:dyDescent="0.25">
      <c r="A33" s="23">
        <v>43612</v>
      </c>
      <c r="B33" s="40">
        <v>77</v>
      </c>
      <c r="C33" s="24">
        <v>4794040</v>
      </c>
      <c r="D33" s="24">
        <v>9732840</v>
      </c>
      <c r="E33" s="24">
        <v>1088020</v>
      </c>
      <c r="F33" s="24">
        <v>2087090</v>
      </c>
      <c r="G33" s="24">
        <v>6914410</v>
      </c>
      <c r="H33" s="24">
        <v>2925660</v>
      </c>
      <c r="I33" s="24">
        <v>3130990</v>
      </c>
      <c r="J33" s="24">
        <v>3375790</v>
      </c>
      <c r="K33" s="24">
        <v>5739160</v>
      </c>
      <c r="L33" s="24">
        <v>1884580</v>
      </c>
      <c r="M33" s="24">
        <v>5674240</v>
      </c>
      <c r="N33" s="24">
        <v>7205300</v>
      </c>
      <c r="O33" s="24">
        <v>8818340</v>
      </c>
      <c r="Q33" s="37">
        <f>IF((C33-C32&lt;0), "0",C33-C32)</f>
        <v>10660</v>
      </c>
      <c r="R33" s="37">
        <f t="shared" si="22"/>
        <v>7700</v>
      </c>
      <c r="S33" s="37">
        <f t="shared" si="16"/>
        <v>2110</v>
      </c>
      <c r="T33" s="37">
        <f t="shared" si="23"/>
        <v>1640</v>
      </c>
      <c r="U33" s="37">
        <f t="shared" si="24"/>
        <v>5290</v>
      </c>
      <c r="V33" s="37">
        <f t="shared" si="25"/>
        <v>3870</v>
      </c>
      <c r="W33" s="37">
        <f t="shared" si="26"/>
        <v>4520</v>
      </c>
      <c r="X33" s="37">
        <f t="shared" si="27"/>
        <v>4210</v>
      </c>
      <c r="Y33" s="37">
        <f t="shared" si="28"/>
        <v>4740</v>
      </c>
      <c r="Z33" s="37">
        <f t="shared" si="29"/>
        <v>2660</v>
      </c>
      <c r="AA33" s="37">
        <f t="shared" si="30"/>
        <v>3190</v>
      </c>
      <c r="AB33" s="37">
        <f t="shared" si="31"/>
        <v>6650</v>
      </c>
      <c r="AC33" s="37">
        <f t="shared" si="32"/>
        <v>13470</v>
      </c>
      <c r="AD33" s="35">
        <f t="shared" si="33"/>
        <v>70710</v>
      </c>
      <c r="AF33" s="20">
        <f t="shared" si="1"/>
        <v>53.300000000000004</v>
      </c>
      <c r="AG33" s="20">
        <f t="shared" si="2"/>
        <v>38.5</v>
      </c>
      <c r="AH33" s="20">
        <f t="shared" si="3"/>
        <v>10.55</v>
      </c>
      <c r="AI33" s="20">
        <f t="shared" si="4"/>
        <v>8.1999999999999993</v>
      </c>
      <c r="AJ33" s="20">
        <f t="shared" si="5"/>
        <v>26.45</v>
      </c>
      <c r="AK33" s="20">
        <f t="shared" si="6"/>
        <v>19.350000000000001</v>
      </c>
      <c r="AL33" s="20">
        <f t="shared" si="7"/>
        <v>22.6</v>
      </c>
      <c r="AM33" s="20">
        <f t="shared" si="8"/>
        <v>21.05</v>
      </c>
      <c r="AN33" s="20">
        <f t="shared" si="9"/>
        <v>23.7</v>
      </c>
      <c r="AO33" s="20">
        <f t="shared" si="10"/>
        <v>13.3</v>
      </c>
      <c r="AP33" s="20">
        <f t="shared" si="11"/>
        <v>15.950000000000001</v>
      </c>
      <c r="AQ33" s="20">
        <f t="shared" si="12"/>
        <v>33.25</v>
      </c>
      <c r="AR33" s="20">
        <f t="shared" si="13"/>
        <v>67.349999999999994</v>
      </c>
      <c r="AS33" s="35">
        <f t="shared" si="34"/>
        <v>353.54999999999995</v>
      </c>
      <c r="AT33" s="48"/>
      <c r="AV33" s="52">
        <v>0</v>
      </c>
      <c r="AW33" s="51">
        <f t="shared" si="14"/>
        <v>0</v>
      </c>
      <c r="AX33" s="53">
        <f t="shared" si="17"/>
        <v>0</v>
      </c>
      <c r="AY33" s="68">
        <v>184954</v>
      </c>
      <c r="AZ33" s="37">
        <f t="shared" si="18"/>
        <v>285300</v>
      </c>
      <c r="BA33" s="37">
        <f t="shared" si="19"/>
        <v>778.86900000000003</v>
      </c>
      <c r="BB33" s="46">
        <f t="shared" si="20"/>
        <v>346.12938360000004</v>
      </c>
    </row>
    <row r="34" spans="1:54" x14ac:dyDescent="0.25">
      <c r="A34" s="23">
        <v>43613</v>
      </c>
      <c r="B34" s="40">
        <v>110</v>
      </c>
      <c r="C34" s="24">
        <v>4804410</v>
      </c>
      <c r="D34" s="24">
        <v>9746240</v>
      </c>
      <c r="E34" s="24">
        <v>1088160</v>
      </c>
      <c r="F34" s="24">
        <v>2088730</v>
      </c>
      <c r="G34" s="24">
        <v>6919880</v>
      </c>
      <c r="H34" s="24">
        <v>2929670</v>
      </c>
      <c r="I34" s="24">
        <v>3135570</v>
      </c>
      <c r="J34" s="24">
        <v>3380220</v>
      </c>
      <c r="K34" s="24">
        <v>5744020</v>
      </c>
      <c r="L34" s="24">
        <v>1887280</v>
      </c>
      <c r="M34" s="24">
        <v>5677490</v>
      </c>
      <c r="N34" s="24">
        <v>7212050</v>
      </c>
      <c r="O34" s="24">
        <v>8831020</v>
      </c>
      <c r="Q34" s="37">
        <f>IF((C34-C33&lt;0), "0",C34-C33)</f>
        <v>10370</v>
      </c>
      <c r="R34" s="37">
        <f t="shared" si="22"/>
        <v>13400</v>
      </c>
      <c r="S34" s="37">
        <f t="shared" si="16"/>
        <v>140</v>
      </c>
      <c r="T34" s="37">
        <f t="shared" si="23"/>
        <v>1640</v>
      </c>
      <c r="U34" s="37">
        <f t="shared" si="24"/>
        <v>5470</v>
      </c>
      <c r="V34" s="37">
        <f t="shared" si="25"/>
        <v>4010</v>
      </c>
      <c r="W34" s="37">
        <f t="shared" si="26"/>
        <v>4580</v>
      </c>
      <c r="X34" s="37">
        <f t="shared" si="27"/>
        <v>4430</v>
      </c>
      <c r="Y34" s="37">
        <f t="shared" si="28"/>
        <v>4860</v>
      </c>
      <c r="Z34" s="37">
        <f t="shared" si="29"/>
        <v>2700</v>
      </c>
      <c r="AA34" s="37">
        <f t="shared" si="30"/>
        <v>3250</v>
      </c>
      <c r="AB34" s="37">
        <f t="shared" si="31"/>
        <v>6750</v>
      </c>
      <c r="AC34" s="37">
        <f t="shared" si="32"/>
        <v>12680</v>
      </c>
      <c r="AD34" s="35">
        <f t="shared" si="33"/>
        <v>74280</v>
      </c>
      <c r="AF34" s="20">
        <f>Q34*$D$39</f>
        <v>51.85</v>
      </c>
      <c r="AG34" s="20">
        <f t="shared" si="2"/>
        <v>67</v>
      </c>
      <c r="AH34" s="20">
        <f t="shared" si="3"/>
        <v>0.70000000000000007</v>
      </c>
      <c r="AI34" s="20">
        <f t="shared" si="4"/>
        <v>8.1999999999999993</v>
      </c>
      <c r="AJ34" s="20">
        <f t="shared" si="5"/>
        <v>27.35</v>
      </c>
      <c r="AK34" s="20">
        <f t="shared" si="6"/>
        <v>20.05</v>
      </c>
      <c r="AL34" s="20">
        <f t="shared" si="7"/>
        <v>22.900000000000002</v>
      </c>
      <c r="AM34" s="20">
        <f t="shared" si="8"/>
        <v>22.150000000000002</v>
      </c>
      <c r="AN34" s="20">
        <f t="shared" si="9"/>
        <v>24.3</v>
      </c>
      <c r="AO34" s="20">
        <f t="shared" si="10"/>
        <v>13.5</v>
      </c>
      <c r="AP34" s="20">
        <f t="shared" si="11"/>
        <v>16.25</v>
      </c>
      <c r="AQ34" s="20">
        <f t="shared" si="12"/>
        <v>33.75</v>
      </c>
      <c r="AR34" s="20">
        <f t="shared" si="13"/>
        <v>63.4</v>
      </c>
      <c r="AS34" s="35">
        <f>SUM(AF34:AR34)</f>
        <v>371.4</v>
      </c>
      <c r="AT34" s="48"/>
      <c r="AV34" s="52">
        <v>0</v>
      </c>
      <c r="AW34" s="51">
        <f t="shared" si="14"/>
        <v>0</v>
      </c>
      <c r="AX34" s="53">
        <f t="shared" si="17"/>
        <v>0</v>
      </c>
      <c r="AY34" s="68">
        <v>187116</v>
      </c>
      <c r="AZ34" s="37">
        <f t="shared" si="18"/>
        <v>216200</v>
      </c>
      <c r="BA34" s="37">
        <f t="shared" si="19"/>
        <v>590.226</v>
      </c>
      <c r="BB34" s="46">
        <f t="shared" si="20"/>
        <v>262.29643440000001</v>
      </c>
    </row>
    <row r="35" spans="1:54" x14ac:dyDescent="0.25">
      <c r="A35" s="23">
        <v>43614</v>
      </c>
      <c r="B35" s="40">
        <v>100</v>
      </c>
      <c r="C35" s="24">
        <v>4814950</v>
      </c>
      <c r="D35" s="24">
        <v>9759900</v>
      </c>
      <c r="E35" s="24">
        <v>1088340</v>
      </c>
      <c r="F35" s="24">
        <v>2090430</v>
      </c>
      <c r="G35" s="24">
        <v>6925560</v>
      </c>
      <c r="H35" s="24">
        <v>2933850</v>
      </c>
      <c r="I35" s="24">
        <v>3140220</v>
      </c>
      <c r="J35" s="24">
        <v>3384970</v>
      </c>
      <c r="K35" s="24">
        <v>5749000</v>
      </c>
      <c r="L35" s="24">
        <v>1890010</v>
      </c>
      <c r="M35" s="24">
        <v>5680860</v>
      </c>
      <c r="N35" s="24">
        <v>7218990</v>
      </c>
      <c r="O35" s="24">
        <v>8844450</v>
      </c>
      <c r="Q35" s="37">
        <f>IF((C35-C34&lt;0), "0",C35-C34)</f>
        <v>10540</v>
      </c>
      <c r="R35" s="37">
        <f t="shared" si="22"/>
        <v>13660</v>
      </c>
      <c r="S35" s="37">
        <f t="shared" si="16"/>
        <v>180</v>
      </c>
      <c r="T35" s="37">
        <f t="shared" si="23"/>
        <v>1700</v>
      </c>
      <c r="U35" s="37">
        <f t="shared" si="24"/>
        <v>5680</v>
      </c>
      <c r="V35" s="37">
        <f t="shared" si="25"/>
        <v>4180</v>
      </c>
      <c r="W35" s="37">
        <f t="shared" si="26"/>
        <v>4650</v>
      </c>
      <c r="X35" s="37">
        <f t="shared" si="27"/>
        <v>4750</v>
      </c>
      <c r="Y35" s="37">
        <f t="shared" si="28"/>
        <v>4980</v>
      </c>
      <c r="Z35" s="37">
        <f t="shared" si="29"/>
        <v>2730</v>
      </c>
      <c r="AA35" s="37">
        <f t="shared" si="30"/>
        <v>3370</v>
      </c>
      <c r="AB35" s="37">
        <f t="shared" si="31"/>
        <v>6940</v>
      </c>
      <c r="AC35" s="37">
        <f t="shared" si="32"/>
        <v>13430</v>
      </c>
      <c r="AD35" s="35">
        <f t="shared" si="33"/>
        <v>76790</v>
      </c>
      <c r="AF35" s="20">
        <f t="shared" si="1"/>
        <v>52.7</v>
      </c>
      <c r="AG35" s="20">
        <f t="shared" si="2"/>
        <v>68.3</v>
      </c>
      <c r="AH35" s="20">
        <f t="shared" si="3"/>
        <v>0.9</v>
      </c>
      <c r="AI35" s="20">
        <f t="shared" si="4"/>
        <v>8.5</v>
      </c>
      <c r="AJ35" s="20">
        <f t="shared" si="5"/>
        <v>28.400000000000002</v>
      </c>
      <c r="AK35" s="20">
        <f t="shared" si="6"/>
        <v>20.900000000000002</v>
      </c>
      <c r="AL35" s="20">
        <f t="shared" si="7"/>
        <v>23.25</v>
      </c>
      <c r="AM35" s="20">
        <f t="shared" si="8"/>
        <v>23.75</v>
      </c>
      <c r="AN35" s="20">
        <f t="shared" si="9"/>
        <v>24.900000000000002</v>
      </c>
      <c r="AO35" s="20">
        <f t="shared" si="10"/>
        <v>13.65</v>
      </c>
      <c r="AP35" s="20">
        <f t="shared" si="11"/>
        <v>16.850000000000001</v>
      </c>
      <c r="AQ35" s="20">
        <f t="shared" si="12"/>
        <v>34.700000000000003</v>
      </c>
      <c r="AR35" s="20">
        <f t="shared" si="13"/>
        <v>67.150000000000006</v>
      </c>
      <c r="AS35" s="35">
        <f>SUM(AF35:AR35)</f>
        <v>383.95000000000005</v>
      </c>
      <c r="AT35" s="48"/>
      <c r="AV35" s="52">
        <v>0</v>
      </c>
      <c r="AW35" s="51">
        <f t="shared" si="14"/>
        <v>0</v>
      </c>
      <c r="AX35" s="53">
        <f t="shared" si="17"/>
        <v>0</v>
      </c>
      <c r="AY35" s="68">
        <v>190227</v>
      </c>
      <c r="AZ35" s="37">
        <f t="shared" si="18"/>
        <v>311100</v>
      </c>
      <c r="BA35" s="37">
        <f t="shared" si="19"/>
        <v>849.303</v>
      </c>
      <c r="BB35" s="46">
        <f t="shared" si="20"/>
        <v>377.43025320000004</v>
      </c>
    </row>
    <row r="36" spans="1:54" x14ac:dyDescent="0.25">
      <c r="A36" s="23">
        <v>43615</v>
      </c>
      <c r="B36" s="40">
        <v>91</v>
      </c>
      <c r="C36" s="24">
        <v>4825110</v>
      </c>
      <c r="D36" s="24">
        <v>9773070</v>
      </c>
      <c r="E36" s="24">
        <v>1088500</v>
      </c>
      <c r="F36" s="24">
        <v>2092070</v>
      </c>
      <c r="G36" s="24">
        <v>6930590</v>
      </c>
      <c r="H36" s="24">
        <v>2937960</v>
      </c>
      <c r="I36" s="24">
        <v>3144570</v>
      </c>
      <c r="J36" s="24">
        <v>3389730</v>
      </c>
      <c r="K36" s="24">
        <v>5753830</v>
      </c>
      <c r="L36" s="24">
        <v>1892710</v>
      </c>
      <c r="M36" s="24">
        <v>5684020</v>
      </c>
      <c r="N36" s="24">
        <v>7225660</v>
      </c>
      <c r="O36" s="24">
        <v>8858140</v>
      </c>
      <c r="Q36" s="37">
        <f t="shared" ref="Q36:AA36" si="37">IF((C36-C35&lt;0), "0",C36-C35)</f>
        <v>10160</v>
      </c>
      <c r="R36" s="37">
        <f t="shared" si="22"/>
        <v>13170</v>
      </c>
      <c r="S36" s="37">
        <f t="shared" si="37"/>
        <v>160</v>
      </c>
      <c r="T36" s="37">
        <f t="shared" si="37"/>
        <v>1640</v>
      </c>
      <c r="U36" s="37">
        <f t="shared" si="37"/>
        <v>5030</v>
      </c>
      <c r="V36" s="37">
        <f t="shared" si="37"/>
        <v>4110</v>
      </c>
      <c r="W36" s="37">
        <f t="shared" si="37"/>
        <v>4350</v>
      </c>
      <c r="X36" s="37">
        <f t="shared" si="27"/>
        <v>4760</v>
      </c>
      <c r="Y36" s="37">
        <f t="shared" si="37"/>
        <v>4830</v>
      </c>
      <c r="Z36" s="37">
        <f t="shared" si="37"/>
        <v>2700</v>
      </c>
      <c r="AA36" s="37">
        <f t="shared" si="37"/>
        <v>3160</v>
      </c>
      <c r="AB36" s="37">
        <f t="shared" si="31"/>
        <v>6670</v>
      </c>
      <c r="AC36" s="37">
        <f t="shared" si="32"/>
        <v>13690</v>
      </c>
      <c r="AD36" s="35">
        <f t="shared" si="33"/>
        <v>74430</v>
      </c>
      <c r="AF36" s="20">
        <f t="shared" si="1"/>
        <v>50.800000000000004</v>
      </c>
      <c r="AG36" s="20">
        <f t="shared" si="2"/>
        <v>65.849999999999994</v>
      </c>
      <c r="AH36" s="20">
        <f t="shared" si="3"/>
        <v>0.8</v>
      </c>
      <c r="AI36" s="20">
        <f t="shared" si="4"/>
        <v>8.1999999999999993</v>
      </c>
      <c r="AJ36" s="20">
        <f t="shared" si="5"/>
        <v>25.150000000000002</v>
      </c>
      <c r="AK36" s="20">
        <f t="shared" si="6"/>
        <v>20.55</v>
      </c>
      <c r="AL36" s="20">
        <f t="shared" si="7"/>
        <v>21.75</v>
      </c>
      <c r="AM36" s="20">
        <f t="shared" si="8"/>
        <v>23.8</v>
      </c>
      <c r="AN36" s="20">
        <f t="shared" si="9"/>
        <v>24.150000000000002</v>
      </c>
      <c r="AO36" s="20">
        <f t="shared" si="10"/>
        <v>13.5</v>
      </c>
      <c r="AP36" s="20">
        <f t="shared" si="11"/>
        <v>15.8</v>
      </c>
      <c r="AQ36" s="20">
        <f t="shared" si="12"/>
        <v>33.35</v>
      </c>
      <c r="AR36" s="20">
        <f t="shared" si="13"/>
        <v>68.45</v>
      </c>
      <c r="AS36" s="35">
        <f>SUM(AF36:AR36)</f>
        <v>372.15000000000003</v>
      </c>
      <c r="AT36" s="48"/>
      <c r="AV36" s="52">
        <v>0</v>
      </c>
      <c r="AW36" s="51">
        <f t="shared" si="14"/>
        <v>0</v>
      </c>
      <c r="AX36" s="53">
        <f t="shared" si="17"/>
        <v>0</v>
      </c>
      <c r="AY36" s="68">
        <v>192858</v>
      </c>
      <c r="AZ36" s="37">
        <f t="shared" si="18"/>
        <v>263100</v>
      </c>
      <c r="BA36" s="37">
        <f t="shared" si="19"/>
        <v>718.26300000000003</v>
      </c>
      <c r="BB36" s="46">
        <f t="shared" si="20"/>
        <v>319.19607720000005</v>
      </c>
    </row>
    <row r="37" spans="1:54" x14ac:dyDescent="0.25">
      <c r="A37" s="23">
        <v>43616</v>
      </c>
      <c r="B37" s="40">
        <v>69</v>
      </c>
      <c r="C37" s="24">
        <v>4835170</v>
      </c>
      <c r="D37" s="24">
        <v>9786160</v>
      </c>
      <c r="E37" s="24">
        <v>1088660</v>
      </c>
      <c r="F37" s="24">
        <v>2093730</v>
      </c>
      <c r="G37" s="24">
        <v>6935710</v>
      </c>
      <c r="H37" s="24">
        <v>2942120</v>
      </c>
      <c r="I37" s="24">
        <v>3148970</v>
      </c>
      <c r="J37" s="24">
        <v>3394530</v>
      </c>
      <c r="K37" s="24">
        <v>5758680</v>
      </c>
      <c r="L37" s="24">
        <v>1895460</v>
      </c>
      <c r="M37" s="24">
        <v>5687110</v>
      </c>
      <c r="N37" s="24">
        <v>7232360</v>
      </c>
      <c r="O37" s="24">
        <v>8870780</v>
      </c>
      <c r="Q37" s="37">
        <f t="shared" ref="Q37" si="38">IF((C37-C36&lt;0), "0",C37-C36)</f>
        <v>10060</v>
      </c>
      <c r="R37" s="37">
        <f t="shared" si="22"/>
        <v>13090</v>
      </c>
      <c r="S37" s="37">
        <f t="shared" ref="S37" si="39">IF((E37-E36&lt;0), "0",E37-E36)</f>
        <v>160</v>
      </c>
      <c r="T37" s="37">
        <f t="shared" ref="T37" si="40">IF((F37-F36&lt;0), "0",F37-F36)</f>
        <v>1660</v>
      </c>
      <c r="U37" s="37">
        <f t="shared" ref="U37" si="41">IF((G37-G36&lt;0), "0",G37-G36)</f>
        <v>5120</v>
      </c>
      <c r="V37" s="37">
        <f t="shared" ref="V37" si="42">IF((H37-H36&lt;0), "0",H37-H36)</f>
        <v>4160</v>
      </c>
      <c r="W37" s="37">
        <f t="shared" ref="W37" si="43">IF((I37-I36&lt;0), "0",I37-I36)</f>
        <v>4400</v>
      </c>
      <c r="X37" s="37">
        <f t="shared" si="27"/>
        <v>4800</v>
      </c>
      <c r="Y37" s="37">
        <f t="shared" ref="Y37" si="44">IF((K37-K36&lt;0), "0",K37-K36)</f>
        <v>4850</v>
      </c>
      <c r="Z37" s="37">
        <f t="shared" ref="Z37" si="45">IF((L37-L36&lt;0), "0",L37-L36)</f>
        <v>2750</v>
      </c>
      <c r="AA37" s="37">
        <f t="shared" ref="AA37" si="46">IF((M37-M36&lt;0), "0",M37-M36)</f>
        <v>3090</v>
      </c>
      <c r="AB37" s="37">
        <f t="shared" si="31"/>
        <v>6700</v>
      </c>
      <c r="AC37" s="37">
        <f t="shared" si="32"/>
        <v>12640</v>
      </c>
      <c r="AD37" s="35">
        <f t="shared" si="33"/>
        <v>73480</v>
      </c>
      <c r="AF37" s="20">
        <f t="shared" ref="AF37" si="47">Q37*$D$39</f>
        <v>50.300000000000004</v>
      </c>
      <c r="AG37" s="20">
        <f t="shared" ref="AG37" si="48">R37*$D$39</f>
        <v>65.45</v>
      </c>
      <c r="AH37" s="20">
        <f t="shared" ref="AH37" si="49">S37*$D$39</f>
        <v>0.8</v>
      </c>
      <c r="AI37" s="20">
        <f t="shared" ref="AI37" si="50">T37*$D$39</f>
        <v>8.3000000000000007</v>
      </c>
      <c r="AJ37" s="20">
        <f t="shared" ref="AJ37" si="51">U37*$D$39</f>
        <v>25.6</v>
      </c>
      <c r="AK37" s="20">
        <f t="shared" ref="AK37" si="52">V37*$D$39</f>
        <v>20.8</v>
      </c>
      <c r="AL37" s="20">
        <f t="shared" ref="AL37" si="53">W37*$D$39</f>
        <v>22</v>
      </c>
      <c r="AM37" s="20">
        <f t="shared" ref="AM37" si="54">X37*$D$39</f>
        <v>24</v>
      </c>
      <c r="AN37" s="20">
        <f t="shared" ref="AN37" si="55">Y37*$D$39</f>
        <v>24.25</v>
      </c>
      <c r="AO37" s="20">
        <f t="shared" ref="AO37" si="56">Z37*$D$39</f>
        <v>13.75</v>
      </c>
      <c r="AP37" s="20">
        <f t="shared" ref="AP37" si="57">AA37*$D$39</f>
        <v>15.450000000000001</v>
      </c>
      <c r="AQ37" s="20">
        <f t="shared" ref="AQ37" si="58">AB37*$D$39</f>
        <v>33.5</v>
      </c>
      <c r="AR37" s="20">
        <f t="shared" ref="AR37" si="59">AC37*$D$39</f>
        <v>63.2</v>
      </c>
      <c r="AS37" s="35">
        <f>SUM(AF37:AR37)</f>
        <v>367.4</v>
      </c>
      <c r="AT37" s="48"/>
      <c r="AV37" s="52">
        <v>0</v>
      </c>
      <c r="AW37" s="51">
        <f t="shared" si="14"/>
        <v>0</v>
      </c>
      <c r="AX37" s="53">
        <f t="shared" si="17"/>
        <v>0</v>
      </c>
      <c r="AY37" s="68">
        <v>195491</v>
      </c>
      <c r="AZ37" s="37">
        <f t="shared" si="18"/>
        <v>263300</v>
      </c>
      <c r="BA37" s="37">
        <f t="shared" si="19"/>
        <v>718.80900000000008</v>
      </c>
      <c r="BB37" s="46">
        <f t="shared" si="20"/>
        <v>319.43871960000007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213990</v>
      </c>
      <c r="R38" s="38">
        <f t="shared" ref="R38:AD38" si="60">SUM(R7:R37)</f>
        <v>279070</v>
      </c>
      <c r="S38" s="38">
        <f t="shared" si="60"/>
        <v>74000</v>
      </c>
      <c r="T38" s="38">
        <f t="shared" si="60"/>
        <v>53900</v>
      </c>
      <c r="U38" s="38">
        <f t="shared" si="60"/>
        <v>167570</v>
      </c>
      <c r="V38" s="38">
        <f t="shared" si="60"/>
        <v>130470</v>
      </c>
      <c r="W38" s="38">
        <f t="shared" si="60"/>
        <v>130330</v>
      </c>
      <c r="X38" s="38">
        <f t="shared" si="60"/>
        <v>140730</v>
      </c>
      <c r="Y38" s="38">
        <f t="shared" si="60"/>
        <v>156720</v>
      </c>
      <c r="Z38" s="38">
        <f t="shared" si="60"/>
        <v>84240</v>
      </c>
      <c r="AA38" s="38">
        <f t="shared" si="60"/>
        <v>100570</v>
      </c>
      <c r="AB38" s="38">
        <f t="shared" si="60"/>
        <v>206580</v>
      </c>
      <c r="AC38" s="38">
        <f t="shared" si="60"/>
        <v>410910</v>
      </c>
      <c r="AD38" s="38">
        <f t="shared" si="60"/>
        <v>2149080</v>
      </c>
      <c r="AF38" s="35">
        <f>SUM(AF7:AF37)</f>
        <v>1069.95</v>
      </c>
      <c r="AG38" s="35">
        <f t="shared" ref="AG38:AT38" si="61">SUM(AG7:AG37)</f>
        <v>1395.35</v>
      </c>
      <c r="AH38" s="35">
        <f t="shared" si="61"/>
        <v>370.00000000000006</v>
      </c>
      <c r="AI38" s="35">
        <f t="shared" si="61"/>
        <v>269.5</v>
      </c>
      <c r="AJ38" s="35">
        <f t="shared" si="61"/>
        <v>837.85000000000014</v>
      </c>
      <c r="AK38" s="35">
        <f t="shared" si="61"/>
        <v>652.3499999999998</v>
      </c>
      <c r="AL38" s="35">
        <f t="shared" si="61"/>
        <v>651.65</v>
      </c>
      <c r="AM38" s="35">
        <f t="shared" si="61"/>
        <v>703.65</v>
      </c>
      <c r="AN38" s="35">
        <f t="shared" si="61"/>
        <v>783.5999999999998</v>
      </c>
      <c r="AO38" s="35">
        <f t="shared" si="61"/>
        <v>421.19999999999993</v>
      </c>
      <c r="AP38" s="35">
        <f t="shared" si="61"/>
        <v>502.84999999999997</v>
      </c>
      <c r="AQ38" s="35">
        <f t="shared" si="61"/>
        <v>1032.9000000000003</v>
      </c>
      <c r="AR38" s="35">
        <f t="shared" si="61"/>
        <v>2054.5499999999997</v>
      </c>
      <c r="AS38" s="35">
        <f t="shared" si="61"/>
        <v>10745.4</v>
      </c>
      <c r="AT38" s="49">
        <f t="shared" si="61"/>
        <v>0</v>
      </c>
      <c r="AV38" s="52">
        <v>0</v>
      </c>
      <c r="AW38" s="51">
        <f t="shared" si="14"/>
        <v>0</v>
      </c>
      <c r="AX38" s="53">
        <f t="shared" si="17"/>
        <v>0</v>
      </c>
      <c r="AY38" s="55"/>
      <c r="AZ38" s="37">
        <f t="shared" si="18"/>
        <v>0</v>
      </c>
      <c r="BA38" s="37">
        <f>SUM(BA7:BA37)</f>
        <v>21545.705999999998</v>
      </c>
      <c r="BB38" s="46">
        <f t="shared" si="20"/>
        <v>9574.9117463999992</v>
      </c>
    </row>
    <row r="39" spans="1:54" x14ac:dyDescent="0.25">
      <c r="B39" s="39">
        <f>SUM(B7:B37)</f>
        <v>3074</v>
      </c>
      <c r="D39">
        <v>5.0000000000000001E-3</v>
      </c>
      <c r="AV39" s="52">
        <v>0</v>
      </c>
      <c r="AW39" s="51">
        <f t="shared" si="14"/>
        <v>0</v>
      </c>
      <c r="AX39" s="53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50">
        <v>0.52800000000000002</v>
      </c>
      <c r="AX44" s="50">
        <v>3.79E-3</v>
      </c>
      <c r="AY44" s="54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2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2023-02-15T15:52:39Z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