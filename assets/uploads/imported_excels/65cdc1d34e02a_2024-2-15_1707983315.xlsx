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Y\OneDrive - ACCOR\Desktop\new system\file system new\"/>
    </mc:Choice>
  </mc:AlternateContent>
  <xr:revisionPtr revIDLastSave="15" documentId="8_{0E87D81A-2713-453A-BACC-951AB6069C90}" xr6:coauthVersionLast="36" xr6:coauthVersionMax="47" xr10:uidLastSave="{335A9D96-8440-4D19-B2A8-37CEC06FF284}"/>
  <bookViews>
    <workbookView xWindow="-105" yWindow="-105" windowWidth="19395" windowHeight="10275" tabRatio="500" activeTab="2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</workbook>
</file>

<file path=xl/calcChain.xml><?xml version="1.0" encoding="utf-8"?>
<calcChain xmlns="http://schemas.openxmlformats.org/spreadsheetml/2006/main"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D13" i="21"/>
  <c r="F10" i="21"/>
  <c r="F11" i="21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D22" i="20" s="1"/>
  <c r="E18" i="19"/>
  <c r="E17" i="19"/>
  <c r="E16" i="19"/>
  <c r="E15" i="19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F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D17" i="16"/>
  <c r="E16" i="16"/>
  <c r="D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E17" i="1" s="1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G19" i="1"/>
  <c r="N18" i="2"/>
  <c r="I18" i="1"/>
  <c r="N17" i="2"/>
  <c r="N16" i="2"/>
  <c r="G16" i="1"/>
  <c r="N15" i="2"/>
  <c r="N14" i="2"/>
  <c r="N13" i="2"/>
  <c r="N12" i="2"/>
  <c r="N11" i="2"/>
  <c r="N10" i="2"/>
  <c r="N9" i="2"/>
  <c r="N8" i="2"/>
  <c r="N7" i="2"/>
  <c r="I7" i="1"/>
  <c r="G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7" i="17" l="1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14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F14" i="12"/>
  <c r="G11" i="19"/>
  <c r="G29" i="19" s="1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19" i="17" l="1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G19" i="21"/>
  <c r="G30" i="21" s="1"/>
  <c r="F30" i="2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F30" i="17" l="1"/>
  <c r="F30" i="14"/>
  <c r="G19" i="16"/>
  <c r="G30" i="16" s="1"/>
  <c r="G32" i="16" s="1"/>
  <c r="G32" i="14"/>
  <c r="F30" i="12"/>
  <c r="G32" i="9"/>
  <c r="G32" i="25"/>
  <c r="F30" i="32"/>
  <c r="G19" i="4"/>
  <c r="G30" i="4" s="1"/>
  <c r="G32" i="4" s="1"/>
  <c r="F30" i="23"/>
  <c r="G19" i="7"/>
  <c r="G30" i="7" s="1"/>
  <c r="G32" i="7" s="1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<sst xmlns="http://schemas.openxmlformats.org/spreadsheetml/2006/main" count="2522" uniqueCount="181">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</sst>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  <numFmt numFmtId="175" formatCode="#,##0.0;[Red]#,##0.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52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75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E12" sqref="E12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41354.171999999999</v>
      </c>
      <c r="J2" s="5">
        <v>0.06</v>
      </c>
      <c r="K2" s="275">
        <f>Submetering!K2</f>
        <v>6625.1219999987579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16415.999999999694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17327.999999999738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>
        <f>INT('Daily Meter'!O18*434/100)</f>
        <v>329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16560</v>
      </c>
      <c r="F15" s="5">
        <v>0.44</v>
      </c>
      <c r="G15" s="6">
        <f>Submetering!M15</f>
        <v>526.88000000003228</v>
      </c>
      <c r="H15" s="12">
        <v>2.5</v>
      </c>
      <c r="I15" s="6">
        <f>Submetering!L15</f>
        <v>41134.203000000001</v>
      </c>
      <c r="J15" s="5">
        <v>0.06</v>
      </c>
      <c r="K15" s="275">
        <f>Submetering!K15</f>
        <v>5487.7620000008274</v>
      </c>
      <c r="L15" s="5">
        <v>1.1399999999999999</v>
      </c>
      <c r="M15" s="6">
        <f>INT('Daily Meter'!O19*434/100)</f>
        <v>327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16751.999999999607</v>
      </c>
      <c r="F16" s="5">
        <v>0.44</v>
      </c>
      <c r="G16" s="6">
        <f>Submetering!M16</f>
        <v>455.83999999998923</v>
      </c>
      <c r="H16" s="12">
        <v>2.5</v>
      </c>
      <c r="I16" s="6">
        <f>Submetering!L16</f>
        <v>33875.226000000002</v>
      </c>
      <c r="J16" s="5">
        <v>0.06</v>
      </c>
      <c r="K16" s="275">
        <f>Submetering!K16</f>
        <v>6170.1779999991722</v>
      </c>
      <c r="L16" s="5">
        <v>1.1399999999999999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2">
        <v>2.5</v>
      </c>
      <c r="I17" s="6" t="e">
        <f>Submetering!L17</f>
        <v>#VALUE!</v>
      </c>
      <c r="J17" s="5">
        <v>0.06</v>
      </c>
      <c r="K17" s="275" t="e">
        <f>Submetering!K17</f>
        <v>#VALUE!</v>
      </c>
      <c r="L17" s="5">
        <v>1.1399999999999999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2">
        <v>2.5</v>
      </c>
      <c r="I18" s="6" t="e">
        <f>Submetering!L18</f>
        <v>#VALUE!</v>
      </c>
      <c r="J18" s="5">
        <v>0.06</v>
      </c>
      <c r="K18" s="275" t="e">
        <f>Submetering!K18</f>
        <v>#VALUE!</v>
      </c>
      <c r="L18" s="5">
        <v>1.1399999999999999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2">
        <v>2.5</v>
      </c>
      <c r="I19" s="6" t="e">
        <f>Submetering!L19</f>
        <v>#VALUE!</v>
      </c>
      <c r="J19" s="5">
        <v>0.06</v>
      </c>
      <c r="K19" s="275" t="e">
        <f>Submetering!K19</f>
        <v>#VALUE!</v>
      </c>
      <c r="L19" s="5">
        <v>1.1399999999999999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2">
        <v>2.5</v>
      </c>
      <c r="I20" s="6" t="e">
        <f>Submetering!L20</f>
        <v>#VALUE!</v>
      </c>
      <c r="J20" s="5">
        <v>0.06</v>
      </c>
      <c r="K20" s="275" t="e">
        <f>Submetering!K20</f>
        <v>#VALUE!</v>
      </c>
      <c r="L20" s="5">
        <v>1.1399999999999999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2">
        <v>2.5</v>
      </c>
      <c r="I21" s="6" t="e">
        <f>Submetering!L21</f>
        <v>#VALUE!</v>
      </c>
      <c r="J21" s="5">
        <v>0.06</v>
      </c>
      <c r="K21" s="275" t="e">
        <f>Submetering!K21</f>
        <v>#VALUE!</v>
      </c>
      <c r="L21" s="5">
        <v>1.1399999999999999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v>1.1399999999999999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K3" sqref="K3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6625.1219999987579</v>
      </c>
      <c r="L2" s="6">
        <f>IF(('Daily Meter'!C6-'1'!D10)&lt;0,"0",'Daily Meter'!C6-'1'!D10)*219.969</f>
        <v>41354.171999999999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1824.0000000000873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2543.9999999996508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>
        <f>Total!M14</f>
        <v>329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IF(('Daily Meter'!H19-'Daily Meter'!H18)&lt;0,"0",'Daily Meter'!H19-'Daily Meter'!H18)*480</f>
        <v>3408.0000000001746</v>
      </c>
      <c r="F15" s="6">
        <f>IF(('Daily Meter'!I19-'Daily Meter'!I18)&lt;0,"0",'Daily Meter'!I19-'Daily Meter'!I18)*480</f>
        <v>2111.9999999998254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1295.9999999999127</v>
      </c>
      <c r="I15" s="6">
        <f>IF(('Daily Meter'!L19-'Daily Meter'!L18)&lt;0,"0",'Daily Meter'!L19-'Daily Meter'!L18)*480</f>
        <v>2160</v>
      </c>
      <c r="J15" s="6">
        <f>IF(('Daily Meter'!M19-'Daily Meter'!M18)&lt;0,"0",'Daily Meter'!M19-'Daily Meter'!M18)*480</f>
        <v>5568.0000000001746</v>
      </c>
      <c r="K15" s="6">
        <f>IF(('Daily Meter'!B19-'Daily Meter'!B18)&lt;0,"0",'Daily Meter'!B19-'Daily Meter'!B18)*284.34</f>
        <v>5487.7620000008274</v>
      </c>
      <c r="L15" s="6">
        <f>IF(('Daily Meter'!C19-'Daily Meter'!C18)&lt;0,"0",'Daily Meter'!C19-'Daily Meter'!C18)*219.969</f>
        <v>41134.203000000001</v>
      </c>
      <c r="M15" s="6">
        <f>IF(('Daily Meter'!N19-'Daily Meter'!N18)&lt;0,"0",'Daily Meter'!N19-'Daily Meter'!N18)*3.7</f>
        <v>526.88000000003228</v>
      </c>
      <c r="N15" s="6">
        <f>Total!M15</f>
        <v>327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IF(('Daily Meter'!H20-'Daily Meter'!H19)&lt;0,"0",'Daily Meter'!H20-'Daily Meter'!H19)*480</f>
        <v>3407.9999999997381</v>
      </c>
      <c r="F16" s="6">
        <f>IF(('Daily Meter'!I20-'Daily Meter'!I19)&lt;0,"0",'Daily Meter'!I20-'Daily Meter'!I19)*480</f>
        <v>2064.0000000000873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1392.0000000000437</v>
      </c>
      <c r="I16" s="6">
        <f>IF(('Daily Meter'!L20-'Daily Meter'!L19)&lt;0,"0",'Daily Meter'!L20-'Daily Meter'!L19)*480</f>
        <v>2160</v>
      </c>
      <c r="J16" s="6">
        <f>IF(('Daily Meter'!M20-'Daily Meter'!M19)&lt;0,"0",'Daily Meter'!M20-'Daily Meter'!M19)*480</f>
        <v>5663.9999999996508</v>
      </c>
      <c r="K16" s="6">
        <f>IF(('Daily Meter'!B20-'Daily Meter'!B19)&lt;0,"0",'Daily Meter'!B20-'Daily Meter'!B19)*284.34</f>
        <v>6170.1779999991722</v>
      </c>
      <c r="L16" s="6">
        <f>IF(('Daily Meter'!C20-'Daily Meter'!C19)&lt;0,"0",'Daily Meter'!C20-'Daily Meter'!C19)*219.969</f>
        <v>33875.226000000002</v>
      </c>
      <c r="M16" s="6">
        <f>IF(('Daily Meter'!N20-'Daily Meter'!N19)&lt;0,"0",'Daily Meter'!N20-'Daily Meter'!N19)*3.7</f>
        <v>455.83999999998923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22" sqref="O22"/>
    </sheetView>
  </sheetViews>
  <sheetFormatPr defaultColWidth="8.5703125" defaultRowHeight="1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>
      <c r="A1" s="305" t="s">
        <v>180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Q1" s="16" t="s">
        <v>22</v>
      </c>
    </row>
    <row r="2" spans="1:17" s="13" customFormat="1">
      <c r="A2" s="17"/>
      <c r="B2" s="18" t="s">
        <v>23</v>
      </c>
      <c r="C2" s="306" t="s">
        <v>24</v>
      </c>
      <c r="D2" s="306"/>
      <c r="E2" s="306"/>
      <c r="F2" s="306"/>
      <c r="G2" s="306"/>
      <c r="H2" s="307" t="s">
        <v>25</v>
      </c>
      <c r="I2" s="307"/>
      <c r="J2" s="307"/>
      <c r="K2" s="307"/>
      <c r="L2" s="307"/>
      <c r="M2" s="307"/>
      <c r="N2" s="308" t="s">
        <v>26</v>
      </c>
      <c r="O2" s="309" t="s">
        <v>27</v>
      </c>
    </row>
    <row r="3" spans="1:17" s="13" customFormat="1">
      <c r="A3" s="310" t="s">
        <v>28</v>
      </c>
      <c r="B3" s="19" t="s">
        <v>29</v>
      </c>
      <c r="C3" s="20" t="s">
        <v>30</v>
      </c>
      <c r="D3" s="311" t="s">
        <v>31</v>
      </c>
      <c r="E3" s="311"/>
      <c r="F3" s="312" t="s">
        <v>32</v>
      </c>
      <c r="G3" s="312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308"/>
      <c r="O3" s="309"/>
    </row>
    <row r="4" spans="1:17" s="13" customFormat="1">
      <c r="A4" s="310"/>
      <c r="B4" s="19" t="s">
        <v>36</v>
      </c>
      <c r="C4" s="22" t="s">
        <v>37</v>
      </c>
      <c r="D4" s="313" t="s">
        <v>38</v>
      </c>
      <c r="E4" s="313"/>
      <c r="F4" s="314" t="s">
        <v>39</v>
      </c>
      <c r="G4" s="314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310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92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>
        <v>87.33</v>
      </c>
    </row>
    <row r="11" spans="1:17">
      <c r="A11" s="28">
        <v>6</v>
      </c>
      <c r="B11" s="27">
        <v>54231.9</v>
      </c>
      <c r="C11" s="292">
        <v>210330</v>
      </c>
      <c r="D11" s="27" t="s">
        <v>12</v>
      </c>
      <c r="E11" s="27" t="s">
        <v>12</v>
      </c>
      <c r="F11" s="27" t="s">
        <v>12</v>
      </c>
      <c r="G11" s="27" t="s">
        <v>12</v>
      </c>
      <c r="H11" s="27">
        <v>6814.6</v>
      </c>
      <c r="I11" s="27">
        <v>4112.7</v>
      </c>
      <c r="J11" s="27">
        <v>4396.8</v>
      </c>
      <c r="K11" s="27">
        <v>2463.3000000000002</v>
      </c>
      <c r="L11" s="27">
        <v>5735.3</v>
      </c>
      <c r="M11" s="27">
        <v>15427.4</v>
      </c>
      <c r="N11" s="27">
        <v>94936.7</v>
      </c>
      <c r="O11" s="293">
        <v>91.24</v>
      </c>
    </row>
    <row r="12" spans="1:17">
      <c r="A12" s="28">
        <v>7</v>
      </c>
      <c r="B12" s="27">
        <v>54250.400000000001</v>
      </c>
      <c r="C12" s="292">
        <v>210513</v>
      </c>
      <c r="D12" s="27" t="s">
        <v>12</v>
      </c>
      <c r="E12" s="27" t="s">
        <v>12</v>
      </c>
      <c r="F12" s="27" t="s">
        <v>12</v>
      </c>
      <c r="G12" s="27" t="s">
        <v>12</v>
      </c>
      <c r="H12" s="27">
        <v>6821.4</v>
      </c>
      <c r="I12" s="27">
        <v>4117.2</v>
      </c>
      <c r="J12" s="27">
        <v>4401.3999999999996</v>
      </c>
      <c r="K12" s="27">
        <v>2466.1</v>
      </c>
      <c r="L12" s="27">
        <v>5739.1</v>
      </c>
      <c r="M12" s="27">
        <v>15439.1</v>
      </c>
      <c r="N12" s="27">
        <v>95073.3</v>
      </c>
      <c r="O12" s="293">
        <v>91.3</v>
      </c>
    </row>
    <row r="13" spans="1:17">
      <c r="A13" s="28">
        <v>8</v>
      </c>
      <c r="B13" s="27">
        <v>54268</v>
      </c>
      <c r="C13" s="292">
        <v>210706</v>
      </c>
      <c r="D13" s="27" t="s">
        <v>12</v>
      </c>
      <c r="E13" s="27" t="s">
        <v>12</v>
      </c>
      <c r="F13" s="27" t="s">
        <v>12</v>
      </c>
      <c r="G13" s="27" t="s">
        <v>12</v>
      </c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304">
        <v>94.24</v>
      </c>
    </row>
    <row r="14" spans="1:17">
      <c r="A14" s="28">
        <v>9</v>
      </c>
      <c r="B14" s="294">
        <v>54285.8</v>
      </c>
      <c r="C14" s="295">
        <v>210865</v>
      </c>
      <c r="D14" s="27" t="s">
        <v>12</v>
      </c>
      <c r="E14" s="27" t="s">
        <v>12</v>
      </c>
      <c r="F14" s="27" t="s">
        <v>12</v>
      </c>
      <c r="G14" s="27" t="s">
        <v>12</v>
      </c>
      <c r="H14" s="296">
        <v>6835.3</v>
      </c>
      <c r="I14" s="297">
        <v>4126.1000000000004</v>
      </c>
      <c r="J14" s="298">
        <v>4410.7</v>
      </c>
      <c r="K14" s="299">
        <v>2471.9</v>
      </c>
      <c r="L14" s="300">
        <v>5749</v>
      </c>
      <c r="M14" s="301">
        <v>15463.4</v>
      </c>
      <c r="N14" s="302">
        <v>95345.3</v>
      </c>
      <c r="O14" s="303">
        <v>90.32</v>
      </c>
    </row>
    <row r="15" spans="1:17">
      <c r="A15" s="28">
        <v>10</v>
      </c>
      <c r="B15" s="294">
        <v>54303.6</v>
      </c>
      <c r="C15" s="295">
        <v>211142</v>
      </c>
      <c r="D15" s="27" t="s">
        <v>12</v>
      </c>
      <c r="E15" s="27" t="s">
        <v>12</v>
      </c>
      <c r="F15" s="27" t="s">
        <v>12</v>
      </c>
      <c r="G15" s="27" t="s">
        <v>12</v>
      </c>
      <c r="H15" s="296">
        <v>6842.6</v>
      </c>
      <c r="I15" s="297">
        <v>4130.6000000000004</v>
      </c>
      <c r="J15" s="298">
        <v>4415.6000000000004</v>
      </c>
      <c r="K15" s="299">
        <v>2474.6999999999998</v>
      </c>
      <c r="L15" s="300">
        <v>5753.7</v>
      </c>
      <c r="M15" s="301">
        <v>15474.9</v>
      </c>
      <c r="N15" s="302">
        <v>95497.7</v>
      </c>
      <c r="O15" s="303">
        <v>81.34</v>
      </c>
    </row>
    <row r="16" spans="1:17">
      <c r="A16" s="28">
        <v>11</v>
      </c>
      <c r="B16" s="294">
        <v>54322.5</v>
      </c>
      <c r="C16" s="295">
        <v>211397</v>
      </c>
      <c r="D16" s="27" t="s">
        <v>12</v>
      </c>
      <c r="E16" s="27" t="s">
        <v>12</v>
      </c>
      <c r="F16" s="27" t="s">
        <v>12</v>
      </c>
      <c r="G16" s="27" t="s">
        <v>12</v>
      </c>
      <c r="H16" s="296">
        <v>6850</v>
      </c>
      <c r="I16" s="297">
        <v>4135</v>
      </c>
      <c r="J16" s="298">
        <v>4420.3999999999996</v>
      </c>
      <c r="K16" s="299">
        <v>2477.9</v>
      </c>
      <c r="L16" s="300">
        <v>5758.4</v>
      </c>
      <c r="M16" s="301">
        <v>15486.6</v>
      </c>
      <c r="N16" s="302">
        <v>95634.8</v>
      </c>
      <c r="O16" s="303">
        <v>88.48</v>
      </c>
    </row>
    <row r="17" spans="1:17">
      <c r="A17" s="28">
        <v>12</v>
      </c>
      <c r="B17" s="294">
        <v>54338.9</v>
      </c>
      <c r="C17" s="295">
        <v>211607</v>
      </c>
      <c r="D17" s="27" t="s">
        <v>12</v>
      </c>
      <c r="E17" s="27" t="s">
        <v>12</v>
      </c>
      <c r="F17" s="27" t="s">
        <v>12</v>
      </c>
      <c r="G17" s="27" t="s">
        <v>12</v>
      </c>
      <c r="H17" s="296">
        <v>6857.1</v>
      </c>
      <c r="I17" s="297">
        <v>4139</v>
      </c>
      <c r="J17" s="298">
        <v>4424.8999999999996</v>
      </c>
      <c r="K17" s="299">
        <v>2480.6</v>
      </c>
      <c r="L17" s="300">
        <v>5763</v>
      </c>
      <c r="M17" s="301">
        <v>15498.3</v>
      </c>
      <c r="N17" s="302">
        <v>95776</v>
      </c>
      <c r="O17" s="303">
        <v>79.72</v>
      </c>
    </row>
    <row r="18" spans="1:17">
      <c r="A18" s="28">
        <v>13</v>
      </c>
      <c r="B18" s="294">
        <v>54356.6</v>
      </c>
      <c r="C18" s="295">
        <v>211780</v>
      </c>
      <c r="D18" s="27" t="s">
        <v>12</v>
      </c>
      <c r="E18" s="27" t="s">
        <v>12</v>
      </c>
      <c r="F18" s="27" t="s">
        <v>12</v>
      </c>
      <c r="G18" s="27" t="s">
        <v>12</v>
      </c>
      <c r="H18" s="296">
        <v>6864.2</v>
      </c>
      <c r="I18" s="297">
        <v>4143.3</v>
      </c>
      <c r="J18" s="298">
        <v>4429.3</v>
      </c>
      <c r="K18" s="299">
        <v>2483.3000000000002</v>
      </c>
      <c r="L18" s="300">
        <v>5767.5</v>
      </c>
      <c r="M18" s="301">
        <v>15510.1</v>
      </c>
      <c r="N18" s="302">
        <v>95924.9</v>
      </c>
      <c r="O18" s="351">
        <v>75.81</v>
      </c>
    </row>
    <row r="19" spans="1:17">
      <c r="A19" s="28">
        <v>14</v>
      </c>
      <c r="B19" s="347">
        <v>54375.9</v>
      </c>
      <c r="C19" s="348">
        <v>211967</v>
      </c>
      <c r="D19" s="349"/>
      <c r="E19" s="349"/>
      <c r="F19" s="349"/>
      <c r="G19" s="350"/>
      <c r="H19" s="347">
        <v>6871.3</v>
      </c>
      <c r="I19" s="347">
        <v>4147.7</v>
      </c>
      <c r="J19" s="347">
        <v>4433.5</v>
      </c>
      <c r="K19" s="347">
        <v>2486</v>
      </c>
      <c r="L19" s="347">
        <v>5772</v>
      </c>
      <c r="M19" s="347">
        <v>15521.7</v>
      </c>
      <c r="N19" s="347">
        <v>96067.3</v>
      </c>
      <c r="O19" s="351">
        <v>75.349999999999994</v>
      </c>
    </row>
    <row r="20" spans="1:17">
      <c r="A20" s="28">
        <v>15</v>
      </c>
      <c r="B20" s="347">
        <v>54397.599999999999</v>
      </c>
      <c r="C20" s="348">
        <v>212121</v>
      </c>
      <c r="D20" s="349"/>
      <c r="E20" s="349"/>
      <c r="F20" s="349"/>
      <c r="G20" s="350"/>
      <c r="H20" s="347">
        <v>6878.4</v>
      </c>
      <c r="I20" s="347">
        <v>4152</v>
      </c>
      <c r="J20" s="347">
        <v>4437.8</v>
      </c>
      <c r="K20" s="347">
        <v>2488.9</v>
      </c>
      <c r="L20" s="347">
        <v>5776.5</v>
      </c>
      <c r="M20" s="347">
        <v>15533.5</v>
      </c>
      <c r="N20" s="347">
        <v>96190.5</v>
      </c>
      <c r="O20" s="27" t="s">
        <v>12</v>
      </c>
    </row>
    <row r="21" spans="1:17">
      <c r="A21" s="28">
        <v>16</v>
      </c>
      <c r="B21" s="27" t="s">
        <v>12</v>
      </c>
      <c r="C21" s="27" t="s">
        <v>12</v>
      </c>
      <c r="D21" s="27" t="s">
        <v>12</v>
      </c>
      <c r="E21" s="27" t="s">
        <v>12</v>
      </c>
      <c r="F21" s="27" t="s">
        <v>12</v>
      </c>
      <c r="G21" s="27" t="s">
        <v>12</v>
      </c>
      <c r="H21" s="27" t="s">
        <v>12</v>
      </c>
      <c r="I21" s="27" t="s">
        <v>12</v>
      </c>
      <c r="J21" s="27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</row>
    <row r="22" spans="1:17">
      <c r="A22" s="28">
        <v>17</v>
      </c>
      <c r="B22" s="27" t="s">
        <v>12</v>
      </c>
      <c r="C22" s="27" t="s">
        <v>12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12</v>
      </c>
      <c r="J22" s="27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</row>
    <row r="23" spans="1:17">
      <c r="A23" s="28">
        <v>18</v>
      </c>
      <c r="B23" s="27" t="s">
        <v>12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9"/>
      <c r="Q23" s="29"/>
    </row>
    <row r="24" spans="1:17">
      <c r="A24" s="28">
        <v>19</v>
      </c>
      <c r="B24" s="27" t="s">
        <v>12</v>
      </c>
      <c r="C24" s="27" t="s">
        <v>12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12</v>
      </c>
      <c r="J24" s="27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</row>
    <row r="25" spans="1:17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</row>
    <row r="26" spans="1:17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7" t="s">
        <v>12</v>
      </c>
    </row>
    <row r="27" spans="1:17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</row>
    <row r="28" spans="1:17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</row>
    <row r="29" spans="1:17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30"/>
    </row>
    <row r="30" spans="1:17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31"/>
      <c r="Q30" s="31"/>
    </row>
    <row r="31" spans="1:17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7" t="s">
        <v>12</v>
      </c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78.872857142857143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7" zoomScaleNormal="100" workbookViewId="0">
      <selection activeCell="D10" sqref="D10:D18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v>54109.9</v>
      </c>
      <c r="E7" s="61">
        <f>'Daily Meter'!B6</f>
        <v>54133.2</v>
      </c>
      <c r="F7" s="62">
        <f>E7-D7</f>
        <v>23.299999999995634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6625.1219999987579</v>
      </c>
      <c r="G8" s="66">
        <f>F8*0.63</f>
        <v>4173.826859999218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v>209263</v>
      </c>
      <c r="E10" s="61">
        <f>'Daily Meter'!C6</f>
        <v>209451</v>
      </c>
      <c r="F10" s="62">
        <f>E10-D10</f>
        <v>188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41354.171999999999</v>
      </c>
      <c r="G11" s="74">
        <f>F11*0.06</f>
        <v>2481.2503199999996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6625.1219999987579</v>
      </c>
      <c r="G28" s="99">
        <f>G8</f>
        <v>4173.826859999218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41354.171999999999</v>
      </c>
      <c r="G29" s="99">
        <f>G11</f>
        <v>2481.2503199999996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53496.247179998965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5739.1</v>
      </c>
      <c r="F17" s="62">
        <f t="shared" si="0"/>
        <v>1824.0000000000873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16415.999999999694</v>
      </c>
      <c r="G19" s="66">
        <f>F19*0.43</f>
        <v>7058.8799999998682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16415.999999999694</v>
      </c>
      <c r="G30" s="99">
        <f>G19</f>
        <v>7058.8799999998682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14051.672319999921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5004.3839999995862</v>
      </c>
      <c r="G8" s="66">
        <f>F8*0.63</f>
        <v>3152.7619199997393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42454.017</v>
      </c>
      <c r="G11" s="74">
        <f>F11*0.06</f>
        <v>2547.2410199999999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'7'!E17</f>
        <v>5739.1</v>
      </c>
      <c r="E17" s="61">
        <f>'Daily Meter'!L13</f>
        <v>5744.4</v>
      </c>
      <c r="F17" s="62">
        <f t="shared" si="0"/>
        <v>2543.9999999996508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17327.999999999738</v>
      </c>
      <c r="G19" s="66">
        <f>F19*0.43</f>
        <v>7451.0399999998872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17327.999999999738</v>
      </c>
      <c r="G30" s="99">
        <f>G19</f>
        <v>7451.0399999998872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14426.617939999573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5061.2520000008271</v>
      </c>
      <c r="G8" s="66">
        <f>F8*0.63</f>
        <v>3188.5887600005212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34975.070999999996</v>
      </c>
      <c r="G11" s="74">
        <f>F11*0.06</f>
        <v>2098.5042599999997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5061.251999998758</v>
      </c>
      <c r="G8" s="66">
        <f>F8*0.63</f>
        <v>3188.5887599992175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60931.413</v>
      </c>
      <c r="G11" s="74">
        <f>F11*0.06</f>
        <v>3655.8847799999999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5374.0260000004137</v>
      </c>
      <c r="G8" s="66">
        <f>F8*0.63</f>
        <v>3385.6363800002605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56092.095000000001</v>
      </c>
      <c r="G11" s="74">
        <f>F11*0.06</f>
        <v>3365.5257000000001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4663.1760000004133</v>
      </c>
      <c r="G8" s="66">
        <f>F8*0.63</f>
        <v>2937.8008800002603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46193.49</v>
      </c>
      <c r="G11" s="74">
        <f>F11*0.06</f>
        <v>2771.6093999999998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13</v>
      </c>
      <c r="D3" s="42" t="s">
        <v>48</v>
      </c>
      <c r="E3" s="43">
        <f>'Daily Meter'!O18</f>
        <v>75.81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5032.8179999991717</v>
      </c>
      <c r="G8" s="66">
        <f>F8*0.63</f>
        <v>3170.6753399994782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14</v>
      </c>
      <c r="D3" s="42" t="s">
        <v>48</v>
      </c>
      <c r="E3" s="43">
        <f>'Daily Meter'!O19</f>
        <v>75.349999999999994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'13'!E7</f>
        <v>54356.6</v>
      </c>
      <c r="E7" s="61">
        <f>'Daily Meter'!B19</f>
        <v>54375.9</v>
      </c>
      <c r="F7" s="62">
        <f>E7-D7</f>
        <v>19.30000000000291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5487.7620000008274</v>
      </c>
      <c r="G8" s="66">
        <f>F8*0.63</f>
        <v>3457.2900600005214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'13'!E10</f>
        <v>211780</v>
      </c>
      <c r="E10" s="61">
        <f>'Daily Meter'!C19</f>
        <v>211967</v>
      </c>
      <c r="F10" s="62">
        <f>E10-D10</f>
        <v>187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41134.203000000001</v>
      </c>
      <c r="G11" s="74">
        <f>F11*0.06</f>
        <v>2468.0521800000001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>
        <f>'Daily Meter'!H19</f>
        <v>6871.3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>
        <f>'Daily Meter'!I19</f>
        <v>4147.7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>
        <f>'Daily Meter'!J19</f>
        <v>4433.5</v>
      </c>
      <c r="F15" s="62">
        <f t="shared" si="0"/>
        <v>2015.9999999999127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>
        <f>'Daily Meter'!K19</f>
        <v>2486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>
        <f>'Daily Meter'!L19</f>
        <v>5772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>
        <f>'Daily Meter'!M19</f>
        <v>15521.7</v>
      </c>
      <c r="F18" s="62">
        <f t="shared" si="0"/>
        <v>5568.0000000001746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16560</v>
      </c>
      <c r="G19" s="66">
        <f>F19*0.43</f>
        <v>7120.8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>
        <f>'Daily Meter'!N19</f>
        <v>96067.3</v>
      </c>
      <c r="F22" s="85">
        <f>E22-D22</f>
        <v>142.40000000000873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526.88000000003228</v>
      </c>
      <c r="G23" s="89">
        <f>F23*2.5</f>
        <v>1317.2000000000808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5487.7620000008274</v>
      </c>
      <c r="G28" s="99">
        <f>G8</f>
        <v>3457.2900600005214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16560</v>
      </c>
      <c r="G30" s="99">
        <f>G19</f>
        <v>7120.8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142.40000000000873</v>
      </c>
      <c r="G31" s="99">
        <f>G23</f>
        <v>1317.2000000000808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14363.342240000602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15</v>
      </c>
      <c r="D3" s="42" t="s">
        <v>48</v>
      </c>
      <c r="E3" s="43" t="str">
        <f>'Daily Meter'!O20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'14'!E7</f>
        <v>54375.9</v>
      </c>
      <c r="E7" s="61">
        <f>'Daily Meter'!B20</f>
        <v>54397.599999999999</v>
      </c>
      <c r="F7" s="62">
        <f>E7-D7</f>
        <v>21.69999999999709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6170.1779999991722</v>
      </c>
      <c r="G8" s="66">
        <f>F8*0.63</f>
        <v>3887.2121399994785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'14'!E10</f>
        <v>211967</v>
      </c>
      <c r="E10" s="61">
        <f>'Daily Meter'!C20</f>
        <v>212121</v>
      </c>
      <c r="F10" s="62">
        <f>E10-D10</f>
        <v>154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33875.226000000002</v>
      </c>
      <c r="G11" s="74">
        <f>F11*0.06</f>
        <v>2032.5135600000001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'14'!E13</f>
        <v>6871.3</v>
      </c>
      <c r="E13" s="61">
        <f>'Daily Meter'!H20</f>
        <v>6878.4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'14'!E14</f>
        <v>4147.7</v>
      </c>
      <c r="E14" s="61">
        <f>'Daily Meter'!I20</f>
        <v>4152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'14'!E15</f>
        <v>4433.5</v>
      </c>
      <c r="E15" s="61">
        <f>'Daily Meter'!J20</f>
        <v>4437.8</v>
      </c>
      <c r="F15" s="62">
        <f t="shared" si="0"/>
        <v>2064.0000000000873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'14'!E16</f>
        <v>2486</v>
      </c>
      <c r="E16" s="61">
        <f>'Daily Meter'!K20</f>
        <v>2488.9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'14'!E17</f>
        <v>5772</v>
      </c>
      <c r="E17" s="61">
        <f>'Daily Meter'!L20</f>
        <v>5776.5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'14'!E18</f>
        <v>15521.7</v>
      </c>
      <c r="E18" s="61">
        <f>'Daily Meter'!M20</f>
        <v>15533.5</v>
      </c>
      <c r="F18" s="62">
        <f t="shared" si="0"/>
        <v>5663.9999999996508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'14'!E22</f>
        <v>96067.3</v>
      </c>
      <c r="E22" s="61">
        <f>'Daily Meter'!N20</f>
        <v>96190.5</v>
      </c>
      <c r="F22" s="85">
        <f>E22-D22</f>
        <v>123.19999999999709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455.83999999998923</v>
      </c>
      <c r="G23" s="89">
        <f>F23*2.5</f>
        <v>1139.5999999999731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33875.226000000002</v>
      </c>
      <c r="G29" s="99">
        <f>G11</f>
        <v>2032.5135600000001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123.19999999999709</v>
      </c>
      <c r="G31" s="99">
        <f>G23</f>
        <v>1139.5999999999731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14262.685699999281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16</v>
      </c>
      <c r="D3" s="42" t="s">
        <v>48</v>
      </c>
      <c r="E3" s="43" t="str">
        <f>'Daily Meter'!O21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'15'!E7</f>
        <v>54397.599999999999</v>
      </c>
      <c r="E7" s="61" t="str">
        <f>'Daily Meter'!B21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'15'!E10</f>
        <v>212121</v>
      </c>
      <c r="E10" s="61" t="str">
        <f>'Daily Meter'!C21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'15'!E13</f>
        <v>6878.4</v>
      </c>
      <c r="E13" s="61" t="str">
        <f>'Daily Meter'!H21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'15'!E14</f>
        <v>4152</v>
      </c>
      <c r="E14" s="61" t="str">
        <f>'Daily Meter'!I21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'15'!E15</f>
        <v>4437.8</v>
      </c>
      <c r="E15" s="61" t="str">
        <f>'Daily Meter'!J21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'15'!E16</f>
        <v>2488.9</v>
      </c>
      <c r="E16" s="61" t="str">
        <f>'Daily Meter'!K21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'15'!E17</f>
        <v>5776.5</v>
      </c>
      <c r="E17" s="61" t="str">
        <f>'Daily Meter'!L21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'15'!E18</f>
        <v>15533.5</v>
      </c>
      <c r="E18" s="61" t="str">
        <f>'Daily Meter'!M21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'15'!E22</f>
        <v>96190.5</v>
      </c>
      <c r="E22" s="61" t="str">
        <f>'Daily Meter'!N21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17</v>
      </c>
      <c r="D3" s="42" t="s">
        <v>48</v>
      </c>
      <c r="E3" s="43" t="str">
        <f>'Daily Meter'!O22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'16'!E7</f>
        <v xml:space="preserve"> </v>
      </c>
      <c r="E7" s="61" t="str">
        <f>'Daily Meter'!B22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'16'!E10</f>
        <v xml:space="preserve"> </v>
      </c>
      <c r="E10" s="61" t="str">
        <f>'Daily Meter'!C22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'16'!E13</f>
        <v xml:space="preserve"> </v>
      </c>
      <c r="E13" s="61" t="str">
        <f>'Daily Meter'!H22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'16'!E14</f>
        <v xml:space="preserve"> </v>
      </c>
      <c r="E14" s="61" t="str">
        <f>'Daily Meter'!I22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'16'!E15</f>
        <v xml:space="preserve"> </v>
      </c>
      <c r="E15" s="61" t="str">
        <f>'Daily Meter'!J22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'16'!E16</f>
        <v xml:space="preserve"> </v>
      </c>
      <c r="E16" s="61" t="str">
        <f>'Daily Meter'!K22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'16'!E17</f>
        <v xml:space="preserve"> </v>
      </c>
      <c r="E17" s="61" t="str">
        <f>'Daily Meter'!L22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'16'!E18</f>
        <v xml:space="preserve"> </v>
      </c>
      <c r="E18" s="61" t="str">
        <f>'Daily Meter'!M22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'16'!E22</f>
        <v xml:space="preserve"> </v>
      </c>
      <c r="E22" s="61" t="str">
        <f>'Daily Meter'!N22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18</v>
      </c>
      <c r="D3" s="42" t="s">
        <v>48</v>
      </c>
      <c r="E3" s="43" t="str">
        <f>'Daily Meter'!O23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'17'!E7</f>
        <v xml:space="preserve"> </v>
      </c>
      <c r="E7" s="61" t="str">
        <f>'Daily Meter'!B23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'17'!E10</f>
        <v xml:space="preserve"> </v>
      </c>
      <c r="E10" s="61" t="str">
        <f>'Daily Meter'!C23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'17'!E13</f>
        <v xml:space="preserve"> </v>
      </c>
      <c r="E13" s="61" t="str">
        <f>'Daily Meter'!H23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'17'!E14</f>
        <v xml:space="preserve"> </v>
      </c>
      <c r="E14" s="61" t="str">
        <f>'Daily Meter'!I23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'17'!E15</f>
        <v xml:space="preserve"> </v>
      </c>
      <c r="E15" s="61" t="str">
        <f>'Daily Meter'!J23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'17'!E16</f>
        <v xml:space="preserve"> </v>
      </c>
      <c r="E16" s="61" t="str">
        <f>'Daily Meter'!K23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'17'!E17</f>
        <v xml:space="preserve"> </v>
      </c>
      <c r="E17" s="61" t="str">
        <f>'Daily Meter'!L23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'17'!E18</f>
        <v xml:space="preserve"> </v>
      </c>
      <c r="E18" s="61" t="str">
        <f>'Daily Meter'!M23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'17'!E22</f>
        <v xml:space="preserve"> </v>
      </c>
      <c r="E22" s="61" t="str">
        <f>'Daily Meter'!N23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19</v>
      </c>
      <c r="D3" s="42" t="s">
        <v>48</v>
      </c>
      <c r="E3" s="43" t="str">
        <f>'Daily Meter'!O24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'18'!E7</f>
        <v xml:space="preserve"> </v>
      </c>
      <c r="E7" s="61" t="str">
        <f>'Daily Meter'!B24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'18'!E10</f>
        <v xml:space="preserve"> </v>
      </c>
      <c r="E10" s="61" t="str">
        <f>'Daily Meter'!C24</f>
        <v xml:space="preserve"> </v>
      </c>
      <c r="F10" s="62" t="e">
        <f>E10-D10</f>
        <v>#VALUE!</v>
      </c>
      <c r="G10" s="71"/>
      <c r="H10" s="30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'18'!E13</f>
        <v xml:space="preserve"> </v>
      </c>
      <c r="E13" s="61" t="str">
        <f>'Daily Meter'!H24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'18'!E14</f>
        <v xml:space="preserve"> </v>
      </c>
      <c r="E14" s="61" t="str">
        <f>'Daily Meter'!I24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'18'!E15</f>
        <v xml:space="preserve"> </v>
      </c>
      <c r="E15" s="61" t="str">
        <f>'Daily Meter'!J24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'18'!E16</f>
        <v xml:space="preserve"> </v>
      </c>
      <c r="E16" s="61" t="str">
        <f>'Daily Meter'!K24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'18'!E17</f>
        <v xml:space="preserve"> </v>
      </c>
      <c r="E17" s="61" t="str">
        <f>'Daily Meter'!L24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'18'!E18</f>
        <v xml:space="preserve"> </v>
      </c>
      <c r="E18" s="61" t="str">
        <f>'Daily Meter'!M24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'18'!E22</f>
        <v xml:space="preserve"> </v>
      </c>
      <c r="E22" s="61" t="str">
        <f>'Daily Meter'!N24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'19'!E7</f>
        <v xml:space="preserve"> </v>
      </c>
      <c r="E7" s="61" t="str">
        <f>'Daily Meter'!B25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'19'!E10</f>
        <v xml:space="preserve"> 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'19'!E13</f>
        <v xml:space="preserve"> 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'19'!E14</f>
        <v xml:space="preserve"> 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'19'!E15</f>
        <v xml:space="preserve"> 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'19'!E16</f>
        <v xml:space="preserve"> 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'19'!E17</f>
        <v xml:space="preserve"> 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'19'!E18</f>
        <v xml:space="preserve"> 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'19'!E22</f>
        <v xml:space="preserve"> 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18"/>
      <c r="E5" s="31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105"/>
      <c r="D26" s="317" t="s">
        <v>75</v>
      </c>
      <c r="E26" s="317"/>
      <c r="F26" s="317"/>
      <c r="G26" s="317"/>
      <c r="H26" s="96"/>
    </row>
    <row r="27" spans="1:11" ht="21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18"/>
      <c r="E5" s="31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18"/>
      <c r="E5" s="31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18"/>
      <c r="E5" s="31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18"/>
      <c r="E5" s="31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18"/>
      <c r="E5" s="31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15" t="s">
        <v>45</v>
      </c>
      <c r="B1" s="315"/>
      <c r="C1" s="315"/>
      <c r="D1" s="315"/>
      <c r="E1" s="315"/>
      <c r="F1" s="315"/>
      <c r="G1" s="315"/>
      <c r="H1" s="16" t="s">
        <v>46</v>
      </c>
    </row>
    <row r="2" spans="1:8" ht="18">
      <c r="A2" s="316" t="s">
        <v>47</v>
      </c>
      <c r="B2" s="316"/>
      <c r="C2" s="316"/>
      <c r="D2" s="316"/>
      <c r="E2" s="316"/>
      <c r="F2" s="316"/>
      <c r="G2" s="316"/>
    </row>
    <row r="3" spans="1:8" s="44" customFormat="1" ht="18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78.872857142857143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18"/>
      <c r="E5" s="31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17" t="s">
        <v>75</v>
      </c>
      <c r="E26" s="317"/>
      <c r="F26" s="317"/>
      <c r="G26" s="31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>
      <c r="A1" s="319" t="s">
        <v>45</v>
      </c>
      <c r="B1" s="319"/>
      <c r="C1" s="319"/>
      <c r="D1" s="319"/>
      <c r="E1" s="319"/>
      <c r="F1" s="319"/>
      <c r="G1" s="319"/>
      <c r="H1" s="108"/>
      <c r="P1" s="16" t="s">
        <v>22</v>
      </c>
    </row>
    <row r="2" spans="1:16" ht="12" customHeight="1">
      <c r="A2" s="319"/>
      <c r="B2" s="319"/>
      <c r="C2" s="319"/>
      <c r="D2" s="319"/>
      <c r="E2" s="319"/>
      <c r="F2" s="319"/>
      <c r="G2" s="319"/>
      <c r="H2" s="108"/>
    </row>
    <row r="3" spans="1:16" ht="18">
      <c r="A3" s="320" t="s">
        <v>47</v>
      </c>
      <c r="B3" s="320"/>
      <c r="C3" s="320"/>
      <c r="D3" s="320"/>
      <c r="E3" s="320"/>
      <c r="F3" s="320"/>
      <c r="G3" s="320"/>
      <c r="H3" s="108"/>
      <c r="P3" s="16" t="s">
        <v>46</v>
      </c>
    </row>
    <row r="4" spans="1:16" ht="18">
      <c r="A4" s="321" t="s">
        <v>87</v>
      </c>
      <c r="B4" s="321"/>
      <c r="C4" s="321"/>
      <c r="D4" s="109" t="s">
        <v>88</v>
      </c>
      <c r="E4" s="110"/>
      <c r="F4" s="111" t="s">
        <v>89</v>
      </c>
      <c r="G4" s="322"/>
      <c r="H4" s="322"/>
    </row>
    <row r="5" spans="1:16" ht="27.75" customHeight="1">
      <c r="A5" s="323" t="s">
        <v>49</v>
      </c>
      <c r="B5" s="324" t="s">
        <v>50</v>
      </c>
      <c r="C5" s="113"/>
      <c r="D5" s="115" t="s">
        <v>90</v>
      </c>
      <c r="E5" s="115" t="s">
        <v>91</v>
      </c>
      <c r="F5" s="325" t="s">
        <v>92</v>
      </c>
      <c r="G5" s="325" t="s">
        <v>93</v>
      </c>
      <c r="H5" s="325" t="s">
        <v>94</v>
      </c>
    </row>
    <row r="6" spans="1:16" ht="24" customHeight="1">
      <c r="A6" s="323"/>
      <c r="B6" s="324"/>
      <c r="C6" s="116"/>
      <c r="D6" s="117" t="s">
        <v>95</v>
      </c>
      <c r="E6" s="117" t="s">
        <v>96</v>
      </c>
      <c r="F6" s="325"/>
      <c r="G6" s="325"/>
      <c r="H6" s="325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26"/>
      <c r="D10" s="326"/>
      <c r="E10" s="326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26"/>
      <c r="D11" s="326"/>
      <c r="E11" s="326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27"/>
      <c r="D12" s="327"/>
      <c r="E12" s="327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27"/>
      <c r="D13" s="327"/>
      <c r="E13" s="327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28"/>
      <c r="C14" s="328"/>
      <c r="D14" s="328"/>
      <c r="E14" s="328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29"/>
      <c r="D15" s="329"/>
      <c r="E15" s="329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30" t="s">
        <v>103</v>
      </c>
      <c r="H16" s="330"/>
    </row>
    <row r="17" spans="1:8" ht="28.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26"/>
      <c r="D18" s="326"/>
      <c r="E18" s="326"/>
      <c r="F18" s="142">
        <v>350</v>
      </c>
      <c r="G18" s="143"/>
      <c r="H18" s="137"/>
    </row>
    <row r="19" spans="1:8">
      <c r="A19" s="68"/>
      <c r="B19" s="126" t="s">
        <v>106</v>
      </c>
      <c r="C19" s="326"/>
      <c r="D19" s="326"/>
      <c r="E19" s="326"/>
      <c r="F19" s="142">
        <v>400</v>
      </c>
      <c r="G19" s="143"/>
      <c r="H19" s="137"/>
    </row>
    <row r="20" spans="1:8">
      <c r="A20" s="68"/>
      <c r="B20" s="126" t="s">
        <v>107</v>
      </c>
      <c r="C20" s="326"/>
      <c r="D20" s="326"/>
      <c r="E20" s="326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26"/>
      <c r="D21" s="326"/>
      <c r="E21" s="326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26"/>
      <c r="D22" s="326"/>
      <c r="E22" s="326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31"/>
      <c r="D23" s="331"/>
      <c r="E23" s="331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29"/>
      <c r="D24" s="329"/>
      <c r="E24" s="329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29"/>
      <c r="D31" s="329"/>
      <c r="E31" s="329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26"/>
      <c r="D32" s="326"/>
      <c r="E32" s="326"/>
      <c r="F32" s="128">
        <v>460</v>
      </c>
      <c r="G32" s="153"/>
      <c r="H32" s="137"/>
    </row>
    <row r="33" spans="1:8">
      <c r="A33" s="56"/>
      <c r="B33" s="126" t="s">
        <v>112</v>
      </c>
      <c r="C33" s="326"/>
      <c r="D33" s="326"/>
      <c r="E33" s="326"/>
      <c r="F33" s="128">
        <v>560</v>
      </c>
      <c r="G33" s="153"/>
      <c r="H33" s="137"/>
    </row>
    <row r="34" spans="1:8">
      <c r="A34" s="56"/>
      <c r="B34" s="126" t="s">
        <v>113</v>
      </c>
      <c r="C34" s="326"/>
      <c r="D34" s="326"/>
      <c r="E34" s="326"/>
      <c r="F34" s="128">
        <v>640</v>
      </c>
      <c r="G34" s="153"/>
      <c r="H34" s="137"/>
    </row>
    <row r="35" spans="1:8">
      <c r="A35" s="56"/>
      <c r="B35" s="126" t="s">
        <v>114</v>
      </c>
      <c r="C35" s="326"/>
      <c r="D35" s="326"/>
      <c r="E35" s="326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26"/>
      <c r="D36" s="326"/>
      <c r="E36" s="326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32"/>
      <c r="D37" s="332"/>
      <c r="E37" s="332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33"/>
      <c r="D39" s="333"/>
      <c r="E39" s="333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32"/>
      <c r="D42" s="332"/>
      <c r="E42" s="332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1">
      <c r="A44" s="94"/>
      <c r="B44" s="334" t="s">
        <v>75</v>
      </c>
      <c r="C44" s="334"/>
      <c r="D44" s="334"/>
      <c r="E44" s="334"/>
      <c r="F44" s="105"/>
      <c r="G44" s="105"/>
      <c r="H44" s="105"/>
    </row>
    <row r="45" spans="1:8" ht="21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>
      <c r="A1" s="336" t="s">
        <v>45</v>
      </c>
      <c r="B1" s="336"/>
      <c r="C1" s="336"/>
      <c r="D1" s="336"/>
      <c r="E1" s="336"/>
      <c r="F1" s="336"/>
      <c r="G1" s="336"/>
    </row>
    <row r="2" spans="1:14" ht="10.5" customHeight="1">
      <c r="A2" s="336"/>
      <c r="B2" s="336"/>
      <c r="C2" s="336"/>
      <c r="D2" s="336"/>
      <c r="E2" s="336"/>
      <c r="F2" s="336"/>
      <c r="G2" s="336"/>
    </row>
    <row r="3" spans="1:14" ht="21.75" customHeight="1">
      <c r="A3" s="337" t="s">
        <v>47</v>
      </c>
      <c r="B3" s="337"/>
      <c r="C3" s="337"/>
      <c r="D3" s="337"/>
      <c r="E3" s="337"/>
      <c r="F3" s="337"/>
      <c r="G3" s="337"/>
    </row>
    <row r="4" spans="1:14" ht="36">
      <c r="A4" s="338" t="s">
        <v>123</v>
      </c>
      <c r="B4" s="338"/>
      <c r="C4" s="168" t="s">
        <v>124</v>
      </c>
      <c r="D4" s="112"/>
      <c r="E4" s="169" t="s">
        <v>88</v>
      </c>
      <c r="F4" s="339"/>
      <c r="G4" s="339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40" t="s">
        <v>125</v>
      </c>
      <c r="G5" s="341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40"/>
      <c r="G6" s="341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35" t="s">
        <v>75</v>
      </c>
      <c r="C44" s="335"/>
      <c r="D44" s="335"/>
      <c r="E44" s="335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7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42"/>
      <c r="B4" s="342"/>
      <c r="C4" s="342"/>
      <c r="D4" s="342"/>
      <c r="E4" s="342"/>
      <c r="F4" s="342"/>
      <c r="G4" s="342"/>
      <c r="H4" s="342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ht="54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42"/>
      <c r="B15" s="342"/>
      <c r="C15" s="342"/>
      <c r="D15" s="342"/>
      <c r="E15" s="342"/>
      <c r="F15" s="342"/>
      <c r="G15" s="342"/>
      <c r="H15" s="342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4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42"/>
      <c r="B18" s="342"/>
      <c r="C18" s="342"/>
      <c r="D18" s="342"/>
      <c r="E18" s="342"/>
      <c r="F18" s="342"/>
      <c r="G18" s="342"/>
      <c r="H18" s="342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4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2.5"/>
  <cols>
    <col min="1" max="1" width="35.85546875" style="236" customWidth="1"/>
    <col min="2" max="16384" width="35.71093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2.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44"/>
      <c r="G1" s="344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45" t="s">
        <v>158</v>
      </c>
      <c r="G2" s="345"/>
      <c r="H2" s="266"/>
    </row>
    <row r="3" spans="1:12" ht="69.75" customHeight="1">
      <c r="A3" s="265"/>
      <c r="B3" s="249"/>
      <c r="C3" s="244"/>
      <c r="E3" s="267" t="s">
        <v>159</v>
      </c>
      <c r="F3" s="346">
        <v>1292977.78</v>
      </c>
      <c r="G3" s="346"/>
      <c r="H3" s="268"/>
    </row>
    <row r="4" spans="1:12" ht="69.75" customHeight="1">
      <c r="A4" s="265"/>
      <c r="B4" s="269"/>
      <c r="C4" s="244"/>
      <c r="E4" s="270" t="s">
        <v>160</v>
      </c>
      <c r="F4" s="343">
        <v>553296</v>
      </c>
      <c r="G4" s="343"/>
      <c r="H4" s="268"/>
    </row>
    <row r="5" spans="1:12" ht="69.75" customHeight="1">
      <c r="A5" s="265"/>
      <c r="B5" s="271"/>
      <c r="C5" s="244"/>
      <c r="E5" s="270" t="s">
        <v>161</v>
      </c>
      <c r="F5" s="343">
        <v>528379</v>
      </c>
      <c r="G5" s="343"/>
      <c r="H5" s="268"/>
    </row>
    <row r="6" spans="1:12" ht="69.75" customHeight="1">
      <c r="A6" s="265"/>
      <c r="B6" s="271"/>
      <c r="C6" s="244"/>
      <c r="E6" s="270" t="s">
        <v>162</v>
      </c>
      <c r="F6" s="343">
        <v>13436.55</v>
      </c>
      <c r="G6" s="343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34CDDA-042B-4180-AA44-3DF18CCC8F85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ab6f10ed-c627-4ef3-be43-403188ac1815"/>
    <ds:schemaRef ds:uri="http://www.w3.org/XML/1998/namespace"/>
    <ds:schemaRef ds:uri="http://schemas.openxmlformats.org/package/2006/metadata/core-properties"/>
    <ds:schemaRef ds:uri="401fae36-edd3-4788-a18a-50cdc6e67760"/>
  </ds:schemaRefs>
</ds:datastoreItem>
</file>

<file path=customXml/itemProps3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Hesham ALY</cp:lastModifiedBy>
  <cp:revision>4</cp:revision>
  <dcterms:created xsi:type="dcterms:W3CDTF">2015-06-05T18:17:20Z</dcterms:created>
  <dcterms:modified xsi:type="dcterms:W3CDTF">2024-02-15T07:45:35Z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