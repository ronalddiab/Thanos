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06"/>
  <workbookPr/>
  <mc:AlternateContent xmlns:mc="http://schemas.openxmlformats.org/markup-compatibility/2006">
    <mc:Choice Requires="x15">
      <x15ac:absPath xmlns:x15ac="http://schemas.microsoft.com/office/spreadsheetml/2010/11/ac" url="C:\Users\bethelrose.diumano\Downloads\"/>
    </mc:Choice>
  </mc:AlternateContent>
  <xr:revisionPtr revIDLastSave="381" documentId="13_ncr:1_{B2510004-F86F-49CF-9DBB-E7139A5B0F3A}" xr6:coauthVersionLast="47" xr6:coauthVersionMax="47" xr10:uidLastSave="{65D9E2C8-4874-492E-9BDA-59EBE13BD6DA}"/>
  <bookViews>
    <workbookView xWindow="-120" yWindow="-120" windowWidth="29040" windowHeight="15840" firstSheet="1" xr2:uid="{00000000-000D-0000-FFFF-FFFF00000000}"/>
  </bookViews>
  <sheets>
    <sheet name="Total Daily " sheetId="3" r:id="rId1"/>
    <sheet name="Submetering Daily " sheetId="2" r:id="rId2"/>
    <sheet name="03 - 2023" sheetId="5" r:id="rId3"/>
  </sheets>
  <definedNames>
    <definedName name="_xlnm.Print_Area" localSheetId="2">'03 - 2023'!$A$1:$J$35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2" l="1"/>
  <c r="R12" i="2"/>
  <c r="Q12" i="2"/>
  <c r="P12" i="2"/>
  <c r="N12" i="2"/>
  <c r="L12" i="2"/>
  <c r="K12" i="2"/>
  <c r="J12" i="2"/>
  <c r="H12" i="2"/>
  <c r="F12" i="2"/>
  <c r="E12" i="2"/>
  <c r="L2" i="3"/>
  <c r="P2" i="2"/>
  <c r="P3" i="2"/>
  <c r="P4" i="2"/>
  <c r="P5" i="2"/>
  <c r="P6" i="2"/>
  <c r="P7" i="2"/>
  <c r="P8" i="2"/>
  <c r="P9" i="2"/>
  <c r="P10" i="2"/>
  <c r="P11" i="2"/>
  <c r="Q2" i="2"/>
  <c r="Q3" i="2"/>
  <c r="Q4" i="2"/>
  <c r="Q5" i="2"/>
  <c r="Q6" i="2"/>
  <c r="Q7" i="2"/>
  <c r="Q8" i="2"/>
  <c r="Q9" i="2"/>
  <c r="Q10" i="2"/>
  <c r="Q11" i="2"/>
  <c r="R3" i="2"/>
  <c r="R4" i="2"/>
  <c r="R5" i="2"/>
  <c r="R6" i="2"/>
  <c r="R7" i="2"/>
  <c r="R8" i="2"/>
  <c r="R9" i="2"/>
  <c r="R10" i="2"/>
  <c r="R11" i="2"/>
  <c r="R13" i="2"/>
  <c r="R14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2" i="2"/>
  <c r="S3" i="2"/>
  <c r="S4" i="2"/>
  <c r="S5" i="2"/>
  <c r="S6" i="2"/>
  <c r="S7" i="2"/>
  <c r="S8" i="2"/>
  <c r="S9" i="2"/>
  <c r="S10" i="2"/>
  <c r="S11" i="2"/>
  <c r="S13" i="2"/>
  <c r="S14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2" i="2"/>
  <c r="R33" i="2"/>
  <c r="I12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" i="3"/>
  <c r="I4" i="3"/>
  <c r="I5" i="3"/>
  <c r="I6" i="3"/>
  <c r="I7" i="3"/>
  <c r="I8" i="3"/>
  <c r="I9" i="3"/>
  <c r="I10" i="3"/>
  <c r="I11" i="3"/>
  <c r="I2" i="3"/>
  <c r="G3" i="3"/>
  <c r="G4" i="3"/>
  <c r="G5" i="3"/>
  <c r="G6" i="3"/>
  <c r="G7" i="3"/>
  <c r="G8" i="3"/>
  <c r="G9" i="3"/>
  <c r="G10" i="3"/>
  <c r="G11" i="3"/>
  <c r="G12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E3" i="3"/>
  <c r="E4" i="3"/>
  <c r="E5" i="3"/>
  <c r="E6" i="3"/>
  <c r="E7" i="3"/>
  <c r="E8" i="3"/>
  <c r="E9" i="3"/>
  <c r="E10" i="3"/>
  <c r="E11" i="3"/>
  <c r="E12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L3" i="3"/>
  <c r="L4" i="3"/>
  <c r="L5" i="3"/>
  <c r="L6" i="3"/>
  <c r="L7" i="3"/>
  <c r="L8" i="3"/>
  <c r="L9" i="3"/>
  <c r="L10" i="3"/>
  <c r="L11" i="3"/>
  <c r="L12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H3" i="2"/>
  <c r="H4" i="2"/>
  <c r="H5" i="2"/>
  <c r="H6" i="2"/>
  <c r="H7" i="2"/>
  <c r="H8" i="2"/>
  <c r="H9" i="2"/>
  <c r="H10" i="2"/>
  <c r="H11" i="2"/>
  <c r="H13" i="2"/>
  <c r="H14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2" i="2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2" i="3"/>
  <c r="N3" i="2"/>
  <c r="N4" i="2"/>
  <c r="N5" i="2"/>
  <c r="N6" i="2"/>
  <c r="N7" i="2"/>
  <c r="N8" i="2"/>
  <c r="N9" i="2"/>
  <c r="N10" i="2"/>
  <c r="N11" i="2"/>
  <c r="N13" i="2"/>
  <c r="I13" i="3" s="1"/>
  <c r="N14" i="2"/>
  <c r="I14" i="3" s="1"/>
  <c r="I15" i="3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2" i="2"/>
  <c r="K11" i="3"/>
  <c r="L11" i="2"/>
  <c r="K11" i="2"/>
  <c r="J11" i="2"/>
  <c r="F11" i="2"/>
  <c r="E11" i="2"/>
  <c r="K10" i="3"/>
  <c r="L10" i="2"/>
  <c r="K10" i="2"/>
  <c r="J10" i="2"/>
  <c r="F10" i="2"/>
  <c r="E10" i="2"/>
  <c r="Q32" i="2"/>
  <c r="P32" i="2"/>
  <c r="Q31" i="2"/>
  <c r="P31" i="2"/>
  <c r="Q30" i="2"/>
  <c r="P30" i="2"/>
  <c r="Q29" i="2"/>
  <c r="P29" i="2"/>
  <c r="Q28" i="2"/>
  <c r="P28" i="2"/>
  <c r="Q27" i="2"/>
  <c r="P27" i="2"/>
  <c r="Q26" i="2"/>
  <c r="P26" i="2"/>
  <c r="Q25" i="2"/>
  <c r="P25" i="2"/>
  <c r="Q24" i="2"/>
  <c r="P24" i="2"/>
  <c r="Q23" i="2"/>
  <c r="P23" i="2"/>
  <c r="Q22" i="2"/>
  <c r="P22" i="2"/>
  <c r="Q21" i="2"/>
  <c r="P21" i="2"/>
  <c r="Q20" i="2"/>
  <c r="P20" i="2"/>
  <c r="Q19" i="2"/>
  <c r="P19" i="2"/>
  <c r="Q18" i="2"/>
  <c r="P18" i="2"/>
  <c r="Q17" i="2"/>
  <c r="P17" i="2"/>
  <c r="Q16" i="2"/>
  <c r="P16" i="2"/>
  <c r="Q14" i="2"/>
  <c r="P14" i="2"/>
  <c r="Q13" i="2"/>
  <c r="P13" i="2"/>
  <c r="K6" i="3"/>
  <c r="L6" i="2"/>
  <c r="K6" i="2"/>
  <c r="J6" i="2"/>
  <c r="F6" i="2"/>
  <c r="E6" i="2"/>
  <c r="K5" i="3"/>
  <c r="L5" i="2"/>
  <c r="K5" i="2"/>
  <c r="J5" i="2"/>
  <c r="F5" i="2"/>
  <c r="E5" i="2"/>
  <c r="K4" i="3"/>
  <c r="L4" i="2"/>
  <c r="K4" i="2"/>
  <c r="J4" i="2"/>
  <c r="F4" i="2"/>
  <c r="E4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4" i="2"/>
  <c r="L13" i="2"/>
  <c r="L9" i="2"/>
  <c r="L8" i="2"/>
  <c r="L7" i="2"/>
  <c r="L3" i="2"/>
  <c r="L2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4" i="2"/>
  <c r="K13" i="2"/>
  <c r="K9" i="2"/>
  <c r="K8" i="2"/>
  <c r="K7" i="2"/>
  <c r="K3" i="2"/>
  <c r="K2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G15" i="3"/>
  <c r="J14" i="2"/>
  <c r="G14" i="3" s="1"/>
  <c r="J13" i="2"/>
  <c r="G13" i="3" s="1"/>
  <c r="J9" i="2"/>
  <c r="J8" i="2"/>
  <c r="J7" i="2"/>
  <c r="J3" i="2"/>
  <c r="J2" i="2"/>
  <c r="K3" i="3"/>
  <c r="F3" i="2"/>
  <c r="E3" i="2"/>
  <c r="K30" i="3"/>
  <c r="F32" i="2"/>
  <c r="E32" i="2"/>
  <c r="E31" i="2"/>
  <c r="E30" i="2"/>
  <c r="K32" i="3"/>
  <c r="K31" i="3"/>
  <c r="K29" i="3"/>
  <c r="F29" i="2"/>
  <c r="E29" i="2"/>
  <c r="F26" i="2"/>
  <c r="E26" i="2"/>
  <c r="K26" i="3"/>
  <c r="K25" i="3"/>
  <c r="F25" i="2"/>
  <c r="E25" i="2"/>
  <c r="K24" i="3"/>
  <c r="F24" i="2"/>
  <c r="E24" i="2"/>
  <c r="F22" i="2"/>
  <c r="E22" i="2"/>
  <c r="K23" i="3"/>
  <c r="K22" i="3"/>
  <c r="K19" i="3"/>
  <c r="F19" i="2"/>
  <c r="E19" i="2"/>
  <c r="K18" i="3"/>
  <c r="F18" i="2"/>
  <c r="E18" i="2"/>
  <c r="K17" i="3"/>
  <c r="F17" i="2"/>
  <c r="E17" i="2"/>
  <c r="K16" i="3"/>
  <c r="F16" i="2"/>
  <c r="E16" i="2"/>
  <c r="E15" i="3"/>
  <c r="F14" i="2"/>
  <c r="E14" i="2"/>
  <c r="E14" i="3" s="1"/>
  <c r="F13" i="2"/>
  <c r="E13" i="2"/>
  <c r="E13" i="3" s="1"/>
  <c r="K14" i="3"/>
  <c r="K13" i="3"/>
  <c r="K9" i="3"/>
  <c r="F9" i="2"/>
  <c r="E9" i="2"/>
  <c r="K28" i="3"/>
  <c r="F28" i="2"/>
  <c r="E28" i="2"/>
  <c r="K27" i="3"/>
  <c r="F27" i="2"/>
  <c r="E27" i="2"/>
  <c r="L15" i="3" l="1"/>
  <c r="L14" i="3"/>
  <c r="L13" i="3"/>
  <c r="F31" i="2"/>
  <c r="F30" i="2"/>
  <c r="K21" i="3"/>
  <c r="F21" i="2"/>
  <c r="E21" i="2"/>
  <c r="K20" i="3" l="1"/>
  <c r="F20" i="2"/>
  <c r="E20" i="2"/>
  <c r="K8" i="3" l="1"/>
  <c r="F8" i="2"/>
  <c r="E8" i="2"/>
  <c r="K7" i="3" l="1"/>
  <c r="F7" i="2"/>
  <c r="E7" i="2"/>
  <c r="F23" i="2" l="1"/>
  <c r="E23" i="2"/>
  <c r="F2" i="2" l="1"/>
  <c r="E2" i="2"/>
  <c r="K2" i="3" l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<sst xmlns="http://schemas.openxmlformats.org/spreadsheetml/2006/main" count="123" uniqueCount="50">
  <si>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</si>
  <si>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</si>
  <si>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</si>
  <si>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</si>
  <si>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</si>
  <si>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</si>
  <si>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</si>
  <si>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</si>
  <si>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</si>
  <si>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</si>
  <si>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</si>
  <si>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</si>
  <si>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</si>
  <si>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Total Guest</t>
  </si>
  <si>
    <t>Dubai DIFC</t>
  </si>
  <si>
    <t>Panel LV1  Kwh</t>
  </si>
  <si>
    <t>Panel LV2 Kwh</t>
  </si>
  <si>
    <t>Main Kitchen LPG (Kg)</t>
  </si>
  <si>
    <t>Podium Kitchen LPG (Kg)</t>
  </si>
  <si>
    <t>Boiler LPG (Kg)</t>
  </si>
  <si>
    <t>District Energy Cooling (kWh)</t>
  </si>
  <si>
    <t>Water C AVLI (m3)</t>
  </si>
  <si>
    <t>Water H AVLI (m3)</t>
  </si>
  <si>
    <t>Electricity AVLI (kWh)</t>
  </si>
  <si>
    <t>AVLI District Energy Cooling (kWh)</t>
  </si>
  <si>
    <t xml:space="preserve">FOUR SEASONS HOTEL - DIFC </t>
  </si>
  <si>
    <t>HLP READING MONTH OF MARCH' 2023</t>
  </si>
  <si>
    <t>Electricity</t>
  </si>
  <si>
    <t>LPG (cu.m)</t>
  </si>
  <si>
    <t>Water (cu.m)</t>
  </si>
  <si>
    <t>BTU</t>
  </si>
  <si>
    <t>Date</t>
  </si>
  <si>
    <t xml:space="preserve">LV-01,  2025952759 </t>
  </si>
  <si>
    <t>LV-2, 2030235407</t>
  </si>
  <si>
    <t>Main Meter %</t>
  </si>
  <si>
    <t>Main Kitchen</t>
  </si>
  <si>
    <t>Podium Kitchen</t>
  </si>
  <si>
    <t>Boiler</t>
  </si>
  <si>
    <t>B-3 Water Meter (DIFC)</t>
  </si>
  <si>
    <t>MainWater Meter (DEWA)</t>
  </si>
  <si>
    <t xml:space="preserve">Chilled Water (KWH) </t>
  </si>
  <si>
    <t>Electricity (AVLI)</t>
  </si>
  <si>
    <t>Chilled Water (AVLI)</t>
  </si>
  <si>
    <t>Domestic Water (AVLI)</t>
  </si>
  <si>
    <t>Hot Water (AVLI)</t>
  </si>
  <si>
    <t>Electricity (kwh)</t>
  </si>
  <si>
    <t>Chilled Water</t>
  </si>
  <si>
    <t>Gas Received (Litres)</t>
  </si>
  <si>
    <t>Remark</t>
  </si>
  <si>
    <t>Readings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</si>
</sst>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2" fontId="0" fillId="0" borderId="0" xfId="0" applyNumberFormat="1" applyAlignment="1">
      <alignment wrapText="1"/>
    </xf>
    <xf numFmtId="0" fontId="2" fillId="0" borderId="0" xfId="0" applyFont="1"/>
    <xf numFmtId="1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/>
    </xf>
    <xf numFmtId="1" fontId="5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1" applyNumberFormat="1" applyFont="1" applyBorder="1" applyAlignment="1">
      <alignment horizontal="right"/>
    </xf>
    <xf numFmtId="0" fontId="3" fillId="0" borderId="0" xfId="0" applyFont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/>
    </xf>
    <xf numFmtId="15" fontId="6" fillId="0" borderId="6" xfId="0" applyNumberFormat="1" applyFont="1" applyBorder="1" applyAlignment="1">
      <alignment horizontal="center" vertical="center"/>
    </xf>
    <xf numFmtId="15" fontId="4" fillId="0" borderId="8" xfId="0" applyNumberFormat="1" applyFont="1" applyBorder="1" applyAlignment="1">
      <alignment horizontal="center" vertical="center"/>
    </xf>
    <xf numFmtId="15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1" fillId="3" borderId="1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3" fontId="4" fillId="0" borderId="3" xfId="2" applyFont="1" applyBorder="1" applyAlignment="1">
      <alignment horizontal="center" vertical="center"/>
    </xf>
    <xf numFmtId="43" fontId="4" fillId="0" borderId="3" xfId="2" applyFont="1" applyFill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1" fillId="3" borderId="27" xfId="0" applyFont="1" applyFill="1" applyBorder="1" applyAlignment="1">
      <alignment horizontal="center" vertical="center" wrapText="1"/>
    </xf>
    <xf numFmtId="0" fontId="11" fillId="5" borderId="27" xfId="0" applyFont="1" applyFill="1" applyBorder="1" applyAlignment="1">
      <alignment horizontal="center" vertical="center" wrapText="1"/>
    </xf>
    <xf numFmtId="43" fontId="6" fillId="0" borderId="7" xfId="0" applyNumberFormat="1" applyFont="1" applyBorder="1" applyAlignment="1">
      <alignment horizontal="center" vertical="center"/>
    </xf>
    <xf numFmtId="43" fontId="6" fillId="0" borderId="14" xfId="0" applyNumberFormat="1" applyFont="1" applyBorder="1" applyAlignment="1">
      <alignment horizontal="center" vertical="center"/>
    </xf>
    <xf numFmtId="43" fontId="6" fillId="0" borderId="7" xfId="2" applyFont="1" applyFill="1" applyBorder="1" applyAlignment="1" applyProtection="1">
      <alignment horizontal="center" vertical="center"/>
      <protection locked="0"/>
    </xf>
    <xf numFmtId="43" fontId="4" fillId="0" borderId="2" xfId="0" applyNumberFormat="1" applyFont="1" applyBorder="1" applyAlignment="1">
      <alignment horizontal="center" vertical="center"/>
    </xf>
    <xf numFmtId="43" fontId="4" fillId="0" borderId="15" xfId="0" applyNumberFormat="1" applyFont="1" applyBorder="1" applyAlignment="1">
      <alignment horizontal="center" vertical="center"/>
    </xf>
    <xf numFmtId="43" fontId="4" fillId="0" borderId="2" xfId="2" applyFont="1" applyFill="1" applyBorder="1" applyAlignment="1" applyProtection="1">
      <alignment horizontal="center" vertical="center"/>
      <protection locked="0"/>
    </xf>
    <xf numFmtId="43" fontId="4" fillId="0" borderId="2" xfId="2" applyFont="1" applyBorder="1" applyAlignment="1">
      <alignment horizontal="center" vertical="center"/>
    </xf>
    <xf numFmtId="43" fontId="4" fillId="0" borderId="3" xfId="0" applyNumberFormat="1" applyFont="1" applyBorder="1" applyAlignment="1">
      <alignment horizontal="center" vertical="center"/>
    </xf>
    <xf numFmtId="43" fontId="4" fillId="0" borderId="16" xfId="2" applyFont="1" applyBorder="1" applyAlignment="1">
      <alignment horizontal="center" vertical="center"/>
    </xf>
    <xf numFmtId="43" fontId="4" fillId="0" borderId="10" xfId="0" applyNumberFormat="1" applyFont="1" applyBorder="1" applyAlignment="1">
      <alignment horizontal="center" vertical="center"/>
    </xf>
    <xf numFmtId="43" fontId="4" fillId="0" borderId="18" xfId="0" applyNumberFormat="1" applyFont="1" applyBorder="1" applyAlignment="1">
      <alignment horizontal="center" vertical="center"/>
    </xf>
    <xf numFmtId="43" fontId="6" fillId="0" borderId="10" xfId="0" applyNumberFormat="1" applyFont="1" applyBorder="1" applyAlignment="1">
      <alignment horizontal="center" vertical="center"/>
    </xf>
    <xf numFmtId="1" fontId="1" fillId="0" borderId="0" xfId="1" applyNumberFormat="1" applyFont="1" applyBorder="1" applyAlignment="1">
      <alignment horizontal="right"/>
    </xf>
    <xf numFmtId="0" fontId="2" fillId="0" borderId="0" xfId="0" applyFont="1" applyAlignment="1">
      <alignment horizontal="center" wrapText="1"/>
    </xf>
    <xf numFmtId="9" fontId="6" fillId="0" borderId="7" xfId="0" applyNumberFormat="1" applyFont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43" fontId="12" fillId="0" borderId="15" xfId="2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9" fillId="0" borderId="0" xfId="0" applyFont="1" applyAlignment="1">
      <alignment wrapText="1"/>
    </xf>
    <xf numFmtId="1" fontId="9" fillId="0" borderId="0" xfId="0" applyNumberFormat="1" applyFont="1"/>
    <xf numFmtId="0" fontId="9" fillId="0" borderId="0" xfId="0" applyFont="1"/>
    <xf numFmtId="43" fontId="4" fillId="0" borderId="10" xfId="2" applyFont="1" applyBorder="1" applyAlignment="1">
      <alignment horizontal="center" vertical="center"/>
    </xf>
    <xf numFmtId="43" fontId="12" fillId="0" borderId="10" xfId="2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3" fontId="4" fillId="0" borderId="10" xfId="2" applyFont="1" applyFill="1" applyBorder="1" applyAlignment="1">
      <alignment horizontal="center" vertical="center"/>
    </xf>
    <xf numFmtId="43" fontId="12" fillId="0" borderId="10" xfId="0" applyNumberFormat="1" applyFont="1" applyBorder="1" applyAlignment="1">
      <alignment vertical="center"/>
    </xf>
    <xf numFmtId="43" fontId="12" fillId="0" borderId="10" xfId="0" applyNumberFormat="1" applyFont="1" applyBorder="1" applyAlignment="1" applyProtection="1">
      <alignment vertical="center"/>
      <protection locked="0"/>
    </xf>
    <xf numFmtId="43" fontId="4" fillId="0" borderId="16" xfId="2" applyFont="1" applyFill="1" applyBorder="1" applyAlignment="1">
      <alignment horizontal="center" vertical="center"/>
    </xf>
    <xf numFmtId="43" fontId="4" fillId="0" borderId="9" xfId="2" applyFont="1" applyBorder="1" applyAlignment="1">
      <alignment horizontal="center" vertical="center"/>
    </xf>
    <xf numFmtId="43" fontId="12" fillId="0" borderId="17" xfId="2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43" fontId="12" fillId="0" borderId="10" xfId="2" applyFont="1" applyFill="1" applyBorder="1" applyAlignment="1" applyProtection="1">
      <alignment horizontal="center" vertical="center"/>
      <protection locked="0"/>
    </xf>
    <xf numFmtId="43" fontId="4" fillId="0" borderId="3" xfId="2" applyFont="1" applyBorder="1" applyAlignment="1" applyProtection="1">
      <alignment horizontal="center" vertical="center"/>
      <protection locked="0"/>
    </xf>
    <xf numFmtId="43" fontId="6" fillId="0" borderId="7" xfId="2" applyFont="1" applyBorder="1" applyAlignment="1" applyProtection="1">
      <alignment horizontal="center" vertical="center"/>
      <protection locked="0"/>
    </xf>
    <xf numFmtId="43" fontId="4" fillId="0" borderId="2" xfId="2" applyFont="1" applyBorder="1" applyAlignment="1" applyProtection="1">
      <alignment horizontal="center" vertical="center"/>
      <protection locked="0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wrapText="1"/>
    </xf>
    <xf numFmtId="43" fontId="9" fillId="0" borderId="0" xfId="0" applyNumberFormat="1" applyFont="1"/>
    <xf numFmtId="43" fontId="0" fillId="0" borderId="0" xfId="0" applyNumberFormat="1"/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3" borderId="28" xfId="0" applyFont="1" applyFill="1" applyBorder="1" applyAlignment="1">
      <alignment horizontal="center" vertical="center"/>
    </xf>
    <xf numFmtId="0" fontId="10" fillId="3" borderId="29" xfId="0" applyFont="1" applyFill="1" applyBorder="1" applyAlignment="1">
      <alignment horizontal="center" vertical="center"/>
    </xf>
    <xf numFmtId="0" fontId="10" fillId="3" borderId="30" xfId="0" applyFont="1" applyFill="1" applyBorder="1" applyAlignment="1">
      <alignment horizontal="center" vertical="center"/>
    </xf>
    <xf numFmtId="43" fontId="4" fillId="0" borderId="3" xfId="2" applyFont="1" applyFill="1" applyBorder="1" applyAlignment="1" applyProtection="1">
      <alignment horizontal="center" vertical="center"/>
      <protection locked="0"/>
    </xf>
    <xf numFmtId="43" fontId="12" fillId="0" borderId="3" xfId="2" applyFont="1" applyFill="1" applyBorder="1" applyAlignment="1">
      <alignment horizontal="center" vertical="center"/>
    </xf>
    <xf numFmtId="43" fontId="12" fillId="0" borderId="3" xfId="2" applyFont="1" applyFill="1" applyBorder="1" applyAlignment="1" applyProtection="1">
      <alignment horizontal="center" vertical="center"/>
      <protection locked="0"/>
    </xf>
    <xf numFmtId="43" fontId="12" fillId="0" borderId="10" xfId="0" applyNumberFormat="1" applyFont="1" applyBorder="1" applyAlignment="1">
      <alignment horizontal="center" vertical="center"/>
    </xf>
    <xf numFmtId="43" fontId="4" fillId="0" borderId="10" xfId="0" applyNumberFormat="1" applyFont="1" applyBorder="1" applyAlignment="1">
      <alignment horizontal="center"/>
    </xf>
    <xf numFmtId="15" fontId="4" fillId="0" borderId="34" xfId="0" applyNumberFormat="1" applyFont="1" applyBorder="1" applyAlignment="1">
      <alignment horizontal="center" vertical="center"/>
    </xf>
    <xf numFmtId="15" fontId="4" fillId="0" borderId="35" xfId="0" applyNumberFormat="1" applyFont="1" applyBorder="1" applyAlignment="1">
      <alignment horizontal="center" vertical="center"/>
    </xf>
    <xf numFmtId="15" fontId="4" fillId="0" borderId="36" xfId="0" applyNumberFormat="1" applyFont="1" applyBorder="1" applyAlignment="1">
      <alignment horizontal="center" vertical="center"/>
    </xf>
    <xf numFmtId="43" fontId="4" fillId="0" borderId="9" xfId="2" applyFont="1" applyBorder="1" applyAlignment="1" applyProtection="1">
      <alignment horizontal="center" vertical="center"/>
      <protection locked="0"/>
    </xf>
    <xf numFmtId="9" fontId="4" fillId="0" borderId="9" xfId="0" applyNumberFormat="1" applyFont="1" applyBorder="1" applyAlignment="1">
      <alignment horizontal="center" vertical="center"/>
    </xf>
    <xf numFmtId="43" fontId="4" fillId="0" borderId="9" xfId="2" applyFont="1" applyFill="1" applyBorder="1" applyAlignment="1" applyProtection="1">
      <alignment horizontal="center" vertical="center"/>
      <protection locked="0"/>
    </xf>
    <xf numFmtId="43" fontId="4" fillId="0" borderId="37" xfId="0" applyNumberFormat="1" applyFont="1" applyBorder="1" applyAlignment="1">
      <alignment horizontal="center" vertical="center"/>
    </xf>
    <xf numFmtId="43" fontId="12" fillId="0" borderId="9" xfId="2" applyFont="1" applyFill="1" applyBorder="1" applyAlignment="1" applyProtection="1">
      <alignment horizontal="center" vertical="center"/>
      <protection locked="0"/>
    </xf>
    <xf numFmtId="43" fontId="4" fillId="0" borderId="38" xfId="0" applyNumberFormat="1" applyFont="1" applyBorder="1" applyAlignment="1">
      <alignment horizontal="center" vertical="center"/>
    </xf>
    <xf numFmtId="43" fontId="6" fillId="0" borderId="38" xfId="0" applyNumberFormat="1" applyFont="1" applyBorder="1" applyAlignment="1">
      <alignment horizontal="center" vertical="center"/>
    </xf>
    <xf numFmtId="43" fontId="4" fillId="0" borderId="39" xfId="0" applyNumberFormat="1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2"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Q13" sqref="Q13"/>
    </sheetView>
  </sheetViews>
  <sheetFormatPr defaultColWidth="11.5703125" defaultRowHeight="1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1" max="12" width="11.5703125" style="71"/>
    <col min="13" max="13" width="11.5703125" style="1"/>
    <col min="14" max="14" width="11.5703125" style="12"/>
    <col min="251" max="251" width="13.42578125" customWidth="1"/>
    <col min="252" max="253" width="12.5703125" customWidth="1"/>
  </cols>
  <sheetData>
    <row r="1" spans="1:15" ht="60.75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69" t="s">
        <v>10</v>
      </c>
      <c r="L1" s="69" t="s">
        <v>10</v>
      </c>
      <c r="M1" s="5" t="s">
        <v>11</v>
      </c>
      <c r="N1" s="13" t="s">
        <v>12</v>
      </c>
      <c r="O1" s="2" t="s">
        <v>13</v>
      </c>
    </row>
    <row r="2" spans="1:15">
      <c r="A2" t="s">
        <v>14</v>
      </c>
      <c r="B2">
        <v>1</v>
      </c>
      <c r="C2">
        <v>3</v>
      </c>
      <c r="D2">
        <v>2023</v>
      </c>
      <c r="E2" s="4">
        <f>'Submetering Daily '!E2+'Submetering Daily '!F2</f>
        <v>9607</v>
      </c>
      <c r="F2">
        <v>0.11799999999999999</v>
      </c>
      <c r="G2" s="4">
        <f>'Submetering Daily '!J2+'Submetering Daily '!K2+'Submetering Daily '!L2</f>
        <v>129.29489999999282</v>
      </c>
      <c r="H2">
        <v>0.99</v>
      </c>
      <c r="I2" s="4">
        <f>'Submetering Daily '!N2</f>
        <v>16336</v>
      </c>
      <c r="J2">
        <f>'Submetering Daily '!O2</f>
        <v>8.1000000000000003E-2</v>
      </c>
      <c r="K2" s="70">
        <f>'03 - 2023'!H8-'03 - 2023'!H7</f>
        <v>0</v>
      </c>
      <c r="L2" s="70">
        <f>'Submetering Daily '!H2-'Submetering Daily '!P2-'Submetering Daily '!Q2</f>
        <v>104.58999999999924</v>
      </c>
      <c r="M2" s="1">
        <v>4.393629424766913</v>
      </c>
      <c r="N2" s="10">
        <v>99</v>
      </c>
      <c r="O2">
        <v>117</v>
      </c>
    </row>
    <row r="3" spans="1:15">
      <c r="A3" t="s">
        <v>14</v>
      </c>
      <c r="B3">
        <f>B2+1</f>
        <v>2</v>
      </c>
      <c r="C3">
        <v>3</v>
      </c>
      <c r="D3">
        <v>2023</v>
      </c>
      <c r="E3" s="4">
        <f>'Submetering Daily '!E3+'Submetering Daily '!F3</f>
        <v>9482</v>
      </c>
      <c r="F3">
        <v>0.11799999999999999</v>
      </c>
      <c r="G3" s="4">
        <f>'Submetering Daily '!J3+'Submetering Daily '!K3+'Submetering Daily '!L3</f>
        <v>127.93409999999409</v>
      </c>
      <c r="H3">
        <v>0.99</v>
      </c>
      <c r="I3" s="4">
        <f>'Submetering Daily '!N3</f>
        <v>16663</v>
      </c>
      <c r="J3">
        <f>'Submetering Daily '!O3</f>
        <v>8.1000000000000003E-2</v>
      </c>
      <c r="K3" s="70">
        <f>'03 - 2023'!H9-'03 - 2023'!H8</f>
        <v>0</v>
      </c>
      <c r="L3" s="70">
        <f>'Submetering Daily '!H3-'Submetering Daily '!P3-'Submetering Daily '!Q3</f>
        <v>99.099999999999454</v>
      </c>
      <c r="M3" s="1">
        <v>4.393629424766913</v>
      </c>
      <c r="N3" s="17">
        <v>100</v>
      </c>
      <c r="O3">
        <v>116</v>
      </c>
    </row>
    <row r="4" spans="1:15">
      <c r="A4" t="s">
        <v>14</v>
      </c>
      <c r="B4">
        <f t="shared" ref="B4:B29" si="0">B3+1</f>
        <v>3</v>
      </c>
      <c r="C4">
        <v>3</v>
      </c>
      <c r="D4">
        <v>2023</v>
      </c>
      <c r="E4" s="4">
        <f>'Submetering Daily '!E4+'Submetering Daily '!F4</f>
        <v>9748</v>
      </c>
      <c r="F4">
        <v>0.11799999999999999</v>
      </c>
      <c r="G4" s="4">
        <f>'Submetering Daily '!J4+'Submetering Daily '!K4+'Submetering Daily '!L4</f>
        <v>120.58200000001237</v>
      </c>
      <c r="H4">
        <v>0.99</v>
      </c>
      <c r="I4" s="4">
        <f>'Submetering Daily '!N4</f>
        <v>16918</v>
      </c>
      <c r="J4">
        <f>'Submetering Daily '!O4</f>
        <v>8.1000000000000003E-2</v>
      </c>
      <c r="K4" s="70">
        <f>'03 - 2023'!H10-'03 - 2023'!H9</f>
        <v>0</v>
      </c>
      <c r="L4" s="70">
        <f>'Submetering Daily '!H4-'Submetering Daily '!P4-'Submetering Daily '!Q4</f>
        <v>97.809999999999945</v>
      </c>
      <c r="M4" s="1">
        <v>4.393629424766913</v>
      </c>
      <c r="N4" s="10">
        <v>103</v>
      </c>
      <c r="O4" s="62">
        <v>130</v>
      </c>
    </row>
    <row r="5" spans="1:15">
      <c r="A5" t="s">
        <v>14</v>
      </c>
      <c r="B5">
        <f t="shared" si="0"/>
        <v>4</v>
      </c>
      <c r="C5">
        <v>3</v>
      </c>
      <c r="D5">
        <v>2023</v>
      </c>
      <c r="E5" s="4">
        <f>'Submetering Daily '!E5+'Submetering Daily '!F5</f>
        <v>10136</v>
      </c>
      <c r="F5">
        <v>0.11799999999999999</v>
      </c>
      <c r="G5" s="4">
        <f>'Submetering Daily '!J5+'Submetering Daily '!K5+'Submetering Daily '!L5</f>
        <v>141.82560000000166</v>
      </c>
      <c r="H5">
        <v>0.99</v>
      </c>
      <c r="I5" s="4">
        <f>'Submetering Daily '!N5</f>
        <v>19171</v>
      </c>
      <c r="J5">
        <f>'Submetering Daily '!O5</f>
        <v>8.1000000000000003E-2</v>
      </c>
      <c r="K5" s="70">
        <f>'03 - 2023'!H11-'03 - 2023'!H10</f>
        <v>0</v>
      </c>
      <c r="L5" s="70">
        <f>'Submetering Daily '!H5-'Submetering Daily '!P5-'Submetering Daily '!Q5</f>
        <v>116.99000000000024</v>
      </c>
      <c r="M5" s="1">
        <v>4.393629424766913</v>
      </c>
      <c r="N5" s="10">
        <v>104</v>
      </c>
      <c r="O5">
        <v>145</v>
      </c>
    </row>
    <row r="6" spans="1:15">
      <c r="A6" t="s">
        <v>14</v>
      </c>
      <c r="B6">
        <f t="shared" si="0"/>
        <v>5</v>
      </c>
      <c r="C6">
        <v>3</v>
      </c>
      <c r="D6">
        <v>2023</v>
      </c>
      <c r="E6" s="4">
        <f>'Submetering Daily '!E6+'Submetering Daily '!F6</f>
        <v>9805</v>
      </c>
      <c r="F6">
        <v>0.11799999999999999</v>
      </c>
      <c r="G6" s="4">
        <f>'Submetering Daily '!J6+'Submetering Daily '!K6+'Submetering Daily '!L6</f>
        <v>128.69009999999682</v>
      </c>
      <c r="H6">
        <v>0.99</v>
      </c>
      <c r="I6" s="4">
        <f>'Submetering Daily '!N6</f>
        <v>17757</v>
      </c>
      <c r="J6">
        <f>'Submetering Daily '!O6</f>
        <v>8.1000000000000003E-2</v>
      </c>
      <c r="K6" s="70">
        <f>'03 - 2023'!H12-'03 - 2023'!H11</f>
        <v>0</v>
      </c>
      <c r="L6" s="70">
        <f>'Submetering Daily '!H6-'Submetering Daily '!P6-'Submetering Daily '!Q6</f>
        <v>96.600000000000364</v>
      </c>
      <c r="M6" s="1">
        <v>4.393629424766913</v>
      </c>
      <c r="N6" s="10">
        <v>81</v>
      </c>
      <c r="O6" s="10">
        <v>117</v>
      </c>
    </row>
    <row r="7" spans="1:15">
      <c r="A7" t="s">
        <v>14</v>
      </c>
      <c r="B7">
        <f t="shared" si="0"/>
        <v>6</v>
      </c>
      <c r="C7">
        <v>3</v>
      </c>
      <c r="D7">
        <v>2023</v>
      </c>
      <c r="E7" s="4">
        <f>'Submetering Daily '!E7+'Submetering Daily '!F7</f>
        <v>9649</v>
      </c>
      <c r="F7">
        <v>0.11799999999999999</v>
      </c>
      <c r="G7" s="4">
        <f>'Submetering Daily '!J7+'Submetering Daily '!K7+'Submetering Daily '!L7</f>
        <v>121.73489999998941</v>
      </c>
      <c r="H7">
        <v>0.99</v>
      </c>
      <c r="I7" s="4">
        <f>'Submetering Daily '!N7</f>
        <v>15704</v>
      </c>
      <c r="J7">
        <f>'Submetering Daily '!O7</f>
        <v>8.1000000000000003E-2</v>
      </c>
      <c r="K7" s="70">
        <f>'03 - 2023'!H13-'03 - 2023'!H12</f>
        <v>0</v>
      </c>
      <c r="L7" s="70">
        <f>'Submetering Daily '!H7-'Submetering Daily '!P7-'Submetering Daily '!Q7</f>
        <v>96.649999999999181</v>
      </c>
      <c r="M7" s="1">
        <v>4.393629424766913</v>
      </c>
      <c r="N7" s="10">
        <v>82</v>
      </c>
      <c r="O7" s="10">
        <v>119</v>
      </c>
    </row>
    <row r="8" spans="1:15">
      <c r="A8" t="s">
        <v>14</v>
      </c>
      <c r="B8">
        <f t="shared" si="0"/>
        <v>7</v>
      </c>
      <c r="C8">
        <v>3</v>
      </c>
      <c r="D8">
        <v>2023</v>
      </c>
      <c r="E8" s="4">
        <f>'Submetering Daily '!E8+'Submetering Daily '!F8</f>
        <v>9702</v>
      </c>
      <c r="F8">
        <v>0.11799999999999999</v>
      </c>
      <c r="G8" s="4">
        <f>'Submetering Daily '!J8+'Submetering Daily '!K8+'Submetering Daily '!L8</f>
        <v>131.90310000000682</v>
      </c>
      <c r="H8">
        <v>0.99</v>
      </c>
      <c r="I8" s="4">
        <f>'Submetering Daily '!N8</f>
        <v>15711</v>
      </c>
      <c r="J8">
        <f>'Submetering Daily '!O8</f>
        <v>8.1000000000000003E-2</v>
      </c>
      <c r="K8" s="70">
        <f>'03 - 2023'!H14-'03 - 2023'!H13</f>
        <v>0</v>
      </c>
      <c r="L8" s="70">
        <f>'Submetering Daily '!H8-'Submetering Daily '!P8-'Submetering Daily '!Q8</f>
        <v>97.0600000000004</v>
      </c>
      <c r="M8" s="1">
        <v>4.393629424766913</v>
      </c>
      <c r="N8" s="10">
        <v>104</v>
      </c>
      <c r="O8" s="10">
        <v>137</v>
      </c>
    </row>
    <row r="9" spans="1:15">
      <c r="A9" t="s">
        <v>14</v>
      </c>
      <c r="B9">
        <f t="shared" si="0"/>
        <v>8</v>
      </c>
      <c r="C9">
        <v>3</v>
      </c>
      <c r="D9">
        <v>2023</v>
      </c>
      <c r="E9" s="4">
        <f>'Submetering Daily '!E9+'Submetering Daily '!F9</f>
        <v>9594</v>
      </c>
      <c r="F9">
        <v>0.11799999999999999</v>
      </c>
      <c r="G9" s="4">
        <f>'Submetering Daily '!J9+'Submetering Daily '!K9+'Submetering Daily '!L9</f>
        <v>134.22780000000256</v>
      </c>
      <c r="H9">
        <v>0.99</v>
      </c>
      <c r="I9" s="4">
        <f>'Submetering Daily '!N9</f>
        <v>16121</v>
      </c>
      <c r="J9">
        <f>'Submetering Daily '!O9</f>
        <v>8.1000000000000003E-2</v>
      </c>
      <c r="K9" s="70">
        <f>'03 - 2023'!H15-'03 - 2023'!H14</f>
        <v>0</v>
      </c>
      <c r="L9" s="70">
        <f>'Submetering Daily '!H9-'Submetering Daily '!P9-'Submetering Daily '!Q9</f>
        <v>89.330000000001291</v>
      </c>
      <c r="M9" s="1">
        <v>4.393629424766913</v>
      </c>
      <c r="N9" s="10">
        <v>102</v>
      </c>
      <c r="O9" s="10">
        <v>130</v>
      </c>
    </row>
    <row r="10" spans="1:15">
      <c r="A10" t="s">
        <v>14</v>
      </c>
      <c r="B10">
        <f t="shared" si="0"/>
        <v>9</v>
      </c>
      <c r="C10">
        <v>3</v>
      </c>
      <c r="D10">
        <v>2023</v>
      </c>
      <c r="E10" s="4">
        <f>'Submetering Daily '!E10+'Submetering Daily '!F10</f>
        <v>9808</v>
      </c>
      <c r="F10">
        <v>0.11799999999999999</v>
      </c>
      <c r="G10" s="4">
        <f>'Submetering Daily '!J10+'Submetering Daily '!K10+'Submetering Daily '!L10</f>
        <v>120.44969999999057</v>
      </c>
      <c r="H10">
        <v>0.99</v>
      </c>
      <c r="I10" s="4">
        <f>'Submetering Daily '!N10</f>
        <v>16463</v>
      </c>
      <c r="J10">
        <f>'Submetering Daily '!O10</f>
        <v>8.1000000000000003E-2</v>
      </c>
      <c r="K10" s="70">
        <f>'03 - 2023'!H16-'03 - 2023'!H15</f>
        <v>0</v>
      </c>
      <c r="L10" s="70">
        <f>'Submetering Daily '!H10-'Submetering Daily '!P10-'Submetering Daily '!Q10</f>
        <v>99.149999999999636</v>
      </c>
      <c r="M10" s="1">
        <v>4.393629424766913</v>
      </c>
      <c r="N10" s="10">
        <v>106</v>
      </c>
      <c r="O10">
        <v>132</v>
      </c>
    </row>
    <row r="11" spans="1:15">
      <c r="A11" t="s">
        <v>14</v>
      </c>
      <c r="B11">
        <f t="shared" si="0"/>
        <v>10</v>
      </c>
      <c r="C11">
        <v>3</v>
      </c>
      <c r="D11">
        <v>2023</v>
      </c>
      <c r="E11" s="4">
        <f>'Submetering Daily '!E11+'Submetering Daily '!F11</f>
        <v>9866</v>
      </c>
      <c r="F11">
        <v>0.11799999999999999</v>
      </c>
      <c r="G11" s="4">
        <f>'Submetering Daily '!J11+'Submetering Daily '!K11+'Submetering Daily '!L11</f>
        <v>144.45270000000571</v>
      </c>
      <c r="H11">
        <v>0.99</v>
      </c>
      <c r="I11" s="4">
        <f>'Submetering Daily '!N11</f>
        <v>17799</v>
      </c>
      <c r="J11">
        <f>'Submetering Daily '!O11</f>
        <v>8.1000000000000003E-2</v>
      </c>
      <c r="K11" s="70">
        <f>'03 - 2023'!H17-'03 - 2023'!H16</f>
        <v>0</v>
      </c>
      <c r="L11" s="70">
        <f>'Submetering Daily '!H11-'Submetering Daily '!P11-'Submetering Daily '!Q11</f>
        <v>110.25</v>
      </c>
      <c r="M11" s="1">
        <v>4.393629424766913</v>
      </c>
      <c r="N11" s="10">
        <v>104</v>
      </c>
      <c r="O11">
        <v>126</v>
      </c>
    </row>
    <row r="12" spans="1:15">
      <c r="A12" t="s">
        <v>14</v>
      </c>
      <c r="B12">
        <f t="shared" si="0"/>
        <v>11</v>
      </c>
      <c r="C12">
        <v>3</v>
      </c>
      <c r="D12">
        <v>2023</v>
      </c>
      <c r="E12" s="4">
        <f>'Submetering Daily '!E12+'Submetering Daily '!F12</f>
        <v>10072</v>
      </c>
      <c r="F12">
        <v>0.11799999999999999</v>
      </c>
      <c r="G12" s="4">
        <f>'Submetering Daily '!J12+'Submetering Daily '!K12+'Submetering Daily '!L12</f>
        <v>117.06660000000267</v>
      </c>
      <c r="H12">
        <v>0.99</v>
      </c>
      <c r="I12" s="4">
        <f>'Submetering Daily '!N12</f>
        <v>17393</v>
      </c>
      <c r="J12">
        <f>'Submetering Daily '!O12</f>
        <v>8.1000000000000003E-2</v>
      </c>
      <c r="K12" s="70">
        <v>0</v>
      </c>
      <c r="L12" s="70">
        <f>'Submetering Daily '!H12-'Submetering Daily '!P12-'Submetering Daily '!Q12</f>
        <v>102.85999999999876</v>
      </c>
      <c r="M12" s="1">
        <v>4.393629424766913</v>
      </c>
      <c r="N12" s="10">
        <v>104</v>
      </c>
      <c r="O12" s="11">
        <v>133</v>
      </c>
    </row>
    <row r="13" spans="1:15">
      <c r="A13" t="s">
        <v>14</v>
      </c>
      <c r="B13">
        <f t="shared" si="0"/>
        <v>12</v>
      </c>
      <c r="C13">
        <v>3</v>
      </c>
      <c r="D13">
        <v>2023</v>
      </c>
      <c r="E13" s="4">
        <f>'Submetering Daily '!E13+'Submetering Daily '!F13</f>
        <v>9687</v>
      </c>
      <c r="F13">
        <v>0.11799999999999999</v>
      </c>
      <c r="G13" s="4">
        <f>'Submetering Daily '!J13+'Submetering Daily '!K13+'Submetering Daily '!L13</f>
        <v>127.2915000000024</v>
      </c>
      <c r="H13">
        <v>0.99</v>
      </c>
      <c r="I13" s="4">
        <f>'Submetering Daily '!N13</f>
        <v>18256</v>
      </c>
      <c r="J13">
        <f>'Submetering Daily '!O13</f>
        <v>8.1000000000000003E-2</v>
      </c>
      <c r="K13" s="70">
        <f>'03 - 2023'!H19-'03 - 2023'!H18</f>
        <v>0</v>
      </c>
      <c r="L13" s="70">
        <f>'Submetering Daily '!H13-'Submetering Daily '!P13-'Submetering Daily '!Q13</f>
        <v>97.5</v>
      </c>
      <c r="M13" s="1">
        <v>4.393629424766913</v>
      </c>
      <c r="N13" s="10">
        <v>82</v>
      </c>
      <c r="O13" s="11">
        <v>113</v>
      </c>
    </row>
    <row r="14" spans="1:15">
      <c r="A14" t="s">
        <v>14</v>
      </c>
      <c r="B14">
        <f t="shared" si="0"/>
        <v>13</v>
      </c>
      <c r="C14">
        <v>3</v>
      </c>
      <c r="D14">
        <v>2023</v>
      </c>
      <c r="E14" s="4">
        <f>'Submetering Daily '!E14+'Submetering Daily '!F14</f>
        <v>9452</v>
      </c>
      <c r="F14">
        <v>0.11799999999999999</v>
      </c>
      <c r="G14" s="4">
        <f>'Submetering Daily '!J14+'Submetering Daily '!K14+'Submetering Daily '!L14</f>
        <v>124.15409999999581</v>
      </c>
      <c r="H14">
        <v>0.99</v>
      </c>
      <c r="I14" s="4">
        <f>'Submetering Daily '!N14</f>
        <v>18175</v>
      </c>
      <c r="J14">
        <f>'Submetering Daily '!O14</f>
        <v>8.1000000000000003E-2</v>
      </c>
      <c r="K14" s="70">
        <f>'03 - 2023'!H20-'03 - 2023'!H19</f>
        <v>0</v>
      </c>
      <c r="L14" s="70">
        <f>'Submetering Daily '!H14-'Submetering Daily '!P14-'Submetering Daily '!Q14</f>
        <v>87.390000000001237</v>
      </c>
      <c r="M14" s="1">
        <v>4.393629424766913</v>
      </c>
      <c r="N14" s="10">
        <v>82</v>
      </c>
      <c r="O14" s="11">
        <v>113</v>
      </c>
    </row>
    <row r="15" spans="1:15">
      <c r="A15" t="s">
        <v>14</v>
      </c>
      <c r="B15">
        <f t="shared" si="0"/>
        <v>14</v>
      </c>
      <c r="C15">
        <v>3</v>
      </c>
      <c r="D15">
        <v>2023</v>
      </c>
      <c r="E15" s="4">
        <f>'Submetering Daily '!E15+'Submetering Daily '!F15</f>
        <v>0</v>
      </c>
      <c r="F15">
        <v>0.11799999999999999</v>
      </c>
      <c r="G15" s="4">
        <f>'Submetering Daily '!J15+'Submetering Daily '!K15+'Submetering Daily '!L15</f>
        <v>0</v>
      </c>
      <c r="H15">
        <v>0.99</v>
      </c>
      <c r="I15" s="4">
        <f>'Submetering Daily '!N15</f>
        <v>0</v>
      </c>
      <c r="J15">
        <f>'Submetering Daily '!O15</f>
        <v>8.1000000000000003E-2</v>
      </c>
      <c r="K15" s="70">
        <v>0</v>
      </c>
      <c r="L15" s="70">
        <f>'Submetering Daily '!H15-'Submetering Daily '!P15-'Submetering Daily '!Q15</f>
        <v>0</v>
      </c>
      <c r="M15" s="1">
        <v>4.393629424766913</v>
      </c>
      <c r="N15" s="10"/>
    </row>
    <row r="16" spans="1:15">
      <c r="A16" t="s">
        <v>14</v>
      </c>
      <c r="B16">
        <f t="shared" si="0"/>
        <v>15</v>
      </c>
      <c r="C16">
        <v>3</v>
      </c>
      <c r="D16">
        <v>2023</v>
      </c>
      <c r="E16" s="4">
        <f>'Submetering Daily '!E16+'Submetering Daily '!F16</f>
        <v>0</v>
      </c>
      <c r="F16">
        <v>0.11799999999999999</v>
      </c>
      <c r="G16" s="4">
        <f>'Submetering Daily '!J16+'Submetering Daily '!K16+'Submetering Daily '!L16</f>
        <v>0</v>
      </c>
      <c r="H16">
        <v>0.99</v>
      </c>
      <c r="I16" s="4">
        <f>'Submetering Daily '!N16</f>
        <v>0</v>
      </c>
      <c r="J16">
        <f>'Submetering Daily '!O16</f>
        <v>8.1000000000000003E-2</v>
      </c>
      <c r="K16" s="70">
        <f>'03 - 2023'!H22-'03 - 2023'!H21</f>
        <v>0</v>
      </c>
      <c r="L16" s="70">
        <f>'Submetering Daily '!H16-'Submetering Daily '!P16-'Submetering Daily '!Q16</f>
        <v>0</v>
      </c>
      <c r="M16" s="1">
        <v>4.393629424766913</v>
      </c>
      <c r="N16" s="10"/>
    </row>
    <row r="17" spans="1:16">
      <c r="A17" t="s">
        <v>14</v>
      </c>
      <c r="B17">
        <f t="shared" si="0"/>
        <v>16</v>
      </c>
      <c r="C17">
        <v>3</v>
      </c>
      <c r="D17">
        <v>2023</v>
      </c>
      <c r="E17" s="4">
        <f>'Submetering Daily '!E17+'Submetering Daily '!F17</f>
        <v>0</v>
      </c>
      <c r="F17">
        <v>0.11799999999999999</v>
      </c>
      <c r="G17" s="4">
        <f>'Submetering Daily '!J17+'Submetering Daily '!K17+'Submetering Daily '!L17</f>
        <v>0</v>
      </c>
      <c r="H17">
        <v>0.99</v>
      </c>
      <c r="I17" s="4">
        <f>'Submetering Daily '!N17</f>
        <v>0</v>
      </c>
      <c r="J17">
        <f>'Submetering Daily '!O17</f>
        <v>8.1000000000000003E-2</v>
      </c>
      <c r="K17" s="70">
        <f>'03 - 2023'!H23-'03 - 2023'!H22</f>
        <v>0</v>
      </c>
      <c r="L17" s="70">
        <f>'Submetering Daily '!H17-'Submetering Daily '!P17-'Submetering Daily '!Q17</f>
        <v>0</v>
      </c>
      <c r="M17" s="1">
        <v>4.393629424766913</v>
      </c>
      <c r="N17" s="10"/>
    </row>
    <row r="18" spans="1:16">
      <c r="A18" t="s">
        <v>14</v>
      </c>
      <c r="B18">
        <f t="shared" si="0"/>
        <v>17</v>
      </c>
      <c r="C18">
        <v>3</v>
      </c>
      <c r="D18">
        <v>2023</v>
      </c>
      <c r="E18" s="4">
        <f>'Submetering Daily '!E18+'Submetering Daily '!F18</f>
        <v>0</v>
      </c>
      <c r="F18">
        <v>0.11799999999999999</v>
      </c>
      <c r="G18" s="4">
        <f>'Submetering Daily '!J18+'Submetering Daily '!K18+'Submetering Daily '!L18</f>
        <v>0</v>
      </c>
      <c r="H18">
        <v>0.99</v>
      </c>
      <c r="I18" s="4">
        <f>'Submetering Daily '!N18</f>
        <v>0</v>
      </c>
      <c r="J18">
        <f>'Submetering Daily '!O18</f>
        <v>8.1000000000000003E-2</v>
      </c>
      <c r="K18" s="70">
        <f>'03 - 2023'!H24-'03 - 2023'!H23</f>
        <v>0</v>
      </c>
      <c r="L18" s="70">
        <f>'Submetering Daily '!H18-'Submetering Daily '!P18-'Submetering Daily '!Q18</f>
        <v>0</v>
      </c>
      <c r="M18" s="1">
        <v>4.393629424766913</v>
      </c>
      <c r="N18" s="10"/>
    </row>
    <row r="19" spans="1:16">
      <c r="A19" t="s">
        <v>14</v>
      </c>
      <c r="B19">
        <f>B18+1</f>
        <v>18</v>
      </c>
      <c r="C19">
        <v>3</v>
      </c>
      <c r="D19">
        <v>2023</v>
      </c>
      <c r="E19" s="4">
        <f>'Submetering Daily '!E19+'Submetering Daily '!F19</f>
        <v>0</v>
      </c>
      <c r="F19">
        <v>0.11799999999999999</v>
      </c>
      <c r="G19" s="4">
        <f>'Submetering Daily '!J19+'Submetering Daily '!K19+'Submetering Daily '!L19</f>
        <v>0</v>
      </c>
      <c r="H19">
        <v>0.99</v>
      </c>
      <c r="I19" s="4">
        <f>'Submetering Daily '!N19</f>
        <v>0</v>
      </c>
      <c r="J19">
        <f>'Submetering Daily '!O19</f>
        <v>8.1000000000000003E-2</v>
      </c>
      <c r="K19" s="70">
        <f>'03 - 2023'!H25-'03 - 2023'!H24</f>
        <v>0</v>
      </c>
      <c r="L19" s="70">
        <f>'Submetering Daily '!H19-'Submetering Daily '!P19-'Submetering Daily '!Q19</f>
        <v>0</v>
      </c>
      <c r="M19" s="1">
        <v>4.393629424766913</v>
      </c>
      <c r="N19" s="10"/>
    </row>
    <row r="20" spans="1:16">
      <c r="A20" t="s">
        <v>14</v>
      </c>
      <c r="B20">
        <f t="shared" si="0"/>
        <v>19</v>
      </c>
      <c r="C20">
        <v>3</v>
      </c>
      <c r="D20">
        <v>2023</v>
      </c>
      <c r="E20" s="4">
        <f>'Submetering Daily '!E20+'Submetering Daily '!F20</f>
        <v>0</v>
      </c>
      <c r="F20">
        <v>0.11799999999999999</v>
      </c>
      <c r="G20" s="4">
        <f>'Submetering Daily '!J20+'Submetering Daily '!K20+'Submetering Daily '!L20</f>
        <v>0</v>
      </c>
      <c r="H20">
        <v>0.99</v>
      </c>
      <c r="I20" s="4">
        <f>'Submetering Daily '!N20</f>
        <v>0</v>
      </c>
      <c r="J20">
        <f>'Submetering Daily '!O20</f>
        <v>8.1000000000000003E-2</v>
      </c>
      <c r="K20" s="70">
        <f>'03 - 2023'!H26-'03 - 2023'!H25</f>
        <v>0</v>
      </c>
      <c r="L20" s="70">
        <f>'Submetering Daily '!H20-'Submetering Daily '!P20-'Submetering Daily '!Q20</f>
        <v>0</v>
      </c>
      <c r="M20" s="1">
        <v>4.393629424766913</v>
      </c>
      <c r="N20" s="10"/>
    </row>
    <row r="21" spans="1:16">
      <c r="A21" t="s">
        <v>14</v>
      </c>
      <c r="B21">
        <f t="shared" si="0"/>
        <v>20</v>
      </c>
      <c r="C21">
        <v>3</v>
      </c>
      <c r="D21">
        <v>2023</v>
      </c>
      <c r="E21" s="4">
        <f>'Submetering Daily '!E21+'Submetering Daily '!F21</f>
        <v>0</v>
      </c>
      <c r="F21">
        <v>0.11799999999999999</v>
      </c>
      <c r="G21" s="4">
        <f>'Submetering Daily '!J21+'Submetering Daily '!K21+'Submetering Daily '!L21</f>
        <v>0</v>
      </c>
      <c r="H21">
        <v>0.99</v>
      </c>
      <c r="I21" s="4">
        <f>'Submetering Daily '!N21</f>
        <v>0</v>
      </c>
      <c r="J21">
        <f>'Submetering Daily '!O21</f>
        <v>8.1000000000000003E-2</v>
      </c>
      <c r="K21" s="70">
        <f>'03 - 2023'!H27-'03 - 2023'!H26</f>
        <v>0</v>
      </c>
      <c r="L21" s="70">
        <f>'Submetering Daily '!H21-'Submetering Daily '!P21-'Submetering Daily '!Q21</f>
        <v>0</v>
      </c>
      <c r="M21" s="1">
        <v>4.393629424766913</v>
      </c>
      <c r="N21" s="17"/>
    </row>
    <row r="22" spans="1:16">
      <c r="A22" t="s">
        <v>14</v>
      </c>
      <c r="B22">
        <f t="shared" si="0"/>
        <v>21</v>
      </c>
      <c r="C22">
        <v>3</v>
      </c>
      <c r="D22">
        <v>2023</v>
      </c>
      <c r="E22" s="4">
        <f>'Submetering Daily '!E22+'Submetering Daily '!F22</f>
        <v>0</v>
      </c>
      <c r="F22">
        <v>0.11799999999999999</v>
      </c>
      <c r="G22" s="4">
        <f>'Submetering Daily '!J22+'Submetering Daily '!K22+'Submetering Daily '!L22</f>
        <v>0</v>
      </c>
      <c r="H22">
        <v>0.99</v>
      </c>
      <c r="I22" s="4">
        <f>'Submetering Daily '!N22</f>
        <v>0</v>
      </c>
      <c r="J22">
        <f>'Submetering Daily '!O22</f>
        <v>8.1000000000000003E-2</v>
      </c>
      <c r="K22" s="70">
        <f>'03 - 2023'!H28-'03 - 2023'!H27</f>
        <v>0</v>
      </c>
      <c r="L22" s="70">
        <f>'Submetering Daily '!H22-'Submetering Daily '!P22-'Submetering Daily '!Q22</f>
        <v>0</v>
      </c>
      <c r="M22" s="1">
        <v>4.393629424766913</v>
      </c>
      <c r="N22" s="10"/>
    </row>
    <row r="23" spans="1:16">
      <c r="A23" t="s">
        <v>14</v>
      </c>
      <c r="B23">
        <f t="shared" si="0"/>
        <v>22</v>
      </c>
      <c r="C23">
        <v>3</v>
      </c>
      <c r="D23">
        <v>2023</v>
      </c>
      <c r="E23" s="4">
        <f>'Submetering Daily '!E23+'Submetering Daily '!F23</f>
        <v>0</v>
      </c>
      <c r="F23">
        <v>0.11799999999999999</v>
      </c>
      <c r="G23" s="4">
        <f>'Submetering Daily '!J23+'Submetering Daily '!K23+'Submetering Daily '!L23</f>
        <v>0</v>
      </c>
      <c r="H23">
        <v>0.99</v>
      </c>
      <c r="I23" s="4">
        <f>'Submetering Daily '!N23</f>
        <v>0</v>
      </c>
      <c r="J23">
        <f>'Submetering Daily '!O23</f>
        <v>8.1000000000000003E-2</v>
      </c>
      <c r="K23" s="70">
        <f>'03 - 2023'!H29-'03 - 2023'!H28</f>
        <v>0</v>
      </c>
      <c r="L23" s="70">
        <f>'Submetering Daily '!H23-'Submetering Daily '!P23-'Submetering Daily '!Q23</f>
        <v>0</v>
      </c>
      <c r="M23" s="1">
        <v>4.393629424766913</v>
      </c>
      <c r="N23" s="10"/>
    </row>
    <row r="24" spans="1:16">
      <c r="A24" t="s">
        <v>14</v>
      </c>
      <c r="B24">
        <f t="shared" si="0"/>
        <v>23</v>
      </c>
      <c r="C24">
        <v>3</v>
      </c>
      <c r="D24">
        <v>2023</v>
      </c>
      <c r="E24" s="4">
        <f>'Submetering Daily '!E24+'Submetering Daily '!F24</f>
        <v>0</v>
      </c>
      <c r="F24">
        <v>0.11799999999999999</v>
      </c>
      <c r="G24" s="4">
        <f>'Submetering Daily '!J24+'Submetering Daily '!K24+'Submetering Daily '!L24</f>
        <v>0</v>
      </c>
      <c r="H24">
        <v>0.99</v>
      </c>
      <c r="I24" s="4">
        <f>'Submetering Daily '!N24</f>
        <v>0</v>
      </c>
      <c r="J24">
        <f>'Submetering Daily '!O24</f>
        <v>8.1000000000000003E-2</v>
      </c>
      <c r="K24" s="70">
        <f>'03 - 2023'!H30-'03 - 2023'!H29</f>
        <v>0</v>
      </c>
      <c r="L24" s="70">
        <f>'Submetering Daily '!H24-'Submetering Daily '!P24-'Submetering Daily '!Q24</f>
        <v>0</v>
      </c>
      <c r="M24" s="1">
        <v>4.393629424766913</v>
      </c>
      <c r="N24" s="10"/>
    </row>
    <row r="25" spans="1:16">
      <c r="A25" t="s">
        <v>14</v>
      </c>
      <c r="B25">
        <f t="shared" si="0"/>
        <v>24</v>
      </c>
      <c r="C25">
        <v>3</v>
      </c>
      <c r="D25">
        <v>2023</v>
      </c>
      <c r="E25" s="4">
        <f>'Submetering Daily '!E25+'Submetering Daily '!F25</f>
        <v>0</v>
      </c>
      <c r="F25">
        <v>0.11799999999999999</v>
      </c>
      <c r="G25" s="4">
        <f>'Submetering Daily '!J25+'Submetering Daily '!K25+'Submetering Daily '!L25</f>
        <v>0</v>
      </c>
      <c r="H25">
        <v>0.99</v>
      </c>
      <c r="I25" s="4">
        <f>'Submetering Daily '!N25</f>
        <v>0</v>
      </c>
      <c r="J25">
        <f>'Submetering Daily '!O25</f>
        <v>8.1000000000000003E-2</v>
      </c>
      <c r="K25" s="70">
        <f>'03 - 2023'!H31-'03 - 2023'!H30</f>
        <v>0</v>
      </c>
      <c r="L25" s="70">
        <f>'Submetering Daily '!H25-'Submetering Daily '!P25-'Submetering Daily '!Q25</f>
        <v>0</v>
      </c>
      <c r="M25" s="1">
        <v>4.393629424766913</v>
      </c>
      <c r="N25" s="10"/>
      <c r="P25" s="9"/>
    </row>
    <row r="26" spans="1:16">
      <c r="A26" t="s">
        <v>14</v>
      </c>
      <c r="B26">
        <f>B25+1</f>
        <v>25</v>
      </c>
      <c r="C26">
        <v>3</v>
      </c>
      <c r="D26">
        <v>2023</v>
      </c>
      <c r="E26" s="4">
        <f>'Submetering Daily '!E26+'Submetering Daily '!F26</f>
        <v>0</v>
      </c>
      <c r="F26">
        <v>0.11799999999999999</v>
      </c>
      <c r="G26" s="4">
        <f>'Submetering Daily '!J26+'Submetering Daily '!K26+'Submetering Daily '!L26</f>
        <v>0</v>
      </c>
      <c r="H26">
        <v>0.99</v>
      </c>
      <c r="I26" s="4">
        <f>'Submetering Daily '!N26</f>
        <v>0</v>
      </c>
      <c r="J26">
        <f>'Submetering Daily '!O26</f>
        <v>8.1000000000000003E-2</v>
      </c>
      <c r="K26" s="70">
        <f>'03 - 2023'!H32-'03 - 2023'!H31</f>
        <v>0</v>
      </c>
      <c r="L26" s="70">
        <f>'Submetering Daily '!H26-'Submetering Daily '!P26-'Submetering Daily '!Q26</f>
        <v>0</v>
      </c>
      <c r="M26" s="1">
        <v>4.393629424766913</v>
      </c>
      <c r="N26" s="10"/>
    </row>
    <row r="27" spans="1:16">
      <c r="A27" t="s">
        <v>14</v>
      </c>
      <c r="B27">
        <f t="shared" si="0"/>
        <v>26</v>
      </c>
      <c r="C27">
        <v>3</v>
      </c>
      <c r="D27">
        <v>2023</v>
      </c>
      <c r="E27" s="4">
        <f>'Submetering Daily '!E27+'Submetering Daily '!F27</f>
        <v>0</v>
      </c>
      <c r="F27">
        <v>0.11799999999999999</v>
      </c>
      <c r="G27" s="4">
        <f>'Submetering Daily '!J27+'Submetering Daily '!K27+'Submetering Daily '!L27</f>
        <v>0</v>
      </c>
      <c r="H27">
        <v>0.99</v>
      </c>
      <c r="I27" s="4">
        <f>'Submetering Daily '!N27</f>
        <v>0</v>
      </c>
      <c r="J27">
        <f>'Submetering Daily '!O27</f>
        <v>8.1000000000000003E-2</v>
      </c>
      <c r="K27" s="70">
        <f>'03 - 2023'!H33-'03 - 2023'!H32</f>
        <v>0</v>
      </c>
      <c r="L27" s="70">
        <f>'Submetering Daily '!H27-'Submetering Daily '!P27-'Submetering Daily '!Q27</f>
        <v>0</v>
      </c>
      <c r="M27" s="1">
        <v>4.393629424766913</v>
      </c>
      <c r="N27" s="10"/>
    </row>
    <row r="28" spans="1:16">
      <c r="A28" t="s">
        <v>14</v>
      </c>
      <c r="B28">
        <f t="shared" si="0"/>
        <v>27</v>
      </c>
      <c r="C28">
        <v>3</v>
      </c>
      <c r="D28">
        <v>2023</v>
      </c>
      <c r="E28" s="4">
        <f>'Submetering Daily '!E28+'Submetering Daily '!F28</f>
        <v>0</v>
      </c>
      <c r="F28">
        <v>0.11799999999999999</v>
      </c>
      <c r="G28" s="4">
        <f>'Submetering Daily '!J28+'Submetering Daily '!K28+'Submetering Daily '!L28</f>
        <v>0</v>
      </c>
      <c r="H28">
        <v>0.99</v>
      </c>
      <c r="I28" s="4">
        <f>'Submetering Daily '!N28</f>
        <v>0</v>
      </c>
      <c r="J28">
        <f>'Submetering Daily '!O28</f>
        <v>8.1000000000000003E-2</v>
      </c>
      <c r="K28" s="70">
        <f>'03 - 2023'!H34-'03 - 2023'!H33</f>
        <v>0</v>
      </c>
      <c r="L28" s="70">
        <f>'Submetering Daily '!H28-'Submetering Daily '!P28-'Submetering Daily '!Q28</f>
        <v>0</v>
      </c>
      <c r="M28" s="1">
        <v>4.393629424766913</v>
      </c>
      <c r="N28" s="4"/>
    </row>
    <row r="29" spans="1:16">
      <c r="A29" t="s">
        <v>14</v>
      </c>
      <c r="B29">
        <f t="shared" si="0"/>
        <v>28</v>
      </c>
      <c r="C29">
        <v>3</v>
      </c>
      <c r="D29">
        <v>2023</v>
      </c>
      <c r="E29" s="4">
        <f>'Submetering Daily '!E29+'Submetering Daily '!F29</f>
        <v>0</v>
      </c>
      <c r="F29">
        <v>0.11799999999999999</v>
      </c>
      <c r="G29" s="4">
        <f>'Submetering Daily '!J29+'Submetering Daily '!K29+'Submetering Daily '!L29</f>
        <v>0</v>
      </c>
      <c r="H29">
        <v>0.99</v>
      </c>
      <c r="I29" s="4">
        <f>'Submetering Daily '!N29</f>
        <v>0</v>
      </c>
      <c r="J29">
        <f>'Submetering Daily '!O29</f>
        <v>8.1000000000000003E-2</v>
      </c>
      <c r="K29" s="70">
        <f>'03 - 2023'!H35-'03 - 2023'!H34</f>
        <v>0</v>
      </c>
      <c r="L29" s="70">
        <f>'Submetering Daily '!H29-'Submetering Daily '!P29-'Submetering Daily '!Q29</f>
        <v>0</v>
      </c>
      <c r="M29" s="1">
        <v>4.393629424766913</v>
      </c>
      <c r="N29" s="11"/>
    </row>
    <row r="30" spans="1:16">
      <c r="A30" t="s">
        <v>14</v>
      </c>
      <c r="B30">
        <v>29</v>
      </c>
      <c r="C30">
        <v>3</v>
      </c>
      <c r="D30">
        <v>2023</v>
      </c>
      <c r="E30" s="4">
        <f>'Submetering Daily '!E30+'Submetering Daily '!F30</f>
        <v>0</v>
      </c>
      <c r="F30">
        <v>0.11799999999999999</v>
      </c>
      <c r="G30" s="4">
        <f>'Submetering Daily '!J30+'Submetering Daily '!K30+'Submetering Daily '!L30</f>
        <v>0</v>
      </c>
      <c r="H30">
        <v>0.99</v>
      </c>
      <c r="I30" s="4">
        <f>'Submetering Daily '!N30</f>
        <v>0</v>
      </c>
      <c r="J30">
        <f>'Submetering Daily '!O30</f>
        <v>8.1000000000000003E-2</v>
      </c>
      <c r="K30" s="70">
        <f>'03 - 2023'!H36-'03 - 2023'!H35</f>
        <v>0</v>
      </c>
      <c r="L30" s="70">
        <f>'Submetering Daily '!H30-'Submetering Daily '!P30-'Submetering Daily '!Q30</f>
        <v>0</v>
      </c>
      <c r="M30" s="1">
        <v>4.393629424766913</v>
      </c>
    </row>
    <row r="31" spans="1:16">
      <c r="A31" t="s">
        <v>14</v>
      </c>
      <c r="B31">
        <v>30</v>
      </c>
      <c r="C31">
        <v>3</v>
      </c>
      <c r="D31">
        <v>2023</v>
      </c>
      <c r="E31" s="4">
        <f>'Submetering Daily '!E31+'Submetering Daily '!F31</f>
        <v>0</v>
      </c>
      <c r="F31">
        <v>0.11799999999999999</v>
      </c>
      <c r="G31" s="4">
        <f>'Submetering Daily '!J31+'Submetering Daily '!K31+'Submetering Daily '!L31</f>
        <v>0</v>
      </c>
      <c r="H31">
        <v>0.99</v>
      </c>
      <c r="I31" s="4">
        <f>'Submetering Daily '!N31</f>
        <v>0</v>
      </c>
      <c r="J31">
        <f>'Submetering Daily '!O31</f>
        <v>8.1000000000000003E-2</v>
      </c>
      <c r="K31" s="70">
        <f>'03 - 2023'!H37-'03 - 2023'!H36</f>
        <v>0</v>
      </c>
      <c r="L31" s="70">
        <f>'Submetering Daily '!H31-'Submetering Daily '!P31-'Submetering Daily '!Q31</f>
        <v>0</v>
      </c>
      <c r="M31" s="1">
        <v>4.393629424766913</v>
      </c>
    </row>
    <row r="32" spans="1:16">
      <c r="A32" t="s">
        <v>14</v>
      </c>
      <c r="B32">
        <v>31</v>
      </c>
      <c r="C32">
        <v>3</v>
      </c>
      <c r="D32">
        <v>2023</v>
      </c>
      <c r="E32" s="4">
        <f>'Submetering Daily '!E32+'Submetering Daily '!F32</f>
        <v>0</v>
      </c>
      <c r="F32">
        <v>0.11799999999999999</v>
      </c>
      <c r="G32" s="4">
        <f>'Submetering Daily '!J32+'Submetering Daily '!K32+'Submetering Daily '!L32</f>
        <v>0</v>
      </c>
      <c r="H32">
        <v>0.99</v>
      </c>
      <c r="I32" s="4">
        <f>'Submetering Daily '!N32</f>
        <v>0</v>
      </c>
      <c r="J32">
        <f>'Submetering Daily '!O32</f>
        <v>8.1000000000000003E-2</v>
      </c>
      <c r="K32" s="70">
        <f>'03 - 2023'!H38-'03 - 2023'!H37</f>
        <v>0</v>
      </c>
      <c r="L32" s="70">
        <f>'Submetering Daily '!H32-'Submetering Daily '!P32-'Submetering Daily '!Q32</f>
        <v>0</v>
      </c>
      <c r="M32" s="1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3"/>
  <sheetViews>
    <sheetView workbookViewId="0">
      <selection activeCell="C14" sqref="C14"/>
    </sheetView>
  </sheetViews>
  <sheetFormatPr defaultColWidth="12.5703125" defaultRowHeight="15"/>
  <cols>
    <col min="1" max="3" width="11.5703125" customWidth="1"/>
    <col min="4" max="4" width="13.42578125" customWidth="1"/>
    <col min="5" max="6" width="12.5703125" style="4"/>
    <col min="9" max="9" width="13.7109375" bestFit="1" customWidth="1"/>
    <col min="10" max="12" width="11.5703125" style="4" customWidth="1"/>
    <col min="13" max="15" width="11.5703125" customWidth="1"/>
    <col min="16" max="19" width="11.5703125" style="71" customWidth="1"/>
    <col min="20" max="20" width="11.5703125" customWidth="1"/>
    <col min="21" max="21" width="11.5703125" style="12" customWidth="1"/>
    <col min="22" max="250" width="11.5703125" customWidth="1"/>
    <col min="251" max="251" width="13.42578125" customWidth="1"/>
  </cols>
  <sheetData>
    <row r="1" spans="1:21" s="6" customFormat="1" ht="60.75">
      <c r="A1" s="6" t="s">
        <v>0</v>
      </c>
      <c r="B1" s="6" t="s">
        <v>1</v>
      </c>
      <c r="C1" s="6" t="s">
        <v>2</v>
      </c>
      <c r="D1" s="6" t="s">
        <v>3</v>
      </c>
      <c r="E1" s="7" t="s">
        <v>15</v>
      </c>
      <c r="F1" s="7" t="s">
        <v>16</v>
      </c>
      <c r="G1" s="8" t="s">
        <v>5</v>
      </c>
      <c r="H1" s="8" t="s">
        <v>10</v>
      </c>
      <c r="I1" s="8" t="s">
        <v>11</v>
      </c>
      <c r="J1" s="7" t="s">
        <v>17</v>
      </c>
      <c r="K1" s="7" t="s">
        <v>18</v>
      </c>
      <c r="L1" s="7" t="s">
        <v>19</v>
      </c>
      <c r="M1" s="8" t="s">
        <v>7</v>
      </c>
      <c r="N1" s="8" t="s">
        <v>20</v>
      </c>
      <c r="O1" s="8" t="s">
        <v>9</v>
      </c>
      <c r="P1" s="86" t="s">
        <v>21</v>
      </c>
      <c r="Q1" s="86" t="s">
        <v>22</v>
      </c>
      <c r="R1" s="87" t="s">
        <v>23</v>
      </c>
      <c r="S1" s="87" t="s">
        <v>24</v>
      </c>
      <c r="T1" s="8" t="s">
        <v>12</v>
      </c>
      <c r="U1" s="63" t="s">
        <v>13</v>
      </c>
    </row>
    <row r="2" spans="1:21">
      <c r="A2" t="s">
        <v>14</v>
      </c>
      <c r="B2">
        <v>1</v>
      </c>
      <c r="C2">
        <v>3</v>
      </c>
      <c r="D2">
        <v>2023</v>
      </c>
      <c r="E2" s="4">
        <f>'03 - 2023'!B8-'03 - 2023'!B7</f>
        <v>3955</v>
      </c>
      <c r="F2" s="4">
        <f>'03 - 2023'!C8-'03 - 2023'!C7</f>
        <v>5652</v>
      </c>
      <c r="G2">
        <v>0.11799999999999999</v>
      </c>
      <c r="H2" s="89">
        <f>'03 - 2023'!I8-'03 - 2023'!I7</f>
        <v>118</v>
      </c>
      <c r="I2" s="1">
        <v>4.3936294247669103</v>
      </c>
      <c r="J2" s="4">
        <f>('03 - 2023'!E8-'03 - 2023'!E7)*1.89</f>
        <v>51.426899999998348</v>
      </c>
      <c r="K2" s="4">
        <f>('03 - 2023'!F8-'03 - 2023'!F7)*1.89</f>
        <v>15.592499999999999</v>
      </c>
      <c r="L2" s="4">
        <f>('03 - 2023'!G8-'03 - 2023'!G7)*1.89</f>
        <v>62.275499999994494</v>
      </c>
      <c r="M2">
        <v>0.74</v>
      </c>
      <c r="N2" s="89">
        <f>'03 - 2023'!J8-'03 - 2023'!J7</f>
        <v>16336</v>
      </c>
      <c r="O2">
        <v>8.1000000000000003E-2</v>
      </c>
      <c r="P2" s="88">
        <f>'03 - 2023'!M8-'03 - 2023'!M7</f>
        <v>4.2200000000002547</v>
      </c>
      <c r="Q2" s="88">
        <f>'03 - 2023'!N8-'03 - 2023'!N7</f>
        <v>9.1900000000005093</v>
      </c>
      <c r="R2" s="88">
        <f>('03 - 2023'!O8-'03 - 2023'!O7)*160</f>
        <v>1424.0000000002328</v>
      </c>
      <c r="S2" s="88">
        <f>('03 - 2023'!P8-'03 - 2023'!P7)*1000</f>
        <v>2300.0000000001819</v>
      </c>
      <c r="T2" s="10">
        <v>99</v>
      </c>
      <c r="U2" s="62">
        <v>117</v>
      </c>
    </row>
    <row r="3" spans="1:21">
      <c r="A3" t="s">
        <v>14</v>
      </c>
      <c r="B3">
        <f>B2+1</f>
        <v>2</v>
      </c>
      <c r="C3">
        <v>3</v>
      </c>
      <c r="D3">
        <v>2023</v>
      </c>
      <c r="E3" s="4">
        <f>'03 - 2023'!B9-'03 - 2023'!B8</f>
        <v>3835</v>
      </c>
      <c r="F3" s="4">
        <f>'03 - 2023'!C9-'03 - 2023'!C8</f>
        <v>5647</v>
      </c>
      <c r="G3">
        <v>0.11799999999999999</v>
      </c>
      <c r="H3" s="89">
        <f>'03 - 2023'!I9-'03 - 2023'!I8</f>
        <v>113</v>
      </c>
      <c r="I3" s="1">
        <v>4.3936294247669103</v>
      </c>
      <c r="J3" s="4">
        <f>('03 - 2023'!E9-'03 - 2023'!E8)*1.89</f>
        <v>54.224100000000959</v>
      </c>
      <c r="K3" s="4">
        <f>('03 - 2023'!F9-'03 - 2023'!F8)*1.89</f>
        <v>14.609699999999174</v>
      </c>
      <c r="L3" s="4">
        <f>('03 - 2023'!G9-'03 - 2023'!G8)*1.89</f>
        <v>59.100299999993943</v>
      </c>
      <c r="M3">
        <v>0.74</v>
      </c>
      <c r="N3" s="89">
        <f>'03 - 2023'!J9-'03 - 2023'!J8</f>
        <v>16663</v>
      </c>
      <c r="O3">
        <v>8.1000000000000003E-2</v>
      </c>
      <c r="P3" s="88">
        <f>'03 - 2023'!M9-'03 - 2023'!M8</f>
        <v>4.6199999999998909</v>
      </c>
      <c r="Q3" s="88">
        <f>'03 - 2023'!N9-'03 - 2023'!N8</f>
        <v>9.2800000000006548</v>
      </c>
      <c r="R3" s="88">
        <f>('03 - 2023'!O9-'03 - 2023'!O8)*160</f>
        <v>1472.0000000001164</v>
      </c>
      <c r="S3" s="88">
        <f>('03 - 2023'!P9-'03 - 2023'!P8)*1000</f>
        <v>2399.9999999996362</v>
      </c>
      <c r="T3" s="17">
        <v>100</v>
      </c>
      <c r="U3" s="62">
        <v>116</v>
      </c>
    </row>
    <row r="4" spans="1:21">
      <c r="A4" t="s">
        <v>14</v>
      </c>
      <c r="B4">
        <f t="shared" ref="B4:B29" si="0">B3+1</f>
        <v>3</v>
      </c>
      <c r="C4">
        <v>3</v>
      </c>
      <c r="D4">
        <v>2023</v>
      </c>
      <c r="E4" s="4">
        <f>'03 - 2023'!B10-'03 - 2023'!B9</f>
        <v>3955</v>
      </c>
      <c r="F4" s="4">
        <f>'03 - 2023'!C10-'03 - 2023'!C9</f>
        <v>5793</v>
      </c>
      <c r="G4">
        <v>0.11799999999999999</v>
      </c>
      <c r="H4" s="89">
        <f>'03 - 2023'!I10-'03 - 2023'!I9</f>
        <v>112</v>
      </c>
      <c r="I4" s="1">
        <v>4.3936294247669103</v>
      </c>
      <c r="J4" s="4">
        <f>('03 - 2023'!E10-'03 - 2023'!E9)*1.89</f>
        <v>46.739699999999175</v>
      </c>
      <c r="K4" s="4">
        <f>('03 - 2023'!F10-'03 - 2023'!F9)*1.89</f>
        <v>16.140600000001648</v>
      </c>
      <c r="L4" s="4">
        <f>('03 - 2023'!G10-'03 - 2023'!G9)*1.89</f>
        <v>57.701700000011549</v>
      </c>
      <c r="M4">
        <v>0.74</v>
      </c>
      <c r="N4" s="89">
        <f>'03 - 2023'!J10-'03 - 2023'!J9</f>
        <v>16918</v>
      </c>
      <c r="O4">
        <v>8.1000000000000003E-2</v>
      </c>
      <c r="P4" s="88">
        <f>'03 - 2023'!M10-'03 - 2023'!M9</f>
        <v>4.8600000000001273</v>
      </c>
      <c r="Q4" s="88">
        <f>'03 - 2023'!N10-'03 - 2023'!N9</f>
        <v>9.3299999999999272</v>
      </c>
      <c r="R4" s="88">
        <f>('03 - 2023'!O10-'03 - 2023'!O9)*160</f>
        <v>1520</v>
      </c>
      <c r="S4" s="88">
        <f>('03 - 2023'!P10-'03 - 2023'!P9)*1000</f>
        <v>2500</v>
      </c>
      <c r="T4" s="10">
        <v>103</v>
      </c>
      <c r="U4" s="62">
        <v>130</v>
      </c>
    </row>
    <row r="5" spans="1:21">
      <c r="A5" t="s">
        <v>14</v>
      </c>
      <c r="B5">
        <f t="shared" si="0"/>
        <v>4</v>
      </c>
      <c r="C5">
        <v>3</v>
      </c>
      <c r="D5">
        <v>2023</v>
      </c>
      <c r="E5" s="4">
        <f>'03 - 2023'!B11-'03 - 2023'!B10</f>
        <v>4092</v>
      </c>
      <c r="F5" s="4">
        <f>'03 - 2023'!C11-'03 - 2023'!C10</f>
        <v>6044</v>
      </c>
      <c r="G5">
        <v>0.11799999999999999</v>
      </c>
      <c r="H5" s="89">
        <f>'03 - 2023'!I11-'03 - 2023'!I10</f>
        <v>134</v>
      </c>
      <c r="I5" s="1">
        <v>4.3936294247669103</v>
      </c>
      <c r="J5" s="4">
        <f>('03 - 2023'!E11-'03 - 2023'!E10)*1.89</f>
        <v>58.608900000000411</v>
      </c>
      <c r="K5" s="4">
        <f>('03 - 2023'!F11-'03 - 2023'!F10)*1.89</f>
        <v>16.991099999999587</v>
      </c>
      <c r="L5" s="4">
        <f>('03 - 2023'!G11-'03 - 2023'!G10)*1.89</f>
        <v>66.225600000001648</v>
      </c>
      <c r="M5">
        <v>0.74</v>
      </c>
      <c r="N5" s="89">
        <f>'03 - 2023'!J11-'03 - 2023'!J10</f>
        <v>19171</v>
      </c>
      <c r="O5">
        <v>8.1000000000000003E-2</v>
      </c>
      <c r="P5" s="88">
        <f>'03 - 2023'!M11-'03 - 2023'!M10</f>
        <v>6.2699999999999818</v>
      </c>
      <c r="Q5" s="88">
        <f>'03 - 2023'!N11-'03 - 2023'!N10</f>
        <v>10.739999999999782</v>
      </c>
      <c r="R5" s="88">
        <f>('03 - 2023'!O11-'03 - 2023'!O10)*160</f>
        <v>1583.9999999996508</v>
      </c>
      <c r="S5" s="88">
        <f>('03 - 2023'!P11-'03 - 2023'!P10)*1000</f>
        <v>3000</v>
      </c>
      <c r="T5" s="10">
        <v>104</v>
      </c>
      <c r="U5" s="62">
        <v>145</v>
      </c>
    </row>
    <row r="6" spans="1:21">
      <c r="A6" t="s">
        <v>14</v>
      </c>
      <c r="B6">
        <f t="shared" si="0"/>
        <v>5</v>
      </c>
      <c r="C6">
        <v>3</v>
      </c>
      <c r="D6">
        <v>2023</v>
      </c>
      <c r="E6" s="4">
        <f>'03 - 2023'!B12-'03 - 2023'!B11</f>
        <v>4048</v>
      </c>
      <c r="F6" s="4">
        <f>'03 - 2023'!C12-'03 - 2023'!C11</f>
        <v>5757</v>
      </c>
      <c r="G6">
        <v>0.11799999999999999</v>
      </c>
      <c r="H6" s="89">
        <f>'03 - 2023'!I12-'03 - 2023'!I11</f>
        <v>111</v>
      </c>
      <c r="I6" s="1">
        <v>4.3936294247669103</v>
      </c>
      <c r="J6" s="4">
        <f>('03 - 2023'!E12-'03 - 2023'!E11)*1.89</f>
        <v>50.519699999999169</v>
      </c>
      <c r="K6" s="4">
        <f>('03 - 2023'!F12-'03 - 2023'!F11)*1.89</f>
        <v>15.743699999999862</v>
      </c>
      <c r="L6" s="4">
        <f>('03 - 2023'!G12-'03 - 2023'!G11)*1.89</f>
        <v>62.426699999997794</v>
      </c>
      <c r="M6">
        <v>0.74</v>
      </c>
      <c r="N6" s="89">
        <f>'03 - 2023'!J12-'03 - 2023'!J11</f>
        <v>17757</v>
      </c>
      <c r="O6">
        <v>8.1000000000000003E-2</v>
      </c>
      <c r="P6" s="88">
        <f>'03 - 2023'!M12-'03 - 2023'!M11</f>
        <v>4.6599999999998545</v>
      </c>
      <c r="Q6" s="88">
        <f>'03 - 2023'!N12-'03 - 2023'!N11</f>
        <v>9.7399999999997817</v>
      </c>
      <c r="R6" s="88">
        <f>('03 - 2023'!O12-'03 - 2023'!O11)*160</f>
        <v>1552.0000000001164</v>
      </c>
      <c r="S6" s="88">
        <f>('03 - 2023'!P12-'03 - 2023'!P11)*1000</f>
        <v>2699.9999999998181</v>
      </c>
      <c r="T6" s="10">
        <v>81</v>
      </c>
      <c r="U6" s="10">
        <v>117</v>
      </c>
    </row>
    <row r="7" spans="1:21">
      <c r="A7" t="s">
        <v>14</v>
      </c>
      <c r="B7">
        <f t="shared" si="0"/>
        <v>6</v>
      </c>
      <c r="C7">
        <v>3</v>
      </c>
      <c r="D7">
        <v>2023</v>
      </c>
      <c r="E7" s="4">
        <f>'03 - 2023'!B13-'03 - 2023'!B12</f>
        <v>3977</v>
      </c>
      <c r="F7" s="4">
        <f>'03 - 2023'!C13-'03 - 2023'!C12</f>
        <v>5672</v>
      </c>
      <c r="G7">
        <v>0.11799999999999999</v>
      </c>
      <c r="H7" s="89">
        <f>'03 - 2023'!I13-'03 - 2023'!I12</f>
        <v>108</v>
      </c>
      <c r="I7" s="1">
        <v>4.3936294247669103</v>
      </c>
      <c r="J7" s="4">
        <f>('03 - 2023'!E13-'03 - 2023'!E12)*1.89</f>
        <v>47.609100000000957</v>
      </c>
      <c r="K7" s="4">
        <f>('03 - 2023'!F13-'03 - 2023'!F12)*1.89</f>
        <v>14.779799999999449</v>
      </c>
      <c r="L7" s="4">
        <f>('03 - 2023'!G13-'03 - 2023'!G12)*1.89</f>
        <v>59.345999999988997</v>
      </c>
      <c r="M7">
        <v>0.74</v>
      </c>
      <c r="N7" s="89">
        <f>'03 - 2023'!J13-'03 - 2023'!J12</f>
        <v>15704</v>
      </c>
      <c r="O7">
        <v>8.1000000000000003E-2</v>
      </c>
      <c r="P7" s="88">
        <f>'03 - 2023'!M13-'03 - 2023'!M12</f>
        <v>3.3200000000001637</v>
      </c>
      <c r="Q7" s="88">
        <f>'03 - 2023'!N13-'03 - 2023'!N12</f>
        <v>8.0300000000006548</v>
      </c>
      <c r="R7" s="88">
        <f>('03 - 2023'!O13-'03 - 2023'!O12)*160</f>
        <v>1727.9999999998836</v>
      </c>
      <c r="S7" s="88">
        <f>('03 - 2023'!P13-'03 - 2023'!P12)*1000</f>
        <v>2300.0000000001819</v>
      </c>
      <c r="T7" s="10">
        <v>82</v>
      </c>
      <c r="U7" s="10">
        <v>119</v>
      </c>
    </row>
    <row r="8" spans="1:21">
      <c r="A8" t="s">
        <v>14</v>
      </c>
      <c r="B8">
        <f t="shared" si="0"/>
        <v>7</v>
      </c>
      <c r="C8">
        <v>3</v>
      </c>
      <c r="D8">
        <v>2023</v>
      </c>
      <c r="E8" s="4">
        <f>'03 - 2023'!B14-'03 - 2023'!B13</f>
        <v>3981</v>
      </c>
      <c r="F8" s="4">
        <f>'03 - 2023'!C14-'03 - 2023'!C13</f>
        <v>5721</v>
      </c>
      <c r="G8">
        <v>0.11799999999999999</v>
      </c>
      <c r="H8" s="89">
        <f>'03 - 2023'!I14-'03 - 2023'!I13</f>
        <v>108</v>
      </c>
      <c r="I8" s="1">
        <v>4.3936294247669103</v>
      </c>
      <c r="J8" s="4">
        <f>('03 - 2023'!E14-'03 - 2023'!E13)*1.89</f>
        <v>58.098599999999585</v>
      </c>
      <c r="K8" s="4">
        <f>('03 - 2023'!F14-'03 - 2023'!F13)*1.89</f>
        <v>15.176699999999517</v>
      </c>
      <c r="L8" s="4">
        <f>('03 - 2023'!G14-'03 - 2023'!G13)*1.89</f>
        <v>58.627800000007696</v>
      </c>
      <c r="M8">
        <v>0.74</v>
      </c>
      <c r="N8" s="89">
        <f>'03 - 2023'!J14-'03 - 2023'!J13</f>
        <v>15711</v>
      </c>
      <c r="O8">
        <v>8.1000000000000003E-2</v>
      </c>
      <c r="P8" s="88">
        <f>'03 - 2023'!M14-'03 - 2023'!M13</f>
        <v>3.2899999999999636</v>
      </c>
      <c r="Q8" s="88">
        <f>'03 - 2023'!N14-'03 - 2023'!N13</f>
        <v>7.6499999999996362</v>
      </c>
      <c r="R8" s="88">
        <f>('03 - 2023'!O14-'03 - 2023'!O13)*160</f>
        <v>1456.0000000003492</v>
      </c>
      <c r="S8" s="88">
        <f>('03 - 2023'!P14-'03 - 2023'!P13)*1000</f>
        <v>2500</v>
      </c>
      <c r="T8" s="10">
        <v>104</v>
      </c>
      <c r="U8" s="10">
        <v>137</v>
      </c>
    </row>
    <row r="9" spans="1:21">
      <c r="A9" t="s">
        <v>14</v>
      </c>
      <c r="B9">
        <f t="shared" si="0"/>
        <v>8</v>
      </c>
      <c r="C9">
        <v>3</v>
      </c>
      <c r="D9">
        <v>2023</v>
      </c>
      <c r="E9" s="4">
        <f>'03 - 2023'!B15-'03 - 2023'!B14</f>
        <v>3890</v>
      </c>
      <c r="F9" s="4">
        <f>'03 - 2023'!C15-'03 - 2023'!C14</f>
        <v>5704</v>
      </c>
      <c r="G9">
        <v>0.11799999999999999</v>
      </c>
      <c r="H9" s="89">
        <f>'03 - 2023'!I15-'03 - 2023'!I14</f>
        <v>105</v>
      </c>
      <c r="I9" s="1">
        <v>4.3936294247669103</v>
      </c>
      <c r="J9" s="4">
        <f>('03 - 2023'!E15-'03 - 2023'!E14)*1.89</f>
        <v>54.602099999998899</v>
      </c>
      <c r="K9" s="4">
        <f>('03 - 2023'!F15-'03 - 2023'!F14)*1.89</f>
        <v>16.159500000000342</v>
      </c>
      <c r="L9" s="4">
        <f>('03 - 2023'!G15-'03 - 2023'!G14)*1.89</f>
        <v>63.466200000003298</v>
      </c>
      <c r="M9">
        <v>0.74</v>
      </c>
      <c r="N9" s="89">
        <f>'03 - 2023'!J15-'03 - 2023'!J14</f>
        <v>16121</v>
      </c>
      <c r="O9">
        <v>8.1000000000000003E-2</v>
      </c>
      <c r="P9" s="88">
        <f>'03 - 2023'!M15-'03 - 2023'!M14</f>
        <v>5.0499999999997272</v>
      </c>
      <c r="Q9" s="88">
        <f>'03 - 2023'!N15-'03 - 2023'!N14</f>
        <v>10.619999999998981</v>
      </c>
      <c r="R9" s="88">
        <f>('03 - 2023'!O15-'03 - 2023'!O14)*160</f>
        <v>1567.9999999998836</v>
      </c>
      <c r="S9" s="88">
        <f>('03 - 2023'!P15-'03 - 2023'!P14)*1000</f>
        <v>2600.0000000003638</v>
      </c>
      <c r="T9" s="10">
        <v>102</v>
      </c>
      <c r="U9" s="10">
        <v>130</v>
      </c>
    </row>
    <row r="10" spans="1:21">
      <c r="A10" t="s">
        <v>14</v>
      </c>
      <c r="B10">
        <f t="shared" si="0"/>
        <v>9</v>
      </c>
      <c r="C10">
        <v>3</v>
      </c>
      <c r="D10">
        <v>2023</v>
      </c>
      <c r="E10" s="4">
        <f>'03 - 2023'!B16-'03 - 2023'!B15</f>
        <v>3963</v>
      </c>
      <c r="F10" s="4">
        <f>'03 - 2023'!C16-'03 - 2023'!C15</f>
        <v>5845</v>
      </c>
      <c r="G10">
        <v>0.11799999999999999</v>
      </c>
      <c r="H10" s="89">
        <f>'03 - 2023'!I16-'03 - 2023'!I15</f>
        <v>112</v>
      </c>
      <c r="I10" s="1">
        <v>4.3936294247669103</v>
      </c>
      <c r="J10" s="4">
        <f>('03 - 2023'!E16-'03 - 2023'!E15)*1.89</f>
        <v>46.90979999999945</v>
      </c>
      <c r="K10" s="4">
        <f>('03 - 2023'!F16-'03 - 2023'!F15)*1.89</f>
        <v>14.118300000000481</v>
      </c>
      <c r="L10" s="4">
        <f>('03 - 2023'!G16-'03 - 2023'!G15)*1.89</f>
        <v>59.421599999990647</v>
      </c>
      <c r="M10">
        <v>0.74</v>
      </c>
      <c r="N10" s="89">
        <f>'03 - 2023'!J16-'03 - 2023'!J15</f>
        <v>16463</v>
      </c>
      <c r="O10">
        <v>8.1000000000000003E-2</v>
      </c>
      <c r="P10" s="88">
        <f>'03 - 2023'!M16-'03 - 2023'!M15</f>
        <v>4.1000000000003638</v>
      </c>
      <c r="Q10" s="88">
        <f>'03 - 2023'!N16-'03 - 2023'!N15</f>
        <v>8.75</v>
      </c>
      <c r="R10" s="88">
        <f>('03 - 2023'!O16-'03 - 2023'!O15)*160</f>
        <v>1647.9999999998836</v>
      </c>
      <c r="S10" s="88">
        <f>('03 - 2023'!P16-'03 - 2023'!P15)*1000</f>
        <v>2399.9999999996362</v>
      </c>
      <c r="T10" s="10">
        <v>106</v>
      </c>
      <c r="U10" s="11">
        <v>132</v>
      </c>
    </row>
    <row r="11" spans="1:21">
      <c r="A11" t="s">
        <v>14</v>
      </c>
      <c r="B11">
        <f t="shared" si="0"/>
        <v>10</v>
      </c>
      <c r="C11">
        <v>3</v>
      </c>
      <c r="D11">
        <v>2023</v>
      </c>
      <c r="E11" s="4">
        <f>'03 - 2023'!B17-'03 - 2023'!B16</f>
        <v>4010</v>
      </c>
      <c r="F11" s="4">
        <f>'03 - 2023'!C17-'03 - 2023'!C16</f>
        <v>5856</v>
      </c>
      <c r="G11">
        <v>0.11799999999999999</v>
      </c>
      <c r="H11" s="89">
        <f>'03 - 2023'!I17-'03 - 2023'!I16</f>
        <v>125</v>
      </c>
      <c r="I11" s="1">
        <v>4.3936294247669103</v>
      </c>
      <c r="J11" s="4">
        <f>('03 - 2023'!E17-'03 - 2023'!E16)*1.89</f>
        <v>69.967800000000821</v>
      </c>
      <c r="K11" s="4">
        <f>('03 - 2023'!F17-'03 - 2023'!F16)*1.89</f>
        <v>13.305599999999931</v>
      </c>
      <c r="L11" s="4">
        <f>('03 - 2023'!G17-'03 - 2023'!G16)*1.89</f>
        <v>61.17930000000495</v>
      </c>
      <c r="M11">
        <v>0.74</v>
      </c>
      <c r="N11" s="89">
        <f>'03 - 2023'!J17-'03 - 2023'!J16</f>
        <v>17799</v>
      </c>
      <c r="O11">
        <v>8.1000000000000003E-2</v>
      </c>
      <c r="P11" s="88">
        <f>'03 - 2023'!M17-'03 - 2023'!M16</f>
        <v>5</v>
      </c>
      <c r="Q11" s="88">
        <f>'03 - 2023'!N17-'03 - 2023'!N16</f>
        <v>9.75</v>
      </c>
      <c r="R11" s="88">
        <f>('03 - 2023'!O17-'03 - 2023'!O16)*160</f>
        <v>1520</v>
      </c>
      <c r="S11" s="88">
        <f>('03 - 2023'!P17-'03 - 2023'!P16)*1000</f>
        <v>2300.0000000001819</v>
      </c>
      <c r="T11" s="10">
        <v>104</v>
      </c>
      <c r="U11" s="11">
        <v>126</v>
      </c>
    </row>
    <row r="12" spans="1:21">
      <c r="A12" t="s">
        <v>14</v>
      </c>
      <c r="B12">
        <f t="shared" si="0"/>
        <v>11</v>
      </c>
      <c r="C12">
        <v>3</v>
      </c>
      <c r="D12">
        <v>2023</v>
      </c>
      <c r="E12" s="4">
        <f>'03 - 2023'!B18-'03 - 2023'!B17</f>
        <v>3999</v>
      </c>
      <c r="F12" s="4">
        <f>'03 - 2023'!C18-'03 - 2023'!C17</f>
        <v>6073</v>
      </c>
      <c r="G12">
        <v>0.11799999999999999</v>
      </c>
      <c r="H12" s="89">
        <f>'03 - 2023'!I18-'03 - 2023'!I17</f>
        <v>120</v>
      </c>
      <c r="I12" s="1">
        <v>4.3936294247669103</v>
      </c>
      <c r="J12" s="4">
        <f>('03 - 2023'!E18-'03 - 2023'!E17)*1.89</f>
        <v>39.708900000000412</v>
      </c>
      <c r="K12" s="4">
        <f>('03 - 2023'!F18-'03 - 2023'!F17)*1.89</f>
        <v>15.516900000000067</v>
      </c>
      <c r="L12" s="4">
        <f>('03 - 2023'!G18-'03 - 2023'!G17)*1.89</f>
        <v>61.840800000002197</v>
      </c>
      <c r="M12">
        <v>0.74</v>
      </c>
      <c r="N12" s="89">
        <f>'03 - 2023'!J18-'03 - 2023'!J17</f>
        <v>17393</v>
      </c>
      <c r="O12">
        <v>8.1000000000000003E-2</v>
      </c>
      <c r="P12" s="88">
        <f>'03 - 2023'!M18-'03 - 2023'!M17</f>
        <v>6.0799999999999272</v>
      </c>
      <c r="Q12" s="88">
        <f>'03 - 2023'!N18-'03 - 2023'!N17</f>
        <v>11.06000000000131</v>
      </c>
      <c r="R12" s="88">
        <f>('03 - 2023'!O18-'03 - 2023'!O17)*160</f>
        <v>2464.0000000002328</v>
      </c>
      <c r="S12" s="88">
        <f>('03 - 2023'!P18-'03 - 2023'!P17)*1000</f>
        <v>2399.9999999996362</v>
      </c>
      <c r="T12" s="10">
        <v>104</v>
      </c>
      <c r="U12" s="11">
        <v>133</v>
      </c>
    </row>
    <row r="13" spans="1:21">
      <c r="A13" t="s">
        <v>14</v>
      </c>
      <c r="B13">
        <f t="shared" si="0"/>
        <v>12</v>
      </c>
      <c r="C13">
        <v>3</v>
      </c>
      <c r="D13">
        <v>2023</v>
      </c>
      <c r="E13" s="4">
        <f>'03 - 2023'!B19-'03 - 2023'!B18</f>
        <v>3894</v>
      </c>
      <c r="F13" s="4">
        <f>'03 - 2023'!C19-'03 - 2023'!C18</f>
        <v>5793</v>
      </c>
      <c r="G13">
        <v>0.11799999999999999</v>
      </c>
      <c r="H13" s="89">
        <f>'03 - 2023'!I19-'03 - 2023'!I18</f>
        <v>113</v>
      </c>
      <c r="I13" s="1">
        <v>4.3936294247669103</v>
      </c>
      <c r="J13" s="4">
        <f>('03 - 2023'!E19-'03 - 2023'!E18)*1.89</f>
        <v>51.634799999999444</v>
      </c>
      <c r="K13" s="4">
        <f>('03 - 2023'!F19-'03 - 2023'!F18)*1.89</f>
        <v>14.212799999999106</v>
      </c>
      <c r="L13" s="4">
        <f>('03 - 2023'!G19-'03 - 2023'!G18)*1.89</f>
        <v>61.44390000000385</v>
      </c>
      <c r="M13">
        <v>0.74</v>
      </c>
      <c r="N13" s="89">
        <f>'03 - 2023'!J19-'03 - 2023'!J18</f>
        <v>18256</v>
      </c>
      <c r="O13">
        <v>8.1000000000000003E-2</v>
      </c>
      <c r="P13" s="88">
        <f>'03 - 2023'!M19-'03 - 2023'!M18</f>
        <v>5.0100000000002183</v>
      </c>
      <c r="Q13" s="88">
        <f>'03 - 2023'!N19-'03 - 2023'!N18</f>
        <v>10.489999999999782</v>
      </c>
      <c r="R13" s="88">
        <f>('03 - 2023'!O19-'03 - 2023'!O18)*160</f>
        <v>960</v>
      </c>
      <c r="S13" s="88">
        <f>('03 - 2023'!P19-'03 - 2023'!P18)*1000</f>
        <v>3000</v>
      </c>
      <c r="T13" s="10">
        <v>82</v>
      </c>
      <c r="U13" s="11">
        <v>113</v>
      </c>
    </row>
    <row r="14" spans="1:21">
      <c r="A14" t="s">
        <v>14</v>
      </c>
      <c r="B14">
        <f t="shared" si="0"/>
        <v>13</v>
      </c>
      <c r="C14">
        <v>3</v>
      </c>
      <c r="D14">
        <v>2023</v>
      </c>
      <c r="E14" s="4">
        <f>'03 - 2023'!B20-'03 - 2023'!B19</f>
        <v>3693</v>
      </c>
      <c r="F14" s="4">
        <f>'03 - 2023'!C20-'03 - 2023'!C19</f>
        <v>5759</v>
      </c>
      <c r="G14">
        <v>0.11799999999999999</v>
      </c>
      <c r="H14" s="89">
        <f>'03 - 2023'!I20-'03 - 2023'!I19</f>
        <v>97</v>
      </c>
      <c r="I14" s="1">
        <v>4.3936294247669103</v>
      </c>
      <c r="J14" s="4">
        <f>('03 - 2023'!E20-'03 - 2023'!E19)*1.89</f>
        <v>52.938900000000409</v>
      </c>
      <c r="K14" s="4">
        <f>('03 - 2023'!F20-'03 - 2023'!F19)*1.89</f>
        <v>14.004900000001443</v>
      </c>
      <c r="L14" s="4">
        <f>('03 - 2023'!G20-'03 - 2023'!G19)*1.89</f>
        <v>57.21029999999395</v>
      </c>
      <c r="M14">
        <v>0.74</v>
      </c>
      <c r="N14" s="89">
        <f>'03 - 2023'!J20-'03 - 2023'!J19</f>
        <v>18175</v>
      </c>
      <c r="O14">
        <v>8.1000000000000003E-2</v>
      </c>
      <c r="P14" s="88">
        <f>'03 - 2023'!M20-'03 - 2023'!M19</f>
        <v>1.8899999999994179</v>
      </c>
      <c r="Q14" s="88">
        <f>'03 - 2023'!N20-'03 - 2023'!N19</f>
        <v>7.7199999999993452</v>
      </c>
      <c r="R14" s="88">
        <f>('03 - 2023'!O20-'03 - 2023'!O19)*160</f>
        <v>1520</v>
      </c>
      <c r="S14" s="88">
        <f>('03 - 2023'!P20-'03 - 2023'!P19)*1000</f>
        <v>3000</v>
      </c>
      <c r="T14" s="10">
        <v>82</v>
      </c>
      <c r="U14" s="11">
        <v>113</v>
      </c>
    </row>
    <row r="15" spans="1:21">
      <c r="A15" t="s">
        <v>14</v>
      </c>
      <c r="B15">
        <f t="shared" si="0"/>
        <v>14</v>
      </c>
      <c r="C15">
        <v>3</v>
      </c>
      <c r="D15">
        <v>2023</v>
      </c>
      <c r="E15" s="4">
        <v>0</v>
      </c>
      <c r="F15" s="4">
        <v>0</v>
      </c>
      <c r="G15">
        <v>0.11799999999999999</v>
      </c>
      <c r="H15" s="89">
        <v>0</v>
      </c>
      <c r="I15" s="1">
        <v>4.3936294247669103</v>
      </c>
      <c r="J15" s="4">
        <v>0</v>
      </c>
      <c r="K15" s="4">
        <v>0</v>
      </c>
      <c r="L15" s="4">
        <v>0</v>
      </c>
      <c r="M15">
        <v>0.74</v>
      </c>
      <c r="N15" s="89">
        <v>0</v>
      </c>
      <c r="O15">
        <v>8.1000000000000003E-2</v>
      </c>
      <c r="P15" s="88">
        <v>0</v>
      </c>
      <c r="Q15" s="88">
        <v>0</v>
      </c>
      <c r="R15" s="88">
        <v>0</v>
      </c>
      <c r="S15" s="88">
        <v>0</v>
      </c>
      <c r="T15" s="10"/>
      <c r="U15" s="11"/>
    </row>
    <row r="16" spans="1:21">
      <c r="A16" t="s">
        <v>14</v>
      </c>
      <c r="B16">
        <f t="shared" si="0"/>
        <v>15</v>
      </c>
      <c r="C16">
        <v>3</v>
      </c>
      <c r="D16">
        <v>2023</v>
      </c>
      <c r="E16" s="4">
        <f>'03 - 2023'!B22-'03 - 2023'!B21</f>
        <v>0</v>
      </c>
      <c r="F16" s="4">
        <f>'03 - 2023'!C22-'03 - 2023'!C21</f>
        <v>0</v>
      </c>
      <c r="G16">
        <v>0.11799999999999999</v>
      </c>
      <c r="H16" s="89">
        <f>'03 - 2023'!I22-'03 - 2023'!I21</f>
        <v>0</v>
      </c>
      <c r="I16" s="1">
        <v>4.3936294247669103</v>
      </c>
      <c r="J16" s="4">
        <f>('03 - 2023'!E22-'03 - 2023'!E21)*1.89</f>
        <v>0</v>
      </c>
      <c r="K16" s="4">
        <f>('03 - 2023'!F22-'03 - 2023'!F21)*1.89</f>
        <v>0</v>
      </c>
      <c r="L16" s="4">
        <f>('03 - 2023'!G22-'03 - 2023'!G21)*1.89</f>
        <v>0</v>
      </c>
      <c r="M16">
        <v>0.74</v>
      </c>
      <c r="N16" s="89">
        <f>'03 - 2023'!J22-'03 - 2023'!J21</f>
        <v>0</v>
      </c>
      <c r="O16">
        <v>8.1000000000000003E-2</v>
      </c>
      <c r="P16" s="88">
        <f>'03 - 2023'!M22-'03 - 2023'!M21</f>
        <v>0</v>
      </c>
      <c r="Q16" s="88">
        <f>'03 - 2023'!N22-'03 - 2023'!N21</f>
        <v>0</v>
      </c>
      <c r="R16" s="88">
        <f>('03 - 2023'!O22-'03 - 2023'!O21)*160</f>
        <v>0</v>
      </c>
      <c r="S16" s="88">
        <f>('03 - 2023'!P22-'03 - 2023'!P21)*1000</f>
        <v>0</v>
      </c>
      <c r="T16" s="10"/>
      <c r="U16" s="11"/>
    </row>
    <row r="17" spans="1:21">
      <c r="A17" t="s">
        <v>14</v>
      </c>
      <c r="B17">
        <f t="shared" si="0"/>
        <v>16</v>
      </c>
      <c r="C17">
        <v>3</v>
      </c>
      <c r="D17">
        <v>2023</v>
      </c>
      <c r="E17" s="4">
        <f>'03 - 2023'!B23-'03 - 2023'!B22</f>
        <v>0</v>
      </c>
      <c r="F17" s="4">
        <f>'03 - 2023'!C23-'03 - 2023'!C22</f>
        <v>0</v>
      </c>
      <c r="G17">
        <v>0.11799999999999999</v>
      </c>
      <c r="H17" s="89">
        <f>'03 - 2023'!I23-'03 - 2023'!I22</f>
        <v>0</v>
      </c>
      <c r="I17" s="1">
        <v>4.3936294247669103</v>
      </c>
      <c r="J17" s="4">
        <f>('03 - 2023'!E23-'03 - 2023'!E22)*1.89</f>
        <v>0</v>
      </c>
      <c r="K17" s="4">
        <f>('03 - 2023'!F23-'03 - 2023'!F22)*1.89</f>
        <v>0</v>
      </c>
      <c r="L17" s="4">
        <f>('03 - 2023'!G23-'03 - 2023'!G22)*1.89</f>
        <v>0</v>
      </c>
      <c r="M17">
        <v>0.74</v>
      </c>
      <c r="N17" s="89">
        <f>'03 - 2023'!J23-'03 - 2023'!J22</f>
        <v>0</v>
      </c>
      <c r="O17">
        <v>8.1000000000000003E-2</v>
      </c>
      <c r="P17" s="88">
        <f>'03 - 2023'!M23-'03 - 2023'!M22</f>
        <v>0</v>
      </c>
      <c r="Q17" s="88">
        <f>'03 - 2023'!N23-'03 - 2023'!N22</f>
        <v>0</v>
      </c>
      <c r="R17" s="88">
        <f>('03 - 2023'!O23-'03 - 2023'!O22)*160</f>
        <v>0</v>
      </c>
      <c r="S17" s="88">
        <f>('03 - 2023'!P23-'03 - 2023'!P22)*1000</f>
        <v>0</v>
      </c>
      <c r="T17" s="10"/>
      <c r="U17" s="11"/>
    </row>
    <row r="18" spans="1:21">
      <c r="A18" t="s">
        <v>14</v>
      </c>
      <c r="B18">
        <f t="shared" si="0"/>
        <v>17</v>
      </c>
      <c r="C18">
        <v>3</v>
      </c>
      <c r="D18">
        <v>2023</v>
      </c>
      <c r="E18" s="4">
        <f>'03 - 2023'!B24-'03 - 2023'!B23</f>
        <v>0</v>
      </c>
      <c r="F18" s="4">
        <f>'03 - 2023'!C24-'03 - 2023'!C23</f>
        <v>0</v>
      </c>
      <c r="G18">
        <v>0.11799999999999999</v>
      </c>
      <c r="H18" s="89">
        <f>'03 - 2023'!I24-'03 - 2023'!I23</f>
        <v>0</v>
      </c>
      <c r="I18" s="1">
        <v>4.3936294247669103</v>
      </c>
      <c r="J18" s="4">
        <f>('03 - 2023'!E24-'03 - 2023'!E23)*1.89</f>
        <v>0</v>
      </c>
      <c r="K18" s="4">
        <f>('03 - 2023'!F24-'03 - 2023'!F23)*1.89</f>
        <v>0</v>
      </c>
      <c r="L18" s="4">
        <f>('03 - 2023'!G24-'03 - 2023'!G23)*1.89</f>
        <v>0</v>
      </c>
      <c r="M18">
        <v>0.74</v>
      </c>
      <c r="N18" s="89">
        <f>'03 - 2023'!J24-'03 - 2023'!J23</f>
        <v>0</v>
      </c>
      <c r="O18">
        <v>8.1000000000000003E-2</v>
      </c>
      <c r="P18" s="88">
        <f>'03 - 2023'!M24-'03 - 2023'!M23</f>
        <v>0</v>
      </c>
      <c r="Q18" s="88">
        <f>'03 - 2023'!N24-'03 - 2023'!N23</f>
        <v>0</v>
      </c>
      <c r="R18" s="88">
        <f>('03 - 2023'!O24-'03 - 2023'!O23)*160</f>
        <v>0</v>
      </c>
      <c r="S18" s="88">
        <f>('03 - 2023'!P24-'03 - 2023'!P23)*1000</f>
        <v>0</v>
      </c>
      <c r="T18" s="10"/>
      <c r="U18" s="11"/>
    </row>
    <row r="19" spans="1:21">
      <c r="A19" t="s">
        <v>14</v>
      </c>
      <c r="B19">
        <f>B18+1</f>
        <v>18</v>
      </c>
      <c r="C19">
        <v>3</v>
      </c>
      <c r="D19">
        <v>2023</v>
      </c>
      <c r="E19" s="4">
        <f>'03 - 2023'!B25-'03 - 2023'!B24</f>
        <v>0</v>
      </c>
      <c r="F19" s="4">
        <f>'03 - 2023'!C25-'03 - 2023'!C24</f>
        <v>0</v>
      </c>
      <c r="G19">
        <v>0.11799999999999999</v>
      </c>
      <c r="H19" s="89">
        <f>'03 - 2023'!I25-'03 - 2023'!I24</f>
        <v>0</v>
      </c>
      <c r="I19" s="1">
        <v>4.3936294247669103</v>
      </c>
      <c r="J19" s="4">
        <f>('03 - 2023'!E25-'03 - 2023'!E24)*1.89</f>
        <v>0</v>
      </c>
      <c r="K19" s="4">
        <f>('03 - 2023'!F25-'03 - 2023'!F24)*1.89</f>
        <v>0</v>
      </c>
      <c r="L19" s="4">
        <f>('03 - 2023'!G25-'03 - 2023'!G24)*1.89</f>
        <v>0</v>
      </c>
      <c r="M19">
        <v>0.74</v>
      </c>
      <c r="N19" s="89">
        <f>'03 - 2023'!J25-'03 - 2023'!J24</f>
        <v>0</v>
      </c>
      <c r="O19">
        <v>8.1000000000000003E-2</v>
      </c>
      <c r="P19" s="88">
        <f>'03 - 2023'!M25-'03 - 2023'!M24</f>
        <v>0</v>
      </c>
      <c r="Q19" s="88">
        <f>'03 - 2023'!N25-'03 - 2023'!N24</f>
        <v>0</v>
      </c>
      <c r="R19" s="88">
        <f>('03 - 2023'!O25-'03 - 2023'!O24)*160</f>
        <v>0</v>
      </c>
      <c r="S19" s="88">
        <f>('03 - 2023'!P25-'03 - 2023'!P24)*1000</f>
        <v>0</v>
      </c>
      <c r="T19" s="10"/>
      <c r="U19" s="11"/>
    </row>
    <row r="20" spans="1:21">
      <c r="A20" t="s">
        <v>14</v>
      </c>
      <c r="B20">
        <f t="shared" si="0"/>
        <v>19</v>
      </c>
      <c r="C20">
        <v>3</v>
      </c>
      <c r="D20">
        <v>2023</v>
      </c>
      <c r="E20" s="4">
        <f>'03 - 2023'!B26-'03 - 2023'!B25</f>
        <v>0</v>
      </c>
      <c r="F20" s="4">
        <f>'03 - 2023'!C26-'03 - 2023'!C25</f>
        <v>0</v>
      </c>
      <c r="G20">
        <v>0.11799999999999999</v>
      </c>
      <c r="H20" s="89">
        <f>'03 - 2023'!I26-'03 - 2023'!I25</f>
        <v>0</v>
      </c>
      <c r="I20" s="1">
        <v>4.3936294247669103</v>
      </c>
      <c r="J20" s="4">
        <f>('03 - 2023'!E26-'03 - 2023'!E25)*1.89</f>
        <v>0</v>
      </c>
      <c r="K20" s="4">
        <f>('03 - 2023'!F26-'03 - 2023'!F25)*1.89</f>
        <v>0</v>
      </c>
      <c r="L20" s="4">
        <f>('03 - 2023'!G26-'03 - 2023'!G25)*1.89</f>
        <v>0</v>
      </c>
      <c r="M20">
        <v>0.74</v>
      </c>
      <c r="N20" s="89">
        <f>'03 - 2023'!J26-'03 - 2023'!J25</f>
        <v>0</v>
      </c>
      <c r="O20">
        <v>8.1000000000000003E-2</v>
      </c>
      <c r="P20" s="88">
        <f>'03 - 2023'!M26-'03 - 2023'!M25</f>
        <v>0</v>
      </c>
      <c r="Q20" s="88">
        <f>'03 - 2023'!N26-'03 - 2023'!N25</f>
        <v>0</v>
      </c>
      <c r="R20" s="88">
        <f>('03 - 2023'!O26-'03 - 2023'!O25)*160</f>
        <v>0</v>
      </c>
      <c r="S20" s="88">
        <f>('03 - 2023'!P26-'03 - 2023'!P25)*1000</f>
        <v>0</v>
      </c>
      <c r="T20" s="10"/>
      <c r="U20" s="11"/>
    </row>
    <row r="21" spans="1:21">
      <c r="A21" t="s">
        <v>14</v>
      </c>
      <c r="B21">
        <f t="shared" si="0"/>
        <v>20</v>
      </c>
      <c r="C21">
        <v>3</v>
      </c>
      <c r="D21">
        <v>2023</v>
      </c>
      <c r="E21" s="4">
        <f>'03 - 2023'!B27-'03 - 2023'!B26</f>
        <v>0</v>
      </c>
      <c r="F21" s="4">
        <f>'03 - 2023'!C27-'03 - 2023'!C26</f>
        <v>0</v>
      </c>
      <c r="G21">
        <v>0.11799999999999999</v>
      </c>
      <c r="H21" s="89">
        <f>'03 - 2023'!I27-'03 - 2023'!I26</f>
        <v>0</v>
      </c>
      <c r="I21" s="1">
        <v>4.3936294247669103</v>
      </c>
      <c r="J21" s="4">
        <f>('03 - 2023'!E27-'03 - 2023'!E26)*1.89</f>
        <v>0</v>
      </c>
      <c r="K21" s="4">
        <f>('03 - 2023'!F27-'03 - 2023'!F26)*1.89</f>
        <v>0</v>
      </c>
      <c r="L21" s="4">
        <f>('03 - 2023'!G27-'03 - 2023'!G26)*1.89</f>
        <v>0</v>
      </c>
      <c r="M21">
        <v>0.74</v>
      </c>
      <c r="N21" s="89">
        <f>'03 - 2023'!J27-'03 - 2023'!J26</f>
        <v>0</v>
      </c>
      <c r="O21">
        <v>8.1000000000000003E-2</v>
      </c>
      <c r="P21" s="88">
        <f>'03 - 2023'!M27-'03 - 2023'!M26</f>
        <v>0</v>
      </c>
      <c r="Q21" s="88">
        <f>'03 - 2023'!N27-'03 - 2023'!N26</f>
        <v>0</v>
      </c>
      <c r="R21" s="88">
        <f>('03 - 2023'!O27-'03 - 2023'!O26)*160</f>
        <v>0</v>
      </c>
      <c r="S21" s="88">
        <f>('03 - 2023'!P27-'03 - 2023'!P26)*1000</f>
        <v>0</v>
      </c>
      <c r="T21" s="17"/>
      <c r="U21" s="11"/>
    </row>
    <row r="22" spans="1:21">
      <c r="A22" t="s">
        <v>14</v>
      </c>
      <c r="B22">
        <f t="shared" si="0"/>
        <v>21</v>
      </c>
      <c r="C22">
        <v>3</v>
      </c>
      <c r="D22">
        <v>2023</v>
      </c>
      <c r="E22" s="4">
        <f>'03 - 2023'!B28-'03 - 2023'!B27</f>
        <v>0</v>
      </c>
      <c r="F22" s="4">
        <f>'03 - 2023'!C28-'03 - 2023'!C27</f>
        <v>0</v>
      </c>
      <c r="G22">
        <v>0.11799999999999999</v>
      </c>
      <c r="H22" s="89">
        <f>'03 - 2023'!I28-'03 - 2023'!I27</f>
        <v>0</v>
      </c>
      <c r="I22" s="1">
        <v>4.3936294247669103</v>
      </c>
      <c r="J22" s="4">
        <f>('03 - 2023'!E28-'03 - 2023'!E27)*1.89</f>
        <v>0</v>
      </c>
      <c r="K22" s="4">
        <f>('03 - 2023'!F28-'03 - 2023'!F27)*1.89</f>
        <v>0</v>
      </c>
      <c r="L22" s="4">
        <f>('03 - 2023'!G28-'03 - 2023'!G27)*1.89</f>
        <v>0</v>
      </c>
      <c r="M22">
        <v>0.74</v>
      </c>
      <c r="N22" s="89">
        <f>'03 - 2023'!J28-'03 - 2023'!J27</f>
        <v>0</v>
      </c>
      <c r="O22">
        <v>8.1000000000000003E-2</v>
      </c>
      <c r="P22" s="88">
        <f>'03 - 2023'!M28-'03 - 2023'!M27</f>
        <v>0</v>
      </c>
      <c r="Q22" s="88">
        <f>'03 - 2023'!N28-'03 - 2023'!N27</f>
        <v>0</v>
      </c>
      <c r="R22" s="88">
        <f>('03 - 2023'!O28-'03 - 2023'!O27)*160</f>
        <v>0</v>
      </c>
      <c r="S22" s="88">
        <f>('03 - 2023'!P28-'03 - 2023'!P27)*1000</f>
        <v>0</v>
      </c>
      <c r="T22" s="10"/>
      <c r="U22" s="11"/>
    </row>
    <row r="23" spans="1:21">
      <c r="A23" t="s">
        <v>14</v>
      </c>
      <c r="B23">
        <f t="shared" si="0"/>
        <v>22</v>
      </c>
      <c r="C23">
        <v>3</v>
      </c>
      <c r="D23">
        <v>2023</v>
      </c>
      <c r="E23" s="4">
        <f>'03 - 2023'!B29-'03 - 2023'!B28</f>
        <v>0</v>
      </c>
      <c r="F23" s="4">
        <f>'03 - 2023'!C29-'03 - 2023'!C28</f>
        <v>0</v>
      </c>
      <c r="G23">
        <v>0.11799999999999999</v>
      </c>
      <c r="H23" s="89">
        <f>'03 - 2023'!I29-'03 - 2023'!I28</f>
        <v>0</v>
      </c>
      <c r="I23" s="1">
        <v>4.3936294247669103</v>
      </c>
      <c r="J23" s="4">
        <f>('03 - 2023'!E29-'03 - 2023'!E28)*1.89</f>
        <v>0</v>
      </c>
      <c r="K23" s="4">
        <f>('03 - 2023'!F29-'03 - 2023'!F28)*1.89</f>
        <v>0</v>
      </c>
      <c r="L23" s="4">
        <f>('03 - 2023'!G29-'03 - 2023'!G28)*1.89</f>
        <v>0</v>
      </c>
      <c r="M23">
        <v>0.74</v>
      </c>
      <c r="N23" s="89">
        <f>'03 - 2023'!J29-'03 - 2023'!J28</f>
        <v>0</v>
      </c>
      <c r="O23">
        <v>8.1000000000000003E-2</v>
      </c>
      <c r="P23" s="88">
        <f>'03 - 2023'!M29-'03 - 2023'!M28</f>
        <v>0</v>
      </c>
      <c r="Q23" s="88">
        <f>'03 - 2023'!N29-'03 - 2023'!N28</f>
        <v>0</v>
      </c>
      <c r="R23" s="88">
        <f>('03 - 2023'!O29-'03 - 2023'!O28)*160</f>
        <v>0</v>
      </c>
      <c r="S23" s="88">
        <f>('03 - 2023'!P29-'03 - 2023'!P28)*1000</f>
        <v>0</v>
      </c>
      <c r="T23" s="10"/>
      <c r="U23" s="11"/>
    </row>
    <row r="24" spans="1:21">
      <c r="A24" t="s">
        <v>14</v>
      </c>
      <c r="B24">
        <f t="shared" si="0"/>
        <v>23</v>
      </c>
      <c r="C24">
        <v>3</v>
      </c>
      <c r="D24">
        <v>2023</v>
      </c>
      <c r="E24" s="4">
        <f>'03 - 2023'!B30-'03 - 2023'!B29</f>
        <v>0</v>
      </c>
      <c r="F24" s="4">
        <f>'03 - 2023'!C30-'03 - 2023'!C29</f>
        <v>0</v>
      </c>
      <c r="G24">
        <v>0.11799999999999999</v>
      </c>
      <c r="H24" s="89">
        <f>'03 - 2023'!I30-'03 - 2023'!I29</f>
        <v>0</v>
      </c>
      <c r="I24" s="1">
        <v>4.3936294247669103</v>
      </c>
      <c r="J24" s="4">
        <f>('03 - 2023'!E30-'03 - 2023'!E29)*1.89</f>
        <v>0</v>
      </c>
      <c r="K24" s="4">
        <f>('03 - 2023'!F30-'03 - 2023'!F29)*1.89</f>
        <v>0</v>
      </c>
      <c r="L24" s="4">
        <f>('03 - 2023'!G30-'03 - 2023'!G29)*1.89</f>
        <v>0</v>
      </c>
      <c r="M24">
        <v>0.74</v>
      </c>
      <c r="N24" s="89">
        <f>'03 - 2023'!J30-'03 - 2023'!J29</f>
        <v>0</v>
      </c>
      <c r="O24">
        <v>8.1000000000000003E-2</v>
      </c>
      <c r="P24" s="88">
        <f>'03 - 2023'!M30-'03 - 2023'!M29</f>
        <v>0</v>
      </c>
      <c r="Q24" s="88">
        <f>'03 - 2023'!N30-'03 - 2023'!N29</f>
        <v>0</v>
      </c>
      <c r="R24" s="88">
        <f>('03 - 2023'!O30-'03 - 2023'!O29)*160</f>
        <v>0</v>
      </c>
      <c r="S24" s="88">
        <f>('03 - 2023'!P30-'03 - 2023'!P29)*1000</f>
        <v>0</v>
      </c>
      <c r="T24" s="10"/>
      <c r="U24" s="11"/>
    </row>
    <row r="25" spans="1:21">
      <c r="A25" t="s">
        <v>14</v>
      </c>
      <c r="B25">
        <f t="shared" si="0"/>
        <v>24</v>
      </c>
      <c r="C25">
        <v>3</v>
      </c>
      <c r="D25">
        <v>2023</v>
      </c>
      <c r="E25" s="4">
        <f>'03 - 2023'!B31-'03 - 2023'!B30</f>
        <v>0</v>
      </c>
      <c r="F25" s="4">
        <f>'03 - 2023'!C31-'03 - 2023'!C30</f>
        <v>0</v>
      </c>
      <c r="G25">
        <v>0.11799999999999999</v>
      </c>
      <c r="H25" s="89">
        <f>'03 - 2023'!I31-'03 - 2023'!I30</f>
        <v>0</v>
      </c>
      <c r="I25" s="1">
        <v>4.3936294247669103</v>
      </c>
      <c r="J25" s="4">
        <f>('03 - 2023'!E31-'03 - 2023'!E30)*1.89</f>
        <v>0</v>
      </c>
      <c r="K25" s="4">
        <f>('03 - 2023'!F31-'03 - 2023'!F30)*1.89</f>
        <v>0</v>
      </c>
      <c r="L25" s="4">
        <f>('03 - 2023'!G31-'03 - 2023'!G30)*1.89</f>
        <v>0</v>
      </c>
      <c r="M25">
        <v>0.74</v>
      </c>
      <c r="N25" s="89">
        <f>'03 - 2023'!J31-'03 - 2023'!J30</f>
        <v>0</v>
      </c>
      <c r="O25">
        <v>8.1000000000000003E-2</v>
      </c>
      <c r="P25" s="88">
        <f>'03 - 2023'!M31-'03 - 2023'!M30</f>
        <v>0</v>
      </c>
      <c r="Q25" s="88">
        <f>'03 - 2023'!N31-'03 - 2023'!N30</f>
        <v>0</v>
      </c>
      <c r="R25" s="88">
        <f>('03 - 2023'!O31-'03 - 2023'!O30)*160</f>
        <v>0</v>
      </c>
      <c r="S25" s="88">
        <f>('03 - 2023'!P31-'03 - 2023'!P30)*1000</f>
        <v>0</v>
      </c>
      <c r="T25" s="10"/>
      <c r="U25" s="11"/>
    </row>
    <row r="26" spans="1:21">
      <c r="A26" t="s">
        <v>14</v>
      </c>
      <c r="B26">
        <f>B25+1</f>
        <v>25</v>
      </c>
      <c r="C26">
        <v>3</v>
      </c>
      <c r="D26">
        <v>2023</v>
      </c>
      <c r="E26" s="4">
        <f>'03 - 2023'!B32-'03 - 2023'!B31</f>
        <v>0</v>
      </c>
      <c r="F26" s="4">
        <f>'03 - 2023'!C32-'03 - 2023'!C31</f>
        <v>0</v>
      </c>
      <c r="G26">
        <v>0.11799999999999999</v>
      </c>
      <c r="H26" s="89">
        <f>'03 - 2023'!I32-'03 - 2023'!I31</f>
        <v>0</v>
      </c>
      <c r="I26" s="1">
        <v>4.3936294247669103</v>
      </c>
      <c r="J26" s="4">
        <f>('03 - 2023'!E32-'03 - 2023'!E31)*1.89</f>
        <v>0</v>
      </c>
      <c r="K26" s="4">
        <f>('03 - 2023'!F32-'03 - 2023'!F31)*1.89</f>
        <v>0</v>
      </c>
      <c r="L26" s="4">
        <f>('03 - 2023'!G32-'03 - 2023'!G31)*1.89</f>
        <v>0</v>
      </c>
      <c r="M26">
        <v>0.74</v>
      </c>
      <c r="N26" s="89">
        <f>'03 - 2023'!J32-'03 - 2023'!J31</f>
        <v>0</v>
      </c>
      <c r="O26">
        <v>8.1000000000000003E-2</v>
      </c>
      <c r="P26" s="88">
        <f>'03 - 2023'!M32-'03 - 2023'!M31</f>
        <v>0</v>
      </c>
      <c r="Q26" s="88">
        <f>'03 - 2023'!N32-'03 - 2023'!N31</f>
        <v>0</v>
      </c>
      <c r="R26" s="88">
        <f>('03 - 2023'!O32-'03 - 2023'!O31)*160</f>
        <v>0</v>
      </c>
      <c r="S26" s="88">
        <f>('03 - 2023'!P32-'03 - 2023'!P31)*1000</f>
        <v>0</v>
      </c>
      <c r="T26" s="10"/>
      <c r="U26" s="11"/>
    </row>
    <row r="27" spans="1:21">
      <c r="A27" t="s">
        <v>14</v>
      </c>
      <c r="B27">
        <f t="shared" si="0"/>
        <v>26</v>
      </c>
      <c r="C27">
        <v>3</v>
      </c>
      <c r="D27">
        <v>2023</v>
      </c>
      <c r="E27" s="4">
        <f>'03 - 2023'!B33-'03 - 2023'!B32</f>
        <v>0</v>
      </c>
      <c r="F27" s="4">
        <f>'03 - 2023'!C33-'03 - 2023'!C32</f>
        <v>0</v>
      </c>
      <c r="G27">
        <v>0.11799999999999999</v>
      </c>
      <c r="H27" s="89">
        <f>'03 - 2023'!I33-'03 - 2023'!I32</f>
        <v>0</v>
      </c>
      <c r="I27" s="1">
        <v>4.3936294247669103</v>
      </c>
      <c r="J27" s="4">
        <f>('03 - 2023'!E33-'03 - 2023'!E32)*1.89</f>
        <v>0</v>
      </c>
      <c r="K27" s="4">
        <f>('03 - 2023'!F33-'03 - 2023'!F32)*1.89</f>
        <v>0</v>
      </c>
      <c r="L27" s="4">
        <f>('03 - 2023'!G33-'03 - 2023'!G32)*1.89</f>
        <v>0</v>
      </c>
      <c r="M27">
        <v>0.74</v>
      </c>
      <c r="N27" s="89">
        <f>'03 - 2023'!J33-'03 - 2023'!J32</f>
        <v>0</v>
      </c>
      <c r="O27">
        <v>8.1000000000000003E-2</v>
      </c>
      <c r="P27" s="88">
        <f>'03 - 2023'!M33-'03 - 2023'!M32</f>
        <v>0</v>
      </c>
      <c r="Q27" s="88">
        <f>'03 - 2023'!N33-'03 - 2023'!N32</f>
        <v>0</v>
      </c>
      <c r="R27" s="88">
        <f>('03 - 2023'!O33-'03 - 2023'!O32)*160</f>
        <v>0</v>
      </c>
      <c r="S27" s="88">
        <f>('03 - 2023'!P33-'03 - 2023'!P32)*1000</f>
        <v>0</v>
      </c>
      <c r="T27" s="10"/>
      <c r="U27" s="11"/>
    </row>
    <row r="28" spans="1:21">
      <c r="A28" t="s">
        <v>14</v>
      </c>
      <c r="B28">
        <f t="shared" si="0"/>
        <v>27</v>
      </c>
      <c r="C28">
        <v>3</v>
      </c>
      <c r="D28">
        <v>2023</v>
      </c>
      <c r="E28" s="4">
        <f>'03 - 2023'!B34-'03 - 2023'!B33</f>
        <v>0</v>
      </c>
      <c r="F28" s="4">
        <f>'03 - 2023'!C34-'03 - 2023'!C33</f>
        <v>0</v>
      </c>
      <c r="G28">
        <v>0.11799999999999999</v>
      </c>
      <c r="H28" s="89">
        <f>'03 - 2023'!I34-'03 - 2023'!I33</f>
        <v>0</v>
      </c>
      <c r="I28" s="1">
        <v>4.3936294247669103</v>
      </c>
      <c r="J28" s="4">
        <f>('03 - 2023'!E34-'03 - 2023'!E33)*1.89</f>
        <v>0</v>
      </c>
      <c r="K28" s="4">
        <f>('03 - 2023'!F34-'03 - 2023'!F33)*1.89</f>
        <v>0</v>
      </c>
      <c r="L28" s="4">
        <f>('03 - 2023'!G34-'03 - 2023'!G33)*1.89</f>
        <v>0</v>
      </c>
      <c r="M28">
        <v>0.74</v>
      </c>
      <c r="N28" s="89">
        <f>'03 - 2023'!J34-'03 - 2023'!J33</f>
        <v>0</v>
      </c>
      <c r="O28">
        <v>8.1000000000000003E-2</v>
      </c>
      <c r="P28" s="88">
        <f>'03 - 2023'!M34-'03 - 2023'!M33</f>
        <v>0</v>
      </c>
      <c r="Q28" s="88">
        <f>'03 - 2023'!N34-'03 - 2023'!N33</f>
        <v>0</v>
      </c>
      <c r="R28" s="88">
        <f>('03 - 2023'!O34-'03 - 2023'!O33)*160</f>
        <v>0</v>
      </c>
      <c r="S28" s="88">
        <f>('03 - 2023'!P34-'03 - 2023'!P33)*1000</f>
        <v>0</v>
      </c>
      <c r="T28" s="4"/>
      <c r="U28" s="11"/>
    </row>
    <row r="29" spans="1:21">
      <c r="A29" t="s">
        <v>14</v>
      </c>
      <c r="B29">
        <f t="shared" si="0"/>
        <v>28</v>
      </c>
      <c r="C29">
        <v>3</v>
      </c>
      <c r="D29">
        <v>2023</v>
      </c>
      <c r="E29" s="4">
        <f>'03 - 2023'!B35-'03 - 2023'!B34</f>
        <v>0</v>
      </c>
      <c r="F29" s="4">
        <f>'03 - 2023'!C35-'03 - 2023'!C34</f>
        <v>0</v>
      </c>
      <c r="G29">
        <v>0.11799999999999999</v>
      </c>
      <c r="H29" s="89">
        <f>'03 - 2023'!I35-'03 - 2023'!I34</f>
        <v>0</v>
      </c>
      <c r="I29" s="1">
        <v>4.3936294247669103</v>
      </c>
      <c r="J29" s="4">
        <f>('03 - 2023'!E35-'03 - 2023'!E34)*1.89</f>
        <v>0</v>
      </c>
      <c r="K29" s="4">
        <f>('03 - 2023'!F35-'03 - 2023'!F34)*1.89</f>
        <v>0</v>
      </c>
      <c r="L29" s="4">
        <f>('03 - 2023'!G35-'03 - 2023'!G34)*1.89</f>
        <v>0</v>
      </c>
      <c r="M29">
        <v>0.74</v>
      </c>
      <c r="N29" s="89">
        <f>'03 - 2023'!J35-'03 - 2023'!J34</f>
        <v>0</v>
      </c>
      <c r="O29">
        <v>8.1000000000000003E-2</v>
      </c>
      <c r="P29" s="88">
        <f>'03 - 2023'!M35-'03 - 2023'!M34</f>
        <v>0</v>
      </c>
      <c r="Q29" s="88">
        <f>'03 - 2023'!N35-'03 - 2023'!N34</f>
        <v>0</v>
      </c>
      <c r="R29" s="88">
        <f>('03 - 2023'!O35-'03 - 2023'!O34)*160</f>
        <v>0</v>
      </c>
      <c r="S29" s="88">
        <f>('03 - 2023'!P35-'03 - 2023'!P34)*1000</f>
        <v>0</v>
      </c>
      <c r="T29" s="11"/>
      <c r="U29" s="11"/>
    </row>
    <row r="30" spans="1:21">
      <c r="A30" t="s">
        <v>14</v>
      </c>
      <c r="B30">
        <v>29</v>
      </c>
      <c r="C30">
        <v>3</v>
      </c>
      <c r="D30">
        <v>2023</v>
      </c>
      <c r="E30" s="4">
        <f>'03 - 2023'!B36-'03 - 2023'!B35</f>
        <v>0</v>
      </c>
      <c r="F30" s="4">
        <f>'03 - 2023'!C36-'03 - 2023'!C35</f>
        <v>0</v>
      </c>
      <c r="G30">
        <v>0.11799999999999999</v>
      </c>
      <c r="H30" s="89">
        <f>'03 - 2023'!I36-'03 - 2023'!I35</f>
        <v>0</v>
      </c>
      <c r="I30" s="1">
        <v>4.3936294247669103</v>
      </c>
      <c r="J30" s="4">
        <f>('03 - 2023'!E36-'03 - 2023'!E35)*1.89</f>
        <v>0</v>
      </c>
      <c r="K30" s="4">
        <f>('03 - 2023'!F36-'03 - 2023'!F35)*1.89</f>
        <v>0</v>
      </c>
      <c r="L30" s="4">
        <f>('03 - 2023'!G36-'03 - 2023'!G35)*1.89</f>
        <v>0</v>
      </c>
      <c r="M30">
        <v>0.74</v>
      </c>
      <c r="N30" s="89">
        <f>'03 - 2023'!J36-'03 - 2023'!J35</f>
        <v>0</v>
      </c>
      <c r="O30">
        <v>8.1000000000000003E-2</v>
      </c>
      <c r="P30" s="88">
        <f>'03 - 2023'!M36-'03 - 2023'!M35</f>
        <v>0</v>
      </c>
      <c r="Q30" s="88">
        <f>'03 - 2023'!N36-'03 - 2023'!N35</f>
        <v>0</v>
      </c>
      <c r="R30" s="88">
        <f>('03 - 2023'!O36-'03 - 2023'!O35)*160</f>
        <v>0</v>
      </c>
      <c r="S30" s="88">
        <f>('03 - 2023'!P36-'03 - 2023'!P35)*1000</f>
        <v>0</v>
      </c>
    </row>
    <row r="31" spans="1:21">
      <c r="A31" t="s">
        <v>14</v>
      </c>
      <c r="B31">
        <v>30</v>
      </c>
      <c r="C31">
        <v>3</v>
      </c>
      <c r="D31">
        <v>2023</v>
      </c>
      <c r="E31" s="4">
        <f>'03 - 2023'!B37-'03 - 2023'!B36</f>
        <v>0</v>
      </c>
      <c r="F31" s="4">
        <f>'03 - 2023'!C37-'03 - 2023'!C36</f>
        <v>0</v>
      </c>
      <c r="G31">
        <v>0.11799999999999999</v>
      </c>
      <c r="H31" s="89">
        <f>'03 - 2023'!I37-'03 - 2023'!I36</f>
        <v>0</v>
      </c>
      <c r="I31" s="1">
        <v>4.3936294247669103</v>
      </c>
      <c r="J31" s="4">
        <f>('03 - 2023'!E37-'03 - 2023'!E36)*1.89</f>
        <v>0</v>
      </c>
      <c r="K31" s="4">
        <f>('03 - 2023'!F37-'03 - 2023'!F36)*1.89</f>
        <v>0</v>
      </c>
      <c r="L31" s="4">
        <f>('03 - 2023'!G37-'03 - 2023'!G36)*1.89</f>
        <v>0</v>
      </c>
      <c r="M31">
        <v>0.74</v>
      </c>
      <c r="N31" s="89">
        <f>'03 - 2023'!J37-'03 - 2023'!J36</f>
        <v>0</v>
      </c>
      <c r="O31">
        <v>8.1000000000000003E-2</v>
      </c>
      <c r="P31" s="88">
        <f>'03 - 2023'!M37-'03 - 2023'!M36</f>
        <v>0</v>
      </c>
      <c r="Q31" s="88">
        <f>'03 - 2023'!N37-'03 - 2023'!N36</f>
        <v>0</v>
      </c>
      <c r="R31" s="88">
        <f>('03 - 2023'!O37-'03 - 2023'!O36)*160</f>
        <v>0</v>
      </c>
      <c r="S31" s="88">
        <f>('03 - 2023'!P37-'03 - 2023'!P36)*1000</f>
        <v>0</v>
      </c>
    </row>
    <row r="32" spans="1:21">
      <c r="A32" t="s">
        <v>14</v>
      </c>
      <c r="B32">
        <v>31</v>
      </c>
      <c r="C32">
        <v>3</v>
      </c>
      <c r="D32">
        <v>2023</v>
      </c>
      <c r="E32" s="4">
        <f>'03 - 2023'!B38-'03 - 2023'!B37</f>
        <v>0</v>
      </c>
      <c r="F32" s="4">
        <f>'03 - 2023'!C38-'03 - 2023'!C37</f>
        <v>0</v>
      </c>
      <c r="G32">
        <v>0.11799999999999999</v>
      </c>
      <c r="H32" s="89">
        <f>'03 - 2023'!I38-'03 - 2023'!I37</f>
        <v>0</v>
      </c>
      <c r="I32" s="1">
        <v>4.3936294247669103</v>
      </c>
      <c r="J32" s="4">
        <f>('03 - 2023'!E38-'03 - 2023'!E37)*1.89</f>
        <v>0</v>
      </c>
      <c r="K32" s="4">
        <f>('03 - 2023'!F38-'03 - 2023'!F37)*1.89</f>
        <v>0</v>
      </c>
      <c r="L32" s="4">
        <f>('03 - 2023'!G38-'03 - 2023'!G37)*1.89</f>
        <v>0</v>
      </c>
      <c r="M32">
        <v>0.74</v>
      </c>
      <c r="N32" s="89">
        <f>'03 - 2023'!J38-'03 - 2023'!J37</f>
        <v>0</v>
      </c>
      <c r="O32">
        <v>8.1000000000000003E-2</v>
      </c>
      <c r="P32" s="88">
        <f>'03 - 2023'!M38-'03 - 2023'!M37</f>
        <v>0</v>
      </c>
      <c r="Q32" s="88">
        <f>'03 - 2023'!N38-'03 - 2023'!N37</f>
        <v>0</v>
      </c>
      <c r="R32" s="88">
        <f>('03 - 2023'!O38-'03 - 2023'!O37)*160</f>
        <v>0</v>
      </c>
      <c r="S32" s="88">
        <f>('03 - 2023'!P38-'03 - 2023'!P37)*1000</f>
        <v>0</v>
      </c>
    </row>
    <row r="33" spans="18:18">
      <c r="R33" s="88">
        <f>'03 - 2023'!O39-'03 - 2023'!O38</f>
        <v>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3"/>
  <sheetViews>
    <sheetView zoomScaleNormal="100" workbookViewId="0">
      <selection activeCell="P24" sqref="P24"/>
    </sheetView>
  </sheetViews>
  <sheetFormatPr defaultRowHeight="15"/>
  <cols>
    <col min="1" max="1" width="13.5703125" style="14" customWidth="1"/>
    <col min="2" max="2" width="13.285156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8" width="13.5703125" style="14" customWidth="1"/>
    <col min="9" max="9" width="15.140625" style="14" customWidth="1"/>
    <col min="10" max="10" width="14.28515625" style="14" customWidth="1"/>
    <col min="11" max="12" width="16.42578125" style="14" hidden="1" customWidth="1"/>
    <col min="13" max="17" width="16.42578125" style="14" customWidth="1"/>
    <col min="18" max="18" width="16.28515625" style="14" customWidth="1"/>
    <col min="19" max="19" width="14.140625" style="14" customWidth="1"/>
    <col min="20" max="16384" width="9.140625" style="14"/>
  </cols>
  <sheetData>
    <row r="1" spans="1:26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8.75">
      <c r="A3" s="90" t="s">
        <v>25</v>
      </c>
      <c r="B3" s="90"/>
      <c r="C3" s="90"/>
      <c r="D3" s="90"/>
      <c r="E3" s="90"/>
      <c r="F3" s="90"/>
      <c r="G3" s="90"/>
      <c r="H3" s="90"/>
      <c r="I3" s="90"/>
      <c r="J3" s="9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6.5" customHeight="1">
      <c r="A4" s="91" t="s">
        <v>26</v>
      </c>
      <c r="B4" s="91"/>
      <c r="C4" s="91"/>
      <c r="D4" s="91"/>
      <c r="E4" s="91"/>
      <c r="F4" s="91"/>
      <c r="G4" s="91"/>
      <c r="H4" s="91"/>
      <c r="I4" s="91"/>
      <c r="J4" s="91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6.5" customHeight="1">
      <c r="A5" s="19"/>
      <c r="B5" s="92" t="s">
        <v>27</v>
      </c>
      <c r="C5" s="93"/>
      <c r="D5" s="92" t="s">
        <v>28</v>
      </c>
      <c r="E5" s="94"/>
      <c r="F5" s="94"/>
      <c r="G5" s="93"/>
      <c r="H5" s="92" t="s">
        <v>29</v>
      </c>
      <c r="I5" s="93"/>
      <c r="J5" s="20" t="s">
        <v>30</v>
      </c>
      <c r="K5" s="19"/>
      <c r="L5" s="19"/>
      <c r="M5" s="19"/>
      <c r="N5" s="19"/>
      <c r="O5" s="19"/>
      <c r="P5" s="19"/>
      <c r="Q5" s="19"/>
      <c r="R5" s="30"/>
      <c r="S5" s="30"/>
      <c r="T5" s="30"/>
      <c r="U5" s="30"/>
      <c r="V5" s="30"/>
      <c r="W5" s="30"/>
      <c r="X5" s="30"/>
      <c r="Y5" s="30"/>
      <c r="Z5" s="30"/>
    </row>
    <row r="6" spans="1:26" ht="33.75" customHeight="1">
      <c r="A6" s="21" t="s">
        <v>31</v>
      </c>
      <c r="B6" s="22" t="s">
        <v>32</v>
      </c>
      <c r="C6" s="23" t="s">
        <v>33</v>
      </c>
      <c r="D6" s="23" t="s">
        <v>34</v>
      </c>
      <c r="E6" s="23" t="s">
        <v>35</v>
      </c>
      <c r="F6" s="23" t="s">
        <v>36</v>
      </c>
      <c r="G6" s="24" t="s">
        <v>37</v>
      </c>
      <c r="H6" s="23" t="s">
        <v>38</v>
      </c>
      <c r="I6" s="23" t="s">
        <v>39</v>
      </c>
      <c r="J6" s="31" t="s">
        <v>40</v>
      </c>
      <c r="K6" s="49" t="s">
        <v>41</v>
      </c>
      <c r="L6" s="49" t="s">
        <v>42</v>
      </c>
      <c r="M6" s="49" t="s">
        <v>43</v>
      </c>
      <c r="N6" s="49" t="s">
        <v>44</v>
      </c>
      <c r="O6" s="49" t="s">
        <v>45</v>
      </c>
      <c r="P6" s="49" t="s">
        <v>46</v>
      </c>
      <c r="Q6" s="48" t="s">
        <v>47</v>
      </c>
      <c r="R6" s="37" t="s">
        <v>48</v>
      </c>
      <c r="S6" s="30"/>
      <c r="T6" s="30"/>
      <c r="U6" s="30"/>
      <c r="V6" s="30"/>
      <c r="W6" s="30"/>
      <c r="X6" s="30"/>
      <c r="Y6" s="30"/>
      <c r="Z6" s="30"/>
    </row>
    <row r="7" spans="1:26" s="15" customFormat="1" ht="12.95" customHeight="1">
      <c r="A7" s="25">
        <v>44985</v>
      </c>
      <c r="B7" s="50">
        <v>219098</v>
      </c>
      <c r="C7" s="50">
        <v>489303</v>
      </c>
      <c r="D7" s="64">
        <v>0.46</v>
      </c>
      <c r="E7" s="50">
        <v>8683.4500000000007</v>
      </c>
      <c r="F7" s="50">
        <v>4681.5</v>
      </c>
      <c r="G7" s="50">
        <v>51180.12</v>
      </c>
      <c r="H7" s="50">
        <v>14528</v>
      </c>
      <c r="I7" s="50">
        <v>189407</v>
      </c>
      <c r="J7" s="51">
        <v>63082168</v>
      </c>
      <c r="K7" s="52">
        <v>16547.599999999999</v>
      </c>
      <c r="L7" s="52">
        <v>7358.5</v>
      </c>
      <c r="M7" s="52">
        <v>4058.41</v>
      </c>
      <c r="N7" s="52">
        <v>12010.31</v>
      </c>
      <c r="O7" s="84">
        <v>16547.599999999999</v>
      </c>
      <c r="P7" s="84">
        <v>7358.5</v>
      </c>
      <c r="Q7" s="47"/>
      <c r="R7" s="38"/>
      <c r="S7" s="32"/>
      <c r="T7" s="32"/>
      <c r="U7" s="32"/>
      <c r="V7" s="32"/>
      <c r="W7" s="32"/>
      <c r="X7" s="32"/>
      <c r="Y7" s="32"/>
      <c r="Z7" s="32"/>
    </row>
    <row r="8" spans="1:26" s="16" customFormat="1" ht="12.95" customHeight="1">
      <c r="A8" s="26">
        <v>44986</v>
      </c>
      <c r="B8" s="53">
        <v>223053</v>
      </c>
      <c r="C8" s="53">
        <v>494955</v>
      </c>
      <c r="D8" s="65">
        <v>0.4</v>
      </c>
      <c r="E8" s="53">
        <v>8710.66</v>
      </c>
      <c r="F8" s="53">
        <v>4689.75</v>
      </c>
      <c r="G8" s="53">
        <v>51213.07</v>
      </c>
      <c r="H8" s="53">
        <v>14528</v>
      </c>
      <c r="I8" s="53">
        <v>189525</v>
      </c>
      <c r="J8" s="54">
        <v>63098504</v>
      </c>
      <c r="K8" s="55">
        <v>16556.5</v>
      </c>
      <c r="L8" s="56">
        <v>7360.8</v>
      </c>
      <c r="M8" s="56">
        <v>4062.63</v>
      </c>
      <c r="N8" s="66">
        <v>12019.5</v>
      </c>
      <c r="O8" s="85">
        <v>16556.5</v>
      </c>
      <c r="P8" s="56">
        <v>7360.8</v>
      </c>
      <c r="Q8" s="67"/>
      <c r="R8" s="39"/>
      <c r="S8" s="32"/>
      <c r="T8" s="32"/>
      <c r="U8" s="32"/>
      <c r="V8" s="32"/>
      <c r="W8" s="32"/>
      <c r="X8" s="32"/>
      <c r="Y8" s="32"/>
      <c r="Z8" s="32"/>
    </row>
    <row r="9" spans="1:26" s="16" customFormat="1" ht="12.95" customHeight="1">
      <c r="A9" s="26">
        <v>44987</v>
      </c>
      <c r="B9" s="34">
        <v>226888</v>
      </c>
      <c r="C9" s="35">
        <v>500602</v>
      </c>
      <c r="D9" s="36">
        <v>0.34</v>
      </c>
      <c r="E9" s="35">
        <v>8739.35</v>
      </c>
      <c r="F9" s="35">
        <v>4697.4799999999996</v>
      </c>
      <c r="G9" s="35">
        <v>51244.34</v>
      </c>
      <c r="H9" s="34">
        <v>14528</v>
      </c>
      <c r="I9" s="34">
        <v>189638</v>
      </c>
      <c r="J9" s="58">
        <v>63115167</v>
      </c>
      <c r="K9" s="34">
        <v>16565.7</v>
      </c>
      <c r="L9" s="34">
        <v>7363.2</v>
      </c>
      <c r="M9" s="79">
        <v>4067.25</v>
      </c>
      <c r="N9" s="80">
        <v>12028.78</v>
      </c>
      <c r="O9" s="34">
        <v>16565.7</v>
      </c>
      <c r="P9" s="34">
        <v>7363.2</v>
      </c>
      <c r="Q9" s="81"/>
      <c r="R9" s="40"/>
      <c r="S9" s="32"/>
      <c r="T9" s="32"/>
      <c r="U9" s="32"/>
      <c r="V9" s="32"/>
      <c r="W9" s="32"/>
      <c r="X9" s="32"/>
      <c r="Y9" s="32"/>
      <c r="Z9" s="32"/>
    </row>
    <row r="10" spans="1:26" s="16" customFormat="1" ht="12.95" customHeight="1">
      <c r="A10" s="26">
        <v>44988</v>
      </c>
      <c r="B10" s="34">
        <v>230843</v>
      </c>
      <c r="C10" s="34">
        <v>506395</v>
      </c>
      <c r="D10" s="36">
        <v>0.25</v>
      </c>
      <c r="E10" s="35">
        <v>8764.08</v>
      </c>
      <c r="F10" s="35">
        <v>4706.0200000000004</v>
      </c>
      <c r="G10" s="35">
        <v>51274.87</v>
      </c>
      <c r="H10" s="34">
        <v>14528</v>
      </c>
      <c r="I10" s="34">
        <v>189750</v>
      </c>
      <c r="J10" s="35">
        <v>63132085</v>
      </c>
      <c r="K10" s="34">
        <v>16575.2</v>
      </c>
      <c r="L10" s="58">
        <v>7365.7</v>
      </c>
      <c r="M10" s="72">
        <v>4072.11</v>
      </c>
      <c r="N10" s="73">
        <v>12038.11</v>
      </c>
      <c r="O10" s="34">
        <v>16575.2</v>
      </c>
      <c r="P10" s="34">
        <v>7365.7</v>
      </c>
      <c r="Q10" s="74"/>
      <c r="R10" s="41"/>
      <c r="S10" s="32"/>
      <c r="T10" s="32"/>
      <c r="U10" s="32"/>
      <c r="V10" s="32"/>
      <c r="W10" s="32"/>
      <c r="X10" s="32"/>
      <c r="Y10" s="32"/>
      <c r="Z10" s="32"/>
    </row>
    <row r="11" spans="1:26" s="16" customFormat="1" ht="12.95" customHeight="1">
      <c r="A11" s="26">
        <v>44989</v>
      </c>
      <c r="B11" s="34">
        <v>234935</v>
      </c>
      <c r="C11" s="34">
        <v>512439</v>
      </c>
      <c r="D11" s="36">
        <v>0.8</v>
      </c>
      <c r="E11" s="35">
        <v>8795.09</v>
      </c>
      <c r="F11" s="35">
        <v>4715.01</v>
      </c>
      <c r="G11" s="35">
        <v>51309.91</v>
      </c>
      <c r="H11" s="34">
        <v>14528</v>
      </c>
      <c r="I11" s="34">
        <v>189884</v>
      </c>
      <c r="J11" s="34">
        <v>63151256</v>
      </c>
      <c r="K11" s="34">
        <v>16585.099999999999</v>
      </c>
      <c r="L11" s="78">
        <v>7368.7</v>
      </c>
      <c r="M11" s="75">
        <v>4078.38</v>
      </c>
      <c r="N11" s="76">
        <v>12048.85</v>
      </c>
      <c r="O11" s="34">
        <v>16585.099999999999</v>
      </c>
      <c r="P11" s="34">
        <v>7368.7</v>
      </c>
      <c r="Q11" s="74"/>
      <c r="R11" s="41"/>
      <c r="S11" s="32"/>
      <c r="T11" s="32"/>
      <c r="U11" s="32"/>
      <c r="V11" s="32"/>
      <c r="W11" s="32"/>
      <c r="X11" s="32"/>
      <c r="Y11" s="32"/>
      <c r="Z11" s="32"/>
    </row>
    <row r="12" spans="1:26" s="16" customFormat="1" ht="12.95" customHeight="1">
      <c r="A12" s="26">
        <v>44990</v>
      </c>
      <c r="B12" s="34">
        <v>238983</v>
      </c>
      <c r="C12" s="34">
        <v>518196</v>
      </c>
      <c r="D12" s="36">
        <v>0.7</v>
      </c>
      <c r="E12" s="34">
        <v>8821.82</v>
      </c>
      <c r="F12" s="34">
        <v>4723.34</v>
      </c>
      <c r="G12" s="34">
        <v>51342.94</v>
      </c>
      <c r="H12" s="34">
        <v>14528</v>
      </c>
      <c r="I12" s="34">
        <v>189995</v>
      </c>
      <c r="J12" s="34">
        <v>63169013</v>
      </c>
      <c r="K12" s="59"/>
      <c r="L12" s="60"/>
      <c r="M12" s="72">
        <v>4083.04</v>
      </c>
      <c r="N12" s="76">
        <v>12058.59</v>
      </c>
      <c r="O12" s="83">
        <v>16594.8</v>
      </c>
      <c r="P12" s="83">
        <v>7371.4</v>
      </c>
      <c r="Q12" s="74"/>
      <c r="R12" s="41"/>
      <c r="S12" s="32"/>
      <c r="T12" s="32"/>
      <c r="U12" s="32"/>
      <c r="V12" s="32"/>
      <c r="W12" s="32"/>
      <c r="X12" s="32"/>
      <c r="Y12" s="32"/>
      <c r="Z12" s="32"/>
    </row>
    <row r="13" spans="1:26" s="16" customFormat="1" ht="12.95" customHeight="1">
      <c r="A13" s="26">
        <v>44991</v>
      </c>
      <c r="B13" s="34">
        <v>242960</v>
      </c>
      <c r="C13" s="35">
        <v>523868</v>
      </c>
      <c r="D13" s="36">
        <v>0.62</v>
      </c>
      <c r="E13" s="35">
        <v>8847.01</v>
      </c>
      <c r="F13" s="35">
        <v>4731.16</v>
      </c>
      <c r="G13" s="35">
        <v>51374.34</v>
      </c>
      <c r="H13" s="34">
        <v>14528</v>
      </c>
      <c r="I13" s="35">
        <v>190103</v>
      </c>
      <c r="J13" s="35">
        <v>63184717</v>
      </c>
      <c r="K13" s="59"/>
      <c r="L13" s="60"/>
      <c r="M13" s="72">
        <v>4086.36</v>
      </c>
      <c r="N13" s="77">
        <v>12066.62</v>
      </c>
      <c r="O13" s="83">
        <v>16605.599999999999</v>
      </c>
      <c r="P13" s="83">
        <v>7373.7</v>
      </c>
      <c r="Q13" s="74"/>
      <c r="R13" s="41"/>
      <c r="S13" s="32"/>
      <c r="T13" s="32"/>
      <c r="U13" s="32"/>
      <c r="V13" s="32"/>
      <c r="W13" s="32"/>
      <c r="X13" s="32"/>
      <c r="Y13" s="32"/>
      <c r="Z13" s="32"/>
    </row>
    <row r="14" spans="1:26" s="16" customFormat="1" ht="12.95" customHeight="1">
      <c r="A14" s="26">
        <v>44992</v>
      </c>
      <c r="B14" s="34">
        <v>246941</v>
      </c>
      <c r="C14" s="34">
        <v>529589</v>
      </c>
      <c r="D14" s="36">
        <v>0.55000000000000004</v>
      </c>
      <c r="E14" s="35">
        <v>8877.75</v>
      </c>
      <c r="F14" s="35">
        <v>4739.1899999999996</v>
      </c>
      <c r="G14" s="35">
        <v>51405.36</v>
      </c>
      <c r="H14" s="34">
        <v>14528</v>
      </c>
      <c r="I14" s="34">
        <v>190211</v>
      </c>
      <c r="J14" s="34">
        <v>63200428</v>
      </c>
      <c r="K14" s="59"/>
      <c r="L14" s="60"/>
      <c r="M14" s="75">
        <v>4089.65</v>
      </c>
      <c r="N14" s="76">
        <v>12074.27</v>
      </c>
      <c r="O14" s="83">
        <v>16614.7</v>
      </c>
      <c r="P14" s="34">
        <v>7376.2</v>
      </c>
      <c r="Q14" s="74"/>
      <c r="R14" s="41"/>
      <c r="S14" s="32"/>
      <c r="T14" s="32"/>
      <c r="U14" s="32"/>
      <c r="V14" s="32"/>
      <c r="W14" s="32"/>
      <c r="X14" s="32"/>
      <c r="Y14" s="32"/>
      <c r="Z14" s="32"/>
    </row>
    <row r="15" spans="1:26" s="16" customFormat="1" ht="12.95" customHeight="1">
      <c r="A15" s="26">
        <v>44993</v>
      </c>
      <c r="B15" s="34">
        <v>250831</v>
      </c>
      <c r="C15" s="34">
        <v>535293</v>
      </c>
      <c r="D15" s="36">
        <v>0.48</v>
      </c>
      <c r="E15" s="35">
        <v>8906.64</v>
      </c>
      <c r="F15" s="57">
        <v>4747.74</v>
      </c>
      <c r="G15" s="35">
        <v>51438.94</v>
      </c>
      <c r="H15" s="34">
        <v>14528</v>
      </c>
      <c r="I15" s="34">
        <v>190316</v>
      </c>
      <c r="J15" s="34">
        <v>63216549</v>
      </c>
      <c r="K15" s="59"/>
      <c r="L15" s="60"/>
      <c r="M15" s="72">
        <v>4094.7</v>
      </c>
      <c r="N15" s="76">
        <v>12084.89</v>
      </c>
      <c r="O15" s="34">
        <v>16624.5</v>
      </c>
      <c r="P15" s="34">
        <v>7378.8</v>
      </c>
      <c r="Q15" s="74"/>
      <c r="R15" s="41"/>
      <c r="S15" s="32"/>
      <c r="T15" s="32"/>
      <c r="U15" s="32"/>
      <c r="V15" s="32"/>
      <c r="W15" s="32"/>
      <c r="X15" s="32"/>
      <c r="Y15" s="32"/>
      <c r="Z15" s="32"/>
    </row>
    <row r="16" spans="1:26" s="16" customFormat="1" ht="12.95" customHeight="1">
      <c r="A16" s="26">
        <v>44994</v>
      </c>
      <c r="B16" s="34">
        <v>254794</v>
      </c>
      <c r="C16" s="34">
        <v>541138</v>
      </c>
      <c r="D16" s="36">
        <v>0.41</v>
      </c>
      <c r="E16" s="35">
        <v>8931.4599999999991</v>
      </c>
      <c r="F16" s="57">
        <v>4755.21</v>
      </c>
      <c r="G16" s="35">
        <v>51470.38</v>
      </c>
      <c r="H16" s="34">
        <v>14528</v>
      </c>
      <c r="I16" s="34">
        <v>190428</v>
      </c>
      <c r="J16" s="34">
        <v>63233012</v>
      </c>
      <c r="K16" s="59"/>
      <c r="L16" s="60"/>
      <c r="M16" s="72">
        <v>4098.8</v>
      </c>
      <c r="N16" s="73">
        <v>12093.64</v>
      </c>
      <c r="O16" s="34">
        <v>16634.8</v>
      </c>
      <c r="P16" s="34">
        <v>7381.2</v>
      </c>
      <c r="Q16" s="74"/>
      <c r="R16" s="41"/>
      <c r="S16" s="32"/>
      <c r="T16" s="32"/>
      <c r="U16" s="32"/>
      <c r="V16" s="32"/>
      <c r="W16" s="32"/>
      <c r="X16" s="32"/>
      <c r="Y16" s="32"/>
      <c r="Z16" s="32"/>
    </row>
    <row r="17" spans="1:26" s="16" customFormat="1" ht="12.95" customHeight="1">
      <c r="A17" s="26">
        <v>44995</v>
      </c>
      <c r="B17" s="35">
        <v>258804</v>
      </c>
      <c r="C17" s="35">
        <v>546994</v>
      </c>
      <c r="D17" s="36">
        <v>0.33</v>
      </c>
      <c r="E17" s="35">
        <v>8968.48</v>
      </c>
      <c r="F17" s="57">
        <v>4762.25</v>
      </c>
      <c r="G17" s="35">
        <v>51502.75</v>
      </c>
      <c r="H17" s="34">
        <v>14528</v>
      </c>
      <c r="I17" s="35">
        <v>190553</v>
      </c>
      <c r="J17" s="35">
        <v>63250811</v>
      </c>
      <c r="K17" s="59"/>
      <c r="L17" s="60"/>
      <c r="M17" s="72">
        <v>4103.8</v>
      </c>
      <c r="N17" s="82">
        <v>12103.39</v>
      </c>
      <c r="O17" s="34">
        <v>16644.3</v>
      </c>
      <c r="P17" s="34">
        <v>7383.5</v>
      </c>
      <c r="Q17" s="74"/>
      <c r="R17" s="41"/>
      <c r="S17" s="32"/>
      <c r="T17" s="32"/>
      <c r="U17" s="32"/>
      <c r="V17" s="32"/>
      <c r="W17" s="32"/>
      <c r="X17" s="32"/>
      <c r="Y17" s="32"/>
      <c r="Z17" s="32"/>
    </row>
    <row r="18" spans="1:26" s="16" customFormat="1" ht="12.95" customHeight="1">
      <c r="A18" s="26">
        <v>44996</v>
      </c>
      <c r="B18" s="34">
        <v>262803</v>
      </c>
      <c r="C18" s="34">
        <v>553067</v>
      </c>
      <c r="D18" s="36">
        <v>0.23</v>
      </c>
      <c r="E18" s="35">
        <v>8989.49</v>
      </c>
      <c r="F18" s="35">
        <v>4770.46</v>
      </c>
      <c r="G18" s="35">
        <v>51535.47</v>
      </c>
      <c r="H18" s="34">
        <v>14528</v>
      </c>
      <c r="I18" s="34">
        <v>190673</v>
      </c>
      <c r="J18" s="34">
        <v>63268204</v>
      </c>
      <c r="K18" s="59"/>
      <c r="L18" s="59"/>
      <c r="M18" s="35">
        <v>4109.88</v>
      </c>
      <c r="N18" s="96">
        <v>12114.45</v>
      </c>
      <c r="O18" s="35">
        <v>16659.7</v>
      </c>
      <c r="P18" s="35">
        <v>7385.9</v>
      </c>
      <c r="Q18" s="67"/>
      <c r="R18" s="41"/>
      <c r="S18" s="32"/>
      <c r="T18" s="32"/>
      <c r="U18" s="33"/>
      <c r="V18" s="32"/>
      <c r="W18" s="32"/>
      <c r="X18" s="32"/>
      <c r="Y18" s="32"/>
      <c r="Z18" s="32"/>
    </row>
    <row r="19" spans="1:26" s="16" customFormat="1" ht="12.95" customHeight="1">
      <c r="A19" s="26">
        <v>44997</v>
      </c>
      <c r="B19" s="34">
        <v>266697</v>
      </c>
      <c r="C19" s="34">
        <v>558860</v>
      </c>
      <c r="D19" s="36">
        <v>0.78</v>
      </c>
      <c r="E19" s="35">
        <v>9016.81</v>
      </c>
      <c r="F19" s="35">
        <v>4777.9799999999996</v>
      </c>
      <c r="G19" s="35">
        <v>51567.98</v>
      </c>
      <c r="H19" s="34">
        <v>14528</v>
      </c>
      <c r="I19" s="34">
        <v>190786</v>
      </c>
      <c r="J19" s="34">
        <v>63286460</v>
      </c>
      <c r="K19" s="59"/>
      <c r="L19" s="59"/>
      <c r="M19" s="95">
        <v>4114.8900000000003</v>
      </c>
      <c r="N19" s="97">
        <v>12124.94</v>
      </c>
      <c r="O19" s="95">
        <v>16665.7</v>
      </c>
      <c r="P19" s="95">
        <v>7388.9</v>
      </c>
      <c r="Q19" s="68"/>
      <c r="R19" s="41"/>
      <c r="S19" s="32"/>
      <c r="T19" s="32"/>
      <c r="U19" s="33"/>
      <c r="V19" s="32"/>
      <c r="W19" s="32"/>
      <c r="X19" s="32"/>
      <c r="Y19" s="32"/>
      <c r="Z19" s="32"/>
    </row>
    <row r="20" spans="1:26" s="16" customFormat="1" ht="12.95" customHeight="1">
      <c r="A20" s="26">
        <v>44998</v>
      </c>
      <c r="B20" s="103">
        <v>270390</v>
      </c>
      <c r="C20" s="103">
        <v>564619</v>
      </c>
      <c r="D20" s="104">
        <v>0.7</v>
      </c>
      <c r="E20" s="79">
        <v>9044.82</v>
      </c>
      <c r="F20" s="79">
        <v>4785.3900000000003</v>
      </c>
      <c r="G20" s="105">
        <v>51598.25</v>
      </c>
      <c r="H20" s="79">
        <v>14528</v>
      </c>
      <c r="I20" s="103">
        <v>190883</v>
      </c>
      <c r="J20" s="103">
        <v>63304635</v>
      </c>
      <c r="K20" s="106"/>
      <c r="L20" s="106"/>
      <c r="M20" s="105">
        <v>4116.78</v>
      </c>
      <c r="N20" s="107">
        <v>12132.66</v>
      </c>
      <c r="O20" s="105">
        <v>16675.2</v>
      </c>
      <c r="P20" s="105">
        <v>7391.9</v>
      </c>
      <c r="Q20" s="68"/>
      <c r="R20" s="41"/>
      <c r="S20" s="32"/>
      <c r="T20" s="32"/>
      <c r="U20" s="32"/>
      <c r="V20" s="32"/>
      <c r="W20" s="32"/>
      <c r="X20" s="32"/>
      <c r="Y20" s="32"/>
      <c r="Z20" s="32"/>
    </row>
    <row r="21" spans="1:26" s="16" customFormat="1" ht="12.95" customHeight="1">
      <c r="A21" s="100">
        <v>44999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98"/>
      <c r="O21" s="59"/>
      <c r="P21" s="59"/>
      <c r="Q21" s="68"/>
      <c r="R21" s="41"/>
      <c r="S21" s="32"/>
      <c r="T21" s="32"/>
      <c r="U21" s="32"/>
      <c r="V21" s="32"/>
      <c r="W21" s="32"/>
      <c r="X21" s="32"/>
      <c r="Y21" s="32"/>
      <c r="Z21" s="32"/>
    </row>
    <row r="22" spans="1:26" s="16" customFormat="1" ht="12.95" customHeight="1">
      <c r="A22" s="100">
        <v>45000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68"/>
      <c r="R22" s="41"/>
      <c r="S22" s="32"/>
      <c r="T22" s="32"/>
      <c r="U22" s="32"/>
      <c r="V22" s="32"/>
      <c r="W22" s="32"/>
      <c r="X22" s="32"/>
      <c r="Y22" s="32"/>
      <c r="Z22" s="32"/>
    </row>
    <row r="23" spans="1:26" s="16" customFormat="1" ht="12.95" customHeight="1">
      <c r="A23" s="100">
        <v>45001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68"/>
      <c r="R23" s="41"/>
      <c r="S23" s="32"/>
      <c r="T23" s="32"/>
      <c r="U23" s="32"/>
      <c r="V23" s="32"/>
      <c r="W23" s="32"/>
      <c r="X23" s="32"/>
      <c r="Y23" s="32"/>
      <c r="Z23" s="32"/>
    </row>
    <row r="24" spans="1:26" s="16" customFormat="1" ht="12.95" customHeight="1">
      <c r="A24" s="100">
        <v>45002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68"/>
      <c r="R24" s="42"/>
      <c r="S24" s="32"/>
      <c r="T24" s="32"/>
      <c r="U24" s="32"/>
      <c r="V24" s="32"/>
      <c r="W24" s="32"/>
      <c r="X24" s="32"/>
      <c r="Y24" s="32"/>
      <c r="Z24" s="32"/>
    </row>
    <row r="25" spans="1:26" s="16" customFormat="1" ht="12.95" customHeight="1">
      <c r="A25" s="100">
        <v>45003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68"/>
      <c r="R25" s="42"/>
      <c r="S25" s="32"/>
      <c r="T25" s="32"/>
      <c r="U25" s="32"/>
      <c r="V25" s="32"/>
      <c r="W25" s="32"/>
      <c r="X25" s="32"/>
      <c r="Y25" s="32"/>
      <c r="Z25" s="32"/>
    </row>
    <row r="26" spans="1:26" s="16" customFormat="1" ht="12.95" customHeight="1">
      <c r="A26" s="100">
        <v>45004</v>
      </c>
      <c r="B26" s="59"/>
      <c r="C26" s="59"/>
      <c r="D26" s="9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68"/>
      <c r="R26" s="42"/>
      <c r="S26" s="32"/>
      <c r="T26" s="32"/>
      <c r="U26" s="32"/>
      <c r="V26" s="32"/>
      <c r="W26" s="32"/>
      <c r="X26" s="32"/>
      <c r="Y26" s="32"/>
      <c r="Z26" s="32"/>
    </row>
    <row r="27" spans="1:26" s="16" customFormat="1" ht="12.95" customHeight="1">
      <c r="A27" s="100">
        <v>45005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68"/>
      <c r="R27" s="41"/>
      <c r="S27" s="32"/>
      <c r="T27" s="32"/>
      <c r="U27" s="32"/>
      <c r="V27" s="32"/>
      <c r="W27" s="32"/>
      <c r="X27" s="32"/>
      <c r="Y27" s="32"/>
      <c r="Z27" s="32"/>
    </row>
    <row r="28" spans="1:26" s="16" customFormat="1" ht="12.95" customHeight="1">
      <c r="A28" s="100">
        <v>45006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68"/>
      <c r="R28" s="41"/>
      <c r="S28" s="32"/>
      <c r="T28" s="32"/>
      <c r="U28" s="32"/>
      <c r="V28" s="32"/>
      <c r="W28" s="32"/>
      <c r="X28" s="32"/>
      <c r="Y28" s="32"/>
      <c r="Z28" s="32"/>
    </row>
    <row r="29" spans="1:26" s="16" customFormat="1" ht="12.95" customHeight="1">
      <c r="A29" s="100">
        <v>45007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68"/>
      <c r="R29" s="41"/>
      <c r="S29" s="32"/>
      <c r="T29" s="32"/>
      <c r="U29" s="32"/>
      <c r="V29" s="32"/>
      <c r="W29" s="32"/>
      <c r="X29" s="32"/>
      <c r="Y29" s="32"/>
      <c r="Z29" s="32"/>
    </row>
    <row r="30" spans="1:26" s="16" customFormat="1" ht="12.95" customHeight="1">
      <c r="A30" s="100">
        <v>45008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68"/>
      <c r="R30" s="41"/>
      <c r="S30" s="32"/>
      <c r="T30" s="32"/>
      <c r="U30" s="32"/>
      <c r="V30" s="32"/>
      <c r="W30" s="32"/>
      <c r="X30" s="32"/>
      <c r="Y30" s="32"/>
      <c r="Z30" s="32"/>
    </row>
    <row r="31" spans="1:26" s="16" customFormat="1" ht="12.95" customHeight="1">
      <c r="A31" s="100">
        <v>45009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68"/>
      <c r="R31" s="41"/>
      <c r="S31" s="32"/>
      <c r="T31" s="32"/>
      <c r="U31" s="32"/>
      <c r="V31" s="32"/>
      <c r="W31" s="32"/>
      <c r="X31" s="32"/>
      <c r="Y31" s="32"/>
      <c r="Z31" s="32"/>
    </row>
    <row r="32" spans="1:26" s="16" customFormat="1" ht="12.95" customHeight="1">
      <c r="A32" s="100">
        <v>45010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68"/>
      <c r="R32" s="41"/>
      <c r="S32" s="32"/>
      <c r="T32" s="32"/>
      <c r="U32" s="32"/>
      <c r="V32" s="32"/>
      <c r="W32" s="32"/>
      <c r="X32" s="32"/>
      <c r="Y32" s="32"/>
      <c r="Z32" s="32"/>
    </row>
    <row r="33" spans="1:26" s="16" customFormat="1" ht="12.95" customHeight="1">
      <c r="A33" s="101">
        <v>45011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68"/>
      <c r="R33" s="43"/>
      <c r="S33" s="32"/>
      <c r="T33" s="32"/>
      <c r="U33" s="32"/>
      <c r="V33" s="32"/>
      <c r="W33" s="32"/>
      <c r="X33" s="32"/>
      <c r="Y33" s="32"/>
      <c r="Z33" s="32"/>
    </row>
    <row r="34" spans="1:26" s="16" customFormat="1" ht="12.95" customHeight="1">
      <c r="A34" s="102">
        <v>45012</v>
      </c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68"/>
      <c r="R34" s="44"/>
      <c r="S34" s="32"/>
      <c r="T34" s="32"/>
      <c r="U34" s="32"/>
      <c r="V34" s="32"/>
      <c r="W34" s="32"/>
      <c r="X34" s="32"/>
      <c r="Y34" s="32"/>
      <c r="Z34" s="32"/>
    </row>
    <row r="35" spans="1:26" s="16" customFormat="1" ht="12.95" customHeight="1">
      <c r="A35" s="102">
        <v>45013</v>
      </c>
      <c r="B35" s="59"/>
      <c r="C35" s="61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68"/>
      <c r="R35" s="45"/>
      <c r="S35" s="32"/>
      <c r="T35" s="32"/>
      <c r="U35" s="32"/>
      <c r="V35" s="32"/>
      <c r="W35" s="32"/>
      <c r="X35" s="32"/>
      <c r="Y35" s="32"/>
      <c r="Z35" s="32"/>
    </row>
    <row r="36" spans="1:26" s="16" customFormat="1" ht="12.95" customHeight="1">
      <c r="A36" s="102">
        <v>45014</v>
      </c>
      <c r="B36" s="59"/>
      <c r="C36" s="61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68"/>
      <c r="R36" s="45"/>
      <c r="S36" s="32"/>
      <c r="T36" s="32"/>
      <c r="U36" s="32"/>
      <c r="V36" s="32"/>
      <c r="W36" s="32"/>
      <c r="X36" s="32"/>
      <c r="Y36" s="32"/>
      <c r="Z36" s="32"/>
    </row>
    <row r="37" spans="1:26">
      <c r="A37" s="102">
        <v>45015</v>
      </c>
      <c r="B37" s="59"/>
      <c r="C37" s="61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68"/>
      <c r="R37" s="45"/>
      <c r="S37" s="32"/>
      <c r="T37" s="32"/>
      <c r="U37" s="32"/>
      <c r="V37" s="32"/>
      <c r="W37" s="32"/>
      <c r="X37" s="32"/>
      <c r="Y37" s="32"/>
      <c r="Z37" s="32"/>
    </row>
    <row r="38" spans="1:26">
      <c r="A38" s="27">
        <v>45016</v>
      </c>
      <c r="B38" s="108"/>
      <c r="C38" s="109"/>
      <c r="D38" s="108"/>
      <c r="E38" s="108"/>
      <c r="F38" s="108"/>
      <c r="G38" s="108"/>
      <c r="H38" s="108"/>
      <c r="I38" s="108"/>
      <c r="J38" s="110"/>
      <c r="K38" s="108"/>
      <c r="L38" s="108"/>
      <c r="M38" s="108"/>
      <c r="N38" s="108"/>
      <c r="O38" s="108"/>
      <c r="P38" s="108"/>
      <c r="Q38" s="28"/>
      <c r="R38" s="46"/>
      <c r="S38" s="32"/>
      <c r="T38" s="32"/>
      <c r="U38" s="32"/>
      <c r="V38" s="32"/>
      <c r="W38" s="32"/>
      <c r="X38" s="32"/>
      <c r="Y38" s="32"/>
      <c r="Z38" s="32"/>
    </row>
    <row r="39" spans="1:26">
      <c r="A39" s="18" t="s">
        <v>49</v>
      </c>
      <c r="B39" s="29">
        <v>-219098</v>
      </c>
      <c r="C39" s="29">
        <v>-489303</v>
      </c>
      <c r="D39" s="29"/>
      <c r="E39" s="29">
        <v>-8683</v>
      </c>
      <c r="F39" s="29">
        <v>-4682</v>
      </c>
      <c r="G39" s="29">
        <v>-51180</v>
      </c>
      <c r="H39" s="29">
        <v>-14528</v>
      </c>
      <c r="I39" s="29">
        <v>-189407</v>
      </c>
      <c r="J39" s="29">
        <v>-63082168</v>
      </c>
      <c r="K39" s="29"/>
      <c r="L39" s="29"/>
      <c r="M39" s="29"/>
      <c r="N39" s="29"/>
      <c r="O39" s="29"/>
      <c r="P39" s="29"/>
      <c r="Q39" s="29">
        <v>0</v>
      </c>
      <c r="R39" s="30"/>
      <c r="S39" s="30"/>
      <c r="T39" s="30"/>
      <c r="U39" s="30"/>
      <c r="V39" s="30"/>
      <c r="W39" s="30"/>
      <c r="X39" s="30"/>
      <c r="Y39" s="30"/>
      <c r="Z39" s="30"/>
    </row>
    <row r="40" spans="1:26">
      <c r="A40" s="30"/>
      <c r="B40" s="30"/>
      <c r="C40" s="29"/>
      <c r="D40" s="30"/>
      <c r="E40" s="30"/>
      <c r="F40" s="30"/>
      <c r="G40" s="30"/>
      <c r="H40" s="18">
        <v>-3195710</v>
      </c>
      <c r="I40" s="29">
        <v>-41663668</v>
      </c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</sheetData>
  <mergeCells count="5">
    <mergeCell ref="A3:J3"/>
    <mergeCell ref="A4:J4"/>
    <mergeCell ref="B5:C5"/>
    <mergeCell ref="D5:G5"/>
    <mergeCell ref="H5:I5"/>
  </mergeCells>
  <conditionalFormatting sqref="K9">
    <cfRule type="cellIs" dxfId="1" priority="2" operator="lessThan">
      <formula>1</formula>
    </cfRule>
  </conditionalFormatting>
  <conditionalFormatting sqref="O9">
    <cfRule type="cellIs" dxfId="0" priority="1" operator="lessThan">
      <formula>1</formula>
    </cfRule>
  </conditionalFormatting>
  <printOptions horizontalCentered="1"/>
  <pageMargins left="0.7" right="0.7" top="0.75" bottom="0.75" header="0.3" footer="0.3"/>
  <pageSetup scale="9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7685AD8F1F245818AD40AA1A81DE5" ma:contentTypeVersion="13" ma:contentTypeDescription="Create a new document." ma:contentTypeScope="" ma:versionID="4c7e2d5366c4b9cd6868c2e37d9dd9d2">
  <xsd:schema xmlns:xsd="http://www.w3.org/2001/XMLSchema" xmlns:xs="http://www.w3.org/2001/XMLSchema" xmlns:p="http://schemas.microsoft.com/office/2006/metadata/properties" xmlns:ns2="7faafeb7-e572-4165-a2ec-683872b64b7f" xmlns:ns3="bedf3099-c435-44ee-a1b8-fd51d77027c2" targetNamespace="http://schemas.microsoft.com/office/2006/metadata/properties" ma:root="true" ma:fieldsID="2b397914ef3b35b3675091c3c2e5c788" ns2:_="" ns3:_="">
    <xsd:import namespace="7faafeb7-e572-4165-a2ec-683872b64b7f"/>
    <xsd:import namespace="bedf3099-c435-44ee-a1b8-fd51d77027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afeb7-e572-4165-a2ec-683872b64b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f3099-c435-44ee-a1b8-fd51d77027c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61c1baf-22f2-4c51-976b-0502a25e0955}" ma:internalName="TaxCatchAll" ma:showField="CatchAllData" ma:web="bedf3099-c435-44ee-a1b8-fd51d77027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df3099-c435-44ee-a1b8-fd51d77027c2" xsi:nil="true"/>
    <lcf76f155ced4ddcb4097134ff3c332f xmlns="7faafeb7-e572-4165-a2ec-683872b64b7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166392-C5BA-4D28-B8E8-50F131BF5F9F}"/>
</file>

<file path=customXml/itemProps2.xml><?xml version="1.0" encoding="utf-8"?>
<ds:datastoreItem xmlns:ds="http://schemas.openxmlformats.org/officeDocument/2006/customXml" ds:itemID="{A864D059-F91F-4AE4-8F04-E7F81AAD4BB1}"/>
</file>

<file path=customXml/itemProps3.xml><?xml version="1.0" encoding="utf-8"?>
<ds:datastoreItem xmlns:ds="http://schemas.openxmlformats.org/officeDocument/2006/customXml" ds:itemID="{F49845E7-C347-4ED0-B73F-6C74077570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Bethelrose Diumano</dc:creator>
  <cp:keywords/>
  <dc:description/>
  <cp:lastModifiedBy>Bethel Rose Diumano</cp:lastModifiedBy>
  <cp:revision/>
  <dcterms:created xsi:type="dcterms:W3CDTF">2017-04-26T09:20:12Z</dcterms:created>
  <dcterms:modified xsi:type="dcterms:W3CDTF">2023-03-13T04:48:24Z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0x0101003077685AD8F1F245818AD40AA1A81DE5</vt:lpwstr>
  </property>
  <property fmtid="{D5CDD505-2E9C-101B-9397-08002B2CF9AE}" pid="3" name="Order">
    <vt:r8>952000</vt:r8>
  </property>
  <property fmtid="{D5CDD505-2E9C-101B-9397-08002B2CF9AE}" pid="4" name="MediaServiceImageTags">
    <vt:lpwstr/>
  </property>
</Properties>
</file>