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mc:AlternateContent xmlns:mc="http://schemas.openxmlformats.org/markup-compatibility/2006">
    <mc:Choice Requires="x15">
      <x15ac:absPath xmlns:x15ac="http://schemas.microsoft.com/office/spreadsheetml/2010/11/ac" url="C:\Users\Joe El Khoury\Downloads\"/>
    </mc:Choice>
  </mc:AlternateContent>
  <xr:revisionPtr revIDLastSave="0" documentId="13_ncr:1_{7A07C79D-8272-4D4D-9C79-57405FC28AC9}" xr6:coauthVersionLast="45" xr6:coauthVersionMax="45" xr10:uidLastSave="{00000000-0000-0000-0000-000000000000}"/>
  <bookViews>
    <workbookView xWindow="-120" yWindow="-120" windowWidth="20730" windowHeight="11160" tabRatio="816" xr2:uid="{00000000-000D-0000-FFFF-FFFF00000000}"/>
  </bookViews>
  <sheets>
    <sheet name="TOTAL" sheetId="36" r:id="rId1"/>
    <sheet name="SUBMETERING" sheetId="31" r:id="rId2"/>
    <sheet name="68F 高压F13&amp;F30" sheetId="16" r:id="rId3"/>
    <sheet name="B1 &amp; 102F 锅炉房" sheetId="26" r:id="rId4"/>
    <sheet name="B4 水表" sheetId="25" r:id="rId5"/>
    <sheet name="68厨房" sheetId="35" r:id="rId6"/>
    <sheet name="厨房燃气" sheetId="27" r:id="rId7"/>
    <sheet name="主塔楼空调用电量" sheetId="33" r:id="rId8"/>
    <sheet name="裙楼空调用量" sheetId="34" r:id="rId9"/>
    <sheet name="Compatibility Report" sheetId="30" r:id="rId10"/>
    <sheet name="付款申请书" sheetId="28" r:id="rId11"/>
  </sheets>
  <externalReferences>
    <externalReference r:id="rId12"/>
  </externalReferences>
  <definedNames>
    <definedName name="_xlnm.Print_Area" localSheetId="2">'68F 高压F13&amp;F30'!$A$1:$G$40</definedName>
    <definedName name="_xlnm.Print_Area" localSheetId="3">'B1 &amp; 102F 锅炉房'!$A$1:$J$38</definedName>
    <definedName name="_xlnm.Print_Area" localSheetId="4">'B4 水表'!$A$1:$D$38</definedName>
    <definedName name="_xlnm.Print_Area" localSheetId="10">付款申请书!$A$1:$AI$32</definedName>
  </definedNames>
  <calcPr calcId="191029"/>
</workbook>
</file>

<file path=xl/calcChain.xml><?xml version="1.0" encoding="utf-8"?>
<calcChain xmlns="http://schemas.openxmlformats.org/spreadsheetml/2006/main">
  <c r="I3" i="36" l="1"/>
  <c r="I4" i="36"/>
  <c r="I5" i="36"/>
  <c r="I6" i="36"/>
  <c r="I7" i="36"/>
  <c r="I8" i="36"/>
  <c r="I9" i="36"/>
  <c r="I10" i="36"/>
  <c r="I11" i="36"/>
  <c r="I12" i="36"/>
  <c r="I13" i="36"/>
  <c r="I14" i="36"/>
  <c r="I15" i="36"/>
  <c r="I16" i="36"/>
  <c r="I17" i="36"/>
  <c r="I18" i="36"/>
  <c r="I19" i="36"/>
  <c r="I20" i="36"/>
  <c r="I21" i="36"/>
  <c r="I22" i="36"/>
  <c r="I23" i="36"/>
  <c r="I24" i="36"/>
  <c r="I25" i="36"/>
  <c r="I26" i="36"/>
  <c r="I27" i="36"/>
  <c r="I28" i="36"/>
  <c r="I29" i="36"/>
  <c r="I30" i="36"/>
  <c r="I31" i="36"/>
  <c r="I2" i="36"/>
  <c r="E3" i="36"/>
  <c r="E4" i="36"/>
  <c r="E5" i="36"/>
  <c r="E6" i="36"/>
  <c r="E7" i="36"/>
  <c r="E8" i="36"/>
  <c r="E9" i="36"/>
  <c r="E10" i="36"/>
  <c r="E11" i="36"/>
  <c r="E12" i="36"/>
  <c r="E13" i="36"/>
  <c r="E14" i="36"/>
  <c r="E15" i="36"/>
  <c r="E16" i="36"/>
  <c r="E17" i="36"/>
  <c r="E18" i="36"/>
  <c r="E19" i="36"/>
  <c r="E20" i="36"/>
  <c r="E21" i="36"/>
  <c r="E22" i="36"/>
  <c r="E23" i="36"/>
  <c r="E24" i="36"/>
  <c r="E25" i="36"/>
  <c r="E26" i="36"/>
  <c r="E27" i="36"/>
  <c r="E28" i="36"/>
  <c r="E29" i="36"/>
  <c r="E30" i="36"/>
  <c r="E31" i="36"/>
  <c r="E2" i="36"/>
  <c r="G3" i="36"/>
  <c r="G4" i="36"/>
  <c r="G5" i="36"/>
  <c r="G6" i="36"/>
  <c r="G7" i="36"/>
  <c r="G8" i="36"/>
  <c r="G9" i="36"/>
  <c r="G10" i="36"/>
  <c r="G11" i="36"/>
  <c r="G12" i="36"/>
  <c r="G13" i="36"/>
  <c r="G14" i="36"/>
  <c r="G15" i="36"/>
  <c r="G16" i="36"/>
  <c r="G17" i="36"/>
  <c r="G18" i="36"/>
  <c r="G19" i="36"/>
  <c r="G20" i="36"/>
  <c r="G21" i="36"/>
  <c r="G22" i="36"/>
  <c r="G23" i="36"/>
  <c r="G24" i="36"/>
  <c r="G25" i="36"/>
  <c r="G26" i="36"/>
  <c r="G27" i="36"/>
  <c r="G28" i="36"/>
  <c r="G29" i="36"/>
  <c r="G30" i="36"/>
  <c r="G31" i="36"/>
  <c r="G2" i="36"/>
  <c r="K3" i="36"/>
  <c r="K4" i="36"/>
  <c r="K5" i="36"/>
  <c r="K6" i="36"/>
  <c r="K7" i="36"/>
  <c r="K8" i="36"/>
  <c r="K9" i="36"/>
  <c r="K10" i="36"/>
  <c r="K11" i="36"/>
  <c r="K12" i="36"/>
  <c r="K13" i="36"/>
  <c r="K14" i="36"/>
  <c r="K15" i="36"/>
  <c r="K16" i="36"/>
  <c r="K17" i="36"/>
  <c r="K18" i="36"/>
  <c r="K19" i="36"/>
  <c r="K20" i="36"/>
  <c r="K21" i="36"/>
  <c r="K22" i="36"/>
  <c r="K23" i="36"/>
  <c r="K24" i="36"/>
  <c r="K25" i="36"/>
  <c r="K26" i="36"/>
  <c r="K27" i="36"/>
  <c r="K28" i="36"/>
  <c r="K29" i="36"/>
  <c r="K30" i="36"/>
  <c r="K31" i="36"/>
  <c r="K2" i="36"/>
  <c r="L31" i="36"/>
  <c r="L30" i="36"/>
  <c r="L29" i="36"/>
  <c r="L28" i="36"/>
  <c r="L27" i="36"/>
  <c r="L26" i="36"/>
  <c r="L25" i="36"/>
  <c r="L24" i="36"/>
  <c r="L23" i="36"/>
  <c r="L22" i="36"/>
  <c r="L21" i="36"/>
  <c r="L20" i="36"/>
  <c r="L19" i="36"/>
  <c r="L18" i="36"/>
  <c r="L17" i="36"/>
  <c r="L16" i="36"/>
  <c r="L15" i="36"/>
  <c r="L14" i="36"/>
  <c r="L13" i="36"/>
  <c r="L12" i="36"/>
  <c r="L11" i="36"/>
  <c r="L10" i="36"/>
  <c r="L9" i="36"/>
  <c r="L8" i="36"/>
  <c r="L7" i="36"/>
  <c r="L6" i="36"/>
  <c r="L5" i="36"/>
  <c r="L4" i="36"/>
  <c r="B4" i="36"/>
  <c r="B5" i="36" s="1"/>
  <c r="B6" i="36" s="1"/>
  <c r="B7" i="36" s="1"/>
  <c r="B8" i="36" s="1"/>
  <c r="B9" i="36" s="1"/>
  <c r="B10" i="36" s="1"/>
  <c r="B11" i="36" s="1"/>
  <c r="B12" i="36" s="1"/>
  <c r="B13" i="36" s="1"/>
  <c r="B14" i="36" s="1"/>
  <c r="B15" i="36" s="1"/>
  <c r="B16" i="36" s="1"/>
  <c r="B17" i="36" s="1"/>
  <c r="B18" i="36" s="1"/>
  <c r="B19" i="36" s="1"/>
  <c r="B20" i="36" s="1"/>
  <c r="B21" i="36" s="1"/>
  <c r="B22" i="36" s="1"/>
  <c r="B23" i="36" s="1"/>
  <c r="B24" i="36" s="1"/>
  <c r="B25" i="36" s="1"/>
  <c r="B26" i="36" s="1"/>
  <c r="B27" i="36" s="1"/>
  <c r="B28" i="36" s="1"/>
  <c r="B29" i="36" s="1"/>
  <c r="B30" i="36" s="1"/>
  <c r="B31" i="36" s="1"/>
  <c r="L3" i="36"/>
  <c r="J3" i="36"/>
  <c r="J4" i="36" s="1"/>
  <c r="J5" i="36" s="1"/>
  <c r="J6" i="36" s="1"/>
  <c r="J7" i="36" s="1"/>
  <c r="J8" i="36" s="1"/>
  <c r="J9" i="36" s="1"/>
  <c r="J10" i="36" s="1"/>
  <c r="J11" i="36" s="1"/>
  <c r="J12" i="36" s="1"/>
  <c r="J13" i="36" s="1"/>
  <c r="J14" i="36" s="1"/>
  <c r="J15" i="36" s="1"/>
  <c r="J16" i="36" s="1"/>
  <c r="J17" i="36" s="1"/>
  <c r="J18" i="36" s="1"/>
  <c r="J19" i="36" s="1"/>
  <c r="J20" i="36" s="1"/>
  <c r="J21" i="36" s="1"/>
  <c r="J22" i="36" s="1"/>
  <c r="J23" i="36" s="1"/>
  <c r="J24" i="36" s="1"/>
  <c r="J25" i="36" s="1"/>
  <c r="J26" i="36" s="1"/>
  <c r="J27" i="36" s="1"/>
  <c r="J28" i="36" s="1"/>
  <c r="J29" i="36" s="1"/>
  <c r="J30" i="36" s="1"/>
  <c r="J31" i="36" s="1"/>
  <c r="H3" i="36"/>
  <c r="H4" i="36" s="1"/>
  <c r="F3" i="36"/>
  <c r="F4" i="36" s="1"/>
  <c r="F5" i="36" s="1"/>
  <c r="F6" i="36" s="1"/>
  <c r="F7" i="36" s="1"/>
  <c r="F8" i="36" s="1"/>
  <c r="F9" i="36" s="1"/>
  <c r="B3" i="36"/>
  <c r="L2" i="36"/>
  <c r="M3" i="36" l="1"/>
  <c r="M2" i="36"/>
  <c r="F10" i="36"/>
  <c r="F11" i="36" s="1"/>
  <c r="F12" i="36" s="1"/>
  <c r="F13" i="36" s="1"/>
  <c r="F14" i="36" s="1"/>
  <c r="F15" i="36" s="1"/>
  <c r="F16" i="36" s="1"/>
  <c r="F17" i="36" s="1"/>
  <c r="H5" i="36"/>
  <c r="H6" i="36" s="1"/>
  <c r="H7" i="36" s="1"/>
  <c r="H8" i="36" s="1"/>
  <c r="H9" i="36" s="1"/>
  <c r="H10" i="36" s="1"/>
  <c r="H11" i="36" s="1"/>
  <c r="H12" i="36" s="1"/>
  <c r="H13" i="36" s="1"/>
  <c r="H14" i="36" s="1"/>
  <c r="H15" i="36" s="1"/>
  <c r="H16" i="36" s="1"/>
  <c r="H17" i="36" s="1"/>
  <c r="H18" i="36" s="1"/>
  <c r="H19" i="36" s="1"/>
  <c r="H20" i="36" s="1"/>
  <c r="H21" i="36" s="1"/>
  <c r="H22" i="36" s="1"/>
  <c r="H23" i="36" s="1"/>
  <c r="H24" i="36" s="1"/>
  <c r="H25" i="36" s="1"/>
  <c r="H26" i="36" s="1"/>
  <c r="H27" i="36" s="1"/>
  <c r="H28" i="36" s="1"/>
  <c r="H29" i="36" s="1"/>
  <c r="H30" i="36" s="1"/>
  <c r="H31" i="36" s="1"/>
  <c r="M4" i="36"/>
  <c r="AN23" i="27"/>
  <c r="AI16" i="27"/>
  <c r="B34" i="35"/>
  <c r="D34" i="35" s="1"/>
  <c r="E34" i="35" s="1"/>
  <c r="C34" i="35"/>
  <c r="B35" i="35"/>
  <c r="C35" i="35"/>
  <c r="B36" i="35"/>
  <c r="D36" i="35" s="1"/>
  <c r="E36" i="35" s="1"/>
  <c r="K36" i="35" s="1"/>
  <c r="C36" i="35"/>
  <c r="B33" i="35"/>
  <c r="C33" i="35"/>
  <c r="B17" i="35"/>
  <c r="C17" i="35"/>
  <c r="AH16" i="27"/>
  <c r="B13" i="35"/>
  <c r="D13" i="35" s="1"/>
  <c r="E13" i="35" s="1"/>
  <c r="C13" i="35"/>
  <c r="B14" i="35"/>
  <c r="C14" i="35"/>
  <c r="B15" i="35"/>
  <c r="C15" i="35"/>
  <c r="B16" i="35"/>
  <c r="D16" i="35" s="1"/>
  <c r="E16" i="35" s="1"/>
  <c r="C16" i="35"/>
  <c r="B12" i="35"/>
  <c r="D12" i="35" s="1"/>
  <c r="E12" i="35" s="1"/>
  <c r="C12" i="35"/>
  <c r="C30" i="16"/>
  <c r="D24" i="35"/>
  <c r="E24" i="35" s="1"/>
  <c r="AH23" i="27"/>
  <c r="AI23" i="27" s="1"/>
  <c r="C11" i="34"/>
  <c r="C10" i="34"/>
  <c r="AR16" i="27"/>
  <c r="AS16" i="27" s="1"/>
  <c r="AM34" i="27"/>
  <c r="AN34" i="27" s="1"/>
  <c r="BB23" i="27"/>
  <c r="BC23" i="27" s="1"/>
  <c r="AM23" i="27"/>
  <c r="I10" i="35"/>
  <c r="J10" i="35" s="1"/>
  <c r="C4" i="34"/>
  <c r="D6" i="27"/>
  <c r="E6" i="27" s="1"/>
  <c r="I6" i="27"/>
  <c r="J6" i="27" s="1"/>
  <c r="N6" i="27"/>
  <c r="O6" i="27" s="1"/>
  <c r="S6" i="27"/>
  <c r="T6" i="27" s="1"/>
  <c r="X6" i="27"/>
  <c r="Y6" i="27" s="1"/>
  <c r="BF6" i="27" s="1"/>
  <c r="AC6" i="27"/>
  <c r="AD6" i="27" s="1"/>
  <c r="AH6" i="27"/>
  <c r="AI6" i="27" s="1"/>
  <c r="AM6" i="27"/>
  <c r="AN6" i="27" s="1"/>
  <c r="AR6" i="27"/>
  <c r="AS6" i="27" s="1"/>
  <c r="D22" i="35"/>
  <c r="E22" i="35" s="1"/>
  <c r="E18" i="16"/>
  <c r="AM11" i="27"/>
  <c r="AN11" i="27" s="1"/>
  <c r="E3" i="34"/>
  <c r="C3" i="34"/>
  <c r="L3" i="34" s="1"/>
  <c r="M3" i="34"/>
  <c r="U3" i="33"/>
  <c r="V3" i="33" s="1"/>
  <c r="N15" i="27"/>
  <c r="O15" i="27" s="1"/>
  <c r="BB6" i="27"/>
  <c r="BC6" i="27" s="1"/>
  <c r="AW6" i="27"/>
  <c r="AX6" i="27" s="1"/>
  <c r="I6" i="35"/>
  <c r="J6" i="35" s="1"/>
  <c r="D6" i="35"/>
  <c r="E6" i="35" s="1"/>
  <c r="K6" i="35" s="1"/>
  <c r="G6" i="26"/>
  <c r="I6" i="26" s="1"/>
  <c r="C6" i="26"/>
  <c r="E6" i="26" s="1"/>
  <c r="C6" i="25"/>
  <c r="D6" i="25" s="1"/>
  <c r="D38" i="25"/>
  <c r="E6" i="16"/>
  <c r="F6" i="16"/>
  <c r="G6" i="16" s="1"/>
  <c r="C6" i="16"/>
  <c r="I37" i="35"/>
  <c r="J37" i="35" s="1"/>
  <c r="G37" i="26"/>
  <c r="BJ37" i="27"/>
  <c r="C37" i="26"/>
  <c r="BI37" i="27"/>
  <c r="D11" i="35"/>
  <c r="E11" i="35" s="1"/>
  <c r="U5" i="33"/>
  <c r="C7" i="16"/>
  <c r="E7" i="16"/>
  <c r="C8" i="16"/>
  <c r="E8" i="16"/>
  <c r="C9" i="16"/>
  <c r="E9" i="16"/>
  <c r="C10" i="16"/>
  <c r="E10" i="16"/>
  <c r="C11" i="16"/>
  <c r="E11" i="16"/>
  <c r="C12" i="16"/>
  <c r="E12" i="16"/>
  <c r="C13" i="16"/>
  <c r="F13" i="16" s="1"/>
  <c r="E13" i="16"/>
  <c r="C14" i="16"/>
  <c r="E14" i="16"/>
  <c r="F14" i="16"/>
  <c r="C15" i="16"/>
  <c r="F15" i="16"/>
  <c r="E15" i="16"/>
  <c r="C16" i="16"/>
  <c r="E16" i="16"/>
  <c r="F16" i="16"/>
  <c r="C17" i="16"/>
  <c r="E17" i="16"/>
  <c r="C18" i="16"/>
  <c r="C19" i="16"/>
  <c r="E19" i="16"/>
  <c r="C20" i="16"/>
  <c r="E20" i="16"/>
  <c r="C21" i="16"/>
  <c r="E21" i="16"/>
  <c r="C22" i="16"/>
  <c r="E22" i="16"/>
  <c r="C23" i="16"/>
  <c r="E23" i="16"/>
  <c r="C24" i="16"/>
  <c r="E24" i="16"/>
  <c r="C25" i="16"/>
  <c r="E25" i="16"/>
  <c r="F25" i="16" s="1"/>
  <c r="C26" i="16"/>
  <c r="E26" i="16"/>
  <c r="C27" i="16"/>
  <c r="E27" i="16"/>
  <c r="C28" i="16"/>
  <c r="E28" i="16"/>
  <c r="C29" i="16"/>
  <c r="E29" i="16"/>
  <c r="F29" i="16"/>
  <c r="E30" i="16"/>
  <c r="F30" i="16"/>
  <c r="C31" i="16"/>
  <c r="E31" i="16"/>
  <c r="C32" i="16"/>
  <c r="E32" i="16"/>
  <c r="C33" i="16"/>
  <c r="E33" i="16"/>
  <c r="C34" i="16"/>
  <c r="E34" i="16"/>
  <c r="F34" i="16" s="1"/>
  <c r="C35" i="16"/>
  <c r="E35" i="16"/>
  <c r="C36" i="16"/>
  <c r="E36" i="16"/>
  <c r="AR31" i="27"/>
  <c r="AS31" i="27" s="1"/>
  <c r="C15" i="34"/>
  <c r="L15" i="34" s="1"/>
  <c r="D16" i="27"/>
  <c r="E16" i="27" s="1"/>
  <c r="D15" i="27"/>
  <c r="E15" i="27" s="1"/>
  <c r="S15" i="27"/>
  <c r="T15" i="27" s="1"/>
  <c r="I15" i="27"/>
  <c r="J15" i="27"/>
  <c r="E15" i="34"/>
  <c r="D11" i="27"/>
  <c r="E11" i="27" s="1"/>
  <c r="C22" i="34"/>
  <c r="D19" i="35"/>
  <c r="E19" i="35" s="1"/>
  <c r="C8" i="34"/>
  <c r="U25" i="33"/>
  <c r="C22" i="26"/>
  <c r="C21" i="26"/>
  <c r="C20" i="26"/>
  <c r="S20" i="27"/>
  <c r="T20" i="27" s="1"/>
  <c r="N9" i="27"/>
  <c r="O9" i="27" s="1"/>
  <c r="N8" i="27"/>
  <c r="O8" i="27" s="1"/>
  <c r="N7" i="27"/>
  <c r="O7" i="27" s="1"/>
  <c r="D7" i="27"/>
  <c r="E7" i="27" s="1"/>
  <c r="I7" i="27"/>
  <c r="J7" i="27"/>
  <c r="S7" i="27"/>
  <c r="T7" i="27" s="1"/>
  <c r="X7" i="27"/>
  <c r="Y7" i="27" s="1"/>
  <c r="AC7" i="27"/>
  <c r="AD7" i="27" s="1"/>
  <c r="AH7" i="27"/>
  <c r="AI7" i="27" s="1"/>
  <c r="AM7" i="27"/>
  <c r="AN7" i="27" s="1"/>
  <c r="AR7" i="27"/>
  <c r="AS7" i="27" s="1"/>
  <c r="D8" i="27"/>
  <c r="E8" i="27" s="1"/>
  <c r="I8" i="27"/>
  <c r="S8" i="27"/>
  <c r="T8" i="27" s="1"/>
  <c r="X8" i="27"/>
  <c r="AC8" i="27"/>
  <c r="AD8" i="27" s="1"/>
  <c r="AH8" i="27"/>
  <c r="AI8" i="27" s="1"/>
  <c r="AM8" i="27"/>
  <c r="AN8" i="27" s="1"/>
  <c r="AR8" i="27"/>
  <c r="AS8" i="27" s="1"/>
  <c r="AW39" i="27"/>
  <c r="I14" i="35"/>
  <c r="J14" i="35"/>
  <c r="D15" i="35"/>
  <c r="E15" i="35" s="1"/>
  <c r="N37" i="27"/>
  <c r="O37" i="27"/>
  <c r="S37" i="27"/>
  <c r="T37" i="27"/>
  <c r="I32" i="35"/>
  <c r="J32" i="35"/>
  <c r="I17" i="35"/>
  <c r="J17" i="35"/>
  <c r="K17" i="35" s="1"/>
  <c r="I18" i="35"/>
  <c r="J18" i="35" s="1"/>
  <c r="I19" i="35"/>
  <c r="J19" i="35" s="1"/>
  <c r="I20" i="35"/>
  <c r="J20" i="35"/>
  <c r="I21" i="35"/>
  <c r="J21" i="35"/>
  <c r="I22" i="35"/>
  <c r="J22" i="35" s="1"/>
  <c r="I23" i="35"/>
  <c r="J23" i="35" s="1"/>
  <c r="I24" i="35"/>
  <c r="J24" i="35"/>
  <c r="I25" i="35"/>
  <c r="J25" i="35"/>
  <c r="I26" i="35"/>
  <c r="J26" i="35" s="1"/>
  <c r="I27" i="35"/>
  <c r="J27" i="35" s="1"/>
  <c r="I28" i="35"/>
  <c r="J28" i="35"/>
  <c r="I29" i="35"/>
  <c r="J29" i="35"/>
  <c r="I30" i="35"/>
  <c r="J30" i="35" s="1"/>
  <c r="I31" i="35"/>
  <c r="J31" i="35" s="1"/>
  <c r="U33" i="33"/>
  <c r="V34" i="33"/>
  <c r="M35" i="31"/>
  <c r="N35" i="31" s="1"/>
  <c r="U34" i="33"/>
  <c r="BB37" i="27"/>
  <c r="BC37" i="27"/>
  <c r="AW37" i="27"/>
  <c r="AX37" i="27"/>
  <c r="AR37" i="27"/>
  <c r="AS37" i="27"/>
  <c r="AM37" i="27"/>
  <c r="AN37" i="27"/>
  <c r="AH37" i="27"/>
  <c r="AI37" i="27"/>
  <c r="AC37" i="27"/>
  <c r="AD37" i="27" s="1"/>
  <c r="X37" i="27"/>
  <c r="Y37" i="27"/>
  <c r="I37" i="27"/>
  <c r="J37" i="27"/>
  <c r="D37" i="27"/>
  <c r="C37" i="25"/>
  <c r="S35" i="31" s="1"/>
  <c r="T35" i="31" s="1"/>
  <c r="E37" i="16"/>
  <c r="C37" i="16"/>
  <c r="F37" i="16" s="1"/>
  <c r="O35" i="31" s="1"/>
  <c r="P35" i="31" s="1"/>
  <c r="AH36" i="27"/>
  <c r="AI36" i="27" s="1"/>
  <c r="C32" i="25"/>
  <c r="D32" i="25" s="1"/>
  <c r="AH24" i="27"/>
  <c r="AI24" i="27" s="1"/>
  <c r="AR22" i="27"/>
  <c r="AS22" i="27" s="1"/>
  <c r="D27" i="35"/>
  <c r="E27" i="35" s="1"/>
  <c r="U6" i="33"/>
  <c r="U7" i="33"/>
  <c r="U8" i="33"/>
  <c r="U9" i="33"/>
  <c r="U10" i="33"/>
  <c r="U11" i="33"/>
  <c r="V11" i="33"/>
  <c r="M12" i="31"/>
  <c r="N12" i="31" s="1"/>
  <c r="U12" i="33"/>
  <c r="U13" i="33"/>
  <c r="V13" i="33"/>
  <c r="M14" i="31" s="1"/>
  <c r="N14" i="31" s="1"/>
  <c r="U14" i="33"/>
  <c r="U15" i="33"/>
  <c r="V16" i="33" s="1"/>
  <c r="M17" i="31" s="1"/>
  <c r="U16" i="33"/>
  <c r="U17" i="33"/>
  <c r="V17" i="33" s="1"/>
  <c r="M18" i="31" s="1"/>
  <c r="N18" i="31" s="1"/>
  <c r="U18" i="33"/>
  <c r="U19" i="33"/>
  <c r="U20" i="33"/>
  <c r="V20" i="33" s="1"/>
  <c r="M21" i="31" s="1"/>
  <c r="N21" i="31" s="1"/>
  <c r="U21" i="33"/>
  <c r="U22" i="33"/>
  <c r="U23" i="33"/>
  <c r="U24" i="33"/>
  <c r="U26" i="33"/>
  <c r="U27" i="33"/>
  <c r="U28" i="33"/>
  <c r="U29" i="33"/>
  <c r="V29" i="33"/>
  <c r="M30" i="31" s="1"/>
  <c r="N30" i="31" s="1"/>
  <c r="U30" i="33"/>
  <c r="U31" i="33"/>
  <c r="U32" i="33"/>
  <c r="V32" i="33" s="1"/>
  <c r="M33" i="31" s="1"/>
  <c r="N33" i="31" s="1"/>
  <c r="U4" i="33"/>
  <c r="AF25" i="28"/>
  <c r="AE9" i="28" s="1"/>
  <c r="E4" i="34"/>
  <c r="C5" i="34"/>
  <c r="L5" i="34"/>
  <c r="Q6" i="31" s="1"/>
  <c r="E5" i="34"/>
  <c r="C6" i="34"/>
  <c r="E6" i="34"/>
  <c r="L6" i="34" s="1"/>
  <c r="C7" i="34"/>
  <c r="L7" i="34"/>
  <c r="E7" i="34"/>
  <c r="E8" i="34"/>
  <c r="L8" i="34" s="1"/>
  <c r="C9" i="34"/>
  <c r="E9" i="34"/>
  <c r="E10" i="34"/>
  <c r="E11" i="34"/>
  <c r="C12" i="34"/>
  <c r="E12" i="34"/>
  <c r="C13" i="34"/>
  <c r="E13" i="34"/>
  <c r="C14" i="34"/>
  <c r="E14" i="34"/>
  <c r="L14" i="34"/>
  <c r="C16" i="34"/>
  <c r="L16" i="34"/>
  <c r="E16" i="34"/>
  <c r="C17" i="34"/>
  <c r="E17" i="34"/>
  <c r="C18" i="34"/>
  <c r="E18" i="34"/>
  <c r="C19" i="34"/>
  <c r="L19" i="34" s="1"/>
  <c r="E19" i="34"/>
  <c r="C20" i="34"/>
  <c r="E20" i="34"/>
  <c r="C21" i="34"/>
  <c r="E21" i="34"/>
  <c r="E22" i="34"/>
  <c r="L22" i="34" s="1"/>
  <c r="C23" i="34"/>
  <c r="E23" i="34"/>
  <c r="C24" i="34"/>
  <c r="E24" i="34"/>
  <c r="C25" i="34"/>
  <c r="E25" i="34"/>
  <c r="C26" i="34"/>
  <c r="E26" i="34"/>
  <c r="L26" i="34"/>
  <c r="C27" i="34"/>
  <c r="L27" i="34" s="1"/>
  <c r="E27" i="34"/>
  <c r="C28" i="34"/>
  <c r="E28" i="34"/>
  <c r="C29" i="34"/>
  <c r="E29" i="34"/>
  <c r="C30" i="34"/>
  <c r="E30" i="34"/>
  <c r="C31" i="34"/>
  <c r="L31" i="34" s="1"/>
  <c r="E31" i="34"/>
  <c r="C32" i="34"/>
  <c r="E32" i="34"/>
  <c r="C33" i="34"/>
  <c r="E33" i="34"/>
  <c r="C34" i="34"/>
  <c r="E34" i="34"/>
  <c r="AW7" i="27"/>
  <c r="AX7" i="27" s="1"/>
  <c r="BB7" i="27"/>
  <c r="BC7" i="27" s="1"/>
  <c r="AW8" i="27"/>
  <c r="AX8" i="27" s="1"/>
  <c r="BB8" i="27"/>
  <c r="BC8" i="27" s="1"/>
  <c r="D9" i="27"/>
  <c r="E9" i="27" s="1"/>
  <c r="I9" i="27"/>
  <c r="S9" i="27"/>
  <c r="T9" i="27" s="1"/>
  <c r="X9" i="27"/>
  <c r="Y9" i="27" s="1"/>
  <c r="AC9" i="27"/>
  <c r="AD9" i="27" s="1"/>
  <c r="BF9" i="27" s="1"/>
  <c r="AH9" i="27"/>
  <c r="AI9" i="27" s="1"/>
  <c r="AM9" i="27"/>
  <c r="AN9" i="27" s="1"/>
  <c r="AR9" i="27"/>
  <c r="AS9" i="27" s="1"/>
  <c r="AW9" i="27"/>
  <c r="AX9" i="27" s="1"/>
  <c r="BB9" i="27"/>
  <c r="BC9" i="27" s="1"/>
  <c r="D10" i="27"/>
  <c r="E10" i="27" s="1"/>
  <c r="I10" i="27"/>
  <c r="J10" i="27"/>
  <c r="N10" i="27"/>
  <c r="O10" i="27" s="1"/>
  <c r="S10" i="27"/>
  <c r="T10" i="27" s="1"/>
  <c r="X10" i="27"/>
  <c r="Y10" i="27" s="1"/>
  <c r="AC10" i="27"/>
  <c r="AD10" i="27" s="1"/>
  <c r="AH10" i="27"/>
  <c r="AI10" i="27" s="1"/>
  <c r="AM10" i="27"/>
  <c r="AN10" i="27" s="1"/>
  <c r="AR10" i="27"/>
  <c r="AS10" i="27" s="1"/>
  <c r="AW10" i="27"/>
  <c r="BB10" i="27"/>
  <c r="BC10" i="27" s="1"/>
  <c r="I11" i="27"/>
  <c r="N11" i="27"/>
  <c r="O11" i="27" s="1"/>
  <c r="S11" i="27"/>
  <c r="T11" i="27" s="1"/>
  <c r="X11" i="27"/>
  <c r="Y11" i="27" s="1"/>
  <c r="AC11" i="27"/>
  <c r="AD11" i="27" s="1"/>
  <c r="AH11" i="27"/>
  <c r="AI11" i="27" s="1"/>
  <c r="AR11" i="27"/>
  <c r="AW11" i="27"/>
  <c r="AX11" i="27" s="1"/>
  <c r="BB11" i="27"/>
  <c r="BC11" i="27" s="1"/>
  <c r="D12" i="27"/>
  <c r="E12" i="27" s="1"/>
  <c r="I12" i="27"/>
  <c r="N12" i="27"/>
  <c r="O12" i="27" s="1"/>
  <c r="S12" i="27"/>
  <c r="T12" i="27" s="1"/>
  <c r="X12" i="27"/>
  <c r="Y12" i="27" s="1"/>
  <c r="AC12" i="27"/>
  <c r="AD12" i="27" s="1"/>
  <c r="AH12" i="27"/>
  <c r="AI12" i="27" s="1"/>
  <c r="AM12" i="27"/>
  <c r="AN12" i="27" s="1"/>
  <c r="AR12" i="27"/>
  <c r="AS12" i="27" s="1"/>
  <c r="AW12" i="27"/>
  <c r="AX12" i="27" s="1"/>
  <c r="BB12" i="27"/>
  <c r="BC12" i="27" s="1"/>
  <c r="D13" i="27"/>
  <c r="E13" i="27" s="1"/>
  <c r="I13" i="27"/>
  <c r="J13" i="27"/>
  <c r="N13" i="27"/>
  <c r="O13" i="27" s="1"/>
  <c r="S13" i="27"/>
  <c r="T13" i="27" s="1"/>
  <c r="X13" i="27"/>
  <c r="Y13" i="27" s="1"/>
  <c r="AC13" i="27"/>
  <c r="AD13" i="27" s="1"/>
  <c r="AH13" i="27"/>
  <c r="AI13" i="27" s="1"/>
  <c r="AM13" i="27"/>
  <c r="AN13" i="27" s="1"/>
  <c r="AR13" i="27"/>
  <c r="AS13" i="27" s="1"/>
  <c r="AW13" i="27"/>
  <c r="AX13" i="27" s="1"/>
  <c r="BB13" i="27"/>
  <c r="BC13" i="27" s="1"/>
  <c r="D14" i="27"/>
  <c r="E14" i="27" s="1"/>
  <c r="I14" i="27"/>
  <c r="J14" i="27"/>
  <c r="N14" i="27"/>
  <c r="O14" i="27" s="1"/>
  <c r="S14" i="27"/>
  <c r="T14" i="27" s="1"/>
  <c r="X14" i="27"/>
  <c r="Y14" i="27" s="1"/>
  <c r="AC14" i="27"/>
  <c r="AH14" i="27"/>
  <c r="AI14" i="27" s="1"/>
  <c r="AM14" i="27"/>
  <c r="AN14" i="27" s="1"/>
  <c r="AR14" i="27"/>
  <c r="AS14" i="27" s="1"/>
  <c r="AW14" i="27"/>
  <c r="AX14" i="27" s="1"/>
  <c r="BB14" i="27"/>
  <c r="BC14" i="27" s="1"/>
  <c r="X15" i="27"/>
  <c r="Y15" i="27" s="1"/>
  <c r="AC15" i="27"/>
  <c r="AD15" i="27" s="1"/>
  <c r="AM15" i="27"/>
  <c r="AR15" i="27"/>
  <c r="AS15" i="27" s="1"/>
  <c r="AW15" i="27"/>
  <c r="AX15" i="27" s="1"/>
  <c r="BB15" i="27"/>
  <c r="BC15" i="27" s="1"/>
  <c r="I16" i="27"/>
  <c r="J16" i="27" s="1"/>
  <c r="N16" i="27"/>
  <c r="O16" i="27" s="1"/>
  <c r="S16" i="27"/>
  <c r="X16" i="27"/>
  <c r="Y16" i="27" s="1"/>
  <c r="AC16" i="27"/>
  <c r="AD16" i="27" s="1"/>
  <c r="AM16" i="27"/>
  <c r="AN16" i="27" s="1"/>
  <c r="AW16" i="27"/>
  <c r="AX16" i="27" s="1"/>
  <c r="BB16" i="27"/>
  <c r="BC16" i="27" s="1"/>
  <c r="D17" i="27"/>
  <c r="E17" i="27" s="1"/>
  <c r="I17" i="27"/>
  <c r="J17" i="27"/>
  <c r="N17" i="27"/>
  <c r="O17" i="27" s="1"/>
  <c r="S17" i="27"/>
  <c r="T17" i="27" s="1"/>
  <c r="X17" i="27"/>
  <c r="Y17" i="27" s="1"/>
  <c r="AC17" i="27"/>
  <c r="AD17" i="27" s="1"/>
  <c r="AH17" i="27"/>
  <c r="AI17" i="27" s="1"/>
  <c r="AM17" i="27"/>
  <c r="AN17" i="27" s="1"/>
  <c r="AR17" i="27"/>
  <c r="AS17" i="27" s="1"/>
  <c r="AW17" i="27"/>
  <c r="BB17" i="27"/>
  <c r="BC17" i="27" s="1"/>
  <c r="D18" i="27"/>
  <c r="E18" i="27" s="1"/>
  <c r="I18" i="27"/>
  <c r="J18" i="27"/>
  <c r="N18" i="27"/>
  <c r="O18" i="27" s="1"/>
  <c r="S18" i="27"/>
  <c r="T18" i="27" s="1"/>
  <c r="X18" i="27"/>
  <c r="Y18" i="27" s="1"/>
  <c r="AC18" i="27"/>
  <c r="AD18" i="27" s="1"/>
  <c r="BF18" i="27" s="1"/>
  <c r="AH18" i="27"/>
  <c r="AI18" i="27" s="1"/>
  <c r="AM18" i="27"/>
  <c r="AN18" i="27" s="1"/>
  <c r="AR18" i="27"/>
  <c r="AS18" i="27" s="1"/>
  <c r="AW18" i="27"/>
  <c r="AX18" i="27" s="1"/>
  <c r="BB18" i="27"/>
  <c r="BC18" i="27" s="1"/>
  <c r="D19" i="27"/>
  <c r="E19" i="27" s="1"/>
  <c r="I19" i="27"/>
  <c r="J19" i="27"/>
  <c r="N19" i="27"/>
  <c r="O19" i="27" s="1"/>
  <c r="S19" i="27"/>
  <c r="T19" i="27" s="1"/>
  <c r="X19" i="27"/>
  <c r="Y19" i="27" s="1"/>
  <c r="AC19" i="27"/>
  <c r="AD19" i="27" s="1"/>
  <c r="AH19" i="27"/>
  <c r="AI19" i="27" s="1"/>
  <c r="AM19" i="27"/>
  <c r="AN19" i="27" s="1"/>
  <c r="AR19" i="27"/>
  <c r="AS19" i="27" s="1"/>
  <c r="AW19" i="27"/>
  <c r="AX19" i="27" s="1"/>
  <c r="BB19" i="27"/>
  <c r="BC19" i="27" s="1"/>
  <c r="D20" i="27"/>
  <c r="E20" i="27" s="1"/>
  <c r="I20" i="27"/>
  <c r="J20" i="27"/>
  <c r="N20" i="27"/>
  <c r="O20" i="27" s="1"/>
  <c r="X20" i="27"/>
  <c r="Y20" i="27" s="1"/>
  <c r="AC20" i="27"/>
  <c r="AD20" i="27" s="1"/>
  <c r="AH20" i="27"/>
  <c r="AI20" i="27" s="1"/>
  <c r="AM20" i="27"/>
  <c r="AN20" i="27" s="1"/>
  <c r="AR20" i="27"/>
  <c r="AS20" i="27" s="1"/>
  <c r="AW20" i="27"/>
  <c r="AX20" i="27" s="1"/>
  <c r="BB20" i="27"/>
  <c r="BC20" i="27" s="1"/>
  <c r="D21" i="27"/>
  <c r="E21" i="27" s="1"/>
  <c r="I21" i="27"/>
  <c r="J21" i="27"/>
  <c r="N21" i="27"/>
  <c r="O21" i="27" s="1"/>
  <c r="S21" i="27"/>
  <c r="T21" i="27" s="1"/>
  <c r="X21" i="27"/>
  <c r="Y21" i="27" s="1"/>
  <c r="AC21" i="27"/>
  <c r="AD21" i="27" s="1"/>
  <c r="AH21" i="27"/>
  <c r="AI21" i="27" s="1"/>
  <c r="AM21" i="27"/>
  <c r="AN21" i="27" s="1"/>
  <c r="AR21" i="27"/>
  <c r="AS21" i="27" s="1"/>
  <c r="AW21" i="27"/>
  <c r="BB21" i="27"/>
  <c r="BC21" i="27" s="1"/>
  <c r="D22" i="27"/>
  <c r="E22" i="27" s="1"/>
  <c r="I22" i="27"/>
  <c r="J22" i="27"/>
  <c r="N22" i="27"/>
  <c r="O22" i="27" s="1"/>
  <c r="S22" i="27"/>
  <c r="T22" i="27" s="1"/>
  <c r="X22" i="27"/>
  <c r="Y22" i="27" s="1"/>
  <c r="AC22" i="27"/>
  <c r="AH22" i="27"/>
  <c r="AI22" i="27" s="1"/>
  <c r="AM22" i="27"/>
  <c r="AN22" i="27" s="1"/>
  <c r="AW22" i="27"/>
  <c r="AX22" i="27" s="1"/>
  <c r="BB22" i="27"/>
  <c r="BC22" i="27" s="1"/>
  <c r="D23" i="27"/>
  <c r="E23" i="27" s="1"/>
  <c r="I23" i="27"/>
  <c r="J23" i="27"/>
  <c r="N23" i="27"/>
  <c r="S23" i="27"/>
  <c r="T23" i="27" s="1"/>
  <c r="X23" i="27"/>
  <c r="Y23" i="27" s="1"/>
  <c r="AC23" i="27"/>
  <c r="AD23" i="27" s="1"/>
  <c r="AR23" i="27"/>
  <c r="AS23" i="27" s="1"/>
  <c r="AW23" i="27"/>
  <c r="AX23" i="27" s="1"/>
  <c r="D24" i="27"/>
  <c r="E24" i="27" s="1"/>
  <c r="I24" i="27"/>
  <c r="J24" i="27" s="1"/>
  <c r="N24" i="27"/>
  <c r="O24" i="27" s="1"/>
  <c r="S24" i="27"/>
  <c r="T24" i="27" s="1"/>
  <c r="X24" i="27"/>
  <c r="Y24" i="27" s="1"/>
  <c r="AC24" i="27"/>
  <c r="AD24" i="27" s="1"/>
  <c r="AM24" i="27"/>
  <c r="AN24" i="27" s="1"/>
  <c r="AR24" i="27"/>
  <c r="AS24" i="27" s="1"/>
  <c r="AW24" i="27"/>
  <c r="AX24" i="27" s="1"/>
  <c r="BB24" i="27"/>
  <c r="BC24" i="27" s="1"/>
  <c r="D25" i="27"/>
  <c r="E25" i="27" s="1"/>
  <c r="I25" i="27"/>
  <c r="J25" i="27" s="1"/>
  <c r="N25" i="27"/>
  <c r="O25" i="27" s="1"/>
  <c r="S25" i="27"/>
  <c r="X25" i="27"/>
  <c r="Y25" i="27" s="1"/>
  <c r="AC25" i="27"/>
  <c r="AD25" i="27" s="1"/>
  <c r="AH25" i="27"/>
  <c r="AI25" i="27" s="1"/>
  <c r="AM25" i="27"/>
  <c r="AN25" i="27" s="1"/>
  <c r="AR25" i="27"/>
  <c r="AS25" i="27" s="1"/>
  <c r="AW25" i="27"/>
  <c r="AX25" i="27" s="1"/>
  <c r="BB25" i="27"/>
  <c r="BC25" i="27" s="1"/>
  <c r="D26" i="27"/>
  <c r="I26" i="27"/>
  <c r="J26" i="27"/>
  <c r="N26" i="27"/>
  <c r="O26" i="27" s="1"/>
  <c r="S26" i="27"/>
  <c r="T26" i="27" s="1"/>
  <c r="X26" i="27"/>
  <c r="Y26" i="27" s="1"/>
  <c r="AC26" i="27"/>
  <c r="AD26" i="27" s="1"/>
  <c r="AH26" i="27"/>
  <c r="AI26" i="27" s="1"/>
  <c r="AM26" i="27"/>
  <c r="AN26" i="27" s="1"/>
  <c r="AR26" i="27"/>
  <c r="AS26" i="27" s="1"/>
  <c r="AW26" i="27"/>
  <c r="AX26" i="27" s="1"/>
  <c r="BB26" i="27"/>
  <c r="BC26" i="27" s="1"/>
  <c r="D27" i="27"/>
  <c r="E27" i="27" s="1"/>
  <c r="I27" i="27"/>
  <c r="J27" i="27" s="1"/>
  <c r="N27" i="27"/>
  <c r="O27" i="27" s="1"/>
  <c r="S27" i="27"/>
  <c r="T27" i="27" s="1"/>
  <c r="X27" i="27"/>
  <c r="Y27" i="27" s="1"/>
  <c r="AC27" i="27"/>
  <c r="AD27" i="27" s="1"/>
  <c r="AH27" i="27"/>
  <c r="AI27" i="27" s="1"/>
  <c r="AM27" i="27"/>
  <c r="AN27" i="27" s="1"/>
  <c r="AR27" i="27"/>
  <c r="AS27" i="27" s="1"/>
  <c r="AW27" i="27"/>
  <c r="AX27" i="27" s="1"/>
  <c r="BB27" i="27"/>
  <c r="D28" i="27"/>
  <c r="E28" i="27" s="1"/>
  <c r="I28" i="27"/>
  <c r="J28" i="27" s="1"/>
  <c r="N28" i="27"/>
  <c r="O28" i="27" s="1"/>
  <c r="S28" i="27"/>
  <c r="T28" i="27" s="1"/>
  <c r="X28" i="27"/>
  <c r="Y28" i="27" s="1"/>
  <c r="AC28" i="27"/>
  <c r="AD28" i="27" s="1"/>
  <c r="AH28" i="27"/>
  <c r="AM28" i="27"/>
  <c r="AN28" i="27" s="1"/>
  <c r="AR28" i="27"/>
  <c r="AS28" i="27" s="1"/>
  <c r="AW28" i="27"/>
  <c r="AX28" i="27" s="1"/>
  <c r="BB28" i="27"/>
  <c r="BC28" i="27" s="1"/>
  <c r="D29" i="27"/>
  <c r="E29" i="27" s="1"/>
  <c r="I29" i="27"/>
  <c r="J29" i="27"/>
  <c r="N29" i="27"/>
  <c r="S29" i="27"/>
  <c r="T29" i="27" s="1"/>
  <c r="X29" i="27"/>
  <c r="Y29" i="27" s="1"/>
  <c r="AC29" i="27"/>
  <c r="AD29" i="27" s="1"/>
  <c r="AH29" i="27"/>
  <c r="AI29" i="27" s="1"/>
  <c r="AM29" i="27"/>
  <c r="AN29" i="27" s="1"/>
  <c r="AR29" i="27"/>
  <c r="AS29" i="27" s="1"/>
  <c r="AW29" i="27"/>
  <c r="AX29" i="27" s="1"/>
  <c r="BB29" i="27"/>
  <c r="BC29" i="27" s="1"/>
  <c r="D30" i="27"/>
  <c r="E30" i="27" s="1"/>
  <c r="I30" i="27"/>
  <c r="J30" i="27" s="1"/>
  <c r="N30" i="27"/>
  <c r="O30" i="27" s="1"/>
  <c r="S30" i="27"/>
  <c r="T30" i="27" s="1"/>
  <c r="X30" i="27"/>
  <c r="Y30" i="27" s="1"/>
  <c r="AC30" i="27"/>
  <c r="AD30" i="27" s="1"/>
  <c r="AH30" i="27"/>
  <c r="AI30" i="27" s="1"/>
  <c r="AM30" i="27"/>
  <c r="AN30" i="27" s="1"/>
  <c r="AR30" i="27"/>
  <c r="AS30" i="27" s="1"/>
  <c r="AW30" i="27"/>
  <c r="AX30" i="27" s="1"/>
  <c r="BB30" i="27"/>
  <c r="BC30" i="27" s="1"/>
  <c r="D31" i="27"/>
  <c r="E31" i="27" s="1"/>
  <c r="I31" i="27"/>
  <c r="J31" i="27"/>
  <c r="N31" i="27"/>
  <c r="S31" i="27"/>
  <c r="T31" i="27" s="1"/>
  <c r="X31" i="27"/>
  <c r="Y31" i="27" s="1"/>
  <c r="AC31" i="27"/>
  <c r="AD31" i="27" s="1"/>
  <c r="AH31" i="27"/>
  <c r="AI31" i="27" s="1"/>
  <c r="AM31" i="27"/>
  <c r="AN31" i="27" s="1"/>
  <c r="AW31" i="27"/>
  <c r="AX31" i="27" s="1"/>
  <c r="BB31" i="27"/>
  <c r="BC31" i="27" s="1"/>
  <c r="D32" i="27"/>
  <c r="E32" i="27" s="1"/>
  <c r="I32" i="27"/>
  <c r="J32" i="27"/>
  <c r="N32" i="27"/>
  <c r="O32" i="27" s="1"/>
  <c r="S32" i="27"/>
  <c r="T32" i="27" s="1"/>
  <c r="X32" i="27"/>
  <c r="Y32" i="27" s="1"/>
  <c r="AC32" i="27"/>
  <c r="AD32" i="27" s="1"/>
  <c r="BF32" i="27" s="1"/>
  <c r="AH32" i="27"/>
  <c r="AI32" i="27" s="1"/>
  <c r="AM32" i="27"/>
  <c r="AN32" i="27" s="1"/>
  <c r="AR32" i="27"/>
  <c r="AS32" i="27" s="1"/>
  <c r="AW32" i="27"/>
  <c r="AX32" i="27" s="1"/>
  <c r="BB32" i="27"/>
  <c r="BC32" i="27" s="1"/>
  <c r="D33" i="27"/>
  <c r="E33" i="27" s="1"/>
  <c r="I33" i="27"/>
  <c r="J33" i="27"/>
  <c r="N33" i="27"/>
  <c r="O33" i="27" s="1"/>
  <c r="S33" i="27"/>
  <c r="T33" i="27" s="1"/>
  <c r="X33" i="27"/>
  <c r="Y33" i="27" s="1"/>
  <c r="AC33" i="27"/>
  <c r="AD33" i="27" s="1"/>
  <c r="AH33" i="27"/>
  <c r="AI33" i="27" s="1"/>
  <c r="AM33" i="27"/>
  <c r="AN33" i="27" s="1"/>
  <c r="AR33" i="27"/>
  <c r="AS33" i="27" s="1"/>
  <c r="AW33" i="27"/>
  <c r="BB33" i="27"/>
  <c r="BC33" i="27" s="1"/>
  <c r="D34" i="27"/>
  <c r="E34" i="27" s="1"/>
  <c r="I34" i="27"/>
  <c r="J34" i="27"/>
  <c r="N34" i="27"/>
  <c r="O34" i="27" s="1"/>
  <c r="S34" i="27"/>
  <c r="T34" i="27" s="1"/>
  <c r="X34" i="27"/>
  <c r="Y34" i="27" s="1"/>
  <c r="AC34" i="27"/>
  <c r="AH34" i="27"/>
  <c r="AI34" i="27" s="1"/>
  <c r="AR34" i="27"/>
  <c r="AS34" i="27" s="1"/>
  <c r="AW34" i="27"/>
  <c r="AX34" i="27" s="1"/>
  <c r="BB34" i="27"/>
  <c r="BC34" i="27" s="1"/>
  <c r="D35" i="27"/>
  <c r="E35" i="27" s="1"/>
  <c r="I35" i="27"/>
  <c r="J35" i="27"/>
  <c r="N35" i="27"/>
  <c r="S35" i="27"/>
  <c r="T35" i="27" s="1"/>
  <c r="X35" i="27"/>
  <c r="Y35" i="27" s="1"/>
  <c r="AC35" i="27"/>
  <c r="AD35" i="27" s="1"/>
  <c r="AH35" i="27"/>
  <c r="AI35" i="27" s="1"/>
  <c r="AM35" i="27"/>
  <c r="AN35" i="27" s="1"/>
  <c r="AR35" i="27"/>
  <c r="AS35" i="27" s="1"/>
  <c r="AW35" i="27"/>
  <c r="AX35" i="27" s="1"/>
  <c r="BB35" i="27"/>
  <c r="BC35" i="27" s="1"/>
  <c r="D36" i="27"/>
  <c r="E36" i="27" s="1"/>
  <c r="I36" i="27"/>
  <c r="J36" i="27" s="1"/>
  <c r="N36" i="27"/>
  <c r="O36" i="27" s="1"/>
  <c r="S36" i="27"/>
  <c r="T36" i="27" s="1"/>
  <c r="X36" i="27"/>
  <c r="Y36" i="27" s="1"/>
  <c r="AC36" i="27"/>
  <c r="AD36" i="27" s="1"/>
  <c r="AM36" i="27"/>
  <c r="AR36" i="27"/>
  <c r="AS36" i="27" s="1"/>
  <c r="AW36" i="27"/>
  <c r="AX36" i="27" s="1"/>
  <c r="BB36" i="27"/>
  <c r="BC36" i="27" s="1"/>
  <c r="I7" i="35"/>
  <c r="J7" i="35" s="1"/>
  <c r="K7" i="35" s="1"/>
  <c r="D9" i="35"/>
  <c r="E9" i="35" s="1"/>
  <c r="D8" i="35"/>
  <c r="E8" i="35" s="1"/>
  <c r="K8" i="35"/>
  <c r="I8" i="35"/>
  <c r="J8" i="35"/>
  <c r="I9" i="35"/>
  <c r="J9" i="35"/>
  <c r="D10" i="35"/>
  <c r="E10" i="35" s="1"/>
  <c r="I11" i="35"/>
  <c r="J11" i="35"/>
  <c r="K11" i="35" s="1"/>
  <c r="I12" i="35"/>
  <c r="J12" i="35" s="1"/>
  <c r="I13" i="35"/>
  <c r="J13" i="35" s="1"/>
  <c r="K13" i="35" s="1"/>
  <c r="I15" i="35"/>
  <c r="J15" i="35" s="1"/>
  <c r="I16" i="35"/>
  <c r="J16" i="35"/>
  <c r="K16" i="35" s="1"/>
  <c r="D18" i="35"/>
  <c r="E18" i="35" s="1"/>
  <c r="D25" i="35"/>
  <c r="E25" i="35" s="1"/>
  <c r="D26" i="35"/>
  <c r="E26" i="35" s="1"/>
  <c r="K26" i="35"/>
  <c r="D29" i="35"/>
  <c r="E29" i="35" s="1"/>
  <c r="D28" i="35"/>
  <c r="E28" i="35" s="1"/>
  <c r="D31" i="35"/>
  <c r="E31" i="35" s="1"/>
  <c r="D30" i="35"/>
  <c r="E30" i="35" s="1"/>
  <c r="K30" i="35" s="1"/>
  <c r="D32" i="35"/>
  <c r="E32" i="35" s="1"/>
  <c r="I33" i="35"/>
  <c r="J33" i="35" s="1"/>
  <c r="I34" i="35"/>
  <c r="J34" i="35" s="1"/>
  <c r="K34" i="35" s="1"/>
  <c r="I35" i="35"/>
  <c r="J35" i="35"/>
  <c r="I36" i="35"/>
  <c r="J36" i="35"/>
  <c r="C7" i="26"/>
  <c r="E7" i="26" s="1"/>
  <c r="BI7" i="27"/>
  <c r="G7" i="26"/>
  <c r="I7" i="26" s="1"/>
  <c r="C8" i="26"/>
  <c r="E8" i="26" s="1"/>
  <c r="BI8" i="27"/>
  <c r="G8" i="26"/>
  <c r="C9" i="26"/>
  <c r="E9" i="26" s="1"/>
  <c r="G9" i="26"/>
  <c r="I9" i="26" s="1"/>
  <c r="C10" i="26"/>
  <c r="E10" i="26" s="1"/>
  <c r="G10" i="26"/>
  <c r="I10" i="26" s="1"/>
  <c r="J10" i="26" s="1"/>
  <c r="C11" i="26"/>
  <c r="G11" i="26"/>
  <c r="I11" i="26" s="1"/>
  <c r="C12" i="26"/>
  <c r="E12" i="26" s="1"/>
  <c r="BI12" i="27"/>
  <c r="G12" i="26"/>
  <c r="I12" i="26" s="1"/>
  <c r="C13" i="26"/>
  <c r="E13" i="26" s="1"/>
  <c r="J13" i="26" s="1"/>
  <c r="BI13" i="27"/>
  <c r="G13" i="26"/>
  <c r="I13" i="26" s="1"/>
  <c r="C14" i="26"/>
  <c r="E14" i="26" s="1"/>
  <c r="G12" i="31"/>
  <c r="H12" i="31" s="1"/>
  <c r="G14" i="26"/>
  <c r="I14" i="26" s="1"/>
  <c r="C15" i="26"/>
  <c r="E15" i="26" s="1"/>
  <c r="G13" i="31"/>
  <c r="H13" i="31" s="1"/>
  <c r="BI15" i="27"/>
  <c r="G15" i="26"/>
  <c r="I15" i="26" s="1"/>
  <c r="BJ15" i="27"/>
  <c r="C16" i="26"/>
  <c r="E16" i="26" s="1"/>
  <c r="G16" i="26"/>
  <c r="I16" i="26" s="1"/>
  <c r="C17" i="26"/>
  <c r="E17" i="26" s="1"/>
  <c r="G17" i="26"/>
  <c r="I17" i="26" s="1"/>
  <c r="J17" i="26" s="1"/>
  <c r="C18" i="26"/>
  <c r="G18" i="26"/>
  <c r="I18" i="26" s="1"/>
  <c r="C19" i="26"/>
  <c r="E19" i="26" s="1"/>
  <c r="BI19" i="27"/>
  <c r="G19" i="26"/>
  <c r="I19" i="26" s="1"/>
  <c r="G20" i="26"/>
  <c r="I20" i="26" s="1"/>
  <c r="G21" i="26"/>
  <c r="G22" i="26"/>
  <c r="I22" i="26" s="1"/>
  <c r="BJ22" i="27"/>
  <c r="I20" i="31"/>
  <c r="J20" i="31" s="1"/>
  <c r="C23" i="26"/>
  <c r="E23" i="26" s="1"/>
  <c r="G23" i="26"/>
  <c r="I23" i="26" s="1"/>
  <c r="C24" i="26"/>
  <c r="E24" i="26" s="1"/>
  <c r="BI24" i="27"/>
  <c r="G24" i="26"/>
  <c r="C25" i="26"/>
  <c r="E25" i="26" s="1"/>
  <c r="G23" i="31"/>
  <c r="H23" i="31" s="1"/>
  <c r="G25" i="26"/>
  <c r="I25" i="26" s="1"/>
  <c r="C26" i="26"/>
  <c r="E26" i="26" s="1"/>
  <c r="G24" i="31"/>
  <c r="H24" i="31" s="1"/>
  <c r="G26" i="26"/>
  <c r="C27" i="26"/>
  <c r="E27" i="26" s="1"/>
  <c r="G27" i="26"/>
  <c r="I27" i="26" s="1"/>
  <c r="C28" i="26"/>
  <c r="E28" i="26" s="1"/>
  <c r="G28" i="26"/>
  <c r="I28" i="26" s="1"/>
  <c r="J28" i="26" s="1"/>
  <c r="BJ28" i="27"/>
  <c r="C29" i="26"/>
  <c r="E29" i="26" s="1"/>
  <c r="G27" i="31"/>
  <c r="H27" i="31" s="1"/>
  <c r="G29" i="26"/>
  <c r="I29" i="26" s="1"/>
  <c r="C30" i="26"/>
  <c r="E30" i="26" s="1"/>
  <c r="G30" i="26"/>
  <c r="I30" i="26" s="1"/>
  <c r="C31" i="26"/>
  <c r="E31" i="26" s="1"/>
  <c r="BI31" i="27"/>
  <c r="G31" i="26"/>
  <c r="C32" i="26"/>
  <c r="E32" i="26" s="1"/>
  <c r="G32" i="26"/>
  <c r="I32" i="26" s="1"/>
  <c r="BJ32" i="27"/>
  <c r="C33" i="26"/>
  <c r="E33" i="26" s="1"/>
  <c r="G33" i="26"/>
  <c r="I33" i="26" s="1"/>
  <c r="I31" i="31"/>
  <c r="J31" i="31" s="1"/>
  <c r="C34" i="26"/>
  <c r="G34" i="26"/>
  <c r="I34" i="26" s="1"/>
  <c r="C35" i="26"/>
  <c r="E35" i="26" s="1"/>
  <c r="G35" i="26"/>
  <c r="I35" i="26" s="1"/>
  <c r="J35" i="26" s="1"/>
  <c r="BJ35" i="27"/>
  <c r="C36" i="26"/>
  <c r="E36" i="26" s="1"/>
  <c r="G34" i="31"/>
  <c r="H34" i="31" s="1"/>
  <c r="G36" i="26"/>
  <c r="I36" i="26" s="1"/>
  <c r="BJ36" i="27"/>
  <c r="C7" i="25"/>
  <c r="D7" i="25" s="1"/>
  <c r="C8" i="25"/>
  <c r="D8" i="25" s="1"/>
  <c r="C9" i="25"/>
  <c r="D9" i="25" s="1"/>
  <c r="S7" i="31"/>
  <c r="T7" i="31" s="1"/>
  <c r="C10" i="25"/>
  <c r="D10" i="25" s="1"/>
  <c r="S8" i="31"/>
  <c r="T8" i="31" s="1"/>
  <c r="C11" i="25"/>
  <c r="D11" i="25" s="1"/>
  <c r="S9" i="31"/>
  <c r="T9" i="31" s="1"/>
  <c r="C12" i="25"/>
  <c r="D12" i="25" s="1"/>
  <c r="C13" i="25"/>
  <c r="D13" i="25" s="1"/>
  <c r="S11" i="31"/>
  <c r="T11" i="31" s="1"/>
  <c r="C14" i="25"/>
  <c r="C15" i="25"/>
  <c r="D15" i="25" s="1"/>
  <c r="C16" i="25"/>
  <c r="D16" i="25" s="1"/>
  <c r="C17" i="25"/>
  <c r="D17" i="25" s="1"/>
  <c r="C18" i="25"/>
  <c r="D18" i="25" s="1"/>
  <c r="S16" i="31"/>
  <c r="T16" i="31" s="1"/>
  <c r="C19" i="25"/>
  <c r="D19" i="25" s="1"/>
  <c r="C20" i="25"/>
  <c r="D20" i="25" s="1"/>
  <c r="C21" i="25"/>
  <c r="D21" i="25" s="1"/>
  <c r="C22" i="25"/>
  <c r="D22" i="25" s="1"/>
  <c r="C23" i="25"/>
  <c r="D23" i="25" s="1"/>
  <c r="S21" i="31"/>
  <c r="T21" i="31" s="1"/>
  <c r="C24" i="25"/>
  <c r="C25" i="25"/>
  <c r="D25" i="25" s="1"/>
  <c r="C26" i="25"/>
  <c r="D26" i="25" s="1"/>
  <c r="C27" i="25"/>
  <c r="D27" i="25" s="1"/>
  <c r="C28" i="25"/>
  <c r="D28" i="25" s="1"/>
  <c r="C29" i="25"/>
  <c r="D29" i="25" s="1"/>
  <c r="S27" i="31"/>
  <c r="T27" i="31" s="1"/>
  <c r="C30" i="25"/>
  <c r="C31" i="25"/>
  <c r="D31" i="25" s="1"/>
  <c r="C33" i="25"/>
  <c r="D33" i="25" s="1"/>
  <c r="C34" i="25"/>
  <c r="D34" i="25" s="1"/>
  <c r="C35" i="25"/>
  <c r="D35" i="25" s="1"/>
  <c r="C36" i="25"/>
  <c r="D36" i="25" s="1"/>
  <c r="D20" i="35"/>
  <c r="E20" i="35" s="1"/>
  <c r="K20" i="35" s="1"/>
  <c r="D33" i="35"/>
  <c r="E33" i="35" s="1"/>
  <c r="D35" i="35"/>
  <c r="E35" i="35" s="1"/>
  <c r="K35" i="35" s="1"/>
  <c r="I37" i="26"/>
  <c r="D7" i="35"/>
  <c r="E7" i="35" s="1"/>
  <c r="J8" i="27"/>
  <c r="E37" i="27"/>
  <c r="G20" i="31"/>
  <c r="S30" i="31"/>
  <c r="T30" i="31" s="1"/>
  <c r="D37" i="25"/>
  <c r="D21" i="35"/>
  <c r="E21" i="35" s="1"/>
  <c r="K21" i="35"/>
  <c r="G18" i="31"/>
  <c r="H18" i="31" s="1"/>
  <c r="J9" i="27"/>
  <c r="BI30" i="27"/>
  <c r="G28" i="31"/>
  <c r="H28" i="31" s="1"/>
  <c r="F17" i="16"/>
  <c r="G17" i="16"/>
  <c r="G13" i="16"/>
  <c r="F9" i="16"/>
  <c r="G9" i="16" s="1"/>
  <c r="BJ11" i="27"/>
  <c r="G21" i="31"/>
  <c r="H21" i="31" s="1"/>
  <c r="F24" i="16"/>
  <c r="F27" i="16"/>
  <c r="G27" i="16" s="1"/>
  <c r="BI33" i="27"/>
  <c r="L33" i="34"/>
  <c r="N33" i="34" s="1"/>
  <c r="L4" i="34"/>
  <c r="Q5" i="31" s="1"/>
  <c r="R5" i="31" s="1"/>
  <c r="N4" i="34"/>
  <c r="I9" i="31"/>
  <c r="J9" i="31" s="1"/>
  <c r="L9" i="34"/>
  <c r="N9" i="34"/>
  <c r="D23" i="35"/>
  <c r="E23" i="35" s="1"/>
  <c r="S23" i="31"/>
  <c r="T23" i="31" s="1"/>
  <c r="BI32" i="27"/>
  <c r="G30" i="31"/>
  <c r="H30" i="31" s="1"/>
  <c r="G35" i="31"/>
  <c r="H35" i="31" s="1"/>
  <c r="E37" i="26"/>
  <c r="J37" i="26" s="1"/>
  <c r="L34" i="34"/>
  <c r="N34" i="34"/>
  <c r="I17" i="31"/>
  <c r="J17" i="31" s="1"/>
  <c r="G31" i="31"/>
  <c r="H31" i="31" s="1"/>
  <c r="G25" i="31"/>
  <c r="H25" i="31" s="1"/>
  <c r="BI14" i="27"/>
  <c r="G17" i="31"/>
  <c r="H17" i="31" s="1"/>
  <c r="F12" i="16"/>
  <c r="G12" i="16" s="1"/>
  <c r="I13" i="31"/>
  <c r="J13" i="31" s="1"/>
  <c r="L20" i="34"/>
  <c r="N20" i="34" s="1"/>
  <c r="BJ23" i="27"/>
  <c r="F23" i="16"/>
  <c r="O21" i="31" s="1"/>
  <c r="P21" i="31" s="1"/>
  <c r="BI26" i="27"/>
  <c r="F26" i="16"/>
  <c r="G26" i="16"/>
  <c r="G30" i="16"/>
  <c r="M27" i="34"/>
  <c r="F31" i="16"/>
  <c r="F33" i="16"/>
  <c r="O31" i="31" s="1"/>
  <c r="P31" i="31" s="1"/>
  <c r="F35" i="16"/>
  <c r="G35" i="16" s="1"/>
  <c r="D37" i="35"/>
  <c r="E37" i="35" s="1"/>
  <c r="K37" i="35" s="1"/>
  <c r="I34" i="31"/>
  <c r="J34" i="31" s="1"/>
  <c r="S6" i="31"/>
  <c r="T6" i="31" s="1"/>
  <c r="F7" i="16"/>
  <c r="G7" i="16" s="1"/>
  <c r="V7" i="33"/>
  <c r="M8" i="31"/>
  <c r="N8" i="31" s="1"/>
  <c r="I12" i="31"/>
  <c r="J12" i="31" s="1"/>
  <c r="BI25" i="27"/>
  <c r="J6" i="26"/>
  <c r="O33" i="31"/>
  <c r="P33" i="31" s="1"/>
  <c r="G6" i="31"/>
  <c r="H6" i="31" s="1"/>
  <c r="BJ9" i="27"/>
  <c r="M9" i="34"/>
  <c r="O9" i="34"/>
  <c r="L11" i="34"/>
  <c r="N11" i="34"/>
  <c r="J15" i="26"/>
  <c r="S14" i="31"/>
  <c r="T14" i="31" s="1"/>
  <c r="I15" i="31"/>
  <c r="S17" i="31"/>
  <c r="T17" i="31" s="1"/>
  <c r="F21" i="16"/>
  <c r="G21" i="16"/>
  <c r="BI21" i="27"/>
  <c r="M20" i="34"/>
  <c r="O20" i="34" s="1"/>
  <c r="K24" i="35"/>
  <c r="I27" i="31"/>
  <c r="J27" i="31" s="1"/>
  <c r="F28" i="16"/>
  <c r="O26" i="31" s="1"/>
  <c r="G28" i="16"/>
  <c r="G29" i="31"/>
  <c r="H29" i="31" s="1"/>
  <c r="F32" i="16"/>
  <c r="G32" i="16" s="1"/>
  <c r="BJ33" i="27"/>
  <c r="BI34" i="27"/>
  <c r="BJ34" i="27"/>
  <c r="BI36" i="27"/>
  <c r="I35" i="31"/>
  <c r="F36" i="16"/>
  <c r="O34" i="31" s="1"/>
  <c r="F8" i="16"/>
  <c r="V4" i="33"/>
  <c r="M5" i="31" s="1"/>
  <c r="N5" i="31" s="1"/>
  <c r="L32" i="34"/>
  <c r="Q33" i="31"/>
  <c r="R33" i="31" s="1"/>
  <c r="L23" i="34"/>
  <c r="N3" i="34"/>
  <c r="O3" i="34" s="1"/>
  <c r="S29" i="31"/>
  <c r="T29" i="31" s="1"/>
  <c r="BJ18" i="27"/>
  <c r="BJ21" i="27"/>
  <c r="BJ16" i="27"/>
  <c r="I38" i="26"/>
  <c r="J38" i="26"/>
  <c r="BJ6" i="27"/>
  <c r="O15" i="31"/>
  <c r="P15" i="31" s="1"/>
  <c r="N6" i="34"/>
  <c r="R6" i="31"/>
  <c r="M5" i="34"/>
  <c r="O5" i="34" s="1"/>
  <c r="N5" i="34"/>
  <c r="G8" i="31"/>
  <c r="H8" i="31" s="1"/>
  <c r="G7" i="31"/>
  <c r="H7" i="31" s="1"/>
  <c r="BE9" i="27"/>
  <c r="BH9" i="27" s="1"/>
  <c r="K9" i="35"/>
  <c r="K10" i="35"/>
  <c r="Q10" i="31"/>
  <c r="R10" i="31" s="1"/>
  <c r="I10" i="31"/>
  <c r="J10" i="31" s="1"/>
  <c r="BJ14" i="27"/>
  <c r="D14" i="35"/>
  <c r="E14" i="35" s="1"/>
  <c r="K14" i="35" s="1"/>
  <c r="L10" i="34"/>
  <c r="M10" i="34" s="1"/>
  <c r="O11" i="31"/>
  <c r="P11" i="31"/>
  <c r="V10" i="33"/>
  <c r="M11" i="31"/>
  <c r="N11" i="31"/>
  <c r="M11" i="34"/>
  <c r="O11" i="34" s="1"/>
  <c r="Q12" i="31"/>
  <c r="R12" i="31" s="1"/>
  <c r="V12" i="33"/>
  <c r="M13" i="31" s="1"/>
  <c r="N13" i="31" s="1"/>
  <c r="AH15" i="27"/>
  <c r="J16" i="26"/>
  <c r="L12" i="34"/>
  <c r="Q13" i="31" s="1"/>
  <c r="L13" i="34"/>
  <c r="Q14" i="31" s="1"/>
  <c r="R14" i="31" s="1"/>
  <c r="N13" i="34"/>
  <c r="O14" i="31"/>
  <c r="P14" i="31" s="1"/>
  <c r="G16" i="16"/>
  <c r="BE18" i="27"/>
  <c r="BH18" i="27" s="1"/>
  <c r="V14" i="33"/>
  <c r="M15" i="31"/>
  <c r="N15" i="31" s="1"/>
  <c r="BI17" i="27"/>
  <c r="G15" i="31"/>
  <c r="H15" i="31" s="1"/>
  <c r="K18" i="35"/>
  <c r="I16" i="31"/>
  <c r="J16" i="31" s="1"/>
  <c r="J19" i="26"/>
  <c r="N17" i="31"/>
  <c r="S18" i="31"/>
  <c r="T18" i="31" s="1"/>
  <c r="F19" i="16"/>
  <c r="O17" i="31"/>
  <c r="P17" i="31" s="1"/>
  <c r="G19" i="16"/>
  <c r="F20" i="16"/>
  <c r="O18" i="31"/>
  <c r="P18" i="31" s="1"/>
  <c r="G20" i="16"/>
  <c r="L18" i="34"/>
  <c r="N18" i="34" s="1"/>
  <c r="Q19" i="31"/>
  <c r="R19" i="31"/>
  <c r="O19" i="31"/>
  <c r="P19" i="31"/>
  <c r="S19" i="31"/>
  <c r="T19" i="31" s="1"/>
  <c r="Q21" i="31"/>
  <c r="R21" i="31" s="1"/>
  <c r="L21" i="34"/>
  <c r="M21" i="34" s="1"/>
  <c r="K23" i="35"/>
  <c r="I21" i="31"/>
  <c r="J21" i="31" s="1"/>
  <c r="J23" i="26"/>
  <c r="N22" i="34"/>
  <c r="G22" i="31"/>
  <c r="H22" i="31" s="1"/>
  <c r="V22" i="33"/>
  <c r="M23" i="31"/>
  <c r="N23" i="31" s="1"/>
  <c r="K25" i="35"/>
  <c r="G25" i="16"/>
  <c r="O23" i="31"/>
  <c r="P23" i="31" s="1"/>
  <c r="O24" i="31"/>
  <c r="P24" i="31"/>
  <c r="V23" i="33"/>
  <c r="M24" i="31" s="1"/>
  <c r="N24" i="31" s="1"/>
  <c r="L24" i="34"/>
  <c r="Q25" i="31" s="1"/>
  <c r="R25" i="31" s="1"/>
  <c r="V24" i="33"/>
  <c r="M25" i="31"/>
  <c r="N25" i="31"/>
  <c r="K27" i="35"/>
  <c r="S25" i="31"/>
  <c r="T25" i="31" s="1"/>
  <c r="G26" i="31"/>
  <c r="H26" i="31" s="1"/>
  <c r="O25" i="31"/>
  <c r="P25" i="31" s="1"/>
  <c r="P26" i="31"/>
  <c r="BB39" i="27"/>
  <c r="BJ29" i="27"/>
  <c r="K28" i="35"/>
  <c r="V25" i="33"/>
  <c r="M26" i="31" s="1"/>
  <c r="N26" i="31" s="1"/>
  <c r="C39" i="16"/>
  <c r="N26" i="34"/>
  <c r="Q27" i="31"/>
  <c r="R27" i="31" s="1"/>
  <c r="M26" i="34"/>
  <c r="O26" i="34" s="1"/>
  <c r="J29" i="26"/>
  <c r="BI29" i="27"/>
  <c r="K29" i="35"/>
  <c r="G29" i="16"/>
  <c r="O28" i="31"/>
  <c r="P28" i="31" s="1"/>
  <c r="O27" i="31"/>
  <c r="P27" i="31" s="1"/>
  <c r="I28" i="31"/>
  <c r="J28" i="31" s="1"/>
  <c r="BJ30" i="27"/>
  <c r="L28" i="34"/>
  <c r="L29" i="34"/>
  <c r="M29" i="34" s="1"/>
  <c r="Q30" i="31"/>
  <c r="R30" i="31" s="1"/>
  <c r="J32" i="26"/>
  <c r="I30" i="31"/>
  <c r="J30" i="31" s="1"/>
  <c r="V28" i="33"/>
  <c r="M29" i="31"/>
  <c r="N29" i="31"/>
  <c r="K31" i="35"/>
  <c r="O30" i="31"/>
  <c r="BE32" i="27"/>
  <c r="BH32" i="27" s="1"/>
  <c r="V30" i="33"/>
  <c r="M31" i="31" s="1"/>
  <c r="N31" i="31" s="1"/>
  <c r="K32" i="35"/>
  <c r="P30" i="31"/>
  <c r="N39" i="27"/>
  <c r="S32" i="31"/>
  <c r="T32" i="31" s="1"/>
  <c r="J33" i="26"/>
  <c r="G33" i="16"/>
  <c r="Q32" i="31"/>
  <c r="R32" i="31"/>
  <c r="L30" i="34"/>
  <c r="Q31" i="31"/>
  <c r="R31" i="31" s="1"/>
  <c r="M30" i="34"/>
  <c r="O30" i="34" s="1"/>
  <c r="N30" i="34"/>
  <c r="X38" i="27"/>
  <c r="V31" i="33"/>
  <c r="M32" i="31"/>
  <c r="N32" i="31"/>
  <c r="M32" i="34"/>
  <c r="O32" i="34" s="1"/>
  <c r="N32" i="34"/>
  <c r="M33" i="34"/>
  <c r="O33" i="34" s="1"/>
  <c r="Q34" i="31"/>
  <c r="R34" i="31" s="1"/>
  <c r="Q35" i="31"/>
  <c r="R35" i="31" s="1"/>
  <c r="M34" i="34"/>
  <c r="O34" i="34" s="1"/>
  <c r="BE37" i="27"/>
  <c r="BH37" i="27" s="1"/>
  <c r="BK37" i="27"/>
  <c r="E35" i="31"/>
  <c r="F35" i="31" s="1"/>
  <c r="P34" i="31"/>
  <c r="G36" i="16"/>
  <c r="V33" i="33"/>
  <c r="M34" i="31"/>
  <c r="N34" i="31" s="1"/>
  <c r="K22" i="35"/>
  <c r="J30" i="26"/>
  <c r="J14" i="26"/>
  <c r="BJ7" i="27"/>
  <c r="G5" i="31"/>
  <c r="H5" i="31" s="1"/>
  <c r="I5" i="31"/>
  <c r="J5" i="31" s="1"/>
  <c r="J7" i="26"/>
  <c r="F18" i="16"/>
  <c r="C38" i="16"/>
  <c r="O12" i="31"/>
  <c r="P12" i="31" s="1"/>
  <c r="G14" i="16"/>
  <c r="F10" i="16"/>
  <c r="BE6" i="27"/>
  <c r="BH6" i="27" s="1"/>
  <c r="BH65535" i="27" s="1"/>
  <c r="G37" i="16"/>
  <c r="M24" i="34"/>
  <c r="N24" i="34"/>
  <c r="O6" i="31"/>
  <c r="P6" i="31" s="1"/>
  <c r="G8" i="16"/>
  <c r="I7" i="31"/>
  <c r="J7" i="31" s="1"/>
  <c r="I38" i="27"/>
  <c r="BE11" i="27"/>
  <c r="BH11" i="27" s="1"/>
  <c r="J11" i="27"/>
  <c r="Q8" i="31"/>
  <c r="R8" i="31"/>
  <c r="N7" i="34"/>
  <c r="M7" i="34"/>
  <c r="O7" i="34"/>
  <c r="G24" i="16"/>
  <c r="O22" i="31"/>
  <c r="P22" i="31" s="1"/>
  <c r="BJ25" i="27"/>
  <c r="I23" i="31"/>
  <c r="J23" i="31" s="1"/>
  <c r="G10" i="31"/>
  <c r="H10" i="31" s="1"/>
  <c r="C38" i="26"/>
  <c r="N16" i="34"/>
  <c r="O16" i="34" s="1"/>
  <c r="M16" i="34"/>
  <c r="Q17" i="31"/>
  <c r="R17" i="31" s="1"/>
  <c r="BF7" i="27"/>
  <c r="BE7" i="27"/>
  <c r="J12" i="27"/>
  <c r="BF12" i="27" s="1"/>
  <c r="BE12" i="27"/>
  <c r="BH12" i="27" s="1"/>
  <c r="E10" i="31" s="1"/>
  <c r="J25" i="26"/>
  <c r="S5" i="31"/>
  <c r="T5" i="31" s="1"/>
  <c r="BF13" i="27"/>
  <c r="BE13" i="27"/>
  <c r="BH13" i="27" s="1"/>
  <c r="D39" i="27"/>
  <c r="V15" i="33"/>
  <c r="M16" i="31" s="1"/>
  <c r="N16" i="31" s="1"/>
  <c r="N29" i="34"/>
  <c r="M28" i="34"/>
  <c r="Q29" i="31"/>
  <c r="R29" i="31" s="1"/>
  <c r="S26" i="31"/>
  <c r="T26" i="31" s="1"/>
  <c r="S10" i="31"/>
  <c r="T10" i="31" s="1"/>
  <c r="AW38" i="27"/>
  <c r="N28" i="34"/>
  <c r="M13" i="34"/>
  <c r="O13" i="34" s="1"/>
  <c r="J9" i="26"/>
  <c r="S31" i="31"/>
  <c r="T31" i="31" s="1"/>
  <c r="V18" i="33"/>
  <c r="M19" i="31" s="1"/>
  <c r="N19" i="31" s="1"/>
  <c r="V19" i="33"/>
  <c r="M20" i="31" s="1"/>
  <c r="N20" i="31" s="1"/>
  <c r="R13" i="31"/>
  <c r="O5" i="31"/>
  <c r="M4" i="34"/>
  <c r="O4" i="34"/>
  <c r="BJ27" i="27"/>
  <c r="I25" i="31"/>
  <c r="J25" i="31" s="1"/>
  <c r="G14" i="31"/>
  <c r="H14" i="31" s="1"/>
  <c r="BI16" i="27"/>
  <c r="J27" i="26"/>
  <c r="BJ13" i="27"/>
  <c r="I11" i="31"/>
  <c r="J11" i="31" s="1"/>
  <c r="BE19" i="27"/>
  <c r="BH19" i="27"/>
  <c r="X39" i="27"/>
  <c r="I18" i="31"/>
  <c r="J18" i="31" s="1"/>
  <c r="BJ20" i="27"/>
  <c r="BJ10" i="27"/>
  <c r="I8" i="31"/>
  <c r="J8" i="31" s="1"/>
  <c r="N12" i="34"/>
  <c r="G15" i="16"/>
  <c r="O13" i="31"/>
  <c r="P13" i="31"/>
  <c r="L17" i="34"/>
  <c r="L25" i="34"/>
  <c r="V21" i="33"/>
  <c r="M22" i="31" s="1"/>
  <c r="N22" i="31" s="1"/>
  <c r="V6" i="33"/>
  <c r="M7" i="31" s="1"/>
  <c r="D17" i="35"/>
  <c r="E17" i="35" s="1"/>
  <c r="G18" i="16"/>
  <c r="O16" i="31"/>
  <c r="P16" i="31"/>
  <c r="M25" i="34"/>
  <c r="O25" i="34"/>
  <c r="Q26" i="31"/>
  <c r="R26" i="31" s="1"/>
  <c r="N25" i="34"/>
  <c r="J12" i="26"/>
  <c r="P5" i="31"/>
  <c r="BK13" i="27"/>
  <c r="E11" i="31"/>
  <c r="F11" i="31" s="1"/>
  <c r="G10" i="16"/>
  <c r="O8" i="31"/>
  <c r="P8" i="31" s="1"/>
  <c r="O28" i="34"/>
  <c r="O24" i="34"/>
  <c r="N7" i="31"/>
  <c r="M10" i="36" l="1"/>
  <c r="M14" i="36"/>
  <c r="M5" i="36"/>
  <c r="M16" i="36"/>
  <c r="M15" i="36"/>
  <c r="M8" i="36"/>
  <c r="M7" i="36"/>
  <c r="M11" i="36"/>
  <c r="M12" i="36"/>
  <c r="M9" i="36"/>
  <c r="F18" i="36"/>
  <c r="M17" i="36"/>
  <c r="M13" i="36"/>
  <c r="M6" i="36"/>
  <c r="F10" i="31"/>
  <c r="K10" i="31"/>
  <c r="L10" i="31" s="1"/>
  <c r="U10" i="31" s="1"/>
  <c r="E7" i="31"/>
  <c r="BK32" i="27"/>
  <c r="E30" i="31"/>
  <c r="O10" i="34"/>
  <c r="BH7" i="27"/>
  <c r="BK12" i="27"/>
  <c r="AI15" i="27"/>
  <c r="BE15" i="27"/>
  <c r="BH15" i="27" s="1"/>
  <c r="AH39" i="27"/>
  <c r="AH38" i="27"/>
  <c r="O29" i="27"/>
  <c r="BF29" i="27" s="1"/>
  <c r="BE29" i="27"/>
  <c r="BH29" i="27" s="1"/>
  <c r="AI28" i="27"/>
  <c r="BF28" i="27" s="1"/>
  <c r="BE28" i="27"/>
  <c r="BH28" i="27" s="1"/>
  <c r="BF19" i="27"/>
  <c r="AX17" i="27"/>
  <c r="BF17" i="27" s="1"/>
  <c r="BE17" i="27"/>
  <c r="BH17" i="27" s="1"/>
  <c r="T16" i="27"/>
  <c r="BF16" i="27" s="1"/>
  <c r="S38" i="27"/>
  <c r="BE16" i="27"/>
  <c r="BH16" i="27" s="1"/>
  <c r="S39" i="27"/>
  <c r="M22" i="34"/>
  <c r="O22" i="34" s="1"/>
  <c r="Q23" i="31"/>
  <c r="R23" i="31" s="1"/>
  <c r="V9" i="33"/>
  <c r="M10" i="31" s="1"/>
  <c r="N10" i="31" s="1"/>
  <c r="V8" i="33"/>
  <c r="M9" i="31" s="1"/>
  <c r="N9" i="31" s="1"/>
  <c r="G34" i="16"/>
  <c r="O32" i="31"/>
  <c r="P32" i="31" s="1"/>
  <c r="O31" i="27"/>
  <c r="BF31" i="27" s="1"/>
  <c r="BE31" i="27"/>
  <c r="BH31" i="27" s="1"/>
  <c r="E39" i="16"/>
  <c r="E38" i="16"/>
  <c r="E17" i="31"/>
  <c r="G23" i="16"/>
  <c r="D24" i="25"/>
  <c r="S22" i="31"/>
  <c r="T22" i="31" s="1"/>
  <c r="E34" i="26"/>
  <c r="J34" i="26" s="1"/>
  <c r="G32" i="31"/>
  <c r="H32" i="31" s="1"/>
  <c r="E18" i="26"/>
  <c r="J18" i="26" s="1"/>
  <c r="G16" i="31"/>
  <c r="BI18" i="27"/>
  <c r="O35" i="27"/>
  <c r="BF35" i="27" s="1"/>
  <c r="BE35" i="27"/>
  <c r="BH35" i="27" s="1"/>
  <c r="AD34" i="27"/>
  <c r="BF34" i="27" s="1"/>
  <c r="BE34" i="27"/>
  <c r="BH34" i="27" s="1"/>
  <c r="AX33" i="27"/>
  <c r="BE33" i="27"/>
  <c r="BH33" i="27" s="1"/>
  <c r="BF33" i="27"/>
  <c r="BF24" i="27"/>
  <c r="N15" i="34"/>
  <c r="Q16" i="31"/>
  <c r="R16" i="31" s="1"/>
  <c r="M15" i="34"/>
  <c r="N17" i="34"/>
  <c r="Q18" i="31"/>
  <c r="R18" i="31" s="1"/>
  <c r="N10" i="34"/>
  <c r="Q11" i="31"/>
  <c r="R11" i="31" s="1"/>
  <c r="D30" i="25"/>
  <c r="S28" i="31"/>
  <c r="T28" i="31" s="1"/>
  <c r="I8" i="26"/>
  <c r="J8" i="26" s="1"/>
  <c r="G38" i="26"/>
  <c r="BJ8" i="27"/>
  <c r="I6" i="31"/>
  <c r="AN36" i="27"/>
  <c r="BF36" i="27" s="1"/>
  <c r="BE36" i="27"/>
  <c r="BH36" i="27" s="1"/>
  <c r="K15" i="35"/>
  <c r="K38" i="35" s="1"/>
  <c r="Y8" i="27"/>
  <c r="BF8" i="27" s="1"/>
  <c r="BE8" i="27"/>
  <c r="BH8" i="27" s="1"/>
  <c r="BF20" i="27"/>
  <c r="I31" i="26"/>
  <c r="J31" i="26" s="1"/>
  <c r="I29" i="31"/>
  <c r="BJ31" i="27"/>
  <c r="O23" i="27"/>
  <c r="BF23" i="27" s="1"/>
  <c r="N38" i="27"/>
  <c r="BE23" i="27"/>
  <c r="BH23" i="27" s="1"/>
  <c r="D38" i="35"/>
  <c r="AC38" i="27"/>
  <c r="J35" i="31"/>
  <c r="K35" i="31"/>
  <c r="L35" i="31" s="1"/>
  <c r="U35" i="31" s="1"/>
  <c r="J15" i="31"/>
  <c r="O29" i="31"/>
  <c r="P29" i="31" s="1"/>
  <c r="G31" i="16"/>
  <c r="K33" i="35"/>
  <c r="I24" i="26"/>
  <c r="J24" i="26" s="1"/>
  <c r="BJ24" i="27"/>
  <c r="I22" i="31"/>
  <c r="I21" i="26"/>
  <c r="I19" i="31"/>
  <c r="V27" i="33"/>
  <c r="M28" i="31" s="1"/>
  <c r="N28" i="31" s="1"/>
  <c r="V26" i="33"/>
  <c r="M27" i="31" s="1"/>
  <c r="N27" i="31" s="1"/>
  <c r="AD22" i="27"/>
  <c r="BF22" i="27" s="1"/>
  <c r="BE22" i="27"/>
  <c r="BH22" i="27" s="1"/>
  <c r="N8" i="34"/>
  <c r="Q9" i="31"/>
  <c r="R9" i="31" s="1"/>
  <c r="M8" i="34"/>
  <c r="O8" i="34" s="1"/>
  <c r="BK11" i="27"/>
  <c r="E9" i="31"/>
  <c r="F9" i="31" s="1"/>
  <c r="M12" i="34"/>
  <c r="O12" i="34" s="1"/>
  <c r="Q7" i="31"/>
  <c r="R7" i="31" s="1"/>
  <c r="R37" i="31" s="1"/>
  <c r="M6" i="34"/>
  <c r="O6" i="34" s="1"/>
  <c r="E16" i="31"/>
  <c r="F16" i="31" s="1"/>
  <c r="BK18" i="27"/>
  <c r="N23" i="34"/>
  <c r="M23" i="34"/>
  <c r="Q24" i="31"/>
  <c r="R24" i="31" s="1"/>
  <c r="H20" i="31"/>
  <c r="D14" i="25"/>
  <c r="C38" i="25"/>
  <c r="S12" i="31"/>
  <c r="I26" i="26"/>
  <c r="J26" i="26" s="1"/>
  <c r="I24" i="31"/>
  <c r="BJ26" i="27"/>
  <c r="E11" i="26"/>
  <c r="G9" i="31"/>
  <c r="BI11" i="27"/>
  <c r="BF30" i="27"/>
  <c r="E26" i="27"/>
  <c r="D38" i="27"/>
  <c r="BE26" i="27"/>
  <c r="BH26" i="27" s="1"/>
  <c r="T25" i="27"/>
  <c r="BF25" i="27" s="1"/>
  <c r="BE25" i="27"/>
  <c r="BH25" i="27" s="1"/>
  <c r="AN15" i="27"/>
  <c r="AM38" i="27"/>
  <c r="AM39" i="27"/>
  <c r="AD14" i="27"/>
  <c r="BF14" i="27" s="1"/>
  <c r="BE14" i="27"/>
  <c r="BH14" i="27" s="1"/>
  <c r="AS11" i="27"/>
  <c r="BF11" i="27" s="1"/>
  <c r="AR39" i="27"/>
  <c r="AR38" i="27"/>
  <c r="AX10" i="27"/>
  <c r="BF10" i="27" s="1"/>
  <c r="BE10" i="27"/>
  <c r="BH10" i="27" s="1"/>
  <c r="AX38" i="27"/>
  <c r="N31" i="34"/>
  <c r="M31" i="34"/>
  <c r="O31" i="34" s="1"/>
  <c r="N27" i="34"/>
  <c r="O27" i="34" s="1"/>
  <c r="Q28" i="31"/>
  <c r="R28" i="31" s="1"/>
  <c r="N19" i="34"/>
  <c r="Q20" i="31"/>
  <c r="R20" i="31" s="1"/>
  <c r="M19" i="34"/>
  <c r="N14" i="34"/>
  <c r="Q15" i="31"/>
  <c r="R15" i="31" s="1"/>
  <c r="M14" i="34"/>
  <c r="O14" i="34" s="1"/>
  <c r="AX21" i="27"/>
  <c r="BF21" i="27" s="1"/>
  <c r="BE21" i="27"/>
  <c r="BH21" i="27" s="1"/>
  <c r="AC39" i="27"/>
  <c r="M17" i="34"/>
  <c r="O17" i="34" s="1"/>
  <c r="O29" i="34"/>
  <c r="O10" i="31"/>
  <c r="P10" i="31" s="1"/>
  <c r="BC27" i="27"/>
  <c r="BF27" i="27" s="1"/>
  <c r="BE27" i="27"/>
  <c r="BH27" i="27" s="1"/>
  <c r="BB38" i="27"/>
  <c r="BF15" i="27"/>
  <c r="M18" i="34"/>
  <c r="O18" i="34" s="1"/>
  <c r="BE30" i="27"/>
  <c r="BH30" i="27" s="1"/>
  <c r="O7" i="31"/>
  <c r="J36" i="26"/>
  <c r="BC38" i="27"/>
  <c r="BF37" i="27"/>
  <c r="E20" i="26"/>
  <c r="J20" i="26" s="1"/>
  <c r="BI20" i="27"/>
  <c r="F22" i="16"/>
  <c r="F11" i="16"/>
  <c r="K12" i="35"/>
  <c r="N21" i="34"/>
  <c r="O21" i="34" s="1"/>
  <c r="BI23" i="27"/>
  <c r="S34" i="31"/>
  <c r="T34" i="31" s="1"/>
  <c r="S15" i="31"/>
  <c r="T15" i="31" s="1"/>
  <c r="G33" i="31"/>
  <c r="H33" i="31" s="1"/>
  <c r="BI28" i="27"/>
  <c r="BJ19" i="27"/>
  <c r="BK19" i="27" s="1"/>
  <c r="BJ12" i="27"/>
  <c r="BI10" i="27"/>
  <c r="BE24" i="27"/>
  <c r="BH24" i="27" s="1"/>
  <c r="BE20" i="27"/>
  <c r="BH20" i="27" s="1"/>
  <c r="E21" i="26"/>
  <c r="G19" i="31"/>
  <c r="H19" i="31" s="1"/>
  <c r="V5" i="33"/>
  <c r="M6" i="31" s="1"/>
  <c r="S33" i="31"/>
  <c r="T33" i="31" s="1"/>
  <c r="I26" i="31"/>
  <c r="S20" i="31"/>
  <c r="T20" i="31" s="1"/>
  <c r="BI35" i="27"/>
  <c r="I14" i="31"/>
  <c r="E22" i="26"/>
  <c r="J22" i="26" s="1"/>
  <c r="BI22" i="27"/>
  <c r="Q22" i="31"/>
  <c r="R22" i="31" s="1"/>
  <c r="I33" i="31"/>
  <c r="S24" i="31"/>
  <c r="T24" i="31" s="1"/>
  <c r="S13" i="31"/>
  <c r="T13" i="31" s="1"/>
  <c r="I32" i="31"/>
  <c r="BI27" i="27"/>
  <c r="BI9" i="27"/>
  <c r="BK9" i="27" s="1"/>
  <c r="G11" i="31"/>
  <c r="BJ17" i="27"/>
  <c r="K19" i="35"/>
  <c r="BI6" i="27"/>
  <c r="BK6" i="27" s="1"/>
  <c r="BK65535" i="27" s="1"/>
  <c r="F19" i="36" l="1"/>
  <c r="M18" i="36"/>
  <c r="BE38" i="27"/>
  <c r="J26" i="31"/>
  <c r="J33" i="31"/>
  <c r="Q37" i="31"/>
  <c r="N6" i="31"/>
  <c r="N37" i="31" s="1"/>
  <c r="M37" i="31"/>
  <c r="O9" i="31"/>
  <c r="P9" i="31" s="1"/>
  <c r="G11" i="16"/>
  <c r="F38" i="16"/>
  <c r="F39" i="16" s="1"/>
  <c r="BK30" i="27"/>
  <c r="E28" i="31"/>
  <c r="O19" i="34"/>
  <c r="E8" i="31"/>
  <c r="BK10" i="27"/>
  <c r="J22" i="31"/>
  <c r="J29" i="31"/>
  <c r="J6" i="31"/>
  <c r="I37" i="31"/>
  <c r="K6" i="31"/>
  <c r="L6" i="31" s="1"/>
  <c r="U6" i="31" s="1"/>
  <c r="H16" i="31"/>
  <c r="K16" i="31"/>
  <c r="L16" i="31" s="1"/>
  <c r="U16" i="31" s="1"/>
  <c r="BK17" i="27"/>
  <c r="E15" i="31"/>
  <c r="F30" i="31"/>
  <c r="K30" i="31"/>
  <c r="L30" i="31" s="1"/>
  <c r="U30" i="31" s="1"/>
  <c r="E27" i="31"/>
  <c r="BK29" i="27"/>
  <c r="P7" i="31"/>
  <c r="H11" i="31"/>
  <c r="K11" i="31"/>
  <c r="L11" i="31" s="1"/>
  <c r="U11" i="31" s="1"/>
  <c r="G22" i="16"/>
  <c r="O20" i="31"/>
  <c r="P20" i="31" s="1"/>
  <c r="H9" i="31"/>
  <c r="H37" i="31" s="1"/>
  <c r="K9" i="31"/>
  <c r="L9" i="31" s="1"/>
  <c r="U9" i="31" s="1"/>
  <c r="G37" i="31"/>
  <c r="E31" i="31"/>
  <c r="BK33" i="27"/>
  <c r="F17" i="31"/>
  <c r="K17" i="31"/>
  <c r="L17" i="31" s="1"/>
  <c r="U17" i="31" s="1"/>
  <c r="E33" i="31"/>
  <c r="F33" i="31" s="1"/>
  <c r="BK35" i="27"/>
  <c r="J19" i="31"/>
  <c r="J14" i="31"/>
  <c r="J21" i="26"/>
  <c r="E23" i="31"/>
  <c r="BK25" i="27"/>
  <c r="J11" i="26"/>
  <c r="E38" i="26"/>
  <c r="E20" i="31"/>
  <c r="BK22" i="27"/>
  <c r="F7" i="31"/>
  <c r="K7" i="31"/>
  <c r="L7" i="31" s="1"/>
  <c r="U7" i="31" s="1"/>
  <c r="BK16" i="27"/>
  <c r="E14" i="31"/>
  <c r="F14" i="31" s="1"/>
  <c r="T12" i="31"/>
  <c r="T37" i="31" s="1"/>
  <c r="S37" i="31"/>
  <c r="BK36" i="27"/>
  <c r="E34" i="31"/>
  <c r="E5" i="31"/>
  <c r="BK7" i="27"/>
  <c r="J32" i="31"/>
  <c r="E18" i="31"/>
  <c r="BK20" i="27"/>
  <c r="E19" i="31"/>
  <c r="F19" i="31" s="1"/>
  <c r="BK21" i="27"/>
  <c r="E6" i="31"/>
  <c r="F6" i="31" s="1"/>
  <c r="BK8" i="27"/>
  <c r="O15" i="34"/>
  <c r="E32" i="31"/>
  <c r="F32" i="31" s="1"/>
  <c r="BK34" i="27"/>
  <c r="BK15" i="27"/>
  <c r="E13" i="31"/>
  <c r="E12" i="31"/>
  <c r="BK14" i="27"/>
  <c r="BF26" i="27"/>
  <c r="BF38" i="27" s="1"/>
  <c r="E38" i="27"/>
  <c r="E22" i="31"/>
  <c r="F22" i="31" s="1"/>
  <c r="BK24" i="27"/>
  <c r="E25" i="31"/>
  <c r="BK27" i="27"/>
  <c r="E24" i="31"/>
  <c r="F24" i="31" s="1"/>
  <c r="BK26" i="27"/>
  <c r="J24" i="31"/>
  <c r="O23" i="34"/>
  <c r="BK23" i="27"/>
  <c r="E21" i="31"/>
  <c r="BK31" i="27"/>
  <c r="E29" i="31"/>
  <c r="F29" i="31" s="1"/>
  <c r="BK28" i="27"/>
  <c r="E26" i="31"/>
  <c r="F26" i="31" s="1"/>
  <c r="F20" i="36" l="1"/>
  <c r="M19" i="36"/>
  <c r="F25" i="31"/>
  <c r="K25" i="31"/>
  <c r="L25" i="31" s="1"/>
  <c r="U25" i="31" s="1"/>
  <c r="F8" i="31"/>
  <c r="K8" i="31"/>
  <c r="L8" i="31" s="1"/>
  <c r="U8" i="31" s="1"/>
  <c r="K32" i="31"/>
  <c r="L32" i="31" s="1"/>
  <c r="U32" i="31" s="1"/>
  <c r="J37" i="31"/>
  <c r="F28" i="31"/>
  <c r="K28" i="31"/>
  <c r="L28" i="31" s="1"/>
  <c r="U28" i="31" s="1"/>
  <c r="K33" i="31"/>
  <c r="L33" i="31" s="1"/>
  <c r="U33" i="31" s="1"/>
  <c r="F27" i="31"/>
  <c r="K27" i="31"/>
  <c r="L27" i="31" s="1"/>
  <c r="U27" i="31" s="1"/>
  <c r="K24" i="31"/>
  <c r="L24" i="31" s="1"/>
  <c r="U24" i="31" s="1"/>
  <c r="F23" i="31"/>
  <c r="K23" i="31"/>
  <c r="L23" i="31" s="1"/>
  <c r="U23" i="31" s="1"/>
  <c r="K29" i="31"/>
  <c r="L29" i="31" s="1"/>
  <c r="U29" i="31" s="1"/>
  <c r="F21" i="31"/>
  <c r="K21" i="31"/>
  <c r="L21" i="31" s="1"/>
  <c r="U21" i="31" s="1"/>
  <c r="F15" i="31"/>
  <c r="K15" i="31"/>
  <c r="L15" i="31" s="1"/>
  <c r="U15" i="31" s="1"/>
  <c r="K26" i="31"/>
  <c r="L26" i="31" s="1"/>
  <c r="U26" i="31" s="1"/>
  <c r="F5" i="31"/>
  <c r="E37" i="31"/>
  <c r="K5" i="31"/>
  <c r="K14" i="31"/>
  <c r="L14" i="31" s="1"/>
  <c r="U14" i="31" s="1"/>
  <c r="K22" i="31"/>
  <c r="L22" i="31" s="1"/>
  <c r="U22" i="31" s="1"/>
  <c r="G38" i="16"/>
  <c r="G39" i="16" s="1"/>
  <c r="G40" i="16" s="1"/>
  <c r="F12" i="31"/>
  <c r="K12" i="31"/>
  <c r="L12" i="31" s="1"/>
  <c r="U12" i="31" s="1"/>
  <c r="F34" i="31"/>
  <c r="K34" i="31"/>
  <c r="L34" i="31" s="1"/>
  <c r="U34" i="31" s="1"/>
  <c r="F31" i="31"/>
  <c r="K31" i="31"/>
  <c r="L31" i="31" s="1"/>
  <c r="U31" i="31" s="1"/>
  <c r="O37" i="31"/>
  <c r="F18" i="31"/>
  <c r="K18" i="31"/>
  <c r="L18" i="31" s="1"/>
  <c r="U18" i="31" s="1"/>
  <c r="F13" i="31"/>
  <c r="K13" i="31"/>
  <c r="L13" i="31" s="1"/>
  <c r="U13" i="31" s="1"/>
  <c r="F20" i="31"/>
  <c r="K20" i="31"/>
  <c r="L20" i="31" s="1"/>
  <c r="U20" i="31" s="1"/>
  <c r="K19" i="31"/>
  <c r="L19" i="31" s="1"/>
  <c r="U19" i="31" s="1"/>
  <c r="P37" i="31"/>
  <c r="F21" i="36" l="1"/>
  <c r="M20" i="36"/>
  <c r="L5" i="31"/>
  <c r="K37" i="31"/>
  <c r="F37" i="31"/>
  <c r="F22" i="36" l="1"/>
  <c r="M21" i="36"/>
  <c r="U5" i="31"/>
  <c r="U37" i="31" s="1"/>
  <c r="L37" i="31"/>
  <c r="F23" i="36" l="1"/>
  <c r="M22" i="36"/>
  <c r="F24" i="36" l="1"/>
  <c r="M23" i="36"/>
  <c r="F25" i="36" l="1"/>
  <c r="M24" i="36"/>
  <c r="F26" i="36" l="1"/>
  <c r="M25" i="36"/>
  <c r="F27" i="36" l="1"/>
  <c r="M26" i="36"/>
  <c r="F28" i="36" l="1"/>
  <c r="M27" i="36"/>
  <c r="F29" i="36" l="1"/>
  <c r="M28" i="36"/>
  <c r="M29" i="36" l="1"/>
  <c r="F30" i="36"/>
  <c r="F31" i="36" l="1"/>
  <c r="M30" i="36"/>
  <c r="M31" i="36" l="1"/>
</calcChain>
</file>

<file path=xl/sharedStrings.xml><?xml version="1.0" encoding="utf-8"?>
<sst xmlns="http://schemas.openxmlformats.org/spreadsheetml/2006/main" count="363" uniqueCount="248">
  <si>
    <t>合计</t>
    <phoneticPr fontId="2" type="noConversion"/>
  </si>
  <si>
    <t>日期</t>
    <phoneticPr fontId="2" type="noConversion"/>
  </si>
  <si>
    <t>费用(元)</t>
  </si>
  <si>
    <t>B1锅炉房</t>
  </si>
  <si>
    <t>P1F宴会厨房</t>
  </si>
  <si>
    <t>P2F员工厨房</t>
  </si>
  <si>
    <t>P4F宴会厨房</t>
  </si>
  <si>
    <t>68F员工厨房</t>
  </si>
  <si>
    <t>70F大堂吧厨房</t>
  </si>
  <si>
    <t>71F中餐厨房</t>
  </si>
  <si>
    <t>72F意珍厨房</t>
  </si>
  <si>
    <t>102F锅炉房</t>
  </si>
  <si>
    <t>P3F宴会厨房</t>
  </si>
  <si>
    <t>100F百鲜汇厨房</t>
  </si>
  <si>
    <t>68F高压F13</t>
  </si>
  <si>
    <t>68F高压F30</t>
  </si>
  <si>
    <t>B4酒店总表</t>
  </si>
  <si>
    <t>用电量(Kwh)</t>
  </si>
  <si>
    <t>总用电量(Kwh)</t>
  </si>
  <si>
    <t>仪表读数</t>
  </si>
  <si>
    <t xml:space="preserve">  99F行政厨房   </t>
  </si>
  <si>
    <t>P3宴会烧烤间</t>
  </si>
  <si>
    <t>小合计</t>
  </si>
  <si>
    <t>电子表读数</t>
  </si>
  <si>
    <t>机械表读数</t>
  </si>
  <si>
    <r>
      <t>广州四季酒店用电统计表</t>
    </r>
    <r>
      <rPr>
        <b/>
        <sz val="16"/>
        <rFont val="Times New Roman"/>
        <family val="1"/>
      </rPr>
      <t/>
    </r>
    <phoneticPr fontId="2" type="noConversion"/>
  </si>
  <si>
    <t>单价</t>
  </si>
  <si>
    <t>每日费用</t>
    <phoneticPr fontId="7" type="noConversion"/>
  </si>
  <si>
    <t>合计</t>
    <phoneticPr fontId="7" type="noConversion"/>
  </si>
  <si>
    <t>单价</t>
    <phoneticPr fontId="7" type="noConversion"/>
  </si>
  <si>
    <t>每日金额</t>
    <phoneticPr fontId="7" type="noConversion"/>
  </si>
  <si>
    <t>充值记录</t>
    <phoneticPr fontId="7" type="noConversion"/>
  </si>
  <si>
    <t>总费用(元)</t>
    <phoneticPr fontId="7" type="noConversion"/>
  </si>
  <si>
    <t xml:space="preserve"> </t>
  </si>
  <si>
    <r>
      <t>广州四季酒店用水统计表</t>
    </r>
    <r>
      <rPr>
        <b/>
        <sz val="16"/>
        <rFont val="Times New Roman"/>
        <family val="1"/>
      </rPr>
      <t/>
    </r>
    <phoneticPr fontId="2" type="noConversion"/>
  </si>
  <si>
    <r>
      <t>广州四季酒店燃气统计表</t>
    </r>
    <r>
      <rPr>
        <b/>
        <sz val="16"/>
        <rFont val="Times New Roman"/>
        <family val="1"/>
      </rPr>
      <t/>
    </r>
    <phoneticPr fontId="2" type="noConversion"/>
  </si>
  <si>
    <t>PAYMENT REQUEST</t>
  </si>
  <si>
    <t xml:space="preserve">        付款申请书</t>
    <phoneticPr fontId="11" type="noConversion"/>
  </si>
  <si>
    <t>No</t>
    <phoneticPr fontId="11" type="noConversion"/>
  </si>
  <si>
    <t>号码</t>
    <phoneticPr fontId="11" type="noConversion"/>
  </si>
  <si>
    <t>Pay To:</t>
  </si>
  <si>
    <t>Payment Method</t>
  </si>
  <si>
    <t>Date</t>
  </si>
  <si>
    <t>付给</t>
    <phoneticPr fontId="11" type="noConversion"/>
  </si>
  <si>
    <r>
      <t xml:space="preserve">Bank transfer </t>
    </r>
    <r>
      <rPr>
        <sz val="10"/>
        <rFont val="宋体"/>
        <charset val="134"/>
      </rPr>
      <t>银行转帐</t>
    </r>
    <phoneticPr fontId="11" type="noConversion"/>
  </si>
  <si>
    <r>
      <rPr>
        <b/>
        <sz val="10"/>
        <rFont val="Calibri"/>
        <family val="2"/>
      </rPr>
      <t xml:space="preserve">  </t>
    </r>
    <r>
      <rPr>
        <b/>
        <sz val="10"/>
        <rFont val="SimSun"/>
        <charset val="134"/>
      </rPr>
      <t>√</t>
    </r>
    <phoneticPr fontId="11" type="noConversion"/>
  </si>
  <si>
    <t>日期</t>
    <phoneticPr fontId="11" type="noConversion"/>
  </si>
  <si>
    <r>
      <t xml:space="preserve">Cheque </t>
    </r>
    <r>
      <rPr>
        <sz val="10"/>
        <rFont val="宋体"/>
        <charset val="134"/>
      </rPr>
      <t>支票</t>
    </r>
    <phoneticPr fontId="11" type="noConversion"/>
  </si>
  <si>
    <t>Amount</t>
  </si>
  <si>
    <r>
      <t>Cash</t>
    </r>
    <r>
      <rPr>
        <sz val="10"/>
        <rFont val="宋体"/>
        <charset val="134"/>
      </rPr>
      <t>现金</t>
    </r>
    <phoneticPr fontId="11" type="noConversion"/>
  </si>
  <si>
    <t>金额</t>
    <phoneticPr fontId="11" type="noConversion"/>
  </si>
  <si>
    <t>PAYMENT DETAIL</t>
    <phoneticPr fontId="11" type="noConversion"/>
  </si>
  <si>
    <r>
      <t>AMOUNT</t>
    </r>
    <r>
      <rPr>
        <sz val="10"/>
        <rFont val="宋体"/>
        <charset val="134"/>
      </rPr>
      <t>金额</t>
    </r>
    <phoneticPr fontId="11" type="noConversion"/>
  </si>
  <si>
    <r>
      <t>Date</t>
    </r>
    <r>
      <rPr>
        <sz val="10"/>
        <rFont val="宋体"/>
        <charset val="134"/>
      </rPr>
      <t>日期</t>
    </r>
    <phoneticPr fontId="11" type="noConversion"/>
  </si>
  <si>
    <r>
      <t>Invoice #</t>
    </r>
    <r>
      <rPr>
        <sz val="10"/>
        <rFont val="宋体"/>
        <charset val="134"/>
      </rPr>
      <t>发票号</t>
    </r>
  </si>
  <si>
    <r>
      <t xml:space="preserve">Description </t>
    </r>
    <r>
      <rPr>
        <sz val="10"/>
        <rFont val="宋体"/>
        <charset val="134"/>
      </rPr>
      <t>内容</t>
    </r>
  </si>
  <si>
    <r>
      <t xml:space="preserve"> GL Code </t>
    </r>
    <r>
      <rPr>
        <sz val="10"/>
        <rFont val="宋体"/>
        <charset val="134"/>
      </rPr>
      <t>科目</t>
    </r>
    <phoneticPr fontId="11" type="noConversion"/>
  </si>
  <si>
    <r>
      <t>Foreign $</t>
    </r>
    <r>
      <rPr>
        <sz val="10"/>
        <rFont val="宋体"/>
        <charset val="134"/>
      </rPr>
      <t>外币</t>
    </r>
    <phoneticPr fontId="11" type="noConversion"/>
  </si>
  <si>
    <t>Ex. Rate</t>
    <phoneticPr fontId="11" type="noConversion"/>
  </si>
  <si>
    <r>
      <t>CNY</t>
    </r>
    <r>
      <rPr>
        <sz val="10"/>
        <rFont val="宋体"/>
        <charset val="134"/>
      </rPr>
      <t>人民币</t>
    </r>
    <phoneticPr fontId="11" type="noConversion"/>
  </si>
  <si>
    <r>
      <t>Grand Total</t>
    </r>
    <r>
      <rPr>
        <sz val="10"/>
        <rFont val="宋体"/>
        <charset val="134"/>
      </rPr>
      <t>合计</t>
    </r>
    <phoneticPr fontId="11" type="noConversion"/>
  </si>
  <si>
    <t>AUTHORISATION</t>
  </si>
  <si>
    <r>
      <t xml:space="preserve">Prepared By: </t>
    </r>
    <r>
      <rPr>
        <sz val="10"/>
        <rFont val="宋体"/>
        <charset val="134"/>
      </rPr>
      <t>部门审批</t>
    </r>
    <phoneticPr fontId="11" type="noConversion"/>
  </si>
  <si>
    <r>
      <t>Checked By:</t>
    </r>
    <r>
      <rPr>
        <sz val="10"/>
        <rFont val="宋体"/>
        <charset val="134"/>
      </rPr>
      <t>财务部审查</t>
    </r>
    <phoneticPr fontId="11" type="noConversion"/>
  </si>
  <si>
    <r>
      <t>Reviewed By:</t>
    </r>
    <r>
      <rPr>
        <sz val="10"/>
        <rFont val="宋体"/>
        <charset val="134"/>
      </rPr>
      <t>财务总监审核</t>
    </r>
    <phoneticPr fontId="11" type="noConversion"/>
  </si>
  <si>
    <r>
      <t>Approved By:</t>
    </r>
    <r>
      <rPr>
        <sz val="10"/>
        <rFont val="宋体"/>
        <charset val="134"/>
      </rPr>
      <t>总经理批准</t>
    </r>
    <phoneticPr fontId="11" type="noConversion"/>
  </si>
  <si>
    <t>Department</t>
  </si>
  <si>
    <t>Accounts Officer</t>
  </si>
  <si>
    <t>Director of Finance</t>
  </si>
  <si>
    <t>General Manager</t>
  </si>
  <si>
    <t>裙楼后勤办公室用电</t>
    <phoneticPr fontId="11" type="noConversion"/>
  </si>
  <si>
    <t>总费用</t>
    <phoneticPr fontId="7" type="noConversion"/>
  </si>
  <si>
    <t>The following features in this workbook are not supported by earlier versions of Excel. These features may be lost or degraded when you save this workbook in an earlier file format.</t>
  </si>
  <si>
    <t>Minor loss of fidelity</t>
  </si>
  <si>
    <t># of occurrences</t>
  </si>
  <si>
    <t>Some formulas in this workbook are linked to other workbooks that are closed. When these formulas are recalculated in earlier versions of Excel without opening the linked workbooks, characters beyond the 255-character limit cannot be returned.</t>
  </si>
  <si>
    <t>'煤气充值'!B6:C6</t>
  </si>
  <si>
    <t>'煤气充值'!G6:H6</t>
  </si>
  <si>
    <t>'煤气充值'!L6:M6</t>
  </si>
  <si>
    <t>'煤气充值'!Q6:R6</t>
  </si>
  <si>
    <t>'煤气充值'!AA6:AB6</t>
  </si>
  <si>
    <t>'煤气充值'!AF6:AG6</t>
  </si>
  <si>
    <t>'煤气充值'!AK6:AL6</t>
  </si>
  <si>
    <t>'煤气充值'!AP6:AQ6</t>
  </si>
  <si>
    <t>'煤气充值'!AU6:AV6</t>
  </si>
  <si>
    <t>'煤气充值'!AZ6:BA6</t>
  </si>
  <si>
    <t>Some cells or styles in this workbook contain formatting that is not supported by the selected file format. These formats will be converted to the closest format available.</t>
  </si>
  <si>
    <t xml:space="preserve">x                                                                                                                   </t>
  </si>
  <si>
    <t xml:space="preserve">                                            </t>
  </si>
  <si>
    <t>Total RMB</t>
  </si>
  <si>
    <t>Aver.</t>
  </si>
  <si>
    <t>Total</t>
  </si>
  <si>
    <t>30A03-2</t>
  </si>
  <si>
    <t>30A03-3</t>
  </si>
  <si>
    <t>30A03-7</t>
  </si>
  <si>
    <t>30A05-2</t>
  </si>
  <si>
    <t>30A05-3</t>
  </si>
  <si>
    <t>30A05-4</t>
  </si>
  <si>
    <t>31A10-2</t>
  </si>
  <si>
    <t>31A11-2</t>
  </si>
  <si>
    <t>31A11-3</t>
  </si>
  <si>
    <t>31A12-2</t>
  </si>
  <si>
    <t>31A12-3</t>
  </si>
  <si>
    <t>31A12-4</t>
  </si>
  <si>
    <t>30A03-1</t>
    <phoneticPr fontId="20" type="noConversion"/>
  </si>
  <si>
    <t>30A03-6</t>
    <phoneticPr fontId="20" type="noConversion"/>
  </si>
  <si>
    <t>30A05-1</t>
    <phoneticPr fontId="20" type="noConversion"/>
  </si>
  <si>
    <t>31A08-1</t>
    <phoneticPr fontId="20" type="noConversion"/>
  </si>
  <si>
    <t>31A10-1</t>
    <phoneticPr fontId="20" type="noConversion"/>
  </si>
  <si>
    <t>31A11-1</t>
    <phoneticPr fontId="20" type="noConversion"/>
  </si>
  <si>
    <t>31A12-1</t>
    <phoneticPr fontId="20" type="noConversion"/>
  </si>
  <si>
    <t>Total RMB</t>
    <phoneticPr fontId="2" type="noConversion"/>
  </si>
  <si>
    <t>Total 
(Mw/h0</t>
    <phoneticPr fontId="2" type="noConversion"/>
  </si>
  <si>
    <t>裙楼空调总计</t>
    <phoneticPr fontId="21" type="noConversion"/>
  </si>
  <si>
    <t>裙楼空调用量</t>
    <phoneticPr fontId="21" type="noConversion"/>
  </si>
  <si>
    <t>裙楼冷库用量</t>
    <phoneticPr fontId="21" type="noConversion"/>
  </si>
  <si>
    <t xml:space="preserve"> 月份</t>
    <phoneticPr fontId="11" type="noConversion"/>
  </si>
  <si>
    <t>Run on 01/01/2018 0:50</t>
    <phoneticPr fontId="19" type="noConversion"/>
  </si>
  <si>
    <t>Compatibility Report for 2018.xls</t>
    <phoneticPr fontId="19" type="noConversion"/>
  </si>
  <si>
    <t>不含税金额</t>
    <phoneticPr fontId="2" type="noConversion"/>
  </si>
  <si>
    <t>日期</t>
    <phoneticPr fontId="2" type="noConversion"/>
  </si>
  <si>
    <r>
      <t xml:space="preserve"> 用水量(m</t>
    </r>
    <r>
      <rPr>
        <vertAlign val="superscript"/>
        <sz val="11"/>
        <rFont val="仿宋"/>
        <family val="3"/>
        <charset val="134"/>
      </rPr>
      <t>3</t>
    </r>
    <r>
      <rPr>
        <sz val="11"/>
        <rFont val="仿宋"/>
        <family val="3"/>
        <charset val="134"/>
      </rPr>
      <t>)</t>
    </r>
  </si>
  <si>
    <r>
      <t>广州四季酒店燃气统计表</t>
    </r>
    <r>
      <rPr>
        <b/>
        <sz val="16"/>
        <rFont val="Times New Roman"/>
        <family val="1"/>
      </rPr>
      <t/>
    </r>
    <phoneticPr fontId="2" type="noConversion"/>
  </si>
  <si>
    <t>单价</t>
    <phoneticPr fontId="7" type="noConversion"/>
  </si>
  <si>
    <t>从2018年6月1号起</t>
    <phoneticPr fontId="7" type="noConversion"/>
  </si>
  <si>
    <t>合计</t>
    <phoneticPr fontId="7" type="noConversion"/>
  </si>
  <si>
    <r>
      <t xml:space="preserve"> 用气量(m</t>
    </r>
    <r>
      <rPr>
        <vertAlign val="superscript"/>
        <sz val="11"/>
        <rFont val="仿宋"/>
        <family val="3"/>
        <charset val="134"/>
      </rPr>
      <t>3</t>
    </r>
    <r>
      <rPr>
        <sz val="11"/>
        <rFont val="仿宋"/>
        <family val="3"/>
        <charset val="134"/>
      </rPr>
      <t>)</t>
    </r>
  </si>
  <si>
    <r>
      <t>用气量(m</t>
    </r>
    <r>
      <rPr>
        <vertAlign val="superscript"/>
        <sz val="11"/>
        <rFont val="仿宋"/>
        <family val="3"/>
        <charset val="134"/>
      </rPr>
      <t>3</t>
    </r>
    <r>
      <rPr>
        <sz val="11"/>
        <rFont val="仿宋"/>
        <family val="3"/>
        <charset val="134"/>
      </rPr>
      <t>)</t>
    </r>
  </si>
  <si>
    <t>日期</t>
    <phoneticPr fontId="21" type="noConversion"/>
  </si>
  <si>
    <t>用量(Mw/h)</t>
    <phoneticPr fontId="21" type="noConversion"/>
  </si>
  <si>
    <t>总用量(Mw/h)</t>
    <phoneticPr fontId="21" type="noConversion"/>
  </si>
  <si>
    <t>空调水费用（RMB）单价：37</t>
    <phoneticPr fontId="21" type="noConversion"/>
  </si>
  <si>
    <t>空调电费用（RMB）单价：380</t>
    <phoneticPr fontId="21" type="noConversion"/>
  </si>
  <si>
    <t>空调总费用（RMB）单价：380</t>
    <phoneticPr fontId="21" type="noConversion"/>
  </si>
  <si>
    <t>日期</t>
    <phoneticPr fontId="20" type="noConversion"/>
  </si>
  <si>
    <t>总计</t>
    <phoneticPr fontId="2" type="noConversion"/>
  </si>
  <si>
    <r>
      <t>酒店厨房总用气量(m</t>
    </r>
    <r>
      <rPr>
        <vertAlign val="superscript"/>
        <sz val="10"/>
        <rFont val="仿宋"/>
        <family val="3"/>
        <charset val="134"/>
      </rPr>
      <t>3</t>
    </r>
    <r>
      <rPr>
        <sz val="10"/>
        <rFont val="仿宋"/>
        <family val="3"/>
        <charset val="134"/>
      </rPr>
      <t>)</t>
    </r>
  </si>
  <si>
    <r>
      <t>B1F锅炉房 (m</t>
    </r>
    <r>
      <rPr>
        <vertAlign val="superscript"/>
        <sz val="10"/>
        <rFont val="仿宋"/>
        <family val="3"/>
        <charset val="134"/>
      </rPr>
      <t>3</t>
    </r>
    <r>
      <rPr>
        <sz val="10"/>
        <rFont val="仿宋"/>
        <family val="3"/>
        <charset val="134"/>
      </rPr>
      <t>)</t>
    </r>
  </si>
  <si>
    <r>
      <t>102F锅炉房 (m</t>
    </r>
    <r>
      <rPr>
        <vertAlign val="superscript"/>
        <sz val="10"/>
        <rFont val="仿宋"/>
        <family val="3"/>
        <charset val="134"/>
      </rPr>
      <t>3</t>
    </r>
    <r>
      <rPr>
        <sz val="10"/>
        <rFont val="仿宋"/>
        <family val="3"/>
        <charset val="134"/>
      </rPr>
      <t>)</t>
    </r>
  </si>
  <si>
    <r>
      <t>酒店煤气总用气量(m</t>
    </r>
    <r>
      <rPr>
        <vertAlign val="superscript"/>
        <sz val="10"/>
        <rFont val="仿宋"/>
        <family val="3"/>
        <charset val="134"/>
      </rPr>
      <t>3</t>
    </r>
    <r>
      <rPr>
        <sz val="10"/>
        <rFont val="仿宋"/>
        <family val="3"/>
        <charset val="134"/>
      </rPr>
      <t>)</t>
    </r>
  </si>
  <si>
    <r>
      <t>总用气量(m</t>
    </r>
    <r>
      <rPr>
        <vertAlign val="superscript"/>
        <sz val="11"/>
        <rFont val="仿宋"/>
        <family val="3"/>
        <charset val="134"/>
      </rPr>
      <t>3</t>
    </r>
    <r>
      <rPr>
        <sz val="11"/>
        <rFont val="仿宋"/>
        <family val="3"/>
        <charset val="134"/>
      </rPr>
      <t>)</t>
    </r>
  </si>
  <si>
    <t>一级     冷冻泵4#</t>
    <phoneticPr fontId="20" type="noConversion"/>
  </si>
  <si>
    <t>一级      冷冻泵5#</t>
    <phoneticPr fontId="2" type="noConversion"/>
  </si>
  <si>
    <t>冷却      补水泵1#</t>
    <phoneticPr fontId="20" type="noConversion"/>
  </si>
  <si>
    <t>冷却      补水泵2#</t>
    <phoneticPr fontId="2" type="noConversion"/>
  </si>
  <si>
    <t>二级       冷冻泵2#</t>
    <phoneticPr fontId="20" type="noConversion"/>
  </si>
  <si>
    <t>二级       冷冻泵3#</t>
    <phoneticPr fontId="2" type="noConversion"/>
  </si>
  <si>
    <t>冷却      水泵4#</t>
    <phoneticPr fontId="20" type="noConversion"/>
  </si>
  <si>
    <t>冷却       水泵5#</t>
    <phoneticPr fontId="2" type="noConversion"/>
  </si>
  <si>
    <t>3#        空调主机</t>
    <phoneticPr fontId="20" type="noConversion"/>
  </si>
  <si>
    <t>1#        空调主机</t>
    <phoneticPr fontId="20" type="noConversion"/>
  </si>
  <si>
    <t>2#         空调主机</t>
    <phoneticPr fontId="2" type="noConversion"/>
  </si>
  <si>
    <t>一级       冷冻泵1#</t>
    <phoneticPr fontId="20" type="noConversion"/>
  </si>
  <si>
    <t>一级       冷冻泵2#</t>
    <phoneticPr fontId="2" type="noConversion"/>
  </si>
  <si>
    <t>一级      冷冻泵3#</t>
    <phoneticPr fontId="2" type="noConversion"/>
  </si>
  <si>
    <t>二级       冷冻泵1#</t>
    <phoneticPr fontId="20" type="noConversion"/>
  </si>
  <si>
    <t>冷却       水泵1#</t>
    <phoneticPr fontId="20" type="noConversion"/>
  </si>
  <si>
    <t>冷却       水泵2#</t>
    <phoneticPr fontId="2" type="noConversion"/>
  </si>
  <si>
    <t>冷却        水泵3#</t>
    <phoneticPr fontId="2" type="noConversion"/>
  </si>
  <si>
    <t>DATE                      日期</t>
  </si>
  <si>
    <t>Out door Temp℃                                 户外          温度</t>
  </si>
  <si>
    <t>Event Cover                                        宴会         人数</t>
  </si>
  <si>
    <t>RoomOcc.%            客房率</t>
  </si>
  <si>
    <t>Daily Total Utility Expense(RMB)                            每日能耗总费用</t>
  </si>
  <si>
    <r>
      <t>Total Water   (m</t>
    </r>
    <r>
      <rPr>
        <b/>
        <vertAlign val="superscript"/>
        <sz val="7"/>
        <rFont val="仿宋"/>
        <family val="3"/>
        <charset val="134"/>
      </rPr>
      <t>3</t>
    </r>
    <r>
      <rPr>
        <b/>
        <sz val="7"/>
        <rFont val="仿宋"/>
        <family val="3"/>
        <charset val="134"/>
      </rPr>
      <t>)</t>
    </r>
    <phoneticPr fontId="2" type="noConversion"/>
  </si>
  <si>
    <t>Total electric  (KWH)</t>
    <phoneticPr fontId="2" type="noConversion"/>
  </si>
  <si>
    <t>Total electric (KWH)</t>
    <phoneticPr fontId="2" type="noConversion"/>
  </si>
  <si>
    <t>Totalgas(m³)</t>
    <phoneticPr fontId="2" type="noConversion"/>
  </si>
  <si>
    <t>Totalgas (m³)</t>
    <phoneticPr fontId="2" type="noConversion"/>
  </si>
  <si>
    <t>Totalgas   (m³)</t>
    <phoneticPr fontId="2" type="noConversion"/>
  </si>
  <si>
    <t>Water Consumption         水用量</t>
    <phoneticPr fontId="2" type="noConversion"/>
  </si>
  <si>
    <t>单计</t>
    <phoneticPr fontId="2" type="noConversion"/>
  </si>
  <si>
    <t>用电量</t>
  </si>
  <si>
    <t>每日金额</t>
  </si>
  <si>
    <r>
      <t xml:space="preserve">用电仪表读数      </t>
    </r>
    <r>
      <rPr>
        <sz val="8"/>
        <rFont val="仿宋"/>
        <family val="3"/>
        <charset val="134"/>
      </rPr>
      <t>（动力）</t>
    </r>
    <phoneticPr fontId="2" type="noConversion"/>
  </si>
  <si>
    <r>
      <t xml:space="preserve">用电仪表读数      </t>
    </r>
    <r>
      <rPr>
        <sz val="8"/>
        <rFont val="仿宋"/>
        <family val="3"/>
        <charset val="134"/>
      </rPr>
      <t>（冷库）</t>
    </r>
    <phoneticPr fontId="2" type="noConversion"/>
  </si>
  <si>
    <r>
      <t xml:space="preserve">照明              </t>
    </r>
    <r>
      <rPr>
        <sz val="8"/>
        <rFont val="仿宋"/>
        <family val="3"/>
        <charset val="134"/>
      </rPr>
      <t>(无电表，每天记120kw/h)</t>
    </r>
    <phoneticPr fontId="2" type="noConversion"/>
  </si>
  <si>
    <t>然气机械表读数</t>
    <phoneticPr fontId="2" type="noConversion"/>
  </si>
  <si>
    <t>然气电子表读数</t>
    <phoneticPr fontId="2" type="noConversion"/>
  </si>
  <si>
    <t>读 数</t>
    <phoneticPr fontId="21" type="noConversion"/>
  </si>
  <si>
    <t>4#      空调主机</t>
    <phoneticPr fontId="20" type="noConversion"/>
  </si>
  <si>
    <t>阶梯区间
（万立方米/年）</t>
    <phoneticPr fontId="2" type="noConversion"/>
  </si>
  <si>
    <t>&lt;=1</t>
    <phoneticPr fontId="2" type="noConversion"/>
  </si>
  <si>
    <t>(1,10]</t>
    <phoneticPr fontId="2" type="noConversion"/>
  </si>
  <si>
    <t>(100,500]</t>
    <phoneticPr fontId="2" type="noConversion"/>
  </si>
  <si>
    <t>&gt;500</t>
    <phoneticPr fontId="2" type="noConversion"/>
  </si>
  <si>
    <t>价格（元/立方米）</t>
    <phoneticPr fontId="2" type="noConversion"/>
  </si>
  <si>
    <t>从2019年7月1号起</t>
    <phoneticPr fontId="7" type="noConversion"/>
  </si>
  <si>
    <t>电费从2019年8月1号开始下降改为0.675169元一度</t>
    <phoneticPr fontId="2" type="noConversion"/>
  </si>
  <si>
    <t>Chiller Electricity Consumption                   空调主机用电量                       (RMB0.675169/Kwh)</t>
    <phoneticPr fontId="2" type="noConversion"/>
  </si>
  <si>
    <r>
      <t>General electricity      总电量</t>
    </r>
    <r>
      <rPr>
        <b/>
        <sz val="9"/>
        <rFont val="仿宋"/>
        <family val="3"/>
        <charset val="134"/>
      </rPr>
      <t>(*10000)(RMB0.675169/Kwh)</t>
    </r>
    <phoneticPr fontId="2" type="noConversion"/>
  </si>
  <si>
    <t>JK6-1</t>
  </si>
  <si>
    <t>JK6-2</t>
  </si>
  <si>
    <t>JK6-3</t>
  </si>
  <si>
    <t>物业抄表人</t>
    <phoneticPr fontId="21" type="noConversion"/>
  </si>
  <si>
    <t>四季抄表人</t>
    <phoneticPr fontId="21" type="noConversion"/>
  </si>
  <si>
    <t>Podium AC Consumption              裙楼空调用量              (Mw/h)Rmb291.66/MwH+1655.02/天</t>
    <phoneticPr fontId="2" type="noConversion"/>
  </si>
  <si>
    <t>2020年11</t>
    <phoneticPr fontId="7" type="noConversion"/>
  </si>
  <si>
    <t>19/28</t>
    <phoneticPr fontId="2" type="noConversion"/>
  </si>
  <si>
    <t>19/28</t>
    <phoneticPr fontId="2" type="noConversion"/>
  </si>
  <si>
    <t>19/28</t>
    <phoneticPr fontId="2" type="noConversion"/>
  </si>
  <si>
    <t>20/28</t>
    <phoneticPr fontId="2" type="noConversion"/>
  </si>
  <si>
    <t>21/30</t>
    <phoneticPr fontId="2" type="noConversion"/>
  </si>
  <si>
    <t>21/29</t>
    <phoneticPr fontId="2" type="noConversion"/>
  </si>
  <si>
    <t>19/28</t>
    <phoneticPr fontId="2" type="noConversion"/>
  </si>
  <si>
    <t>19/28</t>
    <phoneticPr fontId="2" type="noConversion"/>
  </si>
  <si>
    <t>17/26</t>
    <phoneticPr fontId="2" type="noConversion"/>
  </si>
  <si>
    <t>17/28</t>
    <phoneticPr fontId="2" type="noConversion"/>
  </si>
  <si>
    <t>16/28</t>
    <phoneticPr fontId="2" type="noConversion"/>
  </si>
  <si>
    <t>17/27</t>
    <phoneticPr fontId="2" type="noConversion"/>
  </si>
  <si>
    <t>19/24</t>
    <phoneticPr fontId="2" type="noConversion"/>
  </si>
  <si>
    <t>21/27</t>
    <phoneticPr fontId="2" type="noConversion"/>
  </si>
  <si>
    <t>21/30</t>
    <phoneticPr fontId="2" type="noConversion"/>
  </si>
  <si>
    <t>20/29</t>
    <phoneticPr fontId="2" type="noConversion"/>
  </si>
  <si>
    <t>22/27</t>
    <phoneticPr fontId="2" type="noConversion"/>
  </si>
  <si>
    <t>23/30</t>
    <phoneticPr fontId="2" type="noConversion"/>
  </si>
  <si>
    <t>24/31</t>
    <phoneticPr fontId="2" type="noConversion"/>
  </si>
  <si>
    <t>23/29</t>
    <phoneticPr fontId="2" type="noConversion"/>
  </si>
  <si>
    <t>19/29</t>
    <phoneticPr fontId="2" type="noConversion"/>
  </si>
  <si>
    <t>18/27</t>
    <phoneticPr fontId="2" type="noConversion"/>
  </si>
  <si>
    <t>19/26</t>
    <phoneticPr fontId="2" type="noConversion"/>
  </si>
  <si>
    <t>19/28</t>
    <phoneticPr fontId="2" type="noConversion"/>
  </si>
  <si>
    <t>16/28</t>
    <phoneticPr fontId="2" type="noConversion"/>
  </si>
  <si>
    <t>14/26</t>
    <phoneticPr fontId="2" type="noConversion"/>
  </si>
  <si>
    <t>13/23</t>
    <phoneticPr fontId="2" type="noConversion"/>
  </si>
  <si>
    <t>13/23</t>
    <phoneticPr fontId="2" type="noConversion"/>
  </si>
  <si>
    <t>13/23</t>
    <phoneticPr fontId="2" type="noConversion"/>
  </si>
  <si>
    <t>14/24</t>
    <phoneticPr fontId="2" type="noConversion"/>
  </si>
  <si>
    <r>
      <t>domestic Water 生活水RMB3.46/m</t>
    </r>
    <r>
      <rPr>
        <b/>
        <vertAlign val="superscript"/>
        <sz val="10"/>
        <rFont val="仿宋"/>
        <family val="3"/>
        <charset val="134"/>
      </rPr>
      <t xml:space="preserve">3 </t>
    </r>
  </si>
  <si>
    <t>General Gas               总天然气               (RMB3.95/m³)</t>
  </si>
  <si>
    <t>Boiler Gas                锅炉天然气(热水)
(RMB3.95/m³)</t>
  </si>
  <si>
    <t>Boiler Gas           锅炉天然气(蒸汽)
(RMB3.95/m³)</t>
  </si>
  <si>
    <t>Kitchen Gas               厨房天然气                (RMB3.95/m³)</t>
  </si>
  <si>
    <r>
      <t xml:space="preserve">    UTILITIES CONSUMPTION REPORT(2020-11)  </t>
    </r>
    <r>
      <rPr>
        <b/>
        <sz val="10"/>
        <rFont val="仿宋"/>
        <family val="3"/>
        <charset val="134"/>
      </rPr>
      <t>电费从2019年8月1号开始下降改为0.675169/Kwh，天然气从2020年9月1号开始下降改为3.95/m³2020年裙楼空调冷量价格为291.66/Mw.h+每天固定人工等1655.02元</t>
    </r>
  </si>
  <si>
    <t>Site Name</t>
  </si>
  <si>
    <t>Day</t>
  </si>
  <si>
    <t>Month</t>
  </si>
  <si>
    <t>Year</t>
  </si>
  <si>
    <t>Total Electricity Kwh</t>
  </si>
  <si>
    <t>Electricity Tariff ($/Kwh)</t>
  </si>
  <si>
    <t>Water Utility Supply (m3) m3</t>
  </si>
  <si>
    <t>Water Utility Supply (m3) $/m3</t>
  </si>
  <si>
    <t xml:space="preserve">Room Nights </t>
  </si>
  <si>
    <t xml:space="preserve">Total Guests </t>
  </si>
  <si>
    <t>Utilities day cost dh</t>
  </si>
  <si>
    <t>Guangzhou</t>
  </si>
  <si>
    <t xml:space="preserve">Natural Gas (m3) </t>
  </si>
  <si>
    <t>Natural Gas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</si>
</sst>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_(* \(#,##0\);_(* &quot;-&quot;_);_(@_)"/>
    <numFmt numFmtId="43" formatCode="_(* #,##0.00_);_(* \(#,##0.00\);_(* &quot;-&quot;??_);_(@_)"/>
    <numFmt numFmtId="164" formatCode="&quot;¥&quot;#,##0.00;&quot;¥&quot;\-#,##0.00"/>
    <numFmt numFmtId="165" formatCode="0_ "/>
    <numFmt numFmtId="166" formatCode="0_);[Red]\(0\)"/>
    <numFmt numFmtId="167" formatCode="0.00_);[Red]\(0.00\)"/>
    <numFmt numFmtId="168" formatCode="0.00;[Red]0.00"/>
    <numFmt numFmtId="169" formatCode="0.00_ "/>
    <numFmt numFmtId="170" formatCode="yyyy&quot;年&quot;m&quot;月&quot;;@"/>
    <numFmt numFmtId="171" formatCode="#,##0.00_ "/>
    <numFmt numFmtId="172" formatCode="[$￥-804]#,##0.00"/>
    <numFmt numFmtId="173" formatCode="\$#,##0.00;\-\$#,##0.00"/>
    <numFmt numFmtId="174" formatCode="#,##0.00_ ;[Red]\-#,##0.00\ "/>
    <numFmt numFmtId="175" formatCode="[$￥-804]#,##0.00_);[Red]\([$￥-804]#,##0.00\)"/>
  </numFmts>
  <fonts count="59">
    <font>
      <sz val="12"/>
      <name val="宋体"/>
      <charset val="134"/>
    </font>
    <font>
      <sz val="11"/>
      <color theme="1"/>
      <name val="Calibri"/>
      <family val="2"/>
      <scheme val="minor"/>
    </font>
    <font>
      <sz val="9"/>
      <name val="宋体"/>
      <charset val="134"/>
    </font>
    <font>
      <b/>
      <sz val="16"/>
      <name val="Times New Roman"/>
      <family val="1"/>
    </font>
    <font>
      <sz val="10"/>
      <name val="宋体"/>
      <charset val="134"/>
    </font>
    <font>
      <u/>
      <sz val="12"/>
      <color indexed="12"/>
      <name val="宋体"/>
      <charset val="134"/>
    </font>
    <font>
      <b/>
      <sz val="12"/>
      <name val="宋体"/>
      <charset val="134"/>
    </font>
    <font>
      <sz val="9"/>
      <name val="宋体"/>
      <charset val="134"/>
    </font>
    <font>
      <sz val="10"/>
      <name val="Tahoma"/>
      <family val="2"/>
    </font>
    <font>
      <b/>
      <sz val="13"/>
      <name val="Tahoma"/>
      <family val="2"/>
    </font>
    <font>
      <b/>
      <sz val="13"/>
      <name val="宋体"/>
      <charset val="134"/>
    </font>
    <font>
      <sz val="9"/>
      <name val="宋体"/>
      <charset val="134"/>
    </font>
    <font>
      <sz val="10"/>
      <name val="宋体"/>
      <charset val="134"/>
    </font>
    <font>
      <b/>
      <sz val="10"/>
      <name val="Tahoma"/>
      <family val="2"/>
    </font>
    <font>
      <b/>
      <sz val="10"/>
      <name val="Calibri"/>
      <family val="2"/>
    </font>
    <font>
      <b/>
      <sz val="10"/>
      <name val="SimSun"/>
      <charset val="134"/>
    </font>
    <font>
      <sz val="9"/>
      <name val="Calibri"/>
      <family val="2"/>
    </font>
    <font>
      <sz val="10"/>
      <name val="Calibri"/>
      <family val="2"/>
    </font>
    <font>
      <sz val="7"/>
      <name val="宋体"/>
      <charset val="134"/>
    </font>
    <font>
      <sz val="9"/>
      <name val="宋体"/>
      <charset val="134"/>
    </font>
    <font>
      <sz val="9"/>
      <name val="宋体"/>
      <charset val="134"/>
    </font>
    <font>
      <sz val="9"/>
      <name val="宋体"/>
      <charset val="134"/>
    </font>
    <font>
      <b/>
      <sz val="16"/>
      <name val="仿宋"/>
      <family val="3"/>
      <charset val="134"/>
    </font>
    <font>
      <b/>
      <sz val="8"/>
      <name val="仿宋"/>
      <family val="3"/>
      <charset val="134"/>
    </font>
    <font>
      <sz val="12"/>
      <name val="仿宋"/>
      <family val="3"/>
      <charset val="134"/>
    </font>
    <font>
      <b/>
      <sz val="11"/>
      <name val="仿宋"/>
      <family val="3"/>
      <charset val="134"/>
    </font>
    <font>
      <sz val="9"/>
      <name val="仿宋"/>
      <family val="3"/>
      <charset val="134"/>
    </font>
    <font>
      <b/>
      <sz val="9"/>
      <name val="仿宋"/>
      <family val="3"/>
      <charset val="134"/>
    </font>
    <font>
      <sz val="10"/>
      <name val="仿宋"/>
      <family val="3"/>
      <charset val="134"/>
    </font>
    <font>
      <sz val="11"/>
      <name val="仿宋"/>
      <family val="3"/>
      <charset val="134"/>
    </font>
    <font>
      <b/>
      <sz val="12"/>
      <name val="仿宋"/>
      <family val="3"/>
      <charset val="134"/>
    </font>
    <font>
      <b/>
      <sz val="10"/>
      <name val="仿宋"/>
      <family val="3"/>
      <charset val="134"/>
    </font>
    <font>
      <vertAlign val="superscript"/>
      <sz val="10"/>
      <name val="仿宋"/>
      <family val="3"/>
      <charset val="134"/>
    </font>
    <font>
      <vertAlign val="superscript"/>
      <sz val="11"/>
      <name val="仿宋"/>
      <family val="3"/>
      <charset val="134"/>
    </font>
    <font>
      <sz val="16"/>
      <name val="仿宋"/>
      <family val="3"/>
      <charset val="134"/>
    </font>
    <font>
      <sz val="8"/>
      <name val="仿宋"/>
      <family val="3"/>
      <charset val="134"/>
    </font>
    <font>
      <b/>
      <vertAlign val="superscript"/>
      <sz val="10"/>
      <name val="仿宋"/>
      <family val="3"/>
      <charset val="134"/>
    </font>
    <font>
      <b/>
      <sz val="7"/>
      <name val="仿宋"/>
      <family val="3"/>
      <charset val="134"/>
    </font>
    <font>
      <b/>
      <vertAlign val="superscript"/>
      <sz val="7"/>
      <name val="仿宋"/>
      <family val="3"/>
      <charset val="134"/>
    </font>
    <font>
      <i/>
      <sz val="9"/>
      <name val="仿宋"/>
      <family val="3"/>
      <charset val="134"/>
    </font>
    <font>
      <b/>
      <i/>
      <sz val="10"/>
      <name val="仿宋"/>
      <family val="3"/>
      <charset val="134"/>
    </font>
    <font>
      <sz val="6"/>
      <name val="仿宋"/>
      <family val="3"/>
      <charset val="134"/>
    </font>
    <font>
      <b/>
      <sz val="10"/>
      <name val="Calibri"/>
      <charset val="134"/>
      <scheme val="minor"/>
    </font>
    <font>
      <sz val="10"/>
      <name val="Calibri"/>
      <charset val="134"/>
      <scheme val="minor"/>
    </font>
    <font>
      <sz val="11"/>
      <color theme="1"/>
      <name val="仿宋"/>
      <family val="3"/>
      <charset val="134"/>
    </font>
    <font>
      <b/>
      <sz val="10"/>
      <color rgb="FFFF0000"/>
      <name val="仿宋"/>
      <family val="3"/>
      <charset val="134"/>
    </font>
    <font>
      <sz val="10"/>
      <color theme="1"/>
      <name val="仿宋"/>
      <family val="3"/>
      <charset val="134"/>
    </font>
    <font>
      <b/>
      <sz val="11"/>
      <color theme="1"/>
      <name val="仿宋"/>
      <family val="3"/>
      <charset val="134"/>
    </font>
    <font>
      <b/>
      <sz val="11"/>
      <color rgb="FF00B050"/>
      <name val="仿宋"/>
      <family val="3"/>
      <charset val="134"/>
    </font>
    <font>
      <b/>
      <sz val="26"/>
      <color theme="1"/>
      <name val="Times New Roman"/>
      <family val="1"/>
    </font>
    <font>
      <sz val="10"/>
      <color rgb="FFFF0000"/>
      <name val="仿宋"/>
      <family val="3"/>
      <charset val="134"/>
    </font>
    <font>
      <b/>
      <sz val="11"/>
      <color theme="9"/>
      <name val="仿宋"/>
      <family val="3"/>
      <charset val="134"/>
    </font>
    <font>
      <b/>
      <sz val="11"/>
      <color rgb="FFFF0000"/>
      <name val="仿宋"/>
      <family val="3"/>
      <charset val="134"/>
    </font>
    <font>
      <b/>
      <sz val="11"/>
      <color rgb="FF00B0F0"/>
      <name val="仿宋"/>
      <family val="3"/>
      <charset val="134"/>
    </font>
    <font>
      <sz val="9"/>
      <color rgb="FFFF0000"/>
      <name val="仿宋"/>
      <family val="3"/>
      <charset val="134"/>
    </font>
    <font>
      <b/>
      <sz val="11"/>
      <color theme="1"/>
      <name val="Calibri"/>
      <family val="2"/>
      <scheme val="minor"/>
    </font>
    <font>
      <b/>
      <sz val="11"/>
      <color rgb="FFFF0000"/>
      <name val="Calibri"/>
      <family val="2"/>
      <scheme val="minor"/>
    </font>
    <font>
      <sz val="10"/>
      <name val="Arial"/>
      <family val="2"/>
    </font>
    <font>
      <sz val="10"/>
      <color rgb="FFFF0000"/>
      <name val="Arial"/>
      <family val="2"/>
    </font>
  </fonts>
  <fills count="20">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4"/>
        <bgColor indexed="64"/>
      </patternFill>
    </fill>
    <fill>
      <patternFill patternType="solid">
        <fgColor theme="7"/>
        <bgColor indexed="64"/>
      </patternFill>
    </fill>
    <fill>
      <patternFill patternType="solid">
        <fgColor theme="5" tint="0.79998168889431442"/>
        <bgColor indexed="64"/>
      </patternFill>
    </fill>
  </fills>
  <borders count="7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diagonal/>
    </border>
    <border>
      <left/>
      <right style="medium">
        <color indexed="8"/>
      </right>
      <top/>
      <bottom/>
      <diagonal/>
    </border>
    <border>
      <left/>
      <right style="medium">
        <color indexed="8"/>
      </right>
      <top/>
      <bottom style="medium">
        <color indexed="8"/>
      </bottom>
      <diagonal/>
    </border>
    <border>
      <left/>
      <right style="medium">
        <color indexed="8"/>
      </right>
      <top style="medium">
        <color indexed="8"/>
      </top>
      <bottom style="medium">
        <color indexed="8"/>
      </bottom>
      <diagonal/>
    </border>
    <border>
      <left/>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style="dotted">
        <color indexed="64"/>
      </left>
      <right style="dotted">
        <color indexed="64"/>
      </right>
      <top/>
      <bottom style="dotted">
        <color indexed="64"/>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medium">
        <color indexed="64"/>
      </bottom>
      <diagonal/>
    </border>
    <border>
      <left style="hair">
        <color indexed="64"/>
      </left>
      <right style="medium">
        <color indexed="64"/>
      </right>
      <top style="medium">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top style="hair">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right style="medium">
        <color indexed="64"/>
      </right>
      <top/>
      <bottom style="medium">
        <color indexed="64"/>
      </bottom>
      <diagonal/>
    </border>
    <border>
      <left/>
      <right style="medium">
        <color indexed="64"/>
      </right>
      <top style="medium">
        <color indexed="64"/>
      </top>
      <bottom style="hair">
        <color indexed="64"/>
      </bottom>
      <diagonal/>
    </border>
    <border>
      <left/>
      <right style="medium">
        <color indexed="64"/>
      </right>
      <top/>
      <bottom style="hair">
        <color indexed="64"/>
      </bottom>
      <diagonal/>
    </border>
    <border>
      <left style="thin">
        <color indexed="64"/>
      </left>
      <right style="hair">
        <color indexed="64"/>
      </right>
      <top style="medium">
        <color indexed="64"/>
      </top>
      <bottom style="medium">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hair">
        <color indexed="64"/>
      </left>
      <right style="hair">
        <color indexed="64"/>
      </right>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s>
  <cellStyleXfs count="3">
    <xf numFmtId="0" fontId="0" fillId="0" borderId="0"/>
    <xf numFmtId="0" fontId="5" fillId="0" borderId="0" applyNumberFormat="0" applyFill="0" applyBorder="0" applyAlignment="0" applyProtection="0">
      <alignment vertical="top"/>
      <protection locked="0"/>
    </xf>
    <xf numFmtId="0" fontId="1" fillId="0" borderId="0"/>
  </cellStyleXfs>
  <cellXfs count="413">
    <xf numFmtId="0" fontId="0" fillId="0" borderId="0" xfId="0"/>
    <xf numFmtId="0" fontId="8" fillId="0" borderId="0" xfId="0" applyFont="1"/>
    <xf numFmtId="0" fontId="8" fillId="0" borderId="0" xfId="0" applyFont="1" applyBorder="1"/>
    <xf numFmtId="0" fontId="9" fillId="0" borderId="0" xfId="0" applyFont="1" applyAlignment="1">
      <alignment horizontal="centerContinuous"/>
    </xf>
    <xf numFmtId="0" fontId="8" fillId="0" borderId="1" xfId="0" applyFont="1" applyBorder="1"/>
    <xf numFmtId="0" fontId="8" fillId="0" borderId="2" xfId="0" applyFont="1" applyBorder="1"/>
    <xf numFmtId="0" fontId="8" fillId="0" borderId="1" xfId="0" quotePrefix="1" applyFont="1" applyBorder="1"/>
    <xf numFmtId="0" fontId="8" fillId="0" borderId="3" xfId="0" applyFont="1" applyBorder="1"/>
    <xf numFmtId="0" fontId="12" fillId="0" borderId="4" xfId="0" applyFont="1" applyBorder="1"/>
    <xf numFmtId="0" fontId="8" fillId="0" borderId="5" xfId="0" applyFont="1" applyBorder="1"/>
    <xf numFmtId="0" fontId="8" fillId="0" borderId="4" xfId="0" applyFont="1" applyBorder="1"/>
    <xf numFmtId="0" fontId="8" fillId="0" borderId="6" xfId="0" applyFont="1" applyBorder="1"/>
    <xf numFmtId="0" fontId="8" fillId="0" borderId="7" xfId="0" applyFont="1" applyBorder="1" applyAlignment="1">
      <alignment horizontal="centerContinuous"/>
    </xf>
    <xf numFmtId="0" fontId="8" fillId="0" borderId="8" xfId="0" applyFont="1" applyBorder="1" applyAlignment="1">
      <alignment horizontal="centerContinuous"/>
    </xf>
    <xf numFmtId="0" fontId="8" fillId="0" borderId="9" xfId="0" applyFont="1" applyBorder="1" applyAlignment="1">
      <alignment horizontal="centerContinuous"/>
    </xf>
    <xf numFmtId="0" fontId="12" fillId="0" borderId="0" xfId="0" applyFont="1"/>
    <xf numFmtId="0" fontId="42" fillId="0" borderId="5" xfId="0" applyFont="1" applyBorder="1"/>
    <xf numFmtId="0" fontId="13" fillId="0" borderId="0" xfId="0" applyFont="1" applyBorder="1"/>
    <xf numFmtId="0" fontId="8" fillId="0" borderId="7" xfId="0" applyFont="1" applyBorder="1" applyAlignment="1"/>
    <xf numFmtId="0" fontId="8" fillId="0" borderId="8" xfId="0" applyFont="1" applyBorder="1" applyAlignment="1"/>
    <xf numFmtId="0" fontId="13" fillId="0" borderId="10" xfId="0" applyFont="1" applyBorder="1" applyAlignment="1"/>
    <xf numFmtId="0" fontId="42" fillId="0" borderId="5" xfId="0" applyFont="1" applyBorder="1"/>
    <xf numFmtId="0" fontId="43" fillId="0" borderId="5" xfId="0" applyFont="1" applyBorder="1"/>
    <xf numFmtId="0" fontId="8" fillId="0" borderId="11" xfId="0" applyFont="1" applyBorder="1"/>
    <xf numFmtId="0" fontId="43" fillId="0" borderId="8" xfId="0" applyFont="1" applyBorder="1"/>
    <xf numFmtId="0" fontId="8" fillId="0" borderId="10" xfId="0" applyFont="1" applyBorder="1" applyAlignment="1"/>
    <xf numFmtId="0" fontId="8" fillId="0" borderId="7" xfId="0" applyFont="1" applyBorder="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0" xfId="0" applyFont="1" applyAlignment="1">
      <alignment vertical="center"/>
    </xf>
    <xf numFmtId="0" fontId="8" fillId="0" borderId="0" xfId="0" applyFont="1" applyBorder="1" applyAlignment="1">
      <alignment vertical="center"/>
    </xf>
    <xf numFmtId="0" fontId="16" fillId="0" borderId="0" xfId="0" applyFont="1" applyAlignment="1">
      <alignment vertical="center"/>
    </xf>
    <xf numFmtId="0" fontId="16" fillId="0" borderId="0" xfId="0" applyFont="1" applyBorder="1" applyAlignment="1">
      <alignment vertical="center"/>
    </xf>
    <xf numFmtId="0" fontId="17" fillId="0" borderId="0" xfId="0" applyFont="1" applyAlignment="1">
      <alignment vertical="center"/>
    </xf>
    <xf numFmtId="0" fontId="17" fillId="0" borderId="0" xfId="0" applyFont="1" applyBorder="1" applyAlignment="1">
      <alignment vertical="center"/>
    </xf>
    <xf numFmtId="0" fontId="17" fillId="0" borderId="2" xfId="0" applyFont="1" applyBorder="1" applyAlignment="1">
      <alignment horizontal="left" vertical="center"/>
    </xf>
    <xf numFmtId="0" fontId="17" fillId="0" borderId="2" xfId="0" applyFont="1" applyBorder="1" applyAlignment="1">
      <alignment horizontal="center" vertical="center"/>
    </xf>
    <xf numFmtId="0" fontId="17" fillId="0" borderId="2" xfId="0" applyFont="1" applyBorder="1" applyAlignment="1">
      <alignment horizontal="right" vertical="center"/>
    </xf>
    <xf numFmtId="0" fontId="17" fillId="0" borderId="7" xfId="0" applyFont="1" applyBorder="1" applyAlignment="1">
      <alignment vertical="center"/>
    </xf>
    <xf numFmtId="0" fontId="17" fillId="0" borderId="8" xfId="0" applyFont="1" applyBorder="1" applyAlignment="1">
      <alignment vertical="center"/>
    </xf>
    <xf numFmtId="0" fontId="17" fillId="0" borderId="9" xfId="0" applyFont="1" applyBorder="1" applyAlignment="1">
      <alignment vertical="center"/>
    </xf>
    <xf numFmtId="0" fontId="13" fillId="0" borderId="0" xfId="0" applyFont="1" applyBorder="1" applyAlignment="1">
      <alignment horizontal="centerContinuous"/>
    </xf>
    <xf numFmtId="0" fontId="8" fillId="0" borderId="12" xfId="0" applyFont="1" applyBorder="1"/>
    <xf numFmtId="0" fontId="8" fillId="0" borderId="0" xfId="0" applyFont="1" applyAlignment="1">
      <alignment horizontal="left"/>
    </xf>
    <xf numFmtId="0" fontId="8" fillId="0" borderId="0" xfId="0" applyFont="1" applyBorder="1" applyAlignment="1">
      <alignment horizontal="left"/>
    </xf>
    <xf numFmtId="0" fontId="8" fillId="0" borderId="0" xfId="0" applyFont="1" applyBorder="1" applyAlignment="1">
      <alignment horizontal="centerContinuous"/>
    </xf>
    <xf numFmtId="0" fontId="6" fillId="0" borderId="0" xfId="0" applyNumberFormat="1" applyFont="1" applyAlignment="1">
      <alignment vertical="top" wrapText="1"/>
    </xf>
    <xf numFmtId="0" fontId="6" fillId="0" borderId="0" xfId="0" applyFont="1" applyAlignment="1">
      <alignment vertical="top" wrapText="1"/>
    </xf>
    <xf numFmtId="0" fontId="0" fillId="0" borderId="0" xfId="0" applyAlignment="1">
      <alignment vertical="top" wrapText="1"/>
    </xf>
    <xf numFmtId="0" fontId="0" fillId="0" borderId="0" xfId="0" applyNumberFormat="1" applyAlignment="1">
      <alignment vertical="top" wrapText="1"/>
    </xf>
    <xf numFmtId="0" fontId="0" fillId="0" borderId="13" xfId="0" applyNumberFormat="1" applyBorder="1" applyAlignment="1">
      <alignment vertical="top" wrapText="1"/>
    </xf>
    <xf numFmtId="0" fontId="0" fillId="0" borderId="14" xfId="0"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6" fillId="0" borderId="0" xfId="0" applyFont="1" applyAlignment="1">
      <alignment horizontal="center" vertical="top" wrapText="1"/>
    </xf>
    <xf numFmtId="0" fontId="0" fillId="0" borderId="0" xfId="0" applyAlignment="1">
      <alignment horizontal="center" vertical="top" wrapText="1"/>
    </xf>
    <xf numFmtId="0" fontId="6" fillId="0" borderId="0" xfId="0" applyNumberFormat="1" applyFont="1" applyAlignment="1">
      <alignment horizontal="center" vertical="top" wrapText="1"/>
    </xf>
    <xf numFmtId="0" fontId="0" fillId="0" borderId="14" xfId="0" applyBorder="1" applyAlignment="1">
      <alignment horizontal="center" vertical="top" wrapText="1"/>
    </xf>
    <xf numFmtId="0" fontId="0" fillId="0" borderId="20" xfId="0" applyBorder="1" applyAlignment="1">
      <alignment horizontal="center" vertical="top" wrapText="1"/>
    </xf>
    <xf numFmtId="0" fontId="5" fillId="0" borderId="21" xfId="1" applyNumberFormat="1" applyBorder="1" applyAlignment="1" applyProtection="1">
      <alignment horizontal="center" vertical="top" wrapText="1"/>
    </xf>
    <xf numFmtId="0" fontId="0" fillId="0" borderId="17" xfId="0" applyBorder="1" applyAlignment="1">
      <alignment horizontal="center" vertical="top" wrapText="1"/>
    </xf>
    <xf numFmtId="0" fontId="5" fillId="0" borderId="22" xfId="1" applyNumberFormat="1" applyBorder="1" applyAlignment="1" applyProtection="1">
      <alignment horizontal="center" vertical="top" wrapText="1"/>
    </xf>
    <xf numFmtId="0" fontId="0" fillId="0" borderId="19" xfId="0" applyBorder="1" applyAlignment="1">
      <alignment horizontal="center" vertical="top" wrapText="1"/>
    </xf>
    <xf numFmtId="0" fontId="0" fillId="0" borderId="23" xfId="0" applyBorder="1" applyAlignment="1">
      <alignment horizontal="center" vertical="top" wrapText="1"/>
    </xf>
    <xf numFmtId="0" fontId="22" fillId="0" borderId="24" xfId="0" applyFont="1" applyBorder="1" applyAlignment="1"/>
    <xf numFmtId="0" fontId="23" fillId="0" borderId="24" xfId="0" applyFont="1" applyBorder="1" applyAlignment="1">
      <alignment wrapText="1"/>
    </xf>
    <xf numFmtId="0" fontId="24" fillId="0" borderId="0" xfId="0" applyFont="1"/>
    <xf numFmtId="170" fontId="22" fillId="0" borderId="25" xfId="0" applyNumberFormat="1" applyFont="1" applyBorder="1" applyAlignment="1">
      <alignment horizontal="center"/>
    </xf>
    <xf numFmtId="0" fontId="22" fillId="0" borderId="26" xfId="0" applyFont="1" applyBorder="1" applyAlignment="1">
      <alignment horizontal="center"/>
    </xf>
    <xf numFmtId="165" fontId="22" fillId="0" borderId="26" xfId="0" applyNumberFormat="1" applyFont="1" applyBorder="1" applyAlignment="1">
      <alignment horizontal="center"/>
    </xf>
    <xf numFmtId="0" fontId="22" fillId="4" borderId="25" xfId="0" applyFont="1" applyFill="1" applyBorder="1" applyAlignment="1">
      <alignment horizontal="center"/>
    </xf>
    <xf numFmtId="0" fontId="25" fillId="0" borderId="25" xfId="0" applyFont="1" applyBorder="1" applyAlignment="1">
      <alignment horizontal="center"/>
    </xf>
    <xf numFmtId="166" fontId="44" fillId="4" borderId="25" xfId="0" applyNumberFormat="1" applyFont="1" applyFill="1" applyBorder="1" applyAlignment="1">
      <alignment horizontal="center" vertical="center"/>
    </xf>
    <xf numFmtId="0" fontId="24" fillId="0" borderId="0" xfId="0" applyFont="1" applyAlignment="1">
      <alignment horizontal="center" vertical="center"/>
    </xf>
    <xf numFmtId="0" fontId="24" fillId="0" borderId="0" xfId="0" applyFont="1" applyAlignment="1">
      <alignment horizontal="center"/>
    </xf>
    <xf numFmtId="40" fontId="29" fillId="0" borderId="25" xfId="0" applyNumberFormat="1" applyFont="1" applyFill="1" applyBorder="1" applyAlignment="1">
      <alignment horizontal="center" vertical="center"/>
    </xf>
    <xf numFmtId="0" fontId="45" fillId="0" borderId="0" xfId="0" applyFont="1" applyAlignment="1">
      <alignment horizontal="center" vertical="center"/>
    </xf>
    <xf numFmtId="166" fontId="30" fillId="0" borderId="0" xfId="0" applyNumberFormat="1" applyFont="1" applyAlignment="1">
      <alignment horizontal="center" vertical="center"/>
    </xf>
    <xf numFmtId="0" fontId="30" fillId="0" borderId="0" xfId="0" applyFont="1" applyAlignment="1">
      <alignment horizontal="center" vertical="center"/>
    </xf>
    <xf numFmtId="166" fontId="24" fillId="0" borderId="0" xfId="0" applyNumberFormat="1" applyFont="1"/>
    <xf numFmtId="0" fontId="24" fillId="0" borderId="0" xfId="0" applyFont="1" applyFill="1" applyBorder="1" applyAlignment="1">
      <alignment horizontal="center"/>
    </xf>
    <xf numFmtId="0" fontId="29" fillId="0" borderId="27" xfId="0" applyFont="1" applyBorder="1" applyAlignment="1">
      <alignment horizontal="center" vertical="center"/>
    </xf>
    <xf numFmtId="0" fontId="29" fillId="0" borderId="10" xfId="0" applyFont="1" applyBorder="1" applyAlignment="1">
      <alignment horizontal="center" vertical="center"/>
    </xf>
    <xf numFmtId="0" fontId="22" fillId="0" borderId="0" xfId="0" applyFont="1" applyBorder="1" applyAlignment="1"/>
    <xf numFmtId="0" fontId="27" fillId="4" borderId="25" xfId="0" applyFont="1" applyFill="1" applyBorder="1" applyAlignment="1">
      <alignment horizontal="center" wrapText="1"/>
    </xf>
    <xf numFmtId="0" fontId="30" fillId="0" borderId="0" xfId="0" applyFont="1" applyAlignment="1">
      <alignment horizontal="center"/>
    </xf>
    <xf numFmtId="0" fontId="24" fillId="0" borderId="25" xfId="0" applyFont="1" applyBorder="1"/>
    <xf numFmtId="166" fontId="29" fillId="0" borderId="25" xfId="0" applyNumberFormat="1" applyFont="1" applyBorder="1" applyAlignment="1">
      <alignment horizontal="center" vertical="center"/>
    </xf>
    <xf numFmtId="166" fontId="24" fillId="0" borderId="0" xfId="0" applyNumberFormat="1" applyFont="1" applyAlignment="1">
      <alignment horizontal="center"/>
    </xf>
    <xf numFmtId="166" fontId="25" fillId="0" borderId="0" xfId="0" applyNumberFormat="1" applyFont="1" applyFill="1" applyBorder="1" applyAlignment="1">
      <alignment horizontal="center" vertical="center"/>
    </xf>
    <xf numFmtId="166" fontId="25" fillId="0" borderId="28" xfId="0" applyNumberFormat="1" applyFont="1" applyFill="1" applyBorder="1" applyAlignment="1">
      <alignment horizontal="center" vertical="center"/>
    </xf>
    <xf numFmtId="0" fontId="29" fillId="0" borderId="25" xfId="0" applyFont="1" applyBorder="1" applyAlignment="1">
      <alignment horizontal="center" vertical="center"/>
    </xf>
    <xf numFmtId="14" fontId="29" fillId="0" borderId="25" xfId="0" applyNumberFormat="1" applyFont="1" applyBorder="1" applyAlignment="1">
      <alignment horizontal="center" vertical="center"/>
    </xf>
    <xf numFmtId="166" fontId="29" fillId="5" borderId="25" xfId="0" applyNumberFormat="1" applyFont="1" applyFill="1" applyBorder="1" applyAlignment="1">
      <alignment horizontal="center" vertical="center"/>
    </xf>
    <xf numFmtId="166" fontId="29" fillId="0" borderId="25" xfId="0" applyNumberFormat="1" applyFont="1" applyFill="1" applyBorder="1" applyAlignment="1">
      <alignment horizontal="center" vertical="center"/>
    </xf>
    <xf numFmtId="0" fontId="22" fillId="0" borderId="0" xfId="0" applyFont="1" applyFill="1" applyBorder="1" applyAlignment="1"/>
    <xf numFmtId="0" fontId="24" fillId="0" borderId="0" xfId="0" applyFont="1" applyFill="1"/>
    <xf numFmtId="0" fontId="30" fillId="0" borderId="0" xfId="0" applyFont="1" applyFill="1" applyAlignment="1">
      <alignment horizontal="center"/>
    </xf>
    <xf numFmtId="0" fontId="22" fillId="0" borderId="0" xfId="0" applyFont="1" applyFill="1" applyBorder="1" applyAlignment="1">
      <alignment horizontal="center"/>
    </xf>
    <xf numFmtId="0" fontId="25" fillId="0" borderId="0" xfId="0" applyFont="1" applyFill="1" applyBorder="1" applyAlignment="1">
      <alignment horizontal="center"/>
    </xf>
    <xf numFmtId="0" fontId="24" fillId="0" borderId="0" xfId="0" applyFont="1" applyFill="1" applyBorder="1"/>
    <xf numFmtId="0" fontId="24" fillId="0" borderId="0" xfId="0" applyFont="1" applyBorder="1"/>
    <xf numFmtId="0" fontId="24" fillId="0" borderId="29" xfId="0" applyFont="1" applyFill="1" applyBorder="1"/>
    <xf numFmtId="40" fontId="29" fillId="6" borderId="25" xfId="0" applyNumberFormat="1" applyFont="1" applyFill="1" applyBorder="1" applyAlignment="1">
      <alignment horizontal="center"/>
    </xf>
    <xf numFmtId="0" fontId="25" fillId="0" borderId="28" xfId="0" applyFont="1" applyFill="1" applyBorder="1" applyAlignment="1">
      <alignment horizontal="center" vertical="center"/>
    </xf>
    <xf numFmtId="49" fontId="29" fillId="0" borderId="10" xfId="0" applyNumberFormat="1" applyFont="1" applyBorder="1" applyAlignment="1">
      <alignment horizontal="center" vertical="center"/>
    </xf>
    <xf numFmtId="0" fontId="30" fillId="0" borderId="0" xfId="0" applyFont="1" applyFill="1" applyBorder="1" applyAlignment="1">
      <alignment horizontal="center"/>
    </xf>
    <xf numFmtId="0" fontId="24" fillId="0" borderId="10" xfId="0" applyFont="1" applyBorder="1" applyAlignment="1">
      <alignment horizontal="center" vertical="center"/>
    </xf>
    <xf numFmtId="0" fontId="24" fillId="0" borderId="10" xfId="0" applyFont="1" applyBorder="1" applyAlignment="1">
      <alignment horizontal="center" vertical="center" wrapText="1"/>
    </xf>
    <xf numFmtId="0" fontId="28" fillId="0" borderId="0" xfId="0" applyFont="1" applyAlignment="1">
      <alignment horizontal="center" vertical="center"/>
    </xf>
    <xf numFmtId="0" fontId="29" fillId="0" borderId="0" xfId="0" applyFont="1" applyAlignment="1">
      <alignment horizontal="center" vertical="center"/>
    </xf>
    <xf numFmtId="0" fontId="29" fillId="0" borderId="10" xfId="0" applyFont="1" applyBorder="1" applyAlignment="1">
      <alignment horizontal="center" vertical="center" wrapText="1"/>
    </xf>
    <xf numFmtId="0" fontId="34" fillId="0" borderId="0" xfId="0" applyFont="1" applyAlignment="1">
      <alignment horizontal="center" vertical="center"/>
    </xf>
    <xf numFmtId="0" fontId="46" fillId="0" borderId="10" xfId="0" applyFont="1" applyBorder="1" applyAlignment="1">
      <alignment horizontal="center" vertical="center" wrapText="1"/>
    </xf>
    <xf numFmtId="0" fontId="24" fillId="0" borderId="0" xfId="0" applyFont="1" applyAlignment="1"/>
    <xf numFmtId="0" fontId="47" fillId="0" borderId="10" xfId="0" applyFont="1" applyBorder="1" applyAlignment="1">
      <alignment horizontal="center" vertical="center" wrapText="1"/>
    </xf>
    <xf numFmtId="0" fontId="25" fillId="0" borderId="0" xfId="0" applyFont="1" applyAlignment="1">
      <alignment horizontal="center" vertical="center"/>
    </xf>
    <xf numFmtId="0" fontId="24" fillId="0" borderId="0" xfId="0" applyFont="1" applyAlignment="1">
      <alignment horizontal="center" vertical="center" wrapText="1"/>
    </xf>
    <xf numFmtId="0" fontId="24" fillId="0" borderId="30" xfId="0" applyFont="1" applyBorder="1" applyAlignment="1">
      <alignment vertical="center"/>
    </xf>
    <xf numFmtId="0" fontId="24" fillId="0" borderId="25" xfId="0" applyFont="1" applyBorder="1" applyAlignment="1">
      <alignment vertical="center"/>
    </xf>
    <xf numFmtId="167" fontId="29" fillId="7" borderId="25" xfId="0" applyNumberFormat="1" applyFont="1" applyFill="1" applyBorder="1" applyAlignment="1">
      <alignment horizontal="center" vertical="center"/>
    </xf>
    <xf numFmtId="167" fontId="29" fillId="8" borderId="25" xfId="0" applyNumberFormat="1" applyFont="1" applyFill="1" applyBorder="1" applyAlignment="1">
      <alignment horizontal="center" vertical="center"/>
    </xf>
    <xf numFmtId="167" fontId="29" fillId="6" borderId="25" xfId="0" applyNumberFormat="1" applyFont="1" applyFill="1" applyBorder="1" applyAlignment="1">
      <alignment horizontal="center" vertical="center"/>
    </xf>
    <xf numFmtId="167" fontId="29" fillId="9" borderId="25" xfId="0" applyNumberFormat="1" applyFont="1" applyFill="1" applyBorder="1" applyAlignment="1">
      <alignment horizontal="center" vertical="center"/>
    </xf>
    <xf numFmtId="167" fontId="29" fillId="10" borderId="25" xfId="0" applyNumberFormat="1" applyFont="1" applyFill="1" applyBorder="1" applyAlignment="1">
      <alignment horizontal="center" vertical="center"/>
    </xf>
    <xf numFmtId="167" fontId="29" fillId="11" borderId="25" xfId="0" applyNumberFormat="1" applyFont="1" applyFill="1" applyBorder="1" applyAlignment="1">
      <alignment horizontal="center" vertical="center"/>
    </xf>
    <xf numFmtId="167" fontId="29" fillId="12" borderId="25" xfId="0" applyNumberFormat="1" applyFont="1" applyFill="1" applyBorder="1" applyAlignment="1">
      <alignment horizontal="center" vertical="center"/>
    </xf>
    <xf numFmtId="167" fontId="29" fillId="13" borderId="25" xfId="0" applyNumberFormat="1" applyFont="1" applyFill="1" applyBorder="1" applyAlignment="1">
      <alignment horizontal="center" vertical="center"/>
    </xf>
    <xf numFmtId="167" fontId="29" fillId="14" borderId="25" xfId="0" applyNumberFormat="1" applyFont="1" applyFill="1" applyBorder="1" applyAlignment="1">
      <alignment horizontal="center" vertical="center"/>
    </xf>
    <xf numFmtId="167" fontId="48" fillId="9" borderId="25" xfId="0" applyNumberFormat="1" applyFont="1" applyFill="1" applyBorder="1" applyAlignment="1">
      <alignment horizontal="center" vertical="center"/>
    </xf>
    <xf numFmtId="166" fontId="29" fillId="0" borderId="27" xfId="0" applyNumberFormat="1" applyFont="1" applyFill="1" applyBorder="1" applyAlignment="1">
      <alignment horizontal="center" vertical="center"/>
    </xf>
    <xf numFmtId="166" fontId="29" fillId="0" borderId="10" xfId="0" applyNumberFormat="1" applyFont="1" applyBorder="1" applyAlignment="1">
      <alignment horizontal="center" vertical="center"/>
    </xf>
    <xf numFmtId="0" fontId="29" fillId="0" borderId="0" xfId="0" applyFont="1"/>
    <xf numFmtId="166" fontId="24" fillId="0" borderId="10" xfId="0" applyNumberFormat="1" applyFont="1" applyBorder="1" applyAlignment="1">
      <alignment horizontal="center" vertical="center"/>
    </xf>
    <xf numFmtId="49" fontId="24" fillId="0" borderId="10" xfId="0" applyNumberFormat="1" applyFont="1" applyBorder="1" applyAlignment="1">
      <alignment horizontal="center" vertical="center"/>
    </xf>
    <xf numFmtId="49" fontId="24" fillId="0" borderId="0" xfId="0" applyNumberFormat="1" applyFont="1" applyAlignment="1">
      <alignment horizontal="center" vertical="center"/>
    </xf>
    <xf numFmtId="166" fontId="24" fillId="0" borderId="27" xfId="0" applyNumberFormat="1" applyFont="1" applyFill="1" applyBorder="1" applyAlignment="1">
      <alignment horizontal="center" vertical="center"/>
    </xf>
    <xf numFmtId="0" fontId="30" fillId="0" borderId="0" xfId="0" applyFont="1" applyFill="1" applyAlignment="1">
      <alignment horizontal="center" vertical="center"/>
    </xf>
    <xf numFmtId="0" fontId="30" fillId="0" borderId="0" xfId="0" applyFont="1" applyAlignment="1">
      <alignment horizontal="center" vertical="center" wrapText="1"/>
    </xf>
    <xf numFmtId="0" fontId="29" fillId="9" borderId="25" xfId="0" applyFont="1" applyFill="1" applyBorder="1" applyAlignment="1">
      <alignment horizontal="center" vertical="center"/>
    </xf>
    <xf numFmtId="0" fontId="29" fillId="0" borderId="31" xfId="0" applyFont="1" applyBorder="1" applyAlignment="1">
      <alignment horizontal="center" vertical="center"/>
    </xf>
    <xf numFmtId="0" fontId="29" fillId="0" borderId="1" xfId="0" applyFont="1" applyBorder="1" applyAlignment="1">
      <alignment horizontal="center" vertical="center"/>
    </xf>
    <xf numFmtId="0" fontId="29" fillId="8" borderId="31" xfId="0" applyFont="1" applyFill="1" applyBorder="1" applyAlignment="1">
      <alignment horizontal="center" vertical="center"/>
    </xf>
    <xf numFmtId="167" fontId="29" fillId="9" borderId="32" xfId="0" applyNumberFormat="1" applyFont="1" applyFill="1" applyBorder="1" applyAlignment="1">
      <alignment horizontal="center" vertical="center"/>
    </xf>
    <xf numFmtId="167" fontId="29" fillId="9" borderId="33" xfId="0" applyNumberFormat="1" applyFont="1" applyFill="1" applyBorder="1" applyAlignment="1">
      <alignment horizontal="center" vertical="center"/>
    </xf>
    <xf numFmtId="174" fontId="29" fillId="0" borderId="25" xfId="0" applyNumberFormat="1" applyFont="1" applyBorder="1" applyAlignment="1">
      <alignment vertical="center"/>
    </xf>
    <xf numFmtId="40" fontId="29" fillId="6" borderId="25" xfId="0" applyNumberFormat="1" applyFont="1" applyFill="1" applyBorder="1" applyAlignment="1">
      <alignment horizontal="center" vertical="center"/>
    </xf>
    <xf numFmtId="0" fontId="29" fillId="0" borderId="25" xfId="0" applyFont="1" applyFill="1" applyBorder="1" applyAlignment="1">
      <alignment horizontal="center" vertical="center"/>
    </xf>
    <xf numFmtId="166" fontId="29" fillId="0" borderId="31" xfId="0" applyNumberFormat="1" applyFont="1" applyBorder="1" applyAlignment="1">
      <alignment horizontal="center" vertical="center"/>
    </xf>
    <xf numFmtId="0" fontId="44" fillId="4" borderId="31" xfId="0" applyFont="1" applyFill="1" applyBorder="1" applyAlignment="1">
      <alignment horizontal="center" vertical="center"/>
    </xf>
    <xf numFmtId="40" fontId="29" fillId="0" borderId="25" xfId="0" applyNumberFormat="1" applyFont="1" applyBorder="1" applyAlignment="1">
      <alignment horizontal="center" vertical="center"/>
    </xf>
    <xf numFmtId="0" fontId="29" fillId="0" borderId="25" xfId="0" applyNumberFormat="1" applyFont="1" applyFill="1" applyBorder="1" applyAlignment="1">
      <alignment horizontal="center" vertical="center"/>
    </xf>
    <xf numFmtId="166" fontId="29" fillId="15" borderId="25" xfId="0" applyNumberFormat="1" applyFont="1" applyFill="1" applyBorder="1" applyAlignment="1">
      <alignment horizontal="center" vertical="center"/>
    </xf>
    <xf numFmtId="0" fontId="26" fillId="0" borderId="0" xfId="0" applyFont="1" applyAlignment="1">
      <alignment horizontal="center"/>
    </xf>
    <xf numFmtId="0" fontId="24" fillId="0" borderId="0" xfId="0" applyFont="1" applyBorder="1" applyAlignment="1">
      <alignment horizontal="center"/>
    </xf>
    <xf numFmtId="0" fontId="24" fillId="0" borderId="0" xfId="0" applyFont="1" applyBorder="1" applyAlignment="1"/>
    <xf numFmtId="0" fontId="24" fillId="0" borderId="0" xfId="0" applyFont="1" applyBorder="1" applyAlignment="1">
      <alignment horizontal="center" vertical="center"/>
    </xf>
    <xf numFmtId="0" fontId="35" fillId="0" borderId="0" xfId="0" applyFont="1" applyBorder="1" applyAlignment="1">
      <alignment horizontal="center"/>
    </xf>
    <xf numFmtId="0" fontId="35" fillId="0" borderId="0" xfId="0" applyFont="1" applyAlignment="1">
      <alignment horizontal="center"/>
    </xf>
    <xf numFmtId="0" fontId="28" fillId="0" borderId="0" xfId="0" applyFont="1" applyAlignment="1">
      <alignment horizontal="center"/>
    </xf>
    <xf numFmtId="0" fontId="28" fillId="2" borderId="0" xfId="0" applyFont="1" applyFill="1" applyAlignment="1">
      <alignment horizontal="center"/>
    </xf>
    <xf numFmtId="0" fontId="28" fillId="0" borderId="34" xfId="0" applyFont="1" applyBorder="1" applyAlignment="1" applyProtection="1">
      <alignment horizontal="center" vertical="center"/>
      <protection locked="0"/>
    </xf>
    <xf numFmtId="41" fontId="28" fillId="0" borderId="35" xfId="0" applyNumberFormat="1" applyFont="1" applyBorder="1" applyAlignment="1" applyProtection="1">
      <alignment horizontal="center" vertical="center"/>
      <protection locked="0"/>
    </xf>
    <xf numFmtId="41" fontId="28" fillId="3" borderId="36" xfId="0" applyNumberFormat="1" applyFont="1" applyFill="1" applyBorder="1" applyAlignment="1" applyProtection="1">
      <alignment horizontal="center" vertical="center"/>
      <protection locked="0"/>
    </xf>
    <xf numFmtId="172" fontId="28" fillId="0" borderId="37" xfId="0" applyNumberFormat="1" applyFont="1" applyBorder="1" applyAlignment="1" applyProtection="1">
      <alignment horizontal="center" vertical="center"/>
      <protection locked="0"/>
    </xf>
    <xf numFmtId="175" fontId="28" fillId="0" borderId="37" xfId="0" applyNumberFormat="1" applyFont="1" applyBorder="1" applyAlignment="1" applyProtection="1">
      <alignment horizontal="center" vertical="center"/>
      <protection locked="0"/>
    </xf>
    <xf numFmtId="175" fontId="28" fillId="0" borderId="38" xfId="0" applyNumberFormat="1" applyFont="1" applyBorder="1" applyAlignment="1" applyProtection="1">
      <alignment horizontal="center" vertical="center"/>
      <protection locked="0"/>
    </xf>
    <xf numFmtId="172" fontId="28" fillId="3" borderId="36" xfId="0" applyNumberFormat="1" applyFont="1" applyFill="1" applyBorder="1" applyAlignment="1" applyProtection="1">
      <alignment horizontal="center" vertical="center"/>
      <protection locked="0"/>
    </xf>
    <xf numFmtId="175" fontId="28" fillId="3" borderId="36" xfId="0" applyNumberFormat="1" applyFont="1" applyFill="1" applyBorder="1" applyAlignment="1" applyProtection="1">
      <alignment horizontal="center" vertical="center"/>
      <protection locked="0"/>
    </xf>
    <xf numFmtId="0" fontId="37" fillId="0" borderId="39" xfId="0" applyFont="1" applyBorder="1" applyAlignment="1" applyProtection="1">
      <alignment horizontal="center" vertical="center" wrapText="1"/>
      <protection locked="0"/>
    </xf>
    <xf numFmtId="0" fontId="37" fillId="0" borderId="40" xfId="0" applyFont="1" applyBorder="1" applyAlignment="1" applyProtection="1">
      <alignment horizontal="center" vertical="center" wrapText="1"/>
      <protection locked="0"/>
    </xf>
    <xf numFmtId="0" fontId="37" fillId="0" borderId="41" xfId="0" applyFont="1" applyBorder="1" applyAlignment="1" applyProtection="1">
      <alignment horizontal="center" vertical="center" wrapText="1"/>
      <protection locked="0"/>
    </xf>
    <xf numFmtId="0" fontId="37" fillId="0" borderId="42" xfId="0" applyFont="1" applyBorder="1" applyAlignment="1" applyProtection="1">
      <alignment horizontal="center" vertical="center" wrapText="1"/>
      <protection locked="0"/>
    </xf>
    <xf numFmtId="0" fontId="37" fillId="0" borderId="43" xfId="0" applyFont="1" applyBorder="1" applyAlignment="1" applyProtection="1">
      <alignment horizontal="center" vertical="center" wrapText="1"/>
      <protection locked="0"/>
    </xf>
    <xf numFmtId="0" fontId="37" fillId="0" borderId="44" xfId="0" applyFont="1" applyBorder="1" applyAlignment="1" applyProtection="1">
      <alignment horizontal="center" vertical="center" wrapText="1"/>
      <protection locked="0"/>
    </xf>
    <xf numFmtId="0" fontId="37" fillId="0" borderId="45" xfId="0" applyFont="1" applyBorder="1" applyAlignment="1" applyProtection="1">
      <alignment horizontal="center" vertical="center" wrapText="1"/>
      <protection locked="0"/>
    </xf>
    <xf numFmtId="0" fontId="28" fillId="0" borderId="0" xfId="0" applyFont="1"/>
    <xf numFmtId="14" fontId="28" fillId="0" borderId="34" xfId="0" applyNumberFormat="1" applyFont="1" applyBorder="1" applyAlignment="1" applyProtection="1">
      <alignment horizontal="center" vertical="center"/>
      <protection locked="0"/>
    </xf>
    <xf numFmtId="41" fontId="28" fillId="3" borderId="46" xfId="0" applyNumberFormat="1" applyFont="1" applyFill="1" applyBorder="1" applyAlignment="1" applyProtection="1">
      <alignment horizontal="center" vertical="center"/>
      <protection locked="0"/>
    </xf>
    <xf numFmtId="0" fontId="29" fillId="9" borderId="25" xfId="0" applyFont="1" applyFill="1" applyBorder="1" applyAlignment="1">
      <alignment horizontal="center" vertical="center" wrapText="1"/>
    </xf>
    <xf numFmtId="0" fontId="29" fillId="11" borderId="31" xfId="0" applyFont="1" applyFill="1" applyBorder="1" applyAlignment="1">
      <alignment horizontal="center" vertical="center"/>
    </xf>
    <xf numFmtId="0" fontId="29" fillId="13" borderId="31" xfId="0" applyFont="1" applyFill="1" applyBorder="1" applyAlignment="1">
      <alignment horizontal="center" vertical="center"/>
    </xf>
    <xf numFmtId="0" fontId="29" fillId="6" borderId="31" xfId="0" applyFont="1" applyFill="1" applyBorder="1" applyAlignment="1">
      <alignment horizontal="center" vertical="center"/>
    </xf>
    <xf numFmtId="0" fontId="29" fillId="9" borderId="31" xfId="0" applyFont="1" applyFill="1" applyBorder="1" applyAlignment="1">
      <alignment horizontal="center" vertical="center"/>
    </xf>
    <xf numFmtId="0" fontId="29" fillId="7" borderId="31" xfId="0" applyFont="1" applyFill="1" applyBorder="1" applyAlignment="1">
      <alignment horizontal="center" vertical="center"/>
    </xf>
    <xf numFmtId="0" fontId="29" fillId="16" borderId="31" xfId="0" applyFont="1" applyFill="1" applyBorder="1" applyAlignment="1">
      <alignment horizontal="center" vertical="center"/>
    </xf>
    <xf numFmtId="0" fontId="29" fillId="12" borderId="31" xfId="0" applyFont="1" applyFill="1" applyBorder="1" applyAlignment="1">
      <alignment horizontal="center" vertical="center"/>
    </xf>
    <xf numFmtId="0" fontId="29" fillId="10" borderId="31" xfId="0" applyFont="1" applyFill="1" applyBorder="1" applyAlignment="1">
      <alignment horizontal="center" vertical="center"/>
    </xf>
    <xf numFmtId="0" fontId="24" fillId="0" borderId="0" xfId="0" applyFont="1" applyFill="1" applyAlignment="1">
      <alignment horizontal="center" vertical="center"/>
    </xf>
    <xf numFmtId="0" fontId="24" fillId="0" borderId="0" xfId="0" applyFont="1" applyAlignment="1">
      <alignment vertical="center"/>
    </xf>
    <xf numFmtId="0" fontId="24" fillId="0" borderId="0" xfId="0" applyFont="1" applyFill="1" applyAlignment="1">
      <alignment vertical="center"/>
    </xf>
    <xf numFmtId="0" fontId="29" fillId="0" borderId="0" xfId="0" applyFont="1" applyFill="1" applyBorder="1" applyAlignment="1">
      <alignment horizontal="center" vertical="center"/>
    </xf>
    <xf numFmtId="167" fontId="24" fillId="0" borderId="0" xfId="0" applyNumberFormat="1" applyFont="1" applyAlignment="1">
      <alignment horizontal="center" vertical="center"/>
    </xf>
    <xf numFmtId="166" fontId="24" fillId="0" borderId="0" xfId="0" applyNumberFormat="1" applyFont="1" applyAlignment="1">
      <alignment horizontal="center" vertical="center"/>
    </xf>
    <xf numFmtId="0" fontId="28" fillId="0" borderId="47" xfId="0" applyFont="1" applyBorder="1" applyAlignment="1" applyProtection="1">
      <alignment horizontal="center" vertical="center"/>
      <protection locked="0"/>
    </xf>
    <xf numFmtId="41" fontId="28" fillId="0" borderId="48" xfId="0" applyNumberFormat="1" applyFont="1" applyBorder="1" applyAlignment="1" applyProtection="1">
      <alignment horizontal="center" vertical="center"/>
      <protection locked="0"/>
    </xf>
    <xf numFmtId="41" fontId="28" fillId="0" borderId="30" xfId="0" applyNumberFormat="1" applyFont="1" applyBorder="1" applyAlignment="1" applyProtection="1">
      <alignment horizontal="center" vertical="center"/>
      <protection locked="0"/>
    </xf>
    <xf numFmtId="175" fontId="28" fillId="0" borderId="49" xfId="0" applyNumberFormat="1" applyFont="1" applyBorder="1" applyAlignment="1" applyProtection="1">
      <alignment horizontal="center" vertical="center"/>
      <protection locked="0"/>
    </xf>
    <xf numFmtId="175" fontId="28" fillId="0" borderId="27" xfId="0" applyNumberFormat="1" applyFont="1" applyBorder="1" applyAlignment="1" applyProtection="1">
      <alignment horizontal="center" vertical="center"/>
      <protection locked="0"/>
    </xf>
    <xf numFmtId="172" fontId="28" fillId="0" borderId="38" xfId="0" applyNumberFormat="1" applyFont="1" applyBorder="1" applyAlignment="1" applyProtection="1">
      <alignment horizontal="center" vertical="center"/>
      <protection locked="0"/>
    </xf>
    <xf numFmtId="172" fontId="28" fillId="3" borderId="50" xfId="0" applyNumberFormat="1" applyFont="1" applyFill="1" applyBorder="1" applyAlignment="1" applyProtection="1">
      <alignment horizontal="center" vertical="center"/>
      <protection locked="0"/>
    </xf>
    <xf numFmtId="172" fontId="28" fillId="0" borderId="49" xfId="0" applyNumberFormat="1" applyFont="1" applyBorder="1" applyAlignment="1" applyProtection="1">
      <alignment horizontal="center" vertical="center"/>
      <protection locked="0"/>
    </xf>
    <xf numFmtId="172" fontId="28" fillId="0" borderId="27" xfId="0" applyNumberFormat="1" applyFont="1" applyBorder="1" applyAlignment="1" applyProtection="1">
      <alignment horizontal="center" vertical="center"/>
      <protection locked="0"/>
    </xf>
    <xf numFmtId="172" fontId="28" fillId="3" borderId="46" xfId="0" applyNumberFormat="1" applyFont="1" applyFill="1" applyBorder="1" applyAlignment="1" applyProtection="1">
      <alignment horizontal="center" vertical="center"/>
      <protection locked="0"/>
    </xf>
    <xf numFmtId="175" fontId="28" fillId="3" borderId="50" xfId="0" applyNumberFormat="1" applyFont="1" applyFill="1" applyBorder="1" applyAlignment="1" applyProtection="1">
      <alignment horizontal="center" vertical="center"/>
      <protection locked="0"/>
    </xf>
    <xf numFmtId="175" fontId="31" fillId="0" borderId="51" xfId="0" applyNumberFormat="1" applyFont="1" applyBorder="1" applyAlignment="1" applyProtection="1">
      <alignment horizontal="center" vertical="center" wrapText="1"/>
      <protection locked="0"/>
    </xf>
    <xf numFmtId="175" fontId="31" fillId="0" borderId="52" xfId="0" applyNumberFormat="1" applyFont="1" applyBorder="1" applyAlignment="1" applyProtection="1">
      <alignment horizontal="center" vertical="center" wrapText="1"/>
      <protection locked="0"/>
    </xf>
    <xf numFmtId="41" fontId="40" fillId="0" borderId="42" xfId="0" applyNumberFormat="1" applyFont="1" applyBorder="1" applyAlignment="1" applyProtection="1">
      <alignment horizontal="center" vertical="center" wrapText="1"/>
      <protection locked="0"/>
    </xf>
    <xf numFmtId="41" fontId="39" fillId="0" borderId="53" xfId="0" applyNumberFormat="1" applyFont="1" applyBorder="1" applyAlignment="1" applyProtection="1">
      <alignment horizontal="center" vertical="center" wrapText="1"/>
      <protection locked="0"/>
    </xf>
    <xf numFmtId="14" fontId="29" fillId="0" borderId="27" xfId="0" applyNumberFormat="1" applyFont="1" applyBorder="1" applyAlignment="1">
      <alignment horizontal="center" vertical="center"/>
    </xf>
    <xf numFmtId="0" fontId="29" fillId="0" borderId="26" xfId="0" applyFont="1" applyBorder="1" applyAlignment="1">
      <alignment horizontal="center" vertical="center"/>
    </xf>
    <xf numFmtId="0" fontId="29" fillId="16" borderId="26" xfId="0" applyFont="1" applyFill="1" applyBorder="1" applyAlignment="1">
      <alignment horizontal="center" vertical="center"/>
    </xf>
    <xf numFmtId="0" fontId="29" fillId="7" borderId="26" xfId="0" applyFont="1" applyFill="1" applyBorder="1" applyAlignment="1">
      <alignment horizontal="center" vertical="center"/>
    </xf>
    <xf numFmtId="0" fontId="29" fillId="8" borderId="26" xfId="0" applyFont="1" applyFill="1" applyBorder="1" applyAlignment="1">
      <alignment horizontal="center" vertical="center"/>
    </xf>
    <xf numFmtId="0" fontId="29" fillId="6" borderId="26" xfId="0" applyFont="1" applyFill="1" applyBorder="1" applyAlignment="1">
      <alignment horizontal="center" vertical="center"/>
    </xf>
    <xf numFmtId="0" fontId="29" fillId="9" borderId="26" xfId="0" applyFont="1" applyFill="1" applyBorder="1" applyAlignment="1">
      <alignment horizontal="center" vertical="center"/>
    </xf>
    <xf numFmtId="0" fontId="29" fillId="10" borderId="26" xfId="0" applyFont="1" applyFill="1" applyBorder="1" applyAlignment="1">
      <alignment horizontal="center" vertical="center"/>
    </xf>
    <xf numFmtId="0" fontId="29" fillId="11" borderId="26" xfId="0" applyFont="1" applyFill="1" applyBorder="1" applyAlignment="1">
      <alignment horizontal="center" vertical="center"/>
    </xf>
    <xf numFmtId="0" fontId="29" fillId="12" borderId="26" xfId="0" applyFont="1" applyFill="1" applyBorder="1" applyAlignment="1">
      <alignment horizontal="center" vertical="center"/>
    </xf>
    <xf numFmtId="0" fontId="29" fillId="13" borderId="26" xfId="0" applyFont="1" applyFill="1" applyBorder="1" applyAlignment="1">
      <alignment horizontal="center" vertical="center"/>
    </xf>
    <xf numFmtId="167" fontId="29" fillId="0" borderId="25" xfId="0" applyNumberFormat="1" applyFont="1" applyFill="1" applyBorder="1" applyAlignment="1">
      <alignment horizontal="center" vertical="center"/>
    </xf>
    <xf numFmtId="167" fontId="29" fillId="0" borderId="25" xfId="0" applyNumberFormat="1" applyFont="1" applyBorder="1" applyAlignment="1">
      <alignment horizontal="center" vertical="center"/>
    </xf>
    <xf numFmtId="167" fontId="29" fillId="16" borderId="25" xfId="0" applyNumberFormat="1" applyFont="1" applyFill="1" applyBorder="1" applyAlignment="1">
      <alignment horizontal="center" vertical="center"/>
    </xf>
    <xf numFmtId="0" fontId="30" fillId="0" borderId="25" xfId="0" applyFont="1" applyBorder="1" applyAlignment="1">
      <alignment horizontal="center" vertical="center"/>
    </xf>
    <xf numFmtId="166" fontId="25" fillId="0" borderId="25" xfId="0" applyNumberFormat="1" applyFont="1" applyFill="1" applyBorder="1" applyAlignment="1">
      <alignment horizontal="center" vertical="center"/>
    </xf>
    <xf numFmtId="167" fontId="24" fillId="0" borderId="25" xfId="0" applyNumberFormat="1" applyFont="1" applyFill="1" applyBorder="1" applyAlignment="1">
      <alignment horizontal="center" vertical="center"/>
    </xf>
    <xf numFmtId="0" fontId="25" fillId="0" borderId="25" xfId="0" applyFont="1" applyFill="1" applyBorder="1" applyAlignment="1">
      <alignment horizontal="center" vertical="center"/>
    </xf>
    <xf numFmtId="166" fontId="30" fillId="0" borderId="25" xfId="0" applyNumberFormat="1" applyFont="1" applyBorder="1" applyAlignment="1">
      <alignment horizontal="center" vertical="center"/>
    </xf>
    <xf numFmtId="167" fontId="25" fillId="0" borderId="25" xfId="0" applyNumberFormat="1" applyFont="1" applyFill="1" applyBorder="1" applyAlignment="1">
      <alignment horizontal="center" vertical="center"/>
    </xf>
    <xf numFmtId="165" fontId="25" fillId="0" borderId="25" xfId="0" applyNumberFormat="1" applyFont="1" applyFill="1" applyBorder="1" applyAlignment="1">
      <alignment horizontal="center" vertical="center"/>
    </xf>
    <xf numFmtId="0" fontId="29" fillId="0" borderId="54" xfId="0" applyFont="1" applyBorder="1" applyAlignment="1">
      <alignment horizontal="center" vertical="center"/>
    </xf>
    <xf numFmtId="0" fontId="29" fillId="0" borderId="55" xfId="0" applyFont="1" applyBorder="1" applyAlignment="1">
      <alignment horizontal="center" vertical="center"/>
    </xf>
    <xf numFmtId="0" fontId="29" fillId="0" borderId="56" xfId="0" applyFont="1" applyBorder="1" applyAlignment="1" applyProtection="1">
      <alignment horizontal="center" vertical="center"/>
      <protection locked="0"/>
    </xf>
    <xf numFmtId="0" fontId="29" fillId="0" borderId="57" xfId="0" applyFont="1" applyBorder="1" applyAlignment="1" applyProtection="1">
      <alignment horizontal="center" vertical="center"/>
      <protection locked="0"/>
    </xf>
    <xf numFmtId="0" fontId="29" fillId="0" borderId="0" xfId="0" applyFont="1" applyBorder="1" applyAlignment="1">
      <alignment horizontal="center" vertical="center"/>
    </xf>
    <xf numFmtId="166" fontId="24" fillId="0" borderId="0" xfId="0" applyNumberFormat="1" applyFont="1" applyBorder="1" applyAlignment="1">
      <alignment horizontal="center" vertical="center"/>
    </xf>
    <xf numFmtId="0" fontId="30" fillId="0" borderId="0" xfId="0" applyFont="1" applyBorder="1" applyAlignment="1">
      <alignment horizontal="center" vertical="center"/>
    </xf>
    <xf numFmtId="171" fontId="29" fillId="6" borderId="25" xfId="0" applyNumberFormat="1" applyFont="1" applyFill="1" applyBorder="1" applyAlignment="1">
      <alignment horizontal="center" vertical="center"/>
    </xf>
    <xf numFmtId="0" fontId="29" fillId="4" borderId="25" xfId="0" applyFont="1" applyFill="1" applyBorder="1" applyAlignment="1">
      <alignment horizontal="center" vertical="center"/>
    </xf>
    <xf numFmtId="0" fontId="45" fillId="0" borderId="25" xfId="0" applyFont="1" applyBorder="1" applyAlignment="1">
      <alignment horizontal="center" vertical="center"/>
    </xf>
    <xf numFmtId="171" fontId="24" fillId="6" borderId="25" xfId="0" applyNumberFormat="1" applyFont="1" applyFill="1" applyBorder="1" applyAlignment="1">
      <alignment horizontal="center"/>
    </xf>
    <xf numFmtId="174" fontId="30" fillId="0" borderId="25" xfId="0" applyNumberFormat="1" applyFont="1" applyBorder="1" applyAlignment="1">
      <alignment horizontal="center" vertical="center"/>
    </xf>
    <xf numFmtId="168" fontId="29" fillId="0" borderId="25" xfId="0" applyNumberFormat="1" applyFont="1" applyBorder="1" applyAlignment="1">
      <alignment horizontal="center" vertical="center"/>
    </xf>
    <xf numFmtId="169" fontId="29" fillId="0" borderId="25" xfId="0" applyNumberFormat="1" applyFont="1" applyBorder="1" applyAlignment="1">
      <alignment horizontal="center" vertical="center"/>
    </xf>
    <xf numFmtId="0" fontId="26" fillId="0" borderId="25" xfId="0" applyFont="1" applyBorder="1" applyAlignment="1">
      <alignment horizontal="center" vertical="center" wrapText="1"/>
    </xf>
    <xf numFmtId="0" fontId="29" fillId="0" borderId="58" xfId="0" applyFont="1" applyBorder="1" applyAlignment="1">
      <alignment horizontal="center" vertical="center"/>
    </xf>
    <xf numFmtId="0" fontId="24" fillId="0" borderId="0" xfId="0" applyFont="1" applyBorder="1" applyAlignment="1">
      <alignment vertical="center"/>
    </xf>
    <xf numFmtId="0" fontId="26" fillId="9" borderId="25" xfId="0" applyFont="1" applyFill="1" applyBorder="1" applyAlignment="1">
      <alignment horizontal="center" vertical="center"/>
    </xf>
    <xf numFmtId="49" fontId="49" fillId="0" borderId="0" xfId="0" applyNumberFormat="1" applyFont="1" applyFill="1" applyBorder="1" applyAlignment="1">
      <alignment horizontal="center" vertical="center"/>
    </xf>
    <xf numFmtId="49" fontId="17" fillId="0" borderId="0" xfId="0" applyNumberFormat="1" applyFont="1" applyBorder="1" applyAlignment="1">
      <alignment vertical="center"/>
    </xf>
    <xf numFmtId="0" fontId="26" fillId="0" borderId="59" xfId="0" applyFont="1" applyBorder="1" applyAlignment="1" applyProtection="1">
      <alignment horizontal="center" vertical="center"/>
      <protection locked="0"/>
    </xf>
    <xf numFmtId="0" fontId="28" fillId="0" borderId="10" xfId="0" applyFont="1" applyBorder="1" applyAlignment="1">
      <alignment wrapText="1"/>
    </xf>
    <xf numFmtId="0" fontId="24" fillId="0" borderId="10" xfId="0" applyFont="1" applyBorder="1" applyAlignment="1">
      <alignment horizontal="center"/>
    </xf>
    <xf numFmtId="0" fontId="50" fillId="0" borderId="0" xfId="0" applyFont="1"/>
    <xf numFmtId="0" fontId="30" fillId="0" borderId="10" xfId="0" applyFont="1" applyBorder="1" applyAlignment="1">
      <alignment horizontal="center"/>
    </xf>
    <xf numFmtId="0" fontId="29" fillId="0" borderId="25" xfId="0" applyFont="1" applyBorder="1" applyAlignment="1">
      <alignment horizontal="center" vertical="center" wrapText="1"/>
    </xf>
    <xf numFmtId="166" fontId="24" fillId="0" borderId="0" xfId="0" applyNumberFormat="1" applyFont="1" applyFill="1" applyBorder="1" applyAlignment="1">
      <alignment horizontal="center" vertical="center"/>
    </xf>
    <xf numFmtId="0" fontId="26" fillId="0" borderId="27" xfId="0" applyFont="1" applyBorder="1" applyAlignment="1">
      <alignment horizontal="center" vertical="center" wrapText="1"/>
    </xf>
    <xf numFmtId="169" fontId="29" fillId="0" borderId="27" xfId="0" applyNumberFormat="1" applyFont="1" applyBorder="1" applyAlignment="1">
      <alignment horizontal="center" vertical="center"/>
    </xf>
    <xf numFmtId="0" fontId="29" fillId="0" borderId="60" xfId="0" applyFont="1" applyBorder="1" applyAlignment="1">
      <alignment horizontal="center" vertical="center"/>
    </xf>
    <xf numFmtId="14" fontId="41" fillId="0" borderId="25" xfId="0" applyNumberFormat="1" applyFont="1" applyBorder="1" applyAlignment="1">
      <alignment horizontal="center" vertical="center" wrapText="1"/>
    </xf>
    <xf numFmtId="168" fontId="29" fillId="4" borderId="25" xfId="0" applyNumberFormat="1" applyFont="1" applyFill="1" applyBorder="1" applyAlignment="1">
      <alignment horizontal="center" vertical="center"/>
    </xf>
    <xf numFmtId="169" fontId="29" fillId="4" borderId="25" xfId="0" applyNumberFormat="1" applyFont="1" applyFill="1" applyBorder="1" applyAlignment="1">
      <alignment horizontal="center" vertical="center"/>
    </xf>
    <xf numFmtId="0" fontId="29" fillId="4" borderId="0" xfId="0" applyFont="1" applyFill="1" applyBorder="1" applyAlignment="1">
      <alignment horizontal="center" vertical="center"/>
    </xf>
    <xf numFmtId="41" fontId="28" fillId="4" borderId="35" xfId="0" applyNumberFormat="1" applyFont="1" applyFill="1" applyBorder="1" applyAlignment="1" applyProtection="1">
      <alignment horizontal="center" vertical="center"/>
      <protection locked="0"/>
    </xf>
    <xf numFmtId="0" fontId="22" fillId="0" borderId="0" xfId="0" applyFont="1" applyBorder="1" applyAlignment="1" applyProtection="1">
      <alignment horizontal="center" vertical="center"/>
      <protection locked="0"/>
    </xf>
    <xf numFmtId="0" fontId="22" fillId="0" borderId="0" xfId="0" applyFont="1" applyBorder="1" applyAlignment="1" applyProtection="1">
      <alignment vertical="center"/>
      <protection locked="0"/>
    </xf>
    <xf numFmtId="0" fontId="22" fillId="0" borderId="0" xfId="0" applyFont="1" applyAlignment="1" applyProtection="1">
      <alignment horizontal="center" vertical="center"/>
      <protection locked="0"/>
    </xf>
    <xf numFmtId="0" fontId="31" fillId="0" borderId="61" xfId="0" applyFont="1" applyBorder="1" applyAlignment="1" applyProtection="1">
      <alignment horizontal="center" vertical="center" wrapText="1"/>
      <protection locked="0"/>
    </xf>
    <xf numFmtId="0" fontId="31" fillId="0" borderId="62" xfId="0" applyFont="1" applyBorder="1" applyAlignment="1" applyProtection="1">
      <alignment horizontal="center" vertical="center" wrapText="1"/>
      <protection locked="0"/>
    </xf>
    <xf numFmtId="0" fontId="31" fillId="0" borderId="63" xfId="0" applyFont="1" applyBorder="1" applyAlignment="1" applyProtection="1">
      <alignment horizontal="center" vertical="center" wrapText="1"/>
      <protection locked="0"/>
    </xf>
    <xf numFmtId="0" fontId="31" fillId="2" borderId="61" xfId="0" applyFont="1" applyFill="1" applyBorder="1" applyAlignment="1" applyProtection="1">
      <alignment horizontal="center" vertical="center" wrapText="1"/>
      <protection locked="0"/>
    </xf>
    <xf numFmtId="0" fontId="31" fillId="2" borderId="62" xfId="0" applyFont="1" applyFill="1" applyBorder="1" applyAlignment="1" applyProtection="1">
      <alignment horizontal="center" vertical="center" wrapText="1"/>
      <protection locked="0"/>
    </xf>
    <xf numFmtId="0" fontId="31" fillId="2" borderId="63" xfId="0" applyFont="1" applyFill="1" applyBorder="1" applyAlignment="1" applyProtection="1">
      <alignment horizontal="center" vertical="center" wrapText="1"/>
      <protection locked="0"/>
    </xf>
    <xf numFmtId="165" fontId="31" fillId="2" borderId="64" xfId="0" applyNumberFormat="1" applyFont="1" applyFill="1" applyBorder="1" applyAlignment="1" applyProtection="1">
      <alignment horizontal="center" vertical="center" wrapText="1"/>
      <protection locked="0"/>
    </xf>
    <xf numFmtId="165" fontId="31" fillId="2" borderId="65" xfId="0" applyNumberFormat="1" applyFont="1" applyFill="1" applyBorder="1" applyAlignment="1" applyProtection="1">
      <alignment horizontal="center" vertical="center" wrapText="1"/>
      <protection locked="0"/>
    </xf>
    <xf numFmtId="165" fontId="31" fillId="2" borderId="46" xfId="0" applyNumberFormat="1" applyFont="1" applyFill="1" applyBorder="1" applyAlignment="1" applyProtection="1">
      <alignment horizontal="center" vertical="center" wrapText="1"/>
      <protection locked="0"/>
    </xf>
    <xf numFmtId="165" fontId="31" fillId="2" borderId="50" xfId="0" applyNumberFormat="1" applyFont="1" applyFill="1" applyBorder="1" applyAlignment="1" applyProtection="1">
      <alignment horizontal="center" vertical="center" wrapText="1"/>
      <protection locked="0"/>
    </xf>
    <xf numFmtId="0" fontId="31" fillId="0" borderId="64" xfId="0" applyFont="1" applyBorder="1" applyAlignment="1" applyProtection="1">
      <alignment horizontal="center" vertical="center" wrapText="1"/>
      <protection locked="0"/>
    </xf>
    <xf numFmtId="0" fontId="31" fillId="0" borderId="65" xfId="0" applyFont="1" applyBorder="1" applyAlignment="1" applyProtection="1">
      <alignment horizontal="center" vertical="center" wrapText="1"/>
      <protection locked="0"/>
    </xf>
    <xf numFmtId="0" fontId="31" fillId="0" borderId="46" xfId="0" applyFont="1" applyBorder="1" applyAlignment="1" applyProtection="1">
      <alignment horizontal="center" vertical="center" wrapText="1"/>
      <protection locked="0"/>
    </xf>
    <xf numFmtId="0" fontId="31" fillId="0" borderId="50" xfId="0" applyFont="1" applyBorder="1" applyAlignment="1" applyProtection="1">
      <alignment horizontal="center" vertical="center" wrapText="1"/>
      <protection locked="0"/>
    </xf>
    <xf numFmtId="0" fontId="31" fillId="2" borderId="64" xfId="0" applyFont="1" applyFill="1" applyBorder="1" applyAlignment="1" applyProtection="1">
      <alignment horizontal="center" vertical="center" wrapText="1"/>
      <protection locked="0"/>
    </xf>
    <xf numFmtId="0" fontId="31" fillId="2" borderId="65" xfId="0" applyFont="1" applyFill="1" applyBorder="1" applyAlignment="1" applyProtection="1">
      <alignment horizontal="center" vertical="center" wrapText="1"/>
      <protection locked="0"/>
    </xf>
    <xf numFmtId="0" fontId="31" fillId="2" borderId="46" xfId="0" applyFont="1" applyFill="1" applyBorder="1" applyAlignment="1" applyProtection="1">
      <alignment horizontal="center" vertical="center" wrapText="1"/>
      <protection locked="0"/>
    </xf>
    <xf numFmtId="0" fontId="31" fillId="2" borderId="50" xfId="0" applyFont="1" applyFill="1" applyBorder="1" applyAlignment="1" applyProtection="1">
      <alignment horizontal="center" vertical="center" wrapText="1"/>
      <protection locked="0"/>
    </xf>
    <xf numFmtId="43" fontId="27" fillId="0" borderId="66" xfId="0" applyNumberFormat="1" applyFont="1" applyBorder="1" applyAlignment="1" applyProtection="1">
      <alignment horizontal="center" vertical="center"/>
      <protection locked="0"/>
    </xf>
    <xf numFmtId="43" fontId="27" fillId="0" borderId="67" xfId="0" applyNumberFormat="1" applyFont="1" applyBorder="1" applyAlignment="1" applyProtection="1">
      <alignment horizontal="center" vertical="center"/>
      <protection locked="0"/>
    </xf>
    <xf numFmtId="0" fontId="31" fillId="2" borderId="66" xfId="0" applyFont="1" applyFill="1" applyBorder="1" applyAlignment="1" applyProtection="1">
      <alignment horizontal="center" vertical="center" wrapText="1"/>
      <protection locked="0"/>
    </xf>
    <xf numFmtId="0" fontId="31" fillId="2" borderId="68" xfId="0" applyFont="1" applyFill="1" applyBorder="1" applyAlignment="1" applyProtection="1">
      <alignment horizontal="center" vertical="center" wrapText="1"/>
      <protection locked="0"/>
    </xf>
    <xf numFmtId="0" fontId="31" fillId="0" borderId="65" xfId="0" applyFont="1" applyBorder="1" applyAlignment="1" applyProtection="1">
      <alignment horizontal="center" vertical="center"/>
      <protection locked="0"/>
    </xf>
    <xf numFmtId="0" fontId="31" fillId="0" borderId="46" xfId="0" applyFont="1" applyBorder="1" applyAlignment="1" applyProtection="1">
      <alignment horizontal="center" vertical="center"/>
      <protection locked="0"/>
    </xf>
    <xf numFmtId="0" fontId="31" fillId="0" borderId="50" xfId="0" applyFont="1" applyBorder="1" applyAlignment="1" applyProtection="1">
      <alignment horizontal="center" vertical="center"/>
      <protection locked="0"/>
    </xf>
    <xf numFmtId="0" fontId="31" fillId="0" borderId="69" xfId="0" applyFont="1" applyBorder="1" applyAlignment="1" applyProtection="1">
      <alignment horizontal="center" vertical="center" wrapText="1"/>
      <protection locked="0"/>
    </xf>
    <xf numFmtId="0" fontId="31" fillId="0" borderId="36" xfId="0" applyFont="1" applyBorder="1" applyAlignment="1" applyProtection="1">
      <alignment horizontal="center" vertical="center"/>
      <protection locked="0"/>
    </xf>
    <xf numFmtId="0" fontId="27" fillId="2" borderId="66" xfId="0" applyFont="1" applyFill="1" applyBorder="1" applyAlignment="1" applyProtection="1">
      <alignment horizontal="center" vertical="center" wrapText="1"/>
      <protection locked="0"/>
    </xf>
    <xf numFmtId="0" fontId="27" fillId="2" borderId="68" xfId="0" applyFont="1" applyFill="1" applyBorder="1" applyAlignment="1" applyProtection="1">
      <alignment horizontal="center" vertical="center" wrapText="1"/>
      <protection locked="0"/>
    </xf>
    <xf numFmtId="0" fontId="27" fillId="0" borderId="64" xfId="0" applyFont="1" applyBorder="1" applyAlignment="1">
      <alignment horizontal="center" vertical="center" wrapText="1"/>
    </xf>
    <xf numFmtId="0" fontId="27" fillId="0" borderId="65" xfId="0" applyFont="1" applyBorder="1" applyAlignment="1">
      <alignment horizontal="center" vertical="center"/>
    </xf>
    <xf numFmtId="0" fontId="27" fillId="0" borderId="46" xfId="0" applyFont="1" applyBorder="1" applyAlignment="1">
      <alignment horizontal="center" vertical="center"/>
    </xf>
    <xf numFmtId="0" fontId="27" fillId="0" borderId="50" xfId="0" applyFont="1" applyBorder="1" applyAlignment="1">
      <alignment horizontal="center" vertical="center"/>
    </xf>
    <xf numFmtId="170" fontId="22" fillId="0" borderId="27" xfId="0" applyNumberFormat="1" applyFont="1" applyBorder="1" applyAlignment="1">
      <alignment horizontal="center"/>
    </xf>
    <xf numFmtId="170" fontId="22" fillId="0" borderId="30" xfId="0" applyNumberFormat="1" applyFont="1" applyBorder="1" applyAlignment="1">
      <alignment horizontal="center"/>
    </xf>
    <xf numFmtId="0" fontId="29" fillId="0" borderId="27" xfId="0" applyFont="1" applyBorder="1" applyAlignment="1">
      <alignment horizontal="center" vertical="center"/>
    </xf>
    <xf numFmtId="0" fontId="29" fillId="0" borderId="70" xfId="0" applyFont="1" applyBorder="1" applyAlignment="1">
      <alignment horizontal="center" vertical="center"/>
    </xf>
    <xf numFmtId="0" fontId="29" fillId="15" borderId="33" xfId="0" applyFont="1" applyFill="1" applyBorder="1" applyAlignment="1">
      <alignment horizontal="center" vertical="center" wrapText="1"/>
    </xf>
    <xf numFmtId="0" fontId="29" fillId="15" borderId="71" xfId="0" applyFont="1" applyFill="1" applyBorder="1" applyAlignment="1">
      <alignment horizontal="center" vertical="center" wrapText="1"/>
    </xf>
    <xf numFmtId="165" fontId="51" fillId="0" borderId="10" xfId="0" applyNumberFormat="1" applyFont="1" applyBorder="1" applyAlignment="1">
      <alignment horizontal="center" vertical="center"/>
    </xf>
    <xf numFmtId="165" fontId="25" fillId="0" borderId="31" xfId="0" applyNumberFormat="1" applyFont="1" applyBorder="1" applyAlignment="1">
      <alignment horizontal="center" vertical="center"/>
    </xf>
    <xf numFmtId="0" fontId="51" fillId="11" borderId="70" xfId="0" applyFont="1" applyFill="1" applyBorder="1" applyAlignment="1">
      <alignment horizontal="center" vertical="center"/>
    </xf>
    <xf numFmtId="0" fontId="51" fillId="11" borderId="71" xfId="0" applyFont="1" applyFill="1" applyBorder="1" applyAlignment="1">
      <alignment horizontal="center" vertical="center"/>
    </xf>
    <xf numFmtId="0" fontId="51" fillId="11" borderId="33" xfId="0" applyFont="1" applyFill="1" applyBorder="1" applyAlignment="1">
      <alignment horizontal="center" vertical="center"/>
    </xf>
    <xf numFmtId="0" fontId="51" fillId="11" borderId="72" xfId="0" applyFont="1" applyFill="1" applyBorder="1" applyAlignment="1">
      <alignment horizontal="center" vertical="center"/>
    </xf>
    <xf numFmtId="0" fontId="29" fillId="0" borderId="10" xfId="0" applyFont="1" applyBorder="1" applyAlignment="1">
      <alignment horizontal="center" vertical="center"/>
    </xf>
    <xf numFmtId="49" fontId="29" fillId="0" borderId="10" xfId="0" applyNumberFormat="1" applyFont="1" applyBorder="1" applyAlignment="1">
      <alignment horizontal="center" vertical="center"/>
    </xf>
    <xf numFmtId="49" fontId="29" fillId="0" borderId="31" xfId="0" applyNumberFormat="1" applyFont="1" applyBorder="1" applyAlignment="1">
      <alignment horizontal="center" vertical="center"/>
    </xf>
    <xf numFmtId="0" fontId="25" fillId="0" borderId="10" xfId="0" applyFont="1" applyBorder="1" applyAlignment="1">
      <alignment horizontal="center" vertical="center"/>
    </xf>
    <xf numFmtId="0" fontId="25" fillId="0" borderId="31" xfId="0" applyFont="1" applyBorder="1" applyAlignment="1">
      <alignment horizontal="center" vertical="center"/>
    </xf>
    <xf numFmtId="165" fontId="29" fillId="0" borderId="10" xfId="0" applyNumberFormat="1" applyFont="1" applyBorder="1" applyAlignment="1">
      <alignment horizontal="center" vertical="center"/>
    </xf>
    <xf numFmtId="0" fontId="52" fillId="0" borderId="0" xfId="0" applyFont="1" applyFill="1" applyBorder="1" applyAlignment="1">
      <alignment horizontal="center"/>
    </xf>
    <xf numFmtId="0" fontId="29" fillId="0" borderId="31" xfId="0" applyFont="1" applyBorder="1" applyAlignment="1">
      <alignment horizontal="center" vertical="center"/>
    </xf>
    <xf numFmtId="0" fontId="53" fillId="17" borderId="25" xfId="0" applyFont="1" applyFill="1" applyBorder="1" applyAlignment="1">
      <alignment horizontal="center" vertical="center"/>
    </xf>
    <xf numFmtId="0" fontId="29" fillId="0" borderId="25" xfId="0" applyFont="1" applyBorder="1" applyAlignment="1">
      <alignment horizontal="center" vertical="center"/>
    </xf>
    <xf numFmtId="0" fontId="29" fillId="5" borderId="25" xfId="0" applyFont="1" applyFill="1" applyBorder="1" applyAlignment="1">
      <alignment horizontal="center" vertical="center"/>
    </xf>
    <xf numFmtId="165" fontId="53" fillId="0" borderId="25" xfId="0" applyNumberFormat="1" applyFont="1" applyBorder="1" applyAlignment="1">
      <alignment horizontal="center" vertical="center"/>
    </xf>
    <xf numFmtId="165" fontId="25" fillId="0" borderId="25" xfId="0" applyNumberFormat="1" applyFont="1" applyBorder="1" applyAlignment="1">
      <alignment horizontal="center" vertical="center"/>
    </xf>
    <xf numFmtId="0" fontId="29" fillId="0" borderId="73" xfId="0" applyFont="1" applyBorder="1" applyAlignment="1">
      <alignment horizontal="center" vertical="center"/>
    </xf>
    <xf numFmtId="0" fontId="29" fillId="9" borderId="11" xfId="0" applyFont="1" applyFill="1" applyBorder="1" applyAlignment="1">
      <alignment horizontal="center" vertical="center"/>
    </xf>
    <xf numFmtId="0" fontId="29" fillId="9" borderId="0" xfId="0" applyFont="1" applyFill="1" applyBorder="1" applyAlignment="1">
      <alignment horizontal="center" vertical="center"/>
    </xf>
    <xf numFmtId="0" fontId="29" fillId="9" borderId="74" xfId="0" applyFont="1" applyFill="1" applyBorder="1" applyAlignment="1">
      <alignment horizontal="center" vertical="center"/>
    </xf>
    <xf numFmtId="165" fontId="48" fillId="9" borderId="26" xfId="0" applyNumberFormat="1" applyFont="1" applyFill="1" applyBorder="1" applyAlignment="1">
      <alignment horizontal="center" vertical="center"/>
    </xf>
    <xf numFmtId="165" fontId="48" fillId="9" borderId="73" xfId="0" applyNumberFormat="1" applyFont="1" applyFill="1" applyBorder="1" applyAlignment="1">
      <alignment horizontal="center" vertical="center"/>
    </xf>
    <xf numFmtId="0" fontId="52" fillId="18" borderId="0" xfId="0" applyFont="1" applyFill="1" applyBorder="1" applyAlignment="1">
      <alignment horizontal="center" vertical="center"/>
    </xf>
    <xf numFmtId="0" fontId="29" fillId="10" borderId="31" xfId="0" applyFont="1" applyFill="1" applyBorder="1" applyAlignment="1">
      <alignment horizontal="center" vertical="center"/>
    </xf>
    <xf numFmtId="0" fontId="29" fillId="9" borderId="31" xfId="0" applyFont="1" applyFill="1" applyBorder="1" applyAlignment="1">
      <alignment horizontal="center" vertical="center"/>
    </xf>
    <xf numFmtId="165" fontId="29" fillId="8" borderId="31" xfId="0" applyNumberFormat="1" applyFont="1" applyFill="1" applyBorder="1" applyAlignment="1">
      <alignment horizontal="center" vertical="center"/>
    </xf>
    <xf numFmtId="49" fontId="28" fillId="19" borderId="10" xfId="0" applyNumberFormat="1" applyFont="1" applyFill="1" applyBorder="1" applyAlignment="1">
      <alignment horizontal="center" vertical="center" wrapText="1"/>
    </xf>
    <xf numFmtId="0" fontId="29" fillId="7" borderId="31" xfId="0" applyFont="1" applyFill="1" applyBorder="1" applyAlignment="1">
      <alignment horizontal="center" vertical="center"/>
    </xf>
    <xf numFmtId="0" fontId="29" fillId="14" borderId="72" xfId="0" applyFont="1" applyFill="1" applyBorder="1" applyAlignment="1">
      <alignment horizontal="center" vertical="center"/>
    </xf>
    <xf numFmtId="0" fontId="29" fillId="14" borderId="74" xfId="0" applyFont="1" applyFill="1" applyBorder="1" applyAlignment="1">
      <alignment horizontal="center" vertical="center"/>
    </xf>
    <xf numFmtId="0" fontId="29" fillId="16" borderId="31" xfId="0" applyFont="1" applyFill="1" applyBorder="1" applyAlignment="1">
      <alignment horizontal="center" vertical="center"/>
    </xf>
    <xf numFmtId="0" fontId="29" fillId="7" borderId="3" xfId="0" applyFont="1" applyFill="1" applyBorder="1" applyAlignment="1">
      <alignment horizontal="center" vertical="center"/>
    </xf>
    <xf numFmtId="0" fontId="29" fillId="12" borderId="31" xfId="0" applyFont="1" applyFill="1" applyBorder="1" applyAlignment="1">
      <alignment horizontal="center" vertical="center"/>
    </xf>
    <xf numFmtId="49" fontId="28" fillId="14" borderId="10" xfId="0" applyNumberFormat="1" applyFont="1" applyFill="1" applyBorder="1" applyAlignment="1">
      <alignment horizontal="center" vertical="center" wrapText="1"/>
    </xf>
    <xf numFmtId="0" fontId="29" fillId="11" borderId="31" xfId="0" applyFont="1" applyFill="1" applyBorder="1" applyAlignment="1">
      <alignment horizontal="center" vertical="center"/>
    </xf>
    <xf numFmtId="165" fontId="48" fillId="9" borderId="25" xfId="0" applyNumberFormat="1" applyFont="1" applyFill="1" applyBorder="1" applyAlignment="1">
      <alignment horizontal="center" vertical="center"/>
    </xf>
    <xf numFmtId="0" fontId="54" fillId="0" borderId="29" xfId="0" applyFont="1" applyFill="1" applyBorder="1" applyAlignment="1">
      <alignment horizontal="center" vertical="center"/>
    </xf>
    <xf numFmtId="0" fontId="54" fillId="0" borderId="73" xfId="0" applyFont="1" applyFill="1" applyBorder="1" applyAlignment="1">
      <alignment horizontal="center" vertical="center"/>
    </xf>
    <xf numFmtId="0" fontId="29" fillId="13" borderId="31" xfId="0" applyFont="1" applyFill="1" applyBorder="1" applyAlignment="1">
      <alignment horizontal="center" vertical="center"/>
    </xf>
    <xf numFmtId="0" fontId="29" fillId="6" borderId="31" xfId="0" applyFont="1" applyFill="1" applyBorder="1" applyAlignment="1">
      <alignment horizontal="center" vertical="center"/>
    </xf>
    <xf numFmtId="0" fontId="44" fillId="0" borderId="10" xfId="0" applyFont="1" applyFill="1" applyBorder="1" applyAlignment="1">
      <alignment horizontal="center" vertical="center" wrapText="1"/>
    </xf>
    <xf numFmtId="0" fontId="25" fillId="0" borderId="10" xfId="0" applyFont="1" applyBorder="1" applyAlignment="1">
      <alignment horizontal="center" vertical="center" wrapText="1"/>
    </xf>
    <xf numFmtId="0" fontId="0" fillId="0" borderId="10" xfId="0" applyBorder="1" applyAlignment="1">
      <alignment horizontal="center" vertical="center" wrapText="1"/>
    </xf>
    <xf numFmtId="0" fontId="34" fillId="0" borderId="31" xfId="0" applyFont="1" applyBorder="1" applyAlignment="1">
      <alignment horizontal="center" vertical="center"/>
    </xf>
    <xf numFmtId="0" fontId="34" fillId="0" borderId="1" xfId="0" applyFont="1" applyBorder="1" applyAlignment="1">
      <alignment horizontal="center" vertical="center"/>
    </xf>
    <xf numFmtId="0" fontId="34" fillId="0" borderId="2" xfId="0" applyFont="1" applyBorder="1" applyAlignment="1">
      <alignment horizontal="center" vertical="center"/>
    </xf>
    <xf numFmtId="0" fontId="34" fillId="0" borderId="75" xfId="0" applyFont="1" applyBorder="1" applyAlignment="1">
      <alignment horizontal="center" vertical="center"/>
    </xf>
    <xf numFmtId="0" fontId="34" fillId="0" borderId="76" xfId="0" applyFont="1" applyBorder="1" applyAlignment="1">
      <alignment horizontal="center" vertical="center"/>
    </xf>
    <xf numFmtId="173" fontId="17" fillId="0" borderId="7" xfId="0" applyNumberFormat="1" applyFont="1" applyBorder="1" applyAlignment="1">
      <alignment horizontal="center" vertical="center"/>
    </xf>
    <xf numFmtId="173" fontId="17" fillId="0" borderId="8" xfId="0" applyNumberFormat="1" applyFont="1" applyBorder="1" applyAlignment="1">
      <alignment horizontal="center" vertical="center"/>
    </xf>
    <xf numFmtId="173" fontId="17" fillId="0" borderId="9" xfId="0" applyNumberFormat="1" applyFont="1" applyBorder="1" applyAlignment="1">
      <alignment horizontal="center" vertical="center"/>
    </xf>
    <xf numFmtId="172" fontId="17" fillId="0" borderId="7" xfId="0" applyNumberFormat="1" applyFont="1" applyBorder="1" applyAlignment="1">
      <alignment horizontal="center" vertical="center"/>
    </xf>
    <xf numFmtId="172" fontId="17" fillId="0" borderId="8" xfId="0" applyNumberFormat="1" applyFont="1" applyBorder="1" applyAlignment="1">
      <alignment horizontal="center" vertical="center"/>
    </xf>
    <xf numFmtId="172" fontId="17" fillId="0" borderId="9" xfId="0" applyNumberFormat="1"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17" fillId="0" borderId="7" xfId="0" applyFont="1" applyBorder="1" applyAlignment="1">
      <alignment horizontal="center" vertical="center"/>
    </xf>
    <xf numFmtId="0" fontId="17" fillId="0" borderId="8" xfId="0" applyFont="1" applyBorder="1" applyAlignment="1">
      <alignment horizontal="center" vertical="center"/>
    </xf>
    <xf numFmtId="0" fontId="17" fillId="0" borderId="9" xfId="0" applyFont="1" applyBorder="1" applyAlignment="1">
      <alignment horizontal="center" vertical="center"/>
    </xf>
    <xf numFmtId="14" fontId="17" fillId="0" borderId="7" xfId="0" applyNumberFormat="1" applyFont="1" applyBorder="1" applyAlignment="1">
      <alignment horizontal="center" vertical="center"/>
    </xf>
    <xf numFmtId="0" fontId="18" fillId="0" borderId="7" xfId="0" applyFont="1" applyBorder="1" applyAlignment="1">
      <alignment horizontal="center" vertical="center"/>
    </xf>
    <xf numFmtId="0" fontId="18" fillId="0" borderId="8" xfId="0" applyFont="1" applyBorder="1" applyAlignment="1">
      <alignment horizontal="center" vertical="center"/>
    </xf>
    <xf numFmtId="0" fontId="18" fillId="0" borderId="9" xfId="0" applyFont="1" applyBorder="1" applyAlignment="1">
      <alignment horizontal="center" vertical="center"/>
    </xf>
    <xf numFmtId="172" fontId="16" fillId="0" borderId="7" xfId="0" applyNumberFormat="1" applyFont="1" applyBorder="1" applyAlignment="1">
      <alignment horizontal="center" vertical="center"/>
    </xf>
    <xf numFmtId="172" fontId="16" fillId="0" borderId="8" xfId="0" applyNumberFormat="1" applyFont="1" applyBorder="1" applyAlignment="1">
      <alignment horizontal="center" vertical="center"/>
    </xf>
    <xf numFmtId="172" fontId="16" fillId="0" borderId="9" xfId="0" applyNumberFormat="1" applyFont="1" applyBorder="1" applyAlignment="1">
      <alignment horizontal="center" vertical="center"/>
    </xf>
    <xf numFmtId="14" fontId="16" fillId="0" borderId="7" xfId="0" applyNumberFormat="1"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0" fontId="16" fillId="0" borderId="7"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0" fillId="0" borderId="0" xfId="0" applyFont="1" applyAlignment="1">
      <alignment horizontal="left"/>
    </xf>
    <xf numFmtId="14" fontId="4" fillId="0" borderId="4" xfId="0" applyNumberFormat="1" applyFont="1" applyBorder="1" applyAlignment="1">
      <alignment horizontal="left"/>
    </xf>
    <xf numFmtId="14" fontId="8" fillId="0" borderId="5" xfId="0" applyNumberFormat="1" applyFont="1" applyBorder="1" applyAlignment="1">
      <alignment horizontal="left"/>
    </xf>
    <xf numFmtId="14" fontId="8" fillId="0" borderId="6" xfId="0" applyNumberFormat="1" applyFont="1" applyBorder="1" applyAlignment="1">
      <alignment horizontal="left"/>
    </xf>
    <xf numFmtId="164" fontId="8" fillId="0" borderId="4" xfId="0" applyNumberFormat="1" applyFont="1" applyBorder="1" applyAlignment="1">
      <alignment horizontal="left"/>
    </xf>
    <xf numFmtId="164" fontId="8" fillId="0" borderId="5" xfId="0" applyNumberFormat="1" applyFont="1" applyBorder="1" applyAlignment="1">
      <alignment horizontal="left"/>
    </xf>
    <xf numFmtId="164" fontId="8" fillId="0" borderId="6" xfId="0" applyNumberFormat="1" applyFont="1" applyBorder="1" applyAlignment="1">
      <alignment horizontal="left"/>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55" fillId="0" borderId="36" xfId="2" applyFont="1" applyBorder="1" applyAlignment="1">
      <alignment horizontal="center"/>
    </xf>
    <xf numFmtId="0" fontId="56" fillId="0" borderId="36" xfId="2" applyFont="1" applyBorder="1" applyAlignment="1">
      <alignment horizontal="center"/>
    </xf>
    <xf numFmtId="1" fontId="56" fillId="0" borderId="36" xfId="2" applyNumberFormat="1" applyFont="1" applyBorder="1" applyAlignment="1">
      <alignment horizontal="center"/>
    </xf>
    <xf numFmtId="1" fontId="55" fillId="0" borderId="36" xfId="2" applyNumberFormat="1" applyFont="1" applyBorder="1" applyAlignment="1">
      <alignment horizontal="center" wrapText="1"/>
    </xf>
    <xf numFmtId="0" fontId="55" fillId="0" borderId="36" xfId="2" applyFont="1" applyBorder="1" applyAlignment="1">
      <alignment horizontal="center" wrapText="1"/>
    </xf>
    <xf numFmtId="0" fontId="55" fillId="0" borderId="0" xfId="2" applyFont="1" applyAlignment="1">
      <alignment wrapText="1"/>
    </xf>
    <xf numFmtId="0" fontId="55" fillId="0" borderId="0" xfId="2" applyFont="1"/>
    <xf numFmtId="0" fontId="57" fillId="0" borderId="0" xfId="2" applyFont="1" applyAlignment="1">
      <alignment horizontal="center"/>
    </xf>
    <xf numFmtId="0" fontId="58" fillId="0" borderId="0" xfId="2" applyFont="1" applyAlignment="1">
      <alignment horizontal="center"/>
    </xf>
    <xf numFmtId="1" fontId="58" fillId="0" borderId="0" xfId="2" applyNumberFormat="1" applyFont="1" applyAlignment="1">
      <alignment horizontal="center"/>
    </xf>
    <xf numFmtId="1" fontId="1" fillId="0" borderId="0" xfId="2" applyNumberFormat="1" applyAlignment="1">
      <alignment horizontal="center"/>
    </xf>
    <xf numFmtId="2" fontId="1" fillId="0" borderId="0" xfId="2" applyNumberFormat="1" applyAlignment="1">
      <alignment horizontal="center"/>
    </xf>
    <xf numFmtId="2" fontId="1" fillId="0" borderId="0" xfId="2" applyNumberFormat="1"/>
    <xf numFmtId="0" fontId="1" fillId="0" borderId="0" xfId="2"/>
    <xf numFmtId="0" fontId="1" fillId="0" borderId="0" xfId="2" applyAlignment="1">
      <alignment horizontal="center"/>
    </xf>
    <xf numFmtId="0" fontId="55" fillId="0" borderId="36" xfId="0" applyFont="1" applyBorder="1" applyAlignment="1">
      <alignment horizontal="center" wrapText="1"/>
    </xf>
  </cellXfs>
  <cellStyles count="3">
    <cellStyle name="Hyperlink" xfId="1" builtinId="8"/>
    <cellStyle name="Normal" xfId="0" builtinId="0"/>
    <cellStyle name="Normal 2" xfId="2" xr:uid="{2E6DF20C-9B28-4866-82ED-BB2856D7EB9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609600</xdr:colOff>
      <xdr:row>26</xdr:row>
      <xdr:rowOff>171450</xdr:rowOff>
    </xdr:from>
    <xdr:ext cx="184731" cy="264560"/>
    <xdr:sp macro="" textlink="">
      <xdr:nvSpPr>
        <xdr:cNvPr id="2" name="TextBox 1">
          <a:extLst>
            <a:ext uri="{FF2B5EF4-FFF2-40B4-BE49-F238E27FC236}">
              <a16:creationId xmlns:a16="http://schemas.microsoft.com/office/drawing/2014/main" id="{B29002B6-6ECD-4302-B649-3F22E9BC0A1C}"/>
            </a:ext>
          </a:extLst>
        </xdr:cNvPr>
        <xdr:cNvSpPr txBox="1"/>
      </xdr:nvSpPr>
      <xdr:spPr>
        <a:xfrm>
          <a:off x="1876425" y="7277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S%20Casablanca%20-%20HEP%20-%20Daily%20-%20April%20201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 val="submetering"/>
      <sheetName val="Consommation mensuel énergie"/>
      <sheetName val="Suivi EAU-ELEC"/>
      <sheetName val="Suvi Gaz"/>
      <sheetName val="facture électricité"/>
      <sheetName val="Facture journalier D'élect"/>
      <sheetName val="facture d'eau"/>
      <sheetName val="Facture journalier d'eau"/>
      <sheetName val="facture incendie"/>
      <sheetName val="cons annuel électr"/>
      <sheetName val="cons annuel EAU  "/>
      <sheetName val="livraison annuel GAZ"/>
      <sheetName val="Feuil1"/>
    </sheetNames>
    <sheetDataSet>
      <sheetData sheetId="0"/>
      <sheetData sheetId="1"/>
      <sheetData sheetId="2">
        <row r="10">
          <cell r="E10">
            <v>0</v>
          </cell>
        </row>
        <row r="11">
          <cell r="E11">
            <v>0</v>
          </cell>
        </row>
        <row r="12">
          <cell r="E12">
            <v>0</v>
          </cell>
        </row>
        <row r="13">
          <cell r="E13">
            <v>0</v>
          </cell>
        </row>
        <row r="14">
          <cell r="E14">
            <v>0</v>
          </cell>
        </row>
        <row r="15">
          <cell r="E15">
            <v>0</v>
          </cell>
        </row>
        <row r="16">
          <cell r="E16">
            <v>0</v>
          </cell>
        </row>
        <row r="17">
          <cell r="E17">
            <v>0</v>
          </cell>
        </row>
        <row r="18">
          <cell r="E18">
            <v>0</v>
          </cell>
        </row>
        <row r="19">
          <cell r="E19">
            <v>0</v>
          </cell>
        </row>
        <row r="20">
          <cell r="E20">
            <v>0</v>
          </cell>
        </row>
        <row r="21">
          <cell r="E21">
            <v>0</v>
          </cell>
        </row>
        <row r="22">
          <cell r="E22">
            <v>0</v>
          </cell>
        </row>
        <row r="23">
          <cell r="E23">
            <v>0</v>
          </cell>
        </row>
        <row r="24">
          <cell r="E24">
            <v>0</v>
          </cell>
        </row>
        <row r="25">
          <cell r="E25">
            <v>0</v>
          </cell>
        </row>
        <row r="26">
          <cell r="E26">
            <v>0</v>
          </cell>
        </row>
        <row r="27">
          <cell r="E27">
            <v>0</v>
          </cell>
        </row>
        <row r="28">
          <cell r="E28">
            <v>0</v>
          </cell>
        </row>
        <row r="29">
          <cell r="E29">
            <v>0</v>
          </cell>
        </row>
        <row r="30">
          <cell r="E30">
            <v>0</v>
          </cell>
        </row>
        <row r="31">
          <cell r="E31">
            <v>0</v>
          </cell>
        </row>
        <row r="32">
          <cell r="E32">
            <v>0</v>
          </cell>
        </row>
        <row r="33">
          <cell r="E33">
            <v>0</v>
          </cell>
        </row>
        <row r="34">
          <cell r="E34">
            <v>0</v>
          </cell>
        </row>
        <row r="35">
          <cell r="E35">
            <v>0</v>
          </cell>
        </row>
        <row r="36">
          <cell r="E36">
            <v>0</v>
          </cell>
        </row>
        <row r="37">
          <cell r="E37">
            <v>0</v>
          </cell>
        </row>
        <row r="38">
          <cell r="E38">
            <v>0</v>
          </cell>
        </row>
        <row r="39">
          <cell r="E39">
            <v>0</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203D2-0B15-48A5-A3A0-2DF735441248}">
  <dimension ref="A1:M38"/>
  <sheetViews>
    <sheetView tabSelected="1" workbookViewId="0">
      <selection activeCell="J8" sqref="J8"/>
    </sheetView>
  </sheetViews>
  <sheetFormatPr defaultColWidth="10.125" defaultRowHeight="15"/>
  <cols>
    <col min="1" max="1" width="10.875" style="411" customWidth="1"/>
    <col min="2" max="3" width="10.125" style="405"/>
    <col min="4" max="4" width="11.75" style="406" customWidth="1"/>
    <col min="5" max="5" width="11" style="407" customWidth="1"/>
    <col min="6" max="6" width="11" style="411" customWidth="1"/>
    <col min="7" max="10" width="10.125" style="411"/>
    <col min="11" max="12" width="10.125" style="407"/>
    <col min="13" max="13" width="0" style="410" hidden="1" customWidth="1"/>
    <col min="14" max="256" width="10.125" style="410"/>
    <col min="257" max="257" width="10.875" style="410" customWidth="1"/>
    <col min="258" max="259" width="10.125" style="410"/>
    <col min="260" max="260" width="11.75" style="410" customWidth="1"/>
    <col min="261" max="262" width="11" style="410" customWidth="1"/>
    <col min="263" max="268" width="10.125" style="410"/>
    <col min="269" max="269" width="0" style="410" hidden="1" customWidth="1"/>
    <col min="270" max="512" width="10.125" style="410"/>
    <col min="513" max="513" width="10.875" style="410" customWidth="1"/>
    <col min="514" max="515" width="10.125" style="410"/>
    <col min="516" max="516" width="11.75" style="410" customWidth="1"/>
    <col min="517" max="518" width="11" style="410" customWidth="1"/>
    <col min="519" max="524" width="10.125" style="410"/>
    <col min="525" max="525" width="0" style="410" hidden="1" customWidth="1"/>
    <col min="526" max="768" width="10.125" style="410"/>
    <col min="769" max="769" width="10.875" style="410" customWidth="1"/>
    <col min="770" max="771" width="10.125" style="410"/>
    <col min="772" max="772" width="11.75" style="410" customWidth="1"/>
    <col min="773" max="774" width="11" style="410" customWidth="1"/>
    <col min="775" max="780" width="10.125" style="410"/>
    <col min="781" max="781" width="0" style="410" hidden="1" customWidth="1"/>
    <col min="782" max="1024" width="10.125" style="410"/>
    <col min="1025" max="1025" width="10.875" style="410" customWidth="1"/>
    <col min="1026" max="1027" width="10.125" style="410"/>
    <col min="1028" max="1028" width="11.75" style="410" customWidth="1"/>
    <col min="1029" max="1030" width="11" style="410" customWidth="1"/>
    <col min="1031" max="1036" width="10.125" style="410"/>
    <col min="1037" max="1037" width="0" style="410" hidden="1" customWidth="1"/>
    <col min="1038" max="1280" width="10.125" style="410"/>
    <col min="1281" max="1281" width="10.875" style="410" customWidth="1"/>
    <col min="1282" max="1283" width="10.125" style="410"/>
    <col min="1284" max="1284" width="11.75" style="410" customWidth="1"/>
    <col min="1285" max="1286" width="11" style="410" customWidth="1"/>
    <col min="1287" max="1292" width="10.125" style="410"/>
    <col min="1293" max="1293" width="0" style="410" hidden="1" customWidth="1"/>
    <col min="1294" max="1536" width="10.125" style="410"/>
    <col min="1537" max="1537" width="10.875" style="410" customWidth="1"/>
    <col min="1538" max="1539" width="10.125" style="410"/>
    <col min="1540" max="1540" width="11.75" style="410" customWidth="1"/>
    <col min="1541" max="1542" width="11" style="410" customWidth="1"/>
    <col min="1543" max="1548" width="10.125" style="410"/>
    <col min="1549" max="1549" width="0" style="410" hidden="1" customWidth="1"/>
    <col min="1550" max="1792" width="10.125" style="410"/>
    <col min="1793" max="1793" width="10.875" style="410" customWidth="1"/>
    <col min="1794" max="1795" width="10.125" style="410"/>
    <col min="1796" max="1796" width="11.75" style="410" customWidth="1"/>
    <col min="1797" max="1798" width="11" style="410" customWidth="1"/>
    <col min="1799" max="1804" width="10.125" style="410"/>
    <col min="1805" max="1805" width="0" style="410" hidden="1" customWidth="1"/>
    <col min="1806" max="2048" width="10.125" style="410"/>
    <col min="2049" max="2049" width="10.875" style="410" customWidth="1"/>
    <col min="2050" max="2051" width="10.125" style="410"/>
    <col min="2052" max="2052" width="11.75" style="410" customWidth="1"/>
    <col min="2053" max="2054" width="11" style="410" customWidth="1"/>
    <col min="2055" max="2060" width="10.125" style="410"/>
    <col min="2061" max="2061" width="0" style="410" hidden="1" customWidth="1"/>
    <col min="2062" max="2304" width="10.125" style="410"/>
    <col min="2305" max="2305" width="10.875" style="410" customWidth="1"/>
    <col min="2306" max="2307" width="10.125" style="410"/>
    <col min="2308" max="2308" width="11.75" style="410" customWidth="1"/>
    <col min="2309" max="2310" width="11" style="410" customWidth="1"/>
    <col min="2311" max="2316" width="10.125" style="410"/>
    <col min="2317" max="2317" width="0" style="410" hidden="1" customWidth="1"/>
    <col min="2318" max="2560" width="10.125" style="410"/>
    <col min="2561" max="2561" width="10.875" style="410" customWidth="1"/>
    <col min="2562" max="2563" width="10.125" style="410"/>
    <col min="2564" max="2564" width="11.75" style="410" customWidth="1"/>
    <col min="2565" max="2566" width="11" style="410" customWidth="1"/>
    <col min="2567" max="2572" width="10.125" style="410"/>
    <col min="2573" max="2573" width="0" style="410" hidden="1" customWidth="1"/>
    <col min="2574" max="2816" width="10.125" style="410"/>
    <col min="2817" max="2817" width="10.875" style="410" customWidth="1"/>
    <col min="2818" max="2819" width="10.125" style="410"/>
    <col min="2820" max="2820" width="11.75" style="410" customWidth="1"/>
    <col min="2821" max="2822" width="11" style="410" customWidth="1"/>
    <col min="2823" max="2828" width="10.125" style="410"/>
    <col min="2829" max="2829" width="0" style="410" hidden="1" customWidth="1"/>
    <col min="2830" max="3072" width="10.125" style="410"/>
    <col min="3073" max="3073" width="10.875" style="410" customWidth="1"/>
    <col min="3074" max="3075" width="10.125" style="410"/>
    <col min="3076" max="3076" width="11.75" style="410" customWidth="1"/>
    <col min="3077" max="3078" width="11" style="410" customWidth="1"/>
    <col min="3079" max="3084" width="10.125" style="410"/>
    <col min="3085" max="3085" width="0" style="410" hidden="1" customWidth="1"/>
    <col min="3086" max="3328" width="10.125" style="410"/>
    <col min="3329" max="3329" width="10.875" style="410" customWidth="1"/>
    <col min="3330" max="3331" width="10.125" style="410"/>
    <col min="3332" max="3332" width="11.75" style="410" customWidth="1"/>
    <col min="3333" max="3334" width="11" style="410" customWidth="1"/>
    <col min="3335" max="3340" width="10.125" style="410"/>
    <col min="3341" max="3341" width="0" style="410" hidden="1" customWidth="1"/>
    <col min="3342" max="3584" width="10.125" style="410"/>
    <col min="3585" max="3585" width="10.875" style="410" customWidth="1"/>
    <col min="3586" max="3587" width="10.125" style="410"/>
    <col min="3588" max="3588" width="11.75" style="410" customWidth="1"/>
    <col min="3589" max="3590" width="11" style="410" customWidth="1"/>
    <col min="3591" max="3596" width="10.125" style="410"/>
    <col min="3597" max="3597" width="0" style="410" hidden="1" customWidth="1"/>
    <col min="3598" max="3840" width="10.125" style="410"/>
    <col min="3841" max="3841" width="10.875" style="410" customWidth="1"/>
    <col min="3842" max="3843" width="10.125" style="410"/>
    <col min="3844" max="3844" width="11.75" style="410" customWidth="1"/>
    <col min="3845" max="3846" width="11" style="410" customWidth="1"/>
    <col min="3847" max="3852" width="10.125" style="410"/>
    <col min="3853" max="3853" width="0" style="410" hidden="1" customWidth="1"/>
    <col min="3854" max="4096" width="10.125" style="410"/>
    <col min="4097" max="4097" width="10.875" style="410" customWidth="1"/>
    <col min="4098" max="4099" width="10.125" style="410"/>
    <col min="4100" max="4100" width="11.75" style="410" customWidth="1"/>
    <col min="4101" max="4102" width="11" style="410" customWidth="1"/>
    <col min="4103" max="4108" width="10.125" style="410"/>
    <col min="4109" max="4109" width="0" style="410" hidden="1" customWidth="1"/>
    <col min="4110" max="4352" width="10.125" style="410"/>
    <col min="4353" max="4353" width="10.875" style="410" customWidth="1"/>
    <col min="4354" max="4355" width="10.125" style="410"/>
    <col min="4356" max="4356" width="11.75" style="410" customWidth="1"/>
    <col min="4357" max="4358" width="11" style="410" customWidth="1"/>
    <col min="4359" max="4364" width="10.125" style="410"/>
    <col min="4365" max="4365" width="0" style="410" hidden="1" customWidth="1"/>
    <col min="4366" max="4608" width="10.125" style="410"/>
    <col min="4609" max="4609" width="10.875" style="410" customWidth="1"/>
    <col min="4610" max="4611" width="10.125" style="410"/>
    <col min="4612" max="4612" width="11.75" style="410" customWidth="1"/>
    <col min="4613" max="4614" width="11" style="410" customWidth="1"/>
    <col min="4615" max="4620" width="10.125" style="410"/>
    <col min="4621" max="4621" width="0" style="410" hidden="1" customWidth="1"/>
    <col min="4622" max="4864" width="10.125" style="410"/>
    <col min="4865" max="4865" width="10.875" style="410" customWidth="1"/>
    <col min="4866" max="4867" width="10.125" style="410"/>
    <col min="4868" max="4868" width="11.75" style="410" customWidth="1"/>
    <col min="4869" max="4870" width="11" style="410" customWidth="1"/>
    <col min="4871" max="4876" width="10.125" style="410"/>
    <col min="4877" max="4877" width="0" style="410" hidden="1" customWidth="1"/>
    <col min="4878" max="5120" width="10.125" style="410"/>
    <col min="5121" max="5121" width="10.875" style="410" customWidth="1"/>
    <col min="5122" max="5123" width="10.125" style="410"/>
    <col min="5124" max="5124" width="11.75" style="410" customWidth="1"/>
    <col min="5125" max="5126" width="11" style="410" customWidth="1"/>
    <col min="5127" max="5132" width="10.125" style="410"/>
    <col min="5133" max="5133" width="0" style="410" hidden="1" customWidth="1"/>
    <col min="5134" max="5376" width="10.125" style="410"/>
    <col min="5377" max="5377" width="10.875" style="410" customWidth="1"/>
    <col min="5378" max="5379" width="10.125" style="410"/>
    <col min="5380" max="5380" width="11.75" style="410" customWidth="1"/>
    <col min="5381" max="5382" width="11" style="410" customWidth="1"/>
    <col min="5383" max="5388" width="10.125" style="410"/>
    <col min="5389" max="5389" width="0" style="410" hidden="1" customWidth="1"/>
    <col min="5390" max="5632" width="10.125" style="410"/>
    <col min="5633" max="5633" width="10.875" style="410" customWidth="1"/>
    <col min="5634" max="5635" width="10.125" style="410"/>
    <col min="5636" max="5636" width="11.75" style="410" customWidth="1"/>
    <col min="5637" max="5638" width="11" style="410" customWidth="1"/>
    <col min="5639" max="5644" width="10.125" style="410"/>
    <col min="5645" max="5645" width="0" style="410" hidden="1" customWidth="1"/>
    <col min="5646" max="5888" width="10.125" style="410"/>
    <col min="5889" max="5889" width="10.875" style="410" customWidth="1"/>
    <col min="5890" max="5891" width="10.125" style="410"/>
    <col min="5892" max="5892" width="11.75" style="410" customWidth="1"/>
    <col min="5893" max="5894" width="11" style="410" customWidth="1"/>
    <col min="5895" max="5900" width="10.125" style="410"/>
    <col min="5901" max="5901" width="0" style="410" hidden="1" customWidth="1"/>
    <col min="5902" max="6144" width="10.125" style="410"/>
    <col min="6145" max="6145" width="10.875" style="410" customWidth="1"/>
    <col min="6146" max="6147" width="10.125" style="410"/>
    <col min="6148" max="6148" width="11.75" style="410" customWidth="1"/>
    <col min="6149" max="6150" width="11" style="410" customWidth="1"/>
    <col min="6151" max="6156" width="10.125" style="410"/>
    <col min="6157" max="6157" width="0" style="410" hidden="1" customWidth="1"/>
    <col min="6158" max="6400" width="10.125" style="410"/>
    <col min="6401" max="6401" width="10.875" style="410" customWidth="1"/>
    <col min="6402" max="6403" width="10.125" style="410"/>
    <col min="6404" max="6404" width="11.75" style="410" customWidth="1"/>
    <col min="6405" max="6406" width="11" style="410" customWidth="1"/>
    <col min="6407" max="6412" width="10.125" style="410"/>
    <col min="6413" max="6413" width="0" style="410" hidden="1" customWidth="1"/>
    <col min="6414" max="6656" width="10.125" style="410"/>
    <col min="6657" max="6657" width="10.875" style="410" customWidth="1"/>
    <col min="6658" max="6659" width="10.125" style="410"/>
    <col min="6660" max="6660" width="11.75" style="410" customWidth="1"/>
    <col min="6661" max="6662" width="11" style="410" customWidth="1"/>
    <col min="6663" max="6668" width="10.125" style="410"/>
    <col min="6669" max="6669" width="0" style="410" hidden="1" customWidth="1"/>
    <col min="6670" max="6912" width="10.125" style="410"/>
    <col min="6913" max="6913" width="10.875" style="410" customWidth="1"/>
    <col min="6914" max="6915" width="10.125" style="410"/>
    <col min="6916" max="6916" width="11.75" style="410" customWidth="1"/>
    <col min="6917" max="6918" width="11" style="410" customWidth="1"/>
    <col min="6919" max="6924" width="10.125" style="410"/>
    <col min="6925" max="6925" width="0" style="410" hidden="1" customWidth="1"/>
    <col min="6926" max="7168" width="10.125" style="410"/>
    <col min="7169" max="7169" width="10.875" style="410" customWidth="1"/>
    <col min="7170" max="7171" width="10.125" style="410"/>
    <col min="7172" max="7172" width="11.75" style="410" customWidth="1"/>
    <col min="7173" max="7174" width="11" style="410" customWidth="1"/>
    <col min="7175" max="7180" width="10.125" style="410"/>
    <col min="7181" max="7181" width="0" style="410" hidden="1" customWidth="1"/>
    <col min="7182" max="7424" width="10.125" style="410"/>
    <col min="7425" max="7425" width="10.875" style="410" customWidth="1"/>
    <col min="7426" max="7427" width="10.125" style="410"/>
    <col min="7428" max="7428" width="11.75" style="410" customWidth="1"/>
    <col min="7429" max="7430" width="11" style="410" customWidth="1"/>
    <col min="7431" max="7436" width="10.125" style="410"/>
    <col min="7437" max="7437" width="0" style="410" hidden="1" customWidth="1"/>
    <col min="7438" max="7680" width="10.125" style="410"/>
    <col min="7681" max="7681" width="10.875" style="410" customWidth="1"/>
    <col min="7682" max="7683" width="10.125" style="410"/>
    <col min="7684" max="7684" width="11.75" style="410" customWidth="1"/>
    <col min="7685" max="7686" width="11" style="410" customWidth="1"/>
    <col min="7687" max="7692" width="10.125" style="410"/>
    <col min="7693" max="7693" width="0" style="410" hidden="1" customWidth="1"/>
    <col min="7694" max="7936" width="10.125" style="410"/>
    <col min="7937" max="7937" width="10.875" style="410" customWidth="1"/>
    <col min="7938" max="7939" width="10.125" style="410"/>
    <col min="7940" max="7940" width="11.75" style="410" customWidth="1"/>
    <col min="7941" max="7942" width="11" style="410" customWidth="1"/>
    <col min="7943" max="7948" width="10.125" style="410"/>
    <col min="7949" max="7949" width="0" style="410" hidden="1" customWidth="1"/>
    <col min="7950" max="8192" width="10.125" style="410"/>
    <col min="8193" max="8193" width="10.875" style="410" customWidth="1"/>
    <col min="8194" max="8195" width="10.125" style="410"/>
    <col min="8196" max="8196" width="11.75" style="410" customWidth="1"/>
    <col min="8197" max="8198" width="11" style="410" customWidth="1"/>
    <col min="8199" max="8204" width="10.125" style="410"/>
    <col min="8205" max="8205" width="0" style="410" hidden="1" customWidth="1"/>
    <col min="8206" max="8448" width="10.125" style="410"/>
    <col min="8449" max="8449" width="10.875" style="410" customWidth="1"/>
    <col min="8450" max="8451" width="10.125" style="410"/>
    <col min="8452" max="8452" width="11.75" style="410" customWidth="1"/>
    <col min="8453" max="8454" width="11" style="410" customWidth="1"/>
    <col min="8455" max="8460" width="10.125" style="410"/>
    <col min="8461" max="8461" width="0" style="410" hidden="1" customWidth="1"/>
    <col min="8462" max="8704" width="10.125" style="410"/>
    <col min="8705" max="8705" width="10.875" style="410" customWidth="1"/>
    <col min="8706" max="8707" width="10.125" style="410"/>
    <col min="8708" max="8708" width="11.75" style="410" customWidth="1"/>
    <col min="8709" max="8710" width="11" style="410" customWidth="1"/>
    <col min="8711" max="8716" width="10.125" style="410"/>
    <col min="8717" max="8717" width="0" style="410" hidden="1" customWidth="1"/>
    <col min="8718" max="8960" width="10.125" style="410"/>
    <col min="8961" max="8961" width="10.875" style="410" customWidth="1"/>
    <col min="8962" max="8963" width="10.125" style="410"/>
    <col min="8964" max="8964" width="11.75" style="410" customWidth="1"/>
    <col min="8965" max="8966" width="11" style="410" customWidth="1"/>
    <col min="8967" max="8972" width="10.125" style="410"/>
    <col min="8973" max="8973" width="0" style="410" hidden="1" customWidth="1"/>
    <col min="8974" max="9216" width="10.125" style="410"/>
    <col min="9217" max="9217" width="10.875" style="410" customWidth="1"/>
    <col min="9218" max="9219" width="10.125" style="410"/>
    <col min="9220" max="9220" width="11.75" style="410" customWidth="1"/>
    <col min="9221" max="9222" width="11" style="410" customWidth="1"/>
    <col min="9223" max="9228" width="10.125" style="410"/>
    <col min="9229" max="9229" width="0" style="410" hidden="1" customWidth="1"/>
    <col min="9230" max="9472" width="10.125" style="410"/>
    <col min="9473" max="9473" width="10.875" style="410" customWidth="1"/>
    <col min="9474" max="9475" width="10.125" style="410"/>
    <col min="9476" max="9476" width="11.75" style="410" customWidth="1"/>
    <col min="9477" max="9478" width="11" style="410" customWidth="1"/>
    <col min="9479" max="9484" width="10.125" style="410"/>
    <col min="9485" max="9485" width="0" style="410" hidden="1" customWidth="1"/>
    <col min="9486" max="9728" width="10.125" style="410"/>
    <col min="9729" max="9729" width="10.875" style="410" customWidth="1"/>
    <col min="9730" max="9731" width="10.125" style="410"/>
    <col min="9732" max="9732" width="11.75" style="410" customWidth="1"/>
    <col min="9733" max="9734" width="11" style="410" customWidth="1"/>
    <col min="9735" max="9740" width="10.125" style="410"/>
    <col min="9741" max="9741" width="0" style="410" hidden="1" customWidth="1"/>
    <col min="9742" max="9984" width="10.125" style="410"/>
    <col min="9985" max="9985" width="10.875" style="410" customWidth="1"/>
    <col min="9986" max="9987" width="10.125" style="410"/>
    <col min="9988" max="9988" width="11.75" style="410" customWidth="1"/>
    <col min="9989" max="9990" width="11" style="410" customWidth="1"/>
    <col min="9991" max="9996" width="10.125" style="410"/>
    <col min="9997" max="9997" width="0" style="410" hidden="1" customWidth="1"/>
    <col min="9998" max="10240" width="10.125" style="410"/>
    <col min="10241" max="10241" width="10.875" style="410" customWidth="1"/>
    <col min="10242" max="10243" width="10.125" style="410"/>
    <col min="10244" max="10244" width="11.75" style="410" customWidth="1"/>
    <col min="10245" max="10246" width="11" style="410" customWidth="1"/>
    <col min="10247" max="10252" width="10.125" style="410"/>
    <col min="10253" max="10253" width="0" style="410" hidden="1" customWidth="1"/>
    <col min="10254" max="10496" width="10.125" style="410"/>
    <col min="10497" max="10497" width="10.875" style="410" customWidth="1"/>
    <col min="10498" max="10499" width="10.125" style="410"/>
    <col min="10500" max="10500" width="11.75" style="410" customWidth="1"/>
    <col min="10501" max="10502" width="11" style="410" customWidth="1"/>
    <col min="10503" max="10508" width="10.125" style="410"/>
    <col min="10509" max="10509" width="0" style="410" hidden="1" customWidth="1"/>
    <col min="10510" max="10752" width="10.125" style="410"/>
    <col min="10753" max="10753" width="10.875" style="410" customWidth="1"/>
    <col min="10754" max="10755" width="10.125" style="410"/>
    <col min="10756" max="10756" width="11.75" style="410" customWidth="1"/>
    <col min="10757" max="10758" width="11" style="410" customWidth="1"/>
    <col min="10759" max="10764" width="10.125" style="410"/>
    <col min="10765" max="10765" width="0" style="410" hidden="1" customWidth="1"/>
    <col min="10766" max="11008" width="10.125" style="410"/>
    <col min="11009" max="11009" width="10.875" style="410" customWidth="1"/>
    <col min="11010" max="11011" width="10.125" style="410"/>
    <col min="11012" max="11012" width="11.75" style="410" customWidth="1"/>
    <col min="11013" max="11014" width="11" style="410" customWidth="1"/>
    <col min="11015" max="11020" width="10.125" style="410"/>
    <col min="11021" max="11021" width="0" style="410" hidden="1" customWidth="1"/>
    <col min="11022" max="11264" width="10.125" style="410"/>
    <col min="11265" max="11265" width="10.875" style="410" customWidth="1"/>
    <col min="11266" max="11267" width="10.125" style="410"/>
    <col min="11268" max="11268" width="11.75" style="410" customWidth="1"/>
    <col min="11269" max="11270" width="11" style="410" customWidth="1"/>
    <col min="11271" max="11276" width="10.125" style="410"/>
    <col min="11277" max="11277" width="0" style="410" hidden="1" customWidth="1"/>
    <col min="11278" max="11520" width="10.125" style="410"/>
    <col min="11521" max="11521" width="10.875" style="410" customWidth="1"/>
    <col min="11522" max="11523" width="10.125" style="410"/>
    <col min="11524" max="11524" width="11.75" style="410" customWidth="1"/>
    <col min="11525" max="11526" width="11" style="410" customWidth="1"/>
    <col min="11527" max="11532" width="10.125" style="410"/>
    <col min="11533" max="11533" width="0" style="410" hidden="1" customWidth="1"/>
    <col min="11534" max="11776" width="10.125" style="410"/>
    <col min="11777" max="11777" width="10.875" style="410" customWidth="1"/>
    <col min="11778" max="11779" width="10.125" style="410"/>
    <col min="11780" max="11780" width="11.75" style="410" customWidth="1"/>
    <col min="11781" max="11782" width="11" style="410" customWidth="1"/>
    <col min="11783" max="11788" width="10.125" style="410"/>
    <col min="11789" max="11789" width="0" style="410" hidden="1" customWidth="1"/>
    <col min="11790" max="12032" width="10.125" style="410"/>
    <col min="12033" max="12033" width="10.875" style="410" customWidth="1"/>
    <col min="12034" max="12035" width="10.125" style="410"/>
    <col min="12036" max="12036" width="11.75" style="410" customWidth="1"/>
    <col min="12037" max="12038" width="11" style="410" customWidth="1"/>
    <col min="12039" max="12044" width="10.125" style="410"/>
    <col min="12045" max="12045" width="0" style="410" hidden="1" customWidth="1"/>
    <col min="12046" max="12288" width="10.125" style="410"/>
    <col min="12289" max="12289" width="10.875" style="410" customWidth="1"/>
    <col min="12290" max="12291" width="10.125" style="410"/>
    <col min="12292" max="12292" width="11.75" style="410" customWidth="1"/>
    <col min="12293" max="12294" width="11" style="410" customWidth="1"/>
    <col min="12295" max="12300" width="10.125" style="410"/>
    <col min="12301" max="12301" width="0" style="410" hidden="1" customWidth="1"/>
    <col min="12302" max="12544" width="10.125" style="410"/>
    <col min="12545" max="12545" width="10.875" style="410" customWidth="1"/>
    <col min="12546" max="12547" width="10.125" style="410"/>
    <col min="12548" max="12548" width="11.75" style="410" customWidth="1"/>
    <col min="12549" max="12550" width="11" style="410" customWidth="1"/>
    <col min="12551" max="12556" width="10.125" style="410"/>
    <col min="12557" max="12557" width="0" style="410" hidden="1" customWidth="1"/>
    <col min="12558" max="12800" width="10.125" style="410"/>
    <col min="12801" max="12801" width="10.875" style="410" customWidth="1"/>
    <col min="12802" max="12803" width="10.125" style="410"/>
    <col min="12804" max="12804" width="11.75" style="410" customWidth="1"/>
    <col min="12805" max="12806" width="11" style="410" customWidth="1"/>
    <col min="12807" max="12812" width="10.125" style="410"/>
    <col min="12813" max="12813" width="0" style="410" hidden="1" customWidth="1"/>
    <col min="12814" max="13056" width="10.125" style="410"/>
    <col min="13057" max="13057" width="10.875" style="410" customWidth="1"/>
    <col min="13058" max="13059" width="10.125" style="410"/>
    <col min="13060" max="13060" width="11.75" style="410" customWidth="1"/>
    <col min="13061" max="13062" width="11" style="410" customWidth="1"/>
    <col min="13063" max="13068" width="10.125" style="410"/>
    <col min="13069" max="13069" width="0" style="410" hidden="1" customWidth="1"/>
    <col min="13070" max="13312" width="10.125" style="410"/>
    <col min="13313" max="13313" width="10.875" style="410" customWidth="1"/>
    <col min="13314" max="13315" width="10.125" style="410"/>
    <col min="13316" max="13316" width="11.75" style="410" customWidth="1"/>
    <col min="13317" max="13318" width="11" style="410" customWidth="1"/>
    <col min="13319" max="13324" width="10.125" style="410"/>
    <col min="13325" max="13325" width="0" style="410" hidden="1" customWidth="1"/>
    <col min="13326" max="13568" width="10.125" style="410"/>
    <col min="13569" max="13569" width="10.875" style="410" customWidth="1"/>
    <col min="13570" max="13571" width="10.125" style="410"/>
    <col min="13572" max="13572" width="11.75" style="410" customWidth="1"/>
    <col min="13573" max="13574" width="11" style="410" customWidth="1"/>
    <col min="13575" max="13580" width="10.125" style="410"/>
    <col min="13581" max="13581" width="0" style="410" hidden="1" customWidth="1"/>
    <col min="13582" max="13824" width="10.125" style="410"/>
    <col min="13825" max="13825" width="10.875" style="410" customWidth="1"/>
    <col min="13826" max="13827" width="10.125" style="410"/>
    <col min="13828" max="13828" width="11.75" style="410" customWidth="1"/>
    <col min="13829" max="13830" width="11" style="410" customWidth="1"/>
    <col min="13831" max="13836" width="10.125" style="410"/>
    <col min="13837" max="13837" width="0" style="410" hidden="1" customWidth="1"/>
    <col min="13838" max="14080" width="10.125" style="410"/>
    <col min="14081" max="14081" width="10.875" style="410" customWidth="1"/>
    <col min="14082" max="14083" width="10.125" style="410"/>
    <col min="14084" max="14084" width="11.75" style="410" customWidth="1"/>
    <col min="14085" max="14086" width="11" style="410" customWidth="1"/>
    <col min="14087" max="14092" width="10.125" style="410"/>
    <col min="14093" max="14093" width="0" style="410" hidden="1" customWidth="1"/>
    <col min="14094" max="14336" width="10.125" style="410"/>
    <col min="14337" max="14337" width="10.875" style="410" customWidth="1"/>
    <col min="14338" max="14339" width="10.125" style="410"/>
    <col min="14340" max="14340" width="11.75" style="410" customWidth="1"/>
    <col min="14341" max="14342" width="11" style="410" customWidth="1"/>
    <col min="14343" max="14348" width="10.125" style="410"/>
    <col min="14349" max="14349" width="0" style="410" hidden="1" customWidth="1"/>
    <col min="14350" max="14592" width="10.125" style="410"/>
    <col min="14593" max="14593" width="10.875" style="410" customWidth="1"/>
    <col min="14594" max="14595" width="10.125" style="410"/>
    <col min="14596" max="14596" width="11.75" style="410" customWidth="1"/>
    <col min="14597" max="14598" width="11" style="410" customWidth="1"/>
    <col min="14599" max="14604" width="10.125" style="410"/>
    <col min="14605" max="14605" width="0" style="410" hidden="1" customWidth="1"/>
    <col min="14606" max="14848" width="10.125" style="410"/>
    <col min="14849" max="14849" width="10.875" style="410" customWidth="1"/>
    <col min="14850" max="14851" width="10.125" style="410"/>
    <col min="14852" max="14852" width="11.75" style="410" customWidth="1"/>
    <col min="14853" max="14854" width="11" style="410" customWidth="1"/>
    <col min="14855" max="14860" width="10.125" style="410"/>
    <col min="14861" max="14861" width="0" style="410" hidden="1" customWidth="1"/>
    <col min="14862" max="15104" width="10.125" style="410"/>
    <col min="15105" max="15105" width="10.875" style="410" customWidth="1"/>
    <col min="15106" max="15107" width="10.125" style="410"/>
    <col min="15108" max="15108" width="11.75" style="410" customWidth="1"/>
    <col min="15109" max="15110" width="11" style="410" customWidth="1"/>
    <col min="15111" max="15116" width="10.125" style="410"/>
    <col min="15117" max="15117" width="0" style="410" hidden="1" customWidth="1"/>
    <col min="15118" max="15360" width="10.125" style="410"/>
    <col min="15361" max="15361" width="10.875" style="410" customWidth="1"/>
    <col min="15362" max="15363" width="10.125" style="410"/>
    <col min="15364" max="15364" width="11.75" style="410" customWidth="1"/>
    <col min="15365" max="15366" width="11" style="410" customWidth="1"/>
    <col min="15367" max="15372" width="10.125" style="410"/>
    <col min="15373" max="15373" width="0" style="410" hidden="1" customWidth="1"/>
    <col min="15374" max="15616" width="10.125" style="410"/>
    <col min="15617" max="15617" width="10.875" style="410" customWidth="1"/>
    <col min="15618" max="15619" width="10.125" style="410"/>
    <col min="15620" max="15620" width="11.75" style="410" customWidth="1"/>
    <col min="15621" max="15622" width="11" style="410" customWidth="1"/>
    <col min="15623" max="15628" width="10.125" style="410"/>
    <col min="15629" max="15629" width="0" style="410" hidden="1" customWidth="1"/>
    <col min="15630" max="15872" width="10.125" style="410"/>
    <col min="15873" max="15873" width="10.875" style="410" customWidth="1"/>
    <col min="15874" max="15875" width="10.125" style="410"/>
    <col min="15876" max="15876" width="11.75" style="410" customWidth="1"/>
    <col min="15877" max="15878" width="11" style="410" customWidth="1"/>
    <col min="15879" max="15884" width="10.125" style="410"/>
    <col min="15885" max="15885" width="0" style="410" hidden="1" customWidth="1"/>
    <col min="15886" max="16128" width="10.125" style="410"/>
    <col min="16129" max="16129" width="10.875" style="410" customWidth="1"/>
    <col min="16130" max="16131" width="10.125" style="410"/>
    <col min="16132" max="16132" width="11.75" style="410" customWidth="1"/>
    <col min="16133" max="16134" width="11" style="410" customWidth="1"/>
    <col min="16135" max="16140" width="10.125" style="410"/>
    <col min="16141" max="16141" width="0" style="410" hidden="1" customWidth="1"/>
    <col min="16142" max="16384" width="10.125" style="410"/>
  </cols>
  <sheetData>
    <row r="1" spans="1:13" s="403" customFormat="1" ht="60.75" thickBot="1">
      <c r="A1" s="397" t="s">
        <v>234</v>
      </c>
      <c r="B1" s="398" t="s">
        <v>235</v>
      </c>
      <c r="C1" s="398" t="s">
        <v>236</v>
      </c>
      <c r="D1" s="399" t="s">
        <v>237</v>
      </c>
      <c r="E1" s="400" t="s">
        <v>238</v>
      </c>
      <c r="F1" s="401" t="s">
        <v>239</v>
      </c>
      <c r="G1" s="412" t="s">
        <v>246</v>
      </c>
      <c r="H1" s="412" t="s">
        <v>247</v>
      </c>
      <c r="I1" s="401" t="s">
        <v>240</v>
      </c>
      <c r="J1" s="401" t="s">
        <v>241</v>
      </c>
      <c r="K1" s="400" t="s">
        <v>242</v>
      </c>
      <c r="L1" s="400" t="s">
        <v>243</v>
      </c>
      <c r="M1" s="402" t="s">
        <v>244</v>
      </c>
    </row>
    <row r="2" spans="1:13">
      <c r="A2" s="404" t="s">
        <v>245</v>
      </c>
      <c r="B2" s="405">
        <v>1</v>
      </c>
      <c r="C2" s="405">
        <v>11</v>
      </c>
      <c r="D2" s="406">
        <v>2020</v>
      </c>
      <c r="E2" s="407">
        <f>SUBMETERING!O5+SUBMETERING!M5</f>
        <v>38867.999999999272</v>
      </c>
      <c r="F2" s="408">
        <v>0.67516900000000002</v>
      </c>
      <c r="G2" s="408">
        <f>SUBMETERING!E5+SUBMETERING!G5+SUBMETERING!I5+SUBMETERING!K5</f>
        <v>4710</v>
      </c>
      <c r="H2" s="408">
        <v>3.95</v>
      </c>
      <c r="I2" s="408">
        <f>SUBMETERING!S5</f>
        <v>175</v>
      </c>
      <c r="J2" s="408">
        <v>3.46</v>
      </c>
      <c r="K2" s="407">
        <f>(SUBMETERING!D5/100)*344</f>
        <v>197.00880000000001</v>
      </c>
      <c r="L2" s="407">
        <f>'[1]Consommation mensuel énergie'!E10</f>
        <v>0</v>
      </c>
      <c r="M2" s="409" t="e">
        <f>E2*F2+G2*H2+#REF!*#REF!+I2*J2</f>
        <v>#REF!</v>
      </c>
    </row>
    <row r="3" spans="1:13">
      <c r="A3" s="404" t="s">
        <v>245</v>
      </c>
      <c r="B3" s="405">
        <f>B2+1</f>
        <v>2</v>
      </c>
      <c r="C3" s="405">
        <v>11</v>
      </c>
      <c r="D3" s="406">
        <v>2020</v>
      </c>
      <c r="E3" s="407">
        <f>SUBMETERING!O6+SUBMETERING!M6</f>
        <v>37043.00000000064</v>
      </c>
      <c r="F3" s="408">
        <f>F2</f>
        <v>0.67516900000000002</v>
      </c>
      <c r="G3" s="408">
        <f>SUBMETERING!E6+SUBMETERING!G6+SUBMETERING!I6+SUBMETERING!K6</f>
        <v>5550</v>
      </c>
      <c r="H3" s="408">
        <f>H2</f>
        <v>3.95</v>
      </c>
      <c r="I3" s="408">
        <f>SUBMETERING!S6</f>
        <v>160</v>
      </c>
      <c r="J3" s="408">
        <f>J2</f>
        <v>3.46</v>
      </c>
      <c r="K3" s="407">
        <f>(SUBMETERING!D6/100)*344</f>
        <v>243.0016</v>
      </c>
      <c r="L3" s="407">
        <f>'[1]Consommation mensuel énergie'!E11</f>
        <v>0</v>
      </c>
      <c r="M3" s="409" t="e">
        <f>E3*F3+G3*H3+#REF!*#REF!+I3*J3</f>
        <v>#REF!</v>
      </c>
    </row>
    <row r="4" spans="1:13">
      <c r="A4" s="404" t="s">
        <v>245</v>
      </c>
      <c r="B4" s="405">
        <f t="shared" ref="B4:B31" si="0">B3+1</f>
        <v>3</v>
      </c>
      <c r="C4" s="405">
        <v>11</v>
      </c>
      <c r="D4" s="406">
        <v>2020</v>
      </c>
      <c r="E4" s="407">
        <f>SUBMETERING!O7+SUBMETERING!M7</f>
        <v>36649.000000000364</v>
      </c>
      <c r="F4" s="408">
        <f t="shared" ref="F4:F31" si="1">F3</f>
        <v>0.67516900000000002</v>
      </c>
      <c r="G4" s="408">
        <f>SUBMETERING!E7+SUBMETERING!G7+SUBMETERING!I7+SUBMETERING!K7</f>
        <v>5988</v>
      </c>
      <c r="H4" s="408">
        <f t="shared" ref="H4:H31" si="2">H3</f>
        <v>3.95</v>
      </c>
      <c r="I4" s="408">
        <f>SUBMETERING!S7</f>
        <v>198</v>
      </c>
      <c r="J4" s="408">
        <f t="shared" ref="J4:J31" si="3">J3</f>
        <v>3.46</v>
      </c>
      <c r="K4" s="407">
        <f>(SUBMETERING!D7/100)*344</f>
        <v>267.01280000000003</v>
      </c>
      <c r="L4" s="407">
        <f>'[1]Consommation mensuel énergie'!E12</f>
        <v>0</v>
      </c>
      <c r="M4" s="409" t="e">
        <f>E4*F4+G4*H4+#REF!*#REF!+I4*J4</f>
        <v>#REF!</v>
      </c>
    </row>
    <row r="5" spans="1:13">
      <c r="A5" s="404" t="s">
        <v>245</v>
      </c>
      <c r="B5" s="405">
        <f t="shared" si="0"/>
        <v>4</v>
      </c>
      <c r="C5" s="405">
        <v>11</v>
      </c>
      <c r="D5" s="406">
        <v>2020</v>
      </c>
      <c r="E5" s="407">
        <f>SUBMETERING!O8+SUBMETERING!M8</f>
        <v>33820.999999997366</v>
      </c>
      <c r="F5" s="408">
        <f t="shared" si="1"/>
        <v>0.67516900000000002</v>
      </c>
      <c r="G5" s="408">
        <f>SUBMETERING!E8+SUBMETERING!G8+SUBMETERING!I8+SUBMETERING!K8</f>
        <v>5886</v>
      </c>
      <c r="H5" s="408">
        <f t="shared" si="2"/>
        <v>3.95</v>
      </c>
      <c r="I5" s="408">
        <f>SUBMETERING!S8</f>
        <v>199</v>
      </c>
      <c r="J5" s="408">
        <f t="shared" si="3"/>
        <v>3.46</v>
      </c>
      <c r="K5" s="407">
        <f>(SUBMETERING!D8/100)*344</f>
        <v>248.9872</v>
      </c>
      <c r="L5" s="407">
        <f>'[1]Consommation mensuel énergie'!E13</f>
        <v>0</v>
      </c>
      <c r="M5" s="409" t="e">
        <f>E5*F5+G5*H5+#REF!*#REF!+I5*J5</f>
        <v>#REF!</v>
      </c>
    </row>
    <row r="6" spans="1:13">
      <c r="A6" s="404" t="s">
        <v>245</v>
      </c>
      <c r="B6" s="405">
        <f t="shared" si="0"/>
        <v>5</v>
      </c>
      <c r="C6" s="405">
        <v>11</v>
      </c>
      <c r="D6" s="406">
        <v>2020</v>
      </c>
      <c r="E6" s="407">
        <f>SUBMETERING!O9+SUBMETERING!M9</f>
        <v>36977.000000002459</v>
      </c>
      <c r="F6" s="408">
        <f t="shared" si="1"/>
        <v>0.67516900000000002</v>
      </c>
      <c r="G6" s="408">
        <f>SUBMETERING!E9+SUBMETERING!G9+SUBMETERING!I9+SUBMETERING!K9</f>
        <v>5584</v>
      </c>
      <c r="H6" s="408">
        <f t="shared" si="2"/>
        <v>3.95</v>
      </c>
      <c r="I6" s="408">
        <f>SUBMETERING!S9</f>
        <v>211</v>
      </c>
      <c r="J6" s="408">
        <f t="shared" si="3"/>
        <v>3.46</v>
      </c>
      <c r="K6" s="407">
        <f>(SUBMETERING!D9/100)*344</f>
        <v>304.99039999999997</v>
      </c>
      <c r="L6" s="407">
        <f>'[1]Consommation mensuel énergie'!E14</f>
        <v>0</v>
      </c>
      <c r="M6" s="409" t="e">
        <f>E6*F6+G6*H6+#REF!*#REF!+I6*J6</f>
        <v>#REF!</v>
      </c>
    </row>
    <row r="7" spans="1:13">
      <c r="A7" s="404" t="s">
        <v>245</v>
      </c>
      <c r="B7" s="405">
        <f t="shared" si="0"/>
        <v>6</v>
      </c>
      <c r="C7" s="405">
        <v>11</v>
      </c>
      <c r="D7" s="406">
        <v>2020</v>
      </c>
      <c r="E7" s="407">
        <f>SUBMETERING!O10+SUBMETERING!M10</f>
        <v>41064.999999999913</v>
      </c>
      <c r="F7" s="408">
        <f t="shared" si="1"/>
        <v>0.67516900000000002</v>
      </c>
      <c r="G7" s="408">
        <f>SUBMETERING!E10+SUBMETERING!G10+SUBMETERING!I10+SUBMETERING!K10</f>
        <v>5566</v>
      </c>
      <c r="H7" s="408">
        <f t="shared" si="2"/>
        <v>3.95</v>
      </c>
      <c r="I7" s="408">
        <f>SUBMETERING!S10</f>
        <v>202</v>
      </c>
      <c r="J7" s="408">
        <f t="shared" si="3"/>
        <v>3.46</v>
      </c>
      <c r="K7" s="407">
        <f>(SUBMETERING!D10/100)*344</f>
        <v>309.8064</v>
      </c>
      <c r="L7" s="407">
        <f>'[1]Consommation mensuel énergie'!E15</f>
        <v>0</v>
      </c>
      <c r="M7" s="409" t="e">
        <f>E7*F7+G7*H7+#REF!*#REF!+I7*J7</f>
        <v>#REF!</v>
      </c>
    </row>
    <row r="8" spans="1:13">
      <c r="A8" s="404" t="s">
        <v>245</v>
      </c>
      <c r="B8" s="405">
        <f t="shared" si="0"/>
        <v>7</v>
      </c>
      <c r="C8" s="405">
        <v>11</v>
      </c>
      <c r="D8" s="406">
        <v>2020</v>
      </c>
      <c r="E8" s="407">
        <f>SUBMETERING!O11+SUBMETERING!M11</f>
        <v>40689.999999999913</v>
      </c>
      <c r="F8" s="408">
        <f t="shared" si="1"/>
        <v>0.67516900000000002</v>
      </c>
      <c r="G8" s="408">
        <f>SUBMETERING!E11+SUBMETERING!G11+SUBMETERING!I11+SUBMETERING!K11</f>
        <v>5510</v>
      </c>
      <c r="H8" s="408">
        <f t="shared" si="2"/>
        <v>3.95</v>
      </c>
      <c r="I8" s="408">
        <f>SUBMETERING!S11</f>
        <v>220</v>
      </c>
      <c r="J8" s="408">
        <f t="shared" si="3"/>
        <v>3.46</v>
      </c>
      <c r="K8" s="407">
        <f>(SUBMETERING!D11/100)*344</f>
        <v>322.94720000000001</v>
      </c>
      <c r="L8" s="407">
        <f>'[1]Consommation mensuel énergie'!E16</f>
        <v>0</v>
      </c>
      <c r="M8" s="409" t="e">
        <f>E8*F8+G8*H8+#REF!*#REF!+I8*J8</f>
        <v>#REF!</v>
      </c>
    </row>
    <row r="9" spans="1:13">
      <c r="A9" s="404" t="s">
        <v>245</v>
      </c>
      <c r="B9" s="405">
        <f t="shared" si="0"/>
        <v>8</v>
      </c>
      <c r="C9" s="405">
        <v>11</v>
      </c>
      <c r="D9" s="406">
        <v>2020</v>
      </c>
      <c r="E9" s="407">
        <f>SUBMETERING!O12+SUBMETERING!M12</f>
        <v>37625.999999998545</v>
      </c>
      <c r="F9" s="408">
        <f t="shared" si="1"/>
        <v>0.67516900000000002</v>
      </c>
      <c r="G9" s="408">
        <f>SUBMETERING!E12+SUBMETERING!G12+SUBMETERING!I12+SUBMETERING!K12</f>
        <v>5346</v>
      </c>
      <c r="H9" s="408">
        <f t="shared" si="2"/>
        <v>3.95</v>
      </c>
      <c r="I9" s="408">
        <f>SUBMETERING!S12</f>
        <v>210</v>
      </c>
      <c r="J9" s="408">
        <f t="shared" si="3"/>
        <v>3.46</v>
      </c>
      <c r="K9" s="407">
        <f>(SUBMETERING!D12/100)*344</f>
        <v>214.00239999999999</v>
      </c>
      <c r="L9" s="407">
        <f>'[1]Consommation mensuel énergie'!E17</f>
        <v>0</v>
      </c>
      <c r="M9" s="409" t="e">
        <f>E9*F9+G9*H9+#REF!*#REF!+I9*J9</f>
        <v>#REF!</v>
      </c>
    </row>
    <row r="10" spans="1:13">
      <c r="A10" s="404" t="s">
        <v>245</v>
      </c>
      <c r="B10" s="405">
        <f t="shared" si="0"/>
        <v>9</v>
      </c>
      <c r="C10" s="405">
        <v>11</v>
      </c>
      <c r="D10" s="406">
        <v>2020</v>
      </c>
      <c r="E10" s="407">
        <f>SUBMETERING!O13+SUBMETERING!M13</f>
        <v>36495.00000000064</v>
      </c>
      <c r="F10" s="408">
        <f t="shared" si="1"/>
        <v>0.67516900000000002</v>
      </c>
      <c r="G10" s="408">
        <f>SUBMETERING!E13+SUBMETERING!G13+SUBMETERING!I13+SUBMETERING!K13</f>
        <v>5112</v>
      </c>
      <c r="H10" s="408">
        <f t="shared" si="2"/>
        <v>3.95</v>
      </c>
      <c r="I10" s="408">
        <f>SUBMETERING!S13</f>
        <v>190</v>
      </c>
      <c r="J10" s="408">
        <f t="shared" si="3"/>
        <v>3.46</v>
      </c>
      <c r="K10" s="407">
        <f>(SUBMETERING!D13/100)*344</f>
        <v>231.99359999999999</v>
      </c>
      <c r="L10" s="407">
        <f>'[1]Consommation mensuel énergie'!E18</f>
        <v>0</v>
      </c>
      <c r="M10" s="409" t="e">
        <f>E10*F10+G10*H10+#REF!*#REF!+I10*J10</f>
        <v>#REF!</v>
      </c>
    </row>
    <row r="11" spans="1:13">
      <c r="A11" s="404" t="s">
        <v>245</v>
      </c>
      <c r="B11" s="405">
        <f t="shared" si="0"/>
        <v>10</v>
      </c>
      <c r="C11" s="405">
        <v>11</v>
      </c>
      <c r="D11" s="406">
        <v>2020</v>
      </c>
      <c r="E11" s="407">
        <f>SUBMETERING!O14+SUBMETERING!M14</f>
        <v>35571.000000000909</v>
      </c>
      <c r="F11" s="408">
        <f t="shared" si="1"/>
        <v>0.67516900000000002</v>
      </c>
      <c r="G11" s="408">
        <f>SUBMETERING!E14+SUBMETERING!G14+SUBMETERING!I14+SUBMETERING!K14</f>
        <v>5456</v>
      </c>
      <c r="H11" s="408">
        <f t="shared" si="2"/>
        <v>3.95</v>
      </c>
      <c r="I11" s="408">
        <f>SUBMETERING!S14</f>
        <v>170</v>
      </c>
      <c r="J11" s="408">
        <f t="shared" si="3"/>
        <v>3.46</v>
      </c>
      <c r="K11" s="407">
        <f>(SUBMETERING!D14/100)*344</f>
        <v>250.01920000000004</v>
      </c>
      <c r="L11" s="407">
        <f>'[1]Consommation mensuel énergie'!E19</f>
        <v>0</v>
      </c>
      <c r="M11" s="409" t="e">
        <f>E11*F11+G11*H11+#REF!*#REF!+I11*J11</f>
        <v>#REF!</v>
      </c>
    </row>
    <row r="12" spans="1:13">
      <c r="A12" s="404" t="s">
        <v>245</v>
      </c>
      <c r="B12" s="405">
        <f t="shared" si="0"/>
        <v>11</v>
      </c>
      <c r="C12" s="405">
        <v>11</v>
      </c>
      <c r="D12" s="406">
        <v>2020</v>
      </c>
      <c r="E12" s="407">
        <f>SUBMETERING!O15+SUBMETERING!M15</f>
        <v>36829.000000000451</v>
      </c>
      <c r="F12" s="408">
        <f t="shared" si="1"/>
        <v>0.67516900000000002</v>
      </c>
      <c r="G12" s="408">
        <f>SUBMETERING!E15+SUBMETERING!G15+SUBMETERING!I15+SUBMETERING!K15</f>
        <v>5498</v>
      </c>
      <c r="H12" s="408">
        <f t="shared" si="2"/>
        <v>3.95</v>
      </c>
      <c r="I12" s="408">
        <f>SUBMETERING!S15</f>
        <v>170</v>
      </c>
      <c r="J12" s="408">
        <f t="shared" si="3"/>
        <v>3.46</v>
      </c>
      <c r="K12" s="407">
        <f>(SUBMETERING!D15/100)*344</f>
        <v>315.00079999999997</v>
      </c>
      <c r="L12" s="407">
        <f>'[1]Consommation mensuel énergie'!E20</f>
        <v>0</v>
      </c>
      <c r="M12" s="409" t="e">
        <f>E12*F12+G12*H12+#REF!*#REF!+I12*J12</f>
        <v>#REF!</v>
      </c>
    </row>
    <row r="13" spans="1:13">
      <c r="A13" s="404" t="s">
        <v>245</v>
      </c>
      <c r="B13" s="405">
        <f t="shared" si="0"/>
        <v>12</v>
      </c>
      <c r="C13" s="405">
        <v>11</v>
      </c>
      <c r="D13" s="406">
        <v>2020</v>
      </c>
      <c r="E13" s="407">
        <f>SUBMETERING!O16+SUBMETERING!M16</f>
        <v>36938.999999999913</v>
      </c>
      <c r="F13" s="408">
        <f t="shared" si="1"/>
        <v>0.67516900000000002</v>
      </c>
      <c r="G13" s="408">
        <f>SUBMETERING!E16+SUBMETERING!G16+SUBMETERING!I16+SUBMETERING!K16</f>
        <v>6016</v>
      </c>
      <c r="H13" s="408">
        <f t="shared" si="2"/>
        <v>3.95</v>
      </c>
      <c r="I13" s="408">
        <f>SUBMETERING!S16</f>
        <v>191</v>
      </c>
      <c r="J13" s="408">
        <f t="shared" si="3"/>
        <v>3.46</v>
      </c>
      <c r="K13" s="407">
        <f>(SUBMETERING!D16/100)*344</f>
        <v>329.0016</v>
      </c>
      <c r="L13" s="407">
        <f>'[1]Consommation mensuel énergie'!E21</f>
        <v>0</v>
      </c>
      <c r="M13" s="409" t="e">
        <f>E13*F13+G13*H13+#REF!*#REF!+I13*J13</f>
        <v>#REF!</v>
      </c>
    </row>
    <row r="14" spans="1:13">
      <c r="A14" s="404" t="s">
        <v>245</v>
      </c>
      <c r="B14" s="405">
        <f t="shared" si="0"/>
        <v>13</v>
      </c>
      <c r="C14" s="405">
        <v>11</v>
      </c>
      <c r="D14" s="406">
        <v>2020</v>
      </c>
      <c r="E14" s="407">
        <f>SUBMETERING!O17+SUBMETERING!M17</f>
        <v>37341.999999999724</v>
      </c>
      <c r="F14" s="408">
        <f t="shared" si="1"/>
        <v>0.67516900000000002</v>
      </c>
      <c r="G14" s="408">
        <f>SUBMETERING!E17+SUBMETERING!G17+SUBMETERING!I17+SUBMETERING!K17</f>
        <v>5850</v>
      </c>
      <c r="H14" s="408">
        <f t="shared" si="2"/>
        <v>3.95</v>
      </c>
      <c r="I14" s="408">
        <f>SUBMETERING!S17</f>
        <v>194</v>
      </c>
      <c r="J14" s="408">
        <f t="shared" si="3"/>
        <v>3.46</v>
      </c>
      <c r="K14" s="407">
        <f>(SUBMETERING!D17/100)*344</f>
        <v>328.00399999999996</v>
      </c>
      <c r="L14" s="407">
        <f>'[1]Consommation mensuel énergie'!E22</f>
        <v>0</v>
      </c>
      <c r="M14" s="409" t="e">
        <f>E14*F14+G14*H14+#REF!*#REF!+I14*J14</f>
        <v>#REF!</v>
      </c>
    </row>
    <row r="15" spans="1:13">
      <c r="A15" s="404" t="s">
        <v>245</v>
      </c>
      <c r="B15" s="405">
        <f t="shared" si="0"/>
        <v>14</v>
      </c>
      <c r="C15" s="405">
        <v>11</v>
      </c>
      <c r="D15" s="406">
        <v>2020</v>
      </c>
      <c r="E15" s="407">
        <f>SUBMETERING!O18+SUBMETERING!M18</f>
        <v>34035.999999998363</v>
      </c>
      <c r="F15" s="408">
        <f t="shared" si="1"/>
        <v>0.67516900000000002</v>
      </c>
      <c r="G15" s="408">
        <f>SUBMETERING!E18+SUBMETERING!G18+SUBMETERING!I18+SUBMETERING!K18</f>
        <v>6182</v>
      </c>
      <c r="H15" s="408">
        <f t="shared" si="2"/>
        <v>3.95</v>
      </c>
      <c r="I15" s="408">
        <f>SUBMETERING!S18</f>
        <v>230</v>
      </c>
      <c r="J15" s="408">
        <f t="shared" si="3"/>
        <v>3.46</v>
      </c>
      <c r="K15" s="407">
        <f>(SUBMETERING!D18/100)*344</f>
        <v>336.94800000000004</v>
      </c>
      <c r="L15" s="407">
        <f>'[1]Consommation mensuel énergie'!E23</f>
        <v>0</v>
      </c>
      <c r="M15" s="409" t="e">
        <f>E15*F15+G15*H15+#REF!*#REF!+I15*J15</f>
        <v>#REF!</v>
      </c>
    </row>
    <row r="16" spans="1:13">
      <c r="A16" s="404" t="s">
        <v>245</v>
      </c>
      <c r="B16" s="405">
        <f t="shared" si="0"/>
        <v>15</v>
      </c>
      <c r="C16" s="405">
        <v>11</v>
      </c>
      <c r="D16" s="406">
        <v>2020</v>
      </c>
      <c r="E16" s="407">
        <f>SUBMETERING!O19+SUBMETERING!M19</f>
        <v>35529.000000000182</v>
      </c>
      <c r="F16" s="408">
        <f t="shared" si="1"/>
        <v>0.67516900000000002</v>
      </c>
      <c r="G16" s="408">
        <f>SUBMETERING!E19+SUBMETERING!G19+SUBMETERING!I19+SUBMETERING!K19</f>
        <v>5974</v>
      </c>
      <c r="H16" s="408">
        <f t="shared" si="2"/>
        <v>3.95</v>
      </c>
      <c r="I16" s="408">
        <f>SUBMETERING!S19</f>
        <v>207</v>
      </c>
      <c r="J16" s="408">
        <f t="shared" si="3"/>
        <v>3.46</v>
      </c>
      <c r="K16" s="407">
        <f>(SUBMETERING!D19/100)*344</f>
        <v>281.46079999999995</v>
      </c>
      <c r="L16" s="407">
        <f>'[1]Consommation mensuel énergie'!E24</f>
        <v>0</v>
      </c>
      <c r="M16" s="409" t="e">
        <f>E16*F16+G16*H16+#REF!*#REF!+I16*J16</f>
        <v>#REF!</v>
      </c>
    </row>
    <row r="17" spans="1:13">
      <c r="A17" s="404" t="s">
        <v>245</v>
      </c>
      <c r="B17" s="405">
        <f t="shared" si="0"/>
        <v>16</v>
      </c>
      <c r="C17" s="405">
        <v>11</v>
      </c>
      <c r="D17" s="406">
        <v>2020</v>
      </c>
      <c r="E17" s="407">
        <f>SUBMETERING!O20+SUBMETERING!M20</f>
        <v>38696.000000002001</v>
      </c>
      <c r="F17" s="408">
        <f t="shared" si="1"/>
        <v>0.67516900000000002</v>
      </c>
      <c r="G17" s="408">
        <f>SUBMETERING!E20+SUBMETERING!G20+SUBMETERING!I20+SUBMETERING!K20</f>
        <v>5880</v>
      </c>
      <c r="H17" s="408">
        <f t="shared" si="2"/>
        <v>3.95</v>
      </c>
      <c r="I17" s="408">
        <f>SUBMETERING!S20</f>
        <v>173</v>
      </c>
      <c r="J17" s="408">
        <f t="shared" si="3"/>
        <v>3.46</v>
      </c>
      <c r="K17" s="407">
        <f>(SUBMETERING!D20/100)*344</f>
        <v>316.99600000000004</v>
      </c>
      <c r="L17" s="407">
        <f>'[1]Consommation mensuel énergie'!E25</f>
        <v>0</v>
      </c>
      <c r="M17" s="409" t="e">
        <f>E17*F17+G17*H17+#REF!*#REF!+I17*J17</f>
        <v>#REF!</v>
      </c>
    </row>
    <row r="18" spans="1:13">
      <c r="A18" s="404" t="s">
        <v>245</v>
      </c>
      <c r="B18" s="405">
        <f t="shared" si="0"/>
        <v>17</v>
      </c>
      <c r="C18" s="405">
        <v>11</v>
      </c>
      <c r="D18" s="406">
        <v>2020</v>
      </c>
      <c r="E18" s="407">
        <f>SUBMETERING!O21+SUBMETERING!M21</f>
        <v>39755.999999998457</v>
      </c>
      <c r="F18" s="408">
        <f t="shared" si="1"/>
        <v>0.67516900000000002</v>
      </c>
      <c r="G18" s="408">
        <f>SUBMETERING!E21+SUBMETERING!G21+SUBMETERING!I21+SUBMETERING!K21</f>
        <v>6134</v>
      </c>
      <c r="H18" s="408">
        <f t="shared" si="2"/>
        <v>3.95</v>
      </c>
      <c r="I18" s="408">
        <f>SUBMETERING!S21</f>
        <v>180</v>
      </c>
      <c r="J18" s="408">
        <f t="shared" si="3"/>
        <v>3.46</v>
      </c>
      <c r="K18" s="407">
        <f>(SUBMETERING!D21/100)*344</f>
        <v>309.01519999999999</v>
      </c>
      <c r="L18" s="407">
        <f>'[1]Consommation mensuel énergie'!E26</f>
        <v>0</v>
      </c>
      <c r="M18" s="409" t="e">
        <f>E18*F18+G18*H18+#REF!*#REF!+I18*J18</f>
        <v>#REF!</v>
      </c>
    </row>
    <row r="19" spans="1:13">
      <c r="A19" s="404" t="s">
        <v>245</v>
      </c>
      <c r="B19" s="405">
        <f t="shared" si="0"/>
        <v>18</v>
      </c>
      <c r="C19" s="405">
        <v>11</v>
      </c>
      <c r="D19" s="406">
        <v>2020</v>
      </c>
      <c r="E19" s="407">
        <f>SUBMETERING!O22+SUBMETERING!M22</f>
        <v>41008.000000000276</v>
      </c>
      <c r="F19" s="408">
        <f t="shared" si="1"/>
        <v>0.67516900000000002</v>
      </c>
      <c r="G19" s="408">
        <f>SUBMETERING!E22+SUBMETERING!G22+SUBMETERING!I22+SUBMETERING!K22</f>
        <v>6188</v>
      </c>
      <c r="H19" s="408">
        <f t="shared" si="2"/>
        <v>3.95</v>
      </c>
      <c r="I19" s="408">
        <f>SUBMETERING!S22</f>
        <v>158</v>
      </c>
      <c r="J19" s="408">
        <f t="shared" si="3"/>
        <v>3.46</v>
      </c>
      <c r="K19" s="407">
        <f>(SUBMETERING!D22/100)*344</f>
        <v>334.98719999999997</v>
      </c>
      <c r="L19" s="407">
        <f>'[1]Consommation mensuel énergie'!E27</f>
        <v>0</v>
      </c>
      <c r="M19" s="409" t="e">
        <f>E19*F19+G19*H19+#REF!*#REF!+I19*J19</f>
        <v>#REF!</v>
      </c>
    </row>
    <row r="20" spans="1:13">
      <c r="A20" s="404" t="s">
        <v>245</v>
      </c>
      <c r="B20" s="405">
        <f t="shared" si="0"/>
        <v>19</v>
      </c>
      <c r="C20" s="405">
        <v>11</v>
      </c>
      <c r="D20" s="406">
        <v>2020</v>
      </c>
      <c r="E20" s="407">
        <f>SUBMETERING!O23+SUBMETERING!M23</f>
        <v>42514.999999999454</v>
      </c>
      <c r="F20" s="408">
        <f t="shared" si="1"/>
        <v>0.67516900000000002</v>
      </c>
      <c r="G20" s="408">
        <f>SUBMETERING!E23+SUBMETERING!G23+SUBMETERING!I23+SUBMETERING!K23</f>
        <v>5956</v>
      </c>
      <c r="H20" s="408">
        <f t="shared" si="2"/>
        <v>3.95</v>
      </c>
      <c r="I20" s="408">
        <f>SUBMETERING!S23</f>
        <v>177</v>
      </c>
      <c r="J20" s="408">
        <f t="shared" si="3"/>
        <v>3.46</v>
      </c>
      <c r="K20" s="407">
        <f>(SUBMETERING!D23/100)*344</f>
        <v>336.98239999999998</v>
      </c>
      <c r="L20" s="407">
        <f>'[1]Consommation mensuel énergie'!E28</f>
        <v>0</v>
      </c>
      <c r="M20" s="409" t="e">
        <f>E20*F20+G20*H20+#REF!*#REF!+I20*J20</f>
        <v>#REF!</v>
      </c>
    </row>
    <row r="21" spans="1:13">
      <c r="A21" s="404" t="s">
        <v>245</v>
      </c>
      <c r="B21" s="405">
        <f t="shared" si="0"/>
        <v>20</v>
      </c>
      <c r="C21" s="405">
        <v>11</v>
      </c>
      <c r="D21" s="406">
        <v>2020</v>
      </c>
      <c r="E21" s="407">
        <f>SUBMETERING!O24+SUBMETERING!M24</f>
        <v>43458.999999999091</v>
      </c>
      <c r="F21" s="408">
        <f t="shared" si="1"/>
        <v>0.67516900000000002</v>
      </c>
      <c r="G21" s="408">
        <f>SUBMETERING!E24+SUBMETERING!G24+SUBMETERING!I24+SUBMETERING!K24</f>
        <v>6534</v>
      </c>
      <c r="H21" s="408">
        <f t="shared" si="2"/>
        <v>3.95</v>
      </c>
      <c r="I21" s="408">
        <f>SUBMETERING!S24</f>
        <v>202</v>
      </c>
      <c r="J21" s="408">
        <f t="shared" si="3"/>
        <v>3.46</v>
      </c>
      <c r="K21" s="407">
        <f>(SUBMETERING!D24/100)*344</f>
        <v>344</v>
      </c>
      <c r="L21" s="407">
        <f>'[1]Consommation mensuel énergie'!E29</f>
        <v>0</v>
      </c>
      <c r="M21" s="409" t="e">
        <f>E21*F21+G21*H21+#REF!*#REF!+I21*J21</f>
        <v>#REF!</v>
      </c>
    </row>
    <row r="22" spans="1:13">
      <c r="A22" s="404" t="s">
        <v>245</v>
      </c>
      <c r="B22" s="405">
        <f t="shared" si="0"/>
        <v>21</v>
      </c>
      <c r="C22" s="405">
        <v>11</v>
      </c>
      <c r="D22" s="406">
        <v>2020</v>
      </c>
      <c r="E22" s="407">
        <f>SUBMETERING!O25+SUBMETERING!M25</f>
        <v>42742.000000001273</v>
      </c>
      <c r="F22" s="408">
        <f t="shared" si="1"/>
        <v>0.67516900000000002</v>
      </c>
      <c r="G22" s="408">
        <f>SUBMETERING!E25+SUBMETERING!G25+SUBMETERING!I25+SUBMETERING!K25</f>
        <v>6582</v>
      </c>
      <c r="H22" s="408">
        <f t="shared" si="2"/>
        <v>3.95</v>
      </c>
      <c r="I22" s="408">
        <f>SUBMETERING!S25</f>
        <v>179</v>
      </c>
      <c r="J22" s="408">
        <f t="shared" si="3"/>
        <v>3.46</v>
      </c>
      <c r="K22" s="407">
        <f>(SUBMETERING!D25/100)*344</f>
        <v>338.9776</v>
      </c>
      <c r="L22" s="407">
        <f>'[1]Consommation mensuel énergie'!E30</f>
        <v>0</v>
      </c>
      <c r="M22" s="409" t="e">
        <f>E22*F22+G22*H22+#REF!*#REF!+I22*J22</f>
        <v>#REF!</v>
      </c>
    </row>
    <row r="23" spans="1:13">
      <c r="A23" s="404" t="s">
        <v>245</v>
      </c>
      <c r="B23" s="405">
        <f t="shared" si="0"/>
        <v>22</v>
      </c>
      <c r="C23" s="405">
        <v>11</v>
      </c>
      <c r="D23" s="406">
        <v>2020</v>
      </c>
      <c r="E23" s="407">
        <f>SUBMETERING!O26+SUBMETERING!M26</f>
        <v>43951.999999998457</v>
      </c>
      <c r="F23" s="408">
        <f t="shared" si="1"/>
        <v>0.67516900000000002</v>
      </c>
      <c r="G23" s="408">
        <f>SUBMETERING!E26+SUBMETERING!G26+SUBMETERING!I26+SUBMETERING!K26</f>
        <v>6326</v>
      </c>
      <c r="H23" s="408">
        <f t="shared" si="2"/>
        <v>3.95</v>
      </c>
      <c r="I23" s="408">
        <f>SUBMETERING!S26</f>
        <v>218</v>
      </c>
      <c r="J23" s="408">
        <f t="shared" si="3"/>
        <v>3.46</v>
      </c>
      <c r="K23" s="407">
        <f>(SUBMETERING!D26/100)*344</f>
        <v>257.48399999999998</v>
      </c>
      <c r="L23" s="407">
        <f>'[1]Consommation mensuel énergie'!E31</f>
        <v>0</v>
      </c>
      <c r="M23" s="409" t="e">
        <f>E23*F23+G23*H23+#REF!*#REF!+I23*J23</f>
        <v>#REF!</v>
      </c>
    </row>
    <row r="24" spans="1:13">
      <c r="A24" s="404" t="s">
        <v>245</v>
      </c>
      <c r="B24" s="405">
        <f t="shared" si="0"/>
        <v>23</v>
      </c>
      <c r="C24" s="405">
        <v>11</v>
      </c>
      <c r="D24" s="406">
        <v>2020</v>
      </c>
      <c r="E24" s="407">
        <f>SUBMETERING!O27+SUBMETERING!M27</f>
        <v>36096.000000002998</v>
      </c>
      <c r="F24" s="408">
        <f t="shared" si="1"/>
        <v>0.67516900000000002</v>
      </c>
      <c r="G24" s="408">
        <f>SUBMETERING!E27+SUBMETERING!G27+SUBMETERING!I27+SUBMETERING!K27</f>
        <v>5692</v>
      </c>
      <c r="H24" s="408">
        <f t="shared" si="2"/>
        <v>3.95</v>
      </c>
      <c r="I24" s="408">
        <f>SUBMETERING!S27</f>
        <v>202</v>
      </c>
      <c r="J24" s="408">
        <f t="shared" si="3"/>
        <v>3.46</v>
      </c>
      <c r="K24" s="407">
        <f>(SUBMETERING!D27/100)*344</f>
        <v>271.00319999999999</v>
      </c>
      <c r="L24" s="407">
        <f>'[1]Consommation mensuel énergie'!E32</f>
        <v>0</v>
      </c>
      <c r="M24" s="409" t="e">
        <f>E24*F24+G24*H24+#REF!*#REF!+I24*J24</f>
        <v>#REF!</v>
      </c>
    </row>
    <row r="25" spans="1:13">
      <c r="A25" s="404" t="s">
        <v>245</v>
      </c>
      <c r="B25" s="405">
        <f t="shared" si="0"/>
        <v>24</v>
      </c>
      <c r="C25" s="405">
        <v>11</v>
      </c>
      <c r="D25" s="406">
        <v>2020</v>
      </c>
      <c r="E25" s="407">
        <f>SUBMETERING!O28+SUBMETERING!M28</f>
        <v>37760.999999999272</v>
      </c>
      <c r="F25" s="408">
        <f t="shared" si="1"/>
        <v>0.67516900000000002</v>
      </c>
      <c r="G25" s="408">
        <f>SUBMETERING!E28+SUBMETERING!G28+SUBMETERING!I28+SUBMETERING!K28</f>
        <v>6082</v>
      </c>
      <c r="H25" s="408">
        <f t="shared" si="2"/>
        <v>3.95</v>
      </c>
      <c r="I25" s="408">
        <f>SUBMETERING!S28</f>
        <v>181</v>
      </c>
      <c r="J25" s="408">
        <f t="shared" si="3"/>
        <v>3.46</v>
      </c>
      <c r="K25" s="407">
        <f>(SUBMETERING!D28/100)*344</f>
        <v>302.99520000000001</v>
      </c>
      <c r="L25" s="407">
        <f>'[1]Consommation mensuel énergie'!E33</f>
        <v>0</v>
      </c>
      <c r="M25" s="409" t="e">
        <f>E25*F25+G25*H25+#REF!*#REF!+I25*J25</f>
        <v>#REF!</v>
      </c>
    </row>
    <row r="26" spans="1:13">
      <c r="A26" s="404" t="s">
        <v>245</v>
      </c>
      <c r="B26" s="405">
        <f>B25+1</f>
        <v>25</v>
      </c>
      <c r="C26" s="405">
        <v>11</v>
      </c>
      <c r="D26" s="406">
        <v>2020</v>
      </c>
      <c r="E26" s="407">
        <f>SUBMETERING!O29+SUBMETERING!M29</f>
        <v>45506.999999997635</v>
      </c>
      <c r="F26" s="408">
        <f t="shared" si="1"/>
        <v>0.67516900000000002</v>
      </c>
      <c r="G26" s="408">
        <f>SUBMETERING!E29+SUBMETERING!G29+SUBMETERING!I29+SUBMETERING!K29</f>
        <v>6154</v>
      </c>
      <c r="H26" s="408">
        <f t="shared" si="2"/>
        <v>3.95</v>
      </c>
      <c r="I26" s="408">
        <f>SUBMETERING!S29</f>
        <v>211</v>
      </c>
      <c r="J26" s="408">
        <f t="shared" si="3"/>
        <v>3.46</v>
      </c>
      <c r="K26" s="407">
        <f>(SUBMETERING!D29/100)*344</f>
        <v>327.00639999999999</v>
      </c>
      <c r="L26" s="407">
        <f>'[1]Consommation mensuel énergie'!E34</f>
        <v>0</v>
      </c>
      <c r="M26" s="409" t="e">
        <f>E26*F26+G26*H26+#REF!*#REF!+I26*J26</f>
        <v>#REF!</v>
      </c>
    </row>
    <row r="27" spans="1:13">
      <c r="A27" s="404" t="s">
        <v>245</v>
      </c>
      <c r="B27" s="405">
        <f t="shared" si="0"/>
        <v>26</v>
      </c>
      <c r="C27" s="405">
        <v>11</v>
      </c>
      <c r="D27" s="406">
        <v>2020</v>
      </c>
      <c r="E27" s="407">
        <f>SUBMETERING!O30+SUBMETERING!M30</f>
        <v>38558.000000001906</v>
      </c>
      <c r="F27" s="408">
        <f t="shared" si="1"/>
        <v>0.67516900000000002</v>
      </c>
      <c r="G27" s="408">
        <f>SUBMETERING!E30+SUBMETERING!G30+SUBMETERING!I30+SUBMETERING!K30</f>
        <v>6064</v>
      </c>
      <c r="H27" s="408">
        <f t="shared" si="2"/>
        <v>3.95</v>
      </c>
      <c r="I27" s="408">
        <f>SUBMETERING!S30</f>
        <v>169</v>
      </c>
      <c r="J27" s="408">
        <f t="shared" si="3"/>
        <v>3.46</v>
      </c>
      <c r="K27" s="407">
        <f>(SUBMETERING!D30/100)*344</f>
        <v>331.99440000000004</v>
      </c>
      <c r="L27" s="407">
        <f>'[1]Consommation mensuel énergie'!E35</f>
        <v>0</v>
      </c>
      <c r="M27" s="409" t="e">
        <f>E27*F27+G27*H27+#REF!*#REF!+I27*J27</f>
        <v>#REF!</v>
      </c>
    </row>
    <row r="28" spans="1:13">
      <c r="A28" s="404" t="s">
        <v>245</v>
      </c>
      <c r="B28" s="405">
        <f t="shared" si="0"/>
        <v>27</v>
      </c>
      <c r="C28" s="405">
        <v>11</v>
      </c>
      <c r="D28" s="406">
        <v>2020</v>
      </c>
      <c r="E28" s="407">
        <f>SUBMETERING!O31+SUBMETERING!M31</f>
        <v>38217.999999998996</v>
      </c>
      <c r="F28" s="408">
        <f t="shared" si="1"/>
        <v>0.67516900000000002</v>
      </c>
      <c r="G28" s="408">
        <f>SUBMETERING!E31+SUBMETERING!G31+SUBMETERING!I31+SUBMETERING!K31</f>
        <v>6272</v>
      </c>
      <c r="H28" s="408">
        <f t="shared" si="2"/>
        <v>3.95</v>
      </c>
      <c r="I28" s="408">
        <f>SUBMETERING!S31</f>
        <v>208</v>
      </c>
      <c r="J28" s="408">
        <f t="shared" si="3"/>
        <v>3.46</v>
      </c>
      <c r="K28" s="407">
        <f>(SUBMETERING!D31/100)*344</f>
        <v>324.0136</v>
      </c>
      <c r="L28" s="407">
        <f>'[1]Consommation mensuel énergie'!E36</f>
        <v>0</v>
      </c>
      <c r="M28" s="409" t="e">
        <f>E28*F28+G28*H28+#REF!*#REF!+I28*J28</f>
        <v>#REF!</v>
      </c>
    </row>
    <row r="29" spans="1:13">
      <c r="A29" s="404" t="s">
        <v>245</v>
      </c>
      <c r="B29" s="405">
        <f t="shared" si="0"/>
        <v>28</v>
      </c>
      <c r="C29" s="405">
        <v>11</v>
      </c>
      <c r="D29" s="406">
        <v>2020</v>
      </c>
      <c r="E29" s="407">
        <f>SUBMETERING!O32+SUBMETERING!M32</f>
        <v>35241.000000000276</v>
      </c>
      <c r="F29" s="408">
        <f t="shared" si="1"/>
        <v>0.67516900000000002</v>
      </c>
      <c r="G29" s="408">
        <f>SUBMETERING!E32+SUBMETERING!G32+SUBMETERING!I32+SUBMETERING!K32</f>
        <v>6566</v>
      </c>
      <c r="H29" s="408">
        <f t="shared" si="2"/>
        <v>3.95</v>
      </c>
      <c r="I29" s="408">
        <f>SUBMETERING!S32</f>
        <v>181</v>
      </c>
      <c r="J29" s="408">
        <f t="shared" si="3"/>
        <v>3.46</v>
      </c>
      <c r="K29" s="407">
        <f>(SUBMETERING!D32/100)*344</f>
        <v>318.99119999999999</v>
      </c>
      <c r="L29" s="407">
        <f>'[1]Consommation mensuel énergie'!E37</f>
        <v>0</v>
      </c>
      <c r="M29" s="409" t="e">
        <f>E29*F29+G29*H29+#REF!*#REF!+I29*J29</f>
        <v>#REF!</v>
      </c>
    </row>
    <row r="30" spans="1:13">
      <c r="A30" s="404" t="s">
        <v>245</v>
      </c>
      <c r="B30" s="405">
        <f t="shared" si="0"/>
        <v>29</v>
      </c>
      <c r="C30" s="405">
        <v>11</v>
      </c>
      <c r="D30" s="406">
        <v>2020</v>
      </c>
      <c r="E30" s="407">
        <f>SUBMETERING!O33+SUBMETERING!M33</f>
        <v>31554.000000000637</v>
      </c>
      <c r="F30" s="408">
        <f t="shared" si="1"/>
        <v>0.67516900000000002</v>
      </c>
      <c r="G30" s="408">
        <f>SUBMETERING!E33+SUBMETERING!G33+SUBMETERING!I33+SUBMETERING!K33</f>
        <v>6512</v>
      </c>
      <c r="H30" s="408">
        <f t="shared" si="2"/>
        <v>3.95</v>
      </c>
      <c r="I30" s="408">
        <f>SUBMETERING!S33</f>
        <v>129</v>
      </c>
      <c r="J30" s="408">
        <f t="shared" si="3"/>
        <v>3.46</v>
      </c>
      <c r="K30" s="407">
        <f>(SUBMETERING!D33/100)*344</f>
        <v>275.99119999999999</v>
      </c>
      <c r="L30" s="407">
        <f>'[1]Consommation mensuel énergie'!E38</f>
        <v>0</v>
      </c>
      <c r="M30" s="409" t="e">
        <f>E30*F30+G30*H30+#REF!*#REF!+I30*J30</f>
        <v>#REF!</v>
      </c>
    </row>
    <row r="31" spans="1:13">
      <c r="A31" s="404" t="s">
        <v>245</v>
      </c>
      <c r="B31" s="405">
        <f t="shared" si="0"/>
        <v>30</v>
      </c>
      <c r="C31" s="405">
        <v>11</v>
      </c>
      <c r="D31" s="406">
        <v>2020</v>
      </c>
      <c r="E31" s="407">
        <f>SUBMETERING!O34+SUBMETERING!M34</f>
        <v>28628.999999999091</v>
      </c>
      <c r="F31" s="408">
        <f t="shared" si="1"/>
        <v>0.67516900000000002</v>
      </c>
      <c r="G31" s="408">
        <f>SUBMETERING!E34+SUBMETERING!G34+SUBMETERING!I34+SUBMETERING!K34</f>
        <v>5948</v>
      </c>
      <c r="H31" s="408">
        <f t="shared" si="2"/>
        <v>3.95</v>
      </c>
      <c r="I31" s="408">
        <f>SUBMETERING!S34</f>
        <v>160</v>
      </c>
      <c r="J31" s="408">
        <f t="shared" si="3"/>
        <v>3.46</v>
      </c>
      <c r="K31" s="407">
        <f>(SUBMETERING!D34/100)*344</f>
        <v>239.01120000000003</v>
      </c>
      <c r="L31" s="407">
        <f>'[1]Consommation mensuel énergie'!E39</f>
        <v>0</v>
      </c>
      <c r="M31" s="409" t="e">
        <f>E31*F31+G31*H31+#REF!*#REF!+I31*J31</f>
        <v>#REF!</v>
      </c>
    </row>
    <row r="32" spans="1:13" s="407" customFormat="1">
      <c r="A32" s="411"/>
      <c r="B32" s="405"/>
      <c r="C32" s="405"/>
      <c r="D32" s="406"/>
      <c r="F32" s="408"/>
      <c r="G32" s="408"/>
      <c r="H32" s="408"/>
      <c r="I32" s="408"/>
      <c r="J32" s="408"/>
      <c r="M32" s="410"/>
    </row>
    <row r="33" spans="1:13" s="407" customFormat="1">
      <c r="A33" s="411"/>
      <c r="B33" s="405"/>
      <c r="C33" s="405"/>
      <c r="D33" s="406"/>
      <c r="F33" s="408"/>
      <c r="G33" s="408"/>
      <c r="H33" s="408"/>
      <c r="I33" s="408"/>
      <c r="J33" s="408"/>
      <c r="M33" s="410"/>
    </row>
    <row r="34" spans="1:13" s="407" customFormat="1">
      <c r="A34" s="411"/>
      <c r="B34" s="405"/>
      <c r="C34" s="405"/>
      <c r="D34" s="406"/>
      <c r="F34" s="408"/>
      <c r="G34" s="408"/>
      <c r="H34" s="408"/>
      <c r="I34" s="408"/>
      <c r="J34" s="408"/>
      <c r="M34" s="410"/>
    </row>
    <row r="35" spans="1:13" s="407" customFormat="1">
      <c r="A35" s="411"/>
      <c r="B35" s="405"/>
      <c r="C35" s="405"/>
      <c r="D35" s="406"/>
      <c r="F35" s="408"/>
      <c r="G35" s="408"/>
      <c r="H35" s="408"/>
      <c r="I35" s="408"/>
      <c r="J35" s="408"/>
      <c r="M35" s="410"/>
    </row>
    <row r="36" spans="1:13" s="407" customFormat="1">
      <c r="A36" s="411"/>
      <c r="B36" s="405"/>
      <c r="C36" s="405"/>
      <c r="D36" s="406"/>
      <c r="F36" s="408"/>
      <c r="G36" s="408"/>
      <c r="H36" s="408"/>
      <c r="I36" s="408"/>
      <c r="J36" s="408"/>
      <c r="M36" s="410"/>
    </row>
    <row r="37" spans="1:13" s="407" customFormat="1">
      <c r="A37" s="411"/>
      <c r="B37" s="405"/>
      <c r="C37" s="405"/>
      <c r="D37" s="406"/>
      <c r="F37" s="408"/>
      <c r="G37" s="408"/>
      <c r="H37" s="408"/>
      <c r="I37" s="408"/>
      <c r="J37" s="408"/>
      <c r="M37" s="410"/>
    </row>
    <row r="38" spans="1:13" s="407" customFormat="1">
      <c r="A38" s="411"/>
      <c r="B38" s="405"/>
      <c r="C38" s="405"/>
      <c r="D38" s="406"/>
      <c r="F38" s="408"/>
      <c r="G38" s="408"/>
      <c r="H38" s="408"/>
      <c r="I38" s="408"/>
      <c r="J38" s="408"/>
      <c r="M38" s="4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1"/>
  <sheetViews>
    <sheetView zoomScale="80" zoomScaleNormal="80" workbookViewId="0">
      <selection activeCell="O2" sqref="O2:P3"/>
    </sheetView>
  </sheetViews>
  <sheetFormatPr defaultRowHeight="14.25"/>
  <cols>
    <col min="1" max="1" width="4.625" style="77" customWidth="1"/>
    <col min="2" max="4" width="6.625" style="77" customWidth="1"/>
    <col min="5" max="5" width="8.625" style="77" customWidth="1"/>
    <col min="6" max="6" width="11.625" style="77" customWidth="1"/>
    <col min="7" max="7" width="7.625" style="117" customWidth="1"/>
    <col min="8" max="8" width="12.375" style="77" customWidth="1"/>
    <col min="9" max="9" width="7.375" style="77" customWidth="1"/>
    <col min="10" max="10" width="11.625" style="77" customWidth="1"/>
    <col min="11" max="11" width="8.625" style="77" customWidth="1"/>
    <col min="12" max="12" width="13.625" style="77" customWidth="1"/>
    <col min="13" max="13" width="8.625" style="77" customWidth="1"/>
    <col min="14" max="14" width="13.625" style="77" customWidth="1"/>
    <col min="15" max="15" width="9.625" style="77" customWidth="1"/>
    <col min="16" max="16" width="13.625" style="77" customWidth="1"/>
    <col min="17" max="17" width="5.625" style="77" customWidth="1"/>
    <col min="18" max="18" width="12.625" style="77" customWidth="1"/>
    <col min="19" max="19" width="6.625" style="77" customWidth="1"/>
    <col min="20" max="20" width="11.625" style="76" customWidth="1"/>
    <col min="21" max="21" width="15.625" style="161" customWidth="1"/>
    <col min="22" max="25" width="8" style="77" bestFit="1" customWidth="1"/>
    <col min="26" max="26" width="16.375" style="77" customWidth="1"/>
    <col min="27" max="16384" width="9" style="77"/>
  </cols>
  <sheetData>
    <row r="1" spans="1:21" ht="24" customHeight="1" thickBot="1">
      <c r="A1" s="268" t="s">
        <v>233</v>
      </c>
      <c r="B1" s="268"/>
      <c r="C1" s="268"/>
      <c r="D1" s="268"/>
      <c r="E1" s="268"/>
      <c r="F1" s="268"/>
      <c r="G1" s="269"/>
      <c r="H1" s="268"/>
      <c r="I1" s="268"/>
      <c r="J1" s="268"/>
      <c r="K1" s="268"/>
      <c r="L1" s="268"/>
      <c r="M1" s="268"/>
      <c r="N1" s="268"/>
      <c r="O1" s="270"/>
      <c r="P1" s="270"/>
      <c r="Q1" s="270"/>
      <c r="R1" s="270"/>
      <c r="S1" s="270"/>
      <c r="T1" s="270"/>
      <c r="U1" s="270"/>
    </row>
    <row r="2" spans="1:21" s="162" customFormat="1" ht="26.25" customHeight="1" thickBot="1">
      <c r="A2" s="271" t="s">
        <v>159</v>
      </c>
      <c r="B2" s="274" t="s">
        <v>160</v>
      </c>
      <c r="C2" s="274" t="s">
        <v>161</v>
      </c>
      <c r="D2" s="271" t="s">
        <v>162</v>
      </c>
      <c r="E2" s="277" t="s">
        <v>232</v>
      </c>
      <c r="F2" s="278"/>
      <c r="G2" s="281" t="s">
        <v>231</v>
      </c>
      <c r="H2" s="293"/>
      <c r="I2" s="296" t="s">
        <v>230</v>
      </c>
      <c r="J2" s="293"/>
      <c r="K2" s="281" t="s">
        <v>229</v>
      </c>
      <c r="L2" s="282"/>
      <c r="M2" s="281" t="s">
        <v>189</v>
      </c>
      <c r="N2" s="282"/>
      <c r="O2" s="285" t="s">
        <v>190</v>
      </c>
      <c r="P2" s="286"/>
      <c r="Q2" s="300" t="s">
        <v>196</v>
      </c>
      <c r="R2" s="301"/>
      <c r="S2" s="298" t="s">
        <v>170</v>
      </c>
      <c r="T2" s="299"/>
      <c r="U2" s="282" t="s">
        <v>163</v>
      </c>
    </row>
    <row r="3" spans="1:21" s="163" customFormat="1" ht="38.25" customHeight="1" thickBot="1">
      <c r="A3" s="272"/>
      <c r="B3" s="275"/>
      <c r="C3" s="275"/>
      <c r="D3" s="272"/>
      <c r="E3" s="279"/>
      <c r="F3" s="280"/>
      <c r="G3" s="294"/>
      <c r="H3" s="295"/>
      <c r="I3" s="297"/>
      <c r="J3" s="295"/>
      <c r="K3" s="283"/>
      <c r="L3" s="284"/>
      <c r="M3" s="283"/>
      <c r="N3" s="284"/>
      <c r="O3" s="287"/>
      <c r="P3" s="288"/>
      <c r="Q3" s="302"/>
      <c r="R3" s="303"/>
      <c r="S3" s="291" t="s">
        <v>228</v>
      </c>
      <c r="T3" s="292"/>
      <c r="U3" s="272"/>
    </row>
    <row r="4" spans="1:21" s="162" customFormat="1" ht="24.75" customHeight="1" thickBot="1">
      <c r="A4" s="273"/>
      <c r="B4" s="276"/>
      <c r="C4" s="276"/>
      <c r="D4" s="273"/>
      <c r="E4" s="172" t="s">
        <v>168</v>
      </c>
      <c r="F4" s="173" t="s">
        <v>89</v>
      </c>
      <c r="G4" s="172" t="s">
        <v>168</v>
      </c>
      <c r="H4" s="173" t="s">
        <v>111</v>
      </c>
      <c r="I4" s="174" t="s">
        <v>167</v>
      </c>
      <c r="J4" s="175" t="s">
        <v>111</v>
      </c>
      <c r="K4" s="174" t="s">
        <v>169</v>
      </c>
      <c r="L4" s="175" t="s">
        <v>111</v>
      </c>
      <c r="M4" s="176" t="s">
        <v>166</v>
      </c>
      <c r="N4" s="173" t="s">
        <v>89</v>
      </c>
      <c r="O4" s="172" t="s">
        <v>165</v>
      </c>
      <c r="P4" s="173" t="s">
        <v>89</v>
      </c>
      <c r="Q4" s="177" t="s">
        <v>112</v>
      </c>
      <c r="R4" s="178" t="s">
        <v>111</v>
      </c>
      <c r="S4" s="172" t="s">
        <v>164</v>
      </c>
      <c r="T4" s="173" t="s">
        <v>89</v>
      </c>
      <c r="U4" s="273"/>
    </row>
    <row r="5" spans="1:21" s="156" customFormat="1" ht="22.5" customHeight="1" thickBot="1">
      <c r="A5" s="235">
        <v>1</v>
      </c>
      <c r="B5" s="180" t="s">
        <v>198</v>
      </c>
      <c r="C5" s="164">
        <v>0</v>
      </c>
      <c r="D5" s="197">
        <v>57.27</v>
      </c>
      <c r="E5" s="165">
        <f>SUM(厨房燃气!BH7)</f>
        <v>523</v>
      </c>
      <c r="F5" s="200">
        <f>IF(E5&gt;0,E5*3.95,0)</f>
        <v>2065.85</v>
      </c>
      <c r="G5" s="165">
        <f>SUM(厨房燃气!BJ7)</f>
        <v>916</v>
      </c>
      <c r="H5" s="167">
        <f>IF(G5&gt;0,G5*3.95,0)</f>
        <v>3618.2000000000003</v>
      </c>
      <c r="I5" s="198">
        <f>SUM('B1 &amp; 102F 锅炉房'!G7)</f>
        <v>916</v>
      </c>
      <c r="J5" s="204">
        <f>IF(I5&gt;0,I5*3.95,0)</f>
        <v>3618.2000000000003</v>
      </c>
      <c r="K5" s="165">
        <f t="shared" ref="K5:K33" si="0">SUM(I5+G5+E5)</f>
        <v>2355</v>
      </c>
      <c r="L5" s="167">
        <f>IF(K5&gt;0,K5*3.95,0)</f>
        <v>9302.25</v>
      </c>
      <c r="M5" s="198">
        <f>SUM(主塔楼空调用电量!V4)</f>
        <v>8068</v>
      </c>
      <c r="N5" s="200">
        <f>M5*0.675169</f>
        <v>5447.263492</v>
      </c>
      <c r="O5" s="165">
        <f>SUM('68F 高压F13&amp;F30'!F7)</f>
        <v>30799.999999999272</v>
      </c>
      <c r="P5" s="168">
        <f>IF(O5&gt;0,O5*0.675169)</f>
        <v>20795.205199999509</v>
      </c>
      <c r="Q5" s="199">
        <f>SUM(裙楼空调用量!L4)</f>
        <v>11</v>
      </c>
      <c r="R5" s="201">
        <f>IF(Q5*417&gt;0,Q5*291.66+1655.02)</f>
        <v>4863.2800000000007</v>
      </c>
      <c r="S5" s="165">
        <f>SUM('B4 水表'!C7)</f>
        <v>175</v>
      </c>
      <c r="T5" s="168">
        <f>S5*3.46</f>
        <v>605.5</v>
      </c>
      <c r="U5" s="208">
        <f>SUM(L5+P5+R5+T5)</f>
        <v>35566.235199999508</v>
      </c>
    </row>
    <row r="6" spans="1:21" s="156" customFormat="1" ht="22.5" customHeight="1" thickBot="1">
      <c r="A6" s="236">
        <v>2</v>
      </c>
      <c r="B6" s="180" t="s">
        <v>199</v>
      </c>
      <c r="C6" s="164">
        <v>665</v>
      </c>
      <c r="D6" s="197">
        <v>70.64</v>
      </c>
      <c r="E6" s="165">
        <f>SUM(厨房燃气!BH8)</f>
        <v>516</v>
      </c>
      <c r="F6" s="200">
        <f t="shared" ref="F6:F34" si="1">IF(E6&gt;0,E6*3.95,0)</f>
        <v>2038.2</v>
      </c>
      <c r="G6" s="165">
        <f>SUM('B1 &amp; 102F 锅炉房'!C8)</f>
        <v>1479</v>
      </c>
      <c r="H6" s="167">
        <f t="shared" ref="H6:H34" si="2">IF(G6&gt;0,G6*3.95,0)</f>
        <v>5842.05</v>
      </c>
      <c r="I6" s="198">
        <f>SUM('B1 &amp; 102F 锅炉房'!G8)</f>
        <v>780</v>
      </c>
      <c r="J6" s="204">
        <f t="shared" ref="J6:J34" si="3">IF(I6&gt;0,I6*3.95,0)</f>
        <v>3081</v>
      </c>
      <c r="K6" s="165">
        <f t="shared" si="0"/>
        <v>2775</v>
      </c>
      <c r="L6" s="167">
        <f t="shared" ref="L6:L34" si="4">IF(K6&gt;0,K6*3.95,0)</f>
        <v>10961.25</v>
      </c>
      <c r="M6" s="198">
        <f>SUM(主塔楼空调用电量!V5)</f>
        <v>7743</v>
      </c>
      <c r="N6" s="200">
        <f t="shared" ref="N6:N35" si="5">M6*0.675169</f>
        <v>5227.8335670000006</v>
      </c>
      <c r="O6" s="165">
        <f>SUM('68F 高压F13&amp;F30'!F8)</f>
        <v>29300.000000000637</v>
      </c>
      <c r="P6" s="168">
        <f>IF(O6&gt;0,O6*0.675169)</f>
        <v>19782.451700000431</v>
      </c>
      <c r="Q6" s="199">
        <f>SUM(裙楼空调用量!L5)</f>
        <v>15</v>
      </c>
      <c r="R6" s="201">
        <f t="shared" ref="R6:R35" si="6">IF(Q6*417&gt;0,Q6*291.66+1655.02)</f>
        <v>6029.92</v>
      </c>
      <c r="S6" s="165">
        <f>SUM('B4 水表'!C8)</f>
        <v>160</v>
      </c>
      <c r="T6" s="168">
        <f t="shared" ref="T6:T34" si="7">S6*3.46</f>
        <v>553.6</v>
      </c>
      <c r="U6" s="208">
        <f t="shared" ref="U6:U33" si="8">SUM(L6+P6+R6+T6)</f>
        <v>37327.221700000431</v>
      </c>
    </row>
    <row r="7" spans="1:21" s="156" customFormat="1" ht="22.5" customHeight="1" thickBot="1">
      <c r="A7" s="236">
        <v>3</v>
      </c>
      <c r="B7" s="180" t="s">
        <v>200</v>
      </c>
      <c r="C7" s="164">
        <v>320</v>
      </c>
      <c r="D7" s="197">
        <v>77.62</v>
      </c>
      <c r="E7" s="165">
        <f>SUM(厨房燃气!BH9)</f>
        <v>526</v>
      </c>
      <c r="F7" s="200">
        <f t="shared" si="1"/>
        <v>2077.7000000000003</v>
      </c>
      <c r="G7" s="165">
        <f>SUM('B1 &amp; 102F 锅炉房'!C9)</f>
        <v>1614</v>
      </c>
      <c r="H7" s="167">
        <f t="shared" si="2"/>
        <v>6375.3</v>
      </c>
      <c r="I7" s="198">
        <f>SUM('B1 &amp; 102F 锅炉房'!G9)</f>
        <v>854</v>
      </c>
      <c r="J7" s="204">
        <f t="shared" si="3"/>
        <v>3373.3</v>
      </c>
      <c r="K7" s="165">
        <f t="shared" si="0"/>
        <v>2994</v>
      </c>
      <c r="L7" s="167">
        <f t="shared" si="4"/>
        <v>11826.300000000001</v>
      </c>
      <c r="M7" s="198">
        <f>SUM(主塔楼空调用电量!V6)</f>
        <v>7049</v>
      </c>
      <c r="N7" s="200">
        <f t="shared" si="5"/>
        <v>4759.2662810000002</v>
      </c>
      <c r="O7" s="165">
        <f>SUM('68F 高压F13&amp;F30'!F9)</f>
        <v>29600.000000000364</v>
      </c>
      <c r="P7" s="168">
        <f t="shared" ref="P7:P33" si="9">IF(O7&gt;0,O7*0.675169)</f>
        <v>19985.002400000245</v>
      </c>
      <c r="Q7" s="199">
        <f>SUM(裙楼空调用量!L6)</f>
        <v>19</v>
      </c>
      <c r="R7" s="201">
        <f t="shared" si="6"/>
        <v>7196.5600000000013</v>
      </c>
      <c r="S7" s="165">
        <f>SUM('B4 水表'!C9)</f>
        <v>198</v>
      </c>
      <c r="T7" s="168">
        <f t="shared" si="7"/>
        <v>685.08</v>
      </c>
      <c r="U7" s="208">
        <f t="shared" si="8"/>
        <v>39692.942400000247</v>
      </c>
    </row>
    <row r="8" spans="1:21" s="156" customFormat="1" ht="22.5" customHeight="1" thickBot="1">
      <c r="A8" s="236">
        <v>4</v>
      </c>
      <c r="B8" s="180" t="s">
        <v>201</v>
      </c>
      <c r="C8" s="164">
        <v>100</v>
      </c>
      <c r="D8" s="197">
        <v>72.38</v>
      </c>
      <c r="E8" s="165">
        <f>SUM(厨房燃气!BH10)</f>
        <v>637</v>
      </c>
      <c r="F8" s="200">
        <f t="shared" si="1"/>
        <v>2516.15</v>
      </c>
      <c r="G8" s="165">
        <f>SUM('B1 &amp; 102F 锅炉房'!C10)</f>
        <v>1440</v>
      </c>
      <c r="H8" s="167">
        <f t="shared" si="2"/>
        <v>5688</v>
      </c>
      <c r="I8" s="198">
        <f>SUM('B1 &amp; 102F 锅炉房'!G10)</f>
        <v>866</v>
      </c>
      <c r="J8" s="204">
        <f t="shared" si="3"/>
        <v>3420.7000000000003</v>
      </c>
      <c r="K8" s="165">
        <f t="shared" si="0"/>
        <v>2943</v>
      </c>
      <c r="L8" s="167">
        <f t="shared" si="4"/>
        <v>11624.85</v>
      </c>
      <c r="M8" s="198">
        <f>SUM(主塔楼空调用电量!V7)</f>
        <v>5921</v>
      </c>
      <c r="N8" s="200">
        <f t="shared" si="5"/>
        <v>3997.6756490000002</v>
      </c>
      <c r="O8" s="165">
        <f>SUM('68F 高压F13&amp;F30'!F10)</f>
        <v>27899.999999997362</v>
      </c>
      <c r="P8" s="168">
        <f t="shared" si="9"/>
        <v>18837.215099998219</v>
      </c>
      <c r="Q8" s="199">
        <f>SUM(裙楼空调用量!L7)</f>
        <v>15</v>
      </c>
      <c r="R8" s="201">
        <f t="shared" si="6"/>
        <v>6029.92</v>
      </c>
      <c r="S8" s="165">
        <f>SUM('B4 水表'!C10)</f>
        <v>199</v>
      </c>
      <c r="T8" s="168">
        <f t="shared" si="7"/>
        <v>688.54</v>
      </c>
      <c r="U8" s="208">
        <f t="shared" si="8"/>
        <v>37180.525099998216</v>
      </c>
    </row>
    <row r="9" spans="1:21" s="156" customFormat="1" ht="22.5" customHeight="1" thickBot="1">
      <c r="A9" s="236">
        <v>5</v>
      </c>
      <c r="B9" s="180" t="s">
        <v>202</v>
      </c>
      <c r="C9" s="164">
        <v>1083</v>
      </c>
      <c r="D9" s="197">
        <v>88.66</v>
      </c>
      <c r="E9" s="165">
        <f>SUM(厨房燃气!BH11)</f>
        <v>604</v>
      </c>
      <c r="F9" s="200">
        <f t="shared" si="1"/>
        <v>2385.8000000000002</v>
      </c>
      <c r="G9" s="165">
        <f>SUM('B1 &amp; 102F 锅炉房'!C11)</f>
        <v>1303</v>
      </c>
      <c r="H9" s="167">
        <f t="shared" si="2"/>
        <v>5146.8500000000004</v>
      </c>
      <c r="I9" s="198">
        <f>SUM('B1 &amp; 102F 锅炉房'!G11)</f>
        <v>885</v>
      </c>
      <c r="J9" s="204">
        <f t="shared" si="3"/>
        <v>3495.75</v>
      </c>
      <c r="K9" s="165">
        <f t="shared" si="0"/>
        <v>2792</v>
      </c>
      <c r="L9" s="167">
        <f t="shared" si="4"/>
        <v>11028.4</v>
      </c>
      <c r="M9" s="198">
        <f>SUM(主塔楼空调用电量!V8)</f>
        <v>7177</v>
      </c>
      <c r="N9" s="200">
        <f t="shared" si="5"/>
        <v>4845.6879129999998</v>
      </c>
      <c r="O9" s="165">
        <f>SUM('68F 高压F13&amp;F30'!F11)</f>
        <v>29800.000000002456</v>
      </c>
      <c r="P9" s="168">
        <f t="shared" si="9"/>
        <v>20120.036200001658</v>
      </c>
      <c r="Q9" s="199">
        <f>SUM(裙楼空调用量!L8)</f>
        <v>12</v>
      </c>
      <c r="R9" s="201">
        <f t="shared" si="6"/>
        <v>5154.9400000000005</v>
      </c>
      <c r="S9" s="165">
        <f>SUM('B4 水表'!C11)</f>
        <v>211</v>
      </c>
      <c r="T9" s="168">
        <f t="shared" si="7"/>
        <v>730.06</v>
      </c>
      <c r="U9" s="208">
        <f t="shared" si="8"/>
        <v>37033.436200001655</v>
      </c>
    </row>
    <row r="10" spans="1:21" s="156" customFormat="1" ht="22.5" customHeight="1" thickBot="1">
      <c r="A10" s="236">
        <v>6</v>
      </c>
      <c r="B10" s="180" t="s">
        <v>203</v>
      </c>
      <c r="C10" s="164">
        <v>707</v>
      </c>
      <c r="D10" s="197">
        <v>90.06</v>
      </c>
      <c r="E10" s="165">
        <f>SUM(厨房燃气!BH12)</f>
        <v>640</v>
      </c>
      <c r="F10" s="200">
        <f t="shared" si="1"/>
        <v>2528</v>
      </c>
      <c r="G10" s="165">
        <f>SUM('B1 &amp; 102F 锅炉房'!C12)</f>
        <v>1319</v>
      </c>
      <c r="H10" s="167">
        <f t="shared" si="2"/>
        <v>5210.05</v>
      </c>
      <c r="I10" s="198">
        <f>SUM('B1 &amp; 102F 锅炉房'!G12)</f>
        <v>824</v>
      </c>
      <c r="J10" s="204">
        <f t="shared" si="3"/>
        <v>3254.8</v>
      </c>
      <c r="K10" s="165">
        <f t="shared" si="0"/>
        <v>2783</v>
      </c>
      <c r="L10" s="167">
        <f t="shared" si="4"/>
        <v>10992.85</v>
      </c>
      <c r="M10" s="198">
        <f>SUM(主塔楼空调用电量!V9)</f>
        <v>8465</v>
      </c>
      <c r="N10" s="200">
        <f t="shared" si="5"/>
        <v>5715.3055850000001</v>
      </c>
      <c r="O10" s="165">
        <f>SUM('68F 高压F13&amp;F30'!F12)</f>
        <v>32599.999999999909</v>
      </c>
      <c r="P10" s="168">
        <f t="shared" si="9"/>
        <v>22010.509399999941</v>
      </c>
      <c r="Q10" s="199">
        <f>SUM(裙楼空调用量!L9)</f>
        <v>20</v>
      </c>
      <c r="R10" s="201">
        <f t="shared" si="6"/>
        <v>7488.2200000000012</v>
      </c>
      <c r="S10" s="165">
        <f>SUM('B4 水表'!C12)</f>
        <v>202</v>
      </c>
      <c r="T10" s="168">
        <f t="shared" si="7"/>
        <v>698.92</v>
      </c>
      <c r="U10" s="208">
        <f t="shared" si="8"/>
        <v>41190.499399999942</v>
      </c>
    </row>
    <row r="11" spans="1:21" s="156" customFormat="1" ht="22.5" customHeight="1" thickBot="1">
      <c r="A11" s="236">
        <v>7</v>
      </c>
      <c r="B11" s="180" t="s">
        <v>204</v>
      </c>
      <c r="C11" s="164">
        <v>0</v>
      </c>
      <c r="D11" s="197">
        <v>93.88</v>
      </c>
      <c r="E11" s="165">
        <f>SUM(厨房燃气!BH13)</f>
        <v>576</v>
      </c>
      <c r="F11" s="200">
        <f t="shared" si="1"/>
        <v>2275.2000000000003</v>
      </c>
      <c r="G11" s="165">
        <f>SUM('B1 &amp; 102F 锅炉房'!C13)</f>
        <v>1305</v>
      </c>
      <c r="H11" s="167">
        <f t="shared" si="2"/>
        <v>5154.75</v>
      </c>
      <c r="I11" s="198">
        <f>SUM('B1 &amp; 102F 锅炉房'!G13)</f>
        <v>874</v>
      </c>
      <c r="J11" s="204">
        <f t="shared" si="3"/>
        <v>3452.3</v>
      </c>
      <c r="K11" s="165">
        <f t="shared" si="0"/>
        <v>2755</v>
      </c>
      <c r="L11" s="167">
        <f t="shared" si="4"/>
        <v>10882.25</v>
      </c>
      <c r="M11" s="198">
        <f>SUM(主塔楼空调用电量!V10)</f>
        <v>8090</v>
      </c>
      <c r="N11" s="200">
        <f t="shared" si="5"/>
        <v>5462.1172100000003</v>
      </c>
      <c r="O11" s="165">
        <f>SUM('68F 高压F13&amp;F30'!F13)</f>
        <v>32599.999999999909</v>
      </c>
      <c r="P11" s="168">
        <f t="shared" si="9"/>
        <v>22010.509399999941</v>
      </c>
      <c r="Q11" s="199">
        <f>SUM(裙楼空调用量!L10)</f>
        <v>15</v>
      </c>
      <c r="R11" s="201">
        <f t="shared" si="6"/>
        <v>6029.92</v>
      </c>
      <c r="S11" s="165">
        <f>SUM('B4 水表'!C13)</f>
        <v>220</v>
      </c>
      <c r="T11" s="168">
        <f t="shared" si="7"/>
        <v>761.2</v>
      </c>
      <c r="U11" s="208">
        <f t="shared" si="8"/>
        <v>39683.879399999933</v>
      </c>
    </row>
    <row r="12" spans="1:21" s="156" customFormat="1" ht="22.5" customHeight="1" thickBot="1">
      <c r="A12" s="236">
        <v>8</v>
      </c>
      <c r="B12" s="180" t="s">
        <v>205</v>
      </c>
      <c r="C12" s="164">
        <v>34</v>
      </c>
      <c r="D12" s="197">
        <v>62.21</v>
      </c>
      <c r="E12" s="165">
        <f>SUM(厨房燃气!BH14)</f>
        <v>529</v>
      </c>
      <c r="F12" s="200">
        <f t="shared" si="1"/>
        <v>2089.5500000000002</v>
      </c>
      <c r="G12" s="165">
        <f>SUM('B1 &amp; 102F 锅炉房'!C14)</f>
        <v>1285</v>
      </c>
      <c r="H12" s="167">
        <f t="shared" si="2"/>
        <v>5075.75</v>
      </c>
      <c r="I12" s="198">
        <f>SUM('B1 &amp; 102F 锅炉房'!G14)</f>
        <v>859</v>
      </c>
      <c r="J12" s="204">
        <f t="shared" si="3"/>
        <v>3393.05</v>
      </c>
      <c r="K12" s="165">
        <f t="shared" si="0"/>
        <v>2673</v>
      </c>
      <c r="L12" s="167">
        <f t="shared" si="4"/>
        <v>10558.35</v>
      </c>
      <c r="M12" s="198">
        <f>SUM(主塔楼空调用电量!V11)</f>
        <v>8526</v>
      </c>
      <c r="N12" s="200">
        <f t="shared" si="5"/>
        <v>5756.4908940000005</v>
      </c>
      <c r="O12" s="165">
        <f>SUM('68F 高压F13&amp;F30'!F14)</f>
        <v>29099.999999998545</v>
      </c>
      <c r="P12" s="168">
        <f t="shared" si="9"/>
        <v>19647.417899999018</v>
      </c>
      <c r="Q12" s="199">
        <f>SUM(裙楼空调用量!L11)</f>
        <v>12</v>
      </c>
      <c r="R12" s="201">
        <f t="shared" si="6"/>
        <v>5154.9400000000005</v>
      </c>
      <c r="S12" s="165">
        <f>SUM('B4 水表'!C14)</f>
        <v>210</v>
      </c>
      <c r="T12" s="168">
        <f t="shared" si="7"/>
        <v>726.6</v>
      </c>
      <c r="U12" s="208">
        <f t="shared" si="8"/>
        <v>36087.307899999018</v>
      </c>
    </row>
    <row r="13" spans="1:21" s="156" customFormat="1" ht="22.5" customHeight="1" thickBot="1">
      <c r="A13" s="236">
        <v>9</v>
      </c>
      <c r="B13" s="180" t="s">
        <v>206</v>
      </c>
      <c r="C13" s="164">
        <v>349</v>
      </c>
      <c r="D13" s="197">
        <v>67.44</v>
      </c>
      <c r="E13" s="165">
        <f>SUM(厨房燃气!BH15)</f>
        <v>474</v>
      </c>
      <c r="F13" s="200">
        <f t="shared" si="1"/>
        <v>1872.3000000000002</v>
      </c>
      <c r="G13" s="165">
        <f>SUM('B1 &amp; 102F 锅炉房'!C15)</f>
        <v>1313</v>
      </c>
      <c r="H13" s="167">
        <f t="shared" si="2"/>
        <v>5186.3500000000004</v>
      </c>
      <c r="I13" s="198">
        <f>SUM('B1 &amp; 102F 锅炉房'!G15)</f>
        <v>769</v>
      </c>
      <c r="J13" s="204">
        <f t="shared" si="3"/>
        <v>3037.55</v>
      </c>
      <c r="K13" s="165">
        <f t="shared" si="0"/>
        <v>2556</v>
      </c>
      <c r="L13" s="167">
        <f t="shared" si="4"/>
        <v>10096.200000000001</v>
      </c>
      <c r="M13" s="198">
        <f>SUM(主塔楼空调用电量!V12)</f>
        <v>7195</v>
      </c>
      <c r="N13" s="200">
        <f t="shared" si="5"/>
        <v>4857.8409550000006</v>
      </c>
      <c r="O13" s="165">
        <f>SUM('68F 高压F13&amp;F30'!F15)</f>
        <v>29300.000000000637</v>
      </c>
      <c r="P13" s="168">
        <f t="shared" si="9"/>
        <v>19782.451700000431</v>
      </c>
      <c r="Q13" s="199">
        <f>SUM(裙楼空调用量!L12)</f>
        <v>14</v>
      </c>
      <c r="R13" s="201">
        <f t="shared" si="6"/>
        <v>5738.26</v>
      </c>
      <c r="S13" s="165">
        <f>SUM('B4 水表'!C15)</f>
        <v>190</v>
      </c>
      <c r="T13" s="168">
        <f t="shared" si="7"/>
        <v>657.4</v>
      </c>
      <c r="U13" s="208">
        <f t="shared" si="8"/>
        <v>36274.311700000435</v>
      </c>
    </row>
    <row r="14" spans="1:21" s="156" customFormat="1" ht="22.5" customHeight="1" thickBot="1">
      <c r="A14" s="236">
        <v>10</v>
      </c>
      <c r="B14" s="180" t="s">
        <v>207</v>
      </c>
      <c r="C14" s="164">
        <v>192</v>
      </c>
      <c r="D14" s="197">
        <v>72.680000000000007</v>
      </c>
      <c r="E14" s="165">
        <f>SUM(厨房燃气!BH16)</f>
        <v>645</v>
      </c>
      <c r="F14" s="200">
        <f t="shared" si="1"/>
        <v>2547.75</v>
      </c>
      <c r="G14" s="165">
        <f>SUM('B1 &amp; 102F 锅炉房'!C16)</f>
        <v>1293</v>
      </c>
      <c r="H14" s="167">
        <f t="shared" si="2"/>
        <v>5107.3500000000004</v>
      </c>
      <c r="I14" s="198">
        <f>SUM('B1 &amp; 102F 锅炉房'!G16)</f>
        <v>790</v>
      </c>
      <c r="J14" s="204">
        <f t="shared" si="3"/>
        <v>3120.5</v>
      </c>
      <c r="K14" s="165">
        <f>SUM(I14+G14+E14)</f>
        <v>2728</v>
      </c>
      <c r="L14" s="167">
        <f t="shared" si="4"/>
        <v>10775.6</v>
      </c>
      <c r="M14" s="198">
        <f>SUM(主塔楼空调用电量!V13)</f>
        <v>6571</v>
      </c>
      <c r="N14" s="200">
        <f t="shared" si="5"/>
        <v>4436.5354990000005</v>
      </c>
      <c r="O14" s="165">
        <f>SUM('68F 高压F13&amp;F30'!F16)</f>
        <v>29000.000000000909</v>
      </c>
      <c r="P14" s="168">
        <f t="shared" si="9"/>
        <v>19579.901000000613</v>
      </c>
      <c r="Q14" s="199">
        <f>SUM(裙楼空调用量!L13)</f>
        <v>12</v>
      </c>
      <c r="R14" s="201">
        <f t="shared" si="6"/>
        <v>5154.9400000000005</v>
      </c>
      <c r="S14" s="165">
        <f>SUM('B4 水表'!C16)</f>
        <v>170</v>
      </c>
      <c r="T14" s="168">
        <f t="shared" si="7"/>
        <v>588.20000000000005</v>
      </c>
      <c r="U14" s="208">
        <f t="shared" si="8"/>
        <v>36098.641000000614</v>
      </c>
    </row>
    <row r="15" spans="1:21" s="156" customFormat="1" ht="22.5" customHeight="1" thickBot="1">
      <c r="A15" s="236">
        <v>11</v>
      </c>
      <c r="B15" s="180" t="s">
        <v>208</v>
      </c>
      <c r="C15" s="164">
        <v>1418</v>
      </c>
      <c r="D15" s="197">
        <v>91.57</v>
      </c>
      <c r="E15" s="165">
        <f>SUM(厨房燃气!BH17)</f>
        <v>567</v>
      </c>
      <c r="F15" s="200">
        <f t="shared" si="1"/>
        <v>2239.65</v>
      </c>
      <c r="G15" s="165">
        <f>SUM('B1 &amp; 102F 锅炉房'!C17)</f>
        <v>1391</v>
      </c>
      <c r="H15" s="167">
        <f t="shared" si="2"/>
        <v>5494.45</v>
      </c>
      <c r="I15" s="198">
        <f>SUM('B1 &amp; 102F 锅炉房'!G17)</f>
        <v>791</v>
      </c>
      <c r="J15" s="204">
        <f t="shared" si="3"/>
        <v>3124.4500000000003</v>
      </c>
      <c r="K15" s="165">
        <f t="shared" si="0"/>
        <v>2749</v>
      </c>
      <c r="L15" s="167">
        <f t="shared" si="4"/>
        <v>10858.550000000001</v>
      </c>
      <c r="M15" s="198">
        <f>SUM(主塔楼空调用电量!V14)</f>
        <v>7329</v>
      </c>
      <c r="N15" s="200">
        <f t="shared" si="5"/>
        <v>4948.3136009999998</v>
      </c>
      <c r="O15" s="165">
        <f>SUM('68F 高压F13&amp;F30'!F17)</f>
        <v>29500.000000000455</v>
      </c>
      <c r="P15" s="168">
        <f t="shared" si="9"/>
        <v>19917.485500000308</v>
      </c>
      <c r="Q15" s="199">
        <f>SUM(裙楼空调用量!L14)</f>
        <v>13</v>
      </c>
      <c r="R15" s="201">
        <f t="shared" si="6"/>
        <v>5446.6</v>
      </c>
      <c r="S15" s="165">
        <f>SUM('B4 水表'!C17)</f>
        <v>170</v>
      </c>
      <c r="T15" s="168">
        <f t="shared" si="7"/>
        <v>588.20000000000005</v>
      </c>
      <c r="U15" s="208">
        <f t="shared" si="8"/>
        <v>36810.835500000307</v>
      </c>
    </row>
    <row r="16" spans="1:21" s="156" customFormat="1" ht="22.5" customHeight="1" thickBot="1">
      <c r="A16" s="236">
        <v>12</v>
      </c>
      <c r="B16" s="180" t="s">
        <v>209</v>
      </c>
      <c r="C16" s="164">
        <v>678</v>
      </c>
      <c r="D16" s="197">
        <v>95.64</v>
      </c>
      <c r="E16" s="165">
        <f>SUM(厨房燃气!BH18)</f>
        <v>831</v>
      </c>
      <c r="F16" s="200">
        <f t="shared" si="1"/>
        <v>3282.4500000000003</v>
      </c>
      <c r="G16" s="165">
        <f>SUM('B1 &amp; 102F 锅炉房'!C18)</f>
        <v>1368</v>
      </c>
      <c r="H16" s="167">
        <f t="shared" si="2"/>
        <v>5403.6</v>
      </c>
      <c r="I16" s="198">
        <f>SUM('B1 &amp; 102F 锅炉房'!G18)</f>
        <v>809</v>
      </c>
      <c r="J16" s="204">
        <f t="shared" si="3"/>
        <v>3195.55</v>
      </c>
      <c r="K16" s="165">
        <f t="shared" si="0"/>
        <v>3008</v>
      </c>
      <c r="L16" s="167">
        <f t="shared" si="4"/>
        <v>11881.6</v>
      </c>
      <c r="M16" s="198">
        <f>SUM(主塔楼空调用电量!V15)</f>
        <v>6839</v>
      </c>
      <c r="N16" s="200">
        <f t="shared" si="5"/>
        <v>4617.480791</v>
      </c>
      <c r="O16" s="165">
        <f>SUM('68F 高压F13&amp;F30'!F18)</f>
        <v>30099.999999999909</v>
      </c>
      <c r="P16" s="168">
        <f t="shared" si="9"/>
        <v>20322.58689999994</v>
      </c>
      <c r="Q16" s="199">
        <f>SUM(裙楼空调用量!L15)</f>
        <v>16</v>
      </c>
      <c r="R16" s="201">
        <f t="shared" si="6"/>
        <v>6321.58</v>
      </c>
      <c r="S16" s="165">
        <f>SUM('B4 水表'!C18)</f>
        <v>191</v>
      </c>
      <c r="T16" s="168">
        <f t="shared" si="7"/>
        <v>660.86</v>
      </c>
      <c r="U16" s="208">
        <f t="shared" si="8"/>
        <v>39186.626899999945</v>
      </c>
    </row>
    <row r="17" spans="1:21" s="156" customFormat="1" ht="22.5" customHeight="1" thickBot="1">
      <c r="A17" s="236">
        <v>13</v>
      </c>
      <c r="B17" s="180" t="s">
        <v>210</v>
      </c>
      <c r="C17" s="164">
        <v>474</v>
      </c>
      <c r="D17" s="197">
        <v>95.35</v>
      </c>
      <c r="E17" s="165">
        <f>SUM(厨房燃气!BH19)</f>
        <v>652</v>
      </c>
      <c r="F17" s="200">
        <f t="shared" si="1"/>
        <v>2575.4</v>
      </c>
      <c r="G17" s="165">
        <f>SUM('B1 &amp; 102F 锅炉房'!C19)</f>
        <v>1428</v>
      </c>
      <c r="H17" s="167">
        <f t="shared" si="2"/>
        <v>5640.6</v>
      </c>
      <c r="I17" s="198">
        <f>SUM('B1 &amp; 102F 锅炉房'!G19)</f>
        <v>845</v>
      </c>
      <c r="J17" s="204">
        <f t="shared" si="3"/>
        <v>3337.75</v>
      </c>
      <c r="K17" s="165">
        <f t="shared" si="0"/>
        <v>2925</v>
      </c>
      <c r="L17" s="167">
        <f t="shared" si="4"/>
        <v>11553.75</v>
      </c>
      <c r="M17" s="198">
        <f>SUM(主塔楼空调用电量!V16)</f>
        <v>7042</v>
      </c>
      <c r="N17" s="200">
        <f t="shared" si="5"/>
        <v>4754.5400980000004</v>
      </c>
      <c r="O17" s="165">
        <f>SUM('68F 高压F13&amp;F30'!F19)</f>
        <v>30299.999999999727</v>
      </c>
      <c r="P17" s="168">
        <f t="shared" si="9"/>
        <v>20457.620699999818</v>
      </c>
      <c r="Q17" s="199">
        <f>SUM(裙楼空调用量!L16)</f>
        <v>17</v>
      </c>
      <c r="R17" s="201">
        <f t="shared" si="6"/>
        <v>6613.24</v>
      </c>
      <c r="S17" s="165">
        <f>SUM('B4 水表'!C19)</f>
        <v>194</v>
      </c>
      <c r="T17" s="168">
        <f t="shared" si="7"/>
        <v>671.24</v>
      </c>
      <c r="U17" s="208">
        <f t="shared" si="8"/>
        <v>39295.850699999814</v>
      </c>
    </row>
    <row r="18" spans="1:21" s="156" customFormat="1" ht="22.5" customHeight="1" thickBot="1">
      <c r="A18" s="236">
        <v>14</v>
      </c>
      <c r="B18" s="180" t="s">
        <v>211</v>
      </c>
      <c r="C18" s="164">
        <v>1906</v>
      </c>
      <c r="D18" s="197">
        <v>97.95</v>
      </c>
      <c r="E18" s="165">
        <f>SUM(厨房燃气!BH20)</f>
        <v>733</v>
      </c>
      <c r="F18" s="200">
        <f t="shared" si="1"/>
        <v>2895.35</v>
      </c>
      <c r="G18" s="165">
        <f>SUM('B1 &amp; 102F 锅炉房'!C20)</f>
        <v>1413</v>
      </c>
      <c r="H18" s="167">
        <f t="shared" si="2"/>
        <v>5581.35</v>
      </c>
      <c r="I18" s="198">
        <f>SUM('B1 &amp; 102F 锅炉房'!G20)</f>
        <v>945</v>
      </c>
      <c r="J18" s="204">
        <f t="shared" si="3"/>
        <v>3732.75</v>
      </c>
      <c r="K18" s="165">
        <f t="shared" si="0"/>
        <v>3091</v>
      </c>
      <c r="L18" s="167">
        <f t="shared" si="4"/>
        <v>12209.45</v>
      </c>
      <c r="M18" s="198">
        <f>SUM(主塔楼空调用电量!V17)</f>
        <v>4736</v>
      </c>
      <c r="N18" s="200">
        <f t="shared" si="5"/>
        <v>3197.6003840000003</v>
      </c>
      <c r="O18" s="165">
        <f>SUM('68F 高压F13&amp;F30'!F20)</f>
        <v>29299.999999998363</v>
      </c>
      <c r="P18" s="168">
        <f t="shared" si="9"/>
        <v>19782.451699998895</v>
      </c>
      <c r="Q18" s="199">
        <f>SUM(裙楼空调用量!L17)</f>
        <v>15</v>
      </c>
      <c r="R18" s="201">
        <f t="shared" si="6"/>
        <v>6029.92</v>
      </c>
      <c r="S18" s="165">
        <f>SUM('B4 水表'!C20)</f>
        <v>230</v>
      </c>
      <c r="T18" s="168">
        <f t="shared" si="7"/>
        <v>795.8</v>
      </c>
      <c r="U18" s="208">
        <f t="shared" si="8"/>
        <v>38817.621699998897</v>
      </c>
    </row>
    <row r="19" spans="1:21" s="156" customFormat="1" ht="22.5" customHeight="1" thickBot="1">
      <c r="A19" s="236">
        <v>15</v>
      </c>
      <c r="B19" s="180" t="s">
        <v>212</v>
      </c>
      <c r="C19" s="164">
        <v>210</v>
      </c>
      <c r="D19" s="197">
        <v>81.819999999999993</v>
      </c>
      <c r="E19" s="165">
        <f>SUM(厨房燃气!BH21)</f>
        <v>628</v>
      </c>
      <c r="F19" s="200">
        <f t="shared" si="1"/>
        <v>2480.6</v>
      </c>
      <c r="G19" s="165">
        <f>SUM('B1 &amp; 102F 锅炉房'!C21)</f>
        <v>1438</v>
      </c>
      <c r="H19" s="167">
        <f t="shared" si="2"/>
        <v>5680.1</v>
      </c>
      <c r="I19" s="198">
        <f>SUM('B1 &amp; 102F 锅炉房'!G21)</f>
        <v>921</v>
      </c>
      <c r="J19" s="204">
        <f t="shared" si="3"/>
        <v>3637.9500000000003</v>
      </c>
      <c r="K19" s="165">
        <f t="shared" si="0"/>
        <v>2987</v>
      </c>
      <c r="L19" s="167">
        <f t="shared" si="4"/>
        <v>11798.65</v>
      </c>
      <c r="M19" s="198">
        <f>SUM(主塔楼空调用电量!V18)</f>
        <v>5729</v>
      </c>
      <c r="N19" s="200">
        <f t="shared" si="5"/>
        <v>3868.043201</v>
      </c>
      <c r="O19" s="165">
        <f>SUM('68F 高压F13&amp;F30'!F21)</f>
        <v>29800.000000000182</v>
      </c>
      <c r="P19" s="168">
        <f t="shared" si="9"/>
        <v>20120.036200000122</v>
      </c>
      <c r="Q19" s="199">
        <f>SUM(裙楼空调用量!L18)</f>
        <v>15</v>
      </c>
      <c r="R19" s="201">
        <f t="shared" si="6"/>
        <v>6029.92</v>
      </c>
      <c r="S19" s="165">
        <f>SUM('B4 水表'!C21)</f>
        <v>207</v>
      </c>
      <c r="T19" s="168">
        <f t="shared" si="7"/>
        <v>716.22</v>
      </c>
      <c r="U19" s="208">
        <f t="shared" si="8"/>
        <v>38664.82620000012</v>
      </c>
    </row>
    <row r="20" spans="1:21" s="156" customFormat="1" ht="22.5" customHeight="1" thickBot="1">
      <c r="A20" s="236">
        <v>16</v>
      </c>
      <c r="B20" s="180" t="s">
        <v>213</v>
      </c>
      <c r="C20" s="164">
        <v>353</v>
      </c>
      <c r="D20" s="197">
        <v>92.15</v>
      </c>
      <c r="E20" s="165">
        <f>SUM(厨房燃气!BH22)</f>
        <v>614</v>
      </c>
      <c r="F20" s="200">
        <f t="shared" si="1"/>
        <v>2425.3000000000002</v>
      </c>
      <c r="G20" s="165">
        <f>SUM('B1 &amp; 102F 锅炉房'!C22)</f>
        <v>1443</v>
      </c>
      <c r="H20" s="167">
        <f t="shared" si="2"/>
        <v>5699.85</v>
      </c>
      <c r="I20" s="198">
        <f>SUM('B1 &amp; 102F 锅炉房'!G22)</f>
        <v>883</v>
      </c>
      <c r="J20" s="204">
        <f t="shared" si="3"/>
        <v>3487.8500000000004</v>
      </c>
      <c r="K20" s="165">
        <f t="shared" si="0"/>
        <v>2940</v>
      </c>
      <c r="L20" s="167">
        <f t="shared" si="4"/>
        <v>11613</v>
      </c>
      <c r="M20" s="198">
        <f>SUM(主塔楼空调用电量!V19)</f>
        <v>8396</v>
      </c>
      <c r="N20" s="200">
        <f t="shared" si="5"/>
        <v>5668.7189239999998</v>
      </c>
      <c r="O20" s="165">
        <f>SUM('68F 高压F13&amp;F30'!F22)</f>
        <v>30300.000000002001</v>
      </c>
      <c r="P20" s="168">
        <f t="shared" si="9"/>
        <v>20457.620700001353</v>
      </c>
      <c r="Q20" s="199">
        <f>SUM(裙楼空调用量!L19)</f>
        <v>19</v>
      </c>
      <c r="R20" s="201">
        <f t="shared" si="6"/>
        <v>7196.5600000000013</v>
      </c>
      <c r="S20" s="165">
        <f>SUM('B4 水表'!C22)</f>
        <v>173</v>
      </c>
      <c r="T20" s="168">
        <f t="shared" si="7"/>
        <v>598.58000000000004</v>
      </c>
      <c r="U20" s="208">
        <f t="shared" si="8"/>
        <v>39865.760700001352</v>
      </c>
    </row>
    <row r="21" spans="1:21" s="156" customFormat="1" ht="22.5" customHeight="1" thickBot="1">
      <c r="A21" s="236">
        <v>17</v>
      </c>
      <c r="B21" s="180" t="s">
        <v>214</v>
      </c>
      <c r="C21" s="164">
        <v>502</v>
      </c>
      <c r="D21" s="197">
        <v>89.83</v>
      </c>
      <c r="E21" s="165">
        <f>SUM(厨房燃气!BH23)</f>
        <v>698</v>
      </c>
      <c r="F21" s="200">
        <f t="shared" si="1"/>
        <v>2757.1</v>
      </c>
      <c r="G21" s="165">
        <f>SUM('B1 &amp; 102F 锅炉房'!C23)</f>
        <v>1514</v>
      </c>
      <c r="H21" s="167">
        <f t="shared" si="2"/>
        <v>5980.3</v>
      </c>
      <c r="I21" s="198">
        <f>SUM('B1 &amp; 102F 锅炉房'!G23)</f>
        <v>855</v>
      </c>
      <c r="J21" s="204">
        <f t="shared" si="3"/>
        <v>3377.25</v>
      </c>
      <c r="K21" s="165">
        <f>SUM(E21+G21+I21)</f>
        <v>3067</v>
      </c>
      <c r="L21" s="167">
        <f t="shared" si="4"/>
        <v>12114.65</v>
      </c>
      <c r="M21" s="198">
        <f>SUM(主塔楼空调用电量!V20)</f>
        <v>8056</v>
      </c>
      <c r="N21" s="200">
        <f t="shared" si="5"/>
        <v>5439.1614639999998</v>
      </c>
      <c r="O21" s="165">
        <f>SUM('68F 高压F13&amp;F30'!F23)</f>
        <v>31699.999999998454</v>
      </c>
      <c r="P21" s="168">
        <f t="shared" si="9"/>
        <v>21402.857299998956</v>
      </c>
      <c r="Q21" s="199">
        <f>SUM(裙楼空调用量!L20)</f>
        <v>19</v>
      </c>
      <c r="R21" s="201">
        <f t="shared" si="6"/>
        <v>7196.5600000000013</v>
      </c>
      <c r="S21" s="165">
        <f>SUM('B4 水表'!C23)</f>
        <v>180</v>
      </c>
      <c r="T21" s="168">
        <f t="shared" si="7"/>
        <v>622.79999999999995</v>
      </c>
      <c r="U21" s="208">
        <f t="shared" si="8"/>
        <v>41336.867299998965</v>
      </c>
    </row>
    <row r="22" spans="1:21" s="156" customFormat="1" ht="22.5" customHeight="1" thickBot="1">
      <c r="A22" s="236">
        <v>18</v>
      </c>
      <c r="B22" s="180" t="s">
        <v>215</v>
      </c>
      <c r="C22" s="164">
        <v>703</v>
      </c>
      <c r="D22" s="197">
        <v>97.38</v>
      </c>
      <c r="E22" s="165">
        <f>SUM(厨房燃气!BH24)</f>
        <v>744</v>
      </c>
      <c r="F22" s="200">
        <f t="shared" si="1"/>
        <v>2938.8</v>
      </c>
      <c r="G22" s="165">
        <f>SUM('B1 &amp; 102F 锅炉房'!C24)</f>
        <v>1504</v>
      </c>
      <c r="H22" s="167">
        <f t="shared" si="2"/>
        <v>5940.8</v>
      </c>
      <c r="I22" s="198">
        <f>SUM('B1 &amp; 102F 锅炉房'!G24)</f>
        <v>846</v>
      </c>
      <c r="J22" s="204">
        <f t="shared" si="3"/>
        <v>3341.7000000000003</v>
      </c>
      <c r="K22" s="165">
        <f t="shared" si="0"/>
        <v>3094</v>
      </c>
      <c r="L22" s="167">
        <f t="shared" si="4"/>
        <v>12221.300000000001</v>
      </c>
      <c r="M22" s="198">
        <f>SUM(主塔楼空调用电量!V21)</f>
        <v>8808</v>
      </c>
      <c r="N22" s="200">
        <f t="shared" si="5"/>
        <v>5946.8885520000003</v>
      </c>
      <c r="O22" s="165">
        <f>SUM('68F 高压F13&amp;F30'!F24)</f>
        <v>32200.000000000273</v>
      </c>
      <c r="P22" s="168">
        <f t="shared" si="9"/>
        <v>21740.441800000186</v>
      </c>
      <c r="Q22" s="199">
        <f>SUM(裙楼空调用量!L21)</f>
        <v>22</v>
      </c>
      <c r="R22" s="201">
        <f t="shared" si="6"/>
        <v>8071.5400000000009</v>
      </c>
      <c r="S22" s="165">
        <f>SUM('B4 水表'!C24)</f>
        <v>158</v>
      </c>
      <c r="T22" s="168">
        <f t="shared" si="7"/>
        <v>546.67999999999995</v>
      </c>
      <c r="U22" s="208">
        <f t="shared" si="8"/>
        <v>42579.961800000186</v>
      </c>
    </row>
    <row r="23" spans="1:21" s="156" customFormat="1" ht="22.5" customHeight="1" thickBot="1">
      <c r="A23" s="236">
        <v>19</v>
      </c>
      <c r="B23" s="180" t="s">
        <v>216</v>
      </c>
      <c r="C23" s="164">
        <v>686</v>
      </c>
      <c r="D23" s="197">
        <v>97.96</v>
      </c>
      <c r="E23" s="165">
        <f>SUM(厨房燃气!BH25)</f>
        <v>685</v>
      </c>
      <c r="F23" s="200">
        <f t="shared" si="1"/>
        <v>2705.75</v>
      </c>
      <c r="G23" s="165">
        <f>SUM('B1 &amp; 102F 锅炉房'!C25)</f>
        <v>1469</v>
      </c>
      <c r="H23" s="167">
        <f t="shared" si="2"/>
        <v>5802.55</v>
      </c>
      <c r="I23" s="198">
        <f>SUM('B1 &amp; 102F 锅炉房'!G25)</f>
        <v>824</v>
      </c>
      <c r="J23" s="204">
        <f t="shared" si="3"/>
        <v>3254.8</v>
      </c>
      <c r="K23" s="165">
        <f t="shared" si="0"/>
        <v>2978</v>
      </c>
      <c r="L23" s="167">
        <f t="shared" si="4"/>
        <v>11763.1</v>
      </c>
      <c r="M23" s="198">
        <f>SUM(主塔楼空调用电量!V22)</f>
        <v>9415</v>
      </c>
      <c r="N23" s="200">
        <f t="shared" si="5"/>
        <v>6356.7161350000006</v>
      </c>
      <c r="O23" s="165">
        <f>SUM('68F 高压F13&amp;F30'!F25)</f>
        <v>33099.999999999454</v>
      </c>
      <c r="P23" s="168">
        <f t="shared" si="9"/>
        <v>22348.093899999632</v>
      </c>
      <c r="Q23" s="199">
        <f>SUM(裙楼空调用量!L22)</f>
        <v>25</v>
      </c>
      <c r="R23" s="201">
        <f t="shared" si="6"/>
        <v>8946.52</v>
      </c>
      <c r="S23" s="165">
        <f>SUM('B4 水表'!C25)</f>
        <v>177</v>
      </c>
      <c r="T23" s="168">
        <f t="shared" si="7"/>
        <v>612.41999999999996</v>
      </c>
      <c r="U23" s="208">
        <f t="shared" si="8"/>
        <v>43670.133899999637</v>
      </c>
    </row>
    <row r="24" spans="1:21" s="156" customFormat="1" ht="22.5" customHeight="1" thickBot="1">
      <c r="A24" s="236">
        <v>20</v>
      </c>
      <c r="B24" s="180" t="s">
        <v>217</v>
      </c>
      <c r="C24" s="164">
        <v>1020</v>
      </c>
      <c r="D24" s="197">
        <v>100</v>
      </c>
      <c r="E24" s="165">
        <f>SUM(厨房燃气!BH26)</f>
        <v>961</v>
      </c>
      <c r="F24" s="200">
        <f t="shared" si="1"/>
        <v>3795.9500000000003</v>
      </c>
      <c r="G24" s="165">
        <f>SUM('B1 &amp; 102F 锅炉房'!C26)</f>
        <v>1561</v>
      </c>
      <c r="H24" s="167">
        <f t="shared" si="2"/>
        <v>6165.9500000000007</v>
      </c>
      <c r="I24" s="198">
        <f>SUM('B1 &amp; 102F 锅炉房'!G26)</f>
        <v>745</v>
      </c>
      <c r="J24" s="204">
        <f t="shared" si="3"/>
        <v>2942.75</v>
      </c>
      <c r="K24" s="165">
        <f t="shared" si="0"/>
        <v>3267</v>
      </c>
      <c r="L24" s="167">
        <f t="shared" si="4"/>
        <v>12904.650000000001</v>
      </c>
      <c r="M24" s="198">
        <f>SUM(主塔楼空调用电量!V23)</f>
        <v>9959</v>
      </c>
      <c r="N24" s="200">
        <f t="shared" si="5"/>
        <v>6724.0080710000002</v>
      </c>
      <c r="O24" s="165">
        <f>SUM('68F 高压F13&amp;F30'!F26)</f>
        <v>33499.999999999091</v>
      </c>
      <c r="P24" s="168">
        <f t="shared" si="9"/>
        <v>22618.161499999387</v>
      </c>
      <c r="Q24" s="199">
        <f>SUM(裙楼空调用量!L23)</f>
        <v>21</v>
      </c>
      <c r="R24" s="201">
        <f t="shared" si="6"/>
        <v>7779.880000000001</v>
      </c>
      <c r="S24" s="165">
        <f>SUM('B4 水表'!C26)</f>
        <v>202</v>
      </c>
      <c r="T24" s="168">
        <f t="shared" si="7"/>
        <v>698.92</v>
      </c>
      <c r="U24" s="208">
        <f t="shared" si="8"/>
        <v>44001.611499999388</v>
      </c>
    </row>
    <row r="25" spans="1:21" s="156" customFormat="1" ht="22.5" customHeight="1" thickBot="1">
      <c r="A25" s="236">
        <v>21</v>
      </c>
      <c r="B25" s="180" t="s">
        <v>218</v>
      </c>
      <c r="C25" s="164">
        <v>934</v>
      </c>
      <c r="D25" s="197">
        <v>98.54</v>
      </c>
      <c r="E25" s="165">
        <f>SUM(厨房燃气!BH27)</f>
        <v>909</v>
      </c>
      <c r="F25" s="200">
        <f t="shared" si="1"/>
        <v>3590.55</v>
      </c>
      <c r="G25" s="165">
        <f>SUM('B1 &amp; 102F 锅炉房'!C27)</f>
        <v>1523</v>
      </c>
      <c r="H25" s="167">
        <f t="shared" si="2"/>
        <v>6015.85</v>
      </c>
      <c r="I25" s="198">
        <f>SUM('B1 &amp; 102F 锅炉房'!G27)</f>
        <v>859</v>
      </c>
      <c r="J25" s="204">
        <f t="shared" si="3"/>
        <v>3393.05</v>
      </c>
      <c r="K25" s="165">
        <f t="shared" si="0"/>
        <v>3291</v>
      </c>
      <c r="L25" s="167">
        <f t="shared" si="4"/>
        <v>12999.45</v>
      </c>
      <c r="M25" s="198">
        <f>SUM(主塔楼空调用电量!V24)</f>
        <v>9142</v>
      </c>
      <c r="N25" s="200">
        <f t="shared" si="5"/>
        <v>6172.3949979999998</v>
      </c>
      <c r="O25" s="165">
        <f>SUM('68F 高压F13&amp;F30'!F27)</f>
        <v>33600.000000001273</v>
      </c>
      <c r="P25" s="168">
        <f t="shared" si="9"/>
        <v>22685.678400000859</v>
      </c>
      <c r="Q25" s="199">
        <f>SUM(裙楼空调用量!L24)</f>
        <v>21</v>
      </c>
      <c r="R25" s="201">
        <f t="shared" si="6"/>
        <v>7779.880000000001</v>
      </c>
      <c r="S25" s="165">
        <f>SUM('B4 水表'!C27)</f>
        <v>179</v>
      </c>
      <c r="T25" s="168">
        <f t="shared" si="7"/>
        <v>619.34</v>
      </c>
      <c r="U25" s="208">
        <f t="shared" si="8"/>
        <v>44084.348400000861</v>
      </c>
    </row>
    <row r="26" spans="1:21" s="156" customFormat="1" ht="22.5" customHeight="1" thickBot="1">
      <c r="A26" s="236">
        <v>22</v>
      </c>
      <c r="B26" s="180" t="s">
        <v>219</v>
      </c>
      <c r="C26" s="164">
        <v>390</v>
      </c>
      <c r="D26" s="197">
        <v>74.849999999999994</v>
      </c>
      <c r="E26" s="165">
        <f>SUM(厨房燃气!BH28)</f>
        <v>767</v>
      </c>
      <c r="F26" s="200">
        <f t="shared" si="1"/>
        <v>3029.65</v>
      </c>
      <c r="G26" s="165">
        <f>SUM('B1 &amp; 102F 锅炉房'!C28)</f>
        <v>1463</v>
      </c>
      <c r="H26" s="167">
        <f t="shared" si="2"/>
        <v>5778.85</v>
      </c>
      <c r="I26" s="198">
        <f>SUM('B1 &amp; 102F 锅炉房'!G28)</f>
        <v>933</v>
      </c>
      <c r="J26" s="204">
        <f t="shared" si="3"/>
        <v>3685.3500000000004</v>
      </c>
      <c r="K26" s="165">
        <f t="shared" si="0"/>
        <v>3163</v>
      </c>
      <c r="L26" s="167">
        <f t="shared" si="4"/>
        <v>12493.85</v>
      </c>
      <c r="M26" s="198">
        <f>SUM(主塔楼空调用电量!V25)</f>
        <v>9752</v>
      </c>
      <c r="N26" s="200">
        <f t="shared" si="5"/>
        <v>6584.2480880000003</v>
      </c>
      <c r="O26" s="165">
        <f>SUM('68F 高压F13&amp;F30'!F28)</f>
        <v>34199.999999998457</v>
      </c>
      <c r="P26" s="168">
        <f t="shared" si="9"/>
        <v>23090.77979999896</v>
      </c>
      <c r="Q26" s="199">
        <f>SUM(裙楼空调用量!L25)</f>
        <v>21</v>
      </c>
      <c r="R26" s="201">
        <f t="shared" si="6"/>
        <v>7779.880000000001</v>
      </c>
      <c r="S26" s="165">
        <f>SUM('B4 水表'!C28)</f>
        <v>218</v>
      </c>
      <c r="T26" s="168">
        <f t="shared" si="7"/>
        <v>754.28</v>
      </c>
      <c r="U26" s="208">
        <f t="shared" si="8"/>
        <v>44118.789799998965</v>
      </c>
    </row>
    <row r="27" spans="1:21" s="156" customFormat="1" ht="22.5" customHeight="1" thickBot="1">
      <c r="A27" s="236">
        <v>23</v>
      </c>
      <c r="B27" s="180" t="s">
        <v>220</v>
      </c>
      <c r="C27" s="164">
        <v>600</v>
      </c>
      <c r="D27" s="197">
        <v>78.78</v>
      </c>
      <c r="E27" s="165">
        <f>SUM(厨房燃气!BH29)</f>
        <v>597</v>
      </c>
      <c r="F27" s="200">
        <f t="shared" si="1"/>
        <v>2358.15</v>
      </c>
      <c r="G27" s="165">
        <f>SUM('B1 &amp; 102F 锅炉房'!C29)</f>
        <v>1414</v>
      </c>
      <c r="H27" s="167">
        <f t="shared" si="2"/>
        <v>5585.3</v>
      </c>
      <c r="I27" s="198">
        <f>SUM('B1 &amp; 102F 锅炉房'!G29)</f>
        <v>835</v>
      </c>
      <c r="J27" s="204">
        <f t="shared" si="3"/>
        <v>3298.25</v>
      </c>
      <c r="K27" s="165">
        <f t="shared" si="0"/>
        <v>2846</v>
      </c>
      <c r="L27" s="167">
        <f t="shared" si="4"/>
        <v>11241.7</v>
      </c>
      <c r="M27" s="198">
        <f>SUM(主塔楼空调用电量!V26)</f>
        <v>6896</v>
      </c>
      <c r="N27" s="200">
        <f t="shared" si="5"/>
        <v>4655.965424</v>
      </c>
      <c r="O27" s="165">
        <f>SUM('68F 高压F13&amp;F30'!F29)</f>
        <v>29200.000000003001</v>
      </c>
      <c r="P27" s="168">
        <f t="shared" si="9"/>
        <v>19714.934800002025</v>
      </c>
      <c r="Q27" s="199">
        <f>SUM(裙楼空调用量!L26)</f>
        <v>18</v>
      </c>
      <c r="R27" s="201">
        <f t="shared" si="6"/>
        <v>6904.9</v>
      </c>
      <c r="S27" s="165">
        <f>SUM('B4 水表'!C29)</f>
        <v>202</v>
      </c>
      <c r="T27" s="168">
        <f t="shared" si="7"/>
        <v>698.92</v>
      </c>
      <c r="U27" s="208">
        <f t="shared" si="8"/>
        <v>38560.454800002022</v>
      </c>
    </row>
    <row r="28" spans="1:21" s="156" customFormat="1" ht="22.5" customHeight="1" thickBot="1">
      <c r="A28" s="236">
        <v>24</v>
      </c>
      <c r="B28" s="180" t="s">
        <v>221</v>
      </c>
      <c r="C28" s="164">
        <v>820</v>
      </c>
      <c r="D28" s="197">
        <v>88.08</v>
      </c>
      <c r="E28" s="165">
        <f>SUM(厨房燃气!BH30)</f>
        <v>790</v>
      </c>
      <c r="F28" s="200">
        <f t="shared" si="1"/>
        <v>3120.5</v>
      </c>
      <c r="G28" s="165">
        <f>SUM('B1 &amp; 102F 锅炉房'!C30)</f>
        <v>1430</v>
      </c>
      <c r="H28" s="167">
        <f t="shared" si="2"/>
        <v>5648.5</v>
      </c>
      <c r="I28" s="198">
        <f>SUM('B1 &amp; 102F 锅炉房'!G30)</f>
        <v>821</v>
      </c>
      <c r="J28" s="204">
        <f t="shared" si="3"/>
        <v>3242.9500000000003</v>
      </c>
      <c r="K28" s="165">
        <f t="shared" si="0"/>
        <v>3041</v>
      </c>
      <c r="L28" s="167">
        <f t="shared" si="4"/>
        <v>12011.95</v>
      </c>
      <c r="M28" s="198">
        <f>SUM(主塔楼空调用电量!V27)</f>
        <v>9461</v>
      </c>
      <c r="N28" s="200">
        <f t="shared" si="5"/>
        <v>6387.7739090000005</v>
      </c>
      <c r="O28" s="165">
        <f>SUM('68F 高压F13&amp;F30'!F30)</f>
        <v>28299.999999999272</v>
      </c>
      <c r="P28" s="168">
        <f t="shared" si="9"/>
        <v>19107.282699999509</v>
      </c>
      <c r="Q28" s="199">
        <f>SUM(裙楼空调用量!L27)</f>
        <v>19</v>
      </c>
      <c r="R28" s="201">
        <f t="shared" si="6"/>
        <v>7196.5600000000013</v>
      </c>
      <c r="S28" s="165">
        <f>SUM('B4 水表'!C30)</f>
        <v>181</v>
      </c>
      <c r="T28" s="168">
        <f t="shared" si="7"/>
        <v>626.26</v>
      </c>
      <c r="U28" s="208">
        <f t="shared" si="8"/>
        <v>38942.052699999513</v>
      </c>
    </row>
    <row r="29" spans="1:21" s="156" customFormat="1" ht="22.5" customHeight="1" thickBot="1">
      <c r="A29" s="236">
        <v>25</v>
      </c>
      <c r="B29" s="180" t="s">
        <v>222</v>
      </c>
      <c r="C29" s="164">
        <v>200</v>
      </c>
      <c r="D29" s="197">
        <v>95.06</v>
      </c>
      <c r="E29" s="165">
        <f>SUM(厨房燃气!BH31)</f>
        <v>746</v>
      </c>
      <c r="F29" s="200">
        <f t="shared" si="1"/>
        <v>2946.7000000000003</v>
      </c>
      <c r="G29" s="165">
        <f>SUM('B1 &amp; 102F 锅炉房'!C31)</f>
        <v>1423</v>
      </c>
      <c r="H29" s="167">
        <f t="shared" si="2"/>
        <v>5620.85</v>
      </c>
      <c r="I29" s="198">
        <f>SUM('B1 &amp; 102F 锅炉房'!G31)</f>
        <v>908</v>
      </c>
      <c r="J29" s="204">
        <f t="shared" si="3"/>
        <v>3586.6000000000004</v>
      </c>
      <c r="K29" s="165">
        <f>SUM(I29+G29+E29)</f>
        <v>3077</v>
      </c>
      <c r="L29" s="167">
        <f t="shared" si="4"/>
        <v>12154.150000000001</v>
      </c>
      <c r="M29" s="198">
        <f>SUM(主塔楼空调用电量!V28)</f>
        <v>7907</v>
      </c>
      <c r="N29" s="200">
        <f t="shared" si="5"/>
        <v>5338.561283</v>
      </c>
      <c r="O29" s="165">
        <f>SUM('68F 高压F13&amp;F30'!F31)</f>
        <v>37599.999999997635</v>
      </c>
      <c r="P29" s="168">
        <f t="shared" si="9"/>
        <v>25386.354399998403</v>
      </c>
      <c r="Q29" s="199">
        <f>SUM(裙楼空调用量!L28)</f>
        <v>20</v>
      </c>
      <c r="R29" s="201">
        <f t="shared" si="6"/>
        <v>7488.2200000000012</v>
      </c>
      <c r="S29" s="165">
        <f>SUM('B4 水表'!C31)</f>
        <v>211</v>
      </c>
      <c r="T29" s="168">
        <f t="shared" si="7"/>
        <v>730.06</v>
      </c>
      <c r="U29" s="208">
        <f t="shared" si="8"/>
        <v>45758.784399998403</v>
      </c>
    </row>
    <row r="30" spans="1:21" s="156" customFormat="1" ht="22.5" customHeight="1" thickBot="1">
      <c r="A30" s="236">
        <v>26</v>
      </c>
      <c r="B30" s="180" t="s">
        <v>223</v>
      </c>
      <c r="C30" s="164">
        <v>400</v>
      </c>
      <c r="D30" s="197">
        <v>96.51</v>
      </c>
      <c r="E30" s="165">
        <f>SUM(厨房燃气!BH32)</f>
        <v>690</v>
      </c>
      <c r="F30" s="200">
        <f t="shared" si="1"/>
        <v>2725.5</v>
      </c>
      <c r="G30" s="165">
        <f>SUM('B1 &amp; 102F 锅炉房'!C32)</f>
        <v>1484</v>
      </c>
      <c r="H30" s="167">
        <f t="shared" si="2"/>
        <v>5861.8</v>
      </c>
      <c r="I30" s="198">
        <f>SUM('B1 &amp; 102F 锅炉房'!G32)</f>
        <v>858</v>
      </c>
      <c r="J30" s="204">
        <f t="shared" si="3"/>
        <v>3389.1000000000004</v>
      </c>
      <c r="K30" s="165">
        <f t="shared" si="0"/>
        <v>3032</v>
      </c>
      <c r="L30" s="167">
        <f t="shared" si="4"/>
        <v>11976.4</v>
      </c>
      <c r="M30" s="198">
        <f>SUM(主塔楼空调用电量!V29)</f>
        <v>8158</v>
      </c>
      <c r="N30" s="200">
        <f t="shared" si="5"/>
        <v>5508.0287020000005</v>
      </c>
      <c r="O30" s="165">
        <f>SUM('68F 高压F13&amp;F30'!F32)</f>
        <v>30400.00000000191</v>
      </c>
      <c r="P30" s="168">
        <f t="shared" si="9"/>
        <v>20525.13760000129</v>
      </c>
      <c r="Q30" s="199">
        <f>SUM(裙楼空调用量!L29)</f>
        <v>16</v>
      </c>
      <c r="R30" s="201">
        <f t="shared" si="6"/>
        <v>6321.58</v>
      </c>
      <c r="S30" s="165">
        <f>SUM('B4 水表'!C32)</f>
        <v>169</v>
      </c>
      <c r="T30" s="168">
        <f t="shared" si="7"/>
        <v>584.74</v>
      </c>
      <c r="U30" s="208">
        <f t="shared" si="8"/>
        <v>39407.857600001291</v>
      </c>
    </row>
    <row r="31" spans="1:21" s="156" customFormat="1" ht="22.5" customHeight="1" thickBot="1">
      <c r="A31" s="236">
        <v>27</v>
      </c>
      <c r="B31" s="180" t="s">
        <v>224</v>
      </c>
      <c r="C31" s="164">
        <v>1728</v>
      </c>
      <c r="D31" s="197">
        <v>94.19</v>
      </c>
      <c r="E31" s="165">
        <f>SUM(厨房燃气!BH33)</f>
        <v>762</v>
      </c>
      <c r="F31" s="200">
        <f t="shared" si="1"/>
        <v>3009.9</v>
      </c>
      <c r="G31" s="165">
        <f>SUM('B1 &amp; 102F 锅炉房'!C33)</f>
        <v>1486</v>
      </c>
      <c r="H31" s="167">
        <f t="shared" si="2"/>
        <v>5869.7</v>
      </c>
      <c r="I31" s="198">
        <f>SUM('B1 &amp; 102F 锅炉房'!G33)</f>
        <v>888</v>
      </c>
      <c r="J31" s="204">
        <f t="shared" si="3"/>
        <v>3507.6000000000004</v>
      </c>
      <c r="K31" s="165">
        <f t="shared" si="0"/>
        <v>3136</v>
      </c>
      <c r="L31" s="167">
        <f t="shared" si="4"/>
        <v>12387.2</v>
      </c>
      <c r="M31" s="198">
        <f>SUM(主塔楼空调用电量!V30)</f>
        <v>7118</v>
      </c>
      <c r="N31" s="200">
        <f t="shared" si="5"/>
        <v>4805.8529420000004</v>
      </c>
      <c r="O31" s="165">
        <f>SUM('68F 高压F13&amp;F30'!F33)</f>
        <v>31099.999999999</v>
      </c>
      <c r="P31" s="168">
        <f t="shared" si="9"/>
        <v>20997.755899999323</v>
      </c>
      <c r="Q31" s="199">
        <f>SUM(裙楼空调用量!L30)</f>
        <v>16</v>
      </c>
      <c r="R31" s="201">
        <f t="shared" si="6"/>
        <v>6321.58</v>
      </c>
      <c r="S31" s="165">
        <f>SUM('B4 水表'!C33)</f>
        <v>208</v>
      </c>
      <c r="T31" s="168">
        <f t="shared" si="7"/>
        <v>719.68</v>
      </c>
      <c r="U31" s="208">
        <f t="shared" si="8"/>
        <v>40426.215899999326</v>
      </c>
    </row>
    <row r="32" spans="1:21" s="156" customFormat="1" ht="22.5" customHeight="1" thickBot="1">
      <c r="A32" s="236">
        <v>28</v>
      </c>
      <c r="B32" s="180" t="s">
        <v>225</v>
      </c>
      <c r="C32" s="164">
        <v>2030</v>
      </c>
      <c r="D32" s="197">
        <v>92.73</v>
      </c>
      <c r="E32" s="165">
        <f>SUM(厨房燃气!BH34)</f>
        <v>866</v>
      </c>
      <c r="F32" s="200">
        <f t="shared" si="1"/>
        <v>3420.7000000000003</v>
      </c>
      <c r="G32" s="165">
        <f>SUM('B1 &amp; 102F 锅炉房'!C34)</f>
        <v>1475</v>
      </c>
      <c r="H32" s="167">
        <f t="shared" si="2"/>
        <v>5826.25</v>
      </c>
      <c r="I32" s="198">
        <f>SUM('B1 &amp; 102F 锅炉房'!G34)</f>
        <v>942</v>
      </c>
      <c r="J32" s="204">
        <f t="shared" si="3"/>
        <v>3720.9</v>
      </c>
      <c r="K32" s="165">
        <f t="shared" si="0"/>
        <v>3283</v>
      </c>
      <c r="L32" s="167">
        <f t="shared" si="4"/>
        <v>12967.85</v>
      </c>
      <c r="M32" s="198">
        <f>SUM(主塔楼空调用电量!V31)</f>
        <v>5541</v>
      </c>
      <c r="N32" s="200">
        <f t="shared" si="5"/>
        <v>3741.111429</v>
      </c>
      <c r="O32" s="165">
        <f>SUM('68F 高压F13&amp;F30'!F34)</f>
        <v>29700.000000000273</v>
      </c>
      <c r="P32" s="168">
        <f t="shared" si="9"/>
        <v>20052.519300000185</v>
      </c>
      <c r="Q32" s="199">
        <f>SUM(裙楼空调用量!L31)</f>
        <v>17</v>
      </c>
      <c r="R32" s="201">
        <f t="shared" si="6"/>
        <v>6613.24</v>
      </c>
      <c r="S32" s="165">
        <f>SUM('B4 水表'!C34)</f>
        <v>181</v>
      </c>
      <c r="T32" s="168">
        <f t="shared" si="7"/>
        <v>626.26</v>
      </c>
      <c r="U32" s="208">
        <f t="shared" si="8"/>
        <v>40259.869300000188</v>
      </c>
    </row>
    <row r="33" spans="1:21" s="156" customFormat="1" ht="22.5" customHeight="1" thickBot="1">
      <c r="A33" s="236">
        <v>29</v>
      </c>
      <c r="B33" s="180" t="s">
        <v>226</v>
      </c>
      <c r="C33" s="164">
        <v>573</v>
      </c>
      <c r="D33" s="197">
        <v>80.23</v>
      </c>
      <c r="E33" s="165">
        <f>SUM(厨房燃气!BH35)</f>
        <v>790</v>
      </c>
      <c r="F33" s="200">
        <f t="shared" si="1"/>
        <v>3120.5</v>
      </c>
      <c r="G33" s="165">
        <f>SUM('B1 &amp; 102F 锅炉房'!C35)</f>
        <v>1540</v>
      </c>
      <c r="H33" s="167">
        <f t="shared" si="2"/>
        <v>6083</v>
      </c>
      <c r="I33" s="198">
        <f>SUM('B1 &amp; 102F 锅炉房'!G35)</f>
        <v>926</v>
      </c>
      <c r="J33" s="204">
        <f t="shared" si="3"/>
        <v>3657.7000000000003</v>
      </c>
      <c r="K33" s="165">
        <f t="shared" si="0"/>
        <v>3256</v>
      </c>
      <c r="L33" s="167">
        <f t="shared" si="4"/>
        <v>12861.2</v>
      </c>
      <c r="M33" s="198">
        <f>SUM(主塔楼空调用电量!V32)</f>
        <v>4754</v>
      </c>
      <c r="N33" s="200">
        <f t="shared" si="5"/>
        <v>3209.7534260000002</v>
      </c>
      <c r="O33" s="165">
        <f>SUM('68F 高压F13&amp;F30'!F35)</f>
        <v>26800.000000000637</v>
      </c>
      <c r="P33" s="168">
        <f t="shared" si="9"/>
        <v>18094.52920000043</v>
      </c>
      <c r="Q33" s="199">
        <f>SUM(裙楼空调用量!L32)</f>
        <v>14</v>
      </c>
      <c r="R33" s="201">
        <f t="shared" si="6"/>
        <v>5738.26</v>
      </c>
      <c r="S33" s="165">
        <f>SUM('B4 水表'!C35)</f>
        <v>129</v>
      </c>
      <c r="T33" s="168">
        <f t="shared" si="7"/>
        <v>446.34</v>
      </c>
      <c r="U33" s="208">
        <f t="shared" si="8"/>
        <v>37140.329200000429</v>
      </c>
    </row>
    <row r="34" spans="1:21" s="156" customFormat="1" ht="22.5" customHeight="1" thickBot="1">
      <c r="A34" s="236">
        <v>30</v>
      </c>
      <c r="B34" s="180" t="s">
        <v>227</v>
      </c>
      <c r="C34" s="164">
        <v>111</v>
      </c>
      <c r="D34" s="197">
        <v>69.48</v>
      </c>
      <c r="E34" s="165">
        <f>SUM(厨房燃气!BH36)</f>
        <v>553</v>
      </c>
      <c r="F34" s="200">
        <f t="shared" si="1"/>
        <v>2184.35</v>
      </c>
      <c r="G34" s="165">
        <f>SUM('B1 &amp; 102F 锅炉房'!C36)</f>
        <v>1524</v>
      </c>
      <c r="H34" s="167">
        <f t="shared" si="2"/>
        <v>6019.8</v>
      </c>
      <c r="I34" s="198">
        <f>SUM('B1 &amp; 102F 锅炉房'!G36)</f>
        <v>897</v>
      </c>
      <c r="J34" s="204">
        <f t="shared" si="3"/>
        <v>3543.15</v>
      </c>
      <c r="K34" s="165">
        <f>SUM(I34+G34+E34)</f>
        <v>2974</v>
      </c>
      <c r="L34" s="167">
        <f t="shared" si="4"/>
        <v>11747.300000000001</v>
      </c>
      <c r="M34" s="198">
        <f>SUM(主塔楼空调用电量!V33)</f>
        <v>5129</v>
      </c>
      <c r="N34" s="200">
        <f t="shared" si="5"/>
        <v>3462.9418009999999</v>
      </c>
      <c r="O34" s="165">
        <f>SUM('68F 高压F13&amp;F30'!F36)</f>
        <v>23499.999999999091</v>
      </c>
      <c r="P34" s="168">
        <f>IF(O34&gt;0,O34*0.675169)</f>
        <v>15866.471499999387</v>
      </c>
      <c r="Q34" s="199">
        <f>SUM(裙楼空调用量!L33)</f>
        <v>10</v>
      </c>
      <c r="R34" s="201">
        <f t="shared" si="6"/>
        <v>4571.6200000000008</v>
      </c>
      <c r="S34" s="267">
        <f>SUM('B4 水表'!C36)</f>
        <v>160</v>
      </c>
      <c r="T34" s="168">
        <f t="shared" si="7"/>
        <v>553.6</v>
      </c>
      <c r="U34" s="208">
        <f>SUM(L34+P34+R34+T34)</f>
        <v>32738.991499999385</v>
      </c>
    </row>
    <row r="35" spans="1:21" s="156" customFormat="1" ht="22.5" customHeight="1">
      <c r="A35" s="236">
        <v>31</v>
      </c>
      <c r="B35" s="180"/>
      <c r="C35" s="164"/>
      <c r="D35" s="197"/>
      <c r="E35" s="165">
        <f>SUM(厨房燃气!BH37)</f>
        <v>-1429775</v>
      </c>
      <c r="F35" s="201">
        <f>IF(E35&gt;0,E35*4.17,0)</f>
        <v>0</v>
      </c>
      <c r="G35" s="165">
        <f>SUM('B1 &amp; 102F 锅炉房'!C37)</f>
        <v>-4650224</v>
      </c>
      <c r="H35" s="202">
        <f>IF(G35&gt;0,G35*4.17,0)</f>
        <v>0</v>
      </c>
      <c r="I35" s="198">
        <f>SUM('B1 &amp; 102F 锅炉房'!G37)</f>
        <v>-3318810</v>
      </c>
      <c r="J35" s="205">
        <f>IF(I35&gt;0,I35*4.17,0)</f>
        <v>0</v>
      </c>
      <c r="K35" s="165">
        <f>SUM(I35+G35+E35)</f>
        <v>-9398809</v>
      </c>
      <c r="L35" s="202">
        <f>IF(K35&gt;0,K35*4.17,0)</f>
        <v>0</v>
      </c>
      <c r="M35" s="198">
        <f>SUM(主塔楼空调用电量!V34)</f>
        <v>-12489927</v>
      </c>
      <c r="N35" s="200">
        <f t="shared" si="5"/>
        <v>-8432811.522663001</v>
      </c>
      <c r="O35" s="165">
        <f>SUM('68F 高压F13&amp;F30'!F37)</f>
        <v>-27926200</v>
      </c>
      <c r="P35" s="168" t="b">
        <f>IF(O35&gt;0,O35*0.675169)</f>
        <v>0</v>
      </c>
      <c r="Q35" s="199">
        <f>SUM(裙楼空调用量!L34)</f>
        <v>-54653</v>
      </c>
      <c r="R35" s="201" t="b">
        <f t="shared" si="6"/>
        <v>0</v>
      </c>
      <c r="S35" s="267">
        <f>SUM('B4 水表'!C37)</f>
        <v>-1706520</v>
      </c>
      <c r="T35" s="169">
        <f>S35*3.7287</f>
        <v>-6363101.1239999998</v>
      </c>
      <c r="U35" s="208">
        <f>SUM(L35+P35+R35+T35)</f>
        <v>-6363101.1239999998</v>
      </c>
    </row>
    <row r="36" spans="1:21" s="156" customFormat="1" ht="22.5" customHeight="1" thickBot="1">
      <c r="A36" s="253" t="s">
        <v>90</v>
      </c>
      <c r="B36" s="180"/>
      <c r="C36" s="164"/>
      <c r="D36" s="197"/>
      <c r="E36" s="181"/>
      <c r="F36" s="171"/>
      <c r="G36" s="181"/>
      <c r="H36" s="203"/>
      <c r="I36" s="166"/>
      <c r="J36" s="170"/>
      <c r="K36" s="206"/>
      <c r="L36" s="203"/>
      <c r="M36" s="166"/>
      <c r="N36" s="171"/>
      <c r="O36" s="181"/>
      <c r="P36" s="207"/>
      <c r="Q36" s="166"/>
      <c r="R36" s="171"/>
      <c r="S36" s="181"/>
      <c r="T36" s="207"/>
      <c r="U36" s="209"/>
    </row>
    <row r="37" spans="1:21" s="156" customFormat="1" ht="23.1" customHeight="1" thickBot="1">
      <c r="A37" s="289" t="s">
        <v>91</v>
      </c>
      <c r="B37" s="290"/>
      <c r="C37" s="290"/>
      <c r="D37" s="290"/>
      <c r="E37" s="211">
        <f t="shared" ref="E37:U37" si="10">SUM(E5:E34)</f>
        <v>20253</v>
      </c>
      <c r="F37" s="211">
        <f t="shared" si="10"/>
        <v>79999.350000000006</v>
      </c>
      <c r="G37" s="211">
        <f>SUM(G5:G34)</f>
        <v>42558</v>
      </c>
      <c r="H37" s="211">
        <f>SUM(H5:H34)</f>
        <v>168104.1</v>
      </c>
      <c r="I37" s="211">
        <f t="shared" si="10"/>
        <v>25748</v>
      </c>
      <c r="J37" s="211">
        <f t="shared" si="10"/>
        <v>101704.59999999999</v>
      </c>
      <c r="K37" s="211">
        <f t="shared" si="10"/>
        <v>88559</v>
      </c>
      <c r="L37" s="211">
        <f t="shared" si="10"/>
        <v>349808.05000000005</v>
      </c>
      <c r="M37" s="211">
        <f t="shared" si="10"/>
        <v>224972</v>
      </c>
      <c r="N37" s="211">
        <f t="shared" si="10"/>
        <v>151894.12026800003</v>
      </c>
      <c r="O37" s="211">
        <f t="shared" si="10"/>
        <v>914199.99999999825</v>
      </c>
      <c r="P37" s="211">
        <f>SUM(P5:P34)</f>
        <v>617239.49979999894</v>
      </c>
      <c r="Q37" s="211">
        <f t="shared" si="10"/>
        <v>499</v>
      </c>
      <c r="R37" s="211">
        <f t="shared" si="10"/>
        <v>195188.93999999997</v>
      </c>
      <c r="S37" s="211">
        <f t="shared" si="10"/>
        <v>5655</v>
      </c>
      <c r="T37" s="211">
        <f t="shared" si="10"/>
        <v>19566.3</v>
      </c>
      <c r="U37" s="210">
        <f t="shared" si="10"/>
        <v>1181802.789799999</v>
      </c>
    </row>
    <row r="38" spans="1:21" ht="19.5" customHeight="1">
      <c r="E38" s="157"/>
      <c r="F38" s="157"/>
      <c r="G38" s="158"/>
      <c r="P38" s="159"/>
      <c r="T38" s="77"/>
      <c r="U38" s="77"/>
    </row>
    <row r="39" spans="1:21" ht="18.95" customHeight="1">
      <c r="E39" s="160"/>
      <c r="F39" s="157"/>
      <c r="G39" s="158"/>
      <c r="P39" s="76"/>
      <c r="T39" s="77"/>
      <c r="U39" s="77"/>
    </row>
    <row r="40" spans="1:21" ht="18.95" customHeight="1">
      <c r="E40" s="161"/>
      <c r="P40" s="76"/>
      <c r="T40" s="77"/>
      <c r="U40" s="77"/>
    </row>
    <row r="41" spans="1:21" ht="18.95" customHeight="1">
      <c r="P41" s="76"/>
      <c r="T41" s="77"/>
      <c r="U41" s="77"/>
    </row>
    <row r="42" spans="1:21" ht="18.95" customHeight="1">
      <c r="P42" s="76"/>
      <c r="T42" s="77"/>
      <c r="U42" s="77"/>
    </row>
    <row r="43" spans="1:21" ht="18.95" customHeight="1">
      <c r="P43" s="76"/>
      <c r="T43" s="77"/>
      <c r="U43" s="77"/>
    </row>
    <row r="44" spans="1:21" ht="18.95" customHeight="1">
      <c r="P44" s="76"/>
      <c r="T44" s="77"/>
      <c r="U44" s="77"/>
    </row>
    <row r="45" spans="1:21" ht="18.95" customHeight="1">
      <c r="P45" s="76"/>
      <c r="T45" s="77"/>
      <c r="U45" s="77"/>
    </row>
    <row r="46" spans="1:21" ht="18.95" customHeight="1"/>
    <row r="47" spans="1:21" ht="18.95" customHeight="1"/>
    <row r="48" spans="1:21" ht="18.95" customHeight="1"/>
    <row r="49" ht="18.95" customHeight="1"/>
    <row r="50" ht="18.95" customHeight="1"/>
    <row r="51" ht="18.95" customHeight="1"/>
    <row r="52" ht="18.95" customHeight="1"/>
    <row r="53" ht="18.95" customHeight="1"/>
    <row r="54" ht="18.95" customHeight="1"/>
    <row r="55" ht="18.95" customHeight="1"/>
    <row r="56" ht="18.95" customHeight="1"/>
    <row r="57" ht="18.95" customHeight="1"/>
    <row r="58" ht="18.95" customHeight="1"/>
    <row r="59" ht="18.95" customHeight="1"/>
    <row r="60" ht="18.95" customHeight="1"/>
    <row r="61" ht="18.95" customHeight="1"/>
  </sheetData>
  <mergeCells count="16">
    <mergeCell ref="A37:D37"/>
    <mergeCell ref="U2:U4"/>
    <mergeCell ref="S3:T3"/>
    <mergeCell ref="G2:H3"/>
    <mergeCell ref="I2:J3"/>
    <mergeCell ref="S2:T2"/>
    <mergeCell ref="Q2:R3"/>
    <mergeCell ref="A1:U1"/>
    <mergeCell ref="A2:A4"/>
    <mergeCell ref="B2:B4"/>
    <mergeCell ref="C2:C4"/>
    <mergeCell ref="D2:D4"/>
    <mergeCell ref="E2:F3"/>
    <mergeCell ref="M2:N3"/>
    <mergeCell ref="O2:P3"/>
    <mergeCell ref="K2:L3"/>
  </mergeCells>
  <phoneticPr fontId="2" type="noConversion"/>
  <printOptions horizontalCentered="1" verticalCentered="1"/>
  <pageMargins left="0.23622047244094491" right="0.23622047244094491" top="0" bottom="0" header="0.31496062992125984" footer="0.31496062992125984"/>
  <pageSetup paperSize="9" scale="6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0"/>
  <sheetViews>
    <sheetView zoomScaleNormal="100" workbookViewId="0">
      <pane xSplit="7" ySplit="16" topLeftCell="H33" activePane="bottomRight" state="frozen"/>
      <selection activeCell="D14" sqref="D14"/>
      <selection pane="topRight" activeCell="D14" sqref="D14"/>
      <selection pane="bottomLeft" activeCell="D14" sqref="D14"/>
      <selection pane="bottomRight" activeCell="G9" sqref="G9"/>
    </sheetView>
  </sheetViews>
  <sheetFormatPr defaultRowHeight="14.25"/>
  <cols>
    <col min="1" max="1" width="15.625" style="69" customWidth="1"/>
    <col min="2" max="2" width="12.625" style="82" customWidth="1"/>
    <col min="3" max="7" width="12.625" style="69" customWidth="1"/>
    <col min="8" max="16384" width="9" style="69"/>
  </cols>
  <sheetData>
    <row r="1" spans="1:7" ht="43.5" customHeight="1">
      <c r="A1" s="67" t="s">
        <v>25</v>
      </c>
      <c r="B1" s="67"/>
      <c r="C1" s="67"/>
      <c r="D1" s="67"/>
      <c r="E1" s="67"/>
      <c r="F1" s="67"/>
      <c r="G1" s="68" t="s">
        <v>188</v>
      </c>
    </row>
    <row r="2" spans="1:7" ht="21" customHeight="1">
      <c r="A2" s="304">
        <v>44136</v>
      </c>
      <c r="B2" s="305"/>
      <c r="C2" s="71"/>
      <c r="D2" s="71"/>
      <c r="E2" s="72"/>
      <c r="F2" s="73" t="s">
        <v>26</v>
      </c>
      <c r="G2" s="74">
        <v>0.67516900000000002</v>
      </c>
    </row>
    <row r="3" spans="1:7" ht="14.25" customHeight="1">
      <c r="A3" s="84"/>
      <c r="B3" s="312"/>
      <c r="C3" s="313"/>
      <c r="D3" s="313"/>
      <c r="E3" s="313"/>
      <c r="F3" s="314"/>
      <c r="G3" s="315"/>
    </row>
    <row r="4" spans="1:7" ht="14.25" customHeight="1">
      <c r="A4" s="306" t="s">
        <v>120</v>
      </c>
      <c r="B4" s="316" t="s">
        <v>14</v>
      </c>
      <c r="C4" s="316"/>
      <c r="D4" s="316" t="s">
        <v>15</v>
      </c>
      <c r="E4" s="316"/>
      <c r="F4" s="308" t="s">
        <v>18</v>
      </c>
      <c r="G4" s="310" t="s">
        <v>2</v>
      </c>
    </row>
    <row r="5" spans="1:7">
      <c r="A5" s="307"/>
      <c r="B5" s="151" t="s">
        <v>19</v>
      </c>
      <c r="C5" s="143" t="s">
        <v>17</v>
      </c>
      <c r="D5" s="143" t="s">
        <v>19</v>
      </c>
      <c r="E5" s="152" t="s">
        <v>17</v>
      </c>
      <c r="F5" s="309"/>
      <c r="G5" s="311"/>
    </row>
    <row r="6" spans="1:7" s="76" customFormat="1" ht="21" customHeight="1">
      <c r="A6" s="95">
        <v>44135</v>
      </c>
      <c r="B6" s="153">
        <v>1560.67</v>
      </c>
      <c r="C6" s="97" t="e">
        <f>SUM(B6-B5)*10000</f>
        <v>#VALUE!</v>
      </c>
      <c r="D6" s="154">
        <v>1140.53</v>
      </c>
      <c r="E6" s="75" t="e">
        <f>SUM(D6-D5)*10000</f>
        <v>#VALUE!</v>
      </c>
      <c r="F6" s="155" t="e">
        <f>C6+E6</f>
        <v>#VALUE!</v>
      </c>
      <c r="G6" s="94" t="e">
        <f>F6*0.675169</f>
        <v>#VALUE!</v>
      </c>
    </row>
    <row r="7" spans="1:7" ht="21" customHeight="1">
      <c r="A7" s="95">
        <v>44136</v>
      </c>
      <c r="B7" s="153">
        <v>1562.34</v>
      </c>
      <c r="C7" s="97">
        <f>SUM(B7-B6)*10000</f>
        <v>16699.999999998454</v>
      </c>
      <c r="D7" s="154">
        <v>1141.94</v>
      </c>
      <c r="E7" s="75">
        <f>SUM(D7-D6)*10000</f>
        <v>14100.000000000819</v>
      </c>
      <c r="F7" s="155">
        <f>C7+E7</f>
        <v>30799.999999999272</v>
      </c>
      <c r="G7" s="94">
        <f>F7*0.675169</f>
        <v>20795.205199999509</v>
      </c>
    </row>
    <row r="8" spans="1:7" s="77" customFormat="1" ht="21" customHeight="1">
      <c r="A8" s="95">
        <v>44137</v>
      </c>
      <c r="B8" s="153">
        <v>1563.95</v>
      </c>
      <c r="C8" s="97">
        <f t="shared" ref="C8:C35" si="0">SUM(B8-B7)*10000</f>
        <v>16100.000000001273</v>
      </c>
      <c r="D8" s="154">
        <v>1143.26</v>
      </c>
      <c r="E8" s="75">
        <f t="shared" ref="E8:E35" si="1">SUM(D8-D7)*10000</f>
        <v>13199.999999999363</v>
      </c>
      <c r="F8" s="155">
        <f t="shared" ref="F8:F36" si="2">C8+E8</f>
        <v>29300.000000000637</v>
      </c>
      <c r="G8" s="94">
        <f t="shared" ref="G8:G36" si="3">F8*0.675169</f>
        <v>19782.451700000431</v>
      </c>
    </row>
    <row r="9" spans="1:7" ht="21" customHeight="1">
      <c r="A9" s="95">
        <v>44138</v>
      </c>
      <c r="B9" s="153">
        <v>1565.68</v>
      </c>
      <c r="C9" s="97">
        <f t="shared" si="0"/>
        <v>17300.000000000182</v>
      </c>
      <c r="D9" s="154">
        <v>1144.49</v>
      </c>
      <c r="E9" s="75">
        <f t="shared" si="1"/>
        <v>12300.000000000182</v>
      </c>
      <c r="F9" s="155">
        <f t="shared" si="2"/>
        <v>29600.000000000364</v>
      </c>
      <c r="G9" s="94">
        <f t="shared" si="3"/>
        <v>19985.002400000245</v>
      </c>
    </row>
    <row r="10" spans="1:7" ht="21" customHeight="1">
      <c r="A10" s="95">
        <v>44139</v>
      </c>
      <c r="B10" s="153">
        <v>1567.36</v>
      </c>
      <c r="C10" s="97">
        <f t="shared" si="0"/>
        <v>16799.999999998363</v>
      </c>
      <c r="D10" s="154">
        <v>1145.5999999999999</v>
      </c>
      <c r="E10" s="75">
        <f t="shared" si="1"/>
        <v>11099.999999999</v>
      </c>
      <c r="F10" s="155">
        <f t="shared" si="2"/>
        <v>27899.999999997362</v>
      </c>
      <c r="G10" s="94">
        <f t="shared" si="3"/>
        <v>18837.215099998219</v>
      </c>
    </row>
    <row r="11" spans="1:7" ht="21" customHeight="1">
      <c r="A11" s="95">
        <v>44140</v>
      </c>
      <c r="B11" s="153">
        <v>1569.03</v>
      </c>
      <c r="C11" s="97">
        <f t="shared" si="0"/>
        <v>16700.000000000728</v>
      </c>
      <c r="D11" s="154">
        <v>1146.9100000000001</v>
      </c>
      <c r="E11" s="75">
        <f t="shared" si="1"/>
        <v>13100.000000001728</v>
      </c>
      <c r="F11" s="155">
        <f t="shared" si="2"/>
        <v>29800.000000002456</v>
      </c>
      <c r="G11" s="94">
        <f t="shared" si="3"/>
        <v>20120.036200001658</v>
      </c>
    </row>
    <row r="12" spans="1:7" ht="21" customHeight="1">
      <c r="A12" s="95">
        <v>44141</v>
      </c>
      <c r="B12" s="153">
        <v>1570.69</v>
      </c>
      <c r="C12" s="97">
        <f t="shared" si="0"/>
        <v>16600.000000000819</v>
      </c>
      <c r="D12" s="154">
        <v>1148.51</v>
      </c>
      <c r="E12" s="75">
        <f t="shared" si="1"/>
        <v>15999.999999999091</v>
      </c>
      <c r="F12" s="155">
        <f t="shared" si="2"/>
        <v>32599.999999999909</v>
      </c>
      <c r="G12" s="94">
        <f t="shared" si="3"/>
        <v>22010.509399999941</v>
      </c>
    </row>
    <row r="13" spans="1:7" s="76" customFormat="1" ht="21" customHeight="1">
      <c r="A13" s="95">
        <v>44142</v>
      </c>
      <c r="B13" s="153">
        <v>1572.33</v>
      </c>
      <c r="C13" s="97">
        <f t="shared" si="0"/>
        <v>16399.999999998727</v>
      </c>
      <c r="D13" s="154">
        <v>1150.1300000000001</v>
      </c>
      <c r="E13" s="75">
        <f t="shared" si="1"/>
        <v>16200.000000001182</v>
      </c>
      <c r="F13" s="155">
        <f t="shared" si="2"/>
        <v>32599.999999999909</v>
      </c>
      <c r="G13" s="94">
        <f t="shared" si="3"/>
        <v>22010.509399999941</v>
      </c>
    </row>
    <row r="14" spans="1:7" s="76" customFormat="1" ht="21" customHeight="1">
      <c r="A14" s="95">
        <v>44143</v>
      </c>
      <c r="B14" s="153">
        <v>1573.82</v>
      </c>
      <c r="C14" s="97">
        <f t="shared" si="0"/>
        <v>14900.000000000091</v>
      </c>
      <c r="D14" s="154">
        <v>1151.55</v>
      </c>
      <c r="E14" s="75">
        <f t="shared" si="1"/>
        <v>14199.999999998454</v>
      </c>
      <c r="F14" s="155">
        <f t="shared" si="2"/>
        <v>29099.999999998545</v>
      </c>
      <c r="G14" s="94">
        <f t="shared" si="3"/>
        <v>19647.417899999018</v>
      </c>
    </row>
    <row r="15" spans="1:7" s="76" customFormat="1" ht="21" customHeight="1">
      <c r="A15" s="95">
        <v>44144</v>
      </c>
      <c r="B15" s="153">
        <v>1575.44</v>
      </c>
      <c r="C15" s="97">
        <f t="shared" si="0"/>
        <v>16200.000000001182</v>
      </c>
      <c r="D15" s="154">
        <v>1152.8599999999999</v>
      </c>
      <c r="E15" s="75">
        <f t="shared" si="1"/>
        <v>13099.999999999454</v>
      </c>
      <c r="F15" s="155">
        <f t="shared" si="2"/>
        <v>29300.000000000637</v>
      </c>
      <c r="G15" s="94">
        <f t="shared" si="3"/>
        <v>19782.451700000431</v>
      </c>
    </row>
    <row r="16" spans="1:7" s="76" customFormat="1" ht="21" customHeight="1">
      <c r="A16" s="95">
        <v>44145</v>
      </c>
      <c r="B16" s="153">
        <v>1577.15</v>
      </c>
      <c r="C16" s="97">
        <f t="shared" si="0"/>
        <v>17100.000000000364</v>
      </c>
      <c r="D16" s="154">
        <v>1154.05</v>
      </c>
      <c r="E16" s="75">
        <f t="shared" si="1"/>
        <v>11900.000000000546</v>
      </c>
      <c r="F16" s="155">
        <f t="shared" si="2"/>
        <v>29000.000000000909</v>
      </c>
      <c r="G16" s="94">
        <f t="shared" si="3"/>
        <v>19579.901000000613</v>
      </c>
    </row>
    <row r="17" spans="1:11" s="76" customFormat="1" ht="21" customHeight="1">
      <c r="A17" s="95">
        <v>44146</v>
      </c>
      <c r="B17" s="153">
        <v>1578.7</v>
      </c>
      <c r="C17" s="97">
        <f t="shared" si="0"/>
        <v>15499.999999999545</v>
      </c>
      <c r="D17" s="154">
        <v>1155.45</v>
      </c>
      <c r="E17" s="75">
        <f t="shared" si="1"/>
        <v>14000.000000000909</v>
      </c>
      <c r="F17" s="155">
        <f t="shared" si="2"/>
        <v>29500.000000000455</v>
      </c>
      <c r="G17" s="94">
        <f t="shared" si="3"/>
        <v>19917.485500000308</v>
      </c>
    </row>
    <row r="18" spans="1:11" s="76" customFormat="1" ht="21" customHeight="1">
      <c r="A18" s="95">
        <v>44147</v>
      </c>
      <c r="B18" s="153">
        <v>1580.47</v>
      </c>
      <c r="C18" s="97">
        <f t="shared" si="0"/>
        <v>17699.999999999818</v>
      </c>
      <c r="D18" s="154">
        <v>1156.69</v>
      </c>
      <c r="E18" s="75">
        <f t="shared" si="1"/>
        <v>12400.000000000091</v>
      </c>
      <c r="F18" s="155">
        <f t="shared" si="2"/>
        <v>30099.999999999909</v>
      </c>
      <c r="G18" s="94">
        <f t="shared" si="3"/>
        <v>20322.58689999994</v>
      </c>
    </row>
    <row r="19" spans="1:11" s="76" customFormat="1" ht="21" customHeight="1">
      <c r="A19" s="95">
        <v>44148</v>
      </c>
      <c r="B19" s="153">
        <v>1582.22</v>
      </c>
      <c r="C19" s="97">
        <f t="shared" si="0"/>
        <v>17500</v>
      </c>
      <c r="D19" s="154">
        <v>1157.97</v>
      </c>
      <c r="E19" s="75">
        <f t="shared" si="1"/>
        <v>12799.999999999727</v>
      </c>
      <c r="F19" s="155">
        <f>C19+E19</f>
        <v>30299.999999999727</v>
      </c>
      <c r="G19" s="94">
        <f t="shared" si="3"/>
        <v>20457.620699999818</v>
      </c>
    </row>
    <row r="20" spans="1:11" s="76" customFormat="1" ht="21" customHeight="1">
      <c r="A20" s="95">
        <v>44149</v>
      </c>
      <c r="B20" s="153">
        <v>1584.05</v>
      </c>
      <c r="C20" s="97">
        <f t="shared" si="0"/>
        <v>18299.999999999272</v>
      </c>
      <c r="D20" s="154">
        <v>1159.07</v>
      </c>
      <c r="E20" s="75">
        <f t="shared" si="1"/>
        <v>10999.999999999091</v>
      </c>
      <c r="F20" s="155">
        <f t="shared" si="2"/>
        <v>29299.999999998363</v>
      </c>
      <c r="G20" s="94">
        <f t="shared" si="3"/>
        <v>19782.451699998895</v>
      </c>
    </row>
    <row r="21" spans="1:11" s="76" customFormat="1" ht="21" customHeight="1">
      <c r="A21" s="95">
        <v>44150</v>
      </c>
      <c r="B21" s="153">
        <v>1585.87</v>
      </c>
      <c r="C21" s="97">
        <f t="shared" si="0"/>
        <v>18199.999999999363</v>
      </c>
      <c r="D21" s="154">
        <v>1160.23</v>
      </c>
      <c r="E21" s="75">
        <f t="shared" si="1"/>
        <v>11600.000000000819</v>
      </c>
      <c r="F21" s="155">
        <f t="shared" si="2"/>
        <v>29800.000000000182</v>
      </c>
      <c r="G21" s="94">
        <f t="shared" si="3"/>
        <v>20120.036200000122</v>
      </c>
      <c r="K21" s="76" t="s">
        <v>33</v>
      </c>
    </row>
    <row r="22" spans="1:11" s="76" customFormat="1" ht="21" customHeight="1">
      <c r="A22" s="95">
        <v>44151</v>
      </c>
      <c r="B22" s="153">
        <v>1587.38</v>
      </c>
      <c r="C22" s="97">
        <f t="shared" si="0"/>
        <v>15100.000000002183</v>
      </c>
      <c r="D22" s="154">
        <v>1161.75</v>
      </c>
      <c r="E22" s="75">
        <f t="shared" si="1"/>
        <v>15199.999999999818</v>
      </c>
      <c r="F22" s="155">
        <f t="shared" si="2"/>
        <v>30300.000000002001</v>
      </c>
      <c r="G22" s="94">
        <f t="shared" si="3"/>
        <v>20457.620700001353</v>
      </c>
    </row>
    <row r="23" spans="1:11" s="76" customFormat="1" ht="21" customHeight="1">
      <c r="A23" s="95">
        <v>44152</v>
      </c>
      <c r="B23" s="153">
        <v>1589</v>
      </c>
      <c r="C23" s="97">
        <f t="shared" si="0"/>
        <v>16199.999999998909</v>
      </c>
      <c r="D23" s="154">
        <v>1163.3</v>
      </c>
      <c r="E23" s="75">
        <f t="shared" si="1"/>
        <v>15499.999999999545</v>
      </c>
      <c r="F23" s="155">
        <f t="shared" si="2"/>
        <v>31699.999999998454</v>
      </c>
      <c r="G23" s="94">
        <f t="shared" si="3"/>
        <v>21402.857299998956</v>
      </c>
    </row>
    <row r="24" spans="1:11" s="76" customFormat="1" ht="21" customHeight="1">
      <c r="A24" s="95">
        <v>44153</v>
      </c>
      <c r="B24" s="153">
        <v>1590.71</v>
      </c>
      <c r="C24" s="97">
        <f t="shared" si="0"/>
        <v>17100.000000000364</v>
      </c>
      <c r="D24" s="154">
        <v>1164.81</v>
      </c>
      <c r="E24" s="75">
        <f t="shared" si="1"/>
        <v>15099.999999999909</v>
      </c>
      <c r="F24" s="155">
        <f t="shared" si="2"/>
        <v>32200.000000000273</v>
      </c>
      <c r="G24" s="94">
        <f t="shared" si="3"/>
        <v>21740.441800000186</v>
      </c>
    </row>
    <row r="25" spans="1:11" s="76" customFormat="1" ht="21" customHeight="1">
      <c r="A25" s="95">
        <v>44154</v>
      </c>
      <c r="B25" s="153">
        <v>1592.37</v>
      </c>
      <c r="C25" s="97">
        <f t="shared" si="0"/>
        <v>16599.999999998545</v>
      </c>
      <c r="D25" s="154">
        <v>1166.46</v>
      </c>
      <c r="E25" s="75">
        <f t="shared" si="1"/>
        <v>16500.000000000909</v>
      </c>
      <c r="F25" s="155">
        <f t="shared" si="2"/>
        <v>33099.999999999454</v>
      </c>
      <c r="G25" s="94">
        <f t="shared" si="3"/>
        <v>22348.093899999632</v>
      </c>
    </row>
    <row r="26" spans="1:11" s="76" customFormat="1" ht="21" customHeight="1">
      <c r="A26" s="95">
        <v>44155</v>
      </c>
      <c r="B26" s="153">
        <v>1594.08</v>
      </c>
      <c r="C26" s="97">
        <f t="shared" si="0"/>
        <v>17100.000000000364</v>
      </c>
      <c r="D26" s="154">
        <v>1168.0999999999999</v>
      </c>
      <c r="E26" s="75">
        <f t="shared" si="1"/>
        <v>16399.999999998727</v>
      </c>
      <c r="F26" s="155">
        <f t="shared" si="2"/>
        <v>33499.999999999091</v>
      </c>
      <c r="G26" s="94">
        <f t="shared" si="3"/>
        <v>22618.161499999387</v>
      </c>
    </row>
    <row r="27" spans="1:11" s="76" customFormat="1" ht="21" customHeight="1">
      <c r="A27" s="95">
        <v>44156</v>
      </c>
      <c r="B27" s="153">
        <v>1595.69</v>
      </c>
      <c r="C27" s="97">
        <f t="shared" si="0"/>
        <v>16100.000000001273</v>
      </c>
      <c r="D27" s="154">
        <v>1169.8499999999999</v>
      </c>
      <c r="E27" s="75">
        <f t="shared" si="1"/>
        <v>17500</v>
      </c>
      <c r="F27" s="155">
        <f t="shared" si="2"/>
        <v>33600.000000001273</v>
      </c>
      <c r="G27" s="94">
        <f t="shared" si="3"/>
        <v>22685.678400000859</v>
      </c>
    </row>
    <row r="28" spans="1:11" s="76" customFormat="1" ht="21" customHeight="1">
      <c r="A28" s="95">
        <v>44157</v>
      </c>
      <c r="B28" s="153">
        <v>1597.35</v>
      </c>
      <c r="C28" s="97">
        <f t="shared" si="0"/>
        <v>16599.999999998545</v>
      </c>
      <c r="D28" s="154">
        <v>1171.6099999999999</v>
      </c>
      <c r="E28" s="75">
        <f t="shared" si="1"/>
        <v>17599.999999999909</v>
      </c>
      <c r="F28" s="155">
        <f t="shared" si="2"/>
        <v>34199.999999998457</v>
      </c>
      <c r="G28" s="94">
        <f t="shared" si="3"/>
        <v>23090.77979999896</v>
      </c>
    </row>
    <row r="29" spans="1:11" s="76" customFormat="1" ht="21" customHeight="1">
      <c r="A29" s="95">
        <v>44158</v>
      </c>
      <c r="B29" s="153">
        <v>1598.98</v>
      </c>
      <c r="C29" s="97">
        <f t="shared" si="0"/>
        <v>16300.000000001091</v>
      </c>
      <c r="D29" s="154">
        <v>1172.9000000000001</v>
      </c>
      <c r="E29" s="75">
        <f t="shared" si="1"/>
        <v>12900.00000000191</v>
      </c>
      <c r="F29" s="155">
        <f t="shared" si="2"/>
        <v>29200.000000003001</v>
      </c>
      <c r="G29" s="94">
        <f t="shared" si="3"/>
        <v>19714.934800002025</v>
      </c>
    </row>
    <row r="30" spans="1:11" s="76" customFormat="1" ht="21" customHeight="1">
      <c r="A30" s="95">
        <v>44159</v>
      </c>
      <c r="B30" s="153">
        <v>1600</v>
      </c>
      <c r="C30" s="97">
        <f t="shared" si="0"/>
        <v>10199.999999999818</v>
      </c>
      <c r="D30" s="154">
        <v>1174.71</v>
      </c>
      <c r="E30" s="75">
        <f t="shared" si="1"/>
        <v>18099.999999999454</v>
      </c>
      <c r="F30" s="155">
        <f t="shared" si="2"/>
        <v>28299.999999999272</v>
      </c>
      <c r="G30" s="94">
        <f t="shared" si="3"/>
        <v>19107.282699999509</v>
      </c>
    </row>
    <row r="31" spans="1:11" s="76" customFormat="1" ht="21" customHeight="1">
      <c r="A31" s="95">
        <v>44160</v>
      </c>
      <c r="B31" s="153">
        <v>1602.11</v>
      </c>
      <c r="C31" s="97">
        <f t="shared" si="0"/>
        <v>21099.999999999</v>
      </c>
      <c r="D31" s="154">
        <v>1176.3599999999999</v>
      </c>
      <c r="E31" s="75">
        <f t="shared" si="1"/>
        <v>16499.999999998636</v>
      </c>
      <c r="F31" s="155">
        <f t="shared" si="2"/>
        <v>37599.999999997635</v>
      </c>
      <c r="G31" s="94">
        <f t="shared" si="3"/>
        <v>25386.354399998403</v>
      </c>
    </row>
    <row r="32" spans="1:11" s="76" customFormat="1" ht="21" customHeight="1">
      <c r="A32" s="95">
        <v>44161</v>
      </c>
      <c r="B32" s="153">
        <v>1603.7</v>
      </c>
      <c r="C32" s="97">
        <f t="shared" si="0"/>
        <v>15900.000000001455</v>
      </c>
      <c r="D32" s="154">
        <v>1177.81</v>
      </c>
      <c r="E32" s="75">
        <f t="shared" si="1"/>
        <v>14500.000000000455</v>
      </c>
      <c r="F32" s="155">
        <f t="shared" si="2"/>
        <v>30400.00000000191</v>
      </c>
      <c r="G32" s="94">
        <f t="shared" si="3"/>
        <v>20525.13760000129</v>
      </c>
    </row>
    <row r="33" spans="1:7" s="76" customFormat="1" ht="21" customHeight="1">
      <c r="A33" s="95">
        <v>44162</v>
      </c>
      <c r="B33" s="153">
        <v>1605.37</v>
      </c>
      <c r="C33" s="97">
        <f t="shared" si="0"/>
        <v>16699.999999998454</v>
      </c>
      <c r="D33" s="154">
        <v>1179.25</v>
      </c>
      <c r="E33" s="75">
        <f t="shared" si="1"/>
        <v>14400.000000000546</v>
      </c>
      <c r="F33" s="155">
        <f t="shared" si="2"/>
        <v>31099.999999999</v>
      </c>
      <c r="G33" s="94">
        <f t="shared" si="3"/>
        <v>20997.755899999323</v>
      </c>
    </row>
    <row r="34" spans="1:7" s="76" customFormat="1" ht="21" customHeight="1">
      <c r="A34" s="95">
        <v>44163</v>
      </c>
      <c r="B34" s="153">
        <v>1607.12</v>
      </c>
      <c r="C34" s="97">
        <f t="shared" si="0"/>
        <v>17500</v>
      </c>
      <c r="D34" s="154">
        <v>1180.47</v>
      </c>
      <c r="E34" s="75">
        <f t="shared" si="1"/>
        <v>12200.000000000273</v>
      </c>
      <c r="F34" s="155">
        <f t="shared" si="2"/>
        <v>29700.000000000273</v>
      </c>
      <c r="G34" s="94">
        <f t="shared" si="3"/>
        <v>20052.519300000185</v>
      </c>
    </row>
    <row r="35" spans="1:7" s="76" customFormat="1" ht="21" customHeight="1">
      <c r="A35" s="95">
        <v>44164</v>
      </c>
      <c r="B35" s="153">
        <v>1608.76</v>
      </c>
      <c r="C35" s="97">
        <f t="shared" si="0"/>
        <v>16400.000000001</v>
      </c>
      <c r="D35" s="154">
        <v>1181.51</v>
      </c>
      <c r="E35" s="75">
        <f t="shared" si="1"/>
        <v>10399.999999999636</v>
      </c>
      <c r="F35" s="155">
        <f t="shared" si="2"/>
        <v>26800.000000000637</v>
      </c>
      <c r="G35" s="94">
        <f t="shared" si="3"/>
        <v>18094.52920000043</v>
      </c>
    </row>
    <row r="36" spans="1:7" s="76" customFormat="1" ht="21" customHeight="1">
      <c r="A36" s="95">
        <v>44165</v>
      </c>
      <c r="B36" s="153">
        <v>1610</v>
      </c>
      <c r="C36" s="97">
        <f>SUM(B36-B35)*10000</f>
        <v>12400.000000000091</v>
      </c>
      <c r="D36" s="154">
        <v>1182.6199999999999</v>
      </c>
      <c r="E36" s="75">
        <f>SUM(D36-D35)*10000</f>
        <v>11099.999999999</v>
      </c>
      <c r="F36" s="155">
        <f t="shared" si="2"/>
        <v>23499.999999999091</v>
      </c>
      <c r="G36" s="94">
        <f t="shared" si="3"/>
        <v>15866.471499999387</v>
      </c>
    </row>
    <row r="37" spans="1:7" s="76" customFormat="1" ht="21" customHeight="1">
      <c r="A37" s="95"/>
      <c r="B37" s="153"/>
      <c r="C37" s="97">
        <f>SUM(B37-B36)*10000</f>
        <v>-16100000</v>
      </c>
      <c r="D37" s="154"/>
      <c r="E37" s="75">
        <f>SUM(D37-D36)*10000</f>
        <v>-11826199.999999998</v>
      </c>
      <c r="F37" s="155">
        <f>C37+E37</f>
        <v>-27926200</v>
      </c>
      <c r="G37" s="94">
        <f>F37*0.675169</f>
        <v>-18854904.527800001</v>
      </c>
    </row>
    <row r="38" spans="1:7" s="76" customFormat="1">
      <c r="A38" s="95"/>
      <c r="B38" s="78"/>
      <c r="C38" s="97">
        <f>SUM(C7:C36)</f>
        <v>493299.99999999924</v>
      </c>
      <c r="D38" s="154"/>
      <c r="E38" s="75">
        <f>SUM(E7:E36)</f>
        <v>420899.99999999924</v>
      </c>
      <c r="F38" s="75">
        <f>SUM(F7:F36)</f>
        <v>914199.99999999825</v>
      </c>
      <c r="G38" s="75">
        <f>SUM(G7:G36)</f>
        <v>617239.49979999894</v>
      </c>
    </row>
    <row r="39" spans="1:7" s="81" customFormat="1" ht="21" customHeight="1">
      <c r="A39" s="79" t="s">
        <v>22</v>
      </c>
      <c r="B39" s="80"/>
      <c r="C39" s="80">
        <f>SUM(C7:C36)</f>
        <v>493299.99999999924</v>
      </c>
      <c r="D39" s="80"/>
      <c r="E39" s="80">
        <f>SUM(E7:E36)</f>
        <v>420899.99999999924</v>
      </c>
      <c r="F39" s="80">
        <f>SUM(F38)</f>
        <v>914199.99999999825</v>
      </c>
      <c r="G39" s="80">
        <f>SUM(G38)</f>
        <v>617239.49979999894</v>
      </c>
    </row>
    <row r="40" spans="1:7">
      <c r="F40" s="69" t="s">
        <v>119</v>
      </c>
      <c r="G40" s="83">
        <f>+G39/1.17</f>
        <v>527555.12803418713</v>
      </c>
    </row>
  </sheetData>
  <mergeCells count="7">
    <mergeCell ref="A2:B2"/>
    <mergeCell ref="A4:A5"/>
    <mergeCell ref="F4:F5"/>
    <mergeCell ref="G4:G5"/>
    <mergeCell ref="B3:G3"/>
    <mergeCell ref="B4:C4"/>
    <mergeCell ref="D4:E4"/>
  </mergeCells>
  <phoneticPr fontId="2" type="noConversion"/>
  <pageMargins left="0.31496062992125984" right="0.27559055118110237" top="0.31496062992125984" bottom="0.19685039370078741" header="0.11811023622047245" footer="0.11811023622047245"/>
  <pageSetup paperSize="9" scale="82" orientation="portrait" horizontalDpi="180" verticalDpi="18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8"/>
  <sheetViews>
    <sheetView zoomScaleNormal="100" zoomScaleSheetLayoutView="115" workbookViewId="0">
      <pane xSplit="1" ySplit="16" topLeftCell="B32" activePane="bottomRight" state="frozen"/>
      <selection activeCell="C21" activeCellId="31" sqref="C9 D17 D17 C16 C16 D19 I13 I19 C18 B18 C17 C19 G19 I18 N18 O18 P18:P19 O20 D18 B17 B16 C15 E16 D19 D20 C18 D18 C21 B19 B20 C21 C21"/>
      <selection pane="topRight" activeCell="C21" activeCellId="31" sqref="C9 D17 D17 C16 C16 D19 I13 I19 C18 B18 C17 C19 G19 I18 N18 O18 P18:P19 O20 D18 B17 B16 C15 E16 D19 D20 C18 D18 C21 B19 B20 C21 C21"/>
      <selection pane="bottomLeft" activeCell="C21" activeCellId="31" sqref="C9 D17 D17 C16 C16 D19 I13 I19 C18 B18 C17 C19 G19 I18 N18 O18 P18:P19 O20 D18 B17 B16 C15 E16 D19 D20 C18 D18 C21 B19 B20 C21 C21"/>
      <selection pane="bottomRight" activeCell="I6" sqref="I6:I36"/>
    </sheetView>
  </sheetViews>
  <sheetFormatPr defaultRowHeight="14.25"/>
  <cols>
    <col min="1" max="1" width="15.125" style="69" customWidth="1"/>
    <col min="2" max="2" width="12.625" style="69" customWidth="1"/>
    <col min="3" max="3" width="10.625" style="69" customWidth="1"/>
    <col min="4" max="6" width="12.625" style="69" customWidth="1"/>
    <col min="7" max="7" width="10.625" style="69" customWidth="1"/>
    <col min="8" max="8" width="12.625" style="69" customWidth="1"/>
    <col min="9" max="9" width="12.625" style="99" customWidth="1"/>
    <col min="10" max="10" width="16" style="69" bestFit="1" customWidth="1"/>
    <col min="11" max="11" width="15.875" style="69" customWidth="1"/>
    <col min="12" max="13" width="9.5" style="69" bestFit="1" customWidth="1"/>
    <col min="14" max="16384" width="9" style="69"/>
  </cols>
  <sheetData>
    <row r="1" spans="1:15" ht="24.75" customHeight="1">
      <c r="A1" s="98" t="s">
        <v>122</v>
      </c>
      <c r="B1" s="99"/>
      <c r="C1" s="99"/>
      <c r="D1" s="99"/>
      <c r="E1" s="99"/>
      <c r="F1" s="99"/>
      <c r="G1" s="99"/>
      <c r="H1" s="100" t="s">
        <v>123</v>
      </c>
      <c r="I1" s="100">
        <v>4.17</v>
      </c>
      <c r="J1" s="179" t="s">
        <v>124</v>
      </c>
      <c r="K1" s="254" t="s">
        <v>181</v>
      </c>
      <c r="L1" s="255" t="s">
        <v>182</v>
      </c>
      <c r="M1" s="255" t="s">
        <v>183</v>
      </c>
      <c r="N1" s="255" t="s">
        <v>184</v>
      </c>
      <c r="O1" s="255" t="s">
        <v>185</v>
      </c>
    </row>
    <row r="2" spans="1:15" s="104" customFormat="1" ht="21" customHeight="1">
      <c r="A2" s="70" t="s">
        <v>197</v>
      </c>
      <c r="B2" s="101"/>
      <c r="C2" s="102"/>
      <c r="D2" s="103"/>
      <c r="E2" s="103"/>
      <c r="F2" s="103"/>
      <c r="G2" s="103"/>
      <c r="H2" s="109" t="s">
        <v>26</v>
      </c>
      <c r="I2" s="102">
        <v>4.25</v>
      </c>
      <c r="K2" s="254" t="s">
        <v>186</v>
      </c>
      <c r="L2" s="257">
        <v>4.1500000000000004</v>
      </c>
      <c r="M2" s="257">
        <v>4.0999999999999996</v>
      </c>
      <c r="N2" s="257">
        <v>3.8</v>
      </c>
      <c r="O2" s="257">
        <v>3.4</v>
      </c>
    </row>
    <row r="3" spans="1:15" s="99" customFormat="1" ht="16.5" customHeight="1">
      <c r="A3" s="105"/>
      <c r="B3" s="322"/>
      <c r="C3" s="322"/>
      <c r="D3" s="322"/>
      <c r="E3" s="322"/>
      <c r="F3" s="322"/>
      <c r="G3" s="322"/>
      <c r="H3" s="322"/>
      <c r="I3" s="322"/>
      <c r="K3" s="256" t="s">
        <v>187</v>
      </c>
    </row>
    <row r="4" spans="1:15" ht="18" customHeight="1">
      <c r="A4" s="316" t="s">
        <v>1</v>
      </c>
      <c r="B4" s="321" t="s">
        <v>3</v>
      </c>
      <c r="C4" s="321"/>
      <c r="D4" s="321"/>
      <c r="E4" s="319" t="s">
        <v>27</v>
      </c>
      <c r="F4" s="316" t="s">
        <v>11</v>
      </c>
      <c r="G4" s="316"/>
      <c r="H4" s="316"/>
      <c r="I4" s="319" t="s">
        <v>27</v>
      </c>
      <c r="J4" s="317" t="s">
        <v>71</v>
      </c>
    </row>
    <row r="5" spans="1:15" ht="15.75">
      <c r="A5" s="323"/>
      <c r="B5" s="143" t="s">
        <v>19</v>
      </c>
      <c r="C5" s="143" t="s">
        <v>126</v>
      </c>
      <c r="D5" s="143" t="s">
        <v>24</v>
      </c>
      <c r="E5" s="320"/>
      <c r="F5" s="143" t="s">
        <v>19</v>
      </c>
      <c r="G5" s="143" t="s">
        <v>127</v>
      </c>
      <c r="H5" s="143" t="s">
        <v>24</v>
      </c>
      <c r="I5" s="320"/>
      <c r="J5" s="318"/>
    </row>
    <row r="6" spans="1:15" s="159" customFormat="1" ht="21" customHeight="1">
      <c r="A6" s="95">
        <v>44135</v>
      </c>
      <c r="B6" s="94">
        <v>4607221</v>
      </c>
      <c r="C6" s="90" t="e">
        <f>B6-B5</f>
        <v>#VALUE!</v>
      </c>
      <c r="D6" s="90"/>
      <c r="E6" s="149" t="e">
        <f>C6*3.95</f>
        <v>#VALUE!</v>
      </c>
      <c r="F6" s="90">
        <v>3293062</v>
      </c>
      <c r="G6" s="90" t="e">
        <f>F6-F5</f>
        <v>#VALUE!</v>
      </c>
      <c r="H6" s="150"/>
      <c r="I6" s="240" t="e">
        <f>G6*3.95</f>
        <v>#VALUE!</v>
      </c>
      <c r="J6" s="148" t="e">
        <f>E6+I6</f>
        <v>#VALUE!</v>
      </c>
    </row>
    <row r="7" spans="1:15" s="104" customFormat="1" ht="21" customHeight="1">
      <c r="A7" s="95">
        <v>44136</v>
      </c>
      <c r="B7" s="94">
        <v>4608582</v>
      </c>
      <c r="C7" s="90">
        <f>B7-B6</f>
        <v>1361</v>
      </c>
      <c r="D7" s="97"/>
      <c r="E7" s="149">
        <f t="shared" ref="E7:E36" si="0">C7*3.95</f>
        <v>5375.95</v>
      </c>
      <c r="F7" s="90">
        <v>3293978</v>
      </c>
      <c r="G7" s="90">
        <f t="shared" ref="G7:G36" si="1">F7-F6</f>
        <v>916</v>
      </c>
      <c r="H7" s="150"/>
      <c r="I7" s="240">
        <f t="shared" ref="I7:I36" si="2">G7*3.95</f>
        <v>3618.2000000000003</v>
      </c>
      <c r="J7" s="148">
        <f>E7+I7</f>
        <v>8994.15</v>
      </c>
    </row>
    <row r="8" spans="1:15" s="157" customFormat="1" ht="21" customHeight="1">
      <c r="A8" s="95">
        <v>44137</v>
      </c>
      <c r="B8" s="94">
        <v>4610061</v>
      </c>
      <c r="C8" s="90">
        <f t="shared" ref="C8:C36" si="3">B8-B7</f>
        <v>1479</v>
      </c>
      <c r="D8" s="97"/>
      <c r="E8" s="149">
        <f t="shared" si="0"/>
        <v>5842.05</v>
      </c>
      <c r="F8" s="90">
        <v>3294758</v>
      </c>
      <c r="G8" s="90">
        <f t="shared" si="1"/>
        <v>780</v>
      </c>
      <c r="H8" s="150"/>
      <c r="I8" s="240">
        <f t="shared" si="2"/>
        <v>3081</v>
      </c>
      <c r="J8" s="148">
        <f>E8+I8</f>
        <v>8923.0499999999993</v>
      </c>
    </row>
    <row r="9" spans="1:15" s="104" customFormat="1" ht="21" customHeight="1">
      <c r="A9" s="95">
        <v>44138</v>
      </c>
      <c r="B9" s="94">
        <v>4611675</v>
      </c>
      <c r="C9" s="90">
        <f t="shared" si="3"/>
        <v>1614</v>
      </c>
      <c r="D9" s="97"/>
      <c r="E9" s="149">
        <f t="shared" si="0"/>
        <v>6375.3</v>
      </c>
      <c r="F9" s="90">
        <v>3295612</v>
      </c>
      <c r="G9" s="90">
        <f t="shared" si="1"/>
        <v>854</v>
      </c>
      <c r="H9" s="150"/>
      <c r="I9" s="240">
        <f t="shared" si="2"/>
        <v>3373.3</v>
      </c>
      <c r="J9" s="148">
        <f t="shared" ref="J9:J14" si="4">E9+I9</f>
        <v>9748.6</v>
      </c>
    </row>
    <row r="10" spans="1:15" s="104" customFormat="1" ht="21" customHeight="1">
      <c r="A10" s="95">
        <v>44139</v>
      </c>
      <c r="B10" s="94">
        <v>4613115</v>
      </c>
      <c r="C10" s="90">
        <f t="shared" si="3"/>
        <v>1440</v>
      </c>
      <c r="D10" s="97"/>
      <c r="E10" s="149">
        <f t="shared" si="0"/>
        <v>5688</v>
      </c>
      <c r="F10" s="90">
        <v>3296478</v>
      </c>
      <c r="G10" s="90">
        <f t="shared" si="1"/>
        <v>866</v>
      </c>
      <c r="H10" s="150"/>
      <c r="I10" s="240">
        <f t="shared" si="2"/>
        <v>3420.7000000000003</v>
      </c>
      <c r="J10" s="148">
        <f t="shared" si="4"/>
        <v>9108.7000000000007</v>
      </c>
    </row>
    <row r="11" spans="1:15" s="104" customFormat="1" ht="21" customHeight="1">
      <c r="A11" s="95">
        <v>44140</v>
      </c>
      <c r="B11" s="94">
        <v>4614418</v>
      </c>
      <c r="C11" s="90">
        <f t="shared" si="3"/>
        <v>1303</v>
      </c>
      <c r="D11" s="97"/>
      <c r="E11" s="149">
        <f t="shared" si="0"/>
        <v>5146.8500000000004</v>
      </c>
      <c r="F11" s="90">
        <v>3297363</v>
      </c>
      <c r="G11" s="90">
        <f t="shared" si="1"/>
        <v>885</v>
      </c>
      <c r="H11" s="150"/>
      <c r="I11" s="240">
        <f t="shared" si="2"/>
        <v>3495.75</v>
      </c>
      <c r="J11" s="148">
        <f t="shared" si="4"/>
        <v>8642.6</v>
      </c>
    </row>
    <row r="12" spans="1:15" s="104" customFormat="1" ht="21" customHeight="1">
      <c r="A12" s="95">
        <v>44141</v>
      </c>
      <c r="B12" s="94">
        <v>4615737</v>
      </c>
      <c r="C12" s="90">
        <f t="shared" si="3"/>
        <v>1319</v>
      </c>
      <c r="D12" s="94"/>
      <c r="E12" s="149">
        <f t="shared" si="0"/>
        <v>5210.05</v>
      </c>
      <c r="F12" s="90">
        <v>3298187</v>
      </c>
      <c r="G12" s="90">
        <f t="shared" si="1"/>
        <v>824</v>
      </c>
      <c r="H12" s="150"/>
      <c r="I12" s="240">
        <f t="shared" si="2"/>
        <v>3254.8</v>
      </c>
      <c r="J12" s="148">
        <f t="shared" si="4"/>
        <v>8464.85</v>
      </c>
    </row>
    <row r="13" spans="1:15" s="159" customFormat="1" ht="21" customHeight="1">
      <c r="A13" s="95">
        <v>44142</v>
      </c>
      <c r="B13" s="94">
        <v>4617042</v>
      </c>
      <c r="C13" s="90">
        <f t="shared" si="3"/>
        <v>1305</v>
      </c>
      <c r="D13" s="90"/>
      <c r="E13" s="149">
        <f t="shared" si="0"/>
        <v>5154.75</v>
      </c>
      <c r="F13" s="90">
        <v>3299061</v>
      </c>
      <c r="G13" s="90">
        <f t="shared" si="1"/>
        <v>874</v>
      </c>
      <c r="H13" s="150"/>
      <c r="I13" s="240">
        <f t="shared" si="2"/>
        <v>3452.3</v>
      </c>
      <c r="J13" s="148">
        <f t="shared" si="4"/>
        <v>8607.0499999999993</v>
      </c>
    </row>
    <row r="14" spans="1:15" s="159" customFormat="1" ht="21" customHeight="1">
      <c r="A14" s="95">
        <v>44143</v>
      </c>
      <c r="B14" s="94">
        <v>4618327</v>
      </c>
      <c r="C14" s="90">
        <f t="shared" si="3"/>
        <v>1285</v>
      </c>
      <c r="D14" s="90"/>
      <c r="E14" s="149">
        <f t="shared" si="0"/>
        <v>5075.75</v>
      </c>
      <c r="F14" s="90">
        <v>3299920</v>
      </c>
      <c r="G14" s="90">
        <f>F14-F13</f>
        <v>859</v>
      </c>
      <c r="H14" s="150"/>
      <c r="I14" s="240">
        <f t="shared" si="2"/>
        <v>3393.05</v>
      </c>
      <c r="J14" s="148">
        <f t="shared" si="4"/>
        <v>8468.7999999999993</v>
      </c>
    </row>
    <row r="15" spans="1:15" s="159" customFormat="1" ht="21" customHeight="1">
      <c r="A15" s="95">
        <v>44144</v>
      </c>
      <c r="B15" s="94">
        <v>4619640</v>
      </c>
      <c r="C15" s="90">
        <f t="shared" si="3"/>
        <v>1313</v>
      </c>
      <c r="D15" s="90"/>
      <c r="E15" s="149">
        <f t="shared" si="0"/>
        <v>5186.3500000000004</v>
      </c>
      <c r="F15" s="90">
        <v>3300689</v>
      </c>
      <c r="G15" s="90">
        <f t="shared" si="1"/>
        <v>769</v>
      </c>
      <c r="H15" s="150"/>
      <c r="I15" s="240">
        <f t="shared" si="2"/>
        <v>3037.55</v>
      </c>
      <c r="J15" s="148">
        <f>E15+I15</f>
        <v>8223.9000000000015</v>
      </c>
    </row>
    <row r="16" spans="1:15" s="159" customFormat="1" ht="21" customHeight="1">
      <c r="A16" s="95">
        <v>44145</v>
      </c>
      <c r="B16" s="94">
        <v>4620933</v>
      </c>
      <c r="C16" s="90">
        <f t="shared" si="3"/>
        <v>1293</v>
      </c>
      <c r="D16" s="90"/>
      <c r="E16" s="149">
        <f t="shared" si="0"/>
        <v>5107.3500000000004</v>
      </c>
      <c r="F16" s="90">
        <v>3301479</v>
      </c>
      <c r="G16" s="90">
        <f t="shared" si="1"/>
        <v>790</v>
      </c>
      <c r="H16" s="150"/>
      <c r="I16" s="240">
        <f t="shared" si="2"/>
        <v>3120.5</v>
      </c>
      <c r="J16" s="148">
        <f>E16+I16</f>
        <v>8227.85</v>
      </c>
    </row>
    <row r="17" spans="1:13" s="159" customFormat="1" ht="21" customHeight="1">
      <c r="A17" s="95">
        <v>44146</v>
      </c>
      <c r="B17" s="94">
        <v>4622324</v>
      </c>
      <c r="C17" s="90">
        <f t="shared" si="3"/>
        <v>1391</v>
      </c>
      <c r="D17" s="90"/>
      <c r="E17" s="149">
        <f t="shared" si="0"/>
        <v>5494.45</v>
      </c>
      <c r="F17" s="90">
        <v>3302270</v>
      </c>
      <c r="G17" s="90">
        <f t="shared" si="1"/>
        <v>791</v>
      </c>
      <c r="H17" s="150"/>
      <c r="I17" s="240">
        <f t="shared" si="2"/>
        <v>3124.4500000000003</v>
      </c>
      <c r="J17" s="148">
        <f t="shared" ref="J17:J37" si="5">E17+I17</f>
        <v>8618.9</v>
      </c>
    </row>
    <row r="18" spans="1:13" s="159" customFormat="1" ht="21" customHeight="1">
      <c r="A18" s="95">
        <v>44147</v>
      </c>
      <c r="B18" s="94">
        <v>4623692</v>
      </c>
      <c r="C18" s="90">
        <f t="shared" si="3"/>
        <v>1368</v>
      </c>
      <c r="D18" s="90"/>
      <c r="E18" s="149">
        <f t="shared" si="0"/>
        <v>5403.6</v>
      </c>
      <c r="F18" s="90">
        <v>3303079</v>
      </c>
      <c r="G18" s="90">
        <f t="shared" si="1"/>
        <v>809</v>
      </c>
      <c r="H18" s="150"/>
      <c r="I18" s="240">
        <f t="shared" si="2"/>
        <v>3195.55</v>
      </c>
      <c r="J18" s="148">
        <f t="shared" si="5"/>
        <v>8599.1500000000015</v>
      </c>
    </row>
    <row r="19" spans="1:13" s="159" customFormat="1" ht="21" customHeight="1">
      <c r="A19" s="95">
        <v>44148</v>
      </c>
      <c r="B19" s="94">
        <v>4625120</v>
      </c>
      <c r="C19" s="90">
        <f t="shared" si="3"/>
        <v>1428</v>
      </c>
      <c r="D19" s="90"/>
      <c r="E19" s="149">
        <f t="shared" si="0"/>
        <v>5640.6</v>
      </c>
      <c r="F19" s="90">
        <v>3303924</v>
      </c>
      <c r="G19" s="90">
        <f t="shared" si="1"/>
        <v>845</v>
      </c>
      <c r="H19" s="150"/>
      <c r="I19" s="240">
        <f t="shared" si="2"/>
        <v>3337.75</v>
      </c>
      <c r="J19" s="148">
        <f t="shared" si="5"/>
        <v>8978.35</v>
      </c>
    </row>
    <row r="20" spans="1:13" s="159" customFormat="1" ht="21" customHeight="1">
      <c r="A20" s="95">
        <v>44149</v>
      </c>
      <c r="B20" s="94">
        <v>4626533</v>
      </c>
      <c r="C20" s="90">
        <f t="shared" si="3"/>
        <v>1413</v>
      </c>
      <c r="D20" s="90"/>
      <c r="E20" s="149">
        <f t="shared" si="0"/>
        <v>5581.35</v>
      </c>
      <c r="F20" s="90">
        <v>3304869</v>
      </c>
      <c r="G20" s="90">
        <f t="shared" si="1"/>
        <v>945</v>
      </c>
      <c r="H20" s="150"/>
      <c r="I20" s="240">
        <f t="shared" si="2"/>
        <v>3732.75</v>
      </c>
      <c r="J20" s="148">
        <f t="shared" si="5"/>
        <v>9314.1</v>
      </c>
    </row>
    <row r="21" spans="1:13" s="159" customFormat="1" ht="21" customHeight="1">
      <c r="A21" s="95">
        <v>44150</v>
      </c>
      <c r="B21" s="94">
        <v>4627971</v>
      </c>
      <c r="C21" s="90">
        <f t="shared" si="3"/>
        <v>1438</v>
      </c>
      <c r="D21" s="90"/>
      <c r="E21" s="149">
        <f t="shared" si="0"/>
        <v>5680.1</v>
      </c>
      <c r="F21" s="90">
        <v>3305790</v>
      </c>
      <c r="G21" s="90">
        <f t="shared" si="1"/>
        <v>921</v>
      </c>
      <c r="H21" s="150"/>
      <c r="I21" s="240">
        <f t="shared" si="2"/>
        <v>3637.9500000000003</v>
      </c>
      <c r="J21" s="148">
        <f t="shared" si="5"/>
        <v>9318.0500000000011</v>
      </c>
    </row>
    <row r="22" spans="1:13" s="159" customFormat="1" ht="21" customHeight="1">
      <c r="A22" s="95">
        <v>44151</v>
      </c>
      <c r="B22" s="94">
        <v>4629414</v>
      </c>
      <c r="C22" s="90">
        <f>B22-B21</f>
        <v>1443</v>
      </c>
      <c r="D22" s="90"/>
      <c r="E22" s="149">
        <f t="shared" si="0"/>
        <v>5699.85</v>
      </c>
      <c r="F22" s="90">
        <v>3306673</v>
      </c>
      <c r="G22" s="90">
        <f t="shared" si="1"/>
        <v>883</v>
      </c>
      <c r="H22" s="150"/>
      <c r="I22" s="240">
        <f t="shared" si="2"/>
        <v>3487.8500000000004</v>
      </c>
      <c r="J22" s="148">
        <f t="shared" si="5"/>
        <v>9187.7000000000007</v>
      </c>
    </row>
    <row r="23" spans="1:13" s="159" customFormat="1" ht="21" customHeight="1">
      <c r="A23" s="95">
        <v>44152</v>
      </c>
      <c r="B23" s="94">
        <v>4630928</v>
      </c>
      <c r="C23" s="90">
        <f t="shared" si="3"/>
        <v>1514</v>
      </c>
      <c r="D23" s="90"/>
      <c r="E23" s="149">
        <f t="shared" si="0"/>
        <v>5980.3</v>
      </c>
      <c r="F23" s="90">
        <v>3307528</v>
      </c>
      <c r="G23" s="90">
        <f>F23-F22</f>
        <v>855</v>
      </c>
      <c r="H23" s="150"/>
      <c r="I23" s="240">
        <f t="shared" si="2"/>
        <v>3377.25</v>
      </c>
      <c r="J23" s="148">
        <f t="shared" si="5"/>
        <v>9357.5499999999993</v>
      </c>
    </row>
    <row r="24" spans="1:13" s="159" customFormat="1" ht="21" customHeight="1">
      <c r="A24" s="95">
        <v>44153</v>
      </c>
      <c r="B24" s="94">
        <v>4632432</v>
      </c>
      <c r="C24" s="90">
        <f t="shared" si="3"/>
        <v>1504</v>
      </c>
      <c r="D24" s="94"/>
      <c r="E24" s="149">
        <f t="shared" si="0"/>
        <v>5940.8</v>
      </c>
      <c r="F24" s="90">
        <v>3308374</v>
      </c>
      <c r="G24" s="90">
        <f t="shared" si="1"/>
        <v>846</v>
      </c>
      <c r="H24" s="150"/>
      <c r="I24" s="240">
        <f t="shared" si="2"/>
        <v>3341.7000000000003</v>
      </c>
      <c r="J24" s="148">
        <f t="shared" si="5"/>
        <v>9282.5</v>
      </c>
    </row>
    <row r="25" spans="1:13" s="159" customFormat="1" ht="21" customHeight="1">
      <c r="A25" s="95">
        <v>44154</v>
      </c>
      <c r="B25" s="94">
        <v>4633901</v>
      </c>
      <c r="C25" s="90">
        <f t="shared" si="3"/>
        <v>1469</v>
      </c>
      <c r="D25" s="90"/>
      <c r="E25" s="149">
        <f t="shared" si="0"/>
        <v>5802.55</v>
      </c>
      <c r="F25" s="90">
        <v>3309198</v>
      </c>
      <c r="G25" s="90">
        <f t="shared" si="1"/>
        <v>824</v>
      </c>
      <c r="H25" s="150"/>
      <c r="I25" s="240">
        <f t="shared" si="2"/>
        <v>3254.8</v>
      </c>
      <c r="J25" s="148">
        <f t="shared" si="5"/>
        <v>9057.35</v>
      </c>
    </row>
    <row r="26" spans="1:13" s="159" customFormat="1" ht="21" customHeight="1">
      <c r="A26" s="95">
        <v>44155</v>
      </c>
      <c r="B26" s="94">
        <v>4635462</v>
      </c>
      <c r="C26" s="90">
        <f t="shared" si="3"/>
        <v>1561</v>
      </c>
      <c r="D26" s="90"/>
      <c r="E26" s="149">
        <f t="shared" si="0"/>
        <v>6165.9500000000007</v>
      </c>
      <c r="F26" s="90">
        <v>3309943</v>
      </c>
      <c r="G26" s="90">
        <f t="shared" si="1"/>
        <v>745</v>
      </c>
      <c r="H26" s="150"/>
      <c r="I26" s="240">
        <f t="shared" si="2"/>
        <v>2942.75</v>
      </c>
      <c r="J26" s="148">
        <f t="shared" si="5"/>
        <v>9108.7000000000007</v>
      </c>
      <c r="K26" s="238"/>
    </row>
    <row r="27" spans="1:13" s="159" customFormat="1" ht="21" customHeight="1">
      <c r="A27" s="95">
        <v>44156</v>
      </c>
      <c r="B27" s="94">
        <v>4636985</v>
      </c>
      <c r="C27" s="90">
        <f t="shared" si="3"/>
        <v>1523</v>
      </c>
      <c r="D27" s="90"/>
      <c r="E27" s="149">
        <f t="shared" si="0"/>
        <v>6015.85</v>
      </c>
      <c r="F27" s="90">
        <v>3310802</v>
      </c>
      <c r="G27" s="90">
        <f t="shared" si="1"/>
        <v>859</v>
      </c>
      <c r="H27" s="150"/>
      <c r="I27" s="240">
        <f t="shared" si="2"/>
        <v>3393.05</v>
      </c>
      <c r="J27" s="148">
        <f t="shared" si="5"/>
        <v>9408.9000000000015</v>
      </c>
    </row>
    <row r="28" spans="1:13" s="159" customFormat="1" ht="21" customHeight="1">
      <c r="A28" s="95">
        <v>44157</v>
      </c>
      <c r="B28" s="94">
        <v>4638448</v>
      </c>
      <c r="C28" s="90">
        <f t="shared" si="3"/>
        <v>1463</v>
      </c>
      <c r="D28" s="90"/>
      <c r="E28" s="149">
        <f t="shared" si="0"/>
        <v>5778.85</v>
      </c>
      <c r="F28" s="90">
        <v>3311735</v>
      </c>
      <c r="G28" s="90">
        <f t="shared" si="1"/>
        <v>933</v>
      </c>
      <c r="H28" s="150"/>
      <c r="I28" s="240">
        <f t="shared" si="2"/>
        <v>3685.3500000000004</v>
      </c>
      <c r="J28" s="148">
        <f t="shared" si="5"/>
        <v>9464.2000000000007</v>
      </c>
      <c r="K28" s="238"/>
      <c r="L28" s="238"/>
      <c r="M28" s="159" t="s">
        <v>33</v>
      </c>
    </row>
    <row r="29" spans="1:13" s="159" customFormat="1" ht="21" customHeight="1">
      <c r="A29" s="95">
        <v>44158</v>
      </c>
      <c r="B29" s="94">
        <v>4639862</v>
      </c>
      <c r="C29" s="90">
        <f t="shared" si="3"/>
        <v>1414</v>
      </c>
      <c r="D29" s="90"/>
      <c r="E29" s="149">
        <f t="shared" si="0"/>
        <v>5585.3</v>
      </c>
      <c r="F29" s="90">
        <v>3312570</v>
      </c>
      <c r="G29" s="90">
        <f t="shared" si="1"/>
        <v>835</v>
      </c>
      <c r="H29" s="150"/>
      <c r="I29" s="240">
        <f t="shared" si="2"/>
        <v>3298.25</v>
      </c>
      <c r="J29" s="148">
        <f t="shared" si="5"/>
        <v>8883.5499999999993</v>
      </c>
    </row>
    <row r="30" spans="1:13" s="159" customFormat="1" ht="21" customHeight="1">
      <c r="A30" s="95">
        <v>44159</v>
      </c>
      <c r="B30" s="94">
        <v>4641292</v>
      </c>
      <c r="C30" s="90">
        <f t="shared" si="3"/>
        <v>1430</v>
      </c>
      <c r="D30" s="90"/>
      <c r="E30" s="149">
        <f t="shared" si="0"/>
        <v>5648.5</v>
      </c>
      <c r="F30" s="90">
        <v>3313391</v>
      </c>
      <c r="G30" s="90">
        <f t="shared" si="1"/>
        <v>821</v>
      </c>
      <c r="H30" s="150"/>
      <c r="I30" s="240">
        <f t="shared" si="2"/>
        <v>3242.9500000000003</v>
      </c>
      <c r="J30" s="148">
        <f t="shared" si="5"/>
        <v>8891.4500000000007</v>
      </c>
    </row>
    <row r="31" spans="1:13" s="159" customFormat="1" ht="21" customHeight="1">
      <c r="A31" s="95">
        <v>44160</v>
      </c>
      <c r="B31" s="94">
        <v>4642715</v>
      </c>
      <c r="C31" s="90">
        <f t="shared" si="3"/>
        <v>1423</v>
      </c>
      <c r="D31" s="90"/>
      <c r="E31" s="149">
        <f t="shared" si="0"/>
        <v>5620.85</v>
      </c>
      <c r="F31" s="90">
        <v>3314299</v>
      </c>
      <c r="G31" s="90">
        <f t="shared" si="1"/>
        <v>908</v>
      </c>
      <c r="H31" s="150"/>
      <c r="I31" s="240">
        <f t="shared" si="2"/>
        <v>3586.6000000000004</v>
      </c>
      <c r="J31" s="148">
        <f t="shared" si="5"/>
        <v>9207.4500000000007</v>
      </c>
    </row>
    <row r="32" spans="1:13" s="159" customFormat="1" ht="21" customHeight="1">
      <c r="A32" s="95">
        <v>44161</v>
      </c>
      <c r="B32" s="94">
        <v>4644199</v>
      </c>
      <c r="C32" s="90">
        <f t="shared" si="3"/>
        <v>1484</v>
      </c>
      <c r="D32" s="90"/>
      <c r="E32" s="149">
        <f t="shared" si="0"/>
        <v>5861.8</v>
      </c>
      <c r="F32" s="90">
        <v>3315157</v>
      </c>
      <c r="G32" s="90">
        <f t="shared" si="1"/>
        <v>858</v>
      </c>
      <c r="H32" s="241"/>
      <c r="I32" s="240">
        <f t="shared" si="2"/>
        <v>3389.1000000000004</v>
      </c>
      <c r="J32" s="148">
        <f t="shared" si="5"/>
        <v>9250.9000000000015</v>
      </c>
    </row>
    <row r="33" spans="1:10" s="159" customFormat="1" ht="21" customHeight="1">
      <c r="A33" s="95">
        <v>44162</v>
      </c>
      <c r="B33" s="94">
        <v>4645685</v>
      </c>
      <c r="C33" s="90">
        <f t="shared" si="3"/>
        <v>1486</v>
      </c>
      <c r="D33" s="90"/>
      <c r="E33" s="149">
        <f t="shared" si="0"/>
        <v>5869.7</v>
      </c>
      <c r="F33" s="90">
        <v>3316045</v>
      </c>
      <c r="G33" s="90">
        <f t="shared" si="1"/>
        <v>888</v>
      </c>
      <c r="H33" s="241"/>
      <c r="I33" s="240">
        <f t="shared" si="2"/>
        <v>3507.6000000000004</v>
      </c>
      <c r="J33" s="148">
        <f t="shared" si="5"/>
        <v>9377.2999999999993</v>
      </c>
    </row>
    <row r="34" spans="1:10" s="159" customFormat="1" ht="21" customHeight="1">
      <c r="A34" s="95">
        <v>44163</v>
      </c>
      <c r="B34" s="94">
        <v>4647160</v>
      </c>
      <c r="C34" s="90">
        <f t="shared" si="3"/>
        <v>1475</v>
      </c>
      <c r="D34" s="90"/>
      <c r="E34" s="149">
        <f t="shared" si="0"/>
        <v>5826.25</v>
      </c>
      <c r="F34" s="90">
        <v>3316987</v>
      </c>
      <c r="G34" s="90">
        <f t="shared" si="1"/>
        <v>942</v>
      </c>
      <c r="H34" s="150"/>
      <c r="I34" s="240">
        <f t="shared" si="2"/>
        <v>3720.9</v>
      </c>
      <c r="J34" s="148">
        <f t="shared" si="5"/>
        <v>9547.15</v>
      </c>
    </row>
    <row r="35" spans="1:10" s="159" customFormat="1" ht="21" customHeight="1">
      <c r="A35" s="95">
        <v>44164</v>
      </c>
      <c r="B35" s="94">
        <v>4648700</v>
      </c>
      <c r="C35" s="90">
        <f t="shared" si="3"/>
        <v>1540</v>
      </c>
      <c r="D35" s="90"/>
      <c r="E35" s="149">
        <f t="shared" si="0"/>
        <v>6083</v>
      </c>
      <c r="F35" s="90">
        <v>3317913</v>
      </c>
      <c r="G35" s="90">
        <f t="shared" si="1"/>
        <v>926</v>
      </c>
      <c r="H35" s="150"/>
      <c r="I35" s="240">
        <f t="shared" si="2"/>
        <v>3657.7000000000003</v>
      </c>
      <c r="J35" s="148">
        <f t="shared" si="5"/>
        <v>9740.7000000000007</v>
      </c>
    </row>
    <row r="36" spans="1:10" s="159" customFormat="1" ht="21" customHeight="1">
      <c r="A36" s="95">
        <v>44165</v>
      </c>
      <c r="B36" s="94">
        <v>4650224</v>
      </c>
      <c r="C36" s="90">
        <f t="shared" si="3"/>
        <v>1524</v>
      </c>
      <c r="D36" s="90"/>
      <c r="E36" s="149">
        <f t="shared" si="0"/>
        <v>6019.8</v>
      </c>
      <c r="F36" s="90">
        <v>3318810</v>
      </c>
      <c r="G36" s="90">
        <f t="shared" si="1"/>
        <v>897</v>
      </c>
      <c r="H36" s="150"/>
      <c r="I36" s="240">
        <f t="shared" si="2"/>
        <v>3543.15</v>
      </c>
      <c r="J36" s="148">
        <f t="shared" si="5"/>
        <v>9562.9500000000007</v>
      </c>
    </row>
    <row r="37" spans="1:10" s="159" customFormat="1" ht="21" customHeight="1">
      <c r="A37" s="95"/>
      <c r="B37" s="94"/>
      <c r="C37" s="90">
        <f>B37-B36</f>
        <v>-4650224</v>
      </c>
      <c r="D37" s="90"/>
      <c r="E37" s="149">
        <f>C37*4.17</f>
        <v>-19391434.079999998</v>
      </c>
      <c r="F37" s="90"/>
      <c r="G37" s="90">
        <f>F37-F36</f>
        <v>-3318810</v>
      </c>
      <c r="H37" s="150"/>
      <c r="I37" s="240">
        <f>G37*4.17</f>
        <v>-13839437.699999999</v>
      </c>
      <c r="J37" s="148">
        <f t="shared" si="5"/>
        <v>-33230871.779999997</v>
      </c>
    </row>
    <row r="38" spans="1:10" s="239" customFormat="1" ht="21.75" customHeight="1">
      <c r="A38" s="242" t="s">
        <v>125</v>
      </c>
      <c r="B38" s="226"/>
      <c r="C38" s="227">
        <f>SUM(C7:C36)</f>
        <v>43003</v>
      </c>
      <c r="D38" s="229"/>
      <c r="E38" s="106">
        <f>SUM(E7:E36)</f>
        <v>169861.85000000003</v>
      </c>
      <c r="F38" s="229"/>
      <c r="G38" s="227">
        <f>SUM(G7:G36)</f>
        <v>25748</v>
      </c>
      <c r="H38" s="229"/>
      <c r="I38" s="243" t="e">
        <f>SUM(I6:I36)</f>
        <v>#VALUE!</v>
      </c>
      <c r="J38" s="244" t="e">
        <f>SUM(J6:J36)</f>
        <v>#VALUE!</v>
      </c>
    </row>
  </sheetData>
  <mergeCells count="7">
    <mergeCell ref="A4:A5"/>
    <mergeCell ref="E4:E5"/>
    <mergeCell ref="J4:J5"/>
    <mergeCell ref="I4:I5"/>
    <mergeCell ref="B4:D4"/>
    <mergeCell ref="F4:H4"/>
    <mergeCell ref="B3:I3"/>
  </mergeCells>
  <phoneticPr fontId="7" type="noConversion"/>
  <pageMargins left="0.31496062992125984" right="0.27559055118110237" top="0.31496062992125984" bottom="0.19685039370078741" header="0.11811023622047245" footer="0.11811023622047245"/>
  <pageSetup paperSize="9" scale="67"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8"/>
  <sheetViews>
    <sheetView workbookViewId="0">
      <pane xSplit="4" ySplit="16" topLeftCell="E36" activePane="bottomRight" state="frozen"/>
      <selection activeCell="C21" activeCellId="31" sqref="C9 D17 D17 C16 C16 D19 I13 I19 C18 B18 C17 C19 G19 I18 N18 O18 P18:P19 O20 D18 B17 B16 C15 E16 D19 D20 C18 D18 C21 B19 B20 C21 C21"/>
      <selection pane="topRight" activeCell="C21" activeCellId="31" sqref="C9 D17 D17 C16 C16 D19 I13 I19 C18 B18 C17 C19 G19 I18 N18 O18 P18:P19 O20 D18 B17 B16 C15 E16 D19 D20 C18 D18 C21 B19 B20 C21 C21"/>
      <selection pane="bottomLeft" activeCell="C21" activeCellId="31" sqref="C9 D17 D17 C16 C16 D19 I13 I19 C18 B18 C17 C19 G19 I18 N18 O18 P18:P19 O20 D18 B17 B16 C15 E16 D19 D20 C18 D18 C21 B19 B20 C21 C21"/>
      <selection pane="bottomRight" activeCell="F12" sqref="F12"/>
    </sheetView>
  </sheetViews>
  <sheetFormatPr defaultRowHeight="14.25"/>
  <cols>
    <col min="1" max="1" width="16.625" style="69" customWidth="1"/>
    <col min="2" max="4" width="15.625" style="69" customWidth="1"/>
    <col min="5" max="5" width="17.375" style="69" customWidth="1"/>
    <col min="6" max="16384" width="9" style="69"/>
  </cols>
  <sheetData>
    <row r="1" spans="1:6" ht="54.75" customHeight="1">
      <c r="A1" s="86" t="s">
        <v>34</v>
      </c>
      <c r="C1" s="87"/>
      <c r="D1" s="88"/>
    </row>
    <row r="2" spans="1:6" ht="21" customHeight="1">
      <c r="A2" s="70">
        <v>44136</v>
      </c>
      <c r="B2" s="89"/>
      <c r="C2" s="73" t="s">
        <v>26</v>
      </c>
      <c r="D2" s="74">
        <v>3.46</v>
      </c>
    </row>
    <row r="3" spans="1:6" ht="14.25" customHeight="1">
      <c r="A3" s="94"/>
      <c r="B3" s="324"/>
      <c r="C3" s="324"/>
      <c r="D3" s="324"/>
    </row>
    <row r="4" spans="1:6" ht="14.25" customHeight="1">
      <c r="A4" s="325" t="s">
        <v>120</v>
      </c>
      <c r="B4" s="94" t="s">
        <v>16</v>
      </c>
      <c r="C4" s="326" t="s">
        <v>121</v>
      </c>
      <c r="D4" s="327" t="s">
        <v>2</v>
      </c>
    </row>
    <row r="5" spans="1:6">
      <c r="A5" s="325"/>
      <c r="B5" s="94" t="s">
        <v>19</v>
      </c>
      <c r="C5" s="326"/>
      <c r="D5" s="328"/>
    </row>
    <row r="6" spans="1:6" s="76" customFormat="1" ht="21" customHeight="1">
      <c r="A6" s="95">
        <v>44135</v>
      </c>
      <c r="B6" s="90">
        <v>1700865</v>
      </c>
      <c r="C6" s="96" t="e">
        <f>(B6-B5)</f>
        <v>#VALUE!</v>
      </c>
      <c r="D6" s="94" t="e">
        <f>C6*3.46</f>
        <v>#VALUE!</v>
      </c>
    </row>
    <row r="7" spans="1:6" ht="21" customHeight="1">
      <c r="A7" s="95">
        <v>44136</v>
      </c>
      <c r="B7" s="90">
        <v>1701040</v>
      </c>
      <c r="C7" s="96">
        <f t="shared" ref="C7:C37" si="0">(B7-B6)</f>
        <v>175</v>
      </c>
      <c r="D7" s="94">
        <f t="shared" ref="D7:D36" si="1">C7*3.46</f>
        <v>605.5</v>
      </c>
    </row>
    <row r="8" spans="1:6" s="77" customFormat="1" ht="21" customHeight="1">
      <c r="A8" s="95">
        <v>44137</v>
      </c>
      <c r="B8" s="90">
        <v>1701200</v>
      </c>
      <c r="C8" s="96">
        <f t="shared" si="0"/>
        <v>160</v>
      </c>
      <c r="D8" s="94">
        <f t="shared" si="1"/>
        <v>553.6</v>
      </c>
      <c r="F8" s="91"/>
    </row>
    <row r="9" spans="1:6" ht="21" customHeight="1">
      <c r="A9" s="95">
        <v>44138</v>
      </c>
      <c r="B9" s="90">
        <v>1701398</v>
      </c>
      <c r="C9" s="96">
        <f t="shared" si="0"/>
        <v>198</v>
      </c>
      <c r="D9" s="94">
        <f t="shared" si="1"/>
        <v>685.08</v>
      </c>
    </row>
    <row r="10" spans="1:6" ht="21" customHeight="1">
      <c r="A10" s="95">
        <v>44139</v>
      </c>
      <c r="B10" s="90">
        <v>1701597</v>
      </c>
      <c r="C10" s="96">
        <f t="shared" si="0"/>
        <v>199</v>
      </c>
      <c r="D10" s="94">
        <f t="shared" si="1"/>
        <v>688.54</v>
      </c>
    </row>
    <row r="11" spans="1:6" ht="21" customHeight="1">
      <c r="A11" s="95">
        <v>44140</v>
      </c>
      <c r="B11" s="90">
        <v>1701808</v>
      </c>
      <c r="C11" s="96">
        <f t="shared" si="0"/>
        <v>211</v>
      </c>
      <c r="D11" s="94">
        <f t="shared" si="1"/>
        <v>730.06</v>
      </c>
    </row>
    <row r="12" spans="1:6" ht="21" customHeight="1">
      <c r="A12" s="95">
        <v>44141</v>
      </c>
      <c r="B12" s="90">
        <v>1702010</v>
      </c>
      <c r="C12" s="96">
        <f t="shared" si="0"/>
        <v>202</v>
      </c>
      <c r="D12" s="94">
        <f t="shared" si="1"/>
        <v>698.92</v>
      </c>
    </row>
    <row r="13" spans="1:6" s="76" customFormat="1" ht="21" customHeight="1">
      <c r="A13" s="95">
        <v>44142</v>
      </c>
      <c r="B13" s="90">
        <v>1702230</v>
      </c>
      <c r="C13" s="96">
        <f t="shared" si="0"/>
        <v>220</v>
      </c>
      <c r="D13" s="94">
        <f t="shared" si="1"/>
        <v>761.2</v>
      </c>
    </row>
    <row r="14" spans="1:6" s="76" customFormat="1" ht="21" customHeight="1">
      <c r="A14" s="95">
        <v>44143</v>
      </c>
      <c r="B14" s="90">
        <v>1702440</v>
      </c>
      <c r="C14" s="96">
        <f t="shared" si="0"/>
        <v>210</v>
      </c>
      <c r="D14" s="94">
        <f t="shared" si="1"/>
        <v>726.6</v>
      </c>
    </row>
    <row r="15" spans="1:6" s="76" customFormat="1" ht="21" customHeight="1">
      <c r="A15" s="95">
        <v>44144</v>
      </c>
      <c r="B15" s="90">
        <v>1702630</v>
      </c>
      <c r="C15" s="96">
        <f t="shared" si="0"/>
        <v>190</v>
      </c>
      <c r="D15" s="94">
        <f t="shared" si="1"/>
        <v>657.4</v>
      </c>
    </row>
    <row r="16" spans="1:6" s="76" customFormat="1" ht="21" customHeight="1">
      <c r="A16" s="95">
        <v>44145</v>
      </c>
      <c r="B16" s="90">
        <v>1702800</v>
      </c>
      <c r="C16" s="96">
        <f t="shared" si="0"/>
        <v>170</v>
      </c>
      <c r="D16" s="94">
        <f t="shared" si="1"/>
        <v>588.20000000000005</v>
      </c>
    </row>
    <row r="17" spans="1:4" s="76" customFormat="1" ht="21" customHeight="1">
      <c r="A17" s="95">
        <v>44146</v>
      </c>
      <c r="B17" s="90">
        <v>1702970</v>
      </c>
      <c r="C17" s="96">
        <f t="shared" si="0"/>
        <v>170</v>
      </c>
      <c r="D17" s="94">
        <f t="shared" si="1"/>
        <v>588.20000000000005</v>
      </c>
    </row>
    <row r="18" spans="1:4" s="76" customFormat="1" ht="21" customHeight="1">
      <c r="A18" s="95">
        <v>44147</v>
      </c>
      <c r="B18" s="90">
        <v>1703161</v>
      </c>
      <c r="C18" s="96">
        <f t="shared" si="0"/>
        <v>191</v>
      </c>
      <c r="D18" s="94">
        <f t="shared" si="1"/>
        <v>660.86</v>
      </c>
    </row>
    <row r="19" spans="1:4" s="76" customFormat="1" ht="21" customHeight="1">
      <c r="A19" s="95">
        <v>44148</v>
      </c>
      <c r="B19" s="90">
        <v>1703355</v>
      </c>
      <c r="C19" s="96">
        <f t="shared" si="0"/>
        <v>194</v>
      </c>
      <c r="D19" s="94">
        <f t="shared" si="1"/>
        <v>671.24</v>
      </c>
    </row>
    <row r="20" spans="1:4" s="76" customFormat="1" ht="21" customHeight="1">
      <c r="A20" s="95">
        <v>44149</v>
      </c>
      <c r="B20" s="90">
        <v>1703585</v>
      </c>
      <c r="C20" s="96">
        <f>(B20-B19)</f>
        <v>230</v>
      </c>
      <c r="D20" s="94">
        <f t="shared" si="1"/>
        <v>795.8</v>
      </c>
    </row>
    <row r="21" spans="1:4" s="76" customFormat="1" ht="21" customHeight="1">
      <c r="A21" s="95">
        <v>44150</v>
      </c>
      <c r="B21" s="90">
        <v>1703792</v>
      </c>
      <c r="C21" s="96">
        <f>(B21-B20)</f>
        <v>207</v>
      </c>
      <c r="D21" s="94">
        <f t="shared" si="1"/>
        <v>716.22</v>
      </c>
    </row>
    <row r="22" spans="1:4" s="76" customFormat="1" ht="21" customHeight="1">
      <c r="A22" s="95">
        <v>44151</v>
      </c>
      <c r="B22" s="90">
        <v>1703965</v>
      </c>
      <c r="C22" s="96">
        <f>(B22-B21)</f>
        <v>173</v>
      </c>
      <c r="D22" s="94">
        <f t="shared" si="1"/>
        <v>598.58000000000004</v>
      </c>
    </row>
    <row r="23" spans="1:4" s="76" customFormat="1" ht="21" customHeight="1">
      <c r="A23" s="95">
        <v>44152</v>
      </c>
      <c r="B23" s="90">
        <v>1704145</v>
      </c>
      <c r="C23" s="96">
        <f>(B23-B22)</f>
        <v>180</v>
      </c>
      <c r="D23" s="94">
        <f t="shared" si="1"/>
        <v>622.79999999999995</v>
      </c>
    </row>
    <row r="24" spans="1:4" s="76" customFormat="1" ht="21" customHeight="1">
      <c r="A24" s="95">
        <v>44153</v>
      </c>
      <c r="B24" s="90">
        <v>1704303</v>
      </c>
      <c r="C24" s="96">
        <f t="shared" si="0"/>
        <v>158</v>
      </c>
      <c r="D24" s="94">
        <f t="shared" si="1"/>
        <v>546.67999999999995</v>
      </c>
    </row>
    <row r="25" spans="1:4" s="76" customFormat="1" ht="21" customHeight="1">
      <c r="A25" s="95">
        <v>44154</v>
      </c>
      <c r="B25" s="90">
        <v>1704480</v>
      </c>
      <c r="C25" s="96">
        <f t="shared" si="0"/>
        <v>177</v>
      </c>
      <c r="D25" s="94">
        <f t="shared" si="1"/>
        <v>612.41999999999996</v>
      </c>
    </row>
    <row r="26" spans="1:4" s="76" customFormat="1" ht="21" customHeight="1">
      <c r="A26" s="95">
        <v>44155</v>
      </c>
      <c r="B26" s="90">
        <v>1704682</v>
      </c>
      <c r="C26" s="96">
        <f t="shared" si="0"/>
        <v>202</v>
      </c>
      <c r="D26" s="94">
        <f t="shared" si="1"/>
        <v>698.92</v>
      </c>
    </row>
    <row r="27" spans="1:4" s="76" customFormat="1" ht="21" customHeight="1">
      <c r="A27" s="95">
        <v>44156</v>
      </c>
      <c r="B27" s="90">
        <v>1704861</v>
      </c>
      <c r="C27" s="96">
        <f t="shared" si="0"/>
        <v>179</v>
      </c>
      <c r="D27" s="94">
        <f t="shared" si="1"/>
        <v>619.34</v>
      </c>
    </row>
    <row r="28" spans="1:4" s="76" customFormat="1" ht="21" customHeight="1">
      <c r="A28" s="95">
        <v>44157</v>
      </c>
      <c r="B28" s="90">
        <v>1705079</v>
      </c>
      <c r="C28" s="96">
        <f t="shared" si="0"/>
        <v>218</v>
      </c>
      <c r="D28" s="94">
        <f t="shared" si="1"/>
        <v>754.28</v>
      </c>
    </row>
    <row r="29" spans="1:4" s="76" customFormat="1" ht="21" customHeight="1">
      <c r="A29" s="95">
        <v>44158</v>
      </c>
      <c r="B29" s="90">
        <v>1705281</v>
      </c>
      <c r="C29" s="96">
        <f t="shared" si="0"/>
        <v>202</v>
      </c>
      <c r="D29" s="94">
        <f t="shared" si="1"/>
        <v>698.92</v>
      </c>
    </row>
    <row r="30" spans="1:4" s="76" customFormat="1" ht="21" customHeight="1">
      <c r="A30" s="95">
        <v>44159</v>
      </c>
      <c r="B30" s="90">
        <v>1705462</v>
      </c>
      <c r="C30" s="96">
        <f t="shared" si="0"/>
        <v>181</v>
      </c>
      <c r="D30" s="94">
        <f t="shared" si="1"/>
        <v>626.26</v>
      </c>
    </row>
    <row r="31" spans="1:4" s="76" customFormat="1" ht="21" customHeight="1">
      <c r="A31" s="95">
        <v>44160</v>
      </c>
      <c r="B31" s="90">
        <v>1705673</v>
      </c>
      <c r="C31" s="96">
        <f t="shared" si="0"/>
        <v>211</v>
      </c>
      <c r="D31" s="94">
        <f t="shared" si="1"/>
        <v>730.06</v>
      </c>
    </row>
    <row r="32" spans="1:4" s="76" customFormat="1" ht="21" customHeight="1">
      <c r="A32" s="95">
        <v>44161</v>
      </c>
      <c r="B32" s="90">
        <v>1705842</v>
      </c>
      <c r="C32" s="96">
        <f>(B32-B31)</f>
        <v>169</v>
      </c>
      <c r="D32" s="94">
        <f t="shared" si="1"/>
        <v>584.74</v>
      </c>
    </row>
    <row r="33" spans="1:4" s="76" customFormat="1" ht="21" customHeight="1">
      <c r="A33" s="95">
        <v>44162</v>
      </c>
      <c r="B33" s="90">
        <v>1706050</v>
      </c>
      <c r="C33" s="96">
        <f t="shared" si="0"/>
        <v>208</v>
      </c>
      <c r="D33" s="94">
        <f t="shared" si="1"/>
        <v>719.68</v>
      </c>
    </row>
    <row r="34" spans="1:4" s="76" customFormat="1" ht="21" customHeight="1">
      <c r="A34" s="95">
        <v>44163</v>
      </c>
      <c r="B34" s="90">
        <v>1706231</v>
      </c>
      <c r="C34" s="96">
        <f t="shared" si="0"/>
        <v>181</v>
      </c>
      <c r="D34" s="94">
        <f t="shared" si="1"/>
        <v>626.26</v>
      </c>
    </row>
    <row r="35" spans="1:4" s="76" customFormat="1" ht="21" customHeight="1">
      <c r="A35" s="95">
        <v>44164</v>
      </c>
      <c r="B35" s="90">
        <v>1706360</v>
      </c>
      <c r="C35" s="96">
        <f t="shared" si="0"/>
        <v>129</v>
      </c>
      <c r="D35" s="94">
        <f t="shared" si="1"/>
        <v>446.34</v>
      </c>
    </row>
    <row r="36" spans="1:4" s="76" customFormat="1" ht="21" customHeight="1">
      <c r="A36" s="95">
        <v>44165</v>
      </c>
      <c r="B36" s="90">
        <v>1706520</v>
      </c>
      <c r="C36" s="96">
        <f t="shared" si="0"/>
        <v>160</v>
      </c>
      <c r="D36" s="94">
        <f t="shared" si="1"/>
        <v>553.6</v>
      </c>
    </row>
    <row r="37" spans="1:4" s="76" customFormat="1" ht="21" customHeight="1">
      <c r="A37" s="95"/>
      <c r="B37" s="90"/>
      <c r="C37" s="96">
        <f t="shared" si="0"/>
        <v>-1706520</v>
      </c>
      <c r="D37" s="94">
        <f>C37*3.6951</f>
        <v>-6305762.0520000001</v>
      </c>
    </row>
    <row r="38" spans="1:4" s="81" customFormat="1" ht="18.75" customHeight="1">
      <c r="A38" s="79" t="s">
        <v>0</v>
      </c>
      <c r="B38" s="92"/>
      <c r="C38" s="93">
        <f>SUM(C7:C36)</f>
        <v>5655</v>
      </c>
      <c r="D38" s="93" t="e">
        <f>SUM(D6:D36)</f>
        <v>#VALUE!</v>
      </c>
    </row>
  </sheetData>
  <mergeCells count="4">
    <mergeCell ref="B3:D3"/>
    <mergeCell ref="A4:A5"/>
    <mergeCell ref="C4:C5"/>
    <mergeCell ref="D4:D5"/>
  </mergeCells>
  <phoneticPr fontId="2" type="noConversion"/>
  <pageMargins left="0.31496062992125984" right="0.27559055118110237" top="0.31496062992125984" bottom="0.19685039370078741" header="0.11811023622047245" footer="0.11811023622047245"/>
  <pageSetup paperSize="9" scale="90" orientation="portrait" horizontalDpi="180" verticalDpi="18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46"/>
  <sheetViews>
    <sheetView zoomScale="90" zoomScaleNormal="90" workbookViewId="0">
      <pane xSplit="1" ySplit="16" topLeftCell="B33" activePane="bottomRight" state="frozen"/>
      <selection activeCell="N18" activeCellId="1" sqref="R21 N18"/>
      <selection pane="topRight" activeCell="N18" activeCellId="1" sqref="R21 N18"/>
      <selection pane="bottomLeft" activeCell="N18" activeCellId="1" sqref="R21 N18"/>
      <selection pane="bottomRight" activeCell="J6" sqref="J6"/>
    </sheetView>
  </sheetViews>
  <sheetFormatPr defaultRowHeight="14.25"/>
  <cols>
    <col min="1" max="1" width="16.625" style="69" customWidth="1"/>
    <col min="2" max="3" width="12.625" style="69" customWidth="1"/>
    <col min="4" max="5" width="15.625" style="69" customWidth="1"/>
    <col min="6" max="7" width="12.625" style="69" customWidth="1"/>
    <col min="8" max="8" width="10.625" style="69" customWidth="1"/>
    <col min="9" max="11" width="12.625" style="69" customWidth="1"/>
    <col min="12" max="16384" width="9" style="69"/>
  </cols>
  <sheetData>
    <row r="1" spans="1:49" ht="30.75" customHeight="1">
      <c r="A1" s="98" t="s">
        <v>35</v>
      </c>
    </row>
    <row r="2" spans="1:49" ht="21" customHeight="1">
      <c r="A2" s="70">
        <v>44136</v>
      </c>
    </row>
    <row r="3" spans="1:49" ht="14.25" customHeight="1">
      <c r="A3" s="84"/>
      <c r="B3" s="335"/>
      <c r="C3" s="335"/>
      <c r="D3" s="335"/>
      <c r="E3" s="335"/>
      <c r="F3" s="335"/>
      <c r="G3" s="335"/>
      <c r="H3" s="335"/>
      <c r="I3" s="335"/>
      <c r="J3" s="335"/>
      <c r="K3" s="335"/>
    </row>
    <row r="4" spans="1:49" ht="14.25" customHeight="1">
      <c r="A4" s="307" t="s">
        <v>1</v>
      </c>
      <c r="B4" s="330" t="s">
        <v>7</v>
      </c>
      <c r="C4" s="331"/>
      <c r="D4" s="331"/>
      <c r="E4" s="331"/>
      <c r="F4" s="331"/>
      <c r="G4" s="331"/>
      <c r="H4" s="331"/>
      <c r="I4" s="331"/>
      <c r="J4" s="332"/>
      <c r="K4" s="333" t="s">
        <v>32</v>
      </c>
    </row>
    <row r="5" spans="1:49" s="122" customFormat="1" ht="24" customHeight="1">
      <c r="A5" s="329"/>
      <c r="B5" s="250" t="s">
        <v>177</v>
      </c>
      <c r="C5" s="250" t="s">
        <v>178</v>
      </c>
      <c r="D5" s="142" t="s">
        <v>127</v>
      </c>
      <c r="E5" s="142" t="s">
        <v>173</v>
      </c>
      <c r="F5" s="182" t="s">
        <v>174</v>
      </c>
      <c r="G5" s="182" t="s">
        <v>175</v>
      </c>
      <c r="H5" s="182" t="s">
        <v>176</v>
      </c>
      <c r="I5" s="142" t="s">
        <v>172</v>
      </c>
      <c r="J5" s="142" t="s">
        <v>173</v>
      </c>
      <c r="K5" s="334"/>
      <c r="L5" s="249"/>
      <c r="M5" s="249"/>
      <c r="N5" s="249"/>
      <c r="O5" s="249"/>
      <c r="P5" s="249"/>
      <c r="Q5" s="249"/>
      <c r="R5" s="249"/>
      <c r="S5" s="249"/>
      <c r="T5" s="249"/>
      <c r="U5" s="249"/>
      <c r="V5" s="249"/>
      <c r="W5" s="249"/>
      <c r="X5" s="249"/>
      <c r="Y5" s="249"/>
      <c r="Z5" s="249"/>
      <c r="AA5" s="249"/>
      <c r="AB5" s="249"/>
      <c r="AC5" s="249"/>
      <c r="AD5" s="249"/>
      <c r="AE5" s="249"/>
      <c r="AF5" s="249"/>
      <c r="AG5" s="249"/>
      <c r="AH5" s="249"/>
      <c r="AI5" s="249"/>
      <c r="AJ5" s="249"/>
      <c r="AK5" s="249"/>
      <c r="AL5" s="249"/>
      <c r="AM5" s="249"/>
      <c r="AN5" s="249"/>
      <c r="AO5" s="249"/>
      <c r="AP5" s="249"/>
      <c r="AQ5" s="249"/>
      <c r="AR5" s="249"/>
      <c r="AS5" s="249"/>
      <c r="AT5" s="249"/>
      <c r="AU5" s="249"/>
      <c r="AV5" s="249"/>
      <c r="AW5" s="249"/>
    </row>
    <row r="6" spans="1:49" s="76" customFormat="1" ht="21" customHeight="1">
      <c r="A6" s="95">
        <v>44135</v>
      </c>
      <c r="B6" s="126">
        <v>388272</v>
      </c>
      <c r="C6" s="126">
        <v>13613</v>
      </c>
      <c r="D6" s="147" t="e">
        <f>(B6-B5)</f>
        <v>#VALUE!</v>
      </c>
      <c r="E6" s="146" t="e">
        <f>D6*3.95</f>
        <v>#VALUE!</v>
      </c>
      <c r="F6" s="142">
        <v>688099</v>
      </c>
      <c r="G6" s="142">
        <v>261293</v>
      </c>
      <c r="H6" s="142">
        <v>120</v>
      </c>
      <c r="I6" s="146" t="e">
        <f>SUM(F6-F5+G6-G5+H6)</f>
        <v>#VALUE!</v>
      </c>
      <c r="J6" s="126" t="e">
        <f>I6*0.675169</f>
        <v>#VALUE!</v>
      </c>
      <c r="K6" s="132" t="e">
        <f>E6+J6</f>
        <v>#VALUE!</v>
      </c>
    </row>
    <row r="7" spans="1:49" s="135" customFormat="1" ht="21" customHeight="1">
      <c r="A7" s="95">
        <v>44136</v>
      </c>
      <c r="B7" s="126">
        <v>388423</v>
      </c>
      <c r="C7" s="126">
        <v>13462</v>
      </c>
      <c r="D7" s="126">
        <f>(B7-B6)</f>
        <v>151</v>
      </c>
      <c r="E7" s="146">
        <f t="shared" ref="E7:E36" si="0">D7*3.95</f>
        <v>596.45000000000005</v>
      </c>
      <c r="F7" s="142">
        <v>688494</v>
      </c>
      <c r="G7" s="142">
        <v>261376</v>
      </c>
      <c r="H7" s="142">
        <v>120</v>
      </c>
      <c r="I7" s="146">
        <f>SUM(F7-F6+G7-G6+H7)</f>
        <v>598</v>
      </c>
      <c r="J7" s="126">
        <f>I7*0.675169</f>
        <v>403.75106199999999</v>
      </c>
      <c r="K7" s="132">
        <f>E7+J7</f>
        <v>1000.2010620000001</v>
      </c>
    </row>
    <row r="8" spans="1:49" s="77" customFormat="1" ht="21" customHeight="1">
      <c r="A8" s="95">
        <v>44137</v>
      </c>
      <c r="B8" s="126">
        <v>388593</v>
      </c>
      <c r="C8" s="126">
        <v>13293</v>
      </c>
      <c r="D8" s="147">
        <f t="shared" ref="D8:D17" si="1">(B8-B7)</f>
        <v>170</v>
      </c>
      <c r="E8" s="146">
        <f t="shared" si="0"/>
        <v>671.5</v>
      </c>
      <c r="F8" s="142">
        <v>688903</v>
      </c>
      <c r="G8" s="142">
        <v>261461</v>
      </c>
      <c r="H8" s="142">
        <v>120</v>
      </c>
      <c r="I8" s="146">
        <f t="shared" ref="I8:I36" si="2">SUM(F8-F7+G8-G7+H8)</f>
        <v>614</v>
      </c>
      <c r="J8" s="126">
        <f t="shared" ref="J8:J36" si="3">I8*0.675169</f>
        <v>414.553766</v>
      </c>
      <c r="K8" s="132">
        <f>E8+J8</f>
        <v>1086.053766</v>
      </c>
    </row>
    <row r="9" spans="1:49" ht="21" customHeight="1">
      <c r="A9" s="95">
        <v>44138</v>
      </c>
      <c r="B9" s="126">
        <v>388744</v>
      </c>
      <c r="C9" s="126">
        <v>13142</v>
      </c>
      <c r="D9" s="147">
        <f t="shared" si="1"/>
        <v>151</v>
      </c>
      <c r="E9" s="146">
        <f t="shared" si="0"/>
        <v>596.45000000000005</v>
      </c>
      <c r="F9" s="142">
        <v>689305</v>
      </c>
      <c r="G9" s="142">
        <v>261532</v>
      </c>
      <c r="H9" s="142">
        <v>120</v>
      </c>
      <c r="I9" s="146">
        <f t="shared" si="2"/>
        <v>593</v>
      </c>
      <c r="J9" s="126">
        <f t="shared" si="3"/>
        <v>400.37521700000002</v>
      </c>
      <c r="K9" s="132">
        <f t="shared" ref="K9:K37" si="4">E9+J9</f>
        <v>996.82521700000007</v>
      </c>
    </row>
    <row r="10" spans="1:49" ht="21" customHeight="1">
      <c r="A10" s="95">
        <v>44139</v>
      </c>
      <c r="B10" s="126">
        <v>388925</v>
      </c>
      <c r="C10" s="126">
        <v>12960</v>
      </c>
      <c r="D10" s="147">
        <f t="shared" si="1"/>
        <v>181</v>
      </c>
      <c r="E10" s="146">
        <f t="shared" si="0"/>
        <v>714.95</v>
      </c>
      <c r="F10" s="142">
        <v>689726</v>
      </c>
      <c r="G10" s="142">
        <v>261613</v>
      </c>
      <c r="H10" s="142">
        <v>120</v>
      </c>
      <c r="I10" s="146">
        <f t="shared" si="2"/>
        <v>622</v>
      </c>
      <c r="J10" s="126">
        <f t="shared" si="3"/>
        <v>419.95511800000003</v>
      </c>
      <c r="K10" s="132">
        <f t="shared" si="4"/>
        <v>1134.9051180000001</v>
      </c>
    </row>
    <row r="11" spans="1:49" ht="21" customHeight="1">
      <c r="A11" s="95">
        <v>44140</v>
      </c>
      <c r="B11" s="126">
        <v>389116</v>
      </c>
      <c r="C11" s="126">
        <v>12769</v>
      </c>
      <c r="D11" s="147">
        <f t="shared" si="1"/>
        <v>191</v>
      </c>
      <c r="E11" s="146">
        <f t="shared" si="0"/>
        <v>754.45</v>
      </c>
      <c r="F11" s="142">
        <v>690133</v>
      </c>
      <c r="G11" s="142">
        <v>261697</v>
      </c>
      <c r="H11" s="142">
        <v>120</v>
      </c>
      <c r="I11" s="146">
        <f t="shared" si="2"/>
        <v>611</v>
      </c>
      <c r="J11" s="126">
        <f t="shared" si="3"/>
        <v>412.52825899999999</v>
      </c>
      <c r="K11" s="132">
        <f t="shared" si="4"/>
        <v>1166.978259</v>
      </c>
    </row>
    <row r="12" spans="1:49" ht="21" customHeight="1">
      <c r="A12" s="95">
        <v>44141</v>
      </c>
      <c r="B12" s="126">
        <f>厨房燃气!AA12</f>
        <v>389305</v>
      </c>
      <c r="C12" s="126">
        <f>厨房燃气!AB12</f>
        <v>12580</v>
      </c>
      <c r="D12" s="147">
        <f t="shared" si="1"/>
        <v>189</v>
      </c>
      <c r="E12" s="146">
        <f t="shared" si="0"/>
        <v>746.55000000000007</v>
      </c>
      <c r="F12" s="142">
        <v>690556</v>
      </c>
      <c r="G12" s="142">
        <v>261781</v>
      </c>
      <c r="H12" s="142">
        <v>120</v>
      </c>
      <c r="I12" s="146">
        <f t="shared" si="2"/>
        <v>627</v>
      </c>
      <c r="J12" s="126">
        <f t="shared" si="3"/>
        <v>423.330963</v>
      </c>
      <c r="K12" s="132">
        <f t="shared" si="4"/>
        <v>1169.8809630000001</v>
      </c>
    </row>
    <row r="13" spans="1:49" s="76" customFormat="1" ht="21" customHeight="1">
      <c r="A13" s="95">
        <v>44142</v>
      </c>
      <c r="B13" s="126">
        <f>厨房燃气!AA13</f>
        <v>389452</v>
      </c>
      <c r="C13" s="126">
        <f>厨房燃气!AB13</f>
        <v>12433</v>
      </c>
      <c r="D13" s="147">
        <f t="shared" si="1"/>
        <v>147</v>
      </c>
      <c r="E13" s="146">
        <f t="shared" si="0"/>
        <v>580.65</v>
      </c>
      <c r="F13" s="142">
        <v>690949</v>
      </c>
      <c r="G13" s="142">
        <v>261862</v>
      </c>
      <c r="H13" s="142">
        <v>120</v>
      </c>
      <c r="I13" s="146">
        <f t="shared" si="2"/>
        <v>594</v>
      </c>
      <c r="J13" s="126">
        <f t="shared" si="3"/>
        <v>401.050386</v>
      </c>
      <c r="K13" s="132">
        <f t="shared" si="4"/>
        <v>981.70038599999998</v>
      </c>
    </row>
    <row r="14" spans="1:49" s="76" customFormat="1" ht="21" customHeight="1">
      <c r="A14" s="95">
        <v>44143</v>
      </c>
      <c r="B14" s="126">
        <f>厨房燃气!AA14</f>
        <v>389599</v>
      </c>
      <c r="C14" s="126">
        <f>厨房燃气!AB14</f>
        <v>12286</v>
      </c>
      <c r="D14" s="147">
        <f t="shared" si="1"/>
        <v>147</v>
      </c>
      <c r="E14" s="146">
        <f t="shared" si="0"/>
        <v>580.65</v>
      </c>
      <c r="F14" s="142">
        <v>691341</v>
      </c>
      <c r="G14" s="142">
        <v>261934</v>
      </c>
      <c r="H14" s="142">
        <v>120</v>
      </c>
      <c r="I14" s="146">
        <f t="shared" si="2"/>
        <v>584</v>
      </c>
      <c r="J14" s="126">
        <f t="shared" si="3"/>
        <v>394.29869600000001</v>
      </c>
      <c r="K14" s="132">
        <f t="shared" si="4"/>
        <v>974.94869599999993</v>
      </c>
    </row>
    <row r="15" spans="1:49" s="76" customFormat="1" ht="21" customHeight="1">
      <c r="A15" s="95">
        <v>44144</v>
      </c>
      <c r="B15" s="126">
        <f>厨房燃气!AA15</f>
        <v>389752</v>
      </c>
      <c r="C15" s="126">
        <f>厨房燃气!AB15</f>
        <v>12133</v>
      </c>
      <c r="D15" s="147">
        <f t="shared" si="1"/>
        <v>153</v>
      </c>
      <c r="E15" s="146">
        <f t="shared" si="0"/>
        <v>604.35</v>
      </c>
      <c r="F15" s="142">
        <v>691786</v>
      </c>
      <c r="G15" s="142">
        <v>262010</v>
      </c>
      <c r="H15" s="142">
        <v>120</v>
      </c>
      <c r="I15" s="146">
        <f t="shared" si="2"/>
        <v>641</v>
      </c>
      <c r="J15" s="126">
        <f t="shared" si="3"/>
        <v>432.78332900000004</v>
      </c>
      <c r="K15" s="132">
        <f t="shared" si="4"/>
        <v>1037.133329</v>
      </c>
    </row>
    <row r="16" spans="1:49" s="76" customFormat="1" ht="21" customHeight="1">
      <c r="A16" s="95">
        <v>44145</v>
      </c>
      <c r="B16" s="126">
        <f>厨房燃气!AA16</f>
        <v>389919</v>
      </c>
      <c r="C16" s="126">
        <f>厨房燃气!AB16</f>
        <v>11966</v>
      </c>
      <c r="D16" s="147">
        <f t="shared" si="1"/>
        <v>167</v>
      </c>
      <c r="E16" s="146">
        <f t="shared" si="0"/>
        <v>659.65</v>
      </c>
      <c r="F16" s="142">
        <v>692242</v>
      </c>
      <c r="G16" s="142">
        <v>262087</v>
      </c>
      <c r="H16" s="142">
        <v>120</v>
      </c>
      <c r="I16" s="146">
        <f t="shared" si="2"/>
        <v>653</v>
      </c>
      <c r="J16" s="126">
        <f t="shared" si="3"/>
        <v>440.885357</v>
      </c>
      <c r="K16" s="132">
        <f t="shared" si="4"/>
        <v>1100.535357</v>
      </c>
    </row>
    <row r="17" spans="1:11" s="76" customFormat="1" ht="21" customHeight="1">
      <c r="A17" s="95">
        <v>44146</v>
      </c>
      <c r="B17" s="126">
        <f>厨房燃气!AA17</f>
        <v>390119</v>
      </c>
      <c r="C17" s="126">
        <f>厨房燃气!AB17</f>
        <v>11766</v>
      </c>
      <c r="D17" s="147">
        <f t="shared" si="1"/>
        <v>200</v>
      </c>
      <c r="E17" s="146">
        <f t="shared" si="0"/>
        <v>790</v>
      </c>
      <c r="F17" s="142">
        <v>692707</v>
      </c>
      <c r="G17" s="142">
        <v>262166</v>
      </c>
      <c r="H17" s="142">
        <v>120</v>
      </c>
      <c r="I17" s="146">
        <f t="shared" si="2"/>
        <v>664</v>
      </c>
      <c r="J17" s="126">
        <f t="shared" si="3"/>
        <v>448.31221600000003</v>
      </c>
      <c r="K17" s="132">
        <f t="shared" si="4"/>
        <v>1238.312216</v>
      </c>
    </row>
    <row r="18" spans="1:11" ht="21" customHeight="1">
      <c r="A18" s="95">
        <v>44147</v>
      </c>
      <c r="B18" s="126">
        <v>390314</v>
      </c>
      <c r="C18" s="126">
        <v>11571</v>
      </c>
      <c r="D18" s="147">
        <f>(B18-B17)</f>
        <v>195</v>
      </c>
      <c r="E18" s="146">
        <f t="shared" si="0"/>
        <v>770.25</v>
      </c>
      <c r="F18" s="142">
        <v>693206</v>
      </c>
      <c r="G18" s="142">
        <v>262240</v>
      </c>
      <c r="H18" s="142">
        <v>120</v>
      </c>
      <c r="I18" s="146">
        <f t="shared" si="2"/>
        <v>693</v>
      </c>
      <c r="J18" s="126">
        <f t="shared" si="3"/>
        <v>467.89211700000004</v>
      </c>
      <c r="K18" s="132">
        <f t="shared" si="4"/>
        <v>1238.1421170000001</v>
      </c>
    </row>
    <row r="19" spans="1:11" s="76" customFormat="1" ht="21" customHeight="1">
      <c r="A19" s="95">
        <v>44148</v>
      </c>
      <c r="B19" s="126">
        <v>390489</v>
      </c>
      <c r="C19" s="126">
        <v>11397</v>
      </c>
      <c r="D19" s="147">
        <f>(B19-B18)</f>
        <v>175</v>
      </c>
      <c r="E19" s="146">
        <f t="shared" si="0"/>
        <v>691.25</v>
      </c>
      <c r="F19" s="142">
        <v>693676</v>
      </c>
      <c r="G19" s="142">
        <v>262312</v>
      </c>
      <c r="H19" s="142">
        <v>120</v>
      </c>
      <c r="I19" s="146">
        <f t="shared" si="2"/>
        <v>662</v>
      </c>
      <c r="J19" s="126">
        <f t="shared" si="3"/>
        <v>446.96187800000001</v>
      </c>
      <c r="K19" s="132">
        <f t="shared" si="4"/>
        <v>1138.2118780000001</v>
      </c>
    </row>
    <row r="20" spans="1:11" s="76" customFormat="1" ht="21" customHeight="1">
      <c r="A20" s="95">
        <v>44149</v>
      </c>
      <c r="B20" s="126">
        <v>390635</v>
      </c>
      <c r="C20" s="126">
        <v>11250</v>
      </c>
      <c r="D20" s="147">
        <f t="shared" ref="D20:D34" si="5">(B20-B19)</f>
        <v>146</v>
      </c>
      <c r="E20" s="146">
        <f t="shared" si="0"/>
        <v>576.70000000000005</v>
      </c>
      <c r="F20" s="142">
        <v>694163</v>
      </c>
      <c r="G20" s="142">
        <v>262312</v>
      </c>
      <c r="H20" s="142">
        <v>120</v>
      </c>
      <c r="I20" s="146">
        <f t="shared" si="2"/>
        <v>607</v>
      </c>
      <c r="J20" s="126">
        <f t="shared" si="3"/>
        <v>409.827583</v>
      </c>
      <c r="K20" s="132">
        <f t="shared" si="4"/>
        <v>986.52758300000005</v>
      </c>
    </row>
    <row r="21" spans="1:11" s="76" customFormat="1" ht="21" customHeight="1">
      <c r="A21" s="95">
        <v>44150</v>
      </c>
      <c r="B21" s="126">
        <v>390798</v>
      </c>
      <c r="C21" s="126">
        <v>11087</v>
      </c>
      <c r="D21" s="147">
        <f t="shared" si="5"/>
        <v>163</v>
      </c>
      <c r="E21" s="146">
        <f t="shared" si="0"/>
        <v>643.85</v>
      </c>
      <c r="F21" s="142">
        <v>694310</v>
      </c>
      <c r="G21" s="142">
        <v>262457</v>
      </c>
      <c r="H21" s="142">
        <v>120</v>
      </c>
      <c r="I21" s="146">
        <f t="shared" si="2"/>
        <v>412</v>
      </c>
      <c r="J21" s="126">
        <f t="shared" si="3"/>
        <v>278.16962799999999</v>
      </c>
      <c r="K21" s="132">
        <f t="shared" si="4"/>
        <v>922.01962800000001</v>
      </c>
    </row>
    <row r="22" spans="1:11" s="76" customFormat="1" ht="21" customHeight="1">
      <c r="A22" s="95">
        <v>44151</v>
      </c>
      <c r="B22" s="126">
        <v>390993</v>
      </c>
      <c r="C22" s="126">
        <v>10892</v>
      </c>
      <c r="D22" s="147">
        <f t="shared" si="5"/>
        <v>195</v>
      </c>
      <c r="E22" s="146">
        <f t="shared" si="0"/>
        <v>770.25</v>
      </c>
      <c r="F22" s="142">
        <v>695091</v>
      </c>
      <c r="G22" s="142">
        <v>262527</v>
      </c>
      <c r="H22" s="142">
        <v>120</v>
      </c>
      <c r="I22" s="146">
        <f t="shared" si="2"/>
        <v>971</v>
      </c>
      <c r="J22" s="126">
        <f t="shared" si="3"/>
        <v>655.58909900000003</v>
      </c>
      <c r="K22" s="132">
        <f t="shared" si="4"/>
        <v>1425.839099</v>
      </c>
    </row>
    <row r="23" spans="1:11" s="76" customFormat="1" ht="21" customHeight="1">
      <c r="A23" s="95">
        <v>44152</v>
      </c>
      <c r="B23" s="126">
        <v>391160</v>
      </c>
      <c r="C23" s="126">
        <v>10726</v>
      </c>
      <c r="D23" s="147">
        <f t="shared" si="5"/>
        <v>167</v>
      </c>
      <c r="E23" s="146">
        <f t="shared" si="0"/>
        <v>659.65</v>
      </c>
      <c r="F23" s="142">
        <v>695579</v>
      </c>
      <c r="G23" s="142">
        <v>262598</v>
      </c>
      <c r="H23" s="142">
        <v>120</v>
      </c>
      <c r="I23" s="146">
        <f t="shared" si="2"/>
        <v>679</v>
      </c>
      <c r="J23" s="126">
        <f t="shared" si="3"/>
        <v>458.439751</v>
      </c>
      <c r="K23" s="132">
        <f t="shared" si="4"/>
        <v>1118.089751</v>
      </c>
    </row>
    <row r="24" spans="1:11" s="76" customFormat="1" ht="21" customHeight="1">
      <c r="A24" s="95">
        <v>44153</v>
      </c>
      <c r="B24" s="126">
        <v>391355</v>
      </c>
      <c r="C24" s="126">
        <v>10531</v>
      </c>
      <c r="D24" s="147">
        <f t="shared" si="5"/>
        <v>195</v>
      </c>
      <c r="E24" s="146">
        <f t="shared" si="0"/>
        <v>770.25</v>
      </c>
      <c r="F24" s="142">
        <v>696099</v>
      </c>
      <c r="G24" s="142">
        <v>262674</v>
      </c>
      <c r="H24" s="142">
        <v>120</v>
      </c>
      <c r="I24" s="146">
        <f t="shared" si="2"/>
        <v>716</v>
      </c>
      <c r="J24" s="126">
        <f t="shared" si="3"/>
        <v>483.42100400000004</v>
      </c>
      <c r="K24" s="132">
        <f t="shared" si="4"/>
        <v>1253.671004</v>
      </c>
    </row>
    <row r="25" spans="1:11" s="76" customFormat="1" ht="21" customHeight="1">
      <c r="A25" s="95">
        <v>44154</v>
      </c>
      <c r="B25" s="126">
        <v>391545</v>
      </c>
      <c r="C25" s="126">
        <v>10341</v>
      </c>
      <c r="D25" s="147">
        <f t="shared" si="5"/>
        <v>190</v>
      </c>
      <c r="E25" s="146">
        <f t="shared" si="0"/>
        <v>750.5</v>
      </c>
      <c r="F25" s="142">
        <v>696620</v>
      </c>
      <c r="G25" s="142">
        <v>262754</v>
      </c>
      <c r="H25" s="142">
        <v>120</v>
      </c>
      <c r="I25" s="146">
        <f t="shared" si="2"/>
        <v>721</v>
      </c>
      <c r="J25" s="126">
        <f t="shared" si="3"/>
        <v>486.79684900000001</v>
      </c>
      <c r="K25" s="132">
        <f t="shared" si="4"/>
        <v>1237.2968490000001</v>
      </c>
    </row>
    <row r="26" spans="1:11" s="76" customFormat="1" ht="21" customHeight="1">
      <c r="A26" s="95">
        <v>44155</v>
      </c>
      <c r="B26" s="126">
        <v>391734</v>
      </c>
      <c r="C26" s="126">
        <v>10151</v>
      </c>
      <c r="D26" s="147">
        <f t="shared" si="5"/>
        <v>189</v>
      </c>
      <c r="E26" s="146">
        <f t="shared" si="0"/>
        <v>746.55000000000007</v>
      </c>
      <c r="F26" s="142">
        <v>697100</v>
      </c>
      <c r="G26" s="142">
        <v>262825</v>
      </c>
      <c r="H26" s="142">
        <v>120</v>
      </c>
      <c r="I26" s="146">
        <f t="shared" si="2"/>
        <v>671</v>
      </c>
      <c r="J26" s="126">
        <f t="shared" si="3"/>
        <v>453.03839900000003</v>
      </c>
      <c r="K26" s="132">
        <f t="shared" si="4"/>
        <v>1199.5883990000002</v>
      </c>
    </row>
    <row r="27" spans="1:11" s="76" customFormat="1" ht="21" customHeight="1">
      <c r="A27" s="95">
        <v>44156</v>
      </c>
      <c r="B27" s="126">
        <v>391901</v>
      </c>
      <c r="C27" s="126">
        <v>9984</v>
      </c>
      <c r="D27" s="147">
        <f t="shared" si="5"/>
        <v>167</v>
      </c>
      <c r="E27" s="146">
        <f t="shared" si="0"/>
        <v>659.65</v>
      </c>
      <c r="F27" s="142">
        <v>697640</v>
      </c>
      <c r="G27" s="142">
        <v>262894</v>
      </c>
      <c r="H27" s="142">
        <v>120</v>
      </c>
      <c r="I27" s="146">
        <f t="shared" si="2"/>
        <v>729</v>
      </c>
      <c r="J27" s="126">
        <f t="shared" si="3"/>
        <v>492.19820100000004</v>
      </c>
      <c r="K27" s="132">
        <f t="shared" si="4"/>
        <v>1151.848201</v>
      </c>
    </row>
    <row r="28" spans="1:11" s="76" customFormat="1" ht="21" customHeight="1">
      <c r="A28" s="95">
        <v>44157</v>
      </c>
      <c r="B28" s="126">
        <v>392061</v>
      </c>
      <c r="C28" s="126">
        <v>9824</v>
      </c>
      <c r="D28" s="147">
        <f t="shared" si="5"/>
        <v>160</v>
      </c>
      <c r="E28" s="146">
        <f t="shared" si="0"/>
        <v>632</v>
      </c>
      <c r="F28" s="142">
        <v>698185</v>
      </c>
      <c r="G28" s="142">
        <v>262962</v>
      </c>
      <c r="H28" s="142">
        <v>120</v>
      </c>
      <c r="I28" s="146">
        <f t="shared" si="2"/>
        <v>733</v>
      </c>
      <c r="J28" s="126">
        <f t="shared" si="3"/>
        <v>494.89887700000003</v>
      </c>
      <c r="K28" s="132">
        <f t="shared" si="4"/>
        <v>1126.8988770000001</v>
      </c>
    </row>
    <row r="29" spans="1:11" s="76" customFormat="1" ht="21" customHeight="1">
      <c r="A29" s="95">
        <v>44158</v>
      </c>
      <c r="B29" s="126">
        <v>392217</v>
      </c>
      <c r="C29" s="126">
        <v>9668</v>
      </c>
      <c r="D29" s="147">
        <f t="shared" si="5"/>
        <v>156</v>
      </c>
      <c r="E29" s="146">
        <f t="shared" si="0"/>
        <v>616.20000000000005</v>
      </c>
      <c r="F29" s="142">
        <v>698713</v>
      </c>
      <c r="G29" s="142">
        <v>263042</v>
      </c>
      <c r="H29" s="142">
        <v>120</v>
      </c>
      <c r="I29" s="146">
        <f t="shared" si="2"/>
        <v>728</v>
      </c>
      <c r="J29" s="126">
        <f t="shared" si="3"/>
        <v>491.523032</v>
      </c>
      <c r="K29" s="132">
        <f t="shared" si="4"/>
        <v>1107.7230320000001</v>
      </c>
    </row>
    <row r="30" spans="1:11" s="76" customFormat="1" ht="21" customHeight="1">
      <c r="A30" s="95">
        <v>44159</v>
      </c>
      <c r="B30" s="126">
        <v>392389</v>
      </c>
      <c r="C30" s="126">
        <v>9496</v>
      </c>
      <c r="D30" s="147">
        <f t="shared" si="5"/>
        <v>172</v>
      </c>
      <c r="E30" s="146">
        <f t="shared" si="0"/>
        <v>679.4</v>
      </c>
      <c r="F30" s="142">
        <v>699230</v>
      </c>
      <c r="G30" s="142">
        <v>263117</v>
      </c>
      <c r="H30" s="142">
        <v>120</v>
      </c>
      <c r="I30" s="146">
        <f t="shared" si="2"/>
        <v>712</v>
      </c>
      <c r="J30" s="126">
        <f t="shared" si="3"/>
        <v>480.72032799999999</v>
      </c>
      <c r="K30" s="132">
        <f t="shared" si="4"/>
        <v>1160.120328</v>
      </c>
    </row>
    <row r="31" spans="1:11" s="76" customFormat="1" ht="21" customHeight="1">
      <c r="A31" s="95">
        <v>44160</v>
      </c>
      <c r="B31" s="126">
        <v>392578</v>
      </c>
      <c r="C31" s="126">
        <v>14307</v>
      </c>
      <c r="D31" s="147">
        <f t="shared" si="5"/>
        <v>189</v>
      </c>
      <c r="E31" s="146">
        <f t="shared" si="0"/>
        <v>746.55000000000007</v>
      </c>
      <c r="F31" s="142">
        <v>699758</v>
      </c>
      <c r="G31" s="142">
        <v>263187</v>
      </c>
      <c r="H31" s="142">
        <v>120</v>
      </c>
      <c r="I31" s="146">
        <f t="shared" si="2"/>
        <v>718</v>
      </c>
      <c r="J31" s="126">
        <f t="shared" si="3"/>
        <v>484.771342</v>
      </c>
      <c r="K31" s="132">
        <f t="shared" si="4"/>
        <v>1231.3213420000002</v>
      </c>
    </row>
    <row r="32" spans="1:11" s="76" customFormat="1" ht="21" customHeight="1">
      <c r="A32" s="95">
        <v>44161</v>
      </c>
      <c r="B32" s="126">
        <v>392769</v>
      </c>
      <c r="C32" s="126">
        <v>14116</v>
      </c>
      <c r="D32" s="147">
        <f t="shared" si="5"/>
        <v>191</v>
      </c>
      <c r="E32" s="146">
        <f t="shared" si="0"/>
        <v>754.45</v>
      </c>
      <c r="F32" s="142">
        <v>700317</v>
      </c>
      <c r="G32" s="142">
        <v>263269</v>
      </c>
      <c r="H32" s="142">
        <v>120</v>
      </c>
      <c r="I32" s="146">
        <f>F32-F31+G32-G31+H33</f>
        <v>761</v>
      </c>
      <c r="J32" s="126">
        <f t="shared" si="3"/>
        <v>513.80360900000005</v>
      </c>
      <c r="K32" s="132">
        <f t="shared" si="4"/>
        <v>1268.2536090000001</v>
      </c>
    </row>
    <row r="33" spans="1:11" s="76" customFormat="1" ht="21" customHeight="1">
      <c r="A33" s="95">
        <v>44162</v>
      </c>
      <c r="B33" s="126">
        <f>厨房燃气!AA33</f>
        <v>392925</v>
      </c>
      <c r="C33" s="126">
        <f>厨房燃气!AB33</f>
        <v>13960</v>
      </c>
      <c r="D33" s="147">
        <f t="shared" si="5"/>
        <v>156</v>
      </c>
      <c r="E33" s="146">
        <f t="shared" si="0"/>
        <v>616.20000000000005</v>
      </c>
      <c r="F33" s="142">
        <v>700847</v>
      </c>
      <c r="G33" s="142">
        <v>263343</v>
      </c>
      <c r="H33" s="142">
        <v>120</v>
      </c>
      <c r="I33" s="146">
        <f t="shared" si="2"/>
        <v>724</v>
      </c>
      <c r="J33" s="126">
        <f t="shared" si="3"/>
        <v>488.82235600000001</v>
      </c>
      <c r="K33" s="132">
        <f t="shared" si="4"/>
        <v>1105.0223559999999</v>
      </c>
    </row>
    <row r="34" spans="1:11" s="76" customFormat="1" ht="21" customHeight="1">
      <c r="A34" s="95">
        <v>44163</v>
      </c>
      <c r="B34" s="126">
        <f>厨房燃气!AA34</f>
        <v>393124</v>
      </c>
      <c r="C34" s="126">
        <f>厨房燃气!AB34</f>
        <v>13761</v>
      </c>
      <c r="D34" s="147">
        <f t="shared" si="5"/>
        <v>199</v>
      </c>
      <c r="E34" s="146">
        <f t="shared" si="0"/>
        <v>786.05000000000007</v>
      </c>
      <c r="F34" s="142">
        <v>701406</v>
      </c>
      <c r="G34" s="142">
        <v>263418</v>
      </c>
      <c r="H34" s="142">
        <v>120</v>
      </c>
      <c r="I34" s="146">
        <f t="shared" si="2"/>
        <v>754</v>
      </c>
      <c r="J34" s="126">
        <f t="shared" si="3"/>
        <v>509.077426</v>
      </c>
      <c r="K34" s="132">
        <f t="shared" si="4"/>
        <v>1295.127426</v>
      </c>
    </row>
    <row r="35" spans="1:11" s="76" customFormat="1" ht="21" customHeight="1">
      <c r="A35" s="95">
        <v>44164</v>
      </c>
      <c r="B35" s="126">
        <f>厨房燃气!AA35</f>
        <v>393312</v>
      </c>
      <c r="C35" s="126">
        <f>厨房燃气!AB35</f>
        <v>13573</v>
      </c>
      <c r="D35" s="147">
        <f>(B35-B34)</f>
        <v>188</v>
      </c>
      <c r="E35" s="146">
        <f t="shared" si="0"/>
        <v>742.6</v>
      </c>
      <c r="F35" s="142">
        <v>701957</v>
      </c>
      <c r="G35" s="142">
        <v>263486</v>
      </c>
      <c r="H35" s="142">
        <v>120</v>
      </c>
      <c r="I35" s="146">
        <f t="shared" si="2"/>
        <v>739</v>
      </c>
      <c r="J35" s="126">
        <f t="shared" si="3"/>
        <v>498.94989100000004</v>
      </c>
      <c r="K35" s="132">
        <f t="shared" si="4"/>
        <v>1241.5498910000001</v>
      </c>
    </row>
    <row r="36" spans="1:11" s="76" customFormat="1" ht="21" customHeight="1">
      <c r="A36" s="95">
        <v>44165</v>
      </c>
      <c r="B36" s="126">
        <f>厨房燃气!AA36</f>
        <v>393487</v>
      </c>
      <c r="C36" s="126">
        <f>厨房燃气!AB36</f>
        <v>13399</v>
      </c>
      <c r="D36" s="147">
        <f>(B36-B35)</f>
        <v>175</v>
      </c>
      <c r="E36" s="146">
        <f t="shared" si="0"/>
        <v>691.25</v>
      </c>
      <c r="F36" s="142">
        <v>702531</v>
      </c>
      <c r="G36" s="142">
        <v>263558</v>
      </c>
      <c r="H36" s="142">
        <v>120</v>
      </c>
      <c r="I36" s="146">
        <f t="shared" si="2"/>
        <v>766</v>
      </c>
      <c r="J36" s="126">
        <f t="shared" si="3"/>
        <v>517.17945399999996</v>
      </c>
      <c r="K36" s="132">
        <f t="shared" si="4"/>
        <v>1208.4294540000001</v>
      </c>
    </row>
    <row r="37" spans="1:11" s="76" customFormat="1" ht="21" customHeight="1">
      <c r="A37" s="95"/>
      <c r="B37" s="126"/>
      <c r="C37" s="126"/>
      <c r="D37" s="147">
        <f>(B37-B36)</f>
        <v>-393487</v>
      </c>
      <c r="E37" s="146">
        <f>D37*4.17</f>
        <v>-1640840.79</v>
      </c>
      <c r="F37" s="142"/>
      <c r="G37" s="142"/>
      <c r="H37" s="142">
        <v>120</v>
      </c>
      <c r="I37" s="146">
        <f>SUM(F37-F36+G37-G36+H37)</f>
        <v>-965969</v>
      </c>
      <c r="J37" s="126">
        <f>I37*0.675169</f>
        <v>-652192.32376100007</v>
      </c>
      <c r="K37" s="132">
        <f t="shared" si="4"/>
        <v>-2293033.1137610003</v>
      </c>
    </row>
    <row r="38" spans="1:11" s="81" customFormat="1" ht="17.850000000000001" customHeight="1">
      <c r="A38" s="79" t="s">
        <v>28</v>
      </c>
      <c r="D38" s="80">
        <f>SUM(D7:D36)</f>
        <v>5215</v>
      </c>
      <c r="E38" s="107"/>
      <c r="F38" s="107"/>
      <c r="G38" s="107"/>
      <c r="H38" s="107"/>
      <c r="I38" s="107"/>
      <c r="J38" s="107"/>
      <c r="K38" s="80">
        <f>SUM(K7:K36)</f>
        <v>34303.155192999999</v>
      </c>
    </row>
    <row r="43" spans="1:11" ht="24.75" customHeight="1"/>
    <row r="44" spans="1:11" s="76" customFormat="1" ht="24.75" customHeight="1"/>
    <row r="46" spans="1:11">
      <c r="A46" s="76"/>
    </row>
  </sheetData>
  <mergeCells count="4">
    <mergeCell ref="A4:A5"/>
    <mergeCell ref="B4:J4"/>
    <mergeCell ref="K4:K5"/>
    <mergeCell ref="B3:K3"/>
  </mergeCells>
  <phoneticPr fontId="2" type="noConversion"/>
  <pageMargins left="0.33" right="0.28000000000000003" top="0.32" bottom="0.19" header="0.12" footer="0.13"/>
  <pageSetup paperSize="9" scale="90" orientation="landscape" horizontalDpi="180" verticalDpi="18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M65535"/>
  <sheetViews>
    <sheetView zoomScaleNormal="100" workbookViewId="0">
      <pane xSplit="1" ySplit="16" topLeftCell="AX35" activePane="bottomRight" state="frozen"/>
      <selection activeCell="D16" sqref="D16"/>
      <selection pane="topRight" activeCell="D16" sqref="D16"/>
      <selection pane="bottomLeft" activeCell="D16" sqref="D16"/>
      <selection pane="bottomRight" activeCell="BH11" sqref="BH11"/>
    </sheetView>
  </sheetViews>
  <sheetFormatPr defaultRowHeight="14.25"/>
  <cols>
    <col min="1" max="1" width="15.625" style="69" customWidth="1"/>
    <col min="2" max="58" width="10.625" style="76" customWidth="1"/>
    <col min="59" max="59" width="12.375" style="193" customWidth="1"/>
    <col min="60" max="60" width="10.625" style="76" customWidth="1"/>
    <col min="61" max="61" width="10.625" style="120" customWidth="1"/>
    <col min="62" max="62" width="10.625" style="76" customWidth="1"/>
    <col min="63" max="63" width="20.25" style="76" customWidth="1"/>
    <col min="64" max="16384" width="9" style="69"/>
  </cols>
  <sheetData>
    <row r="1" spans="1:65" ht="30.75" customHeight="1">
      <c r="A1" s="98" t="s">
        <v>35</v>
      </c>
      <c r="B1" s="191"/>
      <c r="C1" s="191"/>
      <c r="D1" s="191"/>
      <c r="E1" s="191"/>
      <c r="F1" s="191"/>
      <c r="G1" s="191"/>
      <c r="H1" s="191"/>
      <c r="I1" s="191"/>
      <c r="BG1" s="192"/>
      <c r="BH1" s="192"/>
      <c r="BI1" s="192"/>
      <c r="BJ1" s="192"/>
      <c r="BK1" s="192"/>
    </row>
    <row r="2" spans="1:65" ht="21" customHeight="1">
      <c r="A2" s="70">
        <v>44136</v>
      </c>
      <c r="B2" s="76" t="s">
        <v>29</v>
      </c>
      <c r="C2" s="76">
        <v>4.25</v>
      </c>
    </row>
    <row r="3" spans="1:65" ht="14.25" customHeight="1">
      <c r="A3" s="84"/>
      <c r="B3" s="335"/>
      <c r="C3" s="335"/>
      <c r="D3" s="335"/>
      <c r="E3" s="335"/>
      <c r="F3" s="335"/>
      <c r="G3" s="335"/>
      <c r="H3" s="335"/>
      <c r="I3" s="335"/>
      <c r="J3" s="335"/>
      <c r="K3" s="335"/>
      <c r="L3" s="335"/>
      <c r="M3" s="335"/>
      <c r="N3" s="335"/>
      <c r="O3" s="335"/>
      <c r="P3" s="335"/>
      <c r="Q3" s="335"/>
      <c r="R3" s="335"/>
      <c r="S3" s="335"/>
      <c r="T3" s="335"/>
      <c r="U3" s="335"/>
      <c r="V3" s="335"/>
      <c r="W3" s="335"/>
      <c r="X3" s="335"/>
      <c r="Y3" s="335"/>
      <c r="Z3" s="335"/>
      <c r="AA3" s="335"/>
      <c r="AB3" s="335"/>
      <c r="AC3" s="335"/>
      <c r="AD3" s="335"/>
      <c r="AE3" s="335"/>
      <c r="AF3" s="335"/>
      <c r="AG3" s="335"/>
      <c r="AH3" s="335"/>
      <c r="AI3" s="335"/>
      <c r="AJ3" s="335"/>
      <c r="AK3" s="335"/>
      <c r="AL3" s="335"/>
      <c r="AM3" s="335"/>
      <c r="AN3" s="335"/>
      <c r="AO3" s="335"/>
      <c r="AP3" s="335"/>
      <c r="AQ3" s="335"/>
      <c r="AR3" s="335"/>
      <c r="AS3" s="335"/>
      <c r="AT3" s="335"/>
      <c r="AU3" s="335"/>
      <c r="AV3" s="335"/>
      <c r="AW3" s="335"/>
      <c r="AX3" s="335"/>
      <c r="AY3" s="335"/>
      <c r="AZ3" s="335"/>
      <c r="BA3" s="335"/>
      <c r="BB3" s="335"/>
      <c r="BC3" s="335"/>
      <c r="BD3" s="335"/>
      <c r="BE3" s="335"/>
      <c r="BF3" s="335"/>
      <c r="BH3" s="335"/>
      <c r="BI3" s="335"/>
      <c r="BJ3" s="335"/>
      <c r="BK3" s="335"/>
    </row>
    <row r="4" spans="1:65" ht="14.25" customHeight="1">
      <c r="A4" s="306" t="s">
        <v>1</v>
      </c>
      <c r="B4" s="323" t="s">
        <v>4</v>
      </c>
      <c r="C4" s="323"/>
      <c r="D4" s="323"/>
      <c r="E4" s="143"/>
      <c r="F4" s="144"/>
      <c r="G4" s="343" t="s">
        <v>5</v>
      </c>
      <c r="H4" s="343"/>
      <c r="I4" s="343"/>
      <c r="J4" s="188"/>
      <c r="K4" s="188"/>
      <c r="L4" s="344" t="s">
        <v>21</v>
      </c>
      <c r="M4" s="340"/>
      <c r="N4" s="340"/>
      <c r="O4" s="187"/>
      <c r="P4" s="187"/>
      <c r="Q4" s="338" t="s">
        <v>12</v>
      </c>
      <c r="R4" s="338"/>
      <c r="S4" s="338"/>
      <c r="T4" s="145"/>
      <c r="U4" s="145"/>
      <c r="V4" s="352" t="s">
        <v>6</v>
      </c>
      <c r="W4" s="352"/>
      <c r="X4" s="352"/>
      <c r="Y4" s="185"/>
      <c r="Z4" s="185"/>
      <c r="AA4" s="337" t="s">
        <v>7</v>
      </c>
      <c r="AB4" s="337"/>
      <c r="AC4" s="337"/>
      <c r="AD4" s="186"/>
      <c r="AE4" s="186"/>
      <c r="AF4" s="336" t="s">
        <v>8</v>
      </c>
      <c r="AG4" s="336"/>
      <c r="AH4" s="336"/>
      <c r="AI4" s="190"/>
      <c r="AJ4" s="190"/>
      <c r="AK4" s="347" t="s">
        <v>9</v>
      </c>
      <c r="AL4" s="347"/>
      <c r="AM4" s="347"/>
      <c r="AN4" s="183"/>
      <c r="AO4" s="183"/>
      <c r="AP4" s="340" t="s">
        <v>10</v>
      </c>
      <c r="AQ4" s="340"/>
      <c r="AR4" s="340"/>
      <c r="AS4" s="187"/>
      <c r="AT4" s="187"/>
      <c r="AU4" s="345" t="s">
        <v>20</v>
      </c>
      <c r="AV4" s="345"/>
      <c r="AW4" s="345"/>
      <c r="AX4" s="189"/>
      <c r="AY4" s="189"/>
      <c r="AZ4" s="351" t="s">
        <v>13</v>
      </c>
      <c r="BA4" s="351"/>
      <c r="BB4" s="351"/>
      <c r="BC4" s="184"/>
      <c r="BD4" s="184"/>
      <c r="BE4" s="341" t="s">
        <v>140</v>
      </c>
      <c r="BF4" s="348" t="s">
        <v>32</v>
      </c>
      <c r="BG4" s="349"/>
      <c r="BH4" s="339" t="s">
        <v>136</v>
      </c>
      <c r="BI4" s="339" t="s">
        <v>137</v>
      </c>
      <c r="BJ4" s="339" t="s">
        <v>138</v>
      </c>
      <c r="BK4" s="346" t="s">
        <v>139</v>
      </c>
    </row>
    <row r="5" spans="1:65" s="122" customFormat="1" ht="21.75" customHeight="1">
      <c r="A5" s="306"/>
      <c r="B5" s="213" t="s">
        <v>24</v>
      </c>
      <c r="C5" s="213" t="s">
        <v>23</v>
      </c>
      <c r="D5" s="213" t="s">
        <v>127</v>
      </c>
      <c r="E5" s="213" t="s">
        <v>30</v>
      </c>
      <c r="F5" s="213" t="s">
        <v>31</v>
      </c>
      <c r="G5" s="214" t="s">
        <v>24</v>
      </c>
      <c r="H5" s="214" t="s">
        <v>23</v>
      </c>
      <c r="I5" s="214" t="s">
        <v>127</v>
      </c>
      <c r="J5" s="214" t="s">
        <v>30</v>
      </c>
      <c r="K5" s="214" t="s">
        <v>31</v>
      </c>
      <c r="L5" s="215" t="s">
        <v>24</v>
      </c>
      <c r="M5" s="215" t="s">
        <v>23</v>
      </c>
      <c r="N5" s="215" t="s">
        <v>127</v>
      </c>
      <c r="O5" s="215" t="s">
        <v>30</v>
      </c>
      <c r="P5" s="215" t="s">
        <v>31</v>
      </c>
      <c r="Q5" s="216" t="s">
        <v>24</v>
      </c>
      <c r="R5" s="216" t="s">
        <v>23</v>
      </c>
      <c r="S5" s="216" t="s">
        <v>127</v>
      </c>
      <c r="T5" s="216" t="s">
        <v>30</v>
      </c>
      <c r="U5" s="216" t="s">
        <v>31</v>
      </c>
      <c r="V5" s="217" t="s">
        <v>24</v>
      </c>
      <c r="W5" s="217" t="s">
        <v>23</v>
      </c>
      <c r="X5" s="217" t="s">
        <v>127</v>
      </c>
      <c r="Y5" s="217" t="s">
        <v>30</v>
      </c>
      <c r="Z5" s="217" t="s">
        <v>31</v>
      </c>
      <c r="AA5" s="218" t="s">
        <v>24</v>
      </c>
      <c r="AB5" s="218" t="s">
        <v>23</v>
      </c>
      <c r="AC5" s="218" t="s">
        <v>127</v>
      </c>
      <c r="AD5" s="218" t="s">
        <v>30</v>
      </c>
      <c r="AE5" s="218" t="s">
        <v>31</v>
      </c>
      <c r="AF5" s="219" t="s">
        <v>24</v>
      </c>
      <c r="AG5" s="219" t="s">
        <v>23</v>
      </c>
      <c r="AH5" s="219" t="s">
        <v>127</v>
      </c>
      <c r="AI5" s="219" t="s">
        <v>30</v>
      </c>
      <c r="AJ5" s="219" t="s">
        <v>31</v>
      </c>
      <c r="AK5" s="220" t="s">
        <v>24</v>
      </c>
      <c r="AL5" s="220" t="s">
        <v>23</v>
      </c>
      <c r="AM5" s="220" t="s">
        <v>127</v>
      </c>
      <c r="AN5" s="220" t="s">
        <v>30</v>
      </c>
      <c r="AO5" s="220" t="s">
        <v>31</v>
      </c>
      <c r="AP5" s="215" t="s">
        <v>24</v>
      </c>
      <c r="AQ5" s="215" t="s">
        <v>23</v>
      </c>
      <c r="AR5" s="215" t="s">
        <v>127</v>
      </c>
      <c r="AS5" s="215" t="s">
        <v>30</v>
      </c>
      <c r="AT5" s="215" t="s">
        <v>31</v>
      </c>
      <c r="AU5" s="221" t="s">
        <v>24</v>
      </c>
      <c r="AV5" s="221" t="s">
        <v>23</v>
      </c>
      <c r="AW5" s="221" t="s">
        <v>127</v>
      </c>
      <c r="AX5" s="221" t="s">
        <v>30</v>
      </c>
      <c r="AY5" s="221" t="s">
        <v>31</v>
      </c>
      <c r="AZ5" s="222" t="s">
        <v>24</v>
      </c>
      <c r="BA5" s="222" t="s">
        <v>23</v>
      </c>
      <c r="BB5" s="222" t="s">
        <v>127</v>
      </c>
      <c r="BC5" s="222" t="s">
        <v>30</v>
      </c>
      <c r="BD5" s="222" t="s">
        <v>31</v>
      </c>
      <c r="BE5" s="342"/>
      <c r="BF5" s="333"/>
      <c r="BG5" s="350"/>
      <c r="BH5" s="339"/>
      <c r="BI5" s="339"/>
      <c r="BJ5" s="339"/>
      <c r="BK5" s="346"/>
      <c r="BL5" s="121"/>
    </row>
    <row r="6" spans="1:65" s="76" customFormat="1" ht="21" customHeight="1">
      <c r="A6" s="212">
        <v>44135</v>
      </c>
      <c r="B6" s="223">
        <v>67783</v>
      </c>
      <c r="C6" s="223">
        <v>2133</v>
      </c>
      <c r="D6" s="224" t="e">
        <f>B6-B5</f>
        <v>#VALUE!</v>
      </c>
      <c r="E6" s="223" t="e">
        <f>D6*3.95</f>
        <v>#VALUE!</v>
      </c>
      <c r="F6" s="224"/>
      <c r="G6" s="225"/>
      <c r="H6" s="225"/>
      <c r="I6" s="225" t="e">
        <f>(G6-G5)</f>
        <v>#VALUE!</v>
      </c>
      <c r="J6" s="225" t="e">
        <f>I6*4.25</f>
        <v>#VALUE!</v>
      </c>
      <c r="K6" s="225"/>
      <c r="L6" s="123">
        <v>101264</v>
      </c>
      <c r="M6" s="123">
        <v>2293</v>
      </c>
      <c r="N6" s="123" t="e">
        <f>(L6-L5)</f>
        <v>#VALUE!</v>
      </c>
      <c r="O6" s="123" t="e">
        <f>N6*3.95</f>
        <v>#VALUE!</v>
      </c>
      <c r="P6" s="123"/>
      <c r="Q6" s="124">
        <v>152674</v>
      </c>
      <c r="R6" s="124">
        <v>5523</v>
      </c>
      <c r="S6" s="124" t="e">
        <f>(Q6-Q5)</f>
        <v>#VALUE!</v>
      </c>
      <c r="T6" s="124" t="e">
        <f>S6*3.95</f>
        <v>#VALUE!</v>
      </c>
      <c r="U6" s="124"/>
      <c r="V6" s="125">
        <v>19833</v>
      </c>
      <c r="W6" s="125">
        <v>3332</v>
      </c>
      <c r="X6" s="125" t="e">
        <f>(V6-V5)</f>
        <v>#VALUE!</v>
      </c>
      <c r="Y6" s="125" t="e">
        <f>X6*3.95</f>
        <v>#VALUE!</v>
      </c>
      <c r="Z6" s="125"/>
      <c r="AA6" s="126">
        <v>388272</v>
      </c>
      <c r="AB6" s="126">
        <v>13613</v>
      </c>
      <c r="AC6" s="126" t="e">
        <f>(AA6-AA5)</f>
        <v>#VALUE!</v>
      </c>
      <c r="AD6" s="126" t="e">
        <f>AC6*3.95</f>
        <v>#VALUE!</v>
      </c>
      <c r="AE6" s="126"/>
      <c r="AF6" s="127">
        <v>63684</v>
      </c>
      <c r="AG6" s="127">
        <v>2754</v>
      </c>
      <c r="AH6" s="127" t="e">
        <f>(AF6-AF5)</f>
        <v>#VALUE!</v>
      </c>
      <c r="AI6" s="127" t="e">
        <f>AH6*3.95</f>
        <v>#VALUE!</v>
      </c>
      <c r="AJ6" s="127"/>
      <c r="AK6" s="128">
        <v>514148</v>
      </c>
      <c r="AL6" s="128">
        <v>13958</v>
      </c>
      <c r="AM6" s="128" t="e">
        <f>(AK6-AK5)</f>
        <v>#VALUE!</v>
      </c>
      <c r="AN6" s="128" t="e">
        <f>AM6*3.95</f>
        <v>#VALUE!</v>
      </c>
      <c r="AO6" s="128"/>
      <c r="AP6" s="123">
        <v>6417</v>
      </c>
      <c r="AQ6" s="123">
        <v>12788</v>
      </c>
      <c r="AR6" s="123" t="e">
        <f>(AP6-AP5)</f>
        <v>#VALUE!</v>
      </c>
      <c r="AS6" s="123" t="e">
        <f>AR6*3.95</f>
        <v>#VALUE!</v>
      </c>
      <c r="AT6" s="123"/>
      <c r="AU6" s="129">
        <v>20108</v>
      </c>
      <c r="AV6" s="129">
        <v>2717</v>
      </c>
      <c r="AW6" s="129" t="e">
        <f>AU6-AU5</f>
        <v>#VALUE!</v>
      </c>
      <c r="AX6" s="129" t="e">
        <f>AW6*3.95</f>
        <v>#VALUE!</v>
      </c>
      <c r="AY6" s="129"/>
      <c r="AZ6" s="130">
        <v>75339</v>
      </c>
      <c r="BA6" s="130">
        <v>4945</v>
      </c>
      <c r="BB6" s="130" t="e">
        <f>(AZ6-AZ5)</f>
        <v>#VALUE!</v>
      </c>
      <c r="BC6" s="130" t="e">
        <f>BB6*3.95</f>
        <v>#VALUE!</v>
      </c>
      <c r="BD6" s="130"/>
      <c r="BE6" s="131" t="e">
        <f>D6+I6+N6+S6+X6+AC6+AH6+AM6+AR6+AW6+BB6</f>
        <v>#VALUE!</v>
      </c>
      <c r="BF6" s="132" t="e">
        <f>E6+J6+O6+T6+Y6+AD6+AI6+AN6+AS6+AX6+BC6</f>
        <v>#VALUE!</v>
      </c>
      <c r="BG6" s="259"/>
      <c r="BH6" s="136" t="e">
        <f>BE6</f>
        <v>#VALUE!</v>
      </c>
      <c r="BI6" s="111" t="e">
        <f>'B1 &amp; 102F 锅炉房'!C6</f>
        <v>#VALUE!</v>
      </c>
      <c r="BJ6" s="110" t="e">
        <f>'B1 &amp; 102F 锅炉房'!G6</f>
        <v>#VALUE!</v>
      </c>
      <c r="BK6" s="137" t="e">
        <f>SUM(BH6+BI6+BJ6)</f>
        <v>#VALUE!</v>
      </c>
    </row>
    <row r="7" spans="1:65" s="135" customFormat="1" ht="21" customHeight="1">
      <c r="A7" s="212">
        <v>44136</v>
      </c>
      <c r="B7" s="223">
        <v>67790</v>
      </c>
      <c r="C7" s="223">
        <v>2125</v>
      </c>
      <c r="D7" s="224">
        <f>B7-B6</f>
        <v>7</v>
      </c>
      <c r="E7" s="223">
        <f t="shared" ref="E7:E36" si="0">D7*3.95</f>
        <v>27.650000000000002</v>
      </c>
      <c r="F7" s="223"/>
      <c r="G7" s="225"/>
      <c r="H7" s="225"/>
      <c r="I7" s="225">
        <f>(G7-G6)</f>
        <v>0</v>
      </c>
      <c r="J7" s="225">
        <f>I7*4.25</f>
        <v>0</v>
      </c>
      <c r="K7" s="225"/>
      <c r="L7" s="123">
        <v>101300</v>
      </c>
      <c r="M7" s="123">
        <v>2257</v>
      </c>
      <c r="N7" s="123">
        <f>L7-L6</f>
        <v>36</v>
      </c>
      <c r="O7" s="123">
        <f t="shared" ref="O7:O36" si="1">N7*3.95</f>
        <v>142.20000000000002</v>
      </c>
      <c r="P7" s="123"/>
      <c r="Q7" s="124">
        <v>152674</v>
      </c>
      <c r="R7" s="124">
        <v>5523</v>
      </c>
      <c r="S7" s="124">
        <f t="shared" ref="S7:S13" si="2">(Q7-Q6)</f>
        <v>0</v>
      </c>
      <c r="T7" s="124">
        <f t="shared" ref="T7:T36" si="3">S7*3.95</f>
        <v>0</v>
      </c>
      <c r="U7" s="124"/>
      <c r="V7" s="125">
        <v>19836</v>
      </c>
      <c r="W7" s="125">
        <v>3329</v>
      </c>
      <c r="X7" s="125">
        <f>(V7-V6)</f>
        <v>3</v>
      </c>
      <c r="Y7" s="125">
        <f t="shared" ref="Y7:Y36" si="4">X7*3.95</f>
        <v>11.850000000000001</v>
      </c>
      <c r="Z7" s="125"/>
      <c r="AA7" s="126">
        <v>388423</v>
      </c>
      <c r="AB7" s="126">
        <v>13462</v>
      </c>
      <c r="AC7" s="126">
        <f>(AA7-AA6)</f>
        <v>151</v>
      </c>
      <c r="AD7" s="126">
        <f t="shared" ref="AD7:AD36" si="5">AC7*3.95</f>
        <v>596.45000000000005</v>
      </c>
      <c r="AE7" s="126"/>
      <c r="AF7" s="127">
        <v>63686</v>
      </c>
      <c r="AG7" s="127">
        <v>2752</v>
      </c>
      <c r="AH7" s="127">
        <f>(AF7-AF6)</f>
        <v>2</v>
      </c>
      <c r="AI7" s="127">
        <f t="shared" ref="AI7:AI36" si="6">AH7*3.95</f>
        <v>7.9</v>
      </c>
      <c r="AJ7" s="127"/>
      <c r="AK7" s="128">
        <v>514312</v>
      </c>
      <c r="AL7" s="128">
        <v>13794</v>
      </c>
      <c r="AM7" s="128">
        <f>(AK7-AK6)</f>
        <v>164</v>
      </c>
      <c r="AN7" s="128">
        <f t="shared" ref="AN7:AN36" si="7">AM7*3.95</f>
        <v>647.80000000000007</v>
      </c>
      <c r="AO7" s="128"/>
      <c r="AP7" s="123">
        <v>6542</v>
      </c>
      <c r="AQ7" s="123">
        <v>12662</v>
      </c>
      <c r="AR7" s="123">
        <f>(AP7-AP6)</f>
        <v>125</v>
      </c>
      <c r="AS7" s="123">
        <f t="shared" ref="AS7:AS36" si="8">AR7*3.95</f>
        <v>493.75</v>
      </c>
      <c r="AT7" s="123"/>
      <c r="AU7" s="129">
        <v>20123</v>
      </c>
      <c r="AV7" s="129">
        <v>2701</v>
      </c>
      <c r="AW7" s="129">
        <f>AU7-AU6</f>
        <v>15</v>
      </c>
      <c r="AX7" s="129">
        <f t="shared" ref="AX7:AX36" si="9">AW7*3.95</f>
        <v>59.25</v>
      </c>
      <c r="AY7" s="129"/>
      <c r="AZ7" s="130">
        <v>75359</v>
      </c>
      <c r="BA7" s="130">
        <v>4925</v>
      </c>
      <c r="BB7" s="130">
        <f>(AZ7-AZ6)</f>
        <v>20</v>
      </c>
      <c r="BC7" s="130">
        <f t="shared" ref="BC7:BC36" si="10">BB7*3.95</f>
        <v>79</v>
      </c>
      <c r="BD7" s="130"/>
      <c r="BE7" s="131">
        <f t="shared" ref="BE7:BE37" si="11">D7+I7+N7+S7+X7+AC7+AH7+AM7+AR7+AW7+BB7</f>
        <v>523</v>
      </c>
      <c r="BF7" s="132">
        <f t="shared" ref="BF7:BF37" si="12">E7+J7+O7+T7+Y7+AD7+AI7+AN7+AS7+AX7+BC7</f>
        <v>2065.8500000000004</v>
      </c>
      <c r="BG7" s="194"/>
      <c r="BH7" s="134">
        <f>SUM(BE7)</f>
        <v>523</v>
      </c>
      <c r="BI7" s="114">
        <f>'B1 &amp; 102F 锅炉房'!C7</f>
        <v>1361</v>
      </c>
      <c r="BJ7" s="85">
        <f>'B1 &amp; 102F 锅炉房'!G7</f>
        <v>916</v>
      </c>
      <c r="BK7" s="108">
        <f t="shared" ref="BK7:BK36" si="13">SUM(BH7+BI7+BJ7)</f>
        <v>2800</v>
      </c>
    </row>
    <row r="8" spans="1:65" s="77" customFormat="1" ht="21" customHeight="1">
      <c r="A8" s="212">
        <v>44137</v>
      </c>
      <c r="B8" s="223">
        <v>67823</v>
      </c>
      <c r="C8" s="223">
        <v>2093</v>
      </c>
      <c r="D8" s="224">
        <f t="shared" ref="D8:D34" si="14">B8-B7</f>
        <v>33</v>
      </c>
      <c r="E8" s="223">
        <f t="shared" si="0"/>
        <v>130.35</v>
      </c>
      <c r="F8" s="224"/>
      <c r="G8" s="225"/>
      <c r="H8" s="225"/>
      <c r="I8" s="225">
        <f t="shared" ref="I8:I34" si="15">(G8-G7)</f>
        <v>0</v>
      </c>
      <c r="J8" s="225">
        <f t="shared" ref="J8:J34" si="16">I8*4.25</f>
        <v>0</v>
      </c>
      <c r="K8" s="225"/>
      <c r="L8" s="123">
        <v>101319</v>
      </c>
      <c r="M8" s="123">
        <v>2238</v>
      </c>
      <c r="N8" s="123">
        <f>L8-L7</f>
        <v>19</v>
      </c>
      <c r="O8" s="123">
        <f t="shared" si="1"/>
        <v>75.05</v>
      </c>
      <c r="P8" s="123"/>
      <c r="Q8" s="124">
        <v>152674</v>
      </c>
      <c r="R8" s="124">
        <v>5523</v>
      </c>
      <c r="S8" s="124">
        <f t="shared" si="2"/>
        <v>0</v>
      </c>
      <c r="T8" s="124">
        <f t="shared" si="3"/>
        <v>0</v>
      </c>
      <c r="U8" s="124"/>
      <c r="V8" s="125">
        <v>19850</v>
      </c>
      <c r="W8" s="125">
        <v>3315</v>
      </c>
      <c r="X8" s="125">
        <f>(V8-V7)</f>
        <v>14</v>
      </c>
      <c r="Y8" s="125">
        <f t="shared" si="4"/>
        <v>55.300000000000004</v>
      </c>
      <c r="Z8" s="125"/>
      <c r="AA8" s="126">
        <v>388593</v>
      </c>
      <c r="AB8" s="126">
        <v>13293</v>
      </c>
      <c r="AC8" s="126">
        <f t="shared" ref="AC8:AC13" si="17">(AA8-AA7)</f>
        <v>170</v>
      </c>
      <c r="AD8" s="126">
        <f t="shared" si="5"/>
        <v>671.5</v>
      </c>
      <c r="AE8" s="126"/>
      <c r="AF8" s="127">
        <v>63690</v>
      </c>
      <c r="AG8" s="127">
        <v>2748</v>
      </c>
      <c r="AH8" s="127">
        <f t="shared" ref="AH8:AH13" si="18">(AF8-AF7)</f>
        <v>4</v>
      </c>
      <c r="AI8" s="127">
        <f t="shared" si="6"/>
        <v>15.8</v>
      </c>
      <c r="AJ8" s="127"/>
      <c r="AK8" s="128">
        <v>514453</v>
      </c>
      <c r="AL8" s="128">
        <v>13653</v>
      </c>
      <c r="AM8" s="128">
        <f t="shared" ref="AM8:AM13" si="19">(AK8-AK7)</f>
        <v>141</v>
      </c>
      <c r="AN8" s="128">
        <f t="shared" si="7"/>
        <v>556.95000000000005</v>
      </c>
      <c r="AO8" s="128"/>
      <c r="AP8" s="123">
        <v>6670</v>
      </c>
      <c r="AQ8" s="123">
        <v>12535</v>
      </c>
      <c r="AR8" s="123">
        <f t="shared" ref="AR8:AR24" si="20">(AP8-AP7)</f>
        <v>128</v>
      </c>
      <c r="AS8" s="123">
        <f t="shared" si="8"/>
        <v>505.6</v>
      </c>
      <c r="AT8" s="123"/>
      <c r="AU8" s="129">
        <v>20129</v>
      </c>
      <c r="AV8" s="129">
        <v>2695</v>
      </c>
      <c r="AW8" s="129">
        <f t="shared" ref="AW8:AW34" si="21">AU8-AU7</f>
        <v>6</v>
      </c>
      <c r="AX8" s="129">
        <f t="shared" si="9"/>
        <v>23.700000000000003</v>
      </c>
      <c r="AY8" s="129"/>
      <c r="AZ8" s="130">
        <v>75360</v>
      </c>
      <c r="BA8" s="130">
        <v>4925</v>
      </c>
      <c r="BB8" s="130">
        <f>(AZ8-AZ7)</f>
        <v>1</v>
      </c>
      <c r="BC8" s="130">
        <f t="shared" si="10"/>
        <v>3.95</v>
      </c>
      <c r="BD8" s="130"/>
      <c r="BE8" s="131">
        <f t="shared" si="11"/>
        <v>516</v>
      </c>
      <c r="BF8" s="132">
        <f t="shared" si="12"/>
        <v>2038.2000000000003</v>
      </c>
      <c r="BG8" s="133"/>
      <c r="BH8" s="136">
        <f>SUM(BE8)</f>
        <v>516</v>
      </c>
      <c r="BI8" s="111">
        <f>'B1 &amp; 102F 锅炉房'!C8</f>
        <v>1479</v>
      </c>
      <c r="BJ8" s="110">
        <f>'B1 &amp; 102F 锅炉房'!G8</f>
        <v>780</v>
      </c>
      <c r="BK8" s="137">
        <f t="shared" si="13"/>
        <v>2775</v>
      </c>
    </row>
    <row r="9" spans="1:65" ht="21" customHeight="1">
      <c r="A9" s="212">
        <v>44138</v>
      </c>
      <c r="B9" s="223">
        <v>67837</v>
      </c>
      <c r="C9" s="223">
        <v>2078</v>
      </c>
      <c r="D9" s="224">
        <f t="shared" si="14"/>
        <v>14</v>
      </c>
      <c r="E9" s="223">
        <f t="shared" si="0"/>
        <v>55.300000000000004</v>
      </c>
      <c r="F9" s="224"/>
      <c r="G9" s="225"/>
      <c r="H9" s="225"/>
      <c r="I9" s="225">
        <f>(G9-G8)</f>
        <v>0</v>
      </c>
      <c r="J9" s="225">
        <f t="shared" si="16"/>
        <v>0</v>
      </c>
      <c r="K9" s="225"/>
      <c r="L9" s="123">
        <v>101341</v>
      </c>
      <c r="M9" s="123">
        <v>2215</v>
      </c>
      <c r="N9" s="123">
        <f>L9-L8</f>
        <v>22</v>
      </c>
      <c r="O9" s="123">
        <f t="shared" si="1"/>
        <v>86.9</v>
      </c>
      <c r="P9" s="123"/>
      <c r="Q9" s="124">
        <v>152674</v>
      </c>
      <c r="R9" s="124">
        <v>5523</v>
      </c>
      <c r="S9" s="124">
        <f t="shared" si="2"/>
        <v>0</v>
      </c>
      <c r="T9" s="124">
        <f t="shared" si="3"/>
        <v>0</v>
      </c>
      <c r="U9" s="124"/>
      <c r="V9" s="125">
        <v>19856</v>
      </c>
      <c r="W9" s="125">
        <v>3309</v>
      </c>
      <c r="X9" s="125">
        <f>(V9-V8)</f>
        <v>6</v>
      </c>
      <c r="Y9" s="125">
        <f t="shared" si="4"/>
        <v>23.700000000000003</v>
      </c>
      <c r="Z9" s="125"/>
      <c r="AA9" s="126">
        <v>388744</v>
      </c>
      <c r="AB9" s="126">
        <v>13142</v>
      </c>
      <c r="AC9" s="126">
        <f t="shared" si="17"/>
        <v>151</v>
      </c>
      <c r="AD9" s="126">
        <f t="shared" si="5"/>
        <v>596.45000000000005</v>
      </c>
      <c r="AE9" s="126"/>
      <c r="AF9" s="127">
        <v>63694</v>
      </c>
      <c r="AG9" s="127">
        <v>2744</v>
      </c>
      <c r="AH9" s="127">
        <f t="shared" si="18"/>
        <v>4</v>
      </c>
      <c r="AI9" s="127">
        <f t="shared" si="6"/>
        <v>15.8</v>
      </c>
      <c r="AJ9" s="127"/>
      <c r="AK9" s="128">
        <v>514613</v>
      </c>
      <c r="AL9" s="128">
        <v>13493</v>
      </c>
      <c r="AM9" s="128">
        <f t="shared" si="19"/>
        <v>160</v>
      </c>
      <c r="AN9" s="128">
        <f t="shared" si="7"/>
        <v>632</v>
      </c>
      <c r="AO9" s="128"/>
      <c r="AP9" s="123">
        <v>6804</v>
      </c>
      <c r="AQ9" s="123">
        <v>12401</v>
      </c>
      <c r="AR9" s="123">
        <f t="shared" si="20"/>
        <v>134</v>
      </c>
      <c r="AS9" s="123">
        <f t="shared" si="8"/>
        <v>529.30000000000007</v>
      </c>
      <c r="AT9" s="123"/>
      <c r="AU9" s="129">
        <v>20138</v>
      </c>
      <c r="AV9" s="129">
        <v>2686</v>
      </c>
      <c r="AW9" s="129">
        <f t="shared" si="21"/>
        <v>9</v>
      </c>
      <c r="AX9" s="129">
        <f t="shared" si="9"/>
        <v>35.550000000000004</v>
      </c>
      <c r="AY9" s="129"/>
      <c r="AZ9" s="130">
        <v>75386</v>
      </c>
      <c r="BA9" s="130">
        <v>4897</v>
      </c>
      <c r="BB9" s="130">
        <f t="shared" ref="BB9:BB34" si="22">(AZ9-AZ8)</f>
        <v>26</v>
      </c>
      <c r="BC9" s="130">
        <f t="shared" si="10"/>
        <v>102.7</v>
      </c>
      <c r="BD9" s="130"/>
      <c r="BE9" s="131">
        <f t="shared" si="11"/>
        <v>526</v>
      </c>
      <c r="BF9" s="132">
        <f t="shared" si="12"/>
        <v>2077.7000000000003</v>
      </c>
      <c r="BG9" s="133"/>
      <c r="BH9" s="136">
        <f>SUM(BE9)</f>
        <v>526</v>
      </c>
      <c r="BI9" s="111">
        <f>'B1 &amp; 102F 锅炉房'!C9</f>
        <v>1614</v>
      </c>
      <c r="BJ9" s="110">
        <f>'B1 &amp; 102F 锅炉房'!G9</f>
        <v>854</v>
      </c>
      <c r="BK9" s="137">
        <f t="shared" si="13"/>
        <v>2994</v>
      </c>
    </row>
    <row r="10" spans="1:65" ht="21" customHeight="1">
      <c r="A10" s="212">
        <v>44139</v>
      </c>
      <c r="B10" s="223">
        <v>67854</v>
      </c>
      <c r="C10" s="223">
        <v>2062</v>
      </c>
      <c r="D10" s="224">
        <f t="shared" si="14"/>
        <v>17</v>
      </c>
      <c r="E10" s="223">
        <f t="shared" si="0"/>
        <v>67.150000000000006</v>
      </c>
      <c r="F10" s="224"/>
      <c r="G10" s="225"/>
      <c r="H10" s="225"/>
      <c r="I10" s="225">
        <f>(G10-G9)</f>
        <v>0</v>
      </c>
      <c r="J10" s="225">
        <f t="shared" si="16"/>
        <v>0</v>
      </c>
      <c r="K10" s="225"/>
      <c r="L10" s="123">
        <v>101363</v>
      </c>
      <c r="M10" s="123">
        <v>2194</v>
      </c>
      <c r="N10" s="123">
        <f t="shared" ref="N10:N16" si="23">(L10-L9)</f>
        <v>22</v>
      </c>
      <c r="O10" s="123">
        <f t="shared" si="1"/>
        <v>86.9</v>
      </c>
      <c r="P10" s="123"/>
      <c r="Q10" s="124">
        <v>152689</v>
      </c>
      <c r="R10" s="124">
        <v>5507</v>
      </c>
      <c r="S10" s="124">
        <f t="shared" si="2"/>
        <v>15</v>
      </c>
      <c r="T10" s="124">
        <f t="shared" si="3"/>
        <v>59.25</v>
      </c>
      <c r="U10" s="124"/>
      <c r="V10" s="125">
        <v>19895</v>
      </c>
      <c r="W10" s="125">
        <v>3270</v>
      </c>
      <c r="X10" s="125">
        <f t="shared" ref="X10:X34" si="24">(V10-V9)</f>
        <v>39</v>
      </c>
      <c r="Y10" s="125">
        <f t="shared" si="4"/>
        <v>154.05000000000001</v>
      </c>
      <c r="Z10" s="125"/>
      <c r="AA10" s="126">
        <v>388925</v>
      </c>
      <c r="AB10" s="126">
        <v>12960</v>
      </c>
      <c r="AC10" s="126">
        <f t="shared" si="17"/>
        <v>181</v>
      </c>
      <c r="AD10" s="126">
        <f t="shared" si="5"/>
        <v>714.95</v>
      </c>
      <c r="AE10" s="126"/>
      <c r="AF10" s="127">
        <v>63697</v>
      </c>
      <c r="AG10" s="127">
        <v>2741</v>
      </c>
      <c r="AH10" s="127">
        <f>(AF10-AF9)</f>
        <v>3</v>
      </c>
      <c r="AI10" s="127">
        <f t="shared" si="6"/>
        <v>11.850000000000001</v>
      </c>
      <c r="AJ10" s="127"/>
      <c r="AK10" s="128">
        <v>514815</v>
      </c>
      <c r="AL10" s="128">
        <v>13291</v>
      </c>
      <c r="AM10" s="128">
        <f>(AK10-AK9)</f>
        <v>202</v>
      </c>
      <c r="AN10" s="128">
        <f t="shared" si="7"/>
        <v>797.90000000000009</v>
      </c>
      <c r="AO10" s="128"/>
      <c r="AP10" s="123">
        <v>6932</v>
      </c>
      <c r="AQ10" s="123">
        <v>12272</v>
      </c>
      <c r="AR10" s="123">
        <f t="shared" si="20"/>
        <v>128</v>
      </c>
      <c r="AS10" s="123">
        <f t="shared" si="8"/>
        <v>505.6</v>
      </c>
      <c r="AT10" s="123"/>
      <c r="AU10" s="129">
        <v>20147</v>
      </c>
      <c r="AV10" s="129">
        <v>2677</v>
      </c>
      <c r="AW10" s="129">
        <f t="shared" si="21"/>
        <v>9</v>
      </c>
      <c r="AX10" s="129">
        <f t="shared" si="9"/>
        <v>35.550000000000004</v>
      </c>
      <c r="AY10" s="129"/>
      <c r="AZ10" s="130">
        <v>75407</v>
      </c>
      <c r="BA10" s="130">
        <v>4877</v>
      </c>
      <c r="BB10" s="130">
        <f>(AZ10-AZ9)</f>
        <v>21</v>
      </c>
      <c r="BC10" s="130">
        <f t="shared" si="10"/>
        <v>82.95</v>
      </c>
      <c r="BD10" s="130"/>
      <c r="BE10" s="131">
        <f t="shared" si="11"/>
        <v>637</v>
      </c>
      <c r="BF10" s="132">
        <f t="shared" si="12"/>
        <v>2516.15</v>
      </c>
      <c r="BG10" s="133"/>
      <c r="BH10" s="136">
        <f>SUM(BE10)</f>
        <v>637</v>
      </c>
      <c r="BI10" s="111">
        <f>'B1 &amp; 102F 锅炉房'!C10</f>
        <v>1440</v>
      </c>
      <c r="BJ10" s="110">
        <f>'B1 &amp; 102F 锅炉房'!G10</f>
        <v>866</v>
      </c>
      <c r="BK10" s="137">
        <f t="shared" si="13"/>
        <v>2943</v>
      </c>
    </row>
    <row r="11" spans="1:65" ht="21" customHeight="1">
      <c r="A11" s="212">
        <v>44140</v>
      </c>
      <c r="B11" s="223">
        <v>67868</v>
      </c>
      <c r="C11" s="223">
        <v>2048</v>
      </c>
      <c r="D11" s="224">
        <f t="shared" si="14"/>
        <v>14</v>
      </c>
      <c r="E11" s="223">
        <f t="shared" si="0"/>
        <v>55.300000000000004</v>
      </c>
      <c r="F11" s="224"/>
      <c r="G11" s="225"/>
      <c r="H11" s="225"/>
      <c r="I11" s="225">
        <f>(G11-G10)</f>
        <v>0</v>
      </c>
      <c r="J11" s="225">
        <f t="shared" si="16"/>
        <v>0</v>
      </c>
      <c r="K11" s="225"/>
      <c r="L11" s="123">
        <v>101398</v>
      </c>
      <c r="M11" s="123">
        <v>2159</v>
      </c>
      <c r="N11" s="123">
        <f t="shared" si="23"/>
        <v>35</v>
      </c>
      <c r="O11" s="123">
        <f t="shared" si="1"/>
        <v>138.25</v>
      </c>
      <c r="P11" s="123"/>
      <c r="Q11" s="124">
        <v>152689</v>
      </c>
      <c r="R11" s="124">
        <v>5507</v>
      </c>
      <c r="S11" s="124">
        <f t="shared" si="2"/>
        <v>0</v>
      </c>
      <c r="T11" s="124">
        <f t="shared" si="3"/>
        <v>0</v>
      </c>
      <c r="U11" s="124"/>
      <c r="V11" s="125">
        <v>19947</v>
      </c>
      <c r="W11" s="125">
        <v>3218</v>
      </c>
      <c r="X11" s="125">
        <f>(V11-V10)</f>
        <v>52</v>
      </c>
      <c r="Y11" s="125">
        <f t="shared" si="4"/>
        <v>205.4</v>
      </c>
      <c r="Z11" s="125"/>
      <c r="AA11" s="126">
        <v>389116</v>
      </c>
      <c r="AB11" s="126">
        <v>12769</v>
      </c>
      <c r="AC11" s="126">
        <f t="shared" si="17"/>
        <v>191</v>
      </c>
      <c r="AD11" s="126">
        <f t="shared" si="5"/>
        <v>754.45</v>
      </c>
      <c r="AE11" s="126"/>
      <c r="AF11" s="127">
        <v>63700</v>
      </c>
      <c r="AG11" s="127">
        <v>2738</v>
      </c>
      <c r="AH11" s="127">
        <f t="shared" si="18"/>
        <v>3</v>
      </c>
      <c r="AI11" s="127">
        <f t="shared" si="6"/>
        <v>11.850000000000001</v>
      </c>
      <c r="AJ11" s="127"/>
      <c r="AK11" s="128">
        <v>514970</v>
      </c>
      <c r="AL11" s="128">
        <v>13136</v>
      </c>
      <c r="AM11" s="128">
        <f>(AK11-AK10)</f>
        <v>155</v>
      </c>
      <c r="AN11" s="128">
        <f t="shared" si="7"/>
        <v>612.25</v>
      </c>
      <c r="AO11" s="128"/>
      <c r="AP11" s="123">
        <v>7052</v>
      </c>
      <c r="AQ11" s="123">
        <v>12153</v>
      </c>
      <c r="AR11" s="123">
        <f t="shared" si="20"/>
        <v>120</v>
      </c>
      <c r="AS11" s="123">
        <f t="shared" si="8"/>
        <v>474</v>
      </c>
      <c r="AT11" s="123"/>
      <c r="AU11" s="129">
        <v>20156</v>
      </c>
      <c r="AV11" s="129">
        <v>2668</v>
      </c>
      <c r="AW11" s="129">
        <f t="shared" si="21"/>
        <v>9</v>
      </c>
      <c r="AX11" s="129">
        <f t="shared" si="9"/>
        <v>35.550000000000004</v>
      </c>
      <c r="AY11" s="129"/>
      <c r="AZ11" s="130">
        <v>75432</v>
      </c>
      <c r="BA11" s="130">
        <v>4852</v>
      </c>
      <c r="BB11" s="130">
        <f t="shared" si="22"/>
        <v>25</v>
      </c>
      <c r="BC11" s="130">
        <f t="shared" si="10"/>
        <v>98.75</v>
      </c>
      <c r="BD11" s="130"/>
      <c r="BE11" s="131">
        <f t="shared" si="11"/>
        <v>604</v>
      </c>
      <c r="BF11" s="132">
        <f t="shared" si="12"/>
        <v>2385.8000000000002</v>
      </c>
      <c r="BG11" s="133"/>
      <c r="BH11" s="136">
        <f>SUM(BE11)</f>
        <v>604</v>
      </c>
      <c r="BI11" s="111">
        <f>'B1 &amp; 102F 锅炉房'!C11</f>
        <v>1303</v>
      </c>
      <c r="BJ11" s="110">
        <f>'B1 &amp; 102F 锅炉房'!G11</f>
        <v>885</v>
      </c>
      <c r="BK11" s="137">
        <f t="shared" si="13"/>
        <v>2792</v>
      </c>
    </row>
    <row r="12" spans="1:65" ht="21" customHeight="1">
      <c r="A12" s="212">
        <v>44141</v>
      </c>
      <c r="B12" s="223">
        <v>67880</v>
      </c>
      <c r="C12" s="223">
        <v>2036</v>
      </c>
      <c r="D12" s="224">
        <f t="shared" si="14"/>
        <v>12</v>
      </c>
      <c r="E12" s="223">
        <f t="shared" si="0"/>
        <v>47.400000000000006</v>
      </c>
      <c r="F12" s="224"/>
      <c r="G12" s="225"/>
      <c r="H12" s="225"/>
      <c r="I12" s="225">
        <f t="shared" si="15"/>
        <v>0</v>
      </c>
      <c r="J12" s="225">
        <f t="shared" si="16"/>
        <v>0</v>
      </c>
      <c r="K12" s="225"/>
      <c r="L12" s="123">
        <v>101426</v>
      </c>
      <c r="M12" s="123">
        <v>2131</v>
      </c>
      <c r="N12" s="123">
        <f t="shared" si="23"/>
        <v>28</v>
      </c>
      <c r="O12" s="123">
        <f t="shared" si="1"/>
        <v>110.60000000000001</v>
      </c>
      <c r="P12" s="123"/>
      <c r="Q12" s="124">
        <v>152753</v>
      </c>
      <c r="R12" s="124">
        <v>5443</v>
      </c>
      <c r="S12" s="124">
        <f t="shared" si="2"/>
        <v>64</v>
      </c>
      <c r="T12" s="124">
        <f t="shared" si="3"/>
        <v>252.8</v>
      </c>
      <c r="U12" s="124"/>
      <c r="V12" s="125">
        <v>19970</v>
      </c>
      <c r="W12" s="125">
        <v>3195</v>
      </c>
      <c r="X12" s="125">
        <f t="shared" si="24"/>
        <v>23</v>
      </c>
      <c r="Y12" s="125">
        <f t="shared" si="4"/>
        <v>90.850000000000009</v>
      </c>
      <c r="Z12" s="125"/>
      <c r="AA12" s="126">
        <v>389305</v>
      </c>
      <c r="AB12" s="126">
        <v>12580</v>
      </c>
      <c r="AC12" s="126">
        <f t="shared" si="17"/>
        <v>189</v>
      </c>
      <c r="AD12" s="126">
        <f t="shared" si="5"/>
        <v>746.55000000000007</v>
      </c>
      <c r="AE12" s="126"/>
      <c r="AF12" s="127">
        <v>63704</v>
      </c>
      <c r="AG12" s="127">
        <v>2734</v>
      </c>
      <c r="AH12" s="127">
        <f t="shared" si="18"/>
        <v>4</v>
      </c>
      <c r="AI12" s="127">
        <f t="shared" si="6"/>
        <v>15.8</v>
      </c>
      <c r="AJ12" s="127"/>
      <c r="AK12" s="128">
        <v>515130</v>
      </c>
      <c r="AL12" s="128">
        <v>12946</v>
      </c>
      <c r="AM12" s="128">
        <f t="shared" si="19"/>
        <v>160</v>
      </c>
      <c r="AN12" s="128">
        <f t="shared" si="7"/>
        <v>632</v>
      </c>
      <c r="AO12" s="128"/>
      <c r="AP12" s="123">
        <v>7181</v>
      </c>
      <c r="AQ12" s="123">
        <v>12024</v>
      </c>
      <c r="AR12" s="123">
        <f t="shared" si="20"/>
        <v>129</v>
      </c>
      <c r="AS12" s="123">
        <f t="shared" si="8"/>
        <v>509.55</v>
      </c>
      <c r="AT12" s="123"/>
      <c r="AU12" s="129">
        <v>20163</v>
      </c>
      <c r="AV12" s="129">
        <v>2661</v>
      </c>
      <c r="AW12" s="129">
        <f t="shared" si="21"/>
        <v>7</v>
      </c>
      <c r="AX12" s="129">
        <f t="shared" si="9"/>
        <v>27.650000000000002</v>
      </c>
      <c r="AY12" s="129"/>
      <c r="AZ12" s="130">
        <v>75456</v>
      </c>
      <c r="BA12" s="130">
        <v>4828</v>
      </c>
      <c r="BB12" s="130">
        <f t="shared" si="22"/>
        <v>24</v>
      </c>
      <c r="BC12" s="130">
        <f t="shared" si="10"/>
        <v>94.800000000000011</v>
      </c>
      <c r="BD12" s="130"/>
      <c r="BE12" s="131">
        <f t="shared" si="11"/>
        <v>640</v>
      </c>
      <c r="BF12" s="132">
        <f t="shared" si="12"/>
        <v>2528.0000000000005</v>
      </c>
      <c r="BG12" s="133"/>
      <c r="BH12" s="136">
        <f t="shared" ref="BH12:BH25" si="25">SUM(BE12)</f>
        <v>640</v>
      </c>
      <c r="BI12" s="111">
        <f>'B1 &amp; 102F 锅炉房'!C12</f>
        <v>1319</v>
      </c>
      <c r="BJ12" s="110">
        <f>'B1 &amp; 102F 锅炉房'!G12</f>
        <v>824</v>
      </c>
      <c r="BK12" s="137">
        <f t="shared" si="13"/>
        <v>2783</v>
      </c>
    </row>
    <row r="13" spans="1:65" s="76" customFormat="1" ht="21" customHeight="1">
      <c r="A13" s="212">
        <v>44142</v>
      </c>
      <c r="B13" s="223">
        <v>67888</v>
      </c>
      <c r="C13" s="223">
        <v>2027</v>
      </c>
      <c r="D13" s="224">
        <f t="shared" si="14"/>
        <v>8</v>
      </c>
      <c r="E13" s="223">
        <f t="shared" si="0"/>
        <v>31.6</v>
      </c>
      <c r="F13" s="224"/>
      <c r="G13" s="225"/>
      <c r="H13" s="225"/>
      <c r="I13" s="225">
        <f t="shared" si="15"/>
        <v>0</v>
      </c>
      <c r="J13" s="225">
        <f t="shared" si="16"/>
        <v>0</v>
      </c>
      <c r="K13" s="225"/>
      <c r="L13" s="123">
        <v>101458</v>
      </c>
      <c r="M13" s="123">
        <v>2098</v>
      </c>
      <c r="N13" s="123">
        <f t="shared" si="23"/>
        <v>32</v>
      </c>
      <c r="O13" s="123">
        <f t="shared" si="1"/>
        <v>126.4</v>
      </c>
      <c r="P13" s="123"/>
      <c r="Q13" s="124">
        <v>152753</v>
      </c>
      <c r="R13" s="124">
        <v>5443</v>
      </c>
      <c r="S13" s="124">
        <f t="shared" si="2"/>
        <v>0</v>
      </c>
      <c r="T13" s="124">
        <f t="shared" si="3"/>
        <v>0</v>
      </c>
      <c r="U13" s="124"/>
      <c r="V13" s="125">
        <v>19970</v>
      </c>
      <c r="W13" s="125">
        <v>3195</v>
      </c>
      <c r="X13" s="125">
        <f>(V13-V12)</f>
        <v>0</v>
      </c>
      <c r="Y13" s="125">
        <f t="shared" si="4"/>
        <v>0</v>
      </c>
      <c r="Z13" s="125"/>
      <c r="AA13" s="126">
        <v>389452</v>
      </c>
      <c r="AB13" s="126">
        <v>12433</v>
      </c>
      <c r="AC13" s="126">
        <f t="shared" si="17"/>
        <v>147</v>
      </c>
      <c r="AD13" s="126">
        <f t="shared" si="5"/>
        <v>580.65</v>
      </c>
      <c r="AE13" s="126"/>
      <c r="AF13" s="127">
        <v>63709</v>
      </c>
      <c r="AG13" s="127">
        <v>2729</v>
      </c>
      <c r="AH13" s="127">
        <f t="shared" si="18"/>
        <v>5</v>
      </c>
      <c r="AI13" s="127">
        <f t="shared" si="6"/>
        <v>19.75</v>
      </c>
      <c r="AJ13" s="127"/>
      <c r="AK13" s="128">
        <v>515352</v>
      </c>
      <c r="AL13" s="128">
        <v>12754</v>
      </c>
      <c r="AM13" s="128">
        <f t="shared" si="19"/>
        <v>222</v>
      </c>
      <c r="AN13" s="128">
        <f t="shared" si="7"/>
        <v>876.90000000000009</v>
      </c>
      <c r="AO13" s="128"/>
      <c r="AP13" s="123">
        <v>7305</v>
      </c>
      <c r="AQ13" s="123">
        <v>11910</v>
      </c>
      <c r="AR13" s="123">
        <f t="shared" si="20"/>
        <v>124</v>
      </c>
      <c r="AS13" s="123">
        <f t="shared" si="8"/>
        <v>489.8</v>
      </c>
      <c r="AT13" s="123"/>
      <c r="AU13" s="129">
        <v>20176</v>
      </c>
      <c r="AV13" s="129">
        <v>2646</v>
      </c>
      <c r="AW13" s="129">
        <f t="shared" si="21"/>
        <v>13</v>
      </c>
      <c r="AX13" s="129">
        <f t="shared" si="9"/>
        <v>51.35</v>
      </c>
      <c r="AY13" s="129"/>
      <c r="AZ13" s="130">
        <v>75481</v>
      </c>
      <c r="BA13" s="130">
        <v>4803</v>
      </c>
      <c r="BB13" s="130">
        <f t="shared" si="22"/>
        <v>25</v>
      </c>
      <c r="BC13" s="130">
        <f t="shared" si="10"/>
        <v>98.75</v>
      </c>
      <c r="BD13" s="130"/>
      <c r="BE13" s="131">
        <f t="shared" si="11"/>
        <v>576</v>
      </c>
      <c r="BF13" s="132">
        <f t="shared" si="12"/>
        <v>2275.2000000000003</v>
      </c>
      <c r="BG13" s="133"/>
      <c r="BH13" s="136">
        <f t="shared" si="25"/>
        <v>576</v>
      </c>
      <c r="BI13" s="111">
        <f>'B1 &amp; 102F 锅炉房'!C13</f>
        <v>1305</v>
      </c>
      <c r="BJ13" s="110">
        <f>'B1 &amp; 102F 锅炉房'!G13</f>
        <v>874</v>
      </c>
      <c r="BK13" s="137">
        <f t="shared" si="13"/>
        <v>2755</v>
      </c>
    </row>
    <row r="14" spans="1:65" s="76" customFormat="1" ht="21" customHeight="1">
      <c r="A14" s="212">
        <v>44143</v>
      </c>
      <c r="B14" s="223">
        <v>67899</v>
      </c>
      <c r="C14" s="223">
        <v>2017</v>
      </c>
      <c r="D14" s="224">
        <f t="shared" si="14"/>
        <v>11</v>
      </c>
      <c r="E14" s="223">
        <f t="shared" si="0"/>
        <v>43.45</v>
      </c>
      <c r="F14" s="224"/>
      <c r="G14" s="225"/>
      <c r="H14" s="225"/>
      <c r="I14" s="225">
        <f t="shared" si="15"/>
        <v>0</v>
      </c>
      <c r="J14" s="225">
        <f t="shared" si="16"/>
        <v>0</v>
      </c>
      <c r="K14" s="225"/>
      <c r="L14" s="123">
        <v>101482</v>
      </c>
      <c r="M14" s="123">
        <v>2074</v>
      </c>
      <c r="N14" s="123">
        <f t="shared" si="23"/>
        <v>24</v>
      </c>
      <c r="O14" s="123">
        <f t="shared" si="1"/>
        <v>94.800000000000011</v>
      </c>
      <c r="P14" s="123"/>
      <c r="Q14" s="124">
        <v>152753</v>
      </c>
      <c r="R14" s="124">
        <v>5443</v>
      </c>
      <c r="S14" s="124">
        <f>(Q14-Q13)</f>
        <v>0</v>
      </c>
      <c r="T14" s="124">
        <f t="shared" si="3"/>
        <v>0</v>
      </c>
      <c r="U14" s="124"/>
      <c r="V14" s="125">
        <v>19970</v>
      </c>
      <c r="W14" s="125">
        <v>3195</v>
      </c>
      <c r="X14" s="125">
        <f t="shared" si="24"/>
        <v>0</v>
      </c>
      <c r="Y14" s="125">
        <f t="shared" si="4"/>
        <v>0</v>
      </c>
      <c r="Z14" s="125"/>
      <c r="AA14" s="126">
        <v>389599</v>
      </c>
      <c r="AB14" s="126">
        <v>12286</v>
      </c>
      <c r="AC14" s="126">
        <f>(AA14-AA13)</f>
        <v>147</v>
      </c>
      <c r="AD14" s="126">
        <f t="shared" si="5"/>
        <v>580.65</v>
      </c>
      <c r="AE14" s="126"/>
      <c r="AF14" s="127">
        <v>63712</v>
      </c>
      <c r="AG14" s="127">
        <v>2726</v>
      </c>
      <c r="AH14" s="127">
        <f>(AF14-AF13)</f>
        <v>3</v>
      </c>
      <c r="AI14" s="127">
        <f t="shared" si="6"/>
        <v>11.850000000000001</v>
      </c>
      <c r="AJ14" s="127"/>
      <c r="AK14" s="128">
        <v>515544</v>
      </c>
      <c r="AL14" s="128">
        <v>12562</v>
      </c>
      <c r="AM14" s="128">
        <f>(AK14-AK13)</f>
        <v>192</v>
      </c>
      <c r="AN14" s="128">
        <f t="shared" si="7"/>
        <v>758.40000000000009</v>
      </c>
      <c r="AO14" s="128"/>
      <c r="AP14" s="123">
        <v>7434</v>
      </c>
      <c r="AQ14" s="123">
        <v>11771</v>
      </c>
      <c r="AR14" s="123">
        <f t="shared" si="20"/>
        <v>129</v>
      </c>
      <c r="AS14" s="123">
        <f t="shared" si="8"/>
        <v>509.55</v>
      </c>
      <c r="AT14" s="123"/>
      <c r="AU14" s="129">
        <v>20187</v>
      </c>
      <c r="AV14" s="129">
        <v>2638</v>
      </c>
      <c r="AW14" s="129">
        <f t="shared" si="21"/>
        <v>11</v>
      </c>
      <c r="AX14" s="129">
        <f t="shared" si="9"/>
        <v>43.45</v>
      </c>
      <c r="AY14" s="129"/>
      <c r="AZ14" s="130">
        <v>75493</v>
      </c>
      <c r="BA14" s="130">
        <v>4785</v>
      </c>
      <c r="BB14" s="130">
        <f t="shared" si="22"/>
        <v>12</v>
      </c>
      <c r="BC14" s="130">
        <f t="shared" si="10"/>
        <v>47.400000000000006</v>
      </c>
      <c r="BD14" s="130"/>
      <c r="BE14" s="131">
        <f t="shared" si="11"/>
        <v>529</v>
      </c>
      <c r="BF14" s="132">
        <f t="shared" si="12"/>
        <v>2089.5500000000002</v>
      </c>
      <c r="BG14" s="133"/>
      <c r="BH14" s="136">
        <f t="shared" si="25"/>
        <v>529</v>
      </c>
      <c r="BI14" s="111">
        <f>'B1 &amp; 102F 锅炉房'!C14</f>
        <v>1285</v>
      </c>
      <c r="BJ14" s="110">
        <f>'B1 &amp; 102F 锅炉房'!G14</f>
        <v>859</v>
      </c>
      <c r="BK14" s="137">
        <f t="shared" si="13"/>
        <v>2673</v>
      </c>
    </row>
    <row r="15" spans="1:65" s="76" customFormat="1" ht="21" customHeight="1">
      <c r="A15" s="212">
        <v>44144</v>
      </c>
      <c r="B15" s="223">
        <v>67908</v>
      </c>
      <c r="C15" s="223">
        <v>2007</v>
      </c>
      <c r="D15" s="224">
        <f>B15-B14</f>
        <v>9</v>
      </c>
      <c r="E15" s="223">
        <f t="shared" si="0"/>
        <v>35.550000000000004</v>
      </c>
      <c r="F15" s="224"/>
      <c r="G15" s="225"/>
      <c r="H15" s="225"/>
      <c r="I15" s="225">
        <f t="shared" si="15"/>
        <v>0</v>
      </c>
      <c r="J15" s="225">
        <f t="shared" si="16"/>
        <v>0</v>
      </c>
      <c r="K15" s="225"/>
      <c r="L15" s="123">
        <v>101513</v>
      </c>
      <c r="M15" s="123">
        <v>2044</v>
      </c>
      <c r="N15" s="123">
        <f>(L15-L14)</f>
        <v>31</v>
      </c>
      <c r="O15" s="123">
        <f t="shared" si="1"/>
        <v>122.45</v>
      </c>
      <c r="P15" s="123"/>
      <c r="Q15" s="124">
        <v>152768</v>
      </c>
      <c r="R15" s="124">
        <v>5428</v>
      </c>
      <c r="S15" s="124">
        <f>(Q15-Q14)</f>
        <v>15</v>
      </c>
      <c r="T15" s="124">
        <f t="shared" si="3"/>
        <v>59.25</v>
      </c>
      <c r="U15" s="124"/>
      <c r="V15" s="125">
        <v>19970</v>
      </c>
      <c r="W15" s="125">
        <v>3195</v>
      </c>
      <c r="X15" s="125">
        <f t="shared" si="24"/>
        <v>0</v>
      </c>
      <c r="Y15" s="125">
        <f t="shared" si="4"/>
        <v>0</v>
      </c>
      <c r="Z15" s="125"/>
      <c r="AA15" s="126">
        <v>389752</v>
      </c>
      <c r="AB15" s="126">
        <v>12133</v>
      </c>
      <c r="AC15" s="126">
        <f>(AA15-AA14)</f>
        <v>153</v>
      </c>
      <c r="AD15" s="126">
        <f t="shared" si="5"/>
        <v>604.35</v>
      </c>
      <c r="AE15" s="126"/>
      <c r="AF15" s="127">
        <v>63716</v>
      </c>
      <c r="AG15" s="127">
        <v>2722</v>
      </c>
      <c r="AH15" s="127">
        <f>(AF15-AF14)</f>
        <v>4</v>
      </c>
      <c r="AI15" s="127">
        <f t="shared" si="6"/>
        <v>15.8</v>
      </c>
      <c r="AJ15" s="127"/>
      <c r="AK15" s="128">
        <v>515685</v>
      </c>
      <c r="AL15" s="128">
        <v>12421</v>
      </c>
      <c r="AM15" s="128">
        <f>(AK15-AK14)</f>
        <v>141</v>
      </c>
      <c r="AN15" s="128">
        <f t="shared" si="7"/>
        <v>556.95000000000005</v>
      </c>
      <c r="AO15" s="128"/>
      <c r="AP15" s="123">
        <v>7550</v>
      </c>
      <c r="AQ15" s="123">
        <v>11654</v>
      </c>
      <c r="AR15" s="123">
        <f t="shared" si="20"/>
        <v>116</v>
      </c>
      <c r="AS15" s="123">
        <f t="shared" si="8"/>
        <v>458.20000000000005</v>
      </c>
      <c r="AT15" s="123"/>
      <c r="AU15" s="129">
        <v>20192</v>
      </c>
      <c r="AV15" s="129">
        <v>2632</v>
      </c>
      <c r="AW15" s="129">
        <f t="shared" si="21"/>
        <v>5</v>
      </c>
      <c r="AX15" s="129">
        <f t="shared" si="9"/>
        <v>19.75</v>
      </c>
      <c r="AY15" s="129"/>
      <c r="AZ15" s="130">
        <v>75493</v>
      </c>
      <c r="BA15" s="130">
        <v>4785</v>
      </c>
      <c r="BB15" s="130">
        <f t="shared" si="22"/>
        <v>0</v>
      </c>
      <c r="BC15" s="130">
        <f t="shared" si="10"/>
        <v>0</v>
      </c>
      <c r="BD15" s="130"/>
      <c r="BE15" s="131">
        <f t="shared" si="11"/>
        <v>474</v>
      </c>
      <c r="BF15" s="132">
        <f t="shared" si="12"/>
        <v>1872.3</v>
      </c>
      <c r="BG15" s="133"/>
      <c r="BH15" s="136">
        <f t="shared" si="25"/>
        <v>474</v>
      </c>
      <c r="BI15" s="111">
        <f>'B1 &amp; 102F 锅炉房'!C15</f>
        <v>1313</v>
      </c>
      <c r="BJ15" s="110">
        <f>'B1 &amp; 102F 锅炉房'!G15</f>
        <v>769</v>
      </c>
      <c r="BK15" s="137">
        <f t="shared" si="13"/>
        <v>2556</v>
      </c>
    </row>
    <row r="16" spans="1:65" s="76" customFormat="1" ht="21" customHeight="1">
      <c r="A16" s="212">
        <v>44145</v>
      </c>
      <c r="B16" s="223">
        <v>67922</v>
      </c>
      <c r="C16" s="223">
        <v>1993</v>
      </c>
      <c r="D16" s="224">
        <f>B16-B15</f>
        <v>14</v>
      </c>
      <c r="E16" s="223">
        <f t="shared" si="0"/>
        <v>55.300000000000004</v>
      </c>
      <c r="F16" s="224"/>
      <c r="G16" s="225"/>
      <c r="H16" s="225"/>
      <c r="I16" s="225">
        <f t="shared" si="15"/>
        <v>0</v>
      </c>
      <c r="J16" s="225">
        <f t="shared" si="16"/>
        <v>0</v>
      </c>
      <c r="K16" s="225"/>
      <c r="L16" s="123">
        <v>101542</v>
      </c>
      <c r="M16" s="123">
        <v>2015</v>
      </c>
      <c r="N16" s="123">
        <f t="shared" si="23"/>
        <v>29</v>
      </c>
      <c r="O16" s="123">
        <f t="shared" si="1"/>
        <v>114.55000000000001</v>
      </c>
      <c r="P16" s="123"/>
      <c r="Q16" s="124">
        <v>152770</v>
      </c>
      <c r="R16" s="124">
        <v>5427</v>
      </c>
      <c r="S16" s="124">
        <f>(Q16-Q15)</f>
        <v>2</v>
      </c>
      <c r="T16" s="124">
        <f t="shared" si="3"/>
        <v>7.9</v>
      </c>
      <c r="U16" s="124"/>
      <c r="V16" s="125">
        <v>20089</v>
      </c>
      <c r="W16" s="125">
        <v>3076</v>
      </c>
      <c r="X16" s="125">
        <f t="shared" si="24"/>
        <v>119</v>
      </c>
      <c r="Y16" s="125">
        <f t="shared" si="4"/>
        <v>470.05</v>
      </c>
      <c r="Z16" s="125"/>
      <c r="AA16" s="126">
        <v>389919</v>
      </c>
      <c r="AB16" s="126">
        <v>11966</v>
      </c>
      <c r="AC16" s="126">
        <f>(AA16-AA15)</f>
        <v>167</v>
      </c>
      <c r="AD16" s="126">
        <f t="shared" si="5"/>
        <v>659.65</v>
      </c>
      <c r="AE16" s="126"/>
      <c r="AF16" s="127">
        <v>63721</v>
      </c>
      <c r="AG16" s="127">
        <v>2717</v>
      </c>
      <c r="AH16" s="127">
        <f>(AF16-AF15)</f>
        <v>5</v>
      </c>
      <c r="AI16" s="127">
        <f t="shared" si="6"/>
        <v>19.75</v>
      </c>
      <c r="AJ16" s="127"/>
      <c r="AK16" s="128">
        <v>515834</v>
      </c>
      <c r="AL16" s="128">
        <v>12272</v>
      </c>
      <c r="AM16" s="128">
        <f>(AK16-AK15)</f>
        <v>149</v>
      </c>
      <c r="AN16" s="128">
        <f t="shared" si="7"/>
        <v>588.55000000000007</v>
      </c>
      <c r="AO16" s="128"/>
      <c r="AP16" s="123">
        <v>7677</v>
      </c>
      <c r="AQ16" s="123">
        <v>11528</v>
      </c>
      <c r="AR16" s="123">
        <f t="shared" si="20"/>
        <v>127</v>
      </c>
      <c r="AS16" s="123">
        <f t="shared" si="8"/>
        <v>501.65000000000003</v>
      </c>
      <c r="AT16" s="123"/>
      <c r="AU16" s="129">
        <v>20198</v>
      </c>
      <c r="AV16" s="129">
        <v>2627</v>
      </c>
      <c r="AW16" s="129">
        <f t="shared" si="21"/>
        <v>6</v>
      </c>
      <c r="AX16" s="129">
        <f t="shared" si="9"/>
        <v>23.700000000000003</v>
      </c>
      <c r="AY16" s="129"/>
      <c r="AZ16" s="130">
        <v>75520</v>
      </c>
      <c r="BA16" s="130">
        <v>4764</v>
      </c>
      <c r="BB16" s="130">
        <f t="shared" si="22"/>
        <v>27</v>
      </c>
      <c r="BC16" s="130">
        <f t="shared" si="10"/>
        <v>106.65</v>
      </c>
      <c r="BD16" s="130"/>
      <c r="BE16" s="131">
        <f t="shared" si="11"/>
        <v>645</v>
      </c>
      <c r="BF16" s="132">
        <f t="shared" si="12"/>
        <v>2547.75</v>
      </c>
      <c r="BG16" s="133"/>
      <c r="BH16" s="136">
        <f t="shared" si="25"/>
        <v>645</v>
      </c>
      <c r="BI16" s="111">
        <f>'B1 &amp; 102F 锅炉房'!C16</f>
        <v>1293</v>
      </c>
      <c r="BJ16" s="110">
        <f>'B1 &amp; 102F 锅炉房'!G16</f>
        <v>790</v>
      </c>
      <c r="BK16" s="137">
        <f t="shared" si="13"/>
        <v>2728</v>
      </c>
      <c r="BM16" s="76" t="s">
        <v>87</v>
      </c>
    </row>
    <row r="17" spans="1:65" s="76" customFormat="1" ht="21" customHeight="1">
      <c r="A17" s="212">
        <v>44146</v>
      </c>
      <c r="B17" s="223">
        <v>67935</v>
      </c>
      <c r="C17" s="223">
        <v>1980</v>
      </c>
      <c r="D17" s="224">
        <f t="shared" si="14"/>
        <v>13</v>
      </c>
      <c r="E17" s="223">
        <f t="shared" si="0"/>
        <v>51.35</v>
      </c>
      <c r="F17" s="224"/>
      <c r="G17" s="225"/>
      <c r="H17" s="225"/>
      <c r="I17" s="225">
        <f t="shared" si="15"/>
        <v>0</v>
      </c>
      <c r="J17" s="225">
        <f t="shared" si="16"/>
        <v>0</v>
      </c>
      <c r="K17" s="225"/>
      <c r="L17" s="123">
        <v>101572</v>
      </c>
      <c r="M17" s="123">
        <v>1985</v>
      </c>
      <c r="N17" s="123">
        <f t="shared" ref="N17:N34" si="26">(L17-L16)</f>
        <v>30</v>
      </c>
      <c r="O17" s="123">
        <f t="shared" si="1"/>
        <v>118.5</v>
      </c>
      <c r="P17" s="123"/>
      <c r="Q17" s="124">
        <v>152770</v>
      </c>
      <c r="R17" s="124">
        <v>5427</v>
      </c>
      <c r="S17" s="124">
        <f t="shared" ref="S17:S34" si="27">(Q17-Q16)</f>
        <v>0</v>
      </c>
      <c r="T17" s="124">
        <f t="shared" si="3"/>
        <v>0</v>
      </c>
      <c r="U17" s="124"/>
      <c r="V17" s="125">
        <v>20089</v>
      </c>
      <c r="W17" s="125">
        <v>3076</v>
      </c>
      <c r="X17" s="125">
        <f t="shared" si="24"/>
        <v>0</v>
      </c>
      <c r="Y17" s="125">
        <f t="shared" si="4"/>
        <v>0</v>
      </c>
      <c r="Z17" s="125"/>
      <c r="AA17" s="126">
        <v>390119</v>
      </c>
      <c r="AB17" s="126">
        <v>11766</v>
      </c>
      <c r="AC17" s="126">
        <f t="shared" ref="AC17:AC34" si="28">(AA17-AA16)</f>
        <v>200</v>
      </c>
      <c r="AD17" s="126">
        <f t="shared" si="5"/>
        <v>790</v>
      </c>
      <c r="AE17" s="126"/>
      <c r="AF17" s="127">
        <v>63727</v>
      </c>
      <c r="AG17" s="127">
        <v>2712</v>
      </c>
      <c r="AH17" s="127">
        <f t="shared" ref="AH17:AH34" si="29">(AF17-AF16)</f>
        <v>6</v>
      </c>
      <c r="AI17" s="127">
        <f t="shared" si="6"/>
        <v>23.700000000000003</v>
      </c>
      <c r="AJ17" s="127"/>
      <c r="AK17" s="128">
        <v>515993</v>
      </c>
      <c r="AL17" s="128">
        <v>12114</v>
      </c>
      <c r="AM17" s="128">
        <f t="shared" ref="AM17:AM34" si="30">(AK17-AK16)</f>
        <v>159</v>
      </c>
      <c r="AN17" s="128">
        <f t="shared" si="7"/>
        <v>628.05000000000007</v>
      </c>
      <c r="AO17" s="128"/>
      <c r="AP17" s="123">
        <v>7802</v>
      </c>
      <c r="AQ17" s="123">
        <v>11402</v>
      </c>
      <c r="AR17" s="123">
        <f t="shared" si="20"/>
        <v>125</v>
      </c>
      <c r="AS17" s="123">
        <f t="shared" si="8"/>
        <v>493.75</v>
      </c>
      <c r="AT17" s="123"/>
      <c r="AU17" s="129">
        <v>20204</v>
      </c>
      <c r="AV17" s="129">
        <v>2621</v>
      </c>
      <c r="AW17" s="129">
        <f t="shared" si="21"/>
        <v>6</v>
      </c>
      <c r="AX17" s="129">
        <f t="shared" si="9"/>
        <v>23.700000000000003</v>
      </c>
      <c r="AY17" s="129"/>
      <c r="AZ17" s="130">
        <v>75548</v>
      </c>
      <c r="BA17" s="130">
        <v>4736</v>
      </c>
      <c r="BB17" s="130">
        <f t="shared" si="22"/>
        <v>28</v>
      </c>
      <c r="BC17" s="130">
        <f t="shared" si="10"/>
        <v>110.60000000000001</v>
      </c>
      <c r="BD17" s="130"/>
      <c r="BE17" s="131">
        <f t="shared" si="11"/>
        <v>567</v>
      </c>
      <c r="BF17" s="132">
        <f t="shared" si="12"/>
        <v>2239.65</v>
      </c>
      <c r="BG17" s="133"/>
      <c r="BH17" s="136">
        <f t="shared" si="25"/>
        <v>567</v>
      </c>
      <c r="BI17" s="111">
        <f>'B1 &amp; 102F 锅炉房'!C17</f>
        <v>1391</v>
      </c>
      <c r="BJ17" s="110">
        <f>'B1 &amp; 102F 锅炉房'!G17</f>
        <v>791</v>
      </c>
      <c r="BK17" s="137">
        <f t="shared" si="13"/>
        <v>2749</v>
      </c>
      <c r="BL17" s="76" t="s">
        <v>88</v>
      </c>
    </row>
    <row r="18" spans="1:65" ht="21" customHeight="1">
      <c r="A18" s="212">
        <v>44147</v>
      </c>
      <c r="B18" s="223">
        <v>67989</v>
      </c>
      <c r="C18" s="223">
        <v>192</v>
      </c>
      <c r="D18" s="224">
        <f t="shared" si="14"/>
        <v>54</v>
      </c>
      <c r="E18" s="223">
        <f t="shared" si="0"/>
        <v>213.3</v>
      </c>
      <c r="F18" s="224"/>
      <c r="G18" s="225"/>
      <c r="H18" s="225"/>
      <c r="I18" s="225">
        <f t="shared" si="15"/>
        <v>0</v>
      </c>
      <c r="J18" s="225">
        <f t="shared" si="16"/>
        <v>0</v>
      </c>
      <c r="K18" s="225"/>
      <c r="L18" s="123">
        <v>101613</v>
      </c>
      <c r="M18" s="123">
        <v>1944</v>
      </c>
      <c r="N18" s="123">
        <f>(L18-L17)</f>
        <v>41</v>
      </c>
      <c r="O18" s="123">
        <f t="shared" si="1"/>
        <v>161.95000000000002</v>
      </c>
      <c r="P18" s="123"/>
      <c r="Q18" s="124">
        <v>152793</v>
      </c>
      <c r="R18" s="124">
        <v>5403</v>
      </c>
      <c r="S18" s="124">
        <f>(Q18-Q17)</f>
        <v>23</v>
      </c>
      <c r="T18" s="124">
        <f t="shared" si="3"/>
        <v>90.850000000000009</v>
      </c>
      <c r="U18" s="124"/>
      <c r="V18" s="125">
        <v>20262</v>
      </c>
      <c r="W18" s="125">
        <v>2903</v>
      </c>
      <c r="X18" s="125">
        <f>(V18-V17)</f>
        <v>173</v>
      </c>
      <c r="Y18" s="125">
        <f t="shared" si="4"/>
        <v>683.35</v>
      </c>
      <c r="Z18" s="125"/>
      <c r="AA18" s="126">
        <v>390314</v>
      </c>
      <c r="AB18" s="126">
        <v>11571</v>
      </c>
      <c r="AC18" s="126">
        <f>(AA18-AA17)</f>
        <v>195</v>
      </c>
      <c r="AD18" s="126">
        <f t="shared" si="5"/>
        <v>770.25</v>
      </c>
      <c r="AE18" s="126"/>
      <c r="AF18" s="127">
        <v>63732</v>
      </c>
      <c r="AG18" s="127">
        <v>2706</v>
      </c>
      <c r="AH18" s="127">
        <f>(AF18-AF17)</f>
        <v>5</v>
      </c>
      <c r="AI18" s="127">
        <f t="shared" si="6"/>
        <v>19.75</v>
      </c>
      <c r="AJ18" s="127"/>
      <c r="AK18" s="128">
        <v>516172</v>
      </c>
      <c r="AL18" s="128">
        <v>11934</v>
      </c>
      <c r="AM18" s="128">
        <f>(AK18-AK17)</f>
        <v>179</v>
      </c>
      <c r="AN18" s="128">
        <f t="shared" si="7"/>
        <v>707.05000000000007</v>
      </c>
      <c r="AO18" s="128"/>
      <c r="AP18" s="123">
        <v>7931</v>
      </c>
      <c r="AQ18" s="123">
        <v>11274</v>
      </c>
      <c r="AR18" s="123">
        <f t="shared" si="20"/>
        <v>129</v>
      </c>
      <c r="AS18" s="123">
        <f t="shared" si="8"/>
        <v>509.55</v>
      </c>
      <c r="AT18" s="123"/>
      <c r="AU18" s="129">
        <v>20213</v>
      </c>
      <c r="AV18" s="129">
        <v>2611</v>
      </c>
      <c r="AW18" s="129">
        <f t="shared" si="21"/>
        <v>9</v>
      </c>
      <c r="AX18" s="129">
        <f t="shared" si="9"/>
        <v>35.550000000000004</v>
      </c>
      <c r="AY18" s="129"/>
      <c r="AZ18" s="130">
        <v>75571</v>
      </c>
      <c r="BA18" s="130">
        <v>4713</v>
      </c>
      <c r="BB18" s="130">
        <f>(AZ18-AZ17)</f>
        <v>23</v>
      </c>
      <c r="BC18" s="130">
        <f t="shared" si="10"/>
        <v>90.850000000000009</v>
      </c>
      <c r="BD18" s="130"/>
      <c r="BE18" s="131">
        <f t="shared" si="11"/>
        <v>831</v>
      </c>
      <c r="BF18" s="132">
        <f t="shared" si="12"/>
        <v>3282.4500000000003</v>
      </c>
      <c r="BG18" s="133"/>
      <c r="BH18" s="136">
        <f t="shared" si="25"/>
        <v>831</v>
      </c>
      <c r="BI18" s="111">
        <f>'B1 &amp; 102F 锅炉房'!C18</f>
        <v>1368</v>
      </c>
      <c r="BJ18" s="110">
        <f>'B1 &amp; 102F 锅炉房'!G18</f>
        <v>809</v>
      </c>
      <c r="BK18" s="137">
        <f t="shared" si="13"/>
        <v>3008</v>
      </c>
    </row>
    <row r="19" spans="1:65" s="76" customFormat="1" ht="21" customHeight="1">
      <c r="A19" s="212">
        <v>44148</v>
      </c>
      <c r="B19" s="223">
        <v>68005</v>
      </c>
      <c r="C19" s="223">
        <v>1910</v>
      </c>
      <c r="D19" s="224">
        <f t="shared" si="14"/>
        <v>16</v>
      </c>
      <c r="E19" s="223">
        <f t="shared" si="0"/>
        <v>63.2</v>
      </c>
      <c r="F19" s="224"/>
      <c r="G19" s="225"/>
      <c r="H19" s="225"/>
      <c r="I19" s="225">
        <f t="shared" si="15"/>
        <v>0</v>
      </c>
      <c r="J19" s="225">
        <f t="shared" si="16"/>
        <v>0</v>
      </c>
      <c r="K19" s="225"/>
      <c r="L19" s="123">
        <v>101637</v>
      </c>
      <c r="M19" s="123">
        <v>1920</v>
      </c>
      <c r="N19" s="123">
        <f>(L19-L18)</f>
        <v>24</v>
      </c>
      <c r="O19" s="123">
        <f t="shared" si="1"/>
        <v>94.800000000000011</v>
      </c>
      <c r="P19" s="123"/>
      <c r="Q19" s="124">
        <v>152811</v>
      </c>
      <c r="R19" s="124">
        <v>5385</v>
      </c>
      <c r="S19" s="124">
        <f>(Q19-Q18)</f>
        <v>18</v>
      </c>
      <c r="T19" s="124">
        <f t="shared" si="3"/>
        <v>71.100000000000009</v>
      </c>
      <c r="U19" s="124"/>
      <c r="V19" s="125">
        <v>20344</v>
      </c>
      <c r="W19" s="125">
        <v>2821</v>
      </c>
      <c r="X19" s="125">
        <f>(V19-V18)</f>
        <v>82</v>
      </c>
      <c r="Y19" s="125">
        <f t="shared" si="4"/>
        <v>323.90000000000003</v>
      </c>
      <c r="Z19" s="125"/>
      <c r="AA19" s="126">
        <v>390489</v>
      </c>
      <c r="AB19" s="126">
        <v>11397</v>
      </c>
      <c r="AC19" s="126">
        <f>(AA19-AA18)</f>
        <v>175</v>
      </c>
      <c r="AD19" s="126">
        <f t="shared" si="5"/>
        <v>691.25</v>
      </c>
      <c r="AE19" s="126"/>
      <c r="AF19" s="127">
        <v>63738</v>
      </c>
      <c r="AG19" s="127">
        <v>2700</v>
      </c>
      <c r="AH19" s="127">
        <f>(AF19-AF18)</f>
        <v>6</v>
      </c>
      <c r="AI19" s="127">
        <f t="shared" si="6"/>
        <v>23.700000000000003</v>
      </c>
      <c r="AJ19" s="127"/>
      <c r="AK19" s="128">
        <v>516324</v>
      </c>
      <c r="AL19" s="128">
        <v>11782</v>
      </c>
      <c r="AM19" s="128">
        <f>(AK19-AK18)</f>
        <v>152</v>
      </c>
      <c r="AN19" s="128">
        <f t="shared" si="7"/>
        <v>600.4</v>
      </c>
      <c r="AO19" s="128"/>
      <c r="AP19" s="123">
        <v>8074</v>
      </c>
      <c r="AQ19" s="123">
        <v>11131</v>
      </c>
      <c r="AR19" s="123">
        <f t="shared" si="20"/>
        <v>143</v>
      </c>
      <c r="AS19" s="123">
        <f t="shared" si="8"/>
        <v>564.85</v>
      </c>
      <c r="AT19" s="123"/>
      <c r="AU19" s="129">
        <v>20225</v>
      </c>
      <c r="AV19" s="129">
        <v>2600</v>
      </c>
      <c r="AW19" s="129">
        <f t="shared" si="21"/>
        <v>12</v>
      </c>
      <c r="AX19" s="129">
        <f t="shared" si="9"/>
        <v>47.400000000000006</v>
      </c>
      <c r="AY19" s="129"/>
      <c r="AZ19" s="130">
        <v>75595</v>
      </c>
      <c r="BA19" s="130">
        <v>4689</v>
      </c>
      <c r="BB19" s="130">
        <f>(AZ19-AZ18)</f>
        <v>24</v>
      </c>
      <c r="BC19" s="130">
        <f t="shared" si="10"/>
        <v>94.800000000000011</v>
      </c>
      <c r="BD19" s="130"/>
      <c r="BE19" s="131">
        <f t="shared" si="11"/>
        <v>652</v>
      </c>
      <c r="BF19" s="132">
        <f t="shared" si="12"/>
        <v>2575.4</v>
      </c>
      <c r="BG19" s="133"/>
      <c r="BH19" s="136">
        <f t="shared" si="25"/>
        <v>652</v>
      </c>
      <c r="BI19" s="111">
        <f>'B1 &amp; 102F 锅炉房'!C19</f>
        <v>1428</v>
      </c>
      <c r="BJ19" s="110">
        <f>'B1 &amp; 102F 锅炉房'!G19</f>
        <v>845</v>
      </c>
      <c r="BK19" s="137">
        <f t="shared" si="13"/>
        <v>2925</v>
      </c>
    </row>
    <row r="20" spans="1:65" s="76" customFormat="1" ht="21" customHeight="1">
      <c r="A20" s="212">
        <v>44149</v>
      </c>
      <c r="B20" s="223">
        <v>68014</v>
      </c>
      <c r="C20" s="223">
        <v>1902</v>
      </c>
      <c r="D20" s="224">
        <f t="shared" si="14"/>
        <v>9</v>
      </c>
      <c r="E20" s="223">
        <f t="shared" si="0"/>
        <v>35.550000000000004</v>
      </c>
      <c r="F20" s="224"/>
      <c r="G20" s="225"/>
      <c r="H20" s="225"/>
      <c r="I20" s="225">
        <f t="shared" si="15"/>
        <v>0</v>
      </c>
      <c r="J20" s="225">
        <f t="shared" si="16"/>
        <v>0</v>
      </c>
      <c r="K20" s="225"/>
      <c r="L20" s="123">
        <v>101677</v>
      </c>
      <c r="M20" s="123">
        <v>1880</v>
      </c>
      <c r="N20" s="123">
        <f t="shared" si="26"/>
        <v>40</v>
      </c>
      <c r="O20" s="123">
        <f t="shared" si="1"/>
        <v>158</v>
      </c>
      <c r="P20" s="123"/>
      <c r="Q20" s="124">
        <v>152884</v>
      </c>
      <c r="R20" s="124">
        <v>5312</v>
      </c>
      <c r="S20" s="124">
        <f>(Q20-Q19)</f>
        <v>73</v>
      </c>
      <c r="T20" s="124">
        <f t="shared" si="3"/>
        <v>288.35000000000002</v>
      </c>
      <c r="U20" s="124"/>
      <c r="V20" s="125">
        <v>20431</v>
      </c>
      <c r="W20" s="125">
        <v>2734</v>
      </c>
      <c r="X20" s="125">
        <f t="shared" si="24"/>
        <v>87</v>
      </c>
      <c r="Y20" s="125">
        <f t="shared" si="4"/>
        <v>343.65000000000003</v>
      </c>
      <c r="Z20" s="125"/>
      <c r="AA20" s="126">
        <v>390635</v>
      </c>
      <c r="AB20" s="126">
        <v>11250</v>
      </c>
      <c r="AC20" s="126">
        <f t="shared" si="28"/>
        <v>146</v>
      </c>
      <c r="AD20" s="126">
        <f t="shared" si="5"/>
        <v>576.70000000000005</v>
      </c>
      <c r="AE20" s="126"/>
      <c r="AF20" s="127">
        <v>63743</v>
      </c>
      <c r="AG20" s="127">
        <v>2696</v>
      </c>
      <c r="AH20" s="127">
        <f t="shared" si="29"/>
        <v>5</v>
      </c>
      <c r="AI20" s="127">
        <f t="shared" si="6"/>
        <v>19.75</v>
      </c>
      <c r="AJ20" s="127"/>
      <c r="AK20" s="128">
        <v>516519</v>
      </c>
      <c r="AL20" s="128">
        <v>11588</v>
      </c>
      <c r="AM20" s="128">
        <f t="shared" si="30"/>
        <v>195</v>
      </c>
      <c r="AN20" s="128">
        <f t="shared" si="7"/>
        <v>770.25</v>
      </c>
      <c r="AO20" s="128"/>
      <c r="AP20" s="123">
        <v>8215</v>
      </c>
      <c r="AQ20" s="123">
        <v>10990</v>
      </c>
      <c r="AR20" s="123">
        <f t="shared" si="20"/>
        <v>141</v>
      </c>
      <c r="AS20" s="123">
        <f t="shared" si="8"/>
        <v>556.95000000000005</v>
      </c>
      <c r="AT20" s="123"/>
      <c r="AU20" s="129">
        <v>20236</v>
      </c>
      <c r="AV20" s="129">
        <v>2588</v>
      </c>
      <c r="AW20" s="129">
        <f t="shared" si="21"/>
        <v>11</v>
      </c>
      <c r="AX20" s="129">
        <f t="shared" si="9"/>
        <v>43.45</v>
      </c>
      <c r="AY20" s="129"/>
      <c r="AZ20" s="130">
        <v>75621</v>
      </c>
      <c r="BA20" s="130">
        <v>4663</v>
      </c>
      <c r="BB20" s="130">
        <f t="shared" si="22"/>
        <v>26</v>
      </c>
      <c r="BC20" s="130">
        <f t="shared" si="10"/>
        <v>102.7</v>
      </c>
      <c r="BD20" s="130"/>
      <c r="BE20" s="131">
        <f t="shared" si="11"/>
        <v>733</v>
      </c>
      <c r="BF20" s="132">
        <f t="shared" si="12"/>
        <v>2895.3499999999995</v>
      </c>
      <c r="BG20" s="133"/>
      <c r="BH20" s="136">
        <f t="shared" si="25"/>
        <v>733</v>
      </c>
      <c r="BI20" s="111">
        <f>'B1 &amp; 102F 锅炉房'!C20</f>
        <v>1413</v>
      </c>
      <c r="BJ20" s="110">
        <f>'B1 &amp; 102F 锅炉房'!G20</f>
        <v>945</v>
      </c>
      <c r="BK20" s="137">
        <f t="shared" si="13"/>
        <v>3091</v>
      </c>
    </row>
    <row r="21" spans="1:65" s="76" customFormat="1" ht="21" customHeight="1">
      <c r="A21" s="212">
        <v>44150</v>
      </c>
      <c r="B21" s="223">
        <v>68049</v>
      </c>
      <c r="C21" s="223">
        <v>1866</v>
      </c>
      <c r="D21" s="224">
        <f t="shared" si="14"/>
        <v>35</v>
      </c>
      <c r="E21" s="223">
        <f t="shared" si="0"/>
        <v>138.25</v>
      </c>
      <c r="F21" s="224"/>
      <c r="G21" s="225"/>
      <c r="H21" s="225"/>
      <c r="I21" s="225">
        <f t="shared" si="15"/>
        <v>0</v>
      </c>
      <c r="J21" s="225">
        <f t="shared" si="16"/>
        <v>0</v>
      </c>
      <c r="K21" s="225"/>
      <c r="L21" s="123">
        <v>101717</v>
      </c>
      <c r="M21" s="123">
        <v>1840</v>
      </c>
      <c r="N21" s="123">
        <f t="shared" si="26"/>
        <v>40</v>
      </c>
      <c r="O21" s="123">
        <f t="shared" si="1"/>
        <v>158</v>
      </c>
      <c r="P21" s="123"/>
      <c r="Q21" s="124">
        <v>152884</v>
      </c>
      <c r="R21" s="124">
        <v>5312</v>
      </c>
      <c r="S21" s="124">
        <f>(Q21-Q20)</f>
        <v>0</v>
      </c>
      <c r="T21" s="124">
        <f t="shared" si="3"/>
        <v>0</v>
      </c>
      <c r="U21" s="124"/>
      <c r="V21" s="125">
        <v>20467</v>
      </c>
      <c r="W21" s="125">
        <v>2698</v>
      </c>
      <c r="X21" s="125">
        <f t="shared" si="24"/>
        <v>36</v>
      </c>
      <c r="Y21" s="125">
        <f t="shared" si="4"/>
        <v>142.20000000000002</v>
      </c>
      <c r="Z21" s="125"/>
      <c r="AA21" s="126">
        <v>390798</v>
      </c>
      <c r="AB21" s="126">
        <v>11087</v>
      </c>
      <c r="AC21" s="126">
        <f t="shared" si="28"/>
        <v>163</v>
      </c>
      <c r="AD21" s="126">
        <f t="shared" si="5"/>
        <v>643.85</v>
      </c>
      <c r="AE21" s="126"/>
      <c r="AF21" s="127">
        <v>63747</v>
      </c>
      <c r="AG21" s="127">
        <v>2691</v>
      </c>
      <c r="AH21" s="127">
        <f t="shared" si="29"/>
        <v>4</v>
      </c>
      <c r="AI21" s="127">
        <f t="shared" si="6"/>
        <v>15.8</v>
      </c>
      <c r="AJ21" s="127"/>
      <c r="AK21" s="128">
        <v>516717</v>
      </c>
      <c r="AL21" s="128">
        <v>11389</v>
      </c>
      <c r="AM21" s="128">
        <f t="shared" si="30"/>
        <v>198</v>
      </c>
      <c r="AN21" s="128">
        <f t="shared" si="7"/>
        <v>782.1</v>
      </c>
      <c r="AO21" s="128"/>
      <c r="AP21" s="123">
        <v>8337</v>
      </c>
      <c r="AQ21" s="123">
        <v>10868</v>
      </c>
      <c r="AR21" s="123">
        <f t="shared" si="20"/>
        <v>122</v>
      </c>
      <c r="AS21" s="123">
        <f t="shared" si="8"/>
        <v>481.90000000000003</v>
      </c>
      <c r="AT21" s="123"/>
      <c r="AU21" s="129">
        <v>20244</v>
      </c>
      <c r="AV21" s="129">
        <v>2580</v>
      </c>
      <c r="AW21" s="129">
        <f t="shared" si="21"/>
        <v>8</v>
      </c>
      <c r="AX21" s="129">
        <f t="shared" si="9"/>
        <v>31.6</v>
      </c>
      <c r="AY21" s="129"/>
      <c r="AZ21" s="130">
        <v>75643</v>
      </c>
      <c r="BA21" s="130">
        <v>4641</v>
      </c>
      <c r="BB21" s="130">
        <f t="shared" si="22"/>
        <v>22</v>
      </c>
      <c r="BC21" s="130">
        <f t="shared" si="10"/>
        <v>86.9</v>
      </c>
      <c r="BD21" s="130"/>
      <c r="BE21" s="131">
        <f t="shared" si="11"/>
        <v>628</v>
      </c>
      <c r="BF21" s="132">
        <f t="shared" si="12"/>
        <v>2480.6000000000004</v>
      </c>
      <c r="BG21" s="133"/>
      <c r="BH21" s="136">
        <f t="shared" si="25"/>
        <v>628</v>
      </c>
      <c r="BI21" s="111">
        <f>'B1 &amp; 102F 锅炉房'!C21</f>
        <v>1438</v>
      </c>
      <c r="BJ21" s="110">
        <f>'B1 &amp; 102F 锅炉房'!G21</f>
        <v>921</v>
      </c>
      <c r="BK21" s="137">
        <f t="shared" si="13"/>
        <v>2987</v>
      </c>
      <c r="BM21" s="138"/>
    </row>
    <row r="22" spans="1:65" s="76" customFormat="1" ht="21" customHeight="1">
      <c r="A22" s="212">
        <v>44151</v>
      </c>
      <c r="B22" s="223">
        <v>68060</v>
      </c>
      <c r="C22" s="223">
        <v>1855</v>
      </c>
      <c r="D22" s="224">
        <f t="shared" si="14"/>
        <v>11</v>
      </c>
      <c r="E22" s="223">
        <f t="shared" si="0"/>
        <v>43.45</v>
      </c>
      <c r="F22" s="224"/>
      <c r="G22" s="225"/>
      <c r="H22" s="225"/>
      <c r="I22" s="225">
        <f t="shared" si="15"/>
        <v>0</v>
      </c>
      <c r="J22" s="225">
        <f t="shared" si="16"/>
        <v>0</v>
      </c>
      <c r="K22" s="225"/>
      <c r="L22" s="123">
        <v>101751</v>
      </c>
      <c r="M22" s="123">
        <v>1806</v>
      </c>
      <c r="N22" s="123">
        <f t="shared" si="26"/>
        <v>34</v>
      </c>
      <c r="O22" s="123">
        <f t="shared" si="1"/>
        <v>134.30000000000001</v>
      </c>
      <c r="P22" s="123"/>
      <c r="Q22" s="124">
        <v>152928</v>
      </c>
      <c r="R22" s="124">
        <v>5268</v>
      </c>
      <c r="S22" s="124">
        <f t="shared" si="27"/>
        <v>44</v>
      </c>
      <c r="T22" s="124">
        <f t="shared" si="3"/>
        <v>173.8</v>
      </c>
      <c r="U22" s="124"/>
      <c r="V22" s="125">
        <v>20504</v>
      </c>
      <c r="W22" s="125">
        <v>2661</v>
      </c>
      <c r="X22" s="125">
        <f t="shared" si="24"/>
        <v>37</v>
      </c>
      <c r="Y22" s="125">
        <f t="shared" si="4"/>
        <v>146.15</v>
      </c>
      <c r="Z22" s="125"/>
      <c r="AA22" s="126">
        <v>390993</v>
      </c>
      <c r="AB22" s="126">
        <v>10892</v>
      </c>
      <c r="AC22" s="126">
        <f t="shared" si="28"/>
        <v>195</v>
      </c>
      <c r="AD22" s="126">
        <f t="shared" si="5"/>
        <v>770.25</v>
      </c>
      <c r="AE22" s="126"/>
      <c r="AF22" s="127">
        <v>63753</v>
      </c>
      <c r="AG22" s="127">
        <v>2685</v>
      </c>
      <c r="AH22" s="127">
        <f t="shared" si="29"/>
        <v>6</v>
      </c>
      <c r="AI22" s="127">
        <f t="shared" si="6"/>
        <v>23.700000000000003</v>
      </c>
      <c r="AJ22" s="127"/>
      <c r="AK22" s="128">
        <v>516869</v>
      </c>
      <c r="AL22" s="128">
        <v>11237</v>
      </c>
      <c r="AM22" s="128">
        <f t="shared" si="30"/>
        <v>152</v>
      </c>
      <c r="AN22" s="128">
        <f t="shared" si="7"/>
        <v>600.4</v>
      </c>
      <c r="AO22" s="128"/>
      <c r="AP22" s="123">
        <v>8462</v>
      </c>
      <c r="AQ22" s="123">
        <v>10743</v>
      </c>
      <c r="AR22" s="123">
        <f>(AP22-AP21)</f>
        <v>125</v>
      </c>
      <c r="AS22" s="123">
        <f t="shared" si="8"/>
        <v>493.75</v>
      </c>
      <c r="AT22" s="123"/>
      <c r="AU22" s="129">
        <v>20254</v>
      </c>
      <c r="AV22" s="129">
        <v>2570</v>
      </c>
      <c r="AW22" s="129">
        <f t="shared" si="21"/>
        <v>10</v>
      </c>
      <c r="AX22" s="129">
        <f t="shared" si="9"/>
        <v>39.5</v>
      </c>
      <c r="AY22" s="129"/>
      <c r="AZ22" s="130">
        <v>75643</v>
      </c>
      <c r="BA22" s="130">
        <v>4641</v>
      </c>
      <c r="BB22" s="130">
        <f t="shared" si="22"/>
        <v>0</v>
      </c>
      <c r="BC22" s="130">
        <f t="shared" si="10"/>
        <v>0</v>
      </c>
      <c r="BD22" s="130"/>
      <c r="BE22" s="131">
        <f t="shared" si="11"/>
        <v>614</v>
      </c>
      <c r="BF22" s="132">
        <f t="shared" si="12"/>
        <v>2425.3000000000002</v>
      </c>
      <c r="BG22" s="133"/>
      <c r="BH22" s="136">
        <f t="shared" si="25"/>
        <v>614</v>
      </c>
      <c r="BI22" s="111">
        <f>'B1 &amp; 102F 锅炉房'!C22</f>
        <v>1443</v>
      </c>
      <c r="BJ22" s="110">
        <f>'B1 &amp; 102F 锅炉房'!G22</f>
        <v>883</v>
      </c>
      <c r="BK22" s="137">
        <f t="shared" si="13"/>
        <v>2940</v>
      </c>
    </row>
    <row r="23" spans="1:65" s="76" customFormat="1" ht="21" customHeight="1">
      <c r="A23" s="212">
        <v>44152</v>
      </c>
      <c r="B23" s="223">
        <v>68074</v>
      </c>
      <c r="C23" s="223">
        <v>1841</v>
      </c>
      <c r="D23" s="224">
        <f t="shared" si="14"/>
        <v>14</v>
      </c>
      <c r="E23" s="223">
        <f t="shared" si="0"/>
        <v>55.300000000000004</v>
      </c>
      <c r="F23" s="224"/>
      <c r="G23" s="225"/>
      <c r="H23" s="225"/>
      <c r="I23" s="225">
        <f t="shared" si="15"/>
        <v>0</v>
      </c>
      <c r="J23" s="225">
        <f t="shared" si="16"/>
        <v>0</v>
      </c>
      <c r="K23" s="225"/>
      <c r="L23" s="123">
        <v>101799</v>
      </c>
      <c r="M23" s="123">
        <v>1758</v>
      </c>
      <c r="N23" s="123">
        <f t="shared" si="26"/>
        <v>48</v>
      </c>
      <c r="O23" s="123">
        <f t="shared" si="1"/>
        <v>189.60000000000002</v>
      </c>
      <c r="P23" s="123"/>
      <c r="Q23" s="124">
        <v>152988</v>
      </c>
      <c r="R23" s="124">
        <v>5209</v>
      </c>
      <c r="S23" s="124">
        <f t="shared" si="27"/>
        <v>60</v>
      </c>
      <c r="T23" s="124">
        <f t="shared" si="3"/>
        <v>237</v>
      </c>
      <c r="U23" s="124"/>
      <c r="V23" s="125">
        <v>20565</v>
      </c>
      <c r="W23" s="125">
        <v>2600</v>
      </c>
      <c r="X23" s="125">
        <f t="shared" si="24"/>
        <v>61</v>
      </c>
      <c r="Y23" s="125">
        <f t="shared" si="4"/>
        <v>240.95000000000002</v>
      </c>
      <c r="Z23" s="125"/>
      <c r="AA23" s="126">
        <v>391160</v>
      </c>
      <c r="AB23" s="126">
        <v>10726</v>
      </c>
      <c r="AC23" s="126">
        <f t="shared" si="28"/>
        <v>167</v>
      </c>
      <c r="AD23" s="126">
        <f t="shared" si="5"/>
        <v>659.65</v>
      </c>
      <c r="AE23" s="126"/>
      <c r="AF23" s="127">
        <v>63756</v>
      </c>
      <c r="AG23" s="127">
        <v>2602</v>
      </c>
      <c r="AH23" s="127">
        <f t="shared" si="29"/>
        <v>3</v>
      </c>
      <c r="AI23" s="127">
        <f t="shared" si="6"/>
        <v>11.850000000000001</v>
      </c>
      <c r="AJ23" s="127"/>
      <c r="AK23" s="128">
        <v>517051</v>
      </c>
      <c r="AL23" s="128">
        <v>11055</v>
      </c>
      <c r="AM23" s="128">
        <f>(AK23-AK22)</f>
        <v>182</v>
      </c>
      <c r="AN23" s="128">
        <f t="shared" si="7"/>
        <v>718.9</v>
      </c>
      <c r="AO23" s="128"/>
      <c r="AP23" s="123">
        <v>8589</v>
      </c>
      <c r="AQ23" s="123">
        <v>10615</v>
      </c>
      <c r="AR23" s="123">
        <f t="shared" si="20"/>
        <v>127</v>
      </c>
      <c r="AS23" s="123">
        <f t="shared" si="8"/>
        <v>501.65000000000003</v>
      </c>
      <c r="AT23" s="123"/>
      <c r="AU23" s="129">
        <v>20261</v>
      </c>
      <c r="AV23" s="129">
        <v>2564</v>
      </c>
      <c r="AW23" s="129">
        <f t="shared" si="21"/>
        <v>7</v>
      </c>
      <c r="AX23" s="129">
        <f t="shared" si="9"/>
        <v>27.650000000000002</v>
      </c>
      <c r="AY23" s="129"/>
      <c r="AZ23" s="130">
        <v>75672</v>
      </c>
      <c r="BA23" s="130">
        <v>4612</v>
      </c>
      <c r="BB23" s="130">
        <f t="shared" si="22"/>
        <v>29</v>
      </c>
      <c r="BC23" s="130">
        <f t="shared" si="10"/>
        <v>114.55000000000001</v>
      </c>
      <c r="BD23" s="130"/>
      <c r="BE23" s="131">
        <f t="shared" si="11"/>
        <v>698</v>
      </c>
      <c r="BF23" s="132">
        <f t="shared" si="12"/>
        <v>2757.1000000000004</v>
      </c>
      <c r="BG23" s="133"/>
      <c r="BH23" s="136">
        <f t="shared" si="25"/>
        <v>698</v>
      </c>
      <c r="BI23" s="111">
        <f>'B1 &amp; 102F 锅炉房'!C23</f>
        <v>1514</v>
      </c>
      <c r="BJ23" s="110">
        <f>'B1 &amp; 102F 锅炉房'!G23</f>
        <v>855</v>
      </c>
      <c r="BK23" s="137">
        <f t="shared" si="13"/>
        <v>3067</v>
      </c>
    </row>
    <row r="24" spans="1:65" s="76" customFormat="1" ht="21" customHeight="1">
      <c r="A24" s="212">
        <v>44153</v>
      </c>
      <c r="B24" s="223">
        <v>68119</v>
      </c>
      <c r="C24" s="223">
        <v>1796</v>
      </c>
      <c r="D24" s="224">
        <f t="shared" si="14"/>
        <v>45</v>
      </c>
      <c r="E24" s="223">
        <f t="shared" si="0"/>
        <v>177.75</v>
      </c>
      <c r="F24" s="224"/>
      <c r="G24" s="225"/>
      <c r="H24" s="225"/>
      <c r="I24" s="225">
        <f t="shared" si="15"/>
        <v>0</v>
      </c>
      <c r="J24" s="225">
        <f t="shared" si="16"/>
        <v>0</v>
      </c>
      <c r="K24" s="225"/>
      <c r="L24" s="123">
        <v>101845</v>
      </c>
      <c r="M24" s="123">
        <v>1712</v>
      </c>
      <c r="N24" s="123">
        <f t="shared" si="26"/>
        <v>46</v>
      </c>
      <c r="O24" s="123">
        <f t="shared" si="1"/>
        <v>181.70000000000002</v>
      </c>
      <c r="P24" s="123"/>
      <c r="Q24" s="124">
        <v>152989</v>
      </c>
      <c r="R24" s="124">
        <v>5207</v>
      </c>
      <c r="S24" s="124">
        <f t="shared" si="27"/>
        <v>1</v>
      </c>
      <c r="T24" s="124">
        <f t="shared" si="3"/>
        <v>3.95</v>
      </c>
      <c r="U24" s="124"/>
      <c r="V24" s="125">
        <v>20643</v>
      </c>
      <c r="W24" s="125">
        <v>2522</v>
      </c>
      <c r="X24" s="125">
        <f t="shared" si="24"/>
        <v>78</v>
      </c>
      <c r="Y24" s="125">
        <f t="shared" si="4"/>
        <v>308.10000000000002</v>
      </c>
      <c r="Z24" s="125"/>
      <c r="AA24" s="126">
        <v>391355</v>
      </c>
      <c r="AB24" s="126">
        <v>10531</v>
      </c>
      <c r="AC24" s="126">
        <f t="shared" si="28"/>
        <v>195</v>
      </c>
      <c r="AD24" s="126">
        <f t="shared" si="5"/>
        <v>770.25</v>
      </c>
      <c r="AE24" s="126"/>
      <c r="AF24" s="127">
        <v>63759</v>
      </c>
      <c r="AG24" s="127">
        <v>2679</v>
      </c>
      <c r="AH24" s="127">
        <f>(AF24-AF23)</f>
        <v>3</v>
      </c>
      <c r="AI24" s="127">
        <f t="shared" si="6"/>
        <v>11.850000000000001</v>
      </c>
      <c r="AJ24" s="127"/>
      <c r="AK24" s="128">
        <v>517233</v>
      </c>
      <c r="AL24" s="128">
        <v>10873</v>
      </c>
      <c r="AM24" s="128">
        <f t="shared" si="30"/>
        <v>182</v>
      </c>
      <c r="AN24" s="128">
        <f t="shared" si="7"/>
        <v>718.9</v>
      </c>
      <c r="AO24" s="128"/>
      <c r="AP24" s="123">
        <v>8726</v>
      </c>
      <c r="AQ24" s="123">
        <v>10478</v>
      </c>
      <c r="AR24" s="123">
        <f t="shared" si="20"/>
        <v>137</v>
      </c>
      <c r="AS24" s="123">
        <f t="shared" si="8"/>
        <v>541.15</v>
      </c>
      <c r="AT24" s="123"/>
      <c r="AU24" s="129">
        <v>20270</v>
      </c>
      <c r="AV24" s="129">
        <v>2555</v>
      </c>
      <c r="AW24" s="129">
        <f t="shared" si="21"/>
        <v>9</v>
      </c>
      <c r="AX24" s="129">
        <f t="shared" si="9"/>
        <v>35.550000000000004</v>
      </c>
      <c r="AY24" s="129"/>
      <c r="AZ24" s="130">
        <v>75720</v>
      </c>
      <c r="BA24" s="130">
        <v>4582</v>
      </c>
      <c r="BB24" s="130">
        <f t="shared" si="22"/>
        <v>48</v>
      </c>
      <c r="BC24" s="130">
        <f t="shared" si="10"/>
        <v>189.60000000000002</v>
      </c>
      <c r="BD24" s="130"/>
      <c r="BE24" s="131">
        <f t="shared" si="11"/>
        <v>744</v>
      </c>
      <c r="BF24" s="132">
        <f t="shared" si="12"/>
        <v>2938.8</v>
      </c>
      <c r="BG24" s="133"/>
      <c r="BH24" s="136">
        <f t="shared" si="25"/>
        <v>744</v>
      </c>
      <c r="BI24" s="111">
        <f>'B1 &amp; 102F 锅炉房'!C24</f>
        <v>1504</v>
      </c>
      <c r="BJ24" s="110">
        <f>'B1 &amp; 102F 锅炉房'!G24</f>
        <v>846</v>
      </c>
      <c r="BK24" s="137">
        <f t="shared" si="13"/>
        <v>3094</v>
      </c>
    </row>
    <row r="25" spans="1:65" s="76" customFormat="1" ht="21" customHeight="1">
      <c r="A25" s="212">
        <v>44154</v>
      </c>
      <c r="B25" s="223">
        <v>68156</v>
      </c>
      <c r="C25" s="223">
        <v>1760</v>
      </c>
      <c r="D25" s="224">
        <f t="shared" si="14"/>
        <v>37</v>
      </c>
      <c r="E25" s="223">
        <f t="shared" si="0"/>
        <v>146.15</v>
      </c>
      <c r="F25" s="224"/>
      <c r="G25" s="225"/>
      <c r="H25" s="225"/>
      <c r="I25" s="225">
        <f t="shared" si="15"/>
        <v>0</v>
      </c>
      <c r="J25" s="225">
        <f t="shared" si="16"/>
        <v>0</v>
      </c>
      <c r="K25" s="225"/>
      <c r="L25" s="123">
        <v>101890</v>
      </c>
      <c r="M25" s="123">
        <v>1667</v>
      </c>
      <c r="N25" s="123">
        <f t="shared" si="26"/>
        <v>45</v>
      </c>
      <c r="O25" s="123">
        <f t="shared" si="1"/>
        <v>177.75</v>
      </c>
      <c r="P25" s="123"/>
      <c r="Q25" s="124">
        <v>153026</v>
      </c>
      <c r="R25" s="124">
        <v>5170</v>
      </c>
      <c r="S25" s="124">
        <f t="shared" si="27"/>
        <v>37</v>
      </c>
      <c r="T25" s="124">
        <f t="shared" si="3"/>
        <v>146.15</v>
      </c>
      <c r="U25" s="124"/>
      <c r="V25" s="125">
        <v>20687</v>
      </c>
      <c r="W25" s="125">
        <v>2478</v>
      </c>
      <c r="X25" s="125">
        <f t="shared" si="24"/>
        <v>44</v>
      </c>
      <c r="Y25" s="125">
        <f t="shared" si="4"/>
        <v>173.8</v>
      </c>
      <c r="Z25" s="125"/>
      <c r="AA25" s="126">
        <v>391545</v>
      </c>
      <c r="AB25" s="126">
        <v>10341</v>
      </c>
      <c r="AC25" s="126">
        <f t="shared" si="28"/>
        <v>190</v>
      </c>
      <c r="AD25" s="126">
        <f t="shared" si="5"/>
        <v>750.5</v>
      </c>
      <c r="AE25" s="126"/>
      <c r="AF25" s="127">
        <v>63764</v>
      </c>
      <c r="AG25" s="127">
        <v>2674</v>
      </c>
      <c r="AH25" s="127">
        <f t="shared" si="29"/>
        <v>5</v>
      </c>
      <c r="AI25" s="127">
        <f t="shared" si="6"/>
        <v>19.75</v>
      </c>
      <c r="AJ25" s="127"/>
      <c r="AK25" s="128">
        <v>517410</v>
      </c>
      <c r="AL25" s="128">
        <v>10696</v>
      </c>
      <c r="AM25" s="128">
        <f t="shared" si="30"/>
        <v>177</v>
      </c>
      <c r="AN25" s="128">
        <f t="shared" si="7"/>
        <v>699.15</v>
      </c>
      <c r="AO25" s="128"/>
      <c r="AP25" s="123">
        <v>8871</v>
      </c>
      <c r="AQ25" s="123">
        <v>10334</v>
      </c>
      <c r="AR25" s="123">
        <f t="shared" ref="AR25:AR34" si="31">(AP25-AP24)</f>
        <v>145</v>
      </c>
      <c r="AS25" s="123">
        <f t="shared" si="8"/>
        <v>572.75</v>
      </c>
      <c r="AT25" s="123"/>
      <c r="AU25" s="129">
        <v>20271</v>
      </c>
      <c r="AV25" s="129">
        <v>2547</v>
      </c>
      <c r="AW25" s="129">
        <f t="shared" si="21"/>
        <v>1</v>
      </c>
      <c r="AX25" s="129">
        <f t="shared" si="9"/>
        <v>3.95</v>
      </c>
      <c r="AY25" s="129"/>
      <c r="AZ25" s="130">
        <v>75724</v>
      </c>
      <c r="BA25" s="130">
        <v>4560</v>
      </c>
      <c r="BB25" s="130">
        <f t="shared" si="22"/>
        <v>4</v>
      </c>
      <c r="BC25" s="130">
        <f t="shared" si="10"/>
        <v>15.8</v>
      </c>
      <c r="BD25" s="130"/>
      <c r="BE25" s="131">
        <f t="shared" si="11"/>
        <v>685</v>
      </c>
      <c r="BF25" s="132">
        <f t="shared" si="12"/>
        <v>2705.75</v>
      </c>
      <c r="BG25" s="133"/>
      <c r="BH25" s="136">
        <f t="shared" si="25"/>
        <v>685</v>
      </c>
      <c r="BI25" s="111">
        <f>'B1 &amp; 102F 锅炉房'!C25</f>
        <v>1469</v>
      </c>
      <c r="BJ25" s="110">
        <f>'B1 &amp; 102F 锅炉房'!G25</f>
        <v>824</v>
      </c>
      <c r="BK25" s="137">
        <f t="shared" si="13"/>
        <v>2978</v>
      </c>
    </row>
    <row r="26" spans="1:65" s="76" customFormat="1" ht="21" customHeight="1">
      <c r="A26" s="212">
        <v>44155</v>
      </c>
      <c r="B26" s="223">
        <v>68166</v>
      </c>
      <c r="C26" s="223">
        <v>1750</v>
      </c>
      <c r="D26" s="224">
        <f t="shared" si="14"/>
        <v>10</v>
      </c>
      <c r="E26" s="223">
        <f t="shared" si="0"/>
        <v>39.5</v>
      </c>
      <c r="F26" s="224"/>
      <c r="G26" s="225"/>
      <c r="H26" s="225"/>
      <c r="I26" s="225">
        <f t="shared" si="15"/>
        <v>0</v>
      </c>
      <c r="J26" s="225">
        <f t="shared" si="16"/>
        <v>0</v>
      </c>
      <c r="K26" s="225"/>
      <c r="L26" s="123">
        <v>101972</v>
      </c>
      <c r="M26" s="123">
        <v>1585</v>
      </c>
      <c r="N26" s="123">
        <f t="shared" si="26"/>
        <v>82</v>
      </c>
      <c r="O26" s="123">
        <f t="shared" si="1"/>
        <v>323.90000000000003</v>
      </c>
      <c r="P26" s="123"/>
      <c r="Q26" s="124">
        <v>153234</v>
      </c>
      <c r="R26" s="124">
        <v>4962</v>
      </c>
      <c r="S26" s="124">
        <f t="shared" si="27"/>
        <v>208</v>
      </c>
      <c r="T26" s="124">
        <f t="shared" si="3"/>
        <v>821.6</v>
      </c>
      <c r="U26" s="124"/>
      <c r="V26" s="125">
        <v>20758</v>
      </c>
      <c r="W26" s="125">
        <v>1407</v>
      </c>
      <c r="X26" s="125">
        <f t="shared" si="24"/>
        <v>71</v>
      </c>
      <c r="Y26" s="125">
        <f t="shared" si="4"/>
        <v>280.45</v>
      </c>
      <c r="Z26" s="125"/>
      <c r="AA26" s="126">
        <v>391734</v>
      </c>
      <c r="AB26" s="126">
        <v>10151</v>
      </c>
      <c r="AC26" s="126">
        <f t="shared" si="28"/>
        <v>189</v>
      </c>
      <c r="AD26" s="126">
        <f t="shared" si="5"/>
        <v>746.55000000000007</v>
      </c>
      <c r="AE26" s="126"/>
      <c r="AF26" s="127">
        <v>63771</v>
      </c>
      <c r="AG26" s="127">
        <v>2667</v>
      </c>
      <c r="AH26" s="127">
        <f t="shared" si="29"/>
        <v>7</v>
      </c>
      <c r="AI26" s="127">
        <f t="shared" si="6"/>
        <v>27.650000000000002</v>
      </c>
      <c r="AJ26" s="127"/>
      <c r="AK26" s="128">
        <v>517617</v>
      </c>
      <c r="AL26" s="128">
        <v>10489</v>
      </c>
      <c r="AM26" s="128">
        <f t="shared" si="30"/>
        <v>207</v>
      </c>
      <c r="AN26" s="128">
        <f t="shared" si="7"/>
        <v>817.65000000000009</v>
      </c>
      <c r="AO26" s="128"/>
      <c r="AP26" s="123">
        <v>9011</v>
      </c>
      <c r="AQ26" s="123">
        <v>10194</v>
      </c>
      <c r="AR26" s="123">
        <f t="shared" si="31"/>
        <v>140</v>
      </c>
      <c r="AS26" s="123">
        <f t="shared" si="8"/>
        <v>553</v>
      </c>
      <c r="AT26" s="123"/>
      <c r="AU26" s="129">
        <v>20284</v>
      </c>
      <c r="AV26" s="129">
        <v>2540</v>
      </c>
      <c r="AW26" s="129">
        <f t="shared" si="21"/>
        <v>13</v>
      </c>
      <c r="AX26" s="129">
        <f t="shared" si="9"/>
        <v>51.35</v>
      </c>
      <c r="AY26" s="129"/>
      <c r="AZ26" s="130">
        <v>75758</v>
      </c>
      <c r="BA26" s="130">
        <v>4526</v>
      </c>
      <c r="BB26" s="130">
        <f t="shared" si="22"/>
        <v>34</v>
      </c>
      <c r="BC26" s="130">
        <f t="shared" si="10"/>
        <v>134.30000000000001</v>
      </c>
      <c r="BD26" s="130"/>
      <c r="BE26" s="131">
        <f t="shared" si="11"/>
        <v>961</v>
      </c>
      <c r="BF26" s="132">
        <f t="shared" si="12"/>
        <v>3795.9500000000003</v>
      </c>
      <c r="BG26" s="133"/>
      <c r="BH26" s="136">
        <f t="shared" ref="BH26:BH31" si="32">BE26</f>
        <v>961</v>
      </c>
      <c r="BI26" s="111">
        <f>'B1 &amp; 102F 锅炉房'!C26</f>
        <v>1561</v>
      </c>
      <c r="BJ26" s="110">
        <f>'B1 &amp; 102F 锅炉房'!G26</f>
        <v>745</v>
      </c>
      <c r="BK26" s="137">
        <f t="shared" si="13"/>
        <v>3267</v>
      </c>
      <c r="BL26" s="138"/>
      <c r="BM26" s="138"/>
    </row>
    <row r="27" spans="1:65" s="76" customFormat="1" ht="21" customHeight="1">
      <c r="A27" s="212">
        <v>44156</v>
      </c>
      <c r="B27" s="223">
        <v>68216</v>
      </c>
      <c r="C27" s="223">
        <v>1700</v>
      </c>
      <c r="D27" s="224">
        <f t="shared" si="14"/>
        <v>50</v>
      </c>
      <c r="E27" s="223">
        <f t="shared" si="0"/>
        <v>197.5</v>
      </c>
      <c r="F27" s="224"/>
      <c r="G27" s="225"/>
      <c r="H27" s="225"/>
      <c r="I27" s="225">
        <f t="shared" si="15"/>
        <v>0</v>
      </c>
      <c r="J27" s="225">
        <f t="shared" si="16"/>
        <v>0</v>
      </c>
      <c r="K27" s="225"/>
      <c r="L27" s="123">
        <v>102047</v>
      </c>
      <c r="M27" s="123">
        <v>1510</v>
      </c>
      <c r="N27" s="123">
        <f t="shared" si="26"/>
        <v>75</v>
      </c>
      <c r="O27" s="123">
        <f t="shared" si="1"/>
        <v>296.25</v>
      </c>
      <c r="P27" s="123"/>
      <c r="Q27" s="124">
        <v>153447</v>
      </c>
      <c r="R27" s="124">
        <v>4749</v>
      </c>
      <c r="S27" s="124">
        <f t="shared" si="27"/>
        <v>213</v>
      </c>
      <c r="T27" s="124">
        <f t="shared" si="3"/>
        <v>841.35</v>
      </c>
      <c r="U27" s="124"/>
      <c r="V27" s="125">
        <v>20799</v>
      </c>
      <c r="W27" s="125">
        <v>2366</v>
      </c>
      <c r="X27" s="125">
        <f t="shared" si="24"/>
        <v>41</v>
      </c>
      <c r="Y27" s="125">
        <f t="shared" si="4"/>
        <v>161.95000000000002</v>
      </c>
      <c r="Z27" s="125"/>
      <c r="AA27" s="126">
        <v>391901</v>
      </c>
      <c r="AB27" s="126">
        <v>9984</v>
      </c>
      <c r="AC27" s="126">
        <f t="shared" si="28"/>
        <v>167</v>
      </c>
      <c r="AD27" s="126">
        <f t="shared" si="5"/>
        <v>659.65</v>
      </c>
      <c r="AE27" s="126"/>
      <c r="AF27" s="127">
        <v>63775</v>
      </c>
      <c r="AG27" s="127">
        <v>2663</v>
      </c>
      <c r="AH27" s="127">
        <f t="shared" si="29"/>
        <v>4</v>
      </c>
      <c r="AI27" s="127">
        <f t="shared" si="6"/>
        <v>15.8</v>
      </c>
      <c r="AJ27" s="127"/>
      <c r="AK27" s="128">
        <v>517811</v>
      </c>
      <c r="AL27" s="128">
        <v>10295</v>
      </c>
      <c r="AM27" s="128">
        <f t="shared" si="30"/>
        <v>194</v>
      </c>
      <c r="AN27" s="128">
        <f t="shared" si="7"/>
        <v>766.30000000000007</v>
      </c>
      <c r="AO27" s="128"/>
      <c r="AP27" s="123">
        <v>9139</v>
      </c>
      <c r="AQ27" s="123">
        <v>10066</v>
      </c>
      <c r="AR27" s="123">
        <f t="shared" si="31"/>
        <v>128</v>
      </c>
      <c r="AS27" s="123">
        <f t="shared" si="8"/>
        <v>505.6</v>
      </c>
      <c r="AT27" s="123"/>
      <c r="AU27" s="129">
        <v>20297</v>
      </c>
      <c r="AV27" s="129">
        <v>2577</v>
      </c>
      <c r="AW27" s="129">
        <f t="shared" si="21"/>
        <v>13</v>
      </c>
      <c r="AX27" s="129">
        <f t="shared" si="9"/>
        <v>51.35</v>
      </c>
      <c r="AY27" s="129"/>
      <c r="AZ27" s="130">
        <v>75782</v>
      </c>
      <c r="BA27" s="130">
        <v>4502</v>
      </c>
      <c r="BB27" s="130">
        <f t="shared" si="22"/>
        <v>24</v>
      </c>
      <c r="BC27" s="130">
        <f t="shared" si="10"/>
        <v>94.800000000000011</v>
      </c>
      <c r="BD27" s="130"/>
      <c r="BE27" s="131">
        <f t="shared" si="11"/>
        <v>909</v>
      </c>
      <c r="BF27" s="132">
        <f t="shared" si="12"/>
        <v>3590.55</v>
      </c>
      <c r="BG27" s="133"/>
      <c r="BH27" s="136">
        <f t="shared" si="32"/>
        <v>909</v>
      </c>
      <c r="BI27" s="111">
        <f>'B1 &amp; 102F 锅炉房'!C27</f>
        <v>1523</v>
      </c>
      <c r="BJ27" s="110">
        <f>'B1 &amp; 102F 锅炉房'!G27</f>
        <v>859</v>
      </c>
      <c r="BK27" s="137">
        <f t="shared" si="13"/>
        <v>3291</v>
      </c>
      <c r="BM27" s="138"/>
    </row>
    <row r="28" spans="1:65" s="76" customFormat="1" ht="21" customHeight="1">
      <c r="A28" s="212">
        <v>44157</v>
      </c>
      <c r="B28" s="223">
        <v>68233</v>
      </c>
      <c r="C28" s="223">
        <v>1682</v>
      </c>
      <c r="D28" s="224">
        <f t="shared" si="14"/>
        <v>17</v>
      </c>
      <c r="E28" s="223">
        <f t="shared" si="0"/>
        <v>67.150000000000006</v>
      </c>
      <c r="F28" s="224"/>
      <c r="G28" s="225"/>
      <c r="H28" s="225"/>
      <c r="I28" s="225">
        <f t="shared" si="15"/>
        <v>0</v>
      </c>
      <c r="J28" s="225">
        <f t="shared" si="16"/>
        <v>0</v>
      </c>
      <c r="K28" s="225"/>
      <c r="L28" s="123">
        <v>102085</v>
      </c>
      <c r="M28" s="123">
        <v>1472</v>
      </c>
      <c r="N28" s="123">
        <f t="shared" si="26"/>
        <v>38</v>
      </c>
      <c r="O28" s="123">
        <f t="shared" si="1"/>
        <v>150.1</v>
      </c>
      <c r="P28" s="123"/>
      <c r="Q28" s="124">
        <v>153503</v>
      </c>
      <c r="R28" s="124">
        <v>4693</v>
      </c>
      <c r="S28" s="124">
        <f t="shared" si="27"/>
        <v>56</v>
      </c>
      <c r="T28" s="124">
        <f t="shared" si="3"/>
        <v>221.20000000000002</v>
      </c>
      <c r="U28" s="124"/>
      <c r="V28" s="125">
        <v>20903</v>
      </c>
      <c r="W28" s="125">
        <v>2262</v>
      </c>
      <c r="X28" s="125">
        <f t="shared" si="24"/>
        <v>104</v>
      </c>
      <c r="Y28" s="125">
        <f t="shared" si="4"/>
        <v>410.8</v>
      </c>
      <c r="Z28" s="125"/>
      <c r="AA28" s="126">
        <v>392061</v>
      </c>
      <c r="AB28" s="126">
        <v>9824</v>
      </c>
      <c r="AC28" s="126">
        <f t="shared" si="28"/>
        <v>160</v>
      </c>
      <c r="AD28" s="126">
        <f t="shared" si="5"/>
        <v>632</v>
      </c>
      <c r="AE28" s="126"/>
      <c r="AF28" s="127">
        <v>63781</v>
      </c>
      <c r="AG28" s="127">
        <v>2657</v>
      </c>
      <c r="AH28" s="127">
        <f t="shared" si="29"/>
        <v>6</v>
      </c>
      <c r="AI28" s="127">
        <f t="shared" si="6"/>
        <v>23.700000000000003</v>
      </c>
      <c r="AJ28" s="127"/>
      <c r="AK28" s="128">
        <v>518029</v>
      </c>
      <c r="AL28" s="128">
        <v>10077</v>
      </c>
      <c r="AM28" s="128">
        <f t="shared" si="30"/>
        <v>218</v>
      </c>
      <c r="AN28" s="128">
        <f t="shared" si="7"/>
        <v>861.1</v>
      </c>
      <c r="AO28" s="128"/>
      <c r="AP28" s="123">
        <v>9277</v>
      </c>
      <c r="AQ28" s="123">
        <v>9927</v>
      </c>
      <c r="AR28" s="123">
        <f t="shared" si="31"/>
        <v>138</v>
      </c>
      <c r="AS28" s="123">
        <f t="shared" si="8"/>
        <v>545.1</v>
      </c>
      <c r="AT28" s="123"/>
      <c r="AU28" s="129">
        <v>20306</v>
      </c>
      <c r="AV28" s="129">
        <v>2518</v>
      </c>
      <c r="AW28" s="129">
        <f t="shared" si="21"/>
        <v>9</v>
      </c>
      <c r="AX28" s="129">
        <f t="shared" si="9"/>
        <v>35.550000000000004</v>
      </c>
      <c r="AY28" s="129"/>
      <c r="AZ28" s="130">
        <v>75803</v>
      </c>
      <c r="BA28" s="130">
        <v>4481</v>
      </c>
      <c r="BB28" s="130">
        <f t="shared" si="22"/>
        <v>21</v>
      </c>
      <c r="BC28" s="130">
        <f t="shared" si="10"/>
        <v>82.95</v>
      </c>
      <c r="BD28" s="130"/>
      <c r="BE28" s="131">
        <f t="shared" si="11"/>
        <v>767</v>
      </c>
      <c r="BF28" s="132">
        <f t="shared" si="12"/>
        <v>3029.65</v>
      </c>
      <c r="BG28" s="133"/>
      <c r="BH28" s="136">
        <f t="shared" si="32"/>
        <v>767</v>
      </c>
      <c r="BI28" s="111">
        <f>'B1 &amp; 102F 锅炉房'!C28</f>
        <v>1463</v>
      </c>
      <c r="BJ28" s="110">
        <f>'B1 &amp; 102F 锅炉房'!G28</f>
        <v>933</v>
      </c>
      <c r="BK28" s="137">
        <f t="shared" si="13"/>
        <v>3163</v>
      </c>
    </row>
    <row r="29" spans="1:65" s="76" customFormat="1" ht="21" customHeight="1">
      <c r="A29" s="212">
        <v>44158</v>
      </c>
      <c r="B29" s="223">
        <v>68260</v>
      </c>
      <c r="C29" s="223">
        <v>1656</v>
      </c>
      <c r="D29" s="224">
        <f t="shared" si="14"/>
        <v>27</v>
      </c>
      <c r="E29" s="223">
        <f t="shared" si="0"/>
        <v>106.65</v>
      </c>
      <c r="F29" s="224"/>
      <c r="G29" s="225"/>
      <c r="H29" s="225"/>
      <c r="I29" s="225">
        <f t="shared" si="15"/>
        <v>0</v>
      </c>
      <c r="J29" s="225">
        <f t="shared" si="16"/>
        <v>0</v>
      </c>
      <c r="K29" s="225"/>
      <c r="L29" s="123">
        <v>102128</v>
      </c>
      <c r="M29" s="123">
        <v>1428</v>
      </c>
      <c r="N29" s="123">
        <f t="shared" si="26"/>
        <v>43</v>
      </c>
      <c r="O29" s="123">
        <f t="shared" si="1"/>
        <v>169.85</v>
      </c>
      <c r="P29" s="123"/>
      <c r="Q29" s="124">
        <v>153536</v>
      </c>
      <c r="R29" s="124">
        <v>4660</v>
      </c>
      <c r="S29" s="124">
        <f t="shared" si="27"/>
        <v>33</v>
      </c>
      <c r="T29" s="124">
        <f t="shared" si="3"/>
        <v>130.35</v>
      </c>
      <c r="U29" s="124"/>
      <c r="V29" s="125">
        <v>20942</v>
      </c>
      <c r="W29" s="125">
        <v>2223</v>
      </c>
      <c r="X29" s="125">
        <f t="shared" si="24"/>
        <v>39</v>
      </c>
      <c r="Y29" s="125">
        <f t="shared" si="4"/>
        <v>154.05000000000001</v>
      </c>
      <c r="Z29" s="125"/>
      <c r="AA29" s="126">
        <v>392217</v>
      </c>
      <c r="AB29" s="126">
        <v>9668</v>
      </c>
      <c r="AC29" s="126">
        <f t="shared" si="28"/>
        <v>156</v>
      </c>
      <c r="AD29" s="126">
        <f t="shared" si="5"/>
        <v>616.20000000000005</v>
      </c>
      <c r="AE29" s="126"/>
      <c r="AF29" s="127">
        <v>63786</v>
      </c>
      <c r="AG29" s="127">
        <v>2652</v>
      </c>
      <c r="AH29" s="127">
        <f t="shared" si="29"/>
        <v>5</v>
      </c>
      <c r="AI29" s="127">
        <f t="shared" si="6"/>
        <v>19.75</v>
      </c>
      <c r="AJ29" s="127"/>
      <c r="AK29" s="128">
        <v>518184</v>
      </c>
      <c r="AL29" s="128">
        <v>9922</v>
      </c>
      <c r="AM29" s="128">
        <f t="shared" si="30"/>
        <v>155</v>
      </c>
      <c r="AN29" s="128">
        <f t="shared" si="7"/>
        <v>612.25</v>
      </c>
      <c r="AO29" s="128"/>
      <c r="AP29" s="123">
        <v>9405</v>
      </c>
      <c r="AQ29" s="123">
        <v>9798</v>
      </c>
      <c r="AR29" s="123">
        <f t="shared" si="31"/>
        <v>128</v>
      </c>
      <c r="AS29" s="123">
        <f t="shared" si="8"/>
        <v>505.6</v>
      </c>
      <c r="AT29" s="123"/>
      <c r="AU29" s="129">
        <v>20315</v>
      </c>
      <c r="AV29" s="129">
        <v>2509</v>
      </c>
      <c r="AW29" s="129">
        <f t="shared" si="21"/>
        <v>9</v>
      </c>
      <c r="AX29" s="129">
        <f t="shared" si="9"/>
        <v>35.550000000000004</v>
      </c>
      <c r="AY29" s="129"/>
      <c r="AZ29" s="130">
        <v>75805</v>
      </c>
      <c r="BA29" s="130">
        <v>4479</v>
      </c>
      <c r="BB29" s="130">
        <f t="shared" si="22"/>
        <v>2</v>
      </c>
      <c r="BC29" s="130">
        <f t="shared" si="10"/>
        <v>7.9</v>
      </c>
      <c r="BD29" s="130"/>
      <c r="BE29" s="131">
        <f t="shared" si="11"/>
        <v>597</v>
      </c>
      <c r="BF29" s="132">
        <f t="shared" si="12"/>
        <v>2358.1500000000005</v>
      </c>
      <c r="BG29" s="133"/>
      <c r="BH29" s="136">
        <f t="shared" si="32"/>
        <v>597</v>
      </c>
      <c r="BI29" s="111">
        <f>'B1 &amp; 102F 锅炉房'!C29</f>
        <v>1414</v>
      </c>
      <c r="BJ29" s="110">
        <f>'B1 &amp; 102F 锅炉房'!G29</f>
        <v>835</v>
      </c>
      <c r="BK29" s="137">
        <f t="shared" si="13"/>
        <v>2846</v>
      </c>
    </row>
    <row r="30" spans="1:65" s="76" customFormat="1" ht="21" customHeight="1">
      <c r="A30" s="212">
        <v>44159</v>
      </c>
      <c r="B30" s="223">
        <v>68299</v>
      </c>
      <c r="C30" s="223">
        <v>1616</v>
      </c>
      <c r="D30" s="224">
        <f t="shared" si="14"/>
        <v>39</v>
      </c>
      <c r="E30" s="223">
        <f t="shared" si="0"/>
        <v>154.05000000000001</v>
      </c>
      <c r="F30" s="224"/>
      <c r="G30" s="225"/>
      <c r="H30" s="225"/>
      <c r="I30" s="225">
        <f t="shared" si="15"/>
        <v>0</v>
      </c>
      <c r="J30" s="225">
        <f t="shared" si="16"/>
        <v>0</v>
      </c>
      <c r="K30" s="225"/>
      <c r="L30" s="123">
        <v>102181</v>
      </c>
      <c r="M30" s="123">
        <v>1376</v>
      </c>
      <c r="N30" s="123">
        <f t="shared" si="26"/>
        <v>53</v>
      </c>
      <c r="O30" s="123">
        <f t="shared" si="1"/>
        <v>209.35000000000002</v>
      </c>
      <c r="P30" s="123"/>
      <c r="Q30" s="124">
        <v>153604</v>
      </c>
      <c r="R30" s="124">
        <v>4592</v>
      </c>
      <c r="S30" s="124">
        <f t="shared" si="27"/>
        <v>68</v>
      </c>
      <c r="T30" s="124">
        <f t="shared" si="3"/>
        <v>268.60000000000002</v>
      </c>
      <c r="U30" s="124"/>
      <c r="V30" s="125">
        <v>21054</v>
      </c>
      <c r="W30" s="125">
        <v>2111</v>
      </c>
      <c r="X30" s="125">
        <f t="shared" si="24"/>
        <v>112</v>
      </c>
      <c r="Y30" s="125">
        <f t="shared" si="4"/>
        <v>442.40000000000003</v>
      </c>
      <c r="Z30" s="125"/>
      <c r="AA30" s="126">
        <v>392389</v>
      </c>
      <c r="AB30" s="126">
        <v>9496</v>
      </c>
      <c r="AC30" s="126">
        <f t="shared" si="28"/>
        <v>172</v>
      </c>
      <c r="AD30" s="126">
        <f t="shared" si="5"/>
        <v>679.4</v>
      </c>
      <c r="AE30" s="126"/>
      <c r="AF30" s="127">
        <v>63791</v>
      </c>
      <c r="AG30" s="127">
        <v>2648</v>
      </c>
      <c r="AH30" s="127">
        <f t="shared" si="29"/>
        <v>5</v>
      </c>
      <c r="AI30" s="127">
        <f t="shared" si="6"/>
        <v>19.75</v>
      </c>
      <c r="AJ30" s="127"/>
      <c r="AK30" s="128">
        <v>518362</v>
      </c>
      <c r="AL30" s="128">
        <v>9744</v>
      </c>
      <c r="AM30" s="128">
        <f t="shared" si="30"/>
        <v>178</v>
      </c>
      <c r="AN30" s="128">
        <f t="shared" si="7"/>
        <v>703.1</v>
      </c>
      <c r="AO30" s="128"/>
      <c r="AP30" s="123">
        <v>9529</v>
      </c>
      <c r="AQ30" s="123">
        <v>9676</v>
      </c>
      <c r="AR30" s="123">
        <f t="shared" si="31"/>
        <v>124</v>
      </c>
      <c r="AS30" s="123">
        <f t="shared" si="8"/>
        <v>489.8</v>
      </c>
      <c r="AT30" s="123"/>
      <c r="AU30" s="129">
        <v>20325</v>
      </c>
      <c r="AV30" s="129">
        <v>2500</v>
      </c>
      <c r="AW30" s="129">
        <f t="shared" si="21"/>
        <v>10</v>
      </c>
      <c r="AX30" s="129">
        <f t="shared" si="9"/>
        <v>39.5</v>
      </c>
      <c r="AY30" s="129"/>
      <c r="AZ30" s="130">
        <v>75834</v>
      </c>
      <c r="BA30" s="130">
        <v>4450</v>
      </c>
      <c r="BB30" s="130">
        <f t="shared" si="22"/>
        <v>29</v>
      </c>
      <c r="BC30" s="130">
        <f t="shared" si="10"/>
        <v>114.55000000000001</v>
      </c>
      <c r="BD30" s="130"/>
      <c r="BE30" s="131">
        <f t="shared" si="11"/>
        <v>790</v>
      </c>
      <c r="BF30" s="132">
        <f t="shared" si="12"/>
        <v>3120.5000000000005</v>
      </c>
      <c r="BG30" s="133"/>
      <c r="BH30" s="136">
        <f t="shared" si="32"/>
        <v>790</v>
      </c>
      <c r="BI30" s="111">
        <f>'B1 &amp; 102F 锅炉房'!C30</f>
        <v>1430</v>
      </c>
      <c r="BJ30" s="110">
        <f>'B1 &amp; 102F 锅炉房'!G30</f>
        <v>821</v>
      </c>
      <c r="BK30" s="137">
        <f t="shared" si="13"/>
        <v>3041</v>
      </c>
    </row>
    <row r="31" spans="1:65" s="76" customFormat="1" ht="21" customHeight="1">
      <c r="A31" s="212">
        <v>44160</v>
      </c>
      <c r="B31" s="223">
        <v>68334</v>
      </c>
      <c r="C31" s="223">
        <v>2082</v>
      </c>
      <c r="D31" s="224">
        <f t="shared" si="14"/>
        <v>35</v>
      </c>
      <c r="E31" s="223">
        <f t="shared" si="0"/>
        <v>138.25</v>
      </c>
      <c r="F31" s="224"/>
      <c r="G31" s="225"/>
      <c r="H31" s="225"/>
      <c r="I31" s="225">
        <f t="shared" si="15"/>
        <v>0</v>
      </c>
      <c r="J31" s="225">
        <f t="shared" si="16"/>
        <v>0</v>
      </c>
      <c r="K31" s="225"/>
      <c r="L31" s="123">
        <v>102220</v>
      </c>
      <c r="M31" s="123">
        <v>2337</v>
      </c>
      <c r="N31" s="123">
        <f t="shared" si="26"/>
        <v>39</v>
      </c>
      <c r="O31" s="123">
        <f t="shared" si="1"/>
        <v>154.05000000000001</v>
      </c>
      <c r="P31" s="123"/>
      <c r="Q31" s="124">
        <v>153624</v>
      </c>
      <c r="R31" s="124">
        <v>4572</v>
      </c>
      <c r="S31" s="124">
        <f t="shared" si="27"/>
        <v>20</v>
      </c>
      <c r="T31" s="124">
        <f t="shared" si="3"/>
        <v>79</v>
      </c>
      <c r="U31" s="124"/>
      <c r="V31" s="125">
        <v>21147</v>
      </c>
      <c r="W31" s="125">
        <v>3518</v>
      </c>
      <c r="X31" s="125">
        <f t="shared" si="24"/>
        <v>93</v>
      </c>
      <c r="Y31" s="125">
        <f t="shared" si="4"/>
        <v>367.35</v>
      </c>
      <c r="Z31" s="125"/>
      <c r="AA31" s="126">
        <v>392578</v>
      </c>
      <c r="AB31" s="126">
        <v>14307</v>
      </c>
      <c r="AC31" s="126">
        <f t="shared" si="28"/>
        <v>189</v>
      </c>
      <c r="AD31" s="126">
        <f t="shared" si="5"/>
        <v>746.55000000000007</v>
      </c>
      <c r="AE31" s="126"/>
      <c r="AF31" s="127">
        <v>63799</v>
      </c>
      <c r="AG31" s="127">
        <v>2639</v>
      </c>
      <c r="AH31" s="127">
        <f t="shared" si="29"/>
        <v>8</v>
      </c>
      <c r="AI31" s="127">
        <f t="shared" si="6"/>
        <v>31.6</v>
      </c>
      <c r="AJ31" s="127"/>
      <c r="AK31" s="128">
        <v>518551</v>
      </c>
      <c r="AL31" s="128">
        <v>14555</v>
      </c>
      <c r="AM31" s="128">
        <f t="shared" si="30"/>
        <v>189</v>
      </c>
      <c r="AN31" s="128">
        <f t="shared" si="7"/>
        <v>746.55000000000007</v>
      </c>
      <c r="AO31" s="128"/>
      <c r="AP31" s="123">
        <v>9666</v>
      </c>
      <c r="AQ31" s="123">
        <v>12539</v>
      </c>
      <c r="AR31" s="123">
        <f>(AP31-AP30)</f>
        <v>137</v>
      </c>
      <c r="AS31" s="123">
        <f t="shared" si="8"/>
        <v>541.15</v>
      </c>
      <c r="AT31" s="123"/>
      <c r="AU31" s="129">
        <v>20334</v>
      </c>
      <c r="AV31" s="129">
        <v>2490</v>
      </c>
      <c r="AW31" s="129">
        <f t="shared" si="21"/>
        <v>9</v>
      </c>
      <c r="AX31" s="129">
        <f t="shared" si="9"/>
        <v>35.550000000000004</v>
      </c>
      <c r="AY31" s="129"/>
      <c r="AZ31" s="130">
        <v>75861</v>
      </c>
      <c r="BA31" s="130">
        <v>4423</v>
      </c>
      <c r="BB31" s="130">
        <f t="shared" si="22"/>
        <v>27</v>
      </c>
      <c r="BC31" s="130">
        <f t="shared" si="10"/>
        <v>106.65</v>
      </c>
      <c r="BD31" s="130"/>
      <c r="BE31" s="131">
        <f t="shared" si="11"/>
        <v>746</v>
      </c>
      <c r="BF31" s="132">
        <f t="shared" si="12"/>
        <v>2946.7000000000007</v>
      </c>
      <c r="BG31" s="133"/>
      <c r="BH31" s="136">
        <f t="shared" si="32"/>
        <v>746</v>
      </c>
      <c r="BI31" s="111">
        <f>'B1 &amp; 102F 锅炉房'!C31</f>
        <v>1423</v>
      </c>
      <c r="BJ31" s="110">
        <f>'B1 &amp; 102F 锅炉房'!G31</f>
        <v>908</v>
      </c>
      <c r="BK31" s="137">
        <f t="shared" si="13"/>
        <v>3077</v>
      </c>
    </row>
    <row r="32" spans="1:65" s="76" customFormat="1" ht="21" customHeight="1">
      <c r="A32" s="212">
        <v>44161</v>
      </c>
      <c r="B32" s="223">
        <v>68401</v>
      </c>
      <c r="C32" s="223">
        <v>2015</v>
      </c>
      <c r="D32" s="224">
        <f t="shared" si="14"/>
        <v>67</v>
      </c>
      <c r="E32" s="223">
        <f t="shared" si="0"/>
        <v>264.65000000000003</v>
      </c>
      <c r="F32" s="224"/>
      <c r="G32" s="225"/>
      <c r="H32" s="225"/>
      <c r="I32" s="225">
        <f t="shared" si="15"/>
        <v>0</v>
      </c>
      <c r="J32" s="225">
        <f t="shared" si="16"/>
        <v>0</v>
      </c>
      <c r="K32" s="225"/>
      <c r="L32" s="123">
        <v>102273</v>
      </c>
      <c r="M32" s="123">
        <v>2284</v>
      </c>
      <c r="N32" s="123">
        <f t="shared" si="26"/>
        <v>53</v>
      </c>
      <c r="O32" s="123">
        <f t="shared" si="1"/>
        <v>209.35000000000002</v>
      </c>
      <c r="P32" s="123"/>
      <c r="Q32" s="124">
        <v>153626</v>
      </c>
      <c r="R32" s="124">
        <v>4571</v>
      </c>
      <c r="S32" s="124">
        <f t="shared" si="27"/>
        <v>2</v>
      </c>
      <c r="T32" s="124">
        <f t="shared" si="3"/>
        <v>7.9</v>
      </c>
      <c r="U32" s="124"/>
      <c r="V32" s="125">
        <v>21182</v>
      </c>
      <c r="W32" s="125">
        <v>3483</v>
      </c>
      <c r="X32" s="125">
        <f t="shared" si="24"/>
        <v>35</v>
      </c>
      <c r="Y32" s="125">
        <f t="shared" si="4"/>
        <v>138.25</v>
      </c>
      <c r="Z32" s="125"/>
      <c r="AA32" s="126">
        <v>392769</v>
      </c>
      <c r="AB32" s="126">
        <v>14116</v>
      </c>
      <c r="AC32" s="126">
        <f t="shared" si="28"/>
        <v>191</v>
      </c>
      <c r="AD32" s="126">
        <f t="shared" si="5"/>
        <v>754.45</v>
      </c>
      <c r="AE32" s="126"/>
      <c r="AF32" s="127">
        <v>63802</v>
      </c>
      <c r="AG32" s="127">
        <v>2636</v>
      </c>
      <c r="AH32" s="127">
        <f t="shared" si="29"/>
        <v>3</v>
      </c>
      <c r="AI32" s="127">
        <f t="shared" si="6"/>
        <v>11.850000000000001</v>
      </c>
      <c r="AJ32" s="127"/>
      <c r="AK32" s="128">
        <v>518728</v>
      </c>
      <c r="AL32" s="128">
        <v>14378</v>
      </c>
      <c r="AM32" s="128">
        <f t="shared" si="30"/>
        <v>177</v>
      </c>
      <c r="AN32" s="128">
        <f t="shared" si="7"/>
        <v>699.15</v>
      </c>
      <c r="AO32" s="128"/>
      <c r="AP32" s="123">
        <v>9800</v>
      </c>
      <c r="AQ32" s="123">
        <v>12404</v>
      </c>
      <c r="AR32" s="123">
        <f t="shared" si="31"/>
        <v>134</v>
      </c>
      <c r="AS32" s="123">
        <f t="shared" si="8"/>
        <v>529.30000000000007</v>
      </c>
      <c r="AT32" s="123"/>
      <c r="AU32" s="129">
        <v>20342</v>
      </c>
      <c r="AV32" s="129">
        <v>2482</v>
      </c>
      <c r="AW32" s="129">
        <f t="shared" si="21"/>
        <v>8</v>
      </c>
      <c r="AX32" s="129">
        <f t="shared" si="9"/>
        <v>31.6</v>
      </c>
      <c r="AY32" s="129"/>
      <c r="AZ32" s="130">
        <v>75881</v>
      </c>
      <c r="BA32" s="130">
        <v>4403</v>
      </c>
      <c r="BB32" s="130">
        <f t="shared" si="22"/>
        <v>20</v>
      </c>
      <c r="BC32" s="130">
        <f t="shared" si="10"/>
        <v>79</v>
      </c>
      <c r="BD32" s="130"/>
      <c r="BE32" s="131">
        <f t="shared" si="11"/>
        <v>690</v>
      </c>
      <c r="BF32" s="132">
        <f t="shared" si="12"/>
        <v>2725.5</v>
      </c>
      <c r="BG32" s="133"/>
      <c r="BH32" s="136">
        <f t="shared" ref="BH32:BH37" si="33">BE32</f>
        <v>690</v>
      </c>
      <c r="BI32" s="111">
        <f>'B1 &amp; 102F 锅炉房'!C32</f>
        <v>1484</v>
      </c>
      <c r="BJ32" s="110">
        <f>'B1 &amp; 102F 锅炉房'!G32</f>
        <v>858</v>
      </c>
      <c r="BK32" s="137">
        <f t="shared" si="13"/>
        <v>3032</v>
      </c>
    </row>
    <row r="33" spans="1:63" s="76" customFormat="1" ht="21" customHeight="1">
      <c r="A33" s="212">
        <v>44162</v>
      </c>
      <c r="B33" s="223">
        <v>68421</v>
      </c>
      <c r="C33" s="223">
        <v>1995</v>
      </c>
      <c r="D33" s="224">
        <f t="shared" si="14"/>
        <v>20</v>
      </c>
      <c r="E33" s="223">
        <f t="shared" si="0"/>
        <v>79</v>
      </c>
      <c r="F33" s="224"/>
      <c r="G33" s="225"/>
      <c r="H33" s="225"/>
      <c r="I33" s="225">
        <f t="shared" si="15"/>
        <v>0</v>
      </c>
      <c r="J33" s="225">
        <f t="shared" si="16"/>
        <v>0</v>
      </c>
      <c r="K33" s="225"/>
      <c r="L33" s="123">
        <v>102336</v>
      </c>
      <c r="M33" s="123">
        <v>2220</v>
      </c>
      <c r="N33" s="123">
        <f t="shared" si="26"/>
        <v>63</v>
      </c>
      <c r="O33" s="123">
        <f t="shared" si="1"/>
        <v>248.85000000000002</v>
      </c>
      <c r="P33" s="123"/>
      <c r="Q33" s="124">
        <v>153663</v>
      </c>
      <c r="R33" s="124">
        <v>4534</v>
      </c>
      <c r="S33" s="124">
        <f t="shared" si="27"/>
        <v>37</v>
      </c>
      <c r="T33" s="124">
        <f t="shared" si="3"/>
        <v>146.15</v>
      </c>
      <c r="U33" s="124"/>
      <c r="V33" s="125">
        <v>21297</v>
      </c>
      <c r="W33" s="125">
        <v>3368</v>
      </c>
      <c r="X33" s="125">
        <f t="shared" si="24"/>
        <v>115</v>
      </c>
      <c r="Y33" s="125">
        <f t="shared" si="4"/>
        <v>454.25</v>
      </c>
      <c r="Z33" s="125"/>
      <c r="AA33" s="126">
        <v>392925</v>
      </c>
      <c r="AB33" s="126">
        <v>13960</v>
      </c>
      <c r="AC33" s="126">
        <f t="shared" si="28"/>
        <v>156</v>
      </c>
      <c r="AD33" s="126">
        <f t="shared" si="5"/>
        <v>616.20000000000005</v>
      </c>
      <c r="AE33" s="126"/>
      <c r="AF33" s="127">
        <v>63807</v>
      </c>
      <c r="AG33" s="127">
        <v>2631</v>
      </c>
      <c r="AH33" s="127">
        <f t="shared" si="29"/>
        <v>5</v>
      </c>
      <c r="AI33" s="127">
        <f t="shared" si="6"/>
        <v>19.75</v>
      </c>
      <c r="AJ33" s="127"/>
      <c r="AK33" s="128">
        <v>518923</v>
      </c>
      <c r="AL33" s="128">
        <v>14184</v>
      </c>
      <c r="AM33" s="128">
        <f t="shared" si="30"/>
        <v>195</v>
      </c>
      <c r="AN33" s="128">
        <f t="shared" si="7"/>
        <v>770.25</v>
      </c>
      <c r="AO33" s="128"/>
      <c r="AP33" s="123">
        <v>9938</v>
      </c>
      <c r="AQ33" s="123">
        <v>12267</v>
      </c>
      <c r="AR33" s="123">
        <f t="shared" si="31"/>
        <v>138</v>
      </c>
      <c r="AS33" s="123">
        <f t="shared" si="8"/>
        <v>545.1</v>
      </c>
      <c r="AT33" s="123"/>
      <c r="AU33" s="129">
        <v>20351</v>
      </c>
      <c r="AV33" s="129">
        <v>2473</v>
      </c>
      <c r="AW33" s="129">
        <f t="shared" si="21"/>
        <v>9</v>
      </c>
      <c r="AX33" s="129">
        <f t="shared" si="9"/>
        <v>35.550000000000004</v>
      </c>
      <c r="AY33" s="129"/>
      <c r="AZ33" s="130">
        <v>75905</v>
      </c>
      <c r="BA33" s="130">
        <v>4379</v>
      </c>
      <c r="BB33" s="130">
        <f t="shared" si="22"/>
        <v>24</v>
      </c>
      <c r="BC33" s="130">
        <f t="shared" si="10"/>
        <v>94.800000000000011</v>
      </c>
      <c r="BD33" s="130"/>
      <c r="BE33" s="131">
        <f t="shared" si="11"/>
        <v>762</v>
      </c>
      <c r="BF33" s="132">
        <f t="shared" si="12"/>
        <v>3009.9</v>
      </c>
      <c r="BG33" s="133"/>
      <c r="BH33" s="136">
        <f t="shared" si="33"/>
        <v>762</v>
      </c>
      <c r="BI33" s="111">
        <f>'B1 &amp; 102F 锅炉房'!C33</f>
        <v>1486</v>
      </c>
      <c r="BJ33" s="110">
        <f>'B1 &amp; 102F 锅炉房'!G33</f>
        <v>888</v>
      </c>
      <c r="BK33" s="137">
        <f t="shared" si="13"/>
        <v>3136</v>
      </c>
    </row>
    <row r="34" spans="1:63" s="76" customFormat="1" ht="21" customHeight="1">
      <c r="A34" s="212">
        <v>44163</v>
      </c>
      <c r="B34" s="223">
        <v>68453</v>
      </c>
      <c r="C34" s="223">
        <v>1963</v>
      </c>
      <c r="D34" s="224">
        <f t="shared" si="14"/>
        <v>32</v>
      </c>
      <c r="E34" s="223">
        <f t="shared" si="0"/>
        <v>126.4</v>
      </c>
      <c r="F34" s="224"/>
      <c r="G34" s="225"/>
      <c r="H34" s="225"/>
      <c r="I34" s="225">
        <f t="shared" si="15"/>
        <v>0</v>
      </c>
      <c r="J34" s="225">
        <f t="shared" si="16"/>
        <v>0</v>
      </c>
      <c r="K34" s="225"/>
      <c r="L34" s="123">
        <v>102398</v>
      </c>
      <c r="M34" s="123">
        <v>2159</v>
      </c>
      <c r="N34" s="123">
        <f t="shared" si="26"/>
        <v>62</v>
      </c>
      <c r="O34" s="123">
        <f t="shared" si="1"/>
        <v>244.9</v>
      </c>
      <c r="P34" s="123"/>
      <c r="Q34" s="124">
        <v>153804</v>
      </c>
      <c r="R34" s="124">
        <v>4392</v>
      </c>
      <c r="S34" s="124">
        <f t="shared" si="27"/>
        <v>141</v>
      </c>
      <c r="T34" s="124">
        <f t="shared" si="3"/>
        <v>556.95000000000005</v>
      </c>
      <c r="U34" s="124"/>
      <c r="V34" s="125">
        <v>21332</v>
      </c>
      <c r="W34" s="125">
        <v>3333</v>
      </c>
      <c r="X34" s="125">
        <f t="shared" si="24"/>
        <v>35</v>
      </c>
      <c r="Y34" s="125">
        <f t="shared" si="4"/>
        <v>138.25</v>
      </c>
      <c r="Z34" s="125"/>
      <c r="AA34" s="126">
        <v>393124</v>
      </c>
      <c r="AB34" s="126">
        <v>13761</v>
      </c>
      <c r="AC34" s="126">
        <f t="shared" si="28"/>
        <v>199</v>
      </c>
      <c r="AD34" s="126">
        <f t="shared" si="5"/>
        <v>786.05000000000007</v>
      </c>
      <c r="AE34" s="126"/>
      <c r="AF34" s="127">
        <v>63814</v>
      </c>
      <c r="AG34" s="127">
        <v>2625</v>
      </c>
      <c r="AH34" s="127">
        <f t="shared" si="29"/>
        <v>7</v>
      </c>
      <c r="AI34" s="127">
        <f t="shared" si="6"/>
        <v>27.650000000000002</v>
      </c>
      <c r="AJ34" s="127"/>
      <c r="AK34" s="128">
        <v>519137</v>
      </c>
      <c r="AL34" s="128">
        <v>13969</v>
      </c>
      <c r="AM34" s="128">
        <f t="shared" si="30"/>
        <v>214</v>
      </c>
      <c r="AN34" s="128">
        <f t="shared" si="7"/>
        <v>845.30000000000007</v>
      </c>
      <c r="AO34" s="128"/>
      <c r="AP34" s="123">
        <v>10082</v>
      </c>
      <c r="AQ34" s="123">
        <v>12123</v>
      </c>
      <c r="AR34" s="123">
        <f t="shared" si="31"/>
        <v>144</v>
      </c>
      <c r="AS34" s="123">
        <f t="shared" si="8"/>
        <v>568.80000000000007</v>
      </c>
      <c r="AT34" s="123"/>
      <c r="AU34" s="129">
        <v>20359</v>
      </c>
      <c r="AV34" s="129">
        <v>2466</v>
      </c>
      <c r="AW34" s="129">
        <f t="shared" si="21"/>
        <v>8</v>
      </c>
      <c r="AX34" s="129">
        <f t="shared" si="9"/>
        <v>31.6</v>
      </c>
      <c r="AY34" s="129"/>
      <c r="AZ34" s="130">
        <v>75929</v>
      </c>
      <c r="BA34" s="130">
        <v>4355</v>
      </c>
      <c r="BB34" s="130">
        <f t="shared" si="22"/>
        <v>24</v>
      </c>
      <c r="BC34" s="130">
        <f t="shared" si="10"/>
        <v>94.800000000000011</v>
      </c>
      <c r="BD34" s="130"/>
      <c r="BE34" s="131">
        <f t="shared" si="11"/>
        <v>866</v>
      </c>
      <c r="BF34" s="132">
        <f t="shared" si="12"/>
        <v>3420.7000000000007</v>
      </c>
      <c r="BG34" s="139"/>
      <c r="BH34" s="136">
        <f t="shared" si="33"/>
        <v>866</v>
      </c>
      <c r="BI34" s="111">
        <f>'B1 &amp; 102F 锅炉房'!C34</f>
        <v>1475</v>
      </c>
      <c r="BJ34" s="110">
        <f>'B1 &amp; 102F 锅炉房'!G34</f>
        <v>942</v>
      </c>
      <c r="BK34" s="137">
        <f t="shared" si="13"/>
        <v>3283</v>
      </c>
    </row>
    <row r="35" spans="1:63" s="76" customFormat="1" ht="21" customHeight="1">
      <c r="A35" s="212">
        <v>44164</v>
      </c>
      <c r="B35" s="223">
        <v>68494</v>
      </c>
      <c r="C35" s="223">
        <v>1922</v>
      </c>
      <c r="D35" s="224">
        <f>B35-B34</f>
        <v>41</v>
      </c>
      <c r="E35" s="223">
        <f t="shared" si="0"/>
        <v>161.95000000000002</v>
      </c>
      <c r="F35" s="224"/>
      <c r="G35" s="225"/>
      <c r="H35" s="225"/>
      <c r="I35" s="225">
        <f>(G35-G34)</f>
        <v>0</v>
      </c>
      <c r="J35" s="225">
        <f>I35*4.25</f>
        <v>0</v>
      </c>
      <c r="K35" s="225"/>
      <c r="L35" s="123">
        <v>102443</v>
      </c>
      <c r="M35" s="123">
        <v>2114</v>
      </c>
      <c r="N35" s="123">
        <f>(L35-L34)</f>
        <v>45</v>
      </c>
      <c r="O35" s="123">
        <f t="shared" si="1"/>
        <v>177.75</v>
      </c>
      <c r="P35" s="123"/>
      <c r="Q35" s="124">
        <v>153904</v>
      </c>
      <c r="R35" s="124">
        <v>4292</v>
      </c>
      <c r="S35" s="124">
        <f>(Q35-Q34)</f>
        <v>100</v>
      </c>
      <c r="T35" s="124">
        <f t="shared" si="3"/>
        <v>395</v>
      </c>
      <c r="U35" s="124"/>
      <c r="V35" s="125">
        <v>21393</v>
      </c>
      <c r="W35" s="125">
        <v>3272</v>
      </c>
      <c r="X35" s="125">
        <f>(V35-V34)</f>
        <v>61</v>
      </c>
      <c r="Y35" s="125">
        <f t="shared" si="4"/>
        <v>240.95000000000002</v>
      </c>
      <c r="Z35" s="125"/>
      <c r="AA35" s="126">
        <v>393312</v>
      </c>
      <c r="AB35" s="126">
        <v>13573</v>
      </c>
      <c r="AC35" s="126">
        <f>(AA35-AA34)</f>
        <v>188</v>
      </c>
      <c r="AD35" s="126">
        <f t="shared" si="5"/>
        <v>742.6</v>
      </c>
      <c r="AE35" s="126"/>
      <c r="AF35" s="127">
        <v>63818</v>
      </c>
      <c r="AG35" s="127">
        <v>2620</v>
      </c>
      <c r="AH35" s="127">
        <f>(AF35-AF34)</f>
        <v>4</v>
      </c>
      <c r="AI35" s="127">
        <f t="shared" si="6"/>
        <v>15.8</v>
      </c>
      <c r="AJ35" s="127"/>
      <c r="AK35" s="128">
        <v>519341</v>
      </c>
      <c r="AL35" s="128">
        <v>13765</v>
      </c>
      <c r="AM35" s="128">
        <f>(AK35-AK34)</f>
        <v>204</v>
      </c>
      <c r="AN35" s="128">
        <f t="shared" si="7"/>
        <v>805.80000000000007</v>
      </c>
      <c r="AO35" s="128"/>
      <c r="AP35" s="123">
        <v>10219</v>
      </c>
      <c r="AQ35" s="123">
        <v>11946</v>
      </c>
      <c r="AR35" s="123">
        <f>(AP35-AP34)</f>
        <v>137</v>
      </c>
      <c r="AS35" s="123">
        <f t="shared" si="8"/>
        <v>541.15</v>
      </c>
      <c r="AT35" s="123"/>
      <c r="AU35" s="129">
        <v>20369</v>
      </c>
      <c r="AV35" s="129">
        <v>2455</v>
      </c>
      <c r="AW35" s="129">
        <f>AU35-AU34</f>
        <v>10</v>
      </c>
      <c r="AX35" s="129">
        <f t="shared" si="9"/>
        <v>39.5</v>
      </c>
      <c r="AY35" s="129"/>
      <c r="AZ35" s="130">
        <v>75929</v>
      </c>
      <c r="BA35" s="130">
        <v>4355</v>
      </c>
      <c r="BB35" s="130">
        <f>(AZ35-AZ34)</f>
        <v>0</v>
      </c>
      <c r="BC35" s="130">
        <f t="shared" si="10"/>
        <v>0</v>
      </c>
      <c r="BD35" s="130"/>
      <c r="BE35" s="131">
        <f t="shared" si="11"/>
        <v>790</v>
      </c>
      <c r="BF35" s="132">
        <f t="shared" si="12"/>
        <v>3120.5</v>
      </c>
      <c r="BG35" s="139"/>
      <c r="BH35" s="136">
        <f t="shared" si="33"/>
        <v>790</v>
      </c>
      <c r="BI35" s="111">
        <f>'B1 &amp; 102F 锅炉房'!C35</f>
        <v>1540</v>
      </c>
      <c r="BJ35" s="110">
        <f>'B1 &amp; 102F 锅炉房'!G35</f>
        <v>926</v>
      </c>
      <c r="BK35" s="137">
        <f t="shared" si="13"/>
        <v>3256</v>
      </c>
    </row>
    <row r="36" spans="1:63" s="76" customFormat="1" ht="21" customHeight="1">
      <c r="A36" s="212">
        <v>44165</v>
      </c>
      <c r="B36" s="223">
        <v>68534</v>
      </c>
      <c r="C36" s="223">
        <v>1882</v>
      </c>
      <c r="D36" s="224">
        <f>B36-B35</f>
        <v>40</v>
      </c>
      <c r="E36" s="223">
        <f t="shared" si="0"/>
        <v>158</v>
      </c>
      <c r="F36" s="224"/>
      <c r="G36" s="225"/>
      <c r="H36" s="225"/>
      <c r="I36" s="225">
        <f>(G36-G35)</f>
        <v>0</v>
      </c>
      <c r="J36" s="225">
        <f>I36*4.25</f>
        <v>0</v>
      </c>
      <c r="K36" s="225"/>
      <c r="L36" s="123">
        <v>102487</v>
      </c>
      <c r="M36" s="123">
        <v>2070</v>
      </c>
      <c r="N36" s="123">
        <f>(L36-L35)</f>
        <v>44</v>
      </c>
      <c r="O36" s="123">
        <f t="shared" si="1"/>
        <v>173.8</v>
      </c>
      <c r="P36" s="123"/>
      <c r="Q36" s="124">
        <v>153904</v>
      </c>
      <c r="R36" s="124">
        <v>4292</v>
      </c>
      <c r="S36" s="124">
        <f>(Q36-Q35)</f>
        <v>0</v>
      </c>
      <c r="T36" s="124">
        <f t="shared" si="3"/>
        <v>0</v>
      </c>
      <c r="U36" s="124"/>
      <c r="V36" s="125">
        <v>21393</v>
      </c>
      <c r="W36" s="125">
        <v>3272</v>
      </c>
      <c r="X36" s="125">
        <f>(V36-V35)</f>
        <v>0</v>
      </c>
      <c r="Y36" s="125">
        <f t="shared" si="4"/>
        <v>0</v>
      </c>
      <c r="Z36" s="125"/>
      <c r="AA36" s="126">
        <v>393487</v>
      </c>
      <c r="AB36" s="126">
        <v>13399</v>
      </c>
      <c r="AC36" s="126">
        <f>(AA36-AA35)</f>
        <v>175</v>
      </c>
      <c r="AD36" s="126">
        <f t="shared" si="5"/>
        <v>691.25</v>
      </c>
      <c r="AE36" s="126"/>
      <c r="AF36" s="127">
        <v>63822</v>
      </c>
      <c r="AG36" s="127">
        <v>2616</v>
      </c>
      <c r="AH36" s="127">
        <f>(AF36-AF35)</f>
        <v>4</v>
      </c>
      <c r="AI36" s="127">
        <f t="shared" si="6"/>
        <v>15.8</v>
      </c>
      <c r="AJ36" s="127"/>
      <c r="AK36" s="128">
        <v>519492</v>
      </c>
      <c r="AL36" s="128">
        <v>13614</v>
      </c>
      <c r="AM36" s="128">
        <f>(AK36-AK35)</f>
        <v>151</v>
      </c>
      <c r="AN36" s="128">
        <f t="shared" si="7"/>
        <v>596.45000000000005</v>
      </c>
      <c r="AO36" s="128"/>
      <c r="AP36" s="123">
        <v>10350</v>
      </c>
      <c r="AQ36" s="123">
        <v>11854</v>
      </c>
      <c r="AR36" s="123">
        <f>(AP36-AP35)</f>
        <v>131</v>
      </c>
      <c r="AS36" s="123">
        <f t="shared" si="8"/>
        <v>517.45000000000005</v>
      </c>
      <c r="AT36" s="123"/>
      <c r="AU36" s="129">
        <v>20377</v>
      </c>
      <c r="AV36" s="129">
        <v>2447</v>
      </c>
      <c r="AW36" s="129">
        <f>AU36-AU35</f>
        <v>8</v>
      </c>
      <c r="AX36" s="129">
        <f t="shared" si="9"/>
        <v>31.6</v>
      </c>
      <c r="AY36" s="129"/>
      <c r="AZ36" s="130">
        <v>75929</v>
      </c>
      <c r="BA36" s="130">
        <v>4355</v>
      </c>
      <c r="BB36" s="130">
        <f>(AZ36-AZ35)</f>
        <v>0</v>
      </c>
      <c r="BC36" s="130">
        <f t="shared" si="10"/>
        <v>0</v>
      </c>
      <c r="BD36" s="130"/>
      <c r="BE36" s="131">
        <f t="shared" si="11"/>
        <v>553</v>
      </c>
      <c r="BF36" s="132">
        <f t="shared" si="12"/>
        <v>2184.35</v>
      </c>
      <c r="BG36" s="139"/>
      <c r="BH36" s="136">
        <f t="shared" si="33"/>
        <v>553</v>
      </c>
      <c r="BI36" s="111">
        <f>'B1 &amp; 102F 锅炉房'!C36</f>
        <v>1524</v>
      </c>
      <c r="BJ36" s="110">
        <f>'B1 &amp; 102F 锅炉房'!G36</f>
        <v>897</v>
      </c>
      <c r="BK36" s="137">
        <f t="shared" si="13"/>
        <v>2974</v>
      </c>
    </row>
    <row r="37" spans="1:63" s="76" customFormat="1" ht="21" customHeight="1">
      <c r="A37" s="212"/>
      <c r="B37" s="223"/>
      <c r="C37" s="223"/>
      <c r="D37" s="224">
        <f>B37-B36</f>
        <v>-68534</v>
      </c>
      <c r="E37" s="223">
        <f>D37*4.17</f>
        <v>-285786.77999999997</v>
      </c>
      <c r="F37" s="224"/>
      <c r="G37" s="225"/>
      <c r="H37" s="225"/>
      <c r="I37" s="225">
        <f>(G37-G36)</f>
        <v>0</v>
      </c>
      <c r="J37" s="225">
        <f>I37*4.25</f>
        <v>0</v>
      </c>
      <c r="K37" s="225"/>
      <c r="L37" s="123"/>
      <c r="M37" s="123"/>
      <c r="N37" s="123">
        <f>(L37-L36)</f>
        <v>-102487</v>
      </c>
      <c r="O37" s="123">
        <f>N37*4.17</f>
        <v>-427370.79</v>
      </c>
      <c r="P37" s="123"/>
      <c r="Q37" s="124"/>
      <c r="R37" s="124"/>
      <c r="S37" s="124">
        <f>(Q37-Q36)</f>
        <v>-153904</v>
      </c>
      <c r="T37" s="124">
        <f>S37*4.17</f>
        <v>-641779.67999999993</v>
      </c>
      <c r="U37" s="124"/>
      <c r="V37" s="125"/>
      <c r="W37" s="125"/>
      <c r="X37" s="125">
        <f>(V37-V36)</f>
        <v>-21393</v>
      </c>
      <c r="Y37" s="125">
        <f>X37*4.17</f>
        <v>-89208.81</v>
      </c>
      <c r="Z37" s="125"/>
      <c r="AA37" s="126"/>
      <c r="AB37" s="126"/>
      <c r="AC37" s="126">
        <f>(AA37-AA36)</f>
        <v>-393487</v>
      </c>
      <c r="AD37" s="126">
        <f>AC37*4.17</f>
        <v>-1640840.79</v>
      </c>
      <c r="AE37" s="126"/>
      <c r="AF37" s="127"/>
      <c r="AG37" s="127"/>
      <c r="AH37" s="127">
        <f>(AF37-AF36)</f>
        <v>-63822</v>
      </c>
      <c r="AI37" s="127">
        <f>AH37*4.17</f>
        <v>-266137.74</v>
      </c>
      <c r="AJ37" s="127"/>
      <c r="AK37" s="128"/>
      <c r="AL37" s="128"/>
      <c r="AM37" s="128">
        <f>(AK37-AK36)</f>
        <v>-519492</v>
      </c>
      <c r="AN37" s="128">
        <f>AM37*4.17</f>
        <v>-2166281.64</v>
      </c>
      <c r="AO37" s="128"/>
      <c r="AP37" s="123"/>
      <c r="AQ37" s="123"/>
      <c r="AR37" s="123">
        <f>(AP37-AP36)</f>
        <v>-10350</v>
      </c>
      <c r="AS37" s="123">
        <f>AR37*4.17</f>
        <v>-43159.5</v>
      </c>
      <c r="AT37" s="123"/>
      <c r="AU37" s="129"/>
      <c r="AV37" s="129"/>
      <c r="AW37" s="129">
        <f>AU37-AU36</f>
        <v>-20377</v>
      </c>
      <c r="AX37" s="129">
        <f>AW37*4.17</f>
        <v>-84972.09</v>
      </c>
      <c r="AY37" s="129"/>
      <c r="AZ37" s="130"/>
      <c r="BA37" s="130"/>
      <c r="BB37" s="130">
        <f>(AZ37-AZ36)</f>
        <v>-75929</v>
      </c>
      <c r="BC37" s="130">
        <f>BB37*4.17</f>
        <v>-316623.93</v>
      </c>
      <c r="BD37" s="130"/>
      <c r="BE37" s="131">
        <f t="shared" si="11"/>
        <v>-1429775</v>
      </c>
      <c r="BF37" s="132">
        <f t="shared" si="12"/>
        <v>-5962161.75</v>
      </c>
      <c r="BG37" s="259"/>
      <c r="BH37" s="136">
        <f t="shared" si="33"/>
        <v>-1429775</v>
      </c>
      <c r="BI37" s="111">
        <f>'B1 &amp; 102F 锅炉房'!C37</f>
        <v>-4650224</v>
      </c>
      <c r="BJ37" s="110">
        <f>'B1 &amp; 102F 锅炉房'!G37</f>
        <v>-3318810</v>
      </c>
      <c r="BK37" s="137">
        <f>SUM(BH37+BI37+BJ37)</f>
        <v>-9398809</v>
      </c>
    </row>
    <row r="38" spans="1:63" s="81" customFormat="1" ht="21" customHeight="1">
      <c r="A38" s="79" t="s">
        <v>28</v>
      </c>
      <c r="B38" s="226"/>
      <c r="C38" s="226"/>
      <c r="D38" s="227">
        <f>SUM(D8:D36)</f>
        <v>744</v>
      </c>
      <c r="E38" s="228">
        <f>SUM(E8:E36)</f>
        <v>2938.8</v>
      </c>
      <c r="F38" s="229"/>
      <c r="G38" s="226"/>
      <c r="H38" s="226"/>
      <c r="I38" s="227">
        <f>SUM(I8:I36)</f>
        <v>0</v>
      </c>
      <c r="J38" s="229"/>
      <c r="K38" s="229"/>
      <c r="L38" s="226"/>
      <c r="M38" s="226"/>
      <c r="N38" s="227">
        <f>SUM(N8:N36)</f>
        <v>1187</v>
      </c>
      <c r="O38" s="229"/>
      <c r="P38" s="229"/>
      <c r="Q38" s="226"/>
      <c r="R38" s="226"/>
      <c r="S38" s="227">
        <f>SUM(S8:S36)</f>
        <v>1230</v>
      </c>
      <c r="T38" s="229"/>
      <c r="U38" s="229"/>
      <c r="V38" s="226"/>
      <c r="W38" s="226"/>
      <c r="X38" s="227">
        <f>SUM(X8:X36)</f>
        <v>1557</v>
      </c>
      <c r="Y38" s="229"/>
      <c r="Z38" s="229"/>
      <c r="AA38" s="226"/>
      <c r="AB38" s="226"/>
      <c r="AC38" s="230">
        <f>SUM(AC8:AC36)</f>
        <v>5064</v>
      </c>
      <c r="AD38" s="229"/>
      <c r="AE38" s="229"/>
      <c r="AF38" s="229"/>
      <c r="AG38" s="226"/>
      <c r="AH38" s="230">
        <f>SUM(AH8:AH36)</f>
        <v>136</v>
      </c>
      <c r="AI38" s="229"/>
      <c r="AJ38" s="229"/>
      <c r="AK38" s="229"/>
      <c r="AL38" s="226"/>
      <c r="AM38" s="230">
        <f>SUM(AM8:AM36)</f>
        <v>5180</v>
      </c>
      <c r="AN38" s="229"/>
      <c r="AO38" s="229"/>
      <c r="AP38" s="226"/>
      <c r="AQ38" s="226"/>
      <c r="AR38" s="230">
        <f>SUM(AR8:AR36)</f>
        <v>3808</v>
      </c>
      <c r="AS38" s="230"/>
      <c r="AT38" s="229"/>
      <c r="AU38" s="229"/>
      <c r="AV38" s="226"/>
      <c r="AW38" s="230">
        <f>SUM(AW7:AW35)</f>
        <v>261</v>
      </c>
      <c r="AX38" s="230">
        <f>SUM(AX7:AX36)</f>
        <v>1062.5499999999997</v>
      </c>
      <c r="AY38" s="229"/>
      <c r="AZ38" s="229"/>
      <c r="BA38" s="226"/>
      <c r="BB38" s="230">
        <f>SUM(BB7:BB36)</f>
        <v>590</v>
      </c>
      <c r="BC38" s="230">
        <f>SUM(BC7:BC36)</f>
        <v>2330.5000000000005</v>
      </c>
      <c r="BD38" s="229"/>
      <c r="BE38" s="231">
        <f>SUM(BE7:BE36)</f>
        <v>20253</v>
      </c>
      <c r="BF38" s="232">
        <f>SUM(BF7:BF36)</f>
        <v>79999.350000000006</v>
      </c>
      <c r="BG38" s="140"/>
      <c r="BI38" s="141"/>
    </row>
    <row r="39" spans="1:63">
      <c r="D39" s="195">
        <f>SUM(D7:D35)</f>
        <v>711</v>
      </c>
      <c r="N39" s="195">
        <f>SUM(N7:N35)</f>
        <v>1179</v>
      </c>
      <c r="S39" s="195">
        <f>SUM(S7:S35)</f>
        <v>1230</v>
      </c>
      <c r="X39" s="195">
        <f>SUM(X7:X35)</f>
        <v>1560</v>
      </c>
      <c r="AC39" s="195">
        <f>SUM(AC7:AC35)</f>
        <v>5040</v>
      </c>
      <c r="AH39" s="195">
        <f>SUM(AH7:AH35)</f>
        <v>134</v>
      </c>
      <c r="AM39" s="195">
        <f>SUM(AM7:AM35)</f>
        <v>5193</v>
      </c>
      <c r="AR39" s="195">
        <f>SUM(AR7:AR35)</f>
        <v>3802</v>
      </c>
      <c r="AW39" s="76">
        <f>SUM(厨房燃气!AW42)</f>
        <v>0</v>
      </c>
      <c r="BB39" s="195">
        <f>SUM(BB7:BB35)</f>
        <v>590</v>
      </c>
      <c r="BE39" s="195"/>
    </row>
    <row r="43" spans="1:63" ht="24.75" customHeight="1">
      <c r="E43" s="196"/>
    </row>
    <row r="44" spans="1:63" s="76" customFormat="1" ht="24.75" customHeight="1"/>
    <row r="46" spans="1:63">
      <c r="A46" s="76"/>
    </row>
    <row r="65535" spans="60:63">
      <c r="BH65535" s="76" t="e">
        <f>SUM(BH1:BH65534)</f>
        <v>#VALUE!</v>
      </c>
      <c r="BK65535" s="76" t="e">
        <f>SUM(BK1:BK65534)</f>
        <v>#VALUE!</v>
      </c>
    </row>
  </sheetData>
  <mergeCells count="21">
    <mergeCell ref="BH3:BK3"/>
    <mergeCell ref="BJ4:BJ5"/>
    <mergeCell ref="BI4:BI5"/>
    <mergeCell ref="B3:BF3"/>
    <mergeCell ref="V4:X4"/>
    <mergeCell ref="BK4:BK5"/>
    <mergeCell ref="AK4:AM4"/>
    <mergeCell ref="BF4:BF5"/>
    <mergeCell ref="BG4:BG5"/>
    <mergeCell ref="AZ4:BB4"/>
    <mergeCell ref="A4:A5"/>
    <mergeCell ref="B4:D4"/>
    <mergeCell ref="G4:I4"/>
    <mergeCell ref="L4:N4"/>
    <mergeCell ref="AU4:AW4"/>
    <mergeCell ref="AF4:AH4"/>
    <mergeCell ref="AA4:AC4"/>
    <mergeCell ref="Q4:S4"/>
    <mergeCell ref="BH4:BH5"/>
    <mergeCell ref="AP4:AR4"/>
    <mergeCell ref="BE4:BE5"/>
  </mergeCells>
  <phoneticPr fontId="7" type="noConversion"/>
  <pageMargins left="0.33" right="0.28000000000000003" top="0.32" bottom="0.19" header="0.12" footer="0.13"/>
  <pageSetup paperSize="9" scale="90" orientation="landscape" horizontalDpi="180" verticalDpi="18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34"/>
  <sheetViews>
    <sheetView topLeftCell="A13" zoomScale="80" zoomScaleNormal="80" workbookViewId="0">
      <selection activeCell="Q34" sqref="Q34"/>
    </sheetView>
  </sheetViews>
  <sheetFormatPr defaultRowHeight="13.5"/>
  <cols>
    <col min="1" max="1" width="4.625" style="113" customWidth="1"/>
    <col min="2" max="20" width="8.125" style="113" customWidth="1"/>
    <col min="21" max="21" width="10.625" style="113" customWidth="1"/>
    <col min="22" max="22" width="8.625" style="113" customWidth="1"/>
    <col min="23" max="16384" width="9" style="113"/>
  </cols>
  <sheetData>
    <row r="1" spans="1:22" s="119" customFormat="1" ht="24" customHeight="1">
      <c r="A1" s="316" t="s">
        <v>134</v>
      </c>
      <c r="B1" s="118" t="s">
        <v>104</v>
      </c>
      <c r="C1" s="118" t="s">
        <v>92</v>
      </c>
      <c r="D1" s="118" t="s">
        <v>93</v>
      </c>
      <c r="E1" s="118" t="s">
        <v>105</v>
      </c>
      <c r="F1" s="118" t="s">
        <v>94</v>
      </c>
      <c r="G1" s="118" t="s">
        <v>106</v>
      </c>
      <c r="H1" s="118" t="s">
        <v>95</v>
      </c>
      <c r="I1" s="118" t="s">
        <v>96</v>
      </c>
      <c r="J1" s="118" t="s">
        <v>97</v>
      </c>
      <c r="K1" s="118" t="s">
        <v>107</v>
      </c>
      <c r="L1" s="118" t="s">
        <v>108</v>
      </c>
      <c r="M1" s="118" t="s">
        <v>98</v>
      </c>
      <c r="N1" s="118" t="s">
        <v>109</v>
      </c>
      <c r="O1" s="118" t="s">
        <v>99</v>
      </c>
      <c r="P1" s="118" t="s">
        <v>100</v>
      </c>
      <c r="Q1" s="118" t="s">
        <v>110</v>
      </c>
      <c r="R1" s="118" t="s">
        <v>101</v>
      </c>
      <c r="S1" s="118" t="s">
        <v>102</v>
      </c>
      <c r="T1" s="118" t="s">
        <v>103</v>
      </c>
      <c r="U1" s="353" t="s">
        <v>135</v>
      </c>
      <c r="V1" s="354" t="s">
        <v>171</v>
      </c>
    </row>
    <row r="2" spans="1:22" s="112" customFormat="1" ht="24" customHeight="1">
      <c r="A2" s="316"/>
      <c r="B2" s="116" t="s">
        <v>180</v>
      </c>
      <c r="C2" s="116" t="s">
        <v>141</v>
      </c>
      <c r="D2" s="116" t="s">
        <v>142</v>
      </c>
      <c r="E2" s="116" t="s">
        <v>143</v>
      </c>
      <c r="F2" s="116" t="s">
        <v>144</v>
      </c>
      <c r="G2" s="116" t="s">
        <v>145</v>
      </c>
      <c r="H2" s="116" t="s">
        <v>146</v>
      </c>
      <c r="I2" s="116" t="s">
        <v>147</v>
      </c>
      <c r="J2" s="116" t="s">
        <v>148</v>
      </c>
      <c r="K2" s="116" t="s">
        <v>149</v>
      </c>
      <c r="L2" s="116" t="s">
        <v>150</v>
      </c>
      <c r="M2" s="116" t="s">
        <v>151</v>
      </c>
      <c r="N2" s="116" t="s">
        <v>152</v>
      </c>
      <c r="O2" s="116" t="s">
        <v>153</v>
      </c>
      <c r="P2" s="116" t="s">
        <v>154</v>
      </c>
      <c r="Q2" s="116" t="s">
        <v>155</v>
      </c>
      <c r="R2" s="116" t="s">
        <v>156</v>
      </c>
      <c r="S2" s="116" t="s">
        <v>157</v>
      </c>
      <c r="T2" s="116" t="s">
        <v>158</v>
      </c>
      <c r="U2" s="353"/>
      <c r="V2" s="355"/>
    </row>
    <row r="3" spans="1:22" ht="21" customHeight="1">
      <c r="A3" s="233">
        <v>31</v>
      </c>
      <c r="B3" s="94">
        <v>2788234</v>
      </c>
      <c r="C3" s="94">
        <v>327804</v>
      </c>
      <c r="D3" s="94">
        <v>374</v>
      </c>
      <c r="E3" s="248">
        <v>498</v>
      </c>
      <c r="F3" s="248">
        <v>471</v>
      </c>
      <c r="G3" s="94">
        <v>440328</v>
      </c>
      <c r="H3" s="94">
        <v>214756</v>
      </c>
      <c r="I3" s="94">
        <v>80076</v>
      </c>
      <c r="J3" s="248">
        <v>460675</v>
      </c>
      <c r="K3" s="94">
        <v>1744313</v>
      </c>
      <c r="L3" s="248">
        <v>2269041</v>
      </c>
      <c r="M3" s="248">
        <v>1755854</v>
      </c>
      <c r="N3" s="248">
        <v>229518</v>
      </c>
      <c r="O3" s="248">
        <v>269470</v>
      </c>
      <c r="P3" s="94">
        <v>66656</v>
      </c>
      <c r="Q3" s="248">
        <v>462833</v>
      </c>
      <c r="R3" s="248">
        <v>408570</v>
      </c>
      <c r="S3" s="248">
        <v>555443</v>
      </c>
      <c r="T3" s="94">
        <v>190041</v>
      </c>
      <c r="U3" s="94">
        <f>SUM(B3:T3)</f>
        <v>12264955</v>
      </c>
      <c r="V3" s="234">
        <f>SUM(U3-U2)</f>
        <v>12264955</v>
      </c>
    </row>
    <row r="4" spans="1:22" ht="21" customHeight="1">
      <c r="A4" s="233">
        <v>1</v>
      </c>
      <c r="B4" s="94">
        <v>2790396</v>
      </c>
      <c r="C4" s="94">
        <v>328021</v>
      </c>
      <c r="D4" s="94">
        <v>374</v>
      </c>
      <c r="E4" s="248">
        <v>499</v>
      </c>
      <c r="F4" s="248">
        <v>471</v>
      </c>
      <c r="G4" s="94">
        <v>440849</v>
      </c>
      <c r="H4" s="94">
        <v>214756</v>
      </c>
      <c r="I4" s="94">
        <v>80076</v>
      </c>
      <c r="J4" s="248">
        <v>461087</v>
      </c>
      <c r="K4" s="94">
        <v>1744368</v>
      </c>
      <c r="L4" s="248">
        <v>2269041</v>
      </c>
      <c r="M4" s="248">
        <v>1759312</v>
      </c>
      <c r="N4" s="248">
        <v>229827</v>
      </c>
      <c r="O4" s="248">
        <v>269480</v>
      </c>
      <c r="P4" s="94">
        <v>66656</v>
      </c>
      <c r="Q4" s="248">
        <v>463104</v>
      </c>
      <c r="R4" s="248">
        <v>408570</v>
      </c>
      <c r="S4" s="248">
        <v>555458</v>
      </c>
      <c r="T4" s="94">
        <v>190678</v>
      </c>
      <c r="U4" s="94">
        <f>SUM(B4:T4)</f>
        <v>12273023</v>
      </c>
      <c r="V4" s="234">
        <f>SUM(U4-U3)</f>
        <v>8068</v>
      </c>
    </row>
    <row r="5" spans="1:22" ht="21" customHeight="1">
      <c r="A5" s="233">
        <v>2</v>
      </c>
      <c r="B5" s="94">
        <v>2792591</v>
      </c>
      <c r="C5" s="94">
        <v>328252</v>
      </c>
      <c r="D5" s="94">
        <v>374</v>
      </c>
      <c r="E5" s="248">
        <v>499</v>
      </c>
      <c r="F5" s="248">
        <v>471</v>
      </c>
      <c r="G5" s="94">
        <v>441417</v>
      </c>
      <c r="H5" s="94">
        <v>214756</v>
      </c>
      <c r="I5" s="94">
        <v>80076</v>
      </c>
      <c r="J5" s="248">
        <v>461522</v>
      </c>
      <c r="K5" s="94">
        <v>1747160</v>
      </c>
      <c r="L5" s="248">
        <v>2269041</v>
      </c>
      <c r="M5" s="248">
        <v>1759774</v>
      </c>
      <c r="N5" s="248">
        <v>229827</v>
      </c>
      <c r="O5" s="248">
        <v>269785</v>
      </c>
      <c r="P5" s="94">
        <v>66675</v>
      </c>
      <c r="Q5" s="248">
        <v>463306</v>
      </c>
      <c r="R5" s="248">
        <v>408570</v>
      </c>
      <c r="S5" s="248">
        <v>555516</v>
      </c>
      <c r="T5" s="94">
        <v>191154</v>
      </c>
      <c r="U5" s="94">
        <f>SUM(B5:T5)</f>
        <v>12280766</v>
      </c>
      <c r="V5" s="234">
        <f t="shared" ref="V5:V32" si="0">SUM(U5-U4)</f>
        <v>7743</v>
      </c>
    </row>
    <row r="6" spans="1:22" ht="21" customHeight="1">
      <c r="A6" s="233">
        <v>3</v>
      </c>
      <c r="B6" s="94">
        <v>2795261</v>
      </c>
      <c r="C6" s="94">
        <v>328542</v>
      </c>
      <c r="D6" s="94">
        <v>374</v>
      </c>
      <c r="E6" s="248">
        <v>499</v>
      </c>
      <c r="F6" s="248">
        <v>471</v>
      </c>
      <c r="G6" s="94">
        <v>442043</v>
      </c>
      <c r="H6" s="94">
        <v>214756</v>
      </c>
      <c r="I6" s="94">
        <v>80076</v>
      </c>
      <c r="J6" s="248">
        <v>462072</v>
      </c>
      <c r="K6" s="94">
        <v>1749298</v>
      </c>
      <c r="L6" s="248">
        <v>2269041</v>
      </c>
      <c r="M6" s="248">
        <v>1759774</v>
      </c>
      <c r="N6" s="248">
        <v>230013</v>
      </c>
      <c r="O6" s="248">
        <v>269785</v>
      </c>
      <c r="P6" s="94">
        <v>66675</v>
      </c>
      <c r="Q6" s="248">
        <v>463468</v>
      </c>
      <c r="R6" s="248">
        <v>408570</v>
      </c>
      <c r="S6" s="248">
        <v>555566</v>
      </c>
      <c r="T6" s="94">
        <v>191531</v>
      </c>
      <c r="U6" s="94">
        <f t="shared" ref="U6:U32" si="1">SUM(B6:T6)</f>
        <v>12287815</v>
      </c>
      <c r="V6" s="234">
        <f t="shared" si="0"/>
        <v>7049</v>
      </c>
    </row>
    <row r="7" spans="1:22" ht="21" customHeight="1">
      <c r="A7" s="233">
        <v>4</v>
      </c>
      <c r="B7" s="94">
        <v>2798167</v>
      </c>
      <c r="C7" s="94">
        <v>328871</v>
      </c>
      <c r="D7" s="94">
        <v>374</v>
      </c>
      <c r="E7" s="248">
        <v>499</v>
      </c>
      <c r="F7" s="248">
        <v>471</v>
      </c>
      <c r="G7" s="94">
        <v>442331</v>
      </c>
      <c r="H7" s="94">
        <v>214756</v>
      </c>
      <c r="I7" s="94">
        <v>80076</v>
      </c>
      <c r="J7" s="248">
        <v>462694</v>
      </c>
      <c r="K7" s="94">
        <v>1749298</v>
      </c>
      <c r="L7" s="248">
        <v>2269041</v>
      </c>
      <c r="M7" s="248">
        <v>1760811</v>
      </c>
      <c r="N7" s="248">
        <v>230013</v>
      </c>
      <c r="O7" s="248">
        <v>269785</v>
      </c>
      <c r="P7" s="94">
        <v>66795</v>
      </c>
      <c r="Q7" s="248">
        <v>463945</v>
      </c>
      <c r="R7" s="248">
        <v>408570</v>
      </c>
      <c r="S7" s="248">
        <v>555566</v>
      </c>
      <c r="T7" s="94">
        <v>191673</v>
      </c>
      <c r="U7" s="94">
        <f t="shared" si="1"/>
        <v>12293736</v>
      </c>
      <c r="V7" s="234">
        <f t="shared" si="0"/>
        <v>5921</v>
      </c>
    </row>
    <row r="8" spans="1:22" ht="21" customHeight="1">
      <c r="A8" s="233">
        <v>5</v>
      </c>
      <c r="B8" s="94">
        <v>2800688</v>
      </c>
      <c r="C8" s="94">
        <v>329140</v>
      </c>
      <c r="D8" s="94">
        <v>374</v>
      </c>
      <c r="E8" s="248">
        <v>499</v>
      </c>
      <c r="F8" s="248">
        <v>471</v>
      </c>
      <c r="G8" s="94">
        <v>442681</v>
      </c>
      <c r="H8" s="94">
        <v>214756</v>
      </c>
      <c r="I8" s="94">
        <v>80076</v>
      </c>
      <c r="J8" s="248">
        <v>463200</v>
      </c>
      <c r="K8" s="94">
        <v>1750897</v>
      </c>
      <c r="L8" s="248">
        <v>2269044</v>
      </c>
      <c r="M8" s="248">
        <v>1761558</v>
      </c>
      <c r="N8" s="248">
        <v>230013</v>
      </c>
      <c r="O8" s="248">
        <v>269873</v>
      </c>
      <c r="P8" s="94">
        <v>66951</v>
      </c>
      <c r="Q8" s="248">
        <v>464372</v>
      </c>
      <c r="R8" s="248">
        <v>408570</v>
      </c>
      <c r="S8" s="248">
        <v>555802</v>
      </c>
      <c r="T8" s="94">
        <v>191948</v>
      </c>
      <c r="U8" s="94">
        <f t="shared" si="1"/>
        <v>12300913</v>
      </c>
      <c r="V8" s="234">
        <f t="shared" si="0"/>
        <v>7177</v>
      </c>
    </row>
    <row r="9" spans="1:22" ht="21" customHeight="1">
      <c r="A9" s="233">
        <v>6</v>
      </c>
      <c r="B9" s="94">
        <v>2802796</v>
      </c>
      <c r="C9" s="94">
        <v>329326</v>
      </c>
      <c r="D9" s="94">
        <v>374</v>
      </c>
      <c r="E9" s="248">
        <v>499</v>
      </c>
      <c r="F9" s="248">
        <v>471</v>
      </c>
      <c r="G9" s="94">
        <v>442708</v>
      </c>
      <c r="H9" s="94">
        <v>214756</v>
      </c>
      <c r="I9" s="94">
        <v>80076</v>
      </c>
      <c r="J9" s="248">
        <v>463617</v>
      </c>
      <c r="K9" s="94">
        <v>1754857</v>
      </c>
      <c r="L9" s="248">
        <v>2269044</v>
      </c>
      <c r="M9" s="248">
        <v>1761653</v>
      </c>
      <c r="N9" s="248">
        <v>230013</v>
      </c>
      <c r="O9" s="248">
        <v>270019</v>
      </c>
      <c r="P9" s="94">
        <v>66951</v>
      </c>
      <c r="Q9" s="248">
        <v>465179</v>
      </c>
      <c r="R9" s="248">
        <v>408570</v>
      </c>
      <c r="S9" s="248">
        <v>555802</v>
      </c>
      <c r="T9" s="94">
        <v>192667</v>
      </c>
      <c r="U9" s="94">
        <f t="shared" si="1"/>
        <v>12309378</v>
      </c>
      <c r="V9" s="234">
        <f t="shared" si="0"/>
        <v>8465</v>
      </c>
    </row>
    <row r="10" spans="1:22" ht="21" customHeight="1">
      <c r="A10" s="233">
        <v>7</v>
      </c>
      <c r="B10" s="94">
        <v>2804273</v>
      </c>
      <c r="C10" s="94">
        <v>329529</v>
      </c>
      <c r="D10" s="94">
        <v>374</v>
      </c>
      <c r="E10" s="248">
        <v>499</v>
      </c>
      <c r="F10" s="248">
        <v>471</v>
      </c>
      <c r="G10" s="94">
        <v>443034</v>
      </c>
      <c r="H10" s="94">
        <v>214756</v>
      </c>
      <c r="I10" s="94">
        <v>80076</v>
      </c>
      <c r="J10" s="248">
        <v>463930</v>
      </c>
      <c r="K10" s="94">
        <v>1759258</v>
      </c>
      <c r="L10" s="248">
        <v>2269044</v>
      </c>
      <c r="M10" s="248">
        <v>1761876</v>
      </c>
      <c r="N10" s="248">
        <v>230227</v>
      </c>
      <c r="O10" s="248">
        <v>270422</v>
      </c>
      <c r="P10" s="94">
        <v>67001</v>
      </c>
      <c r="Q10" s="248">
        <v>465659</v>
      </c>
      <c r="R10" s="248">
        <v>408570</v>
      </c>
      <c r="S10" s="248">
        <v>555802</v>
      </c>
      <c r="T10" s="94">
        <v>192667</v>
      </c>
      <c r="U10" s="94">
        <f t="shared" si="1"/>
        <v>12317468</v>
      </c>
      <c r="V10" s="234">
        <f t="shared" si="0"/>
        <v>8090</v>
      </c>
    </row>
    <row r="11" spans="1:22" ht="21" customHeight="1">
      <c r="A11" s="233">
        <v>8</v>
      </c>
      <c r="B11" s="94">
        <v>2805726</v>
      </c>
      <c r="C11" s="94">
        <v>329687</v>
      </c>
      <c r="D11" s="94">
        <v>374</v>
      </c>
      <c r="E11" s="248">
        <v>501</v>
      </c>
      <c r="F11" s="248">
        <v>473</v>
      </c>
      <c r="G11" s="94">
        <v>443496</v>
      </c>
      <c r="H11" s="94">
        <v>214756</v>
      </c>
      <c r="I11" s="94">
        <v>80076</v>
      </c>
      <c r="J11" s="248">
        <v>464228</v>
      </c>
      <c r="K11" s="94">
        <v>1763224</v>
      </c>
      <c r="L11" s="248">
        <v>2269044</v>
      </c>
      <c r="M11" s="248">
        <v>1761876</v>
      </c>
      <c r="N11" s="248">
        <v>230227</v>
      </c>
      <c r="O11" s="248">
        <v>270422</v>
      </c>
      <c r="P11" s="94">
        <v>67401</v>
      </c>
      <c r="Q11" s="248">
        <v>465945</v>
      </c>
      <c r="R11" s="248">
        <v>408570</v>
      </c>
      <c r="S11" s="248">
        <v>555802</v>
      </c>
      <c r="T11" s="94">
        <v>194166</v>
      </c>
      <c r="U11" s="94">
        <f t="shared" si="1"/>
        <v>12325994</v>
      </c>
      <c r="V11" s="234">
        <f t="shared" si="0"/>
        <v>8526</v>
      </c>
    </row>
    <row r="12" spans="1:22" ht="21" customHeight="1">
      <c r="A12" s="233">
        <v>9</v>
      </c>
      <c r="B12" s="94">
        <v>2807915</v>
      </c>
      <c r="C12" s="94">
        <v>329940</v>
      </c>
      <c r="D12" s="94">
        <v>374</v>
      </c>
      <c r="E12" s="248">
        <v>501</v>
      </c>
      <c r="F12" s="248">
        <v>473</v>
      </c>
      <c r="G12" s="94">
        <v>443775</v>
      </c>
      <c r="H12" s="94">
        <v>214756</v>
      </c>
      <c r="I12" s="94">
        <v>80076</v>
      </c>
      <c r="J12" s="248">
        <v>464724</v>
      </c>
      <c r="K12" s="94">
        <v>1765891</v>
      </c>
      <c r="L12" s="248">
        <v>2269044</v>
      </c>
      <c r="M12" s="248">
        <v>1761876</v>
      </c>
      <c r="N12" s="248">
        <v>230509</v>
      </c>
      <c r="O12" s="248">
        <v>270422</v>
      </c>
      <c r="P12" s="94">
        <v>67421</v>
      </c>
      <c r="Q12" s="248">
        <v>466462</v>
      </c>
      <c r="R12" s="248">
        <v>408570</v>
      </c>
      <c r="S12" s="248">
        <v>555802</v>
      </c>
      <c r="T12" s="94">
        <v>194658</v>
      </c>
      <c r="U12" s="94">
        <f t="shared" si="1"/>
        <v>12333189</v>
      </c>
      <c r="V12" s="234">
        <f t="shared" si="0"/>
        <v>7195</v>
      </c>
    </row>
    <row r="13" spans="1:22" ht="21" customHeight="1">
      <c r="A13" s="233">
        <v>10</v>
      </c>
      <c r="B13" s="94">
        <v>2810546</v>
      </c>
      <c r="C13" s="94">
        <v>330255</v>
      </c>
      <c r="D13" s="94">
        <v>374</v>
      </c>
      <c r="E13" s="248">
        <v>501</v>
      </c>
      <c r="F13" s="248">
        <v>473</v>
      </c>
      <c r="G13" s="94">
        <v>444282</v>
      </c>
      <c r="H13" s="94">
        <v>214756</v>
      </c>
      <c r="I13" s="94">
        <v>80076</v>
      </c>
      <c r="J13" s="248">
        <v>465320</v>
      </c>
      <c r="K13" s="94">
        <v>1765891</v>
      </c>
      <c r="L13" s="248">
        <v>2269044</v>
      </c>
      <c r="M13" s="248">
        <v>1763592</v>
      </c>
      <c r="N13" s="248">
        <v>230611</v>
      </c>
      <c r="O13" s="248">
        <v>270479</v>
      </c>
      <c r="P13" s="94">
        <v>67436</v>
      </c>
      <c r="Q13" s="248">
        <v>466756</v>
      </c>
      <c r="R13" s="248">
        <v>408570</v>
      </c>
      <c r="S13" s="248">
        <v>556140</v>
      </c>
      <c r="T13" s="94">
        <v>194658</v>
      </c>
      <c r="U13" s="94">
        <f t="shared" si="1"/>
        <v>12339760</v>
      </c>
      <c r="V13" s="234">
        <f t="shared" si="0"/>
        <v>6571</v>
      </c>
    </row>
    <row r="14" spans="1:22" ht="21" customHeight="1">
      <c r="A14" s="233">
        <v>11</v>
      </c>
      <c r="B14" s="94">
        <v>2812364</v>
      </c>
      <c r="C14" s="94">
        <v>330480</v>
      </c>
      <c r="D14" s="94">
        <v>374</v>
      </c>
      <c r="E14" s="248">
        <v>501</v>
      </c>
      <c r="F14" s="248">
        <v>473</v>
      </c>
      <c r="G14" s="94">
        <v>444549</v>
      </c>
      <c r="H14" s="94">
        <v>214756</v>
      </c>
      <c r="I14" s="94">
        <v>80076</v>
      </c>
      <c r="J14" s="248">
        <v>465744</v>
      </c>
      <c r="K14" s="94">
        <v>1769100</v>
      </c>
      <c r="L14" s="248">
        <v>2269044</v>
      </c>
      <c r="M14" s="248">
        <v>1763592</v>
      </c>
      <c r="N14" s="248">
        <v>230611</v>
      </c>
      <c r="O14" s="248">
        <v>270682</v>
      </c>
      <c r="P14" s="94">
        <v>67544</v>
      </c>
      <c r="Q14" s="248">
        <v>467264</v>
      </c>
      <c r="R14" s="248">
        <v>408570</v>
      </c>
      <c r="S14" s="248">
        <v>556707</v>
      </c>
      <c r="T14" s="94">
        <v>194658</v>
      </c>
      <c r="U14" s="94">
        <f t="shared" si="1"/>
        <v>12347089</v>
      </c>
      <c r="V14" s="234">
        <f t="shared" si="0"/>
        <v>7329</v>
      </c>
    </row>
    <row r="15" spans="1:22" ht="21" customHeight="1">
      <c r="A15" s="233">
        <v>12</v>
      </c>
      <c r="B15" s="94">
        <v>2814970</v>
      </c>
      <c r="C15" s="94">
        <v>330776</v>
      </c>
      <c r="D15" s="94">
        <v>374</v>
      </c>
      <c r="E15" s="248">
        <v>501</v>
      </c>
      <c r="F15" s="248">
        <v>473</v>
      </c>
      <c r="G15" s="94">
        <v>445273</v>
      </c>
      <c r="H15" s="94">
        <v>214756</v>
      </c>
      <c r="I15" s="94">
        <v>80076</v>
      </c>
      <c r="J15" s="248">
        <v>466303</v>
      </c>
      <c r="K15" s="94">
        <v>1770490</v>
      </c>
      <c r="L15" s="248">
        <v>2269044</v>
      </c>
      <c r="M15" s="248">
        <v>1764255</v>
      </c>
      <c r="N15" s="248">
        <v>230611</v>
      </c>
      <c r="O15" s="248">
        <v>270682</v>
      </c>
      <c r="P15" s="94">
        <v>67698</v>
      </c>
      <c r="Q15" s="248">
        <v>467323</v>
      </c>
      <c r="R15" s="248">
        <v>408570</v>
      </c>
      <c r="S15" s="248">
        <v>557095</v>
      </c>
      <c r="T15" s="94">
        <v>194658</v>
      </c>
      <c r="U15" s="94">
        <f t="shared" si="1"/>
        <v>12353928</v>
      </c>
      <c r="V15" s="234">
        <f t="shared" si="0"/>
        <v>6839</v>
      </c>
    </row>
    <row r="16" spans="1:22" ht="21" customHeight="1">
      <c r="A16" s="233">
        <v>13</v>
      </c>
      <c r="B16" s="94">
        <v>2817539</v>
      </c>
      <c r="C16" s="94">
        <v>331072</v>
      </c>
      <c r="D16" s="94">
        <v>374</v>
      </c>
      <c r="E16" s="248">
        <v>501</v>
      </c>
      <c r="F16" s="248">
        <v>473</v>
      </c>
      <c r="G16" s="94">
        <v>445863</v>
      </c>
      <c r="H16" s="94">
        <v>214756</v>
      </c>
      <c r="I16" s="94">
        <v>80076</v>
      </c>
      <c r="J16" s="248">
        <v>466717</v>
      </c>
      <c r="K16" s="94">
        <v>1772731</v>
      </c>
      <c r="L16" s="248">
        <v>2269044</v>
      </c>
      <c r="M16" s="248">
        <v>1764255</v>
      </c>
      <c r="N16" s="248">
        <v>230793</v>
      </c>
      <c r="O16" s="248">
        <v>270682</v>
      </c>
      <c r="P16" s="94">
        <v>67794</v>
      </c>
      <c r="Q16" s="248">
        <v>467533</v>
      </c>
      <c r="R16" s="248">
        <v>408570</v>
      </c>
      <c r="S16" s="248">
        <v>557539</v>
      </c>
      <c r="T16" s="94">
        <v>194658</v>
      </c>
      <c r="U16" s="94">
        <f t="shared" si="1"/>
        <v>12360970</v>
      </c>
      <c r="V16" s="234">
        <f t="shared" si="0"/>
        <v>7042</v>
      </c>
    </row>
    <row r="17" spans="1:22" ht="21" customHeight="1">
      <c r="A17" s="233">
        <v>14</v>
      </c>
      <c r="B17" s="94">
        <v>2821119</v>
      </c>
      <c r="C17" s="94">
        <v>331448</v>
      </c>
      <c r="D17" s="94">
        <v>374</v>
      </c>
      <c r="E17" s="248">
        <v>501</v>
      </c>
      <c r="F17" s="248">
        <v>473</v>
      </c>
      <c r="G17" s="94">
        <v>445863</v>
      </c>
      <c r="H17" s="94">
        <v>214756</v>
      </c>
      <c r="I17" s="94">
        <v>80076</v>
      </c>
      <c r="J17" s="248">
        <v>466717</v>
      </c>
      <c r="K17" s="94">
        <v>1772731</v>
      </c>
      <c r="L17" s="248">
        <v>2269044</v>
      </c>
      <c r="M17" s="248">
        <v>1764255</v>
      </c>
      <c r="N17" s="248">
        <v>230793</v>
      </c>
      <c r="O17" s="248">
        <v>270682</v>
      </c>
      <c r="P17" s="94">
        <v>67794</v>
      </c>
      <c r="Q17" s="248">
        <v>468313</v>
      </c>
      <c r="R17" s="248">
        <v>408570</v>
      </c>
      <c r="S17" s="248">
        <v>557539</v>
      </c>
      <c r="T17" s="94">
        <v>194658</v>
      </c>
      <c r="U17" s="94">
        <f t="shared" si="1"/>
        <v>12365706</v>
      </c>
      <c r="V17" s="234">
        <f t="shared" si="0"/>
        <v>4736</v>
      </c>
    </row>
    <row r="18" spans="1:22" ht="21" customHeight="1">
      <c r="A18" s="233">
        <v>15</v>
      </c>
      <c r="B18" s="94">
        <v>2824309</v>
      </c>
      <c r="C18" s="94">
        <v>331815</v>
      </c>
      <c r="D18" s="94">
        <v>374</v>
      </c>
      <c r="E18" s="248">
        <v>501</v>
      </c>
      <c r="F18" s="248">
        <v>473</v>
      </c>
      <c r="G18" s="94">
        <v>445863</v>
      </c>
      <c r="H18" s="94">
        <v>214756</v>
      </c>
      <c r="I18" s="94">
        <v>80076</v>
      </c>
      <c r="J18" s="248">
        <v>466717</v>
      </c>
      <c r="K18" s="94">
        <v>1772731</v>
      </c>
      <c r="L18" s="248">
        <v>2269044</v>
      </c>
      <c r="M18" s="248">
        <v>1765459</v>
      </c>
      <c r="N18" s="248">
        <v>230793</v>
      </c>
      <c r="O18" s="248">
        <v>270828</v>
      </c>
      <c r="P18" s="94">
        <v>67794</v>
      </c>
      <c r="Q18" s="248">
        <v>469135</v>
      </c>
      <c r="R18" s="248">
        <v>408570</v>
      </c>
      <c r="S18" s="248">
        <v>557539</v>
      </c>
      <c r="T18" s="94">
        <v>194658</v>
      </c>
      <c r="U18" s="94">
        <f t="shared" si="1"/>
        <v>12371435</v>
      </c>
      <c r="V18" s="234">
        <f t="shared" si="0"/>
        <v>5729</v>
      </c>
    </row>
    <row r="19" spans="1:22" ht="21" customHeight="1">
      <c r="A19" s="233">
        <v>16</v>
      </c>
      <c r="B19" s="94">
        <v>2825935</v>
      </c>
      <c r="C19" s="94">
        <v>332000</v>
      </c>
      <c r="D19" s="94">
        <v>374</v>
      </c>
      <c r="E19" s="248">
        <v>503</v>
      </c>
      <c r="F19" s="248">
        <v>475</v>
      </c>
      <c r="G19" s="94">
        <v>446152</v>
      </c>
      <c r="H19" s="94">
        <v>214756</v>
      </c>
      <c r="I19" s="94">
        <v>80076</v>
      </c>
      <c r="J19" s="248">
        <v>466852</v>
      </c>
      <c r="K19" s="94">
        <v>1776590</v>
      </c>
      <c r="L19" s="248">
        <v>2269044</v>
      </c>
      <c r="M19" s="248">
        <v>1765938</v>
      </c>
      <c r="N19" s="248">
        <v>231118</v>
      </c>
      <c r="O19" s="248">
        <v>270828</v>
      </c>
      <c r="P19" s="94">
        <v>67794</v>
      </c>
      <c r="Q19" s="248">
        <v>469614</v>
      </c>
      <c r="R19" s="248">
        <v>408570</v>
      </c>
      <c r="S19" s="248">
        <v>558554</v>
      </c>
      <c r="T19" s="94">
        <v>194658</v>
      </c>
      <c r="U19" s="94">
        <f t="shared" si="1"/>
        <v>12379831</v>
      </c>
      <c r="V19" s="234">
        <f t="shared" si="0"/>
        <v>8396</v>
      </c>
    </row>
    <row r="20" spans="1:22" ht="21" customHeight="1">
      <c r="A20" s="233">
        <v>17</v>
      </c>
      <c r="B20" s="94">
        <v>2828019</v>
      </c>
      <c r="C20" s="94">
        <v>332229</v>
      </c>
      <c r="D20" s="94">
        <v>374</v>
      </c>
      <c r="E20" s="248">
        <v>503</v>
      </c>
      <c r="F20" s="248">
        <v>475</v>
      </c>
      <c r="G20" s="94">
        <v>446898</v>
      </c>
      <c r="H20" s="94">
        <v>214756</v>
      </c>
      <c r="I20" s="94">
        <v>80076</v>
      </c>
      <c r="J20" s="248">
        <v>467277</v>
      </c>
      <c r="K20" s="94">
        <v>1778313</v>
      </c>
      <c r="L20" s="248">
        <v>2269044</v>
      </c>
      <c r="M20" s="248">
        <v>1767680</v>
      </c>
      <c r="N20" s="248">
        <v>231125</v>
      </c>
      <c r="O20" s="248">
        <v>271244</v>
      </c>
      <c r="P20" s="94">
        <v>67794</v>
      </c>
      <c r="Q20" s="248">
        <v>469614</v>
      </c>
      <c r="R20" s="248">
        <v>408570</v>
      </c>
      <c r="S20" s="248">
        <v>559238</v>
      </c>
      <c r="T20" s="94">
        <v>194658</v>
      </c>
      <c r="U20" s="94">
        <f t="shared" si="1"/>
        <v>12387887</v>
      </c>
      <c r="V20" s="234">
        <f t="shared" si="0"/>
        <v>8056</v>
      </c>
    </row>
    <row r="21" spans="1:22" ht="21" customHeight="1">
      <c r="A21" s="233">
        <v>18</v>
      </c>
      <c r="B21" s="94">
        <v>2829846</v>
      </c>
      <c r="C21" s="94">
        <v>332421</v>
      </c>
      <c r="D21" s="94">
        <v>374</v>
      </c>
      <c r="E21" s="248">
        <v>503</v>
      </c>
      <c r="F21" s="248">
        <v>475</v>
      </c>
      <c r="G21" s="94">
        <v>447281</v>
      </c>
      <c r="H21" s="94">
        <v>214756</v>
      </c>
      <c r="I21" s="94">
        <v>80076</v>
      </c>
      <c r="J21" s="248">
        <v>467637</v>
      </c>
      <c r="K21" s="94">
        <v>1778313</v>
      </c>
      <c r="L21" s="248">
        <v>2269044</v>
      </c>
      <c r="M21" s="248">
        <v>1772054</v>
      </c>
      <c r="N21" s="248">
        <v>231125</v>
      </c>
      <c r="O21" s="248">
        <v>271668</v>
      </c>
      <c r="P21" s="94">
        <v>67794</v>
      </c>
      <c r="Q21" s="248">
        <v>470048</v>
      </c>
      <c r="R21" s="248">
        <v>408570</v>
      </c>
      <c r="S21" s="248">
        <v>560052</v>
      </c>
      <c r="T21" s="94">
        <v>194658</v>
      </c>
      <c r="U21" s="94">
        <f t="shared" si="1"/>
        <v>12396695</v>
      </c>
      <c r="V21" s="234">
        <f t="shared" si="0"/>
        <v>8808</v>
      </c>
    </row>
    <row r="22" spans="1:22" ht="21" customHeight="1">
      <c r="A22" s="233">
        <v>19</v>
      </c>
      <c r="B22" s="94">
        <v>2831878</v>
      </c>
      <c r="C22" s="94">
        <v>332626</v>
      </c>
      <c r="D22" s="94">
        <v>374</v>
      </c>
      <c r="E22" s="248">
        <v>503</v>
      </c>
      <c r="F22" s="248">
        <v>475</v>
      </c>
      <c r="G22" s="94">
        <v>447676</v>
      </c>
      <c r="H22" s="94">
        <v>214756</v>
      </c>
      <c r="I22" s="94">
        <v>80076</v>
      </c>
      <c r="J22" s="248">
        <v>468022</v>
      </c>
      <c r="K22" s="94">
        <v>1778313</v>
      </c>
      <c r="L22" s="248">
        <v>2269044</v>
      </c>
      <c r="M22" s="248">
        <v>1776763</v>
      </c>
      <c r="N22" s="248">
        <v>231546</v>
      </c>
      <c r="O22" s="248">
        <v>271668</v>
      </c>
      <c r="P22" s="94">
        <v>67794</v>
      </c>
      <c r="Q22" s="248">
        <v>470441</v>
      </c>
      <c r="R22" s="248">
        <v>408570</v>
      </c>
      <c r="S22" s="248">
        <v>560927</v>
      </c>
      <c r="T22" s="94">
        <v>194658</v>
      </c>
      <c r="U22" s="94">
        <f>SUM(B22:T22)</f>
        <v>12406110</v>
      </c>
      <c r="V22" s="234">
        <f t="shared" si="0"/>
        <v>9415</v>
      </c>
    </row>
    <row r="23" spans="1:22" ht="21" customHeight="1">
      <c r="A23" s="233">
        <v>20</v>
      </c>
      <c r="B23" s="94">
        <v>2834293</v>
      </c>
      <c r="C23" s="94">
        <v>332889</v>
      </c>
      <c r="D23" s="94">
        <v>374</v>
      </c>
      <c r="E23" s="248">
        <v>503</v>
      </c>
      <c r="F23" s="248">
        <v>475</v>
      </c>
      <c r="G23" s="94">
        <v>448066</v>
      </c>
      <c r="H23" s="94">
        <v>214756</v>
      </c>
      <c r="I23" s="94">
        <v>80076</v>
      </c>
      <c r="J23" s="248">
        <v>468504</v>
      </c>
      <c r="K23" s="94">
        <v>1782396</v>
      </c>
      <c r="L23" s="248">
        <v>2269044</v>
      </c>
      <c r="M23" s="248">
        <v>1777400</v>
      </c>
      <c r="N23" s="248">
        <v>231615</v>
      </c>
      <c r="O23" s="248">
        <v>272057</v>
      </c>
      <c r="P23" s="94">
        <v>67794</v>
      </c>
      <c r="Q23" s="248">
        <v>470810</v>
      </c>
      <c r="R23" s="248">
        <v>408570</v>
      </c>
      <c r="S23" s="248">
        <v>561782</v>
      </c>
      <c r="T23" s="94">
        <v>194665</v>
      </c>
      <c r="U23" s="94">
        <f t="shared" si="1"/>
        <v>12416069</v>
      </c>
      <c r="V23" s="234">
        <f t="shared" si="0"/>
        <v>9959</v>
      </c>
    </row>
    <row r="24" spans="1:22" ht="21" customHeight="1">
      <c r="A24" s="233">
        <v>21</v>
      </c>
      <c r="B24" s="94">
        <v>2835626</v>
      </c>
      <c r="C24" s="94">
        <v>333029</v>
      </c>
      <c r="D24" s="94">
        <v>374</v>
      </c>
      <c r="E24" s="248">
        <v>504</v>
      </c>
      <c r="F24" s="248">
        <v>477</v>
      </c>
      <c r="G24" s="94">
        <v>448277</v>
      </c>
      <c r="H24" s="94">
        <v>214756</v>
      </c>
      <c r="I24" s="94">
        <v>80076</v>
      </c>
      <c r="J24" s="248">
        <v>468768</v>
      </c>
      <c r="K24" s="94">
        <v>1784264</v>
      </c>
      <c r="L24" s="248">
        <v>2269044</v>
      </c>
      <c r="M24" s="248">
        <v>1780710</v>
      </c>
      <c r="N24" s="248">
        <v>232020</v>
      </c>
      <c r="O24" s="248">
        <v>272116</v>
      </c>
      <c r="P24" s="94">
        <v>67794</v>
      </c>
      <c r="Q24" s="248">
        <v>471406</v>
      </c>
      <c r="R24" s="248">
        <v>408570</v>
      </c>
      <c r="S24" s="248">
        <v>562735</v>
      </c>
      <c r="T24" s="94">
        <v>194665</v>
      </c>
      <c r="U24" s="94">
        <f t="shared" si="1"/>
        <v>12425211</v>
      </c>
      <c r="V24" s="234">
        <f t="shared" si="0"/>
        <v>9142</v>
      </c>
    </row>
    <row r="25" spans="1:22" ht="21" customHeight="1">
      <c r="A25" s="233">
        <v>22</v>
      </c>
      <c r="B25" s="94">
        <v>2837541</v>
      </c>
      <c r="C25" s="94">
        <v>333222</v>
      </c>
      <c r="D25" s="94">
        <v>374</v>
      </c>
      <c r="E25" s="248">
        <v>504</v>
      </c>
      <c r="F25" s="248">
        <v>477</v>
      </c>
      <c r="G25" s="94">
        <v>448277</v>
      </c>
      <c r="H25" s="94">
        <v>214756</v>
      </c>
      <c r="I25" s="94">
        <v>80076</v>
      </c>
      <c r="J25" s="248">
        <v>469128</v>
      </c>
      <c r="K25" s="94">
        <v>1789444</v>
      </c>
      <c r="L25" s="248">
        <v>2269044</v>
      </c>
      <c r="M25" s="248">
        <v>1780710</v>
      </c>
      <c r="N25" s="248">
        <v>232444</v>
      </c>
      <c r="O25" s="248">
        <v>272116</v>
      </c>
      <c r="P25" s="94">
        <v>67794</v>
      </c>
      <c r="Q25" s="248">
        <v>472216</v>
      </c>
      <c r="R25" s="248">
        <v>408570</v>
      </c>
      <c r="S25" s="248">
        <v>563605</v>
      </c>
      <c r="T25" s="94">
        <v>194665</v>
      </c>
      <c r="U25" s="94">
        <f t="shared" si="1"/>
        <v>12434963</v>
      </c>
      <c r="V25" s="234">
        <f t="shared" si="0"/>
        <v>9752</v>
      </c>
    </row>
    <row r="26" spans="1:22" ht="21" customHeight="1">
      <c r="A26" s="233">
        <v>23</v>
      </c>
      <c r="B26" s="94">
        <v>2839627</v>
      </c>
      <c r="C26" s="94">
        <v>333441</v>
      </c>
      <c r="D26" s="94">
        <v>374</v>
      </c>
      <c r="E26" s="248">
        <v>505</v>
      </c>
      <c r="F26" s="248">
        <v>477</v>
      </c>
      <c r="G26" s="94">
        <v>448750</v>
      </c>
      <c r="H26" s="94">
        <v>214756</v>
      </c>
      <c r="I26" s="94">
        <v>80076</v>
      </c>
      <c r="J26" s="248">
        <v>469546</v>
      </c>
      <c r="K26" s="94">
        <v>1789452</v>
      </c>
      <c r="L26" s="248">
        <v>2269044</v>
      </c>
      <c r="M26" s="248">
        <v>1783217</v>
      </c>
      <c r="N26" s="248">
        <v>232446</v>
      </c>
      <c r="O26" s="248">
        <v>272430</v>
      </c>
      <c r="P26" s="94">
        <v>67794</v>
      </c>
      <c r="Q26" s="248">
        <v>472504</v>
      </c>
      <c r="R26" s="248">
        <v>408570</v>
      </c>
      <c r="S26" s="248">
        <v>563605</v>
      </c>
      <c r="T26" s="94">
        <v>195245</v>
      </c>
      <c r="U26" s="94">
        <f t="shared" si="1"/>
        <v>12441859</v>
      </c>
      <c r="V26" s="234">
        <f t="shared" si="0"/>
        <v>6896</v>
      </c>
    </row>
    <row r="27" spans="1:22" ht="21" customHeight="1">
      <c r="A27" s="233">
        <v>24</v>
      </c>
      <c r="B27" s="94">
        <v>2839627</v>
      </c>
      <c r="C27" s="94">
        <v>333552</v>
      </c>
      <c r="D27" s="94">
        <v>374</v>
      </c>
      <c r="E27" s="248">
        <v>505</v>
      </c>
      <c r="F27" s="248">
        <v>477</v>
      </c>
      <c r="G27" s="94">
        <v>449240</v>
      </c>
      <c r="H27" s="94">
        <v>214756</v>
      </c>
      <c r="I27" s="94">
        <v>80076</v>
      </c>
      <c r="J27" s="248">
        <v>469546</v>
      </c>
      <c r="K27" s="94">
        <v>1789744</v>
      </c>
      <c r="L27" s="248">
        <v>2269044</v>
      </c>
      <c r="M27" s="248">
        <v>1789504</v>
      </c>
      <c r="N27" s="248">
        <v>232964</v>
      </c>
      <c r="O27" s="248">
        <v>272555</v>
      </c>
      <c r="P27" s="94">
        <v>67794</v>
      </c>
      <c r="Q27" s="248">
        <v>472822</v>
      </c>
      <c r="R27" s="248">
        <v>408570</v>
      </c>
      <c r="S27" s="248">
        <v>564170</v>
      </c>
      <c r="T27" s="94">
        <v>196000</v>
      </c>
      <c r="U27" s="94">
        <f t="shared" si="1"/>
        <v>12451320</v>
      </c>
      <c r="V27" s="234">
        <f t="shared" si="0"/>
        <v>9461</v>
      </c>
    </row>
    <row r="28" spans="1:22" ht="21" customHeight="1">
      <c r="A28" s="233">
        <v>25</v>
      </c>
      <c r="B28" s="94">
        <v>2841390</v>
      </c>
      <c r="C28" s="94">
        <v>333755</v>
      </c>
      <c r="D28" s="94">
        <v>374</v>
      </c>
      <c r="E28" s="248">
        <v>505</v>
      </c>
      <c r="F28" s="248">
        <v>477</v>
      </c>
      <c r="G28" s="94">
        <v>449598</v>
      </c>
      <c r="H28" s="94">
        <v>214756</v>
      </c>
      <c r="I28" s="94">
        <v>80076</v>
      </c>
      <c r="J28" s="248">
        <v>469546</v>
      </c>
      <c r="K28" s="94">
        <v>1791382</v>
      </c>
      <c r="L28" s="248">
        <v>2269044</v>
      </c>
      <c r="M28" s="248">
        <v>1791507</v>
      </c>
      <c r="N28" s="248">
        <v>232964</v>
      </c>
      <c r="O28" s="248">
        <v>273091</v>
      </c>
      <c r="P28" s="94">
        <v>67794</v>
      </c>
      <c r="Q28" s="248">
        <v>473260</v>
      </c>
      <c r="R28" s="248">
        <v>408570</v>
      </c>
      <c r="S28" s="248">
        <v>564170</v>
      </c>
      <c r="T28" s="94">
        <v>196968</v>
      </c>
      <c r="U28" s="94">
        <f t="shared" si="1"/>
        <v>12459227</v>
      </c>
      <c r="V28" s="234">
        <f t="shared" si="0"/>
        <v>7907</v>
      </c>
    </row>
    <row r="29" spans="1:22" ht="21" customHeight="1">
      <c r="A29" s="233">
        <v>26</v>
      </c>
      <c r="B29" s="94">
        <v>2843380</v>
      </c>
      <c r="C29" s="94">
        <v>333957</v>
      </c>
      <c r="D29" s="94">
        <v>374</v>
      </c>
      <c r="E29" s="248">
        <v>505</v>
      </c>
      <c r="F29" s="248">
        <v>477</v>
      </c>
      <c r="G29" s="94">
        <v>449997</v>
      </c>
      <c r="H29" s="94">
        <v>214756</v>
      </c>
      <c r="I29" s="94">
        <v>80076</v>
      </c>
      <c r="J29" s="248">
        <v>470237</v>
      </c>
      <c r="K29" s="94">
        <v>1791382</v>
      </c>
      <c r="L29" s="248">
        <v>2269044</v>
      </c>
      <c r="M29" s="248">
        <v>1795062</v>
      </c>
      <c r="N29" s="248">
        <v>233281</v>
      </c>
      <c r="O29" s="248">
        <v>273091</v>
      </c>
      <c r="P29" s="94">
        <v>67794</v>
      </c>
      <c r="Q29" s="248">
        <v>473631</v>
      </c>
      <c r="R29" s="248">
        <v>408570</v>
      </c>
      <c r="S29" s="248">
        <v>564170</v>
      </c>
      <c r="T29" s="94">
        <v>197601</v>
      </c>
      <c r="U29" s="94">
        <f t="shared" si="1"/>
        <v>12467385</v>
      </c>
      <c r="V29" s="234">
        <f t="shared" si="0"/>
        <v>8158</v>
      </c>
    </row>
    <row r="30" spans="1:22" ht="21" customHeight="1">
      <c r="A30" s="233">
        <v>27</v>
      </c>
      <c r="B30" s="94">
        <v>2845557</v>
      </c>
      <c r="C30" s="94">
        <v>334208</v>
      </c>
      <c r="D30" s="94">
        <v>374</v>
      </c>
      <c r="E30" s="248">
        <v>505</v>
      </c>
      <c r="F30" s="248">
        <v>477</v>
      </c>
      <c r="G30" s="248">
        <v>450444</v>
      </c>
      <c r="H30" s="94">
        <v>214756</v>
      </c>
      <c r="I30" s="94">
        <v>80076</v>
      </c>
      <c r="J30" s="248">
        <v>470521</v>
      </c>
      <c r="K30" s="94">
        <v>1794209</v>
      </c>
      <c r="L30" s="248">
        <v>2269044</v>
      </c>
      <c r="M30" s="248">
        <v>1795062</v>
      </c>
      <c r="N30" s="248">
        <v>233281</v>
      </c>
      <c r="O30" s="248">
        <v>273364</v>
      </c>
      <c r="P30" s="94">
        <v>67794</v>
      </c>
      <c r="Q30" s="248">
        <v>473965</v>
      </c>
      <c r="R30" s="248">
        <v>408570</v>
      </c>
      <c r="S30" s="248">
        <v>564310</v>
      </c>
      <c r="T30" s="94">
        <v>197986</v>
      </c>
      <c r="U30" s="94">
        <f t="shared" si="1"/>
        <v>12474503</v>
      </c>
      <c r="V30" s="234">
        <f t="shared" si="0"/>
        <v>7118</v>
      </c>
    </row>
    <row r="31" spans="1:22" ht="21" customHeight="1">
      <c r="A31" s="233">
        <v>28</v>
      </c>
      <c r="B31" s="94">
        <v>2848217</v>
      </c>
      <c r="C31" s="94">
        <v>334545</v>
      </c>
      <c r="D31" s="94">
        <v>374</v>
      </c>
      <c r="E31" s="248">
        <v>505</v>
      </c>
      <c r="F31" s="248">
        <v>477</v>
      </c>
      <c r="G31" s="94">
        <v>450772</v>
      </c>
      <c r="H31" s="94">
        <v>214756</v>
      </c>
      <c r="I31" s="94">
        <v>80076</v>
      </c>
      <c r="J31" s="248">
        <v>470521</v>
      </c>
      <c r="K31" s="94">
        <v>1795700</v>
      </c>
      <c r="L31" s="248">
        <v>2269044</v>
      </c>
      <c r="M31" s="248">
        <v>1795062</v>
      </c>
      <c r="N31" s="248">
        <v>233281</v>
      </c>
      <c r="O31" s="248">
        <v>273364</v>
      </c>
      <c r="P31" s="94">
        <v>67794</v>
      </c>
      <c r="Q31" s="248">
        <v>474420</v>
      </c>
      <c r="R31" s="248">
        <v>408840</v>
      </c>
      <c r="S31" s="248">
        <v>564310</v>
      </c>
      <c r="T31" s="94">
        <v>197986</v>
      </c>
      <c r="U31" s="94">
        <f t="shared" si="1"/>
        <v>12480044</v>
      </c>
      <c r="V31" s="234">
        <f t="shared" si="0"/>
        <v>5541</v>
      </c>
    </row>
    <row r="32" spans="1:22" ht="21" customHeight="1">
      <c r="A32" s="233">
        <v>29</v>
      </c>
      <c r="B32" s="94">
        <v>2850990</v>
      </c>
      <c r="C32" s="94">
        <v>334902</v>
      </c>
      <c r="D32" s="94">
        <v>374</v>
      </c>
      <c r="E32" s="248">
        <v>506</v>
      </c>
      <c r="F32" s="248">
        <v>478</v>
      </c>
      <c r="G32" s="94">
        <v>450772</v>
      </c>
      <c r="H32" s="94">
        <v>214756</v>
      </c>
      <c r="I32" s="94">
        <v>80076</v>
      </c>
      <c r="J32" s="248">
        <v>470521</v>
      </c>
      <c r="K32" s="94">
        <v>1796275</v>
      </c>
      <c r="L32" s="248">
        <v>2269044</v>
      </c>
      <c r="M32" s="248">
        <v>1795062</v>
      </c>
      <c r="N32" s="248">
        <v>233281</v>
      </c>
      <c r="O32" s="248">
        <v>273364</v>
      </c>
      <c r="P32" s="94">
        <v>68002</v>
      </c>
      <c r="Q32" s="248">
        <v>475152</v>
      </c>
      <c r="R32" s="248">
        <v>408947</v>
      </c>
      <c r="S32" s="248">
        <v>564310</v>
      </c>
      <c r="T32" s="94">
        <v>197986</v>
      </c>
      <c r="U32" s="94">
        <f t="shared" si="1"/>
        <v>12484798</v>
      </c>
      <c r="V32" s="234">
        <f t="shared" si="0"/>
        <v>4754</v>
      </c>
    </row>
    <row r="33" spans="1:22" ht="21" customHeight="1">
      <c r="A33" s="233">
        <v>30</v>
      </c>
      <c r="B33" s="94">
        <v>2853745</v>
      </c>
      <c r="C33" s="94">
        <v>335261</v>
      </c>
      <c r="D33" s="94">
        <v>374</v>
      </c>
      <c r="E33" s="248">
        <v>506</v>
      </c>
      <c r="F33" s="248">
        <v>478</v>
      </c>
      <c r="G33" s="94">
        <v>450772</v>
      </c>
      <c r="H33" s="94">
        <v>214756</v>
      </c>
      <c r="I33" s="94">
        <v>80076</v>
      </c>
      <c r="J33" s="248">
        <v>470892</v>
      </c>
      <c r="K33" s="94">
        <v>1796275</v>
      </c>
      <c r="L33" s="248">
        <v>2269044</v>
      </c>
      <c r="M33" s="248">
        <v>1796063</v>
      </c>
      <c r="N33" s="248">
        <v>233281</v>
      </c>
      <c r="O33" s="248">
        <v>273364</v>
      </c>
      <c r="P33" s="94">
        <v>68118</v>
      </c>
      <c r="Q33" s="248">
        <v>475442</v>
      </c>
      <c r="R33" s="248">
        <v>408955</v>
      </c>
      <c r="S33" s="248">
        <v>564310</v>
      </c>
      <c r="T33" s="94">
        <v>198215</v>
      </c>
      <c r="U33" s="94">
        <f>SUM(B33:T33)</f>
        <v>12489927</v>
      </c>
      <c r="V33" s="234">
        <f>SUM(U33-U32)</f>
        <v>5129</v>
      </c>
    </row>
    <row r="34" spans="1:22" ht="21" customHeight="1">
      <c r="A34" s="233">
        <v>31</v>
      </c>
      <c r="B34" s="94"/>
      <c r="C34" s="94"/>
      <c r="D34" s="94"/>
      <c r="E34" s="248"/>
      <c r="F34" s="248"/>
      <c r="G34" s="94"/>
      <c r="H34" s="94"/>
      <c r="I34" s="94"/>
      <c r="J34" s="248"/>
      <c r="K34" s="94"/>
      <c r="L34" s="248"/>
      <c r="M34" s="248"/>
      <c r="N34" s="248"/>
      <c r="O34" s="248"/>
      <c r="P34" s="94"/>
      <c r="Q34" s="248"/>
      <c r="R34" s="248"/>
      <c r="S34" s="248"/>
      <c r="T34" s="94"/>
      <c r="U34" s="94">
        <f>SUM(B34:T34)</f>
        <v>0</v>
      </c>
      <c r="V34" s="234">
        <f>SUM(U34-U33)</f>
        <v>-12489927</v>
      </c>
    </row>
  </sheetData>
  <mergeCells count="3">
    <mergeCell ref="A1:A2"/>
    <mergeCell ref="U1:U2"/>
    <mergeCell ref="V1:V2"/>
  </mergeCells>
  <phoneticPr fontId="2"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D34"/>
  <sheetViews>
    <sheetView topLeftCell="A10" zoomScale="85" zoomScaleNormal="85" workbookViewId="0">
      <selection activeCell="D34" sqref="D34"/>
    </sheetView>
  </sheetViews>
  <sheetFormatPr defaultRowHeight="13.5"/>
  <cols>
    <col min="1" max="1" width="4.375" style="113" customWidth="1"/>
    <col min="2" max="3" width="11.125" style="113" customWidth="1"/>
    <col min="4" max="4" width="9.5" style="113" customWidth="1"/>
    <col min="5" max="5" width="9.625" style="113" customWidth="1"/>
    <col min="6" max="6" width="9.875" style="113" customWidth="1"/>
    <col min="7" max="7" width="9.375" style="113" customWidth="1"/>
    <col min="8" max="8" width="10.875" style="113" customWidth="1"/>
    <col min="9" max="9" width="9.5" style="113" customWidth="1"/>
    <col min="10" max="10" width="10.25" style="113" customWidth="1"/>
    <col min="11" max="11" width="9.625" style="113" customWidth="1"/>
    <col min="12" max="12" width="12.125" style="113" customWidth="1"/>
    <col min="13" max="13" width="13.375" style="113" customWidth="1"/>
    <col min="14" max="14" width="13.875" style="113" customWidth="1"/>
    <col min="15" max="15" width="13.25" style="113" customWidth="1"/>
    <col min="16" max="16" width="11.375" style="113" customWidth="1"/>
    <col min="17" max="17" width="11" style="113" customWidth="1"/>
    <col min="18" max="18" width="10.5" style="113" bestFit="1" customWidth="1"/>
    <col min="19" max="16384" width="9" style="113"/>
  </cols>
  <sheetData>
    <row r="1" spans="1:30" s="115" customFormat="1" ht="24" customHeight="1">
      <c r="A1" s="263"/>
      <c r="B1" s="356" t="s">
        <v>114</v>
      </c>
      <c r="C1" s="356"/>
      <c r="D1" s="356" t="s">
        <v>115</v>
      </c>
      <c r="E1" s="356"/>
      <c r="F1" s="359" t="s">
        <v>191</v>
      </c>
      <c r="G1" s="360"/>
      <c r="H1" s="359" t="s">
        <v>192</v>
      </c>
      <c r="I1" s="360"/>
      <c r="J1" s="359" t="s">
        <v>193</v>
      </c>
      <c r="K1" s="360"/>
      <c r="L1" s="357" t="s">
        <v>113</v>
      </c>
      <c r="M1" s="358"/>
      <c r="N1" s="358"/>
      <c r="O1" s="358"/>
      <c r="P1" s="262"/>
      <c r="Q1" s="262"/>
      <c r="R1" s="262"/>
    </row>
    <row r="2" spans="1:30" s="237" customFormat="1" ht="31.5" customHeight="1">
      <c r="A2" s="94" t="s">
        <v>128</v>
      </c>
      <c r="B2" s="94" t="s">
        <v>179</v>
      </c>
      <c r="C2" s="258" t="s">
        <v>129</v>
      </c>
      <c r="D2" s="94" t="s">
        <v>179</v>
      </c>
      <c r="E2" s="258"/>
      <c r="F2" s="94" t="s">
        <v>179</v>
      </c>
      <c r="G2" s="258" t="s">
        <v>129</v>
      </c>
      <c r="H2" s="94" t="s">
        <v>179</v>
      </c>
      <c r="I2" s="258" t="s">
        <v>129</v>
      </c>
      <c r="J2" s="94" t="s">
        <v>179</v>
      </c>
      <c r="K2" s="258" t="s">
        <v>129</v>
      </c>
      <c r="L2" s="258" t="s">
        <v>130</v>
      </c>
      <c r="M2" s="247" t="s">
        <v>131</v>
      </c>
      <c r="N2" s="247" t="s">
        <v>132</v>
      </c>
      <c r="O2" s="260" t="s">
        <v>133</v>
      </c>
      <c r="P2" s="94" t="s">
        <v>194</v>
      </c>
      <c r="Q2" s="94" t="s">
        <v>195</v>
      </c>
      <c r="R2" s="95">
        <v>44013</v>
      </c>
    </row>
    <row r="3" spans="1:30" s="237" customFormat="1" ht="20.100000000000001" customHeight="1">
      <c r="A3" s="94">
        <v>31</v>
      </c>
      <c r="B3" s="94">
        <v>51917</v>
      </c>
      <c r="C3" s="94" t="e">
        <f>B3-B2</f>
        <v>#VALUE!</v>
      </c>
      <c r="D3" s="94">
        <v>2237</v>
      </c>
      <c r="E3" s="94" t="e">
        <f>D3-D2</f>
        <v>#VALUE!</v>
      </c>
      <c r="F3" s="241">
        <v>1167</v>
      </c>
      <c r="G3" s="94"/>
      <c r="H3" s="241">
        <v>1554</v>
      </c>
      <c r="I3" s="94"/>
      <c r="J3" s="241">
        <v>786</v>
      </c>
      <c r="K3" s="94"/>
      <c r="L3" s="245" t="e">
        <f>C3+E3</f>
        <v>#VALUE!</v>
      </c>
      <c r="M3" s="246" t="e">
        <f>L3*37</f>
        <v>#VALUE!</v>
      </c>
      <c r="N3" s="246" t="e">
        <f>L3*380</f>
        <v>#VALUE!</v>
      </c>
      <c r="O3" s="261" t="e">
        <f>M3+N3</f>
        <v>#VALUE!</v>
      </c>
      <c r="P3" s="94"/>
      <c r="Q3" s="94"/>
      <c r="R3" s="94"/>
    </row>
    <row r="4" spans="1:30" s="237" customFormat="1" ht="20.100000000000001" customHeight="1">
      <c r="A4" s="94">
        <v>1</v>
      </c>
      <c r="B4" s="94">
        <v>51927</v>
      </c>
      <c r="C4" s="94">
        <f>B4-B3</f>
        <v>10</v>
      </c>
      <c r="D4" s="94">
        <v>2238</v>
      </c>
      <c r="E4" s="94">
        <f>D4-D3</f>
        <v>1</v>
      </c>
      <c r="F4" s="94"/>
      <c r="G4" s="94"/>
      <c r="H4" s="94"/>
      <c r="I4" s="94"/>
      <c r="J4" s="94"/>
      <c r="K4" s="94"/>
      <c r="L4" s="245">
        <f>C4+E4+G4+I4+K4</f>
        <v>11</v>
      </c>
      <c r="M4" s="246">
        <f t="shared" ref="M4:M10" si="0">L4*37</f>
        <v>407</v>
      </c>
      <c r="N4" s="246">
        <f t="shared" ref="N4:N10" si="1">L4*380</f>
        <v>4180</v>
      </c>
      <c r="O4" s="261">
        <f t="shared" ref="O4:O10" si="2">M4+N4</f>
        <v>4587</v>
      </c>
      <c r="P4" s="94"/>
      <c r="Q4" s="94"/>
      <c r="R4" s="94"/>
    </row>
    <row r="5" spans="1:30" s="237" customFormat="1" ht="20.100000000000001" customHeight="1">
      <c r="A5" s="94">
        <v>2</v>
      </c>
      <c r="B5" s="94">
        <v>51940</v>
      </c>
      <c r="C5" s="94">
        <f t="shared" ref="C5:C34" si="3">B5-B4</f>
        <v>13</v>
      </c>
      <c r="D5" s="94">
        <v>2240</v>
      </c>
      <c r="E5" s="94">
        <f t="shared" ref="E5:E34" si="4">D5-D4</f>
        <v>2</v>
      </c>
      <c r="F5" s="94"/>
      <c r="G5" s="94"/>
      <c r="H5" s="94"/>
      <c r="I5" s="94"/>
      <c r="J5" s="94"/>
      <c r="K5" s="94"/>
      <c r="L5" s="245">
        <f t="shared" ref="L5:L33" si="5">C5+E5+G5+I5+K5</f>
        <v>15</v>
      </c>
      <c r="M5" s="246">
        <f t="shared" si="0"/>
        <v>555</v>
      </c>
      <c r="N5" s="246">
        <f t="shared" si="1"/>
        <v>5700</v>
      </c>
      <c r="O5" s="261">
        <f t="shared" si="2"/>
        <v>6255</v>
      </c>
      <c r="P5" s="94"/>
      <c r="Q5" s="94"/>
      <c r="R5" s="94"/>
    </row>
    <row r="6" spans="1:30" s="237" customFormat="1" ht="20.100000000000001" customHeight="1">
      <c r="A6" s="94">
        <v>3</v>
      </c>
      <c r="B6" s="94">
        <v>51958</v>
      </c>
      <c r="C6" s="94">
        <f t="shared" si="3"/>
        <v>18</v>
      </c>
      <c r="D6" s="94">
        <v>2241</v>
      </c>
      <c r="E6" s="94">
        <f t="shared" si="4"/>
        <v>1</v>
      </c>
      <c r="F6" s="94"/>
      <c r="G6" s="94"/>
      <c r="H6" s="94"/>
      <c r="I6" s="94"/>
      <c r="J6" s="94"/>
      <c r="K6" s="94"/>
      <c r="L6" s="245">
        <f t="shared" si="5"/>
        <v>19</v>
      </c>
      <c r="M6" s="246">
        <f t="shared" si="0"/>
        <v>703</v>
      </c>
      <c r="N6" s="246">
        <f t="shared" si="1"/>
        <v>7220</v>
      </c>
      <c r="O6" s="261">
        <f t="shared" si="2"/>
        <v>7923</v>
      </c>
      <c r="P6" s="94"/>
      <c r="Q6" s="94"/>
      <c r="R6" s="94"/>
    </row>
    <row r="7" spans="1:30" s="237" customFormat="1" ht="20.100000000000001" customHeight="1">
      <c r="A7" s="94">
        <v>4</v>
      </c>
      <c r="B7" s="94">
        <v>51971</v>
      </c>
      <c r="C7" s="94">
        <f t="shared" si="3"/>
        <v>13</v>
      </c>
      <c r="D7" s="94">
        <v>2243</v>
      </c>
      <c r="E7" s="94">
        <f t="shared" si="4"/>
        <v>2</v>
      </c>
      <c r="F7" s="94"/>
      <c r="G7" s="94"/>
      <c r="H7" s="94"/>
      <c r="I7" s="94"/>
      <c r="J7" s="94"/>
      <c r="K7" s="94"/>
      <c r="L7" s="245">
        <f t="shared" si="5"/>
        <v>15</v>
      </c>
      <c r="M7" s="246">
        <f t="shared" si="0"/>
        <v>555</v>
      </c>
      <c r="N7" s="246">
        <f t="shared" si="1"/>
        <v>5700</v>
      </c>
      <c r="O7" s="261">
        <f t="shared" si="2"/>
        <v>6255</v>
      </c>
      <c r="P7" s="94"/>
      <c r="Q7" s="94"/>
      <c r="R7" s="94"/>
    </row>
    <row r="8" spans="1:30" s="237" customFormat="1" ht="20.100000000000001" customHeight="1">
      <c r="A8" s="94">
        <v>5</v>
      </c>
      <c r="B8" s="94">
        <v>51982</v>
      </c>
      <c r="C8" s="94">
        <f t="shared" si="3"/>
        <v>11</v>
      </c>
      <c r="D8" s="94">
        <v>2244</v>
      </c>
      <c r="E8" s="94">
        <f t="shared" si="4"/>
        <v>1</v>
      </c>
      <c r="F8" s="94"/>
      <c r="G8" s="94"/>
      <c r="H8" s="94"/>
      <c r="I8" s="94"/>
      <c r="J8" s="94"/>
      <c r="K8" s="94"/>
      <c r="L8" s="245">
        <f t="shared" si="5"/>
        <v>12</v>
      </c>
      <c r="M8" s="246">
        <f t="shared" si="0"/>
        <v>444</v>
      </c>
      <c r="N8" s="246">
        <f t="shared" si="1"/>
        <v>4560</v>
      </c>
      <c r="O8" s="261">
        <f t="shared" si="2"/>
        <v>5004</v>
      </c>
      <c r="P8" s="94"/>
      <c r="Q8" s="94"/>
      <c r="R8" s="94"/>
    </row>
    <row r="9" spans="1:30" s="237" customFormat="1" ht="20.100000000000001" customHeight="1">
      <c r="A9" s="94">
        <v>6</v>
      </c>
      <c r="B9" s="94">
        <v>52000</v>
      </c>
      <c r="C9" s="94">
        <f t="shared" si="3"/>
        <v>18</v>
      </c>
      <c r="D9" s="94">
        <v>2246</v>
      </c>
      <c r="E9" s="94">
        <f t="shared" si="4"/>
        <v>2</v>
      </c>
      <c r="F9" s="94"/>
      <c r="G9" s="94"/>
      <c r="H9" s="94"/>
      <c r="I9" s="94"/>
      <c r="J9" s="94"/>
      <c r="K9" s="94"/>
      <c r="L9" s="245">
        <f t="shared" si="5"/>
        <v>20</v>
      </c>
      <c r="M9" s="246">
        <f t="shared" si="0"/>
        <v>740</v>
      </c>
      <c r="N9" s="246">
        <f t="shared" si="1"/>
        <v>7600</v>
      </c>
      <c r="O9" s="261">
        <f t="shared" si="2"/>
        <v>8340</v>
      </c>
      <c r="P9" s="94"/>
      <c r="Q9" s="94"/>
      <c r="R9" s="94"/>
    </row>
    <row r="10" spans="1:30" s="237" customFormat="1" ht="20.100000000000001" customHeight="1">
      <c r="A10" s="94">
        <v>7</v>
      </c>
      <c r="B10" s="94">
        <v>52014</v>
      </c>
      <c r="C10" s="94">
        <f>B10-B9</f>
        <v>14</v>
      </c>
      <c r="D10" s="94">
        <v>2247</v>
      </c>
      <c r="E10" s="94">
        <f t="shared" si="4"/>
        <v>1</v>
      </c>
      <c r="F10" s="94"/>
      <c r="G10" s="94"/>
      <c r="H10" s="94"/>
      <c r="I10" s="94"/>
      <c r="J10" s="94"/>
      <c r="K10" s="94"/>
      <c r="L10" s="245">
        <f t="shared" si="5"/>
        <v>15</v>
      </c>
      <c r="M10" s="246">
        <f t="shared" si="0"/>
        <v>555</v>
      </c>
      <c r="N10" s="246">
        <f t="shared" si="1"/>
        <v>5700</v>
      </c>
      <c r="O10" s="261">
        <f t="shared" si="2"/>
        <v>6255</v>
      </c>
      <c r="P10" s="94"/>
      <c r="Q10" s="94"/>
      <c r="R10" s="94"/>
    </row>
    <row r="11" spans="1:30" s="237" customFormat="1" ht="20.100000000000001" customHeight="1">
      <c r="A11" s="94">
        <v>8</v>
      </c>
      <c r="B11" s="94">
        <v>52025</v>
      </c>
      <c r="C11" s="94">
        <f>B11-B10</f>
        <v>11</v>
      </c>
      <c r="D11" s="94">
        <v>2248</v>
      </c>
      <c r="E11" s="94">
        <f t="shared" si="4"/>
        <v>1</v>
      </c>
      <c r="F11" s="94"/>
      <c r="G11" s="94"/>
      <c r="H11" s="94"/>
      <c r="I11" s="94"/>
      <c r="J11" s="94"/>
      <c r="K11" s="94"/>
      <c r="L11" s="245">
        <f t="shared" si="5"/>
        <v>12</v>
      </c>
      <c r="M11" s="246">
        <f>L11*37</f>
        <v>444</v>
      </c>
      <c r="N11" s="246">
        <f t="shared" ref="N11:N16" si="6">L11*380</f>
        <v>4560</v>
      </c>
      <c r="O11" s="261">
        <f t="shared" ref="O11:O16" si="7">M11+N11</f>
        <v>5004</v>
      </c>
      <c r="P11" s="94"/>
      <c r="Q11" s="94"/>
      <c r="R11" s="94"/>
    </row>
    <row r="12" spans="1:30" s="266" customFormat="1" ht="20.100000000000001" customHeight="1">
      <c r="A12" s="241">
        <v>9</v>
      </c>
      <c r="B12" s="94">
        <v>52037</v>
      </c>
      <c r="C12" s="241">
        <f t="shared" si="3"/>
        <v>12</v>
      </c>
      <c r="D12" s="94">
        <v>2250</v>
      </c>
      <c r="E12" s="241">
        <f t="shared" si="4"/>
        <v>2</v>
      </c>
      <c r="F12" s="94">
        <v>1175</v>
      </c>
      <c r="G12" s="94"/>
      <c r="H12" s="94">
        <v>1575</v>
      </c>
      <c r="I12" s="94"/>
      <c r="J12" s="94">
        <v>786</v>
      </c>
      <c r="K12" s="241"/>
      <c r="L12" s="264">
        <f t="shared" si="5"/>
        <v>14</v>
      </c>
      <c r="M12" s="265">
        <f t="shared" ref="M12:M34" si="8">L12*37</f>
        <v>518</v>
      </c>
      <c r="N12" s="246">
        <f t="shared" si="6"/>
        <v>5320</v>
      </c>
      <c r="O12" s="261">
        <f t="shared" si="7"/>
        <v>5838</v>
      </c>
      <c r="P12" s="94"/>
      <c r="Q12" s="94"/>
      <c r="R12" s="94"/>
      <c r="S12" s="237"/>
      <c r="T12" s="237"/>
      <c r="U12" s="237"/>
      <c r="V12" s="237"/>
      <c r="W12" s="237"/>
      <c r="X12" s="237"/>
      <c r="Y12" s="237"/>
      <c r="Z12" s="237"/>
      <c r="AA12" s="237"/>
      <c r="AB12" s="237"/>
      <c r="AC12" s="237"/>
      <c r="AD12" s="237"/>
    </row>
    <row r="13" spans="1:30" s="237" customFormat="1" ht="20.100000000000001" customHeight="1">
      <c r="A13" s="94">
        <v>10</v>
      </c>
      <c r="B13" s="94">
        <v>52048</v>
      </c>
      <c r="C13" s="94">
        <f t="shared" si="3"/>
        <v>11</v>
      </c>
      <c r="D13" s="94">
        <v>2251</v>
      </c>
      <c r="E13" s="94">
        <f t="shared" si="4"/>
        <v>1</v>
      </c>
      <c r="F13" s="94"/>
      <c r="G13" s="94"/>
      <c r="H13" s="94"/>
      <c r="I13" s="94"/>
      <c r="J13" s="94"/>
      <c r="K13" s="94"/>
      <c r="L13" s="245">
        <f t="shared" si="5"/>
        <v>12</v>
      </c>
      <c r="M13" s="246">
        <f t="shared" si="8"/>
        <v>444</v>
      </c>
      <c r="N13" s="246">
        <f t="shared" si="6"/>
        <v>4560</v>
      </c>
      <c r="O13" s="261">
        <f t="shared" si="7"/>
        <v>5004</v>
      </c>
      <c r="P13" s="94"/>
      <c r="Q13" s="94"/>
      <c r="R13" s="94"/>
    </row>
    <row r="14" spans="1:30" s="237" customFormat="1" ht="20.100000000000001" customHeight="1">
      <c r="A14" s="94">
        <v>11</v>
      </c>
      <c r="B14" s="94">
        <v>52059</v>
      </c>
      <c r="C14" s="94">
        <f t="shared" si="3"/>
        <v>11</v>
      </c>
      <c r="D14" s="94">
        <v>2253</v>
      </c>
      <c r="E14" s="94">
        <f t="shared" si="4"/>
        <v>2</v>
      </c>
      <c r="F14" s="94"/>
      <c r="G14" s="94"/>
      <c r="H14" s="94"/>
      <c r="I14" s="94"/>
      <c r="J14" s="94"/>
      <c r="K14" s="94"/>
      <c r="L14" s="245">
        <f t="shared" si="5"/>
        <v>13</v>
      </c>
      <c r="M14" s="246">
        <f t="shared" si="8"/>
        <v>481</v>
      </c>
      <c r="N14" s="246">
        <f t="shared" si="6"/>
        <v>4940</v>
      </c>
      <c r="O14" s="261">
        <f t="shared" si="7"/>
        <v>5421</v>
      </c>
      <c r="P14" s="94"/>
      <c r="Q14" s="94"/>
      <c r="R14" s="94"/>
    </row>
    <row r="15" spans="1:30" s="237" customFormat="1" ht="20.100000000000001" customHeight="1">
      <c r="A15" s="94">
        <v>12</v>
      </c>
      <c r="B15" s="94">
        <v>52074</v>
      </c>
      <c r="C15" s="94">
        <f>B15-B14</f>
        <v>15</v>
      </c>
      <c r="D15" s="94">
        <v>2254</v>
      </c>
      <c r="E15" s="94">
        <f t="shared" si="4"/>
        <v>1</v>
      </c>
      <c r="F15" s="94"/>
      <c r="G15" s="94"/>
      <c r="H15" s="94"/>
      <c r="I15" s="94"/>
      <c r="J15" s="94"/>
      <c r="K15" s="94"/>
      <c r="L15" s="245">
        <f>C15+E15+G15+I15+K15</f>
        <v>16</v>
      </c>
      <c r="M15" s="246">
        <f>L15*37</f>
        <v>592</v>
      </c>
      <c r="N15" s="246">
        <f t="shared" si="6"/>
        <v>6080</v>
      </c>
      <c r="O15" s="261">
        <f t="shared" si="7"/>
        <v>6672</v>
      </c>
      <c r="P15" s="94"/>
      <c r="Q15" s="94"/>
      <c r="R15" s="94"/>
    </row>
    <row r="16" spans="1:30" s="237" customFormat="1" ht="20.100000000000001" customHeight="1">
      <c r="A16" s="94">
        <v>13</v>
      </c>
      <c r="B16" s="94">
        <v>52089</v>
      </c>
      <c r="C16" s="94">
        <f t="shared" si="3"/>
        <v>15</v>
      </c>
      <c r="D16" s="94">
        <v>2256</v>
      </c>
      <c r="E16" s="94">
        <f t="shared" si="4"/>
        <v>2</v>
      </c>
      <c r="F16" s="94"/>
      <c r="G16" s="94"/>
      <c r="H16" s="94"/>
      <c r="I16" s="94"/>
      <c r="J16" s="94"/>
      <c r="K16" s="94"/>
      <c r="L16" s="245">
        <f t="shared" si="5"/>
        <v>17</v>
      </c>
      <c r="M16" s="246">
        <f t="shared" si="8"/>
        <v>629</v>
      </c>
      <c r="N16" s="246">
        <f t="shared" si="6"/>
        <v>6460</v>
      </c>
      <c r="O16" s="261">
        <f t="shared" si="7"/>
        <v>7089</v>
      </c>
      <c r="P16" s="94"/>
      <c r="Q16" s="94"/>
      <c r="R16" s="94"/>
    </row>
    <row r="17" spans="1:18" s="237" customFormat="1" ht="20.100000000000001" customHeight="1">
      <c r="A17" s="94">
        <v>14</v>
      </c>
      <c r="B17" s="94">
        <v>52103</v>
      </c>
      <c r="C17" s="94">
        <f t="shared" si="3"/>
        <v>14</v>
      </c>
      <c r="D17" s="94">
        <v>2257</v>
      </c>
      <c r="E17" s="94">
        <f t="shared" si="4"/>
        <v>1</v>
      </c>
      <c r="F17" s="94"/>
      <c r="G17" s="94"/>
      <c r="H17" s="94"/>
      <c r="I17" s="94"/>
      <c r="J17" s="94"/>
      <c r="K17" s="94"/>
      <c r="L17" s="245">
        <f t="shared" si="5"/>
        <v>15</v>
      </c>
      <c r="M17" s="246">
        <f t="shared" si="8"/>
        <v>555</v>
      </c>
      <c r="N17" s="246">
        <f t="shared" ref="N17:N34" si="9">L17*380</f>
        <v>5700</v>
      </c>
      <c r="O17" s="261">
        <f t="shared" ref="O17:O34" si="10">M17+N17</f>
        <v>6255</v>
      </c>
      <c r="P17" s="94"/>
      <c r="Q17" s="94"/>
      <c r="R17" s="94"/>
    </row>
    <row r="18" spans="1:18" s="237" customFormat="1" ht="20.100000000000001" customHeight="1">
      <c r="A18" s="94">
        <v>15</v>
      </c>
      <c r="B18" s="94">
        <v>52116</v>
      </c>
      <c r="C18" s="94">
        <f>B18-B17</f>
        <v>13</v>
      </c>
      <c r="D18" s="94">
        <v>2259</v>
      </c>
      <c r="E18" s="94">
        <f t="shared" si="4"/>
        <v>2</v>
      </c>
      <c r="F18" s="94"/>
      <c r="G18" s="94"/>
      <c r="H18" s="94"/>
      <c r="I18" s="94"/>
      <c r="J18" s="94"/>
      <c r="K18" s="94"/>
      <c r="L18" s="245">
        <f t="shared" si="5"/>
        <v>15</v>
      </c>
      <c r="M18" s="246">
        <f t="shared" si="8"/>
        <v>555</v>
      </c>
      <c r="N18" s="246">
        <f t="shared" si="9"/>
        <v>5700</v>
      </c>
      <c r="O18" s="261">
        <f t="shared" si="10"/>
        <v>6255</v>
      </c>
      <c r="P18" s="94"/>
      <c r="Q18" s="94"/>
      <c r="R18" s="94"/>
    </row>
    <row r="19" spans="1:18" s="237" customFormat="1" ht="20.100000000000001" customHeight="1">
      <c r="A19" s="94">
        <v>16</v>
      </c>
      <c r="B19" s="94">
        <v>52134</v>
      </c>
      <c r="C19" s="94">
        <f t="shared" si="3"/>
        <v>18</v>
      </c>
      <c r="D19" s="94">
        <v>2260</v>
      </c>
      <c r="E19" s="94">
        <f t="shared" si="4"/>
        <v>1</v>
      </c>
      <c r="F19" s="94"/>
      <c r="G19" s="94"/>
      <c r="H19" s="94"/>
      <c r="I19" s="94"/>
      <c r="J19" s="94"/>
      <c r="K19" s="94"/>
      <c r="L19" s="245">
        <f t="shared" si="5"/>
        <v>19</v>
      </c>
      <c r="M19" s="246">
        <f t="shared" si="8"/>
        <v>703</v>
      </c>
      <c r="N19" s="246">
        <f t="shared" si="9"/>
        <v>7220</v>
      </c>
      <c r="O19" s="261">
        <f t="shared" si="10"/>
        <v>7923</v>
      </c>
      <c r="P19" s="94"/>
      <c r="Q19" s="94"/>
      <c r="R19" s="94"/>
    </row>
    <row r="20" spans="1:18" s="237" customFormat="1" ht="20.100000000000001" customHeight="1">
      <c r="A20" s="94">
        <v>17</v>
      </c>
      <c r="B20" s="94">
        <v>52152</v>
      </c>
      <c r="C20" s="94">
        <f t="shared" si="3"/>
        <v>18</v>
      </c>
      <c r="D20" s="94">
        <v>2261</v>
      </c>
      <c r="E20" s="94">
        <f t="shared" si="4"/>
        <v>1</v>
      </c>
      <c r="F20" s="94"/>
      <c r="G20" s="94"/>
      <c r="H20" s="94"/>
      <c r="I20" s="94"/>
      <c r="J20" s="94"/>
      <c r="K20" s="94"/>
      <c r="L20" s="245">
        <f t="shared" si="5"/>
        <v>19</v>
      </c>
      <c r="M20" s="246">
        <f t="shared" si="8"/>
        <v>703</v>
      </c>
      <c r="N20" s="246">
        <f t="shared" si="9"/>
        <v>7220</v>
      </c>
      <c r="O20" s="261">
        <f t="shared" si="10"/>
        <v>7923</v>
      </c>
      <c r="P20" s="94"/>
      <c r="Q20" s="94"/>
      <c r="R20" s="94"/>
    </row>
    <row r="21" spans="1:18" s="237" customFormat="1" ht="20.100000000000001" customHeight="1">
      <c r="A21" s="94">
        <v>18</v>
      </c>
      <c r="B21" s="94">
        <v>52172</v>
      </c>
      <c r="C21" s="94">
        <f t="shared" si="3"/>
        <v>20</v>
      </c>
      <c r="D21" s="94">
        <v>2263</v>
      </c>
      <c r="E21" s="94">
        <f t="shared" si="4"/>
        <v>2</v>
      </c>
      <c r="F21" s="94"/>
      <c r="G21" s="94"/>
      <c r="H21" s="94"/>
      <c r="I21" s="94"/>
      <c r="J21" s="94"/>
      <c r="K21" s="94"/>
      <c r="L21" s="245">
        <f t="shared" si="5"/>
        <v>22</v>
      </c>
      <c r="M21" s="246">
        <f t="shared" si="8"/>
        <v>814</v>
      </c>
      <c r="N21" s="246">
        <f t="shared" si="9"/>
        <v>8360</v>
      </c>
      <c r="O21" s="261">
        <f t="shared" si="10"/>
        <v>9174</v>
      </c>
      <c r="P21" s="94"/>
      <c r="Q21" s="94"/>
      <c r="R21" s="94"/>
    </row>
    <row r="22" spans="1:18" s="237" customFormat="1" ht="20.100000000000001" customHeight="1">
      <c r="A22" s="94">
        <v>19</v>
      </c>
      <c r="B22" s="94">
        <v>52195</v>
      </c>
      <c r="C22" s="94">
        <f t="shared" si="3"/>
        <v>23</v>
      </c>
      <c r="D22" s="94">
        <v>2265</v>
      </c>
      <c r="E22" s="94">
        <f t="shared" si="4"/>
        <v>2</v>
      </c>
      <c r="F22" s="94"/>
      <c r="G22" s="94"/>
      <c r="H22" s="94"/>
      <c r="I22" s="94"/>
      <c r="J22" s="94"/>
      <c r="K22" s="94"/>
      <c r="L22" s="245">
        <f t="shared" si="5"/>
        <v>25</v>
      </c>
      <c r="M22" s="246">
        <f t="shared" si="8"/>
        <v>925</v>
      </c>
      <c r="N22" s="246">
        <f t="shared" si="9"/>
        <v>9500</v>
      </c>
      <c r="O22" s="261">
        <f t="shared" si="10"/>
        <v>10425</v>
      </c>
      <c r="P22" s="94"/>
      <c r="Q22" s="94"/>
      <c r="R22" s="94"/>
    </row>
    <row r="23" spans="1:18" s="237" customFormat="1" ht="20.100000000000001" customHeight="1">
      <c r="A23" s="94">
        <v>20</v>
      </c>
      <c r="B23" s="94">
        <v>52215</v>
      </c>
      <c r="C23" s="94">
        <f t="shared" si="3"/>
        <v>20</v>
      </c>
      <c r="D23" s="94">
        <v>2266</v>
      </c>
      <c r="E23" s="94">
        <f t="shared" si="4"/>
        <v>1</v>
      </c>
      <c r="F23" s="94"/>
      <c r="G23" s="94"/>
      <c r="H23" s="94"/>
      <c r="I23" s="94"/>
      <c r="J23" s="94"/>
      <c r="K23" s="94"/>
      <c r="L23" s="245">
        <f t="shared" si="5"/>
        <v>21</v>
      </c>
      <c r="M23" s="246">
        <f t="shared" si="8"/>
        <v>777</v>
      </c>
      <c r="N23" s="246">
        <f t="shared" si="9"/>
        <v>7980</v>
      </c>
      <c r="O23" s="261">
        <f t="shared" si="10"/>
        <v>8757</v>
      </c>
      <c r="P23" s="94"/>
      <c r="Q23" s="94"/>
      <c r="R23" s="94"/>
    </row>
    <row r="24" spans="1:18" s="237" customFormat="1" ht="20.100000000000001" customHeight="1">
      <c r="A24" s="94">
        <v>21</v>
      </c>
      <c r="B24" s="94">
        <v>52234</v>
      </c>
      <c r="C24" s="94">
        <f t="shared" si="3"/>
        <v>19</v>
      </c>
      <c r="D24" s="94">
        <v>2268</v>
      </c>
      <c r="E24" s="94">
        <f t="shared" si="4"/>
        <v>2</v>
      </c>
      <c r="F24" s="94"/>
      <c r="G24" s="94"/>
      <c r="H24" s="94"/>
      <c r="I24" s="94"/>
      <c r="J24" s="94"/>
      <c r="K24" s="94"/>
      <c r="L24" s="245">
        <f t="shared" si="5"/>
        <v>21</v>
      </c>
      <c r="M24" s="246">
        <f t="shared" si="8"/>
        <v>777</v>
      </c>
      <c r="N24" s="246">
        <f t="shared" si="9"/>
        <v>7980</v>
      </c>
      <c r="O24" s="261">
        <f t="shared" si="10"/>
        <v>8757</v>
      </c>
      <c r="P24" s="94"/>
      <c r="Q24" s="94"/>
      <c r="R24" s="94"/>
    </row>
    <row r="25" spans="1:18" s="237" customFormat="1" ht="20.100000000000001" customHeight="1">
      <c r="A25" s="94">
        <v>22</v>
      </c>
      <c r="B25" s="94">
        <v>52254</v>
      </c>
      <c r="C25" s="94">
        <f t="shared" si="3"/>
        <v>20</v>
      </c>
      <c r="D25" s="94">
        <v>2269</v>
      </c>
      <c r="E25" s="94">
        <f t="shared" si="4"/>
        <v>1</v>
      </c>
      <c r="F25" s="94"/>
      <c r="G25" s="94"/>
      <c r="H25" s="94"/>
      <c r="I25" s="94"/>
      <c r="J25" s="94"/>
      <c r="K25" s="94"/>
      <c r="L25" s="245">
        <f t="shared" si="5"/>
        <v>21</v>
      </c>
      <c r="M25" s="246">
        <f t="shared" si="8"/>
        <v>777</v>
      </c>
      <c r="N25" s="246">
        <f t="shared" si="9"/>
        <v>7980</v>
      </c>
      <c r="O25" s="261">
        <f t="shared" si="10"/>
        <v>8757</v>
      </c>
      <c r="P25" s="94"/>
      <c r="Q25" s="94"/>
      <c r="R25" s="94"/>
    </row>
    <row r="26" spans="1:18" s="237" customFormat="1" ht="20.100000000000001" customHeight="1">
      <c r="A26" s="94">
        <v>23</v>
      </c>
      <c r="B26" s="94">
        <v>52270</v>
      </c>
      <c r="C26" s="94">
        <f t="shared" si="3"/>
        <v>16</v>
      </c>
      <c r="D26" s="94">
        <v>2271</v>
      </c>
      <c r="E26" s="94">
        <f t="shared" si="4"/>
        <v>2</v>
      </c>
      <c r="F26" s="94"/>
      <c r="G26" s="94"/>
      <c r="H26" s="94"/>
      <c r="I26" s="94"/>
      <c r="J26" s="94"/>
      <c r="K26" s="94"/>
      <c r="L26" s="245">
        <f t="shared" si="5"/>
        <v>18</v>
      </c>
      <c r="M26" s="246">
        <f t="shared" si="8"/>
        <v>666</v>
      </c>
      <c r="N26" s="246">
        <f t="shared" si="9"/>
        <v>6840</v>
      </c>
      <c r="O26" s="261">
        <f t="shared" si="10"/>
        <v>7506</v>
      </c>
      <c r="P26" s="94"/>
      <c r="Q26" s="94"/>
      <c r="R26" s="94"/>
    </row>
    <row r="27" spans="1:18" s="237" customFormat="1" ht="20.100000000000001" customHeight="1">
      <c r="A27" s="94">
        <v>24</v>
      </c>
      <c r="B27" s="94">
        <v>52288</v>
      </c>
      <c r="C27" s="94">
        <f t="shared" si="3"/>
        <v>18</v>
      </c>
      <c r="D27" s="94">
        <v>2272</v>
      </c>
      <c r="E27" s="94">
        <f t="shared" si="4"/>
        <v>1</v>
      </c>
      <c r="F27" s="94"/>
      <c r="G27" s="94"/>
      <c r="H27" s="94"/>
      <c r="I27" s="94"/>
      <c r="J27" s="94"/>
      <c r="K27" s="94"/>
      <c r="L27" s="245">
        <f t="shared" si="5"/>
        <v>19</v>
      </c>
      <c r="M27" s="246">
        <f t="shared" si="8"/>
        <v>703</v>
      </c>
      <c r="N27" s="246">
        <f t="shared" si="9"/>
        <v>7220</v>
      </c>
      <c r="O27" s="261">
        <f t="shared" si="10"/>
        <v>7923</v>
      </c>
      <c r="P27" s="94"/>
      <c r="Q27" s="94"/>
      <c r="R27" s="94"/>
    </row>
    <row r="28" spans="1:18" s="237" customFormat="1" ht="20.100000000000001" customHeight="1">
      <c r="A28" s="94">
        <v>25</v>
      </c>
      <c r="B28" s="94">
        <v>52306</v>
      </c>
      <c r="C28" s="94">
        <f t="shared" si="3"/>
        <v>18</v>
      </c>
      <c r="D28" s="94">
        <v>2274</v>
      </c>
      <c r="E28" s="94">
        <f t="shared" si="4"/>
        <v>2</v>
      </c>
      <c r="F28" s="94"/>
      <c r="G28" s="94"/>
      <c r="H28" s="94"/>
      <c r="I28" s="94"/>
      <c r="J28" s="94"/>
      <c r="K28" s="94"/>
      <c r="L28" s="245">
        <f t="shared" si="5"/>
        <v>20</v>
      </c>
      <c r="M28" s="246">
        <f t="shared" si="8"/>
        <v>740</v>
      </c>
      <c r="N28" s="246">
        <f t="shared" si="9"/>
        <v>7600</v>
      </c>
      <c r="O28" s="261">
        <f t="shared" si="10"/>
        <v>8340</v>
      </c>
      <c r="P28" s="94"/>
      <c r="Q28" s="94"/>
      <c r="R28" s="94"/>
    </row>
    <row r="29" spans="1:18" s="237" customFormat="1" ht="20.100000000000001" customHeight="1">
      <c r="A29" s="94">
        <v>26</v>
      </c>
      <c r="B29" s="94">
        <v>52321</v>
      </c>
      <c r="C29" s="94">
        <f t="shared" si="3"/>
        <v>15</v>
      </c>
      <c r="D29" s="94">
        <v>2275</v>
      </c>
      <c r="E29" s="94">
        <f t="shared" si="4"/>
        <v>1</v>
      </c>
      <c r="F29" s="94"/>
      <c r="G29" s="94"/>
      <c r="H29" s="94"/>
      <c r="I29" s="94"/>
      <c r="J29" s="94"/>
      <c r="K29" s="94"/>
      <c r="L29" s="245">
        <f t="shared" si="5"/>
        <v>16</v>
      </c>
      <c r="M29" s="246">
        <f t="shared" si="8"/>
        <v>592</v>
      </c>
      <c r="N29" s="246">
        <f t="shared" si="9"/>
        <v>6080</v>
      </c>
      <c r="O29" s="261">
        <f t="shared" si="10"/>
        <v>6672</v>
      </c>
      <c r="P29" s="94"/>
      <c r="Q29" s="94"/>
      <c r="R29" s="94"/>
    </row>
    <row r="30" spans="1:18" s="237" customFormat="1" ht="20.100000000000001" customHeight="1">
      <c r="A30" s="94">
        <v>27</v>
      </c>
      <c r="B30" s="94">
        <v>52335</v>
      </c>
      <c r="C30" s="94">
        <f t="shared" si="3"/>
        <v>14</v>
      </c>
      <c r="D30" s="94">
        <v>2277</v>
      </c>
      <c r="E30" s="94">
        <f t="shared" si="4"/>
        <v>2</v>
      </c>
      <c r="F30" s="94"/>
      <c r="G30" s="94"/>
      <c r="H30" s="94"/>
      <c r="I30" s="94"/>
      <c r="J30" s="94"/>
      <c r="K30" s="94"/>
      <c r="L30" s="245">
        <f t="shared" si="5"/>
        <v>16</v>
      </c>
      <c r="M30" s="246">
        <f t="shared" si="8"/>
        <v>592</v>
      </c>
      <c r="N30" s="246">
        <f t="shared" si="9"/>
        <v>6080</v>
      </c>
      <c r="O30" s="261">
        <f t="shared" si="10"/>
        <v>6672</v>
      </c>
      <c r="P30" s="94"/>
      <c r="Q30" s="94"/>
      <c r="R30" s="94"/>
    </row>
    <row r="31" spans="1:18" s="237" customFormat="1" ht="20.100000000000001" customHeight="1">
      <c r="A31" s="94">
        <v>28</v>
      </c>
      <c r="B31" s="94">
        <v>52351</v>
      </c>
      <c r="C31" s="94">
        <f t="shared" si="3"/>
        <v>16</v>
      </c>
      <c r="D31" s="94">
        <v>2278</v>
      </c>
      <c r="E31" s="94">
        <f t="shared" si="4"/>
        <v>1</v>
      </c>
      <c r="F31" s="94"/>
      <c r="G31" s="94"/>
      <c r="H31" s="94"/>
      <c r="I31" s="94"/>
      <c r="J31" s="94"/>
      <c r="K31" s="94"/>
      <c r="L31" s="245">
        <f t="shared" si="5"/>
        <v>17</v>
      </c>
      <c r="M31" s="246">
        <f t="shared" si="8"/>
        <v>629</v>
      </c>
      <c r="N31" s="246">
        <f t="shared" si="9"/>
        <v>6460</v>
      </c>
      <c r="O31" s="261">
        <f t="shared" si="10"/>
        <v>7089</v>
      </c>
      <c r="P31" s="94"/>
      <c r="Q31" s="94"/>
      <c r="R31" s="94"/>
    </row>
    <row r="32" spans="1:18" s="237" customFormat="1" ht="20.100000000000001" customHeight="1">
      <c r="A32" s="94">
        <v>29</v>
      </c>
      <c r="B32" s="94">
        <v>52363</v>
      </c>
      <c r="C32" s="94">
        <f t="shared" si="3"/>
        <v>12</v>
      </c>
      <c r="D32" s="94">
        <v>2280</v>
      </c>
      <c r="E32" s="94">
        <f t="shared" si="4"/>
        <v>2</v>
      </c>
      <c r="F32" s="94"/>
      <c r="G32" s="94"/>
      <c r="H32" s="94"/>
      <c r="I32" s="94"/>
      <c r="J32" s="94"/>
      <c r="K32" s="94"/>
      <c r="L32" s="245">
        <f t="shared" si="5"/>
        <v>14</v>
      </c>
      <c r="M32" s="246">
        <f t="shared" si="8"/>
        <v>518</v>
      </c>
      <c r="N32" s="246">
        <f t="shared" si="9"/>
        <v>5320</v>
      </c>
      <c r="O32" s="261">
        <f t="shared" si="10"/>
        <v>5838</v>
      </c>
      <c r="P32" s="94"/>
      <c r="Q32" s="94"/>
      <c r="R32" s="94"/>
    </row>
    <row r="33" spans="1:18" s="237" customFormat="1" ht="20.100000000000001" customHeight="1">
      <c r="A33" s="94">
        <v>30</v>
      </c>
      <c r="B33" s="94">
        <v>52372</v>
      </c>
      <c r="C33" s="94">
        <f t="shared" si="3"/>
        <v>9</v>
      </c>
      <c r="D33" s="94">
        <v>2281</v>
      </c>
      <c r="E33" s="94">
        <f t="shared" si="4"/>
        <v>1</v>
      </c>
      <c r="F33" s="94"/>
      <c r="G33" s="94"/>
      <c r="H33" s="94"/>
      <c r="I33" s="94"/>
      <c r="J33" s="94"/>
      <c r="K33" s="94"/>
      <c r="L33" s="245">
        <f t="shared" si="5"/>
        <v>10</v>
      </c>
      <c r="M33" s="246">
        <f t="shared" si="8"/>
        <v>370</v>
      </c>
      <c r="N33" s="246">
        <f t="shared" si="9"/>
        <v>3800</v>
      </c>
      <c r="O33" s="261">
        <f t="shared" si="10"/>
        <v>4170</v>
      </c>
      <c r="P33" s="94"/>
      <c r="Q33" s="94"/>
      <c r="R33" s="94"/>
    </row>
    <row r="34" spans="1:18" s="237" customFormat="1" ht="20.100000000000001" customHeight="1">
      <c r="A34" s="94">
        <v>31</v>
      </c>
      <c r="B34" s="94"/>
      <c r="C34" s="94">
        <f t="shared" si="3"/>
        <v>-52372</v>
      </c>
      <c r="D34" s="94"/>
      <c r="E34" s="94">
        <f t="shared" si="4"/>
        <v>-2281</v>
      </c>
      <c r="F34" s="94"/>
      <c r="G34" s="94"/>
      <c r="H34" s="94"/>
      <c r="I34" s="94"/>
      <c r="J34" s="94"/>
      <c r="K34" s="94"/>
      <c r="L34" s="245">
        <f>C34+E34</f>
        <v>-54653</v>
      </c>
      <c r="M34" s="246">
        <f t="shared" si="8"/>
        <v>-2022161</v>
      </c>
      <c r="N34" s="246">
        <f t="shared" si="9"/>
        <v>-20768140</v>
      </c>
      <c r="O34" s="261">
        <f t="shared" si="10"/>
        <v>-22790301</v>
      </c>
      <c r="P34" s="94"/>
      <c r="Q34" s="94"/>
      <c r="R34" s="94"/>
    </row>
  </sheetData>
  <mergeCells count="6">
    <mergeCell ref="B1:C1"/>
    <mergeCell ref="D1:E1"/>
    <mergeCell ref="L1:O1"/>
    <mergeCell ref="F1:G1"/>
    <mergeCell ref="H1:I1"/>
    <mergeCell ref="J1:K1"/>
  </mergeCells>
  <phoneticPr fontId="21" type="noConversion"/>
  <pageMargins left="0.32" right="0.17" top="0.72" bottom="0.75" header="0.3" footer="0.3"/>
  <pageSetup paperSize="8" scale="9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E22"/>
  <sheetViews>
    <sheetView showGridLines="0" workbookViewId="0">
      <selection activeCell="B1" sqref="B1"/>
    </sheetView>
  </sheetViews>
  <sheetFormatPr defaultRowHeight="14.25"/>
  <cols>
    <col min="1" max="1" width="1" customWidth="1"/>
    <col min="2" max="2" width="56.375" customWidth="1"/>
    <col min="3" max="3" width="1.375" customWidth="1"/>
    <col min="4" max="4" width="4.875" customWidth="1"/>
    <col min="5" max="5" width="14" customWidth="1"/>
  </cols>
  <sheetData>
    <row r="1" spans="2:5">
      <c r="B1" s="46" t="s">
        <v>118</v>
      </c>
      <c r="C1" s="47"/>
      <c r="D1" s="57"/>
      <c r="E1" s="57"/>
    </row>
    <row r="2" spans="2:5">
      <c r="B2" s="46" t="s">
        <v>117</v>
      </c>
      <c r="C2" s="47"/>
      <c r="D2" s="57"/>
      <c r="E2" s="57"/>
    </row>
    <row r="3" spans="2:5">
      <c r="B3" s="48"/>
      <c r="C3" s="48"/>
      <c r="D3" s="58"/>
      <c r="E3" s="58"/>
    </row>
    <row r="4" spans="2:5" ht="57">
      <c r="B4" s="49" t="s">
        <v>72</v>
      </c>
      <c r="C4" s="48"/>
      <c r="D4" s="58"/>
      <c r="E4" s="58"/>
    </row>
    <row r="5" spans="2:5">
      <c r="B5" s="48"/>
      <c r="C5" s="48"/>
      <c r="D5" s="58"/>
      <c r="E5" s="58"/>
    </row>
    <row r="6" spans="2:5" ht="28.5">
      <c r="B6" s="46" t="s">
        <v>73</v>
      </c>
      <c r="C6" s="47"/>
      <c r="D6" s="57"/>
      <c r="E6" s="59" t="s">
        <v>74</v>
      </c>
    </row>
    <row r="7" spans="2:5" ht="15" thickBot="1">
      <c r="B7" s="48"/>
      <c r="C7" s="48"/>
      <c r="D7" s="58"/>
      <c r="E7" s="58"/>
    </row>
    <row r="8" spans="2:5" ht="71.25">
      <c r="B8" s="50" t="s">
        <v>75</v>
      </c>
      <c r="C8" s="51"/>
      <c r="D8" s="60"/>
      <c r="E8" s="61">
        <v>20</v>
      </c>
    </row>
    <row r="9" spans="2:5" ht="28.5">
      <c r="B9" s="52"/>
      <c r="C9" s="48"/>
      <c r="D9" s="58"/>
      <c r="E9" s="62" t="s">
        <v>76</v>
      </c>
    </row>
    <row r="10" spans="2:5" ht="28.5">
      <c r="B10" s="52"/>
      <c r="C10" s="48"/>
      <c r="D10" s="58"/>
      <c r="E10" s="62" t="s">
        <v>77</v>
      </c>
    </row>
    <row r="11" spans="2:5" ht="28.5">
      <c r="B11" s="52"/>
      <c r="C11" s="48"/>
      <c r="D11" s="58"/>
      <c r="E11" s="62" t="s">
        <v>78</v>
      </c>
    </row>
    <row r="12" spans="2:5" ht="28.5">
      <c r="B12" s="52"/>
      <c r="C12" s="48"/>
      <c r="D12" s="58"/>
      <c r="E12" s="62" t="s">
        <v>79</v>
      </c>
    </row>
    <row r="13" spans="2:5" ht="28.5">
      <c r="B13" s="52"/>
      <c r="C13" s="48"/>
      <c r="D13" s="58"/>
      <c r="E13" s="62" t="s">
        <v>80</v>
      </c>
    </row>
    <row r="14" spans="2:5" ht="28.5">
      <c r="B14" s="52"/>
      <c r="C14" s="48"/>
      <c r="D14" s="58"/>
      <c r="E14" s="62" t="s">
        <v>81</v>
      </c>
    </row>
    <row r="15" spans="2:5" ht="28.5">
      <c r="B15" s="52"/>
      <c r="C15" s="48"/>
      <c r="D15" s="58"/>
      <c r="E15" s="62" t="s">
        <v>82</v>
      </c>
    </row>
    <row r="16" spans="2:5" ht="28.5">
      <c r="B16" s="52"/>
      <c r="C16" s="48"/>
      <c r="D16" s="58"/>
      <c r="E16" s="62" t="s">
        <v>83</v>
      </c>
    </row>
    <row r="17" spans="2:5" ht="28.5">
      <c r="B17" s="52"/>
      <c r="C17" s="48"/>
      <c r="D17" s="58"/>
      <c r="E17" s="62" t="s">
        <v>84</v>
      </c>
    </row>
    <row r="18" spans="2:5" ht="29.25" thickBot="1">
      <c r="B18" s="53"/>
      <c r="C18" s="54"/>
      <c r="D18" s="63"/>
      <c r="E18" s="64" t="s">
        <v>85</v>
      </c>
    </row>
    <row r="19" spans="2:5" ht="15" thickBot="1">
      <c r="B19" s="48"/>
      <c r="C19" s="48"/>
      <c r="D19" s="58"/>
      <c r="E19" s="58"/>
    </row>
    <row r="20" spans="2:5" ht="57.75" thickBot="1">
      <c r="B20" s="55" t="s">
        <v>86</v>
      </c>
      <c r="C20" s="56"/>
      <c r="D20" s="65"/>
      <c r="E20" s="66">
        <v>138</v>
      </c>
    </row>
    <row r="21" spans="2:5">
      <c r="B21" s="48"/>
      <c r="C21" s="48"/>
      <c r="D21" s="58"/>
      <c r="E21" s="58"/>
    </row>
    <row r="22" spans="2:5">
      <c r="B22" s="48"/>
      <c r="C22" s="48"/>
      <c r="D22" s="58"/>
      <c r="E22" s="58"/>
    </row>
  </sheetData>
  <phoneticPr fontId="19" type="noConversion"/>
  <hyperlinks>
    <hyperlink ref="E9" location="'煤气充值'!B6:C6" display="'煤气充值'!B6:C6" xr:uid="{00000000-0004-0000-0800-000000000000}"/>
    <hyperlink ref="E10" location="'煤气充值'!G6:H6" display="'煤气充值'!G6:H6" xr:uid="{00000000-0004-0000-0800-000001000000}"/>
    <hyperlink ref="E11" location="'煤气充值'!L6:M6" display="'煤气充值'!L6:M6" xr:uid="{00000000-0004-0000-0800-000002000000}"/>
    <hyperlink ref="E12" location="'煤气充值'!Q6:R6" display="'煤气充值'!Q6:R6" xr:uid="{00000000-0004-0000-0800-000003000000}"/>
    <hyperlink ref="E13" location="'煤气充值'!AA6:AB6" display="'煤气充值'!AA6:AB6" xr:uid="{00000000-0004-0000-0800-000004000000}"/>
    <hyperlink ref="E14" location="'煤气充值'!AF6:AG6" display="'煤气充值'!AF6:AG6" xr:uid="{00000000-0004-0000-0800-000005000000}"/>
    <hyperlink ref="E15" location="'煤气充值'!AK6:AL6" display="'煤气充值'!AK6:AL6" xr:uid="{00000000-0004-0000-0800-000006000000}"/>
    <hyperlink ref="E16" location="'煤气充值'!AP6:AQ6" display="'煤气充值'!AP6:AQ6" xr:uid="{00000000-0004-0000-0800-000007000000}"/>
    <hyperlink ref="E17" location="'煤气充值'!AU6:AV6" display="'煤气充值'!AU6:AV6" xr:uid="{00000000-0004-0000-0800-000008000000}"/>
    <hyperlink ref="E18" location="'煤气充值'!AZ6:BA6" display="'煤气充值'!AZ6:BA6" xr:uid="{00000000-0004-0000-0800-000009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W34"/>
  <sheetViews>
    <sheetView workbookViewId="0">
      <selection activeCell="AT12" sqref="AT12"/>
    </sheetView>
  </sheetViews>
  <sheetFormatPr defaultColWidth="8" defaultRowHeight="15" customHeight="1"/>
  <cols>
    <col min="1" max="2" width="2.375" style="1" customWidth="1"/>
    <col min="3" max="3" width="3.5" style="1" customWidth="1"/>
    <col min="4" max="6" width="2.375" style="1" customWidth="1"/>
    <col min="7" max="7" width="0.125" style="1" customWidth="1"/>
    <col min="8" max="18" width="2.375" style="1" customWidth="1"/>
    <col min="19" max="19" width="4.25" style="1" customWidth="1"/>
    <col min="20" max="20" width="3.375" style="1" customWidth="1"/>
    <col min="21" max="22" width="2.375" style="1" customWidth="1"/>
    <col min="23" max="23" width="3.125" style="1" customWidth="1"/>
    <col min="24" max="24" width="4.125" style="1" customWidth="1"/>
    <col min="25" max="25" width="2.375" style="1" customWidth="1"/>
    <col min="26" max="26" width="2.125" style="1" customWidth="1"/>
    <col min="27" max="27" width="2.375" style="1" customWidth="1"/>
    <col min="28" max="28" width="3.25" style="1" customWidth="1"/>
    <col min="29" max="30" width="2.375" style="1" customWidth="1"/>
    <col min="31" max="31" width="2.625" style="1" customWidth="1"/>
    <col min="32" max="48" width="2.375" style="1" customWidth="1"/>
    <col min="49" max="49" width="2.375" style="2" customWidth="1"/>
    <col min="50" max="113" width="2.375" style="1" customWidth="1"/>
    <col min="114" max="16384" width="8" style="1"/>
  </cols>
  <sheetData>
    <row r="1" spans="1:49" ht="18.75" customHeight="1"/>
    <row r="2" spans="1:49" ht="18.75" customHeight="1">
      <c r="A2" s="3" t="s">
        <v>36</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row>
    <row r="3" spans="1:49" ht="18.75" customHeight="1">
      <c r="A3" s="3"/>
      <c r="B3" s="3"/>
      <c r="C3" s="3"/>
      <c r="D3" s="3"/>
      <c r="E3" s="3"/>
      <c r="F3" s="3"/>
      <c r="G3" s="3"/>
      <c r="H3" s="3"/>
      <c r="I3" s="3"/>
      <c r="J3" s="3"/>
      <c r="K3" s="3"/>
      <c r="L3" s="3"/>
      <c r="M3" s="387" t="s">
        <v>37</v>
      </c>
      <c r="N3" s="387"/>
      <c r="O3" s="387"/>
      <c r="P3" s="387"/>
      <c r="Q3" s="387"/>
      <c r="R3" s="387"/>
      <c r="S3" s="387"/>
      <c r="T3" s="387"/>
      <c r="U3" s="387"/>
      <c r="V3" s="387"/>
      <c r="W3" s="387"/>
      <c r="X3" s="387"/>
      <c r="Y3" s="387"/>
      <c r="Z3" s="387"/>
      <c r="AA3" s="3"/>
      <c r="AB3" s="3"/>
      <c r="AC3" s="3"/>
      <c r="AD3" s="3"/>
      <c r="AE3" s="3"/>
      <c r="AF3" s="3"/>
      <c r="AG3" s="3"/>
      <c r="AH3" s="3"/>
      <c r="AK3" s="2"/>
      <c r="AL3" s="2"/>
    </row>
    <row r="4" spans="1:49" ht="18.75" customHeight="1">
      <c r="AA4" s="4" t="s">
        <v>38</v>
      </c>
      <c r="AB4" s="5"/>
      <c r="AC4" s="5"/>
      <c r="AD4" s="5"/>
      <c r="AE4" s="6"/>
      <c r="AF4" s="5"/>
      <c r="AG4" s="5"/>
      <c r="AH4" s="5"/>
      <c r="AI4" s="7"/>
      <c r="AK4" s="251"/>
      <c r="AL4" s="2"/>
    </row>
    <row r="5" spans="1:49" ht="18.75" customHeight="1">
      <c r="AA5" s="8" t="s">
        <v>39</v>
      </c>
      <c r="AB5" s="9"/>
      <c r="AC5" s="9"/>
      <c r="AD5" s="9"/>
      <c r="AE5" s="10"/>
      <c r="AF5" s="9"/>
      <c r="AG5" s="9"/>
      <c r="AH5" s="9"/>
      <c r="AI5" s="11"/>
      <c r="AK5" s="251"/>
      <c r="AL5" s="2"/>
    </row>
    <row r="6" spans="1:49" ht="18.75" customHeight="1">
      <c r="A6" s="1" t="s">
        <v>40</v>
      </c>
      <c r="D6" s="2"/>
      <c r="E6" s="2"/>
      <c r="F6" s="2"/>
      <c r="G6" s="2"/>
      <c r="H6" s="2"/>
      <c r="I6" s="2"/>
      <c r="J6" s="2"/>
      <c r="K6" s="2"/>
      <c r="L6" s="2"/>
      <c r="M6" s="2"/>
      <c r="N6" s="2"/>
      <c r="O6" s="2"/>
      <c r="P6" s="2"/>
      <c r="Q6" s="12" t="s">
        <v>41</v>
      </c>
      <c r="R6" s="13"/>
      <c r="S6" s="13"/>
      <c r="T6" s="13"/>
      <c r="U6" s="13"/>
      <c r="V6" s="13"/>
      <c r="W6" s="13"/>
      <c r="X6" s="14"/>
      <c r="AA6" s="4" t="s">
        <v>42</v>
      </c>
      <c r="AB6" s="5"/>
      <c r="AC6" s="5"/>
      <c r="AD6" s="5"/>
      <c r="AE6" s="4"/>
      <c r="AF6" s="5"/>
      <c r="AG6" s="5"/>
      <c r="AH6" s="5"/>
      <c r="AI6" s="7"/>
      <c r="AK6" s="251"/>
      <c r="AL6" s="2"/>
    </row>
    <row r="7" spans="1:49" ht="18.75" customHeight="1">
      <c r="A7" s="15" t="s">
        <v>43</v>
      </c>
      <c r="D7" s="16"/>
      <c r="E7" s="16"/>
      <c r="F7" s="16"/>
      <c r="G7" s="16"/>
      <c r="H7" s="16"/>
      <c r="I7" s="16"/>
      <c r="J7" s="16"/>
      <c r="K7" s="16"/>
      <c r="L7" s="16"/>
      <c r="M7" s="16"/>
      <c r="N7" s="16"/>
      <c r="O7" s="17"/>
      <c r="P7" s="17"/>
      <c r="Q7" s="18" t="s">
        <v>44</v>
      </c>
      <c r="R7" s="19"/>
      <c r="S7" s="19"/>
      <c r="T7" s="19"/>
      <c r="U7" s="19"/>
      <c r="V7" s="19"/>
      <c r="W7" s="19"/>
      <c r="X7" s="20" t="s">
        <v>45</v>
      </c>
      <c r="AA7" s="8" t="s">
        <v>46</v>
      </c>
      <c r="AB7" s="9"/>
      <c r="AC7" s="9"/>
      <c r="AD7" s="9"/>
      <c r="AE7" s="388" t="s">
        <v>116</v>
      </c>
      <c r="AF7" s="389"/>
      <c r="AG7" s="389"/>
      <c r="AH7" s="389"/>
      <c r="AI7" s="390"/>
      <c r="AK7" s="251"/>
      <c r="AL7" s="2"/>
    </row>
    <row r="8" spans="1:49" ht="18.75" customHeight="1">
      <c r="D8" s="21"/>
      <c r="E8" s="21"/>
      <c r="F8" s="21"/>
      <c r="G8" s="21"/>
      <c r="H8" s="21"/>
      <c r="I8" s="21"/>
      <c r="J8" s="22"/>
      <c r="K8" s="22"/>
      <c r="L8" s="22"/>
      <c r="M8" s="22"/>
      <c r="N8" s="22"/>
      <c r="O8" s="2"/>
      <c r="P8" s="2"/>
      <c r="Q8" s="18" t="s">
        <v>47</v>
      </c>
      <c r="R8" s="19"/>
      <c r="S8" s="19"/>
      <c r="T8" s="19"/>
      <c r="U8" s="19"/>
      <c r="V8" s="19"/>
      <c r="W8" s="19"/>
      <c r="X8" s="20"/>
      <c r="AA8" s="23" t="s">
        <v>48</v>
      </c>
      <c r="AB8" s="2"/>
      <c r="AC8" s="2"/>
      <c r="AD8" s="2"/>
      <c r="AE8" s="4"/>
      <c r="AF8" s="5"/>
      <c r="AG8" s="5"/>
      <c r="AH8" s="5"/>
      <c r="AI8" s="7"/>
      <c r="AK8" s="251"/>
      <c r="AL8" s="2"/>
    </row>
    <row r="9" spans="1:49" ht="18.75" customHeight="1">
      <c r="D9" s="24"/>
      <c r="E9" s="24"/>
      <c r="F9" s="24"/>
      <c r="G9" s="24"/>
      <c r="H9" s="24"/>
      <c r="I9" s="24"/>
      <c r="J9" s="24"/>
      <c r="K9" s="24"/>
      <c r="L9" s="24"/>
      <c r="M9" s="24"/>
      <c r="N9" s="24"/>
      <c r="O9" s="2"/>
      <c r="P9" s="2"/>
      <c r="Q9" s="18" t="s">
        <v>49</v>
      </c>
      <c r="R9" s="19"/>
      <c r="S9" s="19"/>
      <c r="T9" s="19"/>
      <c r="U9" s="19"/>
      <c r="V9" s="19"/>
      <c r="W9" s="19"/>
      <c r="X9" s="25"/>
      <c r="AA9" s="8" t="s">
        <v>50</v>
      </c>
      <c r="AB9" s="9"/>
      <c r="AC9" s="9"/>
      <c r="AD9" s="9"/>
      <c r="AE9" s="391">
        <f>AF25</f>
        <v>0</v>
      </c>
      <c r="AF9" s="392"/>
      <c r="AG9" s="392"/>
      <c r="AH9" s="392"/>
      <c r="AI9" s="393"/>
      <c r="AK9" s="251"/>
      <c r="AL9" s="2"/>
    </row>
    <row r="10" spans="1:49" ht="18.75" customHeight="1">
      <c r="AK10" s="251"/>
      <c r="AL10" s="2"/>
    </row>
    <row r="11" spans="1:49" ht="18.75" customHeight="1">
      <c r="A11" s="12" t="s">
        <v>51</v>
      </c>
      <c r="B11" s="13"/>
      <c r="C11" s="13"/>
      <c r="D11" s="13"/>
      <c r="E11" s="13"/>
      <c r="F11" s="13"/>
      <c r="G11" s="13"/>
      <c r="H11" s="13"/>
      <c r="I11" s="13"/>
      <c r="J11" s="13"/>
      <c r="K11" s="13"/>
      <c r="L11" s="13"/>
      <c r="M11" s="13"/>
      <c r="N11" s="13"/>
      <c r="O11" s="13"/>
      <c r="P11" s="13"/>
      <c r="Q11" s="13"/>
      <c r="R11" s="13"/>
      <c r="S11" s="13"/>
      <c r="T11" s="13"/>
      <c r="U11" s="13"/>
      <c r="V11" s="13"/>
      <c r="W11" s="13"/>
      <c r="X11" s="14"/>
      <c r="Y11" s="12" t="s">
        <v>52</v>
      </c>
      <c r="Z11" s="13"/>
      <c r="AA11" s="13"/>
      <c r="AB11" s="13"/>
      <c r="AC11" s="13"/>
      <c r="AD11" s="13"/>
      <c r="AE11" s="13"/>
      <c r="AF11" s="13"/>
      <c r="AG11" s="13"/>
      <c r="AH11" s="13"/>
      <c r="AI11" s="14"/>
      <c r="AK11" s="251"/>
      <c r="AL11" s="2"/>
    </row>
    <row r="12" spans="1:49" s="29" customFormat="1" ht="29.25" customHeight="1">
      <c r="A12" s="26" t="s">
        <v>53</v>
      </c>
      <c r="B12" s="27"/>
      <c r="C12" s="28"/>
      <c r="D12" s="394" t="s">
        <v>54</v>
      </c>
      <c r="E12" s="395"/>
      <c r="F12" s="395"/>
      <c r="G12" s="396"/>
      <c r="H12" s="367" t="s">
        <v>55</v>
      </c>
      <c r="I12" s="368"/>
      <c r="J12" s="368"/>
      <c r="K12" s="368"/>
      <c r="L12" s="368"/>
      <c r="M12" s="368"/>
      <c r="N12" s="368"/>
      <c r="O12" s="368"/>
      <c r="P12" s="368"/>
      <c r="Q12" s="368"/>
      <c r="R12" s="368"/>
      <c r="S12" s="368"/>
      <c r="T12" s="369"/>
      <c r="U12" s="367" t="s">
        <v>56</v>
      </c>
      <c r="V12" s="368"/>
      <c r="W12" s="368"/>
      <c r="X12" s="369"/>
      <c r="Y12" s="367" t="s">
        <v>57</v>
      </c>
      <c r="Z12" s="368"/>
      <c r="AA12" s="368"/>
      <c r="AB12" s="369"/>
      <c r="AC12" s="367" t="s">
        <v>58</v>
      </c>
      <c r="AD12" s="368"/>
      <c r="AE12" s="369"/>
      <c r="AF12" s="367" t="s">
        <v>59</v>
      </c>
      <c r="AG12" s="368"/>
      <c r="AH12" s="368"/>
      <c r="AI12" s="369"/>
      <c r="AK12" s="251"/>
      <c r="AL12" s="30"/>
      <c r="AW12" s="30"/>
    </row>
    <row r="13" spans="1:49" s="31" customFormat="1" ht="24.75" customHeight="1">
      <c r="A13" s="380">
        <v>43070</v>
      </c>
      <c r="B13" s="381"/>
      <c r="C13" s="382"/>
      <c r="D13" s="383"/>
      <c r="E13" s="381"/>
      <c r="F13" s="381"/>
      <c r="G13" s="382"/>
      <c r="H13" s="384" t="s">
        <v>70</v>
      </c>
      <c r="I13" s="385"/>
      <c r="J13" s="385"/>
      <c r="K13" s="385"/>
      <c r="L13" s="385"/>
      <c r="M13" s="385"/>
      <c r="N13" s="385"/>
      <c r="O13" s="385"/>
      <c r="P13" s="385"/>
      <c r="Q13" s="385"/>
      <c r="R13" s="385"/>
      <c r="S13" s="385"/>
      <c r="T13" s="386"/>
      <c r="U13" s="383"/>
      <c r="V13" s="381"/>
      <c r="W13" s="381"/>
      <c r="X13" s="382"/>
      <c r="Y13" s="383"/>
      <c r="Z13" s="381"/>
      <c r="AA13" s="381"/>
      <c r="AB13" s="382"/>
      <c r="AC13" s="383"/>
      <c r="AD13" s="381"/>
      <c r="AE13" s="382"/>
      <c r="AF13" s="377"/>
      <c r="AG13" s="378"/>
      <c r="AH13" s="378"/>
      <c r="AI13" s="379"/>
      <c r="AK13" s="251"/>
      <c r="AL13" s="32"/>
      <c r="AW13" s="32"/>
    </row>
    <row r="14" spans="1:49" s="33" customFormat="1" ht="18.75" customHeight="1">
      <c r="A14" s="373"/>
      <c r="B14" s="371"/>
      <c r="C14" s="372"/>
      <c r="D14" s="370"/>
      <c r="E14" s="371"/>
      <c r="F14" s="371"/>
      <c r="G14" s="372"/>
      <c r="H14" s="374"/>
      <c r="I14" s="375"/>
      <c r="J14" s="375"/>
      <c r="K14" s="375"/>
      <c r="L14" s="375"/>
      <c r="M14" s="375"/>
      <c r="N14" s="375"/>
      <c r="O14" s="375"/>
      <c r="P14" s="375"/>
      <c r="Q14" s="375"/>
      <c r="R14" s="375"/>
      <c r="S14" s="375"/>
      <c r="T14" s="376"/>
      <c r="U14" s="370"/>
      <c r="V14" s="371"/>
      <c r="W14" s="371"/>
      <c r="X14" s="372"/>
      <c r="Y14" s="370"/>
      <c r="Z14" s="371"/>
      <c r="AA14" s="371"/>
      <c r="AB14" s="372"/>
      <c r="AC14" s="370"/>
      <c r="AD14" s="371"/>
      <c r="AE14" s="372"/>
      <c r="AF14" s="364"/>
      <c r="AG14" s="365"/>
      <c r="AH14" s="365"/>
      <c r="AI14" s="366"/>
      <c r="AK14" s="251"/>
      <c r="AL14" s="34"/>
      <c r="AW14" s="34"/>
    </row>
    <row r="15" spans="1:49" s="33" customFormat="1" ht="18.75" customHeight="1">
      <c r="A15" s="373"/>
      <c r="B15" s="371"/>
      <c r="C15" s="372"/>
      <c r="D15" s="370"/>
      <c r="E15" s="371"/>
      <c r="F15" s="371"/>
      <c r="G15" s="372"/>
      <c r="H15" s="374"/>
      <c r="I15" s="375"/>
      <c r="J15" s="375"/>
      <c r="K15" s="375"/>
      <c r="L15" s="375"/>
      <c r="M15" s="375"/>
      <c r="N15" s="375"/>
      <c r="O15" s="375"/>
      <c r="P15" s="375"/>
      <c r="Q15" s="375"/>
      <c r="R15" s="375"/>
      <c r="S15" s="375"/>
      <c r="T15" s="376"/>
      <c r="U15" s="370"/>
      <c r="V15" s="371"/>
      <c r="W15" s="371"/>
      <c r="X15" s="372"/>
      <c r="Y15" s="370"/>
      <c r="Z15" s="371"/>
      <c r="AA15" s="371"/>
      <c r="AB15" s="372"/>
      <c r="AC15" s="370"/>
      <c r="AD15" s="371"/>
      <c r="AE15" s="372"/>
      <c r="AF15" s="364"/>
      <c r="AG15" s="365"/>
      <c r="AH15" s="365"/>
      <c r="AI15" s="366"/>
      <c r="AK15" s="251"/>
      <c r="AL15" s="34"/>
      <c r="AW15" s="34"/>
    </row>
    <row r="16" spans="1:49" s="33" customFormat="1" ht="18.75" customHeight="1">
      <c r="A16" s="373"/>
      <c r="B16" s="371"/>
      <c r="C16" s="372"/>
      <c r="D16" s="370"/>
      <c r="E16" s="371"/>
      <c r="F16" s="371"/>
      <c r="G16" s="372"/>
      <c r="H16" s="374"/>
      <c r="I16" s="375"/>
      <c r="J16" s="375"/>
      <c r="K16" s="375"/>
      <c r="L16" s="375"/>
      <c r="M16" s="375"/>
      <c r="N16" s="375"/>
      <c r="O16" s="375"/>
      <c r="P16" s="375"/>
      <c r="Q16" s="375"/>
      <c r="R16" s="375"/>
      <c r="S16" s="375"/>
      <c r="T16" s="376"/>
      <c r="U16" s="370"/>
      <c r="V16" s="371"/>
      <c r="W16" s="371"/>
      <c r="X16" s="372"/>
      <c r="Y16" s="370"/>
      <c r="Z16" s="371"/>
      <c r="AA16" s="371"/>
      <c r="AB16" s="372"/>
      <c r="AC16" s="370"/>
      <c r="AD16" s="371"/>
      <c r="AE16" s="372"/>
      <c r="AF16" s="364"/>
      <c r="AG16" s="365"/>
      <c r="AH16" s="365"/>
      <c r="AI16" s="366"/>
      <c r="AK16" s="251"/>
      <c r="AL16" s="34"/>
      <c r="AW16" s="34"/>
    </row>
    <row r="17" spans="1:49" s="33" customFormat="1" ht="18.75" customHeight="1">
      <c r="A17" s="373"/>
      <c r="B17" s="371"/>
      <c r="C17" s="372"/>
      <c r="D17" s="370"/>
      <c r="E17" s="371"/>
      <c r="F17" s="371"/>
      <c r="G17" s="372"/>
      <c r="H17" s="374"/>
      <c r="I17" s="375"/>
      <c r="J17" s="375"/>
      <c r="K17" s="375"/>
      <c r="L17" s="375"/>
      <c r="M17" s="375"/>
      <c r="N17" s="375"/>
      <c r="O17" s="375"/>
      <c r="P17" s="375"/>
      <c r="Q17" s="375"/>
      <c r="R17" s="375"/>
      <c r="S17" s="375"/>
      <c r="T17" s="376"/>
      <c r="U17" s="370"/>
      <c r="V17" s="371"/>
      <c r="W17" s="371"/>
      <c r="X17" s="372"/>
      <c r="Y17" s="370"/>
      <c r="Z17" s="371"/>
      <c r="AA17" s="371"/>
      <c r="AB17" s="372"/>
      <c r="AC17" s="370"/>
      <c r="AD17" s="371"/>
      <c r="AE17" s="372"/>
      <c r="AF17" s="364"/>
      <c r="AG17" s="365"/>
      <c r="AH17" s="365"/>
      <c r="AI17" s="366"/>
      <c r="AK17" s="251"/>
      <c r="AL17" s="34"/>
      <c r="AW17" s="34"/>
    </row>
    <row r="18" spans="1:49" s="33" customFormat="1" ht="18.75" customHeight="1">
      <c r="A18" s="370"/>
      <c r="B18" s="371"/>
      <c r="C18" s="372"/>
      <c r="D18" s="370"/>
      <c r="E18" s="371"/>
      <c r="F18" s="371"/>
      <c r="G18" s="372"/>
      <c r="H18" s="370"/>
      <c r="I18" s="371"/>
      <c r="J18" s="371"/>
      <c r="K18" s="371"/>
      <c r="L18" s="371"/>
      <c r="M18" s="371"/>
      <c r="N18" s="371"/>
      <c r="O18" s="371"/>
      <c r="P18" s="371"/>
      <c r="Q18" s="371"/>
      <c r="R18" s="371"/>
      <c r="S18" s="371"/>
      <c r="T18" s="372"/>
      <c r="U18" s="370"/>
      <c r="V18" s="371"/>
      <c r="W18" s="371"/>
      <c r="X18" s="372"/>
      <c r="Y18" s="370"/>
      <c r="Z18" s="371"/>
      <c r="AA18" s="371"/>
      <c r="AB18" s="372"/>
      <c r="AC18" s="370"/>
      <c r="AD18" s="371"/>
      <c r="AE18" s="372"/>
      <c r="AF18" s="364"/>
      <c r="AG18" s="365"/>
      <c r="AH18" s="365"/>
      <c r="AI18" s="366"/>
      <c r="AK18" s="252"/>
      <c r="AL18" s="34"/>
      <c r="AW18" s="34"/>
    </row>
    <row r="19" spans="1:49" s="33" customFormat="1" ht="18.75" customHeight="1">
      <c r="A19" s="370"/>
      <c r="B19" s="371"/>
      <c r="C19" s="372"/>
      <c r="D19" s="370"/>
      <c r="E19" s="371"/>
      <c r="F19" s="371"/>
      <c r="G19" s="372"/>
      <c r="H19" s="370"/>
      <c r="I19" s="371"/>
      <c r="J19" s="371"/>
      <c r="K19" s="371"/>
      <c r="L19" s="371"/>
      <c r="M19" s="371"/>
      <c r="N19" s="371"/>
      <c r="O19" s="371"/>
      <c r="P19" s="371"/>
      <c r="Q19" s="371"/>
      <c r="R19" s="371"/>
      <c r="S19" s="371"/>
      <c r="T19" s="372"/>
      <c r="U19" s="370"/>
      <c r="V19" s="371"/>
      <c r="W19" s="371"/>
      <c r="X19" s="372"/>
      <c r="Y19" s="370"/>
      <c r="Z19" s="371"/>
      <c r="AA19" s="371"/>
      <c r="AB19" s="372"/>
      <c r="AC19" s="370"/>
      <c r="AD19" s="371"/>
      <c r="AE19" s="372"/>
      <c r="AF19" s="364"/>
      <c r="AG19" s="365"/>
      <c r="AH19" s="365"/>
      <c r="AI19" s="366"/>
      <c r="AK19" s="34"/>
      <c r="AL19" s="34"/>
      <c r="AW19" s="34"/>
    </row>
    <row r="20" spans="1:49" s="33" customFormat="1" ht="18.75" customHeight="1">
      <c r="A20" s="370"/>
      <c r="B20" s="371"/>
      <c r="C20" s="372"/>
      <c r="D20" s="370"/>
      <c r="E20" s="371"/>
      <c r="F20" s="371"/>
      <c r="G20" s="372"/>
      <c r="H20" s="370"/>
      <c r="I20" s="371"/>
      <c r="J20" s="371"/>
      <c r="K20" s="371"/>
      <c r="L20" s="371"/>
      <c r="M20" s="371"/>
      <c r="N20" s="371"/>
      <c r="O20" s="371"/>
      <c r="P20" s="371"/>
      <c r="Q20" s="371"/>
      <c r="R20" s="371"/>
      <c r="S20" s="371"/>
      <c r="T20" s="372"/>
      <c r="U20" s="370"/>
      <c r="V20" s="371"/>
      <c r="W20" s="371"/>
      <c r="X20" s="372"/>
      <c r="Y20" s="370"/>
      <c r="Z20" s="371"/>
      <c r="AA20" s="371"/>
      <c r="AB20" s="372"/>
      <c r="AC20" s="370"/>
      <c r="AD20" s="371"/>
      <c r="AE20" s="372"/>
      <c r="AF20" s="364"/>
      <c r="AG20" s="365"/>
      <c r="AH20" s="365"/>
      <c r="AI20" s="366"/>
      <c r="AW20" s="34"/>
    </row>
    <row r="21" spans="1:49" s="33" customFormat="1" ht="18.75" customHeight="1">
      <c r="A21" s="370"/>
      <c r="B21" s="371"/>
      <c r="C21" s="372"/>
      <c r="D21" s="370"/>
      <c r="E21" s="371"/>
      <c r="F21" s="371"/>
      <c r="G21" s="372"/>
      <c r="H21" s="370"/>
      <c r="I21" s="371"/>
      <c r="J21" s="371"/>
      <c r="K21" s="371"/>
      <c r="L21" s="371"/>
      <c r="M21" s="371"/>
      <c r="N21" s="371"/>
      <c r="O21" s="371"/>
      <c r="P21" s="371"/>
      <c r="Q21" s="371"/>
      <c r="R21" s="371"/>
      <c r="S21" s="371"/>
      <c r="T21" s="372"/>
      <c r="U21" s="370"/>
      <c r="V21" s="371"/>
      <c r="W21" s="371"/>
      <c r="X21" s="372"/>
      <c r="Y21" s="370"/>
      <c r="Z21" s="371"/>
      <c r="AA21" s="371"/>
      <c r="AB21" s="372"/>
      <c r="AC21" s="370"/>
      <c r="AD21" s="371"/>
      <c r="AE21" s="372"/>
      <c r="AF21" s="364"/>
      <c r="AG21" s="365"/>
      <c r="AH21" s="365"/>
      <c r="AI21" s="366"/>
      <c r="AW21" s="34"/>
    </row>
    <row r="22" spans="1:49" s="33" customFormat="1" ht="18.75" customHeight="1">
      <c r="A22" s="370"/>
      <c r="B22" s="371"/>
      <c r="C22" s="372"/>
      <c r="D22" s="370"/>
      <c r="E22" s="371"/>
      <c r="F22" s="371"/>
      <c r="G22" s="372"/>
      <c r="H22" s="370"/>
      <c r="I22" s="371"/>
      <c r="J22" s="371"/>
      <c r="K22" s="371"/>
      <c r="L22" s="371"/>
      <c r="M22" s="371"/>
      <c r="N22" s="371"/>
      <c r="O22" s="371"/>
      <c r="P22" s="371"/>
      <c r="Q22" s="371"/>
      <c r="R22" s="371"/>
      <c r="S22" s="371"/>
      <c r="T22" s="372"/>
      <c r="U22" s="370"/>
      <c r="V22" s="371"/>
      <c r="W22" s="371"/>
      <c r="X22" s="372"/>
      <c r="Y22" s="370"/>
      <c r="Z22" s="371"/>
      <c r="AA22" s="371"/>
      <c r="AB22" s="372"/>
      <c r="AC22" s="370"/>
      <c r="AD22" s="371"/>
      <c r="AE22" s="372"/>
      <c r="AF22" s="364"/>
      <c r="AG22" s="365"/>
      <c r="AH22" s="365"/>
      <c r="AI22" s="366"/>
      <c r="AW22" s="34"/>
    </row>
    <row r="23" spans="1:49" s="33" customFormat="1" ht="18.75" customHeight="1">
      <c r="A23" s="370"/>
      <c r="B23" s="371"/>
      <c r="C23" s="372"/>
      <c r="D23" s="370"/>
      <c r="E23" s="371"/>
      <c r="F23" s="371"/>
      <c r="G23" s="372"/>
      <c r="H23" s="370"/>
      <c r="I23" s="371"/>
      <c r="J23" s="371"/>
      <c r="K23" s="371"/>
      <c r="L23" s="371"/>
      <c r="M23" s="371"/>
      <c r="N23" s="371"/>
      <c r="O23" s="371"/>
      <c r="P23" s="371"/>
      <c r="Q23" s="371"/>
      <c r="R23" s="371"/>
      <c r="S23" s="371"/>
      <c r="T23" s="372"/>
      <c r="U23" s="370"/>
      <c r="V23" s="371"/>
      <c r="W23" s="371"/>
      <c r="X23" s="372"/>
      <c r="Y23" s="370"/>
      <c r="Z23" s="371"/>
      <c r="AA23" s="371"/>
      <c r="AB23" s="372"/>
      <c r="AC23" s="370"/>
      <c r="AD23" s="371"/>
      <c r="AE23" s="372"/>
      <c r="AF23" s="364"/>
      <c r="AG23" s="365"/>
      <c r="AH23" s="365"/>
      <c r="AI23" s="366"/>
      <c r="AW23" s="34"/>
    </row>
    <row r="24" spans="1:49" s="33" customFormat="1" ht="18.75" customHeight="1">
      <c r="A24" s="370"/>
      <c r="B24" s="371"/>
      <c r="C24" s="372"/>
      <c r="D24" s="370"/>
      <c r="E24" s="371"/>
      <c r="F24" s="371"/>
      <c r="G24" s="372"/>
      <c r="H24" s="370"/>
      <c r="I24" s="371"/>
      <c r="J24" s="371"/>
      <c r="K24" s="371"/>
      <c r="L24" s="371"/>
      <c r="M24" s="371"/>
      <c r="N24" s="371"/>
      <c r="O24" s="371"/>
      <c r="P24" s="371"/>
      <c r="Q24" s="371"/>
      <c r="R24" s="371"/>
      <c r="S24" s="371"/>
      <c r="T24" s="372"/>
      <c r="U24" s="370"/>
      <c r="V24" s="371"/>
      <c r="W24" s="371"/>
      <c r="X24" s="372"/>
      <c r="Y24" s="370"/>
      <c r="Z24" s="371"/>
      <c r="AA24" s="371"/>
      <c r="AB24" s="372"/>
      <c r="AC24" s="370"/>
      <c r="AD24" s="371"/>
      <c r="AE24" s="372"/>
      <c r="AF24" s="364"/>
      <c r="AG24" s="365"/>
      <c r="AH24" s="365"/>
      <c r="AI24" s="366"/>
      <c r="AW24" s="34"/>
    </row>
    <row r="25" spans="1:49" s="33" customFormat="1" ht="18.75" customHeight="1">
      <c r="U25" s="35"/>
      <c r="V25" s="36"/>
      <c r="W25" s="37" t="s">
        <v>60</v>
      </c>
      <c r="X25" s="36"/>
      <c r="Y25" s="361"/>
      <c r="Z25" s="362"/>
      <c r="AA25" s="362"/>
      <c r="AB25" s="363"/>
      <c r="AC25" s="38"/>
      <c r="AD25" s="39"/>
      <c r="AE25" s="40"/>
      <c r="AF25" s="364">
        <f>SUM(AF13:AI24)</f>
        <v>0</v>
      </c>
      <c r="AG25" s="365"/>
      <c r="AH25" s="365"/>
      <c r="AI25" s="366"/>
      <c r="AW25" s="34"/>
    </row>
    <row r="26" spans="1:49" ht="18.75" customHeight="1"/>
    <row r="27" spans="1:49" ht="18.75" customHeight="1">
      <c r="A27" s="41" t="s">
        <v>61</v>
      </c>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row>
    <row r="28" spans="1:49" ht="18.75" customHeight="1">
      <c r="A28" s="4" t="s">
        <v>62</v>
      </c>
      <c r="B28" s="5"/>
      <c r="C28" s="5"/>
      <c r="D28" s="5"/>
      <c r="E28" s="5"/>
      <c r="F28" s="5"/>
      <c r="G28" s="5"/>
      <c r="H28" s="7"/>
      <c r="I28" s="4" t="s">
        <v>63</v>
      </c>
      <c r="J28" s="5"/>
      <c r="K28" s="5"/>
      <c r="L28" s="5"/>
      <c r="M28" s="5"/>
      <c r="N28" s="5"/>
      <c r="O28" s="5"/>
      <c r="P28" s="5"/>
      <c r="Q28" s="7"/>
      <c r="R28" s="4" t="s">
        <v>64</v>
      </c>
      <c r="S28" s="5"/>
      <c r="T28" s="5"/>
      <c r="U28" s="5"/>
      <c r="V28" s="5"/>
      <c r="W28" s="5"/>
      <c r="X28" s="5"/>
      <c r="Y28" s="5"/>
      <c r="Z28" s="7"/>
      <c r="AA28" s="4" t="s">
        <v>65</v>
      </c>
      <c r="AB28" s="5"/>
      <c r="AC28" s="5"/>
      <c r="AD28" s="5"/>
      <c r="AE28" s="5"/>
      <c r="AF28" s="5"/>
      <c r="AG28" s="5"/>
      <c r="AH28" s="5"/>
      <c r="AI28" s="7"/>
    </row>
    <row r="29" spans="1:49" ht="18.75" customHeight="1">
      <c r="A29" s="23"/>
      <c r="B29" s="2"/>
      <c r="C29" s="2"/>
      <c r="D29" s="2"/>
      <c r="E29" s="2"/>
      <c r="F29" s="2"/>
      <c r="G29" s="2"/>
      <c r="H29" s="42"/>
      <c r="I29" s="23"/>
      <c r="J29" s="2"/>
      <c r="K29" s="2"/>
      <c r="L29" s="2"/>
      <c r="M29" s="2"/>
      <c r="N29" s="2"/>
      <c r="O29" s="2"/>
      <c r="P29" s="2"/>
      <c r="Q29" s="42"/>
      <c r="R29" s="23"/>
      <c r="S29" s="2"/>
      <c r="T29" s="2"/>
      <c r="U29" s="2"/>
      <c r="V29" s="2"/>
      <c r="W29" s="2"/>
      <c r="X29" s="2"/>
      <c r="Y29" s="2"/>
      <c r="Z29" s="42"/>
      <c r="AA29" s="23"/>
      <c r="AB29" s="2"/>
      <c r="AC29" s="2"/>
      <c r="AD29" s="2"/>
      <c r="AE29" s="2"/>
      <c r="AF29" s="2"/>
      <c r="AG29" s="2"/>
      <c r="AH29" s="2"/>
      <c r="AI29" s="42"/>
    </row>
    <row r="30" spans="1:49" ht="18.75" customHeight="1">
      <c r="A30" s="23"/>
      <c r="B30" s="2"/>
      <c r="C30" s="2"/>
      <c r="D30" s="2"/>
      <c r="E30" s="2"/>
      <c r="F30" s="2"/>
      <c r="G30" s="2"/>
      <c r="H30" s="42"/>
      <c r="I30" s="23"/>
      <c r="J30" s="2"/>
      <c r="K30" s="2"/>
      <c r="L30" s="2"/>
      <c r="M30" s="2"/>
      <c r="N30" s="2"/>
      <c r="O30" s="2"/>
      <c r="P30" s="2"/>
      <c r="Q30" s="42"/>
      <c r="R30" s="23"/>
      <c r="S30" s="2"/>
      <c r="T30" s="2"/>
      <c r="U30" s="2"/>
      <c r="V30" s="2"/>
      <c r="W30" s="2"/>
      <c r="X30" s="2"/>
      <c r="Y30" s="2"/>
      <c r="Z30" s="42"/>
      <c r="AA30" s="23"/>
      <c r="AB30" s="2"/>
      <c r="AC30" s="2"/>
      <c r="AD30" s="2"/>
      <c r="AE30" s="2"/>
      <c r="AF30" s="2"/>
      <c r="AG30" s="2"/>
      <c r="AH30" s="2"/>
      <c r="AI30" s="42"/>
    </row>
    <row r="31" spans="1:49" ht="18.75" customHeight="1">
      <c r="A31" s="23"/>
      <c r="B31" s="2"/>
      <c r="C31" s="2"/>
      <c r="D31" s="2"/>
      <c r="E31" s="2"/>
      <c r="F31" s="2"/>
      <c r="G31" s="2"/>
      <c r="H31" s="42"/>
      <c r="I31" s="23"/>
      <c r="J31" s="2"/>
      <c r="K31" s="2"/>
      <c r="L31" s="2"/>
      <c r="M31" s="2"/>
      <c r="N31" s="2"/>
      <c r="O31" s="2"/>
      <c r="P31" s="2"/>
      <c r="Q31" s="42"/>
      <c r="R31" s="23"/>
      <c r="S31" s="2"/>
      <c r="T31" s="2"/>
      <c r="U31" s="2"/>
      <c r="V31" s="2"/>
      <c r="W31" s="2"/>
      <c r="X31" s="2"/>
      <c r="Y31" s="2"/>
      <c r="Z31" s="42"/>
      <c r="AA31" s="23"/>
      <c r="AB31" s="2"/>
      <c r="AC31" s="2"/>
      <c r="AD31" s="2"/>
      <c r="AE31" s="2"/>
      <c r="AF31" s="2"/>
      <c r="AG31" s="2"/>
      <c r="AH31" s="2"/>
      <c r="AI31" s="42"/>
    </row>
    <row r="32" spans="1:49" s="43" customFormat="1" ht="18.75" customHeight="1">
      <c r="A32" s="367" t="s">
        <v>66</v>
      </c>
      <c r="B32" s="368"/>
      <c r="C32" s="368"/>
      <c r="D32" s="368"/>
      <c r="E32" s="368"/>
      <c r="F32" s="368"/>
      <c r="G32" s="368"/>
      <c r="H32" s="369"/>
      <c r="I32" s="367" t="s">
        <v>67</v>
      </c>
      <c r="J32" s="368"/>
      <c r="K32" s="368"/>
      <c r="L32" s="368"/>
      <c r="M32" s="368"/>
      <c r="N32" s="368"/>
      <c r="O32" s="368"/>
      <c r="P32" s="368"/>
      <c r="Q32" s="369"/>
      <c r="R32" s="367" t="s">
        <v>68</v>
      </c>
      <c r="S32" s="368"/>
      <c r="T32" s="368"/>
      <c r="U32" s="368"/>
      <c r="V32" s="368"/>
      <c r="W32" s="368"/>
      <c r="X32" s="368"/>
      <c r="Y32" s="368"/>
      <c r="Z32" s="369"/>
      <c r="AA32" s="367" t="s">
        <v>69</v>
      </c>
      <c r="AB32" s="368"/>
      <c r="AC32" s="368"/>
      <c r="AD32" s="368"/>
      <c r="AE32" s="368"/>
      <c r="AF32" s="368"/>
      <c r="AG32" s="368"/>
      <c r="AH32" s="368"/>
      <c r="AI32" s="369"/>
      <c r="AW32" s="44"/>
    </row>
    <row r="33" spans="1:49" s="43" customFormat="1" ht="18.75" customHeight="1">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W33" s="44"/>
    </row>
    <row r="34" spans="1:49" ht="18.75" customHeight="1"/>
  </sheetData>
  <mergeCells count="99">
    <mergeCell ref="M3:Z3"/>
    <mergeCell ref="AE7:AI7"/>
    <mergeCell ref="AE9:AI9"/>
    <mergeCell ref="D12:G12"/>
    <mergeCell ref="H12:T12"/>
    <mergeCell ref="U12:X12"/>
    <mergeCell ref="Y12:AB12"/>
    <mergeCell ref="AC12:AE12"/>
    <mergeCell ref="AF12:AI12"/>
    <mergeCell ref="AF13:AI13"/>
    <mergeCell ref="A14:C14"/>
    <mergeCell ref="D14:G14"/>
    <mergeCell ref="H14:T14"/>
    <mergeCell ref="U14:X14"/>
    <mergeCell ref="Y14:AB14"/>
    <mergeCell ref="AC14:AE14"/>
    <mergeCell ref="AF14:AI14"/>
    <mergeCell ref="A13:C13"/>
    <mergeCell ref="D13:G13"/>
    <mergeCell ref="H13:T13"/>
    <mergeCell ref="U13:X13"/>
    <mergeCell ref="Y13:AB13"/>
    <mergeCell ref="AC13:AE13"/>
    <mergeCell ref="AF15:AI15"/>
    <mergeCell ref="A16:C16"/>
    <mergeCell ref="D16:G16"/>
    <mergeCell ref="H16:T16"/>
    <mergeCell ref="U16:X16"/>
    <mergeCell ref="Y16:AB16"/>
    <mergeCell ref="AC16:AE16"/>
    <mergeCell ref="AF16:AI16"/>
    <mergeCell ref="A15:C15"/>
    <mergeCell ref="D15:G15"/>
    <mergeCell ref="H15:T15"/>
    <mergeCell ref="U15:X15"/>
    <mergeCell ref="Y15:AB15"/>
    <mergeCell ref="AC15:AE15"/>
    <mergeCell ref="AF17:AI17"/>
    <mergeCell ref="A18:C18"/>
    <mergeCell ref="D18:G18"/>
    <mergeCell ref="H18:T18"/>
    <mergeCell ref="U18:X18"/>
    <mergeCell ref="Y18:AB18"/>
    <mergeCell ref="AC18:AE18"/>
    <mergeCell ref="AF18:AI18"/>
    <mergeCell ref="A17:C17"/>
    <mergeCell ref="D17:G17"/>
    <mergeCell ref="H17:T17"/>
    <mergeCell ref="U17:X17"/>
    <mergeCell ref="Y17:AB17"/>
    <mergeCell ref="AC17:AE17"/>
    <mergeCell ref="AF19:AI19"/>
    <mergeCell ref="A20:C20"/>
    <mergeCell ref="D20:G20"/>
    <mergeCell ref="H20:T20"/>
    <mergeCell ref="U20:X20"/>
    <mergeCell ref="Y20:AB20"/>
    <mergeCell ref="AC20:AE20"/>
    <mergeCell ref="AF20:AI20"/>
    <mergeCell ref="A19:C19"/>
    <mergeCell ref="D19:G19"/>
    <mergeCell ref="H19:T19"/>
    <mergeCell ref="U19:X19"/>
    <mergeCell ref="Y19:AB19"/>
    <mergeCell ref="AC19:AE19"/>
    <mergeCell ref="AF21:AI21"/>
    <mergeCell ref="A22:C22"/>
    <mergeCell ref="D22:G22"/>
    <mergeCell ref="H22:T22"/>
    <mergeCell ref="U22:X22"/>
    <mergeCell ref="Y22:AB22"/>
    <mergeCell ref="AC22:AE22"/>
    <mergeCell ref="AF22:AI22"/>
    <mergeCell ref="A21:C21"/>
    <mergeCell ref="D21:G21"/>
    <mergeCell ref="H21:T21"/>
    <mergeCell ref="U21:X21"/>
    <mergeCell ref="Y21:AB21"/>
    <mergeCell ref="AC21:AE21"/>
    <mergeCell ref="AF23:AI23"/>
    <mergeCell ref="A24:C24"/>
    <mergeCell ref="D24:G24"/>
    <mergeCell ref="H24:T24"/>
    <mergeCell ref="U24:X24"/>
    <mergeCell ref="Y24:AB24"/>
    <mergeCell ref="AC24:AE24"/>
    <mergeCell ref="AF24:AI24"/>
    <mergeCell ref="A23:C23"/>
    <mergeCell ref="D23:G23"/>
    <mergeCell ref="H23:T23"/>
    <mergeCell ref="U23:X23"/>
    <mergeCell ref="Y23:AB23"/>
    <mergeCell ref="AC23:AE23"/>
    <mergeCell ref="Y25:AB25"/>
    <mergeCell ref="AF25:AI25"/>
    <mergeCell ref="A32:H32"/>
    <mergeCell ref="I32:Q32"/>
    <mergeCell ref="R32:Z32"/>
    <mergeCell ref="AA32:AI32"/>
  </mergeCells>
  <phoneticPr fontId="2" type="noConversion"/>
  <pageMargins left="0.70866141732283472" right="0.70866141732283472" top="0.74803149606299213" bottom="0.74803149606299213" header="0.31496062992125984" footer="0.31496062992125984"/>
  <pageSetup scale="9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TOTAL</vt:lpstr>
      <vt:lpstr>SUBMETERING</vt:lpstr>
      <vt:lpstr>68F 高压F13&amp;F30</vt:lpstr>
      <vt:lpstr>B1 &amp; 102F 锅炉房</vt:lpstr>
      <vt:lpstr>B4 水表</vt:lpstr>
      <vt:lpstr>68厨房</vt:lpstr>
      <vt:lpstr>厨房燃气</vt:lpstr>
      <vt:lpstr>主塔楼空调用电量</vt:lpstr>
      <vt:lpstr>裙楼空调用量</vt:lpstr>
      <vt:lpstr>Compatibility Report</vt:lpstr>
      <vt:lpstr>付款申请书</vt:lpstr>
      <vt:lpstr>'68F 高压F13&amp;F30'!Print_Area</vt:lpstr>
      <vt:lpstr>'B1 &amp; 102F 锅炉房'!Print_Area</vt:lpstr>
      <vt:lpstr>'B4 水表'!Print_Area</vt:lpstr>
      <vt:lpstr>付款申请书!Print_Area</vt:lpstr>
    </vt:vector>
  </TitlesOfParts>
  <Company>雨薇在线</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Joe J. El Khoury</cp:lastModifiedBy>
  <cp:lastPrinted>2020-11-30T23:33:21Z</cp:lastPrinted>
  <dcterms:created xsi:type="dcterms:W3CDTF">2009-01-03T01:47:59Z</dcterms:created>
  <dcterms:modified xsi:type="dcterms:W3CDTF">2020-12-08T17:30:53Z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